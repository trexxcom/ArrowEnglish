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문장" sheetId="1" r:id="rId5"/>
    <sheet name="외운 것" sheetId="2" r:id="rId6"/>
    <sheet name="총괄 - 맞춘 문장(3번)" sheetId="3" r:id="rId7"/>
    <sheet name="총괄 - 전체" sheetId="4" r:id="rId8"/>
    <sheet name="총괄 - 틀린 것 복습" sheetId="5" r:id="rId9"/>
    <sheet name="총괄 - 통계" sheetId="6" r:id="rId10"/>
  </sheets>
  <pivotCaches>
    <pivotCache cacheId="0" r:id="rId11"/>
    <pivotCache cacheId="1" r:id="rId12"/>
  </pivotCache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<sst xmlns="http://schemas.openxmlformats.org/spreadsheetml/2006/main" uniqueCount="2243">
  <si>
    <t>No</t>
  </si>
  <si>
    <t>sNo</t>
  </si>
  <si>
    <t>구분2_참고</t>
  </si>
  <si>
    <t>구분</t>
  </si>
  <si>
    <t>한국어</t>
  </si>
  <si>
    <t>힌트</t>
  </si>
  <si>
    <t>영어</t>
  </si>
  <si>
    <t>외운것</t>
  </si>
  <si>
    <t>틀린것</t>
  </si>
  <si>
    <t>날짜</t>
  </si>
  <si>
    <t>날짜1차</t>
  </si>
  <si>
    <t>날짜2차</t>
  </si>
  <si>
    <t>날짜3차</t>
  </si>
  <si>
    <t>외운것2차</t>
  </si>
  <si>
    <t>외운것3차</t>
  </si>
  <si>
    <t>틀린것_1차</t>
  </si>
  <si>
    <t>틀린것_2차</t>
  </si>
  <si>
    <t>틀린것_3차</t>
  </si>
  <si>
    <t>기본문 훈련</t>
  </si>
  <si>
    <t>나는 책을 읽는다</t>
  </si>
  <si>
    <t>나 - 읽는다 - 책</t>
  </si>
  <si>
    <t>I read a book.</t>
  </si>
  <si>
    <t>3차</t>
  </si>
  <si>
    <t>1차</t>
  </si>
  <si>
    <t>2차</t>
  </si>
  <si>
    <t>그는 음식을 요리한다</t>
  </si>
  <si>
    <t>그 - 요리한다 - 음식</t>
  </si>
  <si>
    <t>He cooks food.</t>
  </si>
  <si>
    <t>그녀는 편지를 쓴다</t>
  </si>
  <si>
    <t>그녀 - 쓴다 - 편지</t>
  </si>
  <si>
    <t>She writes a letter.</t>
  </si>
  <si>
    <t>우리는 영화를 본다</t>
  </si>
  <si>
    <t>우리 - 본다 - 영화</t>
  </si>
  <si>
    <t>We watch a movie.</t>
  </si>
  <si>
    <t>너는 음악을 듣는다</t>
  </si>
  <si>
    <t>너 - 듣는다 - 음악</t>
  </si>
  <si>
    <t>You listen to music.</t>
  </si>
  <si>
    <t>그들은 게임을 한다</t>
  </si>
  <si>
    <t>그들 - 한다 - 게임</t>
  </si>
  <si>
    <t>They play a game.</t>
  </si>
  <si>
    <t>나는 커피를 마신다</t>
  </si>
  <si>
    <t>나 - 마신다 - 커피</t>
  </si>
  <si>
    <t>I drink coffee.</t>
  </si>
  <si>
    <t>그는 차를 운전한다</t>
  </si>
  <si>
    <t>그 - 운전한다 - 차</t>
  </si>
  <si>
    <t>He drives a car.</t>
  </si>
  <si>
    <t>그녀는 방을 청소한다</t>
  </si>
  <si>
    <t>그녀 - 청소한다 - 방</t>
  </si>
  <si>
    <t>She cleans the room.</t>
  </si>
  <si>
    <t>우리는 문제를 푼다</t>
  </si>
  <si>
    <t>우리 - 푼다 - 문제</t>
  </si>
  <si>
    <t>We solve a problem.</t>
  </si>
  <si>
    <t>우리는 저녁을 먹는다.</t>
  </si>
  <si>
    <t>우리 - 먹는다 - 저녁</t>
  </si>
  <si>
    <t>We eat dinner.</t>
  </si>
  <si>
    <t>그는 축구를 한다.</t>
  </si>
  <si>
    <t>그 - 한다 - 축구</t>
  </si>
  <si>
    <t>He plays soccer.</t>
  </si>
  <si>
    <t>아이는 사탕을 좋아한다.</t>
  </si>
  <si>
    <t>아이 - 좋아한다 - 사탕</t>
  </si>
  <si>
    <t>The child likes candy.</t>
  </si>
  <si>
    <t>그녀는 영어를 공부한다.</t>
  </si>
  <si>
    <t>그녀 - 공부한다 - 영어</t>
  </si>
  <si>
    <t>She studies English.</t>
  </si>
  <si>
    <t>그는 물을 마신다.</t>
  </si>
  <si>
    <t>그 - 마신다 - 물</t>
  </si>
  <si>
    <t>He drinks water.</t>
  </si>
  <si>
    <t>나는 슬프다</t>
  </si>
  <si>
    <t>나 - 이다 - 슬픈 상태</t>
  </si>
  <si>
    <t>I am sad.</t>
  </si>
  <si>
    <t>그는 피곤하다</t>
  </si>
  <si>
    <t>그 - 이다 - 피곤한 상태</t>
  </si>
  <si>
    <t>He is tired.</t>
  </si>
  <si>
    <t>그녀는 행복하다.</t>
  </si>
  <si>
    <t>그녀 - 이다 - 행복한 상태</t>
  </si>
  <si>
    <t>She is happy.</t>
  </si>
  <si>
    <t>우리는 배고프다</t>
  </si>
  <si>
    <t>우리 - 이다 - 배고픈 상태</t>
  </si>
  <si>
    <t>We are hungry.</t>
  </si>
  <si>
    <t>너는 신나다</t>
  </si>
  <si>
    <t>너 - 이다 - 신난 상태</t>
  </si>
  <si>
    <t>You are excited.</t>
  </si>
  <si>
    <t>그들은 화가 났다</t>
  </si>
  <si>
    <t>그들 - 이다 - 화난 상태</t>
  </si>
  <si>
    <t>They are angry.</t>
  </si>
  <si>
    <t>나는 지루하다</t>
  </si>
  <si>
    <t>나 - 이다 - 지루한 상태</t>
  </si>
  <si>
    <t>I am bored.</t>
  </si>
  <si>
    <t>그는 걱정된다</t>
  </si>
  <si>
    <t>그 - 이다 - 걱정된 상태</t>
  </si>
  <si>
    <t>He is worried.</t>
  </si>
  <si>
    <t>그녀는 놀랐다</t>
  </si>
  <si>
    <t>그녀 - 이다 - 놀란 상태</t>
  </si>
  <si>
    <t>She is surprised.</t>
  </si>
  <si>
    <t>우리는 만족스럽다</t>
  </si>
  <si>
    <t>우리 - 이다 - 만족스러운 상태</t>
  </si>
  <si>
    <t>We are satisfied.</t>
  </si>
  <si>
    <t>나는 행복하다.</t>
  </si>
  <si>
    <t>나 - 이다 - 행복한 상태</t>
  </si>
  <si>
    <t>I am happy.</t>
  </si>
  <si>
    <t>그녀는 피곤하다.</t>
  </si>
  <si>
    <t>그녀 - 이다 - 피곤한 상태</t>
  </si>
  <si>
    <t>She is tired.</t>
  </si>
  <si>
    <t>그들은 슬프다.</t>
  </si>
  <si>
    <t>그들 - 이다 - 슬픈 상태</t>
  </si>
  <si>
    <t>They are sad.</t>
  </si>
  <si>
    <t>우리는 기쁘다.</t>
  </si>
  <si>
    <t>우리 - 이다 - 기쁜 상태</t>
  </si>
  <si>
    <t>We are glad.</t>
  </si>
  <si>
    <t>그는 화나다.</t>
  </si>
  <si>
    <t>그 - 이다 - 화난 상태</t>
  </si>
  <si>
    <t>He is angry.</t>
  </si>
  <si>
    <t>나는 준비되었다.</t>
  </si>
  <si>
    <t>나 - 이다 - 준비된 상태</t>
  </si>
  <si>
    <t>I am ready.</t>
  </si>
  <si>
    <t>그녀는 똑똑하다.</t>
  </si>
  <si>
    <t>그녀 - 이다 - 똑똑한 상태</t>
  </si>
  <si>
    <t>She is smart.</t>
  </si>
  <si>
    <t>우리는 지루하다.</t>
  </si>
  <si>
    <t>우리 - 이다 - 지루한 상태</t>
  </si>
  <si>
    <t>We are bored.</t>
  </si>
  <si>
    <t>그는 건강하다.</t>
  </si>
  <si>
    <t>그 - 이다 - 건강한 상태</t>
  </si>
  <si>
    <t>He is healthy.</t>
  </si>
  <si>
    <t>나는 바쁘다.</t>
  </si>
  <si>
    <t>나 - 이다 - 바쁜 상태</t>
  </si>
  <si>
    <t>I am busy.</t>
  </si>
  <si>
    <t>동사1+동사2</t>
  </si>
  <si>
    <t>우리는 그 책을 읽기를 계획하고 있다.</t>
  </si>
  <si>
    <t>우리 - 계획하고 있다 - to 읽다 - 그 책</t>
  </si>
  <si>
    <t>We plan to read the book.</t>
  </si>
  <si>
    <t>나는 설거지하는 것을 싫어한다.</t>
  </si>
  <si>
    <t>나 - 싫어한다 - 설거지하다 ing</t>
  </si>
  <si>
    <t>I hate washing dishes.</t>
  </si>
  <si>
    <t>그는 새로운 언어를 배우기를 희망한다.</t>
  </si>
  <si>
    <t>그 - 희망한다 - to 배우다 - 새로운 언어</t>
  </si>
  <si>
    <t>He hopes to learn a new language.</t>
  </si>
  <si>
    <t>우리는 수영하는 것을 그만뒀다.</t>
  </si>
  <si>
    <t>우리 - 그만뒀다 - 수영하다 ing</t>
  </si>
  <si>
    <t>We quit swimming.</t>
  </si>
  <si>
    <t>그들은 콘서트에 가기를 기대하고 있다.</t>
  </si>
  <si>
    <t>그들 - 기대하고 있다 - to 가다 - 콘서트</t>
  </si>
  <si>
    <t>They expect to go to the concert.</t>
  </si>
  <si>
    <t>우리는 친구들과 노는 것을 즐긴다.</t>
  </si>
  <si>
    <t>우리 - 즐긴다 - 놀다 ing - 함께하는 대상은 - 친구들</t>
  </si>
  <si>
    <t>We enjoy playing with friends.</t>
  </si>
  <si>
    <t>2026-04-28</t>
  </si>
  <si>
    <t>그는 사업을 시작하기로 결심했다.</t>
  </si>
  <si>
    <t>그 - 결심했다 - to 시작하다 - 사업</t>
  </si>
  <si>
    <t>He resolved to start a business.</t>
  </si>
  <si>
    <t>우리는 영화를 보는 것을 즐긴다.</t>
  </si>
  <si>
    <t>우리 - 즐긴다 - 보다 ing - 영화</t>
  </si>
  <si>
    <t>We enjoy watching movies.</t>
  </si>
  <si>
    <t>그들은 도시에 도착하기를 희망했다.</t>
  </si>
  <si>
    <t>그들 - 희망했다 - to 도착하다 - 장소는 - 도시</t>
  </si>
  <si>
    <t>They hoped to arrive in the city.</t>
  </si>
  <si>
    <t>2026-04-29</t>
  </si>
  <si>
    <t>나는 새로운 언어를 배우는 것을 즐긴다.</t>
  </si>
  <si>
    <t>나 - 즐긴다 - 배우다 ing - 새로운 언어</t>
  </si>
  <si>
    <t>I enjoy learning new languages.</t>
  </si>
  <si>
    <t>그들은 그 프로젝트를 시작하기를 기대하고 있다.</t>
  </si>
  <si>
    <t>그들 - 기대하고 있다 - to 시작하다 - 그 프로젝트</t>
  </si>
  <si>
    <t>They expect to start the project.</t>
  </si>
  <si>
    <t>우리는 그들을 돕기를 약속했다.</t>
  </si>
  <si>
    <t>우리 - 약속했다 - to 돕다 - 그들</t>
  </si>
  <si>
    <t>We promised to help them.</t>
  </si>
  <si>
    <t>나는 그가 춤추는 것을 보았다.</t>
  </si>
  <si>
    <t>나 - 보았다 - 그 - 춤추다 ing</t>
  </si>
  <si>
    <t>I saw him dancing.</t>
  </si>
  <si>
    <t>우리는 그가 길을 건너는 것을 확인했다.</t>
  </si>
  <si>
    <t>우리 - 확인했다 - 그 - 건너다 ing - 길</t>
  </si>
  <si>
    <t>We confirmed him crossing the street.</t>
  </si>
  <si>
    <t>나는 책 읽으면서 차 마신다.</t>
  </si>
  <si>
    <t>나 - 마신다 - 차 - 읽다 ing - 책</t>
  </si>
  <si>
    <t>I drink tea reading a book.</t>
  </si>
  <si>
    <t>그는 음악 들으면서 요리 한다.</t>
  </si>
  <si>
    <t>그 - 한다 - 요리 - 듣다 ing - 음악</t>
  </si>
  <si>
    <t>He cooks listening to music.</t>
  </si>
  <si>
    <t>우리는 산책 하면서 사진 찍는다.</t>
  </si>
  <si>
    <t>우리 - 찍는다 - 사진 - 하다 ing - 산책</t>
  </si>
  <si>
    <t>We take pictures walking.</t>
  </si>
  <si>
    <t>나는 책을 읽으면서 커피를 마신다.</t>
  </si>
  <si>
    <t>나 - 마신다 - 커피 - 읽다 ing - 책</t>
  </si>
  <si>
    <t>I drink coffee reading a book.</t>
  </si>
  <si>
    <t>나는 새로운 언어를 배우기 위해 매일 열심히 공부한다.</t>
  </si>
  <si>
    <t>나 - 공부한다 - 매일 - 열심히 - to 배우다 - 새로운 언어</t>
  </si>
  <si>
    <t>I study every day hard to learn a new language.</t>
  </si>
  <si>
    <t>그는 세계를 여행하기 위해 돈을 모은다.</t>
  </si>
  <si>
    <t>그 - 모은다 - 돈 - to 여행하다 - 세계</t>
  </si>
  <si>
    <t>He raises money to travel the world.</t>
  </si>
  <si>
    <t>그녀는 취업을 위해 매일 이력서를 보낸다.</t>
  </si>
  <si>
    <t>그녀 - 보낸다 - 이력서 - 매일 - to 가지다 - 직업</t>
  </si>
  <si>
    <t>She sends resumes every day to get a job.</t>
  </si>
  <si>
    <t>그녀는 요리하면서 노래를 부른다.</t>
  </si>
  <si>
    <t>그녀 - 부른다 - 노래 - 요리하다 ing</t>
  </si>
  <si>
    <t>She sings while cooking.</t>
  </si>
  <si>
    <t>그는 자기 계발을 위해 책을 읽고 있다.</t>
  </si>
  <si>
    <t>그 - 읽고 있다 - 책 - to 계발하다 - 자기</t>
  </si>
  <si>
    <t>He reads books to develop himself.</t>
  </si>
  <si>
    <t>주동대힘장시</t>
  </si>
  <si>
    <t>그는 저녁에 레스토랑에서 친구와 함께 와인을 마신다.</t>
  </si>
  <si>
    <t>그 - 마신다 - 와인 - with - 친구 - at - 레스토랑 - in - 저녁</t>
  </si>
  <si>
    <t>He drinks wine with his friend at the restaurant in the evening.</t>
  </si>
  <si>
    <t>그는 저녁에 레스토랑에서 친구와 함께 식사를 한다.</t>
  </si>
  <si>
    <t>그 - 식사를 한다 - with - 친구 - at - 레스토랑 - in - 저녁</t>
  </si>
  <si>
    <t>He eats dinner with his friend at the restaurant in the evening.</t>
  </si>
  <si>
    <t>그들은 점심에 카페에서 가족과 함께 대화를 나눈다.</t>
  </si>
  <si>
    <t>그들 - 대화를 나눈다 - with - 가족 - at - 카페 - at - 점심</t>
  </si>
  <si>
    <t>They chat with their family at the cafe at lunch.</t>
  </si>
  <si>
    <t>그는 오후에 강가에서 개와 함께 조깅을 한다.</t>
  </si>
  <si>
    <t>그 - 조깅을 한다 - with - 개 - by - 강가 - in - 오후</t>
  </si>
  <si>
    <t>He jogs with his dog by the river in the afternoon.</t>
  </si>
  <si>
    <t>그녀는 저녁에 공원에서 아이들과 함께 놀아준다.</t>
  </si>
  <si>
    <t>그녀 - 놀아준다 - with - 아이들 - at - 공원 - in - 저녁</t>
  </si>
  <si>
    <t>She plays with her children at the park in the evening.</t>
  </si>
  <si>
    <t>그는 정오에 공원에서 나무 아래에 앉아 독서를 한다.</t>
  </si>
  <si>
    <t>그 - 앉아 독서를 한다 - under - 나무 - in - 공원 - at - 정오</t>
  </si>
  <si>
    <t>He sits and reads under the tree in the park at noon.</t>
  </si>
  <si>
    <t>그녀는 오후에 사무실에서 책상 위에 서류를 정리한다.</t>
  </si>
  <si>
    <t>그녀 - 정리한다 - 서류 - on - 책상 - in - 사무실 - in - 오후</t>
  </si>
  <si>
    <t>She organizes documents on the desk in the office in the afternoon.</t>
  </si>
  <si>
    <t>그들은 저녁에 레스토랑에서 테이블 주변에 앉아 대화를 나눈다.</t>
  </si>
  <si>
    <t>그들 - 앉아 대화를 나눈다 - around - 테이블 - in - 레스토랑 - in - 저녁</t>
  </si>
  <si>
    <t>They sit and chat around the table in the restaurant in the evening.</t>
  </si>
  <si>
    <t>그는 밤에 침대 위에 누워 책을 읽는다.</t>
  </si>
  <si>
    <t>그 - 누워 읽는다 - 책 - on - 침대 - at - 밤</t>
  </si>
  <si>
    <t>He lies and reads a book on the bed at night.</t>
  </si>
  <si>
    <t>그녀는 아침에 바닷가에서 경치를 감상한다.</t>
  </si>
  <si>
    <t>그녀 - 감상한다 - 경치 - at - 바닷가 - in - 아침</t>
  </si>
  <si>
    <t>She enjoys the view at the beach in the morning.</t>
  </si>
  <si>
    <t>그녀는 아침에 발코니에서 혼자 차를 마신다.</t>
  </si>
  <si>
    <t>그녀 - 마신다 - 차 - alone - on - 발코니 - in - 아침</t>
  </si>
  <si>
    <t>She drinks tea alone on the balcony in the morning.</t>
  </si>
  <si>
    <t>그는 아침에 도서관에서 혼자 공부를 한다.</t>
  </si>
  <si>
    <t>그 - 공부를 한다 - alone - in - 도서관 - in - 아침</t>
  </si>
  <si>
    <t>He studies alone in the library in the morning.</t>
  </si>
  <si>
    <t>전치사</t>
  </si>
  <si>
    <t>강아지가 집 바깥쪽에 있다</t>
  </si>
  <si>
    <t>강아지 - 있다 - outside - 집</t>
  </si>
  <si>
    <t>The dog is outside the house.</t>
  </si>
  <si>
    <t>울타리가 집을 둘러싸고 있다</t>
  </si>
  <si>
    <t>울타리 - 있다 - around - 집</t>
  </si>
  <si>
    <t>The fence is around the house.</t>
  </si>
  <si>
    <t>비행기가 마을 위로 날아간다</t>
  </si>
  <si>
    <t>비행기 - 날아간다 - above - 마을</t>
  </si>
  <si>
    <t>The plane flies above a town.</t>
  </si>
  <si>
    <t>물고기가 물 표면 바로 아래에 있다</t>
  </si>
  <si>
    <t>물고기 - 있다 - beneath - 물 표면</t>
  </si>
  <si>
    <t>The fish is beneath the water surface.</t>
  </si>
  <si>
    <t>사과가 바구니 안에 있다</t>
  </si>
  <si>
    <t>사과 - 있다 - in - 바구니</t>
  </si>
  <si>
    <t>The apple is in the basket.</t>
  </si>
  <si>
    <t>고양이가 집 안쪽에 있다</t>
  </si>
  <si>
    <t>고양이 - 있다 - inside - 집</t>
  </si>
  <si>
    <t>The cat is inside the house.</t>
  </si>
  <si>
    <t>그는 두 시간 내에 돌아올 것이다</t>
  </si>
  <si>
    <t>그 - 돌아올 것이다 - within - 두 시간</t>
  </si>
  <si>
    <t>He will return within two hours.</t>
  </si>
  <si>
    <t>나무가 숲 한가운데 있다</t>
  </si>
  <si>
    <t>나무 - 있다 - amid - 숲</t>
  </si>
  <si>
    <t>The tree is amid the forest.</t>
  </si>
  <si>
    <t>무지개가 강 위로 걸쳐있다</t>
  </si>
  <si>
    <t>무지개 - 걸쳐있다 - over - 강</t>
  </si>
  <si>
    <t>The rainbow stretches over the river.</t>
  </si>
  <si>
    <t>지하철이 도시 아래로 지나간다</t>
  </si>
  <si>
    <t>지하철 - 지나간다 - below - 도시</t>
  </si>
  <si>
    <t>The subway runs below the city.</t>
  </si>
  <si>
    <t>책상이 전등 아래에 있다</t>
  </si>
  <si>
    <t>책상 - 있다 - under - 전등</t>
  </si>
  <si>
    <t>The desk is under the light.</t>
  </si>
  <si>
    <t>유명 가수가 팬들 가운데 있다</t>
  </si>
  <si>
    <t>유명 가수 - 있다 - among - 팬들</t>
  </si>
  <si>
    <t>A famous singer is among the fans.</t>
  </si>
  <si>
    <t>고양이가 상자 밖에 있다</t>
  </si>
  <si>
    <t>고양이 - 있다 - out - 상자</t>
  </si>
  <si>
    <t>The cat is out the box.</t>
  </si>
  <si>
    <t>가게들이 광장을 둘러싸고 있다</t>
  </si>
  <si>
    <t>가게들 - 있다 - about - 광장</t>
  </si>
  <si>
    <t>The shops are about the square.</t>
  </si>
  <si>
    <t>그들은 골프에 대하여 이야기한다</t>
  </si>
  <si>
    <t>그들 - 이야기한다 - about - 골프</t>
  </si>
  <si>
    <t>They talk about golf.</t>
  </si>
  <si>
    <t>나무가 집 바로 옆에 있다</t>
  </si>
  <si>
    <t>나무 - 있다 - next to - 집</t>
  </si>
  <si>
    <t>The tree is next to the house.</t>
  </si>
  <si>
    <t>은행이 상점 옆에 있다</t>
  </si>
  <si>
    <t>은행 - 있다 - beside - 상점</t>
  </si>
  <si>
    <t>The bank is beside the shop.</t>
  </si>
  <si>
    <t>학교가 공원 근처에 있다</t>
  </si>
  <si>
    <t>학교 - 있다 - near - 공원</t>
  </si>
  <si>
    <t>The school is near the park.</t>
  </si>
  <si>
    <t>나는 친구와 함께 있다</t>
  </si>
  <si>
    <t>나 - 있다 - with - 친구</t>
  </si>
  <si>
    <t>I am with my friend.</t>
  </si>
  <si>
    <t>그는 지갑 없이 떠났다</t>
  </si>
  <si>
    <t>그 - 떠났다 - without - 지갑</t>
  </si>
  <si>
    <t>He left without his wallet.</t>
  </si>
  <si>
    <t>나는 회의 전에 자료를 준비한다</t>
  </si>
  <si>
    <t>나 - 준비한다 - 자료 - before - 회의</t>
  </si>
  <si>
    <t>I prepare the materials before the meeting.</t>
  </si>
  <si>
    <t>그는 나보다 앞서 달린다</t>
  </si>
  <si>
    <t>그 - 달린다 - ahead of - 나</t>
  </si>
  <si>
    <t>He runs ahead of me.</t>
  </si>
  <si>
    <t>고양이가 의자 뒤에 숨어 있다</t>
  </si>
  <si>
    <t>고양이 - is - 숨다 ing - behind - 의자</t>
  </si>
  <si>
    <t>The cat is hiding behind the chair.</t>
  </si>
  <si>
    <t>고양이가 쥐 뒤를 쫓았다</t>
  </si>
  <si>
    <t>고양이 - 쫓았다 - after - 쥐</t>
  </si>
  <si>
    <t>The cat chased after the mouse.</t>
  </si>
  <si>
    <t>우리는 회의 후에 회식을 했다</t>
  </si>
  <si>
    <t>우리 - 했다 - 회식 - after - 회의</t>
  </si>
  <si>
    <t>We had a company dinner after the meeting.</t>
  </si>
  <si>
    <t>사건 직후에 그는 조사를 받았다</t>
  </si>
  <si>
    <t>그 - 조사를 받았다 - following - 사건</t>
  </si>
  <si>
    <t>He was investigated following the incident.</t>
  </si>
  <si>
    <t>나는 역에 도착했다</t>
  </si>
  <si>
    <t>나 - 도착했다 - at - 역</t>
  </si>
  <si>
    <t>I arrived at the station.</t>
  </si>
  <si>
    <t>컵이 탁자에 있다</t>
  </si>
  <si>
    <t>컵 - 있다 - on - 탁자</t>
  </si>
  <si>
    <t>The cup is on the table.</t>
  </si>
  <si>
    <t>나는 길을 죽 따라 걷는다</t>
  </si>
  <si>
    <t>나 - 걷는다 - along - 길</t>
  </si>
  <si>
    <t>I walk along the road.</t>
  </si>
  <si>
    <t>수업 중에 나는 필기를 한다</t>
  </si>
  <si>
    <t>나 - 한다 - 필기 - during - 수업</t>
  </si>
  <si>
    <t>I take notes during the class.</t>
  </si>
  <si>
    <t>나는 피자 한 조각을 먹었다</t>
  </si>
  <si>
    <t>나 - 먹었다 - 한 조각 - of - 피자</t>
  </si>
  <si>
    <t>I ate a slice of pizza.</t>
  </si>
  <si>
    <t>나는 지갑을 테이블에서 치웠다</t>
  </si>
  <si>
    <t>나 - 치웠다 - 지갑 - off - 테이블</t>
  </si>
  <si>
    <t>I took the wallet off the table.</t>
  </si>
  <si>
    <t>나는 벽에 기대어 있다</t>
  </si>
  <si>
    <t>나 - 기대어 있다 - against - 벽</t>
  </si>
  <si>
    <t>I am leaning against the wall.</t>
  </si>
  <si>
    <t>나는 비에도 불구하고 외출했다</t>
  </si>
  <si>
    <t>나 - 외출했다 - despite - 비</t>
  </si>
  <si>
    <t>I went out despite the rain.</t>
  </si>
  <si>
    <t>나는 휴일을 제외하고 일한다</t>
  </si>
  <si>
    <t>나 - 일한다 - except - 휴일</t>
  </si>
  <si>
    <t>I work except holidays.</t>
  </si>
  <si>
    <t>그녀는 부모님에 의해 사랑받는다</t>
  </si>
  <si>
    <t>그녀 - 사랑 받는다 - by - 부모님</t>
  </si>
  <si>
    <t>She is loved by her parents.</t>
  </si>
  <si>
    <t>나는 그를 위해 요리한다</t>
  </si>
  <si>
    <t>나 - 요리한다 - for - 그</t>
  </si>
  <si>
    <t>I cook for him.</t>
  </si>
  <si>
    <t>나무가 두 집 사이에 있다</t>
  </si>
  <si>
    <t>나무 - 있다 - between - 두 집</t>
  </si>
  <si>
    <t>The tree is between the two houses.</t>
  </si>
  <si>
    <t>차가 집 앞쪽에 서 있다</t>
  </si>
  <si>
    <t>차 - 서 있다 - in front of - 집</t>
  </si>
  <si>
    <t>The car is in front of the house.</t>
  </si>
  <si>
    <t>나무가 집 앞에 있다</t>
  </si>
  <si>
    <t>나무 - 있다 - before - 집</t>
  </si>
  <si>
    <t>The tree is before the house.</t>
  </si>
  <si>
    <t>나는 해변 쪽으로 걸어간다</t>
  </si>
  <si>
    <t>나 - 걸어간다 - toward - 해변</t>
  </si>
  <si>
    <t>I walk toward the beach.</t>
  </si>
  <si>
    <t>나는 도서관으로 간다</t>
  </si>
  <si>
    <t>나 - 간다 - to - 도서관</t>
  </si>
  <si>
    <t>I go to the library.</t>
  </si>
  <si>
    <t>나는 방 안으로 들어간다</t>
  </si>
  <si>
    <t>나 - 들어간다 - into - 방</t>
  </si>
  <si>
    <t>I go into the room.</t>
  </si>
  <si>
    <t>그는 공원을 가로지르다</t>
  </si>
  <si>
    <t>그 - 간다 - across - 공원</t>
  </si>
  <si>
    <t>He goes across the park.</t>
  </si>
  <si>
    <t>나는 터널을 통과했다</t>
  </si>
  <si>
    <t>나 - 갔다 - through - 터널</t>
  </si>
  <si>
    <t>I went through the tunnel.</t>
  </si>
  <si>
    <t>그들은 도시 전역을 탐험했다</t>
  </si>
  <si>
    <t>그들 - 탐험했다 - throughout - 도시</t>
  </si>
  <si>
    <t>They explored throughout the city.</t>
  </si>
  <si>
    <t>그는 세계 곳곳을 여행했다</t>
  </si>
  <si>
    <t>그 - 여행했다 - throughout - 세계</t>
  </si>
  <si>
    <t>He traveled throughout the world.</t>
  </si>
  <si>
    <t>나는 상점을 지나갔다</t>
  </si>
  <si>
    <t>나 - 갔다 - past - 상점</t>
  </si>
  <si>
    <t>I went past the shop.</t>
  </si>
  <si>
    <t>산은 저 언덕 너머에 있다</t>
  </si>
  <si>
    <t>산 - 있다 - beyond - 저 언덕</t>
  </si>
  <si>
    <t>The mountain is beyond that hill.</t>
  </si>
  <si>
    <t>그들은 수평선 너머로 항해했다</t>
  </si>
  <si>
    <t>그들 - 향해했다 - beyond - 수평선</t>
  </si>
  <si>
    <t>They sailed beyond the horizon.</t>
  </si>
  <si>
    <t>그는 멀리 갔다</t>
  </si>
  <si>
    <t>그 - 갔다 - away</t>
  </si>
  <si>
    <t>He went away.</t>
  </si>
  <si>
    <t>그는 계단 아래로 내려갔다</t>
  </si>
  <si>
    <t>그 - 내려갔다 - down - 계단</t>
  </si>
  <si>
    <t>He went down the stairs.</t>
  </si>
  <si>
    <t>그는 일본에서 왔다</t>
  </si>
  <si>
    <t>그 - 왔다 - from - 일본</t>
  </si>
  <si>
    <t>He came from Japan.</t>
  </si>
  <si>
    <t>나는 상자에서 물건을 꺼냈다</t>
  </si>
  <si>
    <t>나 - 꺼냈다 - 물건 - out of - 상자</t>
  </si>
  <si>
    <t>I took the item out of the box.</t>
  </si>
  <si>
    <t>나는 어제부터 계속 공부하고 있다</t>
  </si>
  <si>
    <t>나 - 공부하고 있다 - since - 어제</t>
  </si>
  <si>
    <t>I have been studying since yesterday.</t>
  </si>
  <si>
    <t>그는 고향으로 돌아왔다</t>
  </si>
  <si>
    <t>그 - 왔다 - back - to - 고향</t>
  </si>
  <si>
    <t>He came back to his hometown.</t>
  </si>
  <si>
    <t>그는 선생님으로서 충고했다</t>
  </si>
  <si>
    <t>그 - 충고했다 - as - 선생님</t>
  </si>
  <si>
    <t>He advised as a teacher.</t>
  </si>
  <si>
    <t>그녀는 고양이처럼 조용하다</t>
  </si>
  <si>
    <t>그녀 - is - 조용한 상태 - like - 고양이</t>
  </si>
  <si>
    <t>She is quiet like a cat.</t>
  </si>
  <si>
    <t>그는 나보다 키가 더 크다</t>
  </si>
  <si>
    <t>그 - is - 키가 더 큰 상태 - than - 나</t>
  </si>
  <si>
    <t>He is taller than me.</t>
  </si>
  <si>
    <t>나는 산 위로 올라갔다</t>
  </si>
  <si>
    <t>나 - 올라갔다 - up - 산</t>
  </si>
  <si>
    <t>I climbed up the mountain.</t>
  </si>
  <si>
    <t>조동사</t>
  </si>
  <si>
    <t>나는 내일 반드시 학교에 가야 해.</t>
  </si>
  <si>
    <t>나 - must - 가다 - to - 학교 - 내일</t>
  </si>
  <si>
    <t>I must go to school tomorrow.</t>
  </si>
  <si>
    <t>우리는 매일 꼭 운동을 해야 한다.</t>
  </si>
  <si>
    <t>우리 - have to - 운동하다 - 매일</t>
  </si>
  <si>
    <t>We have to exercise every day.</t>
  </si>
  <si>
    <t>넌 오늘은 청소할 필요가 없다.</t>
  </si>
  <si>
    <t>너 - don't have to - 청소하다 - 오늘</t>
  </si>
  <si>
    <t>You don't have to clean today.</t>
  </si>
  <si>
    <t>난 영어를 더 열심히 공부해야 해</t>
  </si>
  <si>
    <t>나 - should - 공부하다 - 더 열심히 - 영어</t>
  </si>
  <si>
    <t>I should study harder English.</t>
  </si>
  <si>
    <t>우리는 내년에 반드시 결혼할 거야</t>
  </si>
  <si>
    <t>우리 - shall - 결혼하다 - 내년</t>
  </si>
  <si>
    <t>We shall get married next year.</t>
  </si>
  <si>
    <t>난 다음 달에 새로운 프로젝트를 시작하려고 해</t>
  </si>
  <si>
    <t>나 - will - 시작하다 - 새로운 프로젝트 - 다음 달</t>
  </si>
  <si>
    <t>I will start a new project next month.</t>
  </si>
  <si>
    <t>그들은 내일 파티에 갈 것이다.</t>
  </si>
  <si>
    <t>그들 - be going to - 가다 - to - 파티 - 내일</t>
  </si>
  <si>
    <t>They are going to go to the party tomorrow.</t>
  </si>
  <si>
    <t>나는 그 영화를 다시 볼 거 같다.</t>
  </si>
  <si>
    <t>나 - would - 보다 - 그(that) 영화 - 다시</t>
  </si>
  <si>
    <t>I would watch that movie again.</t>
  </si>
  <si>
    <t>나는 피아노를 칠 수 있다.</t>
  </si>
  <si>
    <t>나 - can - 치다 - 피아노</t>
  </si>
  <si>
    <t>I can play the piano.</t>
  </si>
  <si>
    <t>그는 수영을 할 수 있을 거다.</t>
  </si>
  <si>
    <t>그 - could - 수영하다</t>
  </si>
  <si>
    <t>He could swim.</t>
  </si>
  <si>
    <t>그녀는 아마 내일 올 수도 있다.</t>
  </si>
  <si>
    <t>그녀 - may - 오다 - 내일</t>
  </si>
  <si>
    <t>She may come tomorrow.</t>
  </si>
  <si>
    <t>나는 이번 여름에 떠날지도 모른다.</t>
  </si>
  <si>
    <t>나 - might - 떠나다 - 이번 여름</t>
  </si>
  <si>
    <t>I might leave this summer.</t>
  </si>
  <si>
    <t>나는 매일 아침 일찍 일어나야만 한다.</t>
  </si>
  <si>
    <t>나 - must - 일어나다 - 일찍 - 매일 아침</t>
  </si>
  <si>
    <t>I must wake up early every morning.</t>
  </si>
  <si>
    <t>우리는 집에 꼭 일찍 가야 해</t>
  </si>
  <si>
    <t>우리 - have to - 가다 - 집에 - 일찍</t>
  </si>
  <si>
    <t>We have to go home early.</t>
  </si>
  <si>
    <t>그는 오늘 일하지 않아도 된다.</t>
  </si>
  <si>
    <t>그 - doesn't have to - 일하다 - 오늘</t>
  </si>
  <si>
    <t>He doesn't have to work today.</t>
  </si>
  <si>
    <t>너는 많은 책을 읽어야 한다.</t>
  </si>
  <si>
    <t>너 - should - 읽다 - 많은 책</t>
  </si>
  <si>
    <t>You should read a lot of books.</t>
  </si>
  <si>
    <t>우리는 내년에 유럽을 반드시 여행할 것이다.</t>
  </si>
  <si>
    <t>우리 - shall - 여행하다 - 유럽 - 내년</t>
  </si>
  <si>
    <t>We shall travel to Europe next year.</t>
  </si>
  <si>
    <t>나는 다음 주에 친구를 만날 것이다.</t>
  </si>
  <si>
    <t>나 - will - 만나다 - 친구 - 다음 주</t>
  </si>
  <si>
    <t>I will meet my friend next week.</t>
  </si>
  <si>
    <t>그녀는 곧 요리를 시작할 것이다.</t>
  </si>
  <si>
    <t>그녀 - be going to - 시작하다 - 요리 - 곧</t>
  </si>
  <si>
    <t>She is going to start cooking soon.</t>
  </si>
  <si>
    <t>나는 그곳에 갈 것 같다.</t>
  </si>
  <si>
    <t>나 - would - 가다 - 그곳에</t>
  </si>
  <si>
    <t>I would go there.</t>
  </si>
  <si>
    <t>나는 이태리 노래를 부를 수 있다.</t>
  </si>
  <si>
    <t>나 - can - 부르다 - 이태리 노래</t>
  </si>
  <si>
    <t>I can sing an Italian song.</t>
  </si>
  <si>
    <t>그는 자전거를 탈 수 있을 것 같다</t>
  </si>
  <si>
    <t>그 - could - 타다 - 자전거</t>
  </si>
  <si>
    <t>He could ride a bicycle.</t>
  </si>
  <si>
    <t>그녀는 아마도 오늘 밤에 올 것 같다.</t>
  </si>
  <si>
    <t>그녀 - may - 오다 - 오늘 밤</t>
  </si>
  <si>
    <t>She may come tonight.</t>
  </si>
  <si>
    <t>나는 내일 비가 올지도 모른다고 생각한다.</t>
  </si>
  <si>
    <t>나 - 생각한다 - 날씨 - might - 비가 오다 - 내일</t>
  </si>
  <si>
    <t>I think it might rain tomorrow.</t>
  </si>
  <si>
    <t>그는 다음 달에 새로운 일을 가지게 될 것이다.</t>
  </si>
  <si>
    <t>그 - is going to - 가지다 - 새로운 일 - 다음 달</t>
  </si>
  <si>
    <t>He is going to have a new job next month.</t>
  </si>
  <si>
    <t>나는 매일 영어를 꾸준히 훈련해야만 한다</t>
  </si>
  <si>
    <t>나 - must - 훈련하다 - 영어 - 꾸준히 - 매일</t>
  </si>
  <si>
    <t>I must practice English consistently every day.</t>
  </si>
  <si>
    <t>2026-04-30</t>
  </si>
  <si>
    <t>우리는 이 문제를 해결해야 한다.</t>
  </si>
  <si>
    <t>우리 - should - 해결하다 - 이 문제</t>
  </si>
  <si>
    <t>We should solve this problem.</t>
  </si>
  <si>
    <t>우리는 다음 달에 틀림없이 새로운 프로젝트를 시작할 것이다.</t>
  </si>
  <si>
    <t>우리 - shall - 시작하다 - 새로운 프로젝트 - 다음 달</t>
  </si>
  <si>
    <t>We shall start the new project next month.</t>
  </si>
  <si>
    <t>우리는 저녁에 영화를 볼 것이다.</t>
  </si>
  <si>
    <t>우리 - will - 보다 - 영화 - in - 저녁</t>
  </si>
  <si>
    <t>We will watch a movie in the evening.</t>
  </si>
  <si>
    <t>그녀는 이곳에 오고 싶어 할 것 같다.</t>
  </si>
  <si>
    <t>그녀 - would - 하고 싶다 - to 오다 - 이곳에</t>
  </si>
  <si>
    <t>She would want to come here.</t>
  </si>
  <si>
    <t>그는 반드시 매일 운동을 규칙적으로 해야만 해</t>
  </si>
  <si>
    <t>그 - must - 운동하다 - 규칙적으로 - 매일</t>
  </si>
  <si>
    <t>He must exercise daily regularly.</t>
  </si>
  <si>
    <t>그는 프랑스어를 유창하게 말할 수 있다.</t>
  </si>
  <si>
    <t>그 - can - 말하다 - 프랑스어 - 유창하게</t>
  </si>
  <si>
    <t>He can speak French fluently.</t>
  </si>
  <si>
    <t>그녀는 이 문제를 해결할 수 있을 것 같다.</t>
  </si>
  <si>
    <t>그녀 - could - 해결하다 - 이 문제</t>
  </si>
  <si>
    <t>She could solve this problem.</t>
  </si>
  <si>
    <t>그가 아마도 회의에 참석할 수도 있다.</t>
  </si>
  <si>
    <t>그 - may - 참석하다 - 회의</t>
  </si>
  <si>
    <t>He may attend the meeting.</t>
  </si>
  <si>
    <t>그녀는 오늘 밤에 늦을지도 모른다</t>
  </si>
  <si>
    <t>그녀 - might - 이다 - 늦은 상태 - 오늘 밤</t>
  </si>
  <si>
    <t>She might be late tonight.</t>
  </si>
  <si>
    <t>너는 보고서를 오늘까지 꼭 제출해야 해.</t>
  </si>
  <si>
    <t>너 - have to - 제출하다 - 보고서 - by - 오늘</t>
  </si>
  <si>
    <t>You have to submit the report by today.</t>
  </si>
  <si>
    <t>너는 오늘 회의에 참석하지 않아도 된다.</t>
  </si>
  <si>
    <t>너 - don't have to - 참석하다 - 회의 - 오늘</t>
  </si>
  <si>
    <t>You don't have to attend the meeting today.</t>
  </si>
  <si>
    <t>수동태</t>
  </si>
  <si>
    <t>이 편지는 그에 의해 쓰여졌다.</t>
  </si>
  <si>
    <t>이 편지 - 이다 - 쓰여졌다 - 힘의 원천은 - 그</t>
  </si>
  <si>
    <t>This letter was written by him.</t>
  </si>
  <si>
    <t>그 고양이는 아이들에 의해 돌봄을 받는다.</t>
  </si>
  <si>
    <t>그 고양이 - 이다 - 돌봄 받는다 - 힘의 원천은 - 아이들</t>
  </si>
  <si>
    <t>The cat is taken care of by the children.</t>
  </si>
  <si>
    <t>그 집은 부모님에 의해 지어졌다.</t>
  </si>
  <si>
    <t>그 집 - 이다 - 지어졌다 - 힘의 원천은 - 부모님</t>
  </si>
  <si>
    <t>The house was built by my parents.</t>
  </si>
  <si>
    <t>이 음식은 셰프에 의해 준비되었다.</t>
  </si>
  <si>
    <t>이 음식 - 이다 - 준비되었다 - 힘의 원천은 - 셰프</t>
  </si>
  <si>
    <t>This meal was prepared by the chef.</t>
  </si>
  <si>
    <t>그 보고서는 팀에 의해 작성되었다.</t>
  </si>
  <si>
    <t>그 보고서 - 이다 - 작성되었다 - 힘의 원천은 - 팀</t>
  </si>
  <si>
    <t>The report was written by the team.</t>
  </si>
  <si>
    <t>책은 학생들에 의해 읽혀진다.</t>
  </si>
  <si>
    <t>책 - 이다 - 읽혀진다 - 힘의 원천은 - 학생들</t>
  </si>
  <si>
    <t>The book is read by the students.</t>
  </si>
  <si>
    <t>그 드레스는 디자이너에 의해 디자인되었다.</t>
  </si>
  <si>
    <t>그 드레스 - 이다 - 디자인되었다 - 힘의 원천은 - 디자이너</t>
  </si>
  <si>
    <t>The dress was designed by the designer.</t>
  </si>
  <si>
    <t>그 그림은 예술가에 의해 그려졌다.</t>
  </si>
  <si>
    <t>그 그림 - 이다 - 그려졌다 - 힘의 원천은 - 예술가</t>
  </si>
  <si>
    <t>The painting was painted by the artist.</t>
  </si>
  <si>
    <t>그 건물은 건축가에 의해 설계되었다.</t>
  </si>
  <si>
    <t>그 건물 - 이다 - 설계되었다 - 힘의 원천은 - 건축가</t>
  </si>
  <si>
    <t>The building was designed by the architect.</t>
  </si>
  <si>
    <t>그 상은 심사위원들에 의해 수여되었다.</t>
  </si>
  <si>
    <t>그 상 - 이다 - 수여되었다 - 힘의 원천은 - 심사위원들</t>
  </si>
  <si>
    <t>The award was given by the judges.</t>
  </si>
  <si>
    <t>초대장은 친구들에 의해 보내졌다.</t>
  </si>
  <si>
    <t>초대장 - 이다 - 보내졌다 - 힘의 원천은 - 친구들</t>
  </si>
  <si>
    <t>The invitation was sent by the friends.</t>
  </si>
  <si>
    <t>그 문제는 선생님에 의해 설명되었다.</t>
  </si>
  <si>
    <t>그 문제 - 이다 - 설명되었다 - 힘의 원천은 - 선생님</t>
  </si>
  <si>
    <t>The problem was explained by the teacher.</t>
  </si>
  <si>
    <t>음악은 라디오에 의해 재생된다.</t>
  </si>
  <si>
    <t>음악 - 이다 - 재생된다 - 힘의 원천은 - 라디오</t>
  </si>
  <si>
    <t>The music is played by the radio.</t>
  </si>
  <si>
    <t>그 프로그램은 컴퓨터에 의해 실행된다.</t>
  </si>
  <si>
    <t>그 프로그램 - 이다 - 실행된다 - 힘의 원천은 - 컴퓨터</t>
  </si>
  <si>
    <t>The program is run by the computer.</t>
  </si>
  <si>
    <t>그 공연은 많은 사람들에 의해 관람되었다.</t>
  </si>
  <si>
    <t>그 공연 - 이다 - 관람되었다 - 힘의 원천은 - 많은 사람들</t>
  </si>
  <si>
    <t>The performance was watched by many people.</t>
  </si>
  <si>
    <t>그 컴퓨터는 전문가에 의해 수리되었다.</t>
  </si>
  <si>
    <t>그 컴퓨터 - 이다 - 수리되었다 - 힘의 원천은 - 전문가</t>
  </si>
  <si>
    <t>The computer was repaired by the expert.</t>
  </si>
  <si>
    <t>그 제품은 공장에서 제조된다.</t>
  </si>
  <si>
    <t>그 제품 - 이다 - 제조된다 - 힘의 원천은 - 공장</t>
  </si>
  <si>
    <t>The product is manufactured in the factory.</t>
  </si>
  <si>
    <t>이 수업은 많은 학생들에 의해 선택된다.</t>
  </si>
  <si>
    <t>이 수업 - 이다 - 선택된다 - 힘의 원천은 - 많은 학생들</t>
  </si>
  <si>
    <t>This class is chosen by many students.</t>
  </si>
  <si>
    <t>그 영화는 평론가들에 의해 호평받았다.</t>
  </si>
  <si>
    <t>그 영화 - 이다 - 호평받았다 - 힘의 원천은 - 평론가들</t>
  </si>
  <si>
    <t>The movie was praised by the critics.</t>
  </si>
  <si>
    <t>그 기념비는 정부에 의해 세워졌다.</t>
  </si>
  <si>
    <t>그 기념비 - 이다 - 세워졌다 - 힘의 원천은 - 정부</t>
  </si>
  <si>
    <t>The monument was erected by the government.</t>
  </si>
  <si>
    <t>시제</t>
  </si>
  <si>
    <t>나는 그 영화를 본 적이 있다</t>
  </si>
  <si>
    <t>나 - 한 적이 있는 바는 - 봤다 - 그 영화</t>
  </si>
  <si>
    <t>I have seen the movie.</t>
  </si>
  <si>
    <t>그는 뉴욕을 방문한 적이 있다.</t>
  </si>
  <si>
    <t>그 - 한 적이 있는 바는 - 방문했다 - 뉴욕</t>
  </si>
  <si>
    <t>He has visited New York.</t>
  </si>
  <si>
    <t>우리는 이미 저녁을 먹었다.</t>
  </si>
  <si>
    <t>우리 - 한 적이 있는 바는 - 이미 - 먹었다 - 저녁</t>
  </si>
  <si>
    <t>We have already eaten dinner.</t>
  </si>
  <si>
    <t>그들은 이 노래를 들어본 적이 있다.</t>
  </si>
  <si>
    <t>그들 - 한 적이 있는 바는 - 들었다 - 이 노래</t>
  </si>
  <si>
    <t>They have heard this song.</t>
  </si>
  <si>
    <t>나는 최근에 이 영화를 봤다.</t>
  </si>
  <si>
    <t>나 - 한 적이 있는 바는 - 봤다 - 이 영화 - 최근에</t>
  </si>
  <si>
    <t>I have watched this movie recently.</t>
  </si>
  <si>
    <t>그녀는 이미 숙제를 끝냈다.</t>
  </si>
  <si>
    <t>그녀 - 한 적이 있는 바는 - 이미 - 끝냈다 - 숙제</t>
  </si>
  <si>
    <t>She has already finished her homework.</t>
  </si>
  <si>
    <t>나는 그 사람을 전에 만난 적이 있다.</t>
  </si>
  <si>
    <t>나 - 한 적이 있는 바는 - 만났다 - 그 사람 - 전에</t>
  </si>
  <si>
    <t>I have met him before.</t>
  </si>
  <si>
    <t>우리는 이 문제를 해결했다.</t>
  </si>
  <si>
    <t>우리 - 한 적이 있는 바는 - 해결했다 - 이 문제</t>
  </si>
  <si>
    <t>We have solved this problem.</t>
  </si>
  <si>
    <t>그는 그 노래를 자주 들었다.</t>
  </si>
  <si>
    <t>그 - 한 적이 있는 바는 - 자주 - 들었다 - 그(that) 노래</t>
  </si>
  <si>
    <t>He has often listened to that song.</t>
  </si>
  <si>
    <t>나는 그 친구를 못 봤다.</t>
  </si>
  <si>
    <t>나 - 한 적이 없는 바는 - 봤다 - 그(that) 친구</t>
  </si>
  <si>
    <t>I haven't seen that friend.</t>
  </si>
  <si>
    <t>그녀는 그 책을 다섯 번 읽었다.</t>
  </si>
  <si>
    <t>그녀 - 한 적이 있는 바는 - 읽었다 - 그 책 - 다섯 번</t>
  </si>
  <si>
    <t>She has read the book five times.</t>
  </si>
  <si>
    <t>우리는 전에 이곳에 온 적이 있다.</t>
  </si>
  <si>
    <t>우리 - 한 적이 있는 바는 - 왔다 - 이곳 - 전에</t>
  </si>
  <si>
    <t>We have come here before.</t>
  </si>
  <si>
    <t>그들은 그 소식을 들은 적이 있다.</t>
  </si>
  <si>
    <t>그들 - 한 적이 있는 바는 - 들었다 - 그 소식</t>
  </si>
  <si>
    <t>They have heard the news.</t>
  </si>
  <si>
    <t>나는 이 일을 이미 끝냈다.</t>
  </si>
  <si>
    <t>나 - 한 적이 있는 바는 - 이미 - 끝냈다 - 이 일</t>
  </si>
  <si>
    <t>I have already completed this task.</t>
  </si>
  <si>
    <t>그는 최근에 새로운 직장을 구했다.</t>
  </si>
  <si>
    <t>그 - 한 적이 있는 바는 - 최근에 - 구했다 - 새로운 직장</t>
  </si>
  <si>
    <t>He has recently found a new job.</t>
  </si>
  <si>
    <t>우리는 그 문제를 여러 번 논의한 적이 있다.</t>
  </si>
  <si>
    <t>우리 - 한 적이 있는 바는 - 논의했다 - 그 문제(issue) - 여러 번</t>
  </si>
  <si>
    <t>We have discussed the issue multiple times.</t>
  </si>
  <si>
    <t>그녀는 이 영화에 대해 많이 들은 적이 있다.</t>
  </si>
  <si>
    <t>그녀 - 한 적이 있는 바는 - 들었다 - 많이 - 주제는 - 이 영화</t>
  </si>
  <si>
    <t>She has heard a lot about this movie.</t>
  </si>
  <si>
    <t>나는 그를 잊은 적이 없다.</t>
  </si>
  <si>
    <t>나 - 한 적이 없는 바는 - 잊었다 - 그</t>
  </si>
  <si>
    <t>I haven't forgotten him.</t>
  </si>
  <si>
    <t>그들은 최근에 새로운 팀원을 추가했다.</t>
  </si>
  <si>
    <t>그들 - 한 적이 있는 바는 - 최근에 - 추가했다 - 새로운 팀원</t>
  </si>
  <si>
    <t>They have recently added a new team member.</t>
  </si>
  <si>
    <t>나는 이 영화를 여러 번 봤다.</t>
  </si>
  <si>
    <t>나 - 한 적이 있는 바는 - 봤다 - 이 영화 - 여러 번</t>
  </si>
  <si>
    <t>I have watched this movie several times.</t>
  </si>
  <si>
    <t>그녀는 그곳을 절대로 방문한 적이 없다.</t>
  </si>
  <si>
    <t>그녀 - 한 적이 절대로 없는 바는 - 방문했다 - 그곳</t>
  </si>
  <si>
    <t>She has never visited that place.</t>
  </si>
  <si>
    <t>우리는 이미 저녁을 준비했다.</t>
  </si>
  <si>
    <t>우리 - 한 적이 있는 바는 - 이미 - 준비했다 - 저녁</t>
  </si>
  <si>
    <t>We have already prepared dinner.</t>
  </si>
  <si>
    <t>그들은 아직도 그 문제를 해결하지 못했다.</t>
  </si>
  <si>
    <t>그들 - 한 적이 없는 바는 - 해결했다 - 그(that) 문제 - 아직도</t>
  </si>
  <si>
    <t>They haven't solved that problem yet.</t>
  </si>
  <si>
    <t>나는 최근에 새로운 취미를 시작했다.</t>
  </si>
  <si>
    <t>나 - 한 적이 있는 바는 - 최근에 - 시작했다 - 새로운 취미</t>
  </si>
  <si>
    <t>I have recently started a new hobby.</t>
  </si>
  <si>
    <t>그는 그 소식을 이미 들었다.</t>
  </si>
  <si>
    <t>그 - 한 적이 있는 바는 - 이미 - 들었다 - 그 소식</t>
  </si>
  <si>
    <t>He has already heard the news.</t>
  </si>
  <si>
    <t>그는 3년 동안 영어를 배우고 있다.</t>
  </si>
  <si>
    <t>그 - 한 적이 있는 바는 - 계속 해 오고 있고 - 지금도 배우는 중 - 영어 - 기간은 - 3년</t>
  </si>
  <si>
    <t>He has been learning English for 3 years.</t>
  </si>
  <si>
    <t>우리는 아침부터 이 문제를 논의하고 있다.</t>
  </si>
  <si>
    <t>우리 - 한 적이 있는 바는 - 계속 해 오고 있고 - 지금도 논의하는 중 - 이 문제(issue) - 시작된 시점은 - 아침</t>
  </si>
  <si>
    <t>We have been discussing this issue since the morning.</t>
  </si>
  <si>
    <t>나는 한 시간 동안 이 책을 읽고 있다.</t>
  </si>
  <si>
    <t>나 - 한 적이 있는 바는 - 계속 해 오고 있고 - 지금도 읽는 중 - 이 책 - 기간은 - 한 시간</t>
  </si>
  <si>
    <t>I have been reading this book for an hour.</t>
  </si>
  <si>
    <t>그녀는 2시간 동안 피아노를 연주하고 있다.</t>
  </si>
  <si>
    <t>그녀 - 한 적이 있는 바는 - 계속 해 오고 있고 - 지금도 연주하는 중 - 피아노 - 기간은 - 2시간</t>
  </si>
  <si>
    <t>She has been playing the piano for 2 hours.</t>
  </si>
  <si>
    <t>우리는 이 프로젝트를 몇 주 동안 진행하고 있다.</t>
  </si>
  <si>
    <t>우리 - 한 적이 있는 바는 - 계속 해 오고 있고 - 지금도 진행 중 - 이 프로젝트 - 기간은 - 몇 주</t>
  </si>
  <si>
    <t>We have been working on this project for several weeks.</t>
  </si>
  <si>
    <t>그는 5년 동안 그 회사에서 일하고 있다.</t>
  </si>
  <si>
    <t>그 - 한 적이 있는 바는 - 계속 해 오고 있고 - 지금도 일하는 중 - 장소는 - 그(that) 회사 - 기간은 - 5년</t>
  </si>
  <si>
    <t>He has been working at that company for 5 years.</t>
  </si>
  <si>
    <t>나는 몇 달 동안 요가를 하고 있다.</t>
  </si>
  <si>
    <t>나 - 한 적이 있는 바는 - 계속 해 오고 있고 - 지금도 하는 중 - 요가 - 기간은 - 몇 달</t>
  </si>
  <si>
    <t>I have been practicing yoga for several months.</t>
  </si>
  <si>
    <t>우리는 일주일 동안 이곳에서 머무르고 있다.</t>
  </si>
  <si>
    <t>우리 - 한 적이 있는 바는 - 계속 해 오고 있고 - 지금도 머무는 중 - 이곳 - 기간은 - 일주일</t>
  </si>
  <si>
    <t>We have been staying here for a week.</t>
  </si>
  <si>
    <t>그녀는 6개월 동안 그림을 그리고 있다.</t>
  </si>
  <si>
    <t>그녀 - 한 적이 있는 바는 - 계속 해 오고 있고 - 지금도 그림 그리는 중 - 기간은 - 6개월</t>
  </si>
  <si>
    <t>She has been painting for 6 months.</t>
  </si>
  <si>
    <t>그들은 몇 시간 동안 노래를 부르고 있다.</t>
  </si>
  <si>
    <t>그들 - 한 적이 있는 바는 - 계속 해 오고 있고 - 지금도 부르는 중 - 노래 - 기간은 - 몇 시간</t>
  </si>
  <si>
    <t>They have been singing a song for several hours.</t>
  </si>
  <si>
    <t>나는 한 달 동안 이 문제를 연구하고 있다.</t>
  </si>
  <si>
    <t>나 - 한 적이 있는 바는 - 계속 해 오고 있고 - 지금도 연구하는 중 - 이 문제(issue) - 기간은 - 한 달</t>
  </si>
  <si>
    <t>I have been researching this issue for a month.</t>
  </si>
  <si>
    <t>우리는 두 시간 동안 이 책을 번역하고 있다.</t>
  </si>
  <si>
    <t>우리 - 한 적이 있는 바는 - 계속 해 오고 있고 - 지금도 번역하는 중 - 이 책 - 기간은 - 두 시간</t>
  </si>
  <si>
    <t>We have been translating this book for 2 hours.</t>
  </si>
  <si>
    <t>그는 몇 주 동안 그 보고서를 작성하고 있다.</t>
  </si>
  <si>
    <t>그 - 한 적이 있는 바는 - 계속 해 오고 있고 - 지금도 작성하는 중 - 그(that) 보고서 - 기간은 - 몇 주</t>
  </si>
  <si>
    <t>He has been writing that report for several weeks.</t>
  </si>
  <si>
    <t>그녀는 3개월 동안 그 드라마를 보고 있다.</t>
  </si>
  <si>
    <t>그녀 - 한 적이 있는 바는 - 계속 해 오고 있고 - 지금도 보는 중 - 그(that) 드라마 - 기간은 - 3개월</t>
  </si>
  <si>
    <t>She has been watching that drama for 3 months.</t>
  </si>
  <si>
    <t>나는 몇 년 동안 그 악기를 배우고 있다.</t>
  </si>
  <si>
    <t>나 - 한 적이 있는 바는 - 계속 해 오고 있고 - 지금도 배우는 중 - 그(that) 악기 - 기간은 - 몇 년</t>
  </si>
  <si>
    <t>I have been learning that instrument for several years.</t>
  </si>
  <si>
    <t>우리는 아침부터 이 방을 청소하고 있다.</t>
  </si>
  <si>
    <t>우리 - 한 적이 있는 바는 - 계속 해 오고 있고 - 지금도 청소하는 중 - 이 방 - 시작된 시점은 - 아침</t>
  </si>
  <si>
    <t>We have been cleaning this room since the morning.</t>
  </si>
  <si>
    <t>그는 오랜 시간 동안 그녀를 기다리고 있다.</t>
  </si>
  <si>
    <t>그 - 한 적이 있는 바는 - 계속 해 오고 있고 - 지금도 기다리는 중 - 그녀 - 기간은 - 오랜 시간</t>
  </si>
  <si>
    <t>He has been waiting for her for a long time.</t>
  </si>
  <si>
    <t>나는 이 주제에 대해 몇 년 동안 생각해왔다.</t>
  </si>
  <si>
    <t>나 - 한 적이 있는 바는 - 계속 해 오고 있고 - 지금도 생각하는 중 - 주제는 - 이 주제 - 기간은 - 몇 년</t>
  </si>
  <si>
    <t>I have been thinking about this topic for several years.</t>
  </si>
  <si>
    <t>그녀는 지난 몇 달 동안 여행을 계획하고 있다.</t>
  </si>
  <si>
    <t>그녀 - 한 적이 있는 바는 - 계속 해 오고 있고 - 지금도 계획 중 - 여행 - 기간은 - 지난 몇 달</t>
  </si>
  <si>
    <t>She has been planning a trip for the past few months.</t>
  </si>
  <si>
    <t>관계사</t>
  </si>
  <si>
    <t>관계사_1</t>
  </si>
  <si>
    <t>미국에서 온 그 여자</t>
  </si>
  <si>
    <t>그 여자 - 그녀가 - 왔다 - 출발지는 - 미국</t>
  </si>
  <si>
    <t>the lady who came from America.</t>
  </si>
  <si>
    <t>어제 너와 함께 온 그 남자</t>
  </si>
  <si>
    <t>그 남자 - 그가 - 왔다 - 함께하는 것은 - 너 - 어제</t>
  </si>
  <si>
    <t>the man who came with you yesterday.</t>
  </si>
  <si>
    <t>노란 차를 타고 있는 그 남자</t>
  </si>
  <si>
    <t>그 남자 - 그가 - 타고 있다 - 노란 차</t>
  </si>
  <si>
    <t>the man who rides the yellow car.</t>
  </si>
  <si>
    <t>강북에 위치한 식당</t>
  </si>
  <si>
    <t>그 식당 - 그것이 - 위치하다 - 장소는 - 강북</t>
  </si>
  <si>
    <t>the restaurant which is located in Gangbuk.</t>
  </si>
  <si>
    <t>내 친구와 함께 일하는 그 남자</t>
  </si>
  <si>
    <t>그 남자 - 그가 - 일하다 - 함께하는 것은 - 나의 친구</t>
  </si>
  <si>
    <t>the man who works with my friend.</t>
  </si>
  <si>
    <t>진실이 아닌 이야기</t>
  </si>
  <si>
    <t>그 이야기 - 그것이 - 이지 않다 - 진실</t>
  </si>
  <si>
    <t>the story which is not true.</t>
  </si>
  <si>
    <t>50년전에 지어진 건물</t>
  </si>
  <si>
    <t>그 건물 - 그것이(that) - 였다 - 지어진 - 오십년 전</t>
  </si>
  <si>
    <t>the building that was built fifty years ago.</t>
  </si>
  <si>
    <t>공원에서 걷고 있는 그 소년</t>
  </si>
  <si>
    <t>그 소년 - 그가 - 하고 있는 바는 - 걷다 - 장소는 - 공원</t>
  </si>
  <si>
    <t>the boy who is walking in the park.</t>
  </si>
  <si>
    <t>소설을 쓴 남자</t>
  </si>
  <si>
    <t>그 남자 - 그가 - 썼다 - 소설</t>
  </si>
  <si>
    <t>the man who wrote a novel.</t>
  </si>
  <si>
    <t>좋은 전망을 가지고 있는 한 아파트</t>
  </si>
  <si>
    <t>한 아파트 - 그것이 - 가지고 있다 - 좋은 전망</t>
  </si>
  <si>
    <t>an apartment which has a great view.</t>
  </si>
  <si>
    <t>내게 어제 잡힌 그 생선</t>
  </si>
  <si>
    <t>그 생선 - 그것이(that) - 잡혔다 - 힘을 받고 힘의 원천은 - 나 - 어제</t>
  </si>
  <si>
    <t>the fish that was caught by me yesterday.</t>
  </si>
  <si>
    <t>내 친구한테 사랑받는 그 남자</t>
  </si>
  <si>
    <t>그 남자 - 그가 - 사랑을 받다 - 힘을 받고 힘의 원천은 - 나의 친구</t>
  </si>
  <si>
    <t>the man who is loved by my friend.</t>
  </si>
  <si>
    <t>사고로 부서진 차</t>
  </si>
  <si>
    <t>그 차 - 그것이 - 부서지다 - 힘을 받고 힘의 원천은 - 사고</t>
  </si>
  <si>
    <t>the car which was broken by an accident.</t>
  </si>
  <si>
    <t>일본에서 온 그 소녀</t>
  </si>
  <si>
    <t>그 소녀 - 그녀가 - 왔다 - 출발지는 - 일본</t>
  </si>
  <si>
    <t>the girl who came from Japan.</t>
  </si>
  <si>
    <t>독일에서 만든 차</t>
  </si>
  <si>
    <t>그 차 - 그것은(that) - 만들어졌다 - 장소는 - 독일</t>
  </si>
  <si>
    <t>the car that was made in Germany.</t>
  </si>
  <si>
    <t>삼성에서 제조한 그 디카</t>
  </si>
  <si>
    <t>그 디카 - 그것은 - 제조되었다 - 장소는 - 삼성</t>
  </si>
  <si>
    <t>the digital camera which was made in Samsung.</t>
  </si>
  <si>
    <t>관계사(목적)</t>
  </si>
  <si>
    <t>우리 딸이 제일 좋아하는 피자</t>
  </si>
  <si>
    <r>
      <rPr>
        <sz val="10"/>
        <color indexed="8"/>
        <rFont val="Arial"/>
      </rPr>
      <t xml:space="preserve">그 피자 - </t>
    </r>
    <r>
      <rPr>
        <u val="single"/>
        <sz val="10"/>
        <color indexed="8"/>
        <rFont val="Arial"/>
      </rPr>
      <t>그것이 뭔가하면</t>
    </r>
    <r>
      <rPr>
        <sz val="10"/>
        <color indexed="8"/>
        <rFont val="Arial"/>
      </rPr>
      <t xml:space="preserve"> - 우리 딸 - 좋아한다 - 제일</t>
    </r>
  </si>
  <si>
    <t>the pizza which my daughter likes best.</t>
  </si>
  <si>
    <t>우리 딸이 제일 좋아하는 피자(생략)</t>
  </si>
  <si>
    <t>그 피자 - 그것은 - 우리 딸 - 좋아한다 - 제일</t>
  </si>
  <si>
    <t>the pizza my daughter likes best.</t>
  </si>
  <si>
    <t>내가 어제 잡은 그 생선</t>
  </si>
  <si>
    <r>
      <rPr>
        <sz val="10"/>
        <color indexed="8"/>
        <rFont val="Arial"/>
      </rPr>
      <t xml:space="preserve">그 생선 - </t>
    </r>
    <r>
      <rPr>
        <u val="single"/>
        <sz val="10"/>
        <color indexed="8"/>
        <rFont val="Arial"/>
      </rPr>
      <t>그것이 뭔가하면(that)</t>
    </r>
    <r>
      <rPr>
        <sz val="10"/>
        <color indexed="8"/>
        <rFont val="Arial"/>
      </rPr>
      <t xml:space="preserve"> - 나 - 잡았다 - 어제</t>
    </r>
  </si>
  <si>
    <t>the fish that I caught yesterday.</t>
  </si>
  <si>
    <t>내가 어제 잡은 그 생선(생략)</t>
  </si>
  <si>
    <t>그 생선 - 그것 - 나 - 잡았다 - 어제</t>
  </si>
  <si>
    <t>the fish I caught yesterday.</t>
  </si>
  <si>
    <t>삼성이 제조한 그 디카</t>
  </si>
  <si>
    <r>
      <rPr>
        <sz val="10"/>
        <color indexed="8"/>
        <rFont val="Arial"/>
      </rPr>
      <t xml:space="preserve">그 디카 - </t>
    </r>
    <r>
      <rPr>
        <u val="single"/>
        <sz val="10"/>
        <color indexed="8"/>
        <rFont val="Arial"/>
      </rPr>
      <t>그것이 뭔가하면</t>
    </r>
    <r>
      <rPr>
        <sz val="10"/>
        <color indexed="8"/>
        <rFont val="Arial"/>
      </rPr>
      <t xml:space="preserve"> - 삼성 - 만들었다</t>
    </r>
  </si>
  <si>
    <t>the digital camera which Samsung made.</t>
  </si>
  <si>
    <t>삼성이 제조한 그 디카(생략)</t>
  </si>
  <si>
    <t>그 디카 - 그것 - 삼성 - 만들었다</t>
  </si>
  <si>
    <t>the digital camera Samsung made.</t>
  </si>
  <si>
    <t>어제 네가 함께 온 그 남자</t>
  </si>
  <si>
    <r>
      <rPr>
        <sz val="10"/>
        <color indexed="8"/>
        <rFont val="Arial"/>
      </rPr>
      <t xml:space="preserve">그 남자 - </t>
    </r>
    <r>
      <rPr>
        <u val="single"/>
        <sz val="10"/>
        <color indexed="8"/>
        <rFont val="Arial"/>
      </rPr>
      <t>그사람이 누군가 하면</t>
    </r>
    <r>
      <rPr>
        <sz val="10"/>
        <color indexed="8"/>
        <rFont val="Arial"/>
      </rPr>
      <t xml:space="preserve"> - 너 - 왔다 - 함께하는 것은 - 어제</t>
    </r>
  </si>
  <si>
    <t>the man whom you came with yesterday.</t>
  </si>
  <si>
    <t>어제 네가 함께 온 그 남자(생략)</t>
  </si>
  <si>
    <t>그 남자 - 그 - 너 - 왔다 - 함께하는 것은 - 어제</t>
  </si>
  <si>
    <t>the man you came with yesterday.</t>
  </si>
  <si>
    <t>내가 구입한 장소</t>
  </si>
  <si>
    <r>
      <rPr>
        <sz val="10"/>
        <color indexed="8"/>
        <rFont val="Arial"/>
      </rPr>
      <t xml:space="preserve">그 장소 - </t>
    </r>
    <r>
      <rPr>
        <u val="single"/>
        <sz val="10"/>
        <color indexed="8"/>
        <rFont val="Arial"/>
      </rPr>
      <t>그것이 뭔가하면</t>
    </r>
    <r>
      <rPr>
        <sz val="10"/>
        <color indexed="8"/>
        <rFont val="Arial"/>
      </rPr>
      <t xml:space="preserve"> - 나 - 구입했다</t>
    </r>
  </si>
  <si>
    <t>the place which I purchased.</t>
  </si>
  <si>
    <t>내가 구입한 장소(생략)</t>
  </si>
  <si>
    <t>그 장소 - 그것 - 나 - 구입했다</t>
  </si>
  <si>
    <t>the place I purchased.</t>
  </si>
  <si>
    <t>독일이 만든 차</t>
  </si>
  <si>
    <r>
      <rPr>
        <sz val="10"/>
        <color indexed="8"/>
        <rFont val="Arial"/>
      </rPr>
      <t xml:space="preserve">그 차 - </t>
    </r>
    <r>
      <rPr>
        <u val="single"/>
        <sz val="10"/>
        <color indexed="8"/>
        <rFont val="Arial"/>
      </rPr>
      <t>그것이 뭔가하면</t>
    </r>
    <r>
      <rPr>
        <sz val="10"/>
        <color indexed="8"/>
        <rFont val="Arial"/>
      </rPr>
      <t xml:space="preserve"> - 독일 - 만들었다</t>
    </r>
  </si>
  <si>
    <t>the car which Germany made.</t>
  </si>
  <si>
    <t>독일이 만든 차(생략)</t>
  </si>
  <si>
    <t>그 차 - 그것 - 독일 - 만들었다</t>
  </si>
  <si>
    <t>the car Germany made.</t>
  </si>
  <si>
    <t>내 친구가 함께 일하는 그 남자</t>
  </si>
  <si>
    <r>
      <rPr>
        <sz val="10"/>
        <color indexed="8"/>
        <rFont val="Arial"/>
      </rPr>
      <t xml:space="preserve">그 남자 - </t>
    </r>
    <r>
      <rPr>
        <u val="single"/>
        <sz val="10"/>
        <color indexed="8"/>
        <rFont val="Arial"/>
      </rPr>
      <t>그 사람이 누군가하면</t>
    </r>
    <r>
      <rPr>
        <sz val="10"/>
        <color indexed="8"/>
        <rFont val="Arial"/>
      </rPr>
      <t xml:space="preserve"> - 내 친구 - 일하다 - 함께하는 것은</t>
    </r>
  </si>
  <si>
    <t>the man whom my friend works with.</t>
  </si>
  <si>
    <t>내 친구가 함께 일하는 그 남자(생략)</t>
  </si>
  <si>
    <t>그 남자 - 그 - 내 친구 - 일하다 - 함께하는 것은</t>
  </si>
  <si>
    <t>the man my friend works with.</t>
  </si>
  <si>
    <t>당신이 더 좋아하는 신문</t>
  </si>
  <si>
    <r>
      <rPr>
        <sz val="10"/>
        <color indexed="8"/>
        <rFont val="Arial"/>
      </rPr>
      <t xml:space="preserve">그 신문 - </t>
    </r>
    <r>
      <rPr>
        <u val="single"/>
        <sz val="10"/>
        <color indexed="8"/>
        <rFont val="Arial"/>
      </rPr>
      <t>그것이 뭔가하면</t>
    </r>
    <r>
      <rPr>
        <sz val="10"/>
        <color indexed="8"/>
        <rFont val="Arial"/>
      </rPr>
      <t xml:space="preserve"> - 당신 - 더 좋아하다</t>
    </r>
  </si>
  <si>
    <t>the newspaper which you prefer.</t>
  </si>
  <si>
    <t>당신이 더 좋아하는 신문(생략)</t>
  </si>
  <si>
    <t>그 신문 - 그것 - 당신 - 더 좋아하다</t>
  </si>
  <si>
    <t>the newspaper you prefer.</t>
  </si>
  <si>
    <t>내가 쓸수 있는 돈</t>
  </si>
  <si>
    <r>
      <rPr>
        <sz val="10"/>
        <color indexed="8"/>
        <rFont val="Arial"/>
      </rPr>
      <t xml:space="preserve">그 돈 - </t>
    </r>
    <r>
      <rPr>
        <u val="single"/>
        <sz val="10"/>
        <color indexed="8"/>
        <rFont val="Arial"/>
      </rPr>
      <t>그 것이 뭔가하면(that)</t>
    </r>
    <r>
      <rPr>
        <sz val="10"/>
        <color indexed="8"/>
        <rFont val="Arial"/>
      </rPr>
      <t xml:space="preserve"> - 나 - 할 수 있다 - 쓰다</t>
    </r>
  </si>
  <si>
    <t>the money that I can spend.</t>
  </si>
  <si>
    <t>내가 쓸수 있는 돈(생략)</t>
  </si>
  <si>
    <t>그 돈 - 그것 - 나 - 할 수 있다 - 쓰다</t>
  </si>
  <si>
    <t>the money I can spend.</t>
  </si>
  <si>
    <t>내 친구가 사랑하는 그 남자</t>
  </si>
  <si>
    <r>
      <rPr>
        <sz val="10"/>
        <color indexed="8"/>
        <rFont val="Arial"/>
      </rPr>
      <t xml:space="preserve">그 남자 - </t>
    </r>
    <r>
      <rPr>
        <u val="single"/>
        <sz val="10"/>
        <color indexed="8"/>
        <rFont val="Arial"/>
      </rPr>
      <t>그사람이 누군가하면</t>
    </r>
    <r>
      <rPr>
        <sz val="10"/>
        <color indexed="8"/>
        <rFont val="Arial"/>
      </rPr>
      <t xml:space="preserve"> - 내 친구 - 사랑하다</t>
    </r>
  </si>
  <si>
    <t>the man whom my friend loves.</t>
  </si>
  <si>
    <t>내 친구가 사랑하는 그 남자(생략)</t>
  </si>
  <si>
    <t>그 남자 - 그 - 내 친구 - 사랑하다</t>
  </si>
  <si>
    <t>the man my friend loves.</t>
  </si>
  <si>
    <t>우리가 일요일에 본 그 영화</t>
  </si>
  <si>
    <r>
      <rPr>
        <sz val="10"/>
        <color indexed="8"/>
        <rFont val="Arial"/>
      </rPr>
      <t xml:space="preserve">그 영화 - </t>
    </r>
    <r>
      <rPr>
        <u val="single"/>
        <sz val="10"/>
        <color indexed="8"/>
        <rFont val="Arial"/>
      </rPr>
      <t>그것이 뭔가 하면</t>
    </r>
    <r>
      <rPr>
        <sz val="10"/>
        <color indexed="8"/>
        <rFont val="Arial"/>
      </rPr>
      <t xml:space="preserve"> - 우리 - 보았다 - 때는 - 일요일</t>
    </r>
  </si>
  <si>
    <t>the movie which we saw on Sunday.</t>
  </si>
  <si>
    <t>우리가 일요일에 본 그 영화(생략)</t>
  </si>
  <si>
    <t>그 영화 - 그것 - 우리 - 보았다 - 때는 - 일요일</t>
  </si>
  <si>
    <t>the movie we saw on Sunday.</t>
  </si>
  <si>
    <t>관계사(소유격)</t>
  </si>
  <si>
    <t>그의 아이디어가 좋은 사람</t>
  </si>
  <si>
    <t>그 사람 - 그의 - 아이디어 - 이다 - 좋은</t>
  </si>
  <si>
    <t>the person whose idea is good.</t>
  </si>
  <si>
    <t>전망이 좋은 한 아파트</t>
  </si>
  <si>
    <t>한 아파트 - 그것의 - 전망 - 이다 - 좋은</t>
  </si>
  <si>
    <t>the apartment whose view is great.</t>
  </si>
  <si>
    <t>그것의 헤드라인들이 좋은 신문</t>
  </si>
  <si>
    <t>그 신문 - 그것의 - 헤드라인들 - 이다 - 좋은</t>
  </si>
  <si>
    <t>the newspaper whose headlines are good.</t>
  </si>
  <si>
    <t>관계부사</t>
  </si>
  <si>
    <t>사람들이 너를 싫어하는 이유</t>
  </si>
  <si>
    <t>그 이유 - 그 이유로 일어나는 일은 - 사람들 - 싫어 하다 - 너</t>
  </si>
  <si>
    <t>the reason why people dislike you.</t>
  </si>
  <si>
    <t>우리 아버지께서 태어나신 달</t>
  </si>
  <si>
    <t>그 달 - 그 때에 일어나는 일은 - 우리 아버지 - 태어나셨다</t>
  </si>
  <si>
    <t>the month when my father was born.</t>
  </si>
  <si>
    <t>분위기가 조용한 장소</t>
  </si>
  <si>
    <t>그 장소 - 그곳에서 일어나는 일은 - 분위기 - 이다 - 조용한</t>
  </si>
  <si>
    <t>the place where it is quiet.</t>
  </si>
  <si>
    <t>내가 채용된 날</t>
  </si>
  <si>
    <t>그 날 - 그 때에 일어난 일은 - 나 - 채용되었다</t>
  </si>
  <si>
    <t>the day when I was hired.</t>
  </si>
  <si>
    <t>내가 군인이 되었던 날</t>
  </si>
  <si>
    <t>그 날 - 그 때에 일어난 일은 - 나 - 되었다 - 군인</t>
  </si>
  <si>
    <r>
      <rPr>
        <sz val="10"/>
        <color indexed="8"/>
        <rFont val="Arial"/>
      </rPr>
      <t xml:space="preserve">the day when I became a </t>
    </r>
    <r>
      <rPr>
        <sz val="10"/>
        <color indexed="13"/>
        <rFont val="Arial"/>
      </rPr>
      <t>soldier</t>
    </r>
    <r>
      <rPr>
        <sz val="10"/>
        <color indexed="8"/>
        <rFont val="Arial"/>
      </rPr>
      <t>.</t>
    </r>
  </si>
  <si>
    <t>내가 군인이 되었던 날(생략)</t>
  </si>
  <si>
    <t>그 때에 일어난 일은 - 나 - 되었다 - 군인</t>
  </si>
  <si>
    <r>
      <rPr>
        <sz val="10"/>
        <color indexed="8"/>
        <rFont val="Arial"/>
      </rPr>
      <t xml:space="preserve">the day I became a </t>
    </r>
    <r>
      <rPr>
        <sz val="10"/>
        <color indexed="13"/>
        <rFont val="Arial"/>
      </rPr>
      <t>soldier</t>
    </r>
    <r>
      <rPr>
        <sz val="10"/>
        <color indexed="8"/>
        <rFont val="Arial"/>
      </rPr>
      <t>.</t>
    </r>
  </si>
  <si>
    <t>그녀가 너를 떠난 이유</t>
  </si>
  <si>
    <t>그 이유 - 그 이유로 일어난 일은 - 그녀 - 떠났다 - 너</t>
  </si>
  <si>
    <t>the reason why she left you.</t>
  </si>
  <si>
    <t>내가 열쇠를 두었던 장소</t>
  </si>
  <si>
    <t>그 장소 - 그곳에서 일어난 일은 - 나 - 두었다 - 열쇠</t>
  </si>
  <si>
    <t>the place where I put the key.</t>
  </si>
  <si>
    <t>그가 오지 않은 이유</t>
  </si>
  <si>
    <t>그 이유 - 그 이유로 일어난 일은 - 그 - 했지 않았다 - 오다</t>
  </si>
  <si>
    <t>the reason why he didn't come.</t>
  </si>
  <si>
    <t>내가 여기 도착한 시간</t>
  </si>
  <si>
    <t>그 시간 - 그 때에 일어난 일은 - 나 - 도착했다 - 여기</t>
  </si>
  <si>
    <t>the time when I arrived here.</t>
  </si>
  <si>
    <t>미국에서 온 그 여자는 변호사다.</t>
  </si>
  <si>
    <t>그 여자 - 그녀가 - 왔다 - 출발지는 - 미국 - 이다 - 변호사</t>
  </si>
  <si>
    <t>the lady who came from America is a lawyer.</t>
  </si>
  <si>
    <t>그녀는 미국에서 온 변호사이다.</t>
  </si>
  <si>
    <t>그녀 - 이다 - 변호사 - 그녀는 - 왔다 - 출발지는 - 미국</t>
  </si>
  <si>
    <t>She is a lawyer who came from America.</t>
  </si>
  <si>
    <t>나는 미국에서 온 그 여자를 사랑한다.</t>
  </si>
  <si>
    <t>나 - 사랑한다 - 그 여자 - 그녀는 - 왔다 - 출발지는 - 미국</t>
  </si>
  <si>
    <t>I love the lady who came from America.</t>
  </si>
  <si>
    <t>관계사_2</t>
  </si>
  <si>
    <t>침실 두개와 넓은 거실을 가지고 있는 집</t>
  </si>
  <si>
    <t>그 집 - 그것이 - 가지다 - 두 개의 침실 - 그리고 - 넓은 거실</t>
  </si>
  <si>
    <t>the house which has two bedrooms and a wide living room.</t>
  </si>
  <si>
    <t>내가 만나고 싶은 소녀</t>
  </si>
  <si>
    <r>
      <rPr>
        <sz val="10"/>
        <color indexed="8"/>
        <rFont val="Arial"/>
      </rPr>
      <t xml:space="preserve">그 소녀 - </t>
    </r>
    <r>
      <rPr>
        <u val="single"/>
        <sz val="10"/>
        <color indexed="8"/>
        <rFont val="Arial"/>
      </rPr>
      <t>그 사람이 누군가하면</t>
    </r>
    <r>
      <rPr>
        <sz val="10"/>
        <color indexed="8"/>
        <rFont val="Arial"/>
      </rPr>
      <t xml:space="preserve"> - 나 - 하고 싶다 - 나아가서 하고자 하는 바는 - 만나다</t>
    </r>
  </si>
  <si>
    <t>the girl whom I want to meet.</t>
  </si>
  <si>
    <t>내가 만나고 싶은 소녀(생략)</t>
  </si>
  <si>
    <t>그 소녀 - 그녀 - 나 - 하고 싶다 - 나아가서 하고자 하는 바는 - 만나다</t>
  </si>
  <si>
    <t>the girl I want to meet.</t>
  </si>
  <si>
    <t>맥도날드에서 만난 네 여자친구</t>
  </si>
  <si>
    <r>
      <rPr>
        <sz val="10"/>
        <color indexed="8"/>
        <rFont val="Arial"/>
      </rPr>
      <t xml:space="preserve">네 여자친구 - </t>
    </r>
    <r>
      <rPr>
        <u val="single"/>
        <sz val="10"/>
        <color indexed="8"/>
        <rFont val="Arial"/>
      </rPr>
      <t>그 사람이 누군가하면</t>
    </r>
    <r>
      <rPr>
        <sz val="10"/>
        <color indexed="8"/>
        <rFont val="Arial"/>
      </rPr>
      <t xml:space="preserve"> - 나 - 만났었다 - 장소는 - 맥도날드</t>
    </r>
  </si>
  <si>
    <t>your girl friend whom I met at the MacDonalds.</t>
  </si>
  <si>
    <t>맥도날드에서 만난 네 여자친구(생략)</t>
  </si>
  <si>
    <t>네 여자친구 - 그녀 - 나 - 만났었다 - 장소는 - 맥도날드</t>
  </si>
  <si>
    <t>your girl friend I met at the MacDonalds.</t>
  </si>
  <si>
    <t>100세가 넘으신 할아버지</t>
  </si>
  <si>
    <t>그 할아버지 - 그의 - 나이가 - 이다 - 넘어가고 아래에 있는 것은 - 100</t>
  </si>
  <si>
    <t>the grandfather whose age is over 100.</t>
  </si>
  <si>
    <t>내가 내 옛친구를 우연히 만난 곳</t>
  </si>
  <si>
    <t>그곳 - 그곳에서 일어난 일은 - 나 - 우연히 했다 - 나아가서 하게 된 바는 - 만나다 - 내 옛 친구</t>
  </si>
  <si>
    <t>the place where I happened to see my old friend.</t>
  </si>
  <si>
    <t>내가 내 옛친구를 우연히 만난 곳(생략)</t>
  </si>
  <si>
    <t>그곳에서 일어난 일은 - 나 - 우연히 했다 - 나아가서 하게 된 바는 - 만나다 - 내 옛 친구</t>
  </si>
  <si>
    <t>where I happened to see my old friend.</t>
  </si>
  <si>
    <t>그를 만나기로 했던 장소</t>
  </si>
  <si>
    <t>그 장소 - 그곳에서 일어나는 일은 - 나 - 계획했다 - 나아가 하고자 하는 바는 - 만나다 - 그</t>
  </si>
  <si>
    <t>the place where I planed to meet him.</t>
  </si>
  <si>
    <t>그를 만나기로 했던 장소(생략)</t>
  </si>
  <si>
    <t>그곳에서 일어나는 일은 - 나 - 계획했다 - 나아가 하고자 하는 바는 - 만나다 - 그</t>
  </si>
  <si>
    <t>where I planed to meet him.</t>
  </si>
  <si>
    <t>우리 삼촌에게 내 여자 친구를 소개했던 곳</t>
  </si>
  <si>
    <t>그 장소 - 그곳에서 일어난 일은 - 나 - 소개하다 - 내 여자 친구 - 나아가서 만나는 대상은 - 우리 삼촌</t>
  </si>
  <si>
    <t>the place where I introduced my girl friend to my uncle.</t>
  </si>
  <si>
    <t>내가 미팅에서 처음 그녀를 만났던 날</t>
  </si>
  <si>
    <t>그 날 - 그 때에 일어난 일은 - 나 - 만났다 - 그녀 - 장소는 - 미팅 - 처음</t>
  </si>
  <si>
    <t>the day when I met her on a blind date first.</t>
  </si>
  <si>
    <t>내가 미팅에서 처음 그녀를 만났던 날(생략)</t>
  </si>
  <si>
    <t>그 때에 일어난 일은 - 나 - 만났다 - 그녀 - 장소는 - 미팅 - 처음</t>
  </si>
  <si>
    <t>when I met her on a blind date first.</t>
  </si>
  <si>
    <t>내가 미국에 갈 수 있는 방법</t>
  </si>
  <si>
    <t>그 방법 - 그 방법으로 일어나는 일은 - 나 - 할 수 있다 - 가다 - 나아가 만나는 대상은 - 미국</t>
  </si>
  <si>
    <t>the way how I can go to America.</t>
  </si>
  <si>
    <t>내가 미국에 갈 수 있는 방법(how 생략)</t>
  </si>
  <si>
    <t>그 방법 - 나 - 할 수 있다 - 가다 - 나아가 만나는 대상은 - 미국</t>
  </si>
  <si>
    <t>the way I can go to America.</t>
  </si>
  <si>
    <t>내가 미국에 갈 수 있는 방법(생략)</t>
  </si>
  <si>
    <t>그 방법으로 일어나는 일은 - 나 - 할 수 있다 - 가다 - 나아가 만나는 대상은 - 미국</t>
  </si>
  <si>
    <t>how I can go to America.</t>
  </si>
  <si>
    <t>내가 살고 싶은 집</t>
  </si>
  <si>
    <t>그 집 - 그곳에서 일어나는 일은 - 나 - 하고 싶다 - 나아가서 하고자 하는 바는 - 살다</t>
  </si>
  <si>
    <t>the house where I want to live.</t>
  </si>
  <si>
    <t>독일에서 만든 차는 비싸다.</t>
  </si>
  <si>
    <t>그 차 - 그것은 - 만들어 졌다 - 장소는 - 독일 - 이다 - 비싼</t>
  </si>
  <si>
    <t>the car which was made in Germany is expensive.</t>
  </si>
  <si>
    <t>나는 미국에서 온 그 남자를 만날 것이다.</t>
  </si>
  <si>
    <t>나 - 할 것이다 - 만나다 - 그 남자 - 그는 - 왔다 - 출발지는 - 미국</t>
  </si>
  <si>
    <t>I will meet the man who came from America.</t>
  </si>
  <si>
    <t>나는 독일에서 만든 차를 구입 할 것이다.</t>
  </si>
  <si>
    <t>나 - 할 것이다 - 구입하다 - 그 차 - 그것은 - 만들어졌다 - 장소는 - 독일</t>
  </si>
  <si>
    <t>I will buy the car which was made in Germany.</t>
  </si>
  <si>
    <t>나는 미국에서 온 그여자를 사랑한적이 있다.</t>
  </si>
  <si>
    <t>나 - 한적이 있는 바는 - 사랑하다 - 그 여자 - 그녀는 - 왔다 - 출발지는 - 미국</t>
  </si>
  <si>
    <t>I have loved the lady who came from America.</t>
  </si>
  <si>
    <t>나는 어릴적 엄마가 만들어 준 것을 그리워 한다.</t>
  </si>
  <si>
    <t>나 - 그리워 한다 - 그것 - 그것이 뭔가하면 - 엄마 - 만들어 줬다 - 때는 - 어린시절</t>
  </si>
  <si>
    <t>I miss the thing which my mom made in my childhood.</t>
  </si>
  <si>
    <t>나는 어릴적 엄마가 만들어 준 것을 그리워 한다.(+)</t>
  </si>
  <si>
    <t>나 - 그리워 한다 - 그것 그것이 뭔가하면(what) - 엄마 - 만들어 줬다 - 때는 - 어린시절</t>
  </si>
  <si>
    <t>I miss what my mom made in my childhood.</t>
  </si>
  <si>
    <t>이건 널 위해서 산거야</t>
  </si>
  <si>
    <t>이것 - 이다 - 그것 - 그것이 뭔가하면 - 나 - 샀다 - 위하는 대상은 - 너</t>
  </si>
  <si>
    <t>This is the thing which I bought for you.</t>
  </si>
  <si>
    <t>이건 널 위해서 산거야(+)</t>
  </si>
  <si>
    <t>이것 - 이다 - 그것 그것이 뭔가하면(what) - 나 - 샀다 - 위하는 대상은 - 너</t>
  </si>
  <si>
    <t>This is what I bought for you.</t>
  </si>
  <si>
    <t>나는 아름다운 것을 좋아해</t>
  </si>
  <si>
    <t>나 - 좋아한다 - 그것 - 그것은 - 이다 - 아름다운</t>
  </si>
  <si>
    <t>I like the thing which is beautiful.</t>
  </si>
  <si>
    <t>나는 아름다운 것을 좋아해(+)</t>
  </si>
  <si>
    <t>나 - 좋아한다 - 그것 그것은 - 이다 - 아름다운</t>
  </si>
  <si>
    <t>I like what is beautiful.</t>
  </si>
  <si>
    <t>삼성에서 만들어진 것은 비싸다</t>
  </si>
  <si>
    <t>그것 - 그것은 - 만들어지다 - 장소는 - 삼성 - 이다 - 비싼</t>
  </si>
  <si>
    <t>The thing which was made in Samsung is expensive.</t>
  </si>
  <si>
    <t>삼성에서 만들어진 것은 비싸다(+)</t>
  </si>
  <si>
    <t>그것 그것은 - 만들어지다 - 장소는 - 삼성 - 이다 - 비싼</t>
  </si>
  <si>
    <t>What was made in Samsung is expensive.</t>
  </si>
  <si>
    <t>나는 그것의 헤드라인들이 좋은 신문이 좋다</t>
  </si>
  <si>
    <t>나 - 좋아한다 - 그 신문 - 그것의 헤드라인들 - 이다 - 좋은</t>
  </si>
  <si>
    <t>I like the newspaper whose headlines are good.</t>
  </si>
  <si>
    <t>나는 영어를 말하는 법을 안다.</t>
  </si>
  <si>
    <t>나 - 안다 - 그 방법 - 그 방법으로 일어나는 일은 - 나 - 말한다 - 영어</t>
  </si>
  <si>
    <t>I know the way how I can speak English.</t>
  </si>
  <si>
    <t>나는 영어를 말하는 법을 안다.(생략)</t>
  </si>
  <si>
    <t>나 - 안다 - 그 방법으로 일어나는 일은 - 나 - 말한다 - 영어</t>
  </si>
  <si>
    <t>I know how I can speak English.</t>
  </si>
  <si>
    <t>나는 조용한 장소에서 그녀를 만났어.</t>
  </si>
  <si>
    <t>나 - 만났다 - 그녀 - 점으로 접하는 대상은 - 그 장소 - 그곳에서 일어난 일은 - 분위기 - 였다 - 조용한</t>
  </si>
  <si>
    <t>I met her at the place where it was quiet.</t>
  </si>
  <si>
    <t>그녀는 내가 여기 도착한 시간을 몰라</t>
  </si>
  <si>
    <t>그녀 - 하지 않았다 - 안다 - 그 시간 - 그 때에 일어난 일은 - 나 - 도착했다 - 여기</t>
  </si>
  <si>
    <t>She doesn't know the time when I arrived here.</t>
  </si>
  <si>
    <t>나는 분위기가 조용한 장소에서 그녀를 만났어.</t>
  </si>
  <si>
    <t>당신이 매우 사랑하는 그 장소를 나는 보호하고 싶다.</t>
  </si>
  <si>
    <t>나 - 하고 싶다 - 나아가서 하고자 하는 바는 - 보호하다 - 그 장소 - 그것이 뭔가하면 - 당신 - 사랑하다 - 매우</t>
  </si>
  <si>
    <t>I want to protect the place which you love so much.</t>
  </si>
  <si>
    <t>나는 그녀가 여기에 오지 않은 이유를 이해한다.</t>
  </si>
  <si>
    <t>나 - 이해한다 - 그 이유 - 그 이유로 일어난 일은 - 그녀 - 하지 않았다 - 오다 - 여기</t>
  </si>
  <si>
    <t>I understand the reason why she didn't come here.</t>
  </si>
  <si>
    <t>나는 미국에서 온 변호사와 얘기를 했다.</t>
  </si>
  <si>
    <t>나 - 얘기를 했다 - 함께하는 이는 - 변호사 - 그는 - 왔다 - 출발지는 - 미국</t>
  </si>
  <si>
    <t>I talked with the lawyer who came from America.</t>
  </si>
  <si>
    <t>나는 영어책을 한권 쓴 적이 있는 사람과 소개팅을 했다.</t>
  </si>
  <si>
    <t>나 - 했다 - 소개팅 - 함께하는 이는 - 한 사람 - 그는 - 한적이 있었는 바는 - 쓰다 - 한권의 영어책</t>
  </si>
  <si>
    <t>I had a blind date with a person who had written an English book.</t>
  </si>
  <si>
    <t>나는 지금의 나 된 바를 좋아하지 않는다.</t>
  </si>
  <si>
    <t>나 - 하지 않는다 - 좋아하다 - 그것 - 그것이 뭔가하면 - 나 - 이다 - 지금</t>
  </si>
  <si>
    <t>I don't like the thing which I am now.</t>
  </si>
  <si>
    <t>나는 지금의 나 된 바를 좋아하지 않는다.(+)</t>
  </si>
  <si>
    <t>나 - 하지 않는다 - 좋아하다 - 그것 그것이 뭔가하면 - 나 - 이다 - 지금</t>
  </si>
  <si>
    <t>I don't like what I am now.</t>
  </si>
  <si>
    <t>관계사(종합)</t>
  </si>
  <si>
    <t>독일에서 만든 차를 구입하고자 하는 그녀는 미국에서 온 변호사와 얘기를 한다.</t>
  </si>
  <si>
    <t>그녀 - 그녀는 - 하고자 하다 - 구입하다 - 한 차 - 그것은 - 만들어지다 - 장소는 - 독일 - 말하다 - 함께하는 이는 - 한 변호사 - 그는 - 왔다 - 출발지는 - 미국</t>
  </si>
  <si>
    <t>The lady who will buy a car which was made in Germany talks with a lawyer who came from America.</t>
  </si>
  <si>
    <t>미국에서 온 그 여자는 독일에서 만든 차를 구입할 나를 사랑한다.</t>
  </si>
  <si>
    <t>그 여자 - 그녀는 - 왔다 - 출발지는 - 미국 - 사랑한다 - 나 - 나는 - 하고자 한다 - 사다 - 한 차 - 그것은 - 만들어 지다 - 장소는 - 독일</t>
  </si>
  <si>
    <t>The lady who came from America loves me who will buy a car which was made in Germany.</t>
  </si>
  <si>
    <t>오바마가 대통령인 미국에서 온 그여자는 변호사다.</t>
  </si>
  <si>
    <t>그 여자 - 그녀는 - 왔다 - 출발지는 - 미국 - 그곳에서 일어나는 일은 - 오바마 - 이다 - 대통령 - 이다 - 변호사</t>
  </si>
  <si>
    <t>The lady who came from America where Obama is the president is a lawyer.</t>
  </si>
  <si>
    <t>오바마가 대통령인 미국에서 온 그여자는 나를 도와준 변호사다.</t>
  </si>
  <si>
    <t>그 여자 - 그녀는 - 왔다 - 출발지는 - 미국 - 그곳에서 일어나는 일은 - 오바마 - 이다 - 대통령 - 이다 - 변호사 - 그녀는 - 도와줬다 - 나</t>
  </si>
  <si>
    <t>The lady who came from America where Obama is the president is a lawyer who helped me.</t>
  </si>
  <si>
    <t>그 여자는 아내가 미쉘인 오바마가 대통령인 미국에서 온 변호사다.</t>
  </si>
  <si>
    <t>그 여자 - 이다 - 한 변호사 - 그녀는 - 왔다 - 출발지는 - 미국 - 그곳에서 일어나는 일은 - 대통령 - 이다 - 오바마 - 그 사람의 아내는 - 이다 - 미쉘</t>
  </si>
  <si>
    <t>The lady is a lawyer who came from America where the president is Obama whose wife is Michel.</t>
  </si>
  <si>
    <t>내가 그녀를 사랑하는 이유는 그녀가 부자라는 것이다.</t>
  </si>
  <si>
    <t>그 이유 - 그 이유로 일어나는 일은 - 나 - 사랑하다 - 그녀 - 이다 - 그 바는 - 그녀 - 이다 - 부자</t>
  </si>
  <si>
    <t>The reason why I love her is that she is rich.</t>
  </si>
  <si>
    <t>그가 회사를 떠났던 이유는 김 과장과의 사이가 좋지않았다라는 것이다.</t>
  </si>
  <si>
    <t>그 이유 - 그 이유로 일어난 일은 - 그 - 떠났다 - 회사 - 였다 - 그 바는 - 그 관계 - 함께하는 것은 - 김과장 - 였다 - 나쁜</t>
  </si>
  <si>
    <t>The reason why he left the company was that relationship with manager Kim was bad.</t>
  </si>
  <si>
    <t>내가 애로우 잉글리시를 공부하는 이유는 최선생님이 잘 생겼다라는 것이다.</t>
  </si>
  <si>
    <t>그 이유 - 그 이유로 일어나는 일은 - 나 - 공부하다 - 애로우잉글리시 - 이다 - 그 바는 - 최 선생 - 이다 - 잘생긴</t>
  </si>
  <si>
    <t>The reason why I study AE is that Mr. Choi is handsome.</t>
  </si>
  <si>
    <t>그녀가 너를 떠난 이유는 네가 발렌타인데이에 그녀를 만나지 않아서이다.</t>
  </si>
  <si>
    <t>그 이유 - 그 이유로 일어난 일은 - 그녀 - 떠났다 - 였다 - 그 바는 - 너 - 하지 않았다 - 만나다 - 그녀 - 때는 - 발렌타인데이</t>
  </si>
  <si>
    <t>The reason why she left you was that you didn't meet her on Valentine's Day.</t>
  </si>
  <si>
    <t>관계사_3</t>
  </si>
  <si>
    <t>나는 책 읽는 것을 좋아하는 소녀를 알고 있다.</t>
  </si>
  <si>
    <t>나 - 알고 있다 - 소녀 - who - 좋아한다 - to 읽다 - 책</t>
  </si>
  <si>
    <t>I know a girl who likes to read books.</t>
  </si>
  <si>
    <t>그녀는 세 개의 언어를 말하는 친구가 있다.</t>
  </si>
  <si>
    <t>그녀 - 가지고 있다 - 친구 - who - 말한다 - 세 개의 언어</t>
  </si>
  <si>
    <t>She has a friend who speaks three languages.</t>
  </si>
  <si>
    <t>우리는 피아노를 잘 치는 소년을 만났다.</t>
  </si>
  <si>
    <t>우리 - 만났다 - 소년 - who - 치다 - 피아노 - 매우 잘</t>
  </si>
  <si>
    <t>We met a boy who plays the piano very well.</t>
  </si>
  <si>
    <t>그는 수학을 가르칠 수 있는 선생님을 찾고 있다.</t>
  </si>
  <si>
    <t>그 - 이다 - 찾고 있는 중 - 선생님 - who - can - 가르치다 - 수학</t>
  </si>
  <si>
    <t>He is looking for a teacher who can teach math.</t>
  </si>
  <si>
    <t>내 여동생은 매우 아름답게 노래하는 가수를 알고 있다.</t>
  </si>
  <si>
    <t>내 여동생 - 알고 있다 - 가수 - who - 노래한다 - 매우 아름답게</t>
  </si>
  <si>
    <t>My sister knows a singer who sings very beautifully.</t>
  </si>
  <si>
    <t>그들은 가방을 잃어버린 학생을 찾았다.</t>
  </si>
  <si>
    <t>그들 - 찾았다 - 학생 - who - 잃어버렸다 - 그의 가방</t>
  </si>
  <si>
    <t>They found a student who had lost his backpack.</t>
  </si>
  <si>
    <t>나는 공원에서 개를 산책시키는 남자를 봤다.</t>
  </si>
  <si>
    <t>나 - 보았다 - 남자 - who - 였다 - 산책시키는 중 - 그의 개 - in - 공원</t>
  </si>
  <si>
    <t>I saw a man who was walking his dog in the park.</t>
  </si>
  <si>
    <t>그녀는 숙제를 도와줄 수 있는 친구에게 전화했다.</t>
  </si>
  <si>
    <t>그녀 - 전화했다 - 친구 - who - could - 돕다 - 그녀 - with - 숙제</t>
  </si>
  <si>
    <t>She called a friend who could help her with her homework.</t>
  </si>
  <si>
    <t>그는 항상 행복한 사람들을 좋아한다.</t>
  </si>
  <si>
    <t>그 - 좋아한다 - 사람들 - who - 이다 - 항상 행복한 상태</t>
  </si>
  <si>
    <t>He likes people who are always happy.</t>
  </si>
  <si>
    <t>나는 매우 흥미로운 책을 샀다.</t>
  </si>
  <si>
    <t>나 - 샀다 - 책 - which - 였다 - 매우 흥미로운 상태</t>
  </si>
  <si>
    <t>I bought a book which was very interesting.</t>
  </si>
  <si>
    <t>그는 매우 빠른 차를 가지고 있다.</t>
  </si>
  <si>
    <t>그 - 가지고 있다 - 차 - which - 이다 - 매우 빠른 상태</t>
  </si>
  <si>
    <t>He has a car which is very fast.</t>
  </si>
  <si>
    <t>그들은 큰 정원이 있는 집에 산다.</t>
  </si>
  <si>
    <t>그들 - 산다 - in - 집 - which - 가지고 있다 - 큰 정원</t>
  </si>
  <si>
    <t>They live in a house which has a big garden.</t>
  </si>
  <si>
    <t>나는 매우 빠르게 수영할 수 있는 소년을 알고 있다.</t>
  </si>
  <si>
    <t>나 - 알고 있다 - 소년 - who - can - 수영하다 - 매우 빠르게</t>
  </si>
  <si>
    <t>I know a boy who can swim very fast.</t>
  </si>
  <si>
    <t>그녀는 정직한 사람들을 좋아한다.</t>
  </si>
  <si>
    <t>그녀 - 좋아한다 - 사람들 - who - 이다 - 정직한 상태</t>
  </si>
  <si>
    <t>She likes people who are honest.</t>
  </si>
  <si>
    <t>그는 대회에서 우승한 학생이다.</t>
  </si>
  <si>
    <t>그 - 이다 - 학생 - who - 우승했다 - 대회</t>
  </si>
  <si>
    <t>He is the student who won the competition.</t>
  </si>
  <si>
    <t>그녀는 나에게 그 소식을 알려준 사람이다.</t>
  </si>
  <si>
    <t>그녀 - 이다 - 사람 - who - 알려주었다 - 나에게 - 그 소식</t>
  </si>
  <si>
    <t>She is the person who told me the news.</t>
  </si>
  <si>
    <t>나는 동물들을 사랑하는 친구가 있다.</t>
  </si>
  <si>
    <t>나 - 가지고 있다 - 친구 - who - 사랑한다 - 동물들</t>
  </si>
  <si>
    <t>I have a friend who loves animals.</t>
  </si>
  <si>
    <t>그녀는 세일 중이던 신발을 샀다.</t>
  </si>
  <si>
    <t>그녀 - 샀다 - 신발 - which - 였다 - on 세일</t>
  </si>
  <si>
    <t>She bought the shoes which were on sale.</t>
  </si>
  <si>
    <t>접속사</t>
  </si>
  <si>
    <t>그녀는 아침을 먹었고, 그리고 출근했다.</t>
  </si>
  <si>
    <t>그녀 - 먹었다 - 아침 - and - 출근했다</t>
  </si>
  <si>
    <t>She had breakfast and went to work.</t>
  </si>
  <si>
    <t>나는 커피를 마시고 싶었지만 우유를 마셨다.</t>
  </si>
  <si>
    <t>나 - 싶었다 - to 마시다 - 커피 - but - 나 - 마셨다 - 우유</t>
  </si>
  <si>
    <t>I wanted to drink coffee but I drank milk.</t>
  </si>
  <si>
    <t>너는 책을 읽거나, 영화를 볼 수 있다.</t>
  </si>
  <si>
    <t>너 - 할 수 있다 - 읽다 - 책 - or - 본다 - 영화</t>
  </si>
  <si>
    <t>You can read a book or watch a movie.</t>
  </si>
  <si>
    <t>내가 도착했을 때, 회의가 시작되었다.</t>
  </si>
  <si>
    <t>회의 - 시작되었다 - when - 나 - 도착했다</t>
  </si>
  <si>
    <t>The meeting started when I arrived.</t>
  </si>
  <si>
    <t>내가 학원에 도착하자마자, 비가 오기 시작했다.</t>
  </si>
  <si>
    <t>날씨 - 시작했다 - 비가오기 - as - 나 - 도착했다 - at - 학원</t>
  </si>
  <si>
    <t>It started to rain as I arrived at the academy.</t>
  </si>
  <si>
    <t>나는 음악을 들으면서 공부를 했다.</t>
  </si>
  <si>
    <t>나 - 공부를 했다 - while - 나 - 듣다 - 음악</t>
  </si>
  <si>
    <t>I studied while I listened to music.</t>
  </si>
  <si>
    <t>우리는 저녁을 먹고 나서 산책을 했다.</t>
  </si>
  <si>
    <t>우리 - 했다 - 산책 - after - 우리 - 먹다 - 저녁</t>
  </si>
  <si>
    <t>We took a walk after we had dinner.</t>
  </si>
  <si>
    <t>나는 출발하기 전에 짐을 쌌다.</t>
  </si>
  <si>
    <t>나 - 쌌다 - 짐 - before - 나 - 출발하다</t>
  </si>
  <si>
    <t>I packed my bags before I left.</t>
  </si>
  <si>
    <t>그들은 마지막 손님이 떠날 때까지 파티를 계속했다.</t>
  </si>
  <si>
    <t>그들 - 계속했다 - 파티 - until - 마지막 손님 - 떠나다</t>
  </si>
  <si>
    <t>They continued the party until the last guest left.</t>
  </si>
  <si>
    <t>우리는 어렸을 때부터 친구였다.</t>
  </si>
  <si>
    <t>우리 - 였다 - 친구 - since - 우리 - 였다 - 어린 상태</t>
  </si>
  <si>
    <t>We have been friends since we were children.</t>
  </si>
  <si>
    <t>나는 잠을 충분히 못 잤기 때문에 피곤했다.</t>
  </si>
  <si>
    <t>나 - 였다 - 피곤한 상태 - because - 나 - 안 - 가졌다 - 충분한 잠</t>
  </si>
  <si>
    <t>I was tired because I didn't get enough sleep.</t>
  </si>
  <si>
    <t>그는 피곤함에도 불구하고 여전히 일을 했다</t>
  </si>
  <si>
    <t>그 - 여전히 - 일을 했다 - though - 그 - 였다 - 피곤한 상태</t>
  </si>
  <si>
    <t>He still worked though he was tired.</t>
  </si>
  <si>
    <t>네가 원하면, 나는 도와줄 것이다</t>
  </si>
  <si>
    <t>나 - 할 바는 - 도와주다 - if - 너 - 원하다</t>
  </si>
  <si>
    <t>I will help you if you want.</t>
  </si>
  <si>
    <t>네가 나에게 말하지 않으면, 나는 모를 것이다.</t>
  </si>
  <si>
    <t>나 - 모른다 - unless - 너 - 말하다 - 나에게</t>
  </si>
  <si>
    <t>I won't know unless you tell me.</t>
  </si>
  <si>
    <t>그는 나보다 더 많이 먹는다.</t>
  </si>
  <si>
    <t>그 - 먹는다 - 더 많이 - than - 나 - 먹다</t>
  </si>
  <si>
    <t>He eats more than I do.</t>
  </si>
  <si>
    <t>그녀는 실수를 하지 않기 위해 주의 깊게 작업했다.</t>
  </si>
  <si>
    <t>그녀 - 작업했다 - 주의 깊게 - lest - 그녀 - 실수하다</t>
  </si>
  <si>
    <t>She worked carefully lest she make a mistake.</t>
  </si>
  <si>
    <t>그는 책을 읽었고, 그리고 잠을 잤다.</t>
  </si>
  <si>
    <t>그 - 읽었다 - 책 - and - 잤다</t>
  </si>
  <si>
    <t>He read a book and went to sleep.</t>
  </si>
  <si>
    <t>나는 공부를 하고 싶었지만 TV 를 봤다.</t>
  </si>
  <si>
    <t>나 - 하고 싶었다 - 공부 - but - 나 - 봤다 - TV</t>
  </si>
  <si>
    <t>I wanted to study but I watched TV.</t>
  </si>
  <si>
    <t>너는 쉬거나, 운동을 할 수 있다.</t>
  </si>
  <si>
    <t>너 - 할 수 있다 - 쉬다 - or - 운동하다</t>
  </si>
  <si>
    <t>You can rest or exercise.</t>
  </si>
  <si>
    <t>내가 도착했을 때, 수업이 끝났다.</t>
  </si>
  <si>
    <t>수업 - 끝났다 - when - 나 - 도착했다</t>
  </si>
  <si>
    <t>The class ended when I arrived.</t>
  </si>
  <si>
    <t>내가 집에 도착하자마자, 전기가 나갔다.</t>
  </si>
  <si>
    <t>전기 - 나갔다 - as - 나 - 도착했다 - at - 집</t>
  </si>
  <si>
    <t>The power went out as I arrived at home.</t>
  </si>
  <si>
    <t>나는 요리를 하면서 노래를 들었다.</t>
  </si>
  <si>
    <t>나 - 들었다 - 노래 - while - 나 - 요리하다</t>
  </si>
  <si>
    <t>I listened to music while I cooked.</t>
  </si>
  <si>
    <t>우리는 영화 보고 나서 커피를 마셨다.</t>
  </si>
  <si>
    <t>우리 - 마셨다 - 커피 - after - 우리 - 봤다 - 영화</t>
  </si>
  <si>
    <t>We had coffee after we watched a movie.</t>
  </si>
  <si>
    <t>나는 자기 전에 책을 읽었다.</t>
  </si>
  <si>
    <t>나 - 읽었다 - 책 - before - 나 - 자다</t>
  </si>
  <si>
    <t>I read a book before I slept.</t>
  </si>
  <si>
    <t>그는 날이 밝을 때까지 걸었다.</t>
  </si>
  <si>
    <t>그 - 걸었다 - until - 날 - 밝다</t>
  </si>
  <si>
    <t>He walked until the sun rose.</t>
  </si>
  <si>
    <t>우리는 대학 때부터 알고 지냈다.</t>
  </si>
  <si>
    <t>우리 - 지냈다 - 알고 - since - 대학</t>
  </si>
  <si>
    <t>We have known each other since college.</t>
  </si>
  <si>
    <t>나는 식사를 하지 않아서 배고팠다.</t>
  </si>
  <si>
    <t>나 - 였다 - 배고픈 상태 - because - 나 - 안 했다 - 식사</t>
  </si>
  <si>
    <t>I was hungry because I didn't eat.</t>
  </si>
  <si>
    <t>그는 돈이 없었지만 행복했다.</t>
  </si>
  <si>
    <t>그 - 였다 - 행복한 상태 - though - 그 - 없었다 - 돈</t>
  </si>
  <si>
    <t>He was happy though he had no money.</t>
  </si>
  <si>
    <t>네가 동의하면, 나는 갈 것이다.</t>
  </si>
  <si>
    <t>나 - 갈 것이다 - if - 너 - 동의하다</t>
  </si>
  <si>
    <t>I will go if you agree.</t>
  </si>
  <si>
    <t>네가 설명하지 않으면, 나는 이해하지 못할 것이다.</t>
  </si>
  <si>
    <t>나 - 하지 않을 바는 - 이해하다 - unless - 너 - 설명하다</t>
  </si>
  <si>
    <t>I won't understand unless you explain.</t>
  </si>
  <si>
    <t>그는 내가 달리는 것 보다 더 빨리 달린다.</t>
  </si>
  <si>
    <t>그 - 달린다 - 더 빨리 - than - 나 - 달리다</t>
  </si>
  <si>
    <t>He runs faster than I do.</t>
  </si>
  <si>
    <t>그녀는 길을 잃지 않기 위해 지도를 챙겼다.</t>
  </si>
  <si>
    <t>그녀 - 챙겼다 - 지도 - lest - 그녀 - 잃다 - 길</t>
  </si>
  <si>
    <t>She took a map lest she get lost.</t>
  </si>
  <si>
    <t>그는 저녁을 먹었고, 그리고 산책을 했다.</t>
  </si>
  <si>
    <t>그 - 먹었다 - 저녁 - and - 산책했다</t>
  </si>
  <si>
    <t>He had dinner and took a walk.</t>
  </si>
  <si>
    <t>나는 자고 싶었지만 일을 했다.</t>
  </si>
  <si>
    <t>나 - 하고 싶었다 - to 자다 - but - 나 - 일을 했다</t>
  </si>
  <si>
    <t>I wanted to sleep but I worked.</t>
  </si>
  <si>
    <t>너는 공부를 하거나, 책을 읽을 수 있다.</t>
  </si>
  <si>
    <t>너 - 할 수 있다 - 공부하다 - or - 읽다 - 책</t>
  </si>
  <si>
    <t>You can study or read a book.</t>
  </si>
  <si>
    <t>내가 떠났을 때, 비가 내렸다.</t>
  </si>
  <si>
    <t>비 - 내렸다 - when - 나 - 떠났다</t>
  </si>
  <si>
    <t>It rained when I left.</t>
  </si>
  <si>
    <t>내가 달리기 시작하자마자, 바람이 불기 시작했다.</t>
  </si>
  <si>
    <t>바람 - 시작했다 - to 불다 - as - 나 - 시작했다 - to 달리다</t>
  </si>
  <si>
    <t>The wind started to blow as I started to run.</t>
  </si>
  <si>
    <t>나는 걸으면서 생각을 했다.</t>
  </si>
  <si>
    <t>나 - 생각했다 - while - 나 - 걷다</t>
  </si>
  <si>
    <t>I thought while I walked.</t>
  </si>
  <si>
    <t>우리는 수영한 후에 점심을 먹었다.</t>
  </si>
  <si>
    <t>우리 - 먹었다 - 점심 - after - 우리 - 수영했다</t>
  </si>
  <si>
    <t>We had lunch after we swam.</t>
  </si>
  <si>
    <t>나는 운동하기 전에 스트레칭 했다.</t>
  </si>
  <si>
    <t>나 - 스트레칭 했다 - before - 나 - 운동하다</t>
  </si>
  <si>
    <t>I stretched before I exercised.</t>
  </si>
  <si>
    <t>그는 밤이 될 때까지 일했다.</t>
  </si>
  <si>
    <t>그 - 일했다 - until - 그것 - 였다 - 밤</t>
  </si>
  <si>
    <t>He worked until it was night.</t>
  </si>
  <si>
    <t>우리는 고등학교 때부터 친구였다.</t>
  </si>
  <si>
    <t>우리 - 계속 였다 - 친구 - since - 고등학교</t>
  </si>
  <si>
    <t>We have been friends since high school.</t>
  </si>
  <si>
    <t>나는 비가 와서 우산을 가져갔다.</t>
  </si>
  <si>
    <t>나 - 가져갔다 - 우산 - because - 날씨 - 비가 오다</t>
  </si>
  <si>
    <t>I took an umbrella because it rained.</t>
  </si>
  <si>
    <t>그는 몸이 아팠지만 회의에 참석했다.</t>
  </si>
  <si>
    <t>그 - 참석했다 - 회의 - though - 그 - 였다 - 몸이 아픈 상태</t>
  </si>
  <si>
    <t>He attended the meeting though he was sick.</t>
  </si>
  <si>
    <t>네가 서두르면, 우리는 기차를 탈 수 있다.</t>
  </si>
  <si>
    <t>우리 - 할 수 있는 바는 - 타다 - 기차 - if - 너 - 서두르다</t>
  </si>
  <si>
    <t>We can catch the train if you hurry.</t>
  </si>
  <si>
    <t>네가 열쇠를 가지지 않으면, 문을 열 수 없다.</t>
  </si>
  <si>
    <t>나 - 할 수 없는 바는 - 열다 - 문 - unless - 너 - 가지다 - 열쇠</t>
  </si>
  <si>
    <t>I can't open the door unless you have the key.</t>
  </si>
  <si>
    <t>그는 내가 아는 것보다 더 많이 안다.</t>
  </si>
  <si>
    <t>그 - 안다 - 더 많이 - than - 나 - 알다</t>
  </si>
  <si>
    <t>He knows more than I do.</t>
  </si>
  <si>
    <t>그녀는 물건을 잊지 않기 위해 메모를 썼다.</t>
  </si>
  <si>
    <t>그녀 - 썼다 - 메모 - lest - 그녀 - 잊다 - 물건</t>
  </si>
  <si>
    <t>She wrote a note lest she forget things.</t>
  </si>
  <si>
    <t>덩어리 That</t>
  </si>
  <si>
    <t>그녀가 시험에 합격했다는 것이 모두를 놀라게 했다.</t>
  </si>
  <si>
    <t>그 바는(That) - 그녀 - 합격했다 - 시험 - 놀라게 했다 - 모두</t>
  </si>
  <si>
    <t>That she passed the exam surprised everyone.</t>
  </si>
  <si>
    <t>그가 늦을 것이라는 것은 나를 짜증나게 한다.</t>
  </si>
  <si>
    <t>그 바는(That) - 그 - 할 바는 - 이다 - 늦는 상태 - 짜증나게 한다 - 나</t>
  </si>
  <si>
    <t>That he will be late annoys me.</t>
  </si>
  <si>
    <t>나는 그가 그 일을 끝냈다고 믿는다.</t>
  </si>
  <si>
    <t>나 - 믿는다 - 그 바는 - 그 - 끝냈다 - 그 일</t>
  </si>
  <si>
    <t>I believe that he finished the task.</t>
  </si>
  <si>
    <t>문제는 우리가 충분한 시간을 가지고 있지 않는 것이다.</t>
  </si>
  <si>
    <t>문제 - 이다 - 그 바는 - 우리 - 하지 않다 - 가지다 - 충분한 시간</t>
  </si>
  <si>
    <t>The problem is that we don't have enough time.</t>
  </si>
  <si>
    <t>나는 그가 진실을 말하고 있다는 것에 대해 확신이 없다.</t>
  </si>
  <si>
    <t>나 - 이지 않다 - 확신하는 상태 - 그 바는 - 그 - 이다 - 말하는 중 - 진실</t>
  </si>
  <si>
    <t>I am not sure that he is telling the truth.</t>
  </si>
  <si>
    <t>그가 우리를 도와줄 것이라는 것은 분명하다.</t>
  </si>
  <si>
    <t>그 바는 - 그 - 할 바는 - 도와준다 - 우리 - 이다 - 분명한 상태</t>
  </si>
  <si>
    <t>That he will help us is clear.</t>
  </si>
  <si>
    <t>그가 그 일을 해냈다는 것이 모두를 놀라게 했다.</t>
  </si>
  <si>
    <t>그 바는 - 그 - 해냈다 - 그 일 - 놀라게 했다 - 모두</t>
  </si>
  <si>
    <t>That he accomplished the task surprised everyone.</t>
  </si>
  <si>
    <t>나는 그가 정직하다고 생각한다.</t>
  </si>
  <si>
    <t>나 - 생각한다 - 그 바는 - 그 - 이다 - 정직한 상태</t>
  </si>
  <si>
    <t>I think that he is honest.</t>
  </si>
  <si>
    <t>요점은 그가 동의하지 않았다는 것이다.</t>
  </si>
  <si>
    <t>요점 - 이다 - 그 바는 - 그 - 하지 않았다 - 동의하다</t>
  </si>
  <si>
    <t>The point is that he didn't agree.</t>
  </si>
  <si>
    <t>그가 올 것이라는 것은 확실하다.(it 주어)</t>
  </si>
  <si>
    <t>It - 이다 - 확실한 상태 - that - 그 - 할 바는 - 오다</t>
  </si>
  <si>
    <t>It is certain that he will come.</t>
  </si>
  <si>
    <t>그가 이겼다는 것이 모두를 놀라게 했다.</t>
  </si>
  <si>
    <t>그 바는 - 그 - 이겼다 - 놀라게 했다 - 모두</t>
  </si>
  <si>
    <t>That he won surprised everyone.</t>
  </si>
  <si>
    <t>그녀가 거짓말을 했다는 것은 분명하다.</t>
  </si>
  <si>
    <t>그 바는 - 그녀 - 거짓말을 했다 - 이다 - 분명한 상태</t>
  </si>
  <si>
    <t>That she lied is clear.</t>
  </si>
  <si>
    <t>나는 그가 도움을 요청했다고 생각한다.</t>
  </si>
  <si>
    <t>나 - 생각한다 - 그 바는 - 그 - 요청했다 - for - 도움</t>
  </si>
  <si>
    <t>I think that he asked for help.</t>
  </si>
  <si>
    <t>문제는 그가 정직하지 않다는 것이다.</t>
  </si>
  <si>
    <t>문제 - 이다 - 그 바는 - 그 - 이지 않다 - 정직한 상태</t>
  </si>
  <si>
    <t>The problem is that he is not honest.</t>
  </si>
  <si>
    <t>나는 그가 성공할 것이라는 것을 확신한다.</t>
  </si>
  <si>
    <t>나 - 이다 - 확신하는 상태 - 그 바는 - 그 - 할 바는 - 성공하다</t>
  </si>
  <si>
    <t>I am sure that he will succeed.</t>
  </si>
  <si>
    <t>중요한 것은 그가 자신의 실수를 인정했다는 것이다.</t>
  </si>
  <si>
    <t>중요한 것 - 이다 - 그 바는 - 그 - 인정했다 - 그의 실수</t>
  </si>
  <si>
    <t>The important thing is that he admitted his mistake.</t>
  </si>
  <si>
    <t>그가 나를 속였다는 것이 나를 화나게 했다.</t>
  </si>
  <si>
    <t>그 바는 - 그 - 속였다 - 나 - 만들었다 - 나 - 화난 상태</t>
  </si>
  <si>
    <t>That he deceived me made me angry.</t>
  </si>
  <si>
    <t>나는 그가 열심히 공부하고 있다는 것을 안다.</t>
  </si>
  <si>
    <t>나 - 안다 - 그 바는 - 그 - 이다 - 공부하는 중 - 열심히</t>
  </si>
  <si>
    <t>I know that he is studying hard.</t>
  </si>
  <si>
    <t>그의 성공은 그가 열심히 일했다는 것을 증명한다.</t>
  </si>
  <si>
    <r>
      <rPr>
        <sz val="11"/>
        <color indexed="8"/>
        <rFont val="Apple SD 산돌고딕 Neo 일반체"/>
      </rPr>
      <t>그의 성공 - 증명한다 - 그 바는 - 그 - 일했다 - 열심히</t>
    </r>
  </si>
  <si>
    <t>His success proves that he worked hard.</t>
  </si>
  <si>
    <t>그가 올 것이라는 것은 확실하다.</t>
  </si>
  <si>
    <r>
      <rPr>
        <sz val="11"/>
        <color indexed="8"/>
        <rFont val="Apple SD 산돌고딕 Neo 일반체"/>
      </rPr>
      <t>그 바는 - 그 - 할 바는 - 오다 - 이다 - 확실한 상태</t>
    </r>
  </si>
  <si>
    <t>That he will come is certain.</t>
  </si>
  <si>
    <t>나는 그가 파티에 올 것이라는 것에 대해 걱정하고 있다.</t>
  </si>
  <si>
    <r>
      <rPr>
        <sz val="11"/>
        <color indexed="8"/>
        <rFont val="Apple SD 산돌고딕 Neo 일반체"/>
      </rPr>
      <t>나 - 이다 - 걱정하는 상태 - about - 그 바는 - 그 - 할 바는 - 오다 - to - 파티</t>
    </r>
  </si>
  <si>
    <t>I am worried about that he will come to the party.</t>
  </si>
  <si>
    <t>당신은 모든 것을 알고 있는 것 같군요.(it 주어)</t>
  </si>
  <si>
    <t>It - 같다 - that - 너 - 알고 있다 - 모든 것</t>
  </si>
  <si>
    <t>It seems that you know everything.</t>
  </si>
  <si>
    <t>그는 미친 사람 인 것 같다.(it 주어)</t>
  </si>
  <si>
    <t>It - 같다 - that - 그 - 이다 - 미친 사람</t>
  </si>
  <si>
    <t>It appears that he is crazy.</t>
  </si>
  <si>
    <t>그래서 That</t>
  </si>
  <si>
    <t>그는 너무 피곤해서 잠에 들었다.</t>
  </si>
  <si>
    <t>그 - 였다 - so 피곤한 상태 - that - 그 - 빠졌다 - 잠든 상태</t>
  </si>
  <si>
    <t>He was so tired that he fell asleep.</t>
  </si>
  <si>
    <t>그녀는 그러한 멋진 아이디어를 가지고 있어서 모두를 놀라게 했다.</t>
  </si>
  <si>
    <t>그녀 - 가지고 있다 - such 멋진 아이디어 - that - 그것이 - 놀라게 했다 - 모두</t>
  </si>
  <si>
    <t>She had such a great idea that it surprised everyone.</t>
  </si>
  <si>
    <t>날씨가 너무 추워서 우리는 집에 머물렀다.</t>
  </si>
  <si>
    <t>날씨 - 였다 - so 추운 상태 - that - 우리 - 머물렀다 - 집에</t>
  </si>
  <si>
    <t>The weather was so cold that we stayed home.</t>
  </si>
  <si>
    <t>그는 그러한 어려운 문제를 해결해서 칭찬받았다.</t>
  </si>
  <si>
    <t>그 - 해결했다 - such 어려운 문제 - that - 그 - 였다 - 칭찬받다</t>
  </si>
  <si>
    <t>He solved such a difficult problem that he was praised.</t>
  </si>
  <si>
    <t>그녀는 너무 행복해서 눈물이 났다.</t>
  </si>
  <si>
    <t>그녀 - 였다 - so 행복한 상태 - that - 그녀 - 울었다</t>
  </si>
  <si>
    <t>She was so happy that she cried.</t>
  </si>
  <si>
    <t>그들은 너무 늦어서 영화의 첫 부분을 놓쳤다.</t>
  </si>
  <si>
    <t>그들 - 였다 - so 늦은 상태 - that - 그들 - 놓쳤다 - 첫 부분 - of - 영화</t>
  </si>
  <si>
    <t>They were so late that they missed the beginning of the movie.</t>
  </si>
  <si>
    <t>그는 그러한 멋진 성과를 이뤄서 모두를 놀라게 했다.</t>
  </si>
  <si>
    <t>그 - 이뤘다 - such 멋진 성과 - that - 그것 - 놀라게 했다 - 모두</t>
  </si>
  <si>
    <t>He achieved such an amazing result that it surprised everyone.</t>
  </si>
  <si>
    <t>그가 너무 화가 나서 큰 소리로 소리쳤다.</t>
  </si>
  <si>
    <t>그 - 였다 - so 화난 상태 - that - 그 - 소리 쳤다 - 큰 소리로</t>
  </si>
  <si>
    <t>He was so angry that he shouted loudly.</t>
  </si>
  <si>
    <t>그녀는 그렇게 아름다운 꽃을 가져와서 모두를 감동시켰다.</t>
  </si>
  <si>
    <t>그녀 - 가져왔다 - such 아름다운 꽃 - that - 그것들 - 감동시켰다 - 모두</t>
  </si>
  <si>
    <t>She brought such beautiful flowers that they impressed everyone.</t>
  </si>
  <si>
    <t>그들이 너무 긴장을 해서 발표를 망쳤다.</t>
  </si>
  <si>
    <t>그들 - 였다 - so 긴장한 상태 - that - 그들 - 망쳤다 - 발표</t>
  </si>
  <si>
    <t>They were so nervous that they ruined the presentation.</t>
  </si>
  <si>
    <t>의문문</t>
  </si>
  <si>
    <t>공부하니?</t>
  </si>
  <si>
    <t>하니 - 너? - 공부하다</t>
  </si>
  <si>
    <t>Do you study?</t>
  </si>
  <si>
    <t>공부했니?</t>
  </si>
  <si>
    <t>했니 - 너? - 공부하다</t>
  </si>
  <si>
    <t>Did you study?</t>
  </si>
  <si>
    <t>공부할 거니?</t>
  </si>
  <si>
    <t>할 거니 - 너? - 공부하다</t>
  </si>
  <si>
    <t>Will you study?</t>
  </si>
  <si>
    <t>영화 보니?</t>
  </si>
  <si>
    <t>하니 - 너? - 보다 - 영화</t>
  </si>
  <si>
    <t>Do you watch a movie?</t>
  </si>
  <si>
    <t>영화 봤니?</t>
  </si>
  <si>
    <t>했니 - 너? - 보다 - 영화</t>
  </si>
  <si>
    <t>Did you watch a movie?</t>
  </si>
  <si>
    <t>영화 볼거니?</t>
  </si>
  <si>
    <t>할 거니 - 너? - 보다 - 영화</t>
  </si>
  <si>
    <t>Will you watch a movie?</t>
  </si>
  <si>
    <t>책 읽니?</t>
  </si>
  <si>
    <t>하니 - 너? - 읽다 - 책</t>
  </si>
  <si>
    <t>Do you read a book?</t>
  </si>
  <si>
    <t>책 읽었니?</t>
  </si>
  <si>
    <t>했니 - 너? - 읽다 - 책</t>
  </si>
  <si>
    <t>Did you read a book?</t>
  </si>
  <si>
    <t>책 읽을거니?</t>
  </si>
  <si>
    <t>할 거니 - 너? - 읽다 - 책</t>
  </si>
  <si>
    <t>Will you read a book?</t>
  </si>
  <si>
    <t>음악 듣니?</t>
  </si>
  <si>
    <t>하니 - 너? - 듣다 - 음악</t>
  </si>
  <si>
    <t>Do you listen to music?</t>
  </si>
  <si>
    <t>음악 들었니?</t>
  </si>
  <si>
    <t>했니 - 너? - 듣다 - 음악</t>
  </si>
  <si>
    <t>Did you listen to music?</t>
  </si>
  <si>
    <t>음악 들을거니?</t>
  </si>
  <si>
    <t>할 거니 - 너? - 듣다 - 음악</t>
  </si>
  <si>
    <t>Will you listen to music?</t>
  </si>
  <si>
    <t>너 오늘 숙제 다 했니?</t>
  </si>
  <si>
    <t>했니 - 너? - 하다 - 숙제 - 오늘</t>
  </si>
  <si>
    <t>Did you do your homework today?</t>
  </si>
  <si>
    <t>어제 저녁에 그가 영화 봤니?</t>
  </si>
  <si>
    <t>했니 - 그? - 보다 - 영화 - 어제 저녁</t>
  </si>
  <si>
    <t>Did he watch a movie last night?</t>
  </si>
  <si>
    <t>네 친구가 이번 주말에 여행 갈 거니?</t>
  </si>
  <si>
    <t>할 거니 - 너의 친구? - 가다 - 여행 - 이번 주말</t>
  </si>
  <si>
    <t>Will your friend go on a trip this weekend?</t>
  </si>
  <si>
    <t>네 동생이 지금 공부하고 있니?</t>
  </si>
  <si>
    <t>이니 - 너의 동생? - 공부하는 중 - 지금</t>
  </si>
  <si>
    <t>Is your brother/sister studying now?</t>
  </si>
  <si>
    <t>그녀가 내일 회의에 참석할 거니?</t>
  </si>
  <si>
    <t>할 거니 - 그녀? - 참석하다 - 회의 - 내일</t>
  </si>
  <si>
    <t>Will she attend the meeting tomorrow?</t>
  </si>
  <si>
    <t>오늘 오후에 친구들 만날 거니?</t>
  </si>
  <si>
    <t>할 거니 - 너? - 만나다 - 친구들 - 오늘 오후</t>
  </si>
  <si>
    <t>Will you meet your friends this afternoon?</t>
  </si>
  <si>
    <t>그가 이번 주에 새 차를 샀니?</t>
  </si>
  <si>
    <t>했니 - 그? - 사다 - 새 차 - 이번 주</t>
  </si>
  <si>
    <t>Did he buy a new car this week?</t>
  </si>
  <si>
    <t>네 엄마가 어제 시장에 갔니?</t>
  </si>
  <si>
    <t>했니 - 너의 엄마? - 가다 - 시장 - 어제</t>
  </si>
  <si>
    <t>Did your mom go to the market yesterday?</t>
  </si>
  <si>
    <t>그가 주말에 운동하니?</t>
  </si>
  <si>
    <t>하니 - 그? - 운동하다 - 주말</t>
  </si>
  <si>
    <t>Does he exercise on the weekend?</t>
  </si>
  <si>
    <t>너희 집이 작년에 이사했니?</t>
  </si>
  <si>
    <t>했니 - 너희 집? - 이사하다 - 작년</t>
  </si>
  <si>
    <t>Did your family move last year?</t>
  </si>
  <si>
    <t>의문문(시제)</t>
  </si>
  <si>
    <t>너 그거 사용해 본 적 있니?</t>
  </si>
  <si>
    <t>한적이 있니 - 너? - 사용했다 - 그것</t>
  </si>
  <si>
    <t>Have you used it?</t>
  </si>
  <si>
    <t>그가 그 책을 읽은 적 있니?</t>
  </si>
  <si>
    <t>한적이 있니 - 그? - 읽었다 - 그(that) 책</t>
  </si>
  <si>
    <t>Has he read that book?</t>
  </si>
  <si>
    <t>너 여기 와본 적 있니?</t>
  </si>
  <si>
    <t>한적이 있니 - 너? - 왔다 - 여기</t>
  </si>
  <si>
    <t>Have you been here?</t>
  </si>
  <si>
    <t>그녀가 프랑스에 가본 적 있니?</t>
  </si>
  <si>
    <t>한적이 있니 - 그녀? - 갔다 - 프랑스</t>
  </si>
  <si>
    <t>Has she been to France?</t>
  </si>
  <si>
    <t>너 이 영화를 본 적 있니?</t>
  </si>
  <si>
    <t>한적이 있니 - 너? - 봤다 - 이 영화</t>
  </si>
  <si>
    <t>Have you seen this movie?</t>
  </si>
  <si>
    <t>그가 그 노래를 들은 적 있니?</t>
  </si>
  <si>
    <t>한적이 있니 - 그? - 들었다 - 그(that) 노래</t>
  </si>
  <si>
    <t>Has he heard that song?</t>
  </si>
  <si>
    <t>너 일본에 가본 적 있니?</t>
  </si>
  <si>
    <t>한적이 있니 - 너? - 갔다 - 일본</t>
  </si>
  <si>
    <t>Have you been to Japan?</t>
  </si>
  <si>
    <t>그녀가 이 요리를 만들어 본 적 있니?</t>
  </si>
  <si>
    <t>한적이 있니 - 그녀? - 만들었다 - 이 요리</t>
  </si>
  <si>
    <t>Has she cooked this dish?</t>
  </si>
  <si>
    <t>너 뉴욕에 살아본 적 있니?</t>
  </si>
  <si>
    <t>한적이 있니 - 너? - 살았다 - 뉴욕</t>
  </si>
  <si>
    <t>Have you lived in New York?</t>
  </si>
  <si>
    <t>그가 자전거를 타본 적 있니?</t>
  </si>
  <si>
    <t>한적이 있니 - 그? - 탔다 - 자전거</t>
  </si>
  <si>
    <t>Has he ridden a bicycle?</t>
  </si>
  <si>
    <t>의문문(조동사)</t>
  </si>
  <si>
    <t>너 이 문제를 반드시 풀어야만 하니?</t>
  </si>
  <si>
    <t>(do) 반드시 해야만 하니 - 너? - 풀다 - 이 문제</t>
  </si>
  <si>
    <t>Do you have to solve this problem?</t>
  </si>
  <si>
    <t>그가 지금 틀림없이 가야 하니?</t>
  </si>
  <si>
    <t>(do) 틀림없이 해야 하니 - 그? - 가다 - 지금</t>
  </si>
  <si>
    <t>Does he have to go now?</t>
  </si>
  <si>
    <t>너 내일 일할 거니?</t>
  </si>
  <si>
    <t>할 거니 - 너? - 일하다 - 내일</t>
  </si>
  <si>
    <t>Will you work tomorrow?</t>
  </si>
  <si>
    <t>그녀가 저녁을 만들 수 있니?</t>
  </si>
  <si>
    <t>할 수 있니 - 그녀? - 만들다 - 저녁</t>
  </si>
  <si>
    <t>Can she make dinner?</t>
  </si>
  <si>
    <t>너 그 책을 반드시 읽어야 하니?</t>
  </si>
  <si>
    <t>(do)반드시 해야 하니 - 너? - 읽다 - 그(that) 책</t>
  </si>
  <si>
    <t>Do you have to read that book?</t>
  </si>
  <si>
    <t>그가 이 문제를 해결할 수 있니?</t>
  </si>
  <si>
    <t>할 수 있니 - 그? - 해결하다 - 이 문제</t>
  </si>
  <si>
    <t>Can he solve this problem?</t>
  </si>
  <si>
    <t>너 오늘 밤에 올 거니?</t>
  </si>
  <si>
    <t>할 거니 - 너? - 오다 - 오늘 밤</t>
  </si>
  <si>
    <t>Will you come tonight?</t>
  </si>
  <si>
    <t>그녀가 이 일을 꼭 해야만 하니?</t>
  </si>
  <si>
    <t>(do)꼭 해야만 하니 - 그녀? - 하다 - 이 일</t>
  </si>
  <si>
    <t>Does she have to do this job?</t>
  </si>
  <si>
    <t>너 그 시험을 통과할 수 있니?</t>
  </si>
  <si>
    <t>할 수 있니 - 너? - 통과하다 - 그 시험</t>
  </si>
  <si>
    <t>Can you pass the exam?</t>
  </si>
  <si>
    <t>그가 집에 틀림없이 가야 하니?</t>
  </si>
  <si>
    <t>(do) 틀림없이 해야 하니 - 그? - 가다 - 집</t>
  </si>
  <si>
    <t>Does he have to go home?</t>
  </si>
  <si>
    <t>너 이 문제를 꼭 풀어야만 하니?</t>
  </si>
  <si>
    <t>꼭 해야만 하니 - 너? - 풀다 - 이 문제</t>
  </si>
  <si>
    <t>Must you solve this problem?</t>
  </si>
  <si>
    <t>그녀가 저녁을 꼭 만들어야 하니?</t>
  </si>
  <si>
    <t>(do) 꼭 해야 하니 - 그녀? - 만들다 - 저녁</t>
  </si>
  <si>
    <t>Does she have to make dinner?</t>
  </si>
  <si>
    <t>너 이 문제를 풀어야 하니?</t>
  </si>
  <si>
    <t>해야 하니 - 너? - 풀다 - 이 문제</t>
  </si>
  <si>
    <t>Should you solve this problem?</t>
  </si>
  <si>
    <t>그가 지금 반드시 가야 하니?</t>
  </si>
  <si>
    <t>반드시 해야 하니 - 그? - 가다 - 지금</t>
  </si>
  <si>
    <t>Must he go now?</t>
  </si>
  <si>
    <t>너 내일 일해야 하니?</t>
  </si>
  <si>
    <t>해야 하니 - 너? - 일하다 - 내일</t>
  </si>
  <si>
    <t>Should you work tomorrow?</t>
  </si>
  <si>
    <t>그녀가 저녁을 만들어도 되니?</t>
  </si>
  <si>
    <t>해도 되니 - 그녀? - 만들다 - 저녁</t>
  </si>
  <si>
    <t>May she make dinner?</t>
  </si>
  <si>
    <t>너 그 책을 읽어도 되니?</t>
  </si>
  <si>
    <t>해도 되니 - 너? - 읽다 - 그(that) 책</t>
  </si>
  <si>
    <t>May you read that book?</t>
  </si>
  <si>
    <t>그가 이 문제를 해결할 수도 있니?</t>
  </si>
  <si>
    <t>할 수도 있니 - 그? - 해결하다 - 이 문제</t>
  </si>
  <si>
    <t>Could he solve this problem?</t>
  </si>
  <si>
    <t>너 오늘 밤에 올 수도 있니?</t>
  </si>
  <si>
    <t>할 수도 있니 - 너? - 오다 - 오늘 밤</t>
  </si>
  <si>
    <t>Could you come tonight?</t>
  </si>
  <si>
    <t>그녀가 이 일을 반드시 할까요?</t>
  </si>
  <si>
    <t>반드시 할까요 - 그녀? - 하다 - 이 일</t>
  </si>
  <si>
    <t>Shall she do this job?</t>
  </si>
  <si>
    <t>너 그 시험을 아마도 통과할 수 있을 것 같니?</t>
  </si>
  <si>
    <t>아마도 할 수도 있을 것 같니 - 너? - 통과하다 - 그 시험</t>
  </si>
  <si>
    <t>Might you pass the exam?</t>
  </si>
  <si>
    <t>그가 집에 꼭 가고자 하니?</t>
  </si>
  <si>
    <t>꼭 하려고 하니 - 그? - 가다 - 집</t>
  </si>
  <si>
    <t>Shall he go home?</t>
  </si>
  <si>
    <t>의문사</t>
  </si>
  <si>
    <t>네가 언제 도착했니?</t>
  </si>
  <si>
    <t>언제 - 했니 - 너? - 도착하다</t>
  </si>
  <si>
    <t>When did you arrive?</t>
  </si>
  <si>
    <t>누가 그 일을 꼭 해야 하니?</t>
  </si>
  <si>
    <t>누가 - 꼭 해야 하니(do) - 그(that) 일</t>
  </si>
  <si>
    <t>Who has to do that job?</t>
  </si>
  <si>
    <t>무엇이 그 책에 포함되어 있니?</t>
  </si>
  <si>
    <t>무엇 - 이니 - 포함되어 있다 - 그 책</t>
  </si>
  <si>
    <t>What is included in the book?</t>
  </si>
  <si>
    <t>어디에서 그가 일할 거니?</t>
  </si>
  <si>
    <t>어디 - 할 거니 - 그? - 일하다</t>
  </si>
  <si>
    <t>Where will he work?</t>
  </si>
  <si>
    <t>왜 그녀가 그렇게 말했니?</t>
  </si>
  <si>
    <t>왜 - 했니 - 그녀? - 말하다 - 그렇게</t>
  </si>
  <si>
    <t>Why did she say that?</t>
  </si>
  <si>
    <t>어떻게 그가 이 문제를 해결할 수 있니?</t>
  </si>
  <si>
    <t>어떻게 - 할 수 있니 - 그? - 해결하다 - 이 문제</t>
  </si>
  <si>
    <t>How can he solve this problem?</t>
  </si>
  <si>
    <t>어느 책이 더 좋니?</t>
  </si>
  <si>
    <t>어느 책 - 이니 - 더 좋은 상태</t>
  </si>
  <si>
    <t>Which book is better?</t>
  </si>
  <si>
    <t>어느 영화가 네가 본 것 중 최고였니?</t>
  </si>
  <si>
    <t>어느 영화 - 였니 - 최고 - 너? - 한적이 있다 - 봤다</t>
  </si>
  <si>
    <t>Which movie was the best you have seen?</t>
  </si>
  <si>
    <t>네가 왜 그렇게 피곤해 보이니?</t>
  </si>
  <si>
    <t>왜 - 하니 - 너? - 보이다 - 그렇게 피곤한 상태</t>
  </si>
  <si>
    <t>Why do you look so tired?</t>
  </si>
  <si>
    <t>얼마나 많은 사람들이 그 파티에 왔니?</t>
  </si>
  <si>
    <t>얼마나 많은 사람들 - 왔니 - 그 파티에</t>
  </si>
  <si>
    <t>How many people came to the party?</t>
  </si>
  <si>
    <t>얼마나 많은 돈을 네가 썼니?</t>
  </si>
  <si>
    <t>얼마나 많은 돈 - 했니 - 너? - 쓰다</t>
  </si>
  <si>
    <t>How much money did you spend?</t>
  </si>
  <si>
    <t>그가 언제 돌아올 거니?</t>
  </si>
  <si>
    <t>언제 - 할 거니 - 그? - 돌아오다</t>
  </si>
  <si>
    <t>When will he return?</t>
  </si>
  <si>
    <t>누가 네가 좋아하는 배우니?</t>
  </si>
  <si>
    <t>누구 - 이니 - 너의 좋아하는 배우</t>
  </si>
  <si>
    <t>Who is your favorite actor?</t>
  </si>
  <si>
    <t>무엇을 네가 원하는 것이니?</t>
  </si>
  <si>
    <t>무엇 - 하니 - 너? - 원하다</t>
  </si>
  <si>
    <t>What do you want?</t>
  </si>
  <si>
    <t>어디에 그가 머물 거니?</t>
  </si>
  <si>
    <t>어디 - 할 거니 - 그? - 머물다</t>
  </si>
  <si>
    <t>Where will he stay?</t>
  </si>
  <si>
    <t>왜 그가 그렇게 화가 났니?</t>
  </si>
  <si>
    <t>왜 - 이냐 - 그? - 그렇게 화난 상태</t>
  </si>
  <si>
    <t>Why is he so angry?</t>
  </si>
  <si>
    <t>어떻게 네가 이걸 할 수 있니?</t>
  </si>
  <si>
    <t>어떻게 - 할 수 있니 - 너? - 하다 - 이걸</t>
  </si>
  <si>
    <t>How can you do this?</t>
  </si>
  <si>
    <t>어느 과목이 네가 가장 좋아하는 것이니?</t>
  </si>
  <si>
    <t>어느 과목 - 이니 - 너의 가장 좋아하는 것?</t>
  </si>
  <si>
    <t>Which subject is your favorite?</t>
  </si>
  <si>
    <t>어떤 색깔의 차를 네가 사고 싶니?</t>
  </si>
  <si>
    <t>어떤 색깔의 차 - 하냐 - 너? - 하고 싶다 - 사다</t>
  </si>
  <si>
    <t>What color car do you want to buy?</t>
  </si>
  <si>
    <t>얼마나 많은 친구들이 네가 있어?</t>
  </si>
  <si>
    <t>얼마나 많은 친구들 - 하냐 - 너? - 가지다</t>
  </si>
  <si>
    <t>How many friends do you have?</t>
  </si>
  <si>
    <t>감탄문 what</t>
  </si>
  <si>
    <t>정말 아름다운 하늘이다!</t>
  </si>
  <si>
    <t>뭐야 - 아름다운 하늘!</t>
  </si>
  <si>
    <t>What a beautiful sky!</t>
  </si>
  <si>
    <t>정말 멋진 바다다!</t>
  </si>
  <si>
    <t>뭐야 - 멋진 바다!</t>
  </si>
  <si>
    <t>What a stunning ocean!</t>
  </si>
  <si>
    <t>당신은 정말 멋진 친구를 가지고 있다.</t>
  </si>
  <si>
    <t>뭐야! - 멋진 친구 - 당신 - 가지고 있다</t>
  </si>
  <si>
    <t>What a wonderful friend you have!</t>
  </si>
  <si>
    <t>그는 정말 대단한 사람이야!</t>
  </si>
  <si>
    <t>뭐야! - 대단한 사람 - 그 - 이다</t>
  </si>
  <si>
    <t>What an amazing person he is!</t>
  </si>
  <si>
    <t>정말 멋진 하루다!</t>
  </si>
  <si>
    <t>뭐야 - 멋진 하루!</t>
  </si>
  <si>
    <t>What a fantastic day!</t>
  </si>
  <si>
    <t>당신은 정말 멋진 집을 가지고 있다!</t>
  </si>
  <si>
    <t>뭐야! - 멋진 집 - 당신 - 가지고 있다</t>
  </si>
  <si>
    <t>What a lovely house you have!</t>
  </si>
  <si>
    <t>정말 훌륭한 성과다!</t>
  </si>
  <si>
    <t>뭐야! - 훌륭한 성과 - 그것 - 이다</t>
  </si>
  <si>
    <t>What a great achievement (it is)!</t>
  </si>
  <si>
    <t>당신은 정말 훌륭한 결과를 얻었다!</t>
  </si>
  <si>
    <t>뭐야! - 훌륭한 결과 - 당신 - 얻었다</t>
  </si>
  <si>
    <t>What a fantastic result you got!</t>
  </si>
  <si>
    <t>정말 맛있는 요리다!</t>
  </si>
  <si>
    <t>뭐야 - 맛있는 요리!</t>
  </si>
  <si>
    <t>What a delicious dish!</t>
  </si>
  <si>
    <t>당신은 정말 대단한 요리를 만들었다!</t>
  </si>
  <si>
    <t>뭐야! - 대단한 요리 - 당신 - 만들었다</t>
  </si>
  <si>
    <t>What an amazing dish you made!</t>
  </si>
  <si>
    <t>정말 감동적인 순간이다!</t>
  </si>
  <si>
    <t>뭐야 - 감동적인 순간!</t>
  </si>
  <si>
    <t>What an emotional moment!</t>
  </si>
  <si>
    <t>당신은 정말 특별한 순간을 경험하고 있다!</t>
  </si>
  <si>
    <t>뭐야! - 특별한 순간 - 당신 - 경험하고 있다</t>
  </si>
  <si>
    <t>What a special moment you are experiencing!</t>
  </si>
  <si>
    <t>그녀는 정말 탁월한 연기자를 가지고 있다!</t>
  </si>
  <si>
    <t>뭐야! - 탁월한 연기자 - 그녀 - 가지고 있다</t>
  </si>
  <si>
    <t>What an outstanding actress she has!</t>
  </si>
  <si>
    <t>정말 놀라운 성과다!</t>
  </si>
  <si>
    <t>뭐야 - 놀라운 성과!</t>
  </si>
  <si>
    <t>What an incredible achievement!</t>
  </si>
  <si>
    <t>정말 인상적인 연구 결과다!</t>
  </si>
  <si>
    <t>뭐야 - 인상적인 연구 결과!</t>
  </si>
  <si>
    <t>What an impressive research result!</t>
  </si>
  <si>
    <t>정말 유익한 강의다!</t>
  </si>
  <si>
    <t>뭐야 - 유익한 강의!</t>
  </si>
  <si>
    <t>What an informative lecture!</t>
  </si>
  <si>
    <t>당신은 정말 훌륭한 논문을 썼다!</t>
  </si>
  <si>
    <t>뭐야! - 훌륭한 논문 - 당신 - 썼다</t>
  </si>
  <si>
    <t>What a great paper you wrote!</t>
  </si>
  <si>
    <t>이 여행이 정말 기억에 남는다!</t>
  </si>
  <si>
    <t>뭐야 - 기억에 남는 여행!</t>
  </si>
  <si>
    <t>What a memorable trip!</t>
  </si>
  <si>
    <t>당신의 사진이 정말 아름답다!</t>
  </si>
  <si>
    <t>뭐야! - 아름다운 사진 - 당신 - 찍었다</t>
  </si>
  <si>
    <t>What a beautiful photo you took!</t>
  </si>
  <si>
    <t>이 경치가 정말 장관이다!</t>
  </si>
  <si>
    <t>뭐야 - 장관인 경치!</t>
  </si>
  <si>
    <t>What a spectacular view!</t>
  </si>
  <si>
    <t>이 숲이 정말 평화롭다!</t>
  </si>
  <si>
    <t>뭐야 - 평화로운 숲!</t>
  </si>
  <si>
    <t>What a peaceful forest!</t>
  </si>
  <si>
    <t>이 기술이 정말 혁신적이다!</t>
  </si>
  <si>
    <t>뭐야 - 혁신적인 기술!</t>
  </si>
  <si>
    <t>What an innovative technology!</t>
  </si>
  <si>
    <t>이 디자인이 정말 세련되었다!</t>
  </si>
  <si>
    <t>뭐야 - 세련된 디자인!</t>
  </si>
  <si>
    <t>What a sophisticated design!</t>
  </si>
  <si>
    <t>이 영화가 정말 감동적이다!</t>
  </si>
  <si>
    <t>뭐야 - 감동적인 영화!</t>
  </si>
  <si>
    <t>What an emotional movie!</t>
  </si>
  <si>
    <t>정말 위안이 되는 말이다!</t>
  </si>
  <si>
    <t>뭐야 - 위안이 되는 말!</t>
  </si>
  <si>
    <t>What comforting words!</t>
  </si>
  <si>
    <t>이 정원이 정말 아름답다!</t>
  </si>
  <si>
    <t>뭐야 - 아름다운 정원!</t>
  </si>
  <si>
    <t>What a beautiful garden!</t>
  </si>
  <si>
    <t>이 해변이 정말 멋지다!</t>
  </si>
  <si>
    <t>뭐야 - 멋진 해변!</t>
  </si>
  <si>
    <t>What a stunning beach!</t>
  </si>
  <si>
    <t>이 케이크가 정말 맛있다!</t>
  </si>
  <si>
    <t>뭐야 - 맛있는 케이크!</t>
  </si>
  <si>
    <t>What a delicious cake!</t>
  </si>
  <si>
    <t>정말 훌륭한 요리다!</t>
  </si>
  <si>
    <t>뭐야 - 훌륭한 요리!</t>
  </si>
  <si>
    <t>What an excellent dish!</t>
  </si>
  <si>
    <t>정말 인상적인 발표다!</t>
  </si>
  <si>
    <t>뭐야 - 인상적인 발표!</t>
  </si>
  <si>
    <t>What an impressive presentation!</t>
  </si>
  <si>
    <t>정말 뛰어난 작품이다!</t>
  </si>
  <si>
    <t>뭐야 - 뛰어난 작품!</t>
  </si>
  <si>
    <t>What an outstanding work!</t>
  </si>
  <si>
    <t>정말 특별한 순간이다!</t>
  </si>
  <si>
    <t>뭐야 - 특별한 순간!</t>
  </si>
  <si>
    <t>What a special moment!</t>
  </si>
  <si>
    <t>정말 잊을 수 없는 경험이다!</t>
  </si>
  <si>
    <t>뭐야 - 잊을 수 없는 경험!</t>
  </si>
  <si>
    <t>What an unforgettable experience!</t>
  </si>
  <si>
    <t>이 아이디어가 정말 독창적이다!</t>
  </si>
  <si>
    <t>뭐야 - 독창적인 아이디어!</t>
  </si>
  <si>
    <t>What an original idea!</t>
  </si>
  <si>
    <t>이 프로젝트가 정말 혁신적이다!</t>
  </si>
  <si>
    <t>뭐야 - 혁신적인 프로젝트!</t>
  </si>
  <si>
    <t>What an innovative project!</t>
  </si>
  <si>
    <t>정말 멋진 도서관이다!</t>
  </si>
  <si>
    <t>뭐야 - 멋진 도서관!</t>
  </si>
  <si>
    <t>What an amazing library!</t>
  </si>
  <si>
    <t>이 산이 정말 장관이다!</t>
  </si>
  <si>
    <t>뭐야 - 장관인 산!</t>
  </si>
  <si>
    <t>What a breathtaking mountain!</t>
  </si>
  <si>
    <t>이 파스타가 정말 맛있다!</t>
  </si>
  <si>
    <t>뭐야 - 맛있는 파스타!</t>
  </si>
  <si>
    <t>What a delicious pasta!</t>
  </si>
  <si>
    <t>이 스무디가 정말 상쾌하다!</t>
  </si>
  <si>
    <t>뭐야 - 상쾌한 스무디!</t>
  </si>
  <si>
    <t>What a refreshing smoothie!</t>
  </si>
  <si>
    <t>당신은 정말 인상적인 성과를 이루웠다!</t>
  </si>
  <si>
    <t>뭐야! - 인상적인 성과 - 당신 - 이루었다</t>
  </si>
  <si>
    <t>What an impressive achievement you accomplished!</t>
  </si>
  <si>
    <t>이 결과가 정말 놀랍다!</t>
  </si>
  <si>
    <t>뭐야 - 놀라운 결과!</t>
  </si>
  <si>
    <t>What a surprising result!</t>
  </si>
  <si>
    <t>이 디자인이 정말 혁신적이다!</t>
  </si>
  <si>
    <t>뭐야 - 혁신적인 디자인!</t>
  </si>
  <si>
    <t>What an innovative design!</t>
  </si>
  <si>
    <t>이 아이디어가 정말 창의적이다!</t>
  </si>
  <si>
    <t>뭐야 - 창의적인 아이디어!</t>
  </si>
  <si>
    <t>What a creative idea!</t>
  </si>
  <si>
    <t>당신의 여행 이야기가 정말 흥미진진하다!</t>
  </si>
  <si>
    <t>뭐야! - 흥미진진한 여행 이야기 - 당신 - 말했다</t>
  </si>
  <si>
    <t>What an exciting travel story you told!</t>
  </si>
  <si>
    <t>새 집이 정말 멋지다!</t>
  </si>
  <si>
    <t>뭐야 - 멋진 새 집!</t>
  </si>
  <si>
    <t>What a fantastic new house!</t>
  </si>
  <si>
    <t>이 노래가 정말 좋은데!</t>
  </si>
  <si>
    <t>뭐야 - 좋은 노래!</t>
  </si>
  <si>
    <t>What a great song!</t>
  </si>
  <si>
    <t>이 책이 정말 재미있다!</t>
  </si>
  <si>
    <t>뭐야 - 재미있는 책!</t>
  </si>
  <si>
    <t>What an interesting book!</t>
  </si>
  <si>
    <t>정말 멋진 새 차네!</t>
  </si>
  <si>
    <t>뭐야 - 멋진 새 차!</t>
  </si>
  <si>
    <t>What a cool new car!</t>
  </si>
  <si>
    <t>정말 맛있는 요리를 만드셨네요!</t>
  </si>
  <si>
    <t>뭐야! - 맛있는 요리 - 당신 - 만들었다</t>
  </si>
  <si>
    <t>What a delicious dish you made!</t>
  </si>
  <si>
    <t>이 파티가 정말 즐겁다!</t>
  </si>
  <si>
    <t>뭐야 - 즐거운 파티!</t>
  </si>
  <si>
    <t>What a fun party!</t>
  </si>
  <si>
    <t>당신의 스타일이 정말 멋지다!</t>
  </si>
  <si>
    <t>뭐야 - 멋진 스타일!</t>
  </si>
  <si>
    <t>What a great style!</t>
  </si>
  <si>
    <t>감탄문 how</t>
  </si>
  <si>
    <t>이 디저트가 얼마나 달콤한지!</t>
  </si>
  <si>
    <t>얼마나 - 달콤한지! - 이 디저트 - 이다</t>
  </si>
  <si>
    <t>How sweet this dessert is!</t>
  </si>
  <si>
    <t>이 카레가 얼마나 매운지!</t>
  </si>
  <si>
    <t>얼마나 - 매운지! - 이 카레 - 이다</t>
  </si>
  <si>
    <t>How spicy this curry is!</t>
  </si>
  <si>
    <t>이 음료가 얼마나 상큼한지!</t>
  </si>
  <si>
    <t>얼마나 - 상큼한지! - 이 음료 - 이다</t>
  </si>
  <si>
    <t>How refreshing this drink is!</t>
  </si>
  <si>
    <t>이 케이크가 얼마나 놀라운지!</t>
  </si>
  <si>
    <t>얼마나 - 놀라운지! - 이 케이크 - 이다</t>
  </si>
  <si>
    <t>How amazing this cake is!</t>
  </si>
  <si>
    <t>이 수프가 얼마나 맛있는지!</t>
  </si>
  <si>
    <t>얼마나 - 맛있는지! - 이 수프 - 이다</t>
  </si>
  <si>
    <t>How delicious this soup is!</t>
  </si>
  <si>
    <t>이 스테이크가 얼마나 부드러운지!</t>
  </si>
  <si>
    <t>얼마나 - 부드러운지! - 이 스테이크 - 이다</t>
  </si>
  <si>
    <t>How tender this steak is!</t>
  </si>
  <si>
    <t>이 샐러드가 얼마나 신선한지!</t>
  </si>
  <si>
    <t>얼마나 - 신선한지! - 이 샐러드 - 이다</t>
  </si>
  <si>
    <t>How fresh this salad is!</t>
  </si>
  <si>
    <t>이 커피가 얼마나 향긋한지!</t>
  </si>
  <si>
    <t>얼마나 - 향긋한지! - 이 커피 - 이다</t>
  </si>
  <si>
    <t>How fragrant this coffee is!</t>
  </si>
  <si>
    <t>이 초콜릿이 얼마나 진한지!</t>
  </si>
  <si>
    <t>얼마나 - 진한지! - 이 초콜릿 - 이다</t>
  </si>
  <si>
    <t>How rich this chocolate is!</t>
  </si>
  <si>
    <t>이 아이스크림이 얼마나 시원한지!</t>
  </si>
  <si>
    <t>얼마나 - 시원한지! - 이 아이스크림 - 이다</t>
  </si>
  <si>
    <t>How cool this ice cream is!</t>
  </si>
  <si>
    <t>이 파스타가 얼마나 맛있는지!</t>
  </si>
  <si>
    <t>얼마나 - 맛있는지! - 이 파스타 - 이다</t>
  </si>
  <si>
    <t>How delicious this pasta is!</t>
  </si>
  <si>
    <t>이 피자가 얼마나 고소한지!</t>
  </si>
  <si>
    <t>얼마나 - 고소한지! - 이 피자 - 이다</t>
  </si>
  <si>
    <t>How savory this pizza is!</t>
  </si>
  <si>
    <t>이 수프가 얼마나 뜨거운지!</t>
  </si>
  <si>
    <t>얼마나 - 뜨거운지! - 이 수프 - 이다</t>
  </si>
  <si>
    <t>How hot this soup is!</t>
  </si>
  <si>
    <t>이 치즈가 얼마나 부드러운지!</t>
  </si>
  <si>
    <t>얼마나 - 부드러운지! - 이 치즈 - 이다</t>
  </si>
  <si>
    <t>How smooth this cheese is!</t>
  </si>
  <si>
    <t>이 와인이 얼마나 깊은지!</t>
  </si>
  <si>
    <t>얼마나 - 깊은지! - 이 와인 - 이다</t>
  </si>
  <si>
    <t>How deep this wine is!</t>
  </si>
  <si>
    <t>이 디저트가 얼마나 부드러운지!</t>
  </si>
  <si>
    <t>얼마나 - 부드러운지! - 이 디저트 - 이다</t>
  </si>
  <si>
    <t>How soft this dessert is!</t>
  </si>
  <si>
    <t>이 발표가 얼마나 성공적인지!</t>
  </si>
  <si>
    <t>얼마나 - 성공적인지! - 이 발표 - 이다</t>
  </si>
  <si>
    <t>How successful this presentation is!</t>
  </si>
  <si>
    <t>이 회의가 얼마나 효율적인지!</t>
  </si>
  <si>
    <t>얼마나 - 효율적인지! - 이 회의 - 이다</t>
  </si>
  <si>
    <t>How efficient this meeting is!</t>
  </si>
  <si>
    <t>이 동료가 얼마나 친절한지!</t>
  </si>
  <si>
    <t>얼마나 - 친절한지! - 이 동료 - 이다</t>
  </si>
  <si>
    <t>How kind this colleague is!</t>
  </si>
  <si>
    <t>이 프로젝트가 얼마나 중요한지!</t>
  </si>
  <si>
    <t>얼마나 - 중요한지! - 이 프로젝트 - 이다</t>
  </si>
  <si>
    <t>How important this project is!</t>
  </si>
  <si>
    <t>이 제안이 얼마나 창의적인지!</t>
  </si>
  <si>
    <t>얼마나 - 창의적인지! - 이 제안 - 이다</t>
  </si>
  <si>
    <t>How creative this proposal is!</t>
  </si>
  <si>
    <t>감탄문 how(학교 생활)</t>
  </si>
  <si>
    <t>이 수업이 얼마나 유익한지!</t>
  </si>
  <si>
    <t>얼마나 - 유익한지! - 이 수업 - 이다</t>
  </si>
  <si>
    <t>How informative this class is!</t>
  </si>
  <si>
    <t>이 시험이 얼마나 어려운지!</t>
  </si>
  <si>
    <t>얼마나 - 어려운지! - 이 시험 - 이다</t>
  </si>
  <si>
    <t>How difficult this exam is!</t>
  </si>
  <si>
    <t>이 팀워크가 얼마나 훌륭한지!</t>
  </si>
  <si>
    <t>얼마나 - 훌륭한지! - 이 팀워크 - 이다</t>
  </si>
  <si>
    <t>How excellent this teamwork is!</t>
  </si>
  <si>
    <t>이 발표가 얼마나 긴장되는지!</t>
  </si>
  <si>
    <t>얼마나 - 긴장되는지! - 이 발표 - 이다</t>
  </si>
  <si>
    <t>How nerve-wracking this presentation is!</t>
  </si>
  <si>
    <t>이 친구가 얼마나 도움이 되는지!</t>
  </si>
  <si>
    <t>얼마나 - 도움이 되는지! - 이 친구 - 이다</t>
  </si>
  <si>
    <t>How helpful this friend is!</t>
  </si>
  <si>
    <t>감탄문 how(일상 생활)</t>
  </si>
  <si>
    <t>이 날씨가 얼마나 상쾌한지!</t>
  </si>
  <si>
    <t>얼마나 - 상쾌한지! - 이 날씨 - 이다</t>
  </si>
  <si>
    <t>How refreshing this weather is!</t>
  </si>
  <si>
    <t>이 휴식이 얼마나 필요한지!</t>
  </si>
  <si>
    <t>얼마나 - 필요한지! - 이 휴식 - 이다</t>
  </si>
  <si>
    <t>How necessary this break is!</t>
  </si>
  <si>
    <t>이 산책이 얼마나 평화로운지!</t>
  </si>
  <si>
    <t>얼마나 - 평화로운지! - 이 산책 - 이다</t>
  </si>
  <si>
    <t>How peaceful this walk is!</t>
  </si>
  <si>
    <t>이 영화가 얼마나 재미있는지!</t>
  </si>
  <si>
    <t>얼마나 - 재미있는지! - 이 영화 - 이다</t>
  </si>
  <si>
    <t>How entertaining this movie is!</t>
  </si>
  <si>
    <t>이 대화가 얼마나 의미 있는지!</t>
  </si>
  <si>
    <t>얼마나 - 의미 있는지! - 이 대화 - 이다</t>
  </si>
  <si>
    <t>How meaningful this conversation is!</t>
  </si>
  <si>
    <t>이 상사가 얼마나 지혜로운지!</t>
  </si>
  <si>
    <t>얼마나 - 지혜로운지! - 이 상사 - 이다</t>
  </si>
  <si>
    <t>How wise this boss is!</t>
  </si>
  <si>
    <t>이 협상이 얼마나 순조로운지!</t>
  </si>
  <si>
    <t>얼마나 - 순조로운지! - 이 협상 - 이다</t>
  </si>
  <si>
    <t>How smooth this negotiation is!</t>
  </si>
  <si>
    <t>이 팀이 얼마나 협력적인지!</t>
  </si>
  <si>
    <t>얼마나 - 협력적인지! - 이 팀 - 이다</t>
  </si>
  <si>
    <t>How cooperative this team is!</t>
  </si>
  <si>
    <t>이 일정이 얼마나 타이트한지!</t>
  </si>
  <si>
    <t>얼마나 - 타이트한지! - 이 일정 - 이다</t>
  </si>
  <si>
    <t>How tight this schedule is!</t>
  </si>
  <si>
    <t>이 프레젠테이션이 얼마나 설득력 있는지!</t>
  </si>
  <si>
    <t>얼마나 - 설득력 있는지! - 이 프레젠테이션 - 이다</t>
  </si>
  <si>
    <t>How persuasive this presentation is!</t>
  </si>
  <si>
    <t>이 과제가 얼마나 어려운지!</t>
  </si>
  <si>
    <t>얼마나 - 어려운지! - 이 과제 - 이다</t>
  </si>
  <si>
    <t>How challenging this assignment is!</t>
  </si>
  <si>
    <t>이 학기가 얼마나 바쁜지!</t>
  </si>
  <si>
    <t>얼마나 - 바쁜지! - 이 학기 - 이다</t>
  </si>
  <si>
    <t>How busy this semester is!</t>
  </si>
  <si>
    <t>이 교수님이 얼마나 열정적인지!</t>
  </si>
  <si>
    <t>얼마나 - 열정적인지! - 이 교수님 - 이다</t>
  </si>
  <si>
    <t>How passionate this professor is!</t>
  </si>
  <si>
    <t>이 프로젝트가 얼마나 도전적인지!</t>
  </si>
  <si>
    <t>얼마나 - 도전적인지! - 이 프로젝트 - 이다</t>
  </si>
  <si>
    <t>How challenging this project is!</t>
  </si>
  <si>
    <t>이 시험 결과가 얼마나 놀라운지!</t>
  </si>
  <si>
    <t>얼마나 - 놀라운지! - 이 시험 결과 - 이다</t>
  </si>
  <si>
    <t>How surprising this exam result is!</t>
  </si>
  <si>
    <t>조동사 + have p.p</t>
  </si>
  <si>
    <t>그는 이미 집에 갔을지도 모른다.</t>
  </si>
  <si>
    <t>그 - 음 아마도 했을 수도 있는 바는 - 갔다 - 집 - 이미</t>
  </si>
  <si>
    <t>He might have gone home already.</t>
  </si>
  <si>
    <t>우리는 그 문제를 해결할 수 있었을 것이다.</t>
  </si>
  <si>
    <t>우리 - 할 수도 있었는 바는 - 해결하다 - 그 문제</t>
  </si>
  <si>
    <t>We could have solved the problem.</t>
  </si>
  <si>
    <t>너는 더 일찍 떠났어야 했어.</t>
  </si>
  <si>
    <t>너 - 해야 했었는 바는 - 떠났다 - 더 일찍</t>
  </si>
  <si>
    <t>You should have left earlier.</t>
  </si>
  <si>
    <t>그는 나를 도왔을 수도 있다.</t>
  </si>
  <si>
    <t>그 - 했을 수도 있는 바는 - 도왔다 - 나</t>
  </si>
  <si>
    <t>He could have helped me.</t>
  </si>
  <si>
    <t>그가 왔을 텐데...</t>
  </si>
  <si>
    <t>그 - 했을 바는 - 왔다</t>
  </si>
  <si>
    <t>He would have come.</t>
  </si>
  <si>
    <t>그는 그 일을 끝냈음에 틀림없다.</t>
  </si>
  <si>
    <t>그 - 틀림없이 했는 바는 - 끝냈다 - 그 일</t>
  </si>
  <si>
    <t>He must have finished the work.</t>
  </si>
  <si>
    <t>그녀가 그 말을 했을 리가 절대 없다.</t>
  </si>
  <si>
    <t>그녀 - 틀림없이 했을 리가 없는 바는 - 말했다 - 그(that) 말</t>
  </si>
  <si>
    <t>She cannot have said that.</t>
  </si>
  <si>
    <t>너는 나에게 더 일찍 연락했어야 했어.</t>
  </si>
  <si>
    <t>너 - 해야 했었는 바는 - 연락했다 - 나 - 더 일찍</t>
  </si>
  <si>
    <t>You should have called me earlier.</t>
  </si>
  <si>
    <t>그는 그 돈을 낭비하지 말았어야 했다.</t>
  </si>
  <si>
    <t>그 - 하지 말았어야 했던 바는 - 낭비했다 - 그 돈</t>
  </si>
  <si>
    <t>He shouldn't have wasted the money.</t>
  </si>
  <si>
    <t>그가 도와줬을 텐데...</t>
  </si>
  <si>
    <t>그 - 했을 바는 - 도와줬다</t>
  </si>
  <si>
    <t>He would have helped.</t>
  </si>
  <si>
    <t>그는 그 장소에 있었을 리가 없다.</t>
  </si>
  <si>
    <t>그 - 했을 리가 없는 바는 - 있었다 - 그 장소</t>
  </si>
  <si>
    <t>He couldn't have been there.</t>
  </si>
  <si>
    <t>그는 이미 떠났을지도 모른다.</t>
  </si>
  <si>
    <t>그 - 아마도 했을 수도 있는 바는 - 떠났다 - 이미</t>
  </si>
  <si>
    <t>He may have left already.</t>
  </si>
  <si>
    <t>그는 밤새 공부했음에 틀림없다.</t>
  </si>
  <si>
    <t>그 - 틀림없이 했는 바는 - 공부했다 - 밤새</t>
  </si>
  <si>
    <t>He must have studied all night.</t>
  </si>
  <si>
    <t>그들은 그 소식을 들었을 리가 전혀 없다.</t>
  </si>
  <si>
    <t>그들 - 틀림없이 했을 리가 없는 바는 - 들었다 - 그 소식</t>
  </si>
  <si>
    <t>They cannot have heard the news.</t>
  </si>
  <si>
    <t>너는 그 일을 확인했어야 했어.</t>
  </si>
  <si>
    <t>너 - 해야 했었는 바는 - 확인했다 - 그 일</t>
  </si>
  <si>
    <t>You should have checked the work.</t>
  </si>
  <si>
    <t>그는 그렇게 늦게까지 깨어있지 말았어야 했다.</t>
  </si>
  <si>
    <t>그 - 하지 말았어야 했던 바는 - 깨어있었다 - 그렇게 늦게까지</t>
  </si>
  <si>
    <t>He shouldn't have stayed up so late.</t>
  </si>
  <si>
    <t>그녀가 도와줬을 텐데...</t>
  </si>
  <si>
    <t>그녀 - 했을 바는 - 도와줬다</t>
  </si>
  <si>
    <t>She would have helped.</t>
  </si>
  <si>
    <t>우리는 더 일찍 출발할 수 있었을 것이다.</t>
  </si>
  <si>
    <t>우리 - 할 수도 있었는 바는 - 출발했다 - 더 일찍</t>
  </si>
  <si>
    <t>We could have left earlier.</t>
  </si>
  <si>
    <t>그는 그렇게 빨리 일을 끝냈을 리가 없다.</t>
  </si>
  <si>
    <t>그 - 했을 리가 없는 바는 - 끝냈다 - 일 - 그렇게 빨리</t>
  </si>
  <si>
    <t>He couldn't have finished the work so quickly.</t>
  </si>
  <si>
    <t>그는 회의를 놓쳤을지도 모른다.</t>
  </si>
  <si>
    <t>그 - 아마도 했을 수도 있는 바는 - 놓쳤다 - 회의</t>
  </si>
  <si>
    <t>He may have missed the meeting.</t>
  </si>
  <si>
    <t>그녀는 다른 길로 갔을지도 모른다.</t>
  </si>
  <si>
    <t>그녀 - 음 아마도 했을 수도 있는 바는 - 갔다 - 다른 길</t>
  </si>
  <si>
    <t>She might have gone another way.</t>
  </si>
  <si>
    <t>그는 늦잠을 잤음에 틀림없다.</t>
  </si>
  <si>
    <t>그 - 틀림없이 했는 바는 - 늦잠을 잤다</t>
  </si>
  <si>
    <t>He must have overslept.</t>
  </si>
  <si>
    <t>그녀가 절대로 나를 잊었을 리가 없다.</t>
  </si>
  <si>
    <t>그녀 - 틀림없이 했을 리가 없는 바는 - 잊다 - 나</t>
  </si>
  <si>
    <t>She cannot have forgotten me.</t>
  </si>
  <si>
    <t>우리는 더 많은 준비를 했어야 했다.</t>
  </si>
  <si>
    <t>우리 - 해야 했었는 바는 - 하다 - 더 많은 준비</t>
  </si>
  <si>
    <t>We should have made more preparations.</t>
  </si>
  <si>
    <t>나는 그를 그렇게 무례하게 대하지 말았어야 했다.</t>
  </si>
  <si>
    <t>나 - 하지 말았어야 했는 바는 - 대하다 - 그 - 그렇게 무례하게</t>
  </si>
  <si>
    <t>I shouldn't have treated him so rudely.</t>
  </si>
  <si>
    <t>나는 새 차를 샀을 텐데...</t>
  </si>
  <si>
    <t>나 - 했었을 바는 - 사다 - 새 차</t>
  </si>
  <si>
    <t>I would have bought a new car.</t>
  </si>
  <si>
    <t>그녀는 시험에 합격할 수 있었을 것이다.</t>
  </si>
  <si>
    <t>그녀 - 할 수도 있었는 바는 - 합격하다 - 시험</t>
  </si>
  <si>
    <t>She could have passed the exam.</t>
  </si>
  <si>
    <t>그는 그렇게 멀리 갔을 리가 없다.</t>
  </si>
  <si>
    <t>그 - 했을 리가 없는 바는 - 가다 - 그렇게(that) 멀리</t>
  </si>
  <si>
    <t>He couldn't have gone that far.</t>
  </si>
  <si>
    <t>그는 이미 결정을 내렸을지도 모른다.</t>
  </si>
  <si>
    <t>그 - 아마도 했을 수도 있는 바는 - 내리다 - 결정 - 이미</t>
  </si>
  <si>
    <t>He may have made a decision already.</t>
  </si>
  <si>
    <t>그들은 길을 잃었을지도 모른다.</t>
  </si>
  <si>
    <t>그들 - 음 아마도 했을 수도 있는 바는 - 잃다 - 길</t>
  </si>
  <si>
    <t>They might have lost their way.</t>
  </si>
  <si>
    <t>동사1 + 동사2</t>
  </si>
  <si>
    <t>나는 커피 마시는 것을 즐긴다</t>
  </si>
  <si>
    <t>나 - 즐긴다 - 마시다 ing - 커피</t>
  </si>
  <si>
    <t>I enjoy drinking coffee.</t>
  </si>
  <si>
    <t>나는 의사가 되기를 결심했다</t>
  </si>
  <si>
    <t>나 - 결심했다 - to 되다 - 의사</t>
  </si>
  <si>
    <t>I decided to become a doctor.</t>
  </si>
  <si>
    <t>나는 당신을 만나기를 기대합니다.</t>
  </si>
  <si>
    <t>나 - 기대한다 - to 만나다 - 당신</t>
  </si>
  <si>
    <t>I expect to meet you.</t>
  </si>
  <si>
    <t>나는 당신을 다시 만나기를 희망한다.</t>
  </si>
  <si>
    <t>나 - 희망한다 - to 만나다 - 당신 - 다시</t>
  </si>
  <si>
    <t>I hope to meet you again.</t>
  </si>
  <si>
    <t>그녀는 도움 받기를 필요로 하다.</t>
  </si>
  <si>
    <t>그녀 - 필요로 하다 - to 이다 - 도움 받다</t>
  </si>
  <si>
    <t>She needs to be helped.</t>
  </si>
  <si>
    <t>나는 초콜릿을 조금 먹기를 원한다.</t>
  </si>
  <si>
    <t>나 - 원하다 - to 먹다 - 조금 - 초콜릿</t>
  </si>
  <si>
    <t>I want to eat some chocolate.</t>
  </si>
  <si>
    <t>그는 집에 갈 의도가 있다.</t>
  </si>
  <si>
    <t>그 - 의도가 있다 - to 가다 - 집</t>
  </si>
  <si>
    <t>He intends to go home.</t>
  </si>
  <si>
    <t>나는 그들에게 구호품을 보내기로 결심한다.</t>
  </si>
  <si>
    <t>나 - 결심한다 - to 보내다 - 구호품 - to 그들</t>
  </si>
  <si>
    <t>I determine to send relief to them.</t>
  </si>
  <si>
    <t>나는 더 열심히 일하기로 맹세한다.</t>
  </si>
  <si>
    <t>나 - 맹세한다 - to 일하다 - 열심히 - 더</t>
  </si>
  <si>
    <t>I vow to work harder.</t>
  </si>
  <si>
    <t>내 취미는 영어를 공부하는 것이다.</t>
  </si>
  <si>
    <t>내 취미 - 이다 - 공부하다 ing - 영어</t>
  </si>
  <si>
    <t>My hobby is studying English.</t>
  </si>
  <si>
    <t>내 꿈은 의사가 되는 것이다.</t>
  </si>
  <si>
    <t>내 꿈 - 이다 - to 되다 - 의사</t>
  </si>
  <si>
    <t>My dream is to become a doctor.</t>
  </si>
  <si>
    <t>그를 아는 것은 축복이다.</t>
  </si>
  <si>
    <t>알다 ing - 그 - 이다 - 축복</t>
  </si>
  <si>
    <t>Knowing him is a blessing.</t>
  </si>
  <si>
    <t>그를 아는 것은 축복이다.(it)</t>
  </si>
  <si>
    <t>It is a blessing knowing him.</t>
  </si>
  <si>
    <t>그를 알게하는 것은 의미가 있다.</t>
  </si>
  <si>
    <t>To 알다 - 그 - 이다 - 의미있는</t>
  </si>
  <si>
    <t>To know him is meaningful.</t>
  </si>
  <si>
    <t>그를 알게하는 것은 의미가 있다.(it)</t>
  </si>
  <si>
    <t>It is meaningful to know him.</t>
  </si>
  <si>
    <t>형용사 + to ~</t>
  </si>
  <si>
    <t>to V</t>
  </si>
  <si>
    <t>그 연료가 하와이에 다다를 수 있을 정도로 충분하다.</t>
  </si>
  <si>
    <t>그 연료 - 이다 - 충분한 상태 - to 다다르다 - 하와이</t>
  </si>
  <si>
    <t>The fuel is enough to reach Hawaii.</t>
  </si>
  <si>
    <t>그는 미국에 가기를 열망하고 있다.</t>
  </si>
  <si>
    <t>그 - 이다 - 열망하는 상태 - to 가다 - to - 미국</t>
  </si>
  <si>
    <t>He is eager to go to America.</t>
  </si>
  <si>
    <t>그 수영장은 보트들을 그곳으로 항해하도록 만들 정도로 충분히 크다.</t>
  </si>
  <si>
    <t>그 수영장 - 이다 - 큰 - 충분히 - to 만들다 - 보트들 - to 향해하다 - on - 그곳</t>
  </si>
  <si>
    <t>The pool is large enough to make boats to sail on it.</t>
  </si>
  <si>
    <t>그는 차를 들어 올릴 정도로 충분히 강하다.</t>
  </si>
  <si>
    <t>그 - 이다 - 강한 - 충분히 - to 들어 올리다 - 차</t>
  </si>
  <si>
    <t>He is strong enough to lift a car.</t>
  </si>
  <si>
    <t>too 형용사 to ~</t>
  </si>
  <si>
    <t>이건 먹기에는 너무나도 아름답다.</t>
  </si>
  <si>
    <t>이것 - 이다 - too - 아름다운 상태 - to 먹다</t>
  </si>
  <si>
    <t>This is too beautiful to eat.</t>
  </si>
  <si>
    <t>명사 + to ~</t>
  </si>
  <si>
    <t>나는 영어를 공부 해야 할 필요가 있다.</t>
  </si>
  <si>
    <t>나 - 가지고 있다 - 필요 - to 공부하다 - 영어</t>
  </si>
  <si>
    <t>I have a need to study English.</t>
  </si>
  <si>
    <t>나는 영어를 공부 해야 할 필요가 있다.(원문)</t>
  </si>
  <si>
    <t>나 - 가지고 있다 - 필요 - which - 이다 - that - 나 - 해야하는 바는 - 공부하다 - 영어</t>
  </si>
  <si>
    <t>I have a need which is that I should study English.</t>
  </si>
  <si>
    <t>나는 박물관을 방문할 너의 계획을 안다.</t>
  </si>
  <si>
    <t>나 - 안다 - 너의 계획 - to 방문하다 - 박물관</t>
  </si>
  <si>
    <t>I know your plan to visit the museum.</t>
  </si>
  <si>
    <t>그는 중국어를 할 수 있는 그녀의 능력을 종아한다.</t>
  </si>
  <si>
    <t>그 - 좋아한다 - 그녀의 능력 - to 말하다 - 중국어</t>
  </si>
  <si>
    <t>He likes her ability to speak Chinese.</t>
  </si>
  <si>
    <t>그 사람은 노벨상을 수상할 그녀의 잠재력을 알았다.</t>
  </si>
  <si>
    <t>그 사람은 - 알았다 - 그녀의 잠재력 - to 수상하다 - 노벨상</t>
  </si>
  <si>
    <t>The person knew her potential to win a Nobel Prize.</t>
  </si>
  <si>
    <t>나는 그 일을 완수 할 수 있는 때를 안다.(그 때)</t>
  </si>
  <si>
    <t>나 - 안다 - 그 때 - to 완수하다 - 그 일</t>
  </si>
  <si>
    <t>I know the time to complete the job.</t>
  </si>
  <si>
    <t>나는 그 일을 완수 할 수 있는 때를 안다.(원문)</t>
  </si>
  <si>
    <t>나 - 안다 - 그 때 - when - 나 - 가능한 바는 - 완수하다 - 그 일</t>
  </si>
  <si>
    <t>I know the time when I can complete the job.</t>
  </si>
  <si>
    <t>나는 그 일을 완수 할 수 있는 때를 안다.(생략)</t>
  </si>
  <si>
    <t>나 - 안다 - when - to 완수하다 - 그 일</t>
  </si>
  <si>
    <t>I know when to complete the job.</t>
  </si>
  <si>
    <t>100% 아닌 것</t>
  </si>
  <si>
    <t>그는 중국어를 유창하게 말 하는 것 처럼 보인다.</t>
  </si>
  <si>
    <t>그 - 보인다 - 말하는 것 처럼 - 중국어 - 유창하게</t>
  </si>
  <si>
    <t>He seems to speak Chinese fluently.</t>
  </si>
  <si>
    <t>그는 의사인 척합니다.</t>
  </si>
  <si>
    <t>그 - 척한다 - 이다 - 의사</t>
  </si>
  <si>
    <t>He pretends to be a doctor.</t>
  </si>
  <si>
    <t>그는 내 친구를 잘 안다고 주장한다.</t>
  </si>
  <si>
    <t>그 - 주장한다 - 안다고 - 내 친구 - 잘</t>
  </si>
  <si>
    <t>He claims to know my friend well.</t>
  </si>
  <si>
    <t>그는 그녀를 매우 사랑한다고 알려져 있다.</t>
  </si>
  <si>
    <t>그 - 이다 - 알려져 있다 - 사랑한다라고 - 그녀 - 매우</t>
  </si>
  <si>
    <t>He is known to love her very much.</t>
  </si>
  <si>
    <t>최상급</t>
  </si>
  <si>
    <t>그녀는 그 상을 수상하게 된 최연소 선수이다.</t>
  </si>
  <si>
    <t>그녀 - 이다 - 최연소 선수 - to 수상하다 - 그 상</t>
  </si>
  <si>
    <t>She is the youngest player to win the award.</t>
  </si>
  <si>
    <t>그는 그 경주를 완주하게 된 가장 빠른 주자이다.</t>
  </si>
  <si>
    <t>그 - 이다 - 가장 빠른 주자 - to 완주하다 - 그 경주</t>
  </si>
  <si>
    <t>He is the fastest runner to complete the race.</t>
  </si>
  <si>
    <t>감정 → to ~</t>
  </si>
  <si>
    <t>나는 내 가족을 다시 보게 되어서 행복하다.</t>
  </si>
  <si>
    <t>나 - 이다 - 행복한 상태 - to 보다 - 내 가족 - 다시</t>
  </si>
  <si>
    <t>I am happy to see my family again.</t>
  </si>
  <si>
    <t>&lt;조동사&gt; 감정 → to ~</t>
  </si>
  <si>
    <t>당신을 돕게 된다면 저는 행복할 겁니다.</t>
  </si>
  <si>
    <t>나 - 할 겁니다 - 이다 - 행복한 상태 - 돕게 된다면 - 당신</t>
  </si>
  <si>
    <t>I would be happy to help you.</t>
  </si>
  <si>
    <t>사역</t>
  </si>
  <si>
    <t>나는 그를 영어 공부하도록 만들었다.</t>
  </si>
  <si>
    <t>나 - 만들었다 - 그 - to - 공부하다 - 영어</t>
  </si>
  <si>
    <t>I made him study English.</t>
  </si>
  <si>
    <t>헬리콥터가 도로 위에 떠 있다.</t>
  </si>
  <si>
    <r>
      <rPr>
        <sz val="12"/>
        <color indexed="8"/>
        <rFont val="Apple SD 산돌고딕 Neo 일반체"/>
      </rPr>
      <t>헬리콥터 - 떠 있다 - above - 도로</t>
    </r>
  </si>
  <si>
    <t>The helicopter hovers above the road.</t>
  </si>
  <si>
    <t>이불이 침대를 덮고 있다.</t>
  </si>
  <si>
    <r>
      <rPr>
        <sz val="12"/>
        <color indexed="8"/>
        <rFont val="Apple SD 산돌고딕 Neo 일반체"/>
      </rPr>
      <t>이불 - 덮고 있다 - over - 침대</t>
    </r>
  </si>
  <si>
    <t>The blanket is over the bed.</t>
  </si>
  <si>
    <t>다이버가 보트 아래에서 잠수한다.</t>
  </si>
  <si>
    <r>
      <rPr>
        <sz val="12"/>
        <color indexed="8"/>
        <rFont val="Apple SD 산돌고딕 Neo 일반체"/>
      </rPr>
      <t>다이버 - 잠수한다 - below - 보트</t>
    </r>
  </si>
  <si>
    <t>The diver swims below the boat.</t>
  </si>
  <si>
    <t>개가 나무 아래에 있다.</t>
  </si>
  <si>
    <r>
      <rPr>
        <sz val="12"/>
        <color indexed="8"/>
        <rFont val="Apple SD 산돌고딕 Neo 일반체"/>
      </rPr>
      <t>개 - 있다 - under - 나무</t>
    </r>
  </si>
  <si>
    <t>The dog is under the tree.</t>
  </si>
  <si>
    <t>개가 침대 바로 아래에 있다.</t>
  </si>
  <si>
    <r>
      <rPr>
        <sz val="12"/>
        <color indexed="8"/>
        <rFont val="Apple SD 산돌고딕 Neo 일반체"/>
      </rPr>
      <t>개 - 있다 - beneath - 침대</t>
    </r>
  </si>
  <si>
    <t>The dog is beneath the bed.</t>
  </si>
  <si>
    <t>연필이 필통 안에 있다.</t>
  </si>
  <si>
    <r>
      <rPr>
        <sz val="12"/>
        <color indexed="8"/>
        <rFont val="Apple SD 산돌고딕 Neo 일반체"/>
      </rPr>
      <t>연필 - 있다 - in - 필통</t>
    </r>
  </si>
  <si>
    <t>The pencil is in the pencil case.</t>
  </si>
  <si>
    <t>자동차가 차고 안쪽에 있다.</t>
  </si>
  <si>
    <r>
      <rPr>
        <sz val="12"/>
        <color indexed="8"/>
        <rFont val="Apple SD 산돌고딕 Neo 일반체"/>
      </rPr>
      <t>자동차 - 있다 - inside - 차고</t>
    </r>
  </si>
  <si>
    <t>The car is inside the garage.</t>
  </si>
  <si>
    <t>법은 국가의 경계 내에서만 적용된다.</t>
  </si>
  <si>
    <r>
      <rPr>
        <sz val="12"/>
        <color indexed="8"/>
        <rFont val="Apple SD 산돌고딕 Neo 일반체"/>
      </rPr>
      <t>법 - 적용된다 - within - 국가의 경계</t>
    </r>
  </si>
  <si>
    <t>The law applies within the borders of the country.</t>
  </si>
  <si>
    <t>연주자가 관중 한가운데 있다.</t>
  </si>
  <si>
    <r>
      <rPr>
        <sz val="12"/>
        <color indexed="8"/>
        <rFont val="Apple SD 산돌고딕 Neo 일반체"/>
      </rPr>
      <t>연주자 - 있다 - amid - 관중</t>
    </r>
  </si>
  <si>
    <t>The performer is amid the audience.</t>
  </si>
  <si>
    <t>학생이 나무들 가운데 앉아 있다.</t>
  </si>
  <si>
    <r>
      <rPr>
        <sz val="12"/>
        <color indexed="8"/>
        <rFont val="Apple SD 산돌고딕 Neo 일반체"/>
      </rPr>
      <t>학생 - 앉아 있다 - among - 나무들</t>
    </r>
  </si>
  <si>
    <t>The student sits among the trees.</t>
  </si>
  <si>
    <t>아이가 집 밖에 있다.</t>
  </si>
  <si>
    <r>
      <rPr>
        <sz val="12"/>
        <color indexed="8"/>
        <rFont val="Apple SD 산돌고딕 Neo 일반체"/>
      </rPr>
      <t>아이 - 있다 - out - 집</t>
    </r>
  </si>
  <si>
    <t>The child is out the house.</t>
  </si>
  <si>
    <t>고양이가 상점 바깥쪽에 있다.</t>
  </si>
  <si>
    <r>
      <rPr>
        <sz val="12"/>
        <color indexed="8"/>
        <rFont val="Apple SD 산돌고딕 Neo 일반체"/>
      </rPr>
      <t>고양이 - 있다 - outside - 상점</t>
    </r>
  </si>
  <si>
    <t>The cat is outside the store.</t>
  </si>
  <si>
    <t>울타리가 정원을 둘러싸고 있다.</t>
  </si>
  <si>
    <r>
      <rPr>
        <sz val="12"/>
        <color indexed="8"/>
        <rFont val="Apple SD 산돌고딕 Neo 일반체"/>
      </rPr>
      <t>울타리 - 있다 - around - 정원</t>
    </r>
  </si>
  <si>
    <t>The fence is around the garden.</t>
  </si>
  <si>
    <t>꽃들이 분수대를 둘러싸고 있다.</t>
  </si>
  <si>
    <r>
      <rPr>
        <sz val="12"/>
        <color indexed="8"/>
        <rFont val="Apple SD 산돌고딕 Neo 일반체"/>
      </rPr>
      <t>꽃들 - 있다 - about - 분수대</t>
    </r>
  </si>
  <si>
    <t>The flowers are about the fountain.</t>
  </si>
  <si>
    <t>나무가 연못 바로 옆에 있다.</t>
  </si>
  <si>
    <r>
      <rPr>
        <sz val="12"/>
        <color indexed="8"/>
        <rFont val="Apple SD 산돌고딕 Neo 일반체"/>
      </rPr>
      <t>나무 - 있다 - next to - 연못</t>
    </r>
  </si>
  <si>
    <t>The tree is next to the pond.</t>
  </si>
  <si>
    <t>책상이 창문 옆에 있다.</t>
  </si>
  <si>
    <r>
      <rPr>
        <sz val="12"/>
        <color indexed="8"/>
        <rFont val="Apple SD 산돌고딕 Neo 일반체"/>
      </rPr>
      <t>책상 - 있다 - beside - 창문</t>
    </r>
  </si>
  <si>
    <t>The desk is beside the window.</t>
  </si>
  <si>
    <t>병원이 공원 근처에 있다.</t>
  </si>
  <si>
    <r>
      <rPr>
        <sz val="12"/>
        <color indexed="8"/>
        <rFont val="Apple SD 산돌고딕 Neo 일반체"/>
      </rPr>
      <t>병원 - 있다 - near - 공원</t>
    </r>
  </si>
  <si>
    <t>The hospital is near the park.</t>
  </si>
  <si>
    <t>학생이 선생님과 함께 있다.</t>
  </si>
  <si>
    <r>
      <rPr>
        <sz val="12"/>
        <color indexed="8"/>
        <rFont val="Apple SD 산돌고딕 Neo 일반체"/>
      </rPr>
      <t>학생 - 있다 - with - 선생님</t>
    </r>
  </si>
  <si>
    <t>The student is with the teacher.</t>
  </si>
  <si>
    <t>아이가 친구 없이 놀고 있다.</t>
  </si>
  <si>
    <r>
      <rPr>
        <sz val="12"/>
        <color indexed="8"/>
        <rFont val="Apple SD 산돌고딕 Neo 일반체"/>
      </rPr>
      <t>아이 - 놀고 있는 중이다 - without - 친구</t>
    </r>
  </si>
  <si>
    <t>The child is playing without a friend.</t>
  </si>
  <si>
    <t>자동차가 건물들 사이에 주차되어 있다.</t>
  </si>
  <si>
    <r>
      <rPr>
        <sz val="12"/>
        <color indexed="8"/>
        <rFont val="Apple SD 산돌고딕 Neo 일반체"/>
      </rPr>
      <t>자동차 - 주차되어 있다 - between - 건물들</t>
    </r>
  </si>
  <si>
    <t>The car is parked between the buildings.</t>
  </si>
  <si>
    <t>버스가 학교 앞쪽에 서 있다.</t>
  </si>
  <si>
    <r>
      <rPr>
        <sz val="12"/>
        <color indexed="8"/>
        <rFont val="Apple SD 산돌고딕 Neo 일반체"/>
      </rPr>
      <t>버스 - 서 있는 중이다 - in front of - 학교</t>
    </r>
  </si>
  <si>
    <t>The bus is standing in front of the school.</t>
  </si>
  <si>
    <t>사람이 문 앞에 서 있다.</t>
  </si>
  <si>
    <r>
      <rPr>
        <sz val="12"/>
        <color indexed="8"/>
        <rFont val="Apple SD 산돌고딕 Neo 일반체"/>
      </rPr>
      <t>사람 - 서 있는 중이다 - before - 문</t>
    </r>
  </si>
  <si>
    <t>The person is standing before the door.</t>
  </si>
  <si>
    <t>자전거가 자동차 앞서 달린다.</t>
  </si>
  <si>
    <r>
      <rPr>
        <sz val="12"/>
        <color indexed="8"/>
        <rFont val="Apple SD 산돌고딕 Neo 일반체"/>
      </rPr>
      <t>자전거 - 달리는 중이다 - ahead of - 자동차</t>
    </r>
  </si>
  <si>
    <t>The bicycle is running ahead of the car.</t>
  </si>
  <si>
    <t>강아지가 주인 뒤에 있다.</t>
  </si>
  <si>
    <r>
      <rPr>
        <sz val="12"/>
        <color indexed="8"/>
        <rFont val="Apple SD 산돌고딕 Neo 일반체"/>
      </rPr>
      <t>강아지 - 있다 - behind - 주인</t>
    </r>
  </si>
  <si>
    <t>The dog is behind its owner.</t>
  </si>
  <si>
    <t>강아지가 주인 뒤에 따라간다.</t>
  </si>
  <si>
    <r>
      <rPr>
        <sz val="12"/>
        <color indexed="8"/>
        <rFont val="Apple SD 산돌고딕 Neo 일반체"/>
      </rPr>
      <t>강아지 - 따라간다 - after - 주인</t>
    </r>
  </si>
  <si>
    <t>The dog follows after its owner.</t>
  </si>
  <si>
    <t>학생들이 수업 직후에 간다.</t>
  </si>
  <si>
    <r>
      <rPr>
        <sz val="12"/>
        <color indexed="8"/>
        <rFont val="Apple SD 산돌고딕 Neo 일반체"/>
      </rPr>
      <t>학생들 - 간다 - following - 수업</t>
    </r>
  </si>
  <si>
    <t>The students go following the class.</t>
  </si>
  <si>
    <t>사람들이 정거장에서 기다린다.</t>
  </si>
  <si>
    <r>
      <rPr>
        <sz val="12"/>
        <color indexed="8"/>
        <rFont val="Apple SD 산돌고딕 Neo 일반체"/>
      </rPr>
      <t>사람들 - 기다린다 - at - 정거장</t>
    </r>
  </si>
  <si>
    <t>The people wait at the station.</t>
  </si>
  <si>
    <t>책이 테이블에 있다.</t>
  </si>
  <si>
    <r>
      <rPr>
        <sz val="12"/>
        <color indexed="8"/>
        <rFont val="Apple SD 산돌고딕 Neo 일반체"/>
      </rPr>
      <t>책 - 있다 - on - 테이블</t>
    </r>
  </si>
  <si>
    <t>The book is on the table.</t>
  </si>
  <si>
    <t>강이 도로를 따라서 흐른다.</t>
  </si>
  <si>
    <r>
      <rPr>
        <sz val="12"/>
        <color indexed="8"/>
        <rFont val="Apple SD 산돌고딕 Neo 일반체"/>
      </rPr>
      <t>강 - 흐른다 - along - 도로</t>
    </r>
  </si>
  <si>
    <t>The river flows along the road.</t>
  </si>
  <si>
    <t>비가 여행 중에 내린다.</t>
  </si>
  <si>
    <r>
      <rPr>
        <sz val="12"/>
        <color indexed="8"/>
        <rFont val="Apple SD 산돌고딕 Neo 일반체"/>
      </rPr>
      <t>비 - 내린다 - during - 여행</t>
    </r>
  </si>
  <si>
    <t>The rain falls during the trip.</t>
  </si>
  <si>
    <t>팀이 회사의 일부이다.</t>
  </si>
  <si>
    <r>
      <rPr>
        <sz val="12"/>
        <color indexed="8"/>
        <rFont val="Apple SD 산돌고딕 Neo 일반체"/>
      </rPr>
      <t>팀 - 이다 - 일부 - of - 회사</t>
    </r>
  </si>
  <si>
    <t>The team is part of the company.</t>
  </si>
  <si>
    <t>고양이가 의자에서 떨어졌다.</t>
  </si>
  <si>
    <r>
      <rPr>
        <sz val="12"/>
        <color indexed="8"/>
        <rFont val="Apple SD 산돌고딕 Neo 일반체"/>
      </rPr>
      <t>고양이 - 떨어졌다 - off - 의자</t>
    </r>
  </si>
  <si>
    <t>The cat fell off the chair.</t>
  </si>
  <si>
    <t>축구팀이 상대팀에 대항하여 경기한다.</t>
  </si>
  <si>
    <r>
      <rPr>
        <sz val="12"/>
        <color indexed="8"/>
        <rFont val="Apple SD 산돌고딕 Neo 일반체"/>
      </rPr>
      <t>축구팀 - 경기한다 - against - 상대팀</t>
    </r>
  </si>
  <si>
    <t>The soccer team plays against the opponent.</t>
  </si>
  <si>
    <t>그는 어려움에도 불구하고 성공했다.</t>
  </si>
  <si>
    <r>
      <rPr>
        <sz val="12"/>
        <color indexed="8"/>
        <rFont val="Apple SD 산돌고딕 Neo 일반체"/>
      </rPr>
      <t>그 - 성공했다 - despite - 어려움</t>
    </r>
  </si>
  <si>
    <t>He succeeded despite the difficulties.</t>
  </si>
  <si>
    <t>그녀를 제외하고 모두가 초대되었다.</t>
  </si>
  <si>
    <r>
      <rPr>
        <sz val="12"/>
        <color indexed="8"/>
        <rFont val="Apple SD 산돌고딕 Neo 일반체"/>
      </rPr>
      <t>모두 - 초대되었다 - except - 그녀</t>
    </r>
  </si>
  <si>
    <t>Everyone was invited except her.</t>
  </si>
  <si>
    <t>그 기사가 유명한 작가에 의해 쓰여졌다.</t>
  </si>
  <si>
    <r>
      <rPr>
        <sz val="12"/>
        <color indexed="8"/>
        <rFont val="Apple SD 산돌고딕 Neo 일반체"/>
      </rPr>
      <t>그 기사 - 쓰여졌다 - by - 유명한 작가</t>
    </r>
  </si>
  <si>
    <t>The article was written by a famous author.</t>
  </si>
  <si>
    <t>그는 그의 가족을 위해 일한다.</t>
  </si>
  <si>
    <r>
      <rPr>
        <sz val="12"/>
        <color indexed="8"/>
        <rFont val="Apple SD 산돌고딕 Neo 일반체"/>
      </rPr>
      <t>그 - 일한다 - for - 그의 가족</t>
    </r>
  </si>
  <si>
    <t>He works for his family.</t>
  </si>
  <si>
    <t>새들이 해안쪽으로 날아간다.</t>
  </si>
  <si>
    <r>
      <rPr>
        <sz val="12"/>
        <color indexed="8"/>
        <rFont val="Apple SD 산돌고딕 Neo 일반체"/>
      </rPr>
      <t>새들 - 날아간다 - toward - 해안</t>
    </r>
  </si>
  <si>
    <t>The birds fly toward the shore.</t>
  </si>
  <si>
    <t>그는 파티에 간다.</t>
  </si>
  <si>
    <r>
      <rPr>
        <sz val="12"/>
        <color indexed="8"/>
        <rFont val="Apple SD 산돌고딕 Neo 일반체"/>
      </rPr>
      <t>그 - 간다 - to - 파티</t>
    </r>
  </si>
  <si>
    <t>He goes to the party.</t>
  </si>
  <si>
    <t>물이 컵 안으로 들어간다.</t>
  </si>
  <si>
    <r>
      <rPr>
        <sz val="12"/>
        <color indexed="8"/>
        <rFont val="Apple SD 산돌고딕 Neo 일반체"/>
      </rPr>
      <t>물 - 들어간다 - into - 컵</t>
    </r>
  </si>
  <si>
    <t>The water goes into the cup.</t>
  </si>
  <si>
    <t>그는 도로를 가로질러 간다.</t>
  </si>
  <si>
    <r>
      <rPr>
        <sz val="12"/>
        <color indexed="8"/>
        <rFont val="Apple SD 산돌고딕 Neo 일반체"/>
      </rPr>
      <t>그 - 간다 - across - 도로</t>
    </r>
  </si>
  <si>
    <t>He goes across the street.</t>
  </si>
  <si>
    <t>바람이 창문을 통해 불어온다.</t>
  </si>
  <si>
    <r>
      <rPr>
        <sz val="12"/>
        <color indexed="8"/>
        <rFont val="Apple SD 산돌고딕 Neo 일반체"/>
      </rPr>
      <t>바람 - 불어온다 - through - 창문</t>
    </r>
  </si>
  <si>
    <t>The wind blows through the window.</t>
  </si>
  <si>
    <t>소문이 학교 전역에 퍼졌다.</t>
  </si>
  <si>
    <r>
      <rPr>
        <sz val="12"/>
        <color indexed="8"/>
        <rFont val="Apple SD 산돌고딕 Neo 일반체"/>
      </rPr>
      <t>소문 - 퍼졌다 - throughout - 학교</t>
    </r>
  </si>
  <si>
    <t>The rumor spread throughout the school.</t>
  </si>
  <si>
    <t>그는 기차를 지나 갔다.</t>
  </si>
  <si>
    <r>
      <rPr>
        <sz val="12"/>
        <color indexed="8"/>
        <rFont val="Apple SD 산돌고딕 Neo 일반체"/>
      </rPr>
      <t>그 - 갔다 - past - 기차</t>
    </r>
  </si>
  <si>
    <t>He went past the train.</t>
  </si>
  <si>
    <t>달이 산 너머로 보인다.</t>
  </si>
  <si>
    <r>
      <rPr>
        <sz val="12"/>
        <color indexed="8"/>
        <rFont val="Apple SD 산돌고딕 Neo 일반체"/>
      </rPr>
      <t>달 - 보인다 - beyond - 산</t>
    </r>
  </si>
  <si>
    <t>The moon is seen beyond the mountain.</t>
  </si>
  <si>
    <t>새들이 저 멀리로 날아간다.</t>
  </si>
  <si>
    <r>
      <rPr>
        <sz val="12"/>
        <color indexed="8"/>
        <rFont val="Apple SD 산돌고딕 Neo 일반체"/>
      </rPr>
      <t>새들 - 날아간다 - away</t>
    </r>
  </si>
  <si>
    <t>Birds fly away.</t>
  </si>
  <si>
    <t>연기가 굴뚝 위로 올라간다.</t>
  </si>
  <si>
    <r>
      <rPr>
        <sz val="12"/>
        <color indexed="8"/>
        <rFont val="Apple SD 산돌고딕 Neo 일반체"/>
      </rPr>
      <t>연기 - 올라간다 - up - 굴뚝</t>
    </r>
  </si>
  <si>
    <t>The smoke rises up the chimney.</t>
  </si>
  <si>
    <t>나는 산 위로 올라갔다.</t>
  </si>
  <si>
    <r>
      <rPr>
        <sz val="12"/>
        <color indexed="8"/>
        <rFont val="Apple SD 산돌고딕 Neo 일반체"/>
      </rPr>
      <t>나 - 올라갔다 - up - 산</t>
    </r>
  </si>
  <si>
    <t>강아지가 계단 아래로 달려간다.</t>
  </si>
  <si>
    <r>
      <rPr>
        <sz val="12"/>
        <color indexed="8"/>
        <rFont val="Apple SD 산돌고딕 Neo 일반체"/>
      </rPr>
      <t>강아지 - 달려간다 - down - 계단</t>
    </r>
  </si>
  <si>
    <t>The puppy runs down the stairs.</t>
  </si>
  <si>
    <t>그녀는 뉴욕에서 왔다.</t>
  </si>
  <si>
    <r>
      <rPr>
        <sz val="12"/>
        <color indexed="8"/>
        <rFont val="Apple SD 산돌고딕 Neo 일반체"/>
      </rPr>
      <t>그녀 - 왔다 - from - 뉴욕</t>
    </r>
  </si>
  <si>
    <t>She comes from New York.</t>
  </si>
  <si>
    <t>고양이가 상자에서 나왔다.</t>
  </si>
  <si>
    <r>
      <rPr>
        <sz val="12"/>
        <color indexed="8"/>
        <rFont val="Apple SD 산돌고딕 Neo 일반체"/>
      </rPr>
      <t>고양이 - 나왔다 - out of - 상자</t>
    </r>
  </si>
  <si>
    <t>The cat came out of the box.</t>
  </si>
  <si>
    <t>그는 2015년부터 이곳에 살고 있다.</t>
  </si>
  <si>
    <r>
      <rPr>
        <sz val="12"/>
        <color indexed="8"/>
        <rFont val="Apple SD 산돌고딕 Neo 일반체"/>
      </rPr>
      <t>그 - 살고 있다 - 이곳에 - since - 2015년</t>
    </r>
  </si>
  <si>
    <t>He has lived here since 2015.</t>
  </si>
  <si>
    <t>차가 집으로 돌아간다.</t>
  </si>
  <si>
    <r>
      <rPr>
        <sz val="12"/>
        <color indexed="8"/>
        <rFont val="Apple SD 산돌고딕 Neo 일반체"/>
      </rPr>
      <t>차 - 간다 - back - to - 집</t>
    </r>
  </si>
  <si>
    <t>The car goes back to the house.</t>
  </si>
  <si>
    <t>그는 교사로 일한다.</t>
  </si>
  <si>
    <r>
      <rPr>
        <sz val="12"/>
        <color indexed="8"/>
        <rFont val="Apple SD 산돌고딕 Neo 일반체"/>
      </rPr>
      <t>그 - 일한다 - as - 교사</t>
    </r>
  </si>
  <si>
    <t>He works as a teacher.</t>
  </si>
  <si>
    <t>그는 고양이처럼 움직인다.</t>
  </si>
  <si>
    <r>
      <rPr>
        <sz val="12"/>
        <color indexed="8"/>
        <rFont val="Apple SD 산돌고딕 Neo 일반체"/>
      </rPr>
      <t>그 - 움직인다 - like - 고양이</t>
    </r>
  </si>
  <si>
    <t>He moves like a cat.</t>
  </si>
  <si>
    <t>그는 그의 형보다 키가 더 크다.</t>
  </si>
  <si>
    <r>
      <rPr>
        <sz val="12"/>
        <color indexed="8"/>
        <rFont val="Apple SD 산돌고딕 Neo 일반체"/>
      </rPr>
      <t>그 - 이다 - 키가 더 큰 상태 - than - 그의 형</t>
    </r>
  </si>
  <si>
    <t>He is taller than his brother.</t>
  </si>
  <si>
    <t>No2</t>
  </si>
  <si>
    <t>영어2</t>
  </si>
  <si>
    <t>날짜2</t>
  </si>
  <si>
    <t>외운것2</t>
  </si>
  <si>
    <t>맞춘 수</t>
  </si>
  <si>
    <t>순서</t>
  </si>
  <si>
    <t>맞춘 문장(3번)</t>
  </si>
  <si>
    <t>맞춘갯수(순서체크)</t>
  </si>
  <si>
    <t>회차</t>
  </si>
  <si>
    <t>날짜:</t>
  </si>
  <si>
    <t>합계:</t>
  </si>
  <si>
    <t>전체</t>
  </si>
  <si>
    <t>외운갯수</t>
  </si>
  <si>
    <t>Skip</t>
  </si>
  <si>
    <t>남은갯수</t>
  </si>
  <si>
    <t>틀린 것 복습</t>
  </si>
  <si>
    <t>sNo(전체 항목 세기)</t>
  </si>
  <si>
    <t>통계</t>
  </si>
</sst>
</file>

<file path=xl/styles.xml><?xml version="1.0" encoding="utf-8"?>
<styleSheet xmlns="http://schemas.openxmlformats.org/spreadsheetml/2006/main">
  <numFmts count="5">
    <numFmt numFmtId="0" formatCode="General"/>
    <numFmt numFmtId="59" formatCode="yyyy-mm-dd"/>
    <numFmt numFmtId="60" formatCode="yyyy&quot;년 &quot;mmmm"/>
    <numFmt numFmtId="61" formatCode="yyyy.m.d."/>
    <numFmt numFmtId="62" formatCode="&quot;(비어 있음)&quot;"/>
  </numFmts>
  <fonts count="12">
    <font>
      <sz val="10"/>
      <color indexed="8"/>
      <name val="Arial"/>
    </font>
    <font>
      <sz val="12"/>
      <color indexed="8"/>
      <name val="Arial"/>
    </font>
    <font>
      <sz val="15"/>
      <color indexed="8"/>
      <name val="Arial"/>
    </font>
    <font>
      <b val="1"/>
      <sz val="10"/>
      <color indexed="8"/>
      <name val="Arial"/>
    </font>
    <font>
      <sz val="10"/>
      <color indexed="8"/>
      <name val="나눔고딕"/>
    </font>
    <font>
      <u val="single"/>
      <sz val="10"/>
      <color indexed="8"/>
      <name val="Arial"/>
    </font>
    <font>
      <sz val="10"/>
      <color indexed="13"/>
      <name val="Arial"/>
    </font>
    <font>
      <sz val="11"/>
      <color indexed="8"/>
      <name val="Apple SD 산돌고딕 Neo 일반체"/>
    </font>
    <font>
      <sz val="12"/>
      <color indexed="8"/>
      <name val="Apple SD 산돌고딕 Neo 일반체"/>
    </font>
    <font>
      <b val="1"/>
      <sz val="12"/>
      <color indexed="8"/>
      <name val="Arial"/>
    </font>
    <font>
      <b val="1"/>
      <sz val="9"/>
      <color indexed="8"/>
      <name val="Arial"/>
    </font>
    <font>
      <b val="1"/>
      <sz val="2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3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>
        <color indexed="8"/>
      </bottom>
      <diagonal/>
    </border>
    <border>
      <left style="thin">
        <color indexed="10"/>
      </left>
      <right style="thin">
        <color indexed="10"/>
      </right>
      <top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1"/>
      </right>
      <top style="medium">
        <color indexed="8"/>
      </top>
      <bottom style="medium">
        <color indexed="8"/>
      </bottom>
      <diagonal/>
    </border>
    <border>
      <left style="thin">
        <color indexed="11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medium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>
        <color indexed="8"/>
      </right>
      <top style="thin">
        <color indexed="10"/>
      </top>
      <bottom style="thin">
        <color indexed="11"/>
      </bottom>
      <diagonal/>
    </border>
    <border>
      <left>
        <color indexed="8"/>
      </left>
      <right>
        <color indexed="8"/>
      </right>
      <top style="thin">
        <color indexed="10"/>
      </top>
      <bottom style="thin">
        <color indexed="11"/>
      </bottom>
      <diagonal/>
    </border>
    <border>
      <left>
        <color indexed="8"/>
      </left>
      <right style="thin">
        <color indexed="8"/>
      </right>
      <top style="thin">
        <color indexed="10"/>
      </top>
      <bottom style="thin">
        <color indexed="11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1"/>
      </top>
      <bottom style="thin">
        <color indexed="8"/>
      </bottom>
      <diagonal/>
    </border>
    <border>
      <left style="thin">
        <color indexed="10"/>
      </left>
      <right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top" wrapText="1"/>
    </xf>
    <xf numFmtId="0" fontId="0" borderId="2" applyNumberFormat="1" applyFont="1" applyFill="0" applyBorder="1" applyAlignment="1" applyProtection="0">
      <alignment vertical="top" wrapText="1"/>
    </xf>
    <xf numFmtId="49" fontId="0" borderId="2" applyNumberFormat="1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horizontal="center" vertical="top" wrapText="1"/>
    </xf>
    <xf numFmtId="0" fontId="0" borderId="2" applyNumberFormat="0" applyFont="1" applyFill="0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horizontal="center" vertical="top" wrapText="1"/>
    </xf>
    <xf numFmtId="0" fontId="0" borderId="3" applyNumberFormat="0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49" fontId="4" fillId="3" borderId="6" applyNumberFormat="1" applyFont="1" applyFill="1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5" applyNumberFormat="1" applyFont="1" applyFill="0" applyBorder="1" applyAlignment="1" applyProtection="0">
      <alignment vertical="top" wrapText="1"/>
    </xf>
    <xf numFmtId="0" fontId="0" borderId="8" applyNumberFormat="1" applyFont="1" applyFill="0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horizontal="center" vertical="top" wrapText="1"/>
    </xf>
    <xf numFmtId="0" fontId="1" applyNumberFormat="1" applyFont="1" applyFill="0" applyBorder="0" applyAlignment="1" applyProtection="0">
      <alignment vertical="bottom"/>
    </xf>
    <xf numFmtId="49" fontId="9" fillId="2" borderId="10" applyNumberFormat="1" applyFont="1" applyFill="1" applyBorder="1" applyAlignment="1" applyProtection="0">
      <alignment vertical="bottom"/>
    </xf>
    <xf numFmtId="0" fontId="1" borderId="10" applyNumberFormat="1" applyFont="1" applyFill="0" applyBorder="1" applyAlignment="1" applyProtection="0">
      <alignment vertical="bottom"/>
    </xf>
    <xf numFmtId="49" fontId="1" borderId="10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horizontal="center" vertical="center"/>
    </xf>
    <xf numFmtId="0" fontId="3" fillId="2" borderId="11" applyNumberFormat="0" applyFont="1" applyFill="1" applyBorder="1" applyAlignment="1" applyProtection="0">
      <alignment vertical="top" wrapText="1"/>
    </xf>
    <xf numFmtId="49" fontId="3" fillId="2" borderId="11" applyNumberFormat="1" applyFont="1" applyFill="1" applyBorder="1" applyAlignment="1" applyProtection="0">
      <alignment vertical="top" wrapText="1"/>
    </xf>
    <xf numFmtId="49" fontId="10" fillId="2" borderId="11" applyNumberFormat="1" applyFont="1" applyFill="1" applyBorder="1" applyAlignment="1" applyProtection="0">
      <alignment vertical="top" wrapText="1"/>
    </xf>
    <xf numFmtId="49" fontId="3" fillId="4" borderId="12" applyNumberFormat="1" applyFont="1" applyFill="1" applyBorder="1" applyAlignment="1" applyProtection="0">
      <alignment vertical="top"/>
    </xf>
    <xf numFmtId="0" fontId="3" fillId="4" borderId="12" applyNumberFormat="0" applyFont="1" applyFill="1" applyBorder="1" applyAlignment="1" applyProtection="0">
      <alignment vertical="top"/>
    </xf>
    <xf numFmtId="60" fontId="3" fillId="4" borderId="13" applyNumberFormat="1" applyFont="1" applyFill="1" applyBorder="1" applyAlignment="1" applyProtection="0">
      <alignment vertical="top"/>
    </xf>
    <xf numFmtId="0" fontId="3" fillId="4" borderId="13" applyNumberFormat="0" applyFont="1" applyFill="1" applyBorder="1" applyAlignment="1" applyProtection="0">
      <alignment vertical="top"/>
    </xf>
    <xf numFmtId="0" fontId="3" fillId="4" borderId="13" applyNumberFormat="1" applyFont="1" applyFill="1" applyBorder="1" applyAlignment="1" applyProtection="0">
      <alignment vertical="top"/>
    </xf>
    <xf numFmtId="0" fontId="3" fillId="5" borderId="14" applyNumberFormat="0" applyFont="1" applyFill="1" applyBorder="1" applyAlignment="1" applyProtection="0">
      <alignment vertical="top" wrapText="1"/>
    </xf>
    <xf numFmtId="61" fontId="0" borderId="15" applyNumberFormat="1" applyFont="1" applyFill="0" applyBorder="1" applyAlignment="1" applyProtection="0">
      <alignment vertical="top" wrapText="1"/>
    </xf>
    <xf numFmtId="0" fontId="0" borderId="16" applyNumberFormat="1" applyFont="1" applyFill="0" applyBorder="1" applyAlignment="1" applyProtection="0">
      <alignment vertical="top" wrapText="1"/>
    </xf>
    <xf numFmtId="1" fontId="0" borderId="16" applyNumberFormat="1" applyFont="1" applyFill="0" applyBorder="1" applyAlignment="1" applyProtection="0">
      <alignment vertical="top" wrapText="1"/>
    </xf>
    <xf numFmtId="60" fontId="3" fillId="4" borderId="17" applyNumberFormat="1" applyFont="1" applyFill="1" applyBorder="1" applyAlignment="1" applyProtection="0">
      <alignment vertical="top"/>
    </xf>
    <xf numFmtId="0" fontId="3" fillId="4" borderId="17" applyNumberFormat="0" applyFont="1" applyFill="1" applyBorder="1" applyAlignment="1" applyProtection="0">
      <alignment vertical="top"/>
    </xf>
    <xf numFmtId="0" fontId="3" fillId="4" borderId="17" applyNumberFormat="1" applyFont="1" applyFill="1" applyBorder="1" applyAlignment="1" applyProtection="0">
      <alignment vertical="top"/>
    </xf>
    <xf numFmtId="0" fontId="3" fillId="5" borderId="18" applyNumberFormat="0" applyFont="1" applyFill="1" applyBorder="1" applyAlignment="1" applyProtection="0">
      <alignment vertical="top" wrapText="1"/>
    </xf>
    <xf numFmtId="61" fontId="0" borderId="19" applyNumberFormat="1" applyFont="1" applyFill="0" applyBorder="1" applyAlignment="1" applyProtection="0">
      <alignment vertical="top" wrapText="1"/>
    </xf>
    <xf numFmtId="1" fontId="0" borderId="2" applyNumberFormat="1" applyFont="1" applyFill="0" applyBorder="1" applyAlignment="1" applyProtection="0">
      <alignment vertical="top" wrapText="1"/>
    </xf>
    <xf numFmtId="0" fontId="3" fillId="5" borderId="20" applyNumberFormat="0" applyFont="1" applyFill="1" applyBorder="1" applyAlignment="1" applyProtection="0">
      <alignment vertical="top" wrapText="1"/>
    </xf>
    <xf numFmtId="61" fontId="0" borderId="21" applyNumberFormat="1" applyFont="1" applyFill="0" applyBorder="1" applyAlignment="1" applyProtection="0">
      <alignment vertical="top" wrapText="1"/>
    </xf>
    <xf numFmtId="1" fontId="0" borderId="3" applyNumberFormat="1" applyFont="1" applyFill="0" applyBorder="1" applyAlignment="1" applyProtection="0">
      <alignment vertical="top" wrapText="1"/>
    </xf>
    <xf numFmtId="0" fontId="3" fillId="5" borderId="22" applyNumberFormat="0" applyFont="1" applyFill="1" applyBorder="1" applyAlignment="1" applyProtection="0">
      <alignment vertical="top" wrapText="1"/>
    </xf>
    <xf numFmtId="61" fontId="0" borderId="23" applyNumberFormat="1" applyFont="1" applyFill="0" applyBorder="1" applyAlignment="1" applyProtection="0">
      <alignment vertical="top" wrapText="1"/>
    </xf>
    <xf numFmtId="0" fontId="0" borderId="11" applyNumberFormat="1" applyFont="1" applyFill="0" applyBorder="1" applyAlignment="1" applyProtection="0">
      <alignment vertical="top" wrapText="1"/>
    </xf>
    <xf numFmtId="1" fontId="0" borderId="11" applyNumberFormat="1" applyFont="1" applyFill="0" applyBorder="1" applyAlignment="1" applyProtection="0">
      <alignment vertical="top" wrapText="1"/>
    </xf>
    <xf numFmtId="60" fontId="3" fillId="4" borderId="16" applyNumberFormat="1" applyFont="1" applyFill="1" applyBorder="1" applyAlignment="1" applyProtection="0">
      <alignment vertical="top"/>
    </xf>
    <xf numFmtId="0" fontId="3" fillId="4" borderId="16" applyNumberFormat="0" applyFont="1" applyFill="1" applyBorder="1" applyAlignment="1" applyProtection="0">
      <alignment vertical="top"/>
    </xf>
    <xf numFmtId="0" fontId="3" fillId="4" borderId="16" applyNumberFormat="1" applyFont="1" applyFill="1" applyBorder="1" applyAlignment="1" applyProtection="0">
      <alignment vertical="top"/>
    </xf>
    <xf numFmtId="0" fontId="0" borderId="16" applyNumberFormat="0" applyFont="1" applyFill="0" applyBorder="1" applyAlignment="1" applyProtection="0">
      <alignment vertical="top" wrapText="1"/>
    </xf>
    <xf numFmtId="62" fontId="3" fillId="4" borderId="17" applyNumberFormat="1" applyFont="1" applyFill="1" applyBorder="1" applyAlignment="1" applyProtection="0">
      <alignment vertical="top"/>
    </xf>
    <xf numFmtId="0" fontId="0" borderId="19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5" borderId="18" applyNumberFormat="1" applyFont="1" applyFill="1" applyBorder="1" applyAlignment="1" applyProtection="0">
      <alignment vertical="top" wrapText="1"/>
    </xf>
    <xf numFmtId="0" fontId="0" borderId="19" applyNumberFormat="1" applyFont="1" applyFill="0" applyBorder="1" applyAlignment="1" applyProtection="0">
      <alignment vertical="top" wrapText="1"/>
    </xf>
    <xf numFmtId="49" fontId="3" fillId="5" borderId="20" applyNumberFormat="1" applyFont="1" applyFill="1" applyBorder="1" applyAlignment="1" applyProtection="0">
      <alignment vertical="top" wrapText="1"/>
    </xf>
    <xf numFmtId="0" fontId="0" borderId="21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24" applyNumberFormat="1" applyFont="1" applyFill="1" applyBorder="1" applyAlignment="1" applyProtection="0">
      <alignment vertical="top" wrapText="1"/>
    </xf>
    <xf numFmtId="49" fontId="3" fillId="2" borderId="25" applyNumberFormat="1" applyFont="1" applyFill="1" applyBorder="1" applyAlignment="1" applyProtection="0">
      <alignment vertical="top" wrapText="1"/>
    </xf>
    <xf numFmtId="49" fontId="3" fillId="2" borderId="26" applyNumberFormat="1" applyFont="1" applyFill="1" applyBorder="1" applyAlignment="1" applyProtection="0">
      <alignment vertical="top" wrapText="1"/>
    </xf>
    <xf numFmtId="49" fontId="11" fillId="2" borderId="27" applyNumberFormat="1" applyFont="1" applyFill="1" applyBorder="1" applyAlignment="1" applyProtection="0">
      <alignment vertical="top" wrapText="1"/>
    </xf>
    <xf numFmtId="0" fontId="3" fillId="4" borderId="28" applyNumberFormat="1" applyFont="1" applyFill="1" applyBorder="1" applyAlignment="1" applyProtection="0">
      <alignment vertical="top" wrapText="1"/>
    </xf>
    <xf numFmtId="0" fontId="3" fillId="4" borderId="29" applyNumberFormat="1" applyFont="1" applyFill="1" applyBorder="1" applyAlignment="1" applyProtection="0">
      <alignment vertical="top" wrapText="1"/>
    </xf>
    <xf numFmtId="0" fontId="3" fillId="4" borderId="30" applyNumberFormat="1" applyFont="1" applyFill="1" applyBorder="1" applyAlignment="1" applyProtection="0">
      <alignment vertical="top" wrapText="1"/>
    </xf>
    <xf numFmtId="0" fontId="3" fillId="4" borderId="31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27" applyNumberFormat="1" applyFont="1" applyFill="1" applyBorder="1" applyAlignment="1" applyProtection="0">
      <alignment vertical="top" wrapText="1"/>
    </xf>
    <xf numFmtId="0" fontId="3" fillId="4" borderId="32" applyNumberFormat="1" applyFont="1" applyFill="1" applyBorder="1" applyAlignment="1" applyProtection="0">
      <alignment vertical="top" wrapText="1"/>
    </xf>
    <xf numFmtId="0" fontId="3" fillId="4" borderId="33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16">
    <dxf>
      <font>
        <color rgb="ff000000"/>
      </font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fill>
        <patternFill patternType="solid">
          <fgColor indexed="17"/>
          <bgColor indexed="9"/>
        </patternFill>
      </fill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1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fill>
        <patternFill patternType="solid">
          <fgColor indexed="17"/>
          <bgColor indexed="9"/>
        </patternFill>
      </fill>
      <border>
        <left style="thin">
          <color indexed="8"/>
        </left>
        <right style="thin">
          <color indexed="8"/>
        </right>
        <top/>
        <bottom style="medium">
          <color indexed="8"/>
        </bottom>
        <diagonal/>
        <vertical style="thin">
          <color indexed="8"/>
        </vertical>
        <horizontal>
          <color indexed="8"/>
        </horizontal>
      </border>
    </dxf>
    <dxf>
      <font>
        <b val="1"/>
        <color rgb="ff000000"/>
      </font>
      <fill>
        <patternFill patternType="solid">
          <fgColor indexed="17"/>
          <bgColor indexed="16"/>
        </patternFill>
      </fill>
      <border>
        <left style="thin">
          <color indexed="10"/>
        </left>
        <right style="thin">
          <color indexed="11"/>
        </right>
        <top style="thin">
          <color indexed="10"/>
        </top>
        <bottom style="thin">
          <color indexed="10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fill>
        <patternFill patternType="solid">
          <fgColor indexed="17"/>
          <bgColor indexed="15"/>
        </patternFill>
      </fill>
      <border>
        <left style="thin">
          <color indexed="10"/>
        </left>
        <right style="thin">
          <color indexed="11"/>
        </right>
        <top style="thin">
          <color indexed="8"/>
        </top>
        <bottom style="thin">
          <color indexed="8"/>
        </bottom>
        <diagonal/>
        <vertical style="thin">
          <color indexed="10"/>
        </vertical>
        <horizontal>
          <color indexed="8"/>
        </horizontal>
      </border>
    </dxf>
    <dxf>
      <font>
        <color rgb="ff000000"/>
      </font>
      <fill>
        <patternFill patternType="solid">
          <fgColor indexed="17"/>
          <bgColor indexed="18"/>
        </patternFill>
      </fill>
      <border>
        <left style="thin">
          <color indexed="8"/>
        </left>
        <right style="thin">
          <color indexed="8"/>
        </right>
        <top/>
        <bottom/>
        <diagonal/>
        <vertical style="thin">
          <color indexed="8"/>
        </vertical>
        <horizontal>
          <color indexed="8"/>
        </horizontal>
      </border>
    </dxf>
    <dxf>
      <font>
        <color rgb="ff000000"/>
      </font>
      <fill>
        <patternFill patternType="solid">
          <fgColor indexed="17"/>
          <bgColor indexed="19"/>
        </patternFill>
      </fill>
      <border>
        <left/>
        <right/>
        <top style="thin">
          <color indexed="8"/>
        </top>
        <bottom style="thin">
          <color indexed="8"/>
        </bottom>
        <diagonal/>
      </border>
    </dxf>
    <dxf>
      <font>
        <b val="1"/>
        <color rgb="ff000000"/>
      </font>
      <border>
        <left style="thin">
          <color indexed="10"/>
        </left>
        <right style="thin">
          <color indexed="10"/>
        </right>
        <top style="thin">
          <color indexed="11"/>
        </top>
        <bottom style="thin">
          <color indexed="8"/>
        </bottom>
        <diagonal/>
        <vertical style="thin">
          <color indexed="10"/>
        </vertical>
        <horizontal style="thin">
          <color indexed="10"/>
        </horizontal>
      </border>
    </dxf>
    <dxf>
      <font>
        <color rgb="ff000000"/>
      </font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fill>
        <patternFill patternType="solid">
          <fgColor indexed="17"/>
          <bgColor indexed="9"/>
        </patternFill>
      </fill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1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fill>
        <patternFill patternType="solid">
          <fgColor indexed="17"/>
          <bgColor indexed="9"/>
        </patternFill>
      </fill>
      <border>
        <left style="thin">
          <color indexed="8"/>
        </left>
        <right style="thin">
          <color indexed="8"/>
        </right>
        <top/>
        <bottom style="medium">
          <color indexed="8"/>
        </bottom>
        <diagonal/>
        <vertical style="thin">
          <color indexed="8"/>
        </vertical>
        <horizontal>
          <color indexed="8"/>
        </horizontal>
      </border>
    </dxf>
    <dxf>
      <font>
        <b val="1"/>
        <color rgb="ff000000"/>
      </font>
      <fill>
        <patternFill patternType="solid">
          <fgColor indexed="17"/>
          <bgColor indexed="16"/>
        </patternFill>
      </fill>
      <border>
        <left style="thin">
          <color indexed="10"/>
        </left>
        <right style="thin">
          <color indexed="11"/>
        </right>
        <top style="thin">
          <color indexed="10"/>
        </top>
        <bottom style="thin">
          <color indexed="10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fill>
        <patternFill patternType="solid">
          <fgColor indexed="17"/>
          <bgColor indexed="15"/>
        </patternFill>
      </fill>
      <border>
        <left style="thin">
          <color indexed="10"/>
        </left>
        <right style="thin">
          <color indexed="11"/>
        </right>
        <top style="thin">
          <color indexed="8"/>
        </top>
        <bottom style="thin">
          <color indexed="8"/>
        </bottom>
        <diagonal/>
        <vertical style="thin">
          <color indexed="10"/>
        </vertical>
        <horizontal>
          <color indexed="8"/>
        </horizontal>
      </border>
    </dxf>
    <dxf>
      <font>
        <color rgb="ff000000"/>
      </font>
      <fill>
        <patternFill patternType="solid">
          <fgColor indexed="17"/>
          <bgColor indexed="18"/>
        </patternFill>
      </fill>
      <border>
        <left style="thin">
          <color indexed="8"/>
        </left>
        <right style="thin">
          <color indexed="8"/>
        </right>
        <top/>
        <bottom/>
        <diagonal/>
        <vertical style="thin">
          <color indexed="8"/>
        </vertical>
        <horizontal>
          <color indexed="8"/>
        </horizontal>
      </border>
    </dxf>
    <dxf>
      <font>
        <color rgb="ff000000"/>
      </font>
      <fill>
        <patternFill patternType="solid">
          <fgColor indexed="17"/>
          <bgColor indexed="19"/>
        </patternFill>
      </fill>
      <border>
        <left/>
        <right/>
        <top style="thin">
          <color indexed="8"/>
        </top>
        <bottom style="thin">
          <color indexed="8"/>
        </bottom>
        <diagonal/>
      </border>
    </dxf>
    <dxf>
      <font>
        <b val="1"/>
        <color rgb="ff000000"/>
      </font>
      <border>
        <left style="thin">
          <color indexed="10"/>
        </left>
        <right style="thin">
          <color indexed="10"/>
        </right>
        <top style="thin">
          <color indexed="11"/>
        </top>
        <bottom style="thin">
          <color indexed="8"/>
        </bottom>
        <diagonal/>
        <vertical style="thin">
          <color indexed="10"/>
        </vertical>
        <horizontal style="thin">
          <color indexed="10"/>
        </horizontal>
      </border>
    </dxf>
  </dxfs>
  <tableStyles count="2">
    <tableStyle name="PivotStyleCustom01">
      <tableStyleElement type="wholeTable" dxfId="0"/>
      <tableStyleElement type="headerRow" dxfId="1"/>
      <tableStyleElement type="firstColumnSubheading" dxfId="2"/>
      <tableStyleElement type="secondColumnSubheading" dxfId="2"/>
      <tableStyleElement type="thirdColumnSubheading" dxfId="2"/>
      <tableStyleElement type="firstColumn" dxfId="3"/>
      <tableStyleElement type="lastColumn" dxfId="3"/>
      <tableStyleElement type="firstRowSubheading" dxfId="4"/>
      <tableStyleElement type="secondRowSubheading" dxfId="4"/>
      <tableStyleElement type="thirdRowSubheading" dxfId="4"/>
      <tableStyleElement type="firstSubtotalColumn" dxfId="5"/>
      <tableStyleElement type="secondSubtotalColumn" dxfId="5"/>
      <tableStyleElement type="thirdSubtotalColumn" dxfId="5"/>
      <tableStyleElement type="firstSubtotalRow" dxfId="6"/>
      <tableStyleElement type="secondSubtotalRow" dxfId="6"/>
      <tableStyleElement type="thirdSubtotalRow" dxfId="6"/>
      <tableStyleElement type="totalRow" dxfId="7"/>
    </tableStyle>
    <tableStyle name="PivotStyleCustom02">
      <tableStyleElement type="wholeTable" dxfId="8"/>
      <tableStyleElement type="headerRow" dxfId="9"/>
      <tableStyleElement type="firstColumnSubheading" dxfId="10"/>
      <tableStyleElement type="secondColumnSubheading" dxfId="10"/>
      <tableStyleElement type="thirdColumnSubheading" dxfId="10"/>
      <tableStyleElement type="firstColumn" dxfId="11"/>
      <tableStyleElement type="lastColumn" dxfId="11"/>
      <tableStyleElement type="firstRowSubheading" dxfId="12"/>
      <tableStyleElement type="secondRowSubheading" dxfId="12"/>
      <tableStyleElement type="thirdRowSubheading" dxfId="12"/>
      <tableStyleElement type="firstSubtotalColumn" dxfId="13"/>
      <tableStyleElement type="secondSubtotalColumn" dxfId="13"/>
      <tableStyleElement type="thirdSubtotalColumn" dxfId="13"/>
      <tableStyleElement type="firstSubtotalRow" dxfId="14"/>
      <tableStyleElement type="secondSubtotalRow" dxfId="14"/>
      <tableStyleElement type="thirdSubtotal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00"/>
      <rgbColor rgb="ffcc503e"/>
      <rgbColor rgb="ffaaaaaa"/>
      <rgbColor rgb="ffd3d3d3"/>
      <rgbColor rgb="ffdbdbdb"/>
      <rgbColor rgb="00000000"/>
      <rgbColor rgb="fff4f4f4"/>
      <rgbColor rgb="ffe3e3e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2.xml"/></Relationships>
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</Relationships>
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</Relationships>

</file>

<file path=xl/pivotCache/pivotCacheDefinition1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723" createdVersion="7">
  <cacheSource type="worksheet">
    <worksheetSource ref="A1:R724" sheet="문장"/>
  </cacheSource>
  <cacheFields count="18">
    <cacheField name="No" numFmtId="0">
      <sharedItems containsSemiMixedTypes="0" containsNonDate="0" containsString="0" containsNumber="1" containsInteger="1" minValue="1" maxValue="723" count="72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</sharedItems>
    </cacheField>
    <cacheField name="sNo" numFmtId="0">
      <sharedItems containsSemiMixedTypes="0" containsNonDate="0" containsString="0" containsNumber="1" containsInteger="1" minValue="1" maxValue="60" count="6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</sharedItems>
    </cacheField>
    <cacheField name="구분2_참고" numFmtId="0">
      <sharedItems containsNonDate="0" count="33">
        <s v="기본문 훈련"/>
        <s v="동사1+동사2"/>
        <s v="주동대힘장시"/>
        <s v="전치사"/>
        <s v="조동사"/>
        <s v="수동태"/>
        <s v="시제"/>
        <s v="관계사"/>
        <s v="관계사(목적)"/>
        <s v="관계사(소유격)"/>
        <s v="관계부사"/>
        <s v="관계사(종합)"/>
        <s v="접속사"/>
        <s v="덩어리 That"/>
        <s v="그래서 That"/>
        <s v="의문문"/>
        <s v="의문문(시제)"/>
        <s v="의문문(조동사)"/>
        <s v="의문사"/>
        <s v="감탄문 what"/>
        <s v="감탄문 how"/>
        <s v="감탄문 how(학교 생활)"/>
        <s v="감탄문 how(일상 생활)"/>
        <s v="조동사 + have p.p"/>
        <s v="동사1 + 동사2"/>
        <s v="형용사 + to ~"/>
        <s v="too 형용사 to ~"/>
        <s v="명사 + to ~"/>
        <s v="100% 아닌 것"/>
        <s v="최상급"/>
        <s v="감정 → to ~"/>
        <s v="&lt;조동사&gt; 감정 → to ~"/>
        <s v="사역"/>
      </sharedItems>
    </cacheField>
    <cacheField name="구분" numFmtId="0">
      <sharedItems containsNonDate="0" count="21">
        <s v="기본문 훈련"/>
        <s v="동사1+동사2"/>
        <s v="주동대힘장시"/>
        <s v="전치사"/>
        <s v="조동사"/>
        <s v="수동태"/>
        <s v="시제"/>
        <s v="관계사_1"/>
        <s v="관계사_2"/>
        <s v="관계사_3"/>
        <s v="접속사"/>
        <s v="덩어리 That"/>
        <s v="그래서 That"/>
        <s v="의문문"/>
        <s v="의문문(시제)"/>
        <s v="의문문(조동사)"/>
        <s v="의문사"/>
        <s v="감탄문 what"/>
        <s v="감탄문 how"/>
        <s v="조동사 + have p.p"/>
        <s v="to V"/>
      </sharedItems>
    </cacheField>
    <cacheField name="한국어" numFmtId="0">
      <sharedItems containsNonDate="0" count="723">
        <s v="나는 책을 읽는다"/>
        <s v="그는 음식을 요리한다"/>
        <s v="그녀는 편지를 쓴다"/>
        <s v="우리는 영화를 본다"/>
        <s v="너는 음악을 듣는다"/>
        <s v="그들은 게임을 한다"/>
        <s v="나는 커피를 마신다"/>
        <s v="그는 차를 운전한다"/>
        <s v="그녀는 방을 청소한다"/>
        <s v="우리는 문제를 푼다"/>
        <s v="우리는 저녁을 먹는다."/>
        <s v="그는 축구를 한다."/>
        <s v="아이는 사탕을 좋아한다."/>
        <s v="그녀는 영어를 공부한다."/>
        <s v="그는 물을 마신다."/>
        <s v="나는 슬프다"/>
        <s v="그는 피곤하다"/>
        <s v="그녀는 행복하다."/>
        <s v="우리는 배고프다"/>
        <s v="너는 신나다"/>
        <s v="그들은 화가 났다"/>
        <s v="나는 지루하다"/>
        <s v="그는 걱정된다"/>
        <s v="그녀는 놀랐다"/>
        <s v="우리는 만족스럽다"/>
        <s v="나는 행복하다."/>
        <s v="그녀는 피곤하다."/>
        <s v="그들은 슬프다."/>
        <s v="우리는 기쁘다."/>
        <s v="그는 화나다."/>
        <s v="나는 준비되었다."/>
        <s v="그녀는 똑똑하다."/>
        <s v="우리는 지루하다."/>
        <s v="그는 건강하다."/>
        <s v="나는 바쁘다."/>
        <s v="우리는 그 책을 읽기를 계획하고 있다."/>
        <s v="나는 설거지하는 것을 싫어한다."/>
        <s v="그는 새로운 언어를 배우기를 희망한다."/>
        <s v="우리는 수영하는 것을 그만뒀다."/>
        <s v="그들은 콘서트에 가기를 기대하고 있다."/>
        <s v="우리는 친구들과 노는 것을 즐긴다."/>
        <s v="그는 사업을 시작하기로 결심했다."/>
        <s v="우리는 영화를 보는 것을 즐긴다."/>
        <s v="그들은 도시에 도착하기를 희망했다."/>
        <s v="나는 새로운 언어를 배우는 것을 즐긴다."/>
        <s v="그들은 그 프로젝트를 시작하기를 기대하고 있다."/>
        <s v="우리는 그들을 돕기를 약속했다."/>
        <s v="나는 그가 춤추는 것을 보았다."/>
        <s v="우리는 그가 길을 건너는 것을 확인했다."/>
        <s v="나는 책 읽으면서 차 마신다."/>
        <s v="그는 음악 들으면서 요리 한다."/>
        <s v="우리는 산책 하면서 사진 찍는다."/>
        <s v="나는 책을 읽으면서 커피를 마신다."/>
        <s v="나는 새로운 언어를 배우기 위해 매일 열심히 공부한다."/>
        <s v="그는 세계를 여행하기 위해 돈을 모은다."/>
        <s v="그녀는 취업을 위해 매일 이력서를 보낸다."/>
        <s v="그녀는 요리하면서 노래를 부른다."/>
        <s v="그는 자기 계발을 위해 책을 읽고 있다."/>
        <s v="그는 저녁에 레스토랑에서 친구와 함께 와인을 마신다."/>
        <s v="그는 저녁에 레스토랑에서 친구와 함께 식사를 한다."/>
        <s v="그들은 점심에 카페에서 가족과 함께 대화를 나눈다."/>
        <s v="그는 오후에 강가에서 개와 함께 조깅을 한다."/>
        <s v="그녀는 저녁에 공원에서 아이들과 함께 놀아준다."/>
        <s v="그는 정오에 공원에서 나무 아래에 앉아 독서를 한다."/>
        <s v="그녀는 오후에 사무실에서 책상 위에 서류를 정리한다."/>
        <s v="그들은 저녁에 레스토랑에서 테이블 주변에 앉아 대화를 나눈다."/>
        <s v="그는 밤에 침대 위에 누워 책을 읽는다."/>
        <s v="그녀는 아침에 바닷가에서 경치를 감상한다."/>
        <s v="그녀는 아침에 발코니에서 혼자 차를 마신다."/>
        <s v="그는 아침에 도서관에서 혼자 공부를 한다."/>
        <s v="강아지가 집 바깥쪽에 있다"/>
        <s v="울타리가 집을 둘러싸고 있다"/>
        <s v="비행기가 마을 위로 날아간다"/>
        <s v="물고기가 물 표면 바로 아래에 있다"/>
        <s v="사과가 바구니 안에 있다"/>
        <s v="고양이가 집 안쪽에 있다"/>
        <s v="그는 두 시간 내에 돌아올 것이다"/>
        <s v="나무가 숲 한가운데 있다"/>
        <s v="무지개가 강 위로 걸쳐있다"/>
        <s v="지하철이 도시 아래로 지나간다"/>
        <s v="책상이 전등 아래에 있다"/>
        <s v="유명 가수가 팬들 가운데 있다"/>
        <s v="고양이가 상자 밖에 있다"/>
        <s v="가게들이 광장을 둘러싸고 있다"/>
        <s v="그들은 골프에 대하여 이야기한다"/>
        <s v="나무가 집 바로 옆에 있다"/>
        <s v="은행이 상점 옆에 있다"/>
        <s v="학교가 공원 근처에 있다"/>
        <s v="나는 친구와 함께 있다"/>
        <s v="그는 지갑 없이 떠났다"/>
        <s v="나는 회의 전에 자료를 준비한다"/>
        <s v="그는 나보다 앞서 달린다"/>
        <s v="고양이가 의자 뒤에 숨어 있다"/>
        <s v="고양이가 쥐 뒤를 쫓았다"/>
        <s v="우리는 회의 후에 회식을 했다"/>
        <s v="사건 직후에 그는 조사를 받았다"/>
        <s v="나는 역에 도착했다"/>
        <s v="컵이 탁자에 있다"/>
        <s v="나는 길을 죽 따라 걷는다"/>
        <s v="수업 중에 나는 필기를 한다"/>
        <s v="나는 피자 한 조각을 먹었다"/>
        <s v="나는 지갑을 테이블에서 치웠다"/>
        <s v="나는 벽에 기대어 있다"/>
        <s v="나는 비에도 불구하고 외출했다"/>
        <s v="나는 휴일을 제외하고 일한다"/>
        <s v="그녀는 부모님에 의해 사랑받는다"/>
        <s v="나는 그를 위해 요리한다"/>
        <s v="나무가 두 집 사이에 있다"/>
        <s v="차가 집 앞쪽에 서 있다"/>
        <s v="나무가 집 앞에 있다"/>
        <s v="나는 해변 쪽으로 걸어간다"/>
        <s v="나는 도서관으로 간다"/>
        <s v="나는 방 안으로 들어간다"/>
        <s v="그는 공원을 가로지르다"/>
        <s v="나는 터널을 통과했다"/>
        <s v="그들은 도시 전역을 탐험했다"/>
        <s v="그는 세계 곳곳을 여행했다"/>
        <s v="나는 상점을 지나갔다"/>
        <s v="산은 저 언덕 너머에 있다"/>
        <s v="그들은 수평선 너머로 항해했다"/>
        <s v="그는 멀리 갔다"/>
        <s v="그는 계단 아래로 내려갔다"/>
        <s v="그는 일본에서 왔다"/>
        <s v="나는 상자에서 물건을 꺼냈다"/>
        <s v="나는 어제부터 계속 공부하고 있다"/>
        <s v="그는 고향으로 돌아왔다"/>
        <s v="그는 선생님으로서 충고했다"/>
        <s v="그녀는 고양이처럼 조용하다"/>
        <s v="그는 나보다 키가 더 크다"/>
        <s v="나는 산 위로 올라갔다"/>
        <s v="나는 내일 반드시 학교에 가야 해."/>
        <s v="우리는 매일 꼭 운동을 해야 한다."/>
        <s v="넌 오늘은 청소할 필요가 없다."/>
        <s v="난 영어를 더 열심히 공부해야 해"/>
        <s v="우리는 내년에 반드시 결혼할 거야"/>
        <s v="난 다음 달에 새로운 프로젝트를 시작하려고 해"/>
        <s v="그들은 내일 파티에 갈 것이다."/>
        <s v="나는 그 영화를 다시 볼 거 같다."/>
        <s v="나는 피아노를 칠 수 있다."/>
        <s v="그는 수영을 할 수 있을 거다."/>
        <s v="그녀는 아마 내일 올 수도 있다."/>
        <s v="나는 이번 여름에 떠날지도 모른다."/>
        <s v="나는 매일 아침 일찍 일어나야만 한다."/>
        <s v="우리는 집에 꼭 일찍 가야 해"/>
        <s v="그는 오늘 일하지 않아도 된다."/>
        <s v="너는 많은 책을 읽어야 한다."/>
        <s v="우리는 내년에 유럽을 반드시 여행할 것이다."/>
        <s v="나는 다음 주에 친구를 만날 것이다."/>
        <s v="그녀는 곧 요리를 시작할 것이다."/>
        <s v="나는 그곳에 갈 것 같다."/>
        <s v="나는 이태리 노래를 부를 수 있다."/>
        <s v="그는 자전거를 탈 수 있을 것 같다"/>
        <s v="그녀는 아마도 오늘 밤에 올 것 같다."/>
        <s v="나는 내일 비가 올지도 모른다고 생각한다."/>
        <s v="그는 다음 달에 새로운 일을 가지게 될 것이다."/>
        <s v="나는 매일 영어를 꾸준히 훈련해야만 한다"/>
        <s v="우리는 이 문제를 해결해야 한다."/>
        <s v="우리는 다음 달에 틀림없이 새로운 프로젝트를 시작할 것이다."/>
        <s v="우리는 저녁에 영화를 볼 것이다."/>
        <s v="그녀는 이곳에 오고 싶어 할 것 같다."/>
        <s v="그는 반드시 매일 운동을 규칙적으로 해야만 해"/>
        <s v="그는 프랑스어를 유창하게 말할 수 있다."/>
        <s v="그녀는 이 문제를 해결할 수 있을 것 같다."/>
        <s v="그가 아마도 회의에 참석할 수도 있다."/>
        <s v="그녀는 오늘 밤에 늦을지도 모른다"/>
        <s v="너는 보고서를 오늘까지 꼭 제출해야 해."/>
        <s v="너는 오늘 회의에 참석하지 않아도 된다."/>
        <s v="이 편지는 그에 의해 쓰여졌다."/>
        <s v="그 고양이는 아이들에 의해 돌봄을 받는다."/>
        <s v="그 집은 부모님에 의해 지어졌다."/>
        <s v="이 음식은 셰프에 의해 준비되었다."/>
        <s v="그 보고서는 팀에 의해 작성되었다."/>
        <s v="책은 학생들에 의해 읽혀진다."/>
        <s v="그 드레스는 디자이너에 의해 디자인되었다."/>
        <s v="그 그림은 예술가에 의해 그려졌다."/>
        <s v="그 건물은 건축가에 의해 설계되었다."/>
        <s v="그 상은 심사위원들에 의해 수여되었다."/>
        <s v="초대장은 친구들에 의해 보내졌다."/>
        <s v="그 문제는 선생님에 의해 설명되었다."/>
        <s v="음악은 라디오에 의해 재생된다."/>
        <s v="그 프로그램은 컴퓨터에 의해 실행된다."/>
        <s v="그 공연은 많은 사람들에 의해 관람되었다."/>
        <s v="그 컴퓨터는 전문가에 의해 수리되었다."/>
        <s v="그 제품은 공장에서 제조된다."/>
        <s v="이 수업은 많은 학생들에 의해 선택된다."/>
        <s v="그 영화는 평론가들에 의해 호평받았다."/>
        <s v="그 기념비는 정부에 의해 세워졌다."/>
        <s v="나는 그 영화를 본 적이 있다"/>
        <s v="그는 뉴욕을 방문한 적이 있다."/>
        <s v="우리는 이미 저녁을 먹었다."/>
        <s v="그들은 이 노래를 들어본 적이 있다."/>
        <s v="나는 최근에 이 영화를 봤다."/>
        <s v="그녀는 이미 숙제를 끝냈다."/>
        <s v="나는 그 사람을 전에 만난 적이 있다."/>
        <s v="우리는 이 문제를 해결했다."/>
        <s v="그는 그 노래를 자주 들었다."/>
        <s v="나는 그 친구를 못 봤다."/>
        <s v="그녀는 그 책을 다섯 번 읽었다."/>
        <s v="우리는 전에 이곳에 온 적이 있다."/>
        <s v="그들은 그 소식을 들은 적이 있다."/>
        <s v="나는 이 일을 이미 끝냈다."/>
        <s v="그는 최근에 새로운 직장을 구했다."/>
        <s v="우리는 그 문제를 여러 번 논의한 적이 있다."/>
        <s v="그녀는 이 영화에 대해 많이 들은 적이 있다."/>
        <s v="나는 그를 잊은 적이 없다."/>
        <s v="그들은 최근에 새로운 팀원을 추가했다."/>
        <s v="나는 이 영화를 여러 번 봤다."/>
        <s v="그녀는 그곳을 절대로 방문한 적이 없다."/>
        <s v="우리는 이미 저녁을 준비했다."/>
        <s v="그들은 아직도 그 문제를 해결하지 못했다."/>
        <s v="나는 최근에 새로운 취미를 시작했다."/>
        <s v="그는 그 소식을 이미 들었다."/>
        <s v="그는 3년 동안 영어를 배우고 있다."/>
        <s v="우리는 아침부터 이 문제를 논의하고 있다."/>
        <s v="나는 한 시간 동안 이 책을 읽고 있다."/>
        <s v="그녀는 2시간 동안 피아노를 연주하고 있다."/>
        <s v="우리는 이 프로젝트를 몇 주 동안 진행하고 있다."/>
        <s v="그는 5년 동안 그 회사에서 일하고 있다."/>
        <s v="나는 몇 달 동안 요가를 하고 있다."/>
        <s v="우리는 일주일 동안 이곳에서 머무르고 있다."/>
        <s v="그녀는 6개월 동안 그림을 그리고 있다."/>
        <s v="그들은 몇 시간 동안 노래를 부르고 있다."/>
        <s v="나는 한 달 동안 이 문제를 연구하고 있다."/>
        <s v="우리는 두 시간 동안 이 책을 번역하고 있다."/>
        <s v="그는 몇 주 동안 그 보고서를 작성하고 있다."/>
        <s v="그녀는 3개월 동안 그 드라마를 보고 있다."/>
        <s v="나는 몇 년 동안 그 악기를 배우고 있다."/>
        <s v="우리는 아침부터 이 방을 청소하고 있다."/>
        <s v="그는 오랜 시간 동안 그녀를 기다리고 있다."/>
        <s v="나는 이 주제에 대해 몇 년 동안 생각해왔다."/>
        <s v="그녀는 지난 몇 달 동안 여행을 계획하고 있다."/>
        <s v="미국에서 온 그 여자"/>
        <s v="어제 너와 함께 온 그 남자"/>
        <s v="노란 차를 타고 있는 그 남자"/>
        <s v="강북에 위치한 식당"/>
        <s v="내 친구와 함께 일하는 그 남자"/>
        <s v="진실이 아닌 이야기"/>
        <s v="50년전에 지어진 건물"/>
        <s v="공원에서 걷고 있는 그 소년"/>
        <s v="소설을 쓴 남자"/>
        <s v="좋은 전망을 가지고 있는 한 아파트"/>
        <s v="내게 어제 잡힌 그 생선"/>
        <s v="내 친구한테 사랑받는 그 남자"/>
        <s v="사고로 부서진 차"/>
        <s v="일본에서 온 그 소녀"/>
        <s v="독일에서 만든 차"/>
        <s v="삼성에서 제조한 그 디카"/>
        <s v="우리 딸이 제일 좋아하는 피자"/>
        <s v="우리 딸이 제일 좋아하는 피자(생략)"/>
        <s v="내가 어제 잡은 그 생선"/>
        <s v="내가 어제 잡은 그 생선(생략)"/>
        <s v="삼성이 제조한 그 디카"/>
        <s v="삼성이 제조한 그 디카(생략)"/>
        <s v="어제 네가 함께 온 그 남자"/>
        <s v="어제 네가 함께 온 그 남자(생략)"/>
        <s v="내가 구입한 장소"/>
        <s v="내가 구입한 장소(생략)"/>
        <s v="독일이 만든 차"/>
        <s v="독일이 만든 차(생략)"/>
        <s v="내 친구가 함께 일하는 그 남자"/>
        <s v="내 친구가 함께 일하는 그 남자(생략)"/>
        <s v="당신이 더 좋아하는 신문"/>
        <s v="당신이 더 좋아하는 신문(생략)"/>
        <s v="내가 쓸수 있는 돈"/>
        <s v="내가 쓸수 있는 돈(생략)"/>
        <s v="내 친구가 사랑하는 그 남자"/>
        <s v="내 친구가 사랑하는 그 남자(생략)"/>
        <s v="우리가 일요일에 본 그 영화"/>
        <s v="우리가 일요일에 본 그 영화(생략)"/>
        <s v="그의 아이디어가 좋은 사람"/>
        <s v="전망이 좋은 한 아파트"/>
        <s v="그것의 헤드라인들이 좋은 신문"/>
        <s v="사람들이 너를 싫어하는 이유"/>
        <s v="우리 아버지께서 태어나신 달"/>
        <s v="분위기가 조용한 장소"/>
        <s v="내가 채용된 날"/>
        <s v="내가 군인이 되었던 날"/>
        <s v="내가 군인이 되었던 날(생략)"/>
        <s v="그녀가 너를 떠난 이유"/>
        <s v="내가 열쇠를 두었던 장소"/>
        <s v="그가 오지 않은 이유"/>
        <s v="내가 여기 도착한 시간"/>
        <s v="미국에서 온 그 여자는 변호사다."/>
        <s v="그녀는 미국에서 온 변호사이다."/>
        <s v="나는 미국에서 온 그 여자를 사랑한다."/>
        <s v="침실 두개와 넓은 거실을 가지고 있는 집"/>
        <s v="내가 만나고 싶은 소녀"/>
        <s v="내가 만나고 싶은 소녀(생략)"/>
        <s v="맥도날드에서 만난 네 여자친구"/>
        <s v="맥도날드에서 만난 네 여자친구(생략)"/>
        <s v="100세가 넘으신 할아버지"/>
        <s v="내가 내 옛친구를 우연히 만난 곳"/>
        <s v="내가 내 옛친구를 우연히 만난 곳(생략)"/>
        <s v="그를 만나기로 했던 장소"/>
        <s v="그를 만나기로 했던 장소(생략)"/>
        <s v="우리 삼촌에게 내 여자 친구를 소개했던 곳"/>
        <s v="내가 미팅에서 처음 그녀를 만났던 날"/>
        <s v="내가 미팅에서 처음 그녀를 만났던 날(생략)"/>
        <s v="내가 미국에 갈 수 있는 방법"/>
        <s v="내가 미국에 갈 수 있는 방법(how 생략)"/>
        <s v="내가 미국에 갈 수 있는 방법(생략)"/>
        <s v="내가 살고 싶은 집"/>
        <s v="독일에서 만든 차는 비싸다."/>
        <s v="나는 미국에서 온 그 남자를 만날 것이다."/>
        <s v="나는 독일에서 만든 차를 구입 할 것이다."/>
        <s v="나는 미국에서 온 그여자를 사랑한적이 있다."/>
        <s v="나는 어릴적 엄마가 만들어 준 것을 그리워 한다."/>
        <s v="나는 어릴적 엄마가 만들어 준 것을 그리워 한다.(+)"/>
        <s v="이건 널 위해서 산거야"/>
        <s v="이건 널 위해서 산거야(+)"/>
        <s v="나는 아름다운 것을 좋아해"/>
        <s v="나는 아름다운 것을 좋아해(+)"/>
        <s v="삼성에서 만들어진 것은 비싸다"/>
        <s v="삼성에서 만들어진 것은 비싸다(+)"/>
        <s v="나는 그것의 헤드라인들이 좋은 신문이 좋다"/>
        <s v="나는 영어를 말하는 법을 안다."/>
        <s v="나는 영어를 말하는 법을 안다.(생략)"/>
        <s v="나는 조용한 장소에서 그녀를 만났어."/>
        <s v="그녀는 내가 여기 도착한 시간을 몰라"/>
        <s v="나는 분위기가 조용한 장소에서 그녀를 만났어."/>
        <s v="당신이 매우 사랑하는 그 장소를 나는 보호하고 싶다."/>
        <s v="나는 그녀가 여기에 오지 않은 이유를 이해한다."/>
        <s v="나는 미국에서 온 변호사와 얘기를 했다."/>
        <s v="나는 영어책을 한권 쓴 적이 있는 사람과 소개팅을 했다."/>
        <s v="나는 지금의 나 된 바를 좋아하지 않는다."/>
        <s v="나는 지금의 나 된 바를 좋아하지 않는다.(+)"/>
        <s v="독일에서 만든 차를 구입하고자 하는 그녀는 미국에서 온 변호사와 얘기를 한다."/>
        <s v="미국에서 온 그 여자는 독일에서 만든 차를 구입할 나를 사랑한다."/>
        <s v="오바마가 대통령인 미국에서 온 그여자는 변호사다."/>
        <s v="오바마가 대통령인 미국에서 온 그여자는 나를 도와준 변호사다."/>
        <s v="그 여자는 아내가 미쉘인 오바마가 대통령인 미국에서 온 변호사다."/>
        <s v="내가 그녀를 사랑하는 이유는 그녀가 부자라는 것이다."/>
        <s v="그가 회사를 떠났던 이유는 김 과장과의 사이가 좋지않았다라는 것이다."/>
        <s v="내가 애로우 잉글리시를 공부하는 이유는 최선생님이 잘 생겼다라는 것이다."/>
        <s v="그녀가 너를 떠난 이유는 네가 발렌타인데이에 그녀를 만나지 않아서이다."/>
        <s v="나는 책 읽는 것을 좋아하는 소녀를 알고 있다."/>
        <s v="그녀는 세 개의 언어를 말하는 친구가 있다."/>
        <s v="우리는 피아노를 잘 치는 소년을 만났다."/>
        <s v="그는 수학을 가르칠 수 있는 선생님을 찾고 있다."/>
        <s v="내 여동생은 매우 아름답게 노래하는 가수를 알고 있다."/>
        <s v="그들은 가방을 잃어버린 학생을 찾았다."/>
        <s v="나는 공원에서 개를 산책시키는 남자를 봤다."/>
        <s v="그녀는 숙제를 도와줄 수 있는 친구에게 전화했다."/>
        <s v="그는 항상 행복한 사람들을 좋아한다."/>
        <s v="나는 매우 흥미로운 책을 샀다."/>
        <s v="그는 매우 빠른 차를 가지고 있다."/>
        <s v="그들은 큰 정원이 있는 집에 산다."/>
        <s v="나는 매우 빠르게 수영할 수 있는 소년을 알고 있다."/>
        <s v="그녀는 정직한 사람들을 좋아한다."/>
        <s v="그는 대회에서 우승한 학생이다."/>
        <s v="그녀는 나에게 그 소식을 알려준 사람이다."/>
        <s v="나는 동물들을 사랑하는 친구가 있다."/>
        <s v="그녀는 세일 중이던 신발을 샀다."/>
        <s v="그녀는 아침을 먹었고, 그리고 출근했다."/>
        <s v="나는 커피를 마시고 싶었지만 우유를 마셨다."/>
        <s v="너는 책을 읽거나, 영화를 볼 수 있다."/>
        <s v="내가 도착했을 때, 회의가 시작되었다."/>
        <s v="내가 학원에 도착하자마자, 비가 오기 시작했다."/>
        <s v="나는 음악을 들으면서 공부를 했다."/>
        <s v="우리는 저녁을 먹고 나서 산책을 했다."/>
        <s v="나는 출발하기 전에 짐을 쌌다."/>
        <s v="그들은 마지막 손님이 떠날 때까지 파티를 계속했다."/>
        <s v="우리는 어렸을 때부터 친구였다."/>
        <s v="나는 잠을 충분히 못 잤기 때문에 피곤했다."/>
        <s v="그는 피곤함에도 불구하고 여전히 일을 했다"/>
        <s v="네가 원하면, 나는 도와줄 것이다"/>
        <s v="네가 나에게 말하지 않으면, 나는 모를 것이다."/>
        <s v="그는 나보다 더 많이 먹는다."/>
        <s v="그녀는 실수를 하지 않기 위해 주의 깊게 작업했다."/>
        <s v="그는 책을 읽었고, 그리고 잠을 잤다."/>
        <s v="나는 공부를 하고 싶었지만 TV 를 봤다."/>
        <s v="너는 쉬거나, 운동을 할 수 있다."/>
        <s v="내가 도착했을 때, 수업이 끝났다."/>
        <s v="내가 집에 도착하자마자, 전기가 나갔다."/>
        <s v="나는 요리를 하면서 노래를 들었다."/>
        <s v="우리는 영화 보고 나서 커피를 마셨다."/>
        <s v="나는 자기 전에 책을 읽었다."/>
        <s v="그는 날이 밝을 때까지 걸었다."/>
        <s v="우리는 대학 때부터 알고 지냈다."/>
        <s v="나는 식사를 하지 않아서 배고팠다."/>
        <s v="그는 돈이 없었지만 행복했다."/>
        <s v="네가 동의하면, 나는 갈 것이다."/>
        <s v="네가 설명하지 않으면, 나는 이해하지 못할 것이다."/>
        <s v="그는 내가 달리는 것 보다 더 빨리 달린다."/>
        <s v="그녀는 길을 잃지 않기 위해 지도를 챙겼다."/>
        <s v="그는 저녁을 먹었고, 그리고 산책을 했다."/>
        <s v="나는 자고 싶었지만 일을 했다."/>
        <s v="너는 공부를 하거나, 책을 읽을 수 있다."/>
        <s v="내가 떠났을 때, 비가 내렸다."/>
        <s v="내가 달리기 시작하자마자, 바람이 불기 시작했다."/>
        <s v="나는 걸으면서 생각을 했다."/>
        <s v="우리는 수영한 후에 점심을 먹었다."/>
        <s v="나는 운동하기 전에 스트레칭 했다."/>
        <s v="그는 밤이 될 때까지 일했다."/>
        <s v="우리는 고등학교 때부터 친구였다."/>
        <s v="나는 비가 와서 우산을 가져갔다."/>
        <s v="그는 몸이 아팠지만 회의에 참석했다."/>
        <s v="네가 서두르면, 우리는 기차를 탈 수 있다."/>
        <s v="네가 열쇠를 가지지 않으면, 문을 열 수 없다."/>
        <s v="그는 내가 아는 것보다 더 많이 안다."/>
        <s v="그녀는 물건을 잊지 않기 위해 메모를 썼다."/>
        <s v="그녀가 시험에 합격했다는 것이 모두를 놀라게 했다."/>
        <s v="그가 늦을 것이라는 것은 나를 짜증나게 한다."/>
        <s v="나는 그가 그 일을 끝냈다고 믿는다."/>
        <s v="문제는 우리가 충분한 시간을 가지고 있지 않는 것이다."/>
        <s v="나는 그가 진실을 말하고 있다는 것에 대해 확신이 없다."/>
        <s v="그가 우리를 도와줄 것이라는 것은 분명하다."/>
        <s v="그가 그 일을 해냈다는 것이 모두를 놀라게 했다."/>
        <s v="나는 그가 정직하다고 생각한다."/>
        <s v="요점은 그가 동의하지 않았다는 것이다."/>
        <s v="그가 올 것이라는 것은 확실하다.(it 주어)"/>
        <s v="그가 이겼다는 것이 모두를 놀라게 했다."/>
        <s v="그녀가 거짓말을 했다는 것은 분명하다."/>
        <s v="나는 그가 도움을 요청했다고 생각한다."/>
        <s v="문제는 그가 정직하지 않다는 것이다."/>
        <s v="나는 그가 성공할 것이라는 것을 확신한다."/>
        <s v="중요한 것은 그가 자신의 실수를 인정했다는 것이다."/>
        <s v="그가 나를 속였다는 것이 나를 화나게 했다."/>
        <s v="나는 그가 열심히 공부하고 있다는 것을 안다."/>
        <s v="그의 성공은 그가 열심히 일했다는 것을 증명한다."/>
        <s v="그가 올 것이라는 것은 확실하다."/>
        <s v="나는 그가 파티에 올 것이라는 것에 대해 걱정하고 있다."/>
        <s v="당신은 모든 것을 알고 있는 것 같군요.(it 주어)"/>
        <s v="그는 미친 사람 인 것 같다.(it 주어)"/>
        <s v="그는 너무 피곤해서 잠에 들었다."/>
        <s v="그녀는 그러한 멋진 아이디어를 가지고 있어서 모두를 놀라게 했다."/>
        <s v="날씨가 너무 추워서 우리는 집에 머물렀다."/>
        <s v="그는 그러한 어려운 문제를 해결해서 칭찬받았다."/>
        <s v="그녀는 너무 행복해서 눈물이 났다."/>
        <s v="그들은 너무 늦어서 영화의 첫 부분을 놓쳤다."/>
        <s v="그는 그러한 멋진 성과를 이뤄서 모두를 놀라게 했다."/>
        <s v="그가 너무 화가 나서 큰 소리로 소리쳤다."/>
        <s v="그녀는 그렇게 아름다운 꽃을 가져와서 모두를 감동시켰다."/>
        <s v="그들이 너무 긴장을 해서 발표를 망쳤다."/>
        <s v="공부하니?"/>
        <s v="공부했니?"/>
        <s v="공부할 거니?"/>
        <s v="영화 보니?"/>
        <s v="영화 봤니?"/>
        <s v="영화 볼거니?"/>
        <s v="책 읽니?"/>
        <s v="책 읽었니?"/>
        <s v="책 읽을거니?"/>
        <s v="음악 듣니?"/>
        <s v="음악 들었니?"/>
        <s v="음악 들을거니?"/>
        <s v="너 오늘 숙제 다 했니?"/>
        <s v="어제 저녁에 그가 영화 봤니?"/>
        <s v="네 친구가 이번 주말에 여행 갈 거니?"/>
        <s v="네 동생이 지금 공부하고 있니?"/>
        <s v="그녀가 내일 회의에 참석할 거니?"/>
        <s v="오늘 오후에 친구들 만날 거니?"/>
        <s v="그가 이번 주에 새 차를 샀니?"/>
        <s v="네 엄마가 어제 시장에 갔니?"/>
        <s v="그가 주말에 운동하니?"/>
        <s v="너희 집이 작년에 이사했니?"/>
        <s v="너 그거 사용해 본 적 있니?"/>
        <s v="그가 그 책을 읽은 적 있니?"/>
        <s v="너 여기 와본 적 있니?"/>
        <s v="그녀가 프랑스에 가본 적 있니?"/>
        <s v="너 이 영화를 본 적 있니?"/>
        <s v="그가 그 노래를 들은 적 있니?"/>
        <s v="너 일본에 가본 적 있니?"/>
        <s v="그녀가 이 요리를 만들어 본 적 있니?"/>
        <s v="너 뉴욕에 살아본 적 있니?"/>
        <s v="그가 자전거를 타본 적 있니?"/>
        <s v="너 이 문제를 반드시 풀어야만 하니?"/>
        <s v="그가 지금 틀림없이 가야 하니?"/>
        <s v="너 내일 일할 거니?"/>
        <s v="그녀가 저녁을 만들 수 있니?"/>
        <s v="너 그 책을 반드시 읽어야 하니?"/>
        <s v="그가 이 문제를 해결할 수 있니?"/>
        <s v="너 오늘 밤에 올 거니?"/>
        <s v="그녀가 이 일을 꼭 해야만 하니?"/>
        <s v="너 그 시험을 통과할 수 있니?"/>
        <s v="그가 집에 틀림없이 가야 하니?"/>
        <s v="너 이 문제를 꼭 풀어야만 하니?"/>
        <s v="그녀가 저녁을 꼭 만들어야 하니?"/>
        <s v="너 이 문제를 풀어야 하니?"/>
        <s v="그가 지금 반드시 가야 하니?"/>
        <s v="너 내일 일해야 하니?"/>
        <s v="그녀가 저녁을 만들어도 되니?"/>
        <s v="너 그 책을 읽어도 되니?"/>
        <s v="그가 이 문제를 해결할 수도 있니?"/>
        <s v="너 오늘 밤에 올 수도 있니?"/>
        <s v="그녀가 이 일을 반드시 할까요?"/>
        <s v="너 그 시험을 아마도 통과할 수 있을 것 같니?"/>
        <s v="그가 집에 꼭 가고자 하니?"/>
        <s v="네가 언제 도착했니?"/>
        <s v="누가 그 일을 꼭 해야 하니?"/>
        <s v="무엇이 그 책에 포함되어 있니?"/>
        <s v="어디에서 그가 일할 거니?"/>
        <s v="왜 그녀가 그렇게 말했니?"/>
        <s v="어떻게 그가 이 문제를 해결할 수 있니?"/>
        <s v="어느 책이 더 좋니?"/>
        <s v="어느 영화가 네가 본 것 중 최고였니?"/>
        <s v="네가 왜 그렇게 피곤해 보이니?"/>
        <s v="얼마나 많은 사람들이 그 파티에 왔니?"/>
        <s v="얼마나 많은 돈을 네가 썼니?"/>
        <s v="그가 언제 돌아올 거니?"/>
        <s v="누가 네가 좋아하는 배우니?"/>
        <s v="무엇을 네가 원하는 것이니?"/>
        <s v="어디에 그가 머물 거니?"/>
        <s v="왜 그가 그렇게 화가 났니?"/>
        <s v="어떻게 네가 이걸 할 수 있니?"/>
        <s v="어느 과목이 네가 가장 좋아하는 것이니?"/>
        <s v="어떤 색깔의 차를 네가 사고 싶니?"/>
        <s v="얼마나 많은 친구들이 네가 있어?"/>
        <s v="정말 아름다운 하늘이다!"/>
        <s v="정말 멋진 바다다!"/>
        <s v="당신은 정말 멋진 친구를 가지고 있다."/>
        <s v="그는 정말 대단한 사람이야!"/>
        <s v="정말 멋진 하루다!"/>
        <s v="당신은 정말 멋진 집을 가지고 있다!"/>
        <s v="정말 훌륭한 성과다!"/>
        <s v="당신은 정말 훌륭한 결과를 얻었다!"/>
        <s v="정말 맛있는 요리다!"/>
        <s v="당신은 정말 대단한 요리를 만들었다!"/>
        <s v="정말 감동적인 순간이다!"/>
        <s v="당신은 정말 특별한 순간을 경험하고 있다!"/>
        <s v="그녀는 정말 탁월한 연기자를 가지고 있다!"/>
        <s v="정말 놀라운 성과다!"/>
        <s v="정말 인상적인 연구 결과다!"/>
        <s v="정말 유익한 강의다!"/>
        <s v="당신은 정말 훌륭한 논문을 썼다!"/>
        <s v="이 여행이 정말 기억에 남는다!"/>
        <s v="당신의 사진이 정말 아름답다!"/>
        <s v="이 경치가 정말 장관이다!"/>
        <s v="이 숲이 정말 평화롭다!"/>
        <s v="이 기술이 정말 혁신적이다!"/>
        <s v="이 디자인이 정말 세련되었다!"/>
        <s v="이 영화가 정말 감동적이다!"/>
        <s v="정말 위안이 되는 말이다!"/>
        <s v="이 정원이 정말 아름답다!"/>
        <s v="이 해변이 정말 멋지다!"/>
        <s v="이 케이크가 정말 맛있다!"/>
        <s v="정말 훌륭한 요리다!"/>
        <s v="정말 인상적인 발표다!"/>
        <s v="정말 뛰어난 작품이다!"/>
        <s v="정말 특별한 순간이다!"/>
        <s v="정말 잊을 수 없는 경험이다!"/>
        <s v="이 아이디어가 정말 독창적이다!"/>
        <s v="이 프로젝트가 정말 혁신적이다!"/>
        <s v="정말 멋진 도서관이다!"/>
        <s v="이 산이 정말 장관이다!"/>
        <s v="이 파스타가 정말 맛있다!"/>
        <s v="이 스무디가 정말 상쾌하다!"/>
        <s v="당신은 정말 인상적인 성과를 이루웠다!"/>
        <s v="이 결과가 정말 놀랍다!"/>
        <s v="이 디자인이 정말 혁신적이다!"/>
        <s v="이 아이디어가 정말 창의적이다!"/>
        <s v="당신의 여행 이야기가 정말 흥미진진하다!"/>
        <s v="새 집이 정말 멋지다!"/>
        <s v="이 노래가 정말 좋은데!"/>
        <s v="이 책이 정말 재미있다!"/>
        <s v="정말 멋진 새 차네!"/>
        <s v="정말 맛있는 요리를 만드셨네요!"/>
        <s v="이 파티가 정말 즐겁다!"/>
        <s v="당신의 스타일이 정말 멋지다!"/>
        <s v="이 디저트가 얼마나 달콤한지!"/>
        <s v="이 카레가 얼마나 매운지!"/>
        <s v="이 음료가 얼마나 상큼한지!"/>
        <s v="이 케이크가 얼마나 놀라운지!"/>
        <s v="이 수프가 얼마나 맛있는지!"/>
        <s v="이 스테이크가 얼마나 부드러운지!"/>
        <s v="이 샐러드가 얼마나 신선한지!"/>
        <s v="이 커피가 얼마나 향긋한지!"/>
        <s v="이 초콜릿이 얼마나 진한지!"/>
        <s v="이 아이스크림이 얼마나 시원한지!"/>
        <s v="이 파스타가 얼마나 맛있는지!"/>
        <s v="이 피자가 얼마나 고소한지!"/>
        <s v="이 수프가 얼마나 뜨거운지!"/>
        <s v="이 치즈가 얼마나 부드러운지!"/>
        <s v="이 와인이 얼마나 깊은지!"/>
        <s v="이 디저트가 얼마나 부드러운지!"/>
        <s v="이 발표가 얼마나 성공적인지!"/>
        <s v="이 회의가 얼마나 효율적인지!"/>
        <s v="이 동료가 얼마나 친절한지!"/>
        <s v="이 프로젝트가 얼마나 중요한지!"/>
        <s v="이 제안이 얼마나 창의적인지!"/>
        <s v="이 수업이 얼마나 유익한지!"/>
        <s v="이 시험이 얼마나 어려운지!"/>
        <s v="이 팀워크가 얼마나 훌륭한지!"/>
        <s v="이 발표가 얼마나 긴장되는지!"/>
        <s v="이 친구가 얼마나 도움이 되는지!"/>
        <s v="이 날씨가 얼마나 상쾌한지!"/>
        <s v="이 휴식이 얼마나 필요한지!"/>
        <s v="이 산책이 얼마나 평화로운지!"/>
        <s v="이 영화가 얼마나 재미있는지!"/>
        <s v="이 대화가 얼마나 의미 있는지!"/>
        <s v="이 상사가 얼마나 지혜로운지!"/>
        <s v="이 협상이 얼마나 순조로운지!"/>
        <s v="이 팀이 얼마나 협력적인지!"/>
        <s v="이 일정이 얼마나 타이트한지!"/>
        <s v="이 프레젠테이션이 얼마나 설득력 있는지!"/>
        <s v="이 과제가 얼마나 어려운지!"/>
        <s v="이 학기가 얼마나 바쁜지!"/>
        <s v="이 교수님이 얼마나 열정적인지!"/>
        <s v="이 프로젝트가 얼마나 도전적인지!"/>
        <s v="이 시험 결과가 얼마나 놀라운지!"/>
        <s v="그는 이미 집에 갔을지도 모른다."/>
        <s v="우리는 그 문제를 해결할 수 있었을 것이다."/>
        <s v="너는 더 일찍 떠났어야 했어."/>
        <s v="그는 나를 도왔을 수도 있다."/>
        <s v="그가 왔을 텐데..."/>
        <s v="그는 그 일을 끝냈음에 틀림없다."/>
        <s v="그녀가 그 말을 했을 리가 절대 없다."/>
        <s v="너는 나에게 더 일찍 연락했어야 했어."/>
        <s v="그는 그 돈을 낭비하지 말았어야 했다."/>
        <s v="그가 도와줬을 텐데..."/>
        <s v="그는 그 장소에 있었을 리가 없다."/>
        <s v="그는 이미 떠났을지도 모른다."/>
        <s v="그는 밤새 공부했음에 틀림없다."/>
        <s v="그들은 그 소식을 들었을 리가 전혀 없다."/>
        <s v="너는 그 일을 확인했어야 했어."/>
        <s v="그는 그렇게 늦게까지 깨어있지 말았어야 했다."/>
        <s v="그녀가 도와줬을 텐데..."/>
        <s v="우리는 더 일찍 출발할 수 있었을 것이다."/>
        <s v="그는 그렇게 빨리 일을 끝냈을 리가 없다."/>
        <s v="그는 회의를 놓쳤을지도 모른다."/>
        <s v="그녀는 다른 길로 갔을지도 모른다."/>
        <s v="그는 늦잠을 잤음에 틀림없다."/>
        <s v="그녀가 절대로 나를 잊었을 리가 없다."/>
        <s v="우리는 더 많은 준비를 했어야 했다."/>
        <s v="나는 그를 그렇게 무례하게 대하지 말았어야 했다."/>
        <s v="나는 새 차를 샀을 텐데..."/>
        <s v="그녀는 시험에 합격할 수 있었을 것이다."/>
        <s v="그는 그렇게 멀리 갔을 리가 없다."/>
        <s v="그는 이미 결정을 내렸을지도 모른다."/>
        <s v="그들은 길을 잃었을지도 모른다."/>
        <s v="나는 커피 마시는 것을 즐긴다"/>
        <s v="나는 의사가 되기를 결심했다"/>
        <s v="나는 당신을 만나기를 기대합니다."/>
        <s v="나는 당신을 다시 만나기를 희망한다."/>
        <s v="그녀는 도움 받기를 필요로 하다."/>
        <s v="나는 초콜릿을 조금 먹기를 원한다."/>
        <s v="그는 집에 갈 의도가 있다."/>
        <s v="나는 그들에게 구호품을 보내기로 결심한다."/>
        <s v="나는 더 열심히 일하기로 맹세한다."/>
        <s v="내 취미는 영어를 공부하는 것이다."/>
        <s v="내 꿈은 의사가 되는 것이다."/>
        <s v="그를 아는 것은 축복이다."/>
        <s v="그를 아는 것은 축복이다.(it)"/>
        <s v="그를 알게하는 것은 의미가 있다."/>
        <s v="그를 알게하는 것은 의미가 있다.(it)"/>
        <s v="그 연료가 하와이에 다다를 수 있을 정도로 충분하다."/>
        <s v="그는 미국에 가기를 열망하고 있다."/>
        <s v="그 수영장은 보트들을 그곳으로 항해하도록 만들 정도로 충분히 크다."/>
        <s v="그는 차를 들어 올릴 정도로 충분히 강하다."/>
        <s v="이건 먹기에는 너무나도 아름답다."/>
        <s v="나는 영어를 공부 해야 할 필요가 있다."/>
        <s v="나는 영어를 공부 해야 할 필요가 있다.(원문)"/>
        <s v="나는 박물관을 방문할 너의 계획을 안다."/>
        <s v="그는 중국어를 할 수 있는 그녀의 능력을 종아한다."/>
        <s v="그 사람은 노벨상을 수상할 그녀의 잠재력을 알았다."/>
        <s v="나는 그 일을 완수 할 수 있는 때를 안다.(그 때)"/>
        <s v="나는 그 일을 완수 할 수 있는 때를 안다.(원문)"/>
        <s v="나는 그 일을 완수 할 수 있는 때를 안다.(생략)"/>
        <s v="그는 중국어를 유창하게 말 하는 것 처럼 보인다."/>
        <s v="그는 의사인 척합니다."/>
        <s v="그는 내 친구를 잘 안다고 주장한다."/>
        <s v="그는 그녀를 매우 사랑한다고 알려져 있다."/>
        <s v="그녀는 그 상을 수상하게 된 최연소 선수이다."/>
        <s v="그는 그 경주를 완주하게 된 가장 빠른 주자이다."/>
        <s v="나는 내 가족을 다시 보게 되어서 행복하다."/>
        <s v="당신을 돕게 된다면 저는 행복할 겁니다."/>
        <s v="나는 그를 영어 공부하도록 만들었다."/>
        <s v="헬리콥터가 도로 위에 떠 있다."/>
        <s v="이불이 침대를 덮고 있다."/>
        <s v="다이버가 보트 아래에서 잠수한다."/>
        <s v="개가 나무 아래에 있다."/>
        <s v="개가 침대 바로 아래에 있다."/>
        <s v="연필이 필통 안에 있다."/>
        <s v="자동차가 차고 안쪽에 있다."/>
        <s v="법은 국가의 경계 내에서만 적용된다."/>
        <s v="연주자가 관중 한가운데 있다."/>
        <s v="학생이 나무들 가운데 앉아 있다."/>
        <s v="아이가 집 밖에 있다."/>
        <s v="고양이가 상점 바깥쪽에 있다."/>
        <s v="울타리가 정원을 둘러싸고 있다."/>
        <s v="꽃들이 분수대를 둘러싸고 있다."/>
        <s v="나무가 연못 바로 옆에 있다."/>
        <s v="책상이 창문 옆에 있다."/>
        <s v="병원이 공원 근처에 있다."/>
        <s v="학생이 선생님과 함께 있다."/>
        <s v="아이가 친구 없이 놀고 있다."/>
        <s v="자동차가 건물들 사이에 주차되어 있다."/>
        <s v="버스가 학교 앞쪽에 서 있다."/>
        <s v="사람이 문 앞에 서 있다."/>
        <s v="자전거가 자동차 앞서 달린다."/>
        <s v="강아지가 주인 뒤에 있다."/>
        <s v="강아지가 주인 뒤에 따라간다."/>
        <s v="학생들이 수업 직후에 간다."/>
        <s v="사람들이 정거장에서 기다린다."/>
        <s v="책이 테이블에 있다."/>
        <s v="강이 도로를 따라서 흐른다."/>
        <s v="비가 여행 중에 내린다."/>
        <s v="팀이 회사의 일부이다."/>
        <s v="고양이가 의자에서 떨어졌다."/>
        <s v="축구팀이 상대팀에 대항하여 경기한다."/>
        <s v="그는 어려움에도 불구하고 성공했다."/>
        <s v="그녀를 제외하고 모두가 초대되었다."/>
        <s v="그 기사가 유명한 작가에 의해 쓰여졌다."/>
        <s v="그는 그의 가족을 위해 일한다."/>
        <s v="새들이 해안쪽으로 날아간다."/>
        <s v="그는 파티에 간다."/>
        <s v="물이 컵 안으로 들어간다."/>
        <s v="그는 도로를 가로질러 간다."/>
        <s v="바람이 창문을 통해 불어온다."/>
        <s v="소문이 학교 전역에 퍼졌다."/>
        <s v="그는 기차를 지나 갔다."/>
        <s v="달이 산 너머로 보인다."/>
        <s v="새들이 저 멀리로 날아간다."/>
        <s v="연기가 굴뚝 위로 올라간다."/>
        <s v="나는 산 위로 올라갔다."/>
        <s v="강아지가 계단 아래로 달려간다."/>
        <s v="그녀는 뉴욕에서 왔다."/>
        <s v="고양이가 상자에서 나왔다."/>
        <s v="그는 2015년부터 이곳에 살고 있다."/>
        <s v="차가 집으로 돌아간다."/>
        <s v="그는 교사로 일한다."/>
        <s v="그는 고양이처럼 움직인다."/>
        <s v="그는 그의 형보다 키가 더 크다."/>
      </sharedItems>
    </cacheField>
    <cacheField name="힌트" numFmtId="0">
      <sharedItems containsNonDate="0" count="719">
        <s v="나 - 읽는다 - 책"/>
        <s v="그 - 요리한다 - 음식"/>
        <s v="그녀 - 쓴다 - 편지"/>
        <s v="우리 - 본다 - 영화"/>
        <s v="너 - 듣는다 - 음악"/>
        <s v="그들 - 한다 - 게임"/>
        <s v="나 - 마신다 - 커피"/>
        <s v="그 - 운전한다 - 차"/>
        <s v="그녀 - 청소한다 - 방"/>
        <s v="우리 - 푼다 - 문제"/>
        <s v="우리 - 먹는다 - 저녁"/>
        <s v="그 - 한다 - 축구"/>
        <s v="아이 - 좋아한다 - 사탕"/>
        <s v="그녀 - 공부한다 - 영어"/>
        <s v="그 - 마신다 - 물"/>
        <s v="나 - 이다 - 슬픈 상태"/>
        <s v="그 - 이다 - 피곤한 상태"/>
        <s v="그녀 - 이다 - 행복한 상태"/>
        <s v="우리 - 이다 - 배고픈 상태"/>
        <s v="너 - 이다 - 신난 상태"/>
        <s v="그들 - 이다 - 화난 상태"/>
        <s v="나 - 이다 - 지루한 상태"/>
        <s v="그 - 이다 - 걱정된 상태"/>
        <s v="그녀 - 이다 - 놀란 상태"/>
        <s v="우리 - 이다 - 만족스러운 상태"/>
        <s v="나 - 이다 - 행복한 상태"/>
        <s v="그녀 - 이다 - 피곤한 상태"/>
        <s v="그들 - 이다 - 슬픈 상태"/>
        <s v="우리 - 이다 - 기쁜 상태"/>
        <s v="그 - 이다 - 화난 상태"/>
        <s v="나 - 이다 - 준비된 상태"/>
        <s v="그녀 - 이다 - 똑똑한 상태"/>
        <s v="우리 - 이다 - 지루한 상태"/>
        <s v="그 - 이다 - 건강한 상태"/>
        <s v="나 - 이다 - 바쁜 상태"/>
        <s v="우리 - 계획하고 있다 - to 읽다 - 그 책"/>
        <s v="나 - 싫어한다 - 설거지하다 ing"/>
        <s v="그 - 희망한다 - to 배우다 - 새로운 언어"/>
        <s v="우리 - 그만뒀다 - 수영하다 ing"/>
        <s v="그들 - 기대하고 있다 - to 가다 - 콘서트"/>
        <s v="우리 - 즐긴다 - 놀다 ing - 함께하는 대상은 - 친구들"/>
        <s v="그 - 결심했다 - to 시작하다 - 사업"/>
        <s v="우리 - 즐긴다 - 보다 ing - 영화"/>
        <s v="그들 - 희망했다 - to 도착하다 - 장소는 - 도시"/>
        <s v="나 - 즐긴다 - 배우다 ing - 새로운 언어"/>
        <s v="그들 - 기대하고 있다 - to 시작하다 - 그 프로젝트"/>
        <s v="우리 - 약속했다 - to 돕다 - 그들"/>
        <s v="나 - 보았다 - 그 - 춤추다 ing"/>
        <s v="우리 - 확인했다 - 그 - 건너다 ing - 길"/>
        <s v="나 - 마신다 - 차 - 읽다 ing - 책"/>
        <s v="그 - 한다 - 요리 - 듣다 ing - 음악"/>
        <s v="우리 - 찍는다 - 사진 - 하다 ing - 산책"/>
        <s v="나 - 마신다 - 커피 - 읽다 ing - 책"/>
        <s v="나 - 공부한다 - 매일 - 열심히 - to 배우다 - 새로운 언어"/>
        <s v="그 - 모은다 - 돈 - to 여행하다 - 세계"/>
        <s v="그녀 - 보낸다 - 이력서 - 매일 - to 가지다 - 직업"/>
        <s v="그녀 - 부른다 - 노래 - 요리하다 ing"/>
        <s v="그 - 읽고 있다 - 책 - to 계발하다 - 자기"/>
        <s v="그 - 마신다 - 와인 - with - 친구 - at - 레스토랑 - in - 저녁"/>
        <s v="그 - 식사를 한다 - with - 친구 - at - 레스토랑 - in - 저녁"/>
        <s v="그들 - 대화를 나눈다 - with - 가족 - at - 카페 - at - 점심"/>
        <s v="그 - 조깅을 한다 - with - 개 - by - 강가 - in - 오후"/>
        <s v="그녀 - 놀아준다 - with - 아이들 - at - 공원 - in - 저녁"/>
        <s v="그 - 앉아 독서를 한다 - under - 나무 - in - 공원 - at - 정오"/>
        <s v="그녀 - 정리한다 - 서류 - on - 책상 - in - 사무실 - in - 오후"/>
        <s v="그들 - 앉아 대화를 나눈다 - around - 테이블 - in - 레스토랑 - in - 저녁"/>
        <s v="그 - 누워 읽는다 - 책 - on - 침대 - at - 밤"/>
        <s v="그녀 - 감상한다 - 경치 - at - 바닷가 - in - 아침"/>
        <s v="그녀 - 마신다 - 차 - alone - on - 발코니 - in - 아침"/>
        <s v="그 - 공부를 한다 - alone - in - 도서관 - in - 아침"/>
        <s v="강아지 - 있다 - outside - 집"/>
        <s v="울타리 - 있다 - around - 집"/>
        <s v="비행기 - 날아간다 - above - 마을"/>
        <s v="물고기 - 있다 - beneath - 물 표면"/>
        <s v="사과 - 있다 - in - 바구니"/>
        <s v="고양이 - 있다 - inside - 집"/>
        <s v="그 - 돌아올 것이다 - within - 두 시간"/>
        <s v="나무 - 있다 - amid - 숲"/>
        <s v="무지개 - 걸쳐있다 - over - 강"/>
        <s v="지하철 - 지나간다 - below - 도시"/>
        <s v="책상 - 있다 - under - 전등"/>
        <s v="유명 가수 - 있다 - among - 팬들"/>
        <s v="고양이 - 있다 - out - 상자"/>
        <s v="가게들 - 있다 - about - 광장"/>
        <s v="그들 - 이야기한다 - about - 골프"/>
        <s v="나무 - 있다 - next to - 집"/>
        <s v="은행 - 있다 - beside - 상점"/>
        <s v="학교 - 있다 - near - 공원"/>
        <s v="나 - 있다 - with - 친구"/>
        <s v="그 - 떠났다 - without - 지갑"/>
        <s v="나 - 준비한다 - 자료 - before - 회의"/>
        <s v="그 - 달린다 - ahead of - 나"/>
        <s v="고양이 - is - 숨다 ing - behind - 의자"/>
        <s v="고양이 - 쫓았다 - after - 쥐"/>
        <s v="우리 - 했다 - 회식 - after - 회의"/>
        <s v="그 - 조사를 받았다 - following - 사건"/>
        <s v="나 - 도착했다 - at - 역"/>
        <s v="컵 - 있다 - on - 탁자"/>
        <s v="나 - 걷는다 - along - 길"/>
        <s v="나 - 한다 - 필기 - during - 수업"/>
        <s v="나 - 먹었다 - 한 조각 - of - 피자"/>
        <s v="나 - 치웠다 - 지갑 - off - 테이블"/>
        <s v="나 - 기대어 있다 - against - 벽"/>
        <s v="나 - 외출했다 - despite - 비"/>
        <s v="나 - 일한다 - except - 휴일"/>
        <s v="그녀 - 사랑 받는다 - by - 부모님"/>
        <s v="나 - 요리한다 - for - 그"/>
        <s v="나무 - 있다 - between - 두 집"/>
        <s v="차 - 서 있다 - in front of - 집"/>
        <s v="나무 - 있다 - before - 집"/>
        <s v="나 - 걸어간다 - toward - 해변"/>
        <s v="나 - 간다 - to - 도서관"/>
        <s v="나 - 들어간다 - into - 방"/>
        <s v="그 - 간다 - across - 공원"/>
        <s v="나 - 갔다 - through - 터널"/>
        <s v="그들 - 탐험했다 - throughout - 도시"/>
        <s v="그 - 여행했다 - throughout - 세계"/>
        <s v="나 - 갔다 - past - 상점"/>
        <s v="산 - 있다 - beyond - 저 언덕"/>
        <s v="그들 - 향해했다 - beyond - 수평선"/>
        <s v="그 - 갔다 - away"/>
        <s v="그 - 내려갔다 - down - 계단"/>
        <s v="그 - 왔다 - from - 일본"/>
        <s v="나 - 꺼냈다 - 물건 - out of - 상자"/>
        <s v="나 - 공부하고 있다 - since - 어제"/>
        <s v="그 - 왔다 - back - to - 고향"/>
        <s v="그 - 충고했다 - as - 선생님"/>
        <s v="그녀 - is - 조용한 상태 - like - 고양이"/>
        <s v="그 - is - 키가 더 큰 상태 - than - 나"/>
        <s v="나 - 올라갔다 - up - 산"/>
        <s v="나 - must - 가다 - to - 학교 - 내일"/>
        <s v="우리 - have to - 운동하다 - 매일"/>
        <s v="너 - don't have to - 청소하다 - 오늘"/>
        <s v="나 - should - 공부하다 - 더 열심히 - 영어"/>
        <s v="우리 - shall - 결혼하다 - 내년"/>
        <s v="나 - will - 시작하다 - 새로운 프로젝트 - 다음 달"/>
        <s v="그들 - be going to - 가다 - to - 파티 - 내일"/>
        <s v="나 - would - 보다 - 그(that) 영화 - 다시"/>
        <s v="나 - can - 치다 - 피아노"/>
        <s v="그 - could - 수영하다"/>
        <s v="그녀 - may - 오다 - 내일"/>
        <s v="나 - might - 떠나다 - 이번 여름"/>
        <s v="나 - must - 일어나다 - 일찍 - 매일 아침"/>
        <s v="우리 - have to - 가다 - 집에 - 일찍"/>
        <s v="그 - doesn't have to - 일하다 - 오늘"/>
        <s v="너 - should - 읽다 - 많은 책"/>
        <s v="우리 - shall - 여행하다 - 유럽 - 내년"/>
        <s v="나 - will - 만나다 - 친구 - 다음 주"/>
        <s v="그녀 - be going to - 시작하다 - 요리 - 곧"/>
        <s v="나 - would - 가다 - 그곳에"/>
        <s v="나 - can - 부르다 - 이태리 노래"/>
        <s v="그 - could - 타다 - 자전거"/>
        <s v="그녀 - may - 오다 - 오늘 밤"/>
        <s v="나 - 생각한다 - 날씨 - might - 비가 오다 - 내일"/>
        <s v="그 - is going to - 가지다 - 새로운 일 - 다음 달"/>
        <s v="나 - must - 훈련하다 - 영어 - 꾸준히 - 매일"/>
        <s v="우리 - should - 해결하다 - 이 문제"/>
        <s v="우리 - shall - 시작하다 - 새로운 프로젝트 - 다음 달"/>
        <s v="우리 - will - 보다 - 영화 - in - 저녁"/>
        <s v="그녀 - would - 하고 싶다 - to 오다 - 이곳에"/>
        <s v="그 - must - 운동하다 - 규칙적으로 - 매일"/>
        <s v="그 - can - 말하다 - 프랑스어 - 유창하게"/>
        <s v="그녀 - could - 해결하다 - 이 문제"/>
        <s v="그 - may - 참석하다 - 회의"/>
        <s v="그녀 - might - 이다 - 늦은 상태 - 오늘 밤"/>
        <s v="너 - have to - 제출하다 - 보고서 - by - 오늘"/>
        <s v="너 - don't have to - 참석하다 - 회의 - 오늘"/>
        <s v="이 편지 - 이다 - 쓰여졌다 - 힘의 원천은 - 그"/>
        <s v="그 고양이 - 이다 - 돌봄 받는다 - 힘의 원천은 - 아이들"/>
        <s v="그 집 - 이다 - 지어졌다 - 힘의 원천은 - 부모님"/>
        <s v="이 음식 - 이다 - 준비되었다 - 힘의 원천은 - 셰프"/>
        <s v="그 보고서 - 이다 - 작성되었다 - 힘의 원천은 - 팀"/>
        <s v="책 - 이다 - 읽혀진다 - 힘의 원천은 - 학생들"/>
        <s v="그 드레스 - 이다 - 디자인되었다 - 힘의 원천은 - 디자이너"/>
        <s v="그 그림 - 이다 - 그려졌다 - 힘의 원천은 - 예술가"/>
        <s v="그 건물 - 이다 - 설계되었다 - 힘의 원천은 - 건축가"/>
        <s v="그 상 - 이다 - 수여되었다 - 힘의 원천은 - 심사위원들"/>
        <s v="초대장 - 이다 - 보내졌다 - 힘의 원천은 - 친구들"/>
        <s v="그 문제 - 이다 - 설명되었다 - 힘의 원천은 - 선생님"/>
        <s v="음악 - 이다 - 재생된다 - 힘의 원천은 - 라디오"/>
        <s v="그 프로그램 - 이다 - 실행된다 - 힘의 원천은 - 컴퓨터"/>
        <s v="그 공연 - 이다 - 관람되었다 - 힘의 원천은 - 많은 사람들"/>
        <s v="그 컴퓨터 - 이다 - 수리되었다 - 힘의 원천은 - 전문가"/>
        <s v="그 제품 - 이다 - 제조된다 - 힘의 원천은 - 공장"/>
        <s v="이 수업 - 이다 - 선택된다 - 힘의 원천은 - 많은 학생들"/>
        <s v="그 영화 - 이다 - 호평받았다 - 힘의 원천은 - 평론가들"/>
        <s v="그 기념비 - 이다 - 세워졌다 - 힘의 원천은 - 정부"/>
        <s v="나 - 한 적이 있는 바는 - 봤다 - 그 영화"/>
        <s v="그 - 한 적이 있는 바는 - 방문했다 - 뉴욕"/>
        <s v="우리 - 한 적이 있는 바는 - 이미 - 먹었다 - 저녁"/>
        <s v="그들 - 한 적이 있는 바는 - 들었다 - 이 노래"/>
        <s v="나 - 한 적이 있는 바는 - 봤다 - 이 영화 - 최근에"/>
        <s v="그녀 - 한 적이 있는 바는 - 이미 - 끝냈다 - 숙제"/>
        <s v="나 - 한 적이 있는 바는 - 만났다 - 그 사람 - 전에"/>
        <s v="우리 - 한 적이 있는 바는 - 해결했다 - 이 문제"/>
        <s v="그 - 한 적이 있는 바는 - 자주 - 들었다 - 그(that) 노래"/>
        <s v="나 - 한 적이 없는 바는 - 봤다 - 그(that) 친구"/>
        <s v="그녀 - 한 적이 있는 바는 - 읽었다 - 그 책 - 다섯 번"/>
        <s v="우리 - 한 적이 있는 바는 - 왔다 - 이곳 - 전에"/>
        <s v="그들 - 한 적이 있는 바는 - 들었다 - 그 소식"/>
        <s v="나 - 한 적이 있는 바는 - 이미 - 끝냈다 - 이 일"/>
        <s v="그 - 한 적이 있는 바는 - 최근에 - 구했다 - 새로운 직장"/>
        <s v="우리 - 한 적이 있는 바는 - 논의했다 - 그 문제(issue) - 여러 번"/>
        <s v="그녀 - 한 적이 있는 바는 - 들었다 - 많이 - 주제는 - 이 영화"/>
        <s v="나 - 한 적이 없는 바는 - 잊었다 - 그"/>
        <s v="그들 - 한 적이 있는 바는 - 최근에 - 추가했다 - 새로운 팀원"/>
        <s v="나 - 한 적이 있는 바는 - 봤다 - 이 영화 - 여러 번"/>
        <s v="그녀 - 한 적이 절대로 없는 바는 - 방문했다 - 그곳"/>
        <s v="우리 - 한 적이 있는 바는 - 이미 - 준비했다 - 저녁"/>
        <s v="그들 - 한 적이 없는 바는 - 해결했다 - 그(that) 문제 - 아직도"/>
        <s v="나 - 한 적이 있는 바는 - 최근에 - 시작했다 - 새로운 취미"/>
        <s v="그 - 한 적이 있는 바는 - 이미 - 들었다 - 그 소식"/>
        <s v="그 - 한 적이 있는 바는 - 계속 해 오고 있고 - 지금도 배우는 중 - 영어 - 기간은 - 3년"/>
        <s v="우리 - 한 적이 있는 바는 - 계속 해 오고 있고 - 지금도 논의하는 중 - 이 문제(issue) - 시작된 시점은 - 아침"/>
        <s v="나 - 한 적이 있는 바는 - 계속 해 오고 있고 - 지금도 읽는 중 - 이 책 - 기간은 - 한 시간"/>
        <s v="그녀 - 한 적이 있는 바는 - 계속 해 오고 있고 - 지금도 연주하는 중 - 피아노 - 기간은 - 2시간"/>
        <s v="우리 - 한 적이 있는 바는 - 계속 해 오고 있고 - 지금도 진행 중 - 이 프로젝트 - 기간은 - 몇 주"/>
        <s v="그 - 한 적이 있는 바는 - 계속 해 오고 있고 - 지금도 일하는 중 - 장소는 - 그(that) 회사 - 기간은 - 5년"/>
        <s v="나 - 한 적이 있는 바는 - 계속 해 오고 있고 - 지금도 하는 중 - 요가 - 기간은 - 몇 달"/>
        <s v="우리 - 한 적이 있는 바는 - 계속 해 오고 있고 - 지금도 머무는 중 - 이곳 - 기간은 - 일주일"/>
        <s v="그녀 - 한 적이 있는 바는 - 계속 해 오고 있고 - 지금도 그림 그리는 중 - 기간은 - 6개월"/>
        <s v="그들 - 한 적이 있는 바는 - 계속 해 오고 있고 - 지금도 부르는 중 - 노래 - 기간은 - 몇 시간"/>
        <s v="나 - 한 적이 있는 바는 - 계속 해 오고 있고 - 지금도 연구하는 중 - 이 문제(issue) - 기간은 - 한 달"/>
        <s v="우리 - 한 적이 있는 바는 - 계속 해 오고 있고 - 지금도 번역하는 중 - 이 책 - 기간은 - 두 시간"/>
        <s v="그 - 한 적이 있는 바는 - 계속 해 오고 있고 - 지금도 작성하는 중 - 그(that) 보고서 - 기간은 - 몇 주"/>
        <s v="그녀 - 한 적이 있는 바는 - 계속 해 오고 있고 - 지금도 보는 중 - 그(that) 드라마 - 기간은 - 3개월"/>
        <s v="나 - 한 적이 있는 바는 - 계속 해 오고 있고 - 지금도 배우는 중 - 그(that) 악기 - 기간은 - 몇 년"/>
        <s v="우리 - 한 적이 있는 바는 - 계속 해 오고 있고 - 지금도 청소하는 중 - 이 방 - 시작된 시점은 - 아침"/>
        <s v="그 - 한 적이 있는 바는 - 계속 해 오고 있고 - 지금도 기다리는 중 - 그녀 - 기간은 - 오랜 시간"/>
        <s v="나 - 한 적이 있는 바는 - 계속 해 오고 있고 - 지금도 생각하는 중 - 주제는 - 이 주제 - 기간은 - 몇 년"/>
        <s v="그녀 - 한 적이 있는 바는 - 계속 해 오고 있고 - 지금도 계획 중 - 여행 - 기간은 - 지난 몇 달"/>
        <s v="그 여자 - 그녀가 - 왔다 - 출발지는 - 미국"/>
        <s v="그 남자 - 그가 - 왔다 - 함께하는 것은 - 너 - 어제"/>
        <s v="그 남자 - 그가 - 타고 있다 - 노란 차"/>
        <s v="그 식당 - 그것이 - 위치하다 - 장소는 - 강북"/>
        <s v="그 남자 - 그가 - 일하다 - 함께하는 것은 - 나의 친구"/>
        <s v="그 이야기 - 그것이 - 이지 않다 - 진실"/>
        <s v="그 건물 - 그것이(that) - 였다 - 지어진 - 오십년 전"/>
        <s v="그 소년 - 그가 - 하고 있는 바는 - 걷다 - 장소는 - 공원"/>
        <s v="그 남자 - 그가 - 썼다 - 소설"/>
        <s v="한 아파트 - 그것이 - 가지고 있다 - 좋은 전망"/>
        <s v="그 생선 - 그것이(that) - 잡혔다 - 힘을 받고 힘의 원천은 - 나 - 어제"/>
        <s v="그 남자 - 그가 - 사랑을 받다 - 힘을 받고 힘의 원천은 - 나의 친구"/>
        <s v="그 차 - 그것이 - 부서지다 - 힘을 받고 힘의 원천은 - 사고"/>
        <s v="그 소녀 - 그녀가 - 왔다 - 출발지는 - 일본"/>
        <s v="그 차 - 그것은(that) - 만들어졌다 - 장소는 - 독일"/>
        <s v="그 디카 - 그것은 - 제조되었다 - 장소는 - 삼성"/>
        <s v="그 피자 - 그것이 뭔가하면 - 우리 딸 - 좋아한다 - 제일"/>
        <s v="그 피자 - 그것은 - 우리 딸 - 좋아한다 - 제일"/>
        <s v="그 생선 - 그것이 뭔가하면(that) - 나 - 잡았다 - 어제"/>
        <s v="그 생선 - 그것 - 나 - 잡았다 - 어제"/>
        <s v="그 디카 - 그것이 뭔가하면 - 삼성 - 만들었다"/>
        <s v="그 디카 - 그것 - 삼성 - 만들었다"/>
        <s v="그 남자 - 그사람이 누군가 하면 - 너 - 왔다 - 함께하는 것은 - 어제"/>
        <s v="그 남자 - 그 - 너 - 왔다 - 함께하는 것은 - 어제"/>
        <s v="그 장소 - 그것이 뭔가하면 - 나 - 구입했다"/>
        <s v="그 장소 - 그것 - 나 - 구입했다"/>
        <s v="그 차 - 그것이 뭔가하면 - 독일 - 만들었다"/>
        <s v="그 차 - 그것 - 독일 - 만들었다"/>
        <s v="그 남자 - 그 사람이 누군가하면 - 내 친구 - 일하다 - 함께하는 것은"/>
        <s v="그 남자 - 그 - 내 친구 - 일하다 - 함께하는 것은"/>
        <s v="그 신문 - 그것이 뭔가하면 - 당신 - 더 좋아하다"/>
        <s v="그 신문 - 그것 - 당신 - 더 좋아하다"/>
        <s v="그 돈 - 그 것이 뭔가하면(that) - 나 - 할 수 있다 - 쓰다"/>
        <s v="그 돈 - 그것 - 나 - 할 수 있다 - 쓰다"/>
        <s v="그 남자 - 그사람이 누군가하면 - 내 친구 - 사랑하다"/>
        <s v="그 남자 - 그 - 내 친구 - 사랑하다"/>
        <s v="그 영화 - 그것이 뭔가 하면 - 우리 - 보았다 - 때는 - 일요일"/>
        <s v="그 영화 - 그것 - 우리 - 보았다 - 때는 - 일요일"/>
        <s v="그 사람 - 그의 - 아이디어 - 이다 - 좋은"/>
        <s v="한 아파트 - 그것의 - 전망 - 이다 - 좋은"/>
        <s v="그 신문 - 그것의 - 헤드라인들 - 이다 - 좋은"/>
        <s v="그 이유 - 그 이유로 일어나는 일은 - 사람들 - 싫어 하다 - 너"/>
        <s v="그 달 - 그 때에 일어나는 일은 - 우리 아버지 - 태어나셨다"/>
        <s v="그 장소 - 그곳에서 일어나는 일은 - 분위기 - 이다 - 조용한"/>
        <s v="그 날 - 그 때에 일어난 일은 - 나 - 채용되었다"/>
        <s v="그 날 - 그 때에 일어난 일은 - 나 - 되었다 - 군인"/>
        <s v="그 때에 일어난 일은 - 나 - 되었다 - 군인"/>
        <s v="그 이유 - 그 이유로 일어난 일은 - 그녀 - 떠났다 - 너"/>
        <s v="그 장소 - 그곳에서 일어난 일은 - 나 - 두었다 - 열쇠"/>
        <s v="그 이유 - 그 이유로 일어난 일은 - 그 - 했지 않았다 - 오다"/>
        <s v="그 시간 - 그 때에 일어난 일은 - 나 - 도착했다 - 여기"/>
        <s v="그 여자 - 그녀가 - 왔다 - 출발지는 - 미국 - 이다 - 변호사"/>
        <s v="그녀 - 이다 - 변호사 - 그녀는 - 왔다 - 출발지는 - 미국"/>
        <s v="나 - 사랑한다 - 그 여자 - 그녀는 - 왔다 - 출발지는 - 미국"/>
        <s v="그 집 - 그것이 - 가지다 - 두 개의 침실 - 그리고 - 넓은 거실"/>
        <s v="그 소녀 - 그 사람이 누군가하면 - 나 - 하고 싶다 - 나아가서 하고자 하는 바는 - 만나다"/>
        <s v="그 소녀 - 그녀 - 나 - 하고 싶다 - 나아가서 하고자 하는 바는 - 만나다"/>
        <s v="네 여자친구 - 그 사람이 누군가하면 - 나 - 만났었다 - 장소는 - 맥도날드"/>
        <s v="네 여자친구 - 그녀 - 나 - 만났었다 - 장소는 - 맥도날드"/>
        <s v="그 할아버지 - 그의 - 나이가 - 이다 - 넘어가고 아래에 있는 것은 - 100"/>
        <s v="그곳 - 그곳에서 일어난 일은 - 나 - 우연히 했다 - 나아가서 하게 된 바는 - 만나다 - 내 옛 친구"/>
        <s v="그곳에서 일어난 일은 - 나 - 우연히 했다 - 나아가서 하게 된 바는 - 만나다 - 내 옛 친구"/>
        <s v="그 장소 - 그곳에서 일어나는 일은 - 나 - 계획했다 - 나아가 하고자 하는 바는 - 만나다 - 그"/>
        <s v="그곳에서 일어나는 일은 - 나 - 계획했다 - 나아가 하고자 하는 바는 - 만나다 - 그"/>
        <s v="그 장소 - 그곳에서 일어난 일은 - 나 - 소개하다 - 내 여자 친구 - 나아가서 만나는 대상은 - 우리 삼촌"/>
        <s v="그 날 - 그 때에 일어난 일은 - 나 - 만났다 - 그녀 - 장소는 - 미팅 - 처음"/>
        <s v="그 때에 일어난 일은 - 나 - 만났다 - 그녀 - 장소는 - 미팅 - 처음"/>
        <s v="그 방법 - 그 방법으로 일어나는 일은 - 나 - 할 수 있다 - 가다 - 나아가 만나는 대상은 - 미국"/>
        <s v="그 방법 - 나 - 할 수 있다 - 가다 - 나아가 만나는 대상은 - 미국"/>
        <s v="그 방법으로 일어나는 일은 - 나 - 할 수 있다 - 가다 - 나아가 만나는 대상은 - 미국"/>
        <s v="그 집 - 그곳에서 일어나는 일은 - 나 - 하고 싶다 - 나아가서 하고자 하는 바는 - 살다"/>
        <s v="그 차 - 그것은 - 만들어 졌다 - 장소는 - 독일 - 이다 - 비싼"/>
        <s v="나 - 할 것이다 - 만나다 - 그 남자 - 그는 - 왔다 - 출발지는 - 미국"/>
        <s v="나 - 할 것이다 - 구입하다 - 그 차 - 그것은 - 만들어졌다 - 장소는 - 독일"/>
        <s v="나 - 한적이 있는 바는 - 사랑하다 - 그 여자 - 그녀는 - 왔다 - 출발지는 - 미국"/>
        <s v="나 - 그리워 한다 - 그것 - 그것이 뭔가하면 - 엄마 - 만들어 줬다 - 때는 - 어린시절"/>
        <s v="나 - 그리워 한다 - 그것 그것이 뭔가하면(what) - 엄마 - 만들어 줬다 - 때는 - 어린시절"/>
        <s v="이것 - 이다 - 그것 - 그것이 뭔가하면 - 나 - 샀다 - 위하는 대상은 - 너"/>
        <s v="이것 - 이다 - 그것 그것이 뭔가하면(what) - 나 - 샀다 - 위하는 대상은 - 너"/>
        <s v="나 - 좋아한다 - 그것 - 그것은 - 이다 - 아름다운"/>
        <s v="나 - 좋아한다 - 그것 그것은 - 이다 - 아름다운"/>
        <s v="그것 - 그것은 - 만들어지다 - 장소는 - 삼성 - 이다 - 비싼"/>
        <s v="그것 그것은 - 만들어지다 - 장소는 - 삼성 - 이다 - 비싼"/>
        <s v="나 - 좋아한다 - 그 신문 - 그것의 헤드라인들 - 이다 - 좋은"/>
        <s v="나 - 안다 - 그 방법 - 그 방법으로 일어나는 일은 - 나 - 말한다 - 영어"/>
        <s v="나 - 안다 - 그 방법으로 일어나는 일은 - 나 - 말한다 - 영어"/>
        <s v="나 - 만났다 - 그녀 - 점으로 접하는 대상은 - 그 장소 - 그곳에서 일어난 일은 - 분위기 - 였다 - 조용한"/>
        <s v="그녀 - 하지 않았다 - 안다 - 그 시간 - 그 때에 일어난 일은 - 나 - 도착했다 - 여기"/>
        <s v="나 - 하고 싶다 - 나아가서 하고자 하는 바는 - 보호하다 - 그 장소 - 그것이 뭔가하면 - 당신 - 사랑하다 - 매우"/>
        <s v="나 - 이해한다 - 그 이유 - 그 이유로 일어난 일은 - 그녀 - 하지 않았다 - 오다 - 여기"/>
        <s v="나 - 얘기를 했다 - 함께하는 이는 - 변호사 - 그는 - 왔다 - 출발지는 - 미국"/>
        <s v="나 - 했다 - 소개팅 - 함께하는 이는 - 한 사람 - 그는 - 한적이 있었는 바는 - 쓰다 - 한권의 영어책"/>
        <s v="나 - 하지 않는다 - 좋아하다 - 그것 - 그것이 뭔가하면 - 나 - 이다 - 지금"/>
        <s v="나 - 하지 않는다 - 좋아하다 - 그것 그것이 뭔가하면 - 나 - 이다 - 지금"/>
        <s v="그녀 - 그녀는 - 하고자 하다 - 구입하다 - 한 차 - 그것은 - 만들어지다 - 장소는 - 독일 - 말하다 - 함께하는 이는 - 한 변호사 - 그는 - 왔다 - 출발지는 - 미국"/>
        <s v="그 여자 - 그녀는 - 왔다 - 출발지는 - 미국 - 사랑한다 - 나 - 나는 - 하고자 한다 - 사다 - 한 차 - 그것은 - 만들어 지다 - 장소는 - 독일"/>
        <s v="그 여자 - 그녀는 - 왔다 - 출발지는 - 미국 - 그곳에서 일어나는 일은 - 오바마 - 이다 - 대통령 - 이다 - 변호사"/>
        <s v="그 여자 - 그녀는 - 왔다 - 출발지는 - 미국 - 그곳에서 일어나는 일은 - 오바마 - 이다 - 대통령 - 이다 - 변호사 - 그녀는 - 도와줬다 - 나"/>
        <s v="그 여자 - 이다 - 한 변호사 - 그녀는 - 왔다 - 출발지는 - 미국 - 그곳에서 일어나는 일은 - 대통령 - 이다 - 오바마 - 그 사람의 아내는 - 이다 - 미쉘"/>
        <s v="그 이유 - 그 이유로 일어나는 일은 - 나 - 사랑하다 - 그녀 - 이다 - 그 바는 - 그녀 - 이다 - 부자"/>
        <s v="그 이유 - 그 이유로 일어난 일은 - 그 - 떠났다 - 회사 - 였다 - 그 바는 - 그 관계 - 함께하는 것은 - 김과장 - 였다 - 나쁜"/>
        <s v="그 이유 - 그 이유로 일어나는 일은 - 나 - 공부하다 - 애로우잉글리시 - 이다 - 그 바는 - 최 선생 - 이다 - 잘생긴"/>
        <s v="그 이유 - 그 이유로 일어난 일은 - 그녀 - 떠났다 - 였다 - 그 바는 - 너 - 하지 않았다 - 만나다 - 그녀 - 때는 - 발렌타인데이"/>
        <s v="나 - 알고 있다 - 소녀 - who - 좋아한다 - to 읽다 - 책"/>
        <s v="그녀 - 가지고 있다 - 친구 - who - 말한다 - 세 개의 언어"/>
        <s v="우리 - 만났다 - 소년 - who - 치다 - 피아노 - 매우 잘"/>
        <s v="그 - 이다 - 찾고 있는 중 - 선생님 - who - can - 가르치다 - 수학"/>
        <s v="내 여동생 - 알고 있다 - 가수 - who - 노래한다 - 매우 아름답게"/>
        <s v="그들 - 찾았다 - 학생 - who - 잃어버렸다 - 그의 가방"/>
        <s v="나 - 보았다 - 남자 - who - 였다 - 산책시키는 중 - 그의 개 - in - 공원"/>
        <s v="그녀 - 전화했다 - 친구 - who - could - 돕다 - 그녀 - with - 숙제"/>
        <s v="그 - 좋아한다 - 사람들 - who - 이다 - 항상 행복한 상태"/>
        <s v="나 - 샀다 - 책 - which - 였다 - 매우 흥미로운 상태"/>
        <s v="그 - 가지고 있다 - 차 - which - 이다 - 매우 빠른 상태"/>
        <s v="그들 - 산다 - in - 집 - which - 가지고 있다 - 큰 정원"/>
        <s v="나 - 알고 있다 - 소년 - who - can - 수영하다 - 매우 빠르게"/>
        <s v="그녀 - 좋아한다 - 사람들 - who - 이다 - 정직한 상태"/>
        <s v="그 - 이다 - 학생 - who - 우승했다 - 대회"/>
        <s v="그녀 - 이다 - 사람 - who - 알려주었다 - 나에게 - 그 소식"/>
        <s v="나 - 가지고 있다 - 친구 - who - 사랑한다 - 동물들"/>
        <s v="그녀 - 샀다 - 신발 - which - 였다 - on 세일"/>
        <s v="그녀 - 먹었다 - 아침 - and - 출근했다"/>
        <s v="나 - 싶었다 - to 마시다 - 커피 - but - 나 - 마셨다 - 우유"/>
        <s v="너 - 할 수 있다 - 읽다 - 책 - or - 본다 - 영화"/>
        <s v="회의 - 시작되었다 - when - 나 - 도착했다"/>
        <s v="날씨 - 시작했다 - 비가오기 - as - 나 - 도착했다 - at - 학원"/>
        <s v="나 - 공부를 했다 - while - 나 - 듣다 - 음악"/>
        <s v="우리 - 했다 - 산책 - after - 우리 - 먹다 - 저녁"/>
        <s v="나 - 쌌다 - 짐 - before - 나 - 출발하다"/>
        <s v="그들 - 계속했다 - 파티 - until - 마지막 손님 - 떠나다"/>
        <s v="우리 - 였다 - 친구 - since - 우리 - 였다 - 어린 상태"/>
        <s v="나 - 였다 - 피곤한 상태 - because - 나 - 안 - 가졌다 - 충분한 잠"/>
        <s v="그 - 여전히 - 일을 했다 - though - 그 - 였다 - 피곤한 상태"/>
        <s v="나 - 할 바는 - 도와주다 - if - 너 - 원하다"/>
        <s v="나 - 모른다 - unless - 너 - 말하다 - 나에게"/>
        <s v="그 - 먹는다 - 더 많이 - than - 나 - 먹다"/>
        <s v="그녀 - 작업했다 - 주의 깊게 - lest - 그녀 - 실수하다"/>
        <s v="그 - 읽었다 - 책 - and - 잤다"/>
        <s v="나 - 하고 싶었다 - 공부 - but - 나 - 봤다 - TV"/>
        <s v="너 - 할 수 있다 - 쉬다 - or - 운동하다"/>
        <s v="수업 - 끝났다 - when - 나 - 도착했다"/>
        <s v="전기 - 나갔다 - as - 나 - 도착했다 - at - 집"/>
        <s v="나 - 들었다 - 노래 - while - 나 - 요리하다"/>
        <s v="우리 - 마셨다 - 커피 - after - 우리 - 봤다 - 영화"/>
        <s v="나 - 읽었다 - 책 - before - 나 - 자다"/>
        <s v="그 - 걸었다 - until - 날 - 밝다"/>
        <s v="우리 - 지냈다 - 알고 - since - 대학"/>
        <s v="나 - 였다 - 배고픈 상태 - because - 나 - 안 했다 - 식사"/>
        <s v="그 - 였다 - 행복한 상태 - though - 그 - 없었다 - 돈"/>
        <s v="나 - 갈 것이다 - if - 너 - 동의하다"/>
        <s v="나 - 하지 않을 바는 - 이해하다 - unless - 너 - 설명하다"/>
        <s v="그 - 달린다 - 더 빨리 - than - 나 - 달리다"/>
        <s v="그녀 - 챙겼다 - 지도 - lest - 그녀 - 잃다 - 길"/>
        <s v="그 - 먹었다 - 저녁 - and - 산책했다"/>
        <s v="나 - 하고 싶었다 - to 자다 - but - 나 - 일을 했다"/>
        <s v="너 - 할 수 있다 - 공부하다 - or - 읽다 - 책"/>
        <s v="비 - 내렸다 - when - 나 - 떠났다"/>
        <s v="바람 - 시작했다 - to 불다 - as - 나 - 시작했다 - to 달리다"/>
        <s v="나 - 생각했다 - while - 나 - 걷다"/>
        <s v="우리 - 먹었다 - 점심 - after - 우리 - 수영했다"/>
        <s v="나 - 스트레칭 했다 - before - 나 - 운동하다"/>
        <s v="그 - 일했다 - until - 그것 - 였다 - 밤"/>
        <s v="우리 - 계속 였다 - 친구 - since - 고등학교"/>
        <s v="나 - 가져갔다 - 우산 - because - 날씨 - 비가 오다"/>
        <s v="그 - 참석했다 - 회의 - though - 그 - 였다 - 몸이 아픈 상태"/>
        <s v="우리 - 할 수 있는 바는 - 타다 - 기차 - if - 너 - 서두르다"/>
        <s v="나 - 할 수 없는 바는 - 열다 - 문 - unless - 너 - 가지다 - 열쇠"/>
        <s v="그 - 안다 - 더 많이 - than - 나 - 알다"/>
        <s v="그녀 - 썼다 - 메모 - lest - 그녀 - 잊다 - 물건"/>
        <s v="그 바는(That) - 그녀 - 합격했다 - 시험 - 놀라게 했다 - 모두"/>
        <s v="그 바는(That) - 그 - 할 바는 - 이다 - 늦는 상태 - 짜증나게 한다 - 나"/>
        <s v="나 - 믿는다 - 그 바는 - 그 - 끝냈다 - 그 일"/>
        <s v="문제 - 이다 - 그 바는 - 우리 - 하지 않다 - 가지다 - 충분한 시간"/>
        <s v="나 - 이지 않다 - 확신하는 상태 - 그 바는 - 그 - 이다 - 말하는 중 - 진실"/>
        <s v="그 바는 - 그 - 할 바는 - 도와준다 - 우리 - 이다 - 분명한 상태"/>
        <s v="그 바는 - 그 - 해냈다 - 그 일 - 놀라게 했다 - 모두"/>
        <s v="나 - 생각한다 - 그 바는 - 그 - 이다 - 정직한 상태"/>
        <s v="요점 - 이다 - 그 바는 - 그 - 하지 않았다 - 동의하다"/>
        <s v="It - 이다 - 확실한 상태 - that - 그 - 할 바는 - 오다"/>
        <s v="그 바는 - 그 - 이겼다 - 놀라게 했다 - 모두"/>
        <s v="그 바는 - 그녀 - 거짓말을 했다 - 이다 - 분명한 상태"/>
        <s v="나 - 생각한다 - 그 바는 - 그 - 요청했다 - for - 도움"/>
        <s v="문제 - 이다 - 그 바는 - 그 - 이지 않다 - 정직한 상태"/>
        <s v="나 - 이다 - 확신하는 상태 - 그 바는 - 그 - 할 바는 - 성공하다"/>
        <s v="중요한 것 - 이다 - 그 바는 - 그 - 인정했다 - 그의 실수"/>
        <s v="그 바는 - 그 - 속였다 - 나 - 만들었다 - 나 - 화난 상태"/>
        <s v="나 - 안다 - 그 바는 - 그 - 이다 - 공부하는 중 - 열심히"/>
        <s v="그의 성공 - 증명한다 - 그 바는 - 그 - 일했다 - 열심히"/>
        <s v="그 바는 - 그 - 할 바는 - 오다 - 이다 - 확실한 상태"/>
        <s v="나 - 이다 - 걱정하는 상태 - about - 그 바는 - 그 - 할 바는 - 오다 - to - 파티"/>
        <s v="It - 같다 - that - 너 - 알고 있다 - 모든 것"/>
        <s v="It - 같다 - that - 그 - 이다 - 미친 사람"/>
        <s v="그 - 였다 - so 피곤한 상태 - that - 그 - 빠졌다 - 잠든 상태"/>
        <s v="그녀 - 가지고 있다 - such 멋진 아이디어 - that - 그것이 - 놀라게 했다 - 모두"/>
        <s v="날씨 - 였다 - so 추운 상태 - that - 우리 - 머물렀다 - 집에"/>
        <s v="그 - 해결했다 - such 어려운 문제 - that - 그 - 였다 - 칭찬받다"/>
        <s v="그녀 - 였다 - so 행복한 상태 - that - 그녀 - 울었다"/>
        <s v="그들 - 였다 - so 늦은 상태 - that - 그들 - 놓쳤다 - 첫 부분 - of - 영화"/>
        <s v="그 - 이뤘다 - such 멋진 성과 - that - 그것 - 놀라게 했다 - 모두"/>
        <s v="그 - 였다 - so 화난 상태 - that - 그 - 소리 쳤다 - 큰 소리로"/>
        <s v="그녀 - 가져왔다 - such 아름다운 꽃 - that - 그것들 - 감동시켰다 - 모두"/>
        <s v="그들 - 였다 - so 긴장한 상태 - that - 그들 - 망쳤다 - 발표"/>
        <s v="하니 - 너? - 공부하다"/>
        <s v="했니 - 너? - 공부하다"/>
        <s v="할 거니 - 너? - 공부하다"/>
        <s v="하니 - 너? - 보다 - 영화"/>
        <s v="했니 - 너? - 보다 - 영화"/>
        <s v="할 거니 - 너? - 보다 - 영화"/>
        <s v="하니 - 너? - 읽다 - 책"/>
        <s v="했니 - 너? - 읽다 - 책"/>
        <s v="할 거니 - 너? - 읽다 - 책"/>
        <s v="하니 - 너? - 듣다 - 음악"/>
        <s v="했니 - 너? - 듣다 - 음악"/>
        <s v="할 거니 - 너? - 듣다 - 음악"/>
        <s v="했니 - 너? - 하다 - 숙제 - 오늘"/>
        <s v="했니 - 그? - 보다 - 영화 - 어제 저녁"/>
        <s v="할 거니 - 너의 친구? - 가다 - 여행 - 이번 주말"/>
        <s v="이니 - 너의 동생? - 공부하는 중 - 지금"/>
        <s v="할 거니 - 그녀? - 참석하다 - 회의 - 내일"/>
        <s v="할 거니 - 너? - 만나다 - 친구들 - 오늘 오후"/>
        <s v="했니 - 그? - 사다 - 새 차 - 이번 주"/>
        <s v="했니 - 너의 엄마? - 가다 - 시장 - 어제"/>
        <s v="하니 - 그? - 운동하다 - 주말"/>
        <s v="했니 - 너희 집? - 이사하다 - 작년"/>
        <s v="한적이 있니 - 너? - 사용했다 - 그것"/>
        <s v="한적이 있니 - 그? - 읽었다 - 그(that) 책"/>
        <s v="한적이 있니 - 너? - 왔다 - 여기"/>
        <s v="한적이 있니 - 그녀? - 갔다 - 프랑스"/>
        <s v="한적이 있니 - 너? - 봤다 - 이 영화"/>
        <s v="한적이 있니 - 그? - 들었다 - 그(that) 노래"/>
        <s v="한적이 있니 - 너? - 갔다 - 일본"/>
        <s v="한적이 있니 - 그녀? - 만들었다 - 이 요리"/>
        <s v="한적이 있니 - 너? - 살았다 - 뉴욕"/>
        <s v="한적이 있니 - 그? - 탔다 - 자전거"/>
        <s v="(do) 반드시 해야만 하니 - 너? - 풀다 - 이 문제"/>
        <s v="(do) 틀림없이 해야 하니 - 그? - 가다 - 지금"/>
        <s v="할 거니 - 너? - 일하다 - 내일"/>
        <s v="할 수 있니 - 그녀? - 만들다 - 저녁"/>
        <s v="(do)반드시 해야 하니 - 너? - 읽다 - 그(that) 책"/>
        <s v="할 수 있니 - 그? - 해결하다 - 이 문제"/>
        <s v="할 거니 - 너? - 오다 - 오늘 밤"/>
        <s v="(do)꼭 해야만 하니 - 그녀? - 하다 - 이 일"/>
        <s v="할 수 있니 - 너? - 통과하다 - 그 시험"/>
        <s v="(do) 틀림없이 해야 하니 - 그? - 가다 - 집"/>
        <s v="꼭 해야만 하니 - 너? - 풀다 - 이 문제"/>
        <s v="(do) 꼭 해야 하니 - 그녀? - 만들다 - 저녁"/>
        <s v="해야 하니 - 너? - 풀다 - 이 문제"/>
        <s v="반드시 해야 하니 - 그? - 가다 - 지금"/>
        <s v="해야 하니 - 너? - 일하다 - 내일"/>
        <s v="해도 되니 - 그녀? - 만들다 - 저녁"/>
        <s v="해도 되니 - 너? - 읽다 - 그(that) 책"/>
        <s v="할 수도 있니 - 그? - 해결하다 - 이 문제"/>
        <s v="할 수도 있니 - 너? - 오다 - 오늘 밤"/>
        <s v="반드시 할까요 - 그녀? - 하다 - 이 일"/>
        <s v="아마도 할 수도 있을 것 같니 - 너? - 통과하다 - 그 시험"/>
        <s v="꼭 하려고 하니 - 그? - 가다 - 집"/>
        <s v="언제 - 했니 - 너? - 도착하다"/>
        <s v="누가 - 꼭 해야 하니(do) - 그(that) 일"/>
        <s v="무엇 - 이니 - 포함되어 있다 - 그 책"/>
        <s v="어디 - 할 거니 - 그? - 일하다"/>
        <s v="왜 - 했니 - 그녀? - 말하다 - 그렇게"/>
        <s v="어떻게 - 할 수 있니 - 그? - 해결하다 - 이 문제"/>
        <s v="어느 책 - 이니 - 더 좋은 상태"/>
        <s v="어느 영화 - 였니 - 최고 - 너? - 한적이 있다 - 봤다"/>
        <s v="왜 - 하니 - 너? - 보이다 - 그렇게 피곤한 상태"/>
        <s v="얼마나 많은 사람들 - 왔니 - 그 파티에"/>
        <s v="얼마나 많은 돈 - 했니 - 너? - 쓰다"/>
        <s v="언제 - 할 거니 - 그? - 돌아오다"/>
        <s v="누구 - 이니 - 너의 좋아하는 배우"/>
        <s v="무엇 - 하니 - 너? - 원하다"/>
        <s v="어디 - 할 거니 - 그? - 머물다"/>
        <s v="왜 - 이냐 - 그? - 그렇게 화난 상태"/>
        <s v="어떻게 - 할 수 있니 - 너? - 하다 - 이걸"/>
        <s v="어느 과목 - 이니 - 너의 가장 좋아하는 것?"/>
        <s v="어떤 색깔의 차 - 하냐 - 너? - 하고 싶다 - 사다"/>
        <s v="얼마나 많은 친구들 - 하냐 - 너? - 가지다"/>
        <s v="뭐야 - 아름다운 하늘!"/>
        <s v="뭐야 - 멋진 바다!"/>
        <s v="뭐야! - 멋진 친구 - 당신 - 가지고 있다"/>
        <s v="뭐야! - 대단한 사람 - 그 - 이다"/>
        <s v="뭐야 - 멋진 하루!"/>
        <s v="뭐야! - 멋진 집 - 당신 - 가지고 있다"/>
        <s v="뭐야! - 훌륭한 성과 - 그것 - 이다"/>
        <s v="뭐야! - 훌륭한 결과 - 당신 - 얻었다"/>
        <s v="뭐야 - 맛있는 요리!"/>
        <s v="뭐야! - 대단한 요리 - 당신 - 만들었다"/>
        <s v="뭐야 - 감동적인 순간!"/>
        <s v="뭐야! - 특별한 순간 - 당신 - 경험하고 있다"/>
        <s v="뭐야! - 탁월한 연기자 - 그녀 - 가지고 있다"/>
        <s v="뭐야 - 놀라운 성과!"/>
        <s v="뭐야 - 인상적인 연구 결과!"/>
        <s v="뭐야 - 유익한 강의!"/>
        <s v="뭐야! - 훌륭한 논문 - 당신 - 썼다"/>
        <s v="뭐야 - 기억에 남는 여행!"/>
        <s v="뭐야! - 아름다운 사진 - 당신 - 찍었다"/>
        <s v="뭐야 - 장관인 경치!"/>
        <s v="뭐야 - 평화로운 숲!"/>
        <s v="뭐야 - 혁신적인 기술!"/>
        <s v="뭐야 - 세련된 디자인!"/>
        <s v="뭐야 - 감동적인 영화!"/>
        <s v="뭐야 - 위안이 되는 말!"/>
        <s v="뭐야 - 아름다운 정원!"/>
        <s v="뭐야 - 멋진 해변!"/>
        <s v="뭐야 - 맛있는 케이크!"/>
        <s v="뭐야 - 훌륭한 요리!"/>
        <s v="뭐야 - 인상적인 발표!"/>
        <s v="뭐야 - 뛰어난 작품!"/>
        <s v="뭐야 - 특별한 순간!"/>
        <s v="뭐야 - 잊을 수 없는 경험!"/>
        <s v="뭐야 - 독창적인 아이디어!"/>
        <s v="뭐야 - 혁신적인 프로젝트!"/>
        <s v="뭐야 - 멋진 도서관!"/>
        <s v="뭐야 - 장관인 산!"/>
        <s v="뭐야 - 맛있는 파스타!"/>
        <s v="뭐야 - 상쾌한 스무디!"/>
        <s v="뭐야! - 인상적인 성과 - 당신 - 이루었다"/>
        <s v="뭐야 - 놀라운 결과!"/>
        <s v="뭐야 - 혁신적인 디자인!"/>
        <s v="뭐야 - 창의적인 아이디어!"/>
        <s v="뭐야! - 흥미진진한 여행 이야기 - 당신 - 말했다"/>
        <s v="뭐야 - 멋진 새 집!"/>
        <s v="뭐야 - 좋은 노래!"/>
        <s v="뭐야 - 재미있는 책!"/>
        <s v="뭐야 - 멋진 새 차!"/>
        <s v="뭐야! - 맛있는 요리 - 당신 - 만들었다"/>
        <s v="뭐야 - 즐거운 파티!"/>
        <s v="뭐야 - 멋진 스타일!"/>
        <s v="얼마나 - 달콤한지! - 이 디저트 - 이다"/>
        <s v="얼마나 - 매운지! - 이 카레 - 이다"/>
        <s v="얼마나 - 상큼한지! - 이 음료 - 이다"/>
        <s v="얼마나 - 놀라운지! - 이 케이크 - 이다"/>
        <s v="얼마나 - 맛있는지! - 이 수프 - 이다"/>
        <s v="얼마나 - 부드러운지! - 이 스테이크 - 이다"/>
        <s v="얼마나 - 신선한지! - 이 샐러드 - 이다"/>
        <s v="얼마나 - 향긋한지! - 이 커피 - 이다"/>
        <s v="얼마나 - 진한지! - 이 초콜릿 - 이다"/>
        <s v="얼마나 - 시원한지! - 이 아이스크림 - 이다"/>
        <s v="얼마나 - 맛있는지! - 이 파스타 - 이다"/>
        <s v="얼마나 - 고소한지! - 이 피자 - 이다"/>
        <s v="얼마나 - 뜨거운지! - 이 수프 - 이다"/>
        <s v="얼마나 - 부드러운지! - 이 치즈 - 이다"/>
        <s v="얼마나 - 깊은지! - 이 와인 - 이다"/>
        <s v="얼마나 - 부드러운지! - 이 디저트 - 이다"/>
        <s v="얼마나 - 성공적인지! - 이 발표 - 이다"/>
        <s v="얼마나 - 효율적인지! - 이 회의 - 이다"/>
        <s v="얼마나 - 친절한지! - 이 동료 - 이다"/>
        <s v="얼마나 - 중요한지! - 이 프로젝트 - 이다"/>
        <s v="얼마나 - 창의적인지! - 이 제안 - 이다"/>
        <s v="얼마나 - 유익한지! - 이 수업 - 이다"/>
        <s v="얼마나 - 어려운지! - 이 시험 - 이다"/>
        <s v="얼마나 - 훌륭한지! - 이 팀워크 - 이다"/>
        <s v="얼마나 - 긴장되는지! - 이 발표 - 이다"/>
        <s v="얼마나 - 도움이 되는지! - 이 친구 - 이다"/>
        <s v="얼마나 - 상쾌한지! - 이 날씨 - 이다"/>
        <s v="얼마나 - 필요한지! - 이 휴식 - 이다"/>
        <s v="얼마나 - 평화로운지! - 이 산책 - 이다"/>
        <s v="얼마나 - 재미있는지! - 이 영화 - 이다"/>
        <s v="얼마나 - 의미 있는지! - 이 대화 - 이다"/>
        <s v="얼마나 - 지혜로운지! - 이 상사 - 이다"/>
        <s v="얼마나 - 순조로운지! - 이 협상 - 이다"/>
        <s v="얼마나 - 협력적인지! - 이 팀 - 이다"/>
        <s v="얼마나 - 타이트한지! - 이 일정 - 이다"/>
        <s v="얼마나 - 설득력 있는지! - 이 프레젠테이션 - 이다"/>
        <s v="얼마나 - 어려운지! - 이 과제 - 이다"/>
        <s v="얼마나 - 바쁜지! - 이 학기 - 이다"/>
        <s v="얼마나 - 열정적인지! - 이 교수님 - 이다"/>
        <s v="얼마나 - 도전적인지! - 이 프로젝트 - 이다"/>
        <s v="얼마나 - 놀라운지! - 이 시험 결과 - 이다"/>
        <s v="그 - 음 아마도 했을 수도 있는 바는 - 갔다 - 집 - 이미"/>
        <s v="우리 - 할 수도 있었는 바는 - 해결하다 - 그 문제"/>
        <s v="너 - 해야 했었는 바는 - 떠났다 - 더 일찍"/>
        <s v="그 - 했을 수도 있는 바는 - 도왔다 - 나"/>
        <s v="그 - 했을 바는 - 왔다"/>
        <s v="그 - 틀림없이 했는 바는 - 끝냈다 - 그 일"/>
        <s v="그녀 - 틀림없이 했을 리가 없는 바는 - 말했다 - 그(that) 말"/>
        <s v="너 - 해야 했었는 바는 - 연락했다 - 나 - 더 일찍"/>
        <s v="그 - 하지 말았어야 했던 바는 - 낭비했다 - 그 돈"/>
        <s v="그 - 했을 바는 - 도와줬다"/>
        <s v="그 - 했을 리가 없는 바는 - 있었다 - 그 장소"/>
        <s v="그 - 아마도 했을 수도 있는 바는 - 떠났다 - 이미"/>
        <s v="그 - 틀림없이 했는 바는 - 공부했다 - 밤새"/>
        <s v="그들 - 틀림없이 했을 리가 없는 바는 - 들었다 - 그 소식"/>
        <s v="너 - 해야 했었는 바는 - 확인했다 - 그 일"/>
        <s v="그 - 하지 말았어야 했던 바는 - 깨어있었다 - 그렇게 늦게까지"/>
        <s v="그녀 - 했을 바는 - 도와줬다"/>
        <s v="우리 - 할 수도 있었는 바는 - 출발했다 - 더 일찍"/>
        <s v="그 - 했을 리가 없는 바는 - 끝냈다 - 일 - 그렇게 빨리"/>
        <s v="그 - 아마도 했을 수도 있는 바는 - 놓쳤다 - 회의"/>
        <s v="그녀 - 음 아마도 했을 수도 있는 바는 - 갔다 - 다른 길"/>
        <s v="그 - 틀림없이 했는 바는 - 늦잠을 잤다"/>
        <s v="그녀 - 틀림없이 했을 리가 없는 바는 - 잊다 - 나"/>
        <s v="우리 - 해야 했었는 바는 - 하다 - 더 많은 준비"/>
        <s v="나 - 하지 말았어야 했는 바는 - 대하다 - 그 - 그렇게 무례하게"/>
        <s v="나 - 했었을 바는 - 사다 - 새 차"/>
        <s v="그녀 - 할 수도 있었는 바는 - 합격하다 - 시험"/>
        <s v="그 - 했을 리가 없는 바는 - 가다 - 그렇게(that) 멀리"/>
        <s v="그 - 아마도 했을 수도 있는 바는 - 내리다 - 결정 - 이미"/>
        <s v="그들 - 음 아마도 했을 수도 있는 바는 - 잃다 - 길"/>
        <s v="나 - 즐긴다 - 마시다 ing - 커피"/>
        <s v="나 - 결심했다 - to 되다 - 의사"/>
        <s v="나 - 기대한다 - to 만나다 - 당신"/>
        <s v="나 - 희망한다 - to 만나다 - 당신 - 다시"/>
        <s v="그녀 - 필요로 하다 - to 이다 - 도움 받다"/>
        <s v="나 - 원하다 - to 먹다 - 조금 - 초콜릿"/>
        <s v="그 - 의도가 있다 - to 가다 - 집"/>
        <s v="나 - 결심한다 - to 보내다 - 구호품 - to 그들"/>
        <s v="나 - 맹세한다 - to 일하다 - 열심히 - 더"/>
        <s v="내 취미 - 이다 - 공부하다 ing - 영어"/>
        <s v="내 꿈 - 이다 - to 되다 - 의사"/>
        <s v="알다 ing - 그 - 이다 - 축복"/>
        <s v="To 알다 - 그 - 이다 - 의미있는"/>
        <s v="그 연료 - 이다 - 충분한 상태 - to 다다르다 - 하와이"/>
        <s v="그 - 이다 - 열망하는 상태 - to 가다 - to - 미국"/>
        <s v="그 수영장 - 이다 - 큰 - 충분히 - to 만들다 - 보트들 - to 향해하다 - on - 그곳"/>
        <s v="그 - 이다 - 강한 - 충분히 - to 들어 올리다 - 차"/>
        <s v="이것 - 이다 - too - 아름다운 상태 - to 먹다"/>
        <s v="나 - 가지고 있다 - 필요 - to 공부하다 - 영어"/>
        <s v="나 - 가지고 있다 - 필요 - which - 이다 - that - 나 - 해야하는 바는 - 공부하다 - 영어"/>
        <s v="나 - 안다 - 너의 계획 - to 방문하다 - 박물관"/>
        <s v="그 - 좋아한다 - 그녀의 능력 - to 말하다 - 중국어"/>
        <s v="그 사람은 - 알았다 - 그녀의 잠재력 - to 수상하다 - 노벨상"/>
        <s v="나 - 안다 - 그 때 - to 완수하다 - 그 일"/>
        <s v="나 - 안다 - 그 때 - when - 나 - 가능한 바는 - 완수하다 - 그 일"/>
        <s v="나 - 안다 - when - to 완수하다 - 그 일"/>
        <s v="그 - 보인다 - 말하는 것 처럼 - 중국어 - 유창하게"/>
        <s v="그 - 척한다 - 이다 - 의사"/>
        <s v="그 - 주장한다 - 안다고 - 내 친구 - 잘"/>
        <s v="그 - 이다 - 알려져 있다 - 사랑한다라고 - 그녀 - 매우"/>
        <s v="그녀 - 이다 - 최연소 선수 - to 수상하다 - 그 상"/>
        <s v="그 - 이다 - 가장 빠른 주자 - to 완주하다 - 그 경주"/>
        <s v="나 - 이다 - 행복한 상태 - to 보다 - 내 가족 - 다시"/>
        <s v="나 - 할 겁니다 - 이다 - 행복한 상태 - 돕게 된다면 - 당신"/>
        <s v="나 - 만들었다 - 그 - to - 공부하다 - 영어"/>
        <s v="헬리콥터 - 떠 있다 - above - 도로"/>
        <s v="이불 - 덮고 있다 - over - 침대"/>
        <s v="다이버 - 잠수한다 - below - 보트"/>
        <s v="개 - 있다 - under - 나무"/>
        <s v="개 - 있다 - beneath - 침대"/>
        <s v="연필 - 있다 - in - 필통"/>
        <s v="자동차 - 있다 - inside - 차고"/>
        <s v="법 - 적용된다 - within - 국가의 경계"/>
        <s v="연주자 - 있다 - amid - 관중"/>
        <s v="학생 - 앉아 있다 - among - 나무들"/>
        <s v="아이 - 있다 - out - 집"/>
        <s v="고양이 - 있다 - outside - 상점"/>
        <s v="울타리 - 있다 - around - 정원"/>
        <s v="꽃들 - 있다 - about - 분수대"/>
        <s v="나무 - 있다 - next to - 연못"/>
        <s v="책상 - 있다 - beside - 창문"/>
        <s v="병원 - 있다 - near - 공원"/>
        <s v="학생 - 있다 - with - 선생님"/>
        <s v="아이 - 놀고 있는 중이다 - without - 친구"/>
        <s v="자동차 - 주차되어 있다 - between - 건물들"/>
        <s v="버스 - 서 있는 중이다 - in front of - 학교"/>
        <s v="사람 - 서 있는 중이다 - before - 문"/>
        <s v="자전거 - 달리는 중이다 - ahead of - 자동차"/>
        <s v="강아지 - 있다 - behind - 주인"/>
        <s v="강아지 - 따라간다 - after - 주인"/>
        <s v="학생들 - 간다 - following - 수업"/>
        <s v="사람들 - 기다린다 - at - 정거장"/>
        <s v="책 - 있다 - on - 테이블"/>
        <s v="강 - 흐른다 - along - 도로"/>
        <s v="비 - 내린다 - during - 여행"/>
        <s v="팀 - 이다 - 일부 - of - 회사"/>
        <s v="고양이 - 떨어졌다 - off - 의자"/>
        <s v="축구팀 - 경기한다 - against - 상대팀"/>
        <s v="그 - 성공했다 - despite - 어려움"/>
        <s v="모두 - 초대되었다 - except - 그녀"/>
        <s v="그 기사 - 쓰여졌다 - by - 유명한 작가"/>
        <s v="그 - 일한다 - for - 그의 가족"/>
        <s v="새들 - 날아간다 - toward - 해안"/>
        <s v="그 - 간다 - to - 파티"/>
        <s v="물 - 들어간다 - into - 컵"/>
        <s v="그 - 간다 - across - 도로"/>
        <s v="바람 - 불어온다 - through - 창문"/>
        <s v="소문 - 퍼졌다 - throughout - 학교"/>
        <s v="그 - 갔다 - past - 기차"/>
        <s v="달 - 보인다 - beyond - 산"/>
        <s v="새들 - 날아간다 - away"/>
        <s v="연기 - 올라간다 - up - 굴뚝"/>
        <s v="강아지 - 달려간다 - down - 계단"/>
        <s v="그녀 - 왔다 - from - 뉴욕"/>
        <s v="고양이 - 나왔다 - out of - 상자"/>
        <s v="그 - 살고 있다 - 이곳에 - since - 2015년"/>
        <s v="차 - 간다 - back - to - 집"/>
        <s v="그 - 일한다 - as - 교사"/>
        <s v="그 - 움직인다 - like - 고양이"/>
        <s v="그 - 이다 - 키가 더 큰 상태 - than - 그의 형"/>
      </sharedItems>
    </cacheField>
    <cacheField name="영어" numFmtId="0">
      <sharedItems containsNonDate="0" count="721">
        <s v="I read a book."/>
        <s v="He cooks food."/>
        <s v="She writes a letter."/>
        <s v="We watch a movie."/>
        <s v="You listen to music."/>
        <s v="They play a game."/>
        <s v="I drink coffee."/>
        <s v="He drives a car."/>
        <s v="She cleans the room."/>
        <s v="We solve a problem."/>
        <s v="We eat dinner."/>
        <s v="He plays soccer."/>
        <s v="The child likes candy."/>
        <s v="She studies English."/>
        <s v="He drinks water."/>
        <s v="I am sad."/>
        <s v="He is tired."/>
        <s v="She is happy."/>
        <s v="We are hungry."/>
        <s v="You are excited."/>
        <s v="They are angry."/>
        <s v="I am bored."/>
        <s v="He is worried."/>
        <s v="She is surprised."/>
        <s v="We are satisfied."/>
        <s v="I am happy."/>
        <s v="She is tired."/>
        <s v="They are sad."/>
        <s v="We are glad."/>
        <s v="He is angry."/>
        <s v="I am ready."/>
        <s v="She is smart."/>
        <s v="We are bored."/>
        <s v="He is healthy."/>
        <s v="I am busy."/>
        <s v="We plan to read the book."/>
        <s v="I hate washing dishes."/>
        <s v="He hopes to learn a new language."/>
        <s v="We quit swimming."/>
        <s v="They expect to go to the concert."/>
        <s v="We enjoy playing with friends."/>
        <s v="He resolved to start a business."/>
        <s v="We enjoy watching movies."/>
        <s v="They hoped to arrive in the city."/>
        <s v="I enjoy learning new languages."/>
        <s v="They expect to start the project."/>
        <s v="We promised to help them."/>
        <s v="I saw him dancing."/>
        <s v="We confirmed him crossing the street."/>
        <s v="I drink tea reading a book."/>
        <s v="He cooks listening to music."/>
        <s v="We take pictures walking."/>
        <s v="I drink coffee reading a book."/>
        <s v="I study every day hard to learn a new language."/>
        <s v="He raises money to travel the world."/>
        <s v="She sends resumes every day to get a job."/>
        <s v="She sings while cooking."/>
        <s v="He reads books to develop himself."/>
        <s v="He drinks wine with his friend at the restaurant in the evening."/>
        <s v="He eats dinner with his friend at the restaurant in the evening."/>
        <s v="They chat with their family at the cafe at lunch."/>
        <s v="He jogs with his dog by the river in the afternoon."/>
        <s v="She plays with her children at the park in the evening."/>
        <s v="He sits and reads under the tree in the park at noon."/>
        <s v="She organizes documents on the desk in the office in the afternoon."/>
        <s v="They sit and chat around the table in the restaurant in the evening."/>
        <s v="He lies and reads a book on the bed at night."/>
        <s v="She enjoys the view at the beach in the morning."/>
        <s v="She drinks tea alone on the balcony in the morning."/>
        <s v="He studies alone in the library in the morning."/>
        <s v="The dog is outside the house."/>
        <s v="The fence is around the house."/>
        <s v="The plane flies above a town."/>
        <s v="The fish is beneath the water surface."/>
        <s v="The apple is in the basket."/>
        <s v="The cat is inside the house."/>
        <s v="He will return within two hours."/>
        <s v="The tree is amid the forest."/>
        <s v="The rainbow stretches over the river."/>
        <s v="The subway runs below the city."/>
        <s v="The desk is under the light."/>
        <s v="A famous singer is among the fans."/>
        <s v="The cat is out the box."/>
        <s v="The shops are about the square."/>
        <s v="They talk about golf."/>
        <s v="The tree is next to the house."/>
        <s v="The bank is beside the shop."/>
        <s v="The school is near the park."/>
        <s v="I am with my friend."/>
        <s v="He left without his wallet."/>
        <s v="I prepare the materials before the meeting."/>
        <s v="He runs ahead of me."/>
        <s v="The cat is hiding behind the chair."/>
        <s v="The cat chased after the mouse."/>
        <s v="We had a company dinner after the meeting."/>
        <s v="He was investigated following the incident."/>
        <s v="I arrived at the station."/>
        <s v="The cup is on the table."/>
        <s v="I walk along the road."/>
        <s v="I take notes during the class."/>
        <s v="I ate a slice of pizza."/>
        <s v="I took the wallet off the table."/>
        <s v="I am leaning against the wall."/>
        <s v="I went out despite the rain."/>
        <s v="I work except holidays."/>
        <s v="She is loved by her parents."/>
        <s v="I cook for him."/>
        <s v="The tree is between the two houses."/>
        <s v="The car is in front of the house."/>
        <s v="The tree is before the house."/>
        <s v="I walk toward the beach."/>
        <s v="I go to the library."/>
        <s v="I go into the room."/>
        <s v="He goes across the park."/>
        <s v="I went through the tunnel."/>
        <s v="They explored throughout the city."/>
        <s v="He traveled throughout the world."/>
        <s v="I went past the shop."/>
        <s v="The mountain is beyond that hill."/>
        <s v="They sailed beyond the horizon."/>
        <s v="He went away."/>
        <s v="He went down the stairs."/>
        <s v="He came from Japan."/>
        <s v="I took the item out of the box."/>
        <s v="I have been studying since yesterday."/>
        <s v="He came back to his hometown."/>
        <s v="He advised as a teacher."/>
        <s v="She is quiet like a cat."/>
        <s v="He is taller than me."/>
        <s v="I climbed up the mountain."/>
        <s v="I must go to school tomorrow."/>
        <s v="We have to exercise every day."/>
        <s v="You don't have to clean today."/>
        <s v="I should study harder English."/>
        <s v="We shall get married next year."/>
        <s v="I will start a new project next month."/>
        <s v="They are going to go to the party tomorrow."/>
        <s v="I would watch that movie again."/>
        <s v="I can play the piano."/>
        <s v="He could swim."/>
        <s v="She may come tomorrow."/>
        <s v="I might leave this summer."/>
        <s v="I must wake up early every morning."/>
        <s v="We have to go home early."/>
        <s v="He doesn't have to work today."/>
        <s v="You should read a lot of books."/>
        <s v="We shall travel to Europe next year."/>
        <s v="I will meet my friend next week."/>
        <s v="She is going to start cooking soon."/>
        <s v="I would go there."/>
        <s v="I can sing an Italian song."/>
        <s v="He could ride a bicycle."/>
        <s v="She may come tonight."/>
        <s v="I think it might rain tomorrow."/>
        <s v="He is going to have a new job next month."/>
        <s v="I must practice English consistently every day."/>
        <s v="We should solve this problem."/>
        <s v="We shall start the new project next month."/>
        <s v="We will watch a movie in the evening."/>
        <s v="She would want to come here."/>
        <s v="He must exercise daily regularly."/>
        <s v="He can speak French fluently."/>
        <s v="She could solve this problem."/>
        <s v="He may attend the meeting."/>
        <s v="She might be late tonight."/>
        <s v="You have to submit the report by today."/>
        <s v="You don't have to attend the meeting today."/>
        <s v="This letter was written by him."/>
        <s v="The cat is taken care of by the children."/>
        <s v="The house was built by my parents."/>
        <s v="This meal was prepared by the chef."/>
        <s v="The report was written by the team."/>
        <s v="The book is read by the students."/>
        <s v="The dress was designed by the designer."/>
        <s v="The painting was painted by the artist."/>
        <s v="The building was designed by the architect."/>
        <s v="The award was given by the judges."/>
        <s v="The invitation was sent by the friends."/>
        <s v="The problem was explained by the teacher."/>
        <s v="The music is played by the radio."/>
        <s v="The program is run by the computer."/>
        <s v="The performance was watched by many people."/>
        <s v="The computer was repaired by the expert."/>
        <s v="The product is manufactured in the factory."/>
        <s v="This class is chosen by many students."/>
        <s v="The movie was praised by the critics."/>
        <s v="The monument was erected by the government."/>
        <s v="I have seen the movie."/>
        <s v="He has visited New York."/>
        <s v="We have already eaten dinner."/>
        <s v="They have heard this song."/>
        <s v="I have watched this movie recently."/>
        <s v="She has already finished her homework."/>
        <s v="I have met him before."/>
        <s v="We have solved this problem."/>
        <s v="He has often listened to that song."/>
        <s v="I haven't seen that friend."/>
        <s v="She has read the book five times."/>
        <s v="We have come here before."/>
        <s v="They have heard the news."/>
        <s v="I have already completed this task."/>
        <s v="He has recently found a new job."/>
        <s v="We have discussed the issue multiple times."/>
        <s v="She has heard a lot about this movie."/>
        <s v="I haven't forgotten him."/>
        <s v="They have recently added a new team member."/>
        <s v="I have watched this movie several times."/>
        <s v="She has never visited that place."/>
        <s v="We have already prepared dinner."/>
        <s v="They haven't solved that problem yet."/>
        <s v="I have recently started a new hobby."/>
        <s v="He has already heard the news."/>
        <s v="He has been learning English for 3 years."/>
        <s v="We have been discussing this issue since the morning."/>
        <s v="I have been reading this book for an hour."/>
        <s v="She has been playing the piano for 2 hours."/>
        <s v="We have been working on this project for several weeks."/>
        <s v="He has been working at that company for 5 years."/>
        <s v="I have been practicing yoga for several months."/>
        <s v="We have been staying here for a week."/>
        <s v="She has been painting for 6 months."/>
        <s v="They have been singing a song for several hours."/>
        <s v="I have been researching this issue for a month."/>
        <s v="We have been translating this book for 2 hours."/>
        <s v="He has been writing that report for several weeks."/>
        <s v="She has been watching that drama for 3 months."/>
        <s v="I have been learning that instrument for several years."/>
        <s v="We have been cleaning this room since the morning."/>
        <s v="He has been waiting for her for a long time."/>
        <s v="I have been thinking about this topic for several years."/>
        <s v="She has been planning a trip for the past few months."/>
        <s v="the lady who came from America."/>
        <s v="the man who came with you yesterday."/>
        <s v="the man who rides the yellow car."/>
        <s v="the restaurant which is located in Gangbuk."/>
        <s v="the man who works with my friend."/>
        <s v="the story which is not true."/>
        <s v="the building that was built fifty years ago."/>
        <s v="the boy who is walking in the park."/>
        <s v="the man who wrote a novel."/>
        <s v="an apartment which has a great view."/>
        <s v="the fish that was caught by me yesterday."/>
        <s v="the man who is loved by my friend."/>
        <s v="the car which was broken by an accident."/>
        <s v="the girl who came from Japan."/>
        <s v="the car that was made in Germany."/>
        <s v="the digital camera which was made in Samsung."/>
        <s v="the pizza which my daughter likes best."/>
        <s v="the pizza my daughter likes best."/>
        <s v="the fish that I caught yesterday."/>
        <s v="the fish I caught yesterday."/>
        <s v="the digital camera which Samsung made."/>
        <s v="the digital camera Samsung made."/>
        <s v="the man whom you came with yesterday."/>
        <s v="the man you came with yesterday."/>
        <s v="the place which I purchased."/>
        <s v="the place I purchased."/>
        <s v="the car which Germany made."/>
        <s v="the car Germany made."/>
        <s v="the man whom my friend works with."/>
        <s v="the man my friend works with."/>
        <s v="the newspaper which you prefer."/>
        <s v="the newspaper you prefer."/>
        <s v="the money that I can spend."/>
        <s v="the money I can spend."/>
        <s v="the man whom my friend loves."/>
        <s v="the man my friend loves."/>
        <s v="the movie which we saw on Sunday."/>
        <s v="the movie we saw on Sunday."/>
        <s v="the person whose idea is good."/>
        <s v="the apartment whose view is great."/>
        <s v="the newspaper whose headlines are good."/>
        <s v="the reason why people dislike you."/>
        <s v="the month when my father was born."/>
        <s v="the place where it is quiet."/>
        <s v="the day when I was hired."/>
        <s v="the day when I became a soldier."/>
        <s v="the day I became a soldier."/>
        <s v="the reason why she left you."/>
        <s v="the place where I put the key."/>
        <s v="the reason why he didn't come."/>
        <s v="the time when I arrived here."/>
        <s v="the lady who came from America is a lawyer."/>
        <s v="She is a lawyer who came from America."/>
        <s v="I love the lady who came from America."/>
        <s v="the house which has two bedrooms and a wide living room."/>
        <s v="the girl whom I want to meet."/>
        <s v="the girl I want to meet."/>
        <s v="your girl friend whom I met at the MacDonalds."/>
        <s v="your girl friend I met at the MacDonalds."/>
        <s v="the grandfather whose age is over 100."/>
        <s v="the place where I happened to see my old friend."/>
        <s v="where I happened to see my old friend."/>
        <s v="the place where I planed to meet him."/>
        <s v="where I planed to meet him."/>
        <s v="the place where I introduced my girl friend to my uncle."/>
        <s v="the day when I met her on a blind date first."/>
        <s v="when I met her on a blind date first."/>
        <s v="the way how I can go to America."/>
        <s v="the way I can go to America."/>
        <s v="how I can go to America."/>
        <s v="the house where I want to live."/>
        <s v="the car which was made in Germany is expensive."/>
        <s v="I will meet the man who came from America."/>
        <s v="I will buy the car which was made in Germany."/>
        <s v="I have loved the lady who came from America."/>
        <s v="I miss the thing which my mom made in my childhood."/>
        <s v="I miss what my mom made in my childhood."/>
        <s v="This is the thing which I bought for you."/>
        <s v="This is what I bought for you."/>
        <s v="I like the thing which is beautiful."/>
        <s v="I like what is beautiful."/>
        <s v="The thing which was made in Samsung is expensive."/>
        <s v="What was made in Samsung is expensive."/>
        <s v="I like the newspaper whose headlines are good."/>
        <s v="I know the way how I can speak English."/>
        <s v="I know how I can speak English."/>
        <s v="I met her at the place where it was quiet."/>
        <s v="She doesn't know the time when I arrived here."/>
        <s v="I want to protect the place which you love so much."/>
        <s v="I understand the reason why she didn't come here."/>
        <s v="I talked with the lawyer who came from America."/>
        <s v="I had a blind date with a person who had written an English book."/>
        <s v="I don't like the thing which I am now."/>
        <s v="I don't like what I am now."/>
        <s v="The lady who will buy a car which was made in Germany talks with a lawyer who came from America."/>
        <s v="The lady who came from America loves me who will buy a car which was made in Germany."/>
        <s v="The lady who came from America where Obama is the president is a lawyer."/>
        <s v="The lady who came from America where Obama is the president is a lawyer who helped me."/>
        <s v="The lady is a lawyer who came from America where the president is Obama whose wife is Michel."/>
        <s v="The reason why I love her is that she is rich."/>
        <s v="The reason why he left the company was that relationship with manager Kim was bad."/>
        <s v="The reason why I study AE is that Mr. Choi is handsome."/>
        <s v="The reason why she left you was that you didn't meet her on Valentine's Day."/>
        <s v="I know a girl who likes to read books."/>
        <s v="She has a friend who speaks three languages."/>
        <s v="We met a boy who plays the piano very well."/>
        <s v="He is looking for a teacher who can teach math."/>
        <s v="My sister knows a singer who sings very beautifully."/>
        <s v="They found a student who had lost his backpack."/>
        <s v="I saw a man who was walking his dog in the park."/>
        <s v="She called a friend who could help her with her homework."/>
        <s v="He likes people who are always happy."/>
        <s v="I bought a book which was very interesting."/>
        <s v="He has a car which is very fast."/>
        <s v="They live in a house which has a big garden."/>
        <s v="I know a boy who can swim very fast."/>
        <s v="She likes people who are honest."/>
        <s v="He is the student who won the competition."/>
        <s v="She is the person who told me the news."/>
        <s v="I have a friend who loves animals."/>
        <s v="She bought the shoes which were on sale."/>
        <s v="She had breakfast and went to work."/>
        <s v="I wanted to drink coffee but I drank milk."/>
        <s v="You can read a book or watch a movie."/>
        <s v="The meeting started when I arrived."/>
        <s v="It started to rain as I arrived at the academy."/>
        <s v="I studied while I listened to music."/>
        <s v="We took a walk after we had dinner."/>
        <s v="I packed my bags before I left."/>
        <s v="They continued the party until the last guest left."/>
        <s v="We have been friends since we were children."/>
        <s v="I was tired because I didn't get enough sleep."/>
        <s v="He still worked though he was tired."/>
        <s v="I will help you if you want."/>
        <s v="I won't know unless you tell me."/>
        <s v="He eats more than I do."/>
        <s v="She worked carefully lest she make a mistake."/>
        <s v="He read a book and went to sleep."/>
        <s v="I wanted to study but I watched TV."/>
        <s v="You can rest or exercise."/>
        <s v="The class ended when I arrived."/>
        <s v="The power went out as I arrived at home."/>
        <s v="I listened to music while I cooked."/>
        <s v="We had coffee after we watched a movie."/>
        <s v="I read a book before I slept."/>
        <s v="He walked until the sun rose."/>
        <s v="We have known each other since college."/>
        <s v="I was hungry because I didn't eat."/>
        <s v="He was happy though he had no money."/>
        <s v="I will go if you agree."/>
        <s v="I won't understand unless you explain."/>
        <s v="He runs faster than I do."/>
        <s v="She took a map lest she get lost."/>
        <s v="He had dinner and took a walk."/>
        <s v="I wanted to sleep but I worked."/>
        <s v="You can study or read a book."/>
        <s v="It rained when I left."/>
        <s v="The wind started to blow as I started to run."/>
        <s v="I thought while I walked."/>
        <s v="We had lunch after we swam."/>
        <s v="I stretched before I exercised."/>
        <s v="He worked until it was night."/>
        <s v="We have been friends since high school."/>
        <s v="I took an umbrella because it rained."/>
        <s v="He attended the meeting though he was sick."/>
        <s v="We can catch the train if you hurry."/>
        <s v="I can't open the door unless you have the key."/>
        <s v="He knows more than I do."/>
        <s v="She wrote a note lest she forget things."/>
        <s v="That she passed the exam surprised everyone."/>
        <s v="That he will be late annoys me."/>
        <s v="I believe that he finished the task."/>
        <s v="The problem is that we don't have enough time."/>
        <s v="I am not sure that he is telling the truth."/>
        <s v="That he will help us is clear."/>
        <s v="That he accomplished the task surprised everyone."/>
        <s v="I think that he is honest."/>
        <s v="The point is that he didn't agree."/>
        <s v="It is certain that he will come."/>
        <s v="That he won surprised everyone."/>
        <s v="That she lied is clear."/>
        <s v="I think that he asked for help."/>
        <s v="The problem is that he is not honest."/>
        <s v="I am sure that he will succeed."/>
        <s v="The important thing is that he admitted his mistake."/>
        <s v="That he deceived me made me angry."/>
        <s v="I know that he is studying hard."/>
        <s v="His success proves that he worked hard."/>
        <s v="That he will come is certain."/>
        <s v="I am worried about that he will come to the party."/>
        <s v="It seems that you know everything."/>
        <s v="It appears that he is crazy."/>
        <s v="He was so tired that he fell asleep."/>
        <s v="She had such a great idea that it surprised everyone."/>
        <s v="The weather was so cold that we stayed home."/>
        <s v="He solved such a difficult problem that he was praised."/>
        <s v="She was so happy that she cried."/>
        <s v="They were so late that they missed the beginning of the movie."/>
        <s v="He achieved such an amazing result that it surprised everyone."/>
        <s v="He was so angry that he shouted loudly."/>
        <s v="She brought such beautiful flowers that they impressed everyone."/>
        <s v="They were so nervous that they ruined the presentation."/>
        <s v="Do you study?"/>
        <s v="Did you study?"/>
        <s v="Will you study?"/>
        <s v="Do you watch a movie?"/>
        <s v="Did you watch a movie?"/>
        <s v="Will you watch a movie?"/>
        <s v="Do you read a book?"/>
        <s v="Did you read a book?"/>
        <s v="Will you read a book?"/>
        <s v="Do you listen to music?"/>
        <s v="Did you listen to music?"/>
        <s v="Will you listen to music?"/>
        <s v="Did you do your homework today?"/>
        <s v="Did he watch a movie last night?"/>
        <s v="Will your friend go on a trip this weekend?"/>
        <s v="Is your brother/sister studying now?"/>
        <s v="Will she attend the meeting tomorrow?"/>
        <s v="Will you meet your friends this afternoon?"/>
        <s v="Did he buy a new car this week?"/>
        <s v="Did your mom go to the market yesterday?"/>
        <s v="Does he exercise on the weekend?"/>
        <s v="Did your family move last year?"/>
        <s v="Have you used it?"/>
        <s v="Has he read that book?"/>
        <s v="Have you been here?"/>
        <s v="Has she been to France?"/>
        <s v="Have you seen this movie?"/>
        <s v="Has he heard that song?"/>
        <s v="Have you been to Japan?"/>
        <s v="Has she cooked this dish?"/>
        <s v="Have you lived in New York?"/>
        <s v="Has he ridden a bicycle?"/>
        <s v="Do you have to solve this problem?"/>
        <s v="Does he have to go now?"/>
        <s v="Will you work tomorrow?"/>
        <s v="Can she make dinner?"/>
        <s v="Do you have to read that book?"/>
        <s v="Can he solve this problem?"/>
        <s v="Will you come tonight?"/>
        <s v="Does she have to do this job?"/>
        <s v="Can you pass the exam?"/>
        <s v="Does he have to go home?"/>
        <s v="Must you solve this problem?"/>
        <s v="Does she have to make dinner?"/>
        <s v="Should you solve this problem?"/>
        <s v="Must he go now?"/>
        <s v="Should you work tomorrow?"/>
        <s v="May she make dinner?"/>
        <s v="May you read that book?"/>
        <s v="Could he solve this problem?"/>
        <s v="Could you come tonight?"/>
        <s v="Shall she do this job?"/>
        <s v="Might you pass the exam?"/>
        <s v="Shall he go home?"/>
        <s v="When did you arrive?"/>
        <s v="Who has to do that job?"/>
        <s v="What is included in the book?"/>
        <s v="Where will he work?"/>
        <s v="Why did she say that?"/>
        <s v="How can he solve this problem?"/>
        <s v="Which book is better?"/>
        <s v="Which movie was the best you have seen?"/>
        <s v="Why do you look so tired?"/>
        <s v="How many people came to the party?"/>
        <s v="How much money did you spend?"/>
        <s v="When will he return?"/>
        <s v="Who is your favorite actor?"/>
        <s v="What do you want?"/>
        <s v="Where will he stay?"/>
        <s v="Why is he so angry?"/>
        <s v="How can you do this?"/>
        <s v="Which subject is your favorite?"/>
        <s v="What color car do you want to buy?"/>
        <s v="How many friends do you have?"/>
        <s v="What a beautiful sky!"/>
        <s v="What a stunning ocean!"/>
        <s v="What a wonderful friend you have!"/>
        <s v="What an amazing person he is!"/>
        <s v="What a fantastic day!"/>
        <s v="What a lovely house you have!"/>
        <s v="What a great achievement (it is)!"/>
        <s v="What a fantastic result you got!"/>
        <s v="What a delicious dish!"/>
        <s v="What an amazing dish you made!"/>
        <s v="What an emotional moment!"/>
        <s v="What a special moment you are experiencing!"/>
        <s v="What an outstanding actress she has!"/>
        <s v="What an incredible achievement!"/>
        <s v="What an impressive research result!"/>
        <s v="What an informative lecture!"/>
        <s v="What a great paper you wrote!"/>
        <s v="What a memorable trip!"/>
        <s v="What a beautiful photo you took!"/>
        <s v="What a spectacular view!"/>
        <s v="What a peaceful forest!"/>
        <s v="What an innovative technology!"/>
        <s v="What a sophisticated design!"/>
        <s v="What an emotional movie!"/>
        <s v="What comforting words!"/>
        <s v="What a beautiful garden!"/>
        <s v="What a stunning beach!"/>
        <s v="What a delicious cake!"/>
        <s v="What an excellent dish!"/>
        <s v="What an impressive presentation!"/>
        <s v="What an outstanding work!"/>
        <s v="What a special moment!"/>
        <s v="What an unforgettable experience!"/>
        <s v="What an original idea!"/>
        <s v="What an innovative project!"/>
        <s v="What an amazing library!"/>
        <s v="What a breathtaking mountain!"/>
        <s v="What a delicious pasta!"/>
        <s v="What a refreshing smoothie!"/>
        <s v="What an impressive achievement you accomplished!"/>
        <s v="What a surprising result!"/>
        <s v="What an innovative design!"/>
        <s v="What a creative idea!"/>
        <s v="What an exciting travel story you told!"/>
        <s v="What a fantastic new house!"/>
        <s v="What a great song!"/>
        <s v="What an interesting book!"/>
        <s v="What a cool new car!"/>
        <s v="What a delicious dish you made!"/>
        <s v="What a fun party!"/>
        <s v="What a great style!"/>
        <s v="How sweet this dessert is!"/>
        <s v="How spicy this curry is!"/>
        <s v="How refreshing this drink is!"/>
        <s v="How amazing this cake is!"/>
        <s v="How delicious this soup is!"/>
        <s v="How tender this steak is!"/>
        <s v="How fresh this salad is!"/>
        <s v="How fragrant this coffee is!"/>
        <s v="How rich this chocolate is!"/>
        <s v="How cool this ice cream is!"/>
        <s v="How delicious this pasta is!"/>
        <s v="How savory this pizza is!"/>
        <s v="How hot this soup is!"/>
        <s v="How smooth this cheese is!"/>
        <s v="How deep this wine is!"/>
        <s v="How soft this dessert is!"/>
        <s v="How successful this presentation is!"/>
        <s v="How efficient this meeting is!"/>
        <s v="How kind this colleague is!"/>
        <s v="How important this project is!"/>
        <s v="How creative this proposal is!"/>
        <s v="How informative this class is!"/>
        <s v="How difficult this exam is!"/>
        <s v="How excellent this teamwork is!"/>
        <s v="How nerve-wracking this presentation is!"/>
        <s v="How helpful this friend is!"/>
        <s v="How refreshing this weather is!"/>
        <s v="How necessary this break is!"/>
        <s v="How peaceful this walk is!"/>
        <s v="How entertaining this movie is!"/>
        <s v="How meaningful this conversation is!"/>
        <s v="How wise this boss is!"/>
        <s v="How smooth this negotiation is!"/>
        <s v="How cooperative this team is!"/>
        <s v="How tight this schedule is!"/>
        <s v="How persuasive this presentation is!"/>
        <s v="How challenging this assignment is!"/>
        <s v="How busy this semester is!"/>
        <s v="How passionate this professor is!"/>
        <s v="How challenging this project is!"/>
        <s v="How surprising this exam result is!"/>
        <s v="He might have gone home already."/>
        <s v="We could have solved the problem."/>
        <s v="You should have left earlier."/>
        <s v="He could have helped me."/>
        <s v="He would have come."/>
        <s v="He must have finished the work."/>
        <s v="She cannot have said that."/>
        <s v="You should have called me earlier."/>
        <s v="He shouldn't have wasted the money."/>
        <s v="He would have helped."/>
        <s v="He couldn't have been there."/>
        <s v="He may have left already."/>
        <s v="He must have studied all night."/>
        <s v="They cannot have heard the news."/>
        <s v="You should have checked the work."/>
        <s v="He shouldn't have stayed up so late."/>
        <s v="She would have helped."/>
        <s v="We could have left earlier."/>
        <s v="He couldn't have finished the work so quickly."/>
        <s v="He may have missed the meeting."/>
        <s v="She might have gone another way."/>
        <s v="He must have overslept."/>
        <s v="She cannot have forgotten me."/>
        <s v="We should have made more preparations."/>
        <s v="I shouldn't have treated him so rudely."/>
        <s v="I would have bought a new car."/>
        <s v="She could have passed the exam."/>
        <s v="He couldn't have gone that far."/>
        <s v="He may have made a decision already."/>
        <s v="They might have lost their way."/>
        <s v="I enjoy drinking coffee."/>
        <s v="I decided to become a doctor."/>
        <s v="I expect to meet you."/>
        <s v="I hope to meet you again."/>
        <s v="She needs to be helped."/>
        <s v="I want to eat some chocolate."/>
        <s v="He intends to go home."/>
        <s v="I determine to send relief to them."/>
        <s v="I vow to work harder."/>
        <s v="My hobby is studying English."/>
        <s v="My dream is to become a doctor."/>
        <s v="Knowing him is a blessing."/>
        <s v="It is a blessing knowing him."/>
        <s v="To know him is meaningful."/>
        <s v="It is meaningful to know him."/>
        <s v="The fuel is enough to reach Hawaii."/>
        <s v="He is eager to go to America."/>
        <s v="The pool is large enough to make boats to sail on it."/>
        <s v="He is strong enough to lift a car."/>
        <s v="This is too beautiful to eat."/>
        <s v="I have a need to study English."/>
        <s v="I have a need which is that I should study English."/>
        <s v="I know your plan to visit the museum."/>
        <s v="He likes her ability to speak Chinese."/>
        <s v="The person knew her potential to win a Nobel Prize."/>
        <s v="I know the time to complete the job."/>
        <s v="I know the time when I can complete the job."/>
        <s v="I know when to complete the job."/>
        <s v="He seems to speak Chinese fluently."/>
        <s v="He pretends to be a doctor."/>
        <s v="He claims to know my friend well."/>
        <s v="He is known to love her very much."/>
        <s v="She is the youngest player to win the award."/>
        <s v="He is the fastest runner to complete the race."/>
        <s v="I am happy to see my family again."/>
        <s v="I would be happy to help you."/>
        <s v="I made him study English."/>
        <s v="The helicopter hovers above the road."/>
        <s v="The blanket is over the bed."/>
        <s v="The diver swims below the boat."/>
        <s v="The dog is under the tree."/>
        <s v="The dog is beneath the bed."/>
        <s v="The pencil is in the pencil case."/>
        <s v="The car is inside the garage."/>
        <s v="The law applies within the borders of the country."/>
        <s v="The performer is amid the audience."/>
        <s v="The student sits among the trees."/>
        <s v="The child is out the house."/>
        <s v="The cat is outside the store."/>
        <s v="The fence is around the garden."/>
        <s v="The flowers are about the fountain."/>
        <s v="The tree is next to the pond."/>
        <s v="The desk is beside the window."/>
        <s v="The hospital is near the park."/>
        <s v="The student is with the teacher."/>
        <s v="The child is playing without a friend."/>
        <s v="The car is parked between the buildings."/>
        <s v="The bus is standing in front of the school."/>
        <s v="The person is standing before the door."/>
        <s v="The bicycle is running ahead of the car."/>
        <s v="The dog is behind its owner."/>
        <s v="The dog follows after its owner."/>
        <s v="The students go following the class."/>
        <s v="The people wait at the station."/>
        <s v="The book is on the table."/>
        <s v="The river flows along the road."/>
        <s v="The rain falls during the trip."/>
        <s v="The team is part of the company."/>
        <s v="The cat fell off the chair."/>
        <s v="The soccer team plays against the opponent."/>
        <s v="He succeeded despite the difficulties."/>
        <s v="Everyone was invited except her."/>
        <s v="The article was written by a famous author."/>
        <s v="He works for his family."/>
        <s v="The birds fly toward the shore."/>
        <s v="He goes to the party."/>
        <s v="The water goes into the cup."/>
        <s v="He goes across the street."/>
        <s v="The wind blows through the window."/>
        <s v="The rumor spread throughout the school."/>
        <s v="He went past the train."/>
        <s v="The moon is seen beyond the mountain."/>
        <s v="Birds fly away."/>
        <s v="The smoke rises up the chimney."/>
        <s v="The puppy runs down the stairs."/>
        <s v="She comes from New York."/>
        <s v="The cat came out of the box."/>
        <s v="He has lived here since 2015."/>
        <s v="The car goes back to the house."/>
        <s v="He works as a teacher."/>
        <s v="He moves like a cat."/>
        <s v="He is taller than his brother."/>
      </sharedItems>
    </cacheField>
    <cacheField name="외운것" numFmtId="0">
      <sharedItems containsSemiMixedTypes="0" containsNonDate="0" containsString="0" containsNumber="1" containsInteger="1" minValue="0" maxValue="3" count="4">
        <n v="3"/>
        <n v="2"/>
        <n v="0"/>
        <n v="1"/>
      </sharedItems>
    </cacheField>
    <cacheField name="틀린것" numFmtId="0">
      <sharedItems containsSemiMixedTypes="0" containsNonDate="0" containsString="0" containsNumber="1" containsInteger="1" minValue="0" maxValue="2" count="3">
        <n v="0"/>
        <n v="1"/>
        <n v="2"/>
      </sharedItems>
    </cacheField>
    <cacheField name="날짜" numFmtId="0">
      <sharedItems containsNonDate="0" containsMixedTypes="1" containsNumber="1" containsInteger="1" count="4">
        <s v="3차"/>
        <s v="2026-04-28"/>
        <n v="0"/>
        <s v="2026-04-29"/>
      </sharedItems>
    </cacheField>
    <cacheField name="날짜1차" numFmtId="0">
      <sharedItems containsNonDate="0" containsMixedTypes="1" containsNumber="1" containsInteger="1" count="2">
        <s v="1차"/>
        <n v="0"/>
      </sharedItems>
    </cacheField>
    <cacheField name="날짜2차" numFmtId="0">
      <sharedItems containsNonDate="0" containsMixedTypes="1" containsNumber="1" containsInteger="1" count="2">
        <s v="2차"/>
        <n v="0"/>
      </sharedItems>
    </cacheField>
    <cacheField name="날짜3차" numFmtId="0">
      <sharedItems containsNonDate="0" containsMixedTypes="1" containsNumber="1" containsInteger="1" count="2">
        <s v="3차"/>
        <n v="0"/>
      </sharedItems>
    </cacheField>
    <cacheField name="외운것2차" numFmtId="0">
      <sharedItems containsSemiMixedTypes="0" containsNonDate="0" containsString="0" containsNumber="1" containsInteger="1" minValue="0" maxValue="3" count="3">
        <n v="3"/>
        <n v="2"/>
        <n v="0"/>
      </sharedItems>
    </cacheField>
    <cacheField name="외운것3차" numFmtId="0">
      <sharedItems containsSemiMixedTypes="0" containsNonDate="0" containsString="0" containsNumber="1" containsInteger="1" minValue="3" maxValue="3" count="1">
        <n v="3"/>
      </sharedItems>
    </cacheField>
    <cacheField name="틀린것_1차" numFmtId="0">
      <sharedItems containsSemiMixedTypes="0" containsNonDate="0" containsString="0" containsNumber="1" containsInteger="1" minValue="0" maxValue="9" count="9">
        <n v="0"/>
        <n v="1"/>
        <n v="2"/>
        <n v="4"/>
        <n v="9"/>
        <n v="3"/>
        <n v="7"/>
        <n v="5"/>
        <n v="6"/>
      </sharedItems>
    </cacheField>
    <cacheField name="틀린것_2차" numFmtId="0">
      <sharedItems containsSemiMixedTypes="0" containsNonDate="0" containsString="0" containsNumber="1" containsInteger="1" minValue="0" maxValue="6" count="7">
        <n v="0"/>
        <n v="1"/>
        <n v="3"/>
        <n v="4"/>
        <n v="6"/>
        <n v="2"/>
        <n v="5"/>
      </sharedItems>
    </cacheField>
    <cacheField name="틀린것_3차" numFmtId="0">
      <sharedItems containsSemiMixedTypes="0" containsNonDate="0" containsString="0" containsNumber="1" containsInteger="1" minValue="0" maxValue="5" count="6">
        <n v="0"/>
        <n v="1"/>
        <n v="2"/>
        <n v="3"/>
        <n v="4"/>
        <n v="5"/>
      </sharedItems>
    </cacheField>
  </cacheFields>
  <extLst>
    <ext xmlns:x14="http://schemas.microsoft.com/office/spreadsheetml/2009/9/main">
      <x14:pivotCacheDefinition/>
    </ext>
  </extLst>
</pivotCacheDefinition>
</file>

<file path=xl/pivotCache/pivotCacheDefinition2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723" createdVersion="7">
  <cacheSource type="worksheet">
    <worksheetSource ref="A1:R724" sheet="문장"/>
  </cacheSource>
  <cacheFields count="11">
    <cacheField name="No" numFmtId="0">
      <sharedItems containsSemiMixedTypes="0" containsNonDate="0" containsString="0" containsNumber="1" containsInteger="1" minValue="1" maxValue="723" count="72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</sharedItems>
    </cacheField>
    <cacheField name="sNo" numFmtId="0">
      <sharedItems containsSemiMixedTypes="0" containsNonDate="0" containsString="0" containsNumber="1" containsInteger="1" minValue="1" maxValue="60" count="6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</sharedItems>
    </cacheField>
    <cacheField name="구분2_참고" numFmtId="0">
      <sharedItems containsNonDate="0" count="33">
        <s v="기본문 훈련"/>
        <s v="동사1+동사2"/>
        <s v="주동대힘장시"/>
        <s v="전치사"/>
        <s v="조동사"/>
        <s v="수동태"/>
        <s v="시제"/>
        <s v="관계사"/>
        <s v="관계사(목적)"/>
        <s v="관계사(소유격)"/>
        <s v="관계부사"/>
        <s v="관계사(종합)"/>
        <s v="접속사"/>
        <s v="덩어리 That"/>
        <s v="그래서 That"/>
        <s v="의문문"/>
        <s v="의문문(시제)"/>
        <s v="의문문(조동사)"/>
        <s v="의문사"/>
        <s v="감탄문 what"/>
        <s v="감탄문 how"/>
        <s v="감탄문 how(학교 생활)"/>
        <s v="감탄문 how(일상 생활)"/>
        <s v="조동사 + have p.p"/>
        <s v="동사1 + 동사2"/>
        <s v="형용사 + to ~"/>
        <s v="too 형용사 to ~"/>
        <s v="명사 + to ~"/>
        <s v="100% 아닌 것"/>
        <s v="최상급"/>
        <s v="감정 → to ~"/>
        <s v="&lt;조동사&gt; 감정 → to ~"/>
        <s v="사역"/>
      </sharedItems>
    </cacheField>
    <cacheField name="구분" numFmtId="0">
      <sharedItems containsNonDate="0" count="21">
        <s v="기본문 훈련"/>
        <s v="동사1+동사2"/>
        <s v="주동대힘장시"/>
        <s v="전치사"/>
        <s v="조동사"/>
        <s v="수동태"/>
        <s v="시제"/>
        <s v="관계사_1"/>
        <s v="관계사_2"/>
        <s v="관계사_3"/>
        <s v="접속사"/>
        <s v="덩어리 That"/>
        <s v="그래서 That"/>
        <s v="의문문"/>
        <s v="의문문(시제)"/>
        <s v="의문문(조동사)"/>
        <s v="의문사"/>
        <s v="감탄문 what"/>
        <s v="감탄문 how"/>
        <s v="조동사 + have p.p"/>
        <s v="to V"/>
      </sharedItems>
    </cacheField>
    <cacheField name="한국어" numFmtId="0">
      <sharedItems containsNonDate="0" count="723">
        <s v="나는 책을 읽는다"/>
        <s v="그는 음식을 요리한다"/>
        <s v="그녀는 편지를 쓴다"/>
        <s v="우리는 영화를 본다"/>
        <s v="너는 음악을 듣는다"/>
        <s v="그들은 게임을 한다"/>
        <s v="나는 커피를 마신다"/>
        <s v="그는 차를 운전한다"/>
        <s v="그녀는 방을 청소한다"/>
        <s v="우리는 문제를 푼다"/>
        <s v="우리는 저녁을 먹는다."/>
        <s v="그는 축구를 한다."/>
        <s v="아이는 사탕을 좋아한다."/>
        <s v="그녀는 영어를 공부한다."/>
        <s v="그는 물을 마신다."/>
        <s v="나는 슬프다"/>
        <s v="그는 피곤하다"/>
        <s v="그녀는 행복하다."/>
        <s v="우리는 배고프다"/>
        <s v="너는 신나다"/>
        <s v="그들은 화가 났다"/>
        <s v="나는 지루하다"/>
        <s v="그는 걱정된다"/>
        <s v="그녀는 놀랐다"/>
        <s v="우리는 만족스럽다"/>
        <s v="나는 행복하다."/>
        <s v="그녀는 피곤하다."/>
        <s v="그들은 슬프다."/>
        <s v="우리는 기쁘다."/>
        <s v="그는 화나다."/>
        <s v="나는 준비되었다."/>
        <s v="그녀는 똑똑하다."/>
        <s v="우리는 지루하다."/>
        <s v="그는 건강하다."/>
        <s v="나는 바쁘다."/>
        <s v="우리는 그 책을 읽기를 계획하고 있다."/>
        <s v="나는 설거지하는 것을 싫어한다."/>
        <s v="그는 새로운 언어를 배우기를 희망한다."/>
        <s v="우리는 수영하는 것을 그만뒀다."/>
        <s v="그들은 콘서트에 가기를 기대하고 있다."/>
        <s v="우리는 친구들과 노는 것을 즐긴다."/>
        <s v="그는 사업을 시작하기로 결심했다."/>
        <s v="우리는 영화를 보는 것을 즐긴다."/>
        <s v="그들은 도시에 도착하기를 희망했다."/>
        <s v="나는 새로운 언어를 배우는 것을 즐긴다."/>
        <s v="그들은 그 프로젝트를 시작하기를 기대하고 있다."/>
        <s v="우리는 그들을 돕기를 약속했다."/>
        <s v="나는 그가 춤추는 것을 보았다."/>
        <s v="우리는 그가 길을 건너는 것을 확인했다."/>
        <s v="나는 책 읽으면서 차 마신다."/>
        <s v="그는 음악 들으면서 요리 한다."/>
        <s v="우리는 산책 하면서 사진 찍는다."/>
        <s v="나는 책을 읽으면서 커피를 마신다."/>
        <s v="나는 새로운 언어를 배우기 위해 매일 열심히 공부한다."/>
        <s v="그는 세계를 여행하기 위해 돈을 모은다."/>
        <s v="그녀는 취업을 위해 매일 이력서를 보낸다."/>
        <s v="그녀는 요리하면서 노래를 부른다."/>
        <s v="그는 자기 계발을 위해 책을 읽고 있다."/>
        <s v="그는 저녁에 레스토랑에서 친구와 함께 와인을 마신다."/>
        <s v="그는 저녁에 레스토랑에서 친구와 함께 식사를 한다."/>
        <s v="그들은 점심에 카페에서 가족과 함께 대화를 나눈다."/>
        <s v="그는 오후에 강가에서 개와 함께 조깅을 한다."/>
        <s v="그녀는 저녁에 공원에서 아이들과 함께 놀아준다."/>
        <s v="그는 정오에 공원에서 나무 아래에 앉아 독서를 한다."/>
        <s v="그녀는 오후에 사무실에서 책상 위에 서류를 정리한다."/>
        <s v="그들은 저녁에 레스토랑에서 테이블 주변에 앉아 대화를 나눈다."/>
        <s v="그는 밤에 침대 위에 누워 책을 읽는다."/>
        <s v="그녀는 아침에 바닷가에서 경치를 감상한다."/>
        <s v="그녀는 아침에 발코니에서 혼자 차를 마신다."/>
        <s v="그는 아침에 도서관에서 혼자 공부를 한다."/>
        <s v="강아지가 집 바깥쪽에 있다"/>
        <s v="울타리가 집을 둘러싸고 있다"/>
        <s v="비행기가 마을 위로 날아간다"/>
        <s v="물고기가 물 표면 바로 아래에 있다"/>
        <s v="사과가 바구니 안에 있다"/>
        <s v="고양이가 집 안쪽에 있다"/>
        <s v="그는 두 시간 내에 돌아올 것이다"/>
        <s v="나무가 숲 한가운데 있다"/>
        <s v="무지개가 강 위로 걸쳐있다"/>
        <s v="지하철이 도시 아래로 지나간다"/>
        <s v="책상이 전등 아래에 있다"/>
        <s v="유명 가수가 팬들 가운데 있다"/>
        <s v="고양이가 상자 밖에 있다"/>
        <s v="가게들이 광장을 둘러싸고 있다"/>
        <s v="그들은 골프에 대하여 이야기한다"/>
        <s v="나무가 집 바로 옆에 있다"/>
        <s v="은행이 상점 옆에 있다"/>
        <s v="학교가 공원 근처에 있다"/>
        <s v="나는 친구와 함께 있다"/>
        <s v="그는 지갑 없이 떠났다"/>
        <s v="나는 회의 전에 자료를 준비한다"/>
        <s v="그는 나보다 앞서 달린다"/>
        <s v="고양이가 의자 뒤에 숨어 있다"/>
        <s v="고양이가 쥐 뒤를 쫓았다"/>
        <s v="우리는 회의 후에 회식을 했다"/>
        <s v="사건 직후에 그는 조사를 받았다"/>
        <s v="나는 역에 도착했다"/>
        <s v="컵이 탁자에 있다"/>
        <s v="나는 길을 죽 따라 걷는다"/>
        <s v="수업 중에 나는 필기를 한다"/>
        <s v="나는 피자 한 조각을 먹었다"/>
        <s v="나는 지갑을 테이블에서 치웠다"/>
        <s v="나는 벽에 기대어 있다"/>
        <s v="나는 비에도 불구하고 외출했다"/>
        <s v="나는 휴일을 제외하고 일한다"/>
        <s v="그녀는 부모님에 의해 사랑받는다"/>
        <s v="나는 그를 위해 요리한다"/>
        <s v="나무가 두 집 사이에 있다"/>
        <s v="차가 집 앞쪽에 서 있다"/>
        <s v="나무가 집 앞에 있다"/>
        <s v="나는 해변 쪽으로 걸어간다"/>
        <s v="나는 도서관으로 간다"/>
        <s v="나는 방 안으로 들어간다"/>
        <s v="그는 공원을 가로지르다"/>
        <s v="나는 터널을 통과했다"/>
        <s v="그들은 도시 전역을 탐험했다"/>
        <s v="그는 세계 곳곳을 여행했다"/>
        <s v="나는 상점을 지나갔다"/>
        <s v="산은 저 언덕 너머에 있다"/>
        <s v="그들은 수평선 너머로 항해했다"/>
        <s v="그는 멀리 갔다"/>
        <s v="그는 계단 아래로 내려갔다"/>
        <s v="그는 일본에서 왔다"/>
        <s v="나는 상자에서 물건을 꺼냈다"/>
        <s v="나는 어제부터 계속 공부하고 있다"/>
        <s v="그는 고향으로 돌아왔다"/>
        <s v="그는 선생님으로서 충고했다"/>
        <s v="그녀는 고양이처럼 조용하다"/>
        <s v="그는 나보다 키가 더 크다"/>
        <s v="나는 산 위로 올라갔다"/>
        <s v="나는 내일 반드시 학교에 가야 해."/>
        <s v="우리는 매일 꼭 운동을 해야 한다."/>
        <s v="넌 오늘은 청소할 필요가 없다."/>
        <s v="난 영어를 더 열심히 공부해야 해"/>
        <s v="우리는 내년에 반드시 결혼할 거야"/>
        <s v="난 다음 달에 새로운 프로젝트를 시작하려고 해"/>
        <s v="그들은 내일 파티에 갈 것이다."/>
        <s v="나는 그 영화를 다시 볼 거 같다."/>
        <s v="나는 피아노를 칠 수 있다."/>
        <s v="그는 수영을 할 수 있을 거다."/>
        <s v="그녀는 아마 내일 올 수도 있다."/>
        <s v="나는 이번 여름에 떠날지도 모른다."/>
        <s v="나는 매일 아침 일찍 일어나야만 한다."/>
        <s v="우리는 집에 꼭 일찍 가야 해"/>
        <s v="그는 오늘 일하지 않아도 된다."/>
        <s v="너는 많은 책을 읽어야 한다."/>
        <s v="우리는 내년에 유럽을 반드시 여행할 것이다."/>
        <s v="나는 다음 주에 친구를 만날 것이다."/>
        <s v="그녀는 곧 요리를 시작할 것이다."/>
        <s v="나는 그곳에 갈 것 같다."/>
        <s v="나는 이태리 노래를 부를 수 있다."/>
        <s v="그는 자전거를 탈 수 있을 것 같다"/>
        <s v="그녀는 아마도 오늘 밤에 올 것 같다."/>
        <s v="나는 내일 비가 올지도 모른다고 생각한다."/>
        <s v="그는 다음 달에 새로운 일을 가지게 될 것이다."/>
        <s v="나는 매일 영어를 꾸준히 훈련해야만 한다"/>
        <s v="우리는 이 문제를 해결해야 한다."/>
        <s v="우리는 다음 달에 틀림없이 새로운 프로젝트를 시작할 것이다."/>
        <s v="우리는 저녁에 영화를 볼 것이다."/>
        <s v="그녀는 이곳에 오고 싶어 할 것 같다."/>
        <s v="그는 반드시 매일 운동을 규칙적으로 해야만 해"/>
        <s v="그는 프랑스어를 유창하게 말할 수 있다."/>
        <s v="그녀는 이 문제를 해결할 수 있을 것 같다."/>
        <s v="그가 아마도 회의에 참석할 수도 있다."/>
        <s v="그녀는 오늘 밤에 늦을지도 모른다"/>
        <s v="너는 보고서를 오늘까지 꼭 제출해야 해."/>
        <s v="너는 오늘 회의에 참석하지 않아도 된다."/>
        <s v="이 편지는 그에 의해 쓰여졌다."/>
        <s v="그 고양이는 아이들에 의해 돌봄을 받는다."/>
        <s v="그 집은 부모님에 의해 지어졌다."/>
        <s v="이 음식은 셰프에 의해 준비되었다."/>
        <s v="그 보고서는 팀에 의해 작성되었다."/>
        <s v="책은 학생들에 의해 읽혀진다."/>
        <s v="그 드레스는 디자이너에 의해 디자인되었다."/>
        <s v="그 그림은 예술가에 의해 그려졌다."/>
        <s v="그 건물은 건축가에 의해 설계되었다."/>
        <s v="그 상은 심사위원들에 의해 수여되었다."/>
        <s v="초대장은 친구들에 의해 보내졌다."/>
        <s v="그 문제는 선생님에 의해 설명되었다."/>
        <s v="음악은 라디오에 의해 재생된다."/>
        <s v="그 프로그램은 컴퓨터에 의해 실행된다."/>
        <s v="그 공연은 많은 사람들에 의해 관람되었다."/>
        <s v="그 컴퓨터는 전문가에 의해 수리되었다."/>
        <s v="그 제품은 공장에서 제조된다."/>
        <s v="이 수업은 많은 학생들에 의해 선택된다."/>
        <s v="그 영화는 평론가들에 의해 호평받았다."/>
        <s v="그 기념비는 정부에 의해 세워졌다."/>
        <s v="나는 그 영화를 본 적이 있다"/>
        <s v="그는 뉴욕을 방문한 적이 있다."/>
        <s v="우리는 이미 저녁을 먹었다."/>
        <s v="그들은 이 노래를 들어본 적이 있다."/>
        <s v="나는 최근에 이 영화를 봤다."/>
        <s v="그녀는 이미 숙제를 끝냈다."/>
        <s v="나는 그 사람을 전에 만난 적이 있다."/>
        <s v="우리는 이 문제를 해결했다."/>
        <s v="그는 그 노래를 자주 들었다."/>
        <s v="나는 그 친구를 못 봤다."/>
        <s v="그녀는 그 책을 다섯 번 읽었다."/>
        <s v="우리는 전에 이곳에 온 적이 있다."/>
        <s v="그들은 그 소식을 들은 적이 있다."/>
        <s v="나는 이 일을 이미 끝냈다."/>
        <s v="그는 최근에 새로운 직장을 구했다."/>
        <s v="우리는 그 문제를 여러 번 논의한 적이 있다."/>
        <s v="그녀는 이 영화에 대해 많이 들은 적이 있다."/>
        <s v="나는 그를 잊은 적이 없다."/>
        <s v="그들은 최근에 새로운 팀원을 추가했다."/>
        <s v="나는 이 영화를 여러 번 봤다."/>
        <s v="그녀는 그곳을 절대로 방문한 적이 없다."/>
        <s v="우리는 이미 저녁을 준비했다."/>
        <s v="그들은 아직도 그 문제를 해결하지 못했다."/>
        <s v="나는 최근에 새로운 취미를 시작했다."/>
        <s v="그는 그 소식을 이미 들었다."/>
        <s v="그는 3년 동안 영어를 배우고 있다."/>
        <s v="우리는 아침부터 이 문제를 논의하고 있다."/>
        <s v="나는 한 시간 동안 이 책을 읽고 있다."/>
        <s v="그녀는 2시간 동안 피아노를 연주하고 있다."/>
        <s v="우리는 이 프로젝트를 몇 주 동안 진행하고 있다."/>
        <s v="그는 5년 동안 그 회사에서 일하고 있다."/>
        <s v="나는 몇 달 동안 요가를 하고 있다."/>
        <s v="우리는 일주일 동안 이곳에서 머무르고 있다."/>
        <s v="그녀는 6개월 동안 그림을 그리고 있다."/>
        <s v="그들은 몇 시간 동안 노래를 부르고 있다."/>
        <s v="나는 한 달 동안 이 문제를 연구하고 있다."/>
        <s v="우리는 두 시간 동안 이 책을 번역하고 있다."/>
        <s v="그는 몇 주 동안 그 보고서를 작성하고 있다."/>
        <s v="그녀는 3개월 동안 그 드라마를 보고 있다."/>
        <s v="나는 몇 년 동안 그 악기를 배우고 있다."/>
        <s v="우리는 아침부터 이 방을 청소하고 있다."/>
        <s v="그는 오랜 시간 동안 그녀를 기다리고 있다."/>
        <s v="나는 이 주제에 대해 몇 년 동안 생각해왔다."/>
        <s v="그녀는 지난 몇 달 동안 여행을 계획하고 있다."/>
        <s v="미국에서 온 그 여자"/>
        <s v="어제 너와 함께 온 그 남자"/>
        <s v="노란 차를 타고 있는 그 남자"/>
        <s v="강북에 위치한 식당"/>
        <s v="내 친구와 함께 일하는 그 남자"/>
        <s v="진실이 아닌 이야기"/>
        <s v="50년전에 지어진 건물"/>
        <s v="공원에서 걷고 있는 그 소년"/>
        <s v="소설을 쓴 남자"/>
        <s v="좋은 전망을 가지고 있는 한 아파트"/>
        <s v="내게 어제 잡힌 그 생선"/>
        <s v="내 친구한테 사랑받는 그 남자"/>
        <s v="사고로 부서진 차"/>
        <s v="일본에서 온 그 소녀"/>
        <s v="독일에서 만든 차"/>
        <s v="삼성에서 제조한 그 디카"/>
        <s v="우리 딸이 제일 좋아하는 피자"/>
        <s v="우리 딸이 제일 좋아하는 피자(생략)"/>
        <s v="내가 어제 잡은 그 생선"/>
        <s v="내가 어제 잡은 그 생선(생략)"/>
        <s v="삼성이 제조한 그 디카"/>
        <s v="삼성이 제조한 그 디카(생략)"/>
        <s v="어제 네가 함께 온 그 남자"/>
        <s v="어제 네가 함께 온 그 남자(생략)"/>
        <s v="내가 구입한 장소"/>
        <s v="내가 구입한 장소(생략)"/>
        <s v="독일이 만든 차"/>
        <s v="독일이 만든 차(생략)"/>
        <s v="내 친구가 함께 일하는 그 남자"/>
        <s v="내 친구가 함께 일하는 그 남자(생략)"/>
        <s v="당신이 더 좋아하는 신문"/>
        <s v="당신이 더 좋아하는 신문(생략)"/>
        <s v="내가 쓸수 있는 돈"/>
        <s v="내가 쓸수 있는 돈(생략)"/>
        <s v="내 친구가 사랑하는 그 남자"/>
        <s v="내 친구가 사랑하는 그 남자(생략)"/>
        <s v="우리가 일요일에 본 그 영화"/>
        <s v="우리가 일요일에 본 그 영화(생략)"/>
        <s v="그의 아이디어가 좋은 사람"/>
        <s v="전망이 좋은 한 아파트"/>
        <s v="그것의 헤드라인들이 좋은 신문"/>
        <s v="사람들이 너를 싫어하는 이유"/>
        <s v="우리 아버지께서 태어나신 달"/>
        <s v="분위기가 조용한 장소"/>
        <s v="내가 채용된 날"/>
        <s v="내가 군인이 되었던 날"/>
        <s v="내가 군인이 되었던 날(생략)"/>
        <s v="그녀가 너를 떠난 이유"/>
        <s v="내가 열쇠를 두었던 장소"/>
        <s v="그가 오지 않은 이유"/>
        <s v="내가 여기 도착한 시간"/>
        <s v="미국에서 온 그 여자는 변호사다."/>
        <s v="그녀는 미국에서 온 변호사이다."/>
        <s v="나는 미국에서 온 그 여자를 사랑한다."/>
        <s v="침실 두개와 넓은 거실을 가지고 있는 집"/>
        <s v="내가 만나고 싶은 소녀"/>
        <s v="내가 만나고 싶은 소녀(생략)"/>
        <s v="맥도날드에서 만난 네 여자친구"/>
        <s v="맥도날드에서 만난 네 여자친구(생략)"/>
        <s v="100세가 넘으신 할아버지"/>
        <s v="내가 내 옛친구를 우연히 만난 곳"/>
        <s v="내가 내 옛친구를 우연히 만난 곳(생략)"/>
        <s v="그를 만나기로 했던 장소"/>
        <s v="그를 만나기로 했던 장소(생략)"/>
        <s v="우리 삼촌에게 내 여자 친구를 소개했던 곳"/>
        <s v="내가 미팅에서 처음 그녀를 만났던 날"/>
        <s v="내가 미팅에서 처음 그녀를 만났던 날(생략)"/>
        <s v="내가 미국에 갈 수 있는 방법"/>
        <s v="내가 미국에 갈 수 있는 방법(how 생략)"/>
        <s v="내가 미국에 갈 수 있는 방법(생략)"/>
        <s v="내가 살고 싶은 집"/>
        <s v="독일에서 만든 차는 비싸다."/>
        <s v="나는 미국에서 온 그 남자를 만날 것이다."/>
        <s v="나는 독일에서 만든 차를 구입 할 것이다."/>
        <s v="나는 미국에서 온 그여자를 사랑한적이 있다."/>
        <s v="나는 어릴적 엄마가 만들어 준 것을 그리워 한다."/>
        <s v="나는 어릴적 엄마가 만들어 준 것을 그리워 한다.(+)"/>
        <s v="이건 널 위해서 산거야"/>
        <s v="이건 널 위해서 산거야(+)"/>
        <s v="나는 아름다운 것을 좋아해"/>
        <s v="나는 아름다운 것을 좋아해(+)"/>
        <s v="삼성에서 만들어진 것은 비싸다"/>
        <s v="삼성에서 만들어진 것은 비싸다(+)"/>
        <s v="나는 그것의 헤드라인들이 좋은 신문이 좋다"/>
        <s v="나는 영어를 말하는 법을 안다."/>
        <s v="나는 영어를 말하는 법을 안다.(생략)"/>
        <s v="나는 조용한 장소에서 그녀를 만났어."/>
        <s v="그녀는 내가 여기 도착한 시간을 몰라"/>
        <s v="나는 분위기가 조용한 장소에서 그녀를 만났어."/>
        <s v="당신이 매우 사랑하는 그 장소를 나는 보호하고 싶다."/>
        <s v="나는 그녀가 여기에 오지 않은 이유를 이해한다."/>
        <s v="나는 미국에서 온 변호사와 얘기를 했다."/>
        <s v="나는 영어책을 한권 쓴 적이 있는 사람과 소개팅을 했다."/>
        <s v="나는 지금의 나 된 바를 좋아하지 않는다."/>
        <s v="나는 지금의 나 된 바를 좋아하지 않는다.(+)"/>
        <s v="독일에서 만든 차를 구입하고자 하는 그녀는 미국에서 온 변호사와 얘기를 한다."/>
        <s v="미국에서 온 그 여자는 독일에서 만든 차를 구입할 나를 사랑한다."/>
        <s v="오바마가 대통령인 미국에서 온 그여자는 변호사다."/>
        <s v="오바마가 대통령인 미국에서 온 그여자는 나를 도와준 변호사다."/>
        <s v="그 여자는 아내가 미쉘인 오바마가 대통령인 미국에서 온 변호사다."/>
        <s v="내가 그녀를 사랑하는 이유는 그녀가 부자라는 것이다."/>
        <s v="그가 회사를 떠났던 이유는 김 과장과의 사이가 좋지않았다라는 것이다."/>
        <s v="내가 애로우 잉글리시를 공부하는 이유는 최선생님이 잘 생겼다라는 것이다."/>
        <s v="그녀가 너를 떠난 이유는 네가 발렌타인데이에 그녀를 만나지 않아서이다."/>
        <s v="나는 책 읽는 것을 좋아하는 소녀를 알고 있다."/>
        <s v="그녀는 세 개의 언어를 말하는 친구가 있다."/>
        <s v="우리는 피아노를 잘 치는 소년을 만났다."/>
        <s v="그는 수학을 가르칠 수 있는 선생님을 찾고 있다."/>
        <s v="내 여동생은 매우 아름답게 노래하는 가수를 알고 있다."/>
        <s v="그들은 가방을 잃어버린 학생을 찾았다."/>
        <s v="나는 공원에서 개를 산책시키는 남자를 봤다."/>
        <s v="그녀는 숙제를 도와줄 수 있는 친구에게 전화했다."/>
        <s v="그는 항상 행복한 사람들을 좋아한다."/>
        <s v="나는 매우 흥미로운 책을 샀다."/>
        <s v="그는 매우 빠른 차를 가지고 있다."/>
        <s v="그들은 큰 정원이 있는 집에 산다."/>
        <s v="나는 매우 빠르게 수영할 수 있는 소년을 알고 있다."/>
        <s v="그녀는 정직한 사람들을 좋아한다."/>
        <s v="그는 대회에서 우승한 학생이다."/>
        <s v="그녀는 나에게 그 소식을 알려준 사람이다."/>
        <s v="나는 동물들을 사랑하는 친구가 있다."/>
        <s v="그녀는 세일 중이던 신발을 샀다."/>
        <s v="그녀는 아침을 먹었고, 그리고 출근했다."/>
        <s v="나는 커피를 마시고 싶었지만 우유를 마셨다."/>
        <s v="너는 책을 읽거나, 영화를 볼 수 있다."/>
        <s v="내가 도착했을 때, 회의가 시작되었다."/>
        <s v="내가 학원에 도착하자마자, 비가 오기 시작했다."/>
        <s v="나는 음악을 들으면서 공부를 했다."/>
        <s v="우리는 저녁을 먹고 나서 산책을 했다."/>
        <s v="나는 출발하기 전에 짐을 쌌다."/>
        <s v="그들은 마지막 손님이 떠날 때까지 파티를 계속했다."/>
        <s v="우리는 어렸을 때부터 친구였다."/>
        <s v="나는 잠을 충분히 못 잤기 때문에 피곤했다."/>
        <s v="그는 피곤함에도 불구하고 여전히 일을 했다"/>
        <s v="네가 원하면, 나는 도와줄 것이다"/>
        <s v="네가 나에게 말하지 않으면, 나는 모를 것이다."/>
        <s v="그는 나보다 더 많이 먹는다."/>
        <s v="그녀는 실수를 하지 않기 위해 주의 깊게 작업했다."/>
        <s v="그는 책을 읽었고, 그리고 잠을 잤다."/>
        <s v="나는 공부를 하고 싶었지만 TV 를 봤다."/>
        <s v="너는 쉬거나, 운동을 할 수 있다."/>
        <s v="내가 도착했을 때, 수업이 끝났다."/>
        <s v="내가 집에 도착하자마자, 전기가 나갔다."/>
        <s v="나는 요리를 하면서 노래를 들었다."/>
        <s v="우리는 영화 보고 나서 커피를 마셨다."/>
        <s v="나는 자기 전에 책을 읽었다."/>
        <s v="그는 날이 밝을 때까지 걸었다."/>
        <s v="우리는 대학 때부터 알고 지냈다."/>
        <s v="나는 식사를 하지 않아서 배고팠다."/>
        <s v="그는 돈이 없었지만 행복했다."/>
        <s v="네가 동의하면, 나는 갈 것이다."/>
        <s v="네가 설명하지 않으면, 나는 이해하지 못할 것이다."/>
        <s v="그는 내가 달리는 것 보다 더 빨리 달린다."/>
        <s v="그녀는 길을 잃지 않기 위해 지도를 챙겼다."/>
        <s v="그는 저녁을 먹었고, 그리고 산책을 했다."/>
        <s v="나는 자고 싶었지만 일을 했다."/>
        <s v="너는 공부를 하거나, 책을 읽을 수 있다."/>
        <s v="내가 떠났을 때, 비가 내렸다."/>
        <s v="내가 달리기 시작하자마자, 바람이 불기 시작했다."/>
        <s v="나는 걸으면서 생각을 했다."/>
        <s v="우리는 수영한 후에 점심을 먹었다."/>
        <s v="나는 운동하기 전에 스트레칭 했다."/>
        <s v="그는 밤이 될 때까지 일했다."/>
        <s v="우리는 고등학교 때부터 친구였다."/>
        <s v="나는 비가 와서 우산을 가져갔다."/>
        <s v="그는 몸이 아팠지만 회의에 참석했다."/>
        <s v="네가 서두르면, 우리는 기차를 탈 수 있다."/>
        <s v="네가 열쇠를 가지지 않으면, 문을 열 수 없다."/>
        <s v="그는 내가 아는 것보다 더 많이 안다."/>
        <s v="그녀는 물건을 잊지 않기 위해 메모를 썼다."/>
        <s v="그녀가 시험에 합격했다는 것이 모두를 놀라게 했다."/>
        <s v="그가 늦을 것이라는 것은 나를 짜증나게 한다."/>
        <s v="나는 그가 그 일을 끝냈다고 믿는다."/>
        <s v="문제는 우리가 충분한 시간을 가지고 있지 않는 것이다."/>
        <s v="나는 그가 진실을 말하고 있다는 것에 대해 확신이 없다."/>
        <s v="그가 우리를 도와줄 것이라는 것은 분명하다."/>
        <s v="그가 그 일을 해냈다는 것이 모두를 놀라게 했다."/>
        <s v="나는 그가 정직하다고 생각한다."/>
        <s v="요점은 그가 동의하지 않았다는 것이다."/>
        <s v="그가 올 것이라는 것은 확실하다.(it 주어)"/>
        <s v="그가 이겼다는 것이 모두를 놀라게 했다."/>
        <s v="그녀가 거짓말을 했다는 것은 분명하다."/>
        <s v="나는 그가 도움을 요청했다고 생각한다."/>
        <s v="문제는 그가 정직하지 않다는 것이다."/>
        <s v="나는 그가 성공할 것이라는 것을 확신한다."/>
        <s v="중요한 것은 그가 자신의 실수를 인정했다는 것이다."/>
        <s v="그가 나를 속였다는 것이 나를 화나게 했다."/>
        <s v="나는 그가 열심히 공부하고 있다는 것을 안다."/>
        <s v="그의 성공은 그가 열심히 일했다는 것을 증명한다."/>
        <s v="그가 올 것이라는 것은 확실하다."/>
        <s v="나는 그가 파티에 올 것이라는 것에 대해 걱정하고 있다."/>
        <s v="당신은 모든 것을 알고 있는 것 같군요.(it 주어)"/>
        <s v="그는 미친 사람 인 것 같다.(it 주어)"/>
        <s v="그는 너무 피곤해서 잠에 들었다."/>
        <s v="그녀는 그러한 멋진 아이디어를 가지고 있어서 모두를 놀라게 했다."/>
        <s v="날씨가 너무 추워서 우리는 집에 머물렀다."/>
        <s v="그는 그러한 어려운 문제를 해결해서 칭찬받았다."/>
        <s v="그녀는 너무 행복해서 눈물이 났다."/>
        <s v="그들은 너무 늦어서 영화의 첫 부분을 놓쳤다."/>
        <s v="그는 그러한 멋진 성과를 이뤄서 모두를 놀라게 했다."/>
        <s v="그가 너무 화가 나서 큰 소리로 소리쳤다."/>
        <s v="그녀는 그렇게 아름다운 꽃을 가져와서 모두를 감동시켰다."/>
        <s v="그들이 너무 긴장을 해서 발표를 망쳤다."/>
        <s v="공부하니?"/>
        <s v="공부했니?"/>
        <s v="공부할 거니?"/>
        <s v="영화 보니?"/>
        <s v="영화 봤니?"/>
        <s v="영화 볼거니?"/>
        <s v="책 읽니?"/>
        <s v="책 읽었니?"/>
        <s v="책 읽을거니?"/>
        <s v="음악 듣니?"/>
        <s v="음악 들었니?"/>
        <s v="음악 들을거니?"/>
        <s v="너 오늘 숙제 다 했니?"/>
        <s v="어제 저녁에 그가 영화 봤니?"/>
        <s v="네 친구가 이번 주말에 여행 갈 거니?"/>
        <s v="네 동생이 지금 공부하고 있니?"/>
        <s v="그녀가 내일 회의에 참석할 거니?"/>
        <s v="오늘 오후에 친구들 만날 거니?"/>
        <s v="그가 이번 주에 새 차를 샀니?"/>
        <s v="네 엄마가 어제 시장에 갔니?"/>
        <s v="그가 주말에 운동하니?"/>
        <s v="너희 집이 작년에 이사했니?"/>
        <s v="너 그거 사용해 본 적 있니?"/>
        <s v="그가 그 책을 읽은 적 있니?"/>
        <s v="너 여기 와본 적 있니?"/>
        <s v="그녀가 프랑스에 가본 적 있니?"/>
        <s v="너 이 영화를 본 적 있니?"/>
        <s v="그가 그 노래를 들은 적 있니?"/>
        <s v="너 일본에 가본 적 있니?"/>
        <s v="그녀가 이 요리를 만들어 본 적 있니?"/>
        <s v="너 뉴욕에 살아본 적 있니?"/>
        <s v="그가 자전거를 타본 적 있니?"/>
        <s v="너 이 문제를 반드시 풀어야만 하니?"/>
        <s v="그가 지금 틀림없이 가야 하니?"/>
        <s v="너 내일 일할 거니?"/>
        <s v="그녀가 저녁을 만들 수 있니?"/>
        <s v="너 그 책을 반드시 읽어야 하니?"/>
        <s v="그가 이 문제를 해결할 수 있니?"/>
        <s v="너 오늘 밤에 올 거니?"/>
        <s v="그녀가 이 일을 꼭 해야만 하니?"/>
        <s v="너 그 시험을 통과할 수 있니?"/>
        <s v="그가 집에 틀림없이 가야 하니?"/>
        <s v="너 이 문제를 꼭 풀어야만 하니?"/>
        <s v="그녀가 저녁을 꼭 만들어야 하니?"/>
        <s v="너 이 문제를 풀어야 하니?"/>
        <s v="그가 지금 반드시 가야 하니?"/>
        <s v="너 내일 일해야 하니?"/>
        <s v="그녀가 저녁을 만들어도 되니?"/>
        <s v="너 그 책을 읽어도 되니?"/>
        <s v="그가 이 문제를 해결할 수도 있니?"/>
        <s v="너 오늘 밤에 올 수도 있니?"/>
        <s v="그녀가 이 일을 반드시 할까요?"/>
        <s v="너 그 시험을 아마도 통과할 수 있을 것 같니?"/>
        <s v="그가 집에 꼭 가고자 하니?"/>
        <s v="네가 언제 도착했니?"/>
        <s v="누가 그 일을 꼭 해야 하니?"/>
        <s v="무엇이 그 책에 포함되어 있니?"/>
        <s v="어디에서 그가 일할 거니?"/>
        <s v="왜 그녀가 그렇게 말했니?"/>
        <s v="어떻게 그가 이 문제를 해결할 수 있니?"/>
        <s v="어느 책이 더 좋니?"/>
        <s v="어느 영화가 네가 본 것 중 최고였니?"/>
        <s v="네가 왜 그렇게 피곤해 보이니?"/>
        <s v="얼마나 많은 사람들이 그 파티에 왔니?"/>
        <s v="얼마나 많은 돈을 네가 썼니?"/>
        <s v="그가 언제 돌아올 거니?"/>
        <s v="누가 네가 좋아하는 배우니?"/>
        <s v="무엇을 네가 원하는 것이니?"/>
        <s v="어디에 그가 머물 거니?"/>
        <s v="왜 그가 그렇게 화가 났니?"/>
        <s v="어떻게 네가 이걸 할 수 있니?"/>
        <s v="어느 과목이 네가 가장 좋아하는 것이니?"/>
        <s v="어떤 색깔의 차를 네가 사고 싶니?"/>
        <s v="얼마나 많은 친구들이 네가 있어?"/>
        <s v="정말 아름다운 하늘이다!"/>
        <s v="정말 멋진 바다다!"/>
        <s v="당신은 정말 멋진 친구를 가지고 있다."/>
        <s v="그는 정말 대단한 사람이야!"/>
        <s v="정말 멋진 하루다!"/>
        <s v="당신은 정말 멋진 집을 가지고 있다!"/>
        <s v="정말 훌륭한 성과다!"/>
        <s v="당신은 정말 훌륭한 결과를 얻었다!"/>
        <s v="정말 맛있는 요리다!"/>
        <s v="당신은 정말 대단한 요리를 만들었다!"/>
        <s v="정말 감동적인 순간이다!"/>
        <s v="당신은 정말 특별한 순간을 경험하고 있다!"/>
        <s v="그녀는 정말 탁월한 연기자를 가지고 있다!"/>
        <s v="정말 놀라운 성과다!"/>
        <s v="정말 인상적인 연구 결과다!"/>
        <s v="정말 유익한 강의다!"/>
        <s v="당신은 정말 훌륭한 논문을 썼다!"/>
        <s v="이 여행이 정말 기억에 남는다!"/>
        <s v="당신의 사진이 정말 아름답다!"/>
        <s v="이 경치가 정말 장관이다!"/>
        <s v="이 숲이 정말 평화롭다!"/>
        <s v="이 기술이 정말 혁신적이다!"/>
        <s v="이 디자인이 정말 세련되었다!"/>
        <s v="이 영화가 정말 감동적이다!"/>
        <s v="정말 위안이 되는 말이다!"/>
        <s v="이 정원이 정말 아름답다!"/>
        <s v="이 해변이 정말 멋지다!"/>
        <s v="이 케이크가 정말 맛있다!"/>
        <s v="정말 훌륭한 요리다!"/>
        <s v="정말 인상적인 발표다!"/>
        <s v="정말 뛰어난 작품이다!"/>
        <s v="정말 특별한 순간이다!"/>
        <s v="정말 잊을 수 없는 경험이다!"/>
        <s v="이 아이디어가 정말 독창적이다!"/>
        <s v="이 프로젝트가 정말 혁신적이다!"/>
        <s v="정말 멋진 도서관이다!"/>
        <s v="이 산이 정말 장관이다!"/>
        <s v="이 파스타가 정말 맛있다!"/>
        <s v="이 스무디가 정말 상쾌하다!"/>
        <s v="당신은 정말 인상적인 성과를 이루웠다!"/>
        <s v="이 결과가 정말 놀랍다!"/>
        <s v="이 디자인이 정말 혁신적이다!"/>
        <s v="이 아이디어가 정말 창의적이다!"/>
        <s v="당신의 여행 이야기가 정말 흥미진진하다!"/>
        <s v="새 집이 정말 멋지다!"/>
        <s v="이 노래가 정말 좋은데!"/>
        <s v="이 책이 정말 재미있다!"/>
        <s v="정말 멋진 새 차네!"/>
        <s v="정말 맛있는 요리를 만드셨네요!"/>
        <s v="이 파티가 정말 즐겁다!"/>
        <s v="당신의 스타일이 정말 멋지다!"/>
        <s v="이 디저트가 얼마나 달콤한지!"/>
        <s v="이 카레가 얼마나 매운지!"/>
        <s v="이 음료가 얼마나 상큼한지!"/>
        <s v="이 케이크가 얼마나 놀라운지!"/>
        <s v="이 수프가 얼마나 맛있는지!"/>
        <s v="이 스테이크가 얼마나 부드러운지!"/>
        <s v="이 샐러드가 얼마나 신선한지!"/>
        <s v="이 커피가 얼마나 향긋한지!"/>
        <s v="이 초콜릿이 얼마나 진한지!"/>
        <s v="이 아이스크림이 얼마나 시원한지!"/>
        <s v="이 파스타가 얼마나 맛있는지!"/>
        <s v="이 피자가 얼마나 고소한지!"/>
        <s v="이 수프가 얼마나 뜨거운지!"/>
        <s v="이 치즈가 얼마나 부드러운지!"/>
        <s v="이 와인이 얼마나 깊은지!"/>
        <s v="이 디저트가 얼마나 부드러운지!"/>
        <s v="이 발표가 얼마나 성공적인지!"/>
        <s v="이 회의가 얼마나 효율적인지!"/>
        <s v="이 동료가 얼마나 친절한지!"/>
        <s v="이 프로젝트가 얼마나 중요한지!"/>
        <s v="이 제안이 얼마나 창의적인지!"/>
        <s v="이 수업이 얼마나 유익한지!"/>
        <s v="이 시험이 얼마나 어려운지!"/>
        <s v="이 팀워크가 얼마나 훌륭한지!"/>
        <s v="이 발표가 얼마나 긴장되는지!"/>
        <s v="이 친구가 얼마나 도움이 되는지!"/>
        <s v="이 날씨가 얼마나 상쾌한지!"/>
        <s v="이 휴식이 얼마나 필요한지!"/>
        <s v="이 산책이 얼마나 평화로운지!"/>
        <s v="이 영화가 얼마나 재미있는지!"/>
        <s v="이 대화가 얼마나 의미 있는지!"/>
        <s v="이 상사가 얼마나 지혜로운지!"/>
        <s v="이 협상이 얼마나 순조로운지!"/>
        <s v="이 팀이 얼마나 협력적인지!"/>
        <s v="이 일정이 얼마나 타이트한지!"/>
        <s v="이 프레젠테이션이 얼마나 설득력 있는지!"/>
        <s v="이 과제가 얼마나 어려운지!"/>
        <s v="이 학기가 얼마나 바쁜지!"/>
        <s v="이 교수님이 얼마나 열정적인지!"/>
        <s v="이 프로젝트가 얼마나 도전적인지!"/>
        <s v="이 시험 결과가 얼마나 놀라운지!"/>
        <s v="그는 이미 집에 갔을지도 모른다."/>
        <s v="우리는 그 문제를 해결할 수 있었을 것이다."/>
        <s v="너는 더 일찍 떠났어야 했어."/>
        <s v="그는 나를 도왔을 수도 있다."/>
        <s v="그가 왔을 텐데..."/>
        <s v="그는 그 일을 끝냈음에 틀림없다."/>
        <s v="그녀가 그 말을 했을 리가 절대 없다."/>
        <s v="너는 나에게 더 일찍 연락했어야 했어."/>
        <s v="그는 그 돈을 낭비하지 말았어야 했다."/>
        <s v="그가 도와줬을 텐데..."/>
        <s v="그는 그 장소에 있었을 리가 없다."/>
        <s v="그는 이미 떠났을지도 모른다."/>
        <s v="그는 밤새 공부했음에 틀림없다."/>
        <s v="그들은 그 소식을 들었을 리가 전혀 없다."/>
        <s v="너는 그 일을 확인했어야 했어."/>
        <s v="그는 그렇게 늦게까지 깨어있지 말았어야 했다."/>
        <s v="그녀가 도와줬을 텐데..."/>
        <s v="우리는 더 일찍 출발할 수 있었을 것이다."/>
        <s v="그는 그렇게 빨리 일을 끝냈을 리가 없다."/>
        <s v="그는 회의를 놓쳤을지도 모른다."/>
        <s v="그녀는 다른 길로 갔을지도 모른다."/>
        <s v="그는 늦잠을 잤음에 틀림없다."/>
        <s v="그녀가 절대로 나를 잊었을 리가 없다."/>
        <s v="우리는 더 많은 준비를 했어야 했다."/>
        <s v="나는 그를 그렇게 무례하게 대하지 말았어야 했다."/>
        <s v="나는 새 차를 샀을 텐데..."/>
        <s v="그녀는 시험에 합격할 수 있었을 것이다."/>
        <s v="그는 그렇게 멀리 갔을 리가 없다."/>
        <s v="그는 이미 결정을 내렸을지도 모른다."/>
        <s v="그들은 길을 잃었을지도 모른다."/>
        <s v="나는 커피 마시는 것을 즐긴다"/>
        <s v="나는 의사가 되기를 결심했다"/>
        <s v="나는 당신을 만나기를 기대합니다."/>
        <s v="나는 당신을 다시 만나기를 희망한다."/>
        <s v="그녀는 도움 받기를 필요로 하다."/>
        <s v="나는 초콜릿을 조금 먹기를 원한다."/>
        <s v="그는 집에 갈 의도가 있다."/>
        <s v="나는 그들에게 구호품을 보내기로 결심한다."/>
        <s v="나는 더 열심히 일하기로 맹세한다."/>
        <s v="내 취미는 영어를 공부하는 것이다."/>
        <s v="내 꿈은 의사가 되는 것이다."/>
        <s v="그를 아는 것은 축복이다."/>
        <s v="그를 아는 것은 축복이다.(it)"/>
        <s v="그를 알게하는 것은 의미가 있다."/>
        <s v="그를 알게하는 것은 의미가 있다.(it)"/>
        <s v="그 연료가 하와이에 다다를 수 있을 정도로 충분하다."/>
        <s v="그는 미국에 가기를 열망하고 있다."/>
        <s v="그 수영장은 보트들을 그곳으로 항해하도록 만들 정도로 충분히 크다."/>
        <s v="그는 차를 들어 올릴 정도로 충분히 강하다."/>
        <s v="이건 먹기에는 너무나도 아름답다."/>
        <s v="나는 영어를 공부 해야 할 필요가 있다."/>
        <s v="나는 영어를 공부 해야 할 필요가 있다.(원문)"/>
        <s v="나는 박물관을 방문할 너의 계획을 안다."/>
        <s v="그는 중국어를 할 수 있는 그녀의 능력을 종아한다."/>
        <s v="그 사람은 노벨상을 수상할 그녀의 잠재력을 알았다."/>
        <s v="나는 그 일을 완수 할 수 있는 때를 안다.(그 때)"/>
        <s v="나는 그 일을 완수 할 수 있는 때를 안다.(원문)"/>
        <s v="나는 그 일을 완수 할 수 있는 때를 안다.(생략)"/>
        <s v="그는 중국어를 유창하게 말 하는 것 처럼 보인다."/>
        <s v="그는 의사인 척합니다."/>
        <s v="그는 내 친구를 잘 안다고 주장한다."/>
        <s v="그는 그녀를 매우 사랑한다고 알려져 있다."/>
        <s v="그녀는 그 상을 수상하게 된 최연소 선수이다."/>
        <s v="그는 그 경주를 완주하게 된 가장 빠른 주자이다."/>
        <s v="나는 내 가족을 다시 보게 되어서 행복하다."/>
        <s v="당신을 돕게 된다면 저는 행복할 겁니다."/>
        <s v="나는 그를 영어 공부하도록 만들었다."/>
        <s v="헬리콥터가 도로 위에 떠 있다."/>
        <s v="이불이 침대를 덮고 있다."/>
        <s v="다이버가 보트 아래에서 잠수한다."/>
        <s v="개가 나무 아래에 있다."/>
        <s v="개가 침대 바로 아래에 있다."/>
        <s v="연필이 필통 안에 있다."/>
        <s v="자동차가 차고 안쪽에 있다."/>
        <s v="법은 국가의 경계 내에서만 적용된다."/>
        <s v="연주자가 관중 한가운데 있다."/>
        <s v="학생이 나무들 가운데 앉아 있다."/>
        <s v="아이가 집 밖에 있다."/>
        <s v="고양이가 상점 바깥쪽에 있다."/>
        <s v="울타리가 정원을 둘러싸고 있다."/>
        <s v="꽃들이 분수대를 둘러싸고 있다."/>
        <s v="나무가 연못 바로 옆에 있다."/>
        <s v="책상이 창문 옆에 있다."/>
        <s v="병원이 공원 근처에 있다."/>
        <s v="학생이 선생님과 함께 있다."/>
        <s v="아이가 친구 없이 놀고 있다."/>
        <s v="자동차가 두 건물 사이에 주차되어 있다."/>
        <s v="버스가 학교 앞쪽에 서 있다."/>
        <s v="사람이 문 앞에 서 있다."/>
        <s v="자전거가 자동차 앞서 달린다."/>
        <s v="강아지가 주인 뒤에 있다."/>
        <s v="강아지가 주인 뒤에 따라간다."/>
        <s v="학생들이 수업 직후에 간다."/>
        <s v="사람들이 정거장에서 기다린다."/>
        <s v="책이 테이블에 있다."/>
        <s v="강이 도로를 따라서 흐른다."/>
        <s v="비가 여행 중에 내린다."/>
        <s v="팀이 회사의 일부이다."/>
        <s v="고양이가 의자에서 떨어졌다."/>
        <s v="축구팀이 상대팀에 대항하여 경기한다."/>
        <s v="그는 어려움에도 불구하고 성공했다."/>
        <s v="그녀를 제외하고 모두가 초대되었다."/>
        <s v="그 기사가 유명한 작가에 의해 쓰여졌다."/>
        <s v="그는 그의 가족을 위해 일한다."/>
        <s v="새들이 해안쪽으로 날아간다."/>
        <s v="그는 파티에 간다."/>
        <s v="물이 컵 안으로 들어간다."/>
        <s v="그는 도로를 가로질러 간다."/>
        <s v="바람이 창문을 통해 불어온다."/>
        <s v="소문이 학교 전역에 퍼졌다."/>
        <s v="그는 기차를 지나 갔다."/>
        <s v="달이 산 너머로 보인다."/>
        <s v="새들이 저 멀리로 날아간다."/>
        <s v="연기가 굴뚝 위로 올라간다."/>
        <s v="나는 산 위로 올라갔다."/>
        <s v="강아지가 계단 아래로 달려간다."/>
        <s v="그녀는 뉴욕에서 왔다."/>
        <s v="고양이가 상자에서 나왔다."/>
        <s v="그는 2015년부터 이곳에 살고 있다."/>
        <s v="차가 집으로 돌아간다."/>
        <s v="그는 교사로 일한다."/>
        <s v="그는 고양이처럼 움직인다."/>
        <s v="그는 그의 형보다 키가 더 크다."/>
      </sharedItems>
    </cacheField>
    <cacheField name="힌트" numFmtId="0">
      <sharedItems containsNonDate="0" count="719">
        <s v="나 - 읽는다 - 책"/>
        <s v="그 - 요리한다 - 음식"/>
        <s v="그녀 - 쓴다 - 편지"/>
        <s v="우리 - 본다 - 영화"/>
        <s v="너 - 듣는다 - 음악"/>
        <s v="그들 - 한다 - 게임"/>
        <s v="나 - 마신다 - 커피"/>
        <s v="그 - 운전한다 - 차"/>
        <s v="그녀 - 청소한다 - 방"/>
        <s v="우리 - 푼다 - 문제"/>
        <s v="우리 - 먹는다 - 저녁"/>
        <s v="그 - 한다 - 축구"/>
        <s v="아이 - 좋아한다 - 사탕"/>
        <s v="그녀 - 공부한다 - 영어"/>
        <s v="그 - 마신다 - 물"/>
        <s v="나 - 이다 - 슬픈 상태"/>
        <s v="그 - 이다 - 피곤한 상태"/>
        <s v="그녀 - 이다 - 행복한 상태"/>
        <s v="우리 - 이다 - 배고픈 상태"/>
        <s v="너 - 이다 - 신난 상태"/>
        <s v="그들 - 이다 - 화난 상태"/>
        <s v="나 - 이다 - 지루한 상태"/>
        <s v="그 - 이다 - 걱정된 상태"/>
        <s v="그녀 - 이다 - 놀란 상태"/>
        <s v="우리 - 이다 - 만족스러운 상태"/>
        <s v="나 - 이다 - 행복한 상태"/>
        <s v="그녀 - 이다 - 피곤한 상태"/>
        <s v="그들 - 이다 - 슬픈 상태"/>
        <s v="우리 - 이다 - 기쁜 상태"/>
        <s v="그 - 이다 - 화난 상태"/>
        <s v="나 - 이다 - 준비된 상태"/>
        <s v="그녀 - 이다 - 똑똑한 상태"/>
        <s v="우리 - 이다 - 지루한 상태"/>
        <s v="그 - 이다 - 건강한 상태"/>
        <s v="나 - 이다 - 바쁜 상태"/>
        <s v="우리 - 계획하고 있다 - to 읽다 - 그 책"/>
        <s v="나 - 싫어한다 - 설거지하다 ing"/>
        <s v="그 - 희망한다 - to 배우다 - 새로운 언어"/>
        <s v="우리 - 그만뒀다 - 수영하다 ing"/>
        <s v="그들 - 기대하고 있다 - to 가다 - 콘서트"/>
        <s v="우리 - 즐긴다 - 놀다 ing - 함께하는 대상은 - 친구들"/>
        <s v="그 - 결심했다 - to 시작하다 - 사업"/>
        <s v="우리 - 즐긴다 - 보다 ing - 영화"/>
        <s v="그들 - 희망했다 - to 도착하다 - 장소는 - 도시"/>
        <s v="나 - 즐긴다 - 배우다 ing - 새로운 언어"/>
        <s v="그들 - 기대하고 있다 - to 시작하다 - 그 프로젝트"/>
        <s v="우리 - 약속했다 - to 돕다 - 그들"/>
        <s v="나 - 보았다 - 그 - 춤추다 ing"/>
        <s v="우리 - 확인했다 - 그 - 건너다 ing - 길"/>
        <s v="나 - 마신다 - 차 - 읽다 ing - 책"/>
        <s v="그 - 한다 - 요리 - 듣다 ing - 음악"/>
        <s v="우리 - 찍는다 - 사진 - 하다 ing - 산책"/>
        <s v="나 - 마신다 - 커피 - 읽다 ing - 책"/>
        <s v="나 - 공부한다 - 매일 - 열심히 - to 배우다 - 새로운 언어"/>
        <s v="그 - 모은다 - 돈 - to 여행하다 - 세계"/>
        <s v="그녀 - 보낸다 - 이력서 - 매일 - to 가지다 - 직업"/>
        <s v="그녀 - 부른다 - 노래 - 요리하다 ing"/>
        <s v="그 - 읽고 있다 - 책 - to 계발하다 - 자기"/>
        <s v="그 - 마신다 - 와인 - with - 친구 - at - 레스토랑 - in - 저녁"/>
        <s v="그 - 식사를 한다 - with - 친구 - at - 레스토랑 - in - 저녁"/>
        <s v="그들 - 대화를 나눈다 - with - 가족 - at - 카페 - at - 점심"/>
        <s v="그 - 조깅을 한다 - with - 개 - by - 강가 - in - 오후"/>
        <s v="그녀 - 놀아준다 - with - 아이들 - at - 공원 - in - 저녁"/>
        <s v="그 - 앉아 독서를 한다 - under - 나무 - in - 공원 - at - 정오"/>
        <s v="그녀 - 정리한다 - 서류 - on - 책상 - in - 사무실 - in - 오후"/>
        <s v="그들 - 앉아 대화를 나눈다 - around - 테이블 - in - 레스토랑 - in - 저녁"/>
        <s v="그 - 누워 읽는다 - 책 - on - 침대 - at - 밤"/>
        <s v="그녀 - 감상한다 - 경치 - at - 바닷가 - in - 아침"/>
        <s v="그녀 - 마신다 - 차 - alone - on - 발코니 - in - 아침"/>
        <s v="그 - 공부를 한다 - alone - in - 도서관 - in - 아침"/>
        <s v="강아지 - 있다 - outside - 집"/>
        <s v="울타리 - 있다 - around - 집"/>
        <s v="비행기 - 날아간다 - above - 마을"/>
        <s v="물고기 - 있다 - beneath - 물 표면"/>
        <s v="사과 - 있다 - in - 바구니"/>
        <s v="고양이 - 있다 - inside - 집"/>
        <s v="그 - 돌아올 것이다 - within - 두 시간"/>
        <s v="나무 - 있다 - amid - 숲"/>
        <s v="무지개 - 걸쳐있다 - over - 강"/>
        <s v="지하철 - 지나간다 - below - 도시"/>
        <s v="책상 - 있다 - under - 전등"/>
        <s v="유명 가수 - 있다 - among - 팬들"/>
        <s v="고양이 - 있다 - out - 상자"/>
        <s v="가게들 - 있다 - about - 광장"/>
        <s v="그들 - 이야기한다 - about - 골프"/>
        <s v="나무 - 있다 - next to - 집"/>
        <s v="은행 - 있다 - beside - 상점"/>
        <s v="학교 - 있다 - near - 공원"/>
        <s v="나 - 있다 - with - 친구"/>
        <s v="그 - 떠났다 - without - 지갑"/>
        <s v="나 - 준비한다 - 자료 - before - 회의"/>
        <s v="그 - 달린다 - ahead of - 나"/>
        <s v="고양이 - is - 숨다 ing - behind - 의자"/>
        <s v="고양이 - 쫓았다 - after - 쥐"/>
        <s v="우리 - 했다 - 회식 - after - 회의"/>
        <s v="그 - 조사를 받았다 - following - 사건"/>
        <s v="나 - 도착했다 - at - 역"/>
        <s v="컵 - 있다 - on - 탁자"/>
        <s v="나 - 걷는다 - along - 길"/>
        <s v="나 - 한다 - 필기 - during - 수업"/>
        <s v="나 - 먹었다 - 한 조각 - of - 피자"/>
        <s v="나 - 치웠다 - 지갑 - off - 테이블"/>
        <s v="나 - 기대어 있다 - against - 벽"/>
        <s v="나 - 외출했다 - despite - 비"/>
        <s v="나 - 일한다 - except - 휴일"/>
        <s v="그녀 - 사랑 받는다 - by - 부모님"/>
        <s v="나 - 요리한다 - for - 그"/>
        <s v="나무 - 있다 - between - 두 집"/>
        <s v="차 - 서 있다 - in front of - 집"/>
        <s v="나무 - 있다 - before - 집"/>
        <s v="나 - 걸어간다 - toward - 해변"/>
        <s v="나 - 간다 - to - 도서관"/>
        <s v="나 - 들어간다 - into - 방"/>
        <s v="그 - 간다 - across - 공원"/>
        <s v="나 - 갔다 - through - 터널"/>
        <s v="그들 - 탐험했다 - throughout - 도시"/>
        <s v="그 - 여행했다 - throughout - 세계"/>
        <s v="나 - 갔다 - past - 상점"/>
        <s v="산 - 있다 - beyond - 저 언덕"/>
        <s v="그들 - 향해했다 - beyond - 수평선"/>
        <s v="그 - 갔다 - away"/>
        <s v="그 - 내려갔다 - down - 계단"/>
        <s v="그 - 왔다 - from - 일본"/>
        <s v="나 - 꺼냈다 - 물건 - out of - 상자"/>
        <s v="나 - 공부하고 있다 - since - 어제"/>
        <s v="그 - 왔다 - back - to - 고향"/>
        <s v="그 - 충고했다 - as - 선생님"/>
        <s v="그녀 - is - 조용한 상태 - like - 고양이"/>
        <s v="그 - is - 키가 더 큰 상태 - than - 나"/>
        <s v="나 - 올라갔다 - up - 산"/>
        <s v="나 - must - 가다 - to - 학교 - 내일"/>
        <s v="우리 - have to - 운동하다 - 매일"/>
        <s v="너 - don't have to - 청소하다 - 오늘"/>
        <s v="나 - should - 공부하다 - 더 열심히 - 영어"/>
        <s v="우리 - shall - 결혼하다 - 내년"/>
        <s v="나 - will - 시작하다 - 새로운 프로젝트 - 다음 달"/>
        <s v="그들 - be going to - 가다 - to - 파티 - 내일"/>
        <s v="나 - would - 보다 - 그(that) 영화 - 다시"/>
        <s v="나 - can - 치다 - 피아노"/>
        <s v="그 - could - 수영하다"/>
        <s v="그녀 - may - 오다 - 내일"/>
        <s v="나 - might - 떠나다 - 이번 여름"/>
        <s v="나 - must - 일어나다 - 일찍 - 매일 아침"/>
        <s v="우리 - have to - 가다 - 집에 - 일찍"/>
        <s v="그 - doesn't have to - 일하다 - 오늘"/>
        <s v="너 - should - 읽다 - 많은 책"/>
        <s v="우리 - shall - 여행하다 - 유럽 - 내년"/>
        <s v="나 - will - 만나다 - 친구 - 다음 주"/>
        <s v="그녀 - be going to - 시작하다 - 요리 - 곧"/>
        <s v="나 - would - 가다 - 그곳에"/>
        <s v="나 - can - 부르다 - 이태리 노래"/>
        <s v="그 - could - 타다 - 자전거"/>
        <s v="그녀 - may - 오다 - 오늘 밤"/>
        <s v="나 - 생각한다 - 날씨 - might - 비가 오다 - 내일"/>
        <s v="그 - is going to - 가지다 - 새로운 일 - 다음 달"/>
        <s v="나 - must - 훈련하다 - 영어 - 꾸준히 - 매일"/>
        <s v="우리 - should - 해결하다 - 이 문제"/>
        <s v="우리 - shall - 시작하다 - 새로운 프로젝트 - 다음 달"/>
        <s v="우리 - will - 보다 - 영화 - in - 저녁"/>
        <s v="그녀 - would - 하고 싶다 - to 오다 - 이곳에"/>
        <s v="그 - must - 운동하다 - 규칙적으로 - 매일"/>
        <s v="그 - can - 말하다 - 프랑스어 - 유창하게"/>
        <s v="그녀 - could - 해결하다 - 이 문제"/>
        <s v="그 - may - 참석하다 - 회의"/>
        <s v="그녀 - might - 이다 - 늦은 상태 - 오늘 밤"/>
        <s v="너 - have to - 제출하다 - 보고서 - by - 오늘"/>
        <s v="너 - don't have to - 참석하다 - 회의 - 오늘"/>
        <s v="이 편지 - 이다 - 쓰여졌다 - 힘의 원천은 - 그"/>
        <s v="그 고양이 - 이다 - 돌봄 받는다 - 힘의 원천은 - 아이들"/>
        <s v="그 집 - 이다 - 지어졌다 - 힘의 원천은 - 부모님"/>
        <s v="이 음식 - 이다 - 준비되었다 - 힘의 원천은 - 셰프"/>
        <s v="그 보고서 - 이다 - 작성되었다 - 힘의 원천은 - 팀"/>
        <s v="책 - 이다 - 읽혀진다 - 힘의 원천은 - 학생들"/>
        <s v="그 드레스 - 이다 - 디자인되었다 - 힘의 원천은 - 디자이너"/>
        <s v="그 그림 - 이다 - 그려졌다 - 힘의 원천은 - 예술가"/>
        <s v="그 건물 - 이다 - 설계되었다 - 힘의 원천은 - 건축가"/>
        <s v="그 상 - 이다 - 수여되었다 - 힘의 원천은 - 심사위원들"/>
        <s v="초대장 - 이다 - 보내졌다 - 힘의 원천은 - 친구들"/>
        <s v="그 문제 - 이다 - 설명되었다 - 힘의 원천은 - 선생님"/>
        <s v="음악 - 이다 - 재생된다 - 힘의 원천은 - 라디오"/>
        <s v="그 프로그램 - 이다 - 실행된다 - 힘의 원천은 - 컴퓨터"/>
        <s v="그 공연 - 이다 - 관람되었다 - 힘의 원천은 - 많은 사람들"/>
        <s v="그 컴퓨터 - 이다 - 수리되었다 - 힘의 원천은 - 전문가"/>
        <s v="그 제품 - 이다 - 제조된다 - 힘의 원천은 - 공장"/>
        <s v="이 수업 - 이다 - 선택된다 - 힘의 원천은 - 많은 학생들"/>
        <s v="그 영화 - 이다 - 호평받았다 - 힘의 원천은 - 평론가들"/>
        <s v="그 기념비 - 이다 - 세워졌다 - 힘의 원천은 - 정부"/>
        <s v="나 - 한 적이 있는 바는 - 봤다 - 그 영화"/>
        <s v="그 - 한 적이 있는 바는 - 방문했다 - 뉴욕"/>
        <s v="우리 - 한 적이 있는 바는 - 이미 - 먹었다 - 저녁"/>
        <s v="그들 - 한 적이 있는 바는 - 들었다 - 이 노래"/>
        <s v="나 - 한 적이 있는 바는 - 봤다 - 이 영화 - 최근에"/>
        <s v="그녀 - 한 적이 있는 바는 - 이미 - 끝냈다 - 숙제"/>
        <s v="나 - 한 적이 있는 바는 - 만났다 - 그 사람 - 전에"/>
        <s v="우리 - 한 적이 있는 바는 - 해결했다 - 이 문제"/>
        <s v="그 - 한 적이 있는 바는 - 자주 - 들었다 - 그(that) 노래"/>
        <s v="나 - 한 적이 없는 바는 - 봤다 - 그(that) 친구"/>
        <s v="그녀 - 한 적이 있는 바는 - 읽었다 - 그 책 - 다섯 번"/>
        <s v="우리 - 한 적이 있는 바는 - 왔다 - 이곳 - 전에"/>
        <s v="그들 - 한 적이 있는 바는 - 들었다 - 그 소식"/>
        <s v="나 - 한 적이 있는 바는 - 이미 - 끝냈다 - 이 일"/>
        <s v="그 - 한 적이 있는 바는 - 최근에 - 구했다 - 새로운 직장"/>
        <s v="우리 - 한 적이 있는 바는 - 논의했다 - 그 문제(issue) - 여러 번"/>
        <s v="그녀 - 한 적이 있는 바는 - 들었다 - 많이 - 주제는 - 이 영화"/>
        <s v="나 - 한 적이 없는 바는 - 잊었다 - 그"/>
        <s v="그들 - 한 적이 있는 바는 - 최근에 - 추가했다 - 새로운 팀원"/>
        <s v="나 - 한 적이 있는 바는 - 봤다 - 이 영화 - 여러 번"/>
        <s v="그녀 - 한 적이 절대로 없는 바는 - 방문했다 - 그곳"/>
        <s v="우리 - 한 적이 있는 바는 - 이미 - 준비했다 - 저녁"/>
        <s v="그들 - 한 적이 없는 바는 - 해결했다 - 그(that) 문제 - 아직도"/>
        <s v="나 - 한 적이 있는 바는 - 최근에 - 시작했다 - 새로운 취미"/>
        <s v="그 - 한 적이 있는 바는 - 이미 - 들었다 - 그 소식"/>
        <s v="그 - 한 적이 있는 바는 - 계속 해 오고 있고 - 지금도 배우는 중 - 영어 - 기간은 - 3년"/>
        <s v="우리 - 한 적이 있는 바는 - 계속 해 오고 있고 - 지금도 논의하는 중 - 이 문제(issue) - 시작된 시점은 - 아침"/>
        <s v="나 - 한 적이 있는 바는 - 계속 해 오고 있고 - 지금도 읽는 중 - 이 책 - 기간은 - 한 시간"/>
        <s v="그녀 - 한 적이 있는 바는 - 계속 해 오고 있고 - 지금도 연주하는 중 - 피아노 - 기간은 - 2시간"/>
        <s v="우리 - 한 적이 있는 바는 - 계속 해 오고 있고 - 지금도 진행 중 - 이 프로젝트 - 기간은 - 몇 주"/>
        <s v="그 - 한 적이 있는 바는 - 계속 해 오고 있고 - 지금도 일하는 중 - 장소는 - 그(that) 회사 - 기간은 - 5년"/>
        <s v="나 - 한 적이 있는 바는 - 계속 해 오고 있고 - 지금도 하는 중 - 요가 - 기간은 - 몇 달"/>
        <s v="우리 - 한 적이 있는 바는 - 계속 해 오고 있고 - 지금도 머무는 중 - 이곳 - 기간은 - 일주일"/>
        <s v="그녀 - 한 적이 있는 바는 - 계속 해 오고 있고 - 지금도 그림 그리는 중 - 기간은 - 6개월"/>
        <s v="그들 - 한 적이 있는 바는 - 계속 해 오고 있고 - 지금도 부르는 중 - 노래 - 기간은 - 몇 시간"/>
        <s v="나 - 한 적이 있는 바는 - 계속 해 오고 있고 - 지금도 연구하는 중 - 이 문제(issue) - 기간은 - 한 달"/>
        <s v="우리 - 한 적이 있는 바는 - 계속 해 오고 있고 - 지금도 번역하는 중 - 이 책 - 기간은 - 두 시간"/>
        <s v="그 - 한 적이 있는 바는 - 계속 해 오고 있고 - 지금도 작성하는 중 - 그(that) 보고서 - 기간은 - 몇 주"/>
        <s v="그녀 - 한 적이 있는 바는 - 계속 해 오고 있고 - 지금도 보는 중 - 그(that) 드라마 - 기간은 - 3개월"/>
        <s v="나 - 한 적이 있는 바는 - 계속 해 오고 있고 - 지금도 배우는 중 - 그(that) 악기 - 기간은 - 몇 년"/>
        <s v="우리 - 한 적이 있는 바는 - 계속 해 오고 있고 - 지금도 청소하는 중 - 이 방 - 시작된 시점은 - 아침"/>
        <s v="그 - 한 적이 있는 바는 - 계속 해 오고 있고 - 지금도 기다리는 중 - 그녀 - 기간은 - 오랜 시간"/>
        <s v="나 - 한 적이 있는 바는 - 계속 해 오고 있고 - 지금도 생각하는 중 - 주제는 - 이 주제 - 기간은 - 몇 년"/>
        <s v="그녀 - 한 적이 있는 바는 - 계속 해 오고 있고 - 지금도 계획 중 - 여행 - 기간은 - 지난 몇 달"/>
        <s v="그 여자 - 그녀가 - 왔다 - 출발지는 - 미국"/>
        <s v="그 남자 - 그가 - 왔다 - 함께하는 것은 - 너 - 어제"/>
        <s v="그 남자 - 그가 - 타고 있다 - 노란 차"/>
        <s v="그 식당 - 그것이 - 위치하다 - 장소는 - 강북"/>
        <s v="그 남자 - 그가 - 일하다 - 함께하는 것은 - 나의 친구"/>
        <s v="그 이야기 - 그것이 - 이지 않다 - 진실"/>
        <s v="그 건물 - 그것이(that) - 였다 - 지어진 - 오십년 전"/>
        <s v="그 소년 - 그가 - 하고 있는 바는 - 걷다 - 장소는 - 공원"/>
        <s v="그 남자 - 그가 - 썼다 - 소설"/>
        <s v="한 아파트 - 그것이 - 가지고 있다 - 좋은 전망"/>
        <s v="그 생선 - 그것이(that) - 잡혔다 - 힘을 받고 힘의 원천은 - 나 - 어제"/>
        <s v="그 남자 - 그가 - 사랑을 받다 - 힘을 받고 힘의 원천은 - 나의 친구"/>
        <s v="그 차 - 그것이 - 부서지다 - 힘을 받고 힘의 원천은 - 사고"/>
        <s v="그 소녀 - 그녀가 - 왔다 - 출발지는 - 일본"/>
        <s v="그 차 - 그것은(that) - 만들어졌다 - 장소는 - 독일"/>
        <s v="그 디카 - 그것은 - 제조되었다 - 장소는 - 삼성"/>
        <s v="그 피자 - 그것이 뭔가하면 - 우리 딸 - 좋아한다 - 제일"/>
        <s v="그 피자 - 그것은 - 우리 딸 - 좋아한다 - 제일"/>
        <s v="그 생선 - 그것이 뭔가하면(that) - 나 - 잡았다 - 어제"/>
        <s v="그 생선 - 그것 - 나 - 잡았다 - 어제"/>
        <s v="그 디카 - 그것이 뭔가하면 - 삼성 - 만들었다"/>
        <s v="그 디카 - 그것 - 삼성 - 만들었다"/>
        <s v="그 남자 - 그사람이 누군가 하면 - 너 - 왔다 - 함께하는 것은 - 어제"/>
        <s v="그 남자 - 그 - 너 - 왔다 - 함께하는 것은 - 어제"/>
        <s v="그 장소 - 그것이 뭔가하면 - 나 - 구입했다"/>
        <s v="그 장소 - 그것 - 나 - 구입했다"/>
        <s v="그 차 - 그것이 뭔가하면 - 독일 - 만들었다"/>
        <s v="그 차 - 그것 - 독일 - 만들었다"/>
        <s v="그 남자 - 그 사람이 누군가하면 - 내 친구 - 일하다 - 함께하는 것은"/>
        <s v="그 남자 - 그 - 내 친구 - 일하다 - 함께하는 것은"/>
        <s v="그 신문 - 그것이 뭔가하면 - 당신 - 더 좋아하다"/>
        <s v="그 신문 - 그것 - 당신 - 더 좋아하다"/>
        <s v="그 돈 - 그 것이 뭔가하면(that) - 나 - 할 수 있다 - 쓰다"/>
        <s v="그 돈 - 그것 - 나 - 할 수 있다 - 쓰다"/>
        <s v="그 남자 - 그사람이 누군가하면 - 내 친구 - 사랑하다"/>
        <s v="그 남자 - 그 - 내 친구 - 사랑하다"/>
        <s v="그 영화 - 그것이 뭔가 하면 - 우리 - 보았다 - 때는 - 일요일"/>
        <s v="그 영화 - 그것 - 우리 - 보았다 - 때는 - 일요일"/>
        <s v="그 사람 - 그의 - 아이디어 - 이다 - 좋은"/>
        <s v="한 아파트 - 그것의 - 전망 - 이다 - 좋은"/>
        <s v="그 신문 - 그것의 - 헤드라인들 - 이다 - 좋은"/>
        <s v="그 이유 - 그 이유로 일어나는 일은 - 사람들 - 싫어 하다 - 너"/>
        <s v="그 달 - 그 때에 일어나는 일은 - 우리 아버지 - 태어나셨다"/>
        <s v="그 장소 - 그곳에서 일어나는 일은 - 분위기 - 이다 - 조용한"/>
        <s v="그 날 - 그 때에 일어난 일은 - 나 - 채용되었다"/>
        <s v="그 날 - 그 때에 일어난 일은 - 나 - 되었다 - 군인"/>
        <s v="그 때에 일어난 일은 - 나 - 되었다 - 군인"/>
        <s v="그 이유 - 그 이유로 일어난 일은 - 그녀 - 떠났다 - 너"/>
        <s v="그 장소 - 그곳에서 일어난 일은 - 나 - 두었다 - 열쇠"/>
        <s v="그 이유 - 그 이유로 일어난 일은 - 그 - 했지 않았다 - 오다"/>
        <s v="그 시간 - 그 때에 일어난 일은 - 나 - 도착했다 - 여기"/>
        <s v="그 여자 - 그녀가 - 왔다 - 출발지는 - 미국 - 이다 - 변호사"/>
        <s v="그녀 - 이다 - 변호사 - 그녀는 - 왔다 - 출발지는 - 미국"/>
        <s v="나 - 사랑한다 - 그 여자 - 그녀는 - 왔다 - 출발지는 - 미국"/>
        <s v="그 집 - 그것이 - 가지다 - 두 개의 침실 - 그리고 - 넓은 거실"/>
        <s v="그 소녀 - 그 사람이 누군가하면 - 나 - 하고 싶다 - 나아가서 하고자 하는 바는 - 만나다"/>
        <s v="그 소녀 - 그녀 - 나 - 하고 싶다 - 나아가서 하고자 하는 바는 - 만나다"/>
        <s v="네 여자친구 - 그 사람이 누군가하면 - 나 - 만났었다 - 장소는 - 맥도날드"/>
        <s v="네 여자친구 - 그녀 - 나 - 만났었다 - 장소는 - 맥도날드"/>
        <s v="그 할아버지 - 그의 - 나이가 - 이다 - 넘어가고 아래에 있는 것은 - 100"/>
        <s v="그곳 - 그곳에서 일어난 일은 - 나 - 우연히 했다 - 나아가서 하게 된 바는 - 만나다 - 내 옛 친구"/>
        <s v="그곳에서 일어난 일은 - 나 - 우연히 했다 - 나아가서 하게 된 바는 - 만나다 - 내 옛 친구"/>
        <s v="그 장소 - 그곳에서 일어나는 일은 - 나 - 계획했다 - 나아가 하고자 하는 바는 - 만나다 - 그"/>
        <s v="그곳에서 일어나는 일은 - 나 - 계획했다 - 나아가 하고자 하는 바는 - 만나다 - 그"/>
        <s v="그 장소 - 그곳에서 일어난 일은 - 나 - 소개하다 - 내 여자 친구 - 나아가서 만나는 대상은 - 우리 삼촌"/>
        <s v="그 날 - 그 때에 일어난 일은 - 나 - 만났다 - 그녀 - 장소는 - 미팅 - 처음"/>
        <s v="그 때에 일어난 일은 - 나 - 만났다 - 그녀 - 장소는 - 미팅 - 처음"/>
        <s v="그 방법 - 그 방법으로 일어나는 일은 - 나 - 할 수 있다 - 가다 - 나아가 만나는 대상은 - 미국"/>
        <s v="그 방법 - 나 - 할 수 있다 - 가다 - 나아가 만나는 대상은 - 미국"/>
        <s v="그 방법으로 일어나는 일은 - 나 - 할 수 있다 - 가다 - 나아가 만나는 대상은 - 미국"/>
        <s v="그 집 - 그곳에서 일어나는 일은 - 나 - 하고 싶다 - 나아가서 하고자 하는 바는 - 살다"/>
        <s v="그 차 - 그것은 - 만들어 졌다 - 장소는 - 독일 - 이다 - 비싼"/>
        <s v="나 - 할 것이다 - 만나다 - 그 남자 - 그는 - 왔다 - 출발지는 - 미국"/>
        <s v="나 - 할 것이다 - 구입하다 - 그 차 - 그것은 - 만들어졌다 - 장소는 - 독일"/>
        <s v="나 - 한적이 있는 바는 - 사랑하다 - 그 여자 - 그녀는 - 왔다 - 출발지는 - 미국"/>
        <s v="나 - 그리워 한다 - 그것 - 그것이 뭔가하면 - 엄마 - 만들어 줬다 - 때는 - 어린시절"/>
        <s v="나 - 그리워 한다 - 그것 그것이 뭔가하면(what) - 엄마 - 만들어 줬다 - 때는 - 어린시절"/>
        <s v="이것 - 이다 - 그것 - 그것이 뭔가하면 - 나 - 샀다 - 위하는 대상은 - 너"/>
        <s v="이것 - 이다 - 그것 그것이 뭔가하면(what) - 나 - 샀다 - 위하는 대상은 - 너"/>
        <s v="나 - 좋아한다 - 그것 - 그것은 - 이다 - 아름다운"/>
        <s v="나 - 좋아한다 - 그것 그것은 - 이다 - 아름다운"/>
        <s v="그것 - 그것은 - 만들어지다 - 장소는 - 삼성 - 이다 - 비싼"/>
        <s v="그것 그것은 - 만들어지다 - 장소는 - 삼성 - 이다 - 비싼"/>
        <s v="나 - 좋아한다 - 그 신문 - 그것의 헤드라인들 - 이다 - 좋은"/>
        <s v="나 - 안다 - 그 방법 - 그 방법으로 일어나는 일은 - 나 - 말한다 - 영어"/>
        <s v="나 - 안다 - 그 방법으로 일어나는 일은 - 나 - 말한다 - 영어"/>
        <s v="나 - 만났다 - 그녀 - 점으로 접하는 대상은 - 그 장소 - 그곳에서 일어난 일은 - 분위기 - 였다 - 조용한"/>
        <s v="그녀 - 하지 않았다 - 안다 - 그 시간 - 그 때에 일어난 일은 - 나 - 도착했다 - 여기"/>
        <s v="나 - 하고 싶다 - 나아가서 하고자 하는 바는 - 보호하다 - 그 장소 - 그것이 뭔가하면 - 당신 - 사랑하다 - 매우"/>
        <s v="나 - 이해한다 - 그 이유 - 그 이유로 일어난 일은 - 그녀 - 하지 않았다 - 오다 - 여기"/>
        <s v="나 - 얘기를 했다 - 함께하는 이는 - 변호사 - 그는 - 왔다 - 출발지는 - 미국"/>
        <s v="나 - 했다 - 소개팅 - 함께하는 이는 - 한 사람 - 그는 - 한적이 있었는 바는 - 쓰다 - 한권의 영어책"/>
        <s v="나 - 하지 않는다 - 좋아하다 - 그것 - 그것이 뭔가하면 - 나 - 이다 - 지금"/>
        <s v="나 - 하지 않는다 - 좋아하다 - 그것 그것이 뭔가하면 - 나 - 이다 - 지금"/>
        <s v="그녀 - 그녀는 - 하고자 하다 - 구입하다 - 한 차 - 그것은 - 만들어지다 - 장소는 - 독일 - 말하다 - 함께하는 이는 - 한 변호사 - 그는 - 왔다 - 출발지는 - 미국"/>
        <s v="그 여자 - 그녀는 - 왔다 - 출발지는 - 미국 - 사랑한다 - 나 - 나는 - 하고자 한다 - 사다 - 한 차 - 그것은 - 만들어 지다 - 장소는 - 독일"/>
        <s v="그 여자 - 그녀는 - 왔다 - 출발지는 - 미국 - 그곳에서 일어나는 일은 - 오바마 - 이다 - 대통령 - 이다 - 변호사"/>
        <s v="그 여자 - 그녀는 - 왔다 - 출발지는 - 미국 - 그곳에서 일어나는 일은 - 오바마 - 이다 - 대통령 - 이다 - 변호사 - 그녀는 - 도와줬다 - 나"/>
        <s v="그 여자 - 이다 - 한 변호사 - 그녀는 - 왔다 - 출발지는 - 미국 - 그곳에서 일어나는 일은 - 대통령 - 이다 - 오바마 - 그 사람의 아내는 - 이다 - 미쉘"/>
        <s v="그 이유 - 그 이유로 일어나는 일은 - 나 - 사랑하다 - 그녀 - 이다 - 그 바는 - 그녀 - 이다 - 부자"/>
        <s v="그 이유 - 그 이유로 일어난 일은 - 그 - 떠났다 - 회사 - 였다 - 그 바는 - 그 관계 - 함께하는 것은 - 김과장 - 였다 - 나쁜"/>
        <s v="그 이유 - 그 이유로 일어나는 일은 - 나 - 공부하다 - 애로우잉글리시 - 이다 - 그 바는 - 최 선생 - 이다 - 잘생긴"/>
        <s v="그 이유 - 그 이유로 일어난 일은 - 그녀 - 떠났다 - 였다 - 그 바는 - 너 - 하지 않았다 - 만나다 - 그녀 - 때는 - 발렌타인데이"/>
        <s v="나 - 알고 있다 - 소녀 - who - 좋아한다 - to 읽다 - 책"/>
        <s v="그녀 - 가지고 있다 - 친구 - who - 말한다 - 세 개의 언어"/>
        <s v="우리 - 만났다 - 소년 - who - 치다 - 피아노 - 매우 잘"/>
        <s v="그 - 이다 - 찾고 있는 중 - 선생님 - who - can - 가르치다 - 수학"/>
        <s v="내 여동생 - 알고 있다 - 가수 - who - 노래한다 - 매우 아름답게"/>
        <s v="그들 - 찾았다 - 학생 - who - 잃어버렸다 - 그의 가방"/>
        <s v="나 - 보았다 - 남자 - who - 였다 - 산책시키는 중 - 그의 개 - in - 공원"/>
        <s v="그녀 - 전화했다 - 친구 - who - could - 돕다 - 그녀 - with - 숙제"/>
        <s v="그 - 좋아한다 - 사람들 - who - 이다 - 항상 행복한 상태"/>
        <s v="나 - 샀다 - 책 - which - 였다 - 매우 흥미로운 상태"/>
        <s v="그 - 가지고 있다 - 차 - which - 이다 - 매우 빠른 상태"/>
        <s v="그들 - 산다 - in - 집 - which - 가지고 있다 - 큰 정원"/>
        <s v="나 - 알고 있다 - 소년 - who - can - 수영하다 - 매우 빠르게"/>
        <s v="그녀 - 좋아한다 - 사람들 - who - 이다 - 정직한 상태"/>
        <s v="그 - 이다 - 학생 - who - 우승했다 - 대회"/>
        <s v="그녀 - 이다 - 사람 - who - 알려주었다 - 나에게 - 그 소식"/>
        <s v="나 - 가지고 있다 - 친구 - who - 사랑한다 - 동물들"/>
        <s v="그녀 - 샀다 - 신발 - which - 였다 - on 세일"/>
        <s v="그녀 - 먹었다 - 아침 - and - 출근했다"/>
        <s v="나 - 싶었다 - to 마시다 - 커피 - but - 나 - 마셨다 - 우유"/>
        <s v="너 - 할 수 있다 - 읽다 - 책 - or - 본다 - 영화"/>
        <s v="회의 - 시작되었다 - when - 나 - 도착했다"/>
        <s v="날씨 - 시작했다 - 비가오기 - as - 나 - 도착했다 - at - 학원"/>
        <s v="나 - 공부를 했다 - while - 나 - 듣다 - 음악"/>
        <s v="우리 - 했다 - 산책 - after - 우리 - 먹다 - 저녁"/>
        <s v="나 - 쌌다 - 짐 - before - 나 - 출발하다"/>
        <s v="그들 - 계속했다 - 파티 - until - 마지막 손님 - 떠나다"/>
        <s v="우리 - 였다 - 친구 - since - 우리 - 였다 - 어린 상태"/>
        <s v="나 - 였다 - 피곤한 상태 - because - 나 - 안 - 가졌다 - 충분한 잠"/>
        <s v="그 - 여전히 - 일을 했다 - though - 그 - 였다 - 피곤한 상태"/>
        <s v="나 - 할 바는 - 도와주다 - if - 너 - 원하다"/>
        <s v="나 - 모른다 - unless - 너 - 말하다 - 나에게"/>
        <s v="그 - 먹는다 - 더 많이 - than - 나 - 먹다"/>
        <s v="그녀 - 작업했다 - 주의 깊게 - lest - 그녀 - 실수하다"/>
        <s v="그 - 읽었다 - 책 - and - 잤다"/>
        <s v="나 - 하고 싶었다 - 공부 - but - 나 - 봤다 - TV"/>
        <s v="너 - 할 수 있다 - 쉬다 - or - 운동하다"/>
        <s v="수업 - 끝났다 - when - 나 - 도착했다"/>
        <s v="전기 - 나갔다 - as - 나 - 도착했다 - at - 집"/>
        <s v="나 - 들었다 - 노래 - while - 나 - 요리하다"/>
        <s v="우리 - 마셨다 - 커피 - after - 우리 - 봤다 - 영화"/>
        <s v="나 - 읽었다 - 책 - before - 나 - 자다"/>
        <s v="그 - 걸었다 - until - 날 - 밝다"/>
        <s v="우리 - 지냈다 - 알고 - since - 대학"/>
        <s v="나 - 였다 - 배고픈 상태 - because - 나 - 안 했다 - 식사"/>
        <s v="그 - 였다 - 행복한 상태 - though - 그 - 없었다 - 돈"/>
        <s v="나 - 갈 것이다 - if - 너 - 동의하다"/>
        <s v="나 - 하지 않을 바는 - 이해하다 - unless - 너 - 설명하다"/>
        <s v="그 - 달린다 - 더 빨리 - than - 나 - 달리다"/>
        <s v="그녀 - 챙겼다 - 지도 - lest - 그녀 - 잃다 - 길"/>
        <s v="그 - 먹었다 - 저녁 - and - 산책했다"/>
        <s v="나 - 하고 싶었다 - to 자다 - but - 나 - 일을 했다"/>
        <s v="너 - 할 수 있다 - 공부하다 - or - 읽다 - 책"/>
        <s v="비 - 내렸다 - when - 나 - 떠났다"/>
        <s v="바람 - 시작했다 - to 불다 - as - 나 - 시작했다 - to 달리다"/>
        <s v="나 - 생각했다 - while - 나 - 걷다"/>
        <s v="우리 - 먹었다 - 점심 - after - 우리 - 수영했다"/>
        <s v="나 - 스트레칭 했다 - before - 나 - 운동하다"/>
        <s v="그 - 일했다 - until - 그것 - 였다 - 밤"/>
        <s v="우리 - 계속 였다 - 친구 - since - 고등학교"/>
        <s v="나 - 가져갔다 - 우산 - because - 날씨 - 비가 오다"/>
        <s v="그 - 참석했다 - 회의 - though - 그 - 였다 - 몸이 아픈 상태"/>
        <s v="우리 - 할 수 있는 바는 - 타다 - 기차 - if - 너 - 서두르다"/>
        <s v="나 - 할 수 없는 바는 - 열다 - 문 - unless - 너 - 가지다 - 열쇠"/>
        <s v="그 - 안다 - 더 많이 - than - 나 - 알다"/>
        <s v="그녀 - 썼다 - 메모 - lest - 그녀 - 잊다 - 물건"/>
        <s v="그 바는(That) - 그녀 - 합격했다 - 시험 - 놀라게 했다 - 모두"/>
        <s v="그 바는(That) - 그 - 할 바는 - 이다 - 늦는 상태 - 짜증나게 한다 - 나"/>
        <s v="나 - 믿는다 - 그 바는 - 그 - 끝냈다 - 그 일"/>
        <s v="문제 - 이다 - 그 바는 - 우리 - 하지 않다 - 가지다 - 충분한 시간"/>
        <s v="나 - 이지 않다 - 확신하는 상태 - 그 바는 - 그 - 이다 - 말하는 중 - 진실"/>
        <s v="그 바는 - 그 - 할 바는 - 도와준다 - 우리 - 이다 - 분명한 상태"/>
        <s v="그 바는 - 그 - 해냈다 - 그 일 - 놀라게 했다 - 모두"/>
        <s v="나 - 생각한다 - 그 바는 - 그 - 이다 - 정직한 상태"/>
        <s v="요점 - 이다 - 그 바는 - 그 - 하지 않았다 - 동의하다"/>
        <s v="It - 이다 - 확실한 상태 - that - 그 - 할 바는 - 오다"/>
        <s v="그 바는 - 그 - 이겼다 - 놀라게 했다 - 모두"/>
        <s v="그 바는 - 그녀 - 거짓말을 했다 - 이다 - 분명한 상태"/>
        <s v="나 - 생각한다 - 그 바는 - 그 - 요청했다 - for - 도움"/>
        <s v="문제 - 이다 - 그 바는 - 그 - 이지 않다 - 정직한 상태"/>
        <s v="나 - 이다 - 확신하는 상태 - 그 바는 - 그 - 할 바는 - 성공하다"/>
        <s v="중요한 것 - 이다 - 그 바는 - 그 - 인정했다 - 그의 실수"/>
        <s v="그 바는 - 그 - 속였다 - 나 - 만들었다 - 나 - 화난 상태"/>
        <s v="나 - 안다 - 그 바는 - 그 - 이다 - 공부하는 중 - 열심히"/>
        <s v="그의 성공 - 증명한다 - 그 바는 - 그 - 일했다 - 열심히"/>
        <s v="그 바는 - 그 - 할 바는 - 오다 - 이다 - 확실한 상태"/>
        <s v="나 - 이다 - 걱정하는 상태 - about - 그 바는 - 그 - 할 바는 - 오다 - to - 파티"/>
        <s v="It - 같다 - that - 너 - 알고 있다 - 모든 것"/>
        <s v="It - 같다 - that - 그 - 이다 - 미친 사람"/>
        <s v="그 - 였다 - so 피곤한 상태 - that - 그 - 빠졌다 - 잠든 상태"/>
        <s v="그녀 - 가지고 있다 - such 멋진 아이디어 - that - 그것이 - 놀라게 했다 - 모두"/>
        <s v="날씨 - 였다 - so 추운 상태 - that - 우리 - 머물렀다 - 집에"/>
        <s v="그 - 해결했다 - such 어려운 문제 - that - 그 - 였다 - 칭찬받다"/>
        <s v="그녀 - 였다 - so 행복한 상태 - that - 그녀 - 울었다"/>
        <s v="그들 - 였다 - so 늦은 상태 - that - 그들 - 놓쳤다 - 첫 부분 - of - 영화"/>
        <s v="그 - 이뤘다 - such 멋진 성과 - that - 그것 - 놀라게 했다 - 모두"/>
        <s v="그 - 였다 - so 화난 상태 - that - 그 - 소리 쳤다 - 큰 소리로"/>
        <s v="그녀 - 가져왔다 - such 아름다운 꽃 - that - 그것들 - 감동시켰다 - 모두"/>
        <s v="그들 - 였다 - so 긴장한 상태 - that - 그들 - 망쳤다 - 발표"/>
        <s v="하니 - 너? - 공부하다"/>
        <s v="했니 - 너? - 공부하다"/>
        <s v="할 거니 - 너? - 공부하다"/>
        <s v="하니 - 너? - 보다 - 영화"/>
        <s v="했니 - 너? - 보다 - 영화"/>
        <s v="할 거니 - 너? - 보다 - 영화"/>
        <s v="하니 - 너? - 읽다 - 책"/>
        <s v="했니 - 너? - 읽다 - 책"/>
        <s v="할 거니 - 너? - 읽다 - 책"/>
        <s v="하니 - 너? - 듣다 - 음악"/>
        <s v="했니 - 너? - 듣다 - 음악"/>
        <s v="할 거니 - 너? - 듣다 - 음악"/>
        <s v="했니 - 너? - 하다 - 숙제 - 오늘"/>
        <s v="했니 - 그? - 보다 - 영화 - 어제 저녁"/>
        <s v="할 거니 - 너의 친구? - 가다 - 여행 - 이번 주말"/>
        <s v="이니 - 너의 동생? - 공부하는 중 - 지금"/>
        <s v="할 거니 - 그녀? - 참석하다 - 회의 - 내일"/>
        <s v="할 거니 - 너? - 만나다 - 친구들 - 오늘 오후"/>
        <s v="했니 - 그? - 사다 - 새 차 - 이번 주"/>
        <s v="했니 - 너의 엄마? - 가다 - 시장 - 어제"/>
        <s v="하니 - 그? - 운동하다 - 주말"/>
        <s v="했니 - 너희 집? - 이사하다 - 작년"/>
        <s v="한적이 있니 - 너? - 사용했다 - 그것"/>
        <s v="한적이 있니 - 그? - 읽었다 - 그(that) 책"/>
        <s v="한적이 있니 - 너? - 왔다 - 여기"/>
        <s v="한적이 있니 - 그녀? - 갔다 - 프랑스"/>
        <s v="한적이 있니 - 너? - 봤다 - 이 영화"/>
        <s v="한적이 있니 - 그? - 들었다 - 그(that) 노래"/>
        <s v="한적이 있니 - 너? - 갔다 - 일본"/>
        <s v="한적이 있니 - 그녀? - 만들었다 - 이 요리"/>
        <s v="한적이 있니 - 너? - 살았다 - 뉴욕"/>
        <s v="한적이 있니 - 그? - 탔다 - 자전거"/>
        <s v="(do) 반드시 해야만 하니 - 너? - 풀다 - 이 문제"/>
        <s v="(do) 틀림없이 해야 하니 - 그? - 가다 - 지금"/>
        <s v="할 거니 - 너? - 일하다 - 내일"/>
        <s v="할 수 있니 - 그녀? - 만들다 - 저녁"/>
        <s v="(do)반드시 해야 하니 - 너? - 읽다 - 그(that) 책"/>
        <s v="할 수 있니 - 그? - 해결하다 - 이 문제"/>
        <s v="할 거니 - 너? - 오다 - 오늘 밤"/>
        <s v="(do)꼭 해야만 하니 - 그녀? - 하다 - 이 일"/>
        <s v="할 수 있니 - 너? - 통과하다 - 그 시험"/>
        <s v="(do) 틀림없이 해야 하니 - 그? - 가다 - 집"/>
        <s v="꼭 해야만 하니 - 너? - 풀다 - 이 문제"/>
        <s v="(do) 꼭 해야 하니 - 그녀? - 만들다 - 저녁"/>
        <s v="해야 하니 - 너? - 풀다 - 이 문제"/>
        <s v="반드시 해야 하니 - 그? - 가다 - 지금"/>
        <s v="해야 하니 - 너? - 일하다 - 내일"/>
        <s v="해도 되니 - 그녀? - 만들다 - 저녁"/>
        <s v="해도 되니 - 너? - 읽다 - 그(that) 책"/>
        <s v="할 수도 있니 - 그? - 해결하다 - 이 문제"/>
        <s v="할 수도 있니 - 너? - 오다 - 오늘 밤"/>
        <s v="반드시 할까요 - 그녀? - 하다 - 이 일"/>
        <s v="아마도 할 수도 있을 것 같니 - 너? - 통과하다 - 그 시험"/>
        <s v="꼭 하려고 하니 - 그? - 가다 - 집"/>
        <s v="언제 - 했니 - 너? - 도착하다"/>
        <s v="누가 - 꼭 해야 하니 - 그(that) 일"/>
        <s v="무엇 - 이니 - 포함되어 있다 - 그 책"/>
        <s v="어디 - 할 거니 - 그? - 일하다"/>
        <s v="왜 - 했니 - 그녀? - 말하다 - 그렇게"/>
        <s v="어떻게 - 할 수 있니 - 그? - 해결하다 - 이 문제"/>
        <s v="어느 책 - 이니 - 더 좋은 상태"/>
        <s v="어느 영화 - 였니 - 최고 - 너? - 한적이 있다 - 봤다"/>
        <s v="왜 - 하니 - 너? - 보이다 - 그렇게 피곤한 상태"/>
        <s v="얼마나 많은 사람들 - 왔니 - 그 파티에"/>
        <s v="얼마나 많은 돈 - 했니 - 너? - 쓰다"/>
        <s v="언제 - 할 거니 - 그? - 돌아오다"/>
        <s v="누구 - 이니 - 너의 좋아하는 배우"/>
        <s v="무엇 - 하니 - 너? - 원하다"/>
        <s v="어디 - 할 거니 - 그? - 머물다"/>
        <s v="왜 - 이냐 - 그? - 그렇게 화난 상태"/>
        <s v="어떻게 - 할 수 있니 - 너? - 하다 - 이걸"/>
        <s v="어느 과목 - 이니 - 너의 가장 좋아하는 것?"/>
        <s v="어떤 색깔의 차 - 하냐 - 너? - 하고 싶다 - 사다"/>
        <s v="얼마나 많은 친구들 - 하냐 - 너? - 가지다"/>
        <s v="뭐야 - 아름다운 하늘!"/>
        <s v="뭐야 - 멋진 바다!"/>
        <s v="뭐야! - 멋진 친구 - 당신 - 가지고 있다"/>
        <s v="뭐야! - 대단한 사람 - 그 - 이다"/>
        <s v="뭐야 - 멋진 하루!"/>
        <s v="뭐야! - 멋진 집 - 당신 - 가지고 있다"/>
        <s v="뭐야! - 훌륭한 성과 - 그것 - 이다"/>
        <s v="뭐야! - 훌륭한 결과 - 당신 - 얻었다"/>
        <s v="뭐야 - 맛있는 요리!"/>
        <s v="뭐야! - 대단한 요리 - 당신 - 만들었다"/>
        <s v="뭐야 - 감동적인 순간!"/>
        <s v="뭐야! - 특별한 순간 - 당신 - 경험하고 있다"/>
        <s v="뭐야! - 탁월한 연기자 - 그녀 - 가지고 있다"/>
        <s v="뭐야 - 놀라운 성과!"/>
        <s v="뭐야 - 인상적인 연구 결과!"/>
        <s v="뭐야 - 유익한 강의!"/>
        <s v="뭐야! - 훌륭한 논문 - 당신 - 썼다"/>
        <s v="뭐야 - 기억에 남는 여행!"/>
        <s v="뭐야! - 아름다운 사진 - 당신 - 찍었다"/>
        <s v="뭐야 - 장관인 경치!"/>
        <s v="뭐야 - 평화로운 숲!"/>
        <s v="뭐야 - 혁신적인 기술!"/>
        <s v="뭐야 - 세련된 디자인!"/>
        <s v="뭐야 - 감동적인 영화!"/>
        <s v="뭐야 - 위안이 되는 말!"/>
        <s v="뭐야 - 아름다운 정원!"/>
        <s v="뭐야 - 멋진 해변!"/>
        <s v="뭐야 - 맛있는 케이크!"/>
        <s v="뭐야 - 훌륭한 요리!"/>
        <s v="뭐야 - 인상적인 발표!"/>
        <s v="뭐야 - 뛰어난 작품!"/>
        <s v="뭐야 - 특별한 순간!"/>
        <s v="뭐야 - 잊을 수 없는 경험!"/>
        <s v="뭐야 - 독창적인 아이디어!"/>
        <s v="뭐야 - 혁신적인 프로젝트!"/>
        <s v="뭐야 - 멋진 도서관!"/>
        <s v="뭐야 - 장관인 산!"/>
        <s v="뭐야 - 맛있는 파스타!"/>
        <s v="뭐야 - 상쾌한 스무디!"/>
        <s v="뭐야! - 인상적인 성과 - 당신 - 이루었다"/>
        <s v="뭐야 - 놀라운 결과!"/>
        <s v="뭐야 - 혁신적인 디자인!"/>
        <s v="뭐야 - 창의적인 아이디어!"/>
        <s v="뭐야! - 흥미진진한 여행 이야기 - 당신 - 말했다"/>
        <s v="뭐야 - 멋진 새 집!"/>
        <s v="뭐야 - 좋은 노래!"/>
        <s v="뭐야 - 재미있는 책!"/>
        <s v="뭐야 - 멋진 새 차!"/>
        <s v="뭐야! - 맛있는 요리 - 당신 - 만들었다"/>
        <s v="뭐야 - 즐거운 파티!"/>
        <s v="뭐야 - 멋진 스타일!"/>
        <s v="얼마나 - 달콤한지! - 이 디저트 - 이다"/>
        <s v="얼마나 - 매운지! - 이 카레 - 이다"/>
        <s v="얼마나 - 상큼한지! - 이 음료 - 이다"/>
        <s v="얼마나 - 놀라운지! - 이 케이크 - 이다"/>
        <s v="얼마나 - 맛있는지! - 이 수프 - 이다"/>
        <s v="얼마나 - 부드러운지! - 이 스테이크 - 이다"/>
        <s v="얼마나 - 신선한지! - 이 샐러드 - 이다"/>
        <s v="얼마나 - 향긋한지! - 이 커피 - 이다"/>
        <s v="얼마나 - 진한지! - 이 초콜릿 - 이다"/>
        <s v="얼마나 - 시원한지! - 이 아이스크림 - 이다"/>
        <s v="얼마나 - 맛있는지! - 이 파스타 - 이다"/>
        <s v="얼마나 - 고소한지! - 이 피자 - 이다"/>
        <s v="얼마나 - 뜨거운지! - 이 수프 - 이다"/>
        <s v="얼마나 - 부드러운지! - 이 치즈 - 이다"/>
        <s v="얼마나 - 깊은지! - 이 와인 - 이다"/>
        <s v="얼마나 - 부드러운지! - 이 디저트 - 이다"/>
        <s v="얼마나 - 성공적인지! - 이 발표 - 이다"/>
        <s v="얼마나 - 효율적인지! - 이 회의 - 이다"/>
        <s v="얼마나 - 친절한지! - 이 동료 - 이다"/>
        <s v="얼마나 - 중요한지! - 이 프로젝트 - 이다"/>
        <s v="얼마나 - 창의적인지! - 이 제안 - 이다"/>
        <s v="얼마나 - 유익한지! - 이 수업 - 이다"/>
        <s v="얼마나 - 어려운지! - 이 시험 - 이다"/>
        <s v="얼마나 - 훌륭한지! - 이 팀워크 - 이다"/>
        <s v="얼마나 - 긴장되는지! - 이 발표 - 이다"/>
        <s v="얼마나 - 도움이 되는지! - 이 친구 - 이다"/>
        <s v="얼마나 - 상쾌한지! - 이 날씨 - 이다"/>
        <s v="얼마나 - 필요한지! - 이 휴식 - 이다"/>
        <s v="얼마나 - 평화로운지! - 이 산책 - 이다"/>
        <s v="얼마나 - 재미있는지! - 이 영화 - 이다"/>
        <s v="얼마나 - 의미 있는지! - 이 대화 - 이다"/>
        <s v="얼마나 - 지혜로운지! - 이 상사 - 이다"/>
        <s v="얼마나 - 순조로운지! - 이 협상 - 이다"/>
        <s v="얼마나 - 협력적인지! - 이 팀 - 이다"/>
        <s v="얼마나 - 타이트한지! - 이 일정 - 이다"/>
        <s v="얼마나 - 설득력 있는지! - 이 프레젠테이션 - 이다"/>
        <s v="얼마나 - 어려운지! - 이 과제 - 이다"/>
        <s v="얼마나 - 바쁜지! - 이 학기 - 이다"/>
        <s v="얼마나 - 열정적인지! - 이 교수님 - 이다"/>
        <s v="얼마나 - 도전적인지! - 이 프로젝트 - 이다"/>
        <s v="얼마나 - 놀라운지! - 이 시험 결과 - 이다"/>
        <s v="그 - 음 아마도 했을 수도 있는 바는 - 갔다 - 집 - 이미"/>
        <s v="우리 - 할 수도 있었는 바는 - 해결하다 - 그 문제"/>
        <s v="너 - 해야 했었는 바는 - 떠났다 - 더 일찍"/>
        <s v="그 - 했을 수도 있는 바는 - 도왔다 - 나"/>
        <s v="그 - 했을 바는 - 왔다"/>
        <s v="그 - 틀림없이 했는 바는 - 끝냈다 - 그 일"/>
        <s v="그녀 - 틀림없이 했을 리가 없는 바는 - 말했다 - 그(that) 말"/>
        <s v="너 - 해야 했었는 바는 - 연락했다 - 나 - 더 일찍"/>
        <s v="그 - 하지 말았어야 했던 바는 - 낭비했다 - 그 돈"/>
        <s v="그 - 했을 바는 - 도와줬다"/>
        <s v="그 - 했을 리가 없는 바는 - 있었다 - 그 장소"/>
        <s v="그 - 아마도 했을 수도 있는 바는 - 떠났다 - 이미"/>
        <s v="그 - 틀림없이 했는 바는 - 공부했다 - 밤새"/>
        <s v="그들 - 틀림없이 했을 리가 없는 바는 - 들었다 - 그 소식"/>
        <s v="너 - 해야 했었는 바는 - 확인했다 - 그 일"/>
        <s v="그 - 하지 말았어야 했던 바는 - 깨어있었다 - 그렇게 늦게까지"/>
        <s v="그녀 - 했을 바는 - 도와줬다"/>
        <s v="우리 - 할 수도 있었는 바는 - 출발했다 - 더 일찍"/>
        <s v="그 - 했을 리가 없는 바는 - 끝냈다 - 일 - 그렇게 빨리"/>
        <s v="그 - 아마도 했을 수도 있는 바는 - 놓쳤다 - 회의"/>
        <s v="그녀 - 음 아마도 했을 수도 있는 바는 - 갔다 - 다른 길"/>
        <s v="그 - 틀림없이 했는 바는 - 늦잠을 잤다"/>
        <s v="그녀 - 틀림없이 했을 리가 없는 바는 - 잊다 - 나"/>
        <s v="우리 - 해야 했었는 바는 - 하다 - 더 많은 준비"/>
        <s v="나 - 하지 말았어야 했는 바는 - 대하다 - 그 - 그렇게 무례하게"/>
        <s v="나 - 했었을 바는 - 사다 - 새 차"/>
        <s v="그녀 - 할 수도 있었는 바는 - 합격하다 - 시험"/>
        <s v="그 - 했을 리가 없는 바는 - 가다 - 그렇게(that) 멀리"/>
        <s v="그 - 아마도 했을 수도 있는 바는 - 내리다 - 결정 - 이미"/>
        <s v="그들 - 음 아마도 했을 수도 있는 바는 - 잃다 - 길"/>
        <s v="나 - 즐긴다 - 마시다 ing - 커피"/>
        <s v="나 - 결심했다 - to 되다 - 의사"/>
        <s v="나 - 기대한다 - to 만나다 - 당신"/>
        <s v="나 - 희망한다 - to 만나다 - 당신 - 다시"/>
        <s v="그녀 - 필요로 하다 - to 이다 - 도움 받다"/>
        <s v="나 - 원하다 - to 먹다 - 조금 - 초콜릿"/>
        <s v="그 - 의도가 있다 - to 가다 - 집"/>
        <s v="나 - 결심한다 - to 보내다 - 구호품 - to 그들"/>
        <s v="나 - 맹세한다 - to 일하다 - 열심히 - 더"/>
        <s v="내 취미 - 이다 - 공부하다 ing - 영어"/>
        <s v="내 꿈 - 이다 - to 되다 - 의사"/>
        <s v="알다 ing - 그 - 이다 - 축복"/>
        <s v="To 알다 - 그 - 이다 - 의미있는"/>
        <s v="그 연료 - 이다 - 충분한 상태 - to 다다르다 - 하와이"/>
        <s v="그 - 이다 - 열망하는 상태 - to 가다 - to - 미국"/>
        <s v="그 수영장 - 이다 - 큰 - 충분히 - to 만들다 - 보트들 - to 향해하다 - on - 그곳"/>
        <s v="그 - 이다 - 강한 - 충분히 - to 들어 올리다 - 차"/>
        <s v="이것 - 이다 - too - 아름다운 상태 - to 먹다"/>
        <s v="나 - 가지고 있다 - 필요 - to 공부하다 - 영어"/>
        <s v="나 - 가지고 있다 - 필요 - which - 이다 - that - 나 - 해야하는 바는 - 공부하다 - 영어"/>
        <s v="나 - 안다 - 너의 계획 - to 방문하다 - 박물관"/>
        <s v="그 - 좋아한다 - 그녀의 능력 - to 말하다 - 중국어"/>
        <s v="그 사람은 - 알았다 - 그녀의 잠재력 - to 수상하다 - 노벨상"/>
        <s v="나 - 안다 - 그 때 - to 완수하다 - 그 일"/>
        <s v="나 - 안다 - 그 때 - when - 나 - 가능한 바는 - 완수하다 - 그 일"/>
        <s v="나 - 안다 - when - to 완수하다 - 그 일"/>
        <s v="그 - 보인다 - 말하는 것 처럼 - 중국어 - 유창하게"/>
        <s v="그 - 척한다 - 이다 - 의사"/>
        <s v="그 - 주장한다 - 안다고 - 내 친구 - 잘"/>
        <s v="그 - 이다 - 알려져 있다 - 사랑한다라고 - 그녀 - 매우"/>
        <s v="그녀 - 이다 - 최연소 선수 - to 수상하다 - 그 상"/>
        <s v="그 - 이다 - 가장 빠른 주자 - to 완주하다 - 그 경주"/>
        <s v="나 - 이다 - 행복한 상태 - to 보다 - 내 가족 - 다시"/>
        <s v="나 - 할 겁니다 - 이다 - 행복한 상태 - 돕게 된다면 - 당신"/>
        <s v="나 - 만들었다 - 그 - to - 공부하다 - 영어"/>
        <s v="헬리콥터 - 떠 있다 - above - 도로"/>
        <s v="이불 - 덮고 있다 - over - 침대"/>
        <s v="다이버 - 잠수한다 - below - 보트"/>
        <s v="개 - 있다 - under - 나무"/>
        <s v="개 - 있다 - beneath - 침대"/>
        <s v="연필 - 있다 - in - 필통"/>
        <s v="자동차 - 있다 - inside - 차고"/>
        <s v="법 - 적용된다 - within - 국가의 경계"/>
        <s v="연주자 - 있다 - amid - 관중"/>
        <s v="학생 - 앉아 있다 - among - 나무들"/>
        <s v="아이 - 있다 - out - 집"/>
        <s v="고양이 - 있다 - outside - 상점"/>
        <s v="울타리 - 있다 - around - 정원"/>
        <s v="꽃들 - 있다 - about - 분수대"/>
        <s v="나무 - 있다 - next to - 연못"/>
        <s v="책상 - 있다 - beside - 창문"/>
        <s v="병원 - 있다 - near - 공원"/>
        <s v="학생 - 있다 - with - 선생님"/>
        <s v="아이 - 놀고 있다 - without - 친구"/>
        <s v="자동차 - 주차되어 있다 - between - 건물들"/>
        <s v="버스 - 서 있다 - in front of - 학교"/>
        <s v="사람 - 서 있다 - before - 문"/>
        <s v="자전거 - 달린다 - ahead of - 자동차"/>
        <s v="강아지 - 있다 - behind - 주인"/>
        <s v="강아지 - 따라간다 - after - 주인"/>
        <s v="학생들 - 간다 - following - 수업"/>
        <s v="사람들 - 기다린다 - at - 정거장"/>
        <s v="책 - 있다 - on - 테이블"/>
        <s v="강 - 흐른다 - along - 도로"/>
        <s v="비 - 내린다 - during - 여행"/>
        <s v="팀 - 이다 - 일부 - of - 회사"/>
        <s v="고양이 - 떨어졌다 - off - 의자"/>
        <s v="축구팀 - 경기한다 - against - 상대팀"/>
        <s v="그 - 성공했다 - despite - 어려움"/>
        <s v="모두 - 초대되었다 - except - 그녀"/>
        <s v="그 기사 - 쓰여졌다 - by - 유명한 작가"/>
        <s v="그 - 일한다 - for - 그의 가족"/>
        <s v="새들 - 날아간다 - toward - 해안"/>
        <s v="그 - 간다 - to - 파티"/>
        <s v="물 - 들어간다 - into - 컵"/>
        <s v="그 - 간다 - across - 도로"/>
        <s v="바람 - 불어온다 - through - 창문"/>
        <s v="소문 - 퍼졌다 - throughout - 학교"/>
        <s v="그 - 갔다 - past - 기차"/>
        <s v="달 - 보인다 - beyond - 산"/>
        <s v="새들 - 날아간다 - away"/>
        <s v="연기 - 올라간다 - up - 굴뚝"/>
        <s v="강아지 - 달려간다 - down - 계단"/>
        <s v="그녀 - 왔다 - from - 뉴욕"/>
        <s v="고양이 - 나왔다 - out of - 상자"/>
        <s v="그 - 살고 있다 - 이곳에 - since - 2015년"/>
        <s v="차 - 간다 - back - to - 집"/>
        <s v="그 - 일한다 - as - 교사"/>
        <s v="그 - 움직인다 - like - 고양이"/>
        <s v="그 - 이다 - 키가 더 큰 상태 - than - 그의 형"/>
      </sharedItems>
    </cacheField>
    <cacheField name="영어" numFmtId="0">
      <sharedItems containsNonDate="0" count="721">
        <s v="I read a book."/>
        <s v="He cooks food."/>
        <s v="She writes a letter."/>
        <s v="We watch a movie."/>
        <s v="You listen to music."/>
        <s v="They play a game."/>
        <s v="I drink coffee."/>
        <s v="He drives a car."/>
        <s v="She cleans the room."/>
        <s v="We solve a problem."/>
        <s v="We eat dinner."/>
        <s v="He plays soccer."/>
        <s v="The child likes candy."/>
        <s v="She studies English."/>
        <s v="He drinks water."/>
        <s v="I am sad."/>
        <s v="He is tired."/>
        <s v="She is happy."/>
        <s v="We are hungry."/>
        <s v="You are excited."/>
        <s v="They are angry."/>
        <s v="I am bored."/>
        <s v="He is worried."/>
        <s v="She is surprised."/>
        <s v="We are satisfied."/>
        <s v="I am happy."/>
        <s v="She is tired."/>
        <s v="They are sad."/>
        <s v="We are glad."/>
        <s v="He is angry."/>
        <s v="I am ready."/>
        <s v="She is smart."/>
        <s v="We are bored."/>
        <s v="He is healthy."/>
        <s v="I am busy."/>
        <s v="We plan to read the book."/>
        <s v="I hate washing dishes."/>
        <s v="He hopes to learn a new language."/>
        <s v="We quit swimming."/>
        <s v="They expect to go to the concert."/>
        <s v="We enjoy playing with friends."/>
        <s v="He resolved to start a business."/>
        <s v="We enjoy watching movies."/>
        <s v="They hoped to arrive in the city."/>
        <s v="I enjoy learning new languages."/>
        <s v="They expect to start the project."/>
        <s v="We promised to help them."/>
        <s v="I saw him dancing."/>
        <s v="We confirmed him crossing the street."/>
        <s v="I drink tea reading a book."/>
        <s v="He cooks listening to music."/>
        <s v="We take pictures walking."/>
        <s v="I drink coffee reading a book."/>
        <s v="I study every day hard to learn a new language."/>
        <s v="He raises money to travel the world."/>
        <s v="She sends resumes every day to get a job."/>
        <s v="She sings while cooking."/>
        <s v="He reads books to develop himself."/>
        <s v="He drinks wine with his friend at the restaurant in the evening."/>
        <s v="He eats dinner with his friend at the restaurant in the evening."/>
        <s v="They chat with their family at the cafe at lunch."/>
        <s v="He jogs with his dog by the river in the afternoon."/>
        <s v="She plays with her children at the park in the evening."/>
        <s v="He sits and reads under the tree in the park at noon."/>
        <s v="She organizes documents on the desk in the office in the afternoon."/>
        <s v="They sit and chat around the table in the restaurant in the evening."/>
        <s v="He lies and reads a book on the bed at night."/>
        <s v="She enjoys the view at the beach in the morning."/>
        <s v="She drinks tea alone on the balcony in the morning."/>
        <s v="He studies alone in the library in the morning."/>
        <s v="The dog is outside the house."/>
        <s v="The fence is around the house."/>
        <s v="The plane flies above a town."/>
        <s v="The fish is beneath the water surface."/>
        <s v="The apple is in the basket."/>
        <s v="The cat is inside the house."/>
        <s v="He will return within two hours."/>
        <s v="The tree is amid the forest."/>
        <s v="The rainbow stretches over the river."/>
        <s v="The subway runs below the city."/>
        <s v="The desk is under the light."/>
        <s v="A famous singer is among the fans."/>
        <s v="The cat is out the box."/>
        <s v="The shops are about the square."/>
        <s v="They talk about golf."/>
        <s v="The tree is next to the house."/>
        <s v="The bank is beside the shop."/>
        <s v="The school is near the park."/>
        <s v="I am with my friend."/>
        <s v="He left without his wallet."/>
        <s v="I prepare the materials before the meeting."/>
        <s v="He runs ahead of me."/>
        <s v="The cat is hiding behind the chair."/>
        <s v="The cat chased after the mouse."/>
        <s v="We had a company dinner after the meeting."/>
        <s v="He was investigated following the incident."/>
        <s v="I arrived at the station."/>
        <s v="The cup is on the table."/>
        <s v="I walk along the road."/>
        <s v="I take notes during the class."/>
        <s v="I ate a slice of pizza."/>
        <s v="I took the wallet off the table."/>
        <s v="I am leaning against the wall."/>
        <s v="I went out despite the rain."/>
        <s v="I work except holidays."/>
        <s v="She is loved by her parents."/>
        <s v="I cook for him."/>
        <s v="The tree is between the two houses."/>
        <s v="The car is in front of the house."/>
        <s v="The tree is before the house."/>
        <s v="I walk toward the beach."/>
        <s v="I go to the library."/>
        <s v="I go into the room."/>
        <s v="He goes across the park."/>
        <s v="I went through the tunnel."/>
        <s v="They explored throughout the city."/>
        <s v="He traveled throughout the world."/>
        <s v="I went past the shop."/>
        <s v="The mountain is beyond that hill."/>
        <s v="They sailed beyond the horizon."/>
        <s v="He went away."/>
        <s v="He went down the stairs."/>
        <s v="He came from Japan."/>
        <s v="I took the item out of the box."/>
        <s v="I have been studying since yesterday."/>
        <s v="He came back to his hometown."/>
        <s v="He advised as a teacher."/>
        <s v="She is quiet like a cat."/>
        <s v="He is taller than me."/>
        <s v="I climbed up the mountain."/>
        <s v="I must go to school tomorrow."/>
        <s v="We have to exercise every day."/>
        <s v="You don't have to clean today."/>
        <s v="I should study harder English."/>
        <s v="We shall get married next year."/>
        <s v="I will start a new project next month."/>
        <s v="They are going to go to the party tomorrow."/>
        <s v="I would watch that movie again."/>
        <s v="I can play the piano."/>
        <s v="He could swim."/>
        <s v="She may come tomorrow."/>
        <s v="I might leave this summer."/>
        <s v="I must wake up early every morning."/>
        <s v="We have to go home early."/>
        <s v="He doesn't have to work today."/>
        <s v="You should read a lot of books."/>
        <s v="We shall travel to Europe next year."/>
        <s v="I will meet my friend next week."/>
        <s v="She is going to start cooking soon."/>
        <s v="I would go there."/>
        <s v="I can sing an Italian song."/>
        <s v="He could ride a bicycle."/>
        <s v="She may come tonight."/>
        <s v="I think it might rain tomorrow."/>
        <s v="He is going to have a new job next month."/>
        <s v="I must practice English consistently every day."/>
        <s v="We should solve this problem."/>
        <s v="We shall start the new project next month."/>
        <s v="We will watch a movie in the evening."/>
        <s v="She would want to come here."/>
        <s v="He must exercise daily regularly."/>
        <s v="He can speak French fluently."/>
        <s v="She could solve this problem."/>
        <s v="He may attend the meeting."/>
        <s v="She might be late tonight."/>
        <s v="You have to submit the report by today."/>
        <s v="You don't have to attend the meeting today."/>
        <s v="This letter was written by him."/>
        <s v="The cat is taken care of by the children."/>
        <s v="The house was built by my parents."/>
        <s v="This meal was prepared by the chef."/>
        <s v="The report was written by the team."/>
        <s v="The book is read by the students."/>
        <s v="The dress was designed by the designer."/>
        <s v="The painting was painted by the artist."/>
        <s v="The building was designed by the architect."/>
        <s v="The award was given by the judges."/>
        <s v="The invitation was sent by the friends."/>
        <s v="The problem was explained by the teacher."/>
        <s v="The music is played by the radio."/>
        <s v="The program is run by the computer."/>
        <s v="The performance was watched by many people."/>
        <s v="The computer was repaired by the expert."/>
        <s v="The product is manufactured in the factory."/>
        <s v="This class is chosen by many students."/>
        <s v="The movie was praised by the critics."/>
        <s v="The monument was erected by the government."/>
        <s v="I have seen the movie."/>
        <s v="He has visited New York."/>
        <s v="We have already eaten dinner."/>
        <s v="They have heard this song."/>
        <s v="I have watched this movie recently."/>
        <s v="She has already finished her homework."/>
        <s v="I have met him before."/>
        <s v="We have solved this problem."/>
        <s v="He has often listened to that song."/>
        <s v="I haven't seen that friend."/>
        <s v="She has read the book five times."/>
        <s v="We have come here before."/>
        <s v="They have heard the news."/>
        <s v="I have already completed this task."/>
        <s v="He has recently found a new job."/>
        <s v="We have discussed the issue multiple times."/>
        <s v="She has heard a lot about this movie."/>
        <s v="I haven't forgotten him."/>
        <s v="They have recently added a new team member."/>
        <s v="I have watched this movie several times."/>
        <s v="She has never visited that place."/>
        <s v="We have already prepared dinner."/>
        <s v="They haven't solved that problem yet."/>
        <s v="I have recently started a new hobby."/>
        <s v="He has already heard the news."/>
        <s v="He has been learning English for 3 years."/>
        <s v="We have been discussing this issue since the morning."/>
        <s v="I have been reading this book for an hour."/>
        <s v="She has been playing the piano for 2 hours."/>
        <s v="We have been working on this project for several weeks."/>
        <s v="He has been working at that company for 5 years."/>
        <s v="I have been practicing yoga for several months."/>
        <s v="We have been staying here for a week."/>
        <s v="She has been painting for 6 months."/>
        <s v="They have been singing a song for several hours."/>
        <s v="I have been researching this issue for a month."/>
        <s v="We have been translating this book for 2 hours."/>
        <s v="He has been writing that report for several weeks."/>
        <s v="She has been watching that drama for 3 months."/>
        <s v="I have been learning that instrument for several years."/>
        <s v="We have been cleaning this room since the morning."/>
        <s v="He has been waiting for her for a long time."/>
        <s v="I have been thinking about this topic for several years."/>
        <s v="She has been planning a trip for the past few months."/>
        <s v="the lady who came from America."/>
        <s v="the man who came with you yesterday."/>
        <s v="the man who rides the yellow car."/>
        <s v="the restaurant which is located in Gangbuk."/>
        <s v="the man who works with my friend."/>
        <s v="the story which is not true."/>
        <s v="the building that was built fifty years ago."/>
        <s v="the boy who is walking in the park."/>
        <s v="the man who wrote a novel."/>
        <s v="an apartment which has a great view."/>
        <s v="the fish that was caught by me yesterday."/>
        <s v="the man who is loved by my friend."/>
        <s v="the car which was broken by an accident."/>
        <s v="the girl who came from Japan."/>
        <s v="the car that was made in Germany."/>
        <s v="the digital camera which was made in Samsung."/>
        <s v="the pizza which my daughter likes best."/>
        <s v="the pizza my daughter likes best."/>
        <s v="the fish that I caught yesterday."/>
        <s v="the fish I caught yesterday."/>
        <s v="the digital camera which Samsung made."/>
        <s v="the digital camera Samsung made."/>
        <s v="the man whom you came with yesterday."/>
        <s v="the man you came with yesterday."/>
        <s v="the place which I purchased."/>
        <s v="the place I purchased."/>
        <s v="the car which Germany made."/>
        <s v="the car Germany made."/>
        <s v="the man whom my friend works with."/>
        <s v="the man my friend works with."/>
        <s v="the newspaper which you prefer."/>
        <s v="the newspaper you prefer."/>
        <s v="the money that I can spend."/>
        <s v="the money I can spend."/>
        <s v="the man whom my friend loves."/>
        <s v="the man my friend loves."/>
        <s v="the movie which we saw on Sunday."/>
        <s v="the movie we saw on Sunday."/>
        <s v="the person whose idea is good."/>
        <s v="the apartment whose view is great."/>
        <s v="the newspaper whose headlines are good."/>
        <s v="the reason why people dislike you."/>
        <s v="the month when my father was born."/>
        <s v="the place where it is quiet."/>
        <s v="the day when I was hired."/>
        <s v="the day when I became a soldier."/>
        <s v="the day I became a soldier."/>
        <s v="the reason why she left you."/>
        <s v="the place where I put the key."/>
        <s v="the reason why he didn't come."/>
        <s v="the time when I arrived here."/>
        <s v="the lady who came from America is a lawyer."/>
        <s v="She is a lawyer who came from America."/>
        <s v="I love the lady who came from America."/>
        <s v="the house which has two bedrooms and wide livingroom."/>
        <s v="the girl whom I want to meet."/>
        <s v="the girl I want to meet."/>
        <s v="your girl friend whom I met at the MacDonalds."/>
        <s v="your girl friend I met at the MacDonalds."/>
        <s v="the grandfather whose age is over 100."/>
        <s v="the place where I happened to see my old friend."/>
        <s v="where I happened to see my old friend."/>
        <s v="the place where I planed to meet him."/>
        <s v="where I planed to meet him."/>
        <s v="the place where I introduced my girl friend to my uncle."/>
        <s v="the day when I met her on a blind date first."/>
        <s v="when I met her on a blind date first."/>
        <s v="the way how I can go to America."/>
        <s v="the way I can go to America."/>
        <s v="how I can go to America."/>
        <s v="the house where I want to live."/>
        <s v="the car which was made in Germany is expensive."/>
        <s v="I will meet the man who came from America."/>
        <s v="I will buy the car which was made in Germany."/>
        <s v="I have loved the lady who came from America."/>
        <s v="I miss the thing which my mom made in my childhood."/>
        <s v="I miss what my mom made in my childhood."/>
        <s v="This is the thing which I bought for you."/>
        <s v="This is what I bought for you."/>
        <s v="I like the thing which is beautiful."/>
        <s v="I like what is beautiful."/>
        <s v="The thing which was made in Samsung is expensive."/>
        <s v="What was made in Samsung is expensive."/>
        <s v="I like the newspaper whose headlines are good."/>
        <s v="I know the way how I can speak English."/>
        <s v="I know how I can speak English."/>
        <s v="I met her at the place where it was quiet."/>
        <s v="She doesn't know the time when I arrived here."/>
        <s v="I want to protect the place which you love so much."/>
        <s v="I understand the reason why she didn't come here."/>
        <s v="I talked with the lawyer who came from America."/>
        <s v="I had a blind date with a person who had written an English book."/>
        <s v="I don't like the thing which I am now."/>
        <s v="I don't like what I am now."/>
        <s v="The lady who will buy a car which was made in Germany talks with a lawyer who came from America."/>
        <s v="The lady who came from America loves me who will buy a car which was made in Germany."/>
        <s v="The lady who came from America where Obama is the president is a lawyer."/>
        <s v="The lady who came from America where Obama is the president is a lawyer who helped me."/>
        <s v="The lady is a lawyer who came from America where the president is Obama whose wife is Michel."/>
        <s v="The reason why I love her is that she is rich."/>
        <s v="The reason why he left the company was that relationship with manager Kim was bad."/>
        <s v="The reason why I study AE is that Mr. Choi is handsome."/>
        <s v="The reason why she left you was that you didn't meet her on Valentine's Day."/>
        <s v="I know a girl who likes to read books."/>
        <s v="She has a friend who speaks three languages."/>
        <s v="We met a boy who plays the piano very well."/>
        <s v="He is looking for a teacher who can teach math."/>
        <s v="My sister knows a singer who sings very beautifully."/>
        <s v="They found a student who had lost his backpack."/>
        <s v="I saw a man who was walking his dog in the park."/>
        <s v="She called a friend who could help her with her homework."/>
        <s v="He likes people who are always happy."/>
        <s v="I bought a book which was very interesting."/>
        <s v="He has a car which is very fast."/>
        <s v="They live in a house which has a big garden."/>
        <s v="I know a boy who can swim very fast."/>
        <s v="She likes people who are honest."/>
        <s v="He is the student who won the competition."/>
        <s v="She is the person who told me the news."/>
        <s v="I have a friend who loves animals."/>
        <s v="She bought the shoes which were on sale."/>
        <s v="She had breakfast and went to work."/>
        <s v="I wanted to drink coffee but I drank milk."/>
        <s v="You can read a book or watch a movie."/>
        <s v="The meeting started when I arrived."/>
        <s v="It started to rain as I arrived at the academy."/>
        <s v="I studied while I listened to music."/>
        <s v="We took a walk after we had dinner."/>
        <s v="I packed my bags before I left."/>
        <s v="They continued the party until the last guest left."/>
        <s v="We have been friends since we were children."/>
        <s v="I was tired because I didn't get enough sleep."/>
        <s v="He still worked though he was tired."/>
        <s v="I will help you if you want."/>
        <s v="I won't know unless you tell me."/>
        <s v="He eats more than I do."/>
        <s v="She worked carefully lest she make a mistake."/>
        <s v="He read a book and went to sleep."/>
        <s v="I wanted to study but I watched TV."/>
        <s v="You can rest or exercise."/>
        <s v="The class ended when I arrived."/>
        <s v="The power went out as I arrived at home."/>
        <s v="I listened to music while I cooked."/>
        <s v="We had coffee after we watched a movie."/>
        <s v="I read a book before I slept."/>
        <s v="He walked until the sun rose."/>
        <s v="We have known each other since college."/>
        <s v="I was hungry because I didn't eat."/>
        <s v="He was happy though he had no money."/>
        <s v="I will go if you agree."/>
        <s v="I won't understand unless you explain."/>
        <s v="He runs faster than I do."/>
        <s v="She took a map lest she get lost."/>
        <s v="He had dinner and took a walk."/>
        <s v="I wanted to sleep but I worked."/>
        <s v="You can study or read a book."/>
        <s v="It rained when I left."/>
        <s v="The wind started to blow as I started to run."/>
        <s v="I thought while I walked."/>
        <s v="We had lunch after we swam."/>
        <s v="I stretched before I exercised."/>
        <s v="He worked until it was night."/>
        <s v="We have been friends since high school."/>
        <s v="I took an umbrella because it rained."/>
        <s v="He attended the meeting though he was sick."/>
        <s v="We can catch the train if you hurry."/>
        <s v="I can't open the door unless you have the key."/>
        <s v="He knows more than I do."/>
        <s v="She wrote a note lest she forget things."/>
        <s v="That she passed the exam surprised everyone."/>
        <s v="That he will be late annoys me."/>
        <s v="I believe that he finished the task."/>
        <s v="The problem is that we don't have enough time."/>
        <s v="I am not sure that he is telling the truth."/>
        <s v="That he will help us is clear."/>
        <s v="That he accomplished the task surprised everyone."/>
        <s v="I think that he is honest."/>
        <s v="The point is that he didn't agree."/>
        <s v="It is certain that he will come."/>
        <s v="That he won surprised everyone."/>
        <s v="That she lied is clear."/>
        <s v="I think that he asked for help."/>
        <s v="The problem is that he is not honest."/>
        <s v="I am sure that he will succeed."/>
        <s v="The important thing is that he admitted his mistake."/>
        <s v="That he deceived me made me angry."/>
        <s v="I know that he is studying hard."/>
        <s v="His success proves that he worked hard."/>
        <s v="That he will come is certain."/>
        <s v="I am worried about that he will come to the party."/>
        <s v="It seems that you know everything."/>
        <s v="It appears that he is crazy."/>
        <s v="He was so tired that he fell asleep."/>
        <s v="She had such a great idea that it surprised everyone."/>
        <s v="The weather was so cold that we stayed home."/>
        <s v="He solved such a difficult problem that he was praised."/>
        <s v="She was so happy that she cried."/>
        <s v="They were so late that they missed the beginning of the movie."/>
        <s v="He achieved such an amazing result that it surprised everyone."/>
        <s v="He was so angry that he shouted loudly."/>
        <s v="She brought such beautiful flowers that they impressed everyone."/>
        <s v="They were so nervous that they ruined the presentation."/>
        <s v="Do you study?"/>
        <s v="Did you study?"/>
        <s v="Will you study?"/>
        <s v="Do you watch a movie?"/>
        <s v="Did you watch a movie?"/>
        <s v="Will you watch a movie?"/>
        <s v="Do you read a book?"/>
        <s v="Did you read a book?"/>
        <s v="Will you read a book?"/>
        <s v="Do you listen to music?"/>
        <s v="Did you listen to music?"/>
        <s v="Will you listen to music?"/>
        <s v="Did you do your homework today?"/>
        <s v="Did he watch a movie last night?"/>
        <s v="Will your friend go on a trip this weekend?"/>
        <s v="Is your brother/sister studying now?"/>
        <s v="Will she attend the meeting tomorrow?"/>
        <s v="Will you meet your friends this afternoon?"/>
        <s v="Did he buy a new car this week?"/>
        <s v="Did your mom go to the market yesterday?"/>
        <s v="Does he exercise on the weekend?"/>
        <s v="Did your family move last year?"/>
        <s v="Have you used it?"/>
        <s v="Has he read that book?"/>
        <s v="Have you been here?"/>
        <s v="Has she been to France?"/>
        <s v="Have you seen this movie?"/>
        <s v="Has he heard that song?"/>
        <s v="Have you been to Japan?"/>
        <s v="Has she cooked this dish?"/>
        <s v="Have you lived in New York?"/>
        <s v="Has he ridden a bicycle?"/>
        <s v="Do you have to solve this problem?"/>
        <s v="Does he have to go now?"/>
        <s v="Will you work tomorrow?"/>
        <s v="Can she make dinner?"/>
        <s v="Do you have to read that book?"/>
        <s v="Can he solve this problem?"/>
        <s v="Will you come tonight?"/>
        <s v="Does she have to do this job?"/>
        <s v="Can you pass the exam?"/>
        <s v="Does he have to go home?"/>
        <s v="Must you solve this problem?"/>
        <s v="Does she have to make dinner?"/>
        <s v="Should you solve this problem?"/>
        <s v="Must he go now?"/>
        <s v="Should you work tomorrow?"/>
        <s v="May she make dinner?"/>
        <s v="May you read that book?"/>
        <s v="Could he solve this problem?"/>
        <s v="Could you come tonight?"/>
        <s v="Shall she do this job?"/>
        <s v="Might you pass the exam?"/>
        <s v="Shall he go home?"/>
        <s v="When did you arrive?"/>
        <s v="Who has to do that job?"/>
        <s v="What is included in the book?"/>
        <s v="Where will he work?"/>
        <s v="Why did she say that?"/>
        <s v="How can he solve this problem?"/>
        <s v="Which book is better?"/>
        <s v="Which movie was the best you have seen?"/>
        <s v="Why do you look so tired?"/>
        <s v="How many people came to the party?"/>
        <s v="How much money did you spend?"/>
        <s v="When will he return?"/>
        <s v="Who is your favorite actor?"/>
        <s v="What do you want?"/>
        <s v="Where will he stay?"/>
        <s v="Why is he so angry?"/>
        <s v="How can you do this?"/>
        <s v="Which subject is your favorite?"/>
        <s v="What color car do you want to buy?"/>
        <s v="How many friends do you have?"/>
        <s v="What a beautiful sky!"/>
        <s v="What a stunning ocean!"/>
        <s v="What a wonderful friend you have!"/>
        <s v="What an amazing person he is!"/>
        <s v="What a fantastic day!"/>
        <s v="What a lovely house you have!"/>
        <s v="What a great achievement (it is)!"/>
        <s v="What a fantastic result you got!"/>
        <s v="What a delicious dish!"/>
        <s v="What an amazing dish you made!"/>
        <s v="What an emotional moment!"/>
        <s v="What a special moment you are experiencing!"/>
        <s v="What an outstanding actress she has!"/>
        <s v="What an incredible achievement!"/>
        <s v="What an impressive research result!"/>
        <s v="What an informative lecture!"/>
        <s v="What a great paper you wrote!"/>
        <s v="What a memorable trip!"/>
        <s v="What a beautiful photo you took!"/>
        <s v="What a spectacular view!"/>
        <s v="What a peaceful forest!"/>
        <s v="What an innovative technology!"/>
        <s v="What a sophisticated design!"/>
        <s v="What an emotional movie!"/>
        <s v="What comforting words!"/>
        <s v="What a beautiful garden!"/>
        <s v="What a stunning beach!"/>
        <s v="What a delicious cake!"/>
        <s v="What an excellent dish!"/>
        <s v="What an impressive presentation!"/>
        <s v="What an outstanding work!"/>
        <s v="What a special moment!"/>
        <s v="What an unforgettable experience!"/>
        <s v="What an original idea!"/>
        <s v="What an innovative project!"/>
        <s v="What an amazing library!"/>
        <s v="What a breathtaking mountain!"/>
        <s v="What a delicious pasta!"/>
        <s v="What a refreshing smoothie!"/>
        <s v="What an impressive achievement you accomplished!"/>
        <s v="What a surprising result!"/>
        <s v="What an innovative design!"/>
        <s v="What a creative idea!"/>
        <s v="What an exciting travel story you told!"/>
        <s v="What a fantastic new house!"/>
        <s v="What a great song!"/>
        <s v="What an interesting book!"/>
        <s v="What a cool new car!"/>
        <s v="What a delicious dish you made!"/>
        <s v="What a fun party!"/>
        <s v="What a great style!"/>
        <s v="How sweet this dessert is!"/>
        <s v="How spicy this curry is!"/>
        <s v="How refreshing this drink is!"/>
        <s v="How amazing this cake is!"/>
        <s v="How delicious this soup is!"/>
        <s v="How tender this steak is!"/>
        <s v="How fresh this salad is!"/>
        <s v="How fragrant this coffee is!"/>
        <s v="How rich this chocolate is!"/>
        <s v="How cool this ice cream is!"/>
        <s v="How delicious this pasta is!"/>
        <s v="How savory this pizza is!"/>
        <s v="How hot this soup is!"/>
        <s v="How smooth this cheese is!"/>
        <s v="How deep this wine is!"/>
        <s v="How soft this dessert is!"/>
        <s v="How successful this presentation is!"/>
        <s v="How efficient this meeting is!"/>
        <s v="How kind this colleague is!"/>
        <s v="How important this project is!"/>
        <s v="How creative this proposal is!"/>
        <s v="How informative this class is!"/>
        <s v="How difficult this exam is!"/>
        <s v="How excellent this teamwork is!"/>
        <s v="How nerve-wracking this presentation is!"/>
        <s v="How helpful this friend is!"/>
        <s v="How refreshing this weather is!"/>
        <s v="How necessary this break is!"/>
        <s v="How peaceful this walk is!"/>
        <s v="How entertaining this movie is!"/>
        <s v="How meaningful this conversation is!"/>
        <s v="How wise this boss is!"/>
        <s v="How smooth this negotiation is!"/>
        <s v="How cooperative this team is!"/>
        <s v="How tight this schedule is!"/>
        <s v="How persuasive this presentation is!"/>
        <s v="How challenging this assignment is!"/>
        <s v="How busy this semester is!"/>
        <s v="How passionate this professor is!"/>
        <s v="How challenging this project is!"/>
        <s v="How surprising this exam result is!"/>
        <s v="He might have gone home already."/>
        <s v="We could have solved the problem."/>
        <s v="You should have left earlier."/>
        <s v="He could have helped me."/>
        <s v="He would have come."/>
        <s v="He must have finished the work."/>
        <s v="She cannot have said that."/>
        <s v="You should have called me earlier."/>
        <s v="He shouldn't have wasted the money."/>
        <s v="He would have helped."/>
        <s v="He couldn't have been there."/>
        <s v="He may have left already."/>
        <s v="He must have studied all night."/>
        <s v="They cannot have heard the news."/>
        <s v="You should have checked the work."/>
        <s v="He shouldn't have stayed up so late."/>
        <s v="She would have helped."/>
        <s v="We could have left earlier."/>
        <s v="He couldn't have finished the work so quickly."/>
        <s v="He may have missed the meeting."/>
        <s v="She might have gone another way."/>
        <s v="He must have overslept."/>
        <s v="She cannot have forgotten me."/>
        <s v="We should have made more preparations."/>
        <s v="I shouldn't have treated him so rudely."/>
        <s v="I would have bought a new car."/>
        <s v="She could have passed the exam."/>
        <s v="He couldn't have gone that far."/>
        <s v="He may have made a decision already."/>
        <s v="They might have lost their way."/>
        <s v="I enjoy drinking coffee."/>
        <s v="I decided to become a doctor."/>
        <s v="I expect to meet you."/>
        <s v="I hope to meet you again."/>
        <s v="She needs to be helped."/>
        <s v="I want to eat some chocolate."/>
        <s v="He intends to go home."/>
        <s v="I determine to send relief to them."/>
        <s v="I vow to work harder."/>
        <s v="My hobby is studying English."/>
        <s v="My dream is to become a doctor."/>
        <s v="Knowing him is a blessing."/>
        <s v="It is a blessing knowing him."/>
        <s v="To know him is meaningful."/>
        <s v="It is meaningful to know him."/>
        <s v="The fuel is enough to reach Hawaii."/>
        <s v="He is eager to go to America."/>
        <s v="The pool is large enough to make boats to sail on it."/>
        <s v="He is strong enough to lift a car."/>
        <s v="This is too beautiful to eat."/>
        <s v="I have a need to study English."/>
        <s v="I have a need which is that I should study English."/>
        <s v="I know your plan to visit the museum."/>
        <s v="He likes her ability to speak Chinese."/>
        <s v="The person knew her potential to win a Nobel Prize."/>
        <s v="I know the time to complete the job."/>
        <s v="I know the time when I can complete the job."/>
        <s v="I know when to complete the job."/>
        <s v="He seems to speak Chinese fluently."/>
        <s v="He pretends to be a doctor."/>
        <s v="He claims to know my friend well."/>
        <s v="He is known to love her very much."/>
        <s v="She is the youngest player to win the award."/>
        <s v="He is the fastest runner to complete the race."/>
        <s v="I am happy to see my family again."/>
        <s v="I would be happy to help you."/>
        <s v="I made him study English."/>
        <s v="The helicopter hovers above the road."/>
        <s v="The blanket is over the bed."/>
        <s v="The diver swims below the boat."/>
        <s v="The dog is under the tree."/>
        <s v="The dog is beneath the bed."/>
        <s v="The pencil is in the pencil case."/>
        <s v="The car is inside the garage."/>
        <s v="The law applies within the borders of the country."/>
        <s v="The performer is amid the audience."/>
        <s v="The student sits among the trees."/>
        <s v="The child is out the house."/>
        <s v="The cat is outside the store."/>
        <s v="The fence is around the garden."/>
        <s v="The flowers are about the fountain."/>
        <s v="The tree is next to the pond."/>
        <s v="The desk is beside the window."/>
        <s v="The hospital is near the park."/>
        <s v="The student is with the teacher."/>
        <s v="The child is playing without a friend."/>
        <s v="The car is parked between the buildings."/>
        <s v="The bus is standing in front of the school."/>
        <s v="The person is standing before the door."/>
        <s v="The bicycle is running ahead of the car."/>
        <s v="The dog is behind its owner."/>
        <s v="The dog follows after its owner."/>
        <s v="The students go following the class."/>
        <s v="The people wait at the station."/>
        <s v="The book is on the table."/>
        <s v="The river flows along the road."/>
        <s v="The rain falls during the trip."/>
        <s v="The team is part of the company."/>
        <s v="The cat fell off the chair."/>
        <s v="The soccer team plays against the opponent."/>
        <s v="He succeeded despite the difficulties."/>
        <s v="Everyone was invited except her."/>
        <s v="The article was written by a famous author."/>
        <s v="He works for his family."/>
        <s v="The birds fly toward the shore."/>
        <s v="He goes to the party."/>
        <s v="The water goes into the cup."/>
        <s v="He goes across the street."/>
        <s v="The wind blows through the window."/>
        <s v="The rumor spread throughout the school."/>
        <s v="He went past the train."/>
        <s v="The moon is seen beyond the mountain."/>
        <s v="Birds fly away."/>
        <s v="The smoke rises up the chimney."/>
        <s v="The puppy runs down the stairs."/>
        <s v="She comes from New York."/>
        <s v="The cat came out of the box."/>
        <s v="He has lived here since 2015."/>
        <s v="The car goes back to the house."/>
        <s v="He works as a teacher."/>
        <s v="He moves like a cat."/>
        <s v="He is taller than his brother."/>
      </sharedItems>
    </cacheField>
    <cacheField name="외운것" numFmtId="0">
      <sharedItems containsSemiMixedTypes="0" containsNonDate="0" containsString="0" containsNumber="1" containsInteger="1" minValue="0" maxValue="3" count="4">
        <n v="3"/>
        <n v="2"/>
        <n v="1"/>
        <n v="0"/>
      </sharedItems>
    </cacheField>
    <cacheField name="틀린것" numFmtId="0">
      <sharedItems containsSemiMixedTypes="0" containsNonDate="0" containsString="0" containsNumber="1" containsInteger="1" minValue="0" maxValue="6" count="7">
        <n v="0"/>
        <n v="1"/>
        <n v="3"/>
        <n v="4"/>
        <n v="6"/>
        <n v="2"/>
        <n v="5"/>
      </sharedItems>
    </cacheField>
    <cacheField name="날짜" numFmtId="0">
      <sharedItems containsNonDate="0" containsDate="1" containsMixedTypes="1" minDate="2026-03-09T00:00:00" maxDate="2026-03-12T00:00:00" count="9">
        <s v="1차"/>
        <s v="2026-03-08"/>
        <d v="2026-03-09T00:00:00"/>
        <s v="2026-03-09"/>
        <s v="2026-03-10"/>
        <d v="2026-03-11T00:00:00"/>
        <d v="2026-03-10T00:00:00"/>
        <d v="2026-03-12T00:00:00"/>
        <n v="0"/>
      </sharedItems>
    </cacheField>
    <cacheField name="1차" numFmtId="0">
      <sharedItems containsNonDate="0" containsString="0" containsBlank="1" containsNumber="1" containsInteger="1" minValue="2" maxValue="3" count="3">
        <n v="3"/>
        <n v="2"/>
        <m/>
      </sharedItems>
    </cacheField>
  </cacheFields>
  <extLst>
    <ext xmlns:x14="http://schemas.microsoft.com/office/spreadsheetml/2009/9/main">
      <x14:pivotCacheDefinition/>
    </ext>
  </extLst>
</pivotCacheDefinition>
</file>

<file path=xl/pivotCache/pivotCacheRecords1.xml><?xml version="1.0" encoding="utf-8"?>
<pivotCacheRecords xmlns:r="http://schemas.openxmlformats.org/officeDocument/2006/relationships" xmlns="http://schemas.openxmlformats.org/spreadsheetml/2006/main" count="723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0"/>
    <x v="1"/>
    <x v="1"/>
    <x v="1"/>
    <x v="0"/>
    <x v="0"/>
    <x v="0"/>
    <x v="0"/>
    <x v="0"/>
    <x v="0"/>
    <x v="0"/>
    <x v="0"/>
    <x v="0"/>
    <x v="0"/>
    <x v="0"/>
  </r>
  <r>
    <x v="2"/>
    <x v="2"/>
    <x v="0"/>
    <x v="0"/>
    <x v="2"/>
    <x v="2"/>
    <x v="2"/>
    <x v="0"/>
    <x v="0"/>
    <x v="0"/>
    <x v="0"/>
    <x v="0"/>
    <x v="0"/>
    <x v="0"/>
    <x v="0"/>
    <x v="0"/>
    <x v="0"/>
    <x v="0"/>
  </r>
  <r>
    <x v="3"/>
    <x v="3"/>
    <x v="0"/>
    <x v="0"/>
    <x v="3"/>
    <x v="3"/>
    <x v="3"/>
    <x v="0"/>
    <x v="0"/>
    <x v="0"/>
    <x v="0"/>
    <x v="0"/>
    <x v="0"/>
    <x v="0"/>
    <x v="0"/>
    <x v="0"/>
    <x v="0"/>
    <x v="0"/>
  </r>
  <r>
    <x v="4"/>
    <x v="4"/>
    <x v="0"/>
    <x v="0"/>
    <x v="4"/>
    <x v="4"/>
    <x v="4"/>
    <x v="0"/>
    <x v="0"/>
    <x v="0"/>
    <x v="1"/>
    <x v="0"/>
    <x v="0"/>
    <x v="1"/>
    <x v="0"/>
    <x v="1"/>
    <x v="0"/>
    <x v="0"/>
  </r>
  <r>
    <x v="5"/>
    <x v="5"/>
    <x v="0"/>
    <x v="0"/>
    <x v="5"/>
    <x v="5"/>
    <x v="5"/>
    <x v="0"/>
    <x v="0"/>
    <x v="0"/>
    <x v="0"/>
    <x v="0"/>
    <x v="0"/>
    <x v="0"/>
    <x v="0"/>
    <x v="0"/>
    <x v="0"/>
    <x v="0"/>
  </r>
  <r>
    <x v="6"/>
    <x v="6"/>
    <x v="0"/>
    <x v="0"/>
    <x v="6"/>
    <x v="6"/>
    <x v="6"/>
    <x v="0"/>
    <x v="0"/>
    <x v="0"/>
    <x v="0"/>
    <x v="0"/>
    <x v="0"/>
    <x v="0"/>
    <x v="0"/>
    <x v="0"/>
    <x v="0"/>
    <x v="0"/>
  </r>
  <r>
    <x v="7"/>
    <x v="7"/>
    <x v="0"/>
    <x v="0"/>
    <x v="7"/>
    <x v="7"/>
    <x v="7"/>
    <x v="0"/>
    <x v="0"/>
    <x v="0"/>
    <x v="0"/>
    <x v="0"/>
    <x v="0"/>
    <x v="0"/>
    <x v="0"/>
    <x v="0"/>
    <x v="0"/>
    <x v="0"/>
  </r>
  <r>
    <x v="8"/>
    <x v="8"/>
    <x v="0"/>
    <x v="0"/>
    <x v="8"/>
    <x v="8"/>
    <x v="8"/>
    <x v="0"/>
    <x v="0"/>
    <x v="0"/>
    <x v="0"/>
    <x v="0"/>
    <x v="0"/>
    <x v="0"/>
    <x v="0"/>
    <x v="0"/>
    <x v="0"/>
    <x v="0"/>
  </r>
  <r>
    <x v="9"/>
    <x v="9"/>
    <x v="0"/>
    <x v="0"/>
    <x v="9"/>
    <x v="9"/>
    <x v="9"/>
    <x v="0"/>
    <x v="0"/>
    <x v="0"/>
    <x v="0"/>
    <x v="0"/>
    <x v="0"/>
    <x v="0"/>
    <x v="0"/>
    <x v="0"/>
    <x v="0"/>
    <x v="0"/>
  </r>
  <r>
    <x v="10"/>
    <x v="10"/>
    <x v="0"/>
    <x v="0"/>
    <x v="10"/>
    <x v="10"/>
    <x v="10"/>
    <x v="0"/>
    <x v="0"/>
    <x v="0"/>
    <x v="1"/>
    <x v="1"/>
    <x v="0"/>
    <x v="1"/>
    <x v="0"/>
    <x v="1"/>
    <x v="1"/>
    <x v="0"/>
  </r>
  <r>
    <x v="11"/>
    <x v="11"/>
    <x v="0"/>
    <x v="0"/>
    <x v="11"/>
    <x v="11"/>
    <x v="11"/>
    <x v="0"/>
    <x v="0"/>
    <x v="0"/>
    <x v="0"/>
    <x v="0"/>
    <x v="0"/>
    <x v="0"/>
    <x v="0"/>
    <x v="0"/>
    <x v="0"/>
    <x v="0"/>
  </r>
  <r>
    <x v="12"/>
    <x v="12"/>
    <x v="0"/>
    <x v="0"/>
    <x v="12"/>
    <x v="12"/>
    <x v="12"/>
    <x v="0"/>
    <x v="0"/>
    <x v="0"/>
    <x v="0"/>
    <x v="0"/>
    <x v="0"/>
    <x v="0"/>
    <x v="0"/>
    <x v="0"/>
    <x v="0"/>
    <x v="0"/>
  </r>
  <r>
    <x v="13"/>
    <x v="13"/>
    <x v="0"/>
    <x v="0"/>
    <x v="13"/>
    <x v="13"/>
    <x v="13"/>
    <x v="0"/>
    <x v="0"/>
    <x v="0"/>
    <x v="0"/>
    <x v="0"/>
    <x v="0"/>
    <x v="0"/>
    <x v="0"/>
    <x v="0"/>
    <x v="0"/>
    <x v="0"/>
  </r>
  <r>
    <x v="14"/>
    <x v="14"/>
    <x v="0"/>
    <x v="0"/>
    <x v="14"/>
    <x v="14"/>
    <x v="14"/>
    <x v="0"/>
    <x v="0"/>
    <x v="0"/>
    <x v="0"/>
    <x v="0"/>
    <x v="0"/>
    <x v="0"/>
    <x v="0"/>
    <x v="0"/>
    <x v="0"/>
    <x v="0"/>
  </r>
  <r>
    <x v="15"/>
    <x v="15"/>
    <x v="0"/>
    <x v="0"/>
    <x v="15"/>
    <x v="15"/>
    <x v="15"/>
    <x v="0"/>
    <x v="0"/>
    <x v="0"/>
    <x v="0"/>
    <x v="0"/>
    <x v="0"/>
    <x v="0"/>
    <x v="0"/>
    <x v="0"/>
    <x v="0"/>
    <x v="0"/>
  </r>
  <r>
    <x v="16"/>
    <x v="16"/>
    <x v="0"/>
    <x v="0"/>
    <x v="16"/>
    <x v="16"/>
    <x v="16"/>
    <x v="0"/>
    <x v="0"/>
    <x v="0"/>
    <x v="0"/>
    <x v="0"/>
    <x v="0"/>
    <x v="0"/>
    <x v="0"/>
    <x v="0"/>
    <x v="0"/>
    <x v="0"/>
  </r>
  <r>
    <x v="17"/>
    <x v="17"/>
    <x v="0"/>
    <x v="0"/>
    <x v="17"/>
    <x v="17"/>
    <x v="17"/>
    <x v="0"/>
    <x v="0"/>
    <x v="0"/>
    <x v="0"/>
    <x v="0"/>
    <x v="0"/>
    <x v="0"/>
    <x v="0"/>
    <x v="0"/>
    <x v="0"/>
    <x v="0"/>
  </r>
  <r>
    <x v="18"/>
    <x v="18"/>
    <x v="0"/>
    <x v="0"/>
    <x v="18"/>
    <x v="18"/>
    <x v="18"/>
    <x v="0"/>
    <x v="0"/>
    <x v="0"/>
    <x v="0"/>
    <x v="0"/>
    <x v="0"/>
    <x v="0"/>
    <x v="0"/>
    <x v="0"/>
    <x v="0"/>
    <x v="0"/>
  </r>
  <r>
    <x v="19"/>
    <x v="19"/>
    <x v="0"/>
    <x v="0"/>
    <x v="19"/>
    <x v="19"/>
    <x v="19"/>
    <x v="0"/>
    <x v="0"/>
    <x v="0"/>
    <x v="1"/>
    <x v="0"/>
    <x v="0"/>
    <x v="1"/>
    <x v="0"/>
    <x v="1"/>
    <x v="0"/>
    <x v="0"/>
  </r>
  <r>
    <x v="20"/>
    <x v="20"/>
    <x v="0"/>
    <x v="0"/>
    <x v="20"/>
    <x v="20"/>
    <x v="20"/>
    <x v="0"/>
    <x v="0"/>
    <x v="0"/>
    <x v="0"/>
    <x v="0"/>
    <x v="0"/>
    <x v="0"/>
    <x v="0"/>
    <x v="0"/>
    <x v="0"/>
    <x v="0"/>
  </r>
  <r>
    <x v="21"/>
    <x v="21"/>
    <x v="0"/>
    <x v="0"/>
    <x v="21"/>
    <x v="21"/>
    <x v="21"/>
    <x v="0"/>
    <x v="0"/>
    <x v="0"/>
    <x v="0"/>
    <x v="0"/>
    <x v="0"/>
    <x v="0"/>
    <x v="0"/>
    <x v="0"/>
    <x v="0"/>
    <x v="0"/>
  </r>
  <r>
    <x v="22"/>
    <x v="22"/>
    <x v="0"/>
    <x v="0"/>
    <x v="22"/>
    <x v="22"/>
    <x v="22"/>
    <x v="0"/>
    <x v="0"/>
    <x v="0"/>
    <x v="0"/>
    <x v="0"/>
    <x v="0"/>
    <x v="0"/>
    <x v="0"/>
    <x v="0"/>
    <x v="0"/>
    <x v="0"/>
  </r>
  <r>
    <x v="23"/>
    <x v="23"/>
    <x v="0"/>
    <x v="0"/>
    <x v="23"/>
    <x v="23"/>
    <x v="23"/>
    <x v="0"/>
    <x v="0"/>
    <x v="0"/>
    <x v="0"/>
    <x v="0"/>
    <x v="0"/>
    <x v="0"/>
    <x v="0"/>
    <x v="0"/>
    <x v="0"/>
    <x v="0"/>
  </r>
  <r>
    <x v="24"/>
    <x v="24"/>
    <x v="0"/>
    <x v="0"/>
    <x v="24"/>
    <x v="24"/>
    <x v="24"/>
    <x v="0"/>
    <x v="0"/>
    <x v="0"/>
    <x v="1"/>
    <x v="0"/>
    <x v="0"/>
    <x v="2"/>
    <x v="0"/>
    <x v="2"/>
    <x v="0"/>
    <x v="0"/>
  </r>
  <r>
    <x v="25"/>
    <x v="25"/>
    <x v="0"/>
    <x v="0"/>
    <x v="25"/>
    <x v="25"/>
    <x v="25"/>
    <x v="0"/>
    <x v="0"/>
    <x v="0"/>
    <x v="0"/>
    <x v="0"/>
    <x v="0"/>
    <x v="0"/>
    <x v="0"/>
    <x v="0"/>
    <x v="0"/>
    <x v="0"/>
  </r>
  <r>
    <x v="26"/>
    <x v="26"/>
    <x v="0"/>
    <x v="0"/>
    <x v="26"/>
    <x v="26"/>
    <x v="26"/>
    <x v="0"/>
    <x v="0"/>
    <x v="0"/>
    <x v="0"/>
    <x v="0"/>
    <x v="0"/>
    <x v="0"/>
    <x v="0"/>
    <x v="0"/>
    <x v="0"/>
    <x v="0"/>
  </r>
  <r>
    <x v="27"/>
    <x v="27"/>
    <x v="0"/>
    <x v="0"/>
    <x v="27"/>
    <x v="27"/>
    <x v="27"/>
    <x v="0"/>
    <x v="0"/>
    <x v="0"/>
    <x v="0"/>
    <x v="0"/>
    <x v="0"/>
    <x v="0"/>
    <x v="0"/>
    <x v="0"/>
    <x v="0"/>
    <x v="0"/>
  </r>
  <r>
    <x v="28"/>
    <x v="28"/>
    <x v="0"/>
    <x v="0"/>
    <x v="28"/>
    <x v="28"/>
    <x v="28"/>
    <x v="0"/>
    <x v="0"/>
    <x v="0"/>
    <x v="1"/>
    <x v="0"/>
    <x v="0"/>
    <x v="1"/>
    <x v="0"/>
    <x v="1"/>
    <x v="0"/>
    <x v="0"/>
  </r>
  <r>
    <x v="29"/>
    <x v="29"/>
    <x v="0"/>
    <x v="0"/>
    <x v="29"/>
    <x v="29"/>
    <x v="29"/>
    <x v="0"/>
    <x v="0"/>
    <x v="0"/>
    <x v="0"/>
    <x v="0"/>
    <x v="0"/>
    <x v="0"/>
    <x v="0"/>
    <x v="0"/>
    <x v="0"/>
    <x v="0"/>
  </r>
  <r>
    <x v="30"/>
    <x v="30"/>
    <x v="0"/>
    <x v="0"/>
    <x v="30"/>
    <x v="30"/>
    <x v="30"/>
    <x v="0"/>
    <x v="0"/>
    <x v="0"/>
    <x v="0"/>
    <x v="0"/>
    <x v="0"/>
    <x v="0"/>
    <x v="0"/>
    <x v="0"/>
    <x v="0"/>
    <x v="0"/>
  </r>
  <r>
    <x v="31"/>
    <x v="31"/>
    <x v="0"/>
    <x v="0"/>
    <x v="31"/>
    <x v="31"/>
    <x v="31"/>
    <x v="0"/>
    <x v="0"/>
    <x v="0"/>
    <x v="0"/>
    <x v="0"/>
    <x v="0"/>
    <x v="0"/>
    <x v="0"/>
    <x v="0"/>
    <x v="0"/>
    <x v="0"/>
  </r>
  <r>
    <x v="32"/>
    <x v="32"/>
    <x v="0"/>
    <x v="0"/>
    <x v="32"/>
    <x v="32"/>
    <x v="32"/>
    <x v="0"/>
    <x v="0"/>
    <x v="0"/>
    <x v="0"/>
    <x v="0"/>
    <x v="0"/>
    <x v="0"/>
    <x v="0"/>
    <x v="0"/>
    <x v="0"/>
    <x v="0"/>
  </r>
  <r>
    <x v="33"/>
    <x v="33"/>
    <x v="0"/>
    <x v="0"/>
    <x v="33"/>
    <x v="33"/>
    <x v="33"/>
    <x v="0"/>
    <x v="0"/>
    <x v="0"/>
    <x v="0"/>
    <x v="0"/>
    <x v="0"/>
    <x v="0"/>
    <x v="0"/>
    <x v="0"/>
    <x v="0"/>
    <x v="0"/>
  </r>
  <r>
    <x v="34"/>
    <x v="34"/>
    <x v="0"/>
    <x v="0"/>
    <x v="34"/>
    <x v="34"/>
    <x v="34"/>
    <x v="0"/>
    <x v="0"/>
    <x v="0"/>
    <x v="0"/>
    <x v="0"/>
    <x v="0"/>
    <x v="0"/>
    <x v="0"/>
    <x v="0"/>
    <x v="0"/>
    <x v="0"/>
  </r>
  <r>
    <x v="35"/>
    <x v="0"/>
    <x v="1"/>
    <x v="1"/>
    <x v="35"/>
    <x v="35"/>
    <x v="35"/>
    <x v="0"/>
    <x v="0"/>
    <x v="0"/>
    <x v="0"/>
    <x v="0"/>
    <x v="0"/>
    <x v="0"/>
    <x v="0"/>
    <x v="0"/>
    <x v="0"/>
    <x v="0"/>
  </r>
  <r>
    <x v="36"/>
    <x v="1"/>
    <x v="1"/>
    <x v="1"/>
    <x v="36"/>
    <x v="36"/>
    <x v="36"/>
    <x v="0"/>
    <x v="0"/>
    <x v="0"/>
    <x v="1"/>
    <x v="0"/>
    <x v="0"/>
    <x v="1"/>
    <x v="0"/>
    <x v="1"/>
    <x v="0"/>
    <x v="0"/>
  </r>
  <r>
    <x v="37"/>
    <x v="2"/>
    <x v="1"/>
    <x v="1"/>
    <x v="37"/>
    <x v="37"/>
    <x v="37"/>
    <x v="0"/>
    <x v="0"/>
    <x v="0"/>
    <x v="1"/>
    <x v="1"/>
    <x v="0"/>
    <x v="2"/>
    <x v="0"/>
    <x v="2"/>
    <x v="1"/>
    <x v="0"/>
  </r>
  <r>
    <x v="38"/>
    <x v="3"/>
    <x v="1"/>
    <x v="1"/>
    <x v="38"/>
    <x v="38"/>
    <x v="38"/>
    <x v="0"/>
    <x v="0"/>
    <x v="0"/>
    <x v="1"/>
    <x v="1"/>
    <x v="0"/>
    <x v="2"/>
    <x v="0"/>
    <x v="2"/>
    <x v="1"/>
    <x v="0"/>
  </r>
  <r>
    <x v="39"/>
    <x v="4"/>
    <x v="1"/>
    <x v="1"/>
    <x v="39"/>
    <x v="39"/>
    <x v="39"/>
    <x v="0"/>
    <x v="0"/>
    <x v="0"/>
    <x v="1"/>
    <x v="0"/>
    <x v="0"/>
    <x v="1"/>
    <x v="0"/>
    <x v="1"/>
    <x v="0"/>
    <x v="0"/>
  </r>
  <r>
    <x v="40"/>
    <x v="5"/>
    <x v="1"/>
    <x v="1"/>
    <x v="40"/>
    <x v="40"/>
    <x v="40"/>
    <x v="0"/>
    <x v="0"/>
    <x v="1"/>
    <x v="1"/>
    <x v="1"/>
    <x v="1"/>
    <x v="2"/>
    <x v="0"/>
    <x v="2"/>
    <x v="2"/>
    <x v="1"/>
  </r>
  <r>
    <x v="41"/>
    <x v="6"/>
    <x v="1"/>
    <x v="1"/>
    <x v="41"/>
    <x v="41"/>
    <x v="41"/>
    <x v="0"/>
    <x v="1"/>
    <x v="1"/>
    <x v="1"/>
    <x v="1"/>
    <x v="1"/>
    <x v="2"/>
    <x v="0"/>
    <x v="3"/>
    <x v="3"/>
    <x v="1"/>
  </r>
  <r>
    <x v="42"/>
    <x v="7"/>
    <x v="1"/>
    <x v="1"/>
    <x v="42"/>
    <x v="42"/>
    <x v="42"/>
    <x v="0"/>
    <x v="1"/>
    <x v="1"/>
    <x v="1"/>
    <x v="1"/>
    <x v="1"/>
    <x v="1"/>
    <x v="0"/>
    <x v="1"/>
    <x v="1"/>
    <x v="1"/>
  </r>
  <r>
    <x v="43"/>
    <x v="8"/>
    <x v="1"/>
    <x v="1"/>
    <x v="43"/>
    <x v="43"/>
    <x v="43"/>
    <x v="1"/>
    <x v="2"/>
    <x v="2"/>
    <x v="1"/>
    <x v="1"/>
    <x v="1"/>
    <x v="2"/>
    <x v="0"/>
    <x v="4"/>
    <x v="4"/>
    <x v="2"/>
  </r>
  <r>
    <x v="44"/>
    <x v="9"/>
    <x v="1"/>
    <x v="1"/>
    <x v="44"/>
    <x v="44"/>
    <x v="44"/>
    <x v="0"/>
    <x v="1"/>
    <x v="1"/>
    <x v="1"/>
    <x v="1"/>
    <x v="1"/>
    <x v="2"/>
    <x v="0"/>
    <x v="5"/>
    <x v="2"/>
    <x v="1"/>
  </r>
  <r>
    <x v="45"/>
    <x v="10"/>
    <x v="1"/>
    <x v="1"/>
    <x v="45"/>
    <x v="45"/>
    <x v="45"/>
    <x v="0"/>
    <x v="0"/>
    <x v="0"/>
    <x v="1"/>
    <x v="0"/>
    <x v="0"/>
    <x v="1"/>
    <x v="0"/>
    <x v="1"/>
    <x v="0"/>
    <x v="0"/>
  </r>
  <r>
    <x v="46"/>
    <x v="11"/>
    <x v="1"/>
    <x v="1"/>
    <x v="46"/>
    <x v="46"/>
    <x v="46"/>
    <x v="0"/>
    <x v="0"/>
    <x v="0"/>
    <x v="1"/>
    <x v="0"/>
    <x v="0"/>
    <x v="1"/>
    <x v="0"/>
    <x v="1"/>
    <x v="0"/>
    <x v="0"/>
  </r>
  <r>
    <x v="47"/>
    <x v="12"/>
    <x v="1"/>
    <x v="1"/>
    <x v="47"/>
    <x v="47"/>
    <x v="47"/>
    <x v="0"/>
    <x v="0"/>
    <x v="0"/>
    <x v="1"/>
    <x v="0"/>
    <x v="0"/>
    <x v="1"/>
    <x v="0"/>
    <x v="1"/>
    <x v="0"/>
    <x v="0"/>
  </r>
  <r>
    <x v="48"/>
    <x v="13"/>
    <x v="1"/>
    <x v="1"/>
    <x v="48"/>
    <x v="48"/>
    <x v="48"/>
    <x v="0"/>
    <x v="1"/>
    <x v="1"/>
    <x v="1"/>
    <x v="1"/>
    <x v="1"/>
    <x v="2"/>
    <x v="0"/>
    <x v="2"/>
    <x v="1"/>
    <x v="1"/>
  </r>
  <r>
    <x v="49"/>
    <x v="14"/>
    <x v="1"/>
    <x v="1"/>
    <x v="49"/>
    <x v="49"/>
    <x v="49"/>
    <x v="0"/>
    <x v="1"/>
    <x v="1"/>
    <x v="1"/>
    <x v="1"/>
    <x v="1"/>
    <x v="2"/>
    <x v="0"/>
    <x v="2"/>
    <x v="1"/>
    <x v="1"/>
  </r>
  <r>
    <x v="50"/>
    <x v="15"/>
    <x v="1"/>
    <x v="1"/>
    <x v="50"/>
    <x v="50"/>
    <x v="50"/>
    <x v="1"/>
    <x v="2"/>
    <x v="2"/>
    <x v="1"/>
    <x v="1"/>
    <x v="1"/>
    <x v="1"/>
    <x v="0"/>
    <x v="1"/>
    <x v="5"/>
    <x v="2"/>
  </r>
  <r>
    <x v="51"/>
    <x v="16"/>
    <x v="1"/>
    <x v="1"/>
    <x v="51"/>
    <x v="51"/>
    <x v="51"/>
    <x v="0"/>
    <x v="1"/>
    <x v="1"/>
    <x v="1"/>
    <x v="1"/>
    <x v="1"/>
    <x v="2"/>
    <x v="0"/>
    <x v="2"/>
    <x v="5"/>
    <x v="1"/>
  </r>
  <r>
    <x v="52"/>
    <x v="17"/>
    <x v="1"/>
    <x v="1"/>
    <x v="52"/>
    <x v="52"/>
    <x v="52"/>
    <x v="0"/>
    <x v="0"/>
    <x v="0"/>
    <x v="0"/>
    <x v="0"/>
    <x v="0"/>
    <x v="0"/>
    <x v="0"/>
    <x v="0"/>
    <x v="0"/>
    <x v="0"/>
  </r>
  <r>
    <x v="53"/>
    <x v="18"/>
    <x v="1"/>
    <x v="1"/>
    <x v="53"/>
    <x v="53"/>
    <x v="53"/>
    <x v="0"/>
    <x v="0"/>
    <x v="0"/>
    <x v="1"/>
    <x v="1"/>
    <x v="0"/>
    <x v="2"/>
    <x v="0"/>
    <x v="3"/>
    <x v="2"/>
    <x v="0"/>
  </r>
  <r>
    <x v="54"/>
    <x v="19"/>
    <x v="1"/>
    <x v="1"/>
    <x v="54"/>
    <x v="54"/>
    <x v="54"/>
    <x v="0"/>
    <x v="0"/>
    <x v="1"/>
    <x v="1"/>
    <x v="1"/>
    <x v="1"/>
    <x v="2"/>
    <x v="0"/>
    <x v="2"/>
    <x v="5"/>
    <x v="1"/>
  </r>
  <r>
    <x v="55"/>
    <x v="20"/>
    <x v="1"/>
    <x v="1"/>
    <x v="55"/>
    <x v="55"/>
    <x v="55"/>
    <x v="0"/>
    <x v="1"/>
    <x v="3"/>
    <x v="1"/>
    <x v="1"/>
    <x v="1"/>
    <x v="2"/>
    <x v="0"/>
    <x v="5"/>
    <x v="2"/>
    <x v="2"/>
  </r>
  <r>
    <x v="56"/>
    <x v="21"/>
    <x v="1"/>
    <x v="1"/>
    <x v="56"/>
    <x v="56"/>
    <x v="56"/>
    <x v="0"/>
    <x v="1"/>
    <x v="1"/>
    <x v="1"/>
    <x v="1"/>
    <x v="1"/>
    <x v="1"/>
    <x v="0"/>
    <x v="1"/>
    <x v="1"/>
    <x v="1"/>
  </r>
  <r>
    <x v="57"/>
    <x v="22"/>
    <x v="1"/>
    <x v="1"/>
    <x v="57"/>
    <x v="57"/>
    <x v="57"/>
    <x v="0"/>
    <x v="0"/>
    <x v="1"/>
    <x v="1"/>
    <x v="1"/>
    <x v="1"/>
    <x v="2"/>
    <x v="0"/>
    <x v="3"/>
    <x v="5"/>
    <x v="1"/>
  </r>
  <r>
    <x v="58"/>
    <x v="0"/>
    <x v="2"/>
    <x v="2"/>
    <x v="58"/>
    <x v="58"/>
    <x v="58"/>
    <x v="0"/>
    <x v="0"/>
    <x v="0"/>
    <x v="1"/>
    <x v="0"/>
    <x v="0"/>
    <x v="2"/>
    <x v="0"/>
    <x v="2"/>
    <x v="0"/>
    <x v="0"/>
  </r>
  <r>
    <x v="59"/>
    <x v="1"/>
    <x v="2"/>
    <x v="2"/>
    <x v="59"/>
    <x v="59"/>
    <x v="59"/>
    <x v="0"/>
    <x v="2"/>
    <x v="1"/>
    <x v="1"/>
    <x v="1"/>
    <x v="1"/>
    <x v="1"/>
    <x v="0"/>
    <x v="1"/>
    <x v="1"/>
    <x v="1"/>
  </r>
  <r>
    <x v="60"/>
    <x v="2"/>
    <x v="2"/>
    <x v="2"/>
    <x v="60"/>
    <x v="60"/>
    <x v="60"/>
    <x v="0"/>
    <x v="1"/>
    <x v="1"/>
    <x v="1"/>
    <x v="1"/>
    <x v="1"/>
    <x v="2"/>
    <x v="0"/>
    <x v="6"/>
    <x v="5"/>
    <x v="1"/>
  </r>
  <r>
    <x v="61"/>
    <x v="3"/>
    <x v="2"/>
    <x v="2"/>
    <x v="61"/>
    <x v="61"/>
    <x v="61"/>
    <x v="0"/>
    <x v="0"/>
    <x v="1"/>
    <x v="1"/>
    <x v="1"/>
    <x v="1"/>
    <x v="2"/>
    <x v="0"/>
    <x v="5"/>
    <x v="5"/>
    <x v="1"/>
  </r>
  <r>
    <x v="62"/>
    <x v="4"/>
    <x v="2"/>
    <x v="2"/>
    <x v="62"/>
    <x v="62"/>
    <x v="62"/>
    <x v="0"/>
    <x v="0"/>
    <x v="0"/>
    <x v="1"/>
    <x v="0"/>
    <x v="0"/>
    <x v="1"/>
    <x v="0"/>
    <x v="1"/>
    <x v="0"/>
    <x v="0"/>
  </r>
  <r>
    <x v="63"/>
    <x v="5"/>
    <x v="2"/>
    <x v="2"/>
    <x v="63"/>
    <x v="63"/>
    <x v="63"/>
    <x v="0"/>
    <x v="1"/>
    <x v="1"/>
    <x v="1"/>
    <x v="1"/>
    <x v="1"/>
    <x v="2"/>
    <x v="0"/>
    <x v="5"/>
    <x v="5"/>
    <x v="1"/>
  </r>
  <r>
    <x v="64"/>
    <x v="6"/>
    <x v="2"/>
    <x v="2"/>
    <x v="64"/>
    <x v="64"/>
    <x v="64"/>
    <x v="0"/>
    <x v="0"/>
    <x v="0"/>
    <x v="1"/>
    <x v="0"/>
    <x v="0"/>
    <x v="1"/>
    <x v="0"/>
    <x v="1"/>
    <x v="0"/>
    <x v="0"/>
  </r>
  <r>
    <x v="65"/>
    <x v="7"/>
    <x v="2"/>
    <x v="2"/>
    <x v="65"/>
    <x v="65"/>
    <x v="65"/>
    <x v="0"/>
    <x v="1"/>
    <x v="3"/>
    <x v="1"/>
    <x v="1"/>
    <x v="1"/>
    <x v="2"/>
    <x v="0"/>
    <x v="6"/>
    <x v="1"/>
    <x v="2"/>
  </r>
  <r>
    <x v="66"/>
    <x v="8"/>
    <x v="2"/>
    <x v="2"/>
    <x v="66"/>
    <x v="66"/>
    <x v="66"/>
    <x v="0"/>
    <x v="0"/>
    <x v="0"/>
    <x v="1"/>
    <x v="1"/>
    <x v="0"/>
    <x v="2"/>
    <x v="0"/>
    <x v="7"/>
    <x v="1"/>
    <x v="0"/>
  </r>
  <r>
    <x v="67"/>
    <x v="9"/>
    <x v="2"/>
    <x v="2"/>
    <x v="67"/>
    <x v="67"/>
    <x v="67"/>
    <x v="0"/>
    <x v="0"/>
    <x v="1"/>
    <x v="1"/>
    <x v="1"/>
    <x v="1"/>
    <x v="2"/>
    <x v="0"/>
    <x v="5"/>
    <x v="3"/>
    <x v="1"/>
  </r>
  <r>
    <x v="68"/>
    <x v="10"/>
    <x v="2"/>
    <x v="2"/>
    <x v="68"/>
    <x v="68"/>
    <x v="68"/>
    <x v="0"/>
    <x v="0"/>
    <x v="0"/>
    <x v="1"/>
    <x v="0"/>
    <x v="0"/>
    <x v="2"/>
    <x v="0"/>
    <x v="5"/>
    <x v="0"/>
    <x v="0"/>
  </r>
  <r>
    <x v="69"/>
    <x v="11"/>
    <x v="2"/>
    <x v="2"/>
    <x v="69"/>
    <x v="69"/>
    <x v="69"/>
    <x v="0"/>
    <x v="0"/>
    <x v="0"/>
    <x v="0"/>
    <x v="0"/>
    <x v="0"/>
    <x v="0"/>
    <x v="0"/>
    <x v="0"/>
    <x v="0"/>
    <x v="0"/>
  </r>
  <r>
    <x v="70"/>
    <x v="0"/>
    <x v="3"/>
    <x v="3"/>
    <x v="70"/>
    <x v="70"/>
    <x v="70"/>
    <x v="0"/>
    <x v="0"/>
    <x v="0"/>
    <x v="1"/>
    <x v="0"/>
    <x v="0"/>
    <x v="2"/>
    <x v="0"/>
    <x v="2"/>
    <x v="0"/>
    <x v="0"/>
  </r>
  <r>
    <x v="71"/>
    <x v="1"/>
    <x v="3"/>
    <x v="3"/>
    <x v="71"/>
    <x v="71"/>
    <x v="71"/>
    <x v="0"/>
    <x v="0"/>
    <x v="0"/>
    <x v="0"/>
    <x v="0"/>
    <x v="0"/>
    <x v="0"/>
    <x v="0"/>
    <x v="0"/>
    <x v="0"/>
    <x v="0"/>
  </r>
  <r>
    <x v="72"/>
    <x v="2"/>
    <x v="3"/>
    <x v="3"/>
    <x v="72"/>
    <x v="72"/>
    <x v="72"/>
    <x v="0"/>
    <x v="1"/>
    <x v="3"/>
    <x v="1"/>
    <x v="1"/>
    <x v="1"/>
    <x v="2"/>
    <x v="0"/>
    <x v="8"/>
    <x v="3"/>
    <x v="2"/>
  </r>
  <r>
    <x v="73"/>
    <x v="3"/>
    <x v="3"/>
    <x v="3"/>
    <x v="73"/>
    <x v="73"/>
    <x v="73"/>
    <x v="0"/>
    <x v="0"/>
    <x v="1"/>
    <x v="1"/>
    <x v="1"/>
    <x v="1"/>
    <x v="2"/>
    <x v="0"/>
    <x v="5"/>
    <x v="1"/>
    <x v="1"/>
  </r>
  <r>
    <x v="74"/>
    <x v="4"/>
    <x v="3"/>
    <x v="3"/>
    <x v="74"/>
    <x v="74"/>
    <x v="74"/>
    <x v="0"/>
    <x v="0"/>
    <x v="0"/>
    <x v="1"/>
    <x v="1"/>
    <x v="0"/>
    <x v="2"/>
    <x v="0"/>
    <x v="5"/>
    <x v="1"/>
    <x v="0"/>
  </r>
  <r>
    <x v="75"/>
    <x v="5"/>
    <x v="3"/>
    <x v="3"/>
    <x v="75"/>
    <x v="75"/>
    <x v="75"/>
    <x v="0"/>
    <x v="0"/>
    <x v="0"/>
    <x v="0"/>
    <x v="0"/>
    <x v="0"/>
    <x v="0"/>
    <x v="0"/>
    <x v="0"/>
    <x v="0"/>
    <x v="0"/>
  </r>
  <r>
    <x v="76"/>
    <x v="6"/>
    <x v="3"/>
    <x v="3"/>
    <x v="76"/>
    <x v="76"/>
    <x v="76"/>
    <x v="0"/>
    <x v="0"/>
    <x v="1"/>
    <x v="1"/>
    <x v="1"/>
    <x v="1"/>
    <x v="2"/>
    <x v="0"/>
    <x v="3"/>
    <x v="5"/>
    <x v="1"/>
  </r>
  <r>
    <x v="77"/>
    <x v="7"/>
    <x v="3"/>
    <x v="3"/>
    <x v="77"/>
    <x v="77"/>
    <x v="77"/>
    <x v="0"/>
    <x v="0"/>
    <x v="0"/>
    <x v="1"/>
    <x v="0"/>
    <x v="0"/>
    <x v="1"/>
    <x v="0"/>
    <x v="1"/>
    <x v="0"/>
    <x v="0"/>
  </r>
  <r>
    <x v="78"/>
    <x v="8"/>
    <x v="3"/>
    <x v="3"/>
    <x v="78"/>
    <x v="78"/>
    <x v="78"/>
    <x v="0"/>
    <x v="0"/>
    <x v="0"/>
    <x v="1"/>
    <x v="0"/>
    <x v="0"/>
    <x v="1"/>
    <x v="0"/>
    <x v="1"/>
    <x v="0"/>
    <x v="0"/>
  </r>
  <r>
    <x v="79"/>
    <x v="9"/>
    <x v="3"/>
    <x v="3"/>
    <x v="79"/>
    <x v="79"/>
    <x v="79"/>
    <x v="0"/>
    <x v="0"/>
    <x v="0"/>
    <x v="1"/>
    <x v="0"/>
    <x v="0"/>
    <x v="2"/>
    <x v="0"/>
    <x v="7"/>
    <x v="0"/>
    <x v="0"/>
  </r>
  <r>
    <x v="80"/>
    <x v="10"/>
    <x v="3"/>
    <x v="3"/>
    <x v="80"/>
    <x v="80"/>
    <x v="80"/>
    <x v="0"/>
    <x v="0"/>
    <x v="0"/>
    <x v="1"/>
    <x v="0"/>
    <x v="0"/>
    <x v="1"/>
    <x v="0"/>
    <x v="1"/>
    <x v="0"/>
    <x v="0"/>
  </r>
  <r>
    <x v="81"/>
    <x v="11"/>
    <x v="3"/>
    <x v="3"/>
    <x v="81"/>
    <x v="81"/>
    <x v="81"/>
    <x v="0"/>
    <x v="2"/>
    <x v="1"/>
    <x v="1"/>
    <x v="1"/>
    <x v="1"/>
    <x v="2"/>
    <x v="0"/>
    <x v="7"/>
    <x v="1"/>
    <x v="1"/>
  </r>
  <r>
    <x v="82"/>
    <x v="12"/>
    <x v="3"/>
    <x v="3"/>
    <x v="82"/>
    <x v="82"/>
    <x v="82"/>
    <x v="0"/>
    <x v="0"/>
    <x v="1"/>
    <x v="1"/>
    <x v="1"/>
    <x v="1"/>
    <x v="2"/>
    <x v="0"/>
    <x v="2"/>
    <x v="1"/>
    <x v="2"/>
  </r>
  <r>
    <x v="83"/>
    <x v="13"/>
    <x v="3"/>
    <x v="3"/>
    <x v="83"/>
    <x v="83"/>
    <x v="83"/>
    <x v="0"/>
    <x v="0"/>
    <x v="1"/>
    <x v="1"/>
    <x v="1"/>
    <x v="1"/>
    <x v="2"/>
    <x v="0"/>
    <x v="8"/>
    <x v="1"/>
    <x v="2"/>
  </r>
  <r>
    <x v="84"/>
    <x v="14"/>
    <x v="3"/>
    <x v="3"/>
    <x v="84"/>
    <x v="84"/>
    <x v="84"/>
    <x v="0"/>
    <x v="0"/>
    <x v="1"/>
    <x v="1"/>
    <x v="1"/>
    <x v="1"/>
    <x v="1"/>
    <x v="0"/>
    <x v="1"/>
    <x v="5"/>
    <x v="1"/>
  </r>
  <r>
    <x v="85"/>
    <x v="15"/>
    <x v="3"/>
    <x v="3"/>
    <x v="85"/>
    <x v="85"/>
    <x v="85"/>
    <x v="0"/>
    <x v="0"/>
    <x v="0"/>
    <x v="1"/>
    <x v="0"/>
    <x v="0"/>
    <x v="1"/>
    <x v="0"/>
    <x v="1"/>
    <x v="0"/>
    <x v="0"/>
  </r>
  <r>
    <x v="86"/>
    <x v="16"/>
    <x v="3"/>
    <x v="3"/>
    <x v="86"/>
    <x v="86"/>
    <x v="86"/>
    <x v="0"/>
    <x v="0"/>
    <x v="0"/>
    <x v="0"/>
    <x v="0"/>
    <x v="0"/>
    <x v="0"/>
    <x v="0"/>
    <x v="0"/>
    <x v="0"/>
    <x v="0"/>
  </r>
  <r>
    <x v="87"/>
    <x v="17"/>
    <x v="3"/>
    <x v="3"/>
    <x v="87"/>
    <x v="87"/>
    <x v="87"/>
    <x v="0"/>
    <x v="0"/>
    <x v="0"/>
    <x v="0"/>
    <x v="0"/>
    <x v="0"/>
    <x v="0"/>
    <x v="0"/>
    <x v="0"/>
    <x v="0"/>
    <x v="0"/>
  </r>
  <r>
    <x v="88"/>
    <x v="18"/>
    <x v="3"/>
    <x v="3"/>
    <x v="88"/>
    <x v="88"/>
    <x v="88"/>
    <x v="0"/>
    <x v="0"/>
    <x v="0"/>
    <x v="0"/>
    <x v="0"/>
    <x v="0"/>
    <x v="0"/>
    <x v="0"/>
    <x v="0"/>
    <x v="0"/>
    <x v="0"/>
  </r>
  <r>
    <x v="89"/>
    <x v="19"/>
    <x v="3"/>
    <x v="3"/>
    <x v="89"/>
    <x v="89"/>
    <x v="89"/>
    <x v="0"/>
    <x v="0"/>
    <x v="0"/>
    <x v="1"/>
    <x v="1"/>
    <x v="0"/>
    <x v="2"/>
    <x v="0"/>
    <x v="3"/>
    <x v="2"/>
    <x v="0"/>
  </r>
  <r>
    <x v="90"/>
    <x v="20"/>
    <x v="3"/>
    <x v="3"/>
    <x v="90"/>
    <x v="90"/>
    <x v="90"/>
    <x v="0"/>
    <x v="0"/>
    <x v="1"/>
    <x v="1"/>
    <x v="1"/>
    <x v="1"/>
    <x v="2"/>
    <x v="0"/>
    <x v="5"/>
    <x v="2"/>
    <x v="1"/>
  </r>
  <r>
    <x v="91"/>
    <x v="21"/>
    <x v="3"/>
    <x v="3"/>
    <x v="91"/>
    <x v="91"/>
    <x v="91"/>
    <x v="0"/>
    <x v="0"/>
    <x v="0"/>
    <x v="0"/>
    <x v="0"/>
    <x v="0"/>
    <x v="0"/>
    <x v="0"/>
    <x v="0"/>
    <x v="0"/>
    <x v="0"/>
  </r>
  <r>
    <x v="92"/>
    <x v="22"/>
    <x v="3"/>
    <x v="3"/>
    <x v="92"/>
    <x v="92"/>
    <x v="92"/>
    <x v="0"/>
    <x v="1"/>
    <x v="1"/>
    <x v="1"/>
    <x v="1"/>
    <x v="1"/>
    <x v="2"/>
    <x v="0"/>
    <x v="3"/>
    <x v="1"/>
    <x v="1"/>
  </r>
  <r>
    <x v="93"/>
    <x v="23"/>
    <x v="3"/>
    <x v="3"/>
    <x v="93"/>
    <x v="93"/>
    <x v="93"/>
    <x v="0"/>
    <x v="0"/>
    <x v="0"/>
    <x v="1"/>
    <x v="1"/>
    <x v="0"/>
    <x v="2"/>
    <x v="0"/>
    <x v="5"/>
    <x v="1"/>
    <x v="0"/>
  </r>
  <r>
    <x v="94"/>
    <x v="24"/>
    <x v="3"/>
    <x v="3"/>
    <x v="94"/>
    <x v="94"/>
    <x v="94"/>
    <x v="0"/>
    <x v="0"/>
    <x v="0"/>
    <x v="1"/>
    <x v="1"/>
    <x v="0"/>
    <x v="2"/>
    <x v="0"/>
    <x v="3"/>
    <x v="1"/>
    <x v="0"/>
  </r>
  <r>
    <x v="95"/>
    <x v="25"/>
    <x v="3"/>
    <x v="3"/>
    <x v="95"/>
    <x v="95"/>
    <x v="95"/>
    <x v="0"/>
    <x v="2"/>
    <x v="1"/>
    <x v="1"/>
    <x v="1"/>
    <x v="1"/>
    <x v="2"/>
    <x v="0"/>
    <x v="8"/>
    <x v="6"/>
    <x v="1"/>
  </r>
  <r>
    <x v="96"/>
    <x v="26"/>
    <x v="3"/>
    <x v="3"/>
    <x v="96"/>
    <x v="96"/>
    <x v="96"/>
    <x v="0"/>
    <x v="0"/>
    <x v="0"/>
    <x v="1"/>
    <x v="1"/>
    <x v="0"/>
    <x v="2"/>
    <x v="0"/>
    <x v="2"/>
    <x v="1"/>
    <x v="0"/>
  </r>
  <r>
    <x v="97"/>
    <x v="27"/>
    <x v="3"/>
    <x v="3"/>
    <x v="97"/>
    <x v="97"/>
    <x v="97"/>
    <x v="0"/>
    <x v="0"/>
    <x v="0"/>
    <x v="1"/>
    <x v="0"/>
    <x v="0"/>
    <x v="1"/>
    <x v="0"/>
    <x v="1"/>
    <x v="0"/>
    <x v="0"/>
  </r>
  <r>
    <x v="98"/>
    <x v="28"/>
    <x v="3"/>
    <x v="3"/>
    <x v="98"/>
    <x v="98"/>
    <x v="98"/>
    <x v="0"/>
    <x v="0"/>
    <x v="0"/>
    <x v="1"/>
    <x v="0"/>
    <x v="0"/>
    <x v="1"/>
    <x v="0"/>
    <x v="1"/>
    <x v="0"/>
    <x v="0"/>
  </r>
  <r>
    <x v="99"/>
    <x v="29"/>
    <x v="3"/>
    <x v="3"/>
    <x v="99"/>
    <x v="99"/>
    <x v="99"/>
    <x v="1"/>
    <x v="2"/>
    <x v="2"/>
    <x v="1"/>
    <x v="1"/>
    <x v="1"/>
    <x v="2"/>
    <x v="0"/>
    <x v="2"/>
    <x v="5"/>
    <x v="3"/>
  </r>
  <r>
    <x v="100"/>
    <x v="30"/>
    <x v="3"/>
    <x v="3"/>
    <x v="100"/>
    <x v="100"/>
    <x v="100"/>
    <x v="1"/>
    <x v="1"/>
    <x v="2"/>
    <x v="1"/>
    <x v="1"/>
    <x v="1"/>
    <x v="1"/>
    <x v="0"/>
    <x v="1"/>
    <x v="5"/>
    <x v="2"/>
  </r>
  <r>
    <x v="101"/>
    <x v="31"/>
    <x v="3"/>
    <x v="3"/>
    <x v="101"/>
    <x v="101"/>
    <x v="101"/>
    <x v="0"/>
    <x v="0"/>
    <x v="0"/>
    <x v="1"/>
    <x v="1"/>
    <x v="0"/>
    <x v="2"/>
    <x v="0"/>
    <x v="5"/>
    <x v="2"/>
    <x v="0"/>
  </r>
  <r>
    <x v="102"/>
    <x v="32"/>
    <x v="3"/>
    <x v="3"/>
    <x v="102"/>
    <x v="102"/>
    <x v="102"/>
    <x v="0"/>
    <x v="0"/>
    <x v="0"/>
    <x v="1"/>
    <x v="1"/>
    <x v="0"/>
    <x v="2"/>
    <x v="0"/>
    <x v="3"/>
    <x v="1"/>
    <x v="0"/>
  </r>
  <r>
    <x v="103"/>
    <x v="33"/>
    <x v="3"/>
    <x v="3"/>
    <x v="103"/>
    <x v="103"/>
    <x v="103"/>
    <x v="0"/>
    <x v="1"/>
    <x v="1"/>
    <x v="1"/>
    <x v="1"/>
    <x v="1"/>
    <x v="2"/>
    <x v="0"/>
    <x v="5"/>
    <x v="1"/>
    <x v="1"/>
  </r>
  <r>
    <x v="104"/>
    <x v="34"/>
    <x v="3"/>
    <x v="3"/>
    <x v="104"/>
    <x v="104"/>
    <x v="104"/>
    <x v="0"/>
    <x v="2"/>
    <x v="3"/>
    <x v="1"/>
    <x v="1"/>
    <x v="1"/>
    <x v="1"/>
    <x v="0"/>
    <x v="1"/>
    <x v="1"/>
    <x v="1"/>
  </r>
  <r>
    <x v="105"/>
    <x v="35"/>
    <x v="3"/>
    <x v="3"/>
    <x v="105"/>
    <x v="105"/>
    <x v="105"/>
    <x v="0"/>
    <x v="0"/>
    <x v="0"/>
    <x v="0"/>
    <x v="0"/>
    <x v="0"/>
    <x v="0"/>
    <x v="0"/>
    <x v="0"/>
    <x v="0"/>
    <x v="0"/>
  </r>
  <r>
    <x v="106"/>
    <x v="36"/>
    <x v="3"/>
    <x v="3"/>
    <x v="106"/>
    <x v="106"/>
    <x v="106"/>
    <x v="0"/>
    <x v="0"/>
    <x v="0"/>
    <x v="0"/>
    <x v="0"/>
    <x v="0"/>
    <x v="0"/>
    <x v="0"/>
    <x v="0"/>
    <x v="0"/>
    <x v="0"/>
  </r>
  <r>
    <x v="107"/>
    <x v="37"/>
    <x v="3"/>
    <x v="3"/>
    <x v="107"/>
    <x v="107"/>
    <x v="107"/>
    <x v="0"/>
    <x v="0"/>
    <x v="0"/>
    <x v="1"/>
    <x v="1"/>
    <x v="0"/>
    <x v="2"/>
    <x v="0"/>
    <x v="3"/>
    <x v="5"/>
    <x v="0"/>
  </r>
  <r>
    <x v="108"/>
    <x v="38"/>
    <x v="3"/>
    <x v="3"/>
    <x v="108"/>
    <x v="108"/>
    <x v="108"/>
    <x v="0"/>
    <x v="1"/>
    <x v="1"/>
    <x v="1"/>
    <x v="1"/>
    <x v="1"/>
    <x v="1"/>
    <x v="0"/>
    <x v="1"/>
    <x v="1"/>
    <x v="1"/>
  </r>
  <r>
    <x v="109"/>
    <x v="39"/>
    <x v="3"/>
    <x v="3"/>
    <x v="109"/>
    <x v="109"/>
    <x v="109"/>
    <x v="0"/>
    <x v="0"/>
    <x v="0"/>
    <x v="0"/>
    <x v="0"/>
    <x v="0"/>
    <x v="0"/>
    <x v="0"/>
    <x v="0"/>
    <x v="0"/>
    <x v="0"/>
  </r>
  <r>
    <x v="110"/>
    <x v="40"/>
    <x v="3"/>
    <x v="3"/>
    <x v="110"/>
    <x v="110"/>
    <x v="110"/>
    <x v="0"/>
    <x v="1"/>
    <x v="1"/>
    <x v="1"/>
    <x v="1"/>
    <x v="1"/>
    <x v="1"/>
    <x v="0"/>
    <x v="1"/>
    <x v="5"/>
    <x v="1"/>
  </r>
  <r>
    <x v="111"/>
    <x v="41"/>
    <x v="3"/>
    <x v="3"/>
    <x v="111"/>
    <x v="111"/>
    <x v="111"/>
    <x v="0"/>
    <x v="0"/>
    <x v="0"/>
    <x v="0"/>
    <x v="0"/>
    <x v="0"/>
    <x v="0"/>
    <x v="0"/>
    <x v="0"/>
    <x v="0"/>
    <x v="0"/>
  </r>
  <r>
    <x v="112"/>
    <x v="42"/>
    <x v="3"/>
    <x v="3"/>
    <x v="112"/>
    <x v="112"/>
    <x v="112"/>
    <x v="0"/>
    <x v="0"/>
    <x v="0"/>
    <x v="1"/>
    <x v="0"/>
    <x v="0"/>
    <x v="1"/>
    <x v="0"/>
    <x v="1"/>
    <x v="0"/>
    <x v="0"/>
  </r>
  <r>
    <x v="113"/>
    <x v="43"/>
    <x v="3"/>
    <x v="3"/>
    <x v="113"/>
    <x v="113"/>
    <x v="113"/>
    <x v="0"/>
    <x v="0"/>
    <x v="0"/>
    <x v="0"/>
    <x v="0"/>
    <x v="0"/>
    <x v="0"/>
    <x v="0"/>
    <x v="0"/>
    <x v="0"/>
    <x v="0"/>
  </r>
  <r>
    <x v="114"/>
    <x v="44"/>
    <x v="3"/>
    <x v="3"/>
    <x v="114"/>
    <x v="114"/>
    <x v="114"/>
    <x v="0"/>
    <x v="0"/>
    <x v="0"/>
    <x v="1"/>
    <x v="0"/>
    <x v="0"/>
    <x v="2"/>
    <x v="0"/>
    <x v="2"/>
    <x v="0"/>
    <x v="0"/>
  </r>
  <r>
    <x v="115"/>
    <x v="45"/>
    <x v="3"/>
    <x v="3"/>
    <x v="115"/>
    <x v="115"/>
    <x v="115"/>
    <x v="0"/>
    <x v="0"/>
    <x v="0"/>
    <x v="1"/>
    <x v="0"/>
    <x v="0"/>
    <x v="2"/>
    <x v="0"/>
    <x v="2"/>
    <x v="0"/>
    <x v="0"/>
  </r>
  <r>
    <x v="116"/>
    <x v="46"/>
    <x v="3"/>
    <x v="3"/>
    <x v="116"/>
    <x v="116"/>
    <x v="116"/>
    <x v="0"/>
    <x v="0"/>
    <x v="0"/>
    <x v="1"/>
    <x v="0"/>
    <x v="0"/>
    <x v="1"/>
    <x v="0"/>
    <x v="1"/>
    <x v="0"/>
    <x v="0"/>
  </r>
  <r>
    <x v="117"/>
    <x v="47"/>
    <x v="3"/>
    <x v="3"/>
    <x v="117"/>
    <x v="117"/>
    <x v="117"/>
    <x v="0"/>
    <x v="0"/>
    <x v="0"/>
    <x v="1"/>
    <x v="0"/>
    <x v="0"/>
    <x v="1"/>
    <x v="0"/>
    <x v="1"/>
    <x v="0"/>
    <x v="0"/>
  </r>
  <r>
    <x v="118"/>
    <x v="48"/>
    <x v="3"/>
    <x v="3"/>
    <x v="118"/>
    <x v="118"/>
    <x v="118"/>
    <x v="0"/>
    <x v="0"/>
    <x v="0"/>
    <x v="1"/>
    <x v="1"/>
    <x v="0"/>
    <x v="2"/>
    <x v="0"/>
    <x v="7"/>
    <x v="5"/>
    <x v="0"/>
  </r>
  <r>
    <x v="119"/>
    <x v="49"/>
    <x v="3"/>
    <x v="3"/>
    <x v="119"/>
    <x v="119"/>
    <x v="119"/>
    <x v="0"/>
    <x v="0"/>
    <x v="0"/>
    <x v="1"/>
    <x v="0"/>
    <x v="0"/>
    <x v="1"/>
    <x v="0"/>
    <x v="1"/>
    <x v="0"/>
    <x v="0"/>
  </r>
  <r>
    <x v="120"/>
    <x v="50"/>
    <x v="3"/>
    <x v="3"/>
    <x v="120"/>
    <x v="120"/>
    <x v="120"/>
    <x v="0"/>
    <x v="0"/>
    <x v="0"/>
    <x v="0"/>
    <x v="0"/>
    <x v="0"/>
    <x v="0"/>
    <x v="0"/>
    <x v="0"/>
    <x v="0"/>
    <x v="0"/>
  </r>
  <r>
    <x v="121"/>
    <x v="51"/>
    <x v="3"/>
    <x v="3"/>
    <x v="121"/>
    <x v="121"/>
    <x v="121"/>
    <x v="0"/>
    <x v="0"/>
    <x v="0"/>
    <x v="1"/>
    <x v="0"/>
    <x v="0"/>
    <x v="1"/>
    <x v="0"/>
    <x v="1"/>
    <x v="0"/>
    <x v="0"/>
  </r>
  <r>
    <x v="122"/>
    <x v="52"/>
    <x v="3"/>
    <x v="3"/>
    <x v="122"/>
    <x v="122"/>
    <x v="122"/>
    <x v="0"/>
    <x v="0"/>
    <x v="0"/>
    <x v="0"/>
    <x v="0"/>
    <x v="0"/>
    <x v="0"/>
    <x v="0"/>
    <x v="0"/>
    <x v="0"/>
    <x v="0"/>
  </r>
  <r>
    <x v="123"/>
    <x v="53"/>
    <x v="3"/>
    <x v="3"/>
    <x v="123"/>
    <x v="123"/>
    <x v="123"/>
    <x v="0"/>
    <x v="0"/>
    <x v="0"/>
    <x v="1"/>
    <x v="1"/>
    <x v="0"/>
    <x v="1"/>
    <x v="0"/>
    <x v="1"/>
    <x v="1"/>
    <x v="0"/>
  </r>
  <r>
    <x v="124"/>
    <x v="54"/>
    <x v="3"/>
    <x v="3"/>
    <x v="124"/>
    <x v="124"/>
    <x v="124"/>
    <x v="0"/>
    <x v="0"/>
    <x v="0"/>
    <x v="0"/>
    <x v="0"/>
    <x v="0"/>
    <x v="0"/>
    <x v="0"/>
    <x v="0"/>
    <x v="0"/>
    <x v="0"/>
  </r>
  <r>
    <x v="125"/>
    <x v="55"/>
    <x v="3"/>
    <x v="3"/>
    <x v="125"/>
    <x v="125"/>
    <x v="125"/>
    <x v="1"/>
    <x v="1"/>
    <x v="2"/>
    <x v="1"/>
    <x v="1"/>
    <x v="1"/>
    <x v="2"/>
    <x v="0"/>
    <x v="7"/>
    <x v="5"/>
    <x v="2"/>
  </r>
  <r>
    <x v="126"/>
    <x v="56"/>
    <x v="3"/>
    <x v="3"/>
    <x v="126"/>
    <x v="126"/>
    <x v="126"/>
    <x v="0"/>
    <x v="0"/>
    <x v="0"/>
    <x v="1"/>
    <x v="1"/>
    <x v="0"/>
    <x v="2"/>
    <x v="0"/>
    <x v="2"/>
    <x v="1"/>
    <x v="0"/>
  </r>
  <r>
    <x v="127"/>
    <x v="57"/>
    <x v="3"/>
    <x v="3"/>
    <x v="127"/>
    <x v="127"/>
    <x v="127"/>
    <x v="0"/>
    <x v="0"/>
    <x v="0"/>
    <x v="1"/>
    <x v="0"/>
    <x v="0"/>
    <x v="1"/>
    <x v="0"/>
    <x v="1"/>
    <x v="0"/>
    <x v="0"/>
  </r>
  <r>
    <x v="128"/>
    <x v="58"/>
    <x v="3"/>
    <x v="3"/>
    <x v="128"/>
    <x v="128"/>
    <x v="128"/>
    <x v="0"/>
    <x v="0"/>
    <x v="0"/>
    <x v="0"/>
    <x v="0"/>
    <x v="0"/>
    <x v="0"/>
    <x v="0"/>
    <x v="0"/>
    <x v="0"/>
    <x v="0"/>
  </r>
  <r>
    <x v="129"/>
    <x v="59"/>
    <x v="3"/>
    <x v="3"/>
    <x v="129"/>
    <x v="129"/>
    <x v="129"/>
    <x v="0"/>
    <x v="0"/>
    <x v="0"/>
    <x v="1"/>
    <x v="0"/>
    <x v="0"/>
    <x v="1"/>
    <x v="0"/>
    <x v="1"/>
    <x v="0"/>
    <x v="0"/>
  </r>
  <r>
    <x v="130"/>
    <x v="0"/>
    <x v="4"/>
    <x v="4"/>
    <x v="130"/>
    <x v="130"/>
    <x v="130"/>
    <x v="0"/>
    <x v="0"/>
    <x v="0"/>
    <x v="1"/>
    <x v="0"/>
    <x v="0"/>
    <x v="1"/>
    <x v="0"/>
    <x v="1"/>
    <x v="0"/>
    <x v="0"/>
  </r>
  <r>
    <x v="131"/>
    <x v="1"/>
    <x v="4"/>
    <x v="4"/>
    <x v="131"/>
    <x v="131"/>
    <x v="131"/>
    <x v="0"/>
    <x v="0"/>
    <x v="0"/>
    <x v="0"/>
    <x v="0"/>
    <x v="0"/>
    <x v="0"/>
    <x v="0"/>
    <x v="0"/>
    <x v="0"/>
    <x v="0"/>
  </r>
  <r>
    <x v="132"/>
    <x v="2"/>
    <x v="4"/>
    <x v="4"/>
    <x v="132"/>
    <x v="132"/>
    <x v="132"/>
    <x v="0"/>
    <x v="1"/>
    <x v="1"/>
    <x v="1"/>
    <x v="1"/>
    <x v="1"/>
    <x v="1"/>
    <x v="0"/>
    <x v="1"/>
    <x v="1"/>
    <x v="1"/>
  </r>
  <r>
    <x v="133"/>
    <x v="3"/>
    <x v="4"/>
    <x v="4"/>
    <x v="133"/>
    <x v="133"/>
    <x v="133"/>
    <x v="0"/>
    <x v="0"/>
    <x v="0"/>
    <x v="1"/>
    <x v="0"/>
    <x v="0"/>
    <x v="1"/>
    <x v="0"/>
    <x v="1"/>
    <x v="0"/>
    <x v="0"/>
  </r>
  <r>
    <x v="134"/>
    <x v="4"/>
    <x v="4"/>
    <x v="4"/>
    <x v="134"/>
    <x v="134"/>
    <x v="134"/>
    <x v="0"/>
    <x v="0"/>
    <x v="0"/>
    <x v="1"/>
    <x v="1"/>
    <x v="0"/>
    <x v="2"/>
    <x v="0"/>
    <x v="2"/>
    <x v="1"/>
    <x v="0"/>
  </r>
  <r>
    <x v="135"/>
    <x v="5"/>
    <x v="4"/>
    <x v="4"/>
    <x v="135"/>
    <x v="135"/>
    <x v="135"/>
    <x v="0"/>
    <x v="0"/>
    <x v="0"/>
    <x v="1"/>
    <x v="0"/>
    <x v="0"/>
    <x v="2"/>
    <x v="0"/>
    <x v="2"/>
    <x v="0"/>
    <x v="0"/>
  </r>
  <r>
    <x v="136"/>
    <x v="6"/>
    <x v="4"/>
    <x v="4"/>
    <x v="136"/>
    <x v="136"/>
    <x v="136"/>
    <x v="0"/>
    <x v="1"/>
    <x v="1"/>
    <x v="1"/>
    <x v="1"/>
    <x v="1"/>
    <x v="2"/>
    <x v="0"/>
    <x v="5"/>
    <x v="1"/>
    <x v="1"/>
  </r>
  <r>
    <x v="137"/>
    <x v="7"/>
    <x v="4"/>
    <x v="4"/>
    <x v="137"/>
    <x v="137"/>
    <x v="137"/>
    <x v="0"/>
    <x v="0"/>
    <x v="0"/>
    <x v="1"/>
    <x v="0"/>
    <x v="0"/>
    <x v="2"/>
    <x v="0"/>
    <x v="2"/>
    <x v="0"/>
    <x v="0"/>
  </r>
  <r>
    <x v="138"/>
    <x v="8"/>
    <x v="4"/>
    <x v="4"/>
    <x v="138"/>
    <x v="138"/>
    <x v="138"/>
    <x v="0"/>
    <x v="0"/>
    <x v="0"/>
    <x v="1"/>
    <x v="0"/>
    <x v="0"/>
    <x v="1"/>
    <x v="0"/>
    <x v="1"/>
    <x v="0"/>
    <x v="0"/>
  </r>
  <r>
    <x v="139"/>
    <x v="9"/>
    <x v="4"/>
    <x v="4"/>
    <x v="139"/>
    <x v="139"/>
    <x v="139"/>
    <x v="0"/>
    <x v="0"/>
    <x v="0"/>
    <x v="0"/>
    <x v="0"/>
    <x v="0"/>
    <x v="0"/>
    <x v="0"/>
    <x v="0"/>
    <x v="0"/>
    <x v="0"/>
  </r>
  <r>
    <x v="140"/>
    <x v="10"/>
    <x v="4"/>
    <x v="4"/>
    <x v="140"/>
    <x v="140"/>
    <x v="140"/>
    <x v="0"/>
    <x v="0"/>
    <x v="0"/>
    <x v="0"/>
    <x v="0"/>
    <x v="0"/>
    <x v="0"/>
    <x v="0"/>
    <x v="0"/>
    <x v="0"/>
    <x v="0"/>
  </r>
  <r>
    <x v="141"/>
    <x v="11"/>
    <x v="4"/>
    <x v="4"/>
    <x v="141"/>
    <x v="141"/>
    <x v="141"/>
    <x v="0"/>
    <x v="0"/>
    <x v="0"/>
    <x v="1"/>
    <x v="0"/>
    <x v="0"/>
    <x v="1"/>
    <x v="0"/>
    <x v="1"/>
    <x v="0"/>
    <x v="0"/>
  </r>
  <r>
    <x v="142"/>
    <x v="12"/>
    <x v="4"/>
    <x v="4"/>
    <x v="142"/>
    <x v="142"/>
    <x v="142"/>
    <x v="0"/>
    <x v="0"/>
    <x v="0"/>
    <x v="1"/>
    <x v="0"/>
    <x v="0"/>
    <x v="2"/>
    <x v="0"/>
    <x v="2"/>
    <x v="0"/>
    <x v="0"/>
  </r>
  <r>
    <x v="143"/>
    <x v="13"/>
    <x v="4"/>
    <x v="4"/>
    <x v="143"/>
    <x v="143"/>
    <x v="143"/>
    <x v="0"/>
    <x v="0"/>
    <x v="0"/>
    <x v="1"/>
    <x v="0"/>
    <x v="0"/>
    <x v="1"/>
    <x v="0"/>
    <x v="1"/>
    <x v="0"/>
    <x v="0"/>
  </r>
  <r>
    <x v="144"/>
    <x v="14"/>
    <x v="4"/>
    <x v="4"/>
    <x v="144"/>
    <x v="144"/>
    <x v="144"/>
    <x v="0"/>
    <x v="0"/>
    <x v="0"/>
    <x v="1"/>
    <x v="1"/>
    <x v="0"/>
    <x v="2"/>
    <x v="0"/>
    <x v="2"/>
    <x v="1"/>
    <x v="0"/>
  </r>
  <r>
    <x v="145"/>
    <x v="15"/>
    <x v="4"/>
    <x v="4"/>
    <x v="145"/>
    <x v="145"/>
    <x v="145"/>
    <x v="0"/>
    <x v="1"/>
    <x v="1"/>
    <x v="1"/>
    <x v="1"/>
    <x v="1"/>
    <x v="1"/>
    <x v="0"/>
    <x v="1"/>
    <x v="1"/>
    <x v="1"/>
  </r>
  <r>
    <x v="146"/>
    <x v="16"/>
    <x v="4"/>
    <x v="4"/>
    <x v="146"/>
    <x v="146"/>
    <x v="146"/>
    <x v="1"/>
    <x v="0"/>
    <x v="2"/>
    <x v="1"/>
    <x v="1"/>
    <x v="1"/>
    <x v="2"/>
    <x v="0"/>
    <x v="5"/>
    <x v="5"/>
    <x v="3"/>
  </r>
  <r>
    <x v="147"/>
    <x v="17"/>
    <x v="4"/>
    <x v="4"/>
    <x v="147"/>
    <x v="147"/>
    <x v="147"/>
    <x v="0"/>
    <x v="0"/>
    <x v="0"/>
    <x v="0"/>
    <x v="0"/>
    <x v="0"/>
    <x v="0"/>
    <x v="0"/>
    <x v="0"/>
    <x v="0"/>
    <x v="0"/>
  </r>
  <r>
    <x v="148"/>
    <x v="18"/>
    <x v="4"/>
    <x v="4"/>
    <x v="148"/>
    <x v="148"/>
    <x v="148"/>
    <x v="1"/>
    <x v="2"/>
    <x v="2"/>
    <x v="1"/>
    <x v="1"/>
    <x v="1"/>
    <x v="2"/>
    <x v="0"/>
    <x v="7"/>
    <x v="1"/>
    <x v="1"/>
  </r>
  <r>
    <x v="149"/>
    <x v="19"/>
    <x v="4"/>
    <x v="4"/>
    <x v="149"/>
    <x v="149"/>
    <x v="149"/>
    <x v="0"/>
    <x v="1"/>
    <x v="3"/>
    <x v="1"/>
    <x v="1"/>
    <x v="1"/>
    <x v="2"/>
    <x v="0"/>
    <x v="2"/>
    <x v="1"/>
    <x v="1"/>
  </r>
  <r>
    <x v="150"/>
    <x v="20"/>
    <x v="4"/>
    <x v="4"/>
    <x v="150"/>
    <x v="150"/>
    <x v="150"/>
    <x v="0"/>
    <x v="0"/>
    <x v="0"/>
    <x v="1"/>
    <x v="1"/>
    <x v="0"/>
    <x v="2"/>
    <x v="0"/>
    <x v="3"/>
    <x v="1"/>
    <x v="0"/>
  </r>
  <r>
    <x v="151"/>
    <x v="21"/>
    <x v="4"/>
    <x v="4"/>
    <x v="151"/>
    <x v="151"/>
    <x v="151"/>
    <x v="0"/>
    <x v="0"/>
    <x v="0"/>
    <x v="1"/>
    <x v="0"/>
    <x v="0"/>
    <x v="2"/>
    <x v="0"/>
    <x v="3"/>
    <x v="0"/>
    <x v="0"/>
  </r>
  <r>
    <x v="152"/>
    <x v="22"/>
    <x v="4"/>
    <x v="4"/>
    <x v="152"/>
    <x v="152"/>
    <x v="152"/>
    <x v="0"/>
    <x v="0"/>
    <x v="0"/>
    <x v="0"/>
    <x v="0"/>
    <x v="0"/>
    <x v="0"/>
    <x v="0"/>
    <x v="0"/>
    <x v="0"/>
    <x v="0"/>
  </r>
  <r>
    <x v="153"/>
    <x v="23"/>
    <x v="4"/>
    <x v="4"/>
    <x v="153"/>
    <x v="153"/>
    <x v="153"/>
    <x v="0"/>
    <x v="0"/>
    <x v="1"/>
    <x v="1"/>
    <x v="1"/>
    <x v="1"/>
    <x v="2"/>
    <x v="0"/>
    <x v="2"/>
    <x v="2"/>
    <x v="1"/>
  </r>
  <r>
    <x v="154"/>
    <x v="24"/>
    <x v="4"/>
    <x v="4"/>
    <x v="154"/>
    <x v="154"/>
    <x v="154"/>
    <x v="0"/>
    <x v="0"/>
    <x v="1"/>
    <x v="1"/>
    <x v="1"/>
    <x v="1"/>
    <x v="2"/>
    <x v="0"/>
    <x v="3"/>
    <x v="1"/>
    <x v="1"/>
  </r>
  <r>
    <x v="155"/>
    <x v="25"/>
    <x v="4"/>
    <x v="4"/>
    <x v="155"/>
    <x v="155"/>
    <x v="155"/>
    <x v="2"/>
    <x v="2"/>
    <x v="2"/>
    <x v="1"/>
    <x v="1"/>
    <x v="1"/>
    <x v="2"/>
    <x v="0"/>
    <x v="7"/>
    <x v="2"/>
    <x v="3"/>
  </r>
  <r>
    <x v="156"/>
    <x v="26"/>
    <x v="4"/>
    <x v="4"/>
    <x v="156"/>
    <x v="156"/>
    <x v="156"/>
    <x v="0"/>
    <x v="0"/>
    <x v="0"/>
    <x v="0"/>
    <x v="0"/>
    <x v="0"/>
    <x v="0"/>
    <x v="0"/>
    <x v="0"/>
    <x v="0"/>
    <x v="0"/>
  </r>
  <r>
    <x v="157"/>
    <x v="27"/>
    <x v="4"/>
    <x v="4"/>
    <x v="157"/>
    <x v="157"/>
    <x v="157"/>
    <x v="3"/>
    <x v="1"/>
    <x v="2"/>
    <x v="1"/>
    <x v="1"/>
    <x v="1"/>
    <x v="2"/>
    <x v="0"/>
    <x v="2"/>
    <x v="5"/>
    <x v="3"/>
  </r>
  <r>
    <x v="158"/>
    <x v="28"/>
    <x v="4"/>
    <x v="4"/>
    <x v="158"/>
    <x v="158"/>
    <x v="158"/>
    <x v="0"/>
    <x v="0"/>
    <x v="0"/>
    <x v="1"/>
    <x v="1"/>
    <x v="0"/>
    <x v="2"/>
    <x v="0"/>
    <x v="2"/>
    <x v="1"/>
    <x v="0"/>
  </r>
  <r>
    <x v="159"/>
    <x v="29"/>
    <x v="4"/>
    <x v="4"/>
    <x v="159"/>
    <x v="159"/>
    <x v="159"/>
    <x v="0"/>
    <x v="0"/>
    <x v="0"/>
    <x v="0"/>
    <x v="0"/>
    <x v="0"/>
    <x v="0"/>
    <x v="0"/>
    <x v="0"/>
    <x v="0"/>
    <x v="0"/>
  </r>
  <r>
    <x v="160"/>
    <x v="30"/>
    <x v="4"/>
    <x v="4"/>
    <x v="160"/>
    <x v="160"/>
    <x v="160"/>
    <x v="0"/>
    <x v="0"/>
    <x v="1"/>
    <x v="1"/>
    <x v="1"/>
    <x v="1"/>
    <x v="1"/>
    <x v="0"/>
    <x v="1"/>
    <x v="5"/>
    <x v="1"/>
  </r>
  <r>
    <x v="161"/>
    <x v="31"/>
    <x v="4"/>
    <x v="4"/>
    <x v="161"/>
    <x v="161"/>
    <x v="161"/>
    <x v="0"/>
    <x v="0"/>
    <x v="0"/>
    <x v="0"/>
    <x v="0"/>
    <x v="0"/>
    <x v="0"/>
    <x v="0"/>
    <x v="0"/>
    <x v="0"/>
    <x v="0"/>
  </r>
  <r>
    <x v="162"/>
    <x v="32"/>
    <x v="4"/>
    <x v="4"/>
    <x v="162"/>
    <x v="162"/>
    <x v="162"/>
    <x v="0"/>
    <x v="0"/>
    <x v="0"/>
    <x v="1"/>
    <x v="0"/>
    <x v="0"/>
    <x v="2"/>
    <x v="0"/>
    <x v="5"/>
    <x v="0"/>
    <x v="0"/>
  </r>
  <r>
    <x v="163"/>
    <x v="33"/>
    <x v="4"/>
    <x v="4"/>
    <x v="163"/>
    <x v="163"/>
    <x v="163"/>
    <x v="0"/>
    <x v="0"/>
    <x v="0"/>
    <x v="0"/>
    <x v="0"/>
    <x v="0"/>
    <x v="0"/>
    <x v="0"/>
    <x v="0"/>
    <x v="0"/>
    <x v="0"/>
  </r>
  <r>
    <x v="164"/>
    <x v="34"/>
    <x v="4"/>
    <x v="4"/>
    <x v="164"/>
    <x v="164"/>
    <x v="164"/>
    <x v="0"/>
    <x v="0"/>
    <x v="0"/>
    <x v="0"/>
    <x v="0"/>
    <x v="0"/>
    <x v="0"/>
    <x v="0"/>
    <x v="0"/>
    <x v="0"/>
    <x v="0"/>
  </r>
  <r>
    <x v="165"/>
    <x v="35"/>
    <x v="4"/>
    <x v="4"/>
    <x v="165"/>
    <x v="165"/>
    <x v="165"/>
    <x v="0"/>
    <x v="0"/>
    <x v="0"/>
    <x v="1"/>
    <x v="1"/>
    <x v="0"/>
    <x v="2"/>
    <x v="0"/>
    <x v="5"/>
    <x v="2"/>
    <x v="0"/>
  </r>
  <r>
    <x v="166"/>
    <x v="36"/>
    <x v="4"/>
    <x v="4"/>
    <x v="166"/>
    <x v="166"/>
    <x v="166"/>
    <x v="0"/>
    <x v="0"/>
    <x v="0"/>
    <x v="1"/>
    <x v="0"/>
    <x v="0"/>
    <x v="1"/>
    <x v="0"/>
    <x v="1"/>
    <x v="0"/>
    <x v="0"/>
  </r>
  <r>
    <x v="167"/>
    <x v="0"/>
    <x v="5"/>
    <x v="5"/>
    <x v="167"/>
    <x v="167"/>
    <x v="167"/>
    <x v="0"/>
    <x v="0"/>
    <x v="0"/>
    <x v="0"/>
    <x v="0"/>
    <x v="0"/>
    <x v="0"/>
    <x v="0"/>
    <x v="0"/>
    <x v="0"/>
    <x v="0"/>
  </r>
  <r>
    <x v="168"/>
    <x v="1"/>
    <x v="5"/>
    <x v="5"/>
    <x v="168"/>
    <x v="168"/>
    <x v="168"/>
    <x v="0"/>
    <x v="0"/>
    <x v="0"/>
    <x v="1"/>
    <x v="1"/>
    <x v="0"/>
    <x v="2"/>
    <x v="0"/>
    <x v="5"/>
    <x v="5"/>
    <x v="0"/>
  </r>
  <r>
    <x v="169"/>
    <x v="2"/>
    <x v="5"/>
    <x v="5"/>
    <x v="169"/>
    <x v="169"/>
    <x v="169"/>
    <x v="0"/>
    <x v="0"/>
    <x v="0"/>
    <x v="1"/>
    <x v="1"/>
    <x v="0"/>
    <x v="2"/>
    <x v="0"/>
    <x v="5"/>
    <x v="1"/>
    <x v="0"/>
  </r>
  <r>
    <x v="170"/>
    <x v="3"/>
    <x v="5"/>
    <x v="5"/>
    <x v="170"/>
    <x v="170"/>
    <x v="170"/>
    <x v="0"/>
    <x v="0"/>
    <x v="0"/>
    <x v="1"/>
    <x v="1"/>
    <x v="0"/>
    <x v="2"/>
    <x v="0"/>
    <x v="2"/>
    <x v="5"/>
    <x v="0"/>
  </r>
  <r>
    <x v="171"/>
    <x v="4"/>
    <x v="5"/>
    <x v="5"/>
    <x v="171"/>
    <x v="171"/>
    <x v="171"/>
    <x v="0"/>
    <x v="0"/>
    <x v="0"/>
    <x v="0"/>
    <x v="0"/>
    <x v="0"/>
    <x v="0"/>
    <x v="0"/>
    <x v="0"/>
    <x v="0"/>
    <x v="0"/>
  </r>
  <r>
    <x v="172"/>
    <x v="5"/>
    <x v="5"/>
    <x v="5"/>
    <x v="172"/>
    <x v="172"/>
    <x v="172"/>
    <x v="0"/>
    <x v="0"/>
    <x v="0"/>
    <x v="0"/>
    <x v="0"/>
    <x v="0"/>
    <x v="0"/>
    <x v="0"/>
    <x v="0"/>
    <x v="0"/>
    <x v="0"/>
  </r>
  <r>
    <x v="173"/>
    <x v="6"/>
    <x v="5"/>
    <x v="5"/>
    <x v="173"/>
    <x v="173"/>
    <x v="173"/>
    <x v="0"/>
    <x v="0"/>
    <x v="0"/>
    <x v="1"/>
    <x v="0"/>
    <x v="0"/>
    <x v="1"/>
    <x v="0"/>
    <x v="1"/>
    <x v="0"/>
    <x v="0"/>
  </r>
  <r>
    <x v="174"/>
    <x v="7"/>
    <x v="5"/>
    <x v="5"/>
    <x v="174"/>
    <x v="174"/>
    <x v="174"/>
    <x v="0"/>
    <x v="0"/>
    <x v="0"/>
    <x v="1"/>
    <x v="1"/>
    <x v="0"/>
    <x v="1"/>
    <x v="0"/>
    <x v="1"/>
    <x v="2"/>
    <x v="0"/>
  </r>
  <r>
    <x v="175"/>
    <x v="8"/>
    <x v="5"/>
    <x v="5"/>
    <x v="175"/>
    <x v="175"/>
    <x v="175"/>
    <x v="0"/>
    <x v="0"/>
    <x v="0"/>
    <x v="1"/>
    <x v="1"/>
    <x v="0"/>
    <x v="1"/>
    <x v="0"/>
    <x v="1"/>
    <x v="1"/>
    <x v="0"/>
  </r>
  <r>
    <x v="176"/>
    <x v="9"/>
    <x v="5"/>
    <x v="5"/>
    <x v="176"/>
    <x v="176"/>
    <x v="176"/>
    <x v="0"/>
    <x v="0"/>
    <x v="0"/>
    <x v="1"/>
    <x v="1"/>
    <x v="0"/>
    <x v="1"/>
    <x v="0"/>
    <x v="1"/>
    <x v="1"/>
    <x v="0"/>
  </r>
  <r>
    <x v="177"/>
    <x v="10"/>
    <x v="5"/>
    <x v="5"/>
    <x v="177"/>
    <x v="177"/>
    <x v="177"/>
    <x v="0"/>
    <x v="0"/>
    <x v="0"/>
    <x v="1"/>
    <x v="0"/>
    <x v="0"/>
    <x v="2"/>
    <x v="0"/>
    <x v="2"/>
    <x v="0"/>
    <x v="0"/>
  </r>
  <r>
    <x v="178"/>
    <x v="11"/>
    <x v="5"/>
    <x v="5"/>
    <x v="178"/>
    <x v="178"/>
    <x v="178"/>
    <x v="0"/>
    <x v="0"/>
    <x v="0"/>
    <x v="0"/>
    <x v="0"/>
    <x v="0"/>
    <x v="0"/>
    <x v="0"/>
    <x v="0"/>
    <x v="0"/>
    <x v="0"/>
  </r>
  <r>
    <x v="179"/>
    <x v="12"/>
    <x v="5"/>
    <x v="5"/>
    <x v="179"/>
    <x v="179"/>
    <x v="179"/>
    <x v="0"/>
    <x v="0"/>
    <x v="0"/>
    <x v="0"/>
    <x v="0"/>
    <x v="0"/>
    <x v="0"/>
    <x v="0"/>
    <x v="0"/>
    <x v="0"/>
    <x v="0"/>
  </r>
  <r>
    <x v="180"/>
    <x v="13"/>
    <x v="5"/>
    <x v="5"/>
    <x v="180"/>
    <x v="180"/>
    <x v="180"/>
    <x v="0"/>
    <x v="0"/>
    <x v="0"/>
    <x v="1"/>
    <x v="1"/>
    <x v="0"/>
    <x v="1"/>
    <x v="0"/>
    <x v="1"/>
    <x v="1"/>
    <x v="0"/>
  </r>
  <r>
    <x v="181"/>
    <x v="14"/>
    <x v="5"/>
    <x v="5"/>
    <x v="181"/>
    <x v="181"/>
    <x v="181"/>
    <x v="0"/>
    <x v="0"/>
    <x v="1"/>
    <x v="1"/>
    <x v="1"/>
    <x v="1"/>
    <x v="1"/>
    <x v="0"/>
    <x v="1"/>
    <x v="1"/>
    <x v="1"/>
  </r>
  <r>
    <x v="182"/>
    <x v="15"/>
    <x v="5"/>
    <x v="5"/>
    <x v="182"/>
    <x v="182"/>
    <x v="182"/>
    <x v="0"/>
    <x v="0"/>
    <x v="0"/>
    <x v="1"/>
    <x v="0"/>
    <x v="0"/>
    <x v="1"/>
    <x v="0"/>
    <x v="1"/>
    <x v="0"/>
    <x v="0"/>
  </r>
  <r>
    <x v="183"/>
    <x v="16"/>
    <x v="5"/>
    <x v="5"/>
    <x v="183"/>
    <x v="183"/>
    <x v="183"/>
    <x v="0"/>
    <x v="1"/>
    <x v="3"/>
    <x v="1"/>
    <x v="1"/>
    <x v="1"/>
    <x v="2"/>
    <x v="0"/>
    <x v="2"/>
    <x v="2"/>
    <x v="1"/>
  </r>
  <r>
    <x v="184"/>
    <x v="17"/>
    <x v="5"/>
    <x v="5"/>
    <x v="184"/>
    <x v="184"/>
    <x v="184"/>
    <x v="0"/>
    <x v="0"/>
    <x v="0"/>
    <x v="1"/>
    <x v="1"/>
    <x v="0"/>
    <x v="1"/>
    <x v="0"/>
    <x v="1"/>
    <x v="1"/>
    <x v="0"/>
  </r>
  <r>
    <x v="185"/>
    <x v="18"/>
    <x v="5"/>
    <x v="5"/>
    <x v="185"/>
    <x v="185"/>
    <x v="185"/>
    <x v="1"/>
    <x v="1"/>
    <x v="2"/>
    <x v="1"/>
    <x v="1"/>
    <x v="1"/>
    <x v="2"/>
    <x v="0"/>
    <x v="2"/>
    <x v="1"/>
    <x v="1"/>
  </r>
  <r>
    <x v="186"/>
    <x v="19"/>
    <x v="5"/>
    <x v="5"/>
    <x v="186"/>
    <x v="186"/>
    <x v="186"/>
    <x v="1"/>
    <x v="1"/>
    <x v="2"/>
    <x v="1"/>
    <x v="1"/>
    <x v="1"/>
    <x v="2"/>
    <x v="0"/>
    <x v="2"/>
    <x v="1"/>
    <x v="1"/>
  </r>
  <r>
    <x v="187"/>
    <x v="0"/>
    <x v="6"/>
    <x v="6"/>
    <x v="187"/>
    <x v="187"/>
    <x v="187"/>
    <x v="1"/>
    <x v="1"/>
    <x v="2"/>
    <x v="1"/>
    <x v="1"/>
    <x v="1"/>
    <x v="2"/>
    <x v="0"/>
    <x v="5"/>
    <x v="1"/>
    <x v="1"/>
  </r>
  <r>
    <x v="188"/>
    <x v="1"/>
    <x v="6"/>
    <x v="6"/>
    <x v="188"/>
    <x v="188"/>
    <x v="188"/>
    <x v="1"/>
    <x v="1"/>
    <x v="2"/>
    <x v="1"/>
    <x v="1"/>
    <x v="1"/>
    <x v="2"/>
    <x v="0"/>
    <x v="2"/>
    <x v="5"/>
    <x v="1"/>
  </r>
  <r>
    <x v="189"/>
    <x v="2"/>
    <x v="6"/>
    <x v="6"/>
    <x v="189"/>
    <x v="189"/>
    <x v="189"/>
    <x v="0"/>
    <x v="0"/>
    <x v="0"/>
    <x v="1"/>
    <x v="0"/>
    <x v="0"/>
    <x v="1"/>
    <x v="0"/>
    <x v="1"/>
    <x v="0"/>
    <x v="0"/>
  </r>
  <r>
    <x v="190"/>
    <x v="3"/>
    <x v="6"/>
    <x v="6"/>
    <x v="190"/>
    <x v="190"/>
    <x v="190"/>
    <x v="0"/>
    <x v="0"/>
    <x v="0"/>
    <x v="1"/>
    <x v="0"/>
    <x v="0"/>
    <x v="1"/>
    <x v="0"/>
    <x v="1"/>
    <x v="0"/>
    <x v="0"/>
  </r>
  <r>
    <x v="191"/>
    <x v="4"/>
    <x v="6"/>
    <x v="6"/>
    <x v="191"/>
    <x v="191"/>
    <x v="191"/>
    <x v="0"/>
    <x v="0"/>
    <x v="0"/>
    <x v="1"/>
    <x v="1"/>
    <x v="0"/>
    <x v="1"/>
    <x v="0"/>
    <x v="1"/>
    <x v="1"/>
    <x v="0"/>
  </r>
  <r>
    <x v="192"/>
    <x v="5"/>
    <x v="6"/>
    <x v="6"/>
    <x v="192"/>
    <x v="192"/>
    <x v="192"/>
    <x v="0"/>
    <x v="0"/>
    <x v="0"/>
    <x v="0"/>
    <x v="0"/>
    <x v="0"/>
    <x v="0"/>
    <x v="0"/>
    <x v="0"/>
    <x v="0"/>
    <x v="0"/>
  </r>
  <r>
    <x v="193"/>
    <x v="6"/>
    <x v="6"/>
    <x v="6"/>
    <x v="193"/>
    <x v="193"/>
    <x v="193"/>
    <x v="0"/>
    <x v="0"/>
    <x v="0"/>
    <x v="1"/>
    <x v="0"/>
    <x v="0"/>
    <x v="1"/>
    <x v="0"/>
    <x v="1"/>
    <x v="0"/>
    <x v="0"/>
  </r>
  <r>
    <x v="194"/>
    <x v="7"/>
    <x v="6"/>
    <x v="6"/>
    <x v="194"/>
    <x v="194"/>
    <x v="194"/>
    <x v="0"/>
    <x v="0"/>
    <x v="0"/>
    <x v="0"/>
    <x v="0"/>
    <x v="0"/>
    <x v="0"/>
    <x v="0"/>
    <x v="0"/>
    <x v="0"/>
    <x v="0"/>
  </r>
  <r>
    <x v="195"/>
    <x v="8"/>
    <x v="6"/>
    <x v="6"/>
    <x v="195"/>
    <x v="195"/>
    <x v="195"/>
    <x v="2"/>
    <x v="1"/>
    <x v="2"/>
    <x v="1"/>
    <x v="1"/>
    <x v="1"/>
    <x v="2"/>
    <x v="0"/>
    <x v="7"/>
    <x v="3"/>
    <x v="2"/>
  </r>
  <r>
    <x v="196"/>
    <x v="9"/>
    <x v="6"/>
    <x v="6"/>
    <x v="196"/>
    <x v="196"/>
    <x v="196"/>
    <x v="0"/>
    <x v="0"/>
    <x v="0"/>
    <x v="1"/>
    <x v="1"/>
    <x v="0"/>
    <x v="2"/>
    <x v="0"/>
    <x v="7"/>
    <x v="1"/>
    <x v="0"/>
  </r>
  <r>
    <x v="197"/>
    <x v="10"/>
    <x v="6"/>
    <x v="6"/>
    <x v="197"/>
    <x v="197"/>
    <x v="197"/>
    <x v="0"/>
    <x v="0"/>
    <x v="0"/>
    <x v="0"/>
    <x v="0"/>
    <x v="0"/>
    <x v="0"/>
    <x v="0"/>
    <x v="0"/>
    <x v="0"/>
    <x v="0"/>
  </r>
  <r>
    <x v="198"/>
    <x v="11"/>
    <x v="6"/>
    <x v="6"/>
    <x v="198"/>
    <x v="198"/>
    <x v="198"/>
    <x v="0"/>
    <x v="0"/>
    <x v="0"/>
    <x v="0"/>
    <x v="0"/>
    <x v="0"/>
    <x v="0"/>
    <x v="0"/>
    <x v="0"/>
    <x v="0"/>
    <x v="0"/>
  </r>
  <r>
    <x v="199"/>
    <x v="12"/>
    <x v="6"/>
    <x v="6"/>
    <x v="199"/>
    <x v="199"/>
    <x v="199"/>
    <x v="0"/>
    <x v="0"/>
    <x v="0"/>
    <x v="0"/>
    <x v="0"/>
    <x v="0"/>
    <x v="0"/>
    <x v="0"/>
    <x v="0"/>
    <x v="0"/>
    <x v="0"/>
  </r>
  <r>
    <x v="200"/>
    <x v="13"/>
    <x v="6"/>
    <x v="6"/>
    <x v="200"/>
    <x v="200"/>
    <x v="200"/>
    <x v="1"/>
    <x v="1"/>
    <x v="2"/>
    <x v="1"/>
    <x v="1"/>
    <x v="1"/>
    <x v="2"/>
    <x v="0"/>
    <x v="8"/>
    <x v="2"/>
    <x v="1"/>
  </r>
  <r>
    <x v="201"/>
    <x v="14"/>
    <x v="6"/>
    <x v="6"/>
    <x v="201"/>
    <x v="201"/>
    <x v="201"/>
    <x v="2"/>
    <x v="1"/>
    <x v="2"/>
    <x v="1"/>
    <x v="1"/>
    <x v="1"/>
    <x v="2"/>
    <x v="0"/>
    <x v="5"/>
    <x v="5"/>
    <x v="2"/>
  </r>
  <r>
    <x v="202"/>
    <x v="15"/>
    <x v="6"/>
    <x v="6"/>
    <x v="202"/>
    <x v="202"/>
    <x v="202"/>
    <x v="3"/>
    <x v="0"/>
    <x v="2"/>
    <x v="1"/>
    <x v="1"/>
    <x v="1"/>
    <x v="2"/>
    <x v="0"/>
    <x v="7"/>
    <x v="5"/>
    <x v="2"/>
  </r>
  <r>
    <x v="203"/>
    <x v="16"/>
    <x v="6"/>
    <x v="6"/>
    <x v="203"/>
    <x v="203"/>
    <x v="203"/>
    <x v="0"/>
    <x v="0"/>
    <x v="3"/>
    <x v="1"/>
    <x v="1"/>
    <x v="1"/>
    <x v="2"/>
    <x v="0"/>
    <x v="7"/>
    <x v="5"/>
    <x v="1"/>
  </r>
  <r>
    <x v="204"/>
    <x v="17"/>
    <x v="6"/>
    <x v="6"/>
    <x v="204"/>
    <x v="204"/>
    <x v="204"/>
    <x v="0"/>
    <x v="0"/>
    <x v="3"/>
    <x v="1"/>
    <x v="1"/>
    <x v="1"/>
    <x v="1"/>
    <x v="0"/>
    <x v="1"/>
    <x v="1"/>
    <x v="1"/>
  </r>
  <r>
    <x v="205"/>
    <x v="18"/>
    <x v="6"/>
    <x v="6"/>
    <x v="205"/>
    <x v="205"/>
    <x v="205"/>
    <x v="0"/>
    <x v="0"/>
    <x v="0"/>
    <x v="1"/>
    <x v="1"/>
    <x v="0"/>
    <x v="2"/>
    <x v="0"/>
    <x v="5"/>
    <x v="1"/>
    <x v="0"/>
  </r>
  <r>
    <x v="206"/>
    <x v="19"/>
    <x v="6"/>
    <x v="6"/>
    <x v="206"/>
    <x v="206"/>
    <x v="206"/>
    <x v="3"/>
    <x v="0"/>
    <x v="2"/>
    <x v="1"/>
    <x v="1"/>
    <x v="1"/>
    <x v="2"/>
    <x v="0"/>
    <x v="3"/>
    <x v="4"/>
    <x v="3"/>
  </r>
  <r>
    <x v="207"/>
    <x v="20"/>
    <x v="6"/>
    <x v="6"/>
    <x v="207"/>
    <x v="207"/>
    <x v="207"/>
    <x v="0"/>
    <x v="0"/>
    <x v="3"/>
    <x v="1"/>
    <x v="1"/>
    <x v="1"/>
    <x v="2"/>
    <x v="0"/>
    <x v="2"/>
    <x v="1"/>
    <x v="1"/>
  </r>
  <r>
    <x v="208"/>
    <x v="21"/>
    <x v="6"/>
    <x v="6"/>
    <x v="208"/>
    <x v="208"/>
    <x v="208"/>
    <x v="0"/>
    <x v="0"/>
    <x v="0"/>
    <x v="0"/>
    <x v="0"/>
    <x v="0"/>
    <x v="0"/>
    <x v="0"/>
    <x v="0"/>
    <x v="0"/>
    <x v="0"/>
  </r>
  <r>
    <x v="209"/>
    <x v="22"/>
    <x v="6"/>
    <x v="6"/>
    <x v="209"/>
    <x v="209"/>
    <x v="209"/>
    <x v="0"/>
    <x v="0"/>
    <x v="0"/>
    <x v="1"/>
    <x v="0"/>
    <x v="0"/>
    <x v="2"/>
    <x v="0"/>
    <x v="7"/>
    <x v="0"/>
    <x v="0"/>
  </r>
  <r>
    <x v="210"/>
    <x v="23"/>
    <x v="6"/>
    <x v="6"/>
    <x v="210"/>
    <x v="210"/>
    <x v="210"/>
    <x v="0"/>
    <x v="0"/>
    <x v="0"/>
    <x v="1"/>
    <x v="0"/>
    <x v="0"/>
    <x v="2"/>
    <x v="0"/>
    <x v="2"/>
    <x v="0"/>
    <x v="0"/>
  </r>
  <r>
    <x v="211"/>
    <x v="24"/>
    <x v="6"/>
    <x v="6"/>
    <x v="211"/>
    <x v="211"/>
    <x v="211"/>
    <x v="0"/>
    <x v="0"/>
    <x v="0"/>
    <x v="1"/>
    <x v="0"/>
    <x v="0"/>
    <x v="1"/>
    <x v="0"/>
    <x v="1"/>
    <x v="0"/>
    <x v="0"/>
  </r>
  <r>
    <x v="212"/>
    <x v="25"/>
    <x v="6"/>
    <x v="6"/>
    <x v="212"/>
    <x v="212"/>
    <x v="212"/>
    <x v="3"/>
    <x v="0"/>
    <x v="2"/>
    <x v="1"/>
    <x v="1"/>
    <x v="1"/>
    <x v="2"/>
    <x v="0"/>
    <x v="7"/>
    <x v="1"/>
    <x v="2"/>
  </r>
  <r>
    <x v="213"/>
    <x v="26"/>
    <x v="6"/>
    <x v="6"/>
    <x v="213"/>
    <x v="213"/>
    <x v="213"/>
    <x v="0"/>
    <x v="0"/>
    <x v="3"/>
    <x v="1"/>
    <x v="1"/>
    <x v="1"/>
    <x v="2"/>
    <x v="0"/>
    <x v="5"/>
    <x v="1"/>
    <x v="1"/>
  </r>
  <r>
    <x v="214"/>
    <x v="27"/>
    <x v="6"/>
    <x v="6"/>
    <x v="214"/>
    <x v="214"/>
    <x v="214"/>
    <x v="0"/>
    <x v="0"/>
    <x v="0"/>
    <x v="1"/>
    <x v="0"/>
    <x v="0"/>
    <x v="1"/>
    <x v="0"/>
    <x v="1"/>
    <x v="0"/>
    <x v="0"/>
  </r>
  <r>
    <x v="215"/>
    <x v="28"/>
    <x v="6"/>
    <x v="6"/>
    <x v="215"/>
    <x v="215"/>
    <x v="215"/>
    <x v="0"/>
    <x v="0"/>
    <x v="0"/>
    <x v="0"/>
    <x v="0"/>
    <x v="0"/>
    <x v="0"/>
    <x v="0"/>
    <x v="0"/>
    <x v="0"/>
    <x v="0"/>
  </r>
  <r>
    <x v="216"/>
    <x v="29"/>
    <x v="6"/>
    <x v="6"/>
    <x v="216"/>
    <x v="216"/>
    <x v="216"/>
    <x v="2"/>
    <x v="1"/>
    <x v="2"/>
    <x v="1"/>
    <x v="1"/>
    <x v="1"/>
    <x v="1"/>
    <x v="0"/>
    <x v="1"/>
    <x v="1"/>
    <x v="4"/>
  </r>
  <r>
    <x v="217"/>
    <x v="30"/>
    <x v="6"/>
    <x v="6"/>
    <x v="217"/>
    <x v="217"/>
    <x v="217"/>
    <x v="0"/>
    <x v="0"/>
    <x v="0"/>
    <x v="1"/>
    <x v="0"/>
    <x v="0"/>
    <x v="2"/>
    <x v="0"/>
    <x v="3"/>
    <x v="0"/>
    <x v="0"/>
  </r>
  <r>
    <x v="218"/>
    <x v="31"/>
    <x v="6"/>
    <x v="6"/>
    <x v="218"/>
    <x v="218"/>
    <x v="218"/>
    <x v="1"/>
    <x v="0"/>
    <x v="2"/>
    <x v="1"/>
    <x v="1"/>
    <x v="1"/>
    <x v="2"/>
    <x v="0"/>
    <x v="5"/>
    <x v="5"/>
    <x v="1"/>
  </r>
  <r>
    <x v="219"/>
    <x v="32"/>
    <x v="6"/>
    <x v="6"/>
    <x v="219"/>
    <x v="219"/>
    <x v="219"/>
    <x v="0"/>
    <x v="0"/>
    <x v="0"/>
    <x v="1"/>
    <x v="0"/>
    <x v="0"/>
    <x v="1"/>
    <x v="0"/>
    <x v="1"/>
    <x v="0"/>
    <x v="0"/>
  </r>
  <r>
    <x v="220"/>
    <x v="33"/>
    <x v="6"/>
    <x v="6"/>
    <x v="220"/>
    <x v="220"/>
    <x v="220"/>
    <x v="0"/>
    <x v="0"/>
    <x v="0"/>
    <x v="1"/>
    <x v="0"/>
    <x v="0"/>
    <x v="1"/>
    <x v="0"/>
    <x v="1"/>
    <x v="0"/>
    <x v="0"/>
  </r>
  <r>
    <x v="221"/>
    <x v="34"/>
    <x v="6"/>
    <x v="6"/>
    <x v="221"/>
    <x v="221"/>
    <x v="221"/>
    <x v="1"/>
    <x v="0"/>
    <x v="2"/>
    <x v="1"/>
    <x v="1"/>
    <x v="1"/>
    <x v="2"/>
    <x v="0"/>
    <x v="2"/>
    <x v="1"/>
    <x v="1"/>
  </r>
  <r>
    <x v="222"/>
    <x v="35"/>
    <x v="6"/>
    <x v="6"/>
    <x v="222"/>
    <x v="222"/>
    <x v="222"/>
    <x v="0"/>
    <x v="0"/>
    <x v="0"/>
    <x v="1"/>
    <x v="0"/>
    <x v="0"/>
    <x v="2"/>
    <x v="0"/>
    <x v="3"/>
    <x v="0"/>
    <x v="0"/>
  </r>
  <r>
    <x v="223"/>
    <x v="36"/>
    <x v="6"/>
    <x v="6"/>
    <x v="223"/>
    <x v="223"/>
    <x v="223"/>
    <x v="0"/>
    <x v="0"/>
    <x v="0"/>
    <x v="1"/>
    <x v="0"/>
    <x v="0"/>
    <x v="1"/>
    <x v="0"/>
    <x v="1"/>
    <x v="0"/>
    <x v="0"/>
  </r>
  <r>
    <x v="224"/>
    <x v="37"/>
    <x v="6"/>
    <x v="6"/>
    <x v="224"/>
    <x v="224"/>
    <x v="224"/>
    <x v="1"/>
    <x v="0"/>
    <x v="2"/>
    <x v="1"/>
    <x v="1"/>
    <x v="1"/>
    <x v="2"/>
    <x v="0"/>
    <x v="3"/>
    <x v="1"/>
    <x v="1"/>
  </r>
  <r>
    <x v="225"/>
    <x v="38"/>
    <x v="6"/>
    <x v="6"/>
    <x v="225"/>
    <x v="225"/>
    <x v="225"/>
    <x v="0"/>
    <x v="0"/>
    <x v="0"/>
    <x v="1"/>
    <x v="0"/>
    <x v="0"/>
    <x v="1"/>
    <x v="0"/>
    <x v="1"/>
    <x v="0"/>
    <x v="0"/>
  </r>
  <r>
    <x v="226"/>
    <x v="39"/>
    <x v="6"/>
    <x v="6"/>
    <x v="226"/>
    <x v="226"/>
    <x v="226"/>
    <x v="0"/>
    <x v="0"/>
    <x v="0"/>
    <x v="1"/>
    <x v="1"/>
    <x v="0"/>
    <x v="2"/>
    <x v="0"/>
    <x v="2"/>
    <x v="1"/>
    <x v="0"/>
  </r>
  <r>
    <x v="227"/>
    <x v="40"/>
    <x v="6"/>
    <x v="6"/>
    <x v="227"/>
    <x v="227"/>
    <x v="227"/>
    <x v="0"/>
    <x v="0"/>
    <x v="0"/>
    <x v="0"/>
    <x v="0"/>
    <x v="0"/>
    <x v="0"/>
    <x v="0"/>
    <x v="0"/>
    <x v="0"/>
    <x v="0"/>
  </r>
  <r>
    <x v="228"/>
    <x v="41"/>
    <x v="6"/>
    <x v="6"/>
    <x v="228"/>
    <x v="228"/>
    <x v="228"/>
    <x v="1"/>
    <x v="0"/>
    <x v="2"/>
    <x v="1"/>
    <x v="1"/>
    <x v="1"/>
    <x v="2"/>
    <x v="0"/>
    <x v="5"/>
    <x v="1"/>
    <x v="1"/>
  </r>
  <r>
    <x v="229"/>
    <x v="42"/>
    <x v="6"/>
    <x v="6"/>
    <x v="229"/>
    <x v="229"/>
    <x v="229"/>
    <x v="0"/>
    <x v="0"/>
    <x v="0"/>
    <x v="1"/>
    <x v="0"/>
    <x v="0"/>
    <x v="1"/>
    <x v="0"/>
    <x v="1"/>
    <x v="0"/>
    <x v="0"/>
  </r>
  <r>
    <x v="230"/>
    <x v="43"/>
    <x v="6"/>
    <x v="6"/>
    <x v="230"/>
    <x v="230"/>
    <x v="230"/>
    <x v="2"/>
    <x v="0"/>
    <x v="2"/>
    <x v="1"/>
    <x v="1"/>
    <x v="1"/>
    <x v="2"/>
    <x v="0"/>
    <x v="3"/>
    <x v="5"/>
    <x v="2"/>
  </r>
  <r>
    <x v="231"/>
    <x v="0"/>
    <x v="7"/>
    <x v="7"/>
    <x v="231"/>
    <x v="231"/>
    <x v="231"/>
    <x v="0"/>
    <x v="0"/>
    <x v="0"/>
    <x v="1"/>
    <x v="1"/>
    <x v="0"/>
    <x v="2"/>
    <x v="0"/>
    <x v="5"/>
    <x v="5"/>
    <x v="0"/>
  </r>
  <r>
    <x v="232"/>
    <x v="1"/>
    <x v="7"/>
    <x v="7"/>
    <x v="232"/>
    <x v="232"/>
    <x v="232"/>
    <x v="0"/>
    <x v="0"/>
    <x v="0"/>
    <x v="1"/>
    <x v="1"/>
    <x v="0"/>
    <x v="2"/>
    <x v="0"/>
    <x v="2"/>
    <x v="1"/>
    <x v="0"/>
  </r>
  <r>
    <x v="233"/>
    <x v="2"/>
    <x v="7"/>
    <x v="7"/>
    <x v="233"/>
    <x v="233"/>
    <x v="233"/>
    <x v="0"/>
    <x v="0"/>
    <x v="0"/>
    <x v="1"/>
    <x v="1"/>
    <x v="0"/>
    <x v="2"/>
    <x v="0"/>
    <x v="7"/>
    <x v="5"/>
    <x v="0"/>
  </r>
  <r>
    <x v="234"/>
    <x v="3"/>
    <x v="7"/>
    <x v="7"/>
    <x v="234"/>
    <x v="234"/>
    <x v="234"/>
    <x v="0"/>
    <x v="0"/>
    <x v="0"/>
    <x v="1"/>
    <x v="1"/>
    <x v="0"/>
    <x v="2"/>
    <x v="0"/>
    <x v="2"/>
    <x v="1"/>
    <x v="0"/>
  </r>
  <r>
    <x v="235"/>
    <x v="4"/>
    <x v="7"/>
    <x v="7"/>
    <x v="235"/>
    <x v="235"/>
    <x v="235"/>
    <x v="0"/>
    <x v="0"/>
    <x v="0"/>
    <x v="0"/>
    <x v="0"/>
    <x v="0"/>
    <x v="0"/>
    <x v="0"/>
    <x v="0"/>
    <x v="0"/>
    <x v="0"/>
  </r>
  <r>
    <x v="236"/>
    <x v="5"/>
    <x v="7"/>
    <x v="7"/>
    <x v="236"/>
    <x v="236"/>
    <x v="236"/>
    <x v="0"/>
    <x v="0"/>
    <x v="0"/>
    <x v="0"/>
    <x v="0"/>
    <x v="0"/>
    <x v="0"/>
    <x v="0"/>
    <x v="0"/>
    <x v="0"/>
    <x v="0"/>
  </r>
  <r>
    <x v="237"/>
    <x v="6"/>
    <x v="7"/>
    <x v="7"/>
    <x v="237"/>
    <x v="237"/>
    <x v="237"/>
    <x v="0"/>
    <x v="0"/>
    <x v="0"/>
    <x v="1"/>
    <x v="0"/>
    <x v="0"/>
    <x v="1"/>
    <x v="0"/>
    <x v="1"/>
    <x v="0"/>
    <x v="0"/>
  </r>
  <r>
    <x v="238"/>
    <x v="7"/>
    <x v="7"/>
    <x v="7"/>
    <x v="238"/>
    <x v="238"/>
    <x v="238"/>
    <x v="0"/>
    <x v="0"/>
    <x v="0"/>
    <x v="1"/>
    <x v="0"/>
    <x v="0"/>
    <x v="1"/>
    <x v="0"/>
    <x v="1"/>
    <x v="0"/>
    <x v="0"/>
  </r>
  <r>
    <x v="239"/>
    <x v="8"/>
    <x v="7"/>
    <x v="7"/>
    <x v="239"/>
    <x v="239"/>
    <x v="239"/>
    <x v="1"/>
    <x v="0"/>
    <x v="2"/>
    <x v="1"/>
    <x v="1"/>
    <x v="1"/>
    <x v="2"/>
    <x v="0"/>
    <x v="5"/>
    <x v="1"/>
    <x v="1"/>
  </r>
  <r>
    <x v="240"/>
    <x v="9"/>
    <x v="7"/>
    <x v="7"/>
    <x v="240"/>
    <x v="240"/>
    <x v="240"/>
    <x v="0"/>
    <x v="0"/>
    <x v="0"/>
    <x v="1"/>
    <x v="0"/>
    <x v="0"/>
    <x v="2"/>
    <x v="0"/>
    <x v="2"/>
    <x v="0"/>
    <x v="0"/>
  </r>
  <r>
    <x v="241"/>
    <x v="10"/>
    <x v="7"/>
    <x v="7"/>
    <x v="241"/>
    <x v="241"/>
    <x v="241"/>
    <x v="0"/>
    <x v="0"/>
    <x v="0"/>
    <x v="1"/>
    <x v="1"/>
    <x v="0"/>
    <x v="2"/>
    <x v="0"/>
    <x v="7"/>
    <x v="1"/>
    <x v="0"/>
  </r>
  <r>
    <x v="242"/>
    <x v="11"/>
    <x v="7"/>
    <x v="7"/>
    <x v="242"/>
    <x v="242"/>
    <x v="242"/>
    <x v="0"/>
    <x v="0"/>
    <x v="0"/>
    <x v="0"/>
    <x v="0"/>
    <x v="0"/>
    <x v="0"/>
    <x v="0"/>
    <x v="0"/>
    <x v="0"/>
    <x v="0"/>
  </r>
  <r>
    <x v="243"/>
    <x v="12"/>
    <x v="7"/>
    <x v="7"/>
    <x v="243"/>
    <x v="243"/>
    <x v="243"/>
    <x v="1"/>
    <x v="0"/>
    <x v="2"/>
    <x v="1"/>
    <x v="1"/>
    <x v="1"/>
    <x v="2"/>
    <x v="0"/>
    <x v="2"/>
    <x v="1"/>
    <x v="1"/>
  </r>
  <r>
    <x v="244"/>
    <x v="13"/>
    <x v="7"/>
    <x v="7"/>
    <x v="244"/>
    <x v="244"/>
    <x v="244"/>
    <x v="0"/>
    <x v="0"/>
    <x v="0"/>
    <x v="0"/>
    <x v="0"/>
    <x v="0"/>
    <x v="0"/>
    <x v="0"/>
    <x v="0"/>
    <x v="0"/>
    <x v="0"/>
  </r>
  <r>
    <x v="245"/>
    <x v="14"/>
    <x v="7"/>
    <x v="7"/>
    <x v="245"/>
    <x v="245"/>
    <x v="245"/>
    <x v="0"/>
    <x v="0"/>
    <x v="0"/>
    <x v="1"/>
    <x v="1"/>
    <x v="0"/>
    <x v="2"/>
    <x v="0"/>
    <x v="2"/>
    <x v="1"/>
    <x v="0"/>
  </r>
  <r>
    <x v="246"/>
    <x v="15"/>
    <x v="7"/>
    <x v="7"/>
    <x v="246"/>
    <x v="246"/>
    <x v="246"/>
    <x v="0"/>
    <x v="0"/>
    <x v="0"/>
    <x v="1"/>
    <x v="1"/>
    <x v="0"/>
    <x v="1"/>
    <x v="0"/>
    <x v="1"/>
    <x v="1"/>
    <x v="0"/>
  </r>
  <r>
    <x v="247"/>
    <x v="16"/>
    <x v="8"/>
    <x v="7"/>
    <x v="247"/>
    <x v="247"/>
    <x v="247"/>
    <x v="1"/>
    <x v="0"/>
    <x v="2"/>
    <x v="1"/>
    <x v="1"/>
    <x v="1"/>
    <x v="1"/>
    <x v="0"/>
    <x v="1"/>
    <x v="1"/>
    <x v="1"/>
  </r>
  <r>
    <x v="248"/>
    <x v="17"/>
    <x v="8"/>
    <x v="7"/>
    <x v="248"/>
    <x v="248"/>
    <x v="248"/>
    <x v="0"/>
    <x v="0"/>
    <x v="0"/>
    <x v="0"/>
    <x v="0"/>
    <x v="0"/>
    <x v="0"/>
    <x v="0"/>
    <x v="0"/>
    <x v="0"/>
    <x v="0"/>
  </r>
  <r>
    <x v="249"/>
    <x v="18"/>
    <x v="8"/>
    <x v="7"/>
    <x v="249"/>
    <x v="249"/>
    <x v="249"/>
    <x v="1"/>
    <x v="0"/>
    <x v="2"/>
    <x v="1"/>
    <x v="1"/>
    <x v="1"/>
    <x v="2"/>
    <x v="0"/>
    <x v="2"/>
    <x v="1"/>
    <x v="1"/>
  </r>
  <r>
    <x v="250"/>
    <x v="19"/>
    <x v="8"/>
    <x v="7"/>
    <x v="250"/>
    <x v="250"/>
    <x v="250"/>
    <x v="0"/>
    <x v="0"/>
    <x v="0"/>
    <x v="0"/>
    <x v="0"/>
    <x v="0"/>
    <x v="0"/>
    <x v="0"/>
    <x v="0"/>
    <x v="0"/>
    <x v="0"/>
  </r>
  <r>
    <x v="251"/>
    <x v="20"/>
    <x v="8"/>
    <x v="7"/>
    <x v="251"/>
    <x v="251"/>
    <x v="251"/>
    <x v="0"/>
    <x v="0"/>
    <x v="0"/>
    <x v="0"/>
    <x v="0"/>
    <x v="0"/>
    <x v="0"/>
    <x v="0"/>
    <x v="0"/>
    <x v="0"/>
    <x v="0"/>
  </r>
  <r>
    <x v="252"/>
    <x v="21"/>
    <x v="8"/>
    <x v="7"/>
    <x v="252"/>
    <x v="252"/>
    <x v="252"/>
    <x v="0"/>
    <x v="0"/>
    <x v="0"/>
    <x v="0"/>
    <x v="0"/>
    <x v="0"/>
    <x v="0"/>
    <x v="0"/>
    <x v="0"/>
    <x v="0"/>
    <x v="0"/>
  </r>
  <r>
    <x v="253"/>
    <x v="22"/>
    <x v="8"/>
    <x v="7"/>
    <x v="253"/>
    <x v="253"/>
    <x v="253"/>
    <x v="1"/>
    <x v="0"/>
    <x v="2"/>
    <x v="1"/>
    <x v="1"/>
    <x v="1"/>
    <x v="1"/>
    <x v="0"/>
    <x v="1"/>
    <x v="1"/>
    <x v="1"/>
  </r>
  <r>
    <x v="254"/>
    <x v="23"/>
    <x v="8"/>
    <x v="7"/>
    <x v="254"/>
    <x v="254"/>
    <x v="254"/>
    <x v="0"/>
    <x v="0"/>
    <x v="0"/>
    <x v="0"/>
    <x v="0"/>
    <x v="0"/>
    <x v="0"/>
    <x v="0"/>
    <x v="0"/>
    <x v="0"/>
    <x v="0"/>
  </r>
  <r>
    <x v="255"/>
    <x v="24"/>
    <x v="8"/>
    <x v="7"/>
    <x v="255"/>
    <x v="255"/>
    <x v="255"/>
    <x v="0"/>
    <x v="0"/>
    <x v="0"/>
    <x v="1"/>
    <x v="1"/>
    <x v="0"/>
    <x v="2"/>
    <x v="0"/>
    <x v="5"/>
    <x v="1"/>
    <x v="0"/>
  </r>
  <r>
    <x v="256"/>
    <x v="25"/>
    <x v="8"/>
    <x v="7"/>
    <x v="256"/>
    <x v="256"/>
    <x v="256"/>
    <x v="0"/>
    <x v="0"/>
    <x v="0"/>
    <x v="0"/>
    <x v="0"/>
    <x v="0"/>
    <x v="0"/>
    <x v="0"/>
    <x v="0"/>
    <x v="0"/>
    <x v="0"/>
  </r>
  <r>
    <x v="257"/>
    <x v="26"/>
    <x v="8"/>
    <x v="7"/>
    <x v="257"/>
    <x v="257"/>
    <x v="257"/>
    <x v="0"/>
    <x v="0"/>
    <x v="0"/>
    <x v="0"/>
    <x v="0"/>
    <x v="0"/>
    <x v="0"/>
    <x v="0"/>
    <x v="0"/>
    <x v="0"/>
    <x v="0"/>
  </r>
  <r>
    <x v="258"/>
    <x v="27"/>
    <x v="8"/>
    <x v="7"/>
    <x v="258"/>
    <x v="258"/>
    <x v="258"/>
    <x v="0"/>
    <x v="0"/>
    <x v="0"/>
    <x v="0"/>
    <x v="0"/>
    <x v="0"/>
    <x v="0"/>
    <x v="0"/>
    <x v="0"/>
    <x v="0"/>
    <x v="0"/>
  </r>
  <r>
    <x v="259"/>
    <x v="28"/>
    <x v="8"/>
    <x v="7"/>
    <x v="259"/>
    <x v="259"/>
    <x v="259"/>
    <x v="0"/>
    <x v="0"/>
    <x v="0"/>
    <x v="1"/>
    <x v="1"/>
    <x v="0"/>
    <x v="2"/>
    <x v="0"/>
    <x v="5"/>
    <x v="1"/>
    <x v="0"/>
  </r>
  <r>
    <x v="260"/>
    <x v="29"/>
    <x v="8"/>
    <x v="7"/>
    <x v="260"/>
    <x v="260"/>
    <x v="260"/>
    <x v="0"/>
    <x v="0"/>
    <x v="0"/>
    <x v="1"/>
    <x v="0"/>
    <x v="0"/>
    <x v="1"/>
    <x v="0"/>
    <x v="1"/>
    <x v="0"/>
    <x v="0"/>
  </r>
  <r>
    <x v="261"/>
    <x v="30"/>
    <x v="8"/>
    <x v="7"/>
    <x v="261"/>
    <x v="261"/>
    <x v="261"/>
    <x v="0"/>
    <x v="0"/>
    <x v="0"/>
    <x v="0"/>
    <x v="0"/>
    <x v="0"/>
    <x v="0"/>
    <x v="0"/>
    <x v="0"/>
    <x v="0"/>
    <x v="0"/>
  </r>
  <r>
    <x v="262"/>
    <x v="31"/>
    <x v="8"/>
    <x v="7"/>
    <x v="262"/>
    <x v="262"/>
    <x v="262"/>
    <x v="0"/>
    <x v="0"/>
    <x v="0"/>
    <x v="0"/>
    <x v="0"/>
    <x v="0"/>
    <x v="0"/>
    <x v="0"/>
    <x v="0"/>
    <x v="0"/>
    <x v="0"/>
  </r>
  <r>
    <x v="263"/>
    <x v="32"/>
    <x v="8"/>
    <x v="7"/>
    <x v="263"/>
    <x v="263"/>
    <x v="263"/>
    <x v="0"/>
    <x v="0"/>
    <x v="0"/>
    <x v="1"/>
    <x v="0"/>
    <x v="0"/>
    <x v="2"/>
    <x v="0"/>
    <x v="2"/>
    <x v="0"/>
    <x v="0"/>
  </r>
  <r>
    <x v="264"/>
    <x v="33"/>
    <x v="8"/>
    <x v="7"/>
    <x v="264"/>
    <x v="264"/>
    <x v="264"/>
    <x v="0"/>
    <x v="0"/>
    <x v="0"/>
    <x v="0"/>
    <x v="0"/>
    <x v="0"/>
    <x v="0"/>
    <x v="0"/>
    <x v="0"/>
    <x v="0"/>
    <x v="0"/>
  </r>
  <r>
    <x v="265"/>
    <x v="34"/>
    <x v="8"/>
    <x v="7"/>
    <x v="265"/>
    <x v="265"/>
    <x v="265"/>
    <x v="0"/>
    <x v="0"/>
    <x v="0"/>
    <x v="0"/>
    <x v="0"/>
    <x v="0"/>
    <x v="0"/>
    <x v="0"/>
    <x v="0"/>
    <x v="0"/>
    <x v="0"/>
  </r>
  <r>
    <x v="266"/>
    <x v="35"/>
    <x v="8"/>
    <x v="7"/>
    <x v="266"/>
    <x v="266"/>
    <x v="266"/>
    <x v="0"/>
    <x v="0"/>
    <x v="0"/>
    <x v="0"/>
    <x v="0"/>
    <x v="0"/>
    <x v="0"/>
    <x v="0"/>
    <x v="0"/>
    <x v="0"/>
    <x v="0"/>
  </r>
  <r>
    <x v="267"/>
    <x v="36"/>
    <x v="8"/>
    <x v="7"/>
    <x v="267"/>
    <x v="267"/>
    <x v="267"/>
    <x v="2"/>
    <x v="0"/>
    <x v="2"/>
    <x v="1"/>
    <x v="1"/>
    <x v="1"/>
    <x v="2"/>
    <x v="0"/>
    <x v="2"/>
    <x v="5"/>
    <x v="2"/>
  </r>
  <r>
    <x v="268"/>
    <x v="37"/>
    <x v="8"/>
    <x v="7"/>
    <x v="268"/>
    <x v="268"/>
    <x v="268"/>
    <x v="0"/>
    <x v="0"/>
    <x v="0"/>
    <x v="0"/>
    <x v="0"/>
    <x v="0"/>
    <x v="0"/>
    <x v="0"/>
    <x v="0"/>
    <x v="0"/>
    <x v="0"/>
  </r>
  <r>
    <x v="269"/>
    <x v="38"/>
    <x v="9"/>
    <x v="7"/>
    <x v="269"/>
    <x v="269"/>
    <x v="269"/>
    <x v="0"/>
    <x v="0"/>
    <x v="0"/>
    <x v="1"/>
    <x v="0"/>
    <x v="0"/>
    <x v="2"/>
    <x v="0"/>
    <x v="2"/>
    <x v="0"/>
    <x v="0"/>
  </r>
  <r>
    <x v="270"/>
    <x v="39"/>
    <x v="9"/>
    <x v="7"/>
    <x v="270"/>
    <x v="270"/>
    <x v="270"/>
    <x v="1"/>
    <x v="0"/>
    <x v="2"/>
    <x v="1"/>
    <x v="1"/>
    <x v="1"/>
    <x v="2"/>
    <x v="0"/>
    <x v="2"/>
    <x v="5"/>
    <x v="1"/>
  </r>
  <r>
    <x v="271"/>
    <x v="40"/>
    <x v="9"/>
    <x v="7"/>
    <x v="271"/>
    <x v="271"/>
    <x v="271"/>
    <x v="0"/>
    <x v="0"/>
    <x v="0"/>
    <x v="0"/>
    <x v="0"/>
    <x v="0"/>
    <x v="0"/>
    <x v="0"/>
    <x v="0"/>
    <x v="0"/>
    <x v="0"/>
  </r>
  <r>
    <x v="272"/>
    <x v="41"/>
    <x v="10"/>
    <x v="7"/>
    <x v="272"/>
    <x v="272"/>
    <x v="272"/>
    <x v="0"/>
    <x v="0"/>
    <x v="0"/>
    <x v="1"/>
    <x v="1"/>
    <x v="0"/>
    <x v="1"/>
    <x v="0"/>
    <x v="1"/>
    <x v="1"/>
    <x v="0"/>
  </r>
  <r>
    <x v="273"/>
    <x v="42"/>
    <x v="10"/>
    <x v="7"/>
    <x v="273"/>
    <x v="273"/>
    <x v="273"/>
    <x v="0"/>
    <x v="0"/>
    <x v="0"/>
    <x v="0"/>
    <x v="0"/>
    <x v="0"/>
    <x v="0"/>
    <x v="0"/>
    <x v="0"/>
    <x v="0"/>
    <x v="0"/>
  </r>
  <r>
    <x v="274"/>
    <x v="43"/>
    <x v="10"/>
    <x v="7"/>
    <x v="274"/>
    <x v="274"/>
    <x v="274"/>
    <x v="0"/>
    <x v="0"/>
    <x v="0"/>
    <x v="1"/>
    <x v="1"/>
    <x v="0"/>
    <x v="1"/>
    <x v="0"/>
    <x v="1"/>
    <x v="1"/>
    <x v="0"/>
  </r>
  <r>
    <x v="275"/>
    <x v="44"/>
    <x v="10"/>
    <x v="7"/>
    <x v="275"/>
    <x v="275"/>
    <x v="275"/>
    <x v="1"/>
    <x v="0"/>
    <x v="2"/>
    <x v="1"/>
    <x v="1"/>
    <x v="1"/>
    <x v="2"/>
    <x v="0"/>
    <x v="2"/>
    <x v="1"/>
    <x v="1"/>
  </r>
  <r>
    <x v="276"/>
    <x v="45"/>
    <x v="10"/>
    <x v="7"/>
    <x v="276"/>
    <x v="276"/>
    <x v="276"/>
    <x v="0"/>
    <x v="0"/>
    <x v="0"/>
    <x v="1"/>
    <x v="0"/>
    <x v="0"/>
    <x v="2"/>
    <x v="0"/>
    <x v="5"/>
    <x v="0"/>
    <x v="0"/>
  </r>
  <r>
    <x v="277"/>
    <x v="46"/>
    <x v="10"/>
    <x v="7"/>
    <x v="277"/>
    <x v="277"/>
    <x v="277"/>
    <x v="0"/>
    <x v="0"/>
    <x v="0"/>
    <x v="1"/>
    <x v="0"/>
    <x v="0"/>
    <x v="1"/>
    <x v="0"/>
    <x v="1"/>
    <x v="0"/>
    <x v="0"/>
  </r>
  <r>
    <x v="278"/>
    <x v="47"/>
    <x v="10"/>
    <x v="7"/>
    <x v="278"/>
    <x v="278"/>
    <x v="278"/>
    <x v="0"/>
    <x v="0"/>
    <x v="0"/>
    <x v="1"/>
    <x v="0"/>
    <x v="0"/>
    <x v="1"/>
    <x v="0"/>
    <x v="1"/>
    <x v="0"/>
    <x v="0"/>
  </r>
  <r>
    <x v="279"/>
    <x v="48"/>
    <x v="10"/>
    <x v="7"/>
    <x v="279"/>
    <x v="279"/>
    <x v="279"/>
    <x v="0"/>
    <x v="0"/>
    <x v="0"/>
    <x v="0"/>
    <x v="0"/>
    <x v="0"/>
    <x v="0"/>
    <x v="0"/>
    <x v="0"/>
    <x v="0"/>
    <x v="0"/>
  </r>
  <r>
    <x v="280"/>
    <x v="49"/>
    <x v="10"/>
    <x v="7"/>
    <x v="280"/>
    <x v="280"/>
    <x v="280"/>
    <x v="0"/>
    <x v="0"/>
    <x v="0"/>
    <x v="1"/>
    <x v="0"/>
    <x v="0"/>
    <x v="1"/>
    <x v="0"/>
    <x v="1"/>
    <x v="0"/>
    <x v="0"/>
  </r>
  <r>
    <x v="281"/>
    <x v="50"/>
    <x v="10"/>
    <x v="7"/>
    <x v="281"/>
    <x v="281"/>
    <x v="281"/>
    <x v="0"/>
    <x v="0"/>
    <x v="0"/>
    <x v="1"/>
    <x v="1"/>
    <x v="0"/>
    <x v="1"/>
    <x v="0"/>
    <x v="1"/>
    <x v="1"/>
    <x v="0"/>
  </r>
  <r>
    <x v="282"/>
    <x v="51"/>
    <x v="7"/>
    <x v="7"/>
    <x v="282"/>
    <x v="282"/>
    <x v="282"/>
    <x v="0"/>
    <x v="0"/>
    <x v="0"/>
    <x v="1"/>
    <x v="1"/>
    <x v="0"/>
    <x v="2"/>
    <x v="0"/>
    <x v="2"/>
    <x v="1"/>
    <x v="0"/>
  </r>
  <r>
    <x v="283"/>
    <x v="52"/>
    <x v="7"/>
    <x v="7"/>
    <x v="283"/>
    <x v="283"/>
    <x v="283"/>
    <x v="0"/>
    <x v="0"/>
    <x v="0"/>
    <x v="1"/>
    <x v="0"/>
    <x v="0"/>
    <x v="1"/>
    <x v="0"/>
    <x v="1"/>
    <x v="0"/>
    <x v="0"/>
  </r>
  <r>
    <x v="284"/>
    <x v="53"/>
    <x v="7"/>
    <x v="7"/>
    <x v="284"/>
    <x v="284"/>
    <x v="284"/>
    <x v="0"/>
    <x v="0"/>
    <x v="0"/>
    <x v="1"/>
    <x v="1"/>
    <x v="0"/>
    <x v="1"/>
    <x v="0"/>
    <x v="1"/>
    <x v="1"/>
    <x v="0"/>
  </r>
  <r>
    <x v="285"/>
    <x v="0"/>
    <x v="7"/>
    <x v="8"/>
    <x v="285"/>
    <x v="285"/>
    <x v="285"/>
    <x v="1"/>
    <x v="0"/>
    <x v="2"/>
    <x v="1"/>
    <x v="1"/>
    <x v="1"/>
    <x v="2"/>
    <x v="0"/>
    <x v="5"/>
    <x v="1"/>
    <x v="1"/>
  </r>
  <r>
    <x v="286"/>
    <x v="1"/>
    <x v="8"/>
    <x v="8"/>
    <x v="286"/>
    <x v="286"/>
    <x v="286"/>
    <x v="0"/>
    <x v="0"/>
    <x v="0"/>
    <x v="1"/>
    <x v="0"/>
    <x v="0"/>
    <x v="1"/>
    <x v="0"/>
    <x v="1"/>
    <x v="0"/>
    <x v="0"/>
  </r>
  <r>
    <x v="287"/>
    <x v="2"/>
    <x v="8"/>
    <x v="8"/>
    <x v="287"/>
    <x v="287"/>
    <x v="287"/>
    <x v="0"/>
    <x v="0"/>
    <x v="0"/>
    <x v="0"/>
    <x v="0"/>
    <x v="0"/>
    <x v="0"/>
    <x v="0"/>
    <x v="0"/>
    <x v="0"/>
    <x v="0"/>
  </r>
  <r>
    <x v="288"/>
    <x v="3"/>
    <x v="8"/>
    <x v="8"/>
    <x v="288"/>
    <x v="288"/>
    <x v="288"/>
    <x v="0"/>
    <x v="0"/>
    <x v="0"/>
    <x v="1"/>
    <x v="0"/>
    <x v="0"/>
    <x v="2"/>
    <x v="0"/>
    <x v="5"/>
    <x v="0"/>
    <x v="0"/>
  </r>
  <r>
    <x v="289"/>
    <x v="4"/>
    <x v="8"/>
    <x v="8"/>
    <x v="289"/>
    <x v="289"/>
    <x v="289"/>
    <x v="0"/>
    <x v="0"/>
    <x v="0"/>
    <x v="1"/>
    <x v="0"/>
    <x v="0"/>
    <x v="2"/>
    <x v="0"/>
    <x v="2"/>
    <x v="0"/>
    <x v="0"/>
  </r>
  <r>
    <x v="290"/>
    <x v="5"/>
    <x v="9"/>
    <x v="8"/>
    <x v="290"/>
    <x v="290"/>
    <x v="290"/>
    <x v="0"/>
    <x v="0"/>
    <x v="0"/>
    <x v="1"/>
    <x v="0"/>
    <x v="0"/>
    <x v="2"/>
    <x v="0"/>
    <x v="2"/>
    <x v="0"/>
    <x v="0"/>
  </r>
  <r>
    <x v="291"/>
    <x v="6"/>
    <x v="10"/>
    <x v="8"/>
    <x v="291"/>
    <x v="291"/>
    <x v="291"/>
    <x v="1"/>
    <x v="0"/>
    <x v="2"/>
    <x v="1"/>
    <x v="1"/>
    <x v="1"/>
    <x v="1"/>
    <x v="0"/>
    <x v="1"/>
    <x v="1"/>
    <x v="1"/>
  </r>
  <r>
    <x v="292"/>
    <x v="7"/>
    <x v="10"/>
    <x v="8"/>
    <x v="292"/>
    <x v="292"/>
    <x v="292"/>
    <x v="1"/>
    <x v="0"/>
    <x v="2"/>
    <x v="1"/>
    <x v="1"/>
    <x v="1"/>
    <x v="1"/>
    <x v="0"/>
    <x v="1"/>
    <x v="1"/>
    <x v="1"/>
  </r>
  <r>
    <x v="293"/>
    <x v="8"/>
    <x v="10"/>
    <x v="8"/>
    <x v="293"/>
    <x v="293"/>
    <x v="293"/>
    <x v="1"/>
    <x v="0"/>
    <x v="2"/>
    <x v="1"/>
    <x v="1"/>
    <x v="1"/>
    <x v="2"/>
    <x v="0"/>
    <x v="3"/>
    <x v="5"/>
    <x v="1"/>
  </r>
  <r>
    <x v="294"/>
    <x v="9"/>
    <x v="10"/>
    <x v="8"/>
    <x v="294"/>
    <x v="294"/>
    <x v="294"/>
    <x v="0"/>
    <x v="0"/>
    <x v="0"/>
    <x v="0"/>
    <x v="0"/>
    <x v="0"/>
    <x v="0"/>
    <x v="0"/>
    <x v="0"/>
    <x v="0"/>
    <x v="0"/>
  </r>
  <r>
    <x v="295"/>
    <x v="10"/>
    <x v="10"/>
    <x v="8"/>
    <x v="295"/>
    <x v="295"/>
    <x v="295"/>
    <x v="0"/>
    <x v="0"/>
    <x v="0"/>
    <x v="1"/>
    <x v="0"/>
    <x v="0"/>
    <x v="1"/>
    <x v="0"/>
    <x v="1"/>
    <x v="0"/>
    <x v="0"/>
  </r>
  <r>
    <x v="296"/>
    <x v="11"/>
    <x v="10"/>
    <x v="8"/>
    <x v="296"/>
    <x v="296"/>
    <x v="296"/>
    <x v="0"/>
    <x v="0"/>
    <x v="0"/>
    <x v="1"/>
    <x v="1"/>
    <x v="0"/>
    <x v="2"/>
    <x v="0"/>
    <x v="5"/>
    <x v="1"/>
    <x v="0"/>
  </r>
  <r>
    <x v="297"/>
    <x v="12"/>
    <x v="10"/>
    <x v="8"/>
    <x v="297"/>
    <x v="297"/>
    <x v="297"/>
    <x v="0"/>
    <x v="0"/>
    <x v="0"/>
    <x v="0"/>
    <x v="0"/>
    <x v="0"/>
    <x v="0"/>
    <x v="0"/>
    <x v="0"/>
    <x v="0"/>
    <x v="0"/>
  </r>
  <r>
    <x v="298"/>
    <x v="13"/>
    <x v="10"/>
    <x v="8"/>
    <x v="298"/>
    <x v="298"/>
    <x v="298"/>
    <x v="0"/>
    <x v="0"/>
    <x v="0"/>
    <x v="0"/>
    <x v="0"/>
    <x v="0"/>
    <x v="0"/>
    <x v="0"/>
    <x v="0"/>
    <x v="0"/>
    <x v="0"/>
  </r>
  <r>
    <x v="299"/>
    <x v="14"/>
    <x v="10"/>
    <x v="8"/>
    <x v="299"/>
    <x v="299"/>
    <x v="299"/>
    <x v="0"/>
    <x v="0"/>
    <x v="0"/>
    <x v="1"/>
    <x v="0"/>
    <x v="0"/>
    <x v="1"/>
    <x v="0"/>
    <x v="1"/>
    <x v="0"/>
    <x v="0"/>
  </r>
  <r>
    <x v="300"/>
    <x v="15"/>
    <x v="10"/>
    <x v="8"/>
    <x v="300"/>
    <x v="300"/>
    <x v="300"/>
    <x v="0"/>
    <x v="0"/>
    <x v="0"/>
    <x v="0"/>
    <x v="0"/>
    <x v="0"/>
    <x v="0"/>
    <x v="0"/>
    <x v="0"/>
    <x v="0"/>
    <x v="0"/>
  </r>
  <r>
    <x v="301"/>
    <x v="16"/>
    <x v="10"/>
    <x v="8"/>
    <x v="301"/>
    <x v="301"/>
    <x v="301"/>
    <x v="0"/>
    <x v="0"/>
    <x v="0"/>
    <x v="0"/>
    <x v="0"/>
    <x v="0"/>
    <x v="0"/>
    <x v="0"/>
    <x v="0"/>
    <x v="0"/>
    <x v="0"/>
  </r>
  <r>
    <x v="302"/>
    <x v="17"/>
    <x v="7"/>
    <x v="8"/>
    <x v="302"/>
    <x v="302"/>
    <x v="302"/>
    <x v="0"/>
    <x v="0"/>
    <x v="0"/>
    <x v="1"/>
    <x v="0"/>
    <x v="0"/>
    <x v="1"/>
    <x v="0"/>
    <x v="1"/>
    <x v="0"/>
    <x v="0"/>
  </r>
  <r>
    <x v="303"/>
    <x v="18"/>
    <x v="7"/>
    <x v="8"/>
    <x v="303"/>
    <x v="303"/>
    <x v="303"/>
    <x v="0"/>
    <x v="0"/>
    <x v="0"/>
    <x v="0"/>
    <x v="0"/>
    <x v="0"/>
    <x v="0"/>
    <x v="0"/>
    <x v="0"/>
    <x v="0"/>
    <x v="0"/>
  </r>
  <r>
    <x v="304"/>
    <x v="19"/>
    <x v="7"/>
    <x v="8"/>
    <x v="304"/>
    <x v="304"/>
    <x v="304"/>
    <x v="0"/>
    <x v="0"/>
    <x v="0"/>
    <x v="1"/>
    <x v="0"/>
    <x v="0"/>
    <x v="2"/>
    <x v="0"/>
    <x v="2"/>
    <x v="0"/>
    <x v="0"/>
  </r>
  <r>
    <x v="305"/>
    <x v="20"/>
    <x v="7"/>
    <x v="8"/>
    <x v="305"/>
    <x v="305"/>
    <x v="305"/>
    <x v="0"/>
    <x v="0"/>
    <x v="0"/>
    <x v="0"/>
    <x v="0"/>
    <x v="0"/>
    <x v="0"/>
    <x v="0"/>
    <x v="0"/>
    <x v="0"/>
    <x v="0"/>
  </r>
  <r>
    <x v="306"/>
    <x v="21"/>
    <x v="8"/>
    <x v="8"/>
    <x v="306"/>
    <x v="306"/>
    <x v="306"/>
    <x v="1"/>
    <x v="0"/>
    <x v="2"/>
    <x v="1"/>
    <x v="1"/>
    <x v="1"/>
    <x v="2"/>
    <x v="0"/>
    <x v="3"/>
    <x v="1"/>
    <x v="1"/>
  </r>
  <r>
    <x v="307"/>
    <x v="22"/>
    <x v="8"/>
    <x v="8"/>
    <x v="307"/>
    <x v="307"/>
    <x v="307"/>
    <x v="0"/>
    <x v="0"/>
    <x v="0"/>
    <x v="1"/>
    <x v="0"/>
    <x v="0"/>
    <x v="1"/>
    <x v="0"/>
    <x v="1"/>
    <x v="0"/>
    <x v="0"/>
  </r>
  <r>
    <x v="308"/>
    <x v="23"/>
    <x v="8"/>
    <x v="8"/>
    <x v="308"/>
    <x v="308"/>
    <x v="308"/>
    <x v="1"/>
    <x v="0"/>
    <x v="2"/>
    <x v="1"/>
    <x v="1"/>
    <x v="1"/>
    <x v="2"/>
    <x v="0"/>
    <x v="5"/>
    <x v="5"/>
    <x v="1"/>
  </r>
  <r>
    <x v="309"/>
    <x v="24"/>
    <x v="8"/>
    <x v="8"/>
    <x v="309"/>
    <x v="309"/>
    <x v="309"/>
    <x v="0"/>
    <x v="0"/>
    <x v="0"/>
    <x v="0"/>
    <x v="0"/>
    <x v="0"/>
    <x v="0"/>
    <x v="0"/>
    <x v="0"/>
    <x v="0"/>
    <x v="0"/>
  </r>
  <r>
    <x v="310"/>
    <x v="25"/>
    <x v="7"/>
    <x v="8"/>
    <x v="310"/>
    <x v="310"/>
    <x v="310"/>
    <x v="0"/>
    <x v="0"/>
    <x v="0"/>
    <x v="0"/>
    <x v="0"/>
    <x v="0"/>
    <x v="0"/>
    <x v="0"/>
    <x v="0"/>
    <x v="0"/>
    <x v="0"/>
  </r>
  <r>
    <x v="311"/>
    <x v="26"/>
    <x v="7"/>
    <x v="8"/>
    <x v="311"/>
    <x v="311"/>
    <x v="311"/>
    <x v="0"/>
    <x v="0"/>
    <x v="0"/>
    <x v="0"/>
    <x v="0"/>
    <x v="0"/>
    <x v="0"/>
    <x v="0"/>
    <x v="0"/>
    <x v="0"/>
    <x v="0"/>
  </r>
  <r>
    <x v="312"/>
    <x v="27"/>
    <x v="7"/>
    <x v="8"/>
    <x v="312"/>
    <x v="312"/>
    <x v="312"/>
    <x v="1"/>
    <x v="0"/>
    <x v="2"/>
    <x v="1"/>
    <x v="1"/>
    <x v="1"/>
    <x v="2"/>
    <x v="0"/>
    <x v="2"/>
    <x v="5"/>
    <x v="1"/>
  </r>
  <r>
    <x v="313"/>
    <x v="28"/>
    <x v="7"/>
    <x v="8"/>
    <x v="313"/>
    <x v="313"/>
    <x v="313"/>
    <x v="0"/>
    <x v="0"/>
    <x v="0"/>
    <x v="0"/>
    <x v="0"/>
    <x v="0"/>
    <x v="0"/>
    <x v="0"/>
    <x v="0"/>
    <x v="0"/>
    <x v="0"/>
  </r>
  <r>
    <x v="314"/>
    <x v="29"/>
    <x v="9"/>
    <x v="8"/>
    <x v="314"/>
    <x v="314"/>
    <x v="314"/>
    <x v="1"/>
    <x v="0"/>
    <x v="2"/>
    <x v="1"/>
    <x v="1"/>
    <x v="1"/>
    <x v="1"/>
    <x v="0"/>
    <x v="1"/>
    <x v="1"/>
    <x v="1"/>
  </r>
  <r>
    <x v="315"/>
    <x v="30"/>
    <x v="10"/>
    <x v="8"/>
    <x v="315"/>
    <x v="315"/>
    <x v="315"/>
    <x v="1"/>
    <x v="0"/>
    <x v="2"/>
    <x v="1"/>
    <x v="1"/>
    <x v="1"/>
    <x v="2"/>
    <x v="0"/>
    <x v="2"/>
    <x v="1"/>
    <x v="1"/>
  </r>
  <r>
    <x v="316"/>
    <x v="31"/>
    <x v="10"/>
    <x v="8"/>
    <x v="316"/>
    <x v="316"/>
    <x v="316"/>
    <x v="0"/>
    <x v="0"/>
    <x v="0"/>
    <x v="0"/>
    <x v="0"/>
    <x v="0"/>
    <x v="0"/>
    <x v="0"/>
    <x v="0"/>
    <x v="0"/>
    <x v="0"/>
  </r>
  <r>
    <x v="317"/>
    <x v="32"/>
    <x v="10"/>
    <x v="8"/>
    <x v="317"/>
    <x v="317"/>
    <x v="317"/>
    <x v="1"/>
    <x v="0"/>
    <x v="2"/>
    <x v="1"/>
    <x v="1"/>
    <x v="1"/>
    <x v="1"/>
    <x v="0"/>
    <x v="1"/>
    <x v="3"/>
    <x v="1"/>
  </r>
  <r>
    <x v="318"/>
    <x v="33"/>
    <x v="10"/>
    <x v="8"/>
    <x v="318"/>
    <x v="318"/>
    <x v="318"/>
    <x v="0"/>
    <x v="0"/>
    <x v="0"/>
    <x v="1"/>
    <x v="1"/>
    <x v="0"/>
    <x v="2"/>
    <x v="0"/>
    <x v="6"/>
    <x v="2"/>
    <x v="0"/>
  </r>
  <r>
    <x v="319"/>
    <x v="34"/>
    <x v="10"/>
    <x v="8"/>
    <x v="319"/>
    <x v="317"/>
    <x v="317"/>
    <x v="0"/>
    <x v="0"/>
    <x v="0"/>
    <x v="0"/>
    <x v="0"/>
    <x v="0"/>
    <x v="0"/>
    <x v="0"/>
    <x v="0"/>
    <x v="0"/>
    <x v="0"/>
  </r>
  <r>
    <x v="320"/>
    <x v="35"/>
    <x v="8"/>
    <x v="8"/>
    <x v="320"/>
    <x v="319"/>
    <x v="319"/>
    <x v="0"/>
    <x v="0"/>
    <x v="0"/>
    <x v="1"/>
    <x v="1"/>
    <x v="0"/>
    <x v="2"/>
    <x v="0"/>
    <x v="5"/>
    <x v="2"/>
    <x v="0"/>
  </r>
  <r>
    <x v="321"/>
    <x v="36"/>
    <x v="10"/>
    <x v="8"/>
    <x v="321"/>
    <x v="320"/>
    <x v="320"/>
    <x v="0"/>
    <x v="0"/>
    <x v="0"/>
    <x v="1"/>
    <x v="0"/>
    <x v="0"/>
    <x v="2"/>
    <x v="0"/>
    <x v="2"/>
    <x v="0"/>
    <x v="0"/>
  </r>
  <r>
    <x v="322"/>
    <x v="37"/>
    <x v="7"/>
    <x v="8"/>
    <x v="322"/>
    <x v="321"/>
    <x v="321"/>
    <x v="1"/>
    <x v="0"/>
    <x v="2"/>
    <x v="1"/>
    <x v="1"/>
    <x v="1"/>
    <x v="2"/>
    <x v="0"/>
    <x v="7"/>
    <x v="6"/>
    <x v="1"/>
  </r>
  <r>
    <x v="323"/>
    <x v="38"/>
    <x v="7"/>
    <x v="8"/>
    <x v="323"/>
    <x v="322"/>
    <x v="322"/>
    <x v="2"/>
    <x v="0"/>
    <x v="2"/>
    <x v="1"/>
    <x v="1"/>
    <x v="1"/>
    <x v="2"/>
    <x v="0"/>
    <x v="3"/>
    <x v="2"/>
    <x v="2"/>
  </r>
  <r>
    <x v="324"/>
    <x v="39"/>
    <x v="8"/>
    <x v="8"/>
    <x v="324"/>
    <x v="323"/>
    <x v="323"/>
    <x v="1"/>
    <x v="0"/>
    <x v="2"/>
    <x v="1"/>
    <x v="1"/>
    <x v="1"/>
    <x v="2"/>
    <x v="0"/>
    <x v="2"/>
    <x v="5"/>
    <x v="1"/>
  </r>
  <r>
    <x v="325"/>
    <x v="40"/>
    <x v="8"/>
    <x v="8"/>
    <x v="325"/>
    <x v="324"/>
    <x v="324"/>
    <x v="0"/>
    <x v="0"/>
    <x v="0"/>
    <x v="1"/>
    <x v="0"/>
    <x v="0"/>
    <x v="1"/>
    <x v="0"/>
    <x v="1"/>
    <x v="0"/>
    <x v="0"/>
  </r>
  <r>
    <x v="326"/>
    <x v="41"/>
    <x v="11"/>
    <x v="8"/>
    <x v="326"/>
    <x v="325"/>
    <x v="325"/>
    <x v="1"/>
    <x v="0"/>
    <x v="2"/>
    <x v="1"/>
    <x v="1"/>
    <x v="1"/>
    <x v="2"/>
    <x v="0"/>
    <x v="7"/>
    <x v="1"/>
    <x v="1"/>
  </r>
  <r>
    <x v="327"/>
    <x v="42"/>
    <x v="11"/>
    <x v="8"/>
    <x v="327"/>
    <x v="326"/>
    <x v="326"/>
    <x v="0"/>
    <x v="0"/>
    <x v="0"/>
    <x v="1"/>
    <x v="0"/>
    <x v="0"/>
    <x v="1"/>
    <x v="0"/>
    <x v="1"/>
    <x v="0"/>
    <x v="0"/>
  </r>
  <r>
    <x v="328"/>
    <x v="43"/>
    <x v="11"/>
    <x v="8"/>
    <x v="328"/>
    <x v="327"/>
    <x v="327"/>
    <x v="0"/>
    <x v="0"/>
    <x v="0"/>
    <x v="1"/>
    <x v="1"/>
    <x v="0"/>
    <x v="1"/>
    <x v="0"/>
    <x v="1"/>
    <x v="1"/>
    <x v="0"/>
  </r>
  <r>
    <x v="329"/>
    <x v="44"/>
    <x v="11"/>
    <x v="8"/>
    <x v="329"/>
    <x v="328"/>
    <x v="328"/>
    <x v="0"/>
    <x v="0"/>
    <x v="0"/>
    <x v="1"/>
    <x v="0"/>
    <x v="0"/>
    <x v="1"/>
    <x v="0"/>
    <x v="1"/>
    <x v="0"/>
    <x v="0"/>
  </r>
  <r>
    <x v="330"/>
    <x v="45"/>
    <x v="11"/>
    <x v="8"/>
    <x v="330"/>
    <x v="329"/>
    <x v="329"/>
    <x v="1"/>
    <x v="0"/>
    <x v="2"/>
    <x v="1"/>
    <x v="1"/>
    <x v="1"/>
    <x v="2"/>
    <x v="0"/>
    <x v="5"/>
    <x v="1"/>
    <x v="1"/>
  </r>
  <r>
    <x v="331"/>
    <x v="46"/>
    <x v="11"/>
    <x v="8"/>
    <x v="331"/>
    <x v="330"/>
    <x v="330"/>
    <x v="0"/>
    <x v="0"/>
    <x v="0"/>
    <x v="1"/>
    <x v="1"/>
    <x v="0"/>
    <x v="1"/>
    <x v="0"/>
    <x v="1"/>
    <x v="1"/>
    <x v="0"/>
  </r>
  <r>
    <x v="332"/>
    <x v="47"/>
    <x v="11"/>
    <x v="8"/>
    <x v="332"/>
    <x v="331"/>
    <x v="331"/>
    <x v="0"/>
    <x v="0"/>
    <x v="0"/>
    <x v="1"/>
    <x v="1"/>
    <x v="0"/>
    <x v="2"/>
    <x v="0"/>
    <x v="3"/>
    <x v="1"/>
    <x v="0"/>
  </r>
  <r>
    <x v="333"/>
    <x v="48"/>
    <x v="11"/>
    <x v="8"/>
    <x v="333"/>
    <x v="332"/>
    <x v="332"/>
    <x v="0"/>
    <x v="0"/>
    <x v="0"/>
    <x v="1"/>
    <x v="1"/>
    <x v="0"/>
    <x v="2"/>
    <x v="0"/>
    <x v="2"/>
    <x v="1"/>
    <x v="0"/>
  </r>
  <r>
    <x v="334"/>
    <x v="49"/>
    <x v="11"/>
    <x v="8"/>
    <x v="334"/>
    <x v="333"/>
    <x v="333"/>
    <x v="2"/>
    <x v="0"/>
    <x v="2"/>
    <x v="1"/>
    <x v="1"/>
    <x v="1"/>
    <x v="2"/>
    <x v="0"/>
    <x v="3"/>
    <x v="5"/>
    <x v="3"/>
  </r>
  <r>
    <x v="335"/>
    <x v="0"/>
    <x v="7"/>
    <x v="9"/>
    <x v="335"/>
    <x v="334"/>
    <x v="334"/>
    <x v="1"/>
    <x v="0"/>
    <x v="2"/>
    <x v="1"/>
    <x v="1"/>
    <x v="1"/>
    <x v="2"/>
    <x v="0"/>
    <x v="7"/>
    <x v="1"/>
    <x v="1"/>
  </r>
  <r>
    <x v="336"/>
    <x v="1"/>
    <x v="7"/>
    <x v="9"/>
    <x v="336"/>
    <x v="335"/>
    <x v="335"/>
    <x v="0"/>
    <x v="0"/>
    <x v="0"/>
    <x v="1"/>
    <x v="1"/>
    <x v="0"/>
    <x v="1"/>
    <x v="0"/>
    <x v="1"/>
    <x v="5"/>
    <x v="0"/>
  </r>
  <r>
    <x v="337"/>
    <x v="2"/>
    <x v="7"/>
    <x v="9"/>
    <x v="337"/>
    <x v="336"/>
    <x v="336"/>
    <x v="1"/>
    <x v="0"/>
    <x v="2"/>
    <x v="1"/>
    <x v="1"/>
    <x v="1"/>
    <x v="2"/>
    <x v="0"/>
    <x v="5"/>
    <x v="1"/>
    <x v="1"/>
  </r>
  <r>
    <x v="338"/>
    <x v="3"/>
    <x v="7"/>
    <x v="9"/>
    <x v="338"/>
    <x v="337"/>
    <x v="337"/>
    <x v="1"/>
    <x v="0"/>
    <x v="2"/>
    <x v="1"/>
    <x v="1"/>
    <x v="1"/>
    <x v="2"/>
    <x v="0"/>
    <x v="7"/>
    <x v="5"/>
    <x v="1"/>
  </r>
  <r>
    <x v="339"/>
    <x v="4"/>
    <x v="7"/>
    <x v="9"/>
    <x v="339"/>
    <x v="338"/>
    <x v="338"/>
    <x v="0"/>
    <x v="0"/>
    <x v="0"/>
    <x v="1"/>
    <x v="1"/>
    <x v="0"/>
    <x v="1"/>
    <x v="0"/>
    <x v="1"/>
    <x v="1"/>
    <x v="0"/>
  </r>
  <r>
    <x v="340"/>
    <x v="5"/>
    <x v="7"/>
    <x v="9"/>
    <x v="340"/>
    <x v="339"/>
    <x v="339"/>
    <x v="1"/>
    <x v="0"/>
    <x v="2"/>
    <x v="1"/>
    <x v="1"/>
    <x v="1"/>
    <x v="2"/>
    <x v="0"/>
    <x v="5"/>
    <x v="3"/>
    <x v="1"/>
  </r>
  <r>
    <x v="341"/>
    <x v="6"/>
    <x v="7"/>
    <x v="9"/>
    <x v="341"/>
    <x v="340"/>
    <x v="340"/>
    <x v="2"/>
    <x v="0"/>
    <x v="2"/>
    <x v="1"/>
    <x v="1"/>
    <x v="1"/>
    <x v="2"/>
    <x v="0"/>
    <x v="5"/>
    <x v="5"/>
    <x v="2"/>
  </r>
  <r>
    <x v="342"/>
    <x v="7"/>
    <x v="7"/>
    <x v="9"/>
    <x v="342"/>
    <x v="341"/>
    <x v="341"/>
    <x v="0"/>
    <x v="0"/>
    <x v="0"/>
    <x v="1"/>
    <x v="1"/>
    <x v="0"/>
    <x v="2"/>
    <x v="0"/>
    <x v="5"/>
    <x v="5"/>
    <x v="0"/>
  </r>
  <r>
    <x v="343"/>
    <x v="8"/>
    <x v="7"/>
    <x v="9"/>
    <x v="343"/>
    <x v="342"/>
    <x v="342"/>
    <x v="0"/>
    <x v="0"/>
    <x v="0"/>
    <x v="1"/>
    <x v="1"/>
    <x v="0"/>
    <x v="2"/>
    <x v="0"/>
    <x v="2"/>
    <x v="1"/>
    <x v="0"/>
  </r>
  <r>
    <x v="344"/>
    <x v="9"/>
    <x v="7"/>
    <x v="9"/>
    <x v="344"/>
    <x v="343"/>
    <x v="343"/>
    <x v="0"/>
    <x v="0"/>
    <x v="0"/>
    <x v="1"/>
    <x v="0"/>
    <x v="0"/>
    <x v="1"/>
    <x v="0"/>
    <x v="1"/>
    <x v="0"/>
    <x v="0"/>
  </r>
  <r>
    <x v="345"/>
    <x v="10"/>
    <x v="7"/>
    <x v="9"/>
    <x v="345"/>
    <x v="344"/>
    <x v="344"/>
    <x v="0"/>
    <x v="0"/>
    <x v="0"/>
    <x v="1"/>
    <x v="0"/>
    <x v="0"/>
    <x v="2"/>
    <x v="0"/>
    <x v="2"/>
    <x v="0"/>
    <x v="0"/>
  </r>
  <r>
    <x v="346"/>
    <x v="11"/>
    <x v="7"/>
    <x v="9"/>
    <x v="346"/>
    <x v="345"/>
    <x v="345"/>
    <x v="2"/>
    <x v="0"/>
    <x v="2"/>
    <x v="1"/>
    <x v="1"/>
    <x v="1"/>
    <x v="2"/>
    <x v="0"/>
    <x v="5"/>
    <x v="1"/>
    <x v="2"/>
  </r>
  <r>
    <x v="347"/>
    <x v="12"/>
    <x v="7"/>
    <x v="9"/>
    <x v="347"/>
    <x v="346"/>
    <x v="346"/>
    <x v="0"/>
    <x v="0"/>
    <x v="0"/>
    <x v="1"/>
    <x v="0"/>
    <x v="0"/>
    <x v="1"/>
    <x v="0"/>
    <x v="1"/>
    <x v="0"/>
    <x v="0"/>
  </r>
  <r>
    <x v="348"/>
    <x v="13"/>
    <x v="7"/>
    <x v="9"/>
    <x v="348"/>
    <x v="347"/>
    <x v="347"/>
    <x v="0"/>
    <x v="0"/>
    <x v="0"/>
    <x v="0"/>
    <x v="0"/>
    <x v="0"/>
    <x v="0"/>
    <x v="0"/>
    <x v="0"/>
    <x v="0"/>
    <x v="0"/>
  </r>
  <r>
    <x v="349"/>
    <x v="14"/>
    <x v="7"/>
    <x v="9"/>
    <x v="349"/>
    <x v="348"/>
    <x v="348"/>
    <x v="0"/>
    <x v="0"/>
    <x v="0"/>
    <x v="1"/>
    <x v="1"/>
    <x v="0"/>
    <x v="2"/>
    <x v="0"/>
    <x v="5"/>
    <x v="2"/>
    <x v="0"/>
  </r>
  <r>
    <x v="350"/>
    <x v="15"/>
    <x v="7"/>
    <x v="9"/>
    <x v="350"/>
    <x v="349"/>
    <x v="349"/>
    <x v="0"/>
    <x v="0"/>
    <x v="0"/>
    <x v="1"/>
    <x v="1"/>
    <x v="0"/>
    <x v="1"/>
    <x v="0"/>
    <x v="1"/>
    <x v="1"/>
    <x v="0"/>
  </r>
  <r>
    <x v="351"/>
    <x v="16"/>
    <x v="7"/>
    <x v="9"/>
    <x v="351"/>
    <x v="350"/>
    <x v="350"/>
    <x v="0"/>
    <x v="0"/>
    <x v="0"/>
    <x v="1"/>
    <x v="1"/>
    <x v="0"/>
    <x v="1"/>
    <x v="0"/>
    <x v="1"/>
    <x v="5"/>
    <x v="0"/>
  </r>
  <r>
    <x v="352"/>
    <x v="17"/>
    <x v="7"/>
    <x v="9"/>
    <x v="352"/>
    <x v="351"/>
    <x v="351"/>
    <x v="2"/>
    <x v="0"/>
    <x v="2"/>
    <x v="1"/>
    <x v="1"/>
    <x v="1"/>
    <x v="2"/>
    <x v="0"/>
    <x v="3"/>
    <x v="1"/>
    <x v="2"/>
  </r>
  <r>
    <x v="353"/>
    <x v="0"/>
    <x v="12"/>
    <x v="10"/>
    <x v="353"/>
    <x v="352"/>
    <x v="352"/>
    <x v="1"/>
    <x v="0"/>
    <x v="2"/>
    <x v="1"/>
    <x v="1"/>
    <x v="1"/>
    <x v="2"/>
    <x v="0"/>
    <x v="5"/>
    <x v="2"/>
    <x v="1"/>
  </r>
  <r>
    <x v="354"/>
    <x v="1"/>
    <x v="12"/>
    <x v="10"/>
    <x v="354"/>
    <x v="353"/>
    <x v="353"/>
    <x v="1"/>
    <x v="0"/>
    <x v="2"/>
    <x v="1"/>
    <x v="1"/>
    <x v="1"/>
    <x v="1"/>
    <x v="0"/>
    <x v="1"/>
    <x v="1"/>
    <x v="1"/>
  </r>
  <r>
    <x v="355"/>
    <x v="2"/>
    <x v="12"/>
    <x v="10"/>
    <x v="355"/>
    <x v="354"/>
    <x v="354"/>
    <x v="0"/>
    <x v="0"/>
    <x v="0"/>
    <x v="1"/>
    <x v="0"/>
    <x v="0"/>
    <x v="1"/>
    <x v="0"/>
    <x v="1"/>
    <x v="0"/>
    <x v="0"/>
  </r>
  <r>
    <x v="356"/>
    <x v="3"/>
    <x v="12"/>
    <x v="10"/>
    <x v="356"/>
    <x v="355"/>
    <x v="355"/>
    <x v="0"/>
    <x v="0"/>
    <x v="0"/>
    <x v="1"/>
    <x v="0"/>
    <x v="0"/>
    <x v="2"/>
    <x v="0"/>
    <x v="2"/>
    <x v="0"/>
    <x v="0"/>
  </r>
  <r>
    <x v="357"/>
    <x v="4"/>
    <x v="12"/>
    <x v="10"/>
    <x v="357"/>
    <x v="356"/>
    <x v="356"/>
    <x v="2"/>
    <x v="0"/>
    <x v="2"/>
    <x v="1"/>
    <x v="1"/>
    <x v="1"/>
    <x v="2"/>
    <x v="0"/>
    <x v="3"/>
    <x v="2"/>
    <x v="2"/>
  </r>
  <r>
    <x v="358"/>
    <x v="5"/>
    <x v="12"/>
    <x v="10"/>
    <x v="358"/>
    <x v="357"/>
    <x v="357"/>
    <x v="0"/>
    <x v="0"/>
    <x v="0"/>
    <x v="1"/>
    <x v="0"/>
    <x v="0"/>
    <x v="2"/>
    <x v="0"/>
    <x v="2"/>
    <x v="0"/>
    <x v="0"/>
  </r>
  <r>
    <x v="359"/>
    <x v="6"/>
    <x v="12"/>
    <x v="10"/>
    <x v="359"/>
    <x v="358"/>
    <x v="358"/>
    <x v="0"/>
    <x v="0"/>
    <x v="0"/>
    <x v="1"/>
    <x v="0"/>
    <x v="0"/>
    <x v="1"/>
    <x v="0"/>
    <x v="1"/>
    <x v="0"/>
    <x v="0"/>
  </r>
  <r>
    <x v="360"/>
    <x v="7"/>
    <x v="12"/>
    <x v="10"/>
    <x v="360"/>
    <x v="359"/>
    <x v="359"/>
    <x v="2"/>
    <x v="0"/>
    <x v="2"/>
    <x v="1"/>
    <x v="1"/>
    <x v="1"/>
    <x v="2"/>
    <x v="0"/>
    <x v="2"/>
    <x v="3"/>
    <x v="3"/>
  </r>
  <r>
    <x v="361"/>
    <x v="8"/>
    <x v="12"/>
    <x v="10"/>
    <x v="361"/>
    <x v="360"/>
    <x v="360"/>
    <x v="1"/>
    <x v="0"/>
    <x v="2"/>
    <x v="1"/>
    <x v="1"/>
    <x v="1"/>
    <x v="1"/>
    <x v="0"/>
    <x v="1"/>
    <x v="5"/>
    <x v="1"/>
  </r>
  <r>
    <x v="362"/>
    <x v="9"/>
    <x v="12"/>
    <x v="10"/>
    <x v="362"/>
    <x v="361"/>
    <x v="361"/>
    <x v="2"/>
    <x v="0"/>
    <x v="2"/>
    <x v="1"/>
    <x v="1"/>
    <x v="1"/>
    <x v="2"/>
    <x v="0"/>
    <x v="3"/>
    <x v="2"/>
    <x v="2"/>
  </r>
  <r>
    <x v="363"/>
    <x v="10"/>
    <x v="12"/>
    <x v="10"/>
    <x v="363"/>
    <x v="362"/>
    <x v="362"/>
    <x v="1"/>
    <x v="0"/>
    <x v="2"/>
    <x v="1"/>
    <x v="1"/>
    <x v="1"/>
    <x v="2"/>
    <x v="0"/>
    <x v="7"/>
    <x v="3"/>
    <x v="1"/>
  </r>
  <r>
    <x v="364"/>
    <x v="11"/>
    <x v="12"/>
    <x v="10"/>
    <x v="364"/>
    <x v="363"/>
    <x v="363"/>
    <x v="0"/>
    <x v="0"/>
    <x v="0"/>
    <x v="1"/>
    <x v="0"/>
    <x v="0"/>
    <x v="2"/>
    <x v="0"/>
    <x v="2"/>
    <x v="0"/>
    <x v="0"/>
  </r>
  <r>
    <x v="365"/>
    <x v="12"/>
    <x v="12"/>
    <x v="10"/>
    <x v="365"/>
    <x v="364"/>
    <x v="364"/>
    <x v="0"/>
    <x v="0"/>
    <x v="0"/>
    <x v="1"/>
    <x v="0"/>
    <x v="0"/>
    <x v="1"/>
    <x v="0"/>
    <x v="1"/>
    <x v="0"/>
    <x v="0"/>
  </r>
  <r>
    <x v="366"/>
    <x v="13"/>
    <x v="12"/>
    <x v="10"/>
    <x v="366"/>
    <x v="365"/>
    <x v="365"/>
    <x v="0"/>
    <x v="0"/>
    <x v="0"/>
    <x v="1"/>
    <x v="1"/>
    <x v="0"/>
    <x v="2"/>
    <x v="0"/>
    <x v="2"/>
    <x v="3"/>
    <x v="0"/>
  </r>
  <r>
    <x v="367"/>
    <x v="14"/>
    <x v="12"/>
    <x v="10"/>
    <x v="367"/>
    <x v="366"/>
    <x v="366"/>
    <x v="0"/>
    <x v="0"/>
    <x v="0"/>
    <x v="1"/>
    <x v="1"/>
    <x v="0"/>
    <x v="2"/>
    <x v="0"/>
    <x v="2"/>
    <x v="5"/>
    <x v="0"/>
  </r>
  <r>
    <x v="368"/>
    <x v="15"/>
    <x v="12"/>
    <x v="10"/>
    <x v="368"/>
    <x v="367"/>
    <x v="367"/>
    <x v="2"/>
    <x v="0"/>
    <x v="2"/>
    <x v="1"/>
    <x v="1"/>
    <x v="1"/>
    <x v="2"/>
    <x v="0"/>
    <x v="2"/>
    <x v="5"/>
    <x v="2"/>
  </r>
  <r>
    <x v="369"/>
    <x v="16"/>
    <x v="12"/>
    <x v="10"/>
    <x v="369"/>
    <x v="368"/>
    <x v="368"/>
    <x v="2"/>
    <x v="0"/>
    <x v="2"/>
    <x v="1"/>
    <x v="1"/>
    <x v="1"/>
    <x v="2"/>
    <x v="0"/>
    <x v="2"/>
    <x v="1"/>
    <x v="2"/>
  </r>
  <r>
    <x v="370"/>
    <x v="17"/>
    <x v="12"/>
    <x v="10"/>
    <x v="370"/>
    <x v="369"/>
    <x v="369"/>
    <x v="0"/>
    <x v="0"/>
    <x v="0"/>
    <x v="1"/>
    <x v="0"/>
    <x v="0"/>
    <x v="1"/>
    <x v="0"/>
    <x v="1"/>
    <x v="0"/>
    <x v="0"/>
  </r>
  <r>
    <x v="371"/>
    <x v="18"/>
    <x v="12"/>
    <x v="10"/>
    <x v="371"/>
    <x v="370"/>
    <x v="370"/>
    <x v="0"/>
    <x v="0"/>
    <x v="0"/>
    <x v="0"/>
    <x v="0"/>
    <x v="0"/>
    <x v="0"/>
    <x v="0"/>
    <x v="0"/>
    <x v="0"/>
    <x v="0"/>
  </r>
  <r>
    <x v="372"/>
    <x v="19"/>
    <x v="12"/>
    <x v="10"/>
    <x v="372"/>
    <x v="371"/>
    <x v="371"/>
    <x v="2"/>
    <x v="0"/>
    <x v="2"/>
    <x v="1"/>
    <x v="1"/>
    <x v="1"/>
    <x v="2"/>
    <x v="0"/>
    <x v="2"/>
    <x v="2"/>
    <x v="2"/>
  </r>
  <r>
    <x v="373"/>
    <x v="20"/>
    <x v="12"/>
    <x v="10"/>
    <x v="373"/>
    <x v="372"/>
    <x v="372"/>
    <x v="0"/>
    <x v="0"/>
    <x v="0"/>
    <x v="1"/>
    <x v="0"/>
    <x v="0"/>
    <x v="2"/>
    <x v="0"/>
    <x v="2"/>
    <x v="0"/>
    <x v="0"/>
  </r>
  <r>
    <x v="374"/>
    <x v="21"/>
    <x v="12"/>
    <x v="10"/>
    <x v="374"/>
    <x v="373"/>
    <x v="373"/>
    <x v="0"/>
    <x v="0"/>
    <x v="0"/>
    <x v="0"/>
    <x v="0"/>
    <x v="0"/>
    <x v="0"/>
    <x v="0"/>
    <x v="0"/>
    <x v="0"/>
    <x v="0"/>
  </r>
  <r>
    <x v="375"/>
    <x v="22"/>
    <x v="12"/>
    <x v="10"/>
    <x v="375"/>
    <x v="374"/>
    <x v="374"/>
    <x v="2"/>
    <x v="0"/>
    <x v="2"/>
    <x v="1"/>
    <x v="1"/>
    <x v="1"/>
    <x v="2"/>
    <x v="0"/>
    <x v="7"/>
    <x v="5"/>
    <x v="2"/>
  </r>
  <r>
    <x v="376"/>
    <x v="23"/>
    <x v="12"/>
    <x v="10"/>
    <x v="376"/>
    <x v="375"/>
    <x v="375"/>
    <x v="0"/>
    <x v="0"/>
    <x v="0"/>
    <x v="0"/>
    <x v="0"/>
    <x v="0"/>
    <x v="0"/>
    <x v="0"/>
    <x v="0"/>
    <x v="0"/>
    <x v="0"/>
  </r>
  <r>
    <x v="377"/>
    <x v="24"/>
    <x v="12"/>
    <x v="10"/>
    <x v="377"/>
    <x v="376"/>
    <x v="376"/>
    <x v="0"/>
    <x v="0"/>
    <x v="0"/>
    <x v="1"/>
    <x v="0"/>
    <x v="0"/>
    <x v="1"/>
    <x v="0"/>
    <x v="1"/>
    <x v="0"/>
    <x v="0"/>
  </r>
  <r>
    <x v="378"/>
    <x v="25"/>
    <x v="12"/>
    <x v="10"/>
    <x v="378"/>
    <x v="377"/>
    <x v="377"/>
    <x v="0"/>
    <x v="0"/>
    <x v="0"/>
    <x v="1"/>
    <x v="1"/>
    <x v="0"/>
    <x v="1"/>
    <x v="0"/>
    <x v="1"/>
    <x v="2"/>
    <x v="0"/>
  </r>
  <r>
    <x v="379"/>
    <x v="26"/>
    <x v="12"/>
    <x v="10"/>
    <x v="379"/>
    <x v="378"/>
    <x v="378"/>
    <x v="0"/>
    <x v="0"/>
    <x v="0"/>
    <x v="1"/>
    <x v="0"/>
    <x v="0"/>
    <x v="1"/>
    <x v="0"/>
    <x v="1"/>
    <x v="0"/>
    <x v="0"/>
  </r>
  <r>
    <x v="380"/>
    <x v="27"/>
    <x v="12"/>
    <x v="10"/>
    <x v="380"/>
    <x v="379"/>
    <x v="379"/>
    <x v="0"/>
    <x v="0"/>
    <x v="0"/>
    <x v="1"/>
    <x v="1"/>
    <x v="0"/>
    <x v="2"/>
    <x v="0"/>
    <x v="2"/>
    <x v="1"/>
    <x v="0"/>
  </r>
  <r>
    <x v="381"/>
    <x v="28"/>
    <x v="12"/>
    <x v="10"/>
    <x v="381"/>
    <x v="380"/>
    <x v="380"/>
    <x v="0"/>
    <x v="0"/>
    <x v="0"/>
    <x v="0"/>
    <x v="0"/>
    <x v="0"/>
    <x v="0"/>
    <x v="0"/>
    <x v="0"/>
    <x v="0"/>
    <x v="0"/>
  </r>
  <r>
    <x v="382"/>
    <x v="29"/>
    <x v="12"/>
    <x v="10"/>
    <x v="382"/>
    <x v="381"/>
    <x v="381"/>
    <x v="0"/>
    <x v="0"/>
    <x v="0"/>
    <x v="1"/>
    <x v="0"/>
    <x v="0"/>
    <x v="1"/>
    <x v="0"/>
    <x v="1"/>
    <x v="0"/>
    <x v="0"/>
  </r>
  <r>
    <x v="383"/>
    <x v="30"/>
    <x v="12"/>
    <x v="10"/>
    <x v="383"/>
    <x v="382"/>
    <x v="382"/>
    <x v="0"/>
    <x v="0"/>
    <x v="0"/>
    <x v="1"/>
    <x v="1"/>
    <x v="0"/>
    <x v="1"/>
    <x v="0"/>
    <x v="1"/>
    <x v="1"/>
    <x v="0"/>
  </r>
  <r>
    <x v="384"/>
    <x v="31"/>
    <x v="12"/>
    <x v="10"/>
    <x v="384"/>
    <x v="383"/>
    <x v="383"/>
    <x v="1"/>
    <x v="0"/>
    <x v="2"/>
    <x v="1"/>
    <x v="1"/>
    <x v="1"/>
    <x v="1"/>
    <x v="0"/>
    <x v="1"/>
    <x v="1"/>
    <x v="1"/>
  </r>
  <r>
    <x v="385"/>
    <x v="32"/>
    <x v="12"/>
    <x v="10"/>
    <x v="385"/>
    <x v="384"/>
    <x v="384"/>
    <x v="2"/>
    <x v="0"/>
    <x v="2"/>
    <x v="1"/>
    <x v="1"/>
    <x v="1"/>
    <x v="2"/>
    <x v="0"/>
    <x v="2"/>
    <x v="5"/>
    <x v="3"/>
  </r>
  <r>
    <x v="386"/>
    <x v="33"/>
    <x v="12"/>
    <x v="10"/>
    <x v="386"/>
    <x v="385"/>
    <x v="385"/>
    <x v="0"/>
    <x v="0"/>
    <x v="0"/>
    <x v="0"/>
    <x v="0"/>
    <x v="0"/>
    <x v="0"/>
    <x v="0"/>
    <x v="0"/>
    <x v="0"/>
    <x v="0"/>
  </r>
  <r>
    <x v="387"/>
    <x v="34"/>
    <x v="12"/>
    <x v="10"/>
    <x v="387"/>
    <x v="386"/>
    <x v="386"/>
    <x v="0"/>
    <x v="0"/>
    <x v="0"/>
    <x v="0"/>
    <x v="0"/>
    <x v="0"/>
    <x v="0"/>
    <x v="0"/>
    <x v="0"/>
    <x v="0"/>
    <x v="0"/>
  </r>
  <r>
    <x v="388"/>
    <x v="35"/>
    <x v="12"/>
    <x v="10"/>
    <x v="388"/>
    <x v="387"/>
    <x v="387"/>
    <x v="2"/>
    <x v="0"/>
    <x v="2"/>
    <x v="1"/>
    <x v="1"/>
    <x v="1"/>
    <x v="2"/>
    <x v="0"/>
    <x v="2"/>
    <x v="2"/>
    <x v="2"/>
  </r>
  <r>
    <x v="389"/>
    <x v="36"/>
    <x v="12"/>
    <x v="10"/>
    <x v="389"/>
    <x v="388"/>
    <x v="388"/>
    <x v="0"/>
    <x v="0"/>
    <x v="0"/>
    <x v="1"/>
    <x v="1"/>
    <x v="0"/>
    <x v="2"/>
    <x v="0"/>
    <x v="5"/>
    <x v="2"/>
    <x v="0"/>
  </r>
  <r>
    <x v="390"/>
    <x v="37"/>
    <x v="12"/>
    <x v="10"/>
    <x v="390"/>
    <x v="389"/>
    <x v="389"/>
    <x v="0"/>
    <x v="0"/>
    <x v="0"/>
    <x v="1"/>
    <x v="0"/>
    <x v="0"/>
    <x v="2"/>
    <x v="0"/>
    <x v="2"/>
    <x v="0"/>
    <x v="0"/>
  </r>
  <r>
    <x v="391"/>
    <x v="38"/>
    <x v="12"/>
    <x v="10"/>
    <x v="391"/>
    <x v="390"/>
    <x v="390"/>
    <x v="0"/>
    <x v="0"/>
    <x v="0"/>
    <x v="1"/>
    <x v="0"/>
    <x v="0"/>
    <x v="2"/>
    <x v="0"/>
    <x v="5"/>
    <x v="0"/>
    <x v="0"/>
  </r>
  <r>
    <x v="392"/>
    <x v="39"/>
    <x v="12"/>
    <x v="10"/>
    <x v="392"/>
    <x v="391"/>
    <x v="391"/>
    <x v="0"/>
    <x v="0"/>
    <x v="0"/>
    <x v="1"/>
    <x v="0"/>
    <x v="0"/>
    <x v="1"/>
    <x v="0"/>
    <x v="1"/>
    <x v="0"/>
    <x v="0"/>
  </r>
  <r>
    <x v="393"/>
    <x v="40"/>
    <x v="12"/>
    <x v="10"/>
    <x v="393"/>
    <x v="392"/>
    <x v="392"/>
    <x v="1"/>
    <x v="0"/>
    <x v="2"/>
    <x v="1"/>
    <x v="1"/>
    <x v="1"/>
    <x v="2"/>
    <x v="0"/>
    <x v="2"/>
    <x v="1"/>
    <x v="1"/>
  </r>
  <r>
    <x v="394"/>
    <x v="41"/>
    <x v="12"/>
    <x v="10"/>
    <x v="394"/>
    <x v="393"/>
    <x v="393"/>
    <x v="0"/>
    <x v="0"/>
    <x v="0"/>
    <x v="1"/>
    <x v="0"/>
    <x v="0"/>
    <x v="1"/>
    <x v="0"/>
    <x v="1"/>
    <x v="0"/>
    <x v="0"/>
  </r>
  <r>
    <x v="395"/>
    <x v="42"/>
    <x v="12"/>
    <x v="10"/>
    <x v="395"/>
    <x v="394"/>
    <x v="394"/>
    <x v="0"/>
    <x v="0"/>
    <x v="0"/>
    <x v="1"/>
    <x v="1"/>
    <x v="0"/>
    <x v="1"/>
    <x v="0"/>
    <x v="1"/>
    <x v="5"/>
    <x v="0"/>
  </r>
  <r>
    <x v="396"/>
    <x v="43"/>
    <x v="12"/>
    <x v="10"/>
    <x v="396"/>
    <x v="395"/>
    <x v="395"/>
    <x v="0"/>
    <x v="0"/>
    <x v="0"/>
    <x v="1"/>
    <x v="0"/>
    <x v="0"/>
    <x v="2"/>
    <x v="0"/>
    <x v="2"/>
    <x v="0"/>
    <x v="0"/>
  </r>
  <r>
    <x v="397"/>
    <x v="44"/>
    <x v="12"/>
    <x v="10"/>
    <x v="397"/>
    <x v="396"/>
    <x v="396"/>
    <x v="2"/>
    <x v="0"/>
    <x v="2"/>
    <x v="1"/>
    <x v="1"/>
    <x v="1"/>
    <x v="2"/>
    <x v="0"/>
    <x v="5"/>
    <x v="5"/>
    <x v="3"/>
  </r>
  <r>
    <x v="398"/>
    <x v="45"/>
    <x v="12"/>
    <x v="10"/>
    <x v="398"/>
    <x v="397"/>
    <x v="397"/>
    <x v="0"/>
    <x v="0"/>
    <x v="0"/>
    <x v="1"/>
    <x v="0"/>
    <x v="0"/>
    <x v="2"/>
    <x v="0"/>
    <x v="5"/>
    <x v="0"/>
    <x v="0"/>
  </r>
  <r>
    <x v="399"/>
    <x v="46"/>
    <x v="12"/>
    <x v="10"/>
    <x v="399"/>
    <x v="398"/>
    <x v="398"/>
    <x v="0"/>
    <x v="0"/>
    <x v="0"/>
    <x v="0"/>
    <x v="0"/>
    <x v="0"/>
    <x v="0"/>
    <x v="0"/>
    <x v="0"/>
    <x v="0"/>
    <x v="0"/>
  </r>
  <r>
    <x v="400"/>
    <x v="47"/>
    <x v="12"/>
    <x v="10"/>
    <x v="400"/>
    <x v="399"/>
    <x v="399"/>
    <x v="2"/>
    <x v="0"/>
    <x v="2"/>
    <x v="1"/>
    <x v="1"/>
    <x v="1"/>
    <x v="2"/>
    <x v="0"/>
    <x v="2"/>
    <x v="3"/>
    <x v="5"/>
  </r>
  <r>
    <x v="401"/>
    <x v="0"/>
    <x v="13"/>
    <x v="11"/>
    <x v="401"/>
    <x v="400"/>
    <x v="400"/>
    <x v="0"/>
    <x v="0"/>
    <x v="0"/>
    <x v="1"/>
    <x v="0"/>
    <x v="0"/>
    <x v="2"/>
    <x v="0"/>
    <x v="2"/>
    <x v="0"/>
    <x v="0"/>
  </r>
  <r>
    <x v="402"/>
    <x v="1"/>
    <x v="13"/>
    <x v="11"/>
    <x v="402"/>
    <x v="401"/>
    <x v="401"/>
    <x v="0"/>
    <x v="0"/>
    <x v="0"/>
    <x v="1"/>
    <x v="0"/>
    <x v="0"/>
    <x v="1"/>
    <x v="0"/>
    <x v="1"/>
    <x v="0"/>
    <x v="0"/>
  </r>
  <r>
    <x v="403"/>
    <x v="2"/>
    <x v="13"/>
    <x v="11"/>
    <x v="403"/>
    <x v="402"/>
    <x v="402"/>
    <x v="0"/>
    <x v="0"/>
    <x v="0"/>
    <x v="1"/>
    <x v="1"/>
    <x v="0"/>
    <x v="2"/>
    <x v="0"/>
    <x v="2"/>
    <x v="1"/>
    <x v="0"/>
  </r>
  <r>
    <x v="404"/>
    <x v="3"/>
    <x v="13"/>
    <x v="11"/>
    <x v="404"/>
    <x v="403"/>
    <x v="403"/>
    <x v="0"/>
    <x v="0"/>
    <x v="0"/>
    <x v="0"/>
    <x v="0"/>
    <x v="0"/>
    <x v="0"/>
    <x v="0"/>
    <x v="0"/>
    <x v="0"/>
    <x v="0"/>
  </r>
  <r>
    <x v="405"/>
    <x v="4"/>
    <x v="13"/>
    <x v="11"/>
    <x v="405"/>
    <x v="404"/>
    <x v="404"/>
    <x v="0"/>
    <x v="0"/>
    <x v="0"/>
    <x v="1"/>
    <x v="0"/>
    <x v="0"/>
    <x v="2"/>
    <x v="0"/>
    <x v="7"/>
    <x v="0"/>
    <x v="0"/>
  </r>
  <r>
    <x v="406"/>
    <x v="5"/>
    <x v="13"/>
    <x v="11"/>
    <x v="406"/>
    <x v="405"/>
    <x v="405"/>
    <x v="1"/>
    <x v="0"/>
    <x v="2"/>
    <x v="1"/>
    <x v="1"/>
    <x v="1"/>
    <x v="1"/>
    <x v="0"/>
    <x v="1"/>
    <x v="2"/>
    <x v="1"/>
  </r>
  <r>
    <x v="407"/>
    <x v="6"/>
    <x v="13"/>
    <x v="11"/>
    <x v="407"/>
    <x v="406"/>
    <x v="406"/>
    <x v="0"/>
    <x v="0"/>
    <x v="0"/>
    <x v="1"/>
    <x v="1"/>
    <x v="0"/>
    <x v="2"/>
    <x v="0"/>
    <x v="2"/>
    <x v="3"/>
    <x v="0"/>
  </r>
  <r>
    <x v="408"/>
    <x v="7"/>
    <x v="13"/>
    <x v="11"/>
    <x v="408"/>
    <x v="407"/>
    <x v="407"/>
    <x v="0"/>
    <x v="0"/>
    <x v="0"/>
    <x v="0"/>
    <x v="0"/>
    <x v="0"/>
    <x v="0"/>
    <x v="0"/>
    <x v="0"/>
    <x v="0"/>
    <x v="0"/>
  </r>
  <r>
    <x v="409"/>
    <x v="8"/>
    <x v="13"/>
    <x v="11"/>
    <x v="409"/>
    <x v="408"/>
    <x v="408"/>
    <x v="0"/>
    <x v="0"/>
    <x v="0"/>
    <x v="0"/>
    <x v="0"/>
    <x v="0"/>
    <x v="0"/>
    <x v="0"/>
    <x v="0"/>
    <x v="0"/>
    <x v="0"/>
  </r>
  <r>
    <x v="410"/>
    <x v="9"/>
    <x v="13"/>
    <x v="11"/>
    <x v="410"/>
    <x v="409"/>
    <x v="409"/>
    <x v="0"/>
    <x v="0"/>
    <x v="0"/>
    <x v="0"/>
    <x v="0"/>
    <x v="0"/>
    <x v="0"/>
    <x v="0"/>
    <x v="0"/>
    <x v="0"/>
    <x v="0"/>
  </r>
  <r>
    <x v="411"/>
    <x v="10"/>
    <x v="13"/>
    <x v="11"/>
    <x v="411"/>
    <x v="410"/>
    <x v="410"/>
    <x v="0"/>
    <x v="0"/>
    <x v="0"/>
    <x v="1"/>
    <x v="1"/>
    <x v="0"/>
    <x v="1"/>
    <x v="0"/>
    <x v="1"/>
    <x v="1"/>
    <x v="0"/>
  </r>
  <r>
    <x v="412"/>
    <x v="11"/>
    <x v="13"/>
    <x v="11"/>
    <x v="412"/>
    <x v="411"/>
    <x v="411"/>
    <x v="0"/>
    <x v="0"/>
    <x v="0"/>
    <x v="0"/>
    <x v="0"/>
    <x v="0"/>
    <x v="0"/>
    <x v="0"/>
    <x v="0"/>
    <x v="0"/>
    <x v="0"/>
  </r>
  <r>
    <x v="413"/>
    <x v="12"/>
    <x v="13"/>
    <x v="11"/>
    <x v="413"/>
    <x v="412"/>
    <x v="412"/>
    <x v="1"/>
    <x v="0"/>
    <x v="2"/>
    <x v="1"/>
    <x v="1"/>
    <x v="1"/>
    <x v="2"/>
    <x v="0"/>
    <x v="2"/>
    <x v="1"/>
    <x v="1"/>
  </r>
  <r>
    <x v="414"/>
    <x v="13"/>
    <x v="13"/>
    <x v="11"/>
    <x v="414"/>
    <x v="413"/>
    <x v="413"/>
    <x v="0"/>
    <x v="0"/>
    <x v="0"/>
    <x v="0"/>
    <x v="0"/>
    <x v="0"/>
    <x v="0"/>
    <x v="0"/>
    <x v="0"/>
    <x v="0"/>
    <x v="0"/>
  </r>
  <r>
    <x v="415"/>
    <x v="14"/>
    <x v="13"/>
    <x v="11"/>
    <x v="415"/>
    <x v="414"/>
    <x v="414"/>
    <x v="0"/>
    <x v="0"/>
    <x v="0"/>
    <x v="0"/>
    <x v="0"/>
    <x v="0"/>
    <x v="0"/>
    <x v="0"/>
    <x v="0"/>
    <x v="0"/>
    <x v="0"/>
  </r>
  <r>
    <x v="416"/>
    <x v="15"/>
    <x v="13"/>
    <x v="11"/>
    <x v="416"/>
    <x v="415"/>
    <x v="415"/>
    <x v="0"/>
    <x v="0"/>
    <x v="0"/>
    <x v="1"/>
    <x v="0"/>
    <x v="0"/>
    <x v="1"/>
    <x v="0"/>
    <x v="1"/>
    <x v="0"/>
    <x v="0"/>
  </r>
  <r>
    <x v="417"/>
    <x v="16"/>
    <x v="13"/>
    <x v="11"/>
    <x v="417"/>
    <x v="416"/>
    <x v="416"/>
    <x v="1"/>
    <x v="0"/>
    <x v="2"/>
    <x v="1"/>
    <x v="1"/>
    <x v="1"/>
    <x v="2"/>
    <x v="0"/>
    <x v="2"/>
    <x v="1"/>
    <x v="1"/>
  </r>
  <r>
    <x v="418"/>
    <x v="17"/>
    <x v="13"/>
    <x v="11"/>
    <x v="418"/>
    <x v="417"/>
    <x v="417"/>
    <x v="0"/>
    <x v="0"/>
    <x v="0"/>
    <x v="0"/>
    <x v="0"/>
    <x v="0"/>
    <x v="0"/>
    <x v="0"/>
    <x v="0"/>
    <x v="0"/>
    <x v="0"/>
  </r>
  <r>
    <x v="419"/>
    <x v="18"/>
    <x v="13"/>
    <x v="11"/>
    <x v="419"/>
    <x v="418"/>
    <x v="418"/>
    <x v="0"/>
    <x v="0"/>
    <x v="0"/>
    <x v="0"/>
    <x v="0"/>
    <x v="0"/>
    <x v="0"/>
    <x v="0"/>
    <x v="0"/>
    <x v="0"/>
    <x v="0"/>
  </r>
  <r>
    <x v="420"/>
    <x v="19"/>
    <x v="13"/>
    <x v="11"/>
    <x v="420"/>
    <x v="419"/>
    <x v="419"/>
    <x v="0"/>
    <x v="0"/>
    <x v="0"/>
    <x v="0"/>
    <x v="0"/>
    <x v="0"/>
    <x v="0"/>
    <x v="0"/>
    <x v="0"/>
    <x v="0"/>
    <x v="0"/>
  </r>
  <r>
    <x v="421"/>
    <x v="20"/>
    <x v="13"/>
    <x v="11"/>
    <x v="421"/>
    <x v="420"/>
    <x v="420"/>
    <x v="1"/>
    <x v="0"/>
    <x v="2"/>
    <x v="1"/>
    <x v="1"/>
    <x v="1"/>
    <x v="2"/>
    <x v="0"/>
    <x v="2"/>
    <x v="5"/>
    <x v="1"/>
  </r>
  <r>
    <x v="422"/>
    <x v="21"/>
    <x v="13"/>
    <x v="11"/>
    <x v="422"/>
    <x v="421"/>
    <x v="421"/>
    <x v="0"/>
    <x v="0"/>
    <x v="0"/>
    <x v="0"/>
    <x v="0"/>
    <x v="0"/>
    <x v="0"/>
    <x v="0"/>
    <x v="0"/>
    <x v="0"/>
    <x v="0"/>
  </r>
  <r>
    <x v="423"/>
    <x v="22"/>
    <x v="13"/>
    <x v="11"/>
    <x v="423"/>
    <x v="422"/>
    <x v="422"/>
    <x v="1"/>
    <x v="0"/>
    <x v="2"/>
    <x v="1"/>
    <x v="1"/>
    <x v="1"/>
    <x v="2"/>
    <x v="0"/>
    <x v="5"/>
    <x v="1"/>
    <x v="1"/>
  </r>
  <r>
    <x v="424"/>
    <x v="23"/>
    <x v="14"/>
    <x v="12"/>
    <x v="424"/>
    <x v="423"/>
    <x v="423"/>
    <x v="0"/>
    <x v="0"/>
    <x v="0"/>
    <x v="1"/>
    <x v="1"/>
    <x v="0"/>
    <x v="2"/>
    <x v="0"/>
    <x v="2"/>
    <x v="1"/>
    <x v="0"/>
  </r>
  <r>
    <x v="425"/>
    <x v="24"/>
    <x v="14"/>
    <x v="12"/>
    <x v="425"/>
    <x v="424"/>
    <x v="424"/>
    <x v="0"/>
    <x v="0"/>
    <x v="0"/>
    <x v="1"/>
    <x v="0"/>
    <x v="0"/>
    <x v="2"/>
    <x v="0"/>
    <x v="2"/>
    <x v="0"/>
    <x v="0"/>
  </r>
  <r>
    <x v="426"/>
    <x v="25"/>
    <x v="14"/>
    <x v="12"/>
    <x v="426"/>
    <x v="425"/>
    <x v="425"/>
    <x v="0"/>
    <x v="0"/>
    <x v="0"/>
    <x v="1"/>
    <x v="0"/>
    <x v="0"/>
    <x v="2"/>
    <x v="0"/>
    <x v="2"/>
    <x v="0"/>
    <x v="0"/>
  </r>
  <r>
    <x v="427"/>
    <x v="26"/>
    <x v="14"/>
    <x v="12"/>
    <x v="427"/>
    <x v="426"/>
    <x v="426"/>
    <x v="0"/>
    <x v="0"/>
    <x v="0"/>
    <x v="0"/>
    <x v="0"/>
    <x v="0"/>
    <x v="0"/>
    <x v="0"/>
    <x v="0"/>
    <x v="0"/>
    <x v="0"/>
  </r>
  <r>
    <x v="428"/>
    <x v="27"/>
    <x v="14"/>
    <x v="12"/>
    <x v="428"/>
    <x v="427"/>
    <x v="427"/>
    <x v="0"/>
    <x v="0"/>
    <x v="0"/>
    <x v="1"/>
    <x v="0"/>
    <x v="0"/>
    <x v="1"/>
    <x v="0"/>
    <x v="1"/>
    <x v="0"/>
    <x v="0"/>
  </r>
  <r>
    <x v="429"/>
    <x v="28"/>
    <x v="14"/>
    <x v="12"/>
    <x v="429"/>
    <x v="428"/>
    <x v="428"/>
    <x v="0"/>
    <x v="0"/>
    <x v="0"/>
    <x v="1"/>
    <x v="0"/>
    <x v="0"/>
    <x v="2"/>
    <x v="0"/>
    <x v="2"/>
    <x v="0"/>
    <x v="0"/>
  </r>
  <r>
    <x v="430"/>
    <x v="29"/>
    <x v="14"/>
    <x v="12"/>
    <x v="430"/>
    <x v="429"/>
    <x v="429"/>
    <x v="2"/>
    <x v="0"/>
    <x v="2"/>
    <x v="1"/>
    <x v="1"/>
    <x v="1"/>
    <x v="2"/>
    <x v="0"/>
    <x v="2"/>
    <x v="3"/>
    <x v="2"/>
  </r>
  <r>
    <x v="431"/>
    <x v="30"/>
    <x v="14"/>
    <x v="12"/>
    <x v="431"/>
    <x v="430"/>
    <x v="430"/>
    <x v="0"/>
    <x v="0"/>
    <x v="0"/>
    <x v="1"/>
    <x v="0"/>
    <x v="0"/>
    <x v="1"/>
    <x v="0"/>
    <x v="1"/>
    <x v="0"/>
    <x v="0"/>
  </r>
  <r>
    <x v="432"/>
    <x v="31"/>
    <x v="14"/>
    <x v="12"/>
    <x v="432"/>
    <x v="431"/>
    <x v="431"/>
    <x v="0"/>
    <x v="0"/>
    <x v="0"/>
    <x v="1"/>
    <x v="1"/>
    <x v="0"/>
    <x v="1"/>
    <x v="0"/>
    <x v="1"/>
    <x v="1"/>
    <x v="0"/>
  </r>
  <r>
    <x v="433"/>
    <x v="32"/>
    <x v="14"/>
    <x v="12"/>
    <x v="433"/>
    <x v="432"/>
    <x v="432"/>
    <x v="0"/>
    <x v="0"/>
    <x v="0"/>
    <x v="1"/>
    <x v="0"/>
    <x v="0"/>
    <x v="1"/>
    <x v="0"/>
    <x v="1"/>
    <x v="0"/>
    <x v="0"/>
  </r>
  <r>
    <x v="434"/>
    <x v="0"/>
    <x v="15"/>
    <x v="13"/>
    <x v="434"/>
    <x v="433"/>
    <x v="433"/>
    <x v="0"/>
    <x v="0"/>
    <x v="0"/>
    <x v="0"/>
    <x v="0"/>
    <x v="0"/>
    <x v="0"/>
    <x v="0"/>
    <x v="0"/>
    <x v="0"/>
    <x v="0"/>
  </r>
  <r>
    <x v="435"/>
    <x v="1"/>
    <x v="15"/>
    <x v="13"/>
    <x v="435"/>
    <x v="434"/>
    <x v="434"/>
    <x v="0"/>
    <x v="0"/>
    <x v="0"/>
    <x v="0"/>
    <x v="0"/>
    <x v="0"/>
    <x v="0"/>
    <x v="0"/>
    <x v="0"/>
    <x v="0"/>
    <x v="0"/>
  </r>
  <r>
    <x v="436"/>
    <x v="2"/>
    <x v="15"/>
    <x v="13"/>
    <x v="436"/>
    <x v="435"/>
    <x v="435"/>
    <x v="0"/>
    <x v="0"/>
    <x v="0"/>
    <x v="0"/>
    <x v="0"/>
    <x v="0"/>
    <x v="0"/>
    <x v="0"/>
    <x v="0"/>
    <x v="0"/>
    <x v="0"/>
  </r>
  <r>
    <x v="437"/>
    <x v="3"/>
    <x v="15"/>
    <x v="13"/>
    <x v="437"/>
    <x v="436"/>
    <x v="436"/>
    <x v="0"/>
    <x v="0"/>
    <x v="0"/>
    <x v="0"/>
    <x v="0"/>
    <x v="0"/>
    <x v="0"/>
    <x v="0"/>
    <x v="0"/>
    <x v="0"/>
    <x v="0"/>
  </r>
  <r>
    <x v="438"/>
    <x v="4"/>
    <x v="15"/>
    <x v="13"/>
    <x v="438"/>
    <x v="437"/>
    <x v="437"/>
    <x v="0"/>
    <x v="0"/>
    <x v="0"/>
    <x v="0"/>
    <x v="0"/>
    <x v="0"/>
    <x v="0"/>
    <x v="0"/>
    <x v="0"/>
    <x v="0"/>
    <x v="0"/>
  </r>
  <r>
    <x v="439"/>
    <x v="5"/>
    <x v="15"/>
    <x v="13"/>
    <x v="439"/>
    <x v="438"/>
    <x v="438"/>
    <x v="0"/>
    <x v="0"/>
    <x v="0"/>
    <x v="0"/>
    <x v="0"/>
    <x v="0"/>
    <x v="0"/>
    <x v="0"/>
    <x v="0"/>
    <x v="0"/>
    <x v="0"/>
  </r>
  <r>
    <x v="440"/>
    <x v="6"/>
    <x v="15"/>
    <x v="13"/>
    <x v="440"/>
    <x v="439"/>
    <x v="439"/>
    <x v="0"/>
    <x v="0"/>
    <x v="0"/>
    <x v="0"/>
    <x v="0"/>
    <x v="0"/>
    <x v="0"/>
    <x v="0"/>
    <x v="0"/>
    <x v="0"/>
    <x v="0"/>
  </r>
  <r>
    <x v="441"/>
    <x v="7"/>
    <x v="15"/>
    <x v="13"/>
    <x v="441"/>
    <x v="440"/>
    <x v="440"/>
    <x v="0"/>
    <x v="0"/>
    <x v="0"/>
    <x v="0"/>
    <x v="0"/>
    <x v="0"/>
    <x v="0"/>
    <x v="0"/>
    <x v="0"/>
    <x v="0"/>
    <x v="0"/>
  </r>
  <r>
    <x v="442"/>
    <x v="8"/>
    <x v="15"/>
    <x v="13"/>
    <x v="442"/>
    <x v="441"/>
    <x v="441"/>
    <x v="0"/>
    <x v="0"/>
    <x v="0"/>
    <x v="0"/>
    <x v="0"/>
    <x v="0"/>
    <x v="0"/>
    <x v="0"/>
    <x v="0"/>
    <x v="0"/>
    <x v="0"/>
  </r>
  <r>
    <x v="443"/>
    <x v="9"/>
    <x v="15"/>
    <x v="13"/>
    <x v="443"/>
    <x v="442"/>
    <x v="442"/>
    <x v="0"/>
    <x v="0"/>
    <x v="0"/>
    <x v="0"/>
    <x v="0"/>
    <x v="0"/>
    <x v="0"/>
    <x v="0"/>
    <x v="0"/>
    <x v="0"/>
    <x v="0"/>
  </r>
  <r>
    <x v="444"/>
    <x v="10"/>
    <x v="15"/>
    <x v="13"/>
    <x v="444"/>
    <x v="443"/>
    <x v="443"/>
    <x v="0"/>
    <x v="0"/>
    <x v="0"/>
    <x v="0"/>
    <x v="0"/>
    <x v="0"/>
    <x v="0"/>
    <x v="0"/>
    <x v="0"/>
    <x v="0"/>
    <x v="0"/>
  </r>
  <r>
    <x v="445"/>
    <x v="11"/>
    <x v="15"/>
    <x v="13"/>
    <x v="445"/>
    <x v="444"/>
    <x v="444"/>
    <x v="0"/>
    <x v="0"/>
    <x v="0"/>
    <x v="0"/>
    <x v="0"/>
    <x v="0"/>
    <x v="0"/>
    <x v="0"/>
    <x v="0"/>
    <x v="0"/>
    <x v="0"/>
  </r>
  <r>
    <x v="446"/>
    <x v="12"/>
    <x v="15"/>
    <x v="13"/>
    <x v="446"/>
    <x v="445"/>
    <x v="445"/>
    <x v="0"/>
    <x v="0"/>
    <x v="0"/>
    <x v="1"/>
    <x v="1"/>
    <x v="0"/>
    <x v="2"/>
    <x v="0"/>
    <x v="5"/>
    <x v="1"/>
    <x v="0"/>
  </r>
  <r>
    <x v="447"/>
    <x v="13"/>
    <x v="15"/>
    <x v="13"/>
    <x v="447"/>
    <x v="446"/>
    <x v="446"/>
    <x v="0"/>
    <x v="0"/>
    <x v="0"/>
    <x v="1"/>
    <x v="1"/>
    <x v="0"/>
    <x v="2"/>
    <x v="0"/>
    <x v="7"/>
    <x v="5"/>
    <x v="0"/>
  </r>
  <r>
    <x v="448"/>
    <x v="14"/>
    <x v="15"/>
    <x v="13"/>
    <x v="448"/>
    <x v="447"/>
    <x v="447"/>
    <x v="0"/>
    <x v="0"/>
    <x v="0"/>
    <x v="1"/>
    <x v="1"/>
    <x v="0"/>
    <x v="1"/>
    <x v="0"/>
    <x v="1"/>
    <x v="3"/>
    <x v="0"/>
  </r>
  <r>
    <x v="449"/>
    <x v="15"/>
    <x v="15"/>
    <x v="13"/>
    <x v="449"/>
    <x v="448"/>
    <x v="448"/>
    <x v="0"/>
    <x v="0"/>
    <x v="0"/>
    <x v="1"/>
    <x v="0"/>
    <x v="0"/>
    <x v="2"/>
    <x v="0"/>
    <x v="2"/>
    <x v="0"/>
    <x v="0"/>
  </r>
  <r>
    <x v="450"/>
    <x v="16"/>
    <x v="15"/>
    <x v="13"/>
    <x v="450"/>
    <x v="449"/>
    <x v="449"/>
    <x v="0"/>
    <x v="0"/>
    <x v="0"/>
    <x v="1"/>
    <x v="0"/>
    <x v="0"/>
    <x v="1"/>
    <x v="0"/>
    <x v="1"/>
    <x v="0"/>
    <x v="0"/>
  </r>
  <r>
    <x v="451"/>
    <x v="17"/>
    <x v="15"/>
    <x v="13"/>
    <x v="451"/>
    <x v="450"/>
    <x v="450"/>
    <x v="0"/>
    <x v="0"/>
    <x v="0"/>
    <x v="1"/>
    <x v="1"/>
    <x v="0"/>
    <x v="2"/>
    <x v="0"/>
    <x v="3"/>
    <x v="1"/>
    <x v="0"/>
  </r>
  <r>
    <x v="452"/>
    <x v="18"/>
    <x v="15"/>
    <x v="13"/>
    <x v="452"/>
    <x v="451"/>
    <x v="451"/>
    <x v="0"/>
    <x v="0"/>
    <x v="0"/>
    <x v="1"/>
    <x v="0"/>
    <x v="0"/>
    <x v="2"/>
    <x v="0"/>
    <x v="2"/>
    <x v="0"/>
    <x v="0"/>
  </r>
  <r>
    <x v="453"/>
    <x v="19"/>
    <x v="15"/>
    <x v="13"/>
    <x v="453"/>
    <x v="452"/>
    <x v="452"/>
    <x v="0"/>
    <x v="0"/>
    <x v="0"/>
    <x v="1"/>
    <x v="0"/>
    <x v="0"/>
    <x v="1"/>
    <x v="0"/>
    <x v="1"/>
    <x v="0"/>
    <x v="0"/>
  </r>
  <r>
    <x v="454"/>
    <x v="20"/>
    <x v="15"/>
    <x v="13"/>
    <x v="454"/>
    <x v="453"/>
    <x v="453"/>
    <x v="1"/>
    <x v="0"/>
    <x v="2"/>
    <x v="1"/>
    <x v="1"/>
    <x v="1"/>
    <x v="2"/>
    <x v="0"/>
    <x v="8"/>
    <x v="6"/>
    <x v="1"/>
  </r>
  <r>
    <x v="455"/>
    <x v="21"/>
    <x v="15"/>
    <x v="13"/>
    <x v="455"/>
    <x v="454"/>
    <x v="454"/>
    <x v="0"/>
    <x v="0"/>
    <x v="0"/>
    <x v="1"/>
    <x v="0"/>
    <x v="0"/>
    <x v="1"/>
    <x v="0"/>
    <x v="1"/>
    <x v="0"/>
    <x v="0"/>
  </r>
  <r>
    <x v="456"/>
    <x v="0"/>
    <x v="16"/>
    <x v="14"/>
    <x v="456"/>
    <x v="455"/>
    <x v="455"/>
    <x v="2"/>
    <x v="0"/>
    <x v="2"/>
    <x v="1"/>
    <x v="1"/>
    <x v="1"/>
    <x v="1"/>
    <x v="0"/>
    <x v="1"/>
    <x v="1"/>
    <x v="2"/>
  </r>
  <r>
    <x v="457"/>
    <x v="1"/>
    <x v="16"/>
    <x v="14"/>
    <x v="457"/>
    <x v="456"/>
    <x v="456"/>
    <x v="0"/>
    <x v="0"/>
    <x v="0"/>
    <x v="1"/>
    <x v="0"/>
    <x v="0"/>
    <x v="1"/>
    <x v="0"/>
    <x v="1"/>
    <x v="0"/>
    <x v="0"/>
  </r>
  <r>
    <x v="458"/>
    <x v="2"/>
    <x v="16"/>
    <x v="14"/>
    <x v="458"/>
    <x v="457"/>
    <x v="457"/>
    <x v="0"/>
    <x v="0"/>
    <x v="0"/>
    <x v="1"/>
    <x v="1"/>
    <x v="0"/>
    <x v="1"/>
    <x v="0"/>
    <x v="1"/>
    <x v="1"/>
    <x v="0"/>
  </r>
  <r>
    <x v="459"/>
    <x v="3"/>
    <x v="16"/>
    <x v="14"/>
    <x v="459"/>
    <x v="458"/>
    <x v="458"/>
    <x v="1"/>
    <x v="0"/>
    <x v="2"/>
    <x v="1"/>
    <x v="1"/>
    <x v="1"/>
    <x v="2"/>
    <x v="0"/>
    <x v="5"/>
    <x v="5"/>
    <x v="1"/>
  </r>
  <r>
    <x v="460"/>
    <x v="4"/>
    <x v="16"/>
    <x v="14"/>
    <x v="460"/>
    <x v="459"/>
    <x v="459"/>
    <x v="0"/>
    <x v="0"/>
    <x v="0"/>
    <x v="1"/>
    <x v="0"/>
    <x v="0"/>
    <x v="2"/>
    <x v="0"/>
    <x v="2"/>
    <x v="0"/>
    <x v="0"/>
  </r>
  <r>
    <x v="461"/>
    <x v="5"/>
    <x v="16"/>
    <x v="14"/>
    <x v="461"/>
    <x v="460"/>
    <x v="460"/>
    <x v="1"/>
    <x v="0"/>
    <x v="2"/>
    <x v="1"/>
    <x v="1"/>
    <x v="1"/>
    <x v="1"/>
    <x v="0"/>
    <x v="1"/>
    <x v="1"/>
    <x v="1"/>
  </r>
  <r>
    <x v="462"/>
    <x v="6"/>
    <x v="16"/>
    <x v="14"/>
    <x v="462"/>
    <x v="461"/>
    <x v="461"/>
    <x v="0"/>
    <x v="0"/>
    <x v="0"/>
    <x v="0"/>
    <x v="0"/>
    <x v="0"/>
    <x v="0"/>
    <x v="0"/>
    <x v="0"/>
    <x v="0"/>
    <x v="0"/>
  </r>
  <r>
    <x v="463"/>
    <x v="7"/>
    <x v="16"/>
    <x v="14"/>
    <x v="463"/>
    <x v="462"/>
    <x v="462"/>
    <x v="2"/>
    <x v="0"/>
    <x v="2"/>
    <x v="1"/>
    <x v="1"/>
    <x v="1"/>
    <x v="1"/>
    <x v="0"/>
    <x v="1"/>
    <x v="5"/>
    <x v="2"/>
  </r>
  <r>
    <x v="464"/>
    <x v="8"/>
    <x v="16"/>
    <x v="14"/>
    <x v="464"/>
    <x v="463"/>
    <x v="463"/>
    <x v="0"/>
    <x v="0"/>
    <x v="0"/>
    <x v="0"/>
    <x v="0"/>
    <x v="0"/>
    <x v="0"/>
    <x v="0"/>
    <x v="0"/>
    <x v="0"/>
    <x v="0"/>
  </r>
  <r>
    <x v="465"/>
    <x v="9"/>
    <x v="16"/>
    <x v="14"/>
    <x v="465"/>
    <x v="464"/>
    <x v="464"/>
    <x v="0"/>
    <x v="0"/>
    <x v="0"/>
    <x v="0"/>
    <x v="0"/>
    <x v="0"/>
    <x v="0"/>
    <x v="0"/>
    <x v="0"/>
    <x v="0"/>
    <x v="0"/>
  </r>
  <r>
    <x v="466"/>
    <x v="0"/>
    <x v="17"/>
    <x v="15"/>
    <x v="466"/>
    <x v="465"/>
    <x v="465"/>
    <x v="0"/>
    <x v="0"/>
    <x v="0"/>
    <x v="1"/>
    <x v="0"/>
    <x v="0"/>
    <x v="2"/>
    <x v="0"/>
    <x v="2"/>
    <x v="0"/>
    <x v="0"/>
  </r>
  <r>
    <x v="467"/>
    <x v="1"/>
    <x v="17"/>
    <x v="15"/>
    <x v="467"/>
    <x v="466"/>
    <x v="466"/>
    <x v="0"/>
    <x v="0"/>
    <x v="0"/>
    <x v="1"/>
    <x v="0"/>
    <x v="0"/>
    <x v="1"/>
    <x v="0"/>
    <x v="1"/>
    <x v="0"/>
    <x v="0"/>
  </r>
  <r>
    <x v="468"/>
    <x v="2"/>
    <x v="17"/>
    <x v="15"/>
    <x v="468"/>
    <x v="467"/>
    <x v="467"/>
    <x v="0"/>
    <x v="0"/>
    <x v="0"/>
    <x v="0"/>
    <x v="0"/>
    <x v="0"/>
    <x v="0"/>
    <x v="0"/>
    <x v="0"/>
    <x v="0"/>
    <x v="0"/>
  </r>
  <r>
    <x v="469"/>
    <x v="3"/>
    <x v="17"/>
    <x v="15"/>
    <x v="469"/>
    <x v="468"/>
    <x v="468"/>
    <x v="2"/>
    <x v="0"/>
    <x v="2"/>
    <x v="1"/>
    <x v="1"/>
    <x v="1"/>
    <x v="1"/>
    <x v="0"/>
    <x v="1"/>
    <x v="1"/>
    <x v="2"/>
  </r>
  <r>
    <x v="470"/>
    <x v="4"/>
    <x v="17"/>
    <x v="15"/>
    <x v="470"/>
    <x v="469"/>
    <x v="469"/>
    <x v="0"/>
    <x v="0"/>
    <x v="0"/>
    <x v="0"/>
    <x v="0"/>
    <x v="0"/>
    <x v="0"/>
    <x v="0"/>
    <x v="0"/>
    <x v="0"/>
    <x v="0"/>
  </r>
  <r>
    <x v="471"/>
    <x v="5"/>
    <x v="17"/>
    <x v="15"/>
    <x v="471"/>
    <x v="470"/>
    <x v="470"/>
    <x v="0"/>
    <x v="0"/>
    <x v="0"/>
    <x v="1"/>
    <x v="0"/>
    <x v="0"/>
    <x v="1"/>
    <x v="0"/>
    <x v="1"/>
    <x v="0"/>
    <x v="0"/>
  </r>
  <r>
    <x v="472"/>
    <x v="6"/>
    <x v="17"/>
    <x v="15"/>
    <x v="472"/>
    <x v="471"/>
    <x v="471"/>
    <x v="0"/>
    <x v="0"/>
    <x v="0"/>
    <x v="0"/>
    <x v="0"/>
    <x v="0"/>
    <x v="0"/>
    <x v="0"/>
    <x v="0"/>
    <x v="0"/>
    <x v="0"/>
  </r>
  <r>
    <x v="473"/>
    <x v="7"/>
    <x v="17"/>
    <x v="15"/>
    <x v="473"/>
    <x v="472"/>
    <x v="472"/>
    <x v="1"/>
    <x v="0"/>
    <x v="2"/>
    <x v="1"/>
    <x v="1"/>
    <x v="1"/>
    <x v="1"/>
    <x v="0"/>
    <x v="1"/>
    <x v="1"/>
    <x v="1"/>
  </r>
  <r>
    <x v="474"/>
    <x v="8"/>
    <x v="17"/>
    <x v="15"/>
    <x v="474"/>
    <x v="473"/>
    <x v="473"/>
    <x v="0"/>
    <x v="0"/>
    <x v="0"/>
    <x v="1"/>
    <x v="0"/>
    <x v="0"/>
    <x v="1"/>
    <x v="0"/>
    <x v="1"/>
    <x v="0"/>
    <x v="0"/>
  </r>
  <r>
    <x v="475"/>
    <x v="9"/>
    <x v="17"/>
    <x v="15"/>
    <x v="475"/>
    <x v="474"/>
    <x v="474"/>
    <x v="0"/>
    <x v="0"/>
    <x v="0"/>
    <x v="1"/>
    <x v="1"/>
    <x v="0"/>
    <x v="1"/>
    <x v="0"/>
    <x v="1"/>
    <x v="1"/>
    <x v="0"/>
  </r>
  <r>
    <x v="476"/>
    <x v="10"/>
    <x v="17"/>
    <x v="15"/>
    <x v="476"/>
    <x v="475"/>
    <x v="475"/>
    <x v="1"/>
    <x v="0"/>
    <x v="2"/>
    <x v="1"/>
    <x v="1"/>
    <x v="1"/>
    <x v="1"/>
    <x v="0"/>
    <x v="1"/>
    <x v="1"/>
    <x v="1"/>
  </r>
  <r>
    <x v="477"/>
    <x v="13"/>
    <x v="17"/>
    <x v="15"/>
    <x v="477"/>
    <x v="476"/>
    <x v="476"/>
    <x v="0"/>
    <x v="0"/>
    <x v="0"/>
    <x v="1"/>
    <x v="0"/>
    <x v="0"/>
    <x v="1"/>
    <x v="0"/>
    <x v="1"/>
    <x v="0"/>
    <x v="0"/>
  </r>
  <r>
    <x v="478"/>
    <x v="20"/>
    <x v="17"/>
    <x v="15"/>
    <x v="478"/>
    <x v="477"/>
    <x v="477"/>
    <x v="0"/>
    <x v="0"/>
    <x v="0"/>
    <x v="1"/>
    <x v="0"/>
    <x v="0"/>
    <x v="1"/>
    <x v="0"/>
    <x v="1"/>
    <x v="0"/>
    <x v="0"/>
  </r>
  <r>
    <x v="479"/>
    <x v="21"/>
    <x v="17"/>
    <x v="15"/>
    <x v="479"/>
    <x v="478"/>
    <x v="478"/>
    <x v="0"/>
    <x v="0"/>
    <x v="0"/>
    <x v="1"/>
    <x v="0"/>
    <x v="0"/>
    <x v="1"/>
    <x v="0"/>
    <x v="1"/>
    <x v="0"/>
    <x v="0"/>
  </r>
  <r>
    <x v="480"/>
    <x v="22"/>
    <x v="17"/>
    <x v="15"/>
    <x v="480"/>
    <x v="479"/>
    <x v="479"/>
    <x v="1"/>
    <x v="0"/>
    <x v="2"/>
    <x v="1"/>
    <x v="1"/>
    <x v="1"/>
    <x v="2"/>
    <x v="0"/>
    <x v="2"/>
    <x v="2"/>
    <x v="1"/>
  </r>
  <r>
    <x v="481"/>
    <x v="23"/>
    <x v="17"/>
    <x v="15"/>
    <x v="481"/>
    <x v="480"/>
    <x v="480"/>
    <x v="1"/>
    <x v="0"/>
    <x v="2"/>
    <x v="1"/>
    <x v="1"/>
    <x v="1"/>
    <x v="1"/>
    <x v="0"/>
    <x v="1"/>
    <x v="1"/>
    <x v="1"/>
  </r>
  <r>
    <x v="482"/>
    <x v="24"/>
    <x v="17"/>
    <x v="15"/>
    <x v="482"/>
    <x v="481"/>
    <x v="481"/>
    <x v="0"/>
    <x v="0"/>
    <x v="0"/>
    <x v="0"/>
    <x v="0"/>
    <x v="0"/>
    <x v="0"/>
    <x v="0"/>
    <x v="0"/>
    <x v="0"/>
    <x v="0"/>
  </r>
  <r>
    <x v="483"/>
    <x v="25"/>
    <x v="17"/>
    <x v="15"/>
    <x v="483"/>
    <x v="482"/>
    <x v="482"/>
    <x v="0"/>
    <x v="0"/>
    <x v="0"/>
    <x v="1"/>
    <x v="0"/>
    <x v="0"/>
    <x v="2"/>
    <x v="0"/>
    <x v="5"/>
    <x v="0"/>
    <x v="0"/>
  </r>
  <r>
    <x v="484"/>
    <x v="26"/>
    <x v="17"/>
    <x v="15"/>
    <x v="484"/>
    <x v="483"/>
    <x v="483"/>
    <x v="0"/>
    <x v="0"/>
    <x v="0"/>
    <x v="0"/>
    <x v="0"/>
    <x v="0"/>
    <x v="0"/>
    <x v="0"/>
    <x v="0"/>
    <x v="0"/>
    <x v="0"/>
  </r>
  <r>
    <x v="485"/>
    <x v="27"/>
    <x v="17"/>
    <x v="15"/>
    <x v="485"/>
    <x v="484"/>
    <x v="484"/>
    <x v="2"/>
    <x v="0"/>
    <x v="2"/>
    <x v="1"/>
    <x v="1"/>
    <x v="1"/>
    <x v="2"/>
    <x v="0"/>
    <x v="2"/>
    <x v="1"/>
    <x v="5"/>
  </r>
  <r>
    <x v="486"/>
    <x v="28"/>
    <x v="17"/>
    <x v="15"/>
    <x v="486"/>
    <x v="485"/>
    <x v="485"/>
    <x v="0"/>
    <x v="0"/>
    <x v="0"/>
    <x v="0"/>
    <x v="0"/>
    <x v="0"/>
    <x v="0"/>
    <x v="0"/>
    <x v="0"/>
    <x v="0"/>
    <x v="0"/>
  </r>
  <r>
    <x v="487"/>
    <x v="29"/>
    <x v="17"/>
    <x v="15"/>
    <x v="487"/>
    <x v="486"/>
    <x v="486"/>
    <x v="0"/>
    <x v="0"/>
    <x v="0"/>
    <x v="0"/>
    <x v="0"/>
    <x v="0"/>
    <x v="0"/>
    <x v="0"/>
    <x v="0"/>
    <x v="0"/>
    <x v="0"/>
  </r>
  <r>
    <x v="488"/>
    <x v="0"/>
    <x v="18"/>
    <x v="16"/>
    <x v="488"/>
    <x v="487"/>
    <x v="487"/>
    <x v="2"/>
    <x v="0"/>
    <x v="2"/>
    <x v="1"/>
    <x v="1"/>
    <x v="1"/>
    <x v="1"/>
    <x v="0"/>
    <x v="1"/>
    <x v="5"/>
    <x v="2"/>
  </r>
  <r>
    <x v="489"/>
    <x v="1"/>
    <x v="18"/>
    <x v="16"/>
    <x v="489"/>
    <x v="488"/>
    <x v="488"/>
    <x v="2"/>
    <x v="0"/>
    <x v="2"/>
    <x v="1"/>
    <x v="1"/>
    <x v="1"/>
    <x v="2"/>
    <x v="0"/>
    <x v="8"/>
    <x v="6"/>
    <x v="3"/>
  </r>
  <r>
    <x v="490"/>
    <x v="2"/>
    <x v="18"/>
    <x v="16"/>
    <x v="490"/>
    <x v="489"/>
    <x v="489"/>
    <x v="2"/>
    <x v="0"/>
    <x v="2"/>
    <x v="1"/>
    <x v="1"/>
    <x v="1"/>
    <x v="2"/>
    <x v="0"/>
    <x v="3"/>
    <x v="3"/>
    <x v="2"/>
  </r>
  <r>
    <x v="491"/>
    <x v="3"/>
    <x v="18"/>
    <x v="16"/>
    <x v="491"/>
    <x v="490"/>
    <x v="490"/>
    <x v="0"/>
    <x v="0"/>
    <x v="0"/>
    <x v="1"/>
    <x v="0"/>
    <x v="0"/>
    <x v="2"/>
    <x v="0"/>
    <x v="5"/>
    <x v="0"/>
    <x v="0"/>
  </r>
  <r>
    <x v="492"/>
    <x v="4"/>
    <x v="18"/>
    <x v="16"/>
    <x v="492"/>
    <x v="491"/>
    <x v="491"/>
    <x v="2"/>
    <x v="0"/>
    <x v="2"/>
    <x v="1"/>
    <x v="1"/>
    <x v="1"/>
    <x v="2"/>
    <x v="0"/>
    <x v="2"/>
    <x v="3"/>
    <x v="4"/>
  </r>
  <r>
    <x v="493"/>
    <x v="5"/>
    <x v="18"/>
    <x v="16"/>
    <x v="493"/>
    <x v="492"/>
    <x v="492"/>
    <x v="0"/>
    <x v="0"/>
    <x v="0"/>
    <x v="1"/>
    <x v="0"/>
    <x v="0"/>
    <x v="1"/>
    <x v="0"/>
    <x v="1"/>
    <x v="0"/>
    <x v="0"/>
  </r>
  <r>
    <x v="494"/>
    <x v="6"/>
    <x v="18"/>
    <x v="16"/>
    <x v="494"/>
    <x v="493"/>
    <x v="493"/>
    <x v="1"/>
    <x v="0"/>
    <x v="2"/>
    <x v="1"/>
    <x v="1"/>
    <x v="1"/>
    <x v="2"/>
    <x v="0"/>
    <x v="2"/>
    <x v="1"/>
    <x v="1"/>
  </r>
  <r>
    <x v="495"/>
    <x v="7"/>
    <x v="18"/>
    <x v="16"/>
    <x v="495"/>
    <x v="494"/>
    <x v="494"/>
    <x v="2"/>
    <x v="0"/>
    <x v="2"/>
    <x v="1"/>
    <x v="1"/>
    <x v="1"/>
    <x v="2"/>
    <x v="0"/>
    <x v="6"/>
    <x v="2"/>
    <x v="5"/>
  </r>
  <r>
    <x v="496"/>
    <x v="8"/>
    <x v="18"/>
    <x v="16"/>
    <x v="496"/>
    <x v="495"/>
    <x v="495"/>
    <x v="0"/>
    <x v="0"/>
    <x v="0"/>
    <x v="1"/>
    <x v="1"/>
    <x v="0"/>
    <x v="2"/>
    <x v="0"/>
    <x v="5"/>
    <x v="1"/>
    <x v="0"/>
  </r>
  <r>
    <x v="497"/>
    <x v="9"/>
    <x v="18"/>
    <x v="16"/>
    <x v="497"/>
    <x v="496"/>
    <x v="496"/>
    <x v="0"/>
    <x v="0"/>
    <x v="0"/>
    <x v="1"/>
    <x v="1"/>
    <x v="0"/>
    <x v="2"/>
    <x v="0"/>
    <x v="5"/>
    <x v="1"/>
    <x v="0"/>
  </r>
  <r>
    <x v="498"/>
    <x v="10"/>
    <x v="18"/>
    <x v="16"/>
    <x v="498"/>
    <x v="497"/>
    <x v="497"/>
    <x v="2"/>
    <x v="0"/>
    <x v="2"/>
    <x v="1"/>
    <x v="1"/>
    <x v="1"/>
    <x v="1"/>
    <x v="0"/>
    <x v="1"/>
    <x v="5"/>
    <x v="4"/>
  </r>
  <r>
    <x v="499"/>
    <x v="11"/>
    <x v="18"/>
    <x v="16"/>
    <x v="499"/>
    <x v="498"/>
    <x v="498"/>
    <x v="0"/>
    <x v="0"/>
    <x v="0"/>
    <x v="1"/>
    <x v="1"/>
    <x v="0"/>
    <x v="2"/>
    <x v="0"/>
    <x v="2"/>
    <x v="1"/>
    <x v="0"/>
  </r>
  <r>
    <x v="500"/>
    <x v="12"/>
    <x v="18"/>
    <x v="16"/>
    <x v="500"/>
    <x v="499"/>
    <x v="499"/>
    <x v="0"/>
    <x v="0"/>
    <x v="0"/>
    <x v="1"/>
    <x v="0"/>
    <x v="0"/>
    <x v="1"/>
    <x v="0"/>
    <x v="1"/>
    <x v="0"/>
    <x v="0"/>
  </r>
  <r>
    <x v="501"/>
    <x v="13"/>
    <x v="18"/>
    <x v="16"/>
    <x v="501"/>
    <x v="500"/>
    <x v="500"/>
    <x v="0"/>
    <x v="0"/>
    <x v="0"/>
    <x v="0"/>
    <x v="0"/>
    <x v="0"/>
    <x v="0"/>
    <x v="0"/>
    <x v="0"/>
    <x v="0"/>
    <x v="0"/>
  </r>
  <r>
    <x v="502"/>
    <x v="14"/>
    <x v="18"/>
    <x v="16"/>
    <x v="502"/>
    <x v="501"/>
    <x v="501"/>
    <x v="0"/>
    <x v="0"/>
    <x v="0"/>
    <x v="1"/>
    <x v="0"/>
    <x v="0"/>
    <x v="1"/>
    <x v="0"/>
    <x v="1"/>
    <x v="0"/>
    <x v="0"/>
  </r>
  <r>
    <x v="503"/>
    <x v="15"/>
    <x v="18"/>
    <x v="16"/>
    <x v="503"/>
    <x v="502"/>
    <x v="502"/>
    <x v="2"/>
    <x v="0"/>
    <x v="2"/>
    <x v="1"/>
    <x v="1"/>
    <x v="1"/>
    <x v="2"/>
    <x v="0"/>
    <x v="3"/>
    <x v="1"/>
    <x v="2"/>
  </r>
  <r>
    <x v="504"/>
    <x v="16"/>
    <x v="18"/>
    <x v="16"/>
    <x v="504"/>
    <x v="503"/>
    <x v="503"/>
    <x v="0"/>
    <x v="0"/>
    <x v="0"/>
    <x v="1"/>
    <x v="0"/>
    <x v="0"/>
    <x v="2"/>
    <x v="0"/>
    <x v="2"/>
    <x v="0"/>
    <x v="0"/>
  </r>
  <r>
    <x v="505"/>
    <x v="17"/>
    <x v="18"/>
    <x v="16"/>
    <x v="505"/>
    <x v="504"/>
    <x v="504"/>
    <x v="0"/>
    <x v="0"/>
    <x v="0"/>
    <x v="1"/>
    <x v="0"/>
    <x v="0"/>
    <x v="1"/>
    <x v="0"/>
    <x v="1"/>
    <x v="0"/>
    <x v="0"/>
  </r>
  <r>
    <x v="506"/>
    <x v="18"/>
    <x v="18"/>
    <x v="16"/>
    <x v="506"/>
    <x v="505"/>
    <x v="505"/>
    <x v="0"/>
    <x v="0"/>
    <x v="0"/>
    <x v="1"/>
    <x v="0"/>
    <x v="0"/>
    <x v="2"/>
    <x v="0"/>
    <x v="2"/>
    <x v="0"/>
    <x v="0"/>
  </r>
  <r>
    <x v="507"/>
    <x v="19"/>
    <x v="18"/>
    <x v="16"/>
    <x v="507"/>
    <x v="506"/>
    <x v="506"/>
    <x v="0"/>
    <x v="0"/>
    <x v="0"/>
    <x v="1"/>
    <x v="0"/>
    <x v="0"/>
    <x v="1"/>
    <x v="0"/>
    <x v="1"/>
    <x v="0"/>
    <x v="0"/>
  </r>
  <r>
    <x v="508"/>
    <x v="0"/>
    <x v="19"/>
    <x v="17"/>
    <x v="508"/>
    <x v="507"/>
    <x v="507"/>
    <x v="0"/>
    <x v="0"/>
    <x v="0"/>
    <x v="0"/>
    <x v="0"/>
    <x v="0"/>
    <x v="0"/>
    <x v="0"/>
    <x v="0"/>
    <x v="0"/>
    <x v="0"/>
  </r>
  <r>
    <x v="509"/>
    <x v="1"/>
    <x v="19"/>
    <x v="17"/>
    <x v="509"/>
    <x v="508"/>
    <x v="508"/>
    <x v="1"/>
    <x v="0"/>
    <x v="2"/>
    <x v="1"/>
    <x v="1"/>
    <x v="1"/>
    <x v="1"/>
    <x v="0"/>
    <x v="1"/>
    <x v="1"/>
    <x v="1"/>
  </r>
  <r>
    <x v="510"/>
    <x v="2"/>
    <x v="19"/>
    <x v="17"/>
    <x v="510"/>
    <x v="509"/>
    <x v="509"/>
    <x v="0"/>
    <x v="0"/>
    <x v="0"/>
    <x v="0"/>
    <x v="0"/>
    <x v="0"/>
    <x v="0"/>
    <x v="0"/>
    <x v="0"/>
    <x v="0"/>
    <x v="0"/>
  </r>
  <r>
    <x v="511"/>
    <x v="3"/>
    <x v="19"/>
    <x v="17"/>
    <x v="511"/>
    <x v="510"/>
    <x v="510"/>
    <x v="0"/>
    <x v="0"/>
    <x v="0"/>
    <x v="1"/>
    <x v="0"/>
    <x v="0"/>
    <x v="1"/>
    <x v="0"/>
    <x v="1"/>
    <x v="0"/>
    <x v="0"/>
  </r>
  <r>
    <x v="512"/>
    <x v="4"/>
    <x v="19"/>
    <x v="17"/>
    <x v="512"/>
    <x v="511"/>
    <x v="511"/>
    <x v="0"/>
    <x v="0"/>
    <x v="0"/>
    <x v="1"/>
    <x v="0"/>
    <x v="0"/>
    <x v="2"/>
    <x v="0"/>
    <x v="3"/>
    <x v="0"/>
    <x v="0"/>
  </r>
  <r>
    <x v="513"/>
    <x v="5"/>
    <x v="19"/>
    <x v="17"/>
    <x v="513"/>
    <x v="512"/>
    <x v="512"/>
    <x v="1"/>
    <x v="0"/>
    <x v="2"/>
    <x v="1"/>
    <x v="1"/>
    <x v="1"/>
    <x v="1"/>
    <x v="0"/>
    <x v="1"/>
    <x v="1"/>
    <x v="1"/>
  </r>
  <r>
    <x v="514"/>
    <x v="6"/>
    <x v="19"/>
    <x v="17"/>
    <x v="514"/>
    <x v="513"/>
    <x v="513"/>
    <x v="1"/>
    <x v="0"/>
    <x v="2"/>
    <x v="1"/>
    <x v="1"/>
    <x v="1"/>
    <x v="2"/>
    <x v="0"/>
    <x v="7"/>
    <x v="3"/>
    <x v="1"/>
  </r>
  <r>
    <x v="515"/>
    <x v="7"/>
    <x v="19"/>
    <x v="17"/>
    <x v="515"/>
    <x v="514"/>
    <x v="514"/>
    <x v="1"/>
    <x v="0"/>
    <x v="2"/>
    <x v="1"/>
    <x v="1"/>
    <x v="1"/>
    <x v="2"/>
    <x v="0"/>
    <x v="3"/>
    <x v="2"/>
    <x v="1"/>
  </r>
  <r>
    <x v="516"/>
    <x v="8"/>
    <x v="19"/>
    <x v="17"/>
    <x v="516"/>
    <x v="515"/>
    <x v="515"/>
    <x v="0"/>
    <x v="0"/>
    <x v="0"/>
    <x v="1"/>
    <x v="0"/>
    <x v="0"/>
    <x v="1"/>
    <x v="0"/>
    <x v="1"/>
    <x v="0"/>
    <x v="0"/>
  </r>
  <r>
    <x v="517"/>
    <x v="9"/>
    <x v="19"/>
    <x v="17"/>
    <x v="517"/>
    <x v="516"/>
    <x v="516"/>
    <x v="1"/>
    <x v="0"/>
    <x v="2"/>
    <x v="1"/>
    <x v="1"/>
    <x v="1"/>
    <x v="2"/>
    <x v="0"/>
    <x v="3"/>
    <x v="2"/>
    <x v="1"/>
  </r>
  <r>
    <x v="518"/>
    <x v="10"/>
    <x v="19"/>
    <x v="17"/>
    <x v="518"/>
    <x v="517"/>
    <x v="517"/>
    <x v="2"/>
    <x v="0"/>
    <x v="2"/>
    <x v="1"/>
    <x v="1"/>
    <x v="1"/>
    <x v="2"/>
    <x v="0"/>
    <x v="5"/>
    <x v="5"/>
    <x v="2"/>
  </r>
  <r>
    <x v="519"/>
    <x v="11"/>
    <x v="19"/>
    <x v="17"/>
    <x v="519"/>
    <x v="518"/>
    <x v="518"/>
    <x v="0"/>
    <x v="0"/>
    <x v="0"/>
    <x v="1"/>
    <x v="1"/>
    <x v="0"/>
    <x v="2"/>
    <x v="0"/>
    <x v="2"/>
    <x v="1"/>
    <x v="0"/>
  </r>
  <r>
    <x v="520"/>
    <x v="12"/>
    <x v="19"/>
    <x v="17"/>
    <x v="520"/>
    <x v="519"/>
    <x v="519"/>
    <x v="0"/>
    <x v="0"/>
    <x v="0"/>
    <x v="1"/>
    <x v="1"/>
    <x v="0"/>
    <x v="2"/>
    <x v="0"/>
    <x v="3"/>
    <x v="5"/>
    <x v="0"/>
  </r>
  <r>
    <x v="521"/>
    <x v="13"/>
    <x v="19"/>
    <x v="17"/>
    <x v="521"/>
    <x v="520"/>
    <x v="520"/>
    <x v="2"/>
    <x v="0"/>
    <x v="2"/>
    <x v="1"/>
    <x v="1"/>
    <x v="1"/>
    <x v="2"/>
    <x v="0"/>
    <x v="3"/>
    <x v="2"/>
    <x v="4"/>
  </r>
  <r>
    <x v="522"/>
    <x v="14"/>
    <x v="19"/>
    <x v="17"/>
    <x v="522"/>
    <x v="521"/>
    <x v="521"/>
    <x v="0"/>
    <x v="0"/>
    <x v="0"/>
    <x v="1"/>
    <x v="0"/>
    <x v="0"/>
    <x v="1"/>
    <x v="0"/>
    <x v="1"/>
    <x v="0"/>
    <x v="0"/>
  </r>
  <r>
    <x v="523"/>
    <x v="15"/>
    <x v="19"/>
    <x v="17"/>
    <x v="523"/>
    <x v="522"/>
    <x v="522"/>
    <x v="0"/>
    <x v="0"/>
    <x v="0"/>
    <x v="1"/>
    <x v="1"/>
    <x v="0"/>
    <x v="2"/>
    <x v="0"/>
    <x v="2"/>
    <x v="1"/>
    <x v="0"/>
  </r>
  <r>
    <x v="524"/>
    <x v="16"/>
    <x v="19"/>
    <x v="17"/>
    <x v="524"/>
    <x v="523"/>
    <x v="523"/>
    <x v="0"/>
    <x v="0"/>
    <x v="0"/>
    <x v="1"/>
    <x v="0"/>
    <x v="0"/>
    <x v="1"/>
    <x v="0"/>
    <x v="1"/>
    <x v="0"/>
    <x v="0"/>
  </r>
  <r>
    <x v="525"/>
    <x v="17"/>
    <x v="19"/>
    <x v="17"/>
    <x v="525"/>
    <x v="524"/>
    <x v="524"/>
    <x v="0"/>
    <x v="0"/>
    <x v="0"/>
    <x v="1"/>
    <x v="0"/>
    <x v="0"/>
    <x v="1"/>
    <x v="0"/>
    <x v="1"/>
    <x v="0"/>
    <x v="0"/>
  </r>
  <r>
    <x v="526"/>
    <x v="18"/>
    <x v="19"/>
    <x v="17"/>
    <x v="526"/>
    <x v="525"/>
    <x v="525"/>
    <x v="0"/>
    <x v="0"/>
    <x v="0"/>
    <x v="1"/>
    <x v="0"/>
    <x v="0"/>
    <x v="1"/>
    <x v="0"/>
    <x v="1"/>
    <x v="0"/>
    <x v="0"/>
  </r>
  <r>
    <x v="527"/>
    <x v="19"/>
    <x v="19"/>
    <x v="17"/>
    <x v="527"/>
    <x v="526"/>
    <x v="526"/>
    <x v="0"/>
    <x v="0"/>
    <x v="0"/>
    <x v="1"/>
    <x v="1"/>
    <x v="0"/>
    <x v="2"/>
    <x v="0"/>
    <x v="5"/>
    <x v="1"/>
    <x v="0"/>
  </r>
  <r>
    <x v="528"/>
    <x v="20"/>
    <x v="19"/>
    <x v="17"/>
    <x v="528"/>
    <x v="527"/>
    <x v="527"/>
    <x v="0"/>
    <x v="0"/>
    <x v="0"/>
    <x v="0"/>
    <x v="0"/>
    <x v="0"/>
    <x v="0"/>
    <x v="0"/>
    <x v="0"/>
    <x v="0"/>
    <x v="0"/>
  </r>
  <r>
    <x v="529"/>
    <x v="21"/>
    <x v="19"/>
    <x v="17"/>
    <x v="529"/>
    <x v="528"/>
    <x v="528"/>
    <x v="0"/>
    <x v="0"/>
    <x v="0"/>
    <x v="1"/>
    <x v="0"/>
    <x v="0"/>
    <x v="1"/>
    <x v="0"/>
    <x v="1"/>
    <x v="0"/>
    <x v="0"/>
  </r>
  <r>
    <x v="530"/>
    <x v="22"/>
    <x v="19"/>
    <x v="17"/>
    <x v="530"/>
    <x v="529"/>
    <x v="529"/>
    <x v="0"/>
    <x v="0"/>
    <x v="0"/>
    <x v="1"/>
    <x v="1"/>
    <x v="0"/>
    <x v="2"/>
    <x v="0"/>
    <x v="2"/>
    <x v="5"/>
    <x v="0"/>
  </r>
  <r>
    <x v="531"/>
    <x v="23"/>
    <x v="19"/>
    <x v="17"/>
    <x v="531"/>
    <x v="530"/>
    <x v="530"/>
    <x v="0"/>
    <x v="0"/>
    <x v="0"/>
    <x v="1"/>
    <x v="0"/>
    <x v="0"/>
    <x v="2"/>
    <x v="0"/>
    <x v="3"/>
    <x v="0"/>
    <x v="0"/>
  </r>
  <r>
    <x v="532"/>
    <x v="24"/>
    <x v="19"/>
    <x v="17"/>
    <x v="532"/>
    <x v="531"/>
    <x v="531"/>
    <x v="0"/>
    <x v="0"/>
    <x v="0"/>
    <x v="1"/>
    <x v="1"/>
    <x v="0"/>
    <x v="2"/>
    <x v="0"/>
    <x v="5"/>
    <x v="1"/>
    <x v="0"/>
  </r>
  <r>
    <x v="533"/>
    <x v="25"/>
    <x v="19"/>
    <x v="17"/>
    <x v="533"/>
    <x v="532"/>
    <x v="532"/>
    <x v="0"/>
    <x v="0"/>
    <x v="0"/>
    <x v="0"/>
    <x v="0"/>
    <x v="0"/>
    <x v="0"/>
    <x v="0"/>
    <x v="0"/>
    <x v="0"/>
    <x v="0"/>
  </r>
  <r>
    <x v="534"/>
    <x v="26"/>
    <x v="19"/>
    <x v="17"/>
    <x v="534"/>
    <x v="533"/>
    <x v="533"/>
    <x v="0"/>
    <x v="0"/>
    <x v="0"/>
    <x v="1"/>
    <x v="0"/>
    <x v="0"/>
    <x v="2"/>
    <x v="0"/>
    <x v="2"/>
    <x v="0"/>
    <x v="0"/>
  </r>
  <r>
    <x v="535"/>
    <x v="27"/>
    <x v="19"/>
    <x v="17"/>
    <x v="535"/>
    <x v="534"/>
    <x v="534"/>
    <x v="0"/>
    <x v="0"/>
    <x v="0"/>
    <x v="0"/>
    <x v="0"/>
    <x v="0"/>
    <x v="0"/>
    <x v="0"/>
    <x v="0"/>
    <x v="0"/>
    <x v="0"/>
  </r>
  <r>
    <x v="536"/>
    <x v="28"/>
    <x v="19"/>
    <x v="17"/>
    <x v="536"/>
    <x v="535"/>
    <x v="535"/>
    <x v="2"/>
    <x v="0"/>
    <x v="2"/>
    <x v="1"/>
    <x v="1"/>
    <x v="1"/>
    <x v="2"/>
    <x v="0"/>
    <x v="5"/>
    <x v="2"/>
    <x v="4"/>
  </r>
  <r>
    <x v="537"/>
    <x v="29"/>
    <x v="19"/>
    <x v="17"/>
    <x v="537"/>
    <x v="536"/>
    <x v="536"/>
    <x v="0"/>
    <x v="0"/>
    <x v="0"/>
    <x v="1"/>
    <x v="0"/>
    <x v="0"/>
    <x v="1"/>
    <x v="0"/>
    <x v="1"/>
    <x v="0"/>
    <x v="0"/>
  </r>
  <r>
    <x v="538"/>
    <x v="30"/>
    <x v="19"/>
    <x v="17"/>
    <x v="538"/>
    <x v="537"/>
    <x v="537"/>
    <x v="0"/>
    <x v="0"/>
    <x v="0"/>
    <x v="1"/>
    <x v="1"/>
    <x v="0"/>
    <x v="2"/>
    <x v="0"/>
    <x v="3"/>
    <x v="3"/>
    <x v="0"/>
  </r>
  <r>
    <x v="539"/>
    <x v="31"/>
    <x v="19"/>
    <x v="17"/>
    <x v="539"/>
    <x v="538"/>
    <x v="538"/>
    <x v="0"/>
    <x v="0"/>
    <x v="0"/>
    <x v="0"/>
    <x v="0"/>
    <x v="0"/>
    <x v="0"/>
    <x v="0"/>
    <x v="0"/>
    <x v="0"/>
    <x v="0"/>
  </r>
  <r>
    <x v="540"/>
    <x v="32"/>
    <x v="19"/>
    <x v="17"/>
    <x v="540"/>
    <x v="539"/>
    <x v="539"/>
    <x v="0"/>
    <x v="0"/>
    <x v="0"/>
    <x v="1"/>
    <x v="1"/>
    <x v="0"/>
    <x v="2"/>
    <x v="0"/>
    <x v="2"/>
    <x v="2"/>
    <x v="0"/>
  </r>
  <r>
    <x v="541"/>
    <x v="33"/>
    <x v="19"/>
    <x v="17"/>
    <x v="541"/>
    <x v="540"/>
    <x v="540"/>
    <x v="0"/>
    <x v="0"/>
    <x v="0"/>
    <x v="1"/>
    <x v="1"/>
    <x v="0"/>
    <x v="1"/>
    <x v="0"/>
    <x v="1"/>
    <x v="1"/>
    <x v="0"/>
  </r>
  <r>
    <x v="542"/>
    <x v="34"/>
    <x v="19"/>
    <x v="17"/>
    <x v="542"/>
    <x v="541"/>
    <x v="541"/>
    <x v="0"/>
    <x v="0"/>
    <x v="0"/>
    <x v="0"/>
    <x v="0"/>
    <x v="0"/>
    <x v="0"/>
    <x v="0"/>
    <x v="0"/>
    <x v="0"/>
    <x v="0"/>
  </r>
  <r>
    <x v="543"/>
    <x v="35"/>
    <x v="19"/>
    <x v="17"/>
    <x v="543"/>
    <x v="542"/>
    <x v="542"/>
    <x v="1"/>
    <x v="0"/>
    <x v="2"/>
    <x v="1"/>
    <x v="1"/>
    <x v="1"/>
    <x v="2"/>
    <x v="0"/>
    <x v="3"/>
    <x v="2"/>
    <x v="1"/>
  </r>
  <r>
    <x v="544"/>
    <x v="36"/>
    <x v="19"/>
    <x v="17"/>
    <x v="544"/>
    <x v="543"/>
    <x v="543"/>
    <x v="0"/>
    <x v="0"/>
    <x v="0"/>
    <x v="1"/>
    <x v="1"/>
    <x v="0"/>
    <x v="2"/>
    <x v="0"/>
    <x v="2"/>
    <x v="5"/>
    <x v="0"/>
  </r>
  <r>
    <x v="545"/>
    <x v="37"/>
    <x v="19"/>
    <x v="17"/>
    <x v="545"/>
    <x v="544"/>
    <x v="544"/>
    <x v="0"/>
    <x v="0"/>
    <x v="0"/>
    <x v="0"/>
    <x v="0"/>
    <x v="0"/>
    <x v="0"/>
    <x v="0"/>
    <x v="0"/>
    <x v="0"/>
    <x v="0"/>
  </r>
  <r>
    <x v="546"/>
    <x v="38"/>
    <x v="19"/>
    <x v="17"/>
    <x v="546"/>
    <x v="545"/>
    <x v="545"/>
    <x v="0"/>
    <x v="0"/>
    <x v="0"/>
    <x v="1"/>
    <x v="0"/>
    <x v="0"/>
    <x v="1"/>
    <x v="0"/>
    <x v="1"/>
    <x v="0"/>
    <x v="0"/>
  </r>
  <r>
    <x v="547"/>
    <x v="39"/>
    <x v="19"/>
    <x v="17"/>
    <x v="547"/>
    <x v="546"/>
    <x v="546"/>
    <x v="1"/>
    <x v="0"/>
    <x v="2"/>
    <x v="1"/>
    <x v="1"/>
    <x v="1"/>
    <x v="2"/>
    <x v="0"/>
    <x v="5"/>
    <x v="2"/>
    <x v="1"/>
  </r>
  <r>
    <x v="548"/>
    <x v="40"/>
    <x v="19"/>
    <x v="17"/>
    <x v="548"/>
    <x v="547"/>
    <x v="547"/>
    <x v="0"/>
    <x v="0"/>
    <x v="0"/>
    <x v="1"/>
    <x v="0"/>
    <x v="0"/>
    <x v="1"/>
    <x v="0"/>
    <x v="1"/>
    <x v="0"/>
    <x v="0"/>
  </r>
  <r>
    <x v="549"/>
    <x v="42"/>
    <x v="19"/>
    <x v="17"/>
    <x v="549"/>
    <x v="548"/>
    <x v="548"/>
    <x v="0"/>
    <x v="0"/>
    <x v="0"/>
    <x v="0"/>
    <x v="0"/>
    <x v="0"/>
    <x v="0"/>
    <x v="0"/>
    <x v="0"/>
    <x v="0"/>
    <x v="0"/>
  </r>
  <r>
    <x v="550"/>
    <x v="43"/>
    <x v="19"/>
    <x v="17"/>
    <x v="550"/>
    <x v="549"/>
    <x v="549"/>
    <x v="0"/>
    <x v="0"/>
    <x v="0"/>
    <x v="1"/>
    <x v="0"/>
    <x v="0"/>
    <x v="1"/>
    <x v="0"/>
    <x v="1"/>
    <x v="0"/>
    <x v="0"/>
  </r>
  <r>
    <x v="551"/>
    <x v="44"/>
    <x v="19"/>
    <x v="17"/>
    <x v="551"/>
    <x v="550"/>
    <x v="550"/>
    <x v="2"/>
    <x v="0"/>
    <x v="2"/>
    <x v="1"/>
    <x v="1"/>
    <x v="1"/>
    <x v="2"/>
    <x v="0"/>
    <x v="5"/>
    <x v="2"/>
    <x v="2"/>
  </r>
  <r>
    <x v="552"/>
    <x v="45"/>
    <x v="19"/>
    <x v="17"/>
    <x v="552"/>
    <x v="551"/>
    <x v="551"/>
    <x v="1"/>
    <x v="0"/>
    <x v="2"/>
    <x v="1"/>
    <x v="1"/>
    <x v="1"/>
    <x v="2"/>
    <x v="0"/>
    <x v="3"/>
    <x v="6"/>
    <x v="1"/>
  </r>
  <r>
    <x v="553"/>
    <x v="46"/>
    <x v="19"/>
    <x v="17"/>
    <x v="553"/>
    <x v="552"/>
    <x v="552"/>
    <x v="0"/>
    <x v="0"/>
    <x v="0"/>
    <x v="1"/>
    <x v="1"/>
    <x v="0"/>
    <x v="2"/>
    <x v="0"/>
    <x v="2"/>
    <x v="3"/>
    <x v="0"/>
  </r>
  <r>
    <x v="554"/>
    <x v="48"/>
    <x v="19"/>
    <x v="17"/>
    <x v="554"/>
    <x v="553"/>
    <x v="553"/>
    <x v="0"/>
    <x v="0"/>
    <x v="0"/>
    <x v="1"/>
    <x v="0"/>
    <x v="0"/>
    <x v="2"/>
    <x v="0"/>
    <x v="5"/>
    <x v="0"/>
    <x v="0"/>
  </r>
  <r>
    <x v="555"/>
    <x v="49"/>
    <x v="19"/>
    <x v="17"/>
    <x v="555"/>
    <x v="554"/>
    <x v="554"/>
    <x v="0"/>
    <x v="0"/>
    <x v="0"/>
    <x v="1"/>
    <x v="1"/>
    <x v="0"/>
    <x v="2"/>
    <x v="0"/>
    <x v="5"/>
    <x v="1"/>
    <x v="0"/>
  </r>
  <r>
    <x v="556"/>
    <x v="50"/>
    <x v="19"/>
    <x v="17"/>
    <x v="556"/>
    <x v="555"/>
    <x v="555"/>
    <x v="0"/>
    <x v="0"/>
    <x v="0"/>
    <x v="1"/>
    <x v="0"/>
    <x v="0"/>
    <x v="1"/>
    <x v="0"/>
    <x v="1"/>
    <x v="0"/>
    <x v="0"/>
  </r>
  <r>
    <x v="557"/>
    <x v="51"/>
    <x v="19"/>
    <x v="17"/>
    <x v="557"/>
    <x v="556"/>
    <x v="556"/>
    <x v="1"/>
    <x v="0"/>
    <x v="2"/>
    <x v="1"/>
    <x v="1"/>
    <x v="1"/>
    <x v="1"/>
    <x v="0"/>
    <x v="1"/>
    <x v="1"/>
    <x v="1"/>
  </r>
  <r>
    <x v="558"/>
    <x v="52"/>
    <x v="19"/>
    <x v="17"/>
    <x v="558"/>
    <x v="557"/>
    <x v="557"/>
    <x v="1"/>
    <x v="0"/>
    <x v="2"/>
    <x v="1"/>
    <x v="1"/>
    <x v="1"/>
    <x v="2"/>
    <x v="0"/>
    <x v="7"/>
    <x v="6"/>
    <x v="1"/>
  </r>
  <r>
    <x v="559"/>
    <x v="0"/>
    <x v="20"/>
    <x v="18"/>
    <x v="559"/>
    <x v="558"/>
    <x v="558"/>
    <x v="0"/>
    <x v="0"/>
    <x v="0"/>
    <x v="1"/>
    <x v="1"/>
    <x v="0"/>
    <x v="2"/>
    <x v="0"/>
    <x v="3"/>
    <x v="5"/>
    <x v="0"/>
  </r>
  <r>
    <x v="560"/>
    <x v="1"/>
    <x v="20"/>
    <x v="18"/>
    <x v="560"/>
    <x v="559"/>
    <x v="559"/>
    <x v="1"/>
    <x v="0"/>
    <x v="2"/>
    <x v="1"/>
    <x v="1"/>
    <x v="1"/>
    <x v="1"/>
    <x v="0"/>
    <x v="1"/>
    <x v="2"/>
    <x v="1"/>
  </r>
  <r>
    <x v="561"/>
    <x v="2"/>
    <x v="20"/>
    <x v="18"/>
    <x v="561"/>
    <x v="560"/>
    <x v="560"/>
    <x v="0"/>
    <x v="0"/>
    <x v="0"/>
    <x v="1"/>
    <x v="0"/>
    <x v="0"/>
    <x v="1"/>
    <x v="0"/>
    <x v="1"/>
    <x v="0"/>
    <x v="0"/>
  </r>
  <r>
    <x v="562"/>
    <x v="3"/>
    <x v="20"/>
    <x v="18"/>
    <x v="562"/>
    <x v="561"/>
    <x v="561"/>
    <x v="1"/>
    <x v="0"/>
    <x v="2"/>
    <x v="1"/>
    <x v="1"/>
    <x v="1"/>
    <x v="2"/>
    <x v="0"/>
    <x v="2"/>
    <x v="1"/>
    <x v="1"/>
  </r>
  <r>
    <x v="563"/>
    <x v="4"/>
    <x v="20"/>
    <x v="18"/>
    <x v="563"/>
    <x v="562"/>
    <x v="562"/>
    <x v="0"/>
    <x v="0"/>
    <x v="0"/>
    <x v="0"/>
    <x v="0"/>
    <x v="0"/>
    <x v="0"/>
    <x v="0"/>
    <x v="0"/>
    <x v="0"/>
    <x v="0"/>
  </r>
  <r>
    <x v="564"/>
    <x v="5"/>
    <x v="20"/>
    <x v="18"/>
    <x v="564"/>
    <x v="563"/>
    <x v="563"/>
    <x v="0"/>
    <x v="0"/>
    <x v="0"/>
    <x v="1"/>
    <x v="0"/>
    <x v="0"/>
    <x v="1"/>
    <x v="0"/>
    <x v="1"/>
    <x v="0"/>
    <x v="0"/>
  </r>
  <r>
    <x v="565"/>
    <x v="6"/>
    <x v="20"/>
    <x v="18"/>
    <x v="565"/>
    <x v="564"/>
    <x v="564"/>
    <x v="0"/>
    <x v="0"/>
    <x v="0"/>
    <x v="0"/>
    <x v="0"/>
    <x v="0"/>
    <x v="0"/>
    <x v="0"/>
    <x v="0"/>
    <x v="0"/>
    <x v="0"/>
  </r>
  <r>
    <x v="566"/>
    <x v="7"/>
    <x v="20"/>
    <x v="18"/>
    <x v="566"/>
    <x v="565"/>
    <x v="565"/>
    <x v="0"/>
    <x v="0"/>
    <x v="0"/>
    <x v="1"/>
    <x v="1"/>
    <x v="0"/>
    <x v="2"/>
    <x v="0"/>
    <x v="2"/>
    <x v="5"/>
    <x v="0"/>
  </r>
  <r>
    <x v="567"/>
    <x v="8"/>
    <x v="20"/>
    <x v="18"/>
    <x v="567"/>
    <x v="566"/>
    <x v="566"/>
    <x v="0"/>
    <x v="0"/>
    <x v="0"/>
    <x v="1"/>
    <x v="1"/>
    <x v="0"/>
    <x v="2"/>
    <x v="0"/>
    <x v="2"/>
    <x v="5"/>
    <x v="0"/>
  </r>
  <r>
    <x v="568"/>
    <x v="9"/>
    <x v="20"/>
    <x v="18"/>
    <x v="568"/>
    <x v="567"/>
    <x v="567"/>
    <x v="0"/>
    <x v="0"/>
    <x v="0"/>
    <x v="1"/>
    <x v="1"/>
    <x v="0"/>
    <x v="1"/>
    <x v="0"/>
    <x v="1"/>
    <x v="1"/>
    <x v="0"/>
  </r>
  <r>
    <x v="569"/>
    <x v="10"/>
    <x v="20"/>
    <x v="18"/>
    <x v="569"/>
    <x v="568"/>
    <x v="568"/>
    <x v="0"/>
    <x v="0"/>
    <x v="0"/>
    <x v="0"/>
    <x v="0"/>
    <x v="0"/>
    <x v="0"/>
    <x v="0"/>
    <x v="0"/>
    <x v="0"/>
    <x v="0"/>
  </r>
  <r>
    <x v="570"/>
    <x v="11"/>
    <x v="20"/>
    <x v="18"/>
    <x v="570"/>
    <x v="569"/>
    <x v="569"/>
    <x v="1"/>
    <x v="0"/>
    <x v="2"/>
    <x v="1"/>
    <x v="1"/>
    <x v="1"/>
    <x v="2"/>
    <x v="0"/>
    <x v="2"/>
    <x v="5"/>
    <x v="1"/>
  </r>
  <r>
    <x v="571"/>
    <x v="12"/>
    <x v="20"/>
    <x v="18"/>
    <x v="571"/>
    <x v="570"/>
    <x v="570"/>
    <x v="0"/>
    <x v="0"/>
    <x v="0"/>
    <x v="0"/>
    <x v="0"/>
    <x v="0"/>
    <x v="0"/>
    <x v="0"/>
    <x v="0"/>
    <x v="0"/>
    <x v="0"/>
  </r>
  <r>
    <x v="572"/>
    <x v="13"/>
    <x v="20"/>
    <x v="18"/>
    <x v="572"/>
    <x v="571"/>
    <x v="571"/>
    <x v="1"/>
    <x v="0"/>
    <x v="2"/>
    <x v="1"/>
    <x v="1"/>
    <x v="1"/>
    <x v="2"/>
    <x v="0"/>
    <x v="5"/>
    <x v="1"/>
    <x v="1"/>
  </r>
  <r>
    <x v="573"/>
    <x v="14"/>
    <x v="20"/>
    <x v="18"/>
    <x v="573"/>
    <x v="572"/>
    <x v="572"/>
    <x v="0"/>
    <x v="0"/>
    <x v="0"/>
    <x v="1"/>
    <x v="0"/>
    <x v="0"/>
    <x v="1"/>
    <x v="0"/>
    <x v="1"/>
    <x v="0"/>
    <x v="0"/>
  </r>
  <r>
    <x v="574"/>
    <x v="15"/>
    <x v="20"/>
    <x v="18"/>
    <x v="574"/>
    <x v="573"/>
    <x v="573"/>
    <x v="0"/>
    <x v="0"/>
    <x v="0"/>
    <x v="0"/>
    <x v="0"/>
    <x v="0"/>
    <x v="0"/>
    <x v="0"/>
    <x v="0"/>
    <x v="0"/>
    <x v="0"/>
  </r>
  <r>
    <x v="575"/>
    <x v="16"/>
    <x v="20"/>
    <x v="18"/>
    <x v="575"/>
    <x v="574"/>
    <x v="574"/>
    <x v="0"/>
    <x v="0"/>
    <x v="0"/>
    <x v="0"/>
    <x v="0"/>
    <x v="0"/>
    <x v="0"/>
    <x v="0"/>
    <x v="0"/>
    <x v="0"/>
    <x v="0"/>
  </r>
  <r>
    <x v="576"/>
    <x v="17"/>
    <x v="20"/>
    <x v="18"/>
    <x v="576"/>
    <x v="575"/>
    <x v="575"/>
    <x v="0"/>
    <x v="0"/>
    <x v="0"/>
    <x v="0"/>
    <x v="0"/>
    <x v="0"/>
    <x v="0"/>
    <x v="0"/>
    <x v="0"/>
    <x v="0"/>
    <x v="0"/>
  </r>
  <r>
    <x v="577"/>
    <x v="18"/>
    <x v="20"/>
    <x v="18"/>
    <x v="577"/>
    <x v="576"/>
    <x v="576"/>
    <x v="0"/>
    <x v="0"/>
    <x v="0"/>
    <x v="0"/>
    <x v="0"/>
    <x v="0"/>
    <x v="0"/>
    <x v="0"/>
    <x v="0"/>
    <x v="0"/>
    <x v="0"/>
  </r>
  <r>
    <x v="578"/>
    <x v="19"/>
    <x v="20"/>
    <x v="18"/>
    <x v="578"/>
    <x v="577"/>
    <x v="577"/>
    <x v="0"/>
    <x v="0"/>
    <x v="0"/>
    <x v="0"/>
    <x v="0"/>
    <x v="0"/>
    <x v="0"/>
    <x v="0"/>
    <x v="0"/>
    <x v="0"/>
    <x v="0"/>
  </r>
  <r>
    <x v="579"/>
    <x v="20"/>
    <x v="20"/>
    <x v="18"/>
    <x v="579"/>
    <x v="578"/>
    <x v="578"/>
    <x v="0"/>
    <x v="0"/>
    <x v="0"/>
    <x v="0"/>
    <x v="0"/>
    <x v="0"/>
    <x v="0"/>
    <x v="0"/>
    <x v="0"/>
    <x v="0"/>
    <x v="0"/>
  </r>
  <r>
    <x v="580"/>
    <x v="21"/>
    <x v="21"/>
    <x v="18"/>
    <x v="580"/>
    <x v="579"/>
    <x v="579"/>
    <x v="0"/>
    <x v="0"/>
    <x v="0"/>
    <x v="1"/>
    <x v="1"/>
    <x v="0"/>
    <x v="1"/>
    <x v="0"/>
    <x v="1"/>
    <x v="1"/>
    <x v="0"/>
  </r>
  <r>
    <x v="581"/>
    <x v="22"/>
    <x v="21"/>
    <x v="18"/>
    <x v="581"/>
    <x v="580"/>
    <x v="580"/>
    <x v="0"/>
    <x v="0"/>
    <x v="0"/>
    <x v="0"/>
    <x v="0"/>
    <x v="0"/>
    <x v="0"/>
    <x v="0"/>
    <x v="0"/>
    <x v="0"/>
    <x v="0"/>
  </r>
  <r>
    <x v="582"/>
    <x v="23"/>
    <x v="21"/>
    <x v="18"/>
    <x v="582"/>
    <x v="581"/>
    <x v="581"/>
    <x v="1"/>
    <x v="0"/>
    <x v="2"/>
    <x v="1"/>
    <x v="1"/>
    <x v="1"/>
    <x v="2"/>
    <x v="0"/>
    <x v="2"/>
    <x v="5"/>
    <x v="1"/>
  </r>
  <r>
    <x v="583"/>
    <x v="24"/>
    <x v="21"/>
    <x v="18"/>
    <x v="583"/>
    <x v="582"/>
    <x v="582"/>
    <x v="1"/>
    <x v="0"/>
    <x v="2"/>
    <x v="1"/>
    <x v="1"/>
    <x v="1"/>
    <x v="2"/>
    <x v="0"/>
    <x v="2"/>
    <x v="2"/>
    <x v="1"/>
  </r>
  <r>
    <x v="584"/>
    <x v="25"/>
    <x v="21"/>
    <x v="18"/>
    <x v="584"/>
    <x v="583"/>
    <x v="583"/>
    <x v="0"/>
    <x v="0"/>
    <x v="0"/>
    <x v="1"/>
    <x v="0"/>
    <x v="0"/>
    <x v="1"/>
    <x v="0"/>
    <x v="1"/>
    <x v="0"/>
    <x v="0"/>
  </r>
  <r>
    <x v="585"/>
    <x v="26"/>
    <x v="22"/>
    <x v="18"/>
    <x v="585"/>
    <x v="584"/>
    <x v="584"/>
    <x v="0"/>
    <x v="0"/>
    <x v="0"/>
    <x v="0"/>
    <x v="0"/>
    <x v="0"/>
    <x v="0"/>
    <x v="0"/>
    <x v="0"/>
    <x v="0"/>
    <x v="0"/>
  </r>
  <r>
    <x v="586"/>
    <x v="27"/>
    <x v="22"/>
    <x v="18"/>
    <x v="586"/>
    <x v="585"/>
    <x v="585"/>
    <x v="1"/>
    <x v="0"/>
    <x v="2"/>
    <x v="1"/>
    <x v="1"/>
    <x v="1"/>
    <x v="2"/>
    <x v="0"/>
    <x v="5"/>
    <x v="1"/>
    <x v="1"/>
  </r>
  <r>
    <x v="587"/>
    <x v="28"/>
    <x v="22"/>
    <x v="18"/>
    <x v="587"/>
    <x v="586"/>
    <x v="586"/>
    <x v="0"/>
    <x v="0"/>
    <x v="0"/>
    <x v="0"/>
    <x v="0"/>
    <x v="0"/>
    <x v="0"/>
    <x v="0"/>
    <x v="0"/>
    <x v="0"/>
    <x v="0"/>
  </r>
  <r>
    <x v="588"/>
    <x v="29"/>
    <x v="22"/>
    <x v="18"/>
    <x v="588"/>
    <x v="587"/>
    <x v="587"/>
    <x v="0"/>
    <x v="0"/>
    <x v="0"/>
    <x v="1"/>
    <x v="1"/>
    <x v="0"/>
    <x v="2"/>
    <x v="0"/>
    <x v="2"/>
    <x v="1"/>
    <x v="0"/>
  </r>
  <r>
    <x v="589"/>
    <x v="30"/>
    <x v="22"/>
    <x v="18"/>
    <x v="589"/>
    <x v="588"/>
    <x v="588"/>
    <x v="0"/>
    <x v="0"/>
    <x v="0"/>
    <x v="1"/>
    <x v="0"/>
    <x v="0"/>
    <x v="1"/>
    <x v="0"/>
    <x v="1"/>
    <x v="0"/>
    <x v="0"/>
  </r>
  <r>
    <x v="590"/>
    <x v="31"/>
    <x v="22"/>
    <x v="18"/>
    <x v="590"/>
    <x v="589"/>
    <x v="589"/>
    <x v="0"/>
    <x v="0"/>
    <x v="0"/>
    <x v="1"/>
    <x v="1"/>
    <x v="0"/>
    <x v="1"/>
    <x v="0"/>
    <x v="1"/>
    <x v="1"/>
    <x v="0"/>
  </r>
  <r>
    <x v="591"/>
    <x v="32"/>
    <x v="22"/>
    <x v="18"/>
    <x v="591"/>
    <x v="590"/>
    <x v="590"/>
    <x v="0"/>
    <x v="0"/>
    <x v="0"/>
    <x v="1"/>
    <x v="1"/>
    <x v="0"/>
    <x v="2"/>
    <x v="0"/>
    <x v="2"/>
    <x v="1"/>
    <x v="0"/>
  </r>
  <r>
    <x v="592"/>
    <x v="33"/>
    <x v="22"/>
    <x v="18"/>
    <x v="592"/>
    <x v="591"/>
    <x v="591"/>
    <x v="0"/>
    <x v="0"/>
    <x v="0"/>
    <x v="1"/>
    <x v="0"/>
    <x v="0"/>
    <x v="1"/>
    <x v="0"/>
    <x v="1"/>
    <x v="0"/>
    <x v="0"/>
  </r>
  <r>
    <x v="593"/>
    <x v="34"/>
    <x v="22"/>
    <x v="18"/>
    <x v="593"/>
    <x v="592"/>
    <x v="592"/>
    <x v="0"/>
    <x v="0"/>
    <x v="0"/>
    <x v="0"/>
    <x v="0"/>
    <x v="0"/>
    <x v="0"/>
    <x v="0"/>
    <x v="0"/>
    <x v="0"/>
    <x v="0"/>
  </r>
  <r>
    <x v="594"/>
    <x v="35"/>
    <x v="22"/>
    <x v="18"/>
    <x v="594"/>
    <x v="593"/>
    <x v="593"/>
    <x v="0"/>
    <x v="0"/>
    <x v="0"/>
    <x v="0"/>
    <x v="0"/>
    <x v="0"/>
    <x v="0"/>
    <x v="0"/>
    <x v="0"/>
    <x v="0"/>
    <x v="0"/>
  </r>
  <r>
    <x v="595"/>
    <x v="36"/>
    <x v="21"/>
    <x v="18"/>
    <x v="595"/>
    <x v="594"/>
    <x v="594"/>
    <x v="2"/>
    <x v="0"/>
    <x v="2"/>
    <x v="1"/>
    <x v="1"/>
    <x v="1"/>
    <x v="2"/>
    <x v="0"/>
    <x v="2"/>
    <x v="5"/>
    <x v="2"/>
  </r>
  <r>
    <x v="596"/>
    <x v="37"/>
    <x v="21"/>
    <x v="18"/>
    <x v="596"/>
    <x v="595"/>
    <x v="595"/>
    <x v="0"/>
    <x v="0"/>
    <x v="0"/>
    <x v="1"/>
    <x v="0"/>
    <x v="0"/>
    <x v="1"/>
    <x v="0"/>
    <x v="1"/>
    <x v="0"/>
    <x v="0"/>
  </r>
  <r>
    <x v="597"/>
    <x v="38"/>
    <x v="21"/>
    <x v="18"/>
    <x v="597"/>
    <x v="596"/>
    <x v="596"/>
    <x v="1"/>
    <x v="0"/>
    <x v="2"/>
    <x v="1"/>
    <x v="1"/>
    <x v="1"/>
    <x v="1"/>
    <x v="0"/>
    <x v="1"/>
    <x v="1"/>
    <x v="1"/>
  </r>
  <r>
    <x v="598"/>
    <x v="39"/>
    <x v="21"/>
    <x v="18"/>
    <x v="598"/>
    <x v="597"/>
    <x v="597"/>
    <x v="0"/>
    <x v="0"/>
    <x v="0"/>
    <x v="1"/>
    <x v="0"/>
    <x v="0"/>
    <x v="1"/>
    <x v="0"/>
    <x v="1"/>
    <x v="0"/>
    <x v="0"/>
  </r>
  <r>
    <x v="599"/>
    <x v="40"/>
    <x v="21"/>
    <x v="18"/>
    <x v="599"/>
    <x v="598"/>
    <x v="598"/>
    <x v="0"/>
    <x v="0"/>
    <x v="0"/>
    <x v="1"/>
    <x v="1"/>
    <x v="0"/>
    <x v="2"/>
    <x v="0"/>
    <x v="2"/>
    <x v="1"/>
    <x v="0"/>
  </r>
  <r>
    <x v="600"/>
    <x v="0"/>
    <x v="23"/>
    <x v="19"/>
    <x v="600"/>
    <x v="599"/>
    <x v="599"/>
    <x v="1"/>
    <x v="0"/>
    <x v="2"/>
    <x v="1"/>
    <x v="1"/>
    <x v="1"/>
    <x v="2"/>
    <x v="0"/>
    <x v="2"/>
    <x v="1"/>
    <x v="1"/>
  </r>
  <r>
    <x v="601"/>
    <x v="1"/>
    <x v="23"/>
    <x v="19"/>
    <x v="601"/>
    <x v="600"/>
    <x v="600"/>
    <x v="0"/>
    <x v="0"/>
    <x v="0"/>
    <x v="1"/>
    <x v="0"/>
    <x v="0"/>
    <x v="1"/>
    <x v="0"/>
    <x v="1"/>
    <x v="0"/>
    <x v="0"/>
  </r>
  <r>
    <x v="602"/>
    <x v="2"/>
    <x v="23"/>
    <x v="19"/>
    <x v="602"/>
    <x v="601"/>
    <x v="601"/>
    <x v="1"/>
    <x v="0"/>
    <x v="2"/>
    <x v="1"/>
    <x v="1"/>
    <x v="1"/>
    <x v="1"/>
    <x v="0"/>
    <x v="1"/>
    <x v="1"/>
    <x v="1"/>
  </r>
  <r>
    <x v="603"/>
    <x v="3"/>
    <x v="23"/>
    <x v="19"/>
    <x v="603"/>
    <x v="602"/>
    <x v="602"/>
    <x v="0"/>
    <x v="0"/>
    <x v="0"/>
    <x v="0"/>
    <x v="0"/>
    <x v="0"/>
    <x v="0"/>
    <x v="0"/>
    <x v="0"/>
    <x v="0"/>
    <x v="0"/>
  </r>
  <r>
    <x v="604"/>
    <x v="4"/>
    <x v="23"/>
    <x v="19"/>
    <x v="604"/>
    <x v="603"/>
    <x v="603"/>
    <x v="0"/>
    <x v="0"/>
    <x v="0"/>
    <x v="1"/>
    <x v="1"/>
    <x v="0"/>
    <x v="1"/>
    <x v="0"/>
    <x v="1"/>
    <x v="1"/>
    <x v="0"/>
  </r>
  <r>
    <x v="605"/>
    <x v="5"/>
    <x v="23"/>
    <x v="19"/>
    <x v="605"/>
    <x v="604"/>
    <x v="604"/>
    <x v="0"/>
    <x v="0"/>
    <x v="0"/>
    <x v="1"/>
    <x v="0"/>
    <x v="0"/>
    <x v="1"/>
    <x v="0"/>
    <x v="1"/>
    <x v="0"/>
    <x v="0"/>
  </r>
  <r>
    <x v="606"/>
    <x v="6"/>
    <x v="23"/>
    <x v="19"/>
    <x v="606"/>
    <x v="605"/>
    <x v="605"/>
    <x v="1"/>
    <x v="0"/>
    <x v="2"/>
    <x v="1"/>
    <x v="1"/>
    <x v="1"/>
    <x v="2"/>
    <x v="0"/>
    <x v="2"/>
    <x v="5"/>
    <x v="1"/>
  </r>
  <r>
    <x v="607"/>
    <x v="7"/>
    <x v="23"/>
    <x v="19"/>
    <x v="607"/>
    <x v="606"/>
    <x v="606"/>
    <x v="2"/>
    <x v="0"/>
    <x v="2"/>
    <x v="1"/>
    <x v="1"/>
    <x v="1"/>
    <x v="2"/>
    <x v="0"/>
    <x v="3"/>
    <x v="2"/>
    <x v="2"/>
  </r>
  <r>
    <x v="608"/>
    <x v="8"/>
    <x v="23"/>
    <x v="19"/>
    <x v="608"/>
    <x v="607"/>
    <x v="607"/>
    <x v="2"/>
    <x v="0"/>
    <x v="2"/>
    <x v="1"/>
    <x v="1"/>
    <x v="1"/>
    <x v="2"/>
    <x v="0"/>
    <x v="5"/>
    <x v="3"/>
    <x v="2"/>
  </r>
  <r>
    <x v="609"/>
    <x v="9"/>
    <x v="23"/>
    <x v="19"/>
    <x v="609"/>
    <x v="608"/>
    <x v="608"/>
    <x v="0"/>
    <x v="0"/>
    <x v="0"/>
    <x v="1"/>
    <x v="0"/>
    <x v="0"/>
    <x v="1"/>
    <x v="0"/>
    <x v="1"/>
    <x v="0"/>
    <x v="0"/>
  </r>
  <r>
    <x v="610"/>
    <x v="11"/>
    <x v="23"/>
    <x v="19"/>
    <x v="610"/>
    <x v="609"/>
    <x v="609"/>
    <x v="2"/>
    <x v="0"/>
    <x v="2"/>
    <x v="1"/>
    <x v="1"/>
    <x v="1"/>
    <x v="2"/>
    <x v="0"/>
    <x v="5"/>
    <x v="3"/>
    <x v="2"/>
  </r>
  <r>
    <x v="611"/>
    <x v="12"/>
    <x v="23"/>
    <x v="19"/>
    <x v="611"/>
    <x v="610"/>
    <x v="610"/>
    <x v="2"/>
    <x v="0"/>
    <x v="2"/>
    <x v="1"/>
    <x v="1"/>
    <x v="1"/>
    <x v="2"/>
    <x v="0"/>
    <x v="2"/>
    <x v="6"/>
    <x v="2"/>
  </r>
  <r>
    <x v="612"/>
    <x v="14"/>
    <x v="23"/>
    <x v="19"/>
    <x v="612"/>
    <x v="611"/>
    <x v="611"/>
    <x v="0"/>
    <x v="0"/>
    <x v="0"/>
    <x v="1"/>
    <x v="0"/>
    <x v="0"/>
    <x v="1"/>
    <x v="0"/>
    <x v="1"/>
    <x v="0"/>
    <x v="0"/>
  </r>
  <r>
    <x v="613"/>
    <x v="15"/>
    <x v="23"/>
    <x v="19"/>
    <x v="613"/>
    <x v="612"/>
    <x v="612"/>
    <x v="0"/>
    <x v="0"/>
    <x v="0"/>
    <x v="1"/>
    <x v="0"/>
    <x v="0"/>
    <x v="1"/>
    <x v="0"/>
    <x v="1"/>
    <x v="0"/>
    <x v="0"/>
  </r>
  <r>
    <x v="614"/>
    <x v="16"/>
    <x v="23"/>
    <x v="19"/>
    <x v="614"/>
    <x v="613"/>
    <x v="613"/>
    <x v="0"/>
    <x v="0"/>
    <x v="0"/>
    <x v="1"/>
    <x v="1"/>
    <x v="0"/>
    <x v="1"/>
    <x v="0"/>
    <x v="1"/>
    <x v="1"/>
    <x v="0"/>
  </r>
  <r>
    <x v="615"/>
    <x v="17"/>
    <x v="23"/>
    <x v="19"/>
    <x v="615"/>
    <x v="614"/>
    <x v="614"/>
    <x v="1"/>
    <x v="0"/>
    <x v="2"/>
    <x v="1"/>
    <x v="1"/>
    <x v="1"/>
    <x v="2"/>
    <x v="0"/>
    <x v="5"/>
    <x v="1"/>
    <x v="1"/>
  </r>
  <r>
    <x v="616"/>
    <x v="18"/>
    <x v="23"/>
    <x v="19"/>
    <x v="616"/>
    <x v="615"/>
    <x v="615"/>
    <x v="0"/>
    <x v="0"/>
    <x v="0"/>
    <x v="0"/>
    <x v="0"/>
    <x v="0"/>
    <x v="0"/>
    <x v="0"/>
    <x v="0"/>
    <x v="0"/>
    <x v="0"/>
  </r>
  <r>
    <x v="617"/>
    <x v="19"/>
    <x v="23"/>
    <x v="19"/>
    <x v="617"/>
    <x v="616"/>
    <x v="616"/>
    <x v="1"/>
    <x v="0"/>
    <x v="2"/>
    <x v="1"/>
    <x v="1"/>
    <x v="1"/>
    <x v="2"/>
    <x v="0"/>
    <x v="5"/>
    <x v="5"/>
    <x v="1"/>
  </r>
  <r>
    <x v="618"/>
    <x v="20"/>
    <x v="23"/>
    <x v="19"/>
    <x v="618"/>
    <x v="617"/>
    <x v="617"/>
    <x v="2"/>
    <x v="0"/>
    <x v="2"/>
    <x v="1"/>
    <x v="1"/>
    <x v="1"/>
    <x v="2"/>
    <x v="0"/>
    <x v="8"/>
    <x v="2"/>
    <x v="3"/>
  </r>
  <r>
    <x v="619"/>
    <x v="21"/>
    <x v="23"/>
    <x v="19"/>
    <x v="619"/>
    <x v="618"/>
    <x v="618"/>
    <x v="2"/>
    <x v="0"/>
    <x v="2"/>
    <x v="1"/>
    <x v="1"/>
    <x v="1"/>
    <x v="2"/>
    <x v="0"/>
    <x v="2"/>
    <x v="2"/>
    <x v="3"/>
  </r>
  <r>
    <x v="620"/>
    <x v="22"/>
    <x v="23"/>
    <x v="19"/>
    <x v="620"/>
    <x v="619"/>
    <x v="619"/>
    <x v="0"/>
    <x v="0"/>
    <x v="0"/>
    <x v="1"/>
    <x v="1"/>
    <x v="0"/>
    <x v="2"/>
    <x v="0"/>
    <x v="8"/>
    <x v="5"/>
    <x v="0"/>
  </r>
  <r>
    <x v="621"/>
    <x v="23"/>
    <x v="23"/>
    <x v="19"/>
    <x v="621"/>
    <x v="620"/>
    <x v="620"/>
    <x v="0"/>
    <x v="0"/>
    <x v="0"/>
    <x v="0"/>
    <x v="0"/>
    <x v="0"/>
    <x v="0"/>
    <x v="0"/>
    <x v="0"/>
    <x v="0"/>
    <x v="0"/>
  </r>
  <r>
    <x v="622"/>
    <x v="24"/>
    <x v="23"/>
    <x v="19"/>
    <x v="622"/>
    <x v="621"/>
    <x v="621"/>
    <x v="0"/>
    <x v="0"/>
    <x v="0"/>
    <x v="1"/>
    <x v="0"/>
    <x v="0"/>
    <x v="1"/>
    <x v="0"/>
    <x v="1"/>
    <x v="0"/>
    <x v="0"/>
  </r>
  <r>
    <x v="623"/>
    <x v="25"/>
    <x v="23"/>
    <x v="19"/>
    <x v="623"/>
    <x v="622"/>
    <x v="622"/>
    <x v="1"/>
    <x v="0"/>
    <x v="2"/>
    <x v="1"/>
    <x v="1"/>
    <x v="1"/>
    <x v="2"/>
    <x v="0"/>
    <x v="5"/>
    <x v="3"/>
    <x v="1"/>
  </r>
  <r>
    <x v="624"/>
    <x v="26"/>
    <x v="23"/>
    <x v="19"/>
    <x v="624"/>
    <x v="623"/>
    <x v="623"/>
    <x v="2"/>
    <x v="0"/>
    <x v="2"/>
    <x v="1"/>
    <x v="1"/>
    <x v="1"/>
    <x v="1"/>
    <x v="0"/>
    <x v="1"/>
    <x v="5"/>
    <x v="2"/>
  </r>
  <r>
    <x v="625"/>
    <x v="27"/>
    <x v="23"/>
    <x v="19"/>
    <x v="625"/>
    <x v="624"/>
    <x v="624"/>
    <x v="0"/>
    <x v="0"/>
    <x v="0"/>
    <x v="1"/>
    <x v="0"/>
    <x v="0"/>
    <x v="1"/>
    <x v="0"/>
    <x v="1"/>
    <x v="0"/>
    <x v="0"/>
  </r>
  <r>
    <x v="626"/>
    <x v="28"/>
    <x v="23"/>
    <x v="19"/>
    <x v="626"/>
    <x v="625"/>
    <x v="625"/>
    <x v="0"/>
    <x v="0"/>
    <x v="0"/>
    <x v="0"/>
    <x v="0"/>
    <x v="0"/>
    <x v="0"/>
    <x v="0"/>
    <x v="0"/>
    <x v="0"/>
    <x v="0"/>
  </r>
  <r>
    <x v="627"/>
    <x v="29"/>
    <x v="23"/>
    <x v="19"/>
    <x v="627"/>
    <x v="626"/>
    <x v="626"/>
    <x v="2"/>
    <x v="0"/>
    <x v="2"/>
    <x v="1"/>
    <x v="1"/>
    <x v="1"/>
    <x v="2"/>
    <x v="0"/>
    <x v="6"/>
    <x v="2"/>
    <x v="4"/>
  </r>
  <r>
    <x v="628"/>
    <x v="30"/>
    <x v="23"/>
    <x v="19"/>
    <x v="628"/>
    <x v="627"/>
    <x v="627"/>
    <x v="0"/>
    <x v="0"/>
    <x v="0"/>
    <x v="1"/>
    <x v="1"/>
    <x v="0"/>
    <x v="2"/>
    <x v="0"/>
    <x v="7"/>
    <x v="5"/>
    <x v="0"/>
  </r>
  <r>
    <x v="629"/>
    <x v="31"/>
    <x v="23"/>
    <x v="19"/>
    <x v="629"/>
    <x v="628"/>
    <x v="628"/>
    <x v="1"/>
    <x v="0"/>
    <x v="2"/>
    <x v="1"/>
    <x v="1"/>
    <x v="1"/>
    <x v="2"/>
    <x v="0"/>
    <x v="5"/>
    <x v="1"/>
    <x v="1"/>
  </r>
  <r>
    <x v="630"/>
    <x v="0"/>
    <x v="24"/>
    <x v="1"/>
    <x v="630"/>
    <x v="629"/>
    <x v="629"/>
    <x v="0"/>
    <x v="0"/>
    <x v="0"/>
    <x v="1"/>
    <x v="0"/>
    <x v="0"/>
    <x v="1"/>
    <x v="0"/>
    <x v="1"/>
    <x v="0"/>
    <x v="0"/>
  </r>
  <r>
    <x v="631"/>
    <x v="1"/>
    <x v="24"/>
    <x v="1"/>
    <x v="631"/>
    <x v="630"/>
    <x v="630"/>
    <x v="1"/>
    <x v="0"/>
    <x v="2"/>
    <x v="1"/>
    <x v="1"/>
    <x v="1"/>
    <x v="2"/>
    <x v="0"/>
    <x v="5"/>
    <x v="1"/>
    <x v="1"/>
  </r>
  <r>
    <x v="632"/>
    <x v="2"/>
    <x v="24"/>
    <x v="1"/>
    <x v="632"/>
    <x v="631"/>
    <x v="631"/>
    <x v="1"/>
    <x v="0"/>
    <x v="2"/>
    <x v="1"/>
    <x v="1"/>
    <x v="1"/>
    <x v="1"/>
    <x v="0"/>
    <x v="1"/>
    <x v="1"/>
    <x v="1"/>
  </r>
  <r>
    <x v="633"/>
    <x v="3"/>
    <x v="24"/>
    <x v="1"/>
    <x v="633"/>
    <x v="632"/>
    <x v="632"/>
    <x v="0"/>
    <x v="0"/>
    <x v="0"/>
    <x v="0"/>
    <x v="0"/>
    <x v="0"/>
    <x v="0"/>
    <x v="0"/>
    <x v="0"/>
    <x v="0"/>
    <x v="0"/>
  </r>
  <r>
    <x v="634"/>
    <x v="4"/>
    <x v="24"/>
    <x v="1"/>
    <x v="634"/>
    <x v="633"/>
    <x v="633"/>
    <x v="0"/>
    <x v="0"/>
    <x v="0"/>
    <x v="1"/>
    <x v="0"/>
    <x v="0"/>
    <x v="1"/>
    <x v="0"/>
    <x v="1"/>
    <x v="0"/>
    <x v="0"/>
  </r>
  <r>
    <x v="635"/>
    <x v="5"/>
    <x v="24"/>
    <x v="1"/>
    <x v="635"/>
    <x v="634"/>
    <x v="634"/>
    <x v="1"/>
    <x v="0"/>
    <x v="2"/>
    <x v="1"/>
    <x v="1"/>
    <x v="1"/>
    <x v="1"/>
    <x v="0"/>
    <x v="1"/>
    <x v="1"/>
    <x v="1"/>
  </r>
  <r>
    <x v="636"/>
    <x v="6"/>
    <x v="24"/>
    <x v="1"/>
    <x v="636"/>
    <x v="635"/>
    <x v="635"/>
    <x v="0"/>
    <x v="0"/>
    <x v="0"/>
    <x v="0"/>
    <x v="0"/>
    <x v="0"/>
    <x v="0"/>
    <x v="0"/>
    <x v="0"/>
    <x v="0"/>
    <x v="0"/>
  </r>
  <r>
    <x v="637"/>
    <x v="7"/>
    <x v="24"/>
    <x v="1"/>
    <x v="637"/>
    <x v="636"/>
    <x v="636"/>
    <x v="2"/>
    <x v="0"/>
    <x v="2"/>
    <x v="1"/>
    <x v="1"/>
    <x v="1"/>
    <x v="2"/>
    <x v="0"/>
    <x v="5"/>
    <x v="1"/>
    <x v="5"/>
  </r>
  <r>
    <x v="638"/>
    <x v="8"/>
    <x v="24"/>
    <x v="1"/>
    <x v="638"/>
    <x v="637"/>
    <x v="637"/>
    <x v="0"/>
    <x v="0"/>
    <x v="0"/>
    <x v="1"/>
    <x v="0"/>
    <x v="0"/>
    <x v="1"/>
    <x v="0"/>
    <x v="1"/>
    <x v="0"/>
    <x v="0"/>
  </r>
  <r>
    <x v="639"/>
    <x v="9"/>
    <x v="24"/>
    <x v="1"/>
    <x v="639"/>
    <x v="638"/>
    <x v="638"/>
    <x v="0"/>
    <x v="0"/>
    <x v="0"/>
    <x v="1"/>
    <x v="0"/>
    <x v="0"/>
    <x v="1"/>
    <x v="0"/>
    <x v="1"/>
    <x v="0"/>
    <x v="0"/>
  </r>
  <r>
    <x v="640"/>
    <x v="10"/>
    <x v="24"/>
    <x v="1"/>
    <x v="640"/>
    <x v="639"/>
    <x v="639"/>
    <x v="0"/>
    <x v="0"/>
    <x v="0"/>
    <x v="0"/>
    <x v="0"/>
    <x v="0"/>
    <x v="0"/>
    <x v="0"/>
    <x v="0"/>
    <x v="0"/>
    <x v="0"/>
  </r>
  <r>
    <x v="641"/>
    <x v="11"/>
    <x v="24"/>
    <x v="1"/>
    <x v="641"/>
    <x v="640"/>
    <x v="640"/>
    <x v="1"/>
    <x v="0"/>
    <x v="2"/>
    <x v="1"/>
    <x v="1"/>
    <x v="1"/>
    <x v="2"/>
    <x v="0"/>
    <x v="2"/>
    <x v="5"/>
    <x v="1"/>
  </r>
  <r>
    <x v="642"/>
    <x v="12"/>
    <x v="24"/>
    <x v="1"/>
    <x v="642"/>
    <x v="640"/>
    <x v="641"/>
    <x v="0"/>
    <x v="0"/>
    <x v="0"/>
    <x v="0"/>
    <x v="0"/>
    <x v="0"/>
    <x v="0"/>
    <x v="0"/>
    <x v="0"/>
    <x v="0"/>
    <x v="0"/>
  </r>
  <r>
    <x v="643"/>
    <x v="13"/>
    <x v="24"/>
    <x v="1"/>
    <x v="643"/>
    <x v="641"/>
    <x v="642"/>
    <x v="0"/>
    <x v="0"/>
    <x v="0"/>
    <x v="1"/>
    <x v="1"/>
    <x v="0"/>
    <x v="1"/>
    <x v="0"/>
    <x v="1"/>
    <x v="1"/>
    <x v="0"/>
  </r>
  <r>
    <x v="644"/>
    <x v="14"/>
    <x v="24"/>
    <x v="1"/>
    <x v="644"/>
    <x v="641"/>
    <x v="643"/>
    <x v="0"/>
    <x v="0"/>
    <x v="0"/>
    <x v="0"/>
    <x v="0"/>
    <x v="0"/>
    <x v="0"/>
    <x v="0"/>
    <x v="0"/>
    <x v="0"/>
    <x v="0"/>
  </r>
  <r>
    <x v="645"/>
    <x v="15"/>
    <x v="25"/>
    <x v="20"/>
    <x v="645"/>
    <x v="642"/>
    <x v="644"/>
    <x v="0"/>
    <x v="0"/>
    <x v="0"/>
    <x v="1"/>
    <x v="0"/>
    <x v="0"/>
    <x v="2"/>
    <x v="0"/>
    <x v="2"/>
    <x v="0"/>
    <x v="0"/>
  </r>
  <r>
    <x v="646"/>
    <x v="16"/>
    <x v="25"/>
    <x v="20"/>
    <x v="646"/>
    <x v="643"/>
    <x v="645"/>
    <x v="0"/>
    <x v="0"/>
    <x v="0"/>
    <x v="0"/>
    <x v="0"/>
    <x v="0"/>
    <x v="0"/>
    <x v="0"/>
    <x v="0"/>
    <x v="0"/>
    <x v="0"/>
  </r>
  <r>
    <x v="647"/>
    <x v="17"/>
    <x v="25"/>
    <x v="20"/>
    <x v="647"/>
    <x v="644"/>
    <x v="646"/>
    <x v="1"/>
    <x v="0"/>
    <x v="2"/>
    <x v="1"/>
    <x v="1"/>
    <x v="1"/>
    <x v="2"/>
    <x v="0"/>
    <x v="5"/>
    <x v="1"/>
    <x v="1"/>
  </r>
  <r>
    <x v="648"/>
    <x v="18"/>
    <x v="25"/>
    <x v="20"/>
    <x v="648"/>
    <x v="645"/>
    <x v="647"/>
    <x v="0"/>
    <x v="0"/>
    <x v="0"/>
    <x v="1"/>
    <x v="0"/>
    <x v="0"/>
    <x v="1"/>
    <x v="0"/>
    <x v="1"/>
    <x v="0"/>
    <x v="0"/>
  </r>
  <r>
    <x v="649"/>
    <x v="19"/>
    <x v="26"/>
    <x v="20"/>
    <x v="649"/>
    <x v="646"/>
    <x v="648"/>
    <x v="0"/>
    <x v="0"/>
    <x v="0"/>
    <x v="1"/>
    <x v="0"/>
    <x v="0"/>
    <x v="2"/>
    <x v="0"/>
    <x v="2"/>
    <x v="0"/>
    <x v="0"/>
  </r>
  <r>
    <x v="650"/>
    <x v="20"/>
    <x v="27"/>
    <x v="20"/>
    <x v="650"/>
    <x v="647"/>
    <x v="649"/>
    <x v="1"/>
    <x v="0"/>
    <x v="2"/>
    <x v="1"/>
    <x v="1"/>
    <x v="1"/>
    <x v="2"/>
    <x v="0"/>
    <x v="2"/>
    <x v="5"/>
    <x v="1"/>
  </r>
  <r>
    <x v="651"/>
    <x v="21"/>
    <x v="27"/>
    <x v="20"/>
    <x v="651"/>
    <x v="648"/>
    <x v="650"/>
    <x v="0"/>
    <x v="0"/>
    <x v="0"/>
    <x v="1"/>
    <x v="0"/>
    <x v="0"/>
    <x v="1"/>
    <x v="0"/>
    <x v="1"/>
    <x v="0"/>
    <x v="0"/>
  </r>
  <r>
    <x v="652"/>
    <x v="22"/>
    <x v="27"/>
    <x v="20"/>
    <x v="652"/>
    <x v="649"/>
    <x v="651"/>
    <x v="0"/>
    <x v="0"/>
    <x v="0"/>
    <x v="1"/>
    <x v="0"/>
    <x v="0"/>
    <x v="2"/>
    <x v="0"/>
    <x v="3"/>
    <x v="0"/>
    <x v="0"/>
  </r>
  <r>
    <x v="653"/>
    <x v="23"/>
    <x v="27"/>
    <x v="20"/>
    <x v="653"/>
    <x v="650"/>
    <x v="652"/>
    <x v="0"/>
    <x v="0"/>
    <x v="0"/>
    <x v="1"/>
    <x v="0"/>
    <x v="0"/>
    <x v="1"/>
    <x v="0"/>
    <x v="1"/>
    <x v="0"/>
    <x v="0"/>
  </r>
  <r>
    <x v="654"/>
    <x v="24"/>
    <x v="27"/>
    <x v="20"/>
    <x v="654"/>
    <x v="651"/>
    <x v="653"/>
    <x v="1"/>
    <x v="0"/>
    <x v="2"/>
    <x v="1"/>
    <x v="1"/>
    <x v="1"/>
    <x v="2"/>
    <x v="0"/>
    <x v="5"/>
    <x v="1"/>
    <x v="1"/>
  </r>
  <r>
    <x v="655"/>
    <x v="25"/>
    <x v="27"/>
    <x v="20"/>
    <x v="655"/>
    <x v="652"/>
    <x v="654"/>
    <x v="1"/>
    <x v="0"/>
    <x v="2"/>
    <x v="1"/>
    <x v="1"/>
    <x v="1"/>
    <x v="2"/>
    <x v="0"/>
    <x v="2"/>
    <x v="1"/>
    <x v="1"/>
  </r>
  <r>
    <x v="656"/>
    <x v="26"/>
    <x v="27"/>
    <x v="20"/>
    <x v="656"/>
    <x v="653"/>
    <x v="655"/>
    <x v="0"/>
    <x v="0"/>
    <x v="0"/>
    <x v="1"/>
    <x v="0"/>
    <x v="0"/>
    <x v="1"/>
    <x v="0"/>
    <x v="1"/>
    <x v="0"/>
    <x v="0"/>
  </r>
  <r>
    <x v="657"/>
    <x v="27"/>
    <x v="27"/>
    <x v="20"/>
    <x v="657"/>
    <x v="654"/>
    <x v="656"/>
    <x v="0"/>
    <x v="0"/>
    <x v="0"/>
    <x v="0"/>
    <x v="0"/>
    <x v="0"/>
    <x v="0"/>
    <x v="0"/>
    <x v="0"/>
    <x v="0"/>
    <x v="0"/>
  </r>
  <r>
    <x v="658"/>
    <x v="28"/>
    <x v="28"/>
    <x v="20"/>
    <x v="658"/>
    <x v="655"/>
    <x v="657"/>
    <x v="0"/>
    <x v="0"/>
    <x v="0"/>
    <x v="1"/>
    <x v="0"/>
    <x v="0"/>
    <x v="1"/>
    <x v="0"/>
    <x v="1"/>
    <x v="0"/>
    <x v="0"/>
  </r>
  <r>
    <x v="659"/>
    <x v="29"/>
    <x v="28"/>
    <x v="20"/>
    <x v="659"/>
    <x v="656"/>
    <x v="658"/>
    <x v="1"/>
    <x v="0"/>
    <x v="2"/>
    <x v="1"/>
    <x v="1"/>
    <x v="1"/>
    <x v="2"/>
    <x v="0"/>
    <x v="5"/>
    <x v="1"/>
    <x v="1"/>
  </r>
  <r>
    <x v="660"/>
    <x v="30"/>
    <x v="28"/>
    <x v="20"/>
    <x v="660"/>
    <x v="657"/>
    <x v="659"/>
    <x v="0"/>
    <x v="0"/>
    <x v="0"/>
    <x v="1"/>
    <x v="1"/>
    <x v="0"/>
    <x v="1"/>
    <x v="0"/>
    <x v="1"/>
    <x v="1"/>
    <x v="0"/>
  </r>
  <r>
    <x v="661"/>
    <x v="31"/>
    <x v="28"/>
    <x v="20"/>
    <x v="661"/>
    <x v="658"/>
    <x v="660"/>
    <x v="0"/>
    <x v="0"/>
    <x v="0"/>
    <x v="1"/>
    <x v="0"/>
    <x v="0"/>
    <x v="2"/>
    <x v="0"/>
    <x v="5"/>
    <x v="0"/>
    <x v="0"/>
  </r>
  <r>
    <x v="662"/>
    <x v="32"/>
    <x v="29"/>
    <x v="20"/>
    <x v="662"/>
    <x v="659"/>
    <x v="661"/>
    <x v="0"/>
    <x v="0"/>
    <x v="0"/>
    <x v="1"/>
    <x v="1"/>
    <x v="0"/>
    <x v="2"/>
    <x v="0"/>
    <x v="2"/>
    <x v="1"/>
    <x v="0"/>
  </r>
  <r>
    <x v="663"/>
    <x v="33"/>
    <x v="29"/>
    <x v="20"/>
    <x v="663"/>
    <x v="660"/>
    <x v="662"/>
    <x v="0"/>
    <x v="0"/>
    <x v="0"/>
    <x v="1"/>
    <x v="0"/>
    <x v="0"/>
    <x v="2"/>
    <x v="0"/>
    <x v="2"/>
    <x v="0"/>
    <x v="0"/>
  </r>
  <r>
    <x v="664"/>
    <x v="34"/>
    <x v="30"/>
    <x v="20"/>
    <x v="664"/>
    <x v="661"/>
    <x v="663"/>
    <x v="0"/>
    <x v="0"/>
    <x v="0"/>
    <x v="1"/>
    <x v="0"/>
    <x v="0"/>
    <x v="1"/>
    <x v="0"/>
    <x v="1"/>
    <x v="0"/>
    <x v="0"/>
  </r>
  <r>
    <x v="665"/>
    <x v="35"/>
    <x v="31"/>
    <x v="20"/>
    <x v="665"/>
    <x v="662"/>
    <x v="664"/>
    <x v="0"/>
    <x v="0"/>
    <x v="0"/>
    <x v="1"/>
    <x v="0"/>
    <x v="0"/>
    <x v="2"/>
    <x v="0"/>
    <x v="5"/>
    <x v="0"/>
    <x v="0"/>
  </r>
  <r>
    <x v="666"/>
    <x v="36"/>
    <x v="32"/>
    <x v="20"/>
    <x v="666"/>
    <x v="663"/>
    <x v="665"/>
    <x v="0"/>
    <x v="0"/>
    <x v="0"/>
    <x v="0"/>
    <x v="0"/>
    <x v="0"/>
    <x v="0"/>
    <x v="0"/>
    <x v="0"/>
    <x v="0"/>
    <x v="0"/>
  </r>
  <r>
    <x v="667"/>
    <x v="0"/>
    <x v="3"/>
    <x v="3"/>
    <x v="667"/>
    <x v="664"/>
    <x v="666"/>
    <x v="0"/>
    <x v="0"/>
    <x v="0"/>
    <x v="1"/>
    <x v="1"/>
    <x v="0"/>
    <x v="2"/>
    <x v="0"/>
    <x v="2"/>
    <x v="1"/>
    <x v="0"/>
  </r>
  <r>
    <x v="668"/>
    <x v="1"/>
    <x v="3"/>
    <x v="3"/>
    <x v="668"/>
    <x v="665"/>
    <x v="667"/>
    <x v="0"/>
    <x v="0"/>
    <x v="0"/>
    <x v="0"/>
    <x v="0"/>
    <x v="0"/>
    <x v="0"/>
    <x v="0"/>
    <x v="0"/>
    <x v="0"/>
    <x v="0"/>
  </r>
  <r>
    <x v="669"/>
    <x v="2"/>
    <x v="3"/>
    <x v="3"/>
    <x v="669"/>
    <x v="666"/>
    <x v="668"/>
    <x v="1"/>
    <x v="0"/>
    <x v="2"/>
    <x v="1"/>
    <x v="1"/>
    <x v="1"/>
    <x v="1"/>
    <x v="0"/>
    <x v="1"/>
    <x v="1"/>
    <x v="1"/>
  </r>
  <r>
    <x v="670"/>
    <x v="3"/>
    <x v="3"/>
    <x v="3"/>
    <x v="670"/>
    <x v="667"/>
    <x v="669"/>
    <x v="0"/>
    <x v="0"/>
    <x v="0"/>
    <x v="0"/>
    <x v="0"/>
    <x v="0"/>
    <x v="0"/>
    <x v="0"/>
    <x v="0"/>
    <x v="0"/>
    <x v="0"/>
  </r>
  <r>
    <x v="671"/>
    <x v="4"/>
    <x v="3"/>
    <x v="3"/>
    <x v="671"/>
    <x v="668"/>
    <x v="670"/>
    <x v="0"/>
    <x v="0"/>
    <x v="0"/>
    <x v="0"/>
    <x v="0"/>
    <x v="0"/>
    <x v="0"/>
    <x v="0"/>
    <x v="0"/>
    <x v="0"/>
    <x v="0"/>
  </r>
  <r>
    <x v="672"/>
    <x v="5"/>
    <x v="3"/>
    <x v="3"/>
    <x v="672"/>
    <x v="669"/>
    <x v="671"/>
    <x v="0"/>
    <x v="0"/>
    <x v="0"/>
    <x v="1"/>
    <x v="0"/>
    <x v="0"/>
    <x v="1"/>
    <x v="0"/>
    <x v="1"/>
    <x v="0"/>
    <x v="0"/>
  </r>
  <r>
    <x v="673"/>
    <x v="6"/>
    <x v="3"/>
    <x v="3"/>
    <x v="673"/>
    <x v="670"/>
    <x v="672"/>
    <x v="0"/>
    <x v="0"/>
    <x v="0"/>
    <x v="1"/>
    <x v="1"/>
    <x v="0"/>
    <x v="2"/>
    <x v="0"/>
    <x v="2"/>
    <x v="1"/>
    <x v="0"/>
  </r>
  <r>
    <x v="674"/>
    <x v="7"/>
    <x v="3"/>
    <x v="3"/>
    <x v="674"/>
    <x v="671"/>
    <x v="673"/>
    <x v="2"/>
    <x v="0"/>
    <x v="2"/>
    <x v="1"/>
    <x v="1"/>
    <x v="1"/>
    <x v="2"/>
    <x v="0"/>
    <x v="5"/>
    <x v="5"/>
    <x v="2"/>
  </r>
  <r>
    <x v="675"/>
    <x v="8"/>
    <x v="3"/>
    <x v="3"/>
    <x v="675"/>
    <x v="672"/>
    <x v="674"/>
    <x v="0"/>
    <x v="0"/>
    <x v="0"/>
    <x v="1"/>
    <x v="0"/>
    <x v="0"/>
    <x v="2"/>
    <x v="0"/>
    <x v="2"/>
    <x v="0"/>
    <x v="0"/>
  </r>
  <r>
    <x v="676"/>
    <x v="9"/>
    <x v="3"/>
    <x v="3"/>
    <x v="676"/>
    <x v="673"/>
    <x v="675"/>
    <x v="1"/>
    <x v="0"/>
    <x v="2"/>
    <x v="1"/>
    <x v="1"/>
    <x v="1"/>
    <x v="2"/>
    <x v="0"/>
    <x v="5"/>
    <x v="5"/>
    <x v="1"/>
  </r>
  <r>
    <x v="677"/>
    <x v="10"/>
    <x v="3"/>
    <x v="3"/>
    <x v="677"/>
    <x v="674"/>
    <x v="676"/>
    <x v="0"/>
    <x v="0"/>
    <x v="0"/>
    <x v="0"/>
    <x v="0"/>
    <x v="0"/>
    <x v="0"/>
    <x v="0"/>
    <x v="0"/>
    <x v="0"/>
    <x v="0"/>
  </r>
  <r>
    <x v="678"/>
    <x v="11"/>
    <x v="3"/>
    <x v="3"/>
    <x v="678"/>
    <x v="675"/>
    <x v="677"/>
    <x v="1"/>
    <x v="0"/>
    <x v="2"/>
    <x v="1"/>
    <x v="1"/>
    <x v="1"/>
    <x v="2"/>
    <x v="0"/>
    <x v="2"/>
    <x v="1"/>
    <x v="1"/>
  </r>
  <r>
    <x v="679"/>
    <x v="12"/>
    <x v="3"/>
    <x v="3"/>
    <x v="679"/>
    <x v="676"/>
    <x v="678"/>
    <x v="0"/>
    <x v="0"/>
    <x v="0"/>
    <x v="0"/>
    <x v="0"/>
    <x v="0"/>
    <x v="0"/>
    <x v="0"/>
    <x v="0"/>
    <x v="0"/>
    <x v="0"/>
  </r>
  <r>
    <x v="680"/>
    <x v="13"/>
    <x v="3"/>
    <x v="3"/>
    <x v="680"/>
    <x v="677"/>
    <x v="679"/>
    <x v="0"/>
    <x v="0"/>
    <x v="0"/>
    <x v="0"/>
    <x v="0"/>
    <x v="0"/>
    <x v="0"/>
    <x v="0"/>
    <x v="0"/>
    <x v="0"/>
    <x v="0"/>
  </r>
  <r>
    <x v="681"/>
    <x v="14"/>
    <x v="3"/>
    <x v="3"/>
    <x v="681"/>
    <x v="678"/>
    <x v="680"/>
    <x v="0"/>
    <x v="0"/>
    <x v="0"/>
    <x v="1"/>
    <x v="1"/>
    <x v="0"/>
    <x v="2"/>
    <x v="0"/>
    <x v="2"/>
    <x v="1"/>
    <x v="0"/>
  </r>
  <r>
    <x v="682"/>
    <x v="15"/>
    <x v="3"/>
    <x v="3"/>
    <x v="682"/>
    <x v="679"/>
    <x v="681"/>
    <x v="0"/>
    <x v="0"/>
    <x v="0"/>
    <x v="1"/>
    <x v="0"/>
    <x v="0"/>
    <x v="1"/>
    <x v="0"/>
    <x v="1"/>
    <x v="0"/>
    <x v="0"/>
  </r>
  <r>
    <x v="683"/>
    <x v="16"/>
    <x v="3"/>
    <x v="3"/>
    <x v="683"/>
    <x v="680"/>
    <x v="682"/>
    <x v="0"/>
    <x v="0"/>
    <x v="0"/>
    <x v="0"/>
    <x v="0"/>
    <x v="0"/>
    <x v="0"/>
    <x v="0"/>
    <x v="0"/>
    <x v="0"/>
    <x v="0"/>
  </r>
  <r>
    <x v="684"/>
    <x v="17"/>
    <x v="3"/>
    <x v="3"/>
    <x v="684"/>
    <x v="681"/>
    <x v="683"/>
    <x v="0"/>
    <x v="0"/>
    <x v="0"/>
    <x v="0"/>
    <x v="0"/>
    <x v="0"/>
    <x v="0"/>
    <x v="0"/>
    <x v="0"/>
    <x v="0"/>
    <x v="0"/>
  </r>
  <r>
    <x v="685"/>
    <x v="18"/>
    <x v="3"/>
    <x v="3"/>
    <x v="685"/>
    <x v="682"/>
    <x v="684"/>
    <x v="0"/>
    <x v="0"/>
    <x v="0"/>
    <x v="1"/>
    <x v="1"/>
    <x v="0"/>
    <x v="2"/>
    <x v="0"/>
    <x v="5"/>
    <x v="5"/>
    <x v="0"/>
  </r>
  <r>
    <x v="686"/>
    <x v="19"/>
    <x v="3"/>
    <x v="3"/>
    <x v="686"/>
    <x v="683"/>
    <x v="685"/>
    <x v="0"/>
    <x v="0"/>
    <x v="0"/>
    <x v="1"/>
    <x v="0"/>
    <x v="0"/>
    <x v="1"/>
    <x v="0"/>
    <x v="1"/>
    <x v="0"/>
    <x v="0"/>
  </r>
  <r>
    <x v="687"/>
    <x v="20"/>
    <x v="3"/>
    <x v="3"/>
    <x v="687"/>
    <x v="684"/>
    <x v="686"/>
    <x v="1"/>
    <x v="0"/>
    <x v="2"/>
    <x v="1"/>
    <x v="1"/>
    <x v="1"/>
    <x v="1"/>
    <x v="0"/>
    <x v="1"/>
    <x v="5"/>
    <x v="1"/>
  </r>
  <r>
    <x v="688"/>
    <x v="21"/>
    <x v="3"/>
    <x v="3"/>
    <x v="688"/>
    <x v="685"/>
    <x v="687"/>
    <x v="0"/>
    <x v="0"/>
    <x v="0"/>
    <x v="1"/>
    <x v="1"/>
    <x v="0"/>
    <x v="2"/>
    <x v="0"/>
    <x v="2"/>
    <x v="1"/>
    <x v="0"/>
  </r>
  <r>
    <x v="689"/>
    <x v="22"/>
    <x v="3"/>
    <x v="3"/>
    <x v="689"/>
    <x v="686"/>
    <x v="688"/>
    <x v="0"/>
    <x v="0"/>
    <x v="0"/>
    <x v="1"/>
    <x v="0"/>
    <x v="0"/>
    <x v="1"/>
    <x v="0"/>
    <x v="1"/>
    <x v="0"/>
    <x v="0"/>
  </r>
  <r>
    <x v="690"/>
    <x v="23"/>
    <x v="3"/>
    <x v="3"/>
    <x v="690"/>
    <x v="687"/>
    <x v="689"/>
    <x v="0"/>
    <x v="0"/>
    <x v="0"/>
    <x v="1"/>
    <x v="1"/>
    <x v="0"/>
    <x v="1"/>
    <x v="0"/>
    <x v="1"/>
    <x v="1"/>
    <x v="0"/>
  </r>
  <r>
    <x v="691"/>
    <x v="24"/>
    <x v="3"/>
    <x v="3"/>
    <x v="691"/>
    <x v="688"/>
    <x v="690"/>
    <x v="2"/>
    <x v="0"/>
    <x v="2"/>
    <x v="1"/>
    <x v="1"/>
    <x v="1"/>
    <x v="2"/>
    <x v="0"/>
    <x v="2"/>
    <x v="5"/>
    <x v="2"/>
  </r>
  <r>
    <x v="692"/>
    <x v="25"/>
    <x v="3"/>
    <x v="3"/>
    <x v="692"/>
    <x v="689"/>
    <x v="691"/>
    <x v="0"/>
    <x v="0"/>
    <x v="0"/>
    <x v="0"/>
    <x v="0"/>
    <x v="0"/>
    <x v="0"/>
    <x v="0"/>
    <x v="0"/>
    <x v="0"/>
    <x v="0"/>
  </r>
  <r>
    <x v="693"/>
    <x v="26"/>
    <x v="3"/>
    <x v="3"/>
    <x v="693"/>
    <x v="690"/>
    <x v="692"/>
    <x v="0"/>
    <x v="0"/>
    <x v="0"/>
    <x v="1"/>
    <x v="0"/>
    <x v="0"/>
    <x v="2"/>
    <x v="0"/>
    <x v="2"/>
    <x v="0"/>
    <x v="0"/>
  </r>
  <r>
    <x v="694"/>
    <x v="27"/>
    <x v="3"/>
    <x v="3"/>
    <x v="694"/>
    <x v="691"/>
    <x v="693"/>
    <x v="0"/>
    <x v="0"/>
    <x v="0"/>
    <x v="0"/>
    <x v="0"/>
    <x v="0"/>
    <x v="0"/>
    <x v="0"/>
    <x v="0"/>
    <x v="0"/>
    <x v="0"/>
  </r>
  <r>
    <x v="695"/>
    <x v="28"/>
    <x v="3"/>
    <x v="3"/>
    <x v="695"/>
    <x v="692"/>
    <x v="694"/>
    <x v="0"/>
    <x v="0"/>
    <x v="0"/>
    <x v="0"/>
    <x v="0"/>
    <x v="0"/>
    <x v="0"/>
    <x v="0"/>
    <x v="0"/>
    <x v="0"/>
    <x v="0"/>
  </r>
  <r>
    <x v="696"/>
    <x v="29"/>
    <x v="3"/>
    <x v="3"/>
    <x v="696"/>
    <x v="693"/>
    <x v="695"/>
    <x v="1"/>
    <x v="0"/>
    <x v="2"/>
    <x v="1"/>
    <x v="1"/>
    <x v="1"/>
    <x v="1"/>
    <x v="0"/>
    <x v="1"/>
    <x v="2"/>
    <x v="1"/>
  </r>
  <r>
    <x v="697"/>
    <x v="30"/>
    <x v="3"/>
    <x v="3"/>
    <x v="697"/>
    <x v="694"/>
    <x v="696"/>
    <x v="2"/>
    <x v="0"/>
    <x v="2"/>
    <x v="1"/>
    <x v="1"/>
    <x v="1"/>
    <x v="1"/>
    <x v="0"/>
    <x v="1"/>
    <x v="2"/>
    <x v="2"/>
  </r>
  <r>
    <x v="698"/>
    <x v="31"/>
    <x v="3"/>
    <x v="3"/>
    <x v="698"/>
    <x v="695"/>
    <x v="697"/>
    <x v="0"/>
    <x v="0"/>
    <x v="0"/>
    <x v="0"/>
    <x v="0"/>
    <x v="0"/>
    <x v="0"/>
    <x v="0"/>
    <x v="0"/>
    <x v="0"/>
    <x v="0"/>
  </r>
  <r>
    <x v="699"/>
    <x v="32"/>
    <x v="3"/>
    <x v="3"/>
    <x v="699"/>
    <x v="696"/>
    <x v="698"/>
    <x v="0"/>
    <x v="0"/>
    <x v="0"/>
    <x v="1"/>
    <x v="0"/>
    <x v="0"/>
    <x v="1"/>
    <x v="0"/>
    <x v="1"/>
    <x v="0"/>
    <x v="0"/>
  </r>
  <r>
    <x v="700"/>
    <x v="33"/>
    <x v="3"/>
    <x v="3"/>
    <x v="700"/>
    <x v="697"/>
    <x v="699"/>
    <x v="1"/>
    <x v="0"/>
    <x v="2"/>
    <x v="1"/>
    <x v="1"/>
    <x v="1"/>
    <x v="2"/>
    <x v="0"/>
    <x v="3"/>
    <x v="2"/>
    <x v="1"/>
  </r>
  <r>
    <x v="701"/>
    <x v="34"/>
    <x v="3"/>
    <x v="3"/>
    <x v="701"/>
    <x v="698"/>
    <x v="700"/>
    <x v="0"/>
    <x v="0"/>
    <x v="0"/>
    <x v="1"/>
    <x v="1"/>
    <x v="0"/>
    <x v="2"/>
    <x v="0"/>
    <x v="2"/>
    <x v="1"/>
    <x v="0"/>
  </r>
  <r>
    <x v="702"/>
    <x v="35"/>
    <x v="3"/>
    <x v="3"/>
    <x v="702"/>
    <x v="699"/>
    <x v="701"/>
    <x v="0"/>
    <x v="0"/>
    <x v="0"/>
    <x v="1"/>
    <x v="1"/>
    <x v="0"/>
    <x v="2"/>
    <x v="0"/>
    <x v="2"/>
    <x v="1"/>
    <x v="0"/>
  </r>
  <r>
    <x v="703"/>
    <x v="36"/>
    <x v="3"/>
    <x v="3"/>
    <x v="703"/>
    <x v="700"/>
    <x v="702"/>
    <x v="0"/>
    <x v="0"/>
    <x v="0"/>
    <x v="1"/>
    <x v="0"/>
    <x v="0"/>
    <x v="1"/>
    <x v="0"/>
    <x v="1"/>
    <x v="0"/>
    <x v="0"/>
  </r>
  <r>
    <x v="704"/>
    <x v="37"/>
    <x v="3"/>
    <x v="3"/>
    <x v="704"/>
    <x v="701"/>
    <x v="703"/>
    <x v="1"/>
    <x v="0"/>
    <x v="2"/>
    <x v="1"/>
    <x v="1"/>
    <x v="1"/>
    <x v="1"/>
    <x v="0"/>
    <x v="1"/>
    <x v="5"/>
    <x v="1"/>
  </r>
  <r>
    <x v="705"/>
    <x v="38"/>
    <x v="3"/>
    <x v="3"/>
    <x v="705"/>
    <x v="702"/>
    <x v="704"/>
    <x v="0"/>
    <x v="0"/>
    <x v="0"/>
    <x v="0"/>
    <x v="0"/>
    <x v="0"/>
    <x v="0"/>
    <x v="0"/>
    <x v="0"/>
    <x v="0"/>
    <x v="0"/>
  </r>
  <r>
    <x v="706"/>
    <x v="39"/>
    <x v="3"/>
    <x v="3"/>
    <x v="706"/>
    <x v="703"/>
    <x v="705"/>
    <x v="0"/>
    <x v="0"/>
    <x v="0"/>
    <x v="0"/>
    <x v="0"/>
    <x v="0"/>
    <x v="0"/>
    <x v="0"/>
    <x v="0"/>
    <x v="0"/>
    <x v="0"/>
  </r>
  <r>
    <x v="707"/>
    <x v="40"/>
    <x v="3"/>
    <x v="3"/>
    <x v="707"/>
    <x v="704"/>
    <x v="706"/>
    <x v="1"/>
    <x v="0"/>
    <x v="2"/>
    <x v="1"/>
    <x v="1"/>
    <x v="1"/>
    <x v="1"/>
    <x v="0"/>
    <x v="1"/>
    <x v="5"/>
    <x v="1"/>
  </r>
  <r>
    <x v="708"/>
    <x v="41"/>
    <x v="3"/>
    <x v="3"/>
    <x v="708"/>
    <x v="705"/>
    <x v="707"/>
    <x v="0"/>
    <x v="0"/>
    <x v="0"/>
    <x v="1"/>
    <x v="0"/>
    <x v="0"/>
    <x v="1"/>
    <x v="0"/>
    <x v="1"/>
    <x v="0"/>
    <x v="0"/>
  </r>
  <r>
    <x v="709"/>
    <x v="42"/>
    <x v="3"/>
    <x v="3"/>
    <x v="709"/>
    <x v="706"/>
    <x v="708"/>
    <x v="0"/>
    <x v="0"/>
    <x v="0"/>
    <x v="1"/>
    <x v="0"/>
    <x v="0"/>
    <x v="1"/>
    <x v="0"/>
    <x v="1"/>
    <x v="0"/>
    <x v="0"/>
  </r>
  <r>
    <x v="710"/>
    <x v="43"/>
    <x v="3"/>
    <x v="3"/>
    <x v="710"/>
    <x v="707"/>
    <x v="709"/>
    <x v="0"/>
    <x v="0"/>
    <x v="0"/>
    <x v="1"/>
    <x v="0"/>
    <x v="0"/>
    <x v="2"/>
    <x v="0"/>
    <x v="2"/>
    <x v="0"/>
    <x v="0"/>
  </r>
  <r>
    <x v="711"/>
    <x v="44"/>
    <x v="3"/>
    <x v="3"/>
    <x v="711"/>
    <x v="708"/>
    <x v="710"/>
    <x v="0"/>
    <x v="0"/>
    <x v="0"/>
    <x v="1"/>
    <x v="0"/>
    <x v="0"/>
    <x v="1"/>
    <x v="0"/>
    <x v="1"/>
    <x v="0"/>
    <x v="0"/>
  </r>
  <r>
    <x v="712"/>
    <x v="45"/>
    <x v="3"/>
    <x v="3"/>
    <x v="712"/>
    <x v="709"/>
    <x v="711"/>
    <x v="1"/>
    <x v="0"/>
    <x v="2"/>
    <x v="1"/>
    <x v="1"/>
    <x v="1"/>
    <x v="1"/>
    <x v="0"/>
    <x v="1"/>
    <x v="1"/>
    <x v="1"/>
  </r>
  <r>
    <x v="713"/>
    <x v="46"/>
    <x v="3"/>
    <x v="3"/>
    <x v="713"/>
    <x v="710"/>
    <x v="712"/>
    <x v="0"/>
    <x v="0"/>
    <x v="0"/>
    <x v="1"/>
    <x v="1"/>
    <x v="0"/>
    <x v="1"/>
    <x v="0"/>
    <x v="1"/>
    <x v="1"/>
    <x v="0"/>
  </r>
  <r>
    <x v="714"/>
    <x v="47"/>
    <x v="3"/>
    <x v="3"/>
    <x v="714"/>
    <x v="129"/>
    <x v="129"/>
    <x v="0"/>
    <x v="0"/>
    <x v="0"/>
    <x v="1"/>
    <x v="0"/>
    <x v="0"/>
    <x v="1"/>
    <x v="0"/>
    <x v="1"/>
    <x v="0"/>
    <x v="0"/>
  </r>
  <r>
    <x v="715"/>
    <x v="48"/>
    <x v="3"/>
    <x v="3"/>
    <x v="715"/>
    <x v="711"/>
    <x v="713"/>
    <x v="1"/>
    <x v="0"/>
    <x v="2"/>
    <x v="1"/>
    <x v="1"/>
    <x v="1"/>
    <x v="1"/>
    <x v="0"/>
    <x v="1"/>
    <x v="1"/>
    <x v="1"/>
  </r>
  <r>
    <x v="716"/>
    <x v="49"/>
    <x v="3"/>
    <x v="3"/>
    <x v="716"/>
    <x v="712"/>
    <x v="714"/>
    <x v="1"/>
    <x v="0"/>
    <x v="2"/>
    <x v="1"/>
    <x v="1"/>
    <x v="1"/>
    <x v="1"/>
    <x v="0"/>
    <x v="1"/>
    <x v="1"/>
    <x v="1"/>
  </r>
  <r>
    <x v="717"/>
    <x v="50"/>
    <x v="3"/>
    <x v="3"/>
    <x v="717"/>
    <x v="713"/>
    <x v="715"/>
    <x v="0"/>
    <x v="0"/>
    <x v="0"/>
    <x v="0"/>
    <x v="0"/>
    <x v="0"/>
    <x v="0"/>
    <x v="0"/>
    <x v="0"/>
    <x v="0"/>
    <x v="0"/>
  </r>
  <r>
    <x v="718"/>
    <x v="51"/>
    <x v="3"/>
    <x v="3"/>
    <x v="718"/>
    <x v="714"/>
    <x v="716"/>
    <x v="0"/>
    <x v="0"/>
    <x v="0"/>
    <x v="0"/>
    <x v="0"/>
    <x v="0"/>
    <x v="0"/>
    <x v="0"/>
    <x v="0"/>
    <x v="0"/>
    <x v="0"/>
  </r>
  <r>
    <x v="719"/>
    <x v="52"/>
    <x v="3"/>
    <x v="3"/>
    <x v="719"/>
    <x v="715"/>
    <x v="717"/>
    <x v="2"/>
    <x v="0"/>
    <x v="2"/>
    <x v="1"/>
    <x v="1"/>
    <x v="1"/>
    <x v="1"/>
    <x v="0"/>
    <x v="1"/>
    <x v="1"/>
    <x v="2"/>
  </r>
  <r>
    <x v="720"/>
    <x v="53"/>
    <x v="3"/>
    <x v="3"/>
    <x v="720"/>
    <x v="716"/>
    <x v="718"/>
    <x v="0"/>
    <x v="0"/>
    <x v="0"/>
    <x v="0"/>
    <x v="0"/>
    <x v="0"/>
    <x v="0"/>
    <x v="0"/>
    <x v="0"/>
    <x v="0"/>
    <x v="0"/>
  </r>
  <r>
    <x v="721"/>
    <x v="54"/>
    <x v="3"/>
    <x v="3"/>
    <x v="721"/>
    <x v="717"/>
    <x v="719"/>
    <x v="0"/>
    <x v="0"/>
    <x v="0"/>
    <x v="0"/>
    <x v="0"/>
    <x v="0"/>
    <x v="0"/>
    <x v="0"/>
    <x v="0"/>
    <x v="0"/>
    <x v="0"/>
  </r>
  <r>
    <x v="722"/>
    <x v="55"/>
    <x v="3"/>
    <x v="3"/>
    <x v="722"/>
    <x v="718"/>
    <x v="720"/>
    <x v="0"/>
    <x v="0"/>
    <x v="0"/>
    <x v="0"/>
    <x v="0"/>
    <x v="0"/>
    <x v="0"/>
    <x v="0"/>
    <x v="0"/>
    <x v="0"/>
    <x v="0"/>
  </r>
</pivotCacheRecords>
</file>

<file path=xl/pivotCache/pivotCacheRecords2.xml><?xml version="1.0" encoding="utf-8"?>
<pivotCacheRecords xmlns:r="http://schemas.openxmlformats.org/officeDocument/2006/relationships" xmlns="http://schemas.openxmlformats.org/spreadsheetml/2006/main" count="723">
  <r>
    <x v="0"/>
    <x v="0"/>
    <x v="0"/>
    <x v="0"/>
    <x v="0"/>
    <x v="0"/>
    <x v="0"/>
    <x v="0"/>
    <x v="0"/>
    <x v="0"/>
    <x v="0"/>
  </r>
  <r>
    <x v="1"/>
    <x v="1"/>
    <x v="0"/>
    <x v="0"/>
    <x v="1"/>
    <x v="1"/>
    <x v="1"/>
    <x v="0"/>
    <x v="0"/>
    <x v="0"/>
    <x v="0"/>
  </r>
  <r>
    <x v="2"/>
    <x v="2"/>
    <x v="0"/>
    <x v="0"/>
    <x v="2"/>
    <x v="2"/>
    <x v="2"/>
    <x v="0"/>
    <x v="0"/>
    <x v="0"/>
    <x v="0"/>
  </r>
  <r>
    <x v="3"/>
    <x v="3"/>
    <x v="0"/>
    <x v="0"/>
    <x v="3"/>
    <x v="3"/>
    <x v="3"/>
    <x v="0"/>
    <x v="0"/>
    <x v="0"/>
    <x v="0"/>
  </r>
  <r>
    <x v="4"/>
    <x v="4"/>
    <x v="0"/>
    <x v="0"/>
    <x v="4"/>
    <x v="4"/>
    <x v="4"/>
    <x v="0"/>
    <x v="0"/>
    <x v="1"/>
    <x v="1"/>
  </r>
  <r>
    <x v="5"/>
    <x v="5"/>
    <x v="0"/>
    <x v="0"/>
    <x v="5"/>
    <x v="5"/>
    <x v="5"/>
    <x v="0"/>
    <x v="0"/>
    <x v="0"/>
    <x v="0"/>
  </r>
  <r>
    <x v="6"/>
    <x v="6"/>
    <x v="0"/>
    <x v="0"/>
    <x v="6"/>
    <x v="6"/>
    <x v="6"/>
    <x v="0"/>
    <x v="0"/>
    <x v="0"/>
    <x v="0"/>
  </r>
  <r>
    <x v="7"/>
    <x v="7"/>
    <x v="0"/>
    <x v="0"/>
    <x v="7"/>
    <x v="7"/>
    <x v="7"/>
    <x v="0"/>
    <x v="0"/>
    <x v="0"/>
    <x v="0"/>
  </r>
  <r>
    <x v="8"/>
    <x v="8"/>
    <x v="0"/>
    <x v="0"/>
    <x v="8"/>
    <x v="8"/>
    <x v="8"/>
    <x v="0"/>
    <x v="0"/>
    <x v="0"/>
    <x v="0"/>
  </r>
  <r>
    <x v="9"/>
    <x v="9"/>
    <x v="0"/>
    <x v="0"/>
    <x v="9"/>
    <x v="9"/>
    <x v="9"/>
    <x v="0"/>
    <x v="0"/>
    <x v="0"/>
    <x v="0"/>
  </r>
  <r>
    <x v="10"/>
    <x v="10"/>
    <x v="0"/>
    <x v="0"/>
    <x v="10"/>
    <x v="10"/>
    <x v="10"/>
    <x v="0"/>
    <x v="1"/>
    <x v="2"/>
    <x v="1"/>
  </r>
  <r>
    <x v="11"/>
    <x v="11"/>
    <x v="0"/>
    <x v="0"/>
    <x v="11"/>
    <x v="11"/>
    <x v="11"/>
    <x v="0"/>
    <x v="0"/>
    <x v="0"/>
    <x v="0"/>
  </r>
  <r>
    <x v="12"/>
    <x v="12"/>
    <x v="0"/>
    <x v="0"/>
    <x v="12"/>
    <x v="12"/>
    <x v="12"/>
    <x v="0"/>
    <x v="0"/>
    <x v="0"/>
    <x v="0"/>
  </r>
  <r>
    <x v="13"/>
    <x v="13"/>
    <x v="0"/>
    <x v="0"/>
    <x v="13"/>
    <x v="13"/>
    <x v="13"/>
    <x v="0"/>
    <x v="0"/>
    <x v="0"/>
    <x v="0"/>
  </r>
  <r>
    <x v="14"/>
    <x v="14"/>
    <x v="0"/>
    <x v="0"/>
    <x v="14"/>
    <x v="14"/>
    <x v="14"/>
    <x v="0"/>
    <x v="0"/>
    <x v="0"/>
    <x v="0"/>
  </r>
  <r>
    <x v="15"/>
    <x v="15"/>
    <x v="0"/>
    <x v="0"/>
    <x v="15"/>
    <x v="15"/>
    <x v="15"/>
    <x v="0"/>
    <x v="0"/>
    <x v="0"/>
    <x v="0"/>
  </r>
  <r>
    <x v="16"/>
    <x v="16"/>
    <x v="0"/>
    <x v="0"/>
    <x v="16"/>
    <x v="16"/>
    <x v="16"/>
    <x v="0"/>
    <x v="0"/>
    <x v="0"/>
    <x v="0"/>
  </r>
  <r>
    <x v="17"/>
    <x v="17"/>
    <x v="0"/>
    <x v="0"/>
    <x v="17"/>
    <x v="17"/>
    <x v="17"/>
    <x v="0"/>
    <x v="0"/>
    <x v="0"/>
    <x v="0"/>
  </r>
  <r>
    <x v="18"/>
    <x v="18"/>
    <x v="0"/>
    <x v="0"/>
    <x v="18"/>
    <x v="18"/>
    <x v="18"/>
    <x v="0"/>
    <x v="0"/>
    <x v="0"/>
    <x v="0"/>
  </r>
  <r>
    <x v="19"/>
    <x v="19"/>
    <x v="0"/>
    <x v="0"/>
    <x v="19"/>
    <x v="19"/>
    <x v="19"/>
    <x v="0"/>
    <x v="0"/>
    <x v="1"/>
    <x v="1"/>
  </r>
  <r>
    <x v="20"/>
    <x v="20"/>
    <x v="0"/>
    <x v="0"/>
    <x v="20"/>
    <x v="20"/>
    <x v="20"/>
    <x v="0"/>
    <x v="0"/>
    <x v="0"/>
    <x v="0"/>
  </r>
  <r>
    <x v="21"/>
    <x v="21"/>
    <x v="0"/>
    <x v="0"/>
    <x v="21"/>
    <x v="21"/>
    <x v="21"/>
    <x v="0"/>
    <x v="0"/>
    <x v="0"/>
    <x v="0"/>
  </r>
  <r>
    <x v="22"/>
    <x v="22"/>
    <x v="0"/>
    <x v="0"/>
    <x v="22"/>
    <x v="22"/>
    <x v="22"/>
    <x v="0"/>
    <x v="0"/>
    <x v="0"/>
    <x v="0"/>
  </r>
  <r>
    <x v="23"/>
    <x v="23"/>
    <x v="0"/>
    <x v="0"/>
    <x v="23"/>
    <x v="23"/>
    <x v="23"/>
    <x v="0"/>
    <x v="0"/>
    <x v="0"/>
    <x v="0"/>
  </r>
  <r>
    <x v="24"/>
    <x v="24"/>
    <x v="0"/>
    <x v="0"/>
    <x v="24"/>
    <x v="24"/>
    <x v="24"/>
    <x v="0"/>
    <x v="0"/>
    <x v="3"/>
    <x v="2"/>
  </r>
  <r>
    <x v="25"/>
    <x v="25"/>
    <x v="0"/>
    <x v="0"/>
    <x v="25"/>
    <x v="25"/>
    <x v="25"/>
    <x v="0"/>
    <x v="0"/>
    <x v="0"/>
    <x v="0"/>
  </r>
  <r>
    <x v="26"/>
    <x v="26"/>
    <x v="0"/>
    <x v="0"/>
    <x v="26"/>
    <x v="26"/>
    <x v="26"/>
    <x v="0"/>
    <x v="0"/>
    <x v="0"/>
    <x v="0"/>
  </r>
  <r>
    <x v="27"/>
    <x v="27"/>
    <x v="0"/>
    <x v="0"/>
    <x v="27"/>
    <x v="27"/>
    <x v="27"/>
    <x v="0"/>
    <x v="0"/>
    <x v="0"/>
    <x v="0"/>
  </r>
  <r>
    <x v="28"/>
    <x v="28"/>
    <x v="0"/>
    <x v="0"/>
    <x v="28"/>
    <x v="28"/>
    <x v="28"/>
    <x v="0"/>
    <x v="0"/>
    <x v="1"/>
    <x v="1"/>
  </r>
  <r>
    <x v="29"/>
    <x v="29"/>
    <x v="0"/>
    <x v="0"/>
    <x v="29"/>
    <x v="29"/>
    <x v="29"/>
    <x v="0"/>
    <x v="0"/>
    <x v="0"/>
    <x v="0"/>
  </r>
  <r>
    <x v="30"/>
    <x v="30"/>
    <x v="0"/>
    <x v="0"/>
    <x v="30"/>
    <x v="30"/>
    <x v="30"/>
    <x v="0"/>
    <x v="0"/>
    <x v="0"/>
    <x v="0"/>
  </r>
  <r>
    <x v="31"/>
    <x v="31"/>
    <x v="0"/>
    <x v="0"/>
    <x v="31"/>
    <x v="31"/>
    <x v="31"/>
    <x v="0"/>
    <x v="0"/>
    <x v="0"/>
    <x v="0"/>
  </r>
  <r>
    <x v="32"/>
    <x v="32"/>
    <x v="0"/>
    <x v="0"/>
    <x v="32"/>
    <x v="32"/>
    <x v="32"/>
    <x v="0"/>
    <x v="0"/>
    <x v="0"/>
    <x v="0"/>
  </r>
  <r>
    <x v="33"/>
    <x v="33"/>
    <x v="0"/>
    <x v="0"/>
    <x v="33"/>
    <x v="33"/>
    <x v="33"/>
    <x v="0"/>
    <x v="0"/>
    <x v="0"/>
    <x v="0"/>
  </r>
  <r>
    <x v="34"/>
    <x v="34"/>
    <x v="0"/>
    <x v="0"/>
    <x v="34"/>
    <x v="34"/>
    <x v="34"/>
    <x v="0"/>
    <x v="0"/>
    <x v="0"/>
    <x v="0"/>
  </r>
  <r>
    <x v="35"/>
    <x v="0"/>
    <x v="1"/>
    <x v="1"/>
    <x v="35"/>
    <x v="35"/>
    <x v="35"/>
    <x v="0"/>
    <x v="0"/>
    <x v="0"/>
    <x v="0"/>
  </r>
  <r>
    <x v="36"/>
    <x v="1"/>
    <x v="1"/>
    <x v="1"/>
    <x v="36"/>
    <x v="36"/>
    <x v="36"/>
    <x v="0"/>
    <x v="0"/>
    <x v="1"/>
    <x v="1"/>
  </r>
  <r>
    <x v="37"/>
    <x v="2"/>
    <x v="1"/>
    <x v="1"/>
    <x v="37"/>
    <x v="37"/>
    <x v="37"/>
    <x v="0"/>
    <x v="1"/>
    <x v="3"/>
    <x v="2"/>
  </r>
  <r>
    <x v="38"/>
    <x v="3"/>
    <x v="1"/>
    <x v="1"/>
    <x v="38"/>
    <x v="38"/>
    <x v="38"/>
    <x v="0"/>
    <x v="1"/>
    <x v="3"/>
    <x v="2"/>
  </r>
  <r>
    <x v="39"/>
    <x v="4"/>
    <x v="1"/>
    <x v="1"/>
    <x v="39"/>
    <x v="39"/>
    <x v="39"/>
    <x v="0"/>
    <x v="0"/>
    <x v="1"/>
    <x v="1"/>
  </r>
  <r>
    <x v="40"/>
    <x v="5"/>
    <x v="1"/>
    <x v="1"/>
    <x v="40"/>
    <x v="40"/>
    <x v="40"/>
    <x v="0"/>
    <x v="2"/>
    <x v="4"/>
    <x v="2"/>
  </r>
  <r>
    <x v="41"/>
    <x v="6"/>
    <x v="1"/>
    <x v="1"/>
    <x v="41"/>
    <x v="41"/>
    <x v="41"/>
    <x v="0"/>
    <x v="3"/>
    <x v="4"/>
    <x v="2"/>
  </r>
  <r>
    <x v="42"/>
    <x v="7"/>
    <x v="1"/>
    <x v="1"/>
    <x v="42"/>
    <x v="42"/>
    <x v="42"/>
    <x v="0"/>
    <x v="1"/>
    <x v="2"/>
    <x v="1"/>
  </r>
  <r>
    <x v="43"/>
    <x v="8"/>
    <x v="1"/>
    <x v="1"/>
    <x v="43"/>
    <x v="43"/>
    <x v="43"/>
    <x v="0"/>
    <x v="4"/>
    <x v="5"/>
    <x v="2"/>
  </r>
  <r>
    <x v="44"/>
    <x v="9"/>
    <x v="1"/>
    <x v="1"/>
    <x v="44"/>
    <x v="44"/>
    <x v="44"/>
    <x v="0"/>
    <x v="2"/>
    <x v="4"/>
    <x v="2"/>
  </r>
  <r>
    <x v="45"/>
    <x v="10"/>
    <x v="1"/>
    <x v="1"/>
    <x v="45"/>
    <x v="45"/>
    <x v="45"/>
    <x v="0"/>
    <x v="0"/>
    <x v="1"/>
    <x v="1"/>
  </r>
  <r>
    <x v="46"/>
    <x v="11"/>
    <x v="1"/>
    <x v="1"/>
    <x v="46"/>
    <x v="46"/>
    <x v="46"/>
    <x v="0"/>
    <x v="0"/>
    <x v="1"/>
    <x v="1"/>
  </r>
  <r>
    <x v="47"/>
    <x v="12"/>
    <x v="1"/>
    <x v="1"/>
    <x v="47"/>
    <x v="47"/>
    <x v="47"/>
    <x v="0"/>
    <x v="0"/>
    <x v="1"/>
    <x v="1"/>
  </r>
  <r>
    <x v="48"/>
    <x v="13"/>
    <x v="1"/>
    <x v="1"/>
    <x v="48"/>
    <x v="48"/>
    <x v="48"/>
    <x v="0"/>
    <x v="1"/>
    <x v="3"/>
    <x v="2"/>
  </r>
  <r>
    <x v="49"/>
    <x v="14"/>
    <x v="1"/>
    <x v="1"/>
    <x v="49"/>
    <x v="49"/>
    <x v="49"/>
    <x v="0"/>
    <x v="1"/>
    <x v="3"/>
    <x v="2"/>
  </r>
  <r>
    <x v="50"/>
    <x v="15"/>
    <x v="1"/>
    <x v="1"/>
    <x v="50"/>
    <x v="50"/>
    <x v="50"/>
    <x v="0"/>
    <x v="5"/>
    <x v="3"/>
    <x v="1"/>
  </r>
  <r>
    <x v="51"/>
    <x v="16"/>
    <x v="1"/>
    <x v="1"/>
    <x v="51"/>
    <x v="51"/>
    <x v="51"/>
    <x v="0"/>
    <x v="5"/>
    <x v="6"/>
    <x v="2"/>
  </r>
  <r>
    <x v="52"/>
    <x v="17"/>
    <x v="1"/>
    <x v="1"/>
    <x v="52"/>
    <x v="52"/>
    <x v="52"/>
    <x v="0"/>
    <x v="0"/>
    <x v="0"/>
    <x v="0"/>
  </r>
  <r>
    <x v="53"/>
    <x v="18"/>
    <x v="1"/>
    <x v="1"/>
    <x v="53"/>
    <x v="53"/>
    <x v="53"/>
    <x v="0"/>
    <x v="2"/>
    <x v="4"/>
    <x v="2"/>
  </r>
  <r>
    <x v="54"/>
    <x v="19"/>
    <x v="1"/>
    <x v="1"/>
    <x v="54"/>
    <x v="54"/>
    <x v="54"/>
    <x v="0"/>
    <x v="5"/>
    <x v="6"/>
    <x v="2"/>
  </r>
  <r>
    <x v="55"/>
    <x v="20"/>
    <x v="1"/>
    <x v="1"/>
    <x v="55"/>
    <x v="55"/>
    <x v="55"/>
    <x v="0"/>
    <x v="2"/>
    <x v="4"/>
    <x v="2"/>
  </r>
  <r>
    <x v="56"/>
    <x v="21"/>
    <x v="1"/>
    <x v="1"/>
    <x v="56"/>
    <x v="56"/>
    <x v="56"/>
    <x v="0"/>
    <x v="1"/>
    <x v="2"/>
    <x v="1"/>
  </r>
  <r>
    <x v="57"/>
    <x v="22"/>
    <x v="1"/>
    <x v="1"/>
    <x v="57"/>
    <x v="57"/>
    <x v="57"/>
    <x v="0"/>
    <x v="5"/>
    <x v="6"/>
    <x v="2"/>
  </r>
  <r>
    <x v="58"/>
    <x v="0"/>
    <x v="2"/>
    <x v="2"/>
    <x v="58"/>
    <x v="58"/>
    <x v="58"/>
    <x v="0"/>
    <x v="0"/>
    <x v="3"/>
    <x v="2"/>
  </r>
  <r>
    <x v="59"/>
    <x v="1"/>
    <x v="2"/>
    <x v="2"/>
    <x v="59"/>
    <x v="59"/>
    <x v="59"/>
    <x v="0"/>
    <x v="1"/>
    <x v="2"/>
    <x v="1"/>
  </r>
  <r>
    <x v="60"/>
    <x v="2"/>
    <x v="2"/>
    <x v="2"/>
    <x v="60"/>
    <x v="60"/>
    <x v="60"/>
    <x v="0"/>
    <x v="5"/>
    <x v="6"/>
    <x v="2"/>
  </r>
  <r>
    <x v="61"/>
    <x v="3"/>
    <x v="2"/>
    <x v="2"/>
    <x v="61"/>
    <x v="61"/>
    <x v="61"/>
    <x v="0"/>
    <x v="5"/>
    <x v="6"/>
    <x v="2"/>
  </r>
  <r>
    <x v="62"/>
    <x v="4"/>
    <x v="2"/>
    <x v="2"/>
    <x v="62"/>
    <x v="62"/>
    <x v="62"/>
    <x v="0"/>
    <x v="0"/>
    <x v="2"/>
    <x v="1"/>
  </r>
  <r>
    <x v="63"/>
    <x v="5"/>
    <x v="2"/>
    <x v="2"/>
    <x v="63"/>
    <x v="63"/>
    <x v="63"/>
    <x v="0"/>
    <x v="5"/>
    <x v="4"/>
    <x v="2"/>
  </r>
  <r>
    <x v="64"/>
    <x v="6"/>
    <x v="2"/>
    <x v="2"/>
    <x v="64"/>
    <x v="64"/>
    <x v="64"/>
    <x v="0"/>
    <x v="0"/>
    <x v="2"/>
    <x v="1"/>
  </r>
  <r>
    <x v="65"/>
    <x v="7"/>
    <x v="2"/>
    <x v="2"/>
    <x v="65"/>
    <x v="65"/>
    <x v="65"/>
    <x v="0"/>
    <x v="1"/>
    <x v="6"/>
    <x v="2"/>
  </r>
  <r>
    <x v="66"/>
    <x v="8"/>
    <x v="2"/>
    <x v="2"/>
    <x v="66"/>
    <x v="66"/>
    <x v="66"/>
    <x v="0"/>
    <x v="1"/>
    <x v="6"/>
    <x v="2"/>
  </r>
  <r>
    <x v="67"/>
    <x v="9"/>
    <x v="2"/>
    <x v="2"/>
    <x v="67"/>
    <x v="67"/>
    <x v="67"/>
    <x v="0"/>
    <x v="3"/>
    <x v="5"/>
    <x v="2"/>
  </r>
  <r>
    <x v="68"/>
    <x v="10"/>
    <x v="2"/>
    <x v="2"/>
    <x v="68"/>
    <x v="68"/>
    <x v="68"/>
    <x v="0"/>
    <x v="0"/>
    <x v="3"/>
    <x v="2"/>
  </r>
  <r>
    <x v="69"/>
    <x v="11"/>
    <x v="2"/>
    <x v="2"/>
    <x v="69"/>
    <x v="69"/>
    <x v="69"/>
    <x v="0"/>
    <x v="0"/>
    <x v="0"/>
    <x v="0"/>
  </r>
  <r>
    <x v="70"/>
    <x v="0"/>
    <x v="3"/>
    <x v="3"/>
    <x v="70"/>
    <x v="70"/>
    <x v="70"/>
    <x v="0"/>
    <x v="0"/>
    <x v="3"/>
    <x v="2"/>
  </r>
  <r>
    <x v="71"/>
    <x v="1"/>
    <x v="3"/>
    <x v="3"/>
    <x v="71"/>
    <x v="71"/>
    <x v="71"/>
    <x v="0"/>
    <x v="0"/>
    <x v="0"/>
    <x v="0"/>
  </r>
  <r>
    <x v="72"/>
    <x v="2"/>
    <x v="3"/>
    <x v="3"/>
    <x v="72"/>
    <x v="72"/>
    <x v="72"/>
    <x v="0"/>
    <x v="3"/>
    <x v="5"/>
    <x v="2"/>
  </r>
  <r>
    <x v="73"/>
    <x v="3"/>
    <x v="3"/>
    <x v="3"/>
    <x v="73"/>
    <x v="73"/>
    <x v="73"/>
    <x v="0"/>
    <x v="1"/>
    <x v="4"/>
    <x v="2"/>
  </r>
  <r>
    <x v="74"/>
    <x v="4"/>
    <x v="3"/>
    <x v="3"/>
    <x v="74"/>
    <x v="74"/>
    <x v="74"/>
    <x v="0"/>
    <x v="1"/>
    <x v="4"/>
    <x v="2"/>
  </r>
  <r>
    <x v="75"/>
    <x v="5"/>
    <x v="3"/>
    <x v="3"/>
    <x v="75"/>
    <x v="75"/>
    <x v="75"/>
    <x v="0"/>
    <x v="0"/>
    <x v="0"/>
    <x v="0"/>
  </r>
  <r>
    <x v="76"/>
    <x v="6"/>
    <x v="3"/>
    <x v="3"/>
    <x v="76"/>
    <x v="76"/>
    <x v="76"/>
    <x v="0"/>
    <x v="5"/>
    <x v="4"/>
    <x v="2"/>
  </r>
  <r>
    <x v="77"/>
    <x v="7"/>
    <x v="3"/>
    <x v="3"/>
    <x v="77"/>
    <x v="77"/>
    <x v="77"/>
    <x v="0"/>
    <x v="0"/>
    <x v="3"/>
    <x v="1"/>
  </r>
  <r>
    <x v="78"/>
    <x v="8"/>
    <x v="3"/>
    <x v="3"/>
    <x v="78"/>
    <x v="78"/>
    <x v="78"/>
    <x v="0"/>
    <x v="0"/>
    <x v="3"/>
    <x v="1"/>
  </r>
  <r>
    <x v="79"/>
    <x v="9"/>
    <x v="3"/>
    <x v="3"/>
    <x v="79"/>
    <x v="79"/>
    <x v="79"/>
    <x v="0"/>
    <x v="0"/>
    <x v="4"/>
    <x v="2"/>
  </r>
  <r>
    <x v="80"/>
    <x v="10"/>
    <x v="3"/>
    <x v="3"/>
    <x v="80"/>
    <x v="80"/>
    <x v="80"/>
    <x v="0"/>
    <x v="0"/>
    <x v="3"/>
    <x v="1"/>
  </r>
  <r>
    <x v="81"/>
    <x v="11"/>
    <x v="3"/>
    <x v="3"/>
    <x v="81"/>
    <x v="81"/>
    <x v="81"/>
    <x v="0"/>
    <x v="1"/>
    <x v="4"/>
    <x v="2"/>
  </r>
  <r>
    <x v="82"/>
    <x v="12"/>
    <x v="3"/>
    <x v="3"/>
    <x v="82"/>
    <x v="82"/>
    <x v="82"/>
    <x v="0"/>
    <x v="1"/>
    <x v="4"/>
    <x v="2"/>
  </r>
  <r>
    <x v="83"/>
    <x v="13"/>
    <x v="3"/>
    <x v="3"/>
    <x v="83"/>
    <x v="83"/>
    <x v="83"/>
    <x v="0"/>
    <x v="1"/>
    <x v="4"/>
    <x v="2"/>
  </r>
  <r>
    <x v="84"/>
    <x v="14"/>
    <x v="3"/>
    <x v="3"/>
    <x v="84"/>
    <x v="84"/>
    <x v="84"/>
    <x v="0"/>
    <x v="5"/>
    <x v="4"/>
    <x v="1"/>
  </r>
  <r>
    <x v="85"/>
    <x v="15"/>
    <x v="3"/>
    <x v="3"/>
    <x v="85"/>
    <x v="85"/>
    <x v="85"/>
    <x v="0"/>
    <x v="0"/>
    <x v="6"/>
    <x v="1"/>
  </r>
  <r>
    <x v="86"/>
    <x v="16"/>
    <x v="3"/>
    <x v="3"/>
    <x v="86"/>
    <x v="86"/>
    <x v="86"/>
    <x v="0"/>
    <x v="0"/>
    <x v="0"/>
    <x v="0"/>
  </r>
  <r>
    <x v="87"/>
    <x v="17"/>
    <x v="3"/>
    <x v="3"/>
    <x v="87"/>
    <x v="87"/>
    <x v="87"/>
    <x v="0"/>
    <x v="0"/>
    <x v="0"/>
    <x v="0"/>
  </r>
  <r>
    <x v="88"/>
    <x v="18"/>
    <x v="3"/>
    <x v="3"/>
    <x v="88"/>
    <x v="88"/>
    <x v="88"/>
    <x v="0"/>
    <x v="0"/>
    <x v="0"/>
    <x v="0"/>
  </r>
  <r>
    <x v="89"/>
    <x v="19"/>
    <x v="3"/>
    <x v="3"/>
    <x v="89"/>
    <x v="89"/>
    <x v="89"/>
    <x v="0"/>
    <x v="2"/>
    <x v="5"/>
    <x v="2"/>
  </r>
  <r>
    <x v="90"/>
    <x v="20"/>
    <x v="3"/>
    <x v="3"/>
    <x v="90"/>
    <x v="90"/>
    <x v="90"/>
    <x v="0"/>
    <x v="2"/>
    <x v="5"/>
    <x v="2"/>
  </r>
  <r>
    <x v="91"/>
    <x v="21"/>
    <x v="3"/>
    <x v="3"/>
    <x v="91"/>
    <x v="91"/>
    <x v="91"/>
    <x v="0"/>
    <x v="0"/>
    <x v="0"/>
    <x v="0"/>
  </r>
  <r>
    <x v="92"/>
    <x v="22"/>
    <x v="3"/>
    <x v="3"/>
    <x v="92"/>
    <x v="92"/>
    <x v="92"/>
    <x v="0"/>
    <x v="1"/>
    <x v="5"/>
    <x v="2"/>
  </r>
  <r>
    <x v="93"/>
    <x v="23"/>
    <x v="3"/>
    <x v="3"/>
    <x v="93"/>
    <x v="93"/>
    <x v="93"/>
    <x v="0"/>
    <x v="1"/>
    <x v="5"/>
    <x v="2"/>
  </r>
  <r>
    <x v="94"/>
    <x v="24"/>
    <x v="3"/>
    <x v="3"/>
    <x v="94"/>
    <x v="94"/>
    <x v="94"/>
    <x v="0"/>
    <x v="1"/>
    <x v="5"/>
    <x v="2"/>
  </r>
  <r>
    <x v="95"/>
    <x v="25"/>
    <x v="3"/>
    <x v="3"/>
    <x v="95"/>
    <x v="95"/>
    <x v="95"/>
    <x v="0"/>
    <x v="6"/>
    <x v="7"/>
    <x v="2"/>
  </r>
  <r>
    <x v="96"/>
    <x v="26"/>
    <x v="3"/>
    <x v="3"/>
    <x v="96"/>
    <x v="96"/>
    <x v="96"/>
    <x v="0"/>
    <x v="1"/>
    <x v="5"/>
    <x v="2"/>
  </r>
  <r>
    <x v="97"/>
    <x v="27"/>
    <x v="3"/>
    <x v="3"/>
    <x v="97"/>
    <x v="97"/>
    <x v="97"/>
    <x v="0"/>
    <x v="0"/>
    <x v="4"/>
    <x v="1"/>
  </r>
  <r>
    <x v="98"/>
    <x v="28"/>
    <x v="3"/>
    <x v="3"/>
    <x v="98"/>
    <x v="98"/>
    <x v="98"/>
    <x v="0"/>
    <x v="0"/>
    <x v="4"/>
    <x v="1"/>
  </r>
  <r>
    <x v="99"/>
    <x v="29"/>
    <x v="3"/>
    <x v="3"/>
    <x v="99"/>
    <x v="99"/>
    <x v="99"/>
    <x v="0"/>
    <x v="5"/>
    <x v="5"/>
    <x v="2"/>
  </r>
  <r>
    <x v="100"/>
    <x v="30"/>
    <x v="3"/>
    <x v="3"/>
    <x v="100"/>
    <x v="100"/>
    <x v="100"/>
    <x v="0"/>
    <x v="5"/>
    <x v="5"/>
    <x v="1"/>
  </r>
  <r>
    <x v="101"/>
    <x v="31"/>
    <x v="3"/>
    <x v="3"/>
    <x v="101"/>
    <x v="101"/>
    <x v="101"/>
    <x v="0"/>
    <x v="2"/>
    <x v="7"/>
    <x v="2"/>
  </r>
  <r>
    <x v="102"/>
    <x v="32"/>
    <x v="3"/>
    <x v="3"/>
    <x v="102"/>
    <x v="102"/>
    <x v="102"/>
    <x v="0"/>
    <x v="1"/>
    <x v="5"/>
    <x v="2"/>
  </r>
  <r>
    <x v="103"/>
    <x v="33"/>
    <x v="3"/>
    <x v="3"/>
    <x v="103"/>
    <x v="103"/>
    <x v="103"/>
    <x v="0"/>
    <x v="1"/>
    <x v="5"/>
    <x v="2"/>
  </r>
  <r>
    <x v="104"/>
    <x v="34"/>
    <x v="3"/>
    <x v="3"/>
    <x v="104"/>
    <x v="104"/>
    <x v="104"/>
    <x v="0"/>
    <x v="1"/>
    <x v="5"/>
    <x v="1"/>
  </r>
  <r>
    <x v="105"/>
    <x v="35"/>
    <x v="3"/>
    <x v="3"/>
    <x v="105"/>
    <x v="105"/>
    <x v="105"/>
    <x v="0"/>
    <x v="0"/>
    <x v="0"/>
    <x v="0"/>
  </r>
  <r>
    <x v="106"/>
    <x v="36"/>
    <x v="3"/>
    <x v="3"/>
    <x v="106"/>
    <x v="106"/>
    <x v="106"/>
    <x v="0"/>
    <x v="0"/>
    <x v="0"/>
    <x v="0"/>
  </r>
  <r>
    <x v="107"/>
    <x v="37"/>
    <x v="3"/>
    <x v="3"/>
    <x v="107"/>
    <x v="107"/>
    <x v="107"/>
    <x v="0"/>
    <x v="5"/>
    <x v="7"/>
    <x v="2"/>
  </r>
  <r>
    <x v="108"/>
    <x v="38"/>
    <x v="3"/>
    <x v="3"/>
    <x v="108"/>
    <x v="108"/>
    <x v="108"/>
    <x v="0"/>
    <x v="1"/>
    <x v="5"/>
    <x v="1"/>
  </r>
  <r>
    <x v="109"/>
    <x v="39"/>
    <x v="3"/>
    <x v="3"/>
    <x v="109"/>
    <x v="109"/>
    <x v="109"/>
    <x v="0"/>
    <x v="0"/>
    <x v="0"/>
    <x v="0"/>
  </r>
  <r>
    <x v="110"/>
    <x v="40"/>
    <x v="3"/>
    <x v="3"/>
    <x v="110"/>
    <x v="110"/>
    <x v="110"/>
    <x v="0"/>
    <x v="5"/>
    <x v="5"/>
    <x v="1"/>
  </r>
  <r>
    <x v="111"/>
    <x v="41"/>
    <x v="3"/>
    <x v="3"/>
    <x v="111"/>
    <x v="111"/>
    <x v="111"/>
    <x v="0"/>
    <x v="0"/>
    <x v="0"/>
    <x v="0"/>
  </r>
  <r>
    <x v="112"/>
    <x v="42"/>
    <x v="3"/>
    <x v="3"/>
    <x v="112"/>
    <x v="112"/>
    <x v="112"/>
    <x v="0"/>
    <x v="0"/>
    <x v="4"/>
    <x v="1"/>
  </r>
  <r>
    <x v="113"/>
    <x v="43"/>
    <x v="3"/>
    <x v="3"/>
    <x v="113"/>
    <x v="113"/>
    <x v="113"/>
    <x v="0"/>
    <x v="0"/>
    <x v="0"/>
    <x v="0"/>
  </r>
  <r>
    <x v="114"/>
    <x v="44"/>
    <x v="3"/>
    <x v="3"/>
    <x v="114"/>
    <x v="114"/>
    <x v="114"/>
    <x v="0"/>
    <x v="0"/>
    <x v="5"/>
    <x v="2"/>
  </r>
  <r>
    <x v="115"/>
    <x v="45"/>
    <x v="3"/>
    <x v="3"/>
    <x v="115"/>
    <x v="115"/>
    <x v="115"/>
    <x v="0"/>
    <x v="0"/>
    <x v="5"/>
    <x v="2"/>
  </r>
  <r>
    <x v="116"/>
    <x v="46"/>
    <x v="3"/>
    <x v="3"/>
    <x v="116"/>
    <x v="116"/>
    <x v="116"/>
    <x v="0"/>
    <x v="0"/>
    <x v="4"/>
    <x v="1"/>
  </r>
  <r>
    <x v="117"/>
    <x v="47"/>
    <x v="3"/>
    <x v="3"/>
    <x v="117"/>
    <x v="117"/>
    <x v="117"/>
    <x v="0"/>
    <x v="0"/>
    <x v="4"/>
    <x v="1"/>
  </r>
  <r>
    <x v="118"/>
    <x v="48"/>
    <x v="3"/>
    <x v="3"/>
    <x v="118"/>
    <x v="118"/>
    <x v="118"/>
    <x v="0"/>
    <x v="5"/>
    <x v="7"/>
    <x v="2"/>
  </r>
  <r>
    <x v="119"/>
    <x v="49"/>
    <x v="3"/>
    <x v="3"/>
    <x v="119"/>
    <x v="119"/>
    <x v="119"/>
    <x v="0"/>
    <x v="0"/>
    <x v="5"/>
    <x v="1"/>
  </r>
  <r>
    <x v="120"/>
    <x v="50"/>
    <x v="3"/>
    <x v="3"/>
    <x v="120"/>
    <x v="120"/>
    <x v="120"/>
    <x v="0"/>
    <x v="0"/>
    <x v="0"/>
    <x v="0"/>
  </r>
  <r>
    <x v="121"/>
    <x v="51"/>
    <x v="3"/>
    <x v="3"/>
    <x v="121"/>
    <x v="121"/>
    <x v="121"/>
    <x v="0"/>
    <x v="0"/>
    <x v="5"/>
    <x v="1"/>
  </r>
  <r>
    <x v="122"/>
    <x v="52"/>
    <x v="3"/>
    <x v="3"/>
    <x v="122"/>
    <x v="122"/>
    <x v="122"/>
    <x v="0"/>
    <x v="0"/>
    <x v="0"/>
    <x v="0"/>
  </r>
  <r>
    <x v="123"/>
    <x v="53"/>
    <x v="3"/>
    <x v="3"/>
    <x v="123"/>
    <x v="123"/>
    <x v="123"/>
    <x v="0"/>
    <x v="1"/>
    <x v="5"/>
    <x v="1"/>
  </r>
  <r>
    <x v="124"/>
    <x v="54"/>
    <x v="3"/>
    <x v="3"/>
    <x v="124"/>
    <x v="124"/>
    <x v="124"/>
    <x v="0"/>
    <x v="0"/>
    <x v="0"/>
    <x v="0"/>
  </r>
  <r>
    <x v="125"/>
    <x v="55"/>
    <x v="3"/>
    <x v="3"/>
    <x v="125"/>
    <x v="125"/>
    <x v="125"/>
    <x v="0"/>
    <x v="5"/>
    <x v="7"/>
    <x v="2"/>
  </r>
  <r>
    <x v="126"/>
    <x v="56"/>
    <x v="3"/>
    <x v="3"/>
    <x v="126"/>
    <x v="126"/>
    <x v="126"/>
    <x v="0"/>
    <x v="1"/>
    <x v="7"/>
    <x v="2"/>
  </r>
  <r>
    <x v="127"/>
    <x v="57"/>
    <x v="3"/>
    <x v="3"/>
    <x v="127"/>
    <x v="127"/>
    <x v="127"/>
    <x v="0"/>
    <x v="0"/>
    <x v="5"/>
    <x v="1"/>
  </r>
  <r>
    <x v="128"/>
    <x v="58"/>
    <x v="3"/>
    <x v="3"/>
    <x v="128"/>
    <x v="128"/>
    <x v="128"/>
    <x v="0"/>
    <x v="0"/>
    <x v="0"/>
    <x v="0"/>
  </r>
  <r>
    <x v="129"/>
    <x v="59"/>
    <x v="3"/>
    <x v="3"/>
    <x v="129"/>
    <x v="129"/>
    <x v="129"/>
    <x v="0"/>
    <x v="0"/>
    <x v="5"/>
    <x v="1"/>
  </r>
  <r>
    <x v="130"/>
    <x v="0"/>
    <x v="4"/>
    <x v="4"/>
    <x v="130"/>
    <x v="130"/>
    <x v="130"/>
    <x v="0"/>
    <x v="0"/>
    <x v="5"/>
    <x v="1"/>
  </r>
  <r>
    <x v="131"/>
    <x v="1"/>
    <x v="4"/>
    <x v="4"/>
    <x v="131"/>
    <x v="131"/>
    <x v="131"/>
    <x v="0"/>
    <x v="0"/>
    <x v="0"/>
    <x v="0"/>
  </r>
  <r>
    <x v="132"/>
    <x v="2"/>
    <x v="4"/>
    <x v="4"/>
    <x v="132"/>
    <x v="132"/>
    <x v="132"/>
    <x v="0"/>
    <x v="1"/>
    <x v="5"/>
    <x v="1"/>
  </r>
  <r>
    <x v="133"/>
    <x v="3"/>
    <x v="4"/>
    <x v="4"/>
    <x v="133"/>
    <x v="133"/>
    <x v="133"/>
    <x v="0"/>
    <x v="0"/>
    <x v="5"/>
    <x v="1"/>
  </r>
  <r>
    <x v="134"/>
    <x v="4"/>
    <x v="4"/>
    <x v="4"/>
    <x v="134"/>
    <x v="134"/>
    <x v="134"/>
    <x v="0"/>
    <x v="1"/>
    <x v="7"/>
    <x v="2"/>
  </r>
  <r>
    <x v="135"/>
    <x v="5"/>
    <x v="4"/>
    <x v="4"/>
    <x v="135"/>
    <x v="135"/>
    <x v="135"/>
    <x v="0"/>
    <x v="0"/>
    <x v="7"/>
    <x v="2"/>
  </r>
  <r>
    <x v="136"/>
    <x v="6"/>
    <x v="4"/>
    <x v="4"/>
    <x v="136"/>
    <x v="136"/>
    <x v="136"/>
    <x v="0"/>
    <x v="1"/>
    <x v="7"/>
    <x v="2"/>
  </r>
  <r>
    <x v="137"/>
    <x v="7"/>
    <x v="4"/>
    <x v="4"/>
    <x v="137"/>
    <x v="137"/>
    <x v="137"/>
    <x v="0"/>
    <x v="0"/>
    <x v="7"/>
    <x v="2"/>
  </r>
  <r>
    <x v="138"/>
    <x v="8"/>
    <x v="4"/>
    <x v="4"/>
    <x v="138"/>
    <x v="138"/>
    <x v="138"/>
    <x v="0"/>
    <x v="0"/>
    <x v="5"/>
    <x v="1"/>
  </r>
  <r>
    <x v="139"/>
    <x v="9"/>
    <x v="4"/>
    <x v="4"/>
    <x v="139"/>
    <x v="139"/>
    <x v="139"/>
    <x v="0"/>
    <x v="0"/>
    <x v="0"/>
    <x v="0"/>
  </r>
  <r>
    <x v="140"/>
    <x v="10"/>
    <x v="4"/>
    <x v="4"/>
    <x v="140"/>
    <x v="140"/>
    <x v="140"/>
    <x v="0"/>
    <x v="0"/>
    <x v="0"/>
    <x v="0"/>
  </r>
  <r>
    <x v="141"/>
    <x v="11"/>
    <x v="4"/>
    <x v="4"/>
    <x v="141"/>
    <x v="141"/>
    <x v="141"/>
    <x v="0"/>
    <x v="0"/>
    <x v="5"/>
    <x v="1"/>
  </r>
  <r>
    <x v="142"/>
    <x v="12"/>
    <x v="4"/>
    <x v="4"/>
    <x v="142"/>
    <x v="142"/>
    <x v="142"/>
    <x v="0"/>
    <x v="0"/>
    <x v="7"/>
    <x v="2"/>
  </r>
  <r>
    <x v="143"/>
    <x v="13"/>
    <x v="4"/>
    <x v="4"/>
    <x v="143"/>
    <x v="143"/>
    <x v="143"/>
    <x v="0"/>
    <x v="0"/>
    <x v="5"/>
    <x v="1"/>
  </r>
  <r>
    <x v="144"/>
    <x v="14"/>
    <x v="4"/>
    <x v="4"/>
    <x v="144"/>
    <x v="144"/>
    <x v="144"/>
    <x v="0"/>
    <x v="1"/>
    <x v="7"/>
    <x v="2"/>
  </r>
  <r>
    <x v="145"/>
    <x v="15"/>
    <x v="4"/>
    <x v="4"/>
    <x v="145"/>
    <x v="145"/>
    <x v="145"/>
    <x v="0"/>
    <x v="1"/>
    <x v="5"/>
    <x v="1"/>
  </r>
  <r>
    <x v="146"/>
    <x v="16"/>
    <x v="4"/>
    <x v="4"/>
    <x v="146"/>
    <x v="146"/>
    <x v="146"/>
    <x v="1"/>
    <x v="5"/>
    <x v="8"/>
    <x v="2"/>
  </r>
  <r>
    <x v="147"/>
    <x v="17"/>
    <x v="4"/>
    <x v="4"/>
    <x v="147"/>
    <x v="147"/>
    <x v="147"/>
    <x v="0"/>
    <x v="0"/>
    <x v="0"/>
    <x v="0"/>
  </r>
  <r>
    <x v="148"/>
    <x v="18"/>
    <x v="4"/>
    <x v="4"/>
    <x v="148"/>
    <x v="148"/>
    <x v="148"/>
    <x v="0"/>
    <x v="1"/>
    <x v="7"/>
    <x v="2"/>
  </r>
  <r>
    <x v="149"/>
    <x v="19"/>
    <x v="4"/>
    <x v="4"/>
    <x v="149"/>
    <x v="149"/>
    <x v="149"/>
    <x v="0"/>
    <x v="1"/>
    <x v="7"/>
    <x v="2"/>
  </r>
  <r>
    <x v="150"/>
    <x v="20"/>
    <x v="4"/>
    <x v="4"/>
    <x v="150"/>
    <x v="150"/>
    <x v="150"/>
    <x v="0"/>
    <x v="1"/>
    <x v="7"/>
    <x v="2"/>
  </r>
  <r>
    <x v="151"/>
    <x v="21"/>
    <x v="4"/>
    <x v="4"/>
    <x v="151"/>
    <x v="151"/>
    <x v="151"/>
    <x v="0"/>
    <x v="0"/>
    <x v="7"/>
    <x v="2"/>
  </r>
  <r>
    <x v="152"/>
    <x v="22"/>
    <x v="4"/>
    <x v="4"/>
    <x v="152"/>
    <x v="152"/>
    <x v="152"/>
    <x v="0"/>
    <x v="0"/>
    <x v="0"/>
    <x v="0"/>
  </r>
  <r>
    <x v="153"/>
    <x v="23"/>
    <x v="4"/>
    <x v="4"/>
    <x v="153"/>
    <x v="153"/>
    <x v="153"/>
    <x v="2"/>
    <x v="2"/>
    <x v="8"/>
    <x v="2"/>
  </r>
  <r>
    <x v="154"/>
    <x v="24"/>
    <x v="4"/>
    <x v="4"/>
    <x v="154"/>
    <x v="154"/>
    <x v="154"/>
    <x v="0"/>
    <x v="1"/>
    <x v="7"/>
    <x v="2"/>
  </r>
  <r>
    <x v="155"/>
    <x v="25"/>
    <x v="4"/>
    <x v="4"/>
    <x v="155"/>
    <x v="155"/>
    <x v="155"/>
    <x v="2"/>
    <x v="2"/>
    <x v="8"/>
    <x v="2"/>
  </r>
  <r>
    <x v="156"/>
    <x v="26"/>
    <x v="4"/>
    <x v="4"/>
    <x v="156"/>
    <x v="156"/>
    <x v="156"/>
    <x v="0"/>
    <x v="0"/>
    <x v="0"/>
    <x v="0"/>
  </r>
  <r>
    <x v="157"/>
    <x v="27"/>
    <x v="4"/>
    <x v="4"/>
    <x v="157"/>
    <x v="157"/>
    <x v="157"/>
    <x v="1"/>
    <x v="5"/>
    <x v="8"/>
    <x v="2"/>
  </r>
  <r>
    <x v="158"/>
    <x v="28"/>
    <x v="4"/>
    <x v="4"/>
    <x v="158"/>
    <x v="158"/>
    <x v="158"/>
    <x v="0"/>
    <x v="1"/>
    <x v="7"/>
    <x v="2"/>
  </r>
  <r>
    <x v="159"/>
    <x v="29"/>
    <x v="4"/>
    <x v="4"/>
    <x v="159"/>
    <x v="159"/>
    <x v="159"/>
    <x v="0"/>
    <x v="0"/>
    <x v="0"/>
    <x v="0"/>
  </r>
  <r>
    <x v="160"/>
    <x v="30"/>
    <x v="4"/>
    <x v="4"/>
    <x v="160"/>
    <x v="160"/>
    <x v="160"/>
    <x v="0"/>
    <x v="5"/>
    <x v="7"/>
    <x v="1"/>
  </r>
  <r>
    <x v="161"/>
    <x v="31"/>
    <x v="4"/>
    <x v="4"/>
    <x v="161"/>
    <x v="161"/>
    <x v="161"/>
    <x v="0"/>
    <x v="0"/>
    <x v="0"/>
    <x v="0"/>
  </r>
  <r>
    <x v="162"/>
    <x v="32"/>
    <x v="4"/>
    <x v="4"/>
    <x v="162"/>
    <x v="162"/>
    <x v="162"/>
    <x v="0"/>
    <x v="0"/>
    <x v="7"/>
    <x v="2"/>
  </r>
  <r>
    <x v="163"/>
    <x v="33"/>
    <x v="4"/>
    <x v="4"/>
    <x v="163"/>
    <x v="163"/>
    <x v="163"/>
    <x v="0"/>
    <x v="0"/>
    <x v="0"/>
    <x v="0"/>
  </r>
  <r>
    <x v="164"/>
    <x v="34"/>
    <x v="4"/>
    <x v="4"/>
    <x v="164"/>
    <x v="164"/>
    <x v="164"/>
    <x v="0"/>
    <x v="0"/>
    <x v="0"/>
    <x v="0"/>
  </r>
  <r>
    <x v="165"/>
    <x v="35"/>
    <x v="4"/>
    <x v="4"/>
    <x v="165"/>
    <x v="165"/>
    <x v="165"/>
    <x v="2"/>
    <x v="5"/>
    <x v="8"/>
    <x v="2"/>
  </r>
  <r>
    <x v="166"/>
    <x v="36"/>
    <x v="4"/>
    <x v="4"/>
    <x v="166"/>
    <x v="166"/>
    <x v="166"/>
    <x v="0"/>
    <x v="0"/>
    <x v="7"/>
    <x v="1"/>
  </r>
  <r>
    <x v="167"/>
    <x v="0"/>
    <x v="5"/>
    <x v="5"/>
    <x v="167"/>
    <x v="167"/>
    <x v="167"/>
    <x v="0"/>
    <x v="0"/>
    <x v="0"/>
    <x v="0"/>
  </r>
  <r>
    <x v="168"/>
    <x v="1"/>
    <x v="5"/>
    <x v="5"/>
    <x v="168"/>
    <x v="168"/>
    <x v="168"/>
    <x v="2"/>
    <x v="5"/>
    <x v="8"/>
    <x v="2"/>
  </r>
  <r>
    <x v="169"/>
    <x v="2"/>
    <x v="5"/>
    <x v="5"/>
    <x v="169"/>
    <x v="169"/>
    <x v="169"/>
    <x v="1"/>
    <x v="1"/>
    <x v="8"/>
    <x v="2"/>
  </r>
  <r>
    <x v="170"/>
    <x v="3"/>
    <x v="5"/>
    <x v="5"/>
    <x v="170"/>
    <x v="170"/>
    <x v="170"/>
    <x v="2"/>
    <x v="5"/>
    <x v="8"/>
    <x v="2"/>
  </r>
  <r>
    <x v="171"/>
    <x v="4"/>
    <x v="5"/>
    <x v="5"/>
    <x v="171"/>
    <x v="171"/>
    <x v="171"/>
    <x v="0"/>
    <x v="0"/>
    <x v="0"/>
    <x v="0"/>
  </r>
  <r>
    <x v="172"/>
    <x v="5"/>
    <x v="5"/>
    <x v="5"/>
    <x v="172"/>
    <x v="172"/>
    <x v="172"/>
    <x v="0"/>
    <x v="0"/>
    <x v="0"/>
    <x v="0"/>
  </r>
  <r>
    <x v="173"/>
    <x v="6"/>
    <x v="5"/>
    <x v="5"/>
    <x v="173"/>
    <x v="173"/>
    <x v="173"/>
    <x v="0"/>
    <x v="0"/>
    <x v="7"/>
    <x v="1"/>
  </r>
  <r>
    <x v="174"/>
    <x v="7"/>
    <x v="5"/>
    <x v="5"/>
    <x v="174"/>
    <x v="174"/>
    <x v="174"/>
    <x v="1"/>
    <x v="5"/>
    <x v="8"/>
    <x v="1"/>
  </r>
  <r>
    <x v="175"/>
    <x v="8"/>
    <x v="5"/>
    <x v="5"/>
    <x v="175"/>
    <x v="175"/>
    <x v="175"/>
    <x v="0"/>
    <x v="1"/>
    <x v="7"/>
    <x v="1"/>
  </r>
  <r>
    <x v="176"/>
    <x v="9"/>
    <x v="5"/>
    <x v="5"/>
    <x v="176"/>
    <x v="176"/>
    <x v="176"/>
    <x v="0"/>
    <x v="1"/>
    <x v="7"/>
    <x v="1"/>
  </r>
  <r>
    <x v="177"/>
    <x v="10"/>
    <x v="5"/>
    <x v="5"/>
    <x v="177"/>
    <x v="177"/>
    <x v="177"/>
    <x v="1"/>
    <x v="0"/>
    <x v="8"/>
    <x v="2"/>
  </r>
  <r>
    <x v="178"/>
    <x v="11"/>
    <x v="5"/>
    <x v="5"/>
    <x v="178"/>
    <x v="178"/>
    <x v="178"/>
    <x v="0"/>
    <x v="0"/>
    <x v="0"/>
    <x v="0"/>
  </r>
  <r>
    <x v="179"/>
    <x v="12"/>
    <x v="5"/>
    <x v="5"/>
    <x v="179"/>
    <x v="179"/>
    <x v="179"/>
    <x v="0"/>
    <x v="0"/>
    <x v="0"/>
    <x v="0"/>
  </r>
  <r>
    <x v="180"/>
    <x v="13"/>
    <x v="5"/>
    <x v="5"/>
    <x v="180"/>
    <x v="180"/>
    <x v="180"/>
    <x v="0"/>
    <x v="1"/>
    <x v="7"/>
    <x v="1"/>
  </r>
  <r>
    <x v="181"/>
    <x v="14"/>
    <x v="5"/>
    <x v="5"/>
    <x v="181"/>
    <x v="181"/>
    <x v="181"/>
    <x v="0"/>
    <x v="1"/>
    <x v="7"/>
    <x v="1"/>
  </r>
  <r>
    <x v="182"/>
    <x v="15"/>
    <x v="5"/>
    <x v="5"/>
    <x v="182"/>
    <x v="182"/>
    <x v="182"/>
    <x v="0"/>
    <x v="0"/>
    <x v="7"/>
    <x v="1"/>
  </r>
  <r>
    <x v="183"/>
    <x v="16"/>
    <x v="5"/>
    <x v="5"/>
    <x v="183"/>
    <x v="183"/>
    <x v="183"/>
    <x v="3"/>
    <x v="5"/>
    <x v="8"/>
    <x v="2"/>
  </r>
  <r>
    <x v="184"/>
    <x v="17"/>
    <x v="5"/>
    <x v="5"/>
    <x v="184"/>
    <x v="184"/>
    <x v="184"/>
    <x v="1"/>
    <x v="1"/>
    <x v="8"/>
    <x v="1"/>
  </r>
  <r>
    <x v="185"/>
    <x v="18"/>
    <x v="5"/>
    <x v="5"/>
    <x v="185"/>
    <x v="185"/>
    <x v="185"/>
    <x v="3"/>
    <x v="1"/>
    <x v="8"/>
    <x v="2"/>
  </r>
  <r>
    <x v="186"/>
    <x v="19"/>
    <x v="5"/>
    <x v="5"/>
    <x v="186"/>
    <x v="186"/>
    <x v="186"/>
    <x v="3"/>
    <x v="1"/>
    <x v="8"/>
    <x v="2"/>
  </r>
  <r>
    <x v="187"/>
    <x v="0"/>
    <x v="6"/>
    <x v="6"/>
    <x v="187"/>
    <x v="187"/>
    <x v="187"/>
    <x v="2"/>
    <x v="0"/>
    <x v="8"/>
    <x v="2"/>
  </r>
  <r>
    <x v="188"/>
    <x v="1"/>
    <x v="6"/>
    <x v="6"/>
    <x v="188"/>
    <x v="188"/>
    <x v="188"/>
    <x v="3"/>
    <x v="1"/>
    <x v="8"/>
    <x v="2"/>
  </r>
  <r>
    <x v="189"/>
    <x v="2"/>
    <x v="6"/>
    <x v="6"/>
    <x v="189"/>
    <x v="189"/>
    <x v="189"/>
    <x v="0"/>
    <x v="0"/>
    <x v="7"/>
    <x v="1"/>
  </r>
  <r>
    <x v="190"/>
    <x v="3"/>
    <x v="6"/>
    <x v="6"/>
    <x v="190"/>
    <x v="190"/>
    <x v="190"/>
    <x v="0"/>
    <x v="0"/>
    <x v="7"/>
    <x v="1"/>
  </r>
  <r>
    <x v="191"/>
    <x v="4"/>
    <x v="6"/>
    <x v="6"/>
    <x v="191"/>
    <x v="191"/>
    <x v="191"/>
    <x v="1"/>
    <x v="1"/>
    <x v="8"/>
    <x v="1"/>
  </r>
  <r>
    <x v="192"/>
    <x v="5"/>
    <x v="6"/>
    <x v="6"/>
    <x v="192"/>
    <x v="192"/>
    <x v="192"/>
    <x v="0"/>
    <x v="0"/>
    <x v="0"/>
    <x v="0"/>
  </r>
  <r>
    <x v="193"/>
    <x v="6"/>
    <x v="6"/>
    <x v="6"/>
    <x v="193"/>
    <x v="193"/>
    <x v="193"/>
    <x v="0"/>
    <x v="0"/>
    <x v="7"/>
    <x v="1"/>
  </r>
  <r>
    <x v="194"/>
    <x v="7"/>
    <x v="6"/>
    <x v="6"/>
    <x v="194"/>
    <x v="194"/>
    <x v="194"/>
    <x v="0"/>
    <x v="0"/>
    <x v="0"/>
    <x v="0"/>
  </r>
  <r>
    <x v="195"/>
    <x v="8"/>
    <x v="6"/>
    <x v="6"/>
    <x v="195"/>
    <x v="195"/>
    <x v="195"/>
    <x v="3"/>
    <x v="0"/>
    <x v="8"/>
    <x v="2"/>
  </r>
  <r>
    <x v="196"/>
    <x v="9"/>
    <x v="6"/>
    <x v="6"/>
    <x v="196"/>
    <x v="196"/>
    <x v="196"/>
    <x v="3"/>
    <x v="0"/>
    <x v="8"/>
    <x v="2"/>
  </r>
  <r>
    <x v="197"/>
    <x v="10"/>
    <x v="6"/>
    <x v="6"/>
    <x v="197"/>
    <x v="197"/>
    <x v="197"/>
    <x v="0"/>
    <x v="0"/>
    <x v="0"/>
    <x v="0"/>
  </r>
  <r>
    <x v="198"/>
    <x v="11"/>
    <x v="6"/>
    <x v="6"/>
    <x v="198"/>
    <x v="198"/>
    <x v="198"/>
    <x v="0"/>
    <x v="0"/>
    <x v="0"/>
    <x v="0"/>
  </r>
  <r>
    <x v="199"/>
    <x v="12"/>
    <x v="6"/>
    <x v="6"/>
    <x v="199"/>
    <x v="199"/>
    <x v="199"/>
    <x v="0"/>
    <x v="0"/>
    <x v="0"/>
    <x v="0"/>
  </r>
  <r>
    <x v="200"/>
    <x v="13"/>
    <x v="6"/>
    <x v="6"/>
    <x v="200"/>
    <x v="200"/>
    <x v="200"/>
    <x v="3"/>
    <x v="0"/>
    <x v="8"/>
    <x v="2"/>
  </r>
  <r>
    <x v="201"/>
    <x v="14"/>
    <x v="6"/>
    <x v="6"/>
    <x v="201"/>
    <x v="201"/>
    <x v="201"/>
    <x v="3"/>
    <x v="0"/>
    <x v="8"/>
    <x v="2"/>
  </r>
  <r>
    <x v="202"/>
    <x v="15"/>
    <x v="6"/>
    <x v="6"/>
    <x v="202"/>
    <x v="202"/>
    <x v="202"/>
    <x v="3"/>
    <x v="0"/>
    <x v="8"/>
    <x v="2"/>
  </r>
  <r>
    <x v="203"/>
    <x v="16"/>
    <x v="6"/>
    <x v="6"/>
    <x v="203"/>
    <x v="203"/>
    <x v="203"/>
    <x v="3"/>
    <x v="0"/>
    <x v="8"/>
    <x v="2"/>
  </r>
  <r>
    <x v="204"/>
    <x v="17"/>
    <x v="6"/>
    <x v="6"/>
    <x v="204"/>
    <x v="204"/>
    <x v="204"/>
    <x v="1"/>
    <x v="0"/>
    <x v="8"/>
    <x v="1"/>
  </r>
  <r>
    <x v="205"/>
    <x v="18"/>
    <x v="6"/>
    <x v="6"/>
    <x v="205"/>
    <x v="205"/>
    <x v="205"/>
    <x v="3"/>
    <x v="0"/>
    <x v="8"/>
    <x v="2"/>
  </r>
  <r>
    <x v="206"/>
    <x v="19"/>
    <x v="6"/>
    <x v="6"/>
    <x v="206"/>
    <x v="206"/>
    <x v="206"/>
    <x v="3"/>
    <x v="0"/>
    <x v="8"/>
    <x v="2"/>
  </r>
  <r>
    <x v="207"/>
    <x v="20"/>
    <x v="6"/>
    <x v="6"/>
    <x v="207"/>
    <x v="207"/>
    <x v="207"/>
    <x v="3"/>
    <x v="0"/>
    <x v="8"/>
    <x v="2"/>
  </r>
  <r>
    <x v="208"/>
    <x v="21"/>
    <x v="6"/>
    <x v="6"/>
    <x v="208"/>
    <x v="208"/>
    <x v="208"/>
    <x v="0"/>
    <x v="0"/>
    <x v="0"/>
    <x v="0"/>
  </r>
  <r>
    <x v="209"/>
    <x v="22"/>
    <x v="6"/>
    <x v="6"/>
    <x v="209"/>
    <x v="209"/>
    <x v="209"/>
    <x v="3"/>
    <x v="0"/>
    <x v="8"/>
    <x v="2"/>
  </r>
  <r>
    <x v="210"/>
    <x v="23"/>
    <x v="6"/>
    <x v="6"/>
    <x v="210"/>
    <x v="210"/>
    <x v="210"/>
    <x v="3"/>
    <x v="0"/>
    <x v="8"/>
    <x v="2"/>
  </r>
  <r>
    <x v="211"/>
    <x v="24"/>
    <x v="6"/>
    <x v="6"/>
    <x v="211"/>
    <x v="211"/>
    <x v="211"/>
    <x v="1"/>
    <x v="0"/>
    <x v="8"/>
    <x v="1"/>
  </r>
  <r>
    <x v="212"/>
    <x v="25"/>
    <x v="6"/>
    <x v="6"/>
    <x v="212"/>
    <x v="212"/>
    <x v="212"/>
    <x v="3"/>
    <x v="0"/>
    <x v="8"/>
    <x v="2"/>
  </r>
  <r>
    <x v="213"/>
    <x v="26"/>
    <x v="6"/>
    <x v="6"/>
    <x v="213"/>
    <x v="213"/>
    <x v="213"/>
    <x v="3"/>
    <x v="0"/>
    <x v="8"/>
    <x v="2"/>
  </r>
  <r>
    <x v="214"/>
    <x v="27"/>
    <x v="6"/>
    <x v="6"/>
    <x v="214"/>
    <x v="214"/>
    <x v="214"/>
    <x v="1"/>
    <x v="0"/>
    <x v="8"/>
    <x v="1"/>
  </r>
  <r>
    <x v="215"/>
    <x v="28"/>
    <x v="6"/>
    <x v="6"/>
    <x v="215"/>
    <x v="215"/>
    <x v="215"/>
    <x v="0"/>
    <x v="0"/>
    <x v="0"/>
    <x v="0"/>
  </r>
  <r>
    <x v="216"/>
    <x v="29"/>
    <x v="6"/>
    <x v="6"/>
    <x v="216"/>
    <x v="216"/>
    <x v="216"/>
    <x v="1"/>
    <x v="0"/>
    <x v="8"/>
    <x v="1"/>
  </r>
  <r>
    <x v="217"/>
    <x v="30"/>
    <x v="6"/>
    <x v="6"/>
    <x v="217"/>
    <x v="217"/>
    <x v="217"/>
    <x v="3"/>
    <x v="0"/>
    <x v="8"/>
    <x v="2"/>
  </r>
  <r>
    <x v="218"/>
    <x v="31"/>
    <x v="6"/>
    <x v="6"/>
    <x v="218"/>
    <x v="218"/>
    <x v="218"/>
    <x v="3"/>
    <x v="0"/>
    <x v="8"/>
    <x v="2"/>
  </r>
  <r>
    <x v="219"/>
    <x v="32"/>
    <x v="6"/>
    <x v="6"/>
    <x v="219"/>
    <x v="219"/>
    <x v="219"/>
    <x v="1"/>
    <x v="0"/>
    <x v="8"/>
    <x v="1"/>
  </r>
  <r>
    <x v="220"/>
    <x v="33"/>
    <x v="6"/>
    <x v="6"/>
    <x v="220"/>
    <x v="220"/>
    <x v="220"/>
    <x v="1"/>
    <x v="0"/>
    <x v="8"/>
    <x v="1"/>
  </r>
  <r>
    <x v="221"/>
    <x v="34"/>
    <x v="6"/>
    <x v="6"/>
    <x v="221"/>
    <x v="221"/>
    <x v="221"/>
    <x v="3"/>
    <x v="0"/>
    <x v="8"/>
    <x v="2"/>
  </r>
  <r>
    <x v="222"/>
    <x v="35"/>
    <x v="6"/>
    <x v="6"/>
    <x v="222"/>
    <x v="222"/>
    <x v="222"/>
    <x v="3"/>
    <x v="0"/>
    <x v="8"/>
    <x v="2"/>
  </r>
  <r>
    <x v="223"/>
    <x v="36"/>
    <x v="6"/>
    <x v="6"/>
    <x v="223"/>
    <x v="223"/>
    <x v="223"/>
    <x v="1"/>
    <x v="0"/>
    <x v="8"/>
    <x v="1"/>
  </r>
  <r>
    <x v="224"/>
    <x v="37"/>
    <x v="6"/>
    <x v="6"/>
    <x v="224"/>
    <x v="224"/>
    <x v="224"/>
    <x v="3"/>
    <x v="0"/>
    <x v="8"/>
    <x v="2"/>
  </r>
  <r>
    <x v="225"/>
    <x v="38"/>
    <x v="6"/>
    <x v="6"/>
    <x v="225"/>
    <x v="225"/>
    <x v="225"/>
    <x v="1"/>
    <x v="0"/>
    <x v="8"/>
    <x v="1"/>
  </r>
  <r>
    <x v="226"/>
    <x v="39"/>
    <x v="6"/>
    <x v="6"/>
    <x v="226"/>
    <x v="226"/>
    <x v="226"/>
    <x v="3"/>
    <x v="0"/>
    <x v="8"/>
    <x v="2"/>
  </r>
  <r>
    <x v="227"/>
    <x v="40"/>
    <x v="6"/>
    <x v="6"/>
    <x v="227"/>
    <x v="227"/>
    <x v="227"/>
    <x v="0"/>
    <x v="0"/>
    <x v="0"/>
    <x v="0"/>
  </r>
  <r>
    <x v="228"/>
    <x v="41"/>
    <x v="6"/>
    <x v="6"/>
    <x v="228"/>
    <x v="228"/>
    <x v="228"/>
    <x v="3"/>
    <x v="0"/>
    <x v="8"/>
    <x v="2"/>
  </r>
  <r>
    <x v="229"/>
    <x v="42"/>
    <x v="6"/>
    <x v="6"/>
    <x v="229"/>
    <x v="229"/>
    <x v="229"/>
    <x v="1"/>
    <x v="0"/>
    <x v="8"/>
    <x v="1"/>
  </r>
  <r>
    <x v="230"/>
    <x v="43"/>
    <x v="6"/>
    <x v="6"/>
    <x v="230"/>
    <x v="230"/>
    <x v="230"/>
    <x v="3"/>
    <x v="0"/>
    <x v="8"/>
    <x v="2"/>
  </r>
  <r>
    <x v="231"/>
    <x v="0"/>
    <x v="7"/>
    <x v="7"/>
    <x v="231"/>
    <x v="231"/>
    <x v="231"/>
    <x v="3"/>
    <x v="0"/>
    <x v="8"/>
    <x v="2"/>
  </r>
  <r>
    <x v="232"/>
    <x v="1"/>
    <x v="7"/>
    <x v="7"/>
    <x v="232"/>
    <x v="232"/>
    <x v="232"/>
    <x v="3"/>
    <x v="0"/>
    <x v="8"/>
    <x v="2"/>
  </r>
  <r>
    <x v="233"/>
    <x v="2"/>
    <x v="7"/>
    <x v="7"/>
    <x v="233"/>
    <x v="233"/>
    <x v="233"/>
    <x v="3"/>
    <x v="0"/>
    <x v="8"/>
    <x v="2"/>
  </r>
  <r>
    <x v="234"/>
    <x v="3"/>
    <x v="7"/>
    <x v="7"/>
    <x v="234"/>
    <x v="234"/>
    <x v="234"/>
    <x v="3"/>
    <x v="0"/>
    <x v="8"/>
    <x v="2"/>
  </r>
  <r>
    <x v="235"/>
    <x v="4"/>
    <x v="7"/>
    <x v="7"/>
    <x v="235"/>
    <x v="235"/>
    <x v="235"/>
    <x v="0"/>
    <x v="0"/>
    <x v="0"/>
    <x v="0"/>
  </r>
  <r>
    <x v="236"/>
    <x v="5"/>
    <x v="7"/>
    <x v="7"/>
    <x v="236"/>
    <x v="236"/>
    <x v="236"/>
    <x v="0"/>
    <x v="0"/>
    <x v="0"/>
    <x v="0"/>
  </r>
  <r>
    <x v="237"/>
    <x v="6"/>
    <x v="7"/>
    <x v="7"/>
    <x v="237"/>
    <x v="237"/>
    <x v="237"/>
    <x v="1"/>
    <x v="0"/>
    <x v="8"/>
    <x v="1"/>
  </r>
  <r>
    <x v="238"/>
    <x v="7"/>
    <x v="7"/>
    <x v="7"/>
    <x v="238"/>
    <x v="238"/>
    <x v="238"/>
    <x v="1"/>
    <x v="0"/>
    <x v="8"/>
    <x v="1"/>
  </r>
  <r>
    <x v="239"/>
    <x v="8"/>
    <x v="7"/>
    <x v="7"/>
    <x v="239"/>
    <x v="239"/>
    <x v="239"/>
    <x v="3"/>
    <x v="0"/>
    <x v="8"/>
    <x v="2"/>
  </r>
  <r>
    <x v="240"/>
    <x v="9"/>
    <x v="7"/>
    <x v="7"/>
    <x v="240"/>
    <x v="240"/>
    <x v="240"/>
    <x v="3"/>
    <x v="0"/>
    <x v="8"/>
    <x v="2"/>
  </r>
  <r>
    <x v="241"/>
    <x v="10"/>
    <x v="7"/>
    <x v="7"/>
    <x v="241"/>
    <x v="241"/>
    <x v="241"/>
    <x v="3"/>
    <x v="0"/>
    <x v="8"/>
    <x v="2"/>
  </r>
  <r>
    <x v="242"/>
    <x v="11"/>
    <x v="7"/>
    <x v="7"/>
    <x v="242"/>
    <x v="242"/>
    <x v="242"/>
    <x v="0"/>
    <x v="0"/>
    <x v="0"/>
    <x v="0"/>
  </r>
  <r>
    <x v="243"/>
    <x v="12"/>
    <x v="7"/>
    <x v="7"/>
    <x v="243"/>
    <x v="243"/>
    <x v="243"/>
    <x v="3"/>
    <x v="0"/>
    <x v="8"/>
    <x v="2"/>
  </r>
  <r>
    <x v="244"/>
    <x v="13"/>
    <x v="7"/>
    <x v="7"/>
    <x v="244"/>
    <x v="244"/>
    <x v="244"/>
    <x v="0"/>
    <x v="0"/>
    <x v="0"/>
    <x v="0"/>
  </r>
  <r>
    <x v="245"/>
    <x v="14"/>
    <x v="7"/>
    <x v="7"/>
    <x v="245"/>
    <x v="245"/>
    <x v="245"/>
    <x v="3"/>
    <x v="0"/>
    <x v="8"/>
    <x v="2"/>
  </r>
  <r>
    <x v="246"/>
    <x v="15"/>
    <x v="7"/>
    <x v="7"/>
    <x v="246"/>
    <x v="246"/>
    <x v="246"/>
    <x v="1"/>
    <x v="0"/>
    <x v="8"/>
    <x v="1"/>
  </r>
  <r>
    <x v="247"/>
    <x v="16"/>
    <x v="8"/>
    <x v="7"/>
    <x v="247"/>
    <x v="247"/>
    <x v="247"/>
    <x v="1"/>
    <x v="0"/>
    <x v="8"/>
    <x v="1"/>
  </r>
  <r>
    <x v="248"/>
    <x v="17"/>
    <x v="8"/>
    <x v="7"/>
    <x v="248"/>
    <x v="248"/>
    <x v="248"/>
    <x v="0"/>
    <x v="0"/>
    <x v="0"/>
    <x v="0"/>
  </r>
  <r>
    <x v="249"/>
    <x v="18"/>
    <x v="8"/>
    <x v="7"/>
    <x v="249"/>
    <x v="249"/>
    <x v="249"/>
    <x v="3"/>
    <x v="0"/>
    <x v="8"/>
    <x v="2"/>
  </r>
  <r>
    <x v="250"/>
    <x v="19"/>
    <x v="8"/>
    <x v="7"/>
    <x v="250"/>
    <x v="250"/>
    <x v="250"/>
    <x v="0"/>
    <x v="0"/>
    <x v="0"/>
    <x v="0"/>
  </r>
  <r>
    <x v="251"/>
    <x v="20"/>
    <x v="8"/>
    <x v="7"/>
    <x v="251"/>
    <x v="251"/>
    <x v="251"/>
    <x v="0"/>
    <x v="0"/>
    <x v="0"/>
    <x v="0"/>
  </r>
  <r>
    <x v="252"/>
    <x v="21"/>
    <x v="8"/>
    <x v="7"/>
    <x v="252"/>
    <x v="252"/>
    <x v="252"/>
    <x v="0"/>
    <x v="0"/>
    <x v="0"/>
    <x v="0"/>
  </r>
  <r>
    <x v="253"/>
    <x v="22"/>
    <x v="8"/>
    <x v="7"/>
    <x v="253"/>
    <x v="253"/>
    <x v="253"/>
    <x v="1"/>
    <x v="0"/>
    <x v="8"/>
    <x v="1"/>
  </r>
  <r>
    <x v="254"/>
    <x v="23"/>
    <x v="8"/>
    <x v="7"/>
    <x v="254"/>
    <x v="254"/>
    <x v="254"/>
    <x v="0"/>
    <x v="0"/>
    <x v="0"/>
    <x v="0"/>
  </r>
  <r>
    <x v="255"/>
    <x v="24"/>
    <x v="8"/>
    <x v="7"/>
    <x v="255"/>
    <x v="255"/>
    <x v="255"/>
    <x v="3"/>
    <x v="0"/>
    <x v="8"/>
    <x v="2"/>
  </r>
  <r>
    <x v="256"/>
    <x v="25"/>
    <x v="8"/>
    <x v="7"/>
    <x v="256"/>
    <x v="256"/>
    <x v="256"/>
    <x v="0"/>
    <x v="0"/>
    <x v="0"/>
    <x v="0"/>
  </r>
  <r>
    <x v="257"/>
    <x v="26"/>
    <x v="8"/>
    <x v="7"/>
    <x v="257"/>
    <x v="257"/>
    <x v="257"/>
    <x v="0"/>
    <x v="0"/>
    <x v="0"/>
    <x v="0"/>
  </r>
  <r>
    <x v="258"/>
    <x v="27"/>
    <x v="8"/>
    <x v="7"/>
    <x v="258"/>
    <x v="258"/>
    <x v="258"/>
    <x v="0"/>
    <x v="0"/>
    <x v="0"/>
    <x v="0"/>
  </r>
  <r>
    <x v="259"/>
    <x v="28"/>
    <x v="8"/>
    <x v="7"/>
    <x v="259"/>
    <x v="259"/>
    <x v="259"/>
    <x v="3"/>
    <x v="0"/>
    <x v="8"/>
    <x v="2"/>
  </r>
  <r>
    <x v="260"/>
    <x v="29"/>
    <x v="8"/>
    <x v="7"/>
    <x v="260"/>
    <x v="260"/>
    <x v="260"/>
    <x v="1"/>
    <x v="0"/>
    <x v="8"/>
    <x v="1"/>
  </r>
  <r>
    <x v="261"/>
    <x v="30"/>
    <x v="8"/>
    <x v="7"/>
    <x v="261"/>
    <x v="261"/>
    <x v="261"/>
    <x v="0"/>
    <x v="0"/>
    <x v="0"/>
    <x v="0"/>
  </r>
  <r>
    <x v="262"/>
    <x v="31"/>
    <x v="8"/>
    <x v="7"/>
    <x v="262"/>
    <x v="262"/>
    <x v="262"/>
    <x v="0"/>
    <x v="0"/>
    <x v="0"/>
    <x v="0"/>
  </r>
  <r>
    <x v="263"/>
    <x v="32"/>
    <x v="8"/>
    <x v="7"/>
    <x v="263"/>
    <x v="263"/>
    <x v="263"/>
    <x v="3"/>
    <x v="0"/>
    <x v="8"/>
    <x v="2"/>
  </r>
  <r>
    <x v="264"/>
    <x v="33"/>
    <x v="8"/>
    <x v="7"/>
    <x v="264"/>
    <x v="264"/>
    <x v="264"/>
    <x v="0"/>
    <x v="0"/>
    <x v="0"/>
    <x v="0"/>
  </r>
  <r>
    <x v="265"/>
    <x v="34"/>
    <x v="8"/>
    <x v="7"/>
    <x v="265"/>
    <x v="265"/>
    <x v="265"/>
    <x v="0"/>
    <x v="0"/>
    <x v="0"/>
    <x v="0"/>
  </r>
  <r>
    <x v="266"/>
    <x v="35"/>
    <x v="8"/>
    <x v="7"/>
    <x v="266"/>
    <x v="266"/>
    <x v="266"/>
    <x v="0"/>
    <x v="0"/>
    <x v="0"/>
    <x v="0"/>
  </r>
  <r>
    <x v="267"/>
    <x v="36"/>
    <x v="8"/>
    <x v="7"/>
    <x v="267"/>
    <x v="267"/>
    <x v="267"/>
    <x v="3"/>
    <x v="0"/>
    <x v="8"/>
    <x v="2"/>
  </r>
  <r>
    <x v="268"/>
    <x v="37"/>
    <x v="8"/>
    <x v="7"/>
    <x v="268"/>
    <x v="268"/>
    <x v="268"/>
    <x v="0"/>
    <x v="0"/>
    <x v="0"/>
    <x v="0"/>
  </r>
  <r>
    <x v="269"/>
    <x v="38"/>
    <x v="9"/>
    <x v="7"/>
    <x v="269"/>
    <x v="269"/>
    <x v="269"/>
    <x v="3"/>
    <x v="0"/>
    <x v="8"/>
    <x v="2"/>
  </r>
  <r>
    <x v="270"/>
    <x v="39"/>
    <x v="9"/>
    <x v="7"/>
    <x v="270"/>
    <x v="270"/>
    <x v="270"/>
    <x v="3"/>
    <x v="0"/>
    <x v="8"/>
    <x v="2"/>
  </r>
  <r>
    <x v="271"/>
    <x v="40"/>
    <x v="9"/>
    <x v="7"/>
    <x v="271"/>
    <x v="271"/>
    <x v="271"/>
    <x v="0"/>
    <x v="0"/>
    <x v="0"/>
    <x v="0"/>
  </r>
  <r>
    <x v="272"/>
    <x v="41"/>
    <x v="10"/>
    <x v="7"/>
    <x v="272"/>
    <x v="272"/>
    <x v="272"/>
    <x v="1"/>
    <x v="0"/>
    <x v="8"/>
    <x v="1"/>
  </r>
  <r>
    <x v="273"/>
    <x v="42"/>
    <x v="10"/>
    <x v="7"/>
    <x v="273"/>
    <x v="273"/>
    <x v="273"/>
    <x v="0"/>
    <x v="0"/>
    <x v="0"/>
    <x v="0"/>
  </r>
  <r>
    <x v="274"/>
    <x v="43"/>
    <x v="10"/>
    <x v="7"/>
    <x v="274"/>
    <x v="274"/>
    <x v="274"/>
    <x v="1"/>
    <x v="0"/>
    <x v="8"/>
    <x v="1"/>
  </r>
  <r>
    <x v="275"/>
    <x v="44"/>
    <x v="10"/>
    <x v="7"/>
    <x v="275"/>
    <x v="275"/>
    <x v="275"/>
    <x v="3"/>
    <x v="0"/>
    <x v="8"/>
    <x v="2"/>
  </r>
  <r>
    <x v="276"/>
    <x v="45"/>
    <x v="10"/>
    <x v="7"/>
    <x v="276"/>
    <x v="276"/>
    <x v="276"/>
    <x v="3"/>
    <x v="0"/>
    <x v="8"/>
    <x v="2"/>
  </r>
  <r>
    <x v="277"/>
    <x v="46"/>
    <x v="10"/>
    <x v="7"/>
    <x v="277"/>
    <x v="277"/>
    <x v="277"/>
    <x v="1"/>
    <x v="0"/>
    <x v="8"/>
    <x v="1"/>
  </r>
  <r>
    <x v="278"/>
    <x v="47"/>
    <x v="10"/>
    <x v="7"/>
    <x v="278"/>
    <x v="278"/>
    <x v="278"/>
    <x v="1"/>
    <x v="0"/>
    <x v="8"/>
    <x v="1"/>
  </r>
  <r>
    <x v="279"/>
    <x v="48"/>
    <x v="10"/>
    <x v="7"/>
    <x v="279"/>
    <x v="279"/>
    <x v="279"/>
    <x v="0"/>
    <x v="0"/>
    <x v="0"/>
    <x v="0"/>
  </r>
  <r>
    <x v="280"/>
    <x v="49"/>
    <x v="10"/>
    <x v="7"/>
    <x v="280"/>
    <x v="280"/>
    <x v="280"/>
    <x v="1"/>
    <x v="0"/>
    <x v="8"/>
    <x v="1"/>
  </r>
  <r>
    <x v="281"/>
    <x v="50"/>
    <x v="10"/>
    <x v="7"/>
    <x v="281"/>
    <x v="281"/>
    <x v="281"/>
    <x v="1"/>
    <x v="0"/>
    <x v="8"/>
    <x v="1"/>
  </r>
  <r>
    <x v="282"/>
    <x v="51"/>
    <x v="7"/>
    <x v="7"/>
    <x v="282"/>
    <x v="282"/>
    <x v="282"/>
    <x v="3"/>
    <x v="0"/>
    <x v="8"/>
    <x v="2"/>
  </r>
  <r>
    <x v="283"/>
    <x v="52"/>
    <x v="7"/>
    <x v="7"/>
    <x v="283"/>
    <x v="283"/>
    <x v="283"/>
    <x v="1"/>
    <x v="0"/>
    <x v="8"/>
    <x v="1"/>
  </r>
  <r>
    <x v="284"/>
    <x v="53"/>
    <x v="7"/>
    <x v="7"/>
    <x v="284"/>
    <x v="284"/>
    <x v="284"/>
    <x v="1"/>
    <x v="0"/>
    <x v="8"/>
    <x v="1"/>
  </r>
  <r>
    <x v="285"/>
    <x v="0"/>
    <x v="7"/>
    <x v="8"/>
    <x v="285"/>
    <x v="285"/>
    <x v="285"/>
    <x v="3"/>
    <x v="0"/>
    <x v="8"/>
    <x v="2"/>
  </r>
  <r>
    <x v="286"/>
    <x v="1"/>
    <x v="8"/>
    <x v="8"/>
    <x v="286"/>
    <x v="286"/>
    <x v="286"/>
    <x v="1"/>
    <x v="0"/>
    <x v="8"/>
    <x v="1"/>
  </r>
  <r>
    <x v="287"/>
    <x v="2"/>
    <x v="8"/>
    <x v="8"/>
    <x v="287"/>
    <x v="287"/>
    <x v="287"/>
    <x v="0"/>
    <x v="0"/>
    <x v="0"/>
    <x v="0"/>
  </r>
  <r>
    <x v="288"/>
    <x v="3"/>
    <x v="8"/>
    <x v="8"/>
    <x v="288"/>
    <x v="288"/>
    <x v="288"/>
    <x v="3"/>
    <x v="0"/>
    <x v="8"/>
    <x v="2"/>
  </r>
  <r>
    <x v="289"/>
    <x v="4"/>
    <x v="8"/>
    <x v="8"/>
    <x v="289"/>
    <x v="289"/>
    <x v="289"/>
    <x v="3"/>
    <x v="0"/>
    <x v="8"/>
    <x v="2"/>
  </r>
  <r>
    <x v="290"/>
    <x v="5"/>
    <x v="9"/>
    <x v="8"/>
    <x v="290"/>
    <x v="290"/>
    <x v="290"/>
    <x v="3"/>
    <x v="0"/>
    <x v="8"/>
    <x v="2"/>
  </r>
  <r>
    <x v="291"/>
    <x v="6"/>
    <x v="10"/>
    <x v="8"/>
    <x v="291"/>
    <x v="291"/>
    <x v="291"/>
    <x v="1"/>
    <x v="0"/>
    <x v="8"/>
    <x v="1"/>
  </r>
  <r>
    <x v="292"/>
    <x v="7"/>
    <x v="10"/>
    <x v="8"/>
    <x v="292"/>
    <x v="292"/>
    <x v="292"/>
    <x v="1"/>
    <x v="0"/>
    <x v="8"/>
    <x v="1"/>
  </r>
  <r>
    <x v="293"/>
    <x v="8"/>
    <x v="10"/>
    <x v="8"/>
    <x v="293"/>
    <x v="293"/>
    <x v="293"/>
    <x v="3"/>
    <x v="0"/>
    <x v="8"/>
    <x v="2"/>
  </r>
  <r>
    <x v="294"/>
    <x v="9"/>
    <x v="10"/>
    <x v="8"/>
    <x v="294"/>
    <x v="294"/>
    <x v="294"/>
    <x v="0"/>
    <x v="0"/>
    <x v="0"/>
    <x v="0"/>
  </r>
  <r>
    <x v="295"/>
    <x v="10"/>
    <x v="10"/>
    <x v="8"/>
    <x v="295"/>
    <x v="295"/>
    <x v="295"/>
    <x v="1"/>
    <x v="0"/>
    <x v="8"/>
    <x v="1"/>
  </r>
  <r>
    <x v="296"/>
    <x v="11"/>
    <x v="10"/>
    <x v="8"/>
    <x v="296"/>
    <x v="296"/>
    <x v="296"/>
    <x v="3"/>
    <x v="0"/>
    <x v="8"/>
    <x v="2"/>
  </r>
  <r>
    <x v="297"/>
    <x v="12"/>
    <x v="10"/>
    <x v="8"/>
    <x v="297"/>
    <x v="297"/>
    <x v="297"/>
    <x v="0"/>
    <x v="0"/>
    <x v="0"/>
    <x v="0"/>
  </r>
  <r>
    <x v="298"/>
    <x v="13"/>
    <x v="10"/>
    <x v="8"/>
    <x v="298"/>
    <x v="298"/>
    <x v="298"/>
    <x v="0"/>
    <x v="0"/>
    <x v="0"/>
    <x v="0"/>
  </r>
  <r>
    <x v="299"/>
    <x v="14"/>
    <x v="10"/>
    <x v="8"/>
    <x v="299"/>
    <x v="299"/>
    <x v="299"/>
    <x v="1"/>
    <x v="0"/>
    <x v="8"/>
    <x v="1"/>
  </r>
  <r>
    <x v="300"/>
    <x v="15"/>
    <x v="10"/>
    <x v="8"/>
    <x v="300"/>
    <x v="300"/>
    <x v="300"/>
    <x v="0"/>
    <x v="0"/>
    <x v="0"/>
    <x v="0"/>
  </r>
  <r>
    <x v="301"/>
    <x v="16"/>
    <x v="10"/>
    <x v="8"/>
    <x v="301"/>
    <x v="301"/>
    <x v="301"/>
    <x v="0"/>
    <x v="0"/>
    <x v="0"/>
    <x v="0"/>
  </r>
  <r>
    <x v="302"/>
    <x v="17"/>
    <x v="7"/>
    <x v="8"/>
    <x v="302"/>
    <x v="302"/>
    <x v="302"/>
    <x v="1"/>
    <x v="0"/>
    <x v="8"/>
    <x v="1"/>
  </r>
  <r>
    <x v="303"/>
    <x v="18"/>
    <x v="7"/>
    <x v="8"/>
    <x v="303"/>
    <x v="303"/>
    <x v="303"/>
    <x v="0"/>
    <x v="0"/>
    <x v="0"/>
    <x v="0"/>
  </r>
  <r>
    <x v="304"/>
    <x v="19"/>
    <x v="7"/>
    <x v="8"/>
    <x v="304"/>
    <x v="304"/>
    <x v="304"/>
    <x v="3"/>
    <x v="0"/>
    <x v="8"/>
    <x v="2"/>
  </r>
  <r>
    <x v="305"/>
    <x v="20"/>
    <x v="7"/>
    <x v="8"/>
    <x v="305"/>
    <x v="305"/>
    <x v="305"/>
    <x v="0"/>
    <x v="0"/>
    <x v="0"/>
    <x v="0"/>
  </r>
  <r>
    <x v="306"/>
    <x v="21"/>
    <x v="8"/>
    <x v="8"/>
    <x v="306"/>
    <x v="306"/>
    <x v="306"/>
    <x v="3"/>
    <x v="0"/>
    <x v="8"/>
    <x v="2"/>
  </r>
  <r>
    <x v="307"/>
    <x v="22"/>
    <x v="8"/>
    <x v="8"/>
    <x v="307"/>
    <x v="307"/>
    <x v="307"/>
    <x v="1"/>
    <x v="0"/>
    <x v="8"/>
    <x v="1"/>
  </r>
  <r>
    <x v="308"/>
    <x v="23"/>
    <x v="8"/>
    <x v="8"/>
    <x v="308"/>
    <x v="308"/>
    <x v="308"/>
    <x v="3"/>
    <x v="0"/>
    <x v="8"/>
    <x v="2"/>
  </r>
  <r>
    <x v="309"/>
    <x v="24"/>
    <x v="8"/>
    <x v="8"/>
    <x v="309"/>
    <x v="309"/>
    <x v="309"/>
    <x v="0"/>
    <x v="0"/>
    <x v="0"/>
    <x v="0"/>
  </r>
  <r>
    <x v="310"/>
    <x v="25"/>
    <x v="7"/>
    <x v="8"/>
    <x v="310"/>
    <x v="310"/>
    <x v="310"/>
    <x v="0"/>
    <x v="0"/>
    <x v="0"/>
    <x v="0"/>
  </r>
  <r>
    <x v="311"/>
    <x v="26"/>
    <x v="7"/>
    <x v="8"/>
    <x v="311"/>
    <x v="311"/>
    <x v="311"/>
    <x v="0"/>
    <x v="0"/>
    <x v="0"/>
    <x v="0"/>
  </r>
  <r>
    <x v="312"/>
    <x v="27"/>
    <x v="7"/>
    <x v="8"/>
    <x v="312"/>
    <x v="312"/>
    <x v="312"/>
    <x v="3"/>
    <x v="0"/>
    <x v="8"/>
    <x v="2"/>
  </r>
  <r>
    <x v="313"/>
    <x v="28"/>
    <x v="7"/>
    <x v="8"/>
    <x v="313"/>
    <x v="313"/>
    <x v="313"/>
    <x v="0"/>
    <x v="0"/>
    <x v="0"/>
    <x v="0"/>
  </r>
  <r>
    <x v="314"/>
    <x v="29"/>
    <x v="9"/>
    <x v="8"/>
    <x v="314"/>
    <x v="314"/>
    <x v="314"/>
    <x v="1"/>
    <x v="0"/>
    <x v="8"/>
    <x v="1"/>
  </r>
  <r>
    <x v="315"/>
    <x v="30"/>
    <x v="10"/>
    <x v="8"/>
    <x v="315"/>
    <x v="315"/>
    <x v="315"/>
    <x v="3"/>
    <x v="0"/>
    <x v="8"/>
    <x v="2"/>
  </r>
  <r>
    <x v="316"/>
    <x v="31"/>
    <x v="10"/>
    <x v="8"/>
    <x v="316"/>
    <x v="316"/>
    <x v="316"/>
    <x v="0"/>
    <x v="0"/>
    <x v="0"/>
    <x v="0"/>
  </r>
  <r>
    <x v="317"/>
    <x v="32"/>
    <x v="10"/>
    <x v="8"/>
    <x v="317"/>
    <x v="317"/>
    <x v="317"/>
    <x v="1"/>
    <x v="0"/>
    <x v="8"/>
    <x v="1"/>
  </r>
  <r>
    <x v="318"/>
    <x v="33"/>
    <x v="10"/>
    <x v="8"/>
    <x v="318"/>
    <x v="318"/>
    <x v="318"/>
    <x v="3"/>
    <x v="0"/>
    <x v="8"/>
    <x v="2"/>
  </r>
  <r>
    <x v="319"/>
    <x v="34"/>
    <x v="10"/>
    <x v="8"/>
    <x v="319"/>
    <x v="317"/>
    <x v="317"/>
    <x v="0"/>
    <x v="0"/>
    <x v="0"/>
    <x v="0"/>
  </r>
  <r>
    <x v="320"/>
    <x v="35"/>
    <x v="8"/>
    <x v="8"/>
    <x v="320"/>
    <x v="319"/>
    <x v="319"/>
    <x v="3"/>
    <x v="0"/>
    <x v="8"/>
    <x v="2"/>
  </r>
  <r>
    <x v="321"/>
    <x v="36"/>
    <x v="10"/>
    <x v="8"/>
    <x v="321"/>
    <x v="320"/>
    <x v="320"/>
    <x v="3"/>
    <x v="0"/>
    <x v="8"/>
    <x v="2"/>
  </r>
  <r>
    <x v="322"/>
    <x v="37"/>
    <x v="7"/>
    <x v="8"/>
    <x v="322"/>
    <x v="321"/>
    <x v="321"/>
    <x v="3"/>
    <x v="0"/>
    <x v="8"/>
    <x v="2"/>
  </r>
  <r>
    <x v="323"/>
    <x v="38"/>
    <x v="7"/>
    <x v="8"/>
    <x v="323"/>
    <x v="322"/>
    <x v="322"/>
    <x v="3"/>
    <x v="0"/>
    <x v="8"/>
    <x v="2"/>
  </r>
  <r>
    <x v="324"/>
    <x v="39"/>
    <x v="8"/>
    <x v="8"/>
    <x v="324"/>
    <x v="323"/>
    <x v="323"/>
    <x v="3"/>
    <x v="0"/>
    <x v="8"/>
    <x v="2"/>
  </r>
  <r>
    <x v="325"/>
    <x v="40"/>
    <x v="8"/>
    <x v="8"/>
    <x v="325"/>
    <x v="324"/>
    <x v="324"/>
    <x v="1"/>
    <x v="0"/>
    <x v="8"/>
    <x v="1"/>
  </r>
  <r>
    <x v="326"/>
    <x v="41"/>
    <x v="11"/>
    <x v="8"/>
    <x v="326"/>
    <x v="325"/>
    <x v="325"/>
    <x v="3"/>
    <x v="0"/>
    <x v="8"/>
    <x v="2"/>
  </r>
  <r>
    <x v="327"/>
    <x v="42"/>
    <x v="11"/>
    <x v="8"/>
    <x v="327"/>
    <x v="326"/>
    <x v="326"/>
    <x v="1"/>
    <x v="0"/>
    <x v="8"/>
    <x v="1"/>
  </r>
  <r>
    <x v="328"/>
    <x v="43"/>
    <x v="11"/>
    <x v="8"/>
    <x v="328"/>
    <x v="327"/>
    <x v="327"/>
    <x v="1"/>
    <x v="0"/>
    <x v="8"/>
    <x v="1"/>
  </r>
  <r>
    <x v="329"/>
    <x v="44"/>
    <x v="11"/>
    <x v="8"/>
    <x v="329"/>
    <x v="328"/>
    <x v="328"/>
    <x v="1"/>
    <x v="0"/>
    <x v="8"/>
    <x v="1"/>
  </r>
  <r>
    <x v="330"/>
    <x v="45"/>
    <x v="11"/>
    <x v="8"/>
    <x v="330"/>
    <x v="329"/>
    <x v="329"/>
    <x v="3"/>
    <x v="0"/>
    <x v="8"/>
    <x v="2"/>
  </r>
  <r>
    <x v="331"/>
    <x v="46"/>
    <x v="11"/>
    <x v="8"/>
    <x v="331"/>
    <x v="330"/>
    <x v="330"/>
    <x v="1"/>
    <x v="0"/>
    <x v="8"/>
    <x v="1"/>
  </r>
  <r>
    <x v="332"/>
    <x v="47"/>
    <x v="11"/>
    <x v="8"/>
    <x v="332"/>
    <x v="331"/>
    <x v="331"/>
    <x v="3"/>
    <x v="0"/>
    <x v="8"/>
    <x v="2"/>
  </r>
  <r>
    <x v="333"/>
    <x v="48"/>
    <x v="11"/>
    <x v="8"/>
    <x v="333"/>
    <x v="332"/>
    <x v="332"/>
    <x v="3"/>
    <x v="0"/>
    <x v="8"/>
    <x v="2"/>
  </r>
  <r>
    <x v="334"/>
    <x v="49"/>
    <x v="11"/>
    <x v="8"/>
    <x v="334"/>
    <x v="333"/>
    <x v="333"/>
    <x v="3"/>
    <x v="0"/>
    <x v="8"/>
    <x v="2"/>
  </r>
  <r>
    <x v="335"/>
    <x v="0"/>
    <x v="7"/>
    <x v="9"/>
    <x v="335"/>
    <x v="334"/>
    <x v="334"/>
    <x v="3"/>
    <x v="0"/>
    <x v="8"/>
    <x v="2"/>
  </r>
  <r>
    <x v="336"/>
    <x v="1"/>
    <x v="7"/>
    <x v="9"/>
    <x v="336"/>
    <x v="335"/>
    <x v="335"/>
    <x v="1"/>
    <x v="0"/>
    <x v="8"/>
    <x v="1"/>
  </r>
  <r>
    <x v="337"/>
    <x v="2"/>
    <x v="7"/>
    <x v="9"/>
    <x v="337"/>
    <x v="336"/>
    <x v="336"/>
    <x v="3"/>
    <x v="0"/>
    <x v="8"/>
    <x v="2"/>
  </r>
  <r>
    <x v="338"/>
    <x v="3"/>
    <x v="7"/>
    <x v="9"/>
    <x v="338"/>
    <x v="337"/>
    <x v="337"/>
    <x v="3"/>
    <x v="0"/>
    <x v="8"/>
    <x v="2"/>
  </r>
  <r>
    <x v="339"/>
    <x v="4"/>
    <x v="7"/>
    <x v="9"/>
    <x v="339"/>
    <x v="338"/>
    <x v="338"/>
    <x v="1"/>
    <x v="0"/>
    <x v="8"/>
    <x v="1"/>
  </r>
  <r>
    <x v="340"/>
    <x v="5"/>
    <x v="7"/>
    <x v="9"/>
    <x v="340"/>
    <x v="339"/>
    <x v="339"/>
    <x v="3"/>
    <x v="0"/>
    <x v="8"/>
    <x v="2"/>
  </r>
  <r>
    <x v="341"/>
    <x v="6"/>
    <x v="7"/>
    <x v="9"/>
    <x v="341"/>
    <x v="340"/>
    <x v="340"/>
    <x v="3"/>
    <x v="0"/>
    <x v="8"/>
    <x v="2"/>
  </r>
  <r>
    <x v="342"/>
    <x v="7"/>
    <x v="7"/>
    <x v="9"/>
    <x v="342"/>
    <x v="341"/>
    <x v="341"/>
    <x v="3"/>
    <x v="0"/>
    <x v="8"/>
    <x v="2"/>
  </r>
  <r>
    <x v="343"/>
    <x v="8"/>
    <x v="7"/>
    <x v="9"/>
    <x v="343"/>
    <x v="342"/>
    <x v="342"/>
    <x v="3"/>
    <x v="0"/>
    <x v="8"/>
    <x v="2"/>
  </r>
  <r>
    <x v="344"/>
    <x v="9"/>
    <x v="7"/>
    <x v="9"/>
    <x v="344"/>
    <x v="343"/>
    <x v="343"/>
    <x v="1"/>
    <x v="0"/>
    <x v="8"/>
    <x v="1"/>
  </r>
  <r>
    <x v="345"/>
    <x v="10"/>
    <x v="7"/>
    <x v="9"/>
    <x v="345"/>
    <x v="344"/>
    <x v="344"/>
    <x v="3"/>
    <x v="0"/>
    <x v="8"/>
    <x v="2"/>
  </r>
  <r>
    <x v="346"/>
    <x v="11"/>
    <x v="7"/>
    <x v="9"/>
    <x v="346"/>
    <x v="345"/>
    <x v="345"/>
    <x v="3"/>
    <x v="0"/>
    <x v="8"/>
    <x v="2"/>
  </r>
  <r>
    <x v="347"/>
    <x v="12"/>
    <x v="7"/>
    <x v="9"/>
    <x v="347"/>
    <x v="346"/>
    <x v="346"/>
    <x v="1"/>
    <x v="0"/>
    <x v="8"/>
    <x v="1"/>
  </r>
  <r>
    <x v="348"/>
    <x v="13"/>
    <x v="7"/>
    <x v="9"/>
    <x v="348"/>
    <x v="347"/>
    <x v="347"/>
    <x v="0"/>
    <x v="0"/>
    <x v="0"/>
    <x v="0"/>
  </r>
  <r>
    <x v="349"/>
    <x v="14"/>
    <x v="7"/>
    <x v="9"/>
    <x v="349"/>
    <x v="348"/>
    <x v="348"/>
    <x v="3"/>
    <x v="0"/>
    <x v="8"/>
    <x v="2"/>
  </r>
  <r>
    <x v="350"/>
    <x v="15"/>
    <x v="7"/>
    <x v="9"/>
    <x v="350"/>
    <x v="349"/>
    <x v="349"/>
    <x v="1"/>
    <x v="0"/>
    <x v="8"/>
    <x v="1"/>
  </r>
  <r>
    <x v="351"/>
    <x v="16"/>
    <x v="7"/>
    <x v="9"/>
    <x v="351"/>
    <x v="350"/>
    <x v="350"/>
    <x v="1"/>
    <x v="0"/>
    <x v="8"/>
    <x v="1"/>
  </r>
  <r>
    <x v="352"/>
    <x v="17"/>
    <x v="7"/>
    <x v="9"/>
    <x v="352"/>
    <x v="351"/>
    <x v="351"/>
    <x v="3"/>
    <x v="0"/>
    <x v="8"/>
    <x v="2"/>
  </r>
  <r>
    <x v="353"/>
    <x v="0"/>
    <x v="12"/>
    <x v="10"/>
    <x v="353"/>
    <x v="352"/>
    <x v="352"/>
    <x v="3"/>
    <x v="0"/>
    <x v="8"/>
    <x v="2"/>
  </r>
  <r>
    <x v="354"/>
    <x v="1"/>
    <x v="12"/>
    <x v="10"/>
    <x v="354"/>
    <x v="353"/>
    <x v="353"/>
    <x v="1"/>
    <x v="0"/>
    <x v="8"/>
    <x v="1"/>
  </r>
  <r>
    <x v="355"/>
    <x v="2"/>
    <x v="12"/>
    <x v="10"/>
    <x v="355"/>
    <x v="354"/>
    <x v="354"/>
    <x v="1"/>
    <x v="0"/>
    <x v="8"/>
    <x v="1"/>
  </r>
  <r>
    <x v="356"/>
    <x v="3"/>
    <x v="12"/>
    <x v="10"/>
    <x v="356"/>
    <x v="355"/>
    <x v="355"/>
    <x v="3"/>
    <x v="0"/>
    <x v="8"/>
    <x v="2"/>
  </r>
  <r>
    <x v="357"/>
    <x v="4"/>
    <x v="12"/>
    <x v="10"/>
    <x v="357"/>
    <x v="356"/>
    <x v="356"/>
    <x v="3"/>
    <x v="0"/>
    <x v="8"/>
    <x v="2"/>
  </r>
  <r>
    <x v="358"/>
    <x v="5"/>
    <x v="12"/>
    <x v="10"/>
    <x v="358"/>
    <x v="357"/>
    <x v="357"/>
    <x v="3"/>
    <x v="0"/>
    <x v="8"/>
    <x v="2"/>
  </r>
  <r>
    <x v="359"/>
    <x v="6"/>
    <x v="12"/>
    <x v="10"/>
    <x v="359"/>
    <x v="358"/>
    <x v="358"/>
    <x v="1"/>
    <x v="0"/>
    <x v="8"/>
    <x v="1"/>
  </r>
  <r>
    <x v="360"/>
    <x v="7"/>
    <x v="12"/>
    <x v="10"/>
    <x v="360"/>
    <x v="359"/>
    <x v="359"/>
    <x v="3"/>
    <x v="0"/>
    <x v="8"/>
    <x v="2"/>
  </r>
  <r>
    <x v="361"/>
    <x v="8"/>
    <x v="12"/>
    <x v="10"/>
    <x v="361"/>
    <x v="360"/>
    <x v="360"/>
    <x v="1"/>
    <x v="0"/>
    <x v="8"/>
    <x v="1"/>
  </r>
  <r>
    <x v="362"/>
    <x v="9"/>
    <x v="12"/>
    <x v="10"/>
    <x v="362"/>
    <x v="361"/>
    <x v="361"/>
    <x v="3"/>
    <x v="0"/>
    <x v="8"/>
    <x v="2"/>
  </r>
  <r>
    <x v="363"/>
    <x v="10"/>
    <x v="12"/>
    <x v="10"/>
    <x v="363"/>
    <x v="362"/>
    <x v="362"/>
    <x v="3"/>
    <x v="0"/>
    <x v="8"/>
    <x v="2"/>
  </r>
  <r>
    <x v="364"/>
    <x v="11"/>
    <x v="12"/>
    <x v="10"/>
    <x v="364"/>
    <x v="363"/>
    <x v="363"/>
    <x v="3"/>
    <x v="0"/>
    <x v="8"/>
    <x v="2"/>
  </r>
  <r>
    <x v="365"/>
    <x v="12"/>
    <x v="12"/>
    <x v="10"/>
    <x v="365"/>
    <x v="364"/>
    <x v="364"/>
    <x v="1"/>
    <x v="0"/>
    <x v="8"/>
    <x v="1"/>
  </r>
  <r>
    <x v="366"/>
    <x v="13"/>
    <x v="12"/>
    <x v="10"/>
    <x v="366"/>
    <x v="365"/>
    <x v="365"/>
    <x v="3"/>
    <x v="0"/>
    <x v="8"/>
    <x v="2"/>
  </r>
  <r>
    <x v="367"/>
    <x v="14"/>
    <x v="12"/>
    <x v="10"/>
    <x v="367"/>
    <x v="366"/>
    <x v="366"/>
    <x v="3"/>
    <x v="0"/>
    <x v="8"/>
    <x v="2"/>
  </r>
  <r>
    <x v="368"/>
    <x v="15"/>
    <x v="12"/>
    <x v="10"/>
    <x v="368"/>
    <x v="367"/>
    <x v="367"/>
    <x v="3"/>
    <x v="0"/>
    <x v="8"/>
    <x v="2"/>
  </r>
  <r>
    <x v="369"/>
    <x v="16"/>
    <x v="12"/>
    <x v="10"/>
    <x v="369"/>
    <x v="368"/>
    <x v="368"/>
    <x v="3"/>
    <x v="0"/>
    <x v="8"/>
    <x v="2"/>
  </r>
  <r>
    <x v="370"/>
    <x v="17"/>
    <x v="12"/>
    <x v="10"/>
    <x v="370"/>
    <x v="369"/>
    <x v="369"/>
    <x v="1"/>
    <x v="0"/>
    <x v="8"/>
    <x v="1"/>
  </r>
  <r>
    <x v="371"/>
    <x v="18"/>
    <x v="12"/>
    <x v="10"/>
    <x v="371"/>
    <x v="370"/>
    <x v="370"/>
    <x v="0"/>
    <x v="0"/>
    <x v="0"/>
    <x v="0"/>
  </r>
  <r>
    <x v="372"/>
    <x v="19"/>
    <x v="12"/>
    <x v="10"/>
    <x v="372"/>
    <x v="371"/>
    <x v="371"/>
    <x v="3"/>
    <x v="0"/>
    <x v="8"/>
    <x v="2"/>
  </r>
  <r>
    <x v="373"/>
    <x v="20"/>
    <x v="12"/>
    <x v="10"/>
    <x v="373"/>
    <x v="372"/>
    <x v="372"/>
    <x v="3"/>
    <x v="0"/>
    <x v="8"/>
    <x v="2"/>
  </r>
  <r>
    <x v="374"/>
    <x v="21"/>
    <x v="12"/>
    <x v="10"/>
    <x v="374"/>
    <x v="373"/>
    <x v="373"/>
    <x v="0"/>
    <x v="0"/>
    <x v="0"/>
    <x v="0"/>
  </r>
  <r>
    <x v="375"/>
    <x v="22"/>
    <x v="12"/>
    <x v="10"/>
    <x v="375"/>
    <x v="374"/>
    <x v="374"/>
    <x v="3"/>
    <x v="0"/>
    <x v="8"/>
    <x v="2"/>
  </r>
  <r>
    <x v="376"/>
    <x v="23"/>
    <x v="12"/>
    <x v="10"/>
    <x v="376"/>
    <x v="375"/>
    <x v="375"/>
    <x v="0"/>
    <x v="0"/>
    <x v="0"/>
    <x v="0"/>
  </r>
  <r>
    <x v="377"/>
    <x v="24"/>
    <x v="12"/>
    <x v="10"/>
    <x v="377"/>
    <x v="376"/>
    <x v="376"/>
    <x v="1"/>
    <x v="0"/>
    <x v="8"/>
    <x v="1"/>
  </r>
  <r>
    <x v="378"/>
    <x v="25"/>
    <x v="12"/>
    <x v="10"/>
    <x v="378"/>
    <x v="377"/>
    <x v="377"/>
    <x v="1"/>
    <x v="0"/>
    <x v="8"/>
    <x v="1"/>
  </r>
  <r>
    <x v="379"/>
    <x v="26"/>
    <x v="12"/>
    <x v="10"/>
    <x v="379"/>
    <x v="378"/>
    <x v="378"/>
    <x v="1"/>
    <x v="0"/>
    <x v="8"/>
    <x v="1"/>
  </r>
  <r>
    <x v="380"/>
    <x v="27"/>
    <x v="12"/>
    <x v="10"/>
    <x v="380"/>
    <x v="379"/>
    <x v="379"/>
    <x v="3"/>
    <x v="0"/>
    <x v="8"/>
    <x v="2"/>
  </r>
  <r>
    <x v="381"/>
    <x v="28"/>
    <x v="12"/>
    <x v="10"/>
    <x v="381"/>
    <x v="380"/>
    <x v="380"/>
    <x v="0"/>
    <x v="0"/>
    <x v="0"/>
    <x v="0"/>
  </r>
  <r>
    <x v="382"/>
    <x v="29"/>
    <x v="12"/>
    <x v="10"/>
    <x v="382"/>
    <x v="381"/>
    <x v="381"/>
    <x v="1"/>
    <x v="0"/>
    <x v="8"/>
    <x v="1"/>
  </r>
  <r>
    <x v="383"/>
    <x v="30"/>
    <x v="12"/>
    <x v="10"/>
    <x v="383"/>
    <x v="382"/>
    <x v="382"/>
    <x v="1"/>
    <x v="0"/>
    <x v="8"/>
    <x v="1"/>
  </r>
  <r>
    <x v="384"/>
    <x v="31"/>
    <x v="12"/>
    <x v="10"/>
    <x v="384"/>
    <x v="383"/>
    <x v="383"/>
    <x v="1"/>
    <x v="0"/>
    <x v="8"/>
    <x v="1"/>
  </r>
  <r>
    <x v="385"/>
    <x v="32"/>
    <x v="12"/>
    <x v="10"/>
    <x v="385"/>
    <x v="384"/>
    <x v="384"/>
    <x v="3"/>
    <x v="0"/>
    <x v="8"/>
    <x v="2"/>
  </r>
  <r>
    <x v="386"/>
    <x v="33"/>
    <x v="12"/>
    <x v="10"/>
    <x v="386"/>
    <x v="385"/>
    <x v="385"/>
    <x v="0"/>
    <x v="0"/>
    <x v="0"/>
    <x v="0"/>
  </r>
  <r>
    <x v="387"/>
    <x v="34"/>
    <x v="12"/>
    <x v="10"/>
    <x v="387"/>
    <x v="386"/>
    <x v="386"/>
    <x v="0"/>
    <x v="0"/>
    <x v="0"/>
    <x v="0"/>
  </r>
  <r>
    <x v="388"/>
    <x v="35"/>
    <x v="12"/>
    <x v="10"/>
    <x v="388"/>
    <x v="387"/>
    <x v="387"/>
    <x v="3"/>
    <x v="0"/>
    <x v="8"/>
    <x v="2"/>
  </r>
  <r>
    <x v="389"/>
    <x v="36"/>
    <x v="12"/>
    <x v="10"/>
    <x v="389"/>
    <x v="388"/>
    <x v="388"/>
    <x v="3"/>
    <x v="0"/>
    <x v="8"/>
    <x v="2"/>
  </r>
  <r>
    <x v="390"/>
    <x v="37"/>
    <x v="12"/>
    <x v="10"/>
    <x v="390"/>
    <x v="389"/>
    <x v="389"/>
    <x v="3"/>
    <x v="0"/>
    <x v="8"/>
    <x v="2"/>
  </r>
  <r>
    <x v="391"/>
    <x v="38"/>
    <x v="12"/>
    <x v="10"/>
    <x v="391"/>
    <x v="390"/>
    <x v="390"/>
    <x v="3"/>
    <x v="0"/>
    <x v="8"/>
    <x v="2"/>
  </r>
  <r>
    <x v="392"/>
    <x v="39"/>
    <x v="12"/>
    <x v="10"/>
    <x v="392"/>
    <x v="391"/>
    <x v="391"/>
    <x v="1"/>
    <x v="0"/>
    <x v="8"/>
    <x v="1"/>
  </r>
  <r>
    <x v="393"/>
    <x v="40"/>
    <x v="12"/>
    <x v="10"/>
    <x v="393"/>
    <x v="392"/>
    <x v="392"/>
    <x v="3"/>
    <x v="0"/>
    <x v="8"/>
    <x v="2"/>
  </r>
  <r>
    <x v="394"/>
    <x v="41"/>
    <x v="12"/>
    <x v="10"/>
    <x v="394"/>
    <x v="393"/>
    <x v="393"/>
    <x v="1"/>
    <x v="0"/>
    <x v="8"/>
    <x v="1"/>
  </r>
  <r>
    <x v="395"/>
    <x v="42"/>
    <x v="12"/>
    <x v="10"/>
    <x v="395"/>
    <x v="394"/>
    <x v="394"/>
    <x v="1"/>
    <x v="0"/>
    <x v="8"/>
    <x v="1"/>
  </r>
  <r>
    <x v="396"/>
    <x v="43"/>
    <x v="12"/>
    <x v="10"/>
    <x v="396"/>
    <x v="395"/>
    <x v="395"/>
    <x v="3"/>
    <x v="0"/>
    <x v="8"/>
    <x v="2"/>
  </r>
  <r>
    <x v="397"/>
    <x v="44"/>
    <x v="12"/>
    <x v="10"/>
    <x v="397"/>
    <x v="396"/>
    <x v="396"/>
    <x v="3"/>
    <x v="0"/>
    <x v="8"/>
    <x v="2"/>
  </r>
  <r>
    <x v="398"/>
    <x v="45"/>
    <x v="12"/>
    <x v="10"/>
    <x v="398"/>
    <x v="397"/>
    <x v="397"/>
    <x v="3"/>
    <x v="0"/>
    <x v="8"/>
    <x v="2"/>
  </r>
  <r>
    <x v="399"/>
    <x v="46"/>
    <x v="12"/>
    <x v="10"/>
    <x v="399"/>
    <x v="398"/>
    <x v="398"/>
    <x v="0"/>
    <x v="0"/>
    <x v="0"/>
    <x v="0"/>
  </r>
  <r>
    <x v="400"/>
    <x v="47"/>
    <x v="12"/>
    <x v="10"/>
    <x v="400"/>
    <x v="399"/>
    <x v="399"/>
    <x v="3"/>
    <x v="0"/>
    <x v="8"/>
    <x v="2"/>
  </r>
  <r>
    <x v="401"/>
    <x v="0"/>
    <x v="13"/>
    <x v="11"/>
    <x v="401"/>
    <x v="400"/>
    <x v="400"/>
    <x v="3"/>
    <x v="0"/>
    <x v="8"/>
    <x v="2"/>
  </r>
  <r>
    <x v="402"/>
    <x v="1"/>
    <x v="13"/>
    <x v="11"/>
    <x v="402"/>
    <x v="401"/>
    <x v="401"/>
    <x v="1"/>
    <x v="0"/>
    <x v="8"/>
    <x v="1"/>
  </r>
  <r>
    <x v="403"/>
    <x v="2"/>
    <x v="13"/>
    <x v="11"/>
    <x v="403"/>
    <x v="402"/>
    <x v="402"/>
    <x v="3"/>
    <x v="0"/>
    <x v="8"/>
    <x v="2"/>
  </r>
  <r>
    <x v="404"/>
    <x v="3"/>
    <x v="13"/>
    <x v="11"/>
    <x v="404"/>
    <x v="403"/>
    <x v="403"/>
    <x v="0"/>
    <x v="0"/>
    <x v="0"/>
    <x v="0"/>
  </r>
  <r>
    <x v="405"/>
    <x v="4"/>
    <x v="13"/>
    <x v="11"/>
    <x v="405"/>
    <x v="404"/>
    <x v="404"/>
    <x v="3"/>
    <x v="0"/>
    <x v="8"/>
    <x v="2"/>
  </r>
  <r>
    <x v="406"/>
    <x v="5"/>
    <x v="13"/>
    <x v="11"/>
    <x v="406"/>
    <x v="405"/>
    <x v="405"/>
    <x v="1"/>
    <x v="0"/>
    <x v="8"/>
    <x v="1"/>
  </r>
  <r>
    <x v="407"/>
    <x v="6"/>
    <x v="13"/>
    <x v="11"/>
    <x v="407"/>
    <x v="406"/>
    <x v="406"/>
    <x v="3"/>
    <x v="0"/>
    <x v="8"/>
    <x v="2"/>
  </r>
  <r>
    <x v="408"/>
    <x v="7"/>
    <x v="13"/>
    <x v="11"/>
    <x v="408"/>
    <x v="407"/>
    <x v="407"/>
    <x v="0"/>
    <x v="0"/>
    <x v="0"/>
    <x v="0"/>
  </r>
  <r>
    <x v="409"/>
    <x v="8"/>
    <x v="13"/>
    <x v="11"/>
    <x v="409"/>
    <x v="408"/>
    <x v="408"/>
    <x v="0"/>
    <x v="0"/>
    <x v="0"/>
    <x v="0"/>
  </r>
  <r>
    <x v="410"/>
    <x v="9"/>
    <x v="13"/>
    <x v="11"/>
    <x v="410"/>
    <x v="409"/>
    <x v="409"/>
    <x v="0"/>
    <x v="0"/>
    <x v="0"/>
    <x v="0"/>
  </r>
  <r>
    <x v="411"/>
    <x v="10"/>
    <x v="13"/>
    <x v="11"/>
    <x v="411"/>
    <x v="410"/>
    <x v="410"/>
    <x v="1"/>
    <x v="0"/>
    <x v="8"/>
    <x v="1"/>
  </r>
  <r>
    <x v="412"/>
    <x v="11"/>
    <x v="13"/>
    <x v="11"/>
    <x v="412"/>
    <x v="411"/>
    <x v="411"/>
    <x v="0"/>
    <x v="0"/>
    <x v="0"/>
    <x v="0"/>
  </r>
  <r>
    <x v="413"/>
    <x v="12"/>
    <x v="13"/>
    <x v="11"/>
    <x v="413"/>
    <x v="412"/>
    <x v="412"/>
    <x v="3"/>
    <x v="0"/>
    <x v="8"/>
    <x v="2"/>
  </r>
  <r>
    <x v="414"/>
    <x v="13"/>
    <x v="13"/>
    <x v="11"/>
    <x v="414"/>
    <x v="413"/>
    <x v="413"/>
    <x v="0"/>
    <x v="0"/>
    <x v="0"/>
    <x v="0"/>
  </r>
  <r>
    <x v="415"/>
    <x v="14"/>
    <x v="13"/>
    <x v="11"/>
    <x v="415"/>
    <x v="414"/>
    <x v="414"/>
    <x v="0"/>
    <x v="0"/>
    <x v="0"/>
    <x v="0"/>
  </r>
  <r>
    <x v="416"/>
    <x v="15"/>
    <x v="13"/>
    <x v="11"/>
    <x v="416"/>
    <x v="415"/>
    <x v="415"/>
    <x v="1"/>
    <x v="0"/>
    <x v="8"/>
    <x v="1"/>
  </r>
  <r>
    <x v="417"/>
    <x v="16"/>
    <x v="13"/>
    <x v="11"/>
    <x v="417"/>
    <x v="416"/>
    <x v="416"/>
    <x v="3"/>
    <x v="0"/>
    <x v="8"/>
    <x v="2"/>
  </r>
  <r>
    <x v="418"/>
    <x v="17"/>
    <x v="13"/>
    <x v="11"/>
    <x v="418"/>
    <x v="417"/>
    <x v="417"/>
    <x v="0"/>
    <x v="0"/>
    <x v="0"/>
    <x v="0"/>
  </r>
  <r>
    <x v="419"/>
    <x v="18"/>
    <x v="13"/>
    <x v="11"/>
    <x v="419"/>
    <x v="418"/>
    <x v="418"/>
    <x v="0"/>
    <x v="0"/>
    <x v="0"/>
    <x v="0"/>
  </r>
  <r>
    <x v="420"/>
    <x v="19"/>
    <x v="13"/>
    <x v="11"/>
    <x v="420"/>
    <x v="419"/>
    <x v="419"/>
    <x v="0"/>
    <x v="0"/>
    <x v="0"/>
    <x v="0"/>
  </r>
  <r>
    <x v="421"/>
    <x v="20"/>
    <x v="13"/>
    <x v="11"/>
    <x v="421"/>
    <x v="420"/>
    <x v="420"/>
    <x v="3"/>
    <x v="0"/>
    <x v="8"/>
    <x v="2"/>
  </r>
  <r>
    <x v="422"/>
    <x v="21"/>
    <x v="13"/>
    <x v="11"/>
    <x v="422"/>
    <x v="421"/>
    <x v="421"/>
    <x v="0"/>
    <x v="0"/>
    <x v="0"/>
    <x v="0"/>
  </r>
  <r>
    <x v="423"/>
    <x v="22"/>
    <x v="13"/>
    <x v="11"/>
    <x v="423"/>
    <x v="422"/>
    <x v="422"/>
    <x v="3"/>
    <x v="0"/>
    <x v="8"/>
    <x v="2"/>
  </r>
  <r>
    <x v="424"/>
    <x v="23"/>
    <x v="14"/>
    <x v="12"/>
    <x v="424"/>
    <x v="423"/>
    <x v="423"/>
    <x v="3"/>
    <x v="0"/>
    <x v="8"/>
    <x v="2"/>
  </r>
  <r>
    <x v="425"/>
    <x v="24"/>
    <x v="14"/>
    <x v="12"/>
    <x v="425"/>
    <x v="424"/>
    <x v="424"/>
    <x v="3"/>
    <x v="0"/>
    <x v="8"/>
    <x v="2"/>
  </r>
  <r>
    <x v="426"/>
    <x v="25"/>
    <x v="14"/>
    <x v="12"/>
    <x v="426"/>
    <x v="425"/>
    <x v="425"/>
    <x v="3"/>
    <x v="0"/>
    <x v="8"/>
    <x v="2"/>
  </r>
  <r>
    <x v="427"/>
    <x v="26"/>
    <x v="14"/>
    <x v="12"/>
    <x v="427"/>
    <x v="426"/>
    <x v="426"/>
    <x v="0"/>
    <x v="0"/>
    <x v="0"/>
    <x v="0"/>
  </r>
  <r>
    <x v="428"/>
    <x v="27"/>
    <x v="14"/>
    <x v="12"/>
    <x v="428"/>
    <x v="427"/>
    <x v="427"/>
    <x v="1"/>
    <x v="0"/>
    <x v="8"/>
    <x v="1"/>
  </r>
  <r>
    <x v="429"/>
    <x v="28"/>
    <x v="14"/>
    <x v="12"/>
    <x v="429"/>
    <x v="428"/>
    <x v="428"/>
    <x v="3"/>
    <x v="0"/>
    <x v="8"/>
    <x v="2"/>
  </r>
  <r>
    <x v="430"/>
    <x v="29"/>
    <x v="14"/>
    <x v="12"/>
    <x v="430"/>
    <x v="429"/>
    <x v="429"/>
    <x v="3"/>
    <x v="0"/>
    <x v="8"/>
    <x v="2"/>
  </r>
  <r>
    <x v="431"/>
    <x v="30"/>
    <x v="14"/>
    <x v="12"/>
    <x v="431"/>
    <x v="430"/>
    <x v="430"/>
    <x v="1"/>
    <x v="0"/>
    <x v="8"/>
    <x v="1"/>
  </r>
  <r>
    <x v="432"/>
    <x v="31"/>
    <x v="14"/>
    <x v="12"/>
    <x v="432"/>
    <x v="431"/>
    <x v="431"/>
    <x v="1"/>
    <x v="0"/>
    <x v="8"/>
    <x v="1"/>
  </r>
  <r>
    <x v="433"/>
    <x v="32"/>
    <x v="14"/>
    <x v="12"/>
    <x v="433"/>
    <x v="432"/>
    <x v="432"/>
    <x v="1"/>
    <x v="0"/>
    <x v="8"/>
    <x v="1"/>
  </r>
  <r>
    <x v="434"/>
    <x v="0"/>
    <x v="15"/>
    <x v="13"/>
    <x v="434"/>
    <x v="433"/>
    <x v="433"/>
    <x v="0"/>
    <x v="0"/>
    <x v="0"/>
    <x v="0"/>
  </r>
  <r>
    <x v="435"/>
    <x v="1"/>
    <x v="15"/>
    <x v="13"/>
    <x v="435"/>
    <x v="434"/>
    <x v="434"/>
    <x v="0"/>
    <x v="0"/>
    <x v="0"/>
    <x v="0"/>
  </r>
  <r>
    <x v="436"/>
    <x v="2"/>
    <x v="15"/>
    <x v="13"/>
    <x v="436"/>
    <x v="435"/>
    <x v="435"/>
    <x v="0"/>
    <x v="0"/>
    <x v="0"/>
    <x v="0"/>
  </r>
  <r>
    <x v="437"/>
    <x v="3"/>
    <x v="15"/>
    <x v="13"/>
    <x v="437"/>
    <x v="436"/>
    <x v="436"/>
    <x v="0"/>
    <x v="0"/>
    <x v="0"/>
    <x v="0"/>
  </r>
  <r>
    <x v="438"/>
    <x v="4"/>
    <x v="15"/>
    <x v="13"/>
    <x v="438"/>
    <x v="437"/>
    <x v="437"/>
    <x v="0"/>
    <x v="0"/>
    <x v="0"/>
    <x v="0"/>
  </r>
  <r>
    <x v="439"/>
    <x v="5"/>
    <x v="15"/>
    <x v="13"/>
    <x v="439"/>
    <x v="438"/>
    <x v="438"/>
    <x v="0"/>
    <x v="0"/>
    <x v="0"/>
    <x v="0"/>
  </r>
  <r>
    <x v="440"/>
    <x v="6"/>
    <x v="15"/>
    <x v="13"/>
    <x v="440"/>
    <x v="439"/>
    <x v="439"/>
    <x v="0"/>
    <x v="0"/>
    <x v="0"/>
    <x v="0"/>
  </r>
  <r>
    <x v="441"/>
    <x v="7"/>
    <x v="15"/>
    <x v="13"/>
    <x v="441"/>
    <x v="440"/>
    <x v="440"/>
    <x v="0"/>
    <x v="0"/>
    <x v="0"/>
    <x v="0"/>
  </r>
  <r>
    <x v="442"/>
    <x v="8"/>
    <x v="15"/>
    <x v="13"/>
    <x v="442"/>
    <x v="441"/>
    <x v="441"/>
    <x v="0"/>
    <x v="0"/>
    <x v="0"/>
    <x v="0"/>
  </r>
  <r>
    <x v="443"/>
    <x v="9"/>
    <x v="15"/>
    <x v="13"/>
    <x v="443"/>
    <x v="442"/>
    <x v="442"/>
    <x v="0"/>
    <x v="0"/>
    <x v="0"/>
    <x v="0"/>
  </r>
  <r>
    <x v="444"/>
    <x v="10"/>
    <x v="15"/>
    <x v="13"/>
    <x v="444"/>
    <x v="443"/>
    <x v="443"/>
    <x v="0"/>
    <x v="0"/>
    <x v="0"/>
    <x v="0"/>
  </r>
  <r>
    <x v="445"/>
    <x v="11"/>
    <x v="15"/>
    <x v="13"/>
    <x v="445"/>
    <x v="444"/>
    <x v="444"/>
    <x v="0"/>
    <x v="0"/>
    <x v="0"/>
    <x v="0"/>
  </r>
  <r>
    <x v="446"/>
    <x v="12"/>
    <x v="15"/>
    <x v="13"/>
    <x v="446"/>
    <x v="445"/>
    <x v="445"/>
    <x v="3"/>
    <x v="0"/>
    <x v="8"/>
    <x v="2"/>
  </r>
  <r>
    <x v="447"/>
    <x v="13"/>
    <x v="15"/>
    <x v="13"/>
    <x v="447"/>
    <x v="446"/>
    <x v="446"/>
    <x v="3"/>
    <x v="0"/>
    <x v="8"/>
    <x v="2"/>
  </r>
  <r>
    <x v="448"/>
    <x v="14"/>
    <x v="15"/>
    <x v="13"/>
    <x v="448"/>
    <x v="447"/>
    <x v="447"/>
    <x v="1"/>
    <x v="0"/>
    <x v="8"/>
    <x v="1"/>
  </r>
  <r>
    <x v="449"/>
    <x v="15"/>
    <x v="15"/>
    <x v="13"/>
    <x v="449"/>
    <x v="448"/>
    <x v="448"/>
    <x v="3"/>
    <x v="0"/>
    <x v="8"/>
    <x v="2"/>
  </r>
  <r>
    <x v="450"/>
    <x v="16"/>
    <x v="15"/>
    <x v="13"/>
    <x v="450"/>
    <x v="449"/>
    <x v="449"/>
    <x v="1"/>
    <x v="0"/>
    <x v="8"/>
    <x v="1"/>
  </r>
  <r>
    <x v="451"/>
    <x v="17"/>
    <x v="15"/>
    <x v="13"/>
    <x v="451"/>
    <x v="450"/>
    <x v="450"/>
    <x v="3"/>
    <x v="0"/>
    <x v="8"/>
    <x v="2"/>
  </r>
  <r>
    <x v="452"/>
    <x v="18"/>
    <x v="15"/>
    <x v="13"/>
    <x v="452"/>
    <x v="451"/>
    <x v="451"/>
    <x v="3"/>
    <x v="0"/>
    <x v="8"/>
    <x v="2"/>
  </r>
  <r>
    <x v="453"/>
    <x v="19"/>
    <x v="15"/>
    <x v="13"/>
    <x v="453"/>
    <x v="452"/>
    <x v="452"/>
    <x v="1"/>
    <x v="0"/>
    <x v="8"/>
    <x v="1"/>
  </r>
  <r>
    <x v="454"/>
    <x v="20"/>
    <x v="15"/>
    <x v="13"/>
    <x v="454"/>
    <x v="453"/>
    <x v="453"/>
    <x v="3"/>
    <x v="0"/>
    <x v="8"/>
    <x v="2"/>
  </r>
  <r>
    <x v="455"/>
    <x v="21"/>
    <x v="15"/>
    <x v="13"/>
    <x v="455"/>
    <x v="454"/>
    <x v="454"/>
    <x v="1"/>
    <x v="0"/>
    <x v="8"/>
    <x v="1"/>
  </r>
  <r>
    <x v="456"/>
    <x v="0"/>
    <x v="16"/>
    <x v="14"/>
    <x v="456"/>
    <x v="455"/>
    <x v="455"/>
    <x v="1"/>
    <x v="0"/>
    <x v="8"/>
    <x v="1"/>
  </r>
  <r>
    <x v="457"/>
    <x v="1"/>
    <x v="16"/>
    <x v="14"/>
    <x v="457"/>
    <x v="456"/>
    <x v="456"/>
    <x v="1"/>
    <x v="0"/>
    <x v="8"/>
    <x v="1"/>
  </r>
  <r>
    <x v="458"/>
    <x v="2"/>
    <x v="16"/>
    <x v="14"/>
    <x v="458"/>
    <x v="457"/>
    <x v="457"/>
    <x v="1"/>
    <x v="0"/>
    <x v="8"/>
    <x v="1"/>
  </r>
  <r>
    <x v="459"/>
    <x v="3"/>
    <x v="16"/>
    <x v="14"/>
    <x v="459"/>
    <x v="458"/>
    <x v="458"/>
    <x v="3"/>
    <x v="0"/>
    <x v="8"/>
    <x v="2"/>
  </r>
  <r>
    <x v="460"/>
    <x v="4"/>
    <x v="16"/>
    <x v="14"/>
    <x v="460"/>
    <x v="459"/>
    <x v="459"/>
    <x v="3"/>
    <x v="0"/>
    <x v="8"/>
    <x v="2"/>
  </r>
  <r>
    <x v="461"/>
    <x v="5"/>
    <x v="16"/>
    <x v="14"/>
    <x v="461"/>
    <x v="460"/>
    <x v="460"/>
    <x v="1"/>
    <x v="0"/>
    <x v="8"/>
    <x v="1"/>
  </r>
  <r>
    <x v="462"/>
    <x v="6"/>
    <x v="16"/>
    <x v="14"/>
    <x v="462"/>
    <x v="461"/>
    <x v="461"/>
    <x v="0"/>
    <x v="0"/>
    <x v="0"/>
    <x v="0"/>
  </r>
  <r>
    <x v="463"/>
    <x v="7"/>
    <x v="16"/>
    <x v="14"/>
    <x v="463"/>
    <x v="462"/>
    <x v="462"/>
    <x v="1"/>
    <x v="0"/>
    <x v="8"/>
    <x v="1"/>
  </r>
  <r>
    <x v="464"/>
    <x v="8"/>
    <x v="16"/>
    <x v="14"/>
    <x v="464"/>
    <x v="463"/>
    <x v="463"/>
    <x v="0"/>
    <x v="0"/>
    <x v="0"/>
    <x v="0"/>
  </r>
  <r>
    <x v="465"/>
    <x v="9"/>
    <x v="16"/>
    <x v="14"/>
    <x v="465"/>
    <x v="464"/>
    <x v="464"/>
    <x v="0"/>
    <x v="0"/>
    <x v="0"/>
    <x v="0"/>
  </r>
  <r>
    <x v="466"/>
    <x v="0"/>
    <x v="17"/>
    <x v="15"/>
    <x v="466"/>
    <x v="465"/>
    <x v="465"/>
    <x v="3"/>
    <x v="0"/>
    <x v="8"/>
    <x v="2"/>
  </r>
  <r>
    <x v="467"/>
    <x v="1"/>
    <x v="17"/>
    <x v="15"/>
    <x v="467"/>
    <x v="466"/>
    <x v="466"/>
    <x v="1"/>
    <x v="0"/>
    <x v="8"/>
    <x v="1"/>
  </r>
  <r>
    <x v="468"/>
    <x v="2"/>
    <x v="17"/>
    <x v="15"/>
    <x v="468"/>
    <x v="467"/>
    <x v="467"/>
    <x v="0"/>
    <x v="0"/>
    <x v="0"/>
    <x v="0"/>
  </r>
  <r>
    <x v="469"/>
    <x v="3"/>
    <x v="17"/>
    <x v="15"/>
    <x v="469"/>
    <x v="468"/>
    <x v="468"/>
    <x v="1"/>
    <x v="0"/>
    <x v="8"/>
    <x v="1"/>
  </r>
  <r>
    <x v="470"/>
    <x v="4"/>
    <x v="17"/>
    <x v="15"/>
    <x v="470"/>
    <x v="469"/>
    <x v="469"/>
    <x v="0"/>
    <x v="0"/>
    <x v="0"/>
    <x v="0"/>
  </r>
  <r>
    <x v="471"/>
    <x v="5"/>
    <x v="17"/>
    <x v="15"/>
    <x v="471"/>
    <x v="470"/>
    <x v="470"/>
    <x v="1"/>
    <x v="0"/>
    <x v="8"/>
    <x v="1"/>
  </r>
  <r>
    <x v="472"/>
    <x v="6"/>
    <x v="17"/>
    <x v="15"/>
    <x v="472"/>
    <x v="471"/>
    <x v="471"/>
    <x v="0"/>
    <x v="0"/>
    <x v="0"/>
    <x v="0"/>
  </r>
  <r>
    <x v="473"/>
    <x v="7"/>
    <x v="17"/>
    <x v="15"/>
    <x v="473"/>
    <x v="472"/>
    <x v="472"/>
    <x v="1"/>
    <x v="0"/>
    <x v="8"/>
    <x v="1"/>
  </r>
  <r>
    <x v="474"/>
    <x v="8"/>
    <x v="17"/>
    <x v="15"/>
    <x v="474"/>
    <x v="473"/>
    <x v="473"/>
    <x v="1"/>
    <x v="0"/>
    <x v="8"/>
    <x v="1"/>
  </r>
  <r>
    <x v="475"/>
    <x v="9"/>
    <x v="17"/>
    <x v="15"/>
    <x v="475"/>
    <x v="474"/>
    <x v="474"/>
    <x v="1"/>
    <x v="0"/>
    <x v="8"/>
    <x v="1"/>
  </r>
  <r>
    <x v="476"/>
    <x v="10"/>
    <x v="17"/>
    <x v="15"/>
    <x v="476"/>
    <x v="475"/>
    <x v="475"/>
    <x v="1"/>
    <x v="0"/>
    <x v="8"/>
    <x v="1"/>
  </r>
  <r>
    <x v="477"/>
    <x v="13"/>
    <x v="17"/>
    <x v="15"/>
    <x v="477"/>
    <x v="476"/>
    <x v="476"/>
    <x v="1"/>
    <x v="0"/>
    <x v="8"/>
    <x v="1"/>
  </r>
  <r>
    <x v="478"/>
    <x v="20"/>
    <x v="17"/>
    <x v="15"/>
    <x v="478"/>
    <x v="477"/>
    <x v="477"/>
    <x v="1"/>
    <x v="0"/>
    <x v="8"/>
    <x v="1"/>
  </r>
  <r>
    <x v="479"/>
    <x v="21"/>
    <x v="17"/>
    <x v="15"/>
    <x v="479"/>
    <x v="478"/>
    <x v="478"/>
    <x v="1"/>
    <x v="0"/>
    <x v="8"/>
    <x v="1"/>
  </r>
  <r>
    <x v="480"/>
    <x v="22"/>
    <x v="17"/>
    <x v="15"/>
    <x v="480"/>
    <x v="479"/>
    <x v="479"/>
    <x v="3"/>
    <x v="0"/>
    <x v="8"/>
    <x v="2"/>
  </r>
  <r>
    <x v="481"/>
    <x v="23"/>
    <x v="17"/>
    <x v="15"/>
    <x v="481"/>
    <x v="480"/>
    <x v="480"/>
    <x v="1"/>
    <x v="0"/>
    <x v="8"/>
    <x v="1"/>
  </r>
  <r>
    <x v="482"/>
    <x v="24"/>
    <x v="17"/>
    <x v="15"/>
    <x v="482"/>
    <x v="481"/>
    <x v="481"/>
    <x v="0"/>
    <x v="0"/>
    <x v="0"/>
    <x v="0"/>
  </r>
  <r>
    <x v="483"/>
    <x v="25"/>
    <x v="17"/>
    <x v="15"/>
    <x v="483"/>
    <x v="482"/>
    <x v="482"/>
    <x v="3"/>
    <x v="0"/>
    <x v="8"/>
    <x v="2"/>
  </r>
  <r>
    <x v="484"/>
    <x v="26"/>
    <x v="17"/>
    <x v="15"/>
    <x v="484"/>
    <x v="483"/>
    <x v="483"/>
    <x v="0"/>
    <x v="0"/>
    <x v="0"/>
    <x v="0"/>
  </r>
  <r>
    <x v="485"/>
    <x v="27"/>
    <x v="17"/>
    <x v="15"/>
    <x v="485"/>
    <x v="484"/>
    <x v="484"/>
    <x v="3"/>
    <x v="0"/>
    <x v="8"/>
    <x v="2"/>
  </r>
  <r>
    <x v="486"/>
    <x v="28"/>
    <x v="17"/>
    <x v="15"/>
    <x v="486"/>
    <x v="485"/>
    <x v="485"/>
    <x v="0"/>
    <x v="0"/>
    <x v="0"/>
    <x v="0"/>
  </r>
  <r>
    <x v="487"/>
    <x v="29"/>
    <x v="17"/>
    <x v="15"/>
    <x v="487"/>
    <x v="486"/>
    <x v="486"/>
    <x v="0"/>
    <x v="0"/>
    <x v="0"/>
    <x v="0"/>
  </r>
  <r>
    <x v="488"/>
    <x v="0"/>
    <x v="18"/>
    <x v="16"/>
    <x v="488"/>
    <x v="487"/>
    <x v="487"/>
    <x v="1"/>
    <x v="0"/>
    <x v="8"/>
    <x v="1"/>
  </r>
  <r>
    <x v="489"/>
    <x v="1"/>
    <x v="18"/>
    <x v="16"/>
    <x v="489"/>
    <x v="488"/>
    <x v="488"/>
    <x v="3"/>
    <x v="0"/>
    <x v="8"/>
    <x v="2"/>
  </r>
  <r>
    <x v="490"/>
    <x v="2"/>
    <x v="18"/>
    <x v="16"/>
    <x v="490"/>
    <x v="489"/>
    <x v="489"/>
    <x v="3"/>
    <x v="0"/>
    <x v="8"/>
    <x v="2"/>
  </r>
  <r>
    <x v="491"/>
    <x v="3"/>
    <x v="18"/>
    <x v="16"/>
    <x v="491"/>
    <x v="490"/>
    <x v="490"/>
    <x v="3"/>
    <x v="0"/>
    <x v="8"/>
    <x v="2"/>
  </r>
  <r>
    <x v="492"/>
    <x v="4"/>
    <x v="18"/>
    <x v="16"/>
    <x v="492"/>
    <x v="491"/>
    <x v="491"/>
    <x v="3"/>
    <x v="0"/>
    <x v="8"/>
    <x v="2"/>
  </r>
  <r>
    <x v="493"/>
    <x v="5"/>
    <x v="18"/>
    <x v="16"/>
    <x v="493"/>
    <x v="492"/>
    <x v="492"/>
    <x v="1"/>
    <x v="0"/>
    <x v="8"/>
    <x v="1"/>
  </r>
  <r>
    <x v="494"/>
    <x v="6"/>
    <x v="18"/>
    <x v="16"/>
    <x v="494"/>
    <x v="493"/>
    <x v="493"/>
    <x v="3"/>
    <x v="0"/>
    <x v="8"/>
    <x v="2"/>
  </r>
  <r>
    <x v="495"/>
    <x v="7"/>
    <x v="18"/>
    <x v="16"/>
    <x v="495"/>
    <x v="494"/>
    <x v="494"/>
    <x v="3"/>
    <x v="0"/>
    <x v="8"/>
    <x v="2"/>
  </r>
  <r>
    <x v="496"/>
    <x v="8"/>
    <x v="18"/>
    <x v="16"/>
    <x v="496"/>
    <x v="495"/>
    <x v="495"/>
    <x v="3"/>
    <x v="0"/>
    <x v="8"/>
    <x v="2"/>
  </r>
  <r>
    <x v="497"/>
    <x v="9"/>
    <x v="18"/>
    <x v="16"/>
    <x v="497"/>
    <x v="496"/>
    <x v="496"/>
    <x v="3"/>
    <x v="0"/>
    <x v="8"/>
    <x v="2"/>
  </r>
  <r>
    <x v="498"/>
    <x v="10"/>
    <x v="18"/>
    <x v="16"/>
    <x v="498"/>
    <x v="497"/>
    <x v="497"/>
    <x v="1"/>
    <x v="0"/>
    <x v="8"/>
    <x v="1"/>
  </r>
  <r>
    <x v="499"/>
    <x v="11"/>
    <x v="18"/>
    <x v="16"/>
    <x v="499"/>
    <x v="498"/>
    <x v="498"/>
    <x v="3"/>
    <x v="0"/>
    <x v="8"/>
    <x v="2"/>
  </r>
  <r>
    <x v="500"/>
    <x v="12"/>
    <x v="18"/>
    <x v="16"/>
    <x v="500"/>
    <x v="499"/>
    <x v="499"/>
    <x v="1"/>
    <x v="0"/>
    <x v="8"/>
    <x v="1"/>
  </r>
  <r>
    <x v="501"/>
    <x v="13"/>
    <x v="18"/>
    <x v="16"/>
    <x v="501"/>
    <x v="500"/>
    <x v="500"/>
    <x v="0"/>
    <x v="0"/>
    <x v="0"/>
    <x v="0"/>
  </r>
  <r>
    <x v="502"/>
    <x v="14"/>
    <x v="18"/>
    <x v="16"/>
    <x v="502"/>
    <x v="501"/>
    <x v="501"/>
    <x v="1"/>
    <x v="0"/>
    <x v="8"/>
    <x v="1"/>
  </r>
  <r>
    <x v="503"/>
    <x v="15"/>
    <x v="18"/>
    <x v="16"/>
    <x v="503"/>
    <x v="502"/>
    <x v="502"/>
    <x v="3"/>
    <x v="0"/>
    <x v="8"/>
    <x v="2"/>
  </r>
  <r>
    <x v="504"/>
    <x v="16"/>
    <x v="18"/>
    <x v="16"/>
    <x v="504"/>
    <x v="503"/>
    <x v="503"/>
    <x v="3"/>
    <x v="0"/>
    <x v="8"/>
    <x v="2"/>
  </r>
  <r>
    <x v="505"/>
    <x v="17"/>
    <x v="18"/>
    <x v="16"/>
    <x v="505"/>
    <x v="504"/>
    <x v="504"/>
    <x v="1"/>
    <x v="0"/>
    <x v="8"/>
    <x v="1"/>
  </r>
  <r>
    <x v="506"/>
    <x v="18"/>
    <x v="18"/>
    <x v="16"/>
    <x v="506"/>
    <x v="505"/>
    <x v="505"/>
    <x v="3"/>
    <x v="0"/>
    <x v="8"/>
    <x v="2"/>
  </r>
  <r>
    <x v="507"/>
    <x v="19"/>
    <x v="18"/>
    <x v="16"/>
    <x v="507"/>
    <x v="506"/>
    <x v="506"/>
    <x v="1"/>
    <x v="0"/>
    <x v="8"/>
    <x v="1"/>
  </r>
  <r>
    <x v="508"/>
    <x v="0"/>
    <x v="19"/>
    <x v="17"/>
    <x v="508"/>
    <x v="507"/>
    <x v="507"/>
    <x v="0"/>
    <x v="0"/>
    <x v="0"/>
    <x v="0"/>
  </r>
  <r>
    <x v="509"/>
    <x v="1"/>
    <x v="19"/>
    <x v="17"/>
    <x v="509"/>
    <x v="508"/>
    <x v="508"/>
    <x v="1"/>
    <x v="0"/>
    <x v="8"/>
    <x v="1"/>
  </r>
  <r>
    <x v="510"/>
    <x v="2"/>
    <x v="19"/>
    <x v="17"/>
    <x v="510"/>
    <x v="509"/>
    <x v="509"/>
    <x v="0"/>
    <x v="0"/>
    <x v="0"/>
    <x v="0"/>
  </r>
  <r>
    <x v="511"/>
    <x v="3"/>
    <x v="19"/>
    <x v="17"/>
    <x v="511"/>
    <x v="510"/>
    <x v="510"/>
    <x v="1"/>
    <x v="0"/>
    <x v="8"/>
    <x v="1"/>
  </r>
  <r>
    <x v="512"/>
    <x v="4"/>
    <x v="19"/>
    <x v="17"/>
    <x v="512"/>
    <x v="511"/>
    <x v="511"/>
    <x v="3"/>
    <x v="0"/>
    <x v="8"/>
    <x v="2"/>
  </r>
  <r>
    <x v="513"/>
    <x v="5"/>
    <x v="19"/>
    <x v="17"/>
    <x v="513"/>
    <x v="512"/>
    <x v="512"/>
    <x v="1"/>
    <x v="0"/>
    <x v="8"/>
    <x v="1"/>
  </r>
  <r>
    <x v="514"/>
    <x v="6"/>
    <x v="19"/>
    <x v="17"/>
    <x v="514"/>
    <x v="513"/>
    <x v="513"/>
    <x v="3"/>
    <x v="0"/>
    <x v="8"/>
    <x v="2"/>
  </r>
  <r>
    <x v="515"/>
    <x v="7"/>
    <x v="19"/>
    <x v="17"/>
    <x v="515"/>
    <x v="514"/>
    <x v="514"/>
    <x v="3"/>
    <x v="0"/>
    <x v="8"/>
    <x v="2"/>
  </r>
  <r>
    <x v="516"/>
    <x v="8"/>
    <x v="19"/>
    <x v="17"/>
    <x v="516"/>
    <x v="515"/>
    <x v="515"/>
    <x v="1"/>
    <x v="0"/>
    <x v="8"/>
    <x v="1"/>
  </r>
  <r>
    <x v="517"/>
    <x v="9"/>
    <x v="19"/>
    <x v="17"/>
    <x v="517"/>
    <x v="516"/>
    <x v="516"/>
    <x v="3"/>
    <x v="0"/>
    <x v="8"/>
    <x v="2"/>
  </r>
  <r>
    <x v="518"/>
    <x v="10"/>
    <x v="19"/>
    <x v="17"/>
    <x v="518"/>
    <x v="517"/>
    <x v="517"/>
    <x v="3"/>
    <x v="0"/>
    <x v="8"/>
    <x v="2"/>
  </r>
  <r>
    <x v="519"/>
    <x v="11"/>
    <x v="19"/>
    <x v="17"/>
    <x v="519"/>
    <x v="518"/>
    <x v="518"/>
    <x v="3"/>
    <x v="0"/>
    <x v="8"/>
    <x v="2"/>
  </r>
  <r>
    <x v="520"/>
    <x v="12"/>
    <x v="19"/>
    <x v="17"/>
    <x v="520"/>
    <x v="519"/>
    <x v="519"/>
    <x v="3"/>
    <x v="0"/>
    <x v="8"/>
    <x v="2"/>
  </r>
  <r>
    <x v="521"/>
    <x v="13"/>
    <x v="19"/>
    <x v="17"/>
    <x v="521"/>
    <x v="520"/>
    <x v="520"/>
    <x v="3"/>
    <x v="0"/>
    <x v="8"/>
    <x v="2"/>
  </r>
  <r>
    <x v="522"/>
    <x v="14"/>
    <x v="19"/>
    <x v="17"/>
    <x v="522"/>
    <x v="521"/>
    <x v="521"/>
    <x v="1"/>
    <x v="0"/>
    <x v="8"/>
    <x v="1"/>
  </r>
  <r>
    <x v="523"/>
    <x v="15"/>
    <x v="19"/>
    <x v="17"/>
    <x v="523"/>
    <x v="522"/>
    <x v="522"/>
    <x v="3"/>
    <x v="0"/>
    <x v="8"/>
    <x v="2"/>
  </r>
  <r>
    <x v="524"/>
    <x v="16"/>
    <x v="19"/>
    <x v="17"/>
    <x v="524"/>
    <x v="523"/>
    <x v="523"/>
    <x v="1"/>
    <x v="0"/>
    <x v="8"/>
    <x v="1"/>
  </r>
  <r>
    <x v="525"/>
    <x v="17"/>
    <x v="19"/>
    <x v="17"/>
    <x v="525"/>
    <x v="524"/>
    <x v="524"/>
    <x v="1"/>
    <x v="0"/>
    <x v="8"/>
    <x v="1"/>
  </r>
  <r>
    <x v="526"/>
    <x v="18"/>
    <x v="19"/>
    <x v="17"/>
    <x v="526"/>
    <x v="525"/>
    <x v="525"/>
    <x v="1"/>
    <x v="0"/>
    <x v="8"/>
    <x v="1"/>
  </r>
  <r>
    <x v="527"/>
    <x v="19"/>
    <x v="19"/>
    <x v="17"/>
    <x v="527"/>
    <x v="526"/>
    <x v="526"/>
    <x v="3"/>
    <x v="0"/>
    <x v="8"/>
    <x v="2"/>
  </r>
  <r>
    <x v="528"/>
    <x v="20"/>
    <x v="19"/>
    <x v="17"/>
    <x v="528"/>
    <x v="527"/>
    <x v="527"/>
    <x v="0"/>
    <x v="0"/>
    <x v="0"/>
    <x v="0"/>
  </r>
  <r>
    <x v="529"/>
    <x v="21"/>
    <x v="19"/>
    <x v="17"/>
    <x v="529"/>
    <x v="528"/>
    <x v="528"/>
    <x v="1"/>
    <x v="0"/>
    <x v="8"/>
    <x v="1"/>
  </r>
  <r>
    <x v="530"/>
    <x v="22"/>
    <x v="19"/>
    <x v="17"/>
    <x v="530"/>
    <x v="529"/>
    <x v="529"/>
    <x v="3"/>
    <x v="0"/>
    <x v="8"/>
    <x v="2"/>
  </r>
  <r>
    <x v="531"/>
    <x v="23"/>
    <x v="19"/>
    <x v="17"/>
    <x v="531"/>
    <x v="530"/>
    <x v="530"/>
    <x v="3"/>
    <x v="0"/>
    <x v="8"/>
    <x v="2"/>
  </r>
  <r>
    <x v="532"/>
    <x v="24"/>
    <x v="19"/>
    <x v="17"/>
    <x v="532"/>
    <x v="531"/>
    <x v="531"/>
    <x v="3"/>
    <x v="0"/>
    <x v="8"/>
    <x v="2"/>
  </r>
  <r>
    <x v="533"/>
    <x v="25"/>
    <x v="19"/>
    <x v="17"/>
    <x v="533"/>
    <x v="532"/>
    <x v="532"/>
    <x v="0"/>
    <x v="0"/>
    <x v="0"/>
    <x v="0"/>
  </r>
  <r>
    <x v="534"/>
    <x v="26"/>
    <x v="19"/>
    <x v="17"/>
    <x v="534"/>
    <x v="533"/>
    <x v="533"/>
    <x v="3"/>
    <x v="0"/>
    <x v="8"/>
    <x v="2"/>
  </r>
  <r>
    <x v="535"/>
    <x v="27"/>
    <x v="19"/>
    <x v="17"/>
    <x v="535"/>
    <x v="534"/>
    <x v="534"/>
    <x v="0"/>
    <x v="0"/>
    <x v="0"/>
    <x v="0"/>
  </r>
  <r>
    <x v="536"/>
    <x v="28"/>
    <x v="19"/>
    <x v="17"/>
    <x v="536"/>
    <x v="535"/>
    <x v="535"/>
    <x v="3"/>
    <x v="0"/>
    <x v="8"/>
    <x v="2"/>
  </r>
  <r>
    <x v="537"/>
    <x v="29"/>
    <x v="19"/>
    <x v="17"/>
    <x v="537"/>
    <x v="536"/>
    <x v="536"/>
    <x v="1"/>
    <x v="0"/>
    <x v="8"/>
    <x v="1"/>
  </r>
  <r>
    <x v="538"/>
    <x v="30"/>
    <x v="19"/>
    <x v="17"/>
    <x v="538"/>
    <x v="537"/>
    <x v="537"/>
    <x v="3"/>
    <x v="0"/>
    <x v="8"/>
    <x v="2"/>
  </r>
  <r>
    <x v="539"/>
    <x v="31"/>
    <x v="19"/>
    <x v="17"/>
    <x v="539"/>
    <x v="538"/>
    <x v="538"/>
    <x v="0"/>
    <x v="0"/>
    <x v="0"/>
    <x v="0"/>
  </r>
  <r>
    <x v="540"/>
    <x v="32"/>
    <x v="19"/>
    <x v="17"/>
    <x v="540"/>
    <x v="539"/>
    <x v="539"/>
    <x v="3"/>
    <x v="0"/>
    <x v="8"/>
    <x v="2"/>
  </r>
  <r>
    <x v="541"/>
    <x v="33"/>
    <x v="19"/>
    <x v="17"/>
    <x v="541"/>
    <x v="540"/>
    <x v="540"/>
    <x v="1"/>
    <x v="0"/>
    <x v="8"/>
    <x v="1"/>
  </r>
  <r>
    <x v="542"/>
    <x v="34"/>
    <x v="19"/>
    <x v="17"/>
    <x v="542"/>
    <x v="541"/>
    <x v="541"/>
    <x v="0"/>
    <x v="0"/>
    <x v="0"/>
    <x v="0"/>
  </r>
  <r>
    <x v="543"/>
    <x v="35"/>
    <x v="19"/>
    <x v="17"/>
    <x v="543"/>
    <x v="542"/>
    <x v="542"/>
    <x v="3"/>
    <x v="0"/>
    <x v="8"/>
    <x v="2"/>
  </r>
  <r>
    <x v="544"/>
    <x v="36"/>
    <x v="19"/>
    <x v="17"/>
    <x v="544"/>
    <x v="543"/>
    <x v="543"/>
    <x v="3"/>
    <x v="0"/>
    <x v="8"/>
    <x v="2"/>
  </r>
  <r>
    <x v="545"/>
    <x v="37"/>
    <x v="19"/>
    <x v="17"/>
    <x v="545"/>
    <x v="544"/>
    <x v="544"/>
    <x v="0"/>
    <x v="0"/>
    <x v="0"/>
    <x v="0"/>
  </r>
  <r>
    <x v="546"/>
    <x v="38"/>
    <x v="19"/>
    <x v="17"/>
    <x v="546"/>
    <x v="545"/>
    <x v="545"/>
    <x v="1"/>
    <x v="0"/>
    <x v="8"/>
    <x v="1"/>
  </r>
  <r>
    <x v="547"/>
    <x v="39"/>
    <x v="19"/>
    <x v="17"/>
    <x v="547"/>
    <x v="546"/>
    <x v="546"/>
    <x v="3"/>
    <x v="0"/>
    <x v="8"/>
    <x v="2"/>
  </r>
  <r>
    <x v="548"/>
    <x v="40"/>
    <x v="19"/>
    <x v="17"/>
    <x v="548"/>
    <x v="547"/>
    <x v="547"/>
    <x v="1"/>
    <x v="0"/>
    <x v="8"/>
    <x v="1"/>
  </r>
  <r>
    <x v="549"/>
    <x v="42"/>
    <x v="19"/>
    <x v="17"/>
    <x v="549"/>
    <x v="548"/>
    <x v="548"/>
    <x v="0"/>
    <x v="0"/>
    <x v="0"/>
    <x v="0"/>
  </r>
  <r>
    <x v="550"/>
    <x v="43"/>
    <x v="19"/>
    <x v="17"/>
    <x v="550"/>
    <x v="549"/>
    <x v="549"/>
    <x v="1"/>
    <x v="0"/>
    <x v="8"/>
    <x v="1"/>
  </r>
  <r>
    <x v="551"/>
    <x v="44"/>
    <x v="19"/>
    <x v="17"/>
    <x v="551"/>
    <x v="550"/>
    <x v="550"/>
    <x v="3"/>
    <x v="0"/>
    <x v="8"/>
    <x v="2"/>
  </r>
  <r>
    <x v="552"/>
    <x v="45"/>
    <x v="19"/>
    <x v="17"/>
    <x v="552"/>
    <x v="551"/>
    <x v="551"/>
    <x v="3"/>
    <x v="0"/>
    <x v="8"/>
    <x v="2"/>
  </r>
  <r>
    <x v="553"/>
    <x v="46"/>
    <x v="19"/>
    <x v="17"/>
    <x v="553"/>
    <x v="552"/>
    <x v="552"/>
    <x v="3"/>
    <x v="0"/>
    <x v="8"/>
    <x v="2"/>
  </r>
  <r>
    <x v="554"/>
    <x v="48"/>
    <x v="19"/>
    <x v="17"/>
    <x v="554"/>
    <x v="553"/>
    <x v="553"/>
    <x v="3"/>
    <x v="0"/>
    <x v="8"/>
    <x v="2"/>
  </r>
  <r>
    <x v="555"/>
    <x v="49"/>
    <x v="19"/>
    <x v="17"/>
    <x v="555"/>
    <x v="554"/>
    <x v="554"/>
    <x v="3"/>
    <x v="0"/>
    <x v="8"/>
    <x v="2"/>
  </r>
  <r>
    <x v="556"/>
    <x v="50"/>
    <x v="19"/>
    <x v="17"/>
    <x v="556"/>
    <x v="555"/>
    <x v="555"/>
    <x v="1"/>
    <x v="0"/>
    <x v="8"/>
    <x v="1"/>
  </r>
  <r>
    <x v="557"/>
    <x v="51"/>
    <x v="19"/>
    <x v="17"/>
    <x v="557"/>
    <x v="556"/>
    <x v="556"/>
    <x v="1"/>
    <x v="0"/>
    <x v="8"/>
    <x v="1"/>
  </r>
  <r>
    <x v="558"/>
    <x v="52"/>
    <x v="19"/>
    <x v="17"/>
    <x v="558"/>
    <x v="557"/>
    <x v="557"/>
    <x v="3"/>
    <x v="0"/>
    <x v="8"/>
    <x v="2"/>
  </r>
  <r>
    <x v="559"/>
    <x v="0"/>
    <x v="20"/>
    <x v="18"/>
    <x v="559"/>
    <x v="558"/>
    <x v="558"/>
    <x v="3"/>
    <x v="0"/>
    <x v="8"/>
    <x v="2"/>
  </r>
  <r>
    <x v="560"/>
    <x v="1"/>
    <x v="20"/>
    <x v="18"/>
    <x v="560"/>
    <x v="559"/>
    <x v="559"/>
    <x v="1"/>
    <x v="0"/>
    <x v="8"/>
    <x v="1"/>
  </r>
  <r>
    <x v="561"/>
    <x v="2"/>
    <x v="20"/>
    <x v="18"/>
    <x v="561"/>
    <x v="560"/>
    <x v="560"/>
    <x v="1"/>
    <x v="0"/>
    <x v="8"/>
    <x v="1"/>
  </r>
  <r>
    <x v="562"/>
    <x v="3"/>
    <x v="20"/>
    <x v="18"/>
    <x v="562"/>
    <x v="561"/>
    <x v="561"/>
    <x v="3"/>
    <x v="0"/>
    <x v="8"/>
    <x v="2"/>
  </r>
  <r>
    <x v="563"/>
    <x v="4"/>
    <x v="20"/>
    <x v="18"/>
    <x v="563"/>
    <x v="562"/>
    <x v="562"/>
    <x v="0"/>
    <x v="0"/>
    <x v="0"/>
    <x v="0"/>
  </r>
  <r>
    <x v="564"/>
    <x v="5"/>
    <x v="20"/>
    <x v="18"/>
    <x v="564"/>
    <x v="563"/>
    <x v="563"/>
    <x v="1"/>
    <x v="0"/>
    <x v="8"/>
    <x v="1"/>
  </r>
  <r>
    <x v="565"/>
    <x v="6"/>
    <x v="20"/>
    <x v="18"/>
    <x v="565"/>
    <x v="564"/>
    <x v="564"/>
    <x v="0"/>
    <x v="0"/>
    <x v="0"/>
    <x v="0"/>
  </r>
  <r>
    <x v="566"/>
    <x v="7"/>
    <x v="20"/>
    <x v="18"/>
    <x v="566"/>
    <x v="565"/>
    <x v="565"/>
    <x v="3"/>
    <x v="0"/>
    <x v="8"/>
    <x v="2"/>
  </r>
  <r>
    <x v="567"/>
    <x v="8"/>
    <x v="20"/>
    <x v="18"/>
    <x v="567"/>
    <x v="566"/>
    <x v="566"/>
    <x v="3"/>
    <x v="0"/>
    <x v="8"/>
    <x v="2"/>
  </r>
  <r>
    <x v="568"/>
    <x v="9"/>
    <x v="20"/>
    <x v="18"/>
    <x v="568"/>
    <x v="567"/>
    <x v="567"/>
    <x v="1"/>
    <x v="0"/>
    <x v="8"/>
    <x v="1"/>
  </r>
  <r>
    <x v="569"/>
    <x v="10"/>
    <x v="20"/>
    <x v="18"/>
    <x v="569"/>
    <x v="568"/>
    <x v="568"/>
    <x v="0"/>
    <x v="0"/>
    <x v="0"/>
    <x v="0"/>
  </r>
  <r>
    <x v="570"/>
    <x v="11"/>
    <x v="20"/>
    <x v="18"/>
    <x v="570"/>
    <x v="569"/>
    <x v="569"/>
    <x v="3"/>
    <x v="0"/>
    <x v="8"/>
    <x v="2"/>
  </r>
  <r>
    <x v="571"/>
    <x v="12"/>
    <x v="20"/>
    <x v="18"/>
    <x v="571"/>
    <x v="570"/>
    <x v="570"/>
    <x v="0"/>
    <x v="0"/>
    <x v="0"/>
    <x v="0"/>
  </r>
  <r>
    <x v="572"/>
    <x v="13"/>
    <x v="20"/>
    <x v="18"/>
    <x v="572"/>
    <x v="571"/>
    <x v="571"/>
    <x v="3"/>
    <x v="0"/>
    <x v="8"/>
    <x v="2"/>
  </r>
  <r>
    <x v="573"/>
    <x v="14"/>
    <x v="20"/>
    <x v="18"/>
    <x v="573"/>
    <x v="572"/>
    <x v="572"/>
    <x v="1"/>
    <x v="0"/>
    <x v="8"/>
    <x v="1"/>
  </r>
  <r>
    <x v="574"/>
    <x v="15"/>
    <x v="20"/>
    <x v="18"/>
    <x v="574"/>
    <x v="573"/>
    <x v="573"/>
    <x v="0"/>
    <x v="0"/>
    <x v="0"/>
    <x v="0"/>
  </r>
  <r>
    <x v="575"/>
    <x v="16"/>
    <x v="20"/>
    <x v="18"/>
    <x v="575"/>
    <x v="574"/>
    <x v="574"/>
    <x v="0"/>
    <x v="0"/>
    <x v="0"/>
    <x v="0"/>
  </r>
  <r>
    <x v="576"/>
    <x v="17"/>
    <x v="20"/>
    <x v="18"/>
    <x v="576"/>
    <x v="575"/>
    <x v="575"/>
    <x v="0"/>
    <x v="0"/>
    <x v="0"/>
    <x v="0"/>
  </r>
  <r>
    <x v="577"/>
    <x v="18"/>
    <x v="20"/>
    <x v="18"/>
    <x v="577"/>
    <x v="576"/>
    <x v="576"/>
    <x v="0"/>
    <x v="0"/>
    <x v="0"/>
    <x v="0"/>
  </r>
  <r>
    <x v="578"/>
    <x v="19"/>
    <x v="20"/>
    <x v="18"/>
    <x v="578"/>
    <x v="577"/>
    <x v="577"/>
    <x v="0"/>
    <x v="0"/>
    <x v="0"/>
    <x v="0"/>
  </r>
  <r>
    <x v="579"/>
    <x v="20"/>
    <x v="20"/>
    <x v="18"/>
    <x v="579"/>
    <x v="578"/>
    <x v="578"/>
    <x v="0"/>
    <x v="0"/>
    <x v="0"/>
    <x v="0"/>
  </r>
  <r>
    <x v="580"/>
    <x v="21"/>
    <x v="21"/>
    <x v="18"/>
    <x v="580"/>
    <x v="579"/>
    <x v="579"/>
    <x v="1"/>
    <x v="0"/>
    <x v="8"/>
    <x v="1"/>
  </r>
  <r>
    <x v="581"/>
    <x v="22"/>
    <x v="21"/>
    <x v="18"/>
    <x v="581"/>
    <x v="580"/>
    <x v="580"/>
    <x v="0"/>
    <x v="0"/>
    <x v="0"/>
    <x v="0"/>
  </r>
  <r>
    <x v="582"/>
    <x v="23"/>
    <x v="21"/>
    <x v="18"/>
    <x v="582"/>
    <x v="581"/>
    <x v="581"/>
    <x v="3"/>
    <x v="0"/>
    <x v="8"/>
    <x v="2"/>
  </r>
  <r>
    <x v="583"/>
    <x v="24"/>
    <x v="21"/>
    <x v="18"/>
    <x v="583"/>
    <x v="582"/>
    <x v="582"/>
    <x v="3"/>
    <x v="0"/>
    <x v="8"/>
    <x v="2"/>
  </r>
  <r>
    <x v="584"/>
    <x v="25"/>
    <x v="21"/>
    <x v="18"/>
    <x v="584"/>
    <x v="583"/>
    <x v="583"/>
    <x v="1"/>
    <x v="0"/>
    <x v="8"/>
    <x v="1"/>
  </r>
  <r>
    <x v="585"/>
    <x v="26"/>
    <x v="22"/>
    <x v="18"/>
    <x v="585"/>
    <x v="584"/>
    <x v="584"/>
    <x v="0"/>
    <x v="0"/>
    <x v="0"/>
    <x v="0"/>
  </r>
  <r>
    <x v="586"/>
    <x v="27"/>
    <x v="22"/>
    <x v="18"/>
    <x v="586"/>
    <x v="585"/>
    <x v="585"/>
    <x v="3"/>
    <x v="0"/>
    <x v="8"/>
    <x v="2"/>
  </r>
  <r>
    <x v="587"/>
    <x v="28"/>
    <x v="22"/>
    <x v="18"/>
    <x v="587"/>
    <x v="586"/>
    <x v="586"/>
    <x v="0"/>
    <x v="0"/>
    <x v="0"/>
    <x v="0"/>
  </r>
  <r>
    <x v="588"/>
    <x v="29"/>
    <x v="22"/>
    <x v="18"/>
    <x v="588"/>
    <x v="587"/>
    <x v="587"/>
    <x v="3"/>
    <x v="0"/>
    <x v="8"/>
    <x v="2"/>
  </r>
  <r>
    <x v="589"/>
    <x v="30"/>
    <x v="22"/>
    <x v="18"/>
    <x v="589"/>
    <x v="588"/>
    <x v="588"/>
    <x v="1"/>
    <x v="0"/>
    <x v="8"/>
    <x v="1"/>
  </r>
  <r>
    <x v="590"/>
    <x v="31"/>
    <x v="22"/>
    <x v="18"/>
    <x v="590"/>
    <x v="589"/>
    <x v="589"/>
    <x v="1"/>
    <x v="0"/>
    <x v="8"/>
    <x v="1"/>
  </r>
  <r>
    <x v="591"/>
    <x v="32"/>
    <x v="22"/>
    <x v="18"/>
    <x v="591"/>
    <x v="590"/>
    <x v="590"/>
    <x v="3"/>
    <x v="0"/>
    <x v="8"/>
    <x v="2"/>
  </r>
  <r>
    <x v="592"/>
    <x v="33"/>
    <x v="22"/>
    <x v="18"/>
    <x v="592"/>
    <x v="591"/>
    <x v="591"/>
    <x v="1"/>
    <x v="0"/>
    <x v="8"/>
    <x v="1"/>
  </r>
  <r>
    <x v="593"/>
    <x v="34"/>
    <x v="22"/>
    <x v="18"/>
    <x v="593"/>
    <x v="592"/>
    <x v="592"/>
    <x v="0"/>
    <x v="0"/>
    <x v="0"/>
    <x v="0"/>
  </r>
  <r>
    <x v="594"/>
    <x v="35"/>
    <x v="22"/>
    <x v="18"/>
    <x v="594"/>
    <x v="593"/>
    <x v="593"/>
    <x v="0"/>
    <x v="0"/>
    <x v="0"/>
    <x v="0"/>
  </r>
  <r>
    <x v="595"/>
    <x v="36"/>
    <x v="21"/>
    <x v="18"/>
    <x v="595"/>
    <x v="594"/>
    <x v="594"/>
    <x v="3"/>
    <x v="0"/>
    <x v="8"/>
    <x v="2"/>
  </r>
  <r>
    <x v="596"/>
    <x v="37"/>
    <x v="21"/>
    <x v="18"/>
    <x v="596"/>
    <x v="595"/>
    <x v="595"/>
    <x v="1"/>
    <x v="0"/>
    <x v="8"/>
    <x v="1"/>
  </r>
  <r>
    <x v="597"/>
    <x v="38"/>
    <x v="21"/>
    <x v="18"/>
    <x v="597"/>
    <x v="596"/>
    <x v="596"/>
    <x v="1"/>
    <x v="0"/>
    <x v="8"/>
    <x v="1"/>
  </r>
  <r>
    <x v="598"/>
    <x v="39"/>
    <x v="21"/>
    <x v="18"/>
    <x v="598"/>
    <x v="597"/>
    <x v="597"/>
    <x v="1"/>
    <x v="0"/>
    <x v="8"/>
    <x v="1"/>
  </r>
  <r>
    <x v="599"/>
    <x v="40"/>
    <x v="21"/>
    <x v="18"/>
    <x v="599"/>
    <x v="598"/>
    <x v="598"/>
    <x v="3"/>
    <x v="0"/>
    <x v="8"/>
    <x v="2"/>
  </r>
  <r>
    <x v="600"/>
    <x v="0"/>
    <x v="23"/>
    <x v="19"/>
    <x v="600"/>
    <x v="599"/>
    <x v="599"/>
    <x v="3"/>
    <x v="0"/>
    <x v="8"/>
    <x v="2"/>
  </r>
  <r>
    <x v="601"/>
    <x v="1"/>
    <x v="23"/>
    <x v="19"/>
    <x v="601"/>
    <x v="600"/>
    <x v="600"/>
    <x v="1"/>
    <x v="0"/>
    <x v="8"/>
    <x v="1"/>
  </r>
  <r>
    <x v="602"/>
    <x v="2"/>
    <x v="23"/>
    <x v="19"/>
    <x v="602"/>
    <x v="601"/>
    <x v="601"/>
    <x v="1"/>
    <x v="0"/>
    <x v="8"/>
    <x v="1"/>
  </r>
  <r>
    <x v="603"/>
    <x v="3"/>
    <x v="23"/>
    <x v="19"/>
    <x v="603"/>
    <x v="602"/>
    <x v="602"/>
    <x v="0"/>
    <x v="0"/>
    <x v="0"/>
    <x v="0"/>
  </r>
  <r>
    <x v="604"/>
    <x v="4"/>
    <x v="23"/>
    <x v="19"/>
    <x v="604"/>
    <x v="603"/>
    <x v="603"/>
    <x v="1"/>
    <x v="0"/>
    <x v="8"/>
    <x v="1"/>
  </r>
  <r>
    <x v="605"/>
    <x v="5"/>
    <x v="23"/>
    <x v="19"/>
    <x v="605"/>
    <x v="604"/>
    <x v="604"/>
    <x v="1"/>
    <x v="0"/>
    <x v="8"/>
    <x v="1"/>
  </r>
  <r>
    <x v="606"/>
    <x v="6"/>
    <x v="23"/>
    <x v="19"/>
    <x v="606"/>
    <x v="605"/>
    <x v="605"/>
    <x v="3"/>
    <x v="0"/>
    <x v="8"/>
    <x v="2"/>
  </r>
  <r>
    <x v="607"/>
    <x v="7"/>
    <x v="23"/>
    <x v="19"/>
    <x v="607"/>
    <x v="606"/>
    <x v="606"/>
    <x v="3"/>
    <x v="0"/>
    <x v="8"/>
    <x v="2"/>
  </r>
  <r>
    <x v="608"/>
    <x v="8"/>
    <x v="23"/>
    <x v="19"/>
    <x v="608"/>
    <x v="607"/>
    <x v="607"/>
    <x v="3"/>
    <x v="0"/>
    <x v="8"/>
    <x v="2"/>
  </r>
  <r>
    <x v="609"/>
    <x v="9"/>
    <x v="23"/>
    <x v="19"/>
    <x v="609"/>
    <x v="608"/>
    <x v="608"/>
    <x v="1"/>
    <x v="0"/>
    <x v="8"/>
    <x v="1"/>
  </r>
  <r>
    <x v="610"/>
    <x v="11"/>
    <x v="23"/>
    <x v="19"/>
    <x v="610"/>
    <x v="609"/>
    <x v="609"/>
    <x v="3"/>
    <x v="0"/>
    <x v="8"/>
    <x v="2"/>
  </r>
  <r>
    <x v="611"/>
    <x v="12"/>
    <x v="23"/>
    <x v="19"/>
    <x v="611"/>
    <x v="610"/>
    <x v="610"/>
    <x v="3"/>
    <x v="0"/>
    <x v="8"/>
    <x v="2"/>
  </r>
  <r>
    <x v="612"/>
    <x v="14"/>
    <x v="23"/>
    <x v="19"/>
    <x v="612"/>
    <x v="611"/>
    <x v="611"/>
    <x v="1"/>
    <x v="0"/>
    <x v="8"/>
    <x v="1"/>
  </r>
  <r>
    <x v="613"/>
    <x v="15"/>
    <x v="23"/>
    <x v="19"/>
    <x v="613"/>
    <x v="612"/>
    <x v="612"/>
    <x v="1"/>
    <x v="0"/>
    <x v="8"/>
    <x v="1"/>
  </r>
  <r>
    <x v="614"/>
    <x v="16"/>
    <x v="23"/>
    <x v="19"/>
    <x v="614"/>
    <x v="613"/>
    <x v="613"/>
    <x v="1"/>
    <x v="0"/>
    <x v="8"/>
    <x v="1"/>
  </r>
  <r>
    <x v="615"/>
    <x v="17"/>
    <x v="23"/>
    <x v="19"/>
    <x v="615"/>
    <x v="614"/>
    <x v="614"/>
    <x v="3"/>
    <x v="0"/>
    <x v="8"/>
    <x v="2"/>
  </r>
  <r>
    <x v="616"/>
    <x v="18"/>
    <x v="23"/>
    <x v="19"/>
    <x v="616"/>
    <x v="615"/>
    <x v="615"/>
    <x v="0"/>
    <x v="0"/>
    <x v="0"/>
    <x v="0"/>
  </r>
  <r>
    <x v="617"/>
    <x v="19"/>
    <x v="23"/>
    <x v="19"/>
    <x v="617"/>
    <x v="616"/>
    <x v="616"/>
    <x v="3"/>
    <x v="0"/>
    <x v="8"/>
    <x v="2"/>
  </r>
  <r>
    <x v="618"/>
    <x v="20"/>
    <x v="23"/>
    <x v="19"/>
    <x v="618"/>
    <x v="617"/>
    <x v="617"/>
    <x v="3"/>
    <x v="0"/>
    <x v="8"/>
    <x v="2"/>
  </r>
  <r>
    <x v="619"/>
    <x v="21"/>
    <x v="23"/>
    <x v="19"/>
    <x v="619"/>
    <x v="618"/>
    <x v="618"/>
    <x v="3"/>
    <x v="0"/>
    <x v="8"/>
    <x v="2"/>
  </r>
  <r>
    <x v="620"/>
    <x v="22"/>
    <x v="23"/>
    <x v="19"/>
    <x v="620"/>
    <x v="619"/>
    <x v="619"/>
    <x v="3"/>
    <x v="0"/>
    <x v="8"/>
    <x v="2"/>
  </r>
  <r>
    <x v="621"/>
    <x v="23"/>
    <x v="23"/>
    <x v="19"/>
    <x v="621"/>
    <x v="620"/>
    <x v="620"/>
    <x v="0"/>
    <x v="0"/>
    <x v="0"/>
    <x v="0"/>
  </r>
  <r>
    <x v="622"/>
    <x v="24"/>
    <x v="23"/>
    <x v="19"/>
    <x v="622"/>
    <x v="621"/>
    <x v="621"/>
    <x v="1"/>
    <x v="0"/>
    <x v="8"/>
    <x v="1"/>
  </r>
  <r>
    <x v="623"/>
    <x v="25"/>
    <x v="23"/>
    <x v="19"/>
    <x v="623"/>
    <x v="622"/>
    <x v="622"/>
    <x v="3"/>
    <x v="0"/>
    <x v="8"/>
    <x v="2"/>
  </r>
  <r>
    <x v="624"/>
    <x v="26"/>
    <x v="23"/>
    <x v="19"/>
    <x v="624"/>
    <x v="623"/>
    <x v="623"/>
    <x v="1"/>
    <x v="0"/>
    <x v="8"/>
    <x v="1"/>
  </r>
  <r>
    <x v="625"/>
    <x v="27"/>
    <x v="23"/>
    <x v="19"/>
    <x v="625"/>
    <x v="624"/>
    <x v="624"/>
    <x v="1"/>
    <x v="0"/>
    <x v="8"/>
    <x v="1"/>
  </r>
  <r>
    <x v="626"/>
    <x v="28"/>
    <x v="23"/>
    <x v="19"/>
    <x v="626"/>
    <x v="625"/>
    <x v="625"/>
    <x v="0"/>
    <x v="0"/>
    <x v="0"/>
    <x v="0"/>
  </r>
  <r>
    <x v="627"/>
    <x v="29"/>
    <x v="23"/>
    <x v="19"/>
    <x v="627"/>
    <x v="626"/>
    <x v="626"/>
    <x v="3"/>
    <x v="0"/>
    <x v="8"/>
    <x v="2"/>
  </r>
  <r>
    <x v="628"/>
    <x v="30"/>
    <x v="23"/>
    <x v="19"/>
    <x v="628"/>
    <x v="627"/>
    <x v="627"/>
    <x v="3"/>
    <x v="0"/>
    <x v="8"/>
    <x v="2"/>
  </r>
  <r>
    <x v="629"/>
    <x v="31"/>
    <x v="23"/>
    <x v="19"/>
    <x v="629"/>
    <x v="628"/>
    <x v="628"/>
    <x v="3"/>
    <x v="0"/>
    <x v="8"/>
    <x v="2"/>
  </r>
  <r>
    <x v="630"/>
    <x v="0"/>
    <x v="24"/>
    <x v="1"/>
    <x v="630"/>
    <x v="629"/>
    <x v="629"/>
    <x v="1"/>
    <x v="0"/>
    <x v="8"/>
    <x v="1"/>
  </r>
  <r>
    <x v="631"/>
    <x v="1"/>
    <x v="24"/>
    <x v="1"/>
    <x v="631"/>
    <x v="630"/>
    <x v="630"/>
    <x v="3"/>
    <x v="0"/>
    <x v="8"/>
    <x v="2"/>
  </r>
  <r>
    <x v="632"/>
    <x v="2"/>
    <x v="24"/>
    <x v="1"/>
    <x v="632"/>
    <x v="631"/>
    <x v="631"/>
    <x v="1"/>
    <x v="0"/>
    <x v="8"/>
    <x v="1"/>
  </r>
  <r>
    <x v="633"/>
    <x v="3"/>
    <x v="24"/>
    <x v="1"/>
    <x v="633"/>
    <x v="632"/>
    <x v="632"/>
    <x v="0"/>
    <x v="0"/>
    <x v="0"/>
    <x v="0"/>
  </r>
  <r>
    <x v="634"/>
    <x v="4"/>
    <x v="24"/>
    <x v="1"/>
    <x v="634"/>
    <x v="633"/>
    <x v="633"/>
    <x v="1"/>
    <x v="0"/>
    <x v="8"/>
    <x v="1"/>
  </r>
  <r>
    <x v="635"/>
    <x v="5"/>
    <x v="24"/>
    <x v="1"/>
    <x v="635"/>
    <x v="634"/>
    <x v="634"/>
    <x v="1"/>
    <x v="0"/>
    <x v="8"/>
    <x v="1"/>
  </r>
  <r>
    <x v="636"/>
    <x v="6"/>
    <x v="24"/>
    <x v="1"/>
    <x v="636"/>
    <x v="635"/>
    <x v="635"/>
    <x v="0"/>
    <x v="0"/>
    <x v="0"/>
    <x v="0"/>
  </r>
  <r>
    <x v="637"/>
    <x v="7"/>
    <x v="24"/>
    <x v="1"/>
    <x v="637"/>
    <x v="636"/>
    <x v="636"/>
    <x v="3"/>
    <x v="0"/>
    <x v="8"/>
    <x v="2"/>
  </r>
  <r>
    <x v="638"/>
    <x v="8"/>
    <x v="24"/>
    <x v="1"/>
    <x v="638"/>
    <x v="637"/>
    <x v="637"/>
    <x v="1"/>
    <x v="0"/>
    <x v="8"/>
    <x v="1"/>
  </r>
  <r>
    <x v="639"/>
    <x v="9"/>
    <x v="24"/>
    <x v="1"/>
    <x v="639"/>
    <x v="638"/>
    <x v="638"/>
    <x v="1"/>
    <x v="0"/>
    <x v="8"/>
    <x v="1"/>
  </r>
  <r>
    <x v="640"/>
    <x v="10"/>
    <x v="24"/>
    <x v="1"/>
    <x v="640"/>
    <x v="639"/>
    <x v="639"/>
    <x v="0"/>
    <x v="0"/>
    <x v="0"/>
    <x v="0"/>
  </r>
  <r>
    <x v="641"/>
    <x v="11"/>
    <x v="24"/>
    <x v="1"/>
    <x v="641"/>
    <x v="640"/>
    <x v="640"/>
    <x v="3"/>
    <x v="0"/>
    <x v="8"/>
    <x v="2"/>
  </r>
  <r>
    <x v="642"/>
    <x v="12"/>
    <x v="24"/>
    <x v="1"/>
    <x v="642"/>
    <x v="640"/>
    <x v="641"/>
    <x v="0"/>
    <x v="0"/>
    <x v="0"/>
    <x v="0"/>
  </r>
  <r>
    <x v="643"/>
    <x v="13"/>
    <x v="24"/>
    <x v="1"/>
    <x v="643"/>
    <x v="641"/>
    <x v="642"/>
    <x v="1"/>
    <x v="0"/>
    <x v="8"/>
    <x v="1"/>
  </r>
  <r>
    <x v="644"/>
    <x v="14"/>
    <x v="24"/>
    <x v="1"/>
    <x v="644"/>
    <x v="641"/>
    <x v="643"/>
    <x v="0"/>
    <x v="0"/>
    <x v="0"/>
    <x v="0"/>
  </r>
  <r>
    <x v="645"/>
    <x v="15"/>
    <x v="25"/>
    <x v="20"/>
    <x v="645"/>
    <x v="642"/>
    <x v="644"/>
    <x v="3"/>
    <x v="0"/>
    <x v="8"/>
    <x v="2"/>
  </r>
  <r>
    <x v="646"/>
    <x v="16"/>
    <x v="25"/>
    <x v="20"/>
    <x v="646"/>
    <x v="643"/>
    <x v="645"/>
    <x v="0"/>
    <x v="0"/>
    <x v="0"/>
    <x v="0"/>
  </r>
  <r>
    <x v="647"/>
    <x v="17"/>
    <x v="25"/>
    <x v="20"/>
    <x v="647"/>
    <x v="644"/>
    <x v="646"/>
    <x v="3"/>
    <x v="0"/>
    <x v="8"/>
    <x v="2"/>
  </r>
  <r>
    <x v="648"/>
    <x v="18"/>
    <x v="25"/>
    <x v="20"/>
    <x v="648"/>
    <x v="645"/>
    <x v="647"/>
    <x v="1"/>
    <x v="0"/>
    <x v="8"/>
    <x v="1"/>
  </r>
  <r>
    <x v="649"/>
    <x v="19"/>
    <x v="26"/>
    <x v="20"/>
    <x v="649"/>
    <x v="646"/>
    <x v="648"/>
    <x v="3"/>
    <x v="0"/>
    <x v="8"/>
    <x v="2"/>
  </r>
  <r>
    <x v="650"/>
    <x v="20"/>
    <x v="27"/>
    <x v="20"/>
    <x v="650"/>
    <x v="647"/>
    <x v="649"/>
    <x v="3"/>
    <x v="0"/>
    <x v="8"/>
    <x v="2"/>
  </r>
  <r>
    <x v="651"/>
    <x v="21"/>
    <x v="27"/>
    <x v="20"/>
    <x v="651"/>
    <x v="648"/>
    <x v="650"/>
    <x v="1"/>
    <x v="0"/>
    <x v="8"/>
    <x v="1"/>
  </r>
  <r>
    <x v="652"/>
    <x v="22"/>
    <x v="27"/>
    <x v="20"/>
    <x v="652"/>
    <x v="649"/>
    <x v="651"/>
    <x v="3"/>
    <x v="0"/>
    <x v="8"/>
    <x v="2"/>
  </r>
  <r>
    <x v="653"/>
    <x v="23"/>
    <x v="27"/>
    <x v="20"/>
    <x v="653"/>
    <x v="650"/>
    <x v="652"/>
    <x v="1"/>
    <x v="0"/>
    <x v="8"/>
    <x v="1"/>
  </r>
  <r>
    <x v="654"/>
    <x v="24"/>
    <x v="27"/>
    <x v="20"/>
    <x v="654"/>
    <x v="651"/>
    <x v="653"/>
    <x v="3"/>
    <x v="0"/>
    <x v="8"/>
    <x v="2"/>
  </r>
  <r>
    <x v="655"/>
    <x v="25"/>
    <x v="27"/>
    <x v="20"/>
    <x v="655"/>
    <x v="652"/>
    <x v="654"/>
    <x v="3"/>
    <x v="0"/>
    <x v="8"/>
    <x v="2"/>
  </r>
  <r>
    <x v="656"/>
    <x v="26"/>
    <x v="27"/>
    <x v="20"/>
    <x v="656"/>
    <x v="653"/>
    <x v="655"/>
    <x v="1"/>
    <x v="0"/>
    <x v="8"/>
    <x v="1"/>
  </r>
  <r>
    <x v="657"/>
    <x v="27"/>
    <x v="27"/>
    <x v="20"/>
    <x v="657"/>
    <x v="654"/>
    <x v="656"/>
    <x v="0"/>
    <x v="0"/>
    <x v="0"/>
    <x v="0"/>
  </r>
  <r>
    <x v="658"/>
    <x v="28"/>
    <x v="28"/>
    <x v="20"/>
    <x v="658"/>
    <x v="655"/>
    <x v="657"/>
    <x v="1"/>
    <x v="0"/>
    <x v="8"/>
    <x v="1"/>
  </r>
  <r>
    <x v="659"/>
    <x v="29"/>
    <x v="28"/>
    <x v="20"/>
    <x v="659"/>
    <x v="656"/>
    <x v="658"/>
    <x v="3"/>
    <x v="0"/>
    <x v="8"/>
    <x v="2"/>
  </r>
  <r>
    <x v="660"/>
    <x v="30"/>
    <x v="28"/>
    <x v="20"/>
    <x v="660"/>
    <x v="657"/>
    <x v="659"/>
    <x v="1"/>
    <x v="0"/>
    <x v="8"/>
    <x v="1"/>
  </r>
  <r>
    <x v="661"/>
    <x v="31"/>
    <x v="28"/>
    <x v="20"/>
    <x v="661"/>
    <x v="658"/>
    <x v="660"/>
    <x v="3"/>
    <x v="0"/>
    <x v="8"/>
    <x v="2"/>
  </r>
  <r>
    <x v="662"/>
    <x v="32"/>
    <x v="29"/>
    <x v="20"/>
    <x v="662"/>
    <x v="659"/>
    <x v="661"/>
    <x v="3"/>
    <x v="0"/>
    <x v="8"/>
    <x v="2"/>
  </r>
  <r>
    <x v="663"/>
    <x v="33"/>
    <x v="29"/>
    <x v="20"/>
    <x v="663"/>
    <x v="660"/>
    <x v="662"/>
    <x v="3"/>
    <x v="0"/>
    <x v="8"/>
    <x v="2"/>
  </r>
  <r>
    <x v="664"/>
    <x v="34"/>
    <x v="30"/>
    <x v="20"/>
    <x v="664"/>
    <x v="661"/>
    <x v="663"/>
    <x v="1"/>
    <x v="0"/>
    <x v="8"/>
    <x v="1"/>
  </r>
  <r>
    <x v="665"/>
    <x v="35"/>
    <x v="31"/>
    <x v="20"/>
    <x v="665"/>
    <x v="662"/>
    <x v="664"/>
    <x v="3"/>
    <x v="0"/>
    <x v="8"/>
    <x v="2"/>
  </r>
  <r>
    <x v="666"/>
    <x v="36"/>
    <x v="32"/>
    <x v="20"/>
    <x v="666"/>
    <x v="663"/>
    <x v="665"/>
    <x v="0"/>
    <x v="0"/>
    <x v="0"/>
    <x v="0"/>
  </r>
  <r>
    <x v="667"/>
    <x v="0"/>
    <x v="3"/>
    <x v="3"/>
    <x v="667"/>
    <x v="664"/>
    <x v="666"/>
    <x v="3"/>
    <x v="0"/>
    <x v="8"/>
    <x v="2"/>
  </r>
  <r>
    <x v="668"/>
    <x v="1"/>
    <x v="3"/>
    <x v="3"/>
    <x v="668"/>
    <x v="665"/>
    <x v="667"/>
    <x v="0"/>
    <x v="0"/>
    <x v="0"/>
    <x v="0"/>
  </r>
  <r>
    <x v="669"/>
    <x v="2"/>
    <x v="3"/>
    <x v="3"/>
    <x v="669"/>
    <x v="666"/>
    <x v="668"/>
    <x v="1"/>
    <x v="0"/>
    <x v="8"/>
    <x v="1"/>
  </r>
  <r>
    <x v="670"/>
    <x v="3"/>
    <x v="3"/>
    <x v="3"/>
    <x v="670"/>
    <x v="667"/>
    <x v="669"/>
    <x v="0"/>
    <x v="0"/>
    <x v="0"/>
    <x v="0"/>
  </r>
  <r>
    <x v="671"/>
    <x v="4"/>
    <x v="3"/>
    <x v="3"/>
    <x v="671"/>
    <x v="668"/>
    <x v="670"/>
    <x v="0"/>
    <x v="0"/>
    <x v="0"/>
    <x v="0"/>
  </r>
  <r>
    <x v="672"/>
    <x v="5"/>
    <x v="3"/>
    <x v="3"/>
    <x v="672"/>
    <x v="669"/>
    <x v="671"/>
    <x v="1"/>
    <x v="0"/>
    <x v="8"/>
    <x v="1"/>
  </r>
  <r>
    <x v="673"/>
    <x v="6"/>
    <x v="3"/>
    <x v="3"/>
    <x v="673"/>
    <x v="670"/>
    <x v="672"/>
    <x v="3"/>
    <x v="0"/>
    <x v="8"/>
    <x v="2"/>
  </r>
  <r>
    <x v="674"/>
    <x v="7"/>
    <x v="3"/>
    <x v="3"/>
    <x v="674"/>
    <x v="671"/>
    <x v="673"/>
    <x v="3"/>
    <x v="0"/>
    <x v="8"/>
    <x v="2"/>
  </r>
  <r>
    <x v="675"/>
    <x v="8"/>
    <x v="3"/>
    <x v="3"/>
    <x v="675"/>
    <x v="672"/>
    <x v="674"/>
    <x v="3"/>
    <x v="0"/>
    <x v="8"/>
    <x v="2"/>
  </r>
  <r>
    <x v="676"/>
    <x v="9"/>
    <x v="3"/>
    <x v="3"/>
    <x v="676"/>
    <x v="673"/>
    <x v="675"/>
    <x v="3"/>
    <x v="0"/>
    <x v="8"/>
    <x v="2"/>
  </r>
  <r>
    <x v="677"/>
    <x v="10"/>
    <x v="3"/>
    <x v="3"/>
    <x v="677"/>
    <x v="674"/>
    <x v="676"/>
    <x v="0"/>
    <x v="0"/>
    <x v="0"/>
    <x v="0"/>
  </r>
  <r>
    <x v="678"/>
    <x v="11"/>
    <x v="3"/>
    <x v="3"/>
    <x v="678"/>
    <x v="675"/>
    <x v="677"/>
    <x v="3"/>
    <x v="0"/>
    <x v="8"/>
    <x v="2"/>
  </r>
  <r>
    <x v="679"/>
    <x v="12"/>
    <x v="3"/>
    <x v="3"/>
    <x v="679"/>
    <x v="676"/>
    <x v="678"/>
    <x v="0"/>
    <x v="0"/>
    <x v="0"/>
    <x v="0"/>
  </r>
  <r>
    <x v="680"/>
    <x v="13"/>
    <x v="3"/>
    <x v="3"/>
    <x v="680"/>
    <x v="677"/>
    <x v="679"/>
    <x v="0"/>
    <x v="0"/>
    <x v="0"/>
    <x v="0"/>
  </r>
  <r>
    <x v="681"/>
    <x v="14"/>
    <x v="3"/>
    <x v="3"/>
    <x v="681"/>
    <x v="678"/>
    <x v="680"/>
    <x v="3"/>
    <x v="0"/>
    <x v="8"/>
    <x v="2"/>
  </r>
  <r>
    <x v="682"/>
    <x v="15"/>
    <x v="3"/>
    <x v="3"/>
    <x v="682"/>
    <x v="679"/>
    <x v="681"/>
    <x v="1"/>
    <x v="0"/>
    <x v="8"/>
    <x v="1"/>
  </r>
  <r>
    <x v="683"/>
    <x v="16"/>
    <x v="3"/>
    <x v="3"/>
    <x v="683"/>
    <x v="680"/>
    <x v="682"/>
    <x v="0"/>
    <x v="0"/>
    <x v="0"/>
    <x v="0"/>
  </r>
  <r>
    <x v="684"/>
    <x v="17"/>
    <x v="3"/>
    <x v="3"/>
    <x v="684"/>
    <x v="681"/>
    <x v="683"/>
    <x v="0"/>
    <x v="0"/>
    <x v="0"/>
    <x v="0"/>
  </r>
  <r>
    <x v="685"/>
    <x v="18"/>
    <x v="3"/>
    <x v="3"/>
    <x v="685"/>
    <x v="682"/>
    <x v="684"/>
    <x v="3"/>
    <x v="0"/>
    <x v="8"/>
    <x v="2"/>
  </r>
  <r>
    <x v="686"/>
    <x v="19"/>
    <x v="3"/>
    <x v="3"/>
    <x v="686"/>
    <x v="683"/>
    <x v="685"/>
    <x v="1"/>
    <x v="0"/>
    <x v="8"/>
    <x v="1"/>
  </r>
  <r>
    <x v="687"/>
    <x v="20"/>
    <x v="3"/>
    <x v="3"/>
    <x v="687"/>
    <x v="684"/>
    <x v="686"/>
    <x v="1"/>
    <x v="0"/>
    <x v="8"/>
    <x v="1"/>
  </r>
  <r>
    <x v="688"/>
    <x v="21"/>
    <x v="3"/>
    <x v="3"/>
    <x v="688"/>
    <x v="685"/>
    <x v="687"/>
    <x v="3"/>
    <x v="0"/>
    <x v="8"/>
    <x v="2"/>
  </r>
  <r>
    <x v="689"/>
    <x v="22"/>
    <x v="3"/>
    <x v="3"/>
    <x v="689"/>
    <x v="686"/>
    <x v="688"/>
    <x v="1"/>
    <x v="0"/>
    <x v="8"/>
    <x v="1"/>
  </r>
  <r>
    <x v="690"/>
    <x v="23"/>
    <x v="3"/>
    <x v="3"/>
    <x v="690"/>
    <x v="687"/>
    <x v="689"/>
    <x v="1"/>
    <x v="0"/>
    <x v="8"/>
    <x v="1"/>
  </r>
  <r>
    <x v="691"/>
    <x v="24"/>
    <x v="3"/>
    <x v="3"/>
    <x v="691"/>
    <x v="688"/>
    <x v="690"/>
    <x v="3"/>
    <x v="0"/>
    <x v="8"/>
    <x v="2"/>
  </r>
  <r>
    <x v="692"/>
    <x v="25"/>
    <x v="3"/>
    <x v="3"/>
    <x v="692"/>
    <x v="689"/>
    <x v="691"/>
    <x v="0"/>
    <x v="0"/>
    <x v="0"/>
    <x v="0"/>
  </r>
  <r>
    <x v="693"/>
    <x v="26"/>
    <x v="3"/>
    <x v="3"/>
    <x v="693"/>
    <x v="690"/>
    <x v="692"/>
    <x v="3"/>
    <x v="0"/>
    <x v="8"/>
    <x v="2"/>
  </r>
  <r>
    <x v="694"/>
    <x v="27"/>
    <x v="3"/>
    <x v="3"/>
    <x v="694"/>
    <x v="691"/>
    <x v="693"/>
    <x v="0"/>
    <x v="0"/>
    <x v="0"/>
    <x v="0"/>
  </r>
  <r>
    <x v="695"/>
    <x v="28"/>
    <x v="3"/>
    <x v="3"/>
    <x v="695"/>
    <x v="692"/>
    <x v="694"/>
    <x v="0"/>
    <x v="0"/>
    <x v="0"/>
    <x v="0"/>
  </r>
  <r>
    <x v="696"/>
    <x v="29"/>
    <x v="3"/>
    <x v="3"/>
    <x v="696"/>
    <x v="693"/>
    <x v="695"/>
    <x v="1"/>
    <x v="0"/>
    <x v="8"/>
    <x v="1"/>
  </r>
  <r>
    <x v="697"/>
    <x v="30"/>
    <x v="3"/>
    <x v="3"/>
    <x v="697"/>
    <x v="694"/>
    <x v="696"/>
    <x v="1"/>
    <x v="0"/>
    <x v="8"/>
    <x v="1"/>
  </r>
  <r>
    <x v="698"/>
    <x v="31"/>
    <x v="3"/>
    <x v="3"/>
    <x v="698"/>
    <x v="695"/>
    <x v="697"/>
    <x v="0"/>
    <x v="0"/>
    <x v="0"/>
    <x v="0"/>
  </r>
  <r>
    <x v="699"/>
    <x v="32"/>
    <x v="3"/>
    <x v="3"/>
    <x v="699"/>
    <x v="696"/>
    <x v="698"/>
    <x v="1"/>
    <x v="0"/>
    <x v="8"/>
    <x v="1"/>
  </r>
  <r>
    <x v="700"/>
    <x v="33"/>
    <x v="3"/>
    <x v="3"/>
    <x v="700"/>
    <x v="697"/>
    <x v="699"/>
    <x v="3"/>
    <x v="0"/>
    <x v="8"/>
    <x v="2"/>
  </r>
  <r>
    <x v="701"/>
    <x v="34"/>
    <x v="3"/>
    <x v="3"/>
    <x v="701"/>
    <x v="698"/>
    <x v="700"/>
    <x v="3"/>
    <x v="0"/>
    <x v="8"/>
    <x v="2"/>
  </r>
  <r>
    <x v="702"/>
    <x v="35"/>
    <x v="3"/>
    <x v="3"/>
    <x v="702"/>
    <x v="699"/>
    <x v="701"/>
    <x v="3"/>
    <x v="0"/>
    <x v="8"/>
    <x v="2"/>
  </r>
  <r>
    <x v="703"/>
    <x v="36"/>
    <x v="3"/>
    <x v="3"/>
    <x v="703"/>
    <x v="700"/>
    <x v="702"/>
    <x v="1"/>
    <x v="0"/>
    <x v="8"/>
    <x v="1"/>
  </r>
  <r>
    <x v="704"/>
    <x v="37"/>
    <x v="3"/>
    <x v="3"/>
    <x v="704"/>
    <x v="701"/>
    <x v="703"/>
    <x v="1"/>
    <x v="0"/>
    <x v="8"/>
    <x v="1"/>
  </r>
  <r>
    <x v="705"/>
    <x v="38"/>
    <x v="3"/>
    <x v="3"/>
    <x v="705"/>
    <x v="702"/>
    <x v="704"/>
    <x v="0"/>
    <x v="0"/>
    <x v="0"/>
    <x v="0"/>
  </r>
  <r>
    <x v="706"/>
    <x v="39"/>
    <x v="3"/>
    <x v="3"/>
    <x v="706"/>
    <x v="703"/>
    <x v="705"/>
    <x v="0"/>
    <x v="0"/>
    <x v="0"/>
    <x v="0"/>
  </r>
  <r>
    <x v="707"/>
    <x v="40"/>
    <x v="3"/>
    <x v="3"/>
    <x v="707"/>
    <x v="704"/>
    <x v="706"/>
    <x v="1"/>
    <x v="0"/>
    <x v="8"/>
    <x v="1"/>
  </r>
  <r>
    <x v="708"/>
    <x v="41"/>
    <x v="3"/>
    <x v="3"/>
    <x v="708"/>
    <x v="705"/>
    <x v="707"/>
    <x v="1"/>
    <x v="0"/>
    <x v="8"/>
    <x v="1"/>
  </r>
  <r>
    <x v="709"/>
    <x v="42"/>
    <x v="3"/>
    <x v="3"/>
    <x v="709"/>
    <x v="706"/>
    <x v="708"/>
    <x v="1"/>
    <x v="0"/>
    <x v="8"/>
    <x v="1"/>
  </r>
  <r>
    <x v="710"/>
    <x v="43"/>
    <x v="3"/>
    <x v="3"/>
    <x v="710"/>
    <x v="707"/>
    <x v="709"/>
    <x v="3"/>
    <x v="0"/>
    <x v="8"/>
    <x v="2"/>
  </r>
  <r>
    <x v="711"/>
    <x v="44"/>
    <x v="3"/>
    <x v="3"/>
    <x v="711"/>
    <x v="708"/>
    <x v="710"/>
    <x v="1"/>
    <x v="0"/>
    <x v="8"/>
    <x v="1"/>
  </r>
  <r>
    <x v="712"/>
    <x v="45"/>
    <x v="3"/>
    <x v="3"/>
    <x v="712"/>
    <x v="709"/>
    <x v="711"/>
    <x v="1"/>
    <x v="0"/>
    <x v="8"/>
    <x v="1"/>
  </r>
  <r>
    <x v="713"/>
    <x v="46"/>
    <x v="3"/>
    <x v="3"/>
    <x v="713"/>
    <x v="710"/>
    <x v="712"/>
    <x v="1"/>
    <x v="0"/>
    <x v="8"/>
    <x v="1"/>
  </r>
  <r>
    <x v="714"/>
    <x v="47"/>
    <x v="3"/>
    <x v="3"/>
    <x v="714"/>
    <x v="129"/>
    <x v="129"/>
    <x v="1"/>
    <x v="0"/>
    <x v="8"/>
    <x v="1"/>
  </r>
  <r>
    <x v="715"/>
    <x v="48"/>
    <x v="3"/>
    <x v="3"/>
    <x v="715"/>
    <x v="711"/>
    <x v="713"/>
    <x v="1"/>
    <x v="0"/>
    <x v="8"/>
    <x v="1"/>
  </r>
  <r>
    <x v="716"/>
    <x v="49"/>
    <x v="3"/>
    <x v="3"/>
    <x v="716"/>
    <x v="712"/>
    <x v="714"/>
    <x v="1"/>
    <x v="0"/>
    <x v="8"/>
    <x v="1"/>
  </r>
  <r>
    <x v="717"/>
    <x v="50"/>
    <x v="3"/>
    <x v="3"/>
    <x v="717"/>
    <x v="713"/>
    <x v="715"/>
    <x v="0"/>
    <x v="0"/>
    <x v="0"/>
    <x v="0"/>
  </r>
  <r>
    <x v="718"/>
    <x v="51"/>
    <x v="3"/>
    <x v="3"/>
    <x v="718"/>
    <x v="714"/>
    <x v="716"/>
    <x v="0"/>
    <x v="0"/>
    <x v="0"/>
    <x v="0"/>
  </r>
  <r>
    <x v="719"/>
    <x v="52"/>
    <x v="3"/>
    <x v="3"/>
    <x v="719"/>
    <x v="715"/>
    <x v="717"/>
    <x v="1"/>
    <x v="0"/>
    <x v="8"/>
    <x v="1"/>
  </r>
  <r>
    <x v="720"/>
    <x v="53"/>
    <x v="3"/>
    <x v="3"/>
    <x v="720"/>
    <x v="716"/>
    <x v="718"/>
    <x v="0"/>
    <x v="0"/>
    <x v="0"/>
    <x v="0"/>
  </r>
  <r>
    <x v="721"/>
    <x v="54"/>
    <x v="3"/>
    <x v="3"/>
    <x v="721"/>
    <x v="717"/>
    <x v="719"/>
    <x v="0"/>
    <x v="0"/>
    <x v="0"/>
    <x v="0"/>
  </r>
  <r>
    <x v="722"/>
    <x v="55"/>
    <x v="3"/>
    <x v="3"/>
    <x v="722"/>
    <x v="718"/>
    <x v="720"/>
    <x v="0"/>
    <x v="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</Relationships>
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</Relationships>

</file>

<file path=xl/pivotTables/pivotTable1.xml><?xml version="1.0" encoding="utf-8"?>
<pivotTableDefinition xmlns="http://schemas.openxmlformats.org/spreadsheetml/2006/main" name="틀린 것 복습" cacheId="0" dataPosition="0" autoFormatId="0" applyNumberFormats="0" applyBorderFormats="0" applyFontFormats="0" applyPatternFormats="0" applyAlignmentFormats="0" applyWidthHeightFormats="1" dataCaption="" missingCaption="" pivotTableStyle="PivotStyleCustom01" updatedVersion="7" useAutoFormatting="1" rowGrandTotals="0" createdVersion="7" indent="0" showEmptyCol="1" showEmptyRow="1" compact="0" compactData="0" multipleFieldFilters="0">
  <location ref="A2:D4" firstHeaderRow="1" firstDataRow="1" firstDataCol="3"/>
  <pivotFields count="18">
    <pivotField name="No" compact="0" outline="0" showAll="0">
      <items count="7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t="default" sd="0"/>
      </items>
    </pivotField>
    <pivotField name="sNo" axis="axisValues" dataField="1" compact="0" outline="0" showAll="0"/>
    <pivotField name="구분2_참고" compact="0" outline="0" showAll="0">
      <items count="34">
        <item x="28"/>
        <item x="31"/>
        <item x="26"/>
        <item x="30"/>
        <item x="20"/>
        <item x="22"/>
        <item x="21"/>
        <item x="19"/>
        <item x="10"/>
        <item x="7"/>
        <item x="8"/>
        <item x="9"/>
        <item x="11"/>
        <item x="14"/>
        <item x="0"/>
        <item x="13"/>
        <item x="24"/>
        <item x="1"/>
        <item x="27"/>
        <item x="32"/>
        <item x="5"/>
        <item x="6"/>
        <item x="15"/>
        <item x="16"/>
        <item x="17"/>
        <item x="18"/>
        <item x="3"/>
        <item x="12"/>
        <item x="4"/>
        <item x="23"/>
        <item x="2"/>
        <item x="29"/>
        <item x="25"/>
        <item t="default" sd="0"/>
      </items>
    </pivotField>
    <pivotField name="구분" compact="0" outline="0" showAll="0">
      <items count="22">
        <item x="20"/>
        <item x="18"/>
        <item x="17"/>
        <item x="7"/>
        <item x="8"/>
        <item x="9"/>
        <item x="12"/>
        <item x="0"/>
        <item x="11"/>
        <item x="1"/>
        <item x="5"/>
        <item x="6"/>
        <item x="13"/>
        <item x="14"/>
        <item x="15"/>
        <item x="16"/>
        <item x="3"/>
        <item x="10"/>
        <item x="4"/>
        <item x="19"/>
        <item x="2"/>
        <item t="default" sd="0"/>
      </items>
    </pivotField>
    <pivotField name="한국어" compact="0" outline="0" showAll="0">
      <items count="724">
        <item x="290"/>
        <item x="237"/>
        <item x="234"/>
        <item x="715"/>
        <item x="691"/>
        <item x="690"/>
        <item x="695"/>
        <item x="83"/>
        <item x="70"/>
        <item x="670"/>
        <item x="671"/>
        <item x="717"/>
        <item x="678"/>
        <item x="698"/>
        <item x="436"/>
        <item x="434"/>
        <item x="435"/>
        <item x="238"/>
        <item x="82"/>
        <item x="92"/>
        <item x="93"/>
        <item x="75"/>
        <item x="175"/>
        <item x="181"/>
        <item x="168"/>
        <item x="174"/>
        <item x="186"/>
        <item x="702"/>
        <item x="173"/>
        <item x="178"/>
        <item x="171"/>
        <item x="654"/>
        <item x="176"/>
        <item x="647"/>
        <item x="645"/>
        <item x="330"/>
        <item x="185"/>
        <item x="183"/>
        <item x="169"/>
        <item x="182"/>
        <item x="180"/>
        <item x="461"/>
        <item x="407"/>
        <item x="457"/>
        <item x="417"/>
        <item x="431"/>
        <item x="402"/>
        <item x="609"/>
        <item x="163"/>
        <item x="499"/>
        <item x="420"/>
        <item x="410"/>
        <item x="280"/>
        <item x="604"/>
        <item x="406"/>
        <item x="471"/>
        <item x="483"/>
        <item x="411"/>
        <item x="452"/>
        <item x="465"/>
        <item x="454"/>
        <item x="487"/>
        <item x="479"/>
        <item x="475"/>
        <item x="467"/>
        <item x="332"/>
        <item x="271"/>
        <item x="412"/>
        <item x="606"/>
        <item x="450"/>
        <item x="278"/>
        <item x="334"/>
        <item x="616"/>
        <item x="401"/>
        <item x="463"/>
        <item x="473"/>
        <item x="485"/>
        <item x="622"/>
        <item x="477"/>
        <item x="469"/>
        <item x="481"/>
        <item x="459"/>
        <item x="215"/>
        <item x="225"/>
        <item x="220"/>
        <item x="148"/>
        <item x="127"/>
        <item x="662"/>
        <item x="197"/>
        <item x="207"/>
        <item x="432"/>
        <item x="425"/>
        <item x="384"/>
        <item x="350"/>
        <item x="318"/>
        <item x="428"/>
        <item x="23"/>
        <item x="716"/>
        <item x="620"/>
        <item x="634"/>
        <item x="31"/>
        <item x="400"/>
        <item x="283"/>
        <item x="8"/>
        <item x="105"/>
        <item x="336"/>
        <item x="352"/>
        <item x="342"/>
        <item x="626"/>
        <item x="368"/>
        <item x="140"/>
        <item x="152"/>
        <item x="68"/>
        <item x="67"/>
        <item x="353"/>
        <item x="13"/>
        <item x="164"/>
        <item x="64"/>
        <item x="56"/>
        <item x="162"/>
        <item x="203"/>
        <item x="159"/>
        <item x="192"/>
        <item x="520"/>
        <item x="348"/>
        <item x="62"/>
        <item x="230"/>
        <item x="55"/>
        <item x="2"/>
        <item x="26"/>
        <item x="17"/>
        <item x="701"/>
        <item x="718"/>
        <item x="212"/>
        <item x="217"/>
        <item x="22"/>
        <item x="33"/>
        <item x="121"/>
        <item x="721"/>
        <item x="125"/>
        <item x="113"/>
        <item x="720"/>
        <item x="663"/>
        <item x="195"/>
        <item x="608"/>
        <item x="211"/>
        <item x="605"/>
        <item x="610"/>
        <item x="661"/>
        <item x="615"/>
        <item x="627"/>
        <item x="618"/>
        <item x="430"/>
        <item x="427"/>
        <item x="703"/>
        <item x="722"/>
        <item x="710"/>
        <item x="603"/>
        <item x="377"/>
        <item x="367"/>
        <item x="91"/>
        <item x="128"/>
        <item x="660"/>
        <item x="383"/>
        <item x="399"/>
        <item x="424"/>
        <item x="188"/>
        <item x="621"/>
        <item x="154"/>
        <item x="349"/>
        <item x="707"/>
        <item x="380"/>
        <item x="76"/>
        <item x="345"/>
        <item x="120"/>
        <item x="224"/>
        <item x="396"/>
        <item x="14"/>
        <item x="646"/>
        <item x="423"/>
        <item x="160"/>
        <item x="612"/>
        <item x="66"/>
        <item x="393"/>
        <item x="41"/>
        <item x="37"/>
        <item x="126"/>
        <item x="116"/>
        <item x="54"/>
        <item x="139"/>
        <item x="338"/>
        <item x="69"/>
        <item x="700"/>
        <item x="144"/>
        <item x="228"/>
        <item x="61"/>
        <item x="1"/>
        <item x="50"/>
        <item x="659"/>
        <item x="628"/>
        <item x="611"/>
        <item x="600"/>
        <item x="122"/>
        <item x="57"/>
        <item x="151"/>
        <item x="511"/>
        <item x="385"/>
        <item x="63"/>
        <item x="59"/>
        <item x="58"/>
        <item x="658"/>
        <item x="653"/>
        <item x="636"/>
        <item x="89"/>
        <item x="648"/>
        <item x="7"/>
        <item x="369"/>
        <item x="201"/>
        <item x="11"/>
        <item x="705"/>
        <item x="161"/>
        <item x="364"/>
        <item x="16"/>
        <item x="343"/>
        <item x="29"/>
        <item x="619"/>
        <item x="340"/>
        <item x="5"/>
        <item x="84"/>
        <item x="613"/>
        <item x="199"/>
        <item x="45"/>
        <item x="629"/>
        <item x="136"/>
        <item x="429"/>
        <item x="115"/>
        <item x="43"/>
        <item x="361"/>
        <item x="221"/>
        <item x="119"/>
        <item x="27"/>
        <item x="209"/>
        <item x="190"/>
        <item x="65"/>
        <item x="60"/>
        <item x="205"/>
        <item x="39"/>
        <item x="346"/>
        <item x="20"/>
        <item x="433"/>
        <item x="293"/>
        <item x="294"/>
        <item x="643"/>
        <item x="644"/>
        <item x="641"/>
        <item x="642"/>
        <item x="419"/>
        <item x="269"/>
        <item x="680"/>
        <item x="341"/>
        <item x="193"/>
        <item x="137"/>
        <item x="187"/>
        <item x="655"/>
        <item x="657"/>
        <item x="656"/>
        <item x="196"/>
        <item x="47"/>
        <item x="314"/>
        <item x="149"/>
        <item x="321"/>
        <item x="637"/>
        <item x="624"/>
        <item x="666"/>
        <item x="204"/>
        <item x="664"/>
        <item x="153"/>
        <item x="633"/>
        <item x="632"/>
        <item x="147"/>
        <item x="638"/>
        <item x="304"/>
        <item x="351"/>
        <item x="347"/>
        <item x="344"/>
        <item x="142"/>
        <item x="155"/>
        <item x="226"/>
        <item x="218"/>
        <item x="303"/>
        <item x="284"/>
        <item x="305"/>
        <item x="322"/>
        <item x="652"/>
        <item x="34"/>
        <item x="319"/>
        <item x="714"/>
        <item x="625"/>
        <item x="53"/>
        <item x="44"/>
        <item x="36"/>
        <item x="15"/>
        <item x="310"/>
        <item x="311"/>
        <item x="306"/>
        <item x="307"/>
        <item x="650"/>
        <item x="651"/>
        <item x="315"/>
        <item x="316"/>
        <item x="323"/>
        <item x="358"/>
        <item x="631"/>
        <item x="206"/>
        <item x="200"/>
        <item x="229"/>
        <item x="141"/>
        <item x="150"/>
        <item x="317"/>
        <item x="30"/>
        <item x="324"/>
        <item x="325"/>
        <item x="21"/>
        <item x="335"/>
        <item x="49"/>
        <item x="0"/>
        <item x="52"/>
        <item x="635"/>
        <item x="210"/>
        <item x="191"/>
        <item x="360"/>
        <item x="88"/>
        <item x="630"/>
        <item x="354"/>
        <item x="6"/>
        <item x="138"/>
        <item x="222"/>
        <item x="214"/>
        <item x="681"/>
        <item x="135"/>
        <item x="133"/>
        <item x="426"/>
        <item x="390"/>
        <item x="370"/>
        <item x="403"/>
        <item x="413"/>
        <item x="415"/>
        <item x="418"/>
        <item x="408"/>
        <item x="405"/>
        <item x="421"/>
        <item x="106"/>
        <item x="98"/>
        <item x="130"/>
        <item x="111"/>
        <item x="112"/>
        <item x="102"/>
        <item x="395"/>
        <item x="103"/>
        <item x="129"/>
        <item x="123"/>
        <item x="117"/>
        <item x="379"/>
        <item x="124"/>
        <item x="96"/>
        <item x="374"/>
        <item x="392"/>
        <item x="386"/>
        <item x="376"/>
        <item x="363"/>
        <item x="101"/>
        <item x="114"/>
        <item x="100"/>
        <item x="110"/>
        <item x="25"/>
        <item x="90"/>
        <item x="104"/>
        <item x="107"/>
        <item x="77"/>
        <item x="85"/>
        <item x="109"/>
        <item x="640"/>
        <item x="339"/>
        <item x="639"/>
        <item x="265"/>
        <item x="266"/>
        <item x="259"/>
        <item x="260"/>
        <item x="235"/>
        <item x="242"/>
        <item x="276"/>
        <item x="277"/>
        <item x="255"/>
        <item x="256"/>
        <item x="331"/>
        <item x="291"/>
        <item x="292"/>
        <item x="389"/>
        <item x="372"/>
        <item x="356"/>
        <item x="388"/>
        <item x="286"/>
        <item x="287"/>
        <item x="298"/>
        <item x="299"/>
        <item x="300"/>
        <item x="296"/>
        <item x="297"/>
        <item x="301"/>
        <item x="263"/>
        <item x="264"/>
        <item x="333"/>
        <item x="249"/>
        <item x="250"/>
        <item x="281"/>
        <item x="279"/>
        <item x="373"/>
        <item x="275"/>
        <item x="357"/>
        <item x="241"/>
        <item x="486"/>
        <item x="474"/>
        <item x="470"/>
        <item x="482"/>
        <item x="456"/>
        <item x="468"/>
        <item x="480"/>
        <item x="464"/>
        <item x="458"/>
        <item x="472"/>
        <item x="484"/>
        <item x="446"/>
        <item x="476"/>
        <item x="466"/>
        <item x="478"/>
        <item x="460"/>
        <item x="462"/>
        <item x="387"/>
        <item x="614"/>
        <item x="607"/>
        <item x="602"/>
        <item x="145"/>
        <item x="165"/>
        <item x="371"/>
        <item x="19"/>
        <item x="166"/>
        <item x="355"/>
        <item x="455"/>
        <item x="132"/>
        <item x="4"/>
        <item x="449"/>
        <item x="453"/>
        <item x="448"/>
        <item x="366"/>
        <item x="381"/>
        <item x="397"/>
        <item x="382"/>
        <item x="488"/>
        <item x="398"/>
        <item x="496"/>
        <item x="365"/>
        <item x="233"/>
        <item x="489"/>
        <item x="500"/>
        <item x="711"/>
        <item x="669"/>
        <item x="422"/>
        <item x="517"/>
        <item x="513"/>
        <item x="510"/>
        <item x="547"/>
        <item x="519"/>
        <item x="515"/>
        <item x="524"/>
        <item x="665"/>
        <item x="526"/>
        <item x="558"/>
        <item x="551"/>
        <item x="261"/>
        <item x="262"/>
        <item x="320"/>
        <item x="245"/>
        <item x="302"/>
        <item x="326"/>
        <item x="257"/>
        <item x="258"/>
        <item x="288"/>
        <item x="289"/>
        <item x="706"/>
        <item x="501"/>
        <item x="490"/>
        <item x="414"/>
        <item x="404"/>
        <item x="78"/>
        <item x="73"/>
        <item x="231"/>
        <item x="327"/>
        <item x="282"/>
        <item x="708"/>
        <item x="687"/>
        <item x="674"/>
        <item x="683"/>
        <item x="274"/>
        <item x="696"/>
        <item x="72"/>
        <item x="693"/>
        <item x="688"/>
        <item x="118"/>
        <item x="312"/>
        <item x="313"/>
        <item x="95"/>
        <item x="74"/>
        <item x="272"/>
        <item x="246"/>
        <item x="251"/>
        <item x="252"/>
        <item x="243"/>
        <item x="552"/>
        <item x="712"/>
        <item x="704"/>
        <item x="709"/>
        <item x="239"/>
        <item x="99"/>
        <item x="677"/>
        <item x="685"/>
        <item x="12"/>
        <item x="507"/>
        <item x="505"/>
        <item x="495"/>
        <item x="494"/>
        <item x="502"/>
        <item x="491"/>
        <item x="506"/>
        <item x="493"/>
        <item x="504"/>
        <item x="498"/>
        <item x="497"/>
        <item x="232"/>
        <item x="253"/>
        <item x="254"/>
        <item x="447"/>
        <item x="713"/>
        <item x="675"/>
        <item x="672"/>
        <item x="439"/>
        <item x="437"/>
        <item x="438"/>
        <item x="451"/>
        <item x="329"/>
        <item x="328"/>
        <item x="503"/>
        <item x="492"/>
        <item x="409"/>
        <item x="679"/>
        <item x="247"/>
        <item x="248"/>
        <item x="295"/>
        <item x="273"/>
        <item x="267"/>
        <item x="268"/>
        <item x="394"/>
        <item x="202"/>
        <item x="601"/>
        <item x="134"/>
        <item x="146"/>
        <item x="157"/>
        <item x="378"/>
        <item x="623"/>
        <item x="617"/>
        <item x="223"/>
        <item x="131"/>
        <item x="391"/>
        <item x="213"/>
        <item x="227"/>
        <item x="362"/>
        <item x="375"/>
        <item x="194"/>
        <item x="156"/>
        <item x="216"/>
        <item x="219"/>
        <item x="189"/>
        <item x="208"/>
        <item x="158"/>
        <item x="359"/>
        <item x="198"/>
        <item x="143"/>
        <item x="337"/>
        <item x="94"/>
        <item x="71"/>
        <item x="35"/>
        <item x="48"/>
        <item x="46"/>
        <item x="28"/>
        <item x="24"/>
        <item x="9"/>
        <item x="18"/>
        <item x="51"/>
        <item x="38"/>
        <item x="42"/>
        <item x="3"/>
        <item x="10"/>
        <item x="32"/>
        <item x="40"/>
        <item x="81"/>
        <item x="86"/>
        <item x="443"/>
        <item x="444"/>
        <item x="445"/>
        <item x="179"/>
        <item x="548"/>
        <item x="527"/>
        <item x="595"/>
        <item x="597"/>
        <item x="529"/>
        <item x="585"/>
        <item x="553"/>
        <item x="589"/>
        <item x="577"/>
        <item x="530"/>
        <item x="549"/>
        <item x="559"/>
        <item x="574"/>
        <item x="583"/>
        <item x="575"/>
        <item x="544"/>
        <item x="587"/>
        <item x="590"/>
        <item x="565"/>
        <item x="184"/>
        <item x="580"/>
        <item x="571"/>
        <item x="563"/>
        <item x="528"/>
        <item x="546"/>
        <item x="564"/>
        <item x="599"/>
        <item x="581"/>
        <item x="541"/>
        <item x="550"/>
        <item x="568"/>
        <item x="588"/>
        <item x="531"/>
        <item x="525"/>
        <item x="573"/>
        <item x="561"/>
        <item x="170"/>
        <item x="593"/>
        <item x="533"/>
        <item x="579"/>
        <item x="554"/>
        <item x="567"/>
        <item x="584"/>
        <item x="572"/>
        <item x="560"/>
        <item x="566"/>
        <item x="562"/>
        <item x="535"/>
        <item x="582"/>
        <item x="592"/>
        <item x="569"/>
        <item x="545"/>
        <item x="557"/>
        <item x="167"/>
        <item x="594"/>
        <item x="598"/>
        <item x="578"/>
        <item x="542"/>
        <item x="570"/>
        <item x="596"/>
        <item x="534"/>
        <item x="591"/>
        <item x="576"/>
        <item x="586"/>
        <item x="308"/>
        <item x="309"/>
        <item x="649"/>
        <item x="668"/>
        <item x="244"/>
        <item x="686"/>
        <item x="673"/>
        <item x="689"/>
        <item x="270"/>
        <item x="518"/>
        <item x="521"/>
        <item x="538"/>
        <item x="516"/>
        <item x="556"/>
        <item x="543"/>
        <item x="509"/>
        <item x="555"/>
        <item x="512"/>
        <item x="508"/>
        <item x="532"/>
        <item x="523"/>
        <item x="537"/>
        <item x="522"/>
        <item x="540"/>
        <item x="539"/>
        <item x="514"/>
        <item x="536"/>
        <item x="240"/>
        <item x="416"/>
        <item x="236"/>
        <item x="79"/>
        <item x="108"/>
        <item x="719"/>
        <item x="440"/>
        <item x="441"/>
        <item x="442"/>
        <item x="80"/>
        <item x="682"/>
        <item x="172"/>
        <item x="694"/>
        <item x="177"/>
        <item x="699"/>
        <item x="285"/>
        <item x="97"/>
        <item x="697"/>
        <item x="87"/>
        <item x="692"/>
        <item x="676"/>
        <item x="684"/>
        <item x="667"/>
        <item t="default" sd="0"/>
      </items>
    </pivotField>
    <pivotField name="힌트" compact="0" outline="0" showAll="0">
      <items count="720">
        <item x="476"/>
        <item x="465"/>
        <item x="474"/>
        <item x="466"/>
        <item x="472"/>
        <item x="469"/>
        <item x="422"/>
        <item x="421"/>
        <item x="409"/>
        <item x="641"/>
        <item x="692"/>
        <item x="711"/>
        <item x="688"/>
        <item x="687"/>
        <item x="83"/>
        <item x="70"/>
        <item x="668"/>
        <item x="667"/>
        <item x="92"/>
        <item x="713"/>
        <item x="695"/>
        <item x="75"/>
        <item x="82"/>
        <item x="675"/>
        <item x="93"/>
        <item x="161"/>
        <item x="139"/>
        <item x="151"/>
        <item x="144"/>
        <item x="128"/>
        <item x="154"/>
        <item x="163"/>
        <item x="160"/>
        <item x="704"/>
        <item x="702"/>
        <item x="707"/>
        <item x="344"/>
        <item x="113"/>
        <item x="120"/>
        <item x="376"/>
        <item x="41"/>
        <item x="69"/>
        <item x="121"/>
        <item x="66"/>
        <item x="91"/>
        <item x="382"/>
        <item x="76"/>
        <item x="89"/>
        <item x="14"/>
        <item x="58"/>
        <item x="366"/>
        <item x="384"/>
        <item x="54"/>
        <item x="655"/>
        <item x="714"/>
        <item x="697"/>
        <item x="59"/>
        <item x="627"/>
        <item x="618"/>
        <item x="610"/>
        <item x="398"/>
        <item x="63"/>
        <item x="423"/>
        <item x="430"/>
        <item x="379"/>
        <item x="363"/>
        <item x="116"/>
        <item x="125"/>
        <item x="122"/>
        <item x="1"/>
        <item x="7"/>
        <item x="717"/>
        <item x="599"/>
        <item x="635"/>
        <item x="660"/>
        <item x="645"/>
        <item x="658"/>
        <item x="643"/>
        <item x="337"/>
        <item x="718"/>
        <item x="716"/>
        <item x="700"/>
        <item x="348"/>
        <item x="429"/>
        <item x="392"/>
        <item x="57"/>
        <item x="368"/>
        <item x="22"/>
        <item x="33"/>
        <item x="16"/>
        <item x="29"/>
        <item x="650"/>
        <item x="342"/>
        <item x="61"/>
        <item x="95"/>
        <item x="657"/>
        <item x="395"/>
        <item x="656"/>
        <item x="126"/>
        <item x="611"/>
        <item x="604"/>
        <item x="620"/>
        <item x="614"/>
        <item x="607"/>
        <item x="228"/>
        <item x="212"/>
        <item x="217"/>
        <item x="224"/>
        <item x="188"/>
        <item x="211"/>
        <item x="195"/>
        <item x="201"/>
        <item x="50"/>
        <item x="11"/>
        <item x="626"/>
        <item x="617"/>
        <item x="609"/>
        <item x="608"/>
        <item x="603"/>
        <item x="602"/>
        <item x="426"/>
        <item x="37"/>
        <item x="237"/>
        <item x="175"/>
        <item x="181"/>
        <item x="168"/>
        <item x="174"/>
        <item x="186"/>
        <item x="699"/>
        <item x="276"/>
        <item x="296"/>
        <item x="275"/>
        <item x="266"/>
        <item x="260"/>
        <item x="254"/>
        <item x="259"/>
        <item x="242"/>
        <item x="239"/>
        <item x="232"/>
        <item x="235"/>
        <item x="233"/>
        <item x="253"/>
        <item x="265"/>
        <item x="273"/>
        <item x="263"/>
        <item x="264"/>
        <item x="173"/>
        <item x="252"/>
        <item x="246"/>
        <item x="251"/>
        <item x="277"/>
        <item x="297"/>
        <item x="178"/>
        <item x="416"/>
        <item x="410"/>
        <item x="405"/>
        <item x="419"/>
        <item x="406"/>
        <item x="411"/>
        <item x="401"/>
        <item x="400"/>
        <item x="298"/>
        <item x="299"/>
        <item x="300"/>
        <item x="171"/>
        <item x="269"/>
        <item x="651"/>
        <item x="176"/>
        <item x="250"/>
        <item x="249"/>
        <item x="241"/>
        <item x="286"/>
        <item x="287"/>
        <item x="244"/>
        <item x="238"/>
        <item x="644"/>
        <item x="281"/>
        <item x="234"/>
        <item x="262"/>
        <item x="271"/>
        <item x="261"/>
        <item x="642"/>
        <item x="282"/>
        <item x="327"/>
        <item x="328"/>
        <item x="326"/>
        <item x="329"/>
        <item x="268"/>
        <item x="267"/>
        <item x="231"/>
        <item x="185"/>
        <item x="236"/>
        <item x="280"/>
        <item x="278"/>
        <item x="333"/>
        <item x="332"/>
        <item x="331"/>
        <item x="330"/>
        <item x="272"/>
        <item x="256"/>
        <item x="255"/>
        <item x="279"/>
        <item x="295"/>
        <item x="293"/>
        <item x="274"/>
        <item x="183"/>
        <item x="285"/>
        <item x="301"/>
        <item x="169"/>
        <item x="258"/>
        <item x="302"/>
        <item x="245"/>
        <item x="243"/>
        <item x="257"/>
        <item x="182"/>
        <item x="180"/>
        <item x="248"/>
        <item x="247"/>
        <item x="290"/>
        <item x="312"/>
        <item x="313"/>
        <item x="291"/>
        <item x="294"/>
        <item x="292"/>
        <item x="148"/>
        <item x="162"/>
        <item x="127"/>
        <item x="140"/>
        <item x="152"/>
        <item x="164"/>
        <item x="159"/>
        <item x="431"/>
        <item x="424"/>
        <item x="335"/>
        <item x="67"/>
        <item x="13"/>
        <item x="325"/>
        <item x="62"/>
        <item x="68"/>
        <item x="352"/>
        <item x="55"/>
        <item x="56"/>
        <item x="351"/>
        <item x="105"/>
        <item x="399"/>
        <item x="2"/>
        <item x="427"/>
        <item x="712"/>
        <item x="619"/>
        <item x="23"/>
        <item x="31"/>
        <item x="283"/>
        <item x="349"/>
        <item x="659"/>
        <item x="26"/>
        <item x="17"/>
        <item x="367"/>
        <item x="341"/>
        <item x="64"/>
        <item x="347"/>
        <item x="383"/>
        <item x="8"/>
        <item x="605"/>
        <item x="621"/>
        <item x="633"/>
        <item x="625"/>
        <item x="318"/>
        <item x="230"/>
        <item x="220"/>
        <item x="225"/>
        <item x="215"/>
        <item x="203"/>
        <item x="197"/>
        <item x="192"/>
        <item x="207"/>
        <item x="615"/>
        <item x="136"/>
        <item x="360"/>
        <item x="39"/>
        <item x="45"/>
        <item x="60"/>
        <item x="345"/>
        <item x="65"/>
        <item x="432"/>
        <item x="428"/>
        <item x="628"/>
        <item x="27"/>
        <item x="20"/>
        <item x="84"/>
        <item x="339"/>
        <item x="115"/>
        <item x="612"/>
        <item x="209"/>
        <item x="221"/>
        <item x="199"/>
        <item x="190"/>
        <item x="205"/>
        <item x="5"/>
        <item x="119"/>
        <item x="43"/>
        <item x="418"/>
        <item x="486"/>
        <item x="475"/>
        <item x="677"/>
        <item x="150"/>
        <item x="138"/>
        <item x="141"/>
        <item x="130"/>
        <item x="142"/>
        <item x="155"/>
        <item x="133"/>
        <item x="147"/>
        <item x="135"/>
        <item x="149"/>
        <item x="137"/>
        <item x="394"/>
        <item x="350"/>
        <item x="647"/>
        <item x="648"/>
        <item x="111"/>
        <item x="380"/>
        <item x="117"/>
        <item x="114"/>
        <item x="98"/>
        <item x="110"/>
        <item x="636"/>
        <item x="630"/>
        <item x="357"/>
        <item x="124"/>
        <item x="53"/>
        <item x="306"/>
        <item x="307"/>
        <item x="102"/>
        <item x="631"/>
        <item x="123"/>
        <item x="96"/>
        <item x="373"/>
        <item x="112"/>
        <item x="317"/>
        <item x="663"/>
        <item x="49"/>
        <item x="6"/>
        <item x="52"/>
        <item x="637"/>
        <item x="100"/>
        <item x="365"/>
        <item x="402"/>
        <item x="47"/>
        <item x="340"/>
        <item x="343"/>
        <item x="284"/>
        <item x="412"/>
        <item x="407"/>
        <item x="153"/>
        <item x="389"/>
        <item x="391"/>
        <item x="36"/>
        <item x="353"/>
        <item x="359"/>
        <item x="654"/>
        <item x="652"/>
        <item x="653"/>
        <item x="417"/>
        <item x="315"/>
        <item x="316"/>
        <item x="649"/>
        <item x="334"/>
        <item x="346"/>
        <item x="321"/>
        <item x="378"/>
        <item x="362"/>
        <item x="129"/>
        <item x="103"/>
        <item x="106"/>
        <item x="634"/>
        <item x="420"/>
        <item x="661"/>
        <item x="414"/>
        <item x="404"/>
        <item x="375"/>
        <item x="320"/>
        <item x="104"/>
        <item x="88"/>
        <item x="34"/>
        <item x="15"/>
        <item x="30"/>
        <item x="21"/>
        <item x="25"/>
        <item x="0"/>
        <item x="314"/>
        <item x="310"/>
        <item x="311"/>
        <item x="90"/>
        <item x="629"/>
        <item x="44"/>
        <item x="101"/>
        <item x="662"/>
        <item x="319"/>
        <item x="623"/>
        <item x="397"/>
        <item x="385"/>
        <item x="369"/>
        <item x="323"/>
        <item x="324"/>
        <item x="381"/>
        <item x="196"/>
        <item x="204"/>
        <item x="226"/>
        <item x="229"/>
        <item x="222"/>
        <item x="214"/>
        <item x="218"/>
        <item x="193"/>
        <item x="187"/>
        <item x="206"/>
        <item x="191"/>
        <item x="200"/>
        <item x="210"/>
        <item x="99"/>
        <item x="305"/>
        <item x="304"/>
        <item x="303"/>
        <item x="364"/>
        <item x="322"/>
        <item x="624"/>
        <item x="632"/>
        <item x="678"/>
        <item x="356"/>
        <item x="425"/>
        <item x="77"/>
        <item x="109"/>
        <item x="107"/>
        <item x="85"/>
        <item x="639"/>
        <item x="338"/>
        <item x="638"/>
        <item x="166"/>
        <item x="132"/>
        <item x="165"/>
        <item x="145"/>
        <item x="4"/>
        <item x="19"/>
        <item x="386"/>
        <item x="370"/>
        <item x="354"/>
        <item x="601"/>
        <item x="606"/>
        <item x="613"/>
        <item x="288"/>
        <item x="289"/>
        <item x="488"/>
        <item x="499"/>
        <item x="708"/>
        <item x="666"/>
        <item x="698"/>
        <item x="703"/>
        <item x="489"/>
        <item x="500"/>
        <item x="413"/>
        <item x="403"/>
        <item x="78"/>
        <item x="73"/>
        <item x="517"/>
        <item x="530"/>
        <item x="524"/>
        <item x="547"/>
        <item x="520"/>
        <item x="540"/>
        <item x="537"/>
        <item x="515"/>
        <item x="534"/>
        <item x="544"/>
        <item x="542"/>
        <item x="508"/>
        <item x="551"/>
        <item x="554"/>
        <item x="557"/>
        <item x="511"/>
        <item x="533"/>
        <item x="545"/>
        <item x="529"/>
        <item x="532"/>
        <item x="507"/>
        <item x="531"/>
        <item x="522"/>
        <item x="536"/>
        <item x="521"/>
        <item x="539"/>
        <item x="526"/>
        <item x="543"/>
        <item x="553"/>
        <item x="552"/>
        <item x="556"/>
        <item x="549"/>
        <item x="538"/>
        <item x="527"/>
        <item x="528"/>
        <item x="548"/>
        <item x="541"/>
        <item x="535"/>
        <item x="510"/>
        <item x="516"/>
        <item x="555"/>
        <item x="512"/>
        <item x="509"/>
        <item x="525"/>
        <item x="546"/>
        <item x="519"/>
        <item x="518"/>
        <item x="514"/>
        <item x="523"/>
        <item x="513"/>
        <item x="550"/>
        <item x="705"/>
        <item x="484"/>
        <item x="478"/>
        <item x="388"/>
        <item x="684"/>
        <item x="671"/>
        <item x="680"/>
        <item x="387"/>
        <item x="693"/>
        <item x="72"/>
        <item x="685"/>
        <item x="690"/>
        <item x="118"/>
        <item x="74"/>
        <item x="709"/>
        <item x="701"/>
        <item x="706"/>
        <item x="371"/>
        <item x="485"/>
        <item x="682"/>
        <item x="674"/>
        <item x="640"/>
        <item x="12"/>
        <item x="569"/>
        <item x="582"/>
        <item x="572"/>
        <item x="598"/>
        <item x="561"/>
        <item x="558"/>
        <item x="583"/>
        <item x="597"/>
        <item x="570"/>
        <item x="562"/>
        <item x="568"/>
        <item x="559"/>
        <item x="595"/>
        <item x="573"/>
        <item x="563"/>
        <item x="571"/>
        <item x="584"/>
        <item x="560"/>
        <item x="593"/>
        <item x="574"/>
        <item x="590"/>
        <item x="567"/>
        <item x="564"/>
        <item x="594"/>
        <item x="580"/>
        <item x="596"/>
        <item x="579"/>
        <item x="588"/>
        <item x="587"/>
        <item x="577"/>
        <item x="589"/>
        <item x="566"/>
        <item x="578"/>
        <item x="576"/>
        <item x="592"/>
        <item x="586"/>
        <item x="585"/>
        <item x="565"/>
        <item x="591"/>
        <item x="575"/>
        <item x="581"/>
        <item x="506"/>
        <item x="504"/>
        <item x="493"/>
        <item x="501"/>
        <item x="490"/>
        <item x="505"/>
        <item x="492"/>
        <item x="503"/>
        <item x="498"/>
        <item x="487"/>
        <item x="497"/>
        <item x="496"/>
        <item x="494"/>
        <item x="710"/>
        <item x="672"/>
        <item x="669"/>
        <item x="502"/>
        <item x="495"/>
        <item x="491"/>
        <item x="408"/>
        <item x="676"/>
        <item x="143"/>
        <item x="131"/>
        <item x="134"/>
        <item x="157"/>
        <item x="146"/>
        <item x="156"/>
        <item x="158"/>
        <item x="393"/>
        <item x="374"/>
        <item x="336"/>
        <item x="390"/>
        <item x="361"/>
        <item x="377"/>
        <item x="213"/>
        <item x="219"/>
        <item x="223"/>
        <item x="216"/>
        <item x="227"/>
        <item x="202"/>
        <item x="198"/>
        <item x="189"/>
        <item x="208"/>
        <item x="194"/>
        <item x="396"/>
        <item x="616"/>
        <item x="600"/>
        <item x="622"/>
        <item x="358"/>
        <item x="94"/>
        <item x="71"/>
        <item x="35"/>
        <item x="38"/>
        <item x="10"/>
        <item x="3"/>
        <item x="46"/>
        <item x="28"/>
        <item x="24"/>
        <item x="18"/>
        <item x="32"/>
        <item x="40"/>
        <item x="42"/>
        <item x="51"/>
        <item x="9"/>
        <item x="48"/>
        <item x="81"/>
        <item x="86"/>
        <item x="179"/>
        <item x="184"/>
        <item x="170"/>
        <item x="167"/>
        <item x="646"/>
        <item x="308"/>
        <item x="309"/>
        <item x="448"/>
        <item x="665"/>
        <item x="670"/>
        <item x="683"/>
        <item x="686"/>
        <item x="372"/>
        <item x="415"/>
        <item x="79"/>
        <item x="715"/>
        <item x="108"/>
        <item x="691"/>
        <item x="172"/>
        <item x="679"/>
        <item x="80"/>
        <item x="177"/>
        <item x="696"/>
        <item x="97"/>
        <item x="694"/>
        <item x="87"/>
        <item x="673"/>
        <item x="681"/>
        <item x="689"/>
        <item x="270"/>
        <item x="240"/>
        <item x="460"/>
        <item x="456"/>
        <item x="464"/>
        <item x="458"/>
        <item x="462"/>
        <item x="461"/>
        <item x="459"/>
        <item x="463"/>
        <item x="455"/>
        <item x="457"/>
        <item x="444"/>
        <item x="471"/>
        <item x="467"/>
        <item x="447"/>
        <item x="470"/>
        <item x="468"/>
        <item x="473"/>
        <item x="482"/>
        <item x="483"/>
        <item x="453"/>
        <item x="449"/>
        <item x="450"/>
        <item x="433"/>
        <item x="442"/>
        <item x="441"/>
        <item x="436"/>
        <item x="439"/>
        <item x="435"/>
        <item x="438"/>
        <item x="480"/>
        <item x="481"/>
        <item x="479"/>
        <item x="477"/>
        <item x="446"/>
        <item x="451"/>
        <item x="434"/>
        <item x="443"/>
        <item x="437"/>
        <item x="440"/>
        <item x="445"/>
        <item x="452"/>
        <item x="454"/>
        <item x="664"/>
        <item x="355"/>
        <item t="default" sd="0"/>
      </items>
    </pivotField>
    <pivotField name="영어" axis="axisRow" compact="0" numFmtId="49" outline="0" showAll="0" sortType="ascending" defaultSubtotal="0">
      <items count="721">
        <item x="81"/>
        <item x="711"/>
        <item x="470"/>
        <item x="468"/>
        <item x="473"/>
        <item x="482"/>
        <item x="483"/>
        <item x="451"/>
        <item x="446"/>
        <item x="445"/>
        <item x="443"/>
        <item x="440"/>
        <item x="434"/>
        <item x="437"/>
        <item x="454"/>
        <item x="452"/>
        <item x="469"/>
        <item x="465"/>
        <item x="442"/>
        <item x="439"/>
        <item x="433"/>
        <item x="436"/>
        <item x="453"/>
        <item x="474"/>
        <item x="466"/>
        <item x="472"/>
        <item x="476"/>
        <item x="700"/>
        <item x="460"/>
        <item x="456"/>
        <item x="464"/>
        <item x="458"/>
        <item x="462"/>
        <item x="457"/>
        <item x="461"/>
        <item x="463"/>
        <item x="459"/>
        <item x="455"/>
        <item x="429"/>
        <item x="126"/>
        <item x="395"/>
        <item x="125"/>
        <item x="122"/>
        <item x="161"/>
        <item x="659"/>
        <item x="1"/>
        <item x="50"/>
        <item x="602"/>
        <item x="151"/>
        <item x="139"/>
        <item x="609"/>
        <item x="617"/>
        <item x="626"/>
        <item x="144"/>
        <item x="14"/>
        <item x="58"/>
        <item x="7"/>
        <item x="59"/>
        <item x="366"/>
        <item x="113"/>
        <item x="706"/>
        <item x="704"/>
        <item x="384"/>
        <item x="344"/>
        <item x="211"/>
        <item x="212"/>
        <item x="228"/>
        <item x="217"/>
        <item x="224"/>
        <item x="716"/>
        <item x="195"/>
        <item x="201"/>
        <item x="188"/>
        <item x="37"/>
        <item x="635"/>
        <item x="29"/>
        <item x="645"/>
        <item x="154"/>
        <item x="33"/>
        <item x="660"/>
        <item x="337"/>
        <item x="647"/>
        <item x="720"/>
        <item x="128"/>
        <item x="662"/>
        <item x="348"/>
        <item x="16"/>
        <item x="22"/>
        <item x="61"/>
        <item x="398"/>
        <item x="89"/>
        <item x="66"/>
        <item x="652"/>
        <item x="342"/>
        <item x="163"/>
        <item x="610"/>
        <item x="627"/>
        <item x="618"/>
        <item x="599"/>
        <item x="719"/>
        <item x="160"/>
        <item x="604"/>
        <item x="620"/>
        <item x="611"/>
        <item x="11"/>
        <item x="658"/>
        <item x="54"/>
        <item x="368"/>
        <item x="57"/>
        <item x="41"/>
        <item x="91"/>
        <item x="382"/>
        <item x="657"/>
        <item x="614"/>
        <item x="607"/>
        <item x="63"/>
        <item x="426"/>
        <item x="363"/>
        <item x="69"/>
        <item x="699"/>
        <item x="116"/>
        <item x="376"/>
        <item x="379"/>
        <item x="95"/>
        <item x="430"/>
        <item x="423"/>
        <item x="120"/>
        <item x="121"/>
        <item x="709"/>
        <item x="76"/>
        <item x="392"/>
        <item x="718"/>
        <item x="702"/>
        <item x="603"/>
        <item x="608"/>
        <item x="418"/>
        <item x="561"/>
        <item x="595"/>
        <item x="492"/>
        <item x="503"/>
        <item x="594"/>
        <item x="597"/>
        <item x="567"/>
        <item x="591"/>
        <item x="578"/>
        <item x="572"/>
        <item x="568"/>
        <item x="562"/>
        <item x="580"/>
        <item x="575"/>
        <item x="587"/>
        <item x="581"/>
        <item x="565"/>
        <item x="564"/>
        <item x="583"/>
        <item x="570"/>
        <item x="577"/>
        <item x="579"/>
        <item x="576"/>
        <item x="506"/>
        <item x="496"/>
        <item x="588"/>
        <item x="497"/>
        <item x="585"/>
        <item x="582"/>
        <item x="596"/>
        <item x="586"/>
        <item x="593"/>
        <item x="560"/>
        <item x="584"/>
        <item x="566"/>
        <item x="569"/>
        <item x="571"/>
        <item x="590"/>
        <item x="573"/>
        <item x="559"/>
        <item x="574"/>
        <item x="598"/>
        <item x="558"/>
        <item x="563"/>
        <item x="592"/>
        <item x="589"/>
        <item x="21"/>
        <item x="34"/>
        <item x="663"/>
        <item x="25"/>
        <item x="102"/>
        <item x="404"/>
        <item x="30"/>
        <item x="15"/>
        <item x="414"/>
        <item x="88"/>
        <item x="420"/>
        <item x="96"/>
        <item x="100"/>
        <item x="402"/>
        <item x="343"/>
        <item x="138"/>
        <item x="150"/>
        <item x="397"/>
        <item x="129"/>
        <item x="106"/>
        <item x="630"/>
        <item x="636"/>
        <item x="323"/>
        <item x="324"/>
        <item x="52"/>
        <item x="6"/>
        <item x="49"/>
        <item x="629"/>
        <item x="44"/>
        <item x="631"/>
        <item x="112"/>
        <item x="111"/>
        <item x="322"/>
        <item x="36"/>
        <item x="350"/>
        <item x="649"/>
        <item x="650"/>
        <item x="200"/>
        <item x="226"/>
        <item x="218"/>
        <item x="214"/>
        <item x="222"/>
        <item x="124"/>
        <item x="229"/>
        <item x="305"/>
        <item x="193"/>
        <item x="210"/>
        <item x="187"/>
        <item x="191"/>
        <item x="206"/>
        <item x="204"/>
        <item x="196"/>
        <item x="632"/>
        <item x="346"/>
        <item x="334"/>
        <item x="316"/>
        <item x="417"/>
        <item x="654"/>
        <item x="655"/>
        <item x="315"/>
        <item x="656"/>
        <item x="651"/>
        <item x="314"/>
        <item x="310"/>
        <item x="311"/>
        <item x="373"/>
        <item x="284"/>
        <item x="665"/>
        <item x="317"/>
        <item x="141"/>
        <item x="306"/>
        <item x="307"/>
        <item x="130"/>
        <item x="155"/>
        <item x="142"/>
        <item x="359"/>
        <item x="90"/>
        <item x="375"/>
        <item x="0"/>
        <item x="340"/>
        <item x="47"/>
        <item x="133"/>
        <item x="623"/>
        <item x="391"/>
        <item x="357"/>
        <item x="53"/>
        <item x="99"/>
        <item x="321"/>
        <item x="153"/>
        <item x="412"/>
        <item x="407"/>
        <item x="389"/>
        <item x="394"/>
        <item x="123"/>
        <item x="101"/>
        <item x="320"/>
        <item x="637"/>
        <item x="98"/>
        <item x="110"/>
        <item x="634"/>
        <item x="319"/>
        <item x="353"/>
        <item x="385"/>
        <item x="369"/>
        <item x="378"/>
        <item x="362"/>
        <item x="103"/>
        <item x="117"/>
        <item x="114"/>
        <item x="304"/>
        <item x="380"/>
        <item x="364"/>
        <item x="147"/>
        <item x="303"/>
        <item x="135"/>
        <item x="365"/>
        <item x="381"/>
        <item x="104"/>
        <item x="664"/>
        <item x="149"/>
        <item x="624"/>
        <item x="137"/>
        <item x="448"/>
        <item x="422"/>
        <item x="641"/>
        <item x="409"/>
        <item x="643"/>
        <item x="387"/>
        <item x="421"/>
        <item x="356"/>
        <item x="640"/>
        <item x="480"/>
        <item x="481"/>
        <item x="485"/>
        <item x="478"/>
        <item x="475"/>
        <item x="639"/>
        <item x="638"/>
        <item x="338"/>
        <item x="486"/>
        <item x="484"/>
        <item x="351"/>
        <item x="431"/>
        <item x="341"/>
        <item x="621"/>
        <item x="605"/>
        <item x="8"/>
        <item x="714"/>
        <item x="625"/>
        <item x="162"/>
        <item x="318"/>
        <item x="68"/>
        <item x="67"/>
        <item x="352"/>
        <item x="424"/>
        <item x="335"/>
        <item x="192"/>
        <item x="220"/>
        <item x="230"/>
        <item x="215"/>
        <item x="225"/>
        <item x="203"/>
        <item x="207"/>
        <item x="197"/>
        <item x="283"/>
        <item x="148"/>
        <item x="17"/>
        <item x="105"/>
        <item x="127"/>
        <item x="31"/>
        <item x="23"/>
        <item x="349"/>
        <item x="661"/>
        <item x="26"/>
        <item x="347"/>
        <item x="140"/>
        <item x="152"/>
        <item x="164"/>
        <item x="619"/>
        <item x="633"/>
        <item x="64"/>
        <item x="62"/>
        <item x="55"/>
        <item x="56"/>
        <item x="13"/>
        <item x="383"/>
        <item x="427"/>
        <item x="367"/>
        <item x="615"/>
        <item x="159"/>
        <item x="2"/>
        <item x="399"/>
        <item x="477"/>
        <item x="479"/>
        <item x="406"/>
        <item x="416"/>
        <item x="401"/>
        <item x="419"/>
        <item x="405"/>
        <item x="410"/>
        <item x="411"/>
        <item x="400"/>
        <item x="74"/>
        <item x="701"/>
        <item x="176"/>
        <item x="86"/>
        <item x="688"/>
        <item x="703"/>
        <item x="667"/>
        <item x="693"/>
        <item x="172"/>
        <item x="175"/>
        <item x="686"/>
        <item x="717"/>
        <item x="108"/>
        <item x="672"/>
        <item x="685"/>
        <item x="715"/>
        <item x="93"/>
        <item x="697"/>
        <item x="92"/>
        <item x="75"/>
        <item x="82"/>
        <item x="677"/>
        <item x="168"/>
        <item x="676"/>
        <item x="684"/>
        <item x="12"/>
        <item x="371"/>
        <item x="182"/>
        <item x="97"/>
        <item x="681"/>
        <item x="80"/>
        <item x="668"/>
        <item x="690"/>
        <item x="689"/>
        <item x="670"/>
        <item x="70"/>
        <item x="669"/>
        <item x="173"/>
        <item x="678"/>
        <item x="71"/>
        <item x="73"/>
        <item x="679"/>
        <item x="644"/>
        <item x="666"/>
        <item x="682"/>
        <item x="169"/>
        <item x="415"/>
        <item x="177"/>
        <item x="329"/>
        <item x="326"/>
        <item x="328"/>
        <item x="327"/>
        <item x="325"/>
        <item x="673"/>
        <item x="355"/>
        <item x="186"/>
        <item x="710"/>
        <item x="118"/>
        <item x="185"/>
        <item x="179"/>
        <item x="174"/>
        <item x="671"/>
        <item x="692"/>
        <item x="181"/>
        <item x="674"/>
        <item x="687"/>
        <item x="653"/>
        <item x="72"/>
        <item x="408"/>
        <item x="646"/>
        <item x="372"/>
        <item x="413"/>
        <item x="403"/>
        <item x="178"/>
        <item x="183"/>
        <item x="180"/>
        <item x="713"/>
        <item x="695"/>
        <item x="78"/>
        <item x="330"/>
        <item x="332"/>
        <item x="331"/>
        <item x="333"/>
        <item x="171"/>
        <item x="694"/>
        <item x="708"/>
        <item x="87"/>
        <item x="83"/>
        <item x="712"/>
        <item x="698"/>
        <item x="683"/>
        <item x="675"/>
        <item x="691"/>
        <item x="79"/>
        <item x="696"/>
        <item x="312"/>
        <item x="77"/>
        <item x="109"/>
        <item x="107"/>
        <item x="85"/>
        <item x="680"/>
        <item x="705"/>
        <item x="425"/>
        <item x="707"/>
        <item x="388"/>
        <item x="20"/>
        <item x="136"/>
        <item x="27"/>
        <item x="612"/>
        <item x="60"/>
        <item x="360"/>
        <item x="39"/>
        <item x="45"/>
        <item x="115"/>
        <item x="339"/>
        <item x="221"/>
        <item x="199"/>
        <item x="190"/>
        <item x="205"/>
        <item x="209"/>
        <item x="43"/>
        <item x="345"/>
        <item x="628"/>
        <item x="5"/>
        <item x="119"/>
        <item x="65"/>
        <item x="84"/>
        <item x="428"/>
        <item x="432"/>
        <item x="184"/>
        <item x="308"/>
        <item x="648"/>
        <item x="309"/>
        <item x="167"/>
        <item x="170"/>
        <item x="642"/>
        <item x="32"/>
        <item x="28"/>
        <item x="18"/>
        <item x="24"/>
        <item x="396"/>
        <item x="48"/>
        <item x="616"/>
        <item x="600"/>
        <item x="10"/>
        <item x="40"/>
        <item x="42"/>
        <item x="94"/>
        <item x="374"/>
        <item x="390"/>
        <item x="189"/>
        <item x="208"/>
        <item x="227"/>
        <item x="213"/>
        <item x="393"/>
        <item x="361"/>
        <item x="219"/>
        <item x="223"/>
        <item x="216"/>
        <item x="198"/>
        <item x="202"/>
        <item x="377"/>
        <item x="194"/>
        <item x="131"/>
        <item x="143"/>
        <item x="336"/>
        <item x="35"/>
        <item x="46"/>
        <item x="38"/>
        <item x="134"/>
        <item x="157"/>
        <item x="146"/>
        <item x="622"/>
        <item x="156"/>
        <item x="9"/>
        <item x="51"/>
        <item x="358"/>
        <item x="3"/>
        <item x="158"/>
        <item x="532"/>
        <item x="525"/>
        <item x="507"/>
        <item x="543"/>
        <item x="554"/>
        <item x="549"/>
        <item x="534"/>
        <item x="555"/>
        <item x="515"/>
        <item x="544"/>
        <item x="511"/>
        <item x="551"/>
        <item x="514"/>
        <item x="556"/>
        <item x="513"/>
        <item x="523"/>
        <item x="552"/>
        <item x="557"/>
        <item x="512"/>
        <item x="524"/>
        <item x="527"/>
        <item x="545"/>
        <item x="529"/>
        <item x="518"/>
        <item x="538"/>
        <item x="526"/>
        <item x="533"/>
        <item x="508"/>
        <item x="547"/>
        <item x="509"/>
        <item x="516"/>
        <item x="542"/>
        <item x="510"/>
        <item x="517"/>
        <item x="530"/>
        <item x="535"/>
        <item x="550"/>
        <item x="546"/>
        <item x="536"/>
        <item x="521"/>
        <item x="520"/>
        <item x="522"/>
        <item x="548"/>
        <item x="541"/>
        <item x="528"/>
        <item x="553"/>
        <item x="540"/>
        <item x="519"/>
        <item x="537"/>
        <item x="539"/>
        <item x="505"/>
        <item x="531"/>
        <item x="500"/>
        <item x="489"/>
        <item x="313"/>
        <item x="487"/>
        <item x="498"/>
        <item x="501"/>
        <item x="490"/>
        <item x="493"/>
        <item x="494"/>
        <item x="504"/>
        <item x="488"/>
        <item x="499"/>
        <item x="491"/>
        <item x="495"/>
        <item x="502"/>
        <item x="449"/>
        <item x="471"/>
        <item x="444"/>
        <item x="450"/>
        <item x="441"/>
        <item x="435"/>
        <item x="438"/>
        <item x="467"/>
        <item x="447"/>
        <item x="19"/>
        <item x="354"/>
        <item x="370"/>
        <item x="386"/>
        <item x="166"/>
        <item x="132"/>
        <item x="165"/>
        <item x="4"/>
        <item x="606"/>
        <item x="613"/>
        <item x="601"/>
        <item x="145"/>
        <item x="240"/>
        <item x="300"/>
        <item x="270"/>
        <item x="238"/>
        <item x="237"/>
        <item x="258"/>
        <item x="245"/>
        <item x="257"/>
        <item x="243"/>
        <item x="302"/>
        <item x="277"/>
        <item x="276"/>
        <item x="296"/>
        <item x="275"/>
        <item x="252"/>
        <item x="251"/>
        <item x="246"/>
        <item x="250"/>
        <item x="249"/>
        <item x="241"/>
        <item x="287"/>
        <item x="244"/>
        <item x="286"/>
        <item x="290"/>
        <item x="301"/>
        <item x="285"/>
        <item x="282"/>
        <item x="231"/>
        <item x="266"/>
        <item x="260"/>
        <item x="232"/>
        <item x="242"/>
        <item x="233"/>
        <item x="235"/>
        <item x="239"/>
        <item x="265"/>
        <item x="259"/>
        <item x="253"/>
        <item x="254"/>
        <item x="264"/>
        <item x="263"/>
        <item x="273"/>
        <item x="268"/>
        <item x="267"/>
        <item x="261"/>
        <item x="271"/>
        <item x="262"/>
        <item x="269"/>
        <item x="248"/>
        <item x="247"/>
        <item x="256"/>
        <item x="291"/>
        <item x="295"/>
        <item x="293"/>
        <item x="279"/>
        <item x="274"/>
        <item x="255"/>
        <item x="280"/>
        <item x="272"/>
        <item x="278"/>
        <item x="234"/>
        <item x="236"/>
        <item x="281"/>
        <item x="299"/>
        <item x="298"/>
        <item x="297"/>
        <item x="292"/>
        <item x="294"/>
        <item x="289"/>
        <item x="288"/>
      </items>
    </pivotField>
    <pivotField name="외운것" compact="0" outline="0" showAll="0">
      <items count="5">
        <item x="2"/>
        <item x="3"/>
        <item x="1"/>
        <item x="0"/>
        <item t="default" sd="0"/>
      </items>
    </pivotField>
    <pivotField name="틀린것" axis="axisRow" compact="0" outline="0" showAll="0" sortType="descending" defaultSubtotal="0">
      <items count="3">
        <item h="1" x="0"/>
        <item sd="0" x="1"/>
        <item sd="0" x="2"/>
      </items>
    </pivotField>
    <pivotField name="날짜" compact="0" outline="0" showAll="0">
      <items count="5">
        <item x="1"/>
        <item x="3"/>
        <item x="0"/>
        <item x="2"/>
        <item t="default" sd="0"/>
      </items>
    </pivotField>
    <pivotField name="날짜1차" compact="0" outline="0" showAll="0">
      <items count="3">
        <item x="0"/>
        <item x="1"/>
        <item t="default" sd="0"/>
      </items>
    </pivotField>
    <pivotField name="날짜2차" compact="0" outline="0" showAll="0">
      <items count="3">
        <item x="0"/>
        <item x="1"/>
        <item t="default" sd="0"/>
      </items>
    </pivotField>
    <pivotField name="날짜3차" compact="0" outline="0" showAll="0">
      <items count="3">
        <item x="0"/>
        <item x="1"/>
        <item t="default" sd="0"/>
      </items>
    </pivotField>
    <pivotField name="외운것2차" axis="axisRow" compact="0" outline="0" showAll="0" sortType="ascending">
      <items count="4">
        <item x="2"/>
        <item x="1"/>
        <item h="1" x="0"/>
        <item t="default" sd="0"/>
      </items>
    </pivotField>
    <pivotField name="외운것3차" compact="0" outline="0" showAll="0">
      <items count="2">
        <item sd="0" x="0"/>
        <item t="default" sd="0"/>
      </items>
    </pivotField>
    <pivotField name="틀린것_1차" compact="0" outline="0" showAll="0">
      <items count="10">
        <item x="0"/>
        <item x="1"/>
        <item x="2"/>
        <item x="5"/>
        <item x="3"/>
        <item x="7"/>
        <item x="8"/>
        <item x="6"/>
        <item x="4"/>
        <item t="default" sd="0"/>
      </items>
    </pivotField>
    <pivotField name="틀린것_2차" compact="0" outline="0" showAll="0">
      <items count="8">
        <item x="0"/>
        <item x="1"/>
        <item x="5"/>
        <item x="2"/>
        <item x="3"/>
        <item x="6"/>
        <item x="4"/>
        <item t="default" sd="0"/>
      </items>
    </pivotField>
    <pivotField name="틀린것_3차" compact="0" outline="0" showAll="0">
      <items count="7">
        <item x="0"/>
        <item x="1"/>
        <item x="2"/>
        <item x="3"/>
        <item x="4"/>
        <item x="5"/>
        <item t="default" sd="0"/>
      </items>
    </pivotField>
  </pivotFields>
  <rowFields count="3">
    <field x="8"/>
    <field x="6"/>
    <field x="13"/>
  </rowFields>
  <rowItems count="2">
    <i>
      <x v="2"/>
    </i>
    <i>
      <x v="1"/>
    </i>
  </rowItems>
  <colItems count="1">
    <i/>
  </colItems>
  <dataFields count="1">
    <dataField name="개수(전체 항목)/sNo" fld="1" subtotal="count"/>
  </dataFields>
  <pivotTableStyleInfo name="PivotStyleCustom01" showRowHeaders="1" showColHeaders="1" showRowStripes="1" showColStripes="0" showLastColumn="1"/>
</pivotTableDefinition>
</file>

<file path=xl/pivotTables/pivotTable2.xml><?xml version="1.0" encoding="utf-8"?>
<pivotTableDefinition xmlns="http://schemas.openxmlformats.org/spreadsheetml/2006/main" name="통계" cacheId="1" dataPosition="0" autoFormatId="0" applyNumberFormats="0" applyBorderFormats="0" applyFontFormats="0" applyPatternFormats="0" applyAlignmentFormats="0" applyWidthHeightFormats="1" dataCaption="" missingCaption="" pivotTableStyle="PivotStyleCustom02" updatedVersion="7" useAutoFormatting="1" rowGrandTotals="0" createdVersion="7" indent="0" showEmptyCol="1" showEmptyRow="1" compact="0" compactData="0" multipleFieldFilters="0">
  <location ref="A2:C8" firstHeaderRow="1" firstDataRow="1" firstDataCol="2"/>
  <pivotFields count="11">
    <pivotField name="No" compact="0" outline="0" showAll="0">
      <items count="7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t="default" sd="0"/>
      </items>
    </pivotField>
    <pivotField name="sNo" axis="axisValues" dataField="1" compact="0" outline="0" showAll="0"/>
    <pivotField name="구분2_참고" compact="0" outline="0" showAll="0">
      <items count="34">
        <item x="28"/>
        <item x="31"/>
        <item x="26"/>
        <item x="30"/>
        <item x="20"/>
        <item x="22"/>
        <item x="21"/>
        <item x="19"/>
        <item x="10"/>
        <item x="7"/>
        <item x="8"/>
        <item x="9"/>
        <item x="11"/>
        <item x="14"/>
        <item x="0"/>
        <item x="13"/>
        <item x="24"/>
        <item x="1"/>
        <item x="27"/>
        <item x="32"/>
        <item x="5"/>
        <item x="6"/>
        <item x="15"/>
        <item x="16"/>
        <item x="17"/>
        <item x="18"/>
        <item x="3"/>
        <item x="12"/>
        <item x="4"/>
        <item x="23"/>
        <item x="2"/>
        <item x="29"/>
        <item x="25"/>
        <item t="default" sd="0"/>
      </items>
    </pivotField>
    <pivotField name="구분" compact="0" outline="0" showAll="0">
      <items count="22">
        <item x="20"/>
        <item x="18"/>
        <item x="17"/>
        <item x="7"/>
        <item x="8"/>
        <item x="9"/>
        <item x="12"/>
        <item x="0"/>
        <item x="11"/>
        <item x="1"/>
        <item x="5"/>
        <item x="6"/>
        <item x="13"/>
        <item x="14"/>
        <item x="15"/>
        <item x="16"/>
        <item x="3"/>
        <item x="10"/>
        <item x="4"/>
        <item x="19"/>
        <item x="2"/>
        <item t="default" sd="0"/>
      </items>
    </pivotField>
    <pivotField name="한국어" compact="0" outline="0" showAll="0">
      <items count="724">
        <item x="290"/>
        <item x="237"/>
        <item x="234"/>
        <item x="715"/>
        <item x="691"/>
        <item x="690"/>
        <item x="695"/>
        <item x="83"/>
        <item x="70"/>
        <item x="670"/>
        <item x="671"/>
        <item x="717"/>
        <item x="678"/>
        <item x="698"/>
        <item x="436"/>
        <item x="434"/>
        <item x="435"/>
        <item x="238"/>
        <item x="82"/>
        <item x="92"/>
        <item x="93"/>
        <item x="75"/>
        <item x="175"/>
        <item x="181"/>
        <item x="168"/>
        <item x="174"/>
        <item x="186"/>
        <item x="702"/>
        <item x="173"/>
        <item x="178"/>
        <item x="171"/>
        <item x="654"/>
        <item x="176"/>
        <item x="647"/>
        <item x="645"/>
        <item x="330"/>
        <item x="185"/>
        <item x="183"/>
        <item x="169"/>
        <item x="182"/>
        <item x="180"/>
        <item x="461"/>
        <item x="407"/>
        <item x="457"/>
        <item x="417"/>
        <item x="431"/>
        <item x="402"/>
        <item x="609"/>
        <item x="163"/>
        <item x="499"/>
        <item x="420"/>
        <item x="410"/>
        <item x="280"/>
        <item x="604"/>
        <item x="406"/>
        <item x="471"/>
        <item x="483"/>
        <item x="411"/>
        <item x="452"/>
        <item x="465"/>
        <item x="454"/>
        <item x="487"/>
        <item x="479"/>
        <item x="475"/>
        <item x="467"/>
        <item x="332"/>
        <item x="271"/>
        <item x="412"/>
        <item x="606"/>
        <item x="450"/>
        <item x="278"/>
        <item x="334"/>
        <item x="616"/>
        <item x="401"/>
        <item x="463"/>
        <item x="473"/>
        <item x="485"/>
        <item x="622"/>
        <item x="477"/>
        <item x="469"/>
        <item x="481"/>
        <item x="459"/>
        <item x="215"/>
        <item x="225"/>
        <item x="220"/>
        <item x="148"/>
        <item x="127"/>
        <item x="662"/>
        <item x="197"/>
        <item x="207"/>
        <item x="432"/>
        <item x="425"/>
        <item x="384"/>
        <item x="350"/>
        <item x="318"/>
        <item x="428"/>
        <item x="23"/>
        <item x="716"/>
        <item x="620"/>
        <item x="634"/>
        <item x="31"/>
        <item x="400"/>
        <item x="283"/>
        <item x="8"/>
        <item x="105"/>
        <item x="336"/>
        <item x="352"/>
        <item x="342"/>
        <item x="626"/>
        <item x="368"/>
        <item x="140"/>
        <item x="152"/>
        <item x="68"/>
        <item x="67"/>
        <item x="353"/>
        <item x="13"/>
        <item x="164"/>
        <item x="64"/>
        <item x="56"/>
        <item x="162"/>
        <item x="203"/>
        <item x="159"/>
        <item x="192"/>
        <item x="520"/>
        <item x="348"/>
        <item x="62"/>
        <item x="230"/>
        <item x="55"/>
        <item x="2"/>
        <item x="26"/>
        <item x="17"/>
        <item x="701"/>
        <item x="718"/>
        <item x="212"/>
        <item x="217"/>
        <item x="22"/>
        <item x="33"/>
        <item x="121"/>
        <item x="721"/>
        <item x="125"/>
        <item x="113"/>
        <item x="720"/>
        <item x="663"/>
        <item x="195"/>
        <item x="608"/>
        <item x="211"/>
        <item x="605"/>
        <item x="610"/>
        <item x="661"/>
        <item x="615"/>
        <item x="627"/>
        <item x="618"/>
        <item x="430"/>
        <item x="427"/>
        <item x="703"/>
        <item x="722"/>
        <item x="710"/>
        <item x="603"/>
        <item x="377"/>
        <item x="367"/>
        <item x="91"/>
        <item x="128"/>
        <item x="660"/>
        <item x="383"/>
        <item x="399"/>
        <item x="424"/>
        <item x="188"/>
        <item x="621"/>
        <item x="154"/>
        <item x="349"/>
        <item x="707"/>
        <item x="380"/>
        <item x="76"/>
        <item x="345"/>
        <item x="120"/>
        <item x="224"/>
        <item x="396"/>
        <item x="14"/>
        <item x="646"/>
        <item x="423"/>
        <item x="160"/>
        <item x="612"/>
        <item x="66"/>
        <item x="393"/>
        <item x="41"/>
        <item x="37"/>
        <item x="126"/>
        <item x="116"/>
        <item x="54"/>
        <item x="139"/>
        <item x="338"/>
        <item x="69"/>
        <item x="700"/>
        <item x="144"/>
        <item x="228"/>
        <item x="61"/>
        <item x="1"/>
        <item x="50"/>
        <item x="659"/>
        <item x="628"/>
        <item x="611"/>
        <item x="600"/>
        <item x="122"/>
        <item x="57"/>
        <item x="151"/>
        <item x="511"/>
        <item x="385"/>
        <item x="63"/>
        <item x="59"/>
        <item x="58"/>
        <item x="658"/>
        <item x="653"/>
        <item x="636"/>
        <item x="89"/>
        <item x="648"/>
        <item x="7"/>
        <item x="369"/>
        <item x="201"/>
        <item x="11"/>
        <item x="705"/>
        <item x="161"/>
        <item x="364"/>
        <item x="16"/>
        <item x="343"/>
        <item x="29"/>
        <item x="619"/>
        <item x="340"/>
        <item x="5"/>
        <item x="84"/>
        <item x="613"/>
        <item x="199"/>
        <item x="45"/>
        <item x="629"/>
        <item x="136"/>
        <item x="429"/>
        <item x="115"/>
        <item x="43"/>
        <item x="361"/>
        <item x="221"/>
        <item x="119"/>
        <item x="27"/>
        <item x="209"/>
        <item x="190"/>
        <item x="65"/>
        <item x="60"/>
        <item x="205"/>
        <item x="39"/>
        <item x="346"/>
        <item x="20"/>
        <item x="433"/>
        <item x="293"/>
        <item x="294"/>
        <item x="643"/>
        <item x="644"/>
        <item x="641"/>
        <item x="642"/>
        <item x="419"/>
        <item x="269"/>
        <item x="680"/>
        <item x="341"/>
        <item x="193"/>
        <item x="137"/>
        <item x="187"/>
        <item x="655"/>
        <item x="657"/>
        <item x="656"/>
        <item x="196"/>
        <item x="47"/>
        <item x="314"/>
        <item x="149"/>
        <item x="321"/>
        <item x="637"/>
        <item x="624"/>
        <item x="666"/>
        <item x="204"/>
        <item x="664"/>
        <item x="153"/>
        <item x="633"/>
        <item x="632"/>
        <item x="147"/>
        <item x="638"/>
        <item x="304"/>
        <item x="351"/>
        <item x="347"/>
        <item x="344"/>
        <item x="142"/>
        <item x="155"/>
        <item x="226"/>
        <item x="218"/>
        <item x="303"/>
        <item x="284"/>
        <item x="305"/>
        <item x="322"/>
        <item x="652"/>
        <item x="34"/>
        <item x="319"/>
        <item x="714"/>
        <item x="625"/>
        <item x="53"/>
        <item x="44"/>
        <item x="36"/>
        <item x="15"/>
        <item x="310"/>
        <item x="311"/>
        <item x="306"/>
        <item x="307"/>
        <item x="650"/>
        <item x="651"/>
        <item x="315"/>
        <item x="316"/>
        <item x="323"/>
        <item x="358"/>
        <item x="631"/>
        <item x="206"/>
        <item x="200"/>
        <item x="229"/>
        <item x="141"/>
        <item x="150"/>
        <item x="317"/>
        <item x="30"/>
        <item x="324"/>
        <item x="325"/>
        <item x="21"/>
        <item x="335"/>
        <item x="49"/>
        <item x="0"/>
        <item x="52"/>
        <item x="635"/>
        <item x="210"/>
        <item x="191"/>
        <item x="360"/>
        <item x="88"/>
        <item x="630"/>
        <item x="354"/>
        <item x="6"/>
        <item x="138"/>
        <item x="222"/>
        <item x="214"/>
        <item x="681"/>
        <item x="135"/>
        <item x="133"/>
        <item x="426"/>
        <item x="390"/>
        <item x="370"/>
        <item x="403"/>
        <item x="413"/>
        <item x="415"/>
        <item x="418"/>
        <item x="408"/>
        <item x="405"/>
        <item x="421"/>
        <item x="106"/>
        <item x="98"/>
        <item x="130"/>
        <item x="111"/>
        <item x="112"/>
        <item x="102"/>
        <item x="395"/>
        <item x="103"/>
        <item x="129"/>
        <item x="123"/>
        <item x="117"/>
        <item x="379"/>
        <item x="124"/>
        <item x="96"/>
        <item x="374"/>
        <item x="392"/>
        <item x="386"/>
        <item x="376"/>
        <item x="363"/>
        <item x="101"/>
        <item x="114"/>
        <item x="100"/>
        <item x="110"/>
        <item x="25"/>
        <item x="90"/>
        <item x="104"/>
        <item x="107"/>
        <item x="77"/>
        <item x="85"/>
        <item x="109"/>
        <item x="640"/>
        <item x="339"/>
        <item x="639"/>
        <item x="265"/>
        <item x="266"/>
        <item x="259"/>
        <item x="260"/>
        <item x="235"/>
        <item x="242"/>
        <item x="276"/>
        <item x="277"/>
        <item x="255"/>
        <item x="256"/>
        <item x="331"/>
        <item x="291"/>
        <item x="292"/>
        <item x="389"/>
        <item x="372"/>
        <item x="356"/>
        <item x="388"/>
        <item x="286"/>
        <item x="287"/>
        <item x="298"/>
        <item x="299"/>
        <item x="300"/>
        <item x="296"/>
        <item x="297"/>
        <item x="301"/>
        <item x="263"/>
        <item x="264"/>
        <item x="333"/>
        <item x="249"/>
        <item x="250"/>
        <item x="281"/>
        <item x="279"/>
        <item x="373"/>
        <item x="275"/>
        <item x="357"/>
        <item x="241"/>
        <item x="486"/>
        <item x="474"/>
        <item x="470"/>
        <item x="482"/>
        <item x="456"/>
        <item x="468"/>
        <item x="480"/>
        <item x="464"/>
        <item x="458"/>
        <item x="472"/>
        <item x="484"/>
        <item x="446"/>
        <item x="476"/>
        <item x="466"/>
        <item x="478"/>
        <item x="460"/>
        <item x="462"/>
        <item x="387"/>
        <item x="614"/>
        <item x="607"/>
        <item x="602"/>
        <item x="145"/>
        <item x="165"/>
        <item x="371"/>
        <item x="19"/>
        <item x="166"/>
        <item x="355"/>
        <item x="455"/>
        <item x="132"/>
        <item x="4"/>
        <item x="449"/>
        <item x="453"/>
        <item x="448"/>
        <item x="366"/>
        <item x="381"/>
        <item x="397"/>
        <item x="382"/>
        <item x="488"/>
        <item x="398"/>
        <item x="496"/>
        <item x="365"/>
        <item x="233"/>
        <item x="489"/>
        <item x="500"/>
        <item x="711"/>
        <item x="669"/>
        <item x="422"/>
        <item x="517"/>
        <item x="513"/>
        <item x="510"/>
        <item x="547"/>
        <item x="519"/>
        <item x="515"/>
        <item x="524"/>
        <item x="665"/>
        <item x="526"/>
        <item x="558"/>
        <item x="551"/>
        <item x="261"/>
        <item x="262"/>
        <item x="320"/>
        <item x="245"/>
        <item x="302"/>
        <item x="326"/>
        <item x="257"/>
        <item x="258"/>
        <item x="288"/>
        <item x="289"/>
        <item x="706"/>
        <item x="501"/>
        <item x="490"/>
        <item x="414"/>
        <item x="404"/>
        <item x="78"/>
        <item x="73"/>
        <item x="231"/>
        <item x="327"/>
        <item x="282"/>
        <item x="708"/>
        <item x="687"/>
        <item x="674"/>
        <item x="683"/>
        <item x="274"/>
        <item x="696"/>
        <item x="72"/>
        <item x="693"/>
        <item x="688"/>
        <item x="118"/>
        <item x="312"/>
        <item x="313"/>
        <item x="95"/>
        <item x="74"/>
        <item x="272"/>
        <item x="246"/>
        <item x="251"/>
        <item x="252"/>
        <item x="243"/>
        <item x="552"/>
        <item x="712"/>
        <item x="704"/>
        <item x="709"/>
        <item x="239"/>
        <item x="99"/>
        <item x="677"/>
        <item x="685"/>
        <item x="12"/>
        <item x="507"/>
        <item x="505"/>
        <item x="495"/>
        <item x="494"/>
        <item x="502"/>
        <item x="491"/>
        <item x="506"/>
        <item x="493"/>
        <item x="504"/>
        <item x="498"/>
        <item x="497"/>
        <item x="232"/>
        <item x="253"/>
        <item x="254"/>
        <item x="447"/>
        <item x="713"/>
        <item x="675"/>
        <item x="672"/>
        <item x="439"/>
        <item x="437"/>
        <item x="438"/>
        <item x="451"/>
        <item x="329"/>
        <item x="328"/>
        <item x="503"/>
        <item x="492"/>
        <item x="409"/>
        <item x="679"/>
        <item x="247"/>
        <item x="248"/>
        <item x="295"/>
        <item x="273"/>
        <item x="267"/>
        <item x="268"/>
        <item x="394"/>
        <item x="202"/>
        <item x="601"/>
        <item x="134"/>
        <item x="146"/>
        <item x="157"/>
        <item x="378"/>
        <item x="623"/>
        <item x="617"/>
        <item x="223"/>
        <item x="131"/>
        <item x="391"/>
        <item x="213"/>
        <item x="227"/>
        <item x="362"/>
        <item x="375"/>
        <item x="194"/>
        <item x="156"/>
        <item x="216"/>
        <item x="219"/>
        <item x="189"/>
        <item x="208"/>
        <item x="158"/>
        <item x="359"/>
        <item x="198"/>
        <item x="143"/>
        <item x="337"/>
        <item x="94"/>
        <item x="71"/>
        <item x="35"/>
        <item x="48"/>
        <item x="46"/>
        <item x="28"/>
        <item x="24"/>
        <item x="9"/>
        <item x="18"/>
        <item x="51"/>
        <item x="38"/>
        <item x="42"/>
        <item x="3"/>
        <item x="10"/>
        <item x="32"/>
        <item x="40"/>
        <item x="81"/>
        <item x="86"/>
        <item x="443"/>
        <item x="444"/>
        <item x="445"/>
        <item x="179"/>
        <item x="548"/>
        <item x="527"/>
        <item x="595"/>
        <item x="597"/>
        <item x="529"/>
        <item x="585"/>
        <item x="553"/>
        <item x="589"/>
        <item x="577"/>
        <item x="530"/>
        <item x="549"/>
        <item x="559"/>
        <item x="574"/>
        <item x="583"/>
        <item x="575"/>
        <item x="544"/>
        <item x="587"/>
        <item x="590"/>
        <item x="565"/>
        <item x="184"/>
        <item x="580"/>
        <item x="571"/>
        <item x="563"/>
        <item x="528"/>
        <item x="546"/>
        <item x="564"/>
        <item x="599"/>
        <item x="581"/>
        <item x="541"/>
        <item x="550"/>
        <item x="568"/>
        <item x="588"/>
        <item x="531"/>
        <item x="525"/>
        <item x="573"/>
        <item x="561"/>
        <item x="170"/>
        <item x="593"/>
        <item x="533"/>
        <item x="579"/>
        <item x="554"/>
        <item x="567"/>
        <item x="584"/>
        <item x="572"/>
        <item x="560"/>
        <item x="566"/>
        <item x="562"/>
        <item x="535"/>
        <item x="582"/>
        <item x="592"/>
        <item x="569"/>
        <item x="545"/>
        <item x="557"/>
        <item x="167"/>
        <item x="594"/>
        <item x="598"/>
        <item x="578"/>
        <item x="542"/>
        <item x="570"/>
        <item x="596"/>
        <item x="534"/>
        <item x="591"/>
        <item x="576"/>
        <item x="586"/>
        <item x="308"/>
        <item x="309"/>
        <item x="649"/>
        <item x="668"/>
        <item x="244"/>
        <item x="686"/>
        <item x="673"/>
        <item x="689"/>
        <item x="270"/>
        <item x="518"/>
        <item x="521"/>
        <item x="538"/>
        <item x="516"/>
        <item x="556"/>
        <item x="543"/>
        <item x="509"/>
        <item x="555"/>
        <item x="512"/>
        <item x="508"/>
        <item x="532"/>
        <item x="523"/>
        <item x="537"/>
        <item x="522"/>
        <item x="540"/>
        <item x="539"/>
        <item x="514"/>
        <item x="536"/>
        <item x="240"/>
        <item x="416"/>
        <item x="236"/>
        <item x="79"/>
        <item x="108"/>
        <item x="719"/>
        <item x="440"/>
        <item x="441"/>
        <item x="442"/>
        <item x="80"/>
        <item x="682"/>
        <item x="172"/>
        <item x="694"/>
        <item x="177"/>
        <item x="699"/>
        <item x="285"/>
        <item x="97"/>
        <item x="697"/>
        <item x="87"/>
        <item x="692"/>
        <item x="676"/>
        <item x="684"/>
        <item x="667"/>
        <item t="default" sd="0"/>
      </items>
    </pivotField>
    <pivotField name="힌트" compact="0" outline="0" showAll="0">
      <items count="720">
        <item x="476"/>
        <item x="465"/>
        <item x="474"/>
        <item x="466"/>
        <item x="472"/>
        <item x="469"/>
        <item x="422"/>
        <item x="421"/>
        <item x="409"/>
        <item x="641"/>
        <item x="692"/>
        <item x="711"/>
        <item x="688"/>
        <item x="687"/>
        <item x="83"/>
        <item x="70"/>
        <item x="668"/>
        <item x="667"/>
        <item x="92"/>
        <item x="713"/>
        <item x="695"/>
        <item x="75"/>
        <item x="82"/>
        <item x="675"/>
        <item x="93"/>
        <item x="161"/>
        <item x="139"/>
        <item x="151"/>
        <item x="144"/>
        <item x="128"/>
        <item x="154"/>
        <item x="163"/>
        <item x="160"/>
        <item x="704"/>
        <item x="702"/>
        <item x="707"/>
        <item x="344"/>
        <item x="113"/>
        <item x="120"/>
        <item x="376"/>
        <item x="41"/>
        <item x="69"/>
        <item x="121"/>
        <item x="66"/>
        <item x="91"/>
        <item x="382"/>
        <item x="76"/>
        <item x="89"/>
        <item x="14"/>
        <item x="58"/>
        <item x="366"/>
        <item x="384"/>
        <item x="54"/>
        <item x="655"/>
        <item x="714"/>
        <item x="697"/>
        <item x="59"/>
        <item x="627"/>
        <item x="618"/>
        <item x="610"/>
        <item x="398"/>
        <item x="63"/>
        <item x="423"/>
        <item x="430"/>
        <item x="379"/>
        <item x="363"/>
        <item x="116"/>
        <item x="125"/>
        <item x="122"/>
        <item x="1"/>
        <item x="7"/>
        <item x="717"/>
        <item x="599"/>
        <item x="635"/>
        <item x="660"/>
        <item x="645"/>
        <item x="658"/>
        <item x="643"/>
        <item x="337"/>
        <item x="718"/>
        <item x="716"/>
        <item x="700"/>
        <item x="348"/>
        <item x="429"/>
        <item x="392"/>
        <item x="57"/>
        <item x="368"/>
        <item x="22"/>
        <item x="33"/>
        <item x="16"/>
        <item x="29"/>
        <item x="650"/>
        <item x="342"/>
        <item x="61"/>
        <item x="95"/>
        <item x="657"/>
        <item x="395"/>
        <item x="656"/>
        <item x="126"/>
        <item x="611"/>
        <item x="604"/>
        <item x="620"/>
        <item x="614"/>
        <item x="607"/>
        <item x="228"/>
        <item x="212"/>
        <item x="217"/>
        <item x="224"/>
        <item x="188"/>
        <item x="211"/>
        <item x="195"/>
        <item x="201"/>
        <item x="50"/>
        <item x="11"/>
        <item x="626"/>
        <item x="617"/>
        <item x="609"/>
        <item x="608"/>
        <item x="603"/>
        <item x="602"/>
        <item x="426"/>
        <item x="37"/>
        <item x="237"/>
        <item x="175"/>
        <item x="181"/>
        <item x="168"/>
        <item x="174"/>
        <item x="186"/>
        <item x="699"/>
        <item x="276"/>
        <item x="296"/>
        <item x="275"/>
        <item x="266"/>
        <item x="260"/>
        <item x="254"/>
        <item x="259"/>
        <item x="242"/>
        <item x="239"/>
        <item x="232"/>
        <item x="235"/>
        <item x="233"/>
        <item x="253"/>
        <item x="265"/>
        <item x="273"/>
        <item x="263"/>
        <item x="264"/>
        <item x="173"/>
        <item x="252"/>
        <item x="246"/>
        <item x="251"/>
        <item x="277"/>
        <item x="297"/>
        <item x="178"/>
        <item x="416"/>
        <item x="410"/>
        <item x="405"/>
        <item x="419"/>
        <item x="406"/>
        <item x="411"/>
        <item x="401"/>
        <item x="400"/>
        <item x="298"/>
        <item x="299"/>
        <item x="300"/>
        <item x="171"/>
        <item x="269"/>
        <item x="651"/>
        <item x="176"/>
        <item x="250"/>
        <item x="249"/>
        <item x="241"/>
        <item x="286"/>
        <item x="287"/>
        <item x="244"/>
        <item x="238"/>
        <item x="644"/>
        <item x="281"/>
        <item x="234"/>
        <item x="262"/>
        <item x="271"/>
        <item x="261"/>
        <item x="642"/>
        <item x="282"/>
        <item x="327"/>
        <item x="328"/>
        <item x="326"/>
        <item x="329"/>
        <item x="268"/>
        <item x="267"/>
        <item x="231"/>
        <item x="185"/>
        <item x="236"/>
        <item x="280"/>
        <item x="278"/>
        <item x="333"/>
        <item x="332"/>
        <item x="331"/>
        <item x="330"/>
        <item x="272"/>
        <item x="256"/>
        <item x="255"/>
        <item x="279"/>
        <item x="295"/>
        <item x="293"/>
        <item x="274"/>
        <item x="183"/>
        <item x="285"/>
        <item x="301"/>
        <item x="169"/>
        <item x="258"/>
        <item x="302"/>
        <item x="245"/>
        <item x="243"/>
        <item x="257"/>
        <item x="182"/>
        <item x="180"/>
        <item x="248"/>
        <item x="247"/>
        <item x="290"/>
        <item x="312"/>
        <item x="313"/>
        <item x="291"/>
        <item x="294"/>
        <item x="292"/>
        <item x="148"/>
        <item x="162"/>
        <item x="127"/>
        <item x="140"/>
        <item x="152"/>
        <item x="164"/>
        <item x="159"/>
        <item x="431"/>
        <item x="424"/>
        <item x="335"/>
        <item x="67"/>
        <item x="13"/>
        <item x="325"/>
        <item x="62"/>
        <item x="68"/>
        <item x="352"/>
        <item x="55"/>
        <item x="56"/>
        <item x="351"/>
        <item x="105"/>
        <item x="399"/>
        <item x="2"/>
        <item x="427"/>
        <item x="712"/>
        <item x="619"/>
        <item x="23"/>
        <item x="31"/>
        <item x="283"/>
        <item x="349"/>
        <item x="659"/>
        <item x="26"/>
        <item x="17"/>
        <item x="367"/>
        <item x="341"/>
        <item x="64"/>
        <item x="347"/>
        <item x="383"/>
        <item x="8"/>
        <item x="605"/>
        <item x="621"/>
        <item x="633"/>
        <item x="625"/>
        <item x="318"/>
        <item x="230"/>
        <item x="220"/>
        <item x="225"/>
        <item x="215"/>
        <item x="203"/>
        <item x="197"/>
        <item x="192"/>
        <item x="207"/>
        <item x="615"/>
        <item x="136"/>
        <item x="360"/>
        <item x="39"/>
        <item x="45"/>
        <item x="60"/>
        <item x="345"/>
        <item x="65"/>
        <item x="432"/>
        <item x="428"/>
        <item x="628"/>
        <item x="27"/>
        <item x="20"/>
        <item x="84"/>
        <item x="339"/>
        <item x="115"/>
        <item x="612"/>
        <item x="209"/>
        <item x="221"/>
        <item x="199"/>
        <item x="190"/>
        <item x="205"/>
        <item x="5"/>
        <item x="119"/>
        <item x="43"/>
        <item x="418"/>
        <item x="486"/>
        <item x="475"/>
        <item x="677"/>
        <item x="150"/>
        <item x="138"/>
        <item x="141"/>
        <item x="130"/>
        <item x="142"/>
        <item x="155"/>
        <item x="133"/>
        <item x="147"/>
        <item x="135"/>
        <item x="149"/>
        <item x="137"/>
        <item x="394"/>
        <item x="350"/>
        <item x="647"/>
        <item x="648"/>
        <item x="111"/>
        <item x="380"/>
        <item x="117"/>
        <item x="114"/>
        <item x="98"/>
        <item x="110"/>
        <item x="636"/>
        <item x="630"/>
        <item x="357"/>
        <item x="124"/>
        <item x="53"/>
        <item x="306"/>
        <item x="307"/>
        <item x="102"/>
        <item x="631"/>
        <item x="123"/>
        <item x="96"/>
        <item x="373"/>
        <item x="112"/>
        <item x="317"/>
        <item x="663"/>
        <item x="49"/>
        <item x="6"/>
        <item x="52"/>
        <item x="637"/>
        <item x="100"/>
        <item x="365"/>
        <item x="402"/>
        <item x="47"/>
        <item x="340"/>
        <item x="343"/>
        <item x="284"/>
        <item x="412"/>
        <item x="407"/>
        <item x="153"/>
        <item x="389"/>
        <item x="391"/>
        <item x="36"/>
        <item x="353"/>
        <item x="359"/>
        <item x="654"/>
        <item x="652"/>
        <item x="653"/>
        <item x="417"/>
        <item x="315"/>
        <item x="316"/>
        <item x="649"/>
        <item x="334"/>
        <item x="346"/>
        <item x="321"/>
        <item x="378"/>
        <item x="362"/>
        <item x="129"/>
        <item x="103"/>
        <item x="106"/>
        <item x="634"/>
        <item x="420"/>
        <item x="661"/>
        <item x="414"/>
        <item x="404"/>
        <item x="375"/>
        <item x="320"/>
        <item x="104"/>
        <item x="88"/>
        <item x="34"/>
        <item x="15"/>
        <item x="30"/>
        <item x="21"/>
        <item x="25"/>
        <item x="0"/>
        <item x="314"/>
        <item x="310"/>
        <item x="311"/>
        <item x="90"/>
        <item x="629"/>
        <item x="44"/>
        <item x="101"/>
        <item x="662"/>
        <item x="319"/>
        <item x="623"/>
        <item x="397"/>
        <item x="385"/>
        <item x="369"/>
        <item x="323"/>
        <item x="324"/>
        <item x="381"/>
        <item x="196"/>
        <item x="204"/>
        <item x="226"/>
        <item x="229"/>
        <item x="222"/>
        <item x="214"/>
        <item x="218"/>
        <item x="193"/>
        <item x="187"/>
        <item x="206"/>
        <item x="191"/>
        <item x="200"/>
        <item x="210"/>
        <item x="99"/>
        <item x="305"/>
        <item x="304"/>
        <item x="303"/>
        <item x="364"/>
        <item x="322"/>
        <item x="624"/>
        <item x="632"/>
        <item x="678"/>
        <item x="356"/>
        <item x="425"/>
        <item x="77"/>
        <item x="109"/>
        <item x="107"/>
        <item x="85"/>
        <item x="639"/>
        <item x="338"/>
        <item x="638"/>
        <item x="166"/>
        <item x="132"/>
        <item x="165"/>
        <item x="145"/>
        <item x="4"/>
        <item x="19"/>
        <item x="386"/>
        <item x="370"/>
        <item x="354"/>
        <item x="601"/>
        <item x="606"/>
        <item x="613"/>
        <item x="288"/>
        <item x="289"/>
        <item x="488"/>
        <item x="499"/>
        <item x="708"/>
        <item x="666"/>
        <item x="698"/>
        <item x="703"/>
        <item x="489"/>
        <item x="500"/>
        <item x="413"/>
        <item x="403"/>
        <item x="78"/>
        <item x="73"/>
        <item x="517"/>
        <item x="530"/>
        <item x="524"/>
        <item x="547"/>
        <item x="520"/>
        <item x="540"/>
        <item x="537"/>
        <item x="515"/>
        <item x="534"/>
        <item x="544"/>
        <item x="542"/>
        <item x="508"/>
        <item x="551"/>
        <item x="554"/>
        <item x="557"/>
        <item x="511"/>
        <item x="533"/>
        <item x="545"/>
        <item x="529"/>
        <item x="532"/>
        <item x="507"/>
        <item x="531"/>
        <item x="522"/>
        <item x="536"/>
        <item x="521"/>
        <item x="539"/>
        <item x="526"/>
        <item x="543"/>
        <item x="553"/>
        <item x="552"/>
        <item x="556"/>
        <item x="549"/>
        <item x="538"/>
        <item x="527"/>
        <item x="528"/>
        <item x="548"/>
        <item x="541"/>
        <item x="535"/>
        <item x="510"/>
        <item x="516"/>
        <item x="555"/>
        <item x="512"/>
        <item x="509"/>
        <item x="525"/>
        <item x="546"/>
        <item x="519"/>
        <item x="518"/>
        <item x="514"/>
        <item x="523"/>
        <item x="513"/>
        <item x="550"/>
        <item x="705"/>
        <item x="484"/>
        <item x="478"/>
        <item x="388"/>
        <item x="684"/>
        <item x="671"/>
        <item x="680"/>
        <item x="387"/>
        <item x="693"/>
        <item x="72"/>
        <item x="685"/>
        <item x="690"/>
        <item x="118"/>
        <item x="74"/>
        <item x="709"/>
        <item x="701"/>
        <item x="706"/>
        <item x="371"/>
        <item x="485"/>
        <item x="682"/>
        <item x="674"/>
        <item x="640"/>
        <item x="12"/>
        <item x="569"/>
        <item x="582"/>
        <item x="572"/>
        <item x="598"/>
        <item x="561"/>
        <item x="558"/>
        <item x="583"/>
        <item x="597"/>
        <item x="570"/>
        <item x="562"/>
        <item x="568"/>
        <item x="559"/>
        <item x="595"/>
        <item x="573"/>
        <item x="563"/>
        <item x="571"/>
        <item x="584"/>
        <item x="560"/>
        <item x="593"/>
        <item x="574"/>
        <item x="590"/>
        <item x="567"/>
        <item x="564"/>
        <item x="594"/>
        <item x="580"/>
        <item x="596"/>
        <item x="579"/>
        <item x="588"/>
        <item x="587"/>
        <item x="577"/>
        <item x="589"/>
        <item x="566"/>
        <item x="578"/>
        <item x="576"/>
        <item x="592"/>
        <item x="586"/>
        <item x="585"/>
        <item x="565"/>
        <item x="591"/>
        <item x="575"/>
        <item x="581"/>
        <item x="506"/>
        <item x="504"/>
        <item x="493"/>
        <item x="501"/>
        <item x="490"/>
        <item x="505"/>
        <item x="492"/>
        <item x="503"/>
        <item x="498"/>
        <item x="487"/>
        <item x="497"/>
        <item x="496"/>
        <item x="494"/>
        <item x="710"/>
        <item x="672"/>
        <item x="669"/>
        <item x="502"/>
        <item x="495"/>
        <item x="491"/>
        <item x="408"/>
        <item x="676"/>
        <item x="143"/>
        <item x="131"/>
        <item x="134"/>
        <item x="157"/>
        <item x="146"/>
        <item x="156"/>
        <item x="158"/>
        <item x="393"/>
        <item x="374"/>
        <item x="336"/>
        <item x="390"/>
        <item x="361"/>
        <item x="377"/>
        <item x="213"/>
        <item x="219"/>
        <item x="223"/>
        <item x="216"/>
        <item x="227"/>
        <item x="202"/>
        <item x="198"/>
        <item x="189"/>
        <item x="208"/>
        <item x="194"/>
        <item x="396"/>
        <item x="616"/>
        <item x="600"/>
        <item x="622"/>
        <item x="358"/>
        <item x="94"/>
        <item x="71"/>
        <item x="35"/>
        <item x="38"/>
        <item x="10"/>
        <item x="3"/>
        <item x="46"/>
        <item x="28"/>
        <item x="24"/>
        <item x="18"/>
        <item x="32"/>
        <item x="40"/>
        <item x="42"/>
        <item x="51"/>
        <item x="9"/>
        <item x="48"/>
        <item x="81"/>
        <item x="86"/>
        <item x="179"/>
        <item x="184"/>
        <item x="170"/>
        <item x="167"/>
        <item x="646"/>
        <item x="308"/>
        <item x="309"/>
        <item x="448"/>
        <item x="665"/>
        <item x="670"/>
        <item x="683"/>
        <item x="686"/>
        <item x="372"/>
        <item x="415"/>
        <item x="79"/>
        <item x="715"/>
        <item x="108"/>
        <item x="691"/>
        <item x="172"/>
        <item x="679"/>
        <item x="80"/>
        <item x="177"/>
        <item x="696"/>
        <item x="97"/>
        <item x="694"/>
        <item x="87"/>
        <item x="673"/>
        <item x="681"/>
        <item x="689"/>
        <item x="270"/>
        <item x="240"/>
        <item x="460"/>
        <item x="456"/>
        <item x="464"/>
        <item x="458"/>
        <item x="462"/>
        <item x="461"/>
        <item x="459"/>
        <item x="463"/>
        <item x="455"/>
        <item x="457"/>
        <item x="444"/>
        <item x="471"/>
        <item x="467"/>
        <item x="447"/>
        <item x="470"/>
        <item x="468"/>
        <item x="473"/>
        <item x="482"/>
        <item x="483"/>
        <item x="453"/>
        <item x="449"/>
        <item x="450"/>
        <item x="433"/>
        <item x="442"/>
        <item x="441"/>
        <item x="436"/>
        <item x="439"/>
        <item x="435"/>
        <item x="438"/>
        <item x="480"/>
        <item x="481"/>
        <item x="479"/>
        <item x="477"/>
        <item x="446"/>
        <item x="451"/>
        <item x="434"/>
        <item x="443"/>
        <item x="437"/>
        <item x="440"/>
        <item x="445"/>
        <item x="452"/>
        <item x="454"/>
        <item x="664"/>
        <item x="355"/>
        <item t="default" sd="0"/>
      </items>
    </pivotField>
    <pivotField name="영어" compact="0" outline="0" showAll="0">
      <items count="722">
        <item x="81"/>
        <item x="711"/>
        <item x="470"/>
        <item x="468"/>
        <item x="473"/>
        <item x="482"/>
        <item x="483"/>
        <item x="451"/>
        <item x="446"/>
        <item x="445"/>
        <item x="443"/>
        <item x="440"/>
        <item x="434"/>
        <item x="437"/>
        <item x="454"/>
        <item x="452"/>
        <item x="469"/>
        <item x="465"/>
        <item x="442"/>
        <item x="439"/>
        <item x="433"/>
        <item x="436"/>
        <item x="453"/>
        <item x="474"/>
        <item x="466"/>
        <item x="472"/>
        <item x="476"/>
        <item x="700"/>
        <item x="460"/>
        <item x="456"/>
        <item x="464"/>
        <item x="458"/>
        <item x="462"/>
        <item x="457"/>
        <item x="461"/>
        <item x="463"/>
        <item x="459"/>
        <item x="455"/>
        <item x="429"/>
        <item x="126"/>
        <item x="395"/>
        <item x="125"/>
        <item x="122"/>
        <item x="161"/>
        <item x="659"/>
        <item x="1"/>
        <item x="50"/>
        <item x="602"/>
        <item x="151"/>
        <item x="139"/>
        <item x="609"/>
        <item x="617"/>
        <item x="626"/>
        <item x="144"/>
        <item x="14"/>
        <item x="58"/>
        <item x="7"/>
        <item x="59"/>
        <item x="366"/>
        <item x="113"/>
        <item x="706"/>
        <item x="704"/>
        <item x="384"/>
        <item x="344"/>
        <item x="211"/>
        <item x="212"/>
        <item x="228"/>
        <item x="217"/>
        <item x="224"/>
        <item x="716"/>
        <item x="195"/>
        <item x="201"/>
        <item x="188"/>
        <item x="37"/>
        <item x="635"/>
        <item x="29"/>
        <item x="645"/>
        <item x="154"/>
        <item x="33"/>
        <item x="660"/>
        <item x="337"/>
        <item x="647"/>
        <item x="720"/>
        <item x="128"/>
        <item x="662"/>
        <item x="348"/>
        <item x="16"/>
        <item x="22"/>
        <item x="61"/>
        <item x="398"/>
        <item x="89"/>
        <item x="66"/>
        <item x="652"/>
        <item x="342"/>
        <item x="163"/>
        <item x="610"/>
        <item x="627"/>
        <item x="618"/>
        <item x="599"/>
        <item x="719"/>
        <item x="160"/>
        <item x="604"/>
        <item x="620"/>
        <item x="611"/>
        <item x="11"/>
        <item x="658"/>
        <item x="54"/>
        <item x="368"/>
        <item x="57"/>
        <item x="41"/>
        <item x="91"/>
        <item x="382"/>
        <item x="657"/>
        <item x="614"/>
        <item x="607"/>
        <item x="63"/>
        <item x="426"/>
        <item x="363"/>
        <item x="69"/>
        <item x="699"/>
        <item x="116"/>
        <item x="376"/>
        <item x="379"/>
        <item x="95"/>
        <item x="430"/>
        <item x="423"/>
        <item x="120"/>
        <item x="121"/>
        <item x="709"/>
        <item x="76"/>
        <item x="392"/>
        <item x="718"/>
        <item x="702"/>
        <item x="603"/>
        <item x="608"/>
        <item x="418"/>
        <item x="561"/>
        <item x="595"/>
        <item x="492"/>
        <item x="503"/>
        <item x="594"/>
        <item x="597"/>
        <item x="567"/>
        <item x="591"/>
        <item x="578"/>
        <item x="572"/>
        <item x="568"/>
        <item x="562"/>
        <item x="580"/>
        <item x="575"/>
        <item x="587"/>
        <item x="581"/>
        <item x="565"/>
        <item x="564"/>
        <item x="583"/>
        <item x="570"/>
        <item x="577"/>
        <item x="579"/>
        <item x="576"/>
        <item x="506"/>
        <item x="496"/>
        <item x="588"/>
        <item x="497"/>
        <item x="585"/>
        <item x="582"/>
        <item x="596"/>
        <item x="586"/>
        <item x="593"/>
        <item x="560"/>
        <item x="584"/>
        <item x="566"/>
        <item x="569"/>
        <item x="571"/>
        <item x="590"/>
        <item x="573"/>
        <item x="559"/>
        <item x="574"/>
        <item x="598"/>
        <item x="558"/>
        <item x="563"/>
        <item x="592"/>
        <item x="589"/>
        <item x="21"/>
        <item x="34"/>
        <item x="663"/>
        <item x="25"/>
        <item x="102"/>
        <item x="404"/>
        <item x="30"/>
        <item x="15"/>
        <item x="414"/>
        <item x="88"/>
        <item x="420"/>
        <item x="96"/>
        <item x="100"/>
        <item x="402"/>
        <item x="343"/>
        <item x="138"/>
        <item x="150"/>
        <item x="397"/>
        <item x="129"/>
        <item x="106"/>
        <item x="630"/>
        <item x="636"/>
        <item x="323"/>
        <item x="324"/>
        <item x="52"/>
        <item x="6"/>
        <item x="49"/>
        <item x="629"/>
        <item x="44"/>
        <item x="631"/>
        <item x="112"/>
        <item x="111"/>
        <item x="322"/>
        <item x="36"/>
        <item x="350"/>
        <item x="649"/>
        <item x="650"/>
        <item x="200"/>
        <item x="226"/>
        <item x="218"/>
        <item x="214"/>
        <item x="222"/>
        <item x="124"/>
        <item x="229"/>
        <item x="305"/>
        <item x="193"/>
        <item x="210"/>
        <item x="187"/>
        <item x="191"/>
        <item x="206"/>
        <item x="204"/>
        <item x="196"/>
        <item x="632"/>
        <item x="346"/>
        <item x="334"/>
        <item x="316"/>
        <item x="417"/>
        <item x="654"/>
        <item x="655"/>
        <item x="315"/>
        <item x="656"/>
        <item x="651"/>
        <item x="314"/>
        <item x="310"/>
        <item x="311"/>
        <item x="373"/>
        <item x="284"/>
        <item x="665"/>
        <item x="317"/>
        <item x="141"/>
        <item x="306"/>
        <item x="307"/>
        <item x="130"/>
        <item x="155"/>
        <item x="142"/>
        <item x="359"/>
        <item x="90"/>
        <item x="375"/>
        <item x="0"/>
        <item x="340"/>
        <item x="47"/>
        <item x="133"/>
        <item x="623"/>
        <item x="391"/>
        <item x="357"/>
        <item x="53"/>
        <item x="99"/>
        <item x="321"/>
        <item x="153"/>
        <item x="412"/>
        <item x="407"/>
        <item x="389"/>
        <item x="394"/>
        <item x="123"/>
        <item x="101"/>
        <item x="320"/>
        <item x="637"/>
        <item x="98"/>
        <item x="110"/>
        <item x="634"/>
        <item x="319"/>
        <item x="353"/>
        <item x="385"/>
        <item x="369"/>
        <item x="378"/>
        <item x="362"/>
        <item x="103"/>
        <item x="117"/>
        <item x="114"/>
        <item x="304"/>
        <item x="380"/>
        <item x="364"/>
        <item x="147"/>
        <item x="303"/>
        <item x="135"/>
        <item x="365"/>
        <item x="381"/>
        <item x="104"/>
        <item x="664"/>
        <item x="149"/>
        <item x="624"/>
        <item x="137"/>
        <item x="448"/>
        <item x="422"/>
        <item x="641"/>
        <item x="409"/>
        <item x="643"/>
        <item x="387"/>
        <item x="421"/>
        <item x="356"/>
        <item x="640"/>
        <item x="480"/>
        <item x="481"/>
        <item x="485"/>
        <item x="478"/>
        <item x="475"/>
        <item x="639"/>
        <item x="638"/>
        <item x="338"/>
        <item x="486"/>
        <item x="484"/>
        <item x="351"/>
        <item x="431"/>
        <item x="341"/>
        <item x="621"/>
        <item x="605"/>
        <item x="8"/>
        <item x="714"/>
        <item x="625"/>
        <item x="162"/>
        <item x="318"/>
        <item x="68"/>
        <item x="67"/>
        <item x="352"/>
        <item x="424"/>
        <item x="335"/>
        <item x="192"/>
        <item x="220"/>
        <item x="230"/>
        <item x="215"/>
        <item x="225"/>
        <item x="203"/>
        <item x="207"/>
        <item x="197"/>
        <item x="283"/>
        <item x="148"/>
        <item x="17"/>
        <item x="105"/>
        <item x="127"/>
        <item x="31"/>
        <item x="23"/>
        <item x="349"/>
        <item x="661"/>
        <item x="26"/>
        <item x="347"/>
        <item x="140"/>
        <item x="152"/>
        <item x="164"/>
        <item x="619"/>
        <item x="633"/>
        <item x="64"/>
        <item x="62"/>
        <item x="55"/>
        <item x="56"/>
        <item x="13"/>
        <item x="383"/>
        <item x="427"/>
        <item x="367"/>
        <item x="615"/>
        <item x="159"/>
        <item x="2"/>
        <item x="399"/>
        <item x="477"/>
        <item x="479"/>
        <item x="406"/>
        <item x="416"/>
        <item x="401"/>
        <item x="419"/>
        <item x="405"/>
        <item x="410"/>
        <item x="411"/>
        <item x="400"/>
        <item x="74"/>
        <item x="701"/>
        <item x="176"/>
        <item x="86"/>
        <item x="688"/>
        <item x="703"/>
        <item x="667"/>
        <item x="693"/>
        <item x="172"/>
        <item x="175"/>
        <item x="686"/>
        <item x="717"/>
        <item x="108"/>
        <item x="672"/>
        <item x="685"/>
        <item x="715"/>
        <item x="93"/>
        <item x="697"/>
        <item x="92"/>
        <item x="75"/>
        <item x="82"/>
        <item x="677"/>
        <item x="168"/>
        <item x="676"/>
        <item x="684"/>
        <item x="12"/>
        <item x="371"/>
        <item x="182"/>
        <item x="97"/>
        <item x="681"/>
        <item x="80"/>
        <item x="668"/>
        <item x="690"/>
        <item x="689"/>
        <item x="670"/>
        <item x="70"/>
        <item x="669"/>
        <item x="173"/>
        <item x="678"/>
        <item x="71"/>
        <item x="73"/>
        <item x="679"/>
        <item x="644"/>
        <item x="666"/>
        <item x="682"/>
        <item x="169"/>
        <item x="415"/>
        <item x="177"/>
        <item x="329"/>
        <item x="326"/>
        <item x="328"/>
        <item x="327"/>
        <item x="325"/>
        <item x="673"/>
        <item x="355"/>
        <item x="186"/>
        <item x="710"/>
        <item x="118"/>
        <item x="185"/>
        <item x="179"/>
        <item x="174"/>
        <item x="671"/>
        <item x="692"/>
        <item x="181"/>
        <item x="674"/>
        <item x="687"/>
        <item x="653"/>
        <item x="72"/>
        <item x="408"/>
        <item x="646"/>
        <item x="372"/>
        <item x="413"/>
        <item x="403"/>
        <item x="178"/>
        <item x="183"/>
        <item x="180"/>
        <item x="713"/>
        <item x="695"/>
        <item x="78"/>
        <item x="330"/>
        <item x="332"/>
        <item x="331"/>
        <item x="333"/>
        <item x="171"/>
        <item x="694"/>
        <item x="708"/>
        <item x="87"/>
        <item x="83"/>
        <item x="712"/>
        <item x="698"/>
        <item x="683"/>
        <item x="675"/>
        <item x="691"/>
        <item x="79"/>
        <item x="696"/>
        <item x="312"/>
        <item x="77"/>
        <item x="109"/>
        <item x="107"/>
        <item x="85"/>
        <item x="680"/>
        <item x="705"/>
        <item x="425"/>
        <item x="707"/>
        <item x="388"/>
        <item x="20"/>
        <item x="136"/>
        <item x="27"/>
        <item x="612"/>
        <item x="60"/>
        <item x="360"/>
        <item x="39"/>
        <item x="45"/>
        <item x="115"/>
        <item x="339"/>
        <item x="221"/>
        <item x="199"/>
        <item x="190"/>
        <item x="205"/>
        <item x="209"/>
        <item x="43"/>
        <item x="345"/>
        <item x="628"/>
        <item x="5"/>
        <item x="119"/>
        <item x="65"/>
        <item x="84"/>
        <item x="428"/>
        <item x="432"/>
        <item x="184"/>
        <item x="308"/>
        <item x="648"/>
        <item x="309"/>
        <item x="167"/>
        <item x="170"/>
        <item x="642"/>
        <item x="32"/>
        <item x="28"/>
        <item x="18"/>
        <item x="24"/>
        <item x="396"/>
        <item x="48"/>
        <item x="616"/>
        <item x="600"/>
        <item x="10"/>
        <item x="40"/>
        <item x="42"/>
        <item x="94"/>
        <item x="374"/>
        <item x="390"/>
        <item x="189"/>
        <item x="208"/>
        <item x="227"/>
        <item x="213"/>
        <item x="393"/>
        <item x="361"/>
        <item x="219"/>
        <item x="223"/>
        <item x="216"/>
        <item x="198"/>
        <item x="202"/>
        <item x="377"/>
        <item x="194"/>
        <item x="131"/>
        <item x="143"/>
        <item x="336"/>
        <item x="35"/>
        <item x="46"/>
        <item x="38"/>
        <item x="134"/>
        <item x="157"/>
        <item x="146"/>
        <item x="622"/>
        <item x="156"/>
        <item x="9"/>
        <item x="51"/>
        <item x="358"/>
        <item x="3"/>
        <item x="158"/>
        <item x="532"/>
        <item x="525"/>
        <item x="507"/>
        <item x="543"/>
        <item x="554"/>
        <item x="549"/>
        <item x="534"/>
        <item x="555"/>
        <item x="515"/>
        <item x="544"/>
        <item x="511"/>
        <item x="551"/>
        <item x="514"/>
        <item x="556"/>
        <item x="513"/>
        <item x="523"/>
        <item x="552"/>
        <item x="557"/>
        <item x="512"/>
        <item x="524"/>
        <item x="527"/>
        <item x="545"/>
        <item x="529"/>
        <item x="518"/>
        <item x="538"/>
        <item x="526"/>
        <item x="533"/>
        <item x="508"/>
        <item x="547"/>
        <item x="509"/>
        <item x="516"/>
        <item x="542"/>
        <item x="510"/>
        <item x="517"/>
        <item x="530"/>
        <item x="535"/>
        <item x="550"/>
        <item x="546"/>
        <item x="536"/>
        <item x="521"/>
        <item x="520"/>
        <item x="522"/>
        <item x="548"/>
        <item x="541"/>
        <item x="528"/>
        <item x="553"/>
        <item x="540"/>
        <item x="519"/>
        <item x="537"/>
        <item x="539"/>
        <item x="505"/>
        <item x="531"/>
        <item x="500"/>
        <item x="489"/>
        <item x="313"/>
        <item x="487"/>
        <item x="498"/>
        <item x="501"/>
        <item x="490"/>
        <item x="493"/>
        <item x="494"/>
        <item x="504"/>
        <item x="488"/>
        <item x="499"/>
        <item x="491"/>
        <item x="495"/>
        <item x="502"/>
        <item x="449"/>
        <item x="471"/>
        <item x="444"/>
        <item x="450"/>
        <item x="441"/>
        <item x="435"/>
        <item x="438"/>
        <item x="467"/>
        <item x="447"/>
        <item x="19"/>
        <item x="354"/>
        <item x="370"/>
        <item x="386"/>
        <item x="166"/>
        <item x="132"/>
        <item x="165"/>
        <item x="4"/>
        <item x="606"/>
        <item x="613"/>
        <item x="601"/>
        <item x="145"/>
        <item x="240"/>
        <item x="300"/>
        <item x="270"/>
        <item x="238"/>
        <item x="237"/>
        <item x="258"/>
        <item x="245"/>
        <item x="257"/>
        <item x="243"/>
        <item x="302"/>
        <item x="277"/>
        <item x="276"/>
        <item x="296"/>
        <item x="275"/>
        <item x="252"/>
        <item x="251"/>
        <item x="246"/>
        <item x="250"/>
        <item x="249"/>
        <item x="241"/>
        <item x="287"/>
        <item x="244"/>
        <item x="286"/>
        <item x="290"/>
        <item x="301"/>
        <item x="285"/>
        <item x="282"/>
        <item x="231"/>
        <item x="266"/>
        <item x="260"/>
        <item x="232"/>
        <item x="242"/>
        <item x="233"/>
        <item x="235"/>
        <item x="239"/>
        <item x="265"/>
        <item x="259"/>
        <item x="253"/>
        <item x="254"/>
        <item x="264"/>
        <item x="263"/>
        <item x="273"/>
        <item x="268"/>
        <item x="267"/>
        <item x="261"/>
        <item x="271"/>
        <item x="262"/>
        <item x="269"/>
        <item x="248"/>
        <item x="247"/>
        <item x="256"/>
        <item x="291"/>
        <item x="295"/>
        <item x="293"/>
        <item x="279"/>
        <item x="274"/>
        <item x="255"/>
        <item x="280"/>
        <item x="272"/>
        <item x="278"/>
        <item x="234"/>
        <item x="236"/>
        <item x="281"/>
        <item x="299"/>
        <item x="298"/>
        <item x="297"/>
        <item x="292"/>
        <item x="294"/>
        <item x="289"/>
        <item x="288"/>
        <item t="default" sd="0"/>
      </items>
    </pivotField>
    <pivotField name="외운것" compact="0" outline="0" showAll="0">
      <items count="5">
        <item x="3"/>
        <item x="2"/>
        <item x="1"/>
        <item x="0"/>
        <item t="default" sd="0"/>
      </items>
    </pivotField>
    <pivotField name="틀린것" axis="axisRow" compact="0" outline="0" showAll="0" sortType="ascending">
      <items count="8">
        <item h="1" x="0"/>
        <item sd="0" x="1"/>
        <item sd="0" x="5"/>
        <item sd="0" x="2"/>
        <item sd="0" x="3"/>
        <item sd="0" x="6"/>
        <item sd="0" x="4"/>
        <item t="default" sd="0"/>
      </items>
    </pivotField>
    <pivotField name="날짜" axis="axisRow" compact="0" outline="0" showAll="0" sortType="ascending">
      <items count="10">
        <item x="0"/>
        <item x="1"/>
        <item x="3"/>
        <item x="4"/>
        <item h="1" x="8"/>
        <item x="2"/>
        <item x="6"/>
        <item x="5"/>
        <item x="7"/>
        <item t="default" sd="0"/>
      </items>
    </pivotField>
    <pivotField name="1차" compact="0" outline="0" showAll="0">
      <items count="4">
        <item x="1"/>
        <item x="0"/>
        <item x="2"/>
        <item t="default" sd="0"/>
      </items>
    </pivotField>
  </pivotFields>
  <rowFields count="2">
    <field x="8"/>
    <field x="9"/>
  </rowFields>
  <rowItems count="6"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개수(전체 항목)/sNo" fld="1" subtotal="count"/>
  </dataFields>
  <pivotTableStyleInfo name="PivotStyleCustom02" showRowHeaders="1" showColHeaders="1" showRowStripes="1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R724"/>
  <sheetViews>
    <sheetView workbookViewId="0" showGridLines="0" defaultGridColor="1"/>
  </sheetViews>
  <sheetFormatPr defaultColWidth="7.5" defaultRowHeight="13.9" customHeight="1" outlineLevelRow="0" outlineLevelCol="0"/>
  <cols>
    <col min="1" max="1" width="4.85156" style="1" customWidth="1"/>
    <col min="2" max="2" width="4.35156" style="1" customWidth="1"/>
    <col min="3" max="3" width="10.8984" style="1" customWidth="1"/>
    <col min="4" max="4" width="11.0625" style="1" customWidth="1"/>
    <col min="5" max="5" width="52" style="1" customWidth="1"/>
    <col min="6" max="6" width="64.3516" style="1" customWidth="1"/>
    <col min="7" max="7" width="51.3984" style="1" customWidth="1"/>
    <col min="8" max="9" width="5.17188" style="1" customWidth="1"/>
    <col min="10" max="10" width="11.2344" style="1" customWidth="1"/>
    <col min="11" max="11" width="6" style="1" customWidth="1"/>
    <col min="12" max="13" width="6.17188" style="1" customWidth="1"/>
    <col min="14" max="15" width="8.71094" style="1" customWidth="1"/>
    <col min="16" max="16" width="8.85156" style="1" customWidth="1"/>
    <col min="17" max="17" width="10.5781" style="1" customWidth="1"/>
    <col min="18" max="18" width="8.5" style="1" customWidth="1"/>
    <col min="19" max="16384" width="7.5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2">
        <v>13</v>
      </c>
      <c r="O1" t="s" s="2">
        <v>14</v>
      </c>
      <c r="P1" t="s" s="3">
        <v>15</v>
      </c>
      <c r="Q1" t="s" s="3">
        <v>16</v>
      </c>
      <c r="R1" t="s" s="3">
        <v>17</v>
      </c>
    </row>
    <row r="2" ht="16" customHeight="1">
      <c r="A2" s="4">
        <v>1</v>
      </c>
      <c r="B2" s="4">
        <v>1</v>
      </c>
      <c r="C2" t="s" s="5">
        <v>18</v>
      </c>
      <c r="D2" t="s" s="5">
        <v>18</v>
      </c>
      <c r="E2" t="s" s="5">
        <v>19</v>
      </c>
      <c r="F2" t="s" s="5">
        <v>20</v>
      </c>
      <c r="G2" t="s" s="5">
        <v>21</v>
      </c>
      <c r="H2" s="4" cm="1">
        <f t="array" ref="H2">MIN(SUMIF('외운 것'!A2:A271,A2,'외운 것'!D2:D271)+IF(R2=0,3,IF(R2=1,2,0)),3)</f>
        <v>3</v>
      </c>
      <c r="I2" s="4" cm="1">
        <f t="array" ref="I2">_xlfn.COUNTIFS('외운 것'!A2:A271,A2,'외운 것'!D2:D271,0)</f>
        <v>0</v>
      </c>
      <c r="J2" t="str" s="6" cm="1">
        <f t="array" ref="J2">IF(R2&lt;&gt;0,IF(H2&gt;=3,_xlfn.XLOOKUP(A2,'외운 것'!A2:A271,'외운 것'!C2:C271,0,1),0),"3차")</f>
        <v>3차</v>
      </c>
      <c r="K2" t="str" s="7" cm="1">
        <f t="array" ref="K2">IF(P2&lt;&gt;0,IF(N2&gt;=3,_xlfn.XLOOKUP(A2,'외운 것'!A2:A271,'외운 것'!C2:C271,0,1),0),"1차")</f>
        <v>1차</v>
      </c>
      <c r="L2" t="str" s="7" cm="1">
        <f t="array" ref="L2">IF(Q2&lt;&gt;0,IF(N2&gt;=3,_xlfn.XLOOKUP(A2,'외운 것'!A2:A271,'외운 것'!C2:C271,0,1),0),"2차")</f>
        <v>2차</v>
      </c>
      <c r="M2" t="str" s="7" cm="1">
        <f t="array" ref="M2">IF(R2&lt;&gt;0,IF(O2&gt;=3,_xlfn.XLOOKUP(B2,'외운 것'!B2:B271,'외운 것'!D2:D271,0,1),0),"3차")</f>
        <v>3차</v>
      </c>
      <c r="N2" s="4">
        <v>3</v>
      </c>
      <c r="O2" s="4">
        <v>3</v>
      </c>
      <c r="P2" s="4">
        <v>0</v>
      </c>
      <c r="Q2" s="4">
        <v>0</v>
      </c>
      <c r="R2" s="4">
        <v>0</v>
      </c>
    </row>
    <row r="3" ht="16" customHeight="1">
      <c r="A3" s="8">
        <v>2</v>
      </c>
      <c r="B3" s="8">
        <v>2</v>
      </c>
      <c r="C3" t="s" s="9">
        <v>18</v>
      </c>
      <c r="D3" t="s" s="9">
        <v>18</v>
      </c>
      <c r="E3" t="s" s="9">
        <v>25</v>
      </c>
      <c r="F3" t="s" s="9">
        <v>26</v>
      </c>
      <c r="G3" t="s" s="9">
        <v>27</v>
      </c>
      <c r="H3" s="8" cm="1">
        <f t="array" ref="H3">MIN(SUMIF('외운 것'!A2:A271,A3,'외운 것'!D2:D271)+IF(R3=0,3,IF(R3=1,2,0)),3)</f>
        <v>3</v>
      </c>
      <c r="I3" s="8" cm="1">
        <f t="array" ref="I3">_xlfn.COUNTIFS('외운 것'!A2:A271,A3,'외운 것'!D2:D271,0)</f>
        <v>0</v>
      </c>
      <c r="J3" t="str" s="10" cm="1">
        <f t="array" ref="J3">IF(R3&lt;&gt;0,IF(H3&gt;=3,_xlfn.XLOOKUP(A3,'외운 것'!A2:A271,'외운 것'!C2:C271,0,1),0),"3차")</f>
        <v>3차</v>
      </c>
      <c r="K3" t="str" s="11" cm="1">
        <f t="array" ref="K3">IF(P3&lt;&gt;0,IF(N3&gt;=3,_xlfn.XLOOKUP(A3,'외운 것'!A2:A271,'외운 것'!C2:C271,0,1),0),"1차")</f>
        <v>1차</v>
      </c>
      <c r="L3" t="str" s="11" cm="1">
        <f t="array" ref="L3">IF(Q3&lt;&gt;0,IF(N3&gt;=3,_xlfn.XLOOKUP(A3,'외운 것'!A2:A271,'외운 것'!C2:C271,0,1),0),"2차")</f>
        <v>2차</v>
      </c>
      <c r="M3" t="str" s="11" cm="1">
        <f t="array" ref="M3">IF(R3&lt;&gt;0,IF(O3&gt;=3,_xlfn.XLOOKUP(B3,'외운 것'!B2:B271,'외운 것'!D2:D271,0,1),0),"3차")</f>
        <v>3차</v>
      </c>
      <c r="N3" s="8">
        <v>3</v>
      </c>
      <c r="O3" s="8">
        <v>3</v>
      </c>
      <c r="P3" s="8">
        <v>0</v>
      </c>
      <c r="Q3" s="8">
        <v>0</v>
      </c>
      <c r="R3" s="8">
        <v>0</v>
      </c>
    </row>
    <row r="4" ht="16" customHeight="1">
      <c r="A4" s="8">
        <v>3</v>
      </c>
      <c r="B4" s="8">
        <v>3</v>
      </c>
      <c r="C4" t="s" s="9">
        <v>18</v>
      </c>
      <c r="D4" t="s" s="9">
        <v>18</v>
      </c>
      <c r="E4" t="s" s="9">
        <v>28</v>
      </c>
      <c r="F4" t="s" s="9">
        <v>29</v>
      </c>
      <c r="G4" t="s" s="9">
        <v>30</v>
      </c>
      <c r="H4" s="8" cm="1">
        <f t="array" ref="H4">MIN(SUMIF('외운 것'!A2:A271,A4,'외운 것'!D2:D271)+IF(R4=0,3,IF(R4=1,2,0)),3)</f>
        <v>3</v>
      </c>
      <c r="I4" s="8" cm="1">
        <f t="array" ref="I4">_xlfn.COUNTIFS('외운 것'!A2:A271,A4,'외운 것'!D2:D271,0)</f>
        <v>0</v>
      </c>
      <c r="J4" t="str" s="10" cm="1">
        <f t="array" ref="J4">IF(R4&lt;&gt;0,IF(H4&gt;=3,_xlfn.XLOOKUP(A4,'외운 것'!A2:A271,'외운 것'!C2:C271,0,1),0),"3차")</f>
        <v>3차</v>
      </c>
      <c r="K4" t="str" s="11" cm="1">
        <f t="array" ref="K4">IF(P4&lt;&gt;0,IF(N4&gt;=3,_xlfn.XLOOKUP(A4,'외운 것'!A2:A271,'외운 것'!C2:C271,0,1),0),"1차")</f>
        <v>1차</v>
      </c>
      <c r="L4" t="str" s="11" cm="1">
        <f t="array" ref="L4">IF(Q4&lt;&gt;0,IF(N4&gt;=3,_xlfn.XLOOKUP(A4,'외운 것'!A2:A271,'외운 것'!C2:C271,0,1),0),"2차")</f>
        <v>2차</v>
      </c>
      <c r="M4" t="str" s="11" cm="1">
        <f t="array" ref="M4">IF(R4&lt;&gt;0,IF(O4&gt;=3,_xlfn.XLOOKUP(B4,'외운 것'!B2:B271,'외운 것'!D2:D271,0,1),0),"3차")</f>
        <v>3차</v>
      </c>
      <c r="N4" s="8">
        <v>3</v>
      </c>
      <c r="O4" s="8">
        <v>3</v>
      </c>
      <c r="P4" s="8">
        <v>0</v>
      </c>
      <c r="Q4" s="8">
        <v>0</v>
      </c>
      <c r="R4" s="8">
        <v>0</v>
      </c>
    </row>
    <row r="5" ht="16" customHeight="1">
      <c r="A5" s="8">
        <v>4</v>
      </c>
      <c r="B5" s="8">
        <v>4</v>
      </c>
      <c r="C5" t="s" s="9">
        <v>18</v>
      </c>
      <c r="D5" t="s" s="9">
        <v>18</v>
      </c>
      <c r="E5" t="s" s="9">
        <v>31</v>
      </c>
      <c r="F5" t="s" s="9">
        <v>32</v>
      </c>
      <c r="G5" t="s" s="9">
        <v>33</v>
      </c>
      <c r="H5" s="8" cm="1">
        <f t="array" ref="H5">MIN(SUMIF('외운 것'!A2:A271,A5,'외운 것'!D2:D271)+IF(R5=0,3,IF(R5=1,2,0)),3)</f>
        <v>3</v>
      </c>
      <c r="I5" s="8" cm="1">
        <f t="array" ref="I5">_xlfn.COUNTIFS('외운 것'!A2:A271,A5,'외운 것'!D2:D271,0)</f>
        <v>0</v>
      </c>
      <c r="J5" t="str" s="10" cm="1">
        <f t="array" ref="J5">IF(R5&lt;&gt;0,IF(H5&gt;=3,_xlfn.XLOOKUP(A5,'외운 것'!A2:A271,'외운 것'!C2:C271,0,1),0),"3차")</f>
        <v>3차</v>
      </c>
      <c r="K5" t="str" s="11" cm="1">
        <f t="array" ref="K5">IF(P5&lt;&gt;0,IF(N5&gt;=3,_xlfn.XLOOKUP(A5,'외운 것'!A2:A271,'외운 것'!C2:C271,0,1),0),"1차")</f>
        <v>1차</v>
      </c>
      <c r="L5" t="str" s="11" cm="1">
        <f t="array" ref="L5">IF(Q5&lt;&gt;0,IF(N5&gt;=3,_xlfn.XLOOKUP(A5,'외운 것'!A2:A271,'외운 것'!C2:C271,0,1),0),"2차")</f>
        <v>2차</v>
      </c>
      <c r="M5" t="str" s="11" cm="1">
        <f t="array" ref="M5">IF(R5&lt;&gt;0,IF(O5&gt;=3,_xlfn.XLOOKUP(B5,'외운 것'!B2:B271,'외운 것'!D2:D271,0,1),0),"3차")</f>
        <v>3차</v>
      </c>
      <c r="N5" s="8">
        <v>3</v>
      </c>
      <c r="O5" s="8">
        <v>3</v>
      </c>
      <c r="P5" s="8">
        <v>0</v>
      </c>
      <c r="Q5" s="8">
        <v>0</v>
      </c>
      <c r="R5" s="8">
        <v>0</v>
      </c>
    </row>
    <row r="6" ht="16" customHeight="1">
      <c r="A6" s="8">
        <v>5</v>
      </c>
      <c r="B6" s="8">
        <v>5</v>
      </c>
      <c r="C6" t="s" s="9">
        <v>18</v>
      </c>
      <c r="D6" t="s" s="9">
        <v>18</v>
      </c>
      <c r="E6" t="s" s="9">
        <v>34</v>
      </c>
      <c r="F6" t="s" s="9">
        <v>35</v>
      </c>
      <c r="G6" t="s" s="9">
        <v>36</v>
      </c>
      <c r="H6" s="8" cm="1">
        <f t="array" ref="H6">MIN(SUMIF('외운 것'!A2:A271,A6,'외운 것'!D2:D271)+IF(R6=0,3,IF(R6=1,2,0)),3)</f>
        <v>3</v>
      </c>
      <c r="I6" s="8" cm="1">
        <f t="array" ref="I6">_xlfn.COUNTIFS('외운 것'!A2:A271,A6,'외운 것'!D2:D271,0)</f>
        <v>0</v>
      </c>
      <c r="J6" t="str" s="10" cm="1">
        <f t="array" ref="J6">IF(R6&lt;&gt;0,IF(H6&gt;=3,_xlfn.XLOOKUP(A6,'외운 것'!A2:A271,'외운 것'!C2:C271,0,1),0),"3차")</f>
        <v>3차</v>
      </c>
      <c r="K6" s="8" cm="1">
        <f t="array" ref="K6">IF(P6&lt;&gt;0,IF(N6&gt;=3,_xlfn.XLOOKUP(A6,'외운 것'!A2:A271,'외운 것'!C2:C271,0,1),0),"1차")</f>
        <v>0</v>
      </c>
      <c r="L6" t="str" s="11" cm="1">
        <f t="array" ref="L6">IF(Q6&lt;&gt;0,IF(N6&gt;=3,_xlfn.XLOOKUP(A6,'외운 것'!A2:A271,'외운 것'!C2:C271,0,1),0),"2차")</f>
        <v>2차</v>
      </c>
      <c r="M6" t="str" s="11" cm="1">
        <f t="array" ref="M6">IF(R6&lt;&gt;0,IF(O6&gt;=3,_xlfn.XLOOKUP(B6,'외운 것'!B2:B271,'외운 것'!D2:D271,0,1),0),"3차")</f>
        <v>3차</v>
      </c>
      <c r="N6" s="8">
        <v>2</v>
      </c>
      <c r="O6" s="8">
        <v>3</v>
      </c>
      <c r="P6" s="8">
        <v>1</v>
      </c>
      <c r="Q6" s="8">
        <v>0</v>
      </c>
      <c r="R6" s="8">
        <v>0</v>
      </c>
    </row>
    <row r="7" ht="16" customHeight="1">
      <c r="A7" s="8">
        <v>6</v>
      </c>
      <c r="B7" s="8">
        <v>6</v>
      </c>
      <c r="C7" t="s" s="9">
        <v>18</v>
      </c>
      <c r="D7" t="s" s="9">
        <v>18</v>
      </c>
      <c r="E7" t="s" s="9">
        <v>37</v>
      </c>
      <c r="F7" t="s" s="9">
        <v>38</v>
      </c>
      <c r="G7" t="s" s="9">
        <v>39</v>
      </c>
      <c r="H7" s="8" cm="1">
        <f t="array" ref="H7">MIN(SUMIF('외운 것'!A2:A271,A7,'외운 것'!D2:D271)+IF(R7=0,3,IF(R7=1,2,0)),3)</f>
        <v>3</v>
      </c>
      <c r="I7" s="8" cm="1">
        <f t="array" ref="I7">_xlfn.COUNTIFS('외운 것'!A2:A271,A7,'외운 것'!D2:D271,0)</f>
        <v>0</v>
      </c>
      <c r="J7" t="str" s="10" cm="1">
        <f t="array" ref="J7">IF(R7&lt;&gt;0,IF(H7&gt;=3,_xlfn.XLOOKUP(A7,'외운 것'!A2:A271,'외운 것'!C2:C271,0,1),0),"3차")</f>
        <v>3차</v>
      </c>
      <c r="K7" t="str" s="11" cm="1">
        <f t="array" ref="K7">IF(P7&lt;&gt;0,IF(N7&gt;=3,_xlfn.XLOOKUP(A7,'외운 것'!A2:A271,'외운 것'!C2:C271,0,1),0),"1차")</f>
        <v>1차</v>
      </c>
      <c r="L7" t="str" s="11" cm="1">
        <f t="array" ref="L7">IF(Q7&lt;&gt;0,IF(N7&gt;=3,_xlfn.XLOOKUP(A7,'외운 것'!A2:A271,'외운 것'!C2:C271,0,1),0),"2차")</f>
        <v>2차</v>
      </c>
      <c r="M7" t="str" s="11" cm="1">
        <f t="array" ref="M7">IF(R7&lt;&gt;0,IF(O7&gt;=3,_xlfn.XLOOKUP(B7,'외운 것'!B2:B271,'외운 것'!D2:D271,0,1),0),"3차")</f>
        <v>3차</v>
      </c>
      <c r="N7" s="8">
        <v>3</v>
      </c>
      <c r="O7" s="8">
        <v>3</v>
      </c>
      <c r="P7" s="8">
        <v>0</v>
      </c>
      <c r="Q7" s="8">
        <v>0</v>
      </c>
      <c r="R7" s="8">
        <v>0</v>
      </c>
    </row>
    <row r="8" ht="16" customHeight="1">
      <c r="A8" s="8">
        <v>7</v>
      </c>
      <c r="B8" s="8">
        <v>7</v>
      </c>
      <c r="C8" t="s" s="9">
        <v>18</v>
      </c>
      <c r="D8" t="s" s="9">
        <v>18</v>
      </c>
      <c r="E8" t="s" s="9">
        <v>40</v>
      </c>
      <c r="F8" t="s" s="9">
        <v>41</v>
      </c>
      <c r="G8" t="s" s="9">
        <v>42</v>
      </c>
      <c r="H8" s="8" cm="1">
        <f t="array" ref="H8">MIN(SUMIF('외운 것'!A2:A271,A8,'외운 것'!D2:D271)+IF(R8=0,3,IF(R8=1,2,0)),3)</f>
        <v>3</v>
      </c>
      <c r="I8" s="8" cm="1">
        <f t="array" ref="I8">_xlfn.COUNTIFS('외운 것'!A2:A271,A8,'외운 것'!D2:D271,0)</f>
        <v>0</v>
      </c>
      <c r="J8" t="str" s="10" cm="1">
        <f t="array" ref="J8">IF(R8&lt;&gt;0,IF(H8&gt;=3,_xlfn.XLOOKUP(A8,'외운 것'!A2:A271,'외운 것'!C2:C271,0,1),0),"3차")</f>
        <v>3차</v>
      </c>
      <c r="K8" t="str" s="11" cm="1">
        <f t="array" ref="K8">IF(P8&lt;&gt;0,IF(N8&gt;=3,_xlfn.XLOOKUP(A8,'외운 것'!A2:A271,'외운 것'!C2:C271,0,1),0),"1차")</f>
        <v>1차</v>
      </c>
      <c r="L8" t="str" s="11" cm="1">
        <f t="array" ref="L8">IF(Q8&lt;&gt;0,IF(N8&gt;=3,_xlfn.XLOOKUP(A8,'외운 것'!A2:A271,'외운 것'!C2:C271,0,1),0),"2차")</f>
        <v>2차</v>
      </c>
      <c r="M8" t="str" s="11" cm="1">
        <f t="array" ref="M8">IF(R8&lt;&gt;0,IF(O8&gt;=3,_xlfn.XLOOKUP(B8,'외운 것'!B2:B271,'외운 것'!D2:D271,0,1),0),"3차")</f>
        <v>3차</v>
      </c>
      <c r="N8" s="8">
        <v>3</v>
      </c>
      <c r="O8" s="8">
        <v>3</v>
      </c>
      <c r="P8" s="8">
        <v>0</v>
      </c>
      <c r="Q8" s="8">
        <v>0</v>
      </c>
      <c r="R8" s="8">
        <v>0</v>
      </c>
    </row>
    <row r="9" ht="16" customHeight="1">
      <c r="A9" s="8">
        <v>8</v>
      </c>
      <c r="B9" s="8">
        <v>8</v>
      </c>
      <c r="C9" t="s" s="9">
        <v>18</v>
      </c>
      <c r="D9" t="s" s="9">
        <v>18</v>
      </c>
      <c r="E9" t="s" s="9">
        <v>43</v>
      </c>
      <c r="F9" t="s" s="9">
        <v>44</v>
      </c>
      <c r="G9" t="s" s="9">
        <v>45</v>
      </c>
      <c r="H9" s="8" cm="1">
        <f t="array" ref="H9">MIN(SUMIF('외운 것'!A2:A271,A9,'외운 것'!D2:D271)+IF(R9=0,3,IF(R9=1,2,0)),3)</f>
        <v>3</v>
      </c>
      <c r="I9" s="8" cm="1">
        <f t="array" ref="I9">_xlfn.COUNTIFS('외운 것'!A2:A271,A9,'외운 것'!D2:D271,0)</f>
        <v>0</v>
      </c>
      <c r="J9" t="str" s="10" cm="1">
        <f t="array" ref="J9">IF(R9&lt;&gt;0,IF(H9&gt;=3,_xlfn.XLOOKUP(A9,'외운 것'!A2:A271,'외운 것'!C2:C271,0,1),0),"3차")</f>
        <v>3차</v>
      </c>
      <c r="K9" t="str" s="11" cm="1">
        <f t="array" ref="K9">IF(P9&lt;&gt;0,IF(N9&gt;=3,_xlfn.XLOOKUP(A9,'외운 것'!A2:A271,'외운 것'!C2:C271,0,1),0),"1차")</f>
        <v>1차</v>
      </c>
      <c r="L9" t="str" s="11" cm="1">
        <f t="array" ref="L9">IF(Q9&lt;&gt;0,IF(N9&gt;=3,_xlfn.XLOOKUP(A9,'외운 것'!A2:A271,'외운 것'!C2:C271,0,1),0),"2차")</f>
        <v>2차</v>
      </c>
      <c r="M9" t="str" s="11" cm="1">
        <f t="array" ref="M9">IF(R9&lt;&gt;0,IF(O9&gt;=3,_xlfn.XLOOKUP(B9,'외운 것'!B2:B271,'외운 것'!D2:D271,0,1),0),"3차")</f>
        <v>3차</v>
      </c>
      <c r="N9" s="8">
        <v>3</v>
      </c>
      <c r="O9" s="8">
        <v>3</v>
      </c>
      <c r="P9" s="8">
        <v>0</v>
      </c>
      <c r="Q9" s="8">
        <v>0</v>
      </c>
      <c r="R9" s="8">
        <v>0</v>
      </c>
    </row>
    <row r="10" ht="16" customHeight="1">
      <c r="A10" s="8">
        <v>9</v>
      </c>
      <c r="B10" s="8">
        <v>9</v>
      </c>
      <c r="C10" t="s" s="9">
        <v>18</v>
      </c>
      <c r="D10" t="s" s="9">
        <v>18</v>
      </c>
      <c r="E10" t="s" s="9">
        <v>46</v>
      </c>
      <c r="F10" t="s" s="9">
        <v>47</v>
      </c>
      <c r="G10" t="s" s="9">
        <v>48</v>
      </c>
      <c r="H10" s="8" cm="1">
        <f t="array" ref="H10">MIN(SUMIF('외운 것'!A2:A271,A10,'외운 것'!D2:D271)+IF(R10=0,3,IF(R10=1,2,0)),3)</f>
        <v>3</v>
      </c>
      <c r="I10" s="8" cm="1">
        <f t="array" ref="I10">_xlfn.COUNTIFS('외운 것'!A2:A271,A10,'외운 것'!D2:D271,0)</f>
        <v>0</v>
      </c>
      <c r="J10" t="str" s="10" cm="1">
        <f t="array" ref="J10">IF(R10&lt;&gt;0,IF(H10&gt;=3,_xlfn.XLOOKUP(A10,'외운 것'!A2:A271,'외운 것'!C2:C271,0,1),0),"3차")</f>
        <v>3차</v>
      </c>
      <c r="K10" t="str" s="11" cm="1">
        <f t="array" ref="K10">IF(P10&lt;&gt;0,IF(N10&gt;=3,_xlfn.XLOOKUP(A10,'외운 것'!A2:A271,'외운 것'!C2:C271,0,1),0),"1차")</f>
        <v>1차</v>
      </c>
      <c r="L10" t="str" s="11" cm="1">
        <f t="array" ref="L10">IF(Q10&lt;&gt;0,IF(N10&gt;=3,_xlfn.XLOOKUP(A10,'외운 것'!A2:A271,'외운 것'!C2:C271,0,1),0),"2차")</f>
        <v>2차</v>
      </c>
      <c r="M10" t="str" s="11" cm="1">
        <f t="array" ref="M10">IF(R10&lt;&gt;0,IF(O10&gt;=3,_xlfn.XLOOKUP(B10,'외운 것'!B2:B271,'외운 것'!D2:D271,0,1),0),"3차")</f>
        <v>3차</v>
      </c>
      <c r="N10" s="8">
        <v>3</v>
      </c>
      <c r="O10" s="8">
        <v>3</v>
      </c>
      <c r="P10" s="8">
        <v>0</v>
      </c>
      <c r="Q10" s="8">
        <v>0</v>
      </c>
      <c r="R10" s="8">
        <v>0</v>
      </c>
    </row>
    <row r="11" ht="16" customHeight="1">
      <c r="A11" s="8">
        <v>10</v>
      </c>
      <c r="B11" s="8">
        <v>10</v>
      </c>
      <c r="C11" t="s" s="9">
        <v>18</v>
      </c>
      <c r="D11" t="s" s="9">
        <v>18</v>
      </c>
      <c r="E11" t="s" s="9">
        <v>49</v>
      </c>
      <c r="F11" t="s" s="9">
        <v>50</v>
      </c>
      <c r="G11" t="s" s="9">
        <v>51</v>
      </c>
      <c r="H11" s="8" cm="1">
        <f t="array" ref="H11">MIN(SUMIF('외운 것'!A2:A271,A11,'외운 것'!D2:D271)+IF(R11=0,3,IF(R11=1,2,0)),3)</f>
        <v>3</v>
      </c>
      <c r="I11" s="8" cm="1">
        <f t="array" ref="I11">_xlfn.COUNTIFS('외운 것'!A2:A271,A11,'외운 것'!D2:D271,0)</f>
        <v>0</v>
      </c>
      <c r="J11" t="str" s="10" cm="1">
        <f t="array" ref="J11">IF(R11&lt;&gt;0,IF(H11&gt;=3,_xlfn.XLOOKUP(A11,'외운 것'!A2:A271,'외운 것'!C2:C271,0,1),0),"3차")</f>
        <v>3차</v>
      </c>
      <c r="K11" t="str" s="11" cm="1">
        <f t="array" ref="K11">IF(P11&lt;&gt;0,IF(N11&gt;=3,_xlfn.XLOOKUP(A11,'외운 것'!A2:A271,'외운 것'!C2:C271,0,1),0),"1차")</f>
        <v>1차</v>
      </c>
      <c r="L11" t="str" s="11" cm="1">
        <f t="array" ref="L11">IF(Q11&lt;&gt;0,IF(N11&gt;=3,_xlfn.XLOOKUP(A11,'외운 것'!A2:A271,'외운 것'!C2:C271,0,1),0),"2차")</f>
        <v>2차</v>
      </c>
      <c r="M11" t="str" s="11" cm="1">
        <f t="array" ref="M11">IF(R11&lt;&gt;0,IF(O11&gt;=3,_xlfn.XLOOKUP(B11,'외운 것'!B2:B271,'외운 것'!D2:D271,0,1),0),"3차")</f>
        <v>3차</v>
      </c>
      <c r="N11" s="8">
        <v>3</v>
      </c>
      <c r="O11" s="8">
        <v>3</v>
      </c>
      <c r="P11" s="8">
        <v>0</v>
      </c>
      <c r="Q11" s="8">
        <v>0</v>
      </c>
      <c r="R11" s="8">
        <v>0</v>
      </c>
    </row>
    <row r="12" ht="16" customHeight="1">
      <c r="A12" s="8">
        <v>11</v>
      </c>
      <c r="B12" s="8">
        <v>11</v>
      </c>
      <c r="C12" t="s" s="9">
        <v>18</v>
      </c>
      <c r="D12" t="s" s="9">
        <v>18</v>
      </c>
      <c r="E12" t="s" s="9">
        <v>52</v>
      </c>
      <c r="F12" t="s" s="9">
        <v>53</v>
      </c>
      <c r="G12" t="s" s="9">
        <v>54</v>
      </c>
      <c r="H12" s="8" cm="1">
        <f t="array" ref="H12">MIN(SUMIF('외운 것'!A2:A271,A12,'외운 것'!D2:D271)+IF(R12=0,3,IF(R12=1,2,0)),3)</f>
        <v>3</v>
      </c>
      <c r="I12" s="8" cm="1">
        <f t="array" ref="I12">_xlfn.COUNTIFS('외운 것'!A2:A271,A12,'외운 것'!D2:D271,0)</f>
        <v>0</v>
      </c>
      <c r="J12" t="str" s="10" cm="1">
        <f t="array" ref="J12">IF(R12&lt;&gt;0,IF(H12&gt;=3,_xlfn.XLOOKUP(A12,'외운 것'!A2:A271,'외운 것'!C2:C271,0,1),0),"3차")</f>
        <v>3차</v>
      </c>
      <c r="K12" s="8" cm="1">
        <f t="array" ref="K12">IF(P12&lt;&gt;0,IF(N12&gt;=3,_xlfn.XLOOKUP(A12,'외운 것'!A2:A271,'외운 것'!C2:C271,0,1),0),"1차")</f>
        <v>0</v>
      </c>
      <c r="L12" s="8" cm="1">
        <f t="array" ref="L12">IF(Q12&lt;&gt;0,IF(N12&gt;=3,_xlfn.XLOOKUP(A12,'외운 것'!A2:A271,'외운 것'!C2:C271,0,1),0),"2차")</f>
        <v>0</v>
      </c>
      <c r="M12" t="str" s="11" cm="1">
        <f t="array" ref="M12">IF(R12&lt;&gt;0,IF(O12&gt;=3,_xlfn.XLOOKUP(B12,'외운 것'!B2:B271,'외운 것'!D2:D271,0,1),0),"3차")</f>
        <v>3차</v>
      </c>
      <c r="N12" s="8">
        <v>2</v>
      </c>
      <c r="O12" s="8">
        <v>3</v>
      </c>
      <c r="P12" s="8">
        <v>1</v>
      </c>
      <c r="Q12" s="8">
        <v>1</v>
      </c>
      <c r="R12" s="8">
        <v>0</v>
      </c>
    </row>
    <row r="13" ht="16" customHeight="1">
      <c r="A13" s="8">
        <v>12</v>
      </c>
      <c r="B13" s="8">
        <v>12</v>
      </c>
      <c r="C13" t="s" s="9">
        <v>18</v>
      </c>
      <c r="D13" t="s" s="9">
        <v>18</v>
      </c>
      <c r="E13" t="s" s="9">
        <v>55</v>
      </c>
      <c r="F13" t="s" s="9">
        <v>56</v>
      </c>
      <c r="G13" t="s" s="9">
        <v>57</v>
      </c>
      <c r="H13" s="8" cm="1">
        <f t="array" ref="H13">MIN(SUMIF('외운 것'!A2:A271,A13,'외운 것'!D2:D271)+IF(R13=0,3,IF(R13=1,2,0)),3)</f>
        <v>3</v>
      </c>
      <c r="I13" s="8" cm="1">
        <f t="array" ref="I13">_xlfn.COUNTIFS('외운 것'!A2:A271,A13,'외운 것'!D2:D271,0)</f>
        <v>0</v>
      </c>
      <c r="J13" t="str" s="10" cm="1">
        <f t="array" ref="J13">IF(R13&lt;&gt;0,IF(H13&gt;=3,_xlfn.XLOOKUP(A13,'외운 것'!A2:A271,'외운 것'!C2:C271,0,1),0),"3차")</f>
        <v>3차</v>
      </c>
      <c r="K13" t="str" s="11" cm="1">
        <f t="array" ref="K13">IF(P13&lt;&gt;0,IF(N13&gt;=3,_xlfn.XLOOKUP(A13,'외운 것'!A2:A271,'외운 것'!C2:C271,0,1),0),"1차")</f>
        <v>1차</v>
      </c>
      <c r="L13" t="str" s="11" cm="1">
        <f t="array" ref="L13">IF(Q13&lt;&gt;0,IF(N13&gt;=3,_xlfn.XLOOKUP(A13,'외운 것'!A2:A271,'외운 것'!C2:C271,0,1),0),"2차")</f>
        <v>2차</v>
      </c>
      <c r="M13" t="str" s="11" cm="1">
        <f t="array" ref="M13">IF(R13&lt;&gt;0,IF(O13&gt;=3,_xlfn.XLOOKUP(B13,'외운 것'!B2:B271,'외운 것'!D2:D271,0,1),0),"3차")</f>
        <v>3차</v>
      </c>
      <c r="N13" s="8">
        <v>3</v>
      </c>
      <c r="O13" s="8">
        <v>3</v>
      </c>
      <c r="P13" s="8">
        <v>0</v>
      </c>
      <c r="Q13" s="8">
        <v>0</v>
      </c>
      <c r="R13" s="8">
        <v>0</v>
      </c>
    </row>
    <row r="14" ht="16" customHeight="1">
      <c r="A14" s="8">
        <v>13</v>
      </c>
      <c r="B14" s="8">
        <v>13</v>
      </c>
      <c r="C14" t="s" s="9">
        <v>18</v>
      </c>
      <c r="D14" t="s" s="9">
        <v>18</v>
      </c>
      <c r="E14" t="s" s="9">
        <v>58</v>
      </c>
      <c r="F14" t="s" s="9">
        <v>59</v>
      </c>
      <c r="G14" t="s" s="9">
        <v>60</v>
      </c>
      <c r="H14" s="8" cm="1">
        <f t="array" ref="H14">MIN(SUMIF('외운 것'!A2:A271,A14,'외운 것'!D2:D271)+IF(R14=0,3,IF(R14=1,2,0)),3)</f>
        <v>3</v>
      </c>
      <c r="I14" s="8" cm="1">
        <f t="array" ref="I14">_xlfn.COUNTIFS('외운 것'!A2:A271,A14,'외운 것'!D2:D271,0)</f>
        <v>0</v>
      </c>
      <c r="J14" t="str" s="10" cm="1">
        <f t="array" ref="J14">IF(R14&lt;&gt;0,IF(H14&gt;=3,_xlfn.XLOOKUP(A14,'외운 것'!A2:A271,'외운 것'!C2:C271,0,1),0),"3차")</f>
        <v>3차</v>
      </c>
      <c r="K14" t="str" s="11" cm="1">
        <f t="array" ref="K14">IF(P14&lt;&gt;0,IF(N14&gt;=3,_xlfn.XLOOKUP(A14,'외운 것'!A2:A271,'외운 것'!C2:C271,0,1),0),"1차")</f>
        <v>1차</v>
      </c>
      <c r="L14" t="str" s="11" cm="1">
        <f t="array" ref="L14">IF(Q14&lt;&gt;0,IF(N14&gt;=3,_xlfn.XLOOKUP(A14,'외운 것'!A2:A271,'외운 것'!C2:C271,0,1),0),"2차")</f>
        <v>2차</v>
      </c>
      <c r="M14" t="str" s="11" cm="1">
        <f t="array" ref="M14">IF(R14&lt;&gt;0,IF(O14&gt;=3,_xlfn.XLOOKUP(B14,'외운 것'!B2:B271,'외운 것'!D2:D271,0,1),0),"3차")</f>
        <v>3차</v>
      </c>
      <c r="N14" s="8">
        <v>3</v>
      </c>
      <c r="O14" s="8">
        <v>3</v>
      </c>
      <c r="P14" s="8">
        <v>0</v>
      </c>
      <c r="Q14" s="8">
        <v>0</v>
      </c>
      <c r="R14" s="8">
        <v>0</v>
      </c>
    </row>
    <row r="15" ht="16" customHeight="1">
      <c r="A15" s="8">
        <v>14</v>
      </c>
      <c r="B15" s="8">
        <v>14</v>
      </c>
      <c r="C15" t="s" s="9">
        <v>18</v>
      </c>
      <c r="D15" t="s" s="9">
        <v>18</v>
      </c>
      <c r="E15" t="s" s="9">
        <v>61</v>
      </c>
      <c r="F15" t="s" s="9">
        <v>62</v>
      </c>
      <c r="G15" t="s" s="9">
        <v>63</v>
      </c>
      <c r="H15" s="8" cm="1">
        <f t="array" ref="H15">MIN(SUMIF('외운 것'!A2:A271,A15,'외운 것'!D2:D271)+IF(R15=0,3,IF(R15=1,2,0)),3)</f>
        <v>3</v>
      </c>
      <c r="I15" s="8" cm="1">
        <f t="array" ref="I15">_xlfn.COUNTIFS('외운 것'!A2:A271,A15,'외운 것'!D2:D271,0)</f>
        <v>0</v>
      </c>
      <c r="J15" t="str" s="10" cm="1">
        <f t="array" ref="J15">IF(R15&lt;&gt;0,IF(H15&gt;=3,_xlfn.XLOOKUP(A15,'외운 것'!A2:A271,'외운 것'!C2:C271,0,1),0),"3차")</f>
        <v>3차</v>
      </c>
      <c r="K15" t="str" s="11" cm="1">
        <f t="array" ref="K15">IF(P15&lt;&gt;0,IF(N15&gt;=3,_xlfn.XLOOKUP(A15,'외운 것'!A2:A271,'외운 것'!C2:C271,0,1),0),"1차")</f>
        <v>1차</v>
      </c>
      <c r="L15" t="str" s="11" cm="1">
        <f t="array" ref="L15">IF(Q15&lt;&gt;0,IF(N15&gt;=3,_xlfn.XLOOKUP(A15,'외운 것'!A2:A271,'외운 것'!C2:C271,0,1),0),"2차")</f>
        <v>2차</v>
      </c>
      <c r="M15" t="str" s="11" cm="1">
        <f t="array" ref="M15">IF(R15&lt;&gt;0,IF(O15&gt;=3,_xlfn.XLOOKUP(B15,'외운 것'!B2:B271,'외운 것'!D2:D271,0,1),0),"3차")</f>
        <v>3차</v>
      </c>
      <c r="N15" s="8">
        <v>3</v>
      </c>
      <c r="O15" s="8">
        <v>3</v>
      </c>
      <c r="P15" s="8">
        <v>0</v>
      </c>
      <c r="Q15" s="8">
        <v>0</v>
      </c>
      <c r="R15" s="8">
        <v>0</v>
      </c>
    </row>
    <row r="16" ht="16" customHeight="1">
      <c r="A16" s="8">
        <v>15</v>
      </c>
      <c r="B16" s="8">
        <v>15</v>
      </c>
      <c r="C16" t="s" s="9">
        <v>18</v>
      </c>
      <c r="D16" t="s" s="9">
        <v>18</v>
      </c>
      <c r="E16" t="s" s="9">
        <v>64</v>
      </c>
      <c r="F16" t="s" s="9">
        <v>65</v>
      </c>
      <c r="G16" t="s" s="9">
        <v>66</v>
      </c>
      <c r="H16" s="8" cm="1">
        <f t="array" ref="H16">MIN(SUMIF('외운 것'!A2:A271,A16,'외운 것'!D2:D271)+IF(R16=0,3,IF(R16=1,2,0)),3)</f>
        <v>3</v>
      </c>
      <c r="I16" s="8" cm="1">
        <f t="array" ref="I16">_xlfn.COUNTIFS('외운 것'!A2:A271,A16,'외운 것'!D2:D271,0)</f>
        <v>0</v>
      </c>
      <c r="J16" t="str" s="10" cm="1">
        <f t="array" ref="J16">IF(R16&lt;&gt;0,IF(H16&gt;=3,_xlfn.XLOOKUP(A16,'외운 것'!A2:A271,'외운 것'!C2:C271,0,1),0),"3차")</f>
        <v>3차</v>
      </c>
      <c r="K16" t="str" s="11" cm="1">
        <f t="array" ref="K16">IF(P16&lt;&gt;0,IF(N16&gt;=3,_xlfn.XLOOKUP(A16,'외운 것'!A2:A271,'외운 것'!C2:C271,0,1),0),"1차")</f>
        <v>1차</v>
      </c>
      <c r="L16" t="str" s="11" cm="1">
        <f t="array" ref="L16">IF(Q16&lt;&gt;0,IF(N16&gt;=3,_xlfn.XLOOKUP(A16,'외운 것'!A2:A271,'외운 것'!C2:C271,0,1),0),"2차")</f>
        <v>2차</v>
      </c>
      <c r="M16" t="str" s="11" cm="1">
        <f t="array" ref="M16">IF(R16&lt;&gt;0,IF(O16&gt;=3,_xlfn.XLOOKUP(B16,'외운 것'!B2:B271,'외운 것'!D2:D271,0,1),0),"3차")</f>
        <v>3차</v>
      </c>
      <c r="N16" s="8">
        <v>3</v>
      </c>
      <c r="O16" s="8">
        <v>3</v>
      </c>
      <c r="P16" s="8">
        <v>0</v>
      </c>
      <c r="Q16" s="8">
        <v>0</v>
      </c>
      <c r="R16" s="8">
        <v>0</v>
      </c>
    </row>
    <row r="17" ht="16" customHeight="1">
      <c r="A17" s="8">
        <v>16</v>
      </c>
      <c r="B17" s="8">
        <v>16</v>
      </c>
      <c r="C17" t="s" s="9">
        <v>18</v>
      </c>
      <c r="D17" t="s" s="9">
        <v>18</v>
      </c>
      <c r="E17" t="s" s="9">
        <v>67</v>
      </c>
      <c r="F17" t="s" s="9">
        <v>68</v>
      </c>
      <c r="G17" t="s" s="9">
        <v>69</v>
      </c>
      <c r="H17" s="8" cm="1">
        <f t="array" ref="H17">MIN(SUMIF('외운 것'!A2:A271,A17,'외운 것'!D2:D271)+IF(R17=0,3,IF(R17=1,2,0)),3)</f>
        <v>3</v>
      </c>
      <c r="I17" s="8" cm="1">
        <f t="array" ref="I17">_xlfn.COUNTIFS('외운 것'!A2:A271,A17,'외운 것'!D2:D271,0)</f>
        <v>0</v>
      </c>
      <c r="J17" t="str" s="10" cm="1">
        <f t="array" ref="J17">IF(R17&lt;&gt;0,IF(H17&gt;=3,_xlfn.XLOOKUP(A17,'외운 것'!A2:A271,'외운 것'!C2:C271,0,1),0),"3차")</f>
        <v>3차</v>
      </c>
      <c r="K17" t="str" s="11" cm="1">
        <f t="array" ref="K17">IF(P17&lt;&gt;0,IF(N17&gt;=3,_xlfn.XLOOKUP(A17,'외운 것'!A2:A271,'외운 것'!C2:C271,0,1),0),"1차")</f>
        <v>1차</v>
      </c>
      <c r="L17" t="str" s="11" cm="1">
        <f t="array" ref="L17">IF(Q17&lt;&gt;0,IF(N17&gt;=3,_xlfn.XLOOKUP(A17,'외운 것'!A2:A271,'외운 것'!C2:C271,0,1),0),"2차")</f>
        <v>2차</v>
      </c>
      <c r="M17" t="str" s="11" cm="1">
        <f t="array" ref="M17">IF(R17&lt;&gt;0,IF(O17&gt;=3,_xlfn.XLOOKUP(B17,'외운 것'!B2:B271,'외운 것'!D2:D271,0,1),0),"3차")</f>
        <v>3차</v>
      </c>
      <c r="N17" s="8">
        <v>3</v>
      </c>
      <c r="O17" s="8">
        <v>3</v>
      </c>
      <c r="P17" s="8">
        <v>0</v>
      </c>
      <c r="Q17" s="8">
        <v>0</v>
      </c>
      <c r="R17" s="8">
        <v>0</v>
      </c>
    </row>
    <row r="18" ht="16" customHeight="1">
      <c r="A18" s="8">
        <v>17</v>
      </c>
      <c r="B18" s="8">
        <v>17</v>
      </c>
      <c r="C18" t="s" s="9">
        <v>18</v>
      </c>
      <c r="D18" t="s" s="9">
        <v>18</v>
      </c>
      <c r="E18" t="s" s="9">
        <v>70</v>
      </c>
      <c r="F18" t="s" s="9">
        <v>71</v>
      </c>
      <c r="G18" t="s" s="9">
        <v>72</v>
      </c>
      <c r="H18" s="8" cm="1">
        <f t="array" ref="H18">MIN(SUMIF('외운 것'!A2:A271,A18,'외운 것'!D2:D271)+IF(R18=0,3,IF(R18=1,2,0)),3)</f>
        <v>3</v>
      </c>
      <c r="I18" s="8" cm="1">
        <f t="array" ref="I18">_xlfn.COUNTIFS('외운 것'!A2:A271,A18,'외운 것'!D2:D271,0)</f>
        <v>0</v>
      </c>
      <c r="J18" t="str" s="10" cm="1">
        <f t="array" ref="J18">IF(R18&lt;&gt;0,IF(H18&gt;=3,_xlfn.XLOOKUP(A18,'외운 것'!A2:A271,'외운 것'!C2:C271,0,1),0),"3차")</f>
        <v>3차</v>
      </c>
      <c r="K18" t="str" s="11" cm="1">
        <f t="array" ref="K18">IF(P18&lt;&gt;0,IF(N18&gt;=3,_xlfn.XLOOKUP(A18,'외운 것'!A2:A271,'외운 것'!C2:C271,0,1),0),"1차")</f>
        <v>1차</v>
      </c>
      <c r="L18" t="str" s="11" cm="1">
        <f t="array" ref="L18">IF(Q18&lt;&gt;0,IF(N18&gt;=3,_xlfn.XLOOKUP(A18,'외운 것'!A2:A271,'외운 것'!C2:C271,0,1),0),"2차")</f>
        <v>2차</v>
      </c>
      <c r="M18" t="str" s="11" cm="1">
        <f t="array" ref="M18">IF(R18&lt;&gt;0,IF(O18&gt;=3,_xlfn.XLOOKUP(B18,'외운 것'!B2:B271,'외운 것'!D2:D271,0,1),0),"3차")</f>
        <v>3차</v>
      </c>
      <c r="N18" s="8">
        <v>3</v>
      </c>
      <c r="O18" s="8">
        <v>3</v>
      </c>
      <c r="P18" s="8">
        <v>0</v>
      </c>
      <c r="Q18" s="8">
        <v>0</v>
      </c>
      <c r="R18" s="8">
        <v>0</v>
      </c>
    </row>
    <row r="19" ht="16" customHeight="1">
      <c r="A19" s="8">
        <v>18</v>
      </c>
      <c r="B19" s="8">
        <v>18</v>
      </c>
      <c r="C19" t="s" s="9">
        <v>18</v>
      </c>
      <c r="D19" t="s" s="9">
        <v>18</v>
      </c>
      <c r="E19" t="s" s="9">
        <v>73</v>
      </c>
      <c r="F19" t="s" s="9">
        <v>74</v>
      </c>
      <c r="G19" t="s" s="9">
        <v>75</v>
      </c>
      <c r="H19" s="8" cm="1">
        <f t="array" ref="H19">MIN(SUMIF('외운 것'!A2:A271,A19,'외운 것'!D2:D271)+IF(R19=0,3,IF(R19=1,2,0)),3)</f>
        <v>3</v>
      </c>
      <c r="I19" s="8" cm="1">
        <f t="array" ref="I19">_xlfn.COUNTIFS('외운 것'!A2:A271,A19,'외운 것'!D2:D271,0)</f>
        <v>0</v>
      </c>
      <c r="J19" t="str" s="10" cm="1">
        <f t="array" ref="J19">IF(R19&lt;&gt;0,IF(H19&gt;=3,_xlfn.XLOOKUP(A19,'외운 것'!A2:A271,'외운 것'!C2:C271,0,1),0),"3차")</f>
        <v>3차</v>
      </c>
      <c r="K19" t="str" s="11" cm="1">
        <f t="array" ref="K19">IF(P19&lt;&gt;0,IF(N19&gt;=3,_xlfn.XLOOKUP(A19,'외운 것'!A2:A271,'외운 것'!C2:C271,0,1),0),"1차")</f>
        <v>1차</v>
      </c>
      <c r="L19" t="str" s="11" cm="1">
        <f t="array" ref="L19">IF(Q19&lt;&gt;0,IF(N19&gt;=3,_xlfn.XLOOKUP(A19,'외운 것'!A2:A271,'외운 것'!C2:C271,0,1),0),"2차")</f>
        <v>2차</v>
      </c>
      <c r="M19" t="str" s="11" cm="1">
        <f t="array" ref="M19">IF(R19&lt;&gt;0,IF(O19&gt;=3,_xlfn.XLOOKUP(B19,'외운 것'!B2:B271,'외운 것'!D2:D271,0,1),0),"3차")</f>
        <v>3차</v>
      </c>
      <c r="N19" s="8">
        <v>3</v>
      </c>
      <c r="O19" s="8">
        <v>3</v>
      </c>
      <c r="P19" s="8">
        <v>0</v>
      </c>
      <c r="Q19" s="8">
        <v>0</v>
      </c>
      <c r="R19" s="8">
        <v>0</v>
      </c>
    </row>
    <row r="20" ht="16" customHeight="1">
      <c r="A20" s="8">
        <v>19</v>
      </c>
      <c r="B20" s="8">
        <v>19</v>
      </c>
      <c r="C20" t="s" s="9">
        <v>18</v>
      </c>
      <c r="D20" t="s" s="9">
        <v>18</v>
      </c>
      <c r="E20" t="s" s="9">
        <v>76</v>
      </c>
      <c r="F20" t="s" s="9">
        <v>77</v>
      </c>
      <c r="G20" t="s" s="9">
        <v>78</v>
      </c>
      <c r="H20" s="8" cm="1">
        <f t="array" ref="H20">MIN(SUMIF('외운 것'!A2:A271,A20,'외운 것'!D2:D271)+IF(R20=0,3,IF(R20=1,2,0)),3)</f>
        <v>3</v>
      </c>
      <c r="I20" s="8" cm="1">
        <f t="array" ref="I20">_xlfn.COUNTIFS('외운 것'!A2:A271,A20,'외운 것'!D2:D271,0)</f>
        <v>0</v>
      </c>
      <c r="J20" t="str" s="10" cm="1">
        <f t="array" ref="J20">IF(R20&lt;&gt;0,IF(H20&gt;=3,_xlfn.XLOOKUP(A20,'외운 것'!A2:A271,'외운 것'!C2:C271,0,1),0),"3차")</f>
        <v>3차</v>
      </c>
      <c r="K20" t="str" s="11" cm="1">
        <f t="array" ref="K20">IF(P20&lt;&gt;0,IF(N20&gt;=3,_xlfn.XLOOKUP(A20,'외운 것'!A2:A271,'외운 것'!C2:C271,0,1),0),"1차")</f>
        <v>1차</v>
      </c>
      <c r="L20" t="str" s="11" cm="1">
        <f t="array" ref="L20">IF(Q20&lt;&gt;0,IF(N20&gt;=3,_xlfn.XLOOKUP(A20,'외운 것'!A2:A271,'외운 것'!C2:C271,0,1),0),"2차")</f>
        <v>2차</v>
      </c>
      <c r="M20" t="str" s="11" cm="1">
        <f t="array" ref="M20">IF(R20&lt;&gt;0,IF(O20&gt;=3,_xlfn.XLOOKUP(B20,'외운 것'!B2:B271,'외운 것'!D2:D271,0,1),0),"3차")</f>
        <v>3차</v>
      </c>
      <c r="N20" s="8">
        <v>3</v>
      </c>
      <c r="O20" s="8">
        <v>3</v>
      </c>
      <c r="P20" s="8">
        <v>0</v>
      </c>
      <c r="Q20" s="8">
        <v>0</v>
      </c>
      <c r="R20" s="8">
        <v>0</v>
      </c>
    </row>
    <row r="21" ht="16" customHeight="1">
      <c r="A21" s="8">
        <v>20</v>
      </c>
      <c r="B21" s="8">
        <v>20</v>
      </c>
      <c r="C21" t="s" s="9">
        <v>18</v>
      </c>
      <c r="D21" t="s" s="9">
        <v>18</v>
      </c>
      <c r="E21" t="s" s="9">
        <v>79</v>
      </c>
      <c r="F21" t="s" s="9">
        <v>80</v>
      </c>
      <c r="G21" t="s" s="9">
        <v>81</v>
      </c>
      <c r="H21" s="8" cm="1">
        <f t="array" ref="H21">MIN(SUMIF('외운 것'!A2:A271,A21,'외운 것'!D2:D271)+IF(R21=0,3,IF(R21=1,2,0)),3)</f>
        <v>3</v>
      </c>
      <c r="I21" s="8" cm="1">
        <f t="array" ref="I21">_xlfn.COUNTIFS('외운 것'!A2:A271,A21,'외운 것'!D2:D271,0)</f>
        <v>0</v>
      </c>
      <c r="J21" t="str" s="10" cm="1">
        <f t="array" ref="J21">IF(R21&lt;&gt;0,IF(H21&gt;=3,_xlfn.XLOOKUP(A21,'외운 것'!A2:A271,'외운 것'!C2:C271,0,1),0),"3차")</f>
        <v>3차</v>
      </c>
      <c r="K21" s="8" cm="1">
        <f t="array" ref="K21">IF(P21&lt;&gt;0,IF(N21&gt;=3,_xlfn.XLOOKUP(A21,'외운 것'!A2:A271,'외운 것'!C2:C271,0,1),0),"1차")</f>
        <v>0</v>
      </c>
      <c r="L21" t="str" s="11" cm="1">
        <f t="array" ref="L21">IF(Q21&lt;&gt;0,IF(N21&gt;=3,_xlfn.XLOOKUP(A21,'외운 것'!A2:A271,'외운 것'!C2:C271,0,1),0),"2차")</f>
        <v>2차</v>
      </c>
      <c r="M21" t="str" s="11" cm="1">
        <f t="array" ref="M21">IF(R21&lt;&gt;0,IF(O21&gt;=3,_xlfn.XLOOKUP(B21,'외운 것'!B2:B271,'외운 것'!D2:D271,0,1),0),"3차")</f>
        <v>3차</v>
      </c>
      <c r="N21" s="8">
        <v>2</v>
      </c>
      <c r="O21" s="8">
        <v>3</v>
      </c>
      <c r="P21" s="8">
        <v>1</v>
      </c>
      <c r="Q21" s="8">
        <v>0</v>
      </c>
      <c r="R21" s="8">
        <v>0</v>
      </c>
    </row>
    <row r="22" ht="16" customHeight="1">
      <c r="A22" s="8">
        <v>21</v>
      </c>
      <c r="B22" s="8">
        <v>21</v>
      </c>
      <c r="C22" t="s" s="9">
        <v>18</v>
      </c>
      <c r="D22" t="s" s="9">
        <v>18</v>
      </c>
      <c r="E22" t="s" s="9">
        <v>82</v>
      </c>
      <c r="F22" t="s" s="9">
        <v>83</v>
      </c>
      <c r="G22" t="s" s="9">
        <v>84</v>
      </c>
      <c r="H22" s="8" cm="1">
        <f t="array" ref="H22">MIN(SUMIF('외운 것'!A2:A271,A22,'외운 것'!D2:D271)+IF(R22=0,3,IF(R22=1,2,0)),3)</f>
        <v>3</v>
      </c>
      <c r="I22" s="8" cm="1">
        <f t="array" ref="I22">_xlfn.COUNTIFS('외운 것'!A2:A271,A22,'외운 것'!D2:D271,0)</f>
        <v>0</v>
      </c>
      <c r="J22" t="str" s="10" cm="1">
        <f t="array" ref="J22">IF(R22&lt;&gt;0,IF(H22&gt;=3,_xlfn.XLOOKUP(A22,'외운 것'!A2:A271,'외운 것'!C2:C271,0,1),0),"3차")</f>
        <v>3차</v>
      </c>
      <c r="K22" t="str" s="11" cm="1">
        <f t="array" ref="K22">IF(P22&lt;&gt;0,IF(N22&gt;=3,_xlfn.XLOOKUP(A22,'외운 것'!A2:A271,'외운 것'!C2:C271,0,1),0),"1차")</f>
        <v>1차</v>
      </c>
      <c r="L22" t="str" s="11" cm="1">
        <f t="array" ref="L22">IF(Q22&lt;&gt;0,IF(N22&gt;=3,_xlfn.XLOOKUP(A22,'외운 것'!A2:A271,'외운 것'!C2:C271,0,1),0),"2차")</f>
        <v>2차</v>
      </c>
      <c r="M22" t="str" s="11" cm="1">
        <f t="array" ref="M22">IF(R22&lt;&gt;0,IF(O22&gt;=3,_xlfn.XLOOKUP(B22,'외운 것'!B2:B271,'외운 것'!D2:D271,0,1),0),"3차")</f>
        <v>3차</v>
      </c>
      <c r="N22" s="8">
        <v>3</v>
      </c>
      <c r="O22" s="8">
        <v>3</v>
      </c>
      <c r="P22" s="8">
        <v>0</v>
      </c>
      <c r="Q22" s="8">
        <v>0</v>
      </c>
      <c r="R22" s="8">
        <v>0</v>
      </c>
    </row>
    <row r="23" ht="16" customHeight="1">
      <c r="A23" s="8">
        <v>22</v>
      </c>
      <c r="B23" s="8">
        <v>22</v>
      </c>
      <c r="C23" t="s" s="9">
        <v>18</v>
      </c>
      <c r="D23" t="s" s="9">
        <v>18</v>
      </c>
      <c r="E23" t="s" s="9">
        <v>85</v>
      </c>
      <c r="F23" t="s" s="9">
        <v>86</v>
      </c>
      <c r="G23" t="s" s="9">
        <v>87</v>
      </c>
      <c r="H23" s="8" cm="1">
        <f t="array" ref="H23">MIN(SUMIF('외운 것'!A2:A271,A23,'외운 것'!D2:D271)+IF(R23=0,3,IF(R23=1,2,0)),3)</f>
        <v>3</v>
      </c>
      <c r="I23" s="8" cm="1">
        <f t="array" ref="I23">_xlfn.COUNTIFS('외운 것'!A2:A271,A23,'외운 것'!D2:D271,0)</f>
        <v>0</v>
      </c>
      <c r="J23" t="str" s="10" cm="1">
        <f t="array" ref="J23">IF(R23&lt;&gt;0,IF(H23&gt;=3,_xlfn.XLOOKUP(A23,'외운 것'!A2:A271,'외운 것'!C2:C271,0,1),0),"3차")</f>
        <v>3차</v>
      </c>
      <c r="K23" t="str" s="11" cm="1">
        <f t="array" ref="K23">IF(P23&lt;&gt;0,IF(N23&gt;=3,_xlfn.XLOOKUP(A23,'외운 것'!A2:A271,'외운 것'!C2:C271,0,1),0),"1차")</f>
        <v>1차</v>
      </c>
      <c r="L23" t="str" s="11" cm="1">
        <f t="array" ref="L23">IF(Q23&lt;&gt;0,IF(N23&gt;=3,_xlfn.XLOOKUP(A23,'외운 것'!A2:A271,'외운 것'!C2:C271,0,1),0),"2차")</f>
        <v>2차</v>
      </c>
      <c r="M23" t="str" s="11" cm="1">
        <f t="array" ref="M23">IF(R23&lt;&gt;0,IF(O23&gt;=3,_xlfn.XLOOKUP(B23,'외운 것'!B2:B271,'외운 것'!D2:D271,0,1),0),"3차")</f>
        <v>3차</v>
      </c>
      <c r="N23" s="8">
        <v>3</v>
      </c>
      <c r="O23" s="8">
        <v>3</v>
      </c>
      <c r="P23" s="8">
        <v>0</v>
      </c>
      <c r="Q23" s="8">
        <v>0</v>
      </c>
      <c r="R23" s="8">
        <v>0</v>
      </c>
    </row>
    <row r="24" ht="16" customHeight="1">
      <c r="A24" s="8">
        <v>23</v>
      </c>
      <c r="B24" s="8">
        <v>23</v>
      </c>
      <c r="C24" t="s" s="9">
        <v>18</v>
      </c>
      <c r="D24" t="s" s="9">
        <v>18</v>
      </c>
      <c r="E24" t="s" s="9">
        <v>88</v>
      </c>
      <c r="F24" t="s" s="9">
        <v>89</v>
      </c>
      <c r="G24" t="s" s="9">
        <v>90</v>
      </c>
      <c r="H24" s="8" cm="1">
        <f t="array" ref="H24">MIN(SUMIF('외운 것'!A2:A271,A24,'외운 것'!D2:D271)+IF(R24=0,3,IF(R24=1,2,0)),3)</f>
        <v>3</v>
      </c>
      <c r="I24" s="8" cm="1">
        <f t="array" ref="I24">_xlfn.COUNTIFS('외운 것'!A2:A271,A24,'외운 것'!D2:D271,0)</f>
        <v>0</v>
      </c>
      <c r="J24" t="str" s="10" cm="1">
        <f t="array" ref="J24">IF(R24&lt;&gt;0,IF(H24&gt;=3,_xlfn.XLOOKUP(A24,'외운 것'!A2:A271,'외운 것'!C2:C271,0,1),0),"3차")</f>
        <v>3차</v>
      </c>
      <c r="K24" t="str" s="11" cm="1">
        <f t="array" ref="K24">IF(P24&lt;&gt;0,IF(N24&gt;=3,_xlfn.XLOOKUP(A24,'외운 것'!A2:A271,'외운 것'!C2:C271,0,1),0),"1차")</f>
        <v>1차</v>
      </c>
      <c r="L24" t="str" s="11" cm="1">
        <f t="array" ref="L24">IF(Q24&lt;&gt;0,IF(N24&gt;=3,_xlfn.XLOOKUP(A24,'외운 것'!A2:A271,'외운 것'!C2:C271,0,1),0),"2차")</f>
        <v>2차</v>
      </c>
      <c r="M24" t="str" s="11" cm="1">
        <f t="array" ref="M24">IF(R24&lt;&gt;0,IF(O24&gt;=3,_xlfn.XLOOKUP(B24,'외운 것'!B2:B271,'외운 것'!D2:D271,0,1),0),"3차")</f>
        <v>3차</v>
      </c>
      <c r="N24" s="8">
        <v>3</v>
      </c>
      <c r="O24" s="8">
        <v>3</v>
      </c>
      <c r="P24" s="8">
        <v>0</v>
      </c>
      <c r="Q24" s="8">
        <v>0</v>
      </c>
      <c r="R24" s="8">
        <v>0</v>
      </c>
    </row>
    <row r="25" ht="16" customHeight="1">
      <c r="A25" s="8">
        <v>24</v>
      </c>
      <c r="B25" s="8">
        <v>24</v>
      </c>
      <c r="C25" t="s" s="9">
        <v>18</v>
      </c>
      <c r="D25" t="s" s="9">
        <v>18</v>
      </c>
      <c r="E25" t="s" s="9">
        <v>91</v>
      </c>
      <c r="F25" t="s" s="9">
        <v>92</v>
      </c>
      <c r="G25" t="s" s="9">
        <v>93</v>
      </c>
      <c r="H25" s="8" cm="1">
        <f t="array" ref="H25">MIN(SUMIF('외운 것'!A2:A271,A25,'외운 것'!D2:D271)+IF(R25=0,3,IF(R25=1,2,0)),3)</f>
        <v>3</v>
      </c>
      <c r="I25" s="8" cm="1">
        <f t="array" ref="I25">_xlfn.COUNTIFS('외운 것'!A2:A271,A25,'외운 것'!D2:D271,0)</f>
        <v>0</v>
      </c>
      <c r="J25" t="str" s="10" cm="1">
        <f t="array" ref="J25">IF(R25&lt;&gt;0,IF(H25&gt;=3,_xlfn.XLOOKUP(A25,'외운 것'!A2:A271,'외운 것'!C2:C271,0,1),0),"3차")</f>
        <v>3차</v>
      </c>
      <c r="K25" t="str" s="11" cm="1">
        <f t="array" ref="K25">IF(P25&lt;&gt;0,IF(N25&gt;=3,_xlfn.XLOOKUP(A25,'외운 것'!A2:A271,'외운 것'!C2:C271,0,1),0),"1차")</f>
        <v>1차</v>
      </c>
      <c r="L25" t="str" s="11" cm="1">
        <f t="array" ref="L25">IF(Q25&lt;&gt;0,IF(N25&gt;=3,_xlfn.XLOOKUP(A25,'외운 것'!A2:A271,'외운 것'!C2:C271,0,1),0),"2차")</f>
        <v>2차</v>
      </c>
      <c r="M25" t="str" s="11" cm="1">
        <f t="array" ref="M25">IF(R25&lt;&gt;0,IF(O25&gt;=3,_xlfn.XLOOKUP(B25,'외운 것'!B2:B271,'외운 것'!D2:D271,0,1),0),"3차")</f>
        <v>3차</v>
      </c>
      <c r="N25" s="8">
        <v>3</v>
      </c>
      <c r="O25" s="8">
        <v>3</v>
      </c>
      <c r="P25" s="8">
        <v>0</v>
      </c>
      <c r="Q25" s="8">
        <v>0</v>
      </c>
      <c r="R25" s="8">
        <v>0</v>
      </c>
    </row>
    <row r="26" ht="16" customHeight="1">
      <c r="A26" s="8">
        <v>25</v>
      </c>
      <c r="B26" s="8">
        <v>25</v>
      </c>
      <c r="C26" t="s" s="9">
        <v>18</v>
      </c>
      <c r="D26" t="s" s="9">
        <v>18</v>
      </c>
      <c r="E26" t="s" s="9">
        <v>94</v>
      </c>
      <c r="F26" t="s" s="9">
        <v>95</v>
      </c>
      <c r="G26" t="s" s="9">
        <v>96</v>
      </c>
      <c r="H26" s="8" cm="1">
        <f t="array" ref="H26">MIN(SUMIF('외운 것'!A2:A271,A26,'외운 것'!D2:D271)+IF(R26=0,3,IF(R26=1,2,0)),3)</f>
        <v>3</v>
      </c>
      <c r="I26" s="8" cm="1">
        <f t="array" ref="I26">_xlfn.COUNTIFS('외운 것'!A2:A271,A26,'외운 것'!D2:D271,0)</f>
        <v>0</v>
      </c>
      <c r="J26" t="str" s="10" cm="1">
        <f t="array" ref="J26">IF(R26&lt;&gt;0,IF(H26&gt;=3,_xlfn.XLOOKUP(A26,'외운 것'!A2:A271,'외운 것'!C2:C271,0,1),0),"3차")</f>
        <v>3차</v>
      </c>
      <c r="K26" s="8" cm="1">
        <f t="array" ref="K26">IF(P26&lt;&gt;0,IF(N26&gt;=3,_xlfn.XLOOKUP(A26,'외운 것'!A2:A271,'외운 것'!C2:C271,0,1),0),"1차")</f>
        <v>0</v>
      </c>
      <c r="L26" t="str" s="11" cm="1">
        <f t="array" ref="L26">IF(Q26&lt;&gt;0,IF(N26&gt;=3,_xlfn.XLOOKUP(A26,'외운 것'!A2:A271,'외운 것'!C2:C271,0,1),0),"2차")</f>
        <v>2차</v>
      </c>
      <c r="M26" t="str" s="11" cm="1">
        <f t="array" ref="M26">IF(R26&lt;&gt;0,IF(O26&gt;=3,_xlfn.XLOOKUP(B26,'외운 것'!B2:B271,'외운 것'!D2:D271,0,1),0),"3차")</f>
        <v>3차</v>
      </c>
      <c r="N26" s="8">
        <v>0</v>
      </c>
      <c r="O26" s="8">
        <v>3</v>
      </c>
      <c r="P26" s="8">
        <v>2</v>
      </c>
      <c r="Q26" s="8">
        <v>0</v>
      </c>
      <c r="R26" s="8">
        <v>0</v>
      </c>
    </row>
    <row r="27" ht="16" customHeight="1">
      <c r="A27" s="8">
        <v>26</v>
      </c>
      <c r="B27" s="8">
        <v>26</v>
      </c>
      <c r="C27" t="s" s="9">
        <v>18</v>
      </c>
      <c r="D27" t="s" s="9">
        <v>18</v>
      </c>
      <c r="E27" t="s" s="9">
        <v>97</v>
      </c>
      <c r="F27" t="s" s="9">
        <v>98</v>
      </c>
      <c r="G27" t="s" s="9">
        <v>99</v>
      </c>
      <c r="H27" s="8" cm="1">
        <f t="array" ref="H27">MIN(SUMIF('외운 것'!A2:A271,A27,'외운 것'!D2:D271)+IF(R27=0,3,IF(R27=1,2,0)),3)</f>
        <v>3</v>
      </c>
      <c r="I27" s="8" cm="1">
        <f t="array" ref="I27">_xlfn.COUNTIFS('외운 것'!A2:A271,A27,'외운 것'!D2:D271,0)</f>
        <v>0</v>
      </c>
      <c r="J27" t="str" s="10" cm="1">
        <f t="array" ref="J27">IF(R27&lt;&gt;0,IF(H27&gt;=3,_xlfn.XLOOKUP(A27,'외운 것'!A2:A271,'외운 것'!C2:C271,0,1),0),"3차")</f>
        <v>3차</v>
      </c>
      <c r="K27" t="str" s="11" cm="1">
        <f t="array" ref="K27">IF(P27&lt;&gt;0,IF(N27&gt;=3,_xlfn.XLOOKUP(A27,'외운 것'!A2:A271,'외운 것'!C2:C271,0,1),0),"1차")</f>
        <v>1차</v>
      </c>
      <c r="L27" t="str" s="11" cm="1">
        <f t="array" ref="L27">IF(Q27&lt;&gt;0,IF(N27&gt;=3,_xlfn.XLOOKUP(A27,'외운 것'!A2:A271,'외운 것'!C2:C271,0,1),0),"2차")</f>
        <v>2차</v>
      </c>
      <c r="M27" t="str" s="11" cm="1">
        <f t="array" ref="M27">IF(R27&lt;&gt;0,IF(O27&gt;=3,_xlfn.XLOOKUP(B27,'외운 것'!B2:B271,'외운 것'!D2:D271,0,1),0),"3차")</f>
        <v>3차</v>
      </c>
      <c r="N27" s="8">
        <v>3</v>
      </c>
      <c r="O27" s="8">
        <v>3</v>
      </c>
      <c r="P27" s="8">
        <v>0</v>
      </c>
      <c r="Q27" s="8">
        <v>0</v>
      </c>
      <c r="R27" s="8">
        <v>0</v>
      </c>
    </row>
    <row r="28" ht="16" customHeight="1">
      <c r="A28" s="8">
        <v>27</v>
      </c>
      <c r="B28" s="8">
        <v>27</v>
      </c>
      <c r="C28" t="s" s="9">
        <v>18</v>
      </c>
      <c r="D28" t="s" s="9">
        <v>18</v>
      </c>
      <c r="E28" t="s" s="9">
        <v>100</v>
      </c>
      <c r="F28" t="s" s="9">
        <v>101</v>
      </c>
      <c r="G28" t="s" s="9">
        <v>102</v>
      </c>
      <c r="H28" s="8" cm="1">
        <f t="array" ref="H28">MIN(SUMIF('외운 것'!A2:A271,A28,'외운 것'!D2:D271)+IF(R28=0,3,IF(R28=1,2,0)),3)</f>
        <v>3</v>
      </c>
      <c r="I28" s="8" cm="1">
        <f t="array" ref="I28">_xlfn.COUNTIFS('외운 것'!A2:A271,A28,'외운 것'!D2:D271,0)</f>
        <v>0</v>
      </c>
      <c r="J28" t="str" s="10" cm="1">
        <f t="array" ref="J28">IF(R28&lt;&gt;0,IF(H28&gt;=3,_xlfn.XLOOKUP(A28,'외운 것'!A2:A271,'외운 것'!C2:C271,0,1),0),"3차")</f>
        <v>3차</v>
      </c>
      <c r="K28" t="str" s="11" cm="1">
        <f t="array" ref="K28">IF(P28&lt;&gt;0,IF(N28&gt;=3,_xlfn.XLOOKUP(A28,'외운 것'!A2:A271,'외운 것'!C2:C271,0,1),0),"1차")</f>
        <v>1차</v>
      </c>
      <c r="L28" t="str" s="11" cm="1">
        <f t="array" ref="L28">IF(Q28&lt;&gt;0,IF(N28&gt;=3,_xlfn.XLOOKUP(A28,'외운 것'!A2:A271,'외운 것'!C2:C271,0,1),0),"2차")</f>
        <v>2차</v>
      </c>
      <c r="M28" t="str" s="11" cm="1">
        <f t="array" ref="M28">IF(R28&lt;&gt;0,IF(O28&gt;=3,_xlfn.XLOOKUP(B28,'외운 것'!B2:B271,'외운 것'!D2:D271,0,1),0),"3차")</f>
        <v>3차</v>
      </c>
      <c r="N28" s="8">
        <v>3</v>
      </c>
      <c r="O28" s="8">
        <v>3</v>
      </c>
      <c r="P28" s="8">
        <v>0</v>
      </c>
      <c r="Q28" s="8">
        <v>0</v>
      </c>
      <c r="R28" s="8">
        <v>0</v>
      </c>
    </row>
    <row r="29" ht="16" customHeight="1">
      <c r="A29" s="8">
        <v>28</v>
      </c>
      <c r="B29" s="8">
        <v>28</v>
      </c>
      <c r="C29" t="s" s="9">
        <v>18</v>
      </c>
      <c r="D29" t="s" s="9">
        <v>18</v>
      </c>
      <c r="E29" t="s" s="9">
        <v>103</v>
      </c>
      <c r="F29" t="s" s="9">
        <v>104</v>
      </c>
      <c r="G29" t="s" s="9">
        <v>105</v>
      </c>
      <c r="H29" s="8" cm="1">
        <f t="array" ref="H29">MIN(SUMIF('외운 것'!A2:A271,A29,'외운 것'!D2:D271)+IF(R29=0,3,IF(R29=1,2,0)),3)</f>
        <v>3</v>
      </c>
      <c r="I29" s="8" cm="1">
        <f t="array" ref="I29">_xlfn.COUNTIFS('외운 것'!A2:A271,A29,'외운 것'!D2:D271,0)</f>
        <v>0</v>
      </c>
      <c r="J29" t="str" s="10" cm="1">
        <f t="array" ref="J29">IF(R29&lt;&gt;0,IF(H29&gt;=3,_xlfn.XLOOKUP(A29,'외운 것'!A2:A271,'외운 것'!C2:C271,0,1),0),"3차")</f>
        <v>3차</v>
      </c>
      <c r="K29" t="str" s="11" cm="1">
        <f t="array" ref="K29">IF(P29&lt;&gt;0,IF(N29&gt;=3,_xlfn.XLOOKUP(A29,'외운 것'!A2:A271,'외운 것'!C2:C271,0,1),0),"1차")</f>
        <v>1차</v>
      </c>
      <c r="L29" t="str" s="11" cm="1">
        <f t="array" ref="L29">IF(Q29&lt;&gt;0,IF(N29&gt;=3,_xlfn.XLOOKUP(A29,'외운 것'!A2:A271,'외운 것'!C2:C271,0,1),0),"2차")</f>
        <v>2차</v>
      </c>
      <c r="M29" t="str" s="11" cm="1">
        <f t="array" ref="M29">IF(R29&lt;&gt;0,IF(O29&gt;=3,_xlfn.XLOOKUP(B29,'외운 것'!B2:B271,'외운 것'!D2:D271,0,1),0),"3차")</f>
        <v>3차</v>
      </c>
      <c r="N29" s="8">
        <v>3</v>
      </c>
      <c r="O29" s="8">
        <v>3</v>
      </c>
      <c r="P29" s="8">
        <v>0</v>
      </c>
      <c r="Q29" s="8">
        <v>0</v>
      </c>
      <c r="R29" s="8">
        <v>0</v>
      </c>
    </row>
    <row r="30" ht="16" customHeight="1">
      <c r="A30" s="8">
        <v>29</v>
      </c>
      <c r="B30" s="8">
        <v>29</v>
      </c>
      <c r="C30" t="s" s="9">
        <v>18</v>
      </c>
      <c r="D30" t="s" s="9">
        <v>18</v>
      </c>
      <c r="E30" t="s" s="9">
        <v>106</v>
      </c>
      <c r="F30" t="s" s="9">
        <v>107</v>
      </c>
      <c r="G30" t="s" s="9">
        <v>108</v>
      </c>
      <c r="H30" s="8" cm="1">
        <f t="array" ref="H30">MIN(SUMIF('외운 것'!A2:A271,A30,'외운 것'!D2:D271)+IF(R30=0,3,IF(R30=1,2,0)),3)</f>
        <v>3</v>
      </c>
      <c r="I30" s="8" cm="1">
        <f t="array" ref="I30">_xlfn.COUNTIFS('외운 것'!A2:A271,A30,'외운 것'!D2:D271,0)</f>
        <v>0</v>
      </c>
      <c r="J30" t="str" s="10" cm="1">
        <f t="array" ref="J30">IF(R30&lt;&gt;0,IF(H30&gt;=3,_xlfn.XLOOKUP(A30,'외운 것'!A2:A271,'외운 것'!C2:C271,0,1),0),"3차")</f>
        <v>3차</v>
      </c>
      <c r="K30" s="8" cm="1">
        <f t="array" ref="K30">IF(P30&lt;&gt;0,IF(N30&gt;=3,_xlfn.XLOOKUP(A30,'외운 것'!A2:A271,'외운 것'!C2:C271,0,1),0),"1차")</f>
        <v>0</v>
      </c>
      <c r="L30" t="str" s="11" cm="1">
        <f t="array" ref="L30">IF(Q30&lt;&gt;0,IF(N30&gt;=3,_xlfn.XLOOKUP(A30,'외운 것'!A2:A271,'외운 것'!C2:C271,0,1),0),"2차")</f>
        <v>2차</v>
      </c>
      <c r="M30" t="str" s="11" cm="1">
        <f t="array" ref="M30">IF(R30&lt;&gt;0,IF(O30&gt;=3,_xlfn.XLOOKUP(B30,'외운 것'!B2:B271,'외운 것'!D2:D271,0,1),0),"3차")</f>
        <v>3차</v>
      </c>
      <c r="N30" s="8">
        <v>2</v>
      </c>
      <c r="O30" s="8">
        <v>3</v>
      </c>
      <c r="P30" s="8">
        <v>1</v>
      </c>
      <c r="Q30" s="8">
        <v>0</v>
      </c>
      <c r="R30" s="8">
        <v>0</v>
      </c>
    </row>
    <row r="31" ht="16" customHeight="1">
      <c r="A31" s="8">
        <v>30</v>
      </c>
      <c r="B31" s="8">
        <v>30</v>
      </c>
      <c r="C31" t="s" s="9">
        <v>18</v>
      </c>
      <c r="D31" t="s" s="9">
        <v>18</v>
      </c>
      <c r="E31" t="s" s="9">
        <v>109</v>
      </c>
      <c r="F31" t="s" s="9">
        <v>110</v>
      </c>
      <c r="G31" t="s" s="9">
        <v>111</v>
      </c>
      <c r="H31" s="8" cm="1">
        <f t="array" ref="H31">MIN(SUMIF('외운 것'!A2:A271,A31,'외운 것'!D2:D271)+IF(R31=0,3,IF(R31=1,2,0)),3)</f>
        <v>3</v>
      </c>
      <c r="I31" s="8" cm="1">
        <f t="array" ref="I31">_xlfn.COUNTIFS('외운 것'!A2:A271,A31,'외운 것'!D2:D271,0)</f>
        <v>0</v>
      </c>
      <c r="J31" t="str" s="10" cm="1">
        <f t="array" ref="J31">IF(R31&lt;&gt;0,IF(H31&gt;=3,_xlfn.XLOOKUP(A31,'외운 것'!A2:A271,'외운 것'!C2:C271,0,1),0),"3차")</f>
        <v>3차</v>
      </c>
      <c r="K31" t="str" s="11" cm="1">
        <f t="array" ref="K31">IF(P31&lt;&gt;0,IF(N31&gt;=3,_xlfn.XLOOKUP(A31,'외운 것'!A2:A271,'외운 것'!C2:C271,0,1),0),"1차")</f>
        <v>1차</v>
      </c>
      <c r="L31" t="str" s="11" cm="1">
        <f t="array" ref="L31">IF(Q31&lt;&gt;0,IF(N31&gt;=3,_xlfn.XLOOKUP(A31,'외운 것'!A2:A271,'외운 것'!C2:C271,0,1),0),"2차")</f>
        <v>2차</v>
      </c>
      <c r="M31" t="str" s="11" cm="1">
        <f t="array" ref="M31">IF(R31&lt;&gt;0,IF(O31&gt;=3,_xlfn.XLOOKUP(B31,'외운 것'!B2:B271,'외운 것'!D2:D271,0,1),0),"3차")</f>
        <v>3차</v>
      </c>
      <c r="N31" s="8">
        <v>3</v>
      </c>
      <c r="O31" s="8">
        <v>3</v>
      </c>
      <c r="P31" s="8">
        <v>0</v>
      </c>
      <c r="Q31" s="8">
        <v>0</v>
      </c>
      <c r="R31" s="8">
        <v>0</v>
      </c>
    </row>
    <row r="32" ht="16" customHeight="1">
      <c r="A32" s="8">
        <v>31</v>
      </c>
      <c r="B32" s="8">
        <v>31</v>
      </c>
      <c r="C32" t="s" s="9">
        <v>18</v>
      </c>
      <c r="D32" t="s" s="9">
        <v>18</v>
      </c>
      <c r="E32" t="s" s="9">
        <v>112</v>
      </c>
      <c r="F32" t="s" s="9">
        <v>113</v>
      </c>
      <c r="G32" t="s" s="9">
        <v>114</v>
      </c>
      <c r="H32" s="8" cm="1">
        <f t="array" ref="H32">MIN(SUMIF('외운 것'!A2:A271,A32,'외운 것'!D2:D271)+IF(R32=0,3,IF(R32=1,2,0)),3)</f>
        <v>3</v>
      </c>
      <c r="I32" s="8" cm="1">
        <f t="array" ref="I32">_xlfn.COUNTIFS('외운 것'!A2:A271,A32,'외운 것'!D2:D271,0)</f>
        <v>0</v>
      </c>
      <c r="J32" t="str" s="10" cm="1">
        <f t="array" ref="J32">IF(R32&lt;&gt;0,IF(H32&gt;=3,_xlfn.XLOOKUP(A32,'외운 것'!A2:A271,'외운 것'!C2:C271,0,1),0),"3차")</f>
        <v>3차</v>
      </c>
      <c r="K32" t="str" s="11" cm="1">
        <f t="array" ref="K32">IF(P32&lt;&gt;0,IF(N32&gt;=3,_xlfn.XLOOKUP(A32,'외운 것'!A2:A271,'외운 것'!C2:C271,0,1),0),"1차")</f>
        <v>1차</v>
      </c>
      <c r="L32" t="str" s="11" cm="1">
        <f t="array" ref="L32">IF(Q32&lt;&gt;0,IF(N32&gt;=3,_xlfn.XLOOKUP(A32,'외운 것'!A2:A271,'외운 것'!C2:C271,0,1),0),"2차")</f>
        <v>2차</v>
      </c>
      <c r="M32" t="str" s="11" cm="1">
        <f t="array" ref="M32">IF(R32&lt;&gt;0,IF(O32&gt;=3,_xlfn.XLOOKUP(B32,'외운 것'!B2:B271,'외운 것'!D2:D271,0,1),0),"3차")</f>
        <v>3차</v>
      </c>
      <c r="N32" s="8">
        <v>3</v>
      </c>
      <c r="O32" s="8">
        <v>3</v>
      </c>
      <c r="P32" s="8">
        <v>0</v>
      </c>
      <c r="Q32" s="8">
        <v>0</v>
      </c>
      <c r="R32" s="8">
        <v>0</v>
      </c>
    </row>
    <row r="33" ht="16" customHeight="1">
      <c r="A33" s="8">
        <v>32</v>
      </c>
      <c r="B33" s="8">
        <v>32</v>
      </c>
      <c r="C33" t="s" s="9">
        <v>18</v>
      </c>
      <c r="D33" t="s" s="9">
        <v>18</v>
      </c>
      <c r="E33" t="s" s="9">
        <v>115</v>
      </c>
      <c r="F33" t="s" s="9">
        <v>116</v>
      </c>
      <c r="G33" t="s" s="9">
        <v>117</v>
      </c>
      <c r="H33" s="8" cm="1">
        <f t="array" ref="H33">MIN(SUMIF('외운 것'!A2:A271,A33,'외운 것'!D2:D271)+IF(R33=0,3,IF(R33=1,2,0)),3)</f>
        <v>3</v>
      </c>
      <c r="I33" s="8" cm="1">
        <f t="array" ref="I33">_xlfn.COUNTIFS('외운 것'!A2:A271,A33,'외운 것'!D2:D271,0)</f>
        <v>0</v>
      </c>
      <c r="J33" t="str" s="10" cm="1">
        <f t="array" ref="J33">IF(R33&lt;&gt;0,IF(H33&gt;=3,_xlfn.XLOOKUP(A33,'외운 것'!A2:A271,'외운 것'!C2:C271,0,1),0),"3차")</f>
        <v>3차</v>
      </c>
      <c r="K33" t="str" s="11" cm="1">
        <f t="array" ref="K33">IF(P33&lt;&gt;0,IF(N33&gt;=3,_xlfn.XLOOKUP(A33,'외운 것'!A2:A271,'외운 것'!C2:C271,0,1),0),"1차")</f>
        <v>1차</v>
      </c>
      <c r="L33" t="str" s="11" cm="1">
        <f t="array" ref="L33">IF(Q33&lt;&gt;0,IF(N33&gt;=3,_xlfn.XLOOKUP(A33,'외운 것'!A2:A271,'외운 것'!C2:C271,0,1),0),"2차")</f>
        <v>2차</v>
      </c>
      <c r="M33" t="str" s="11" cm="1">
        <f t="array" ref="M33">IF(R33&lt;&gt;0,IF(O33&gt;=3,_xlfn.XLOOKUP(B33,'외운 것'!B2:B271,'외운 것'!D2:D271,0,1),0),"3차")</f>
        <v>3차</v>
      </c>
      <c r="N33" s="8">
        <v>3</v>
      </c>
      <c r="O33" s="8">
        <v>3</v>
      </c>
      <c r="P33" s="8">
        <v>0</v>
      </c>
      <c r="Q33" s="8">
        <v>0</v>
      </c>
      <c r="R33" s="8">
        <v>0</v>
      </c>
    </row>
    <row r="34" ht="16" customHeight="1">
      <c r="A34" s="8">
        <v>33</v>
      </c>
      <c r="B34" s="8">
        <v>33</v>
      </c>
      <c r="C34" t="s" s="9">
        <v>18</v>
      </c>
      <c r="D34" t="s" s="9">
        <v>18</v>
      </c>
      <c r="E34" t="s" s="9">
        <v>118</v>
      </c>
      <c r="F34" t="s" s="9">
        <v>119</v>
      </c>
      <c r="G34" t="s" s="9">
        <v>120</v>
      </c>
      <c r="H34" s="8" cm="1">
        <f t="array" ref="H34">MIN(SUMIF('외운 것'!A2:A271,A34,'외운 것'!D2:D271)+IF(R34=0,3,IF(R34=1,2,0)),3)</f>
        <v>3</v>
      </c>
      <c r="I34" s="8" cm="1">
        <f t="array" ref="I34">_xlfn.COUNTIFS('외운 것'!A2:A271,A34,'외운 것'!D2:D271,0)</f>
        <v>0</v>
      </c>
      <c r="J34" t="str" s="10" cm="1">
        <f t="array" ref="J34">IF(R34&lt;&gt;0,IF(H34&gt;=3,_xlfn.XLOOKUP(A34,'외운 것'!A2:A271,'외운 것'!C2:C271,0,1),0),"3차")</f>
        <v>3차</v>
      </c>
      <c r="K34" t="str" s="11" cm="1">
        <f t="array" ref="K34">IF(P34&lt;&gt;0,IF(N34&gt;=3,_xlfn.XLOOKUP(A34,'외운 것'!A2:A271,'외운 것'!C2:C271,0,1),0),"1차")</f>
        <v>1차</v>
      </c>
      <c r="L34" t="str" s="11" cm="1">
        <f t="array" ref="L34">IF(Q34&lt;&gt;0,IF(N34&gt;=3,_xlfn.XLOOKUP(A34,'외운 것'!A2:A271,'외운 것'!C2:C271,0,1),0),"2차")</f>
        <v>2차</v>
      </c>
      <c r="M34" t="str" s="11" cm="1">
        <f t="array" ref="M34">IF(R34&lt;&gt;0,IF(O34&gt;=3,_xlfn.XLOOKUP(B34,'외운 것'!B2:B271,'외운 것'!D2:D271,0,1),0),"3차")</f>
        <v>3차</v>
      </c>
      <c r="N34" s="8">
        <v>3</v>
      </c>
      <c r="O34" s="8">
        <v>3</v>
      </c>
      <c r="P34" s="8">
        <v>0</v>
      </c>
      <c r="Q34" s="8">
        <v>0</v>
      </c>
      <c r="R34" s="8">
        <v>0</v>
      </c>
    </row>
    <row r="35" ht="16" customHeight="1">
      <c r="A35" s="8">
        <v>34</v>
      </c>
      <c r="B35" s="8">
        <v>34</v>
      </c>
      <c r="C35" t="s" s="9">
        <v>18</v>
      </c>
      <c r="D35" t="s" s="9">
        <v>18</v>
      </c>
      <c r="E35" t="s" s="9">
        <v>121</v>
      </c>
      <c r="F35" t="s" s="9">
        <v>122</v>
      </c>
      <c r="G35" t="s" s="9">
        <v>123</v>
      </c>
      <c r="H35" s="8" cm="1">
        <f t="array" ref="H35">MIN(SUMIF('외운 것'!A2:A271,A35,'외운 것'!D2:D271)+IF(R35=0,3,IF(R35=1,2,0)),3)</f>
        <v>3</v>
      </c>
      <c r="I35" s="8" cm="1">
        <f t="array" ref="I35">_xlfn.COUNTIFS('외운 것'!A2:A271,A35,'외운 것'!D2:D271,0)</f>
        <v>0</v>
      </c>
      <c r="J35" t="str" s="10" cm="1">
        <f t="array" ref="J35">IF(R35&lt;&gt;0,IF(H35&gt;=3,_xlfn.XLOOKUP(A35,'외운 것'!A2:A271,'외운 것'!C2:C271,0,1),0),"3차")</f>
        <v>3차</v>
      </c>
      <c r="K35" t="str" s="11" cm="1">
        <f t="array" ref="K35">IF(P35&lt;&gt;0,IF(N35&gt;=3,_xlfn.XLOOKUP(A35,'외운 것'!A2:A271,'외운 것'!C2:C271,0,1),0),"1차")</f>
        <v>1차</v>
      </c>
      <c r="L35" t="str" s="11" cm="1">
        <f t="array" ref="L35">IF(Q35&lt;&gt;0,IF(N35&gt;=3,_xlfn.XLOOKUP(A35,'외운 것'!A2:A271,'외운 것'!C2:C271,0,1),0),"2차")</f>
        <v>2차</v>
      </c>
      <c r="M35" t="str" s="11" cm="1">
        <f t="array" ref="M35">IF(R35&lt;&gt;0,IF(O35&gt;=3,_xlfn.XLOOKUP(B35,'외운 것'!B2:B271,'외운 것'!D2:D271,0,1),0),"3차")</f>
        <v>3차</v>
      </c>
      <c r="N35" s="8">
        <v>3</v>
      </c>
      <c r="O35" s="8">
        <v>3</v>
      </c>
      <c r="P35" s="8">
        <v>0</v>
      </c>
      <c r="Q35" s="8">
        <v>0</v>
      </c>
      <c r="R35" s="8">
        <v>0</v>
      </c>
    </row>
    <row r="36" ht="16" customHeight="1">
      <c r="A36" s="8">
        <v>35</v>
      </c>
      <c r="B36" s="8">
        <v>35</v>
      </c>
      <c r="C36" t="s" s="9">
        <v>18</v>
      </c>
      <c r="D36" t="s" s="9">
        <v>18</v>
      </c>
      <c r="E36" t="s" s="9">
        <v>124</v>
      </c>
      <c r="F36" t="s" s="9">
        <v>125</v>
      </c>
      <c r="G36" t="s" s="9">
        <v>126</v>
      </c>
      <c r="H36" s="8" cm="1">
        <f t="array" ref="H36">MIN(SUMIF('외운 것'!A2:A271,A36,'외운 것'!D2:D271)+IF(R36=0,3,IF(R36=1,2,0)),3)</f>
        <v>3</v>
      </c>
      <c r="I36" s="8" cm="1">
        <f t="array" ref="I36">_xlfn.COUNTIFS('외운 것'!A2:A271,A36,'외운 것'!D2:D271,0)</f>
        <v>0</v>
      </c>
      <c r="J36" t="str" s="10" cm="1">
        <f t="array" ref="J36">IF(R36&lt;&gt;0,IF(H36&gt;=3,_xlfn.XLOOKUP(A36,'외운 것'!A2:A271,'외운 것'!C2:C271,0,1),0),"3차")</f>
        <v>3차</v>
      </c>
      <c r="K36" t="str" s="11" cm="1">
        <f t="array" ref="K36">IF(P36&lt;&gt;0,IF(N36&gt;=3,_xlfn.XLOOKUP(A36,'외운 것'!A2:A271,'외운 것'!C2:C271,0,1),0),"1차")</f>
        <v>1차</v>
      </c>
      <c r="L36" t="str" s="11" cm="1">
        <f t="array" ref="L36">IF(Q36&lt;&gt;0,IF(N36&gt;=3,_xlfn.XLOOKUP(A36,'외운 것'!A2:A271,'외운 것'!C2:C271,0,1),0),"2차")</f>
        <v>2차</v>
      </c>
      <c r="M36" t="str" s="11" cm="1">
        <f t="array" ref="M36">IF(R36&lt;&gt;0,IF(O36&gt;=3,_xlfn.XLOOKUP(B36,'외운 것'!B2:B271,'외운 것'!D2:D271,0,1),0),"3차")</f>
        <v>3차</v>
      </c>
      <c r="N36" s="8">
        <v>3</v>
      </c>
      <c r="O36" s="8">
        <v>3</v>
      </c>
      <c r="P36" s="8">
        <v>0</v>
      </c>
      <c r="Q36" s="8">
        <v>0</v>
      </c>
      <c r="R36" s="8">
        <v>0</v>
      </c>
    </row>
    <row r="37" ht="16" customHeight="1">
      <c r="A37" s="8">
        <v>36</v>
      </c>
      <c r="B37" s="8">
        <v>1</v>
      </c>
      <c r="C37" t="s" s="9">
        <v>127</v>
      </c>
      <c r="D37" t="s" s="9">
        <v>127</v>
      </c>
      <c r="E37" t="s" s="9">
        <v>128</v>
      </c>
      <c r="F37" t="s" s="9">
        <v>129</v>
      </c>
      <c r="G37" t="s" s="9">
        <v>130</v>
      </c>
      <c r="H37" s="8" cm="1">
        <f t="array" ref="H37">MIN(SUMIF('외운 것'!A2:A271,A37,'외운 것'!D2:D271)+IF(R37=0,3,IF(R37=1,2,0)),3)</f>
        <v>3</v>
      </c>
      <c r="I37" s="8" cm="1">
        <f t="array" ref="I37">_xlfn.COUNTIFS('외운 것'!A2:A271,A37,'외운 것'!D2:D271,0)</f>
        <v>0</v>
      </c>
      <c r="J37" t="str" s="10" cm="1">
        <f t="array" ref="J37">IF(R37&lt;&gt;0,IF(H37&gt;=3,_xlfn.XLOOKUP(A37,'외운 것'!A2:A271,'외운 것'!C2:C271,0,1),0),"3차")</f>
        <v>3차</v>
      </c>
      <c r="K37" t="str" s="11" cm="1">
        <f t="array" ref="K37">IF(P37&lt;&gt;0,IF(N37&gt;=3,_xlfn.XLOOKUP(A37,'외운 것'!A2:A271,'외운 것'!C2:C271,0,1),0),"1차")</f>
        <v>1차</v>
      </c>
      <c r="L37" t="str" s="11" cm="1">
        <f t="array" ref="L37">IF(Q37&lt;&gt;0,IF(N37&gt;=3,_xlfn.XLOOKUP(A37,'외운 것'!A2:A271,'외운 것'!C2:C271,0,1),0),"2차")</f>
        <v>2차</v>
      </c>
      <c r="M37" t="str" s="11" cm="1">
        <f t="array" ref="M37">IF(R37&lt;&gt;0,IF(O37&gt;=3,_xlfn.XLOOKUP(B37,'외운 것'!B2:B271,'외운 것'!D2:D271,0,1),0),"3차")</f>
        <v>3차</v>
      </c>
      <c r="N37" s="8">
        <v>3</v>
      </c>
      <c r="O37" s="8">
        <v>3</v>
      </c>
      <c r="P37" s="8">
        <v>0</v>
      </c>
      <c r="Q37" s="8">
        <v>0</v>
      </c>
      <c r="R37" s="8">
        <v>0</v>
      </c>
    </row>
    <row r="38" ht="16" customHeight="1">
      <c r="A38" s="8">
        <v>37</v>
      </c>
      <c r="B38" s="8">
        <v>2</v>
      </c>
      <c r="C38" t="s" s="9">
        <v>127</v>
      </c>
      <c r="D38" t="s" s="9">
        <v>127</v>
      </c>
      <c r="E38" t="s" s="9">
        <v>131</v>
      </c>
      <c r="F38" t="s" s="9">
        <v>132</v>
      </c>
      <c r="G38" t="s" s="9">
        <v>133</v>
      </c>
      <c r="H38" s="8" cm="1">
        <f t="array" ref="H38">MIN(SUMIF('외운 것'!A2:A271,A38,'외운 것'!D2:D271)+IF(R38=0,3,IF(R38=1,2,0)),3)</f>
        <v>3</v>
      </c>
      <c r="I38" s="8" cm="1">
        <f t="array" ref="I38">_xlfn.COUNTIFS('외운 것'!A2:A271,A38,'외운 것'!D2:D271,0)</f>
        <v>0</v>
      </c>
      <c r="J38" t="str" s="10" cm="1">
        <f t="array" ref="J38">IF(R38&lt;&gt;0,IF(H38&gt;=3,_xlfn.XLOOKUP(A38,'외운 것'!A2:A271,'외운 것'!C2:C271,0,1),0),"3차")</f>
        <v>3차</v>
      </c>
      <c r="K38" s="8" cm="1">
        <f t="array" ref="K38">IF(P38&lt;&gt;0,IF(N38&gt;=3,_xlfn.XLOOKUP(A38,'외운 것'!A2:A271,'외운 것'!C2:C271,0,1),0),"1차")</f>
        <v>0</v>
      </c>
      <c r="L38" t="str" s="11" cm="1">
        <f t="array" ref="L38">IF(Q38&lt;&gt;0,IF(N38&gt;=3,_xlfn.XLOOKUP(A38,'외운 것'!A2:A271,'외운 것'!C2:C271,0,1),0),"2차")</f>
        <v>2차</v>
      </c>
      <c r="M38" t="str" s="11" cm="1">
        <f t="array" ref="M38">IF(R38&lt;&gt;0,IF(O38&gt;=3,_xlfn.XLOOKUP(B38,'외운 것'!B2:B271,'외운 것'!D2:D271,0,1),0),"3차")</f>
        <v>3차</v>
      </c>
      <c r="N38" s="8">
        <v>2</v>
      </c>
      <c r="O38" s="8">
        <v>3</v>
      </c>
      <c r="P38" s="8">
        <v>1</v>
      </c>
      <c r="Q38" s="8">
        <v>0</v>
      </c>
      <c r="R38" s="8">
        <v>0</v>
      </c>
    </row>
    <row r="39" ht="16" customHeight="1">
      <c r="A39" s="8">
        <v>38</v>
      </c>
      <c r="B39" s="8">
        <v>3</v>
      </c>
      <c r="C39" t="s" s="9">
        <v>127</v>
      </c>
      <c r="D39" t="s" s="9">
        <v>127</v>
      </c>
      <c r="E39" t="s" s="9">
        <v>134</v>
      </c>
      <c r="F39" t="s" s="9">
        <v>135</v>
      </c>
      <c r="G39" t="s" s="9">
        <v>136</v>
      </c>
      <c r="H39" s="8" cm="1">
        <f t="array" ref="H39">MIN(SUMIF('외운 것'!A2:A271,A39,'외운 것'!D2:D271)+IF(R39=0,3,IF(R39=1,2,0)),3)</f>
        <v>3</v>
      </c>
      <c r="I39" s="8" cm="1">
        <f t="array" ref="I39">_xlfn.COUNTIFS('외운 것'!A2:A271,A39,'외운 것'!D2:D271,0)</f>
        <v>0</v>
      </c>
      <c r="J39" t="str" s="10" cm="1">
        <f t="array" ref="J39">IF(R39&lt;&gt;0,IF(H39&gt;=3,_xlfn.XLOOKUP(A39,'외운 것'!A2:A271,'외운 것'!C2:C271,0,1),0),"3차")</f>
        <v>3차</v>
      </c>
      <c r="K39" s="8" cm="1">
        <f t="array" ref="K39">IF(P39&lt;&gt;0,IF(N39&gt;=3,_xlfn.XLOOKUP(A39,'외운 것'!A2:A271,'외운 것'!C2:C271,0,1),0),"1차")</f>
        <v>0</v>
      </c>
      <c r="L39" s="8" cm="1">
        <f t="array" ref="L39">IF(Q39&lt;&gt;0,IF(N39&gt;=3,_xlfn.XLOOKUP(A39,'외운 것'!A2:A271,'외운 것'!C2:C271,0,1),0),"2차")</f>
        <v>0</v>
      </c>
      <c r="M39" t="str" s="11" cm="1">
        <f t="array" ref="M39">IF(R39&lt;&gt;0,IF(O39&gt;=3,_xlfn.XLOOKUP(B39,'외운 것'!B2:B271,'외운 것'!D2:D271,0,1),0),"3차")</f>
        <v>3차</v>
      </c>
      <c r="N39" s="8">
        <v>0</v>
      </c>
      <c r="O39" s="8">
        <v>3</v>
      </c>
      <c r="P39" s="8">
        <v>2</v>
      </c>
      <c r="Q39" s="8">
        <v>1</v>
      </c>
      <c r="R39" s="8">
        <v>0</v>
      </c>
    </row>
    <row r="40" ht="16" customHeight="1">
      <c r="A40" s="8">
        <v>39</v>
      </c>
      <c r="B40" s="8">
        <v>4</v>
      </c>
      <c r="C40" t="s" s="9">
        <v>127</v>
      </c>
      <c r="D40" t="s" s="9">
        <v>127</v>
      </c>
      <c r="E40" t="s" s="9">
        <v>137</v>
      </c>
      <c r="F40" t="s" s="9">
        <v>138</v>
      </c>
      <c r="G40" t="s" s="9">
        <v>139</v>
      </c>
      <c r="H40" s="8" cm="1">
        <f t="array" ref="H40">MIN(SUMIF('외운 것'!A2:A271,A40,'외운 것'!D2:D271)+IF(R40=0,3,IF(R40=1,2,0)),3)</f>
        <v>3</v>
      </c>
      <c r="I40" s="8" cm="1">
        <f t="array" ref="I40">_xlfn.COUNTIFS('외운 것'!A2:A271,A40,'외운 것'!D2:D271,0)</f>
        <v>0</v>
      </c>
      <c r="J40" t="str" s="10" cm="1">
        <f t="array" ref="J40">IF(R40&lt;&gt;0,IF(H40&gt;=3,_xlfn.XLOOKUP(A40,'외운 것'!A2:A271,'외운 것'!C2:C271,0,1),0),"3차")</f>
        <v>3차</v>
      </c>
      <c r="K40" s="8" cm="1">
        <f t="array" ref="K40">IF(P40&lt;&gt;0,IF(N40&gt;=3,_xlfn.XLOOKUP(A40,'외운 것'!A2:A271,'외운 것'!C2:C271,0,1),0),"1차")</f>
        <v>0</v>
      </c>
      <c r="L40" s="8" cm="1">
        <f t="array" ref="L40">IF(Q40&lt;&gt;0,IF(N40&gt;=3,_xlfn.XLOOKUP(A40,'외운 것'!A2:A271,'외운 것'!C2:C271,0,1),0),"2차")</f>
        <v>0</v>
      </c>
      <c r="M40" t="str" s="11" cm="1">
        <f t="array" ref="M40">IF(R40&lt;&gt;0,IF(O40&gt;=3,_xlfn.XLOOKUP(B40,'외운 것'!B2:B271,'외운 것'!D2:D271,0,1),0),"3차")</f>
        <v>3차</v>
      </c>
      <c r="N40" s="8">
        <v>0</v>
      </c>
      <c r="O40" s="8">
        <v>3</v>
      </c>
      <c r="P40" s="8">
        <v>2</v>
      </c>
      <c r="Q40" s="8">
        <v>1</v>
      </c>
      <c r="R40" s="8">
        <v>0</v>
      </c>
    </row>
    <row r="41" ht="16" customHeight="1">
      <c r="A41" s="8">
        <v>40</v>
      </c>
      <c r="B41" s="8">
        <v>5</v>
      </c>
      <c r="C41" t="s" s="9">
        <v>127</v>
      </c>
      <c r="D41" t="s" s="9">
        <v>127</v>
      </c>
      <c r="E41" t="s" s="9">
        <v>140</v>
      </c>
      <c r="F41" t="s" s="9">
        <v>141</v>
      </c>
      <c r="G41" t="s" s="9">
        <v>142</v>
      </c>
      <c r="H41" s="8" cm="1">
        <f t="array" ref="H41">MIN(SUMIF('외운 것'!A2:A271,A41,'외운 것'!D2:D271)+IF(R41=0,3,IF(R41=1,2,0)),3)</f>
        <v>3</v>
      </c>
      <c r="I41" s="8" cm="1">
        <f t="array" ref="I41">_xlfn.COUNTIFS('외운 것'!A2:A271,A41,'외운 것'!D2:D271,0)</f>
        <v>0</v>
      </c>
      <c r="J41" t="str" s="10" cm="1">
        <f t="array" ref="J41">IF(R41&lt;&gt;0,IF(H41&gt;=3,_xlfn.XLOOKUP(A41,'외운 것'!A2:A271,'외운 것'!C2:C271,0,1),0),"3차")</f>
        <v>3차</v>
      </c>
      <c r="K41" s="8" cm="1">
        <f t="array" ref="K41">IF(P41&lt;&gt;0,IF(N41&gt;=3,_xlfn.XLOOKUP(A41,'외운 것'!A2:A271,'외운 것'!C2:C271,0,1),0),"1차")</f>
        <v>0</v>
      </c>
      <c r="L41" t="str" s="11" cm="1">
        <f t="array" ref="L41">IF(Q41&lt;&gt;0,IF(N41&gt;=3,_xlfn.XLOOKUP(A41,'외운 것'!A2:A271,'외운 것'!C2:C271,0,1),0),"2차")</f>
        <v>2차</v>
      </c>
      <c r="M41" t="str" s="11" cm="1">
        <f t="array" ref="M41">IF(R41&lt;&gt;0,IF(O41&gt;=3,_xlfn.XLOOKUP(B41,'외운 것'!B2:B271,'외운 것'!D2:D271,0,1),0),"3차")</f>
        <v>3차</v>
      </c>
      <c r="N41" s="8">
        <v>2</v>
      </c>
      <c r="O41" s="8">
        <v>3</v>
      </c>
      <c r="P41" s="8">
        <v>1</v>
      </c>
      <c r="Q41" s="8">
        <v>0</v>
      </c>
      <c r="R41" s="8">
        <v>0</v>
      </c>
    </row>
    <row r="42" ht="16" customHeight="1">
      <c r="A42" s="8">
        <v>41</v>
      </c>
      <c r="B42" s="8">
        <v>6</v>
      </c>
      <c r="C42" t="s" s="9">
        <v>127</v>
      </c>
      <c r="D42" t="s" s="9">
        <v>127</v>
      </c>
      <c r="E42" t="s" s="9">
        <v>143</v>
      </c>
      <c r="F42" t="s" s="9">
        <v>144</v>
      </c>
      <c r="G42" t="s" s="9">
        <v>145</v>
      </c>
      <c r="H42" s="8" cm="1">
        <f t="array" ref="H42">MIN(SUMIF('외운 것'!A2:A271,A42,'외운 것'!D2:D271)+IF(R42=0,3,IF(R42=1,2,0)),3)</f>
        <v>3</v>
      </c>
      <c r="I42" s="8" cm="1">
        <f t="array" ref="I42">_xlfn.COUNTIFS('외운 것'!A2:A271,A42,'외운 것'!D2:D271,0)</f>
        <v>0</v>
      </c>
      <c r="J42" t="str" s="10" cm="1">
        <f t="array" ref="J42">IF(R42&lt;&gt;0,IF(H42&gt;=3,_xlfn.XLOOKUP(A42,'외운 것'!A2:A271,'외운 것'!C2:C271,0,1),0),"3차")</f>
        <v>2026-04-28</v>
      </c>
      <c r="K42" s="8" cm="1">
        <f t="array" ref="K42">IF(P42&lt;&gt;0,IF(N42&gt;=3,_xlfn.XLOOKUP(A42,'외운 것'!A2:A271,'외운 것'!C2:C271,0,1),0),"1차")</f>
        <v>0</v>
      </c>
      <c r="L42" s="8" cm="1">
        <f t="array" ref="L42">IF(Q42&lt;&gt;0,IF(N42&gt;=3,_xlfn.XLOOKUP(A42,'외운 것'!A2:A271,'외운 것'!C2:C271,0,1),0),"2차")</f>
        <v>0</v>
      </c>
      <c r="M42" s="8" cm="1">
        <f t="array" ref="M42">IF(R42&lt;&gt;0,IF(O42&gt;=3,_xlfn.XLOOKUP(B42,'외운 것'!B2:B271,'외운 것'!D2:D271,0,1),0),"3차")</f>
        <v>0</v>
      </c>
      <c r="N42" s="8">
        <v>0</v>
      </c>
      <c r="O42" s="8">
        <v>3</v>
      </c>
      <c r="P42" s="8">
        <v>2</v>
      </c>
      <c r="Q42" s="8">
        <v>3</v>
      </c>
      <c r="R42" s="8">
        <v>1</v>
      </c>
    </row>
    <row r="43" ht="16" customHeight="1">
      <c r="A43" s="8">
        <v>42</v>
      </c>
      <c r="B43" s="8">
        <v>7</v>
      </c>
      <c r="C43" t="s" s="9">
        <v>127</v>
      </c>
      <c r="D43" t="s" s="9">
        <v>127</v>
      </c>
      <c r="E43" t="s" s="9">
        <v>147</v>
      </c>
      <c r="F43" t="s" s="9">
        <v>148</v>
      </c>
      <c r="G43" t="s" s="9">
        <v>149</v>
      </c>
      <c r="H43" s="8" cm="1">
        <f t="array" ref="H43">MIN(SUMIF('외운 것'!A2:A271,A43,'외운 것'!D2:D271)+IF(R43=0,3,IF(R43=1,2,0)),3)</f>
        <v>3</v>
      </c>
      <c r="I43" s="8" cm="1">
        <f t="array" ref="I43">_xlfn.COUNTIFS('외운 것'!A2:A271,A43,'외운 것'!D2:D271,0)</f>
        <v>1</v>
      </c>
      <c r="J43" t="str" s="10" cm="1">
        <f t="array" ref="J43">IF(R43&lt;&gt;0,IF(H43&gt;=3,_xlfn.XLOOKUP(A43,'외운 것'!A2:A271,'외운 것'!C2:C271,0,1),0),"3차")</f>
        <v>2026-04-28</v>
      </c>
      <c r="K43" s="8" cm="1">
        <f t="array" ref="K43">IF(P43&lt;&gt;0,IF(N43&gt;=3,_xlfn.XLOOKUP(A43,'외운 것'!A2:A271,'외운 것'!C2:C271,0,1),0),"1차")</f>
        <v>0</v>
      </c>
      <c r="L43" s="8" cm="1">
        <f t="array" ref="L43">IF(Q43&lt;&gt;0,IF(N43&gt;=3,_xlfn.XLOOKUP(A43,'외운 것'!A2:A271,'외운 것'!C2:C271,0,1),0),"2차")</f>
        <v>0</v>
      </c>
      <c r="M43" s="8" cm="1">
        <f t="array" ref="M43">IF(R43&lt;&gt;0,IF(O43&gt;=3,_xlfn.XLOOKUP(B43,'외운 것'!B2:B271,'외운 것'!D2:D271,0,1),0),"3차")</f>
        <v>0</v>
      </c>
      <c r="N43" s="8">
        <v>0</v>
      </c>
      <c r="O43" s="8">
        <v>3</v>
      </c>
      <c r="P43" s="8">
        <v>4</v>
      </c>
      <c r="Q43" s="8">
        <v>4</v>
      </c>
      <c r="R43" s="8">
        <v>1</v>
      </c>
    </row>
    <row r="44" ht="16" customHeight="1">
      <c r="A44" s="8">
        <v>43</v>
      </c>
      <c r="B44" s="8">
        <v>8</v>
      </c>
      <c r="C44" t="s" s="9">
        <v>127</v>
      </c>
      <c r="D44" t="s" s="9">
        <v>127</v>
      </c>
      <c r="E44" t="s" s="9">
        <v>150</v>
      </c>
      <c r="F44" t="s" s="9">
        <v>151</v>
      </c>
      <c r="G44" t="s" s="9">
        <v>152</v>
      </c>
      <c r="H44" s="8" cm="1">
        <f t="array" ref="H44">MIN(SUMIF('외운 것'!A2:A271,A44,'외운 것'!D2:D271)+IF(R44=0,3,IF(R44=1,2,0)),3)</f>
        <v>3</v>
      </c>
      <c r="I44" s="8" cm="1">
        <f t="array" ref="I44">_xlfn.COUNTIFS('외운 것'!A2:A271,A44,'외운 것'!D2:D271,0)</f>
        <v>1</v>
      </c>
      <c r="J44" t="str" s="10" cm="1">
        <f t="array" ref="J44">IF(R44&lt;&gt;0,IF(H44&gt;=3,_xlfn.XLOOKUP(A44,'외운 것'!A2:A271,'외운 것'!C2:C271,0,1),0),"3차")</f>
        <v>2026-04-28</v>
      </c>
      <c r="K44" s="8" cm="1">
        <f t="array" ref="K44">IF(P44&lt;&gt;0,IF(N44&gt;=3,_xlfn.XLOOKUP(A44,'외운 것'!A2:A271,'외운 것'!C2:C271,0,1),0),"1차")</f>
        <v>0</v>
      </c>
      <c r="L44" s="8" cm="1">
        <f t="array" ref="L44">IF(Q44&lt;&gt;0,IF(N44&gt;=3,_xlfn.XLOOKUP(A44,'외운 것'!A2:A271,'외운 것'!C2:C271,0,1),0),"2차")</f>
        <v>0</v>
      </c>
      <c r="M44" s="8" cm="1">
        <f t="array" ref="M44">IF(R44&lt;&gt;0,IF(O44&gt;=3,_xlfn.XLOOKUP(B44,'외운 것'!B2:B271,'외운 것'!D2:D271,0,1),0),"3차")</f>
        <v>0</v>
      </c>
      <c r="N44" s="8">
        <v>2</v>
      </c>
      <c r="O44" s="8">
        <v>3</v>
      </c>
      <c r="P44" s="8">
        <v>1</v>
      </c>
      <c r="Q44" s="8">
        <v>1</v>
      </c>
      <c r="R44" s="8">
        <v>1</v>
      </c>
    </row>
    <row r="45" ht="16" customHeight="1">
      <c r="A45" s="8">
        <v>44</v>
      </c>
      <c r="B45" s="8">
        <v>9</v>
      </c>
      <c r="C45" t="s" s="9">
        <v>127</v>
      </c>
      <c r="D45" t="s" s="9">
        <v>127</v>
      </c>
      <c r="E45" t="s" s="9">
        <v>153</v>
      </c>
      <c r="F45" t="s" s="9">
        <v>154</v>
      </c>
      <c r="G45" t="s" s="9">
        <v>155</v>
      </c>
      <c r="H45" s="8" cm="1">
        <f t="array" ref="H45">MIN(SUMIF('외운 것'!A2:A271,A45,'외운 것'!D2:D271)+IF(R45=0,3,IF(R45=1,2,0)),3)</f>
        <v>3</v>
      </c>
      <c r="I45" s="8" cm="1">
        <f t="array" ref="I45">_xlfn.COUNTIFS('외운 것'!A2:A271,A45,'외운 것'!D2:D271,0)</f>
        <v>2</v>
      </c>
      <c r="J45" t="str" s="10" cm="1">
        <f t="array" ref="J45">IF(R45&lt;&gt;0,IF(H45&gt;=3,_xlfn.XLOOKUP(A45,'외운 것'!A2:A271,'외운 것'!C2:C271,0,1),0),"3차")</f>
        <v>2026-04-29</v>
      </c>
      <c r="K45" s="8" cm="1">
        <f t="array" ref="K45">IF(P45&lt;&gt;0,IF(N45&gt;=3,_xlfn.XLOOKUP(A45,'외운 것'!A2:A271,'외운 것'!C2:C271,0,1),0),"1차")</f>
        <v>0</v>
      </c>
      <c r="L45" s="8" cm="1">
        <f t="array" ref="L45">IF(Q45&lt;&gt;0,IF(N45&gt;=3,_xlfn.XLOOKUP(A45,'외운 것'!A2:A271,'외운 것'!C2:C271,0,1),0),"2차")</f>
        <v>0</v>
      </c>
      <c r="M45" s="8" cm="1">
        <f t="array" ref="M45">IF(R45&lt;&gt;0,IF(O45&gt;=3,_xlfn.XLOOKUP(B45,'외운 것'!B2:B271,'외운 것'!D2:D271,0,1),0),"3차")</f>
        <v>0</v>
      </c>
      <c r="N45" s="8">
        <v>0</v>
      </c>
      <c r="O45" s="8">
        <v>3</v>
      </c>
      <c r="P45" s="8">
        <v>9</v>
      </c>
      <c r="Q45" s="8">
        <v>6</v>
      </c>
      <c r="R45" s="8">
        <v>2</v>
      </c>
    </row>
    <row r="46" ht="16" customHeight="1">
      <c r="A46" s="8">
        <v>45</v>
      </c>
      <c r="B46" s="8">
        <v>10</v>
      </c>
      <c r="C46" t="s" s="9">
        <v>127</v>
      </c>
      <c r="D46" t="s" s="9">
        <v>127</v>
      </c>
      <c r="E46" t="s" s="9">
        <v>157</v>
      </c>
      <c r="F46" t="s" s="9">
        <v>158</v>
      </c>
      <c r="G46" t="s" s="9">
        <v>159</v>
      </c>
      <c r="H46" s="8" cm="1">
        <f t="array" ref="H46">MIN(SUMIF('외운 것'!A2:A271,A46,'외운 것'!D2:D271)+IF(R46=0,3,IF(R46=1,2,0)),3)</f>
        <v>3</v>
      </c>
      <c r="I46" s="8" cm="1">
        <f t="array" ref="I46">_xlfn.COUNTIFS('외운 것'!A2:A271,A46,'외운 것'!D2:D271,0)</f>
        <v>1</v>
      </c>
      <c r="J46" t="str" s="10" cm="1">
        <f t="array" ref="J46">IF(R46&lt;&gt;0,IF(H46&gt;=3,_xlfn.XLOOKUP(A46,'외운 것'!A2:A271,'외운 것'!C2:C271,0,1),0),"3차")</f>
        <v>2026-04-28</v>
      </c>
      <c r="K46" s="8" cm="1">
        <f t="array" ref="K46">IF(P46&lt;&gt;0,IF(N46&gt;=3,_xlfn.XLOOKUP(A46,'외운 것'!A2:A271,'외운 것'!C2:C271,0,1),0),"1차")</f>
        <v>0</v>
      </c>
      <c r="L46" s="8" cm="1">
        <f t="array" ref="L46">IF(Q46&lt;&gt;0,IF(N46&gt;=3,_xlfn.XLOOKUP(A46,'외운 것'!A2:A271,'외운 것'!C2:C271,0,1),0),"2차")</f>
        <v>0</v>
      </c>
      <c r="M46" s="8" cm="1">
        <f t="array" ref="M46">IF(R46&lt;&gt;0,IF(O46&gt;=3,_xlfn.XLOOKUP(B46,'외운 것'!B2:B271,'외운 것'!D2:D271,0,1),0),"3차")</f>
        <v>0</v>
      </c>
      <c r="N46" s="8">
        <v>0</v>
      </c>
      <c r="O46" s="8">
        <v>3</v>
      </c>
      <c r="P46" s="8">
        <v>3</v>
      </c>
      <c r="Q46" s="8">
        <v>3</v>
      </c>
      <c r="R46" s="8">
        <v>1</v>
      </c>
    </row>
    <row r="47" ht="16" customHeight="1">
      <c r="A47" s="8">
        <v>46</v>
      </c>
      <c r="B47" s="8">
        <v>11</v>
      </c>
      <c r="C47" t="s" s="9">
        <v>127</v>
      </c>
      <c r="D47" t="s" s="9">
        <v>127</v>
      </c>
      <c r="E47" t="s" s="9">
        <v>160</v>
      </c>
      <c r="F47" t="s" s="9">
        <v>161</v>
      </c>
      <c r="G47" t="s" s="9">
        <v>162</v>
      </c>
      <c r="H47" s="8" cm="1">
        <f t="array" ref="H47">MIN(SUMIF('외운 것'!A2:A271,A47,'외운 것'!D2:D271)+IF(R47=0,3,IF(R47=1,2,0)),3)</f>
        <v>3</v>
      </c>
      <c r="I47" s="8" cm="1">
        <f t="array" ref="I47">_xlfn.COUNTIFS('외운 것'!A2:A271,A47,'외운 것'!D2:D271,0)</f>
        <v>0</v>
      </c>
      <c r="J47" t="str" s="10" cm="1">
        <f t="array" ref="J47">IF(R47&lt;&gt;0,IF(H47&gt;=3,_xlfn.XLOOKUP(A47,'외운 것'!A2:A271,'외운 것'!C2:C271,0,1),0),"3차")</f>
        <v>3차</v>
      </c>
      <c r="K47" s="8" cm="1">
        <f t="array" ref="K47">IF(P47&lt;&gt;0,IF(N47&gt;=3,_xlfn.XLOOKUP(A47,'외운 것'!A2:A271,'외운 것'!C2:C271,0,1),0),"1차")</f>
        <v>0</v>
      </c>
      <c r="L47" t="str" s="11" cm="1">
        <f t="array" ref="L47">IF(Q47&lt;&gt;0,IF(N47&gt;=3,_xlfn.XLOOKUP(A47,'외운 것'!A2:A271,'외운 것'!C2:C271,0,1),0),"2차")</f>
        <v>2차</v>
      </c>
      <c r="M47" t="str" s="11" cm="1">
        <f t="array" ref="M47">IF(R47&lt;&gt;0,IF(O47&gt;=3,_xlfn.XLOOKUP(B47,'외운 것'!B2:B271,'외운 것'!D2:D271,0,1),0),"3차")</f>
        <v>3차</v>
      </c>
      <c r="N47" s="8">
        <v>2</v>
      </c>
      <c r="O47" s="8">
        <v>3</v>
      </c>
      <c r="P47" s="8">
        <v>1</v>
      </c>
      <c r="Q47" s="8">
        <v>0</v>
      </c>
      <c r="R47" s="8">
        <v>0</v>
      </c>
    </row>
    <row r="48" ht="16" customHeight="1">
      <c r="A48" s="8">
        <v>47</v>
      </c>
      <c r="B48" s="8">
        <v>12</v>
      </c>
      <c r="C48" t="s" s="9">
        <v>127</v>
      </c>
      <c r="D48" t="s" s="9">
        <v>127</v>
      </c>
      <c r="E48" t="s" s="9">
        <v>163</v>
      </c>
      <c r="F48" t="s" s="9">
        <v>164</v>
      </c>
      <c r="G48" t="s" s="9">
        <v>165</v>
      </c>
      <c r="H48" s="8" cm="1">
        <f t="array" ref="H48">MIN(SUMIF('외운 것'!A2:A271,A48,'외운 것'!D2:D271)+IF(R48=0,3,IF(R48=1,2,0)),3)</f>
        <v>3</v>
      </c>
      <c r="I48" s="8" cm="1">
        <f t="array" ref="I48">_xlfn.COUNTIFS('외운 것'!A2:A271,A48,'외운 것'!D2:D271,0)</f>
        <v>0</v>
      </c>
      <c r="J48" t="str" s="10" cm="1">
        <f t="array" ref="J48">IF(R48&lt;&gt;0,IF(H48&gt;=3,_xlfn.XLOOKUP(A48,'외운 것'!A2:A271,'외운 것'!C2:C271,0,1),0),"3차")</f>
        <v>3차</v>
      </c>
      <c r="K48" s="8" cm="1">
        <f t="array" ref="K48">IF(P48&lt;&gt;0,IF(N48&gt;=3,_xlfn.XLOOKUP(A48,'외운 것'!A2:A271,'외운 것'!C2:C271,0,1),0),"1차")</f>
        <v>0</v>
      </c>
      <c r="L48" t="str" s="11" cm="1">
        <f t="array" ref="L48">IF(Q48&lt;&gt;0,IF(N48&gt;=3,_xlfn.XLOOKUP(A48,'외운 것'!A2:A271,'외운 것'!C2:C271,0,1),0),"2차")</f>
        <v>2차</v>
      </c>
      <c r="M48" t="str" s="11" cm="1">
        <f t="array" ref="M48">IF(R48&lt;&gt;0,IF(O48&gt;=3,_xlfn.XLOOKUP(B48,'외운 것'!B2:B271,'외운 것'!D2:D271,0,1),0),"3차")</f>
        <v>3차</v>
      </c>
      <c r="N48" s="8">
        <v>2</v>
      </c>
      <c r="O48" s="8">
        <v>3</v>
      </c>
      <c r="P48" s="8">
        <v>1</v>
      </c>
      <c r="Q48" s="8">
        <v>0</v>
      </c>
      <c r="R48" s="8">
        <v>0</v>
      </c>
    </row>
    <row r="49" ht="16" customHeight="1">
      <c r="A49" s="8">
        <v>48</v>
      </c>
      <c r="B49" s="8">
        <v>13</v>
      </c>
      <c r="C49" t="s" s="9">
        <v>127</v>
      </c>
      <c r="D49" t="s" s="9">
        <v>127</v>
      </c>
      <c r="E49" t="s" s="9">
        <v>166</v>
      </c>
      <c r="F49" t="s" s="9">
        <v>167</v>
      </c>
      <c r="G49" t="s" s="9">
        <v>168</v>
      </c>
      <c r="H49" s="8" cm="1">
        <f t="array" ref="H49">MIN(SUMIF('외운 것'!A2:A271,A49,'외운 것'!D2:D271)+IF(R49=0,3,IF(R49=1,2,0)),3)</f>
        <v>3</v>
      </c>
      <c r="I49" s="8" cm="1">
        <f t="array" ref="I49">_xlfn.COUNTIFS('외운 것'!A2:A271,A49,'외운 것'!D2:D271,0)</f>
        <v>0</v>
      </c>
      <c r="J49" t="str" s="10" cm="1">
        <f t="array" ref="J49">IF(R49&lt;&gt;0,IF(H49&gt;=3,_xlfn.XLOOKUP(A49,'외운 것'!A2:A271,'외운 것'!C2:C271,0,1),0),"3차")</f>
        <v>3차</v>
      </c>
      <c r="K49" s="8" cm="1">
        <f t="array" ref="K49">IF(P49&lt;&gt;0,IF(N49&gt;=3,_xlfn.XLOOKUP(A49,'외운 것'!A2:A271,'외운 것'!C2:C271,0,1),0),"1차")</f>
        <v>0</v>
      </c>
      <c r="L49" t="str" s="11" cm="1">
        <f t="array" ref="L49">IF(Q49&lt;&gt;0,IF(N49&gt;=3,_xlfn.XLOOKUP(A49,'외운 것'!A2:A271,'외운 것'!C2:C271,0,1),0),"2차")</f>
        <v>2차</v>
      </c>
      <c r="M49" t="str" s="11" cm="1">
        <f t="array" ref="M49">IF(R49&lt;&gt;0,IF(O49&gt;=3,_xlfn.XLOOKUP(B49,'외운 것'!B2:B271,'외운 것'!D2:D271,0,1),0),"3차")</f>
        <v>3차</v>
      </c>
      <c r="N49" s="8">
        <v>2</v>
      </c>
      <c r="O49" s="8">
        <v>3</v>
      </c>
      <c r="P49" s="8">
        <v>1</v>
      </c>
      <c r="Q49" s="8">
        <v>0</v>
      </c>
      <c r="R49" s="8">
        <v>0</v>
      </c>
    </row>
    <row r="50" ht="16" customHeight="1">
      <c r="A50" s="8">
        <v>49</v>
      </c>
      <c r="B50" s="8">
        <v>14</v>
      </c>
      <c r="C50" t="s" s="9">
        <v>127</v>
      </c>
      <c r="D50" t="s" s="9">
        <v>127</v>
      </c>
      <c r="E50" t="s" s="9">
        <v>169</v>
      </c>
      <c r="F50" t="s" s="9">
        <v>170</v>
      </c>
      <c r="G50" t="s" s="9">
        <v>171</v>
      </c>
      <c r="H50" s="8" cm="1">
        <f t="array" ref="H50">MIN(SUMIF('외운 것'!A2:A271,A50,'외운 것'!D2:D271)+IF(R50=0,3,IF(R50=1,2,0)),3)</f>
        <v>3</v>
      </c>
      <c r="I50" s="8" cm="1">
        <f t="array" ref="I50">_xlfn.COUNTIFS('외운 것'!A2:A271,A50,'외운 것'!D2:D271,0)</f>
        <v>1</v>
      </c>
      <c r="J50" t="str" s="10" cm="1">
        <f t="array" ref="J50">IF(R50&lt;&gt;0,IF(H50&gt;=3,_xlfn.XLOOKUP(A50,'외운 것'!A2:A271,'외운 것'!C2:C271,0,1),0),"3차")</f>
        <v>2026-04-28</v>
      </c>
      <c r="K50" s="8" cm="1">
        <f t="array" ref="K50">IF(P50&lt;&gt;0,IF(N50&gt;=3,_xlfn.XLOOKUP(A50,'외운 것'!A2:A271,'외운 것'!C2:C271,0,1),0),"1차")</f>
        <v>0</v>
      </c>
      <c r="L50" s="8" cm="1">
        <f t="array" ref="L50">IF(Q50&lt;&gt;0,IF(N50&gt;=3,_xlfn.XLOOKUP(A50,'외운 것'!A2:A271,'외운 것'!C2:C271,0,1),0),"2차")</f>
        <v>0</v>
      </c>
      <c r="M50" s="8" cm="1">
        <f t="array" ref="M50">IF(R50&lt;&gt;0,IF(O50&gt;=3,_xlfn.XLOOKUP(B50,'외운 것'!B2:B271,'외운 것'!D2:D271,0,1),0),"3차")</f>
        <v>0</v>
      </c>
      <c r="N50" s="8">
        <v>0</v>
      </c>
      <c r="O50" s="8">
        <v>3</v>
      </c>
      <c r="P50" s="8">
        <v>2</v>
      </c>
      <c r="Q50" s="8">
        <v>1</v>
      </c>
      <c r="R50" s="8">
        <v>1</v>
      </c>
    </row>
    <row r="51" ht="16" customHeight="1">
      <c r="A51" s="8">
        <v>50</v>
      </c>
      <c r="B51" s="8">
        <v>15</v>
      </c>
      <c r="C51" t="s" s="9">
        <v>127</v>
      </c>
      <c r="D51" t="s" s="9">
        <v>127</v>
      </c>
      <c r="E51" t="s" s="9">
        <v>172</v>
      </c>
      <c r="F51" t="s" s="9">
        <v>173</v>
      </c>
      <c r="G51" t="s" s="9">
        <v>174</v>
      </c>
      <c r="H51" s="8" cm="1">
        <f t="array" ref="H51">MIN(SUMIF('외운 것'!A2:A271,A51,'외운 것'!D2:D271)+IF(R51=0,3,IF(R51=1,2,0)),3)</f>
        <v>3</v>
      </c>
      <c r="I51" s="8" cm="1">
        <f t="array" ref="I51">_xlfn.COUNTIFS('외운 것'!A2:A271,A51,'외운 것'!D2:D271,0)</f>
        <v>1</v>
      </c>
      <c r="J51" t="str" s="10" cm="1">
        <f t="array" ref="J51">IF(R51&lt;&gt;0,IF(H51&gt;=3,_xlfn.XLOOKUP(A51,'외운 것'!A2:A271,'외운 것'!C2:C271,0,1),0),"3차")</f>
        <v>2026-04-28</v>
      </c>
      <c r="K51" s="8" cm="1">
        <f t="array" ref="K51">IF(P51&lt;&gt;0,IF(N51&gt;=3,_xlfn.XLOOKUP(A51,'외운 것'!A2:A271,'외운 것'!C2:C271,0,1),0),"1차")</f>
        <v>0</v>
      </c>
      <c r="L51" s="8" cm="1">
        <f t="array" ref="L51">IF(Q51&lt;&gt;0,IF(N51&gt;=3,_xlfn.XLOOKUP(A51,'외운 것'!A2:A271,'외운 것'!C2:C271,0,1),0),"2차")</f>
        <v>0</v>
      </c>
      <c r="M51" s="8" cm="1">
        <f t="array" ref="M51">IF(R51&lt;&gt;0,IF(O51&gt;=3,_xlfn.XLOOKUP(B51,'외운 것'!B2:B271,'외운 것'!D2:D271,0,1),0),"3차")</f>
        <v>0</v>
      </c>
      <c r="N51" s="8">
        <v>0</v>
      </c>
      <c r="O51" s="8">
        <v>3</v>
      </c>
      <c r="P51" s="8">
        <v>2</v>
      </c>
      <c r="Q51" s="8">
        <v>1</v>
      </c>
      <c r="R51" s="8">
        <v>1</v>
      </c>
    </row>
    <row r="52" ht="16" customHeight="1">
      <c r="A52" s="8">
        <v>51</v>
      </c>
      <c r="B52" s="8">
        <v>16</v>
      </c>
      <c r="C52" t="s" s="9">
        <v>127</v>
      </c>
      <c r="D52" t="s" s="9">
        <v>127</v>
      </c>
      <c r="E52" t="s" s="9">
        <v>175</v>
      </c>
      <c r="F52" t="s" s="9">
        <v>176</v>
      </c>
      <c r="G52" t="s" s="9">
        <v>177</v>
      </c>
      <c r="H52" s="8" cm="1">
        <f t="array" ref="H52">MIN(SUMIF('외운 것'!A2:A271,A52,'외운 것'!D2:D271)+IF(R52=0,3,IF(R52=1,2,0)),3)</f>
        <v>3</v>
      </c>
      <c r="I52" s="8" cm="1">
        <f t="array" ref="I52">_xlfn.COUNTIFS('외운 것'!A2:A271,A52,'외운 것'!D2:D271,0)</f>
        <v>2</v>
      </c>
      <c r="J52" t="str" s="10" cm="1">
        <f t="array" ref="J52">IF(R52&lt;&gt;0,IF(H52&gt;=3,_xlfn.XLOOKUP(A52,'외운 것'!A2:A271,'외운 것'!C2:C271,0,1),0),"3차")</f>
        <v>2026-04-29</v>
      </c>
      <c r="K52" s="8" cm="1">
        <f t="array" ref="K52">IF(P52&lt;&gt;0,IF(N52&gt;=3,_xlfn.XLOOKUP(A52,'외운 것'!A2:A271,'외운 것'!C2:C271,0,1),0),"1차")</f>
        <v>0</v>
      </c>
      <c r="L52" s="8" cm="1">
        <f t="array" ref="L52">IF(Q52&lt;&gt;0,IF(N52&gt;=3,_xlfn.XLOOKUP(A52,'외운 것'!A2:A271,'외운 것'!C2:C271,0,1),0),"2차")</f>
        <v>0</v>
      </c>
      <c r="M52" s="8" cm="1">
        <f t="array" ref="M52">IF(R52&lt;&gt;0,IF(O52&gt;=3,_xlfn.XLOOKUP(B52,'외운 것'!B2:B271,'외운 것'!D2:D271,0,1),0),"3차")</f>
        <v>0</v>
      </c>
      <c r="N52" s="8">
        <v>2</v>
      </c>
      <c r="O52" s="8">
        <v>3</v>
      </c>
      <c r="P52" s="8">
        <v>1</v>
      </c>
      <c r="Q52" s="8">
        <v>2</v>
      </c>
      <c r="R52" s="8">
        <v>2</v>
      </c>
    </row>
    <row r="53" ht="16" customHeight="1">
      <c r="A53" s="8">
        <v>52</v>
      </c>
      <c r="B53" s="8">
        <v>17</v>
      </c>
      <c r="C53" t="s" s="9">
        <v>127</v>
      </c>
      <c r="D53" t="s" s="9">
        <v>127</v>
      </c>
      <c r="E53" t="s" s="9">
        <v>178</v>
      </c>
      <c r="F53" t="s" s="9">
        <v>179</v>
      </c>
      <c r="G53" t="s" s="9">
        <v>180</v>
      </c>
      <c r="H53" s="8" cm="1">
        <f t="array" ref="H53">MIN(SUMIF('외운 것'!A2:A271,A53,'외운 것'!D2:D271)+IF(R53=0,3,IF(R53=1,2,0)),3)</f>
        <v>3</v>
      </c>
      <c r="I53" s="8" cm="1">
        <f t="array" ref="I53">_xlfn.COUNTIFS('외운 것'!A2:A271,A53,'외운 것'!D2:D271,0)</f>
        <v>1</v>
      </c>
      <c r="J53" t="str" s="10" cm="1">
        <f t="array" ref="J53">IF(R53&lt;&gt;0,IF(H53&gt;=3,_xlfn.XLOOKUP(A53,'외운 것'!A2:A271,'외운 것'!C2:C271,0,1),0),"3차")</f>
        <v>2026-04-28</v>
      </c>
      <c r="K53" s="8" cm="1">
        <f t="array" ref="K53">IF(P53&lt;&gt;0,IF(N53&gt;=3,_xlfn.XLOOKUP(A53,'외운 것'!A2:A271,'외운 것'!C2:C271,0,1),0),"1차")</f>
        <v>0</v>
      </c>
      <c r="L53" s="8" cm="1">
        <f t="array" ref="L53">IF(Q53&lt;&gt;0,IF(N53&gt;=3,_xlfn.XLOOKUP(A53,'외운 것'!A2:A271,'외운 것'!C2:C271,0,1),0),"2차")</f>
        <v>0</v>
      </c>
      <c r="M53" s="8" cm="1">
        <f t="array" ref="M53">IF(R53&lt;&gt;0,IF(O53&gt;=3,_xlfn.XLOOKUP(B53,'외운 것'!B2:B271,'외운 것'!D2:D271,0,1),0),"3차")</f>
        <v>0</v>
      </c>
      <c r="N53" s="8">
        <v>0</v>
      </c>
      <c r="O53" s="8">
        <v>3</v>
      </c>
      <c r="P53" s="8">
        <v>2</v>
      </c>
      <c r="Q53" s="8">
        <v>2</v>
      </c>
      <c r="R53" s="8">
        <v>1</v>
      </c>
    </row>
    <row r="54" ht="16" customHeight="1">
      <c r="A54" s="8">
        <v>53</v>
      </c>
      <c r="B54" s="8">
        <v>18</v>
      </c>
      <c r="C54" t="s" s="9">
        <v>127</v>
      </c>
      <c r="D54" t="s" s="9">
        <v>127</v>
      </c>
      <c r="E54" t="s" s="9">
        <v>181</v>
      </c>
      <c r="F54" t="s" s="9">
        <v>182</v>
      </c>
      <c r="G54" t="s" s="9">
        <v>183</v>
      </c>
      <c r="H54" s="8" cm="1">
        <f t="array" ref="H54">MIN(SUMIF('외운 것'!A2:A271,A54,'외운 것'!D2:D271)+IF(R54=0,3,IF(R54=1,2,0)),3)</f>
        <v>3</v>
      </c>
      <c r="I54" s="8" cm="1">
        <f t="array" ref="I54">_xlfn.COUNTIFS('외운 것'!A2:A271,A54,'외운 것'!D2:D271,0)</f>
        <v>0</v>
      </c>
      <c r="J54" t="str" s="10" cm="1">
        <f t="array" ref="J54">IF(R54&lt;&gt;0,IF(H54&gt;=3,_xlfn.XLOOKUP(A54,'외운 것'!A2:A271,'외운 것'!C2:C271,0,1),0),"3차")</f>
        <v>3차</v>
      </c>
      <c r="K54" t="str" s="11" cm="1">
        <f t="array" ref="K54">IF(P54&lt;&gt;0,IF(N54&gt;=3,_xlfn.XLOOKUP(A54,'외운 것'!A2:A271,'외운 것'!C2:C271,0,1),0),"1차")</f>
        <v>1차</v>
      </c>
      <c r="L54" t="str" s="11" cm="1">
        <f t="array" ref="L54">IF(Q54&lt;&gt;0,IF(N54&gt;=3,_xlfn.XLOOKUP(A54,'외운 것'!A2:A271,'외운 것'!C2:C271,0,1),0),"2차")</f>
        <v>2차</v>
      </c>
      <c r="M54" t="str" s="11" cm="1">
        <f t="array" ref="M54">IF(R54&lt;&gt;0,IF(O54&gt;=3,_xlfn.XLOOKUP(B54,'외운 것'!B2:B271,'외운 것'!D2:D271,0,1),0),"3차")</f>
        <v>3차</v>
      </c>
      <c r="N54" s="8">
        <v>3</v>
      </c>
      <c r="O54" s="8">
        <v>3</v>
      </c>
      <c r="P54" s="8">
        <v>0</v>
      </c>
      <c r="Q54" s="8">
        <v>0</v>
      </c>
      <c r="R54" s="8">
        <v>0</v>
      </c>
    </row>
    <row r="55" ht="16" customHeight="1">
      <c r="A55" s="8">
        <v>54</v>
      </c>
      <c r="B55" s="8">
        <v>19</v>
      </c>
      <c r="C55" t="s" s="9">
        <v>127</v>
      </c>
      <c r="D55" t="s" s="9">
        <v>127</v>
      </c>
      <c r="E55" t="s" s="9">
        <v>184</v>
      </c>
      <c r="F55" t="s" s="9">
        <v>185</v>
      </c>
      <c r="G55" t="s" s="9">
        <v>186</v>
      </c>
      <c r="H55" s="8" cm="1">
        <f t="array" ref="H55">MIN(SUMIF('외운 것'!A2:A271,A55,'외운 것'!D2:D271)+IF(R55=0,3,IF(R55=1,2,0)),3)</f>
        <v>3</v>
      </c>
      <c r="I55" s="8" cm="1">
        <f t="array" ref="I55">_xlfn.COUNTIFS('외운 것'!A2:A271,A55,'외운 것'!D2:D271,0)</f>
        <v>0</v>
      </c>
      <c r="J55" t="str" s="10" cm="1">
        <f t="array" ref="J55">IF(R55&lt;&gt;0,IF(H55&gt;=3,_xlfn.XLOOKUP(A55,'외운 것'!A2:A271,'외운 것'!C2:C271,0,1),0),"3차")</f>
        <v>3차</v>
      </c>
      <c r="K55" s="8" cm="1">
        <f t="array" ref="K55">IF(P55&lt;&gt;0,IF(N55&gt;=3,_xlfn.XLOOKUP(A55,'외운 것'!A2:A271,'외운 것'!C2:C271,0,1),0),"1차")</f>
        <v>0</v>
      </c>
      <c r="L55" s="8" cm="1">
        <f t="array" ref="L55">IF(Q55&lt;&gt;0,IF(N55&gt;=3,_xlfn.XLOOKUP(A55,'외운 것'!A2:A271,'외운 것'!C2:C271,0,1),0),"2차")</f>
        <v>0</v>
      </c>
      <c r="M55" t="str" s="11" cm="1">
        <f t="array" ref="M55">IF(R55&lt;&gt;0,IF(O55&gt;=3,_xlfn.XLOOKUP(B55,'외운 것'!B2:B271,'외운 것'!D2:D271,0,1),0),"3차")</f>
        <v>3차</v>
      </c>
      <c r="N55" s="8">
        <v>0</v>
      </c>
      <c r="O55" s="8">
        <v>3</v>
      </c>
      <c r="P55" s="8">
        <v>4</v>
      </c>
      <c r="Q55" s="8">
        <v>3</v>
      </c>
      <c r="R55" s="8">
        <v>0</v>
      </c>
    </row>
    <row r="56" ht="16" customHeight="1">
      <c r="A56" s="8">
        <v>55</v>
      </c>
      <c r="B56" s="8">
        <v>20</v>
      </c>
      <c r="C56" t="s" s="9">
        <v>127</v>
      </c>
      <c r="D56" t="s" s="9">
        <v>127</v>
      </c>
      <c r="E56" t="s" s="9">
        <v>187</v>
      </c>
      <c r="F56" t="s" s="12">
        <v>188</v>
      </c>
      <c r="G56" t="s" s="12">
        <v>189</v>
      </c>
      <c r="H56" s="8" cm="1">
        <f t="array" ref="H56">MIN(SUMIF('외운 것'!A2:A271,A56,'외운 것'!D2:D271)+IF(R56=0,3,IF(R56=1,2,0)),3)</f>
        <v>3</v>
      </c>
      <c r="I56" s="8" cm="1">
        <f t="array" ref="I56">_xlfn.COUNTIFS('외운 것'!A2:A271,A56,'외운 것'!D2:D271,0)</f>
        <v>0</v>
      </c>
      <c r="J56" t="str" s="10" cm="1">
        <f t="array" ref="J56">IF(R56&lt;&gt;0,IF(H56&gt;=3,_xlfn.XLOOKUP(A56,'외운 것'!A2:A271,'외운 것'!C2:C271,0,1),0),"3차")</f>
        <v>2026-04-28</v>
      </c>
      <c r="K56" s="8" cm="1">
        <f t="array" ref="K56">IF(P56&lt;&gt;0,IF(N56&gt;=3,_xlfn.XLOOKUP(A56,'외운 것'!A2:A271,'외운 것'!C2:C271,0,1),0),"1차")</f>
        <v>0</v>
      </c>
      <c r="L56" s="8" cm="1">
        <f t="array" ref="L56">IF(Q56&lt;&gt;0,IF(N56&gt;=3,_xlfn.XLOOKUP(A56,'외운 것'!A2:A271,'외운 것'!C2:C271,0,1),0),"2차")</f>
        <v>0</v>
      </c>
      <c r="M56" s="8" cm="1">
        <f t="array" ref="M56">IF(R56&lt;&gt;0,IF(O56&gt;=3,_xlfn.XLOOKUP(B56,'외운 것'!B2:B271,'외운 것'!D2:D271,0,1),0),"3차")</f>
        <v>0</v>
      </c>
      <c r="N56" s="8">
        <v>0</v>
      </c>
      <c r="O56" s="8">
        <v>3</v>
      </c>
      <c r="P56" s="8">
        <v>2</v>
      </c>
      <c r="Q56" s="8">
        <v>2</v>
      </c>
      <c r="R56" s="8">
        <v>1</v>
      </c>
    </row>
    <row r="57" ht="16" customHeight="1">
      <c r="A57" s="8">
        <v>56</v>
      </c>
      <c r="B57" s="8">
        <v>21</v>
      </c>
      <c r="C57" t="s" s="9">
        <v>127</v>
      </c>
      <c r="D57" t="s" s="9">
        <v>127</v>
      </c>
      <c r="E57" t="s" s="13">
        <v>190</v>
      </c>
      <c r="F57" t="s" s="14">
        <v>191</v>
      </c>
      <c r="G57" t="s" s="14">
        <v>192</v>
      </c>
      <c r="H57" s="15" cm="1">
        <f t="array" ref="H57">MIN(SUMIF('외운 것'!A2:A271,A57,'외운 것'!D2:D271)+IF(R57=0,3,IF(R57=1,2,0)),3)</f>
        <v>3</v>
      </c>
      <c r="I57" s="8" cm="1">
        <f t="array" ref="I57">_xlfn.COUNTIFS('외운 것'!A2:A271,A57,'외운 것'!D2:D271,0)</f>
        <v>1</v>
      </c>
      <c r="J57" t="str" s="10" cm="1">
        <f t="array" ref="J57">IF(R57&lt;&gt;0,IF(H57&gt;=3,_xlfn.XLOOKUP(A57,'외운 것'!A2:A271,'외운 것'!C2:C271,0,1),0),"3차")</f>
        <v>2026-04-29</v>
      </c>
      <c r="K57" s="8" cm="1">
        <f t="array" ref="K57">IF(P57&lt;&gt;0,IF(N57&gt;=3,_xlfn.XLOOKUP(A57,'외운 것'!A2:A271,'외운 것'!C2:C271,0,1),0),"1차")</f>
        <v>0</v>
      </c>
      <c r="L57" s="8" cm="1">
        <f t="array" ref="L57">IF(Q57&lt;&gt;0,IF(N57&gt;=3,_xlfn.XLOOKUP(A57,'외운 것'!A2:A271,'외운 것'!C2:C271,0,1),0),"2차")</f>
        <v>0</v>
      </c>
      <c r="M57" s="16" cm="1">
        <f t="array" ref="M57">IF(R57&lt;&gt;0,IF(O57&gt;=3,_xlfn.XLOOKUP(B57,'외운 것'!B2:B271,'외운 것'!D2:D271,0,1),0),"3차")</f>
        <v>0</v>
      </c>
      <c r="N57" s="17">
        <v>0</v>
      </c>
      <c r="O57" s="15">
        <v>3</v>
      </c>
      <c r="P57" s="8">
        <v>3</v>
      </c>
      <c r="Q57" s="8">
        <v>3</v>
      </c>
      <c r="R57" s="8">
        <v>2</v>
      </c>
    </row>
    <row r="58" ht="16" customHeight="1">
      <c r="A58" s="8">
        <v>57</v>
      </c>
      <c r="B58" s="8">
        <v>22</v>
      </c>
      <c r="C58" t="s" s="9">
        <v>127</v>
      </c>
      <c r="D58" t="s" s="9">
        <v>127</v>
      </c>
      <c r="E58" t="s" s="9">
        <v>193</v>
      </c>
      <c r="F58" t="s" s="18">
        <v>194</v>
      </c>
      <c r="G58" t="s" s="18">
        <v>195</v>
      </c>
      <c r="H58" s="8" cm="1">
        <f t="array" ref="H58">MIN(SUMIF('외운 것'!A2:A271,A58,'외운 것'!D2:D271)+IF(R58=0,3,IF(R58=1,2,0)),3)</f>
        <v>3</v>
      </c>
      <c r="I58" s="8" cm="1">
        <f t="array" ref="I58">_xlfn.COUNTIFS('외운 것'!A2:A271,A58,'외운 것'!D2:D271,0)</f>
        <v>1</v>
      </c>
      <c r="J58" t="str" s="10" cm="1">
        <f t="array" ref="J58">IF(R58&lt;&gt;0,IF(H58&gt;=3,_xlfn.XLOOKUP(A58,'외운 것'!A2:A271,'외운 것'!C2:C271,0,1),0),"3차")</f>
        <v>2026-04-28</v>
      </c>
      <c r="K58" s="8" cm="1">
        <f t="array" ref="K58">IF(P58&lt;&gt;0,IF(N58&gt;=3,_xlfn.XLOOKUP(A58,'외운 것'!A2:A271,'외운 것'!C2:C271,0,1),0),"1차")</f>
        <v>0</v>
      </c>
      <c r="L58" s="8" cm="1">
        <f t="array" ref="L58">IF(Q58&lt;&gt;0,IF(N58&gt;=3,_xlfn.XLOOKUP(A58,'외운 것'!A2:A271,'외운 것'!C2:C271,0,1),0),"2차")</f>
        <v>0</v>
      </c>
      <c r="M58" s="8" cm="1">
        <f t="array" ref="M58">IF(R58&lt;&gt;0,IF(O58&gt;=3,_xlfn.XLOOKUP(B58,'외운 것'!B2:B271,'외운 것'!D2:D271,0,1),0),"3차")</f>
        <v>0</v>
      </c>
      <c r="N58" s="8">
        <v>2</v>
      </c>
      <c r="O58" s="8">
        <v>3</v>
      </c>
      <c r="P58" s="8">
        <v>1</v>
      </c>
      <c r="Q58" s="8">
        <v>1</v>
      </c>
      <c r="R58" s="8">
        <v>1</v>
      </c>
    </row>
    <row r="59" ht="16" customHeight="1">
      <c r="A59" s="8">
        <v>58</v>
      </c>
      <c r="B59" s="8">
        <v>23</v>
      </c>
      <c r="C59" t="s" s="9">
        <v>127</v>
      </c>
      <c r="D59" t="s" s="9">
        <v>127</v>
      </c>
      <c r="E59" t="s" s="9">
        <v>196</v>
      </c>
      <c r="F59" t="s" s="9">
        <v>197</v>
      </c>
      <c r="G59" t="s" s="9">
        <v>198</v>
      </c>
      <c r="H59" s="8" cm="1">
        <f t="array" ref="H59">MIN(SUMIF('외운 것'!A2:A271,A59,'외운 것'!D2:D271)+IF(R59=0,3,IF(R59=1,2,0)),3)</f>
        <v>3</v>
      </c>
      <c r="I59" s="8" cm="1">
        <f t="array" ref="I59">_xlfn.COUNTIFS('외운 것'!A2:A271,A59,'외운 것'!D2:D271,0)</f>
        <v>0</v>
      </c>
      <c r="J59" t="str" s="10" cm="1">
        <f t="array" ref="J59">IF(R59&lt;&gt;0,IF(H59&gt;=3,_xlfn.XLOOKUP(A59,'외운 것'!A2:A271,'외운 것'!C2:C271,0,1),0),"3차")</f>
        <v>2026-04-28</v>
      </c>
      <c r="K59" s="8" cm="1">
        <f t="array" ref="K59">IF(P59&lt;&gt;0,IF(N59&gt;=3,_xlfn.XLOOKUP(A59,'외운 것'!A2:A271,'외운 것'!C2:C271,0,1),0),"1차")</f>
        <v>0</v>
      </c>
      <c r="L59" s="8" cm="1">
        <f t="array" ref="L59">IF(Q59&lt;&gt;0,IF(N59&gt;=3,_xlfn.XLOOKUP(A59,'외운 것'!A2:A271,'외운 것'!C2:C271,0,1),0),"2차")</f>
        <v>0</v>
      </c>
      <c r="M59" s="8" cm="1">
        <f t="array" ref="M59">IF(R59&lt;&gt;0,IF(O59&gt;=3,_xlfn.XLOOKUP(B59,'외운 것'!B2:B271,'외운 것'!D2:D271,0,1),0),"3차")</f>
        <v>0</v>
      </c>
      <c r="N59" s="8">
        <v>0</v>
      </c>
      <c r="O59" s="8">
        <v>3</v>
      </c>
      <c r="P59" s="8">
        <v>4</v>
      </c>
      <c r="Q59" s="8">
        <v>2</v>
      </c>
      <c r="R59" s="8">
        <v>1</v>
      </c>
    </row>
    <row r="60" ht="16" customHeight="1">
      <c r="A60" s="8">
        <v>59</v>
      </c>
      <c r="B60" s="8">
        <v>1</v>
      </c>
      <c r="C60" t="s" s="9">
        <v>199</v>
      </c>
      <c r="D60" t="s" s="9">
        <v>199</v>
      </c>
      <c r="E60" t="s" s="9">
        <v>200</v>
      </c>
      <c r="F60" t="s" s="9">
        <v>201</v>
      </c>
      <c r="G60" t="s" s="9">
        <v>202</v>
      </c>
      <c r="H60" s="8" cm="1">
        <f t="array" ref="H60">MIN(SUMIF('외운 것'!A2:A271,A60,'외운 것'!D2:D271)+IF(R60=0,3,IF(R60=1,2,0)),3)</f>
        <v>3</v>
      </c>
      <c r="I60" s="8" cm="1">
        <f t="array" ref="I60">_xlfn.COUNTIFS('외운 것'!A2:A271,A60,'외운 것'!D2:D271,0)</f>
        <v>0</v>
      </c>
      <c r="J60" t="str" s="10" cm="1">
        <f t="array" ref="J60">IF(R60&lt;&gt;0,IF(H60&gt;=3,_xlfn.XLOOKUP(A60,'외운 것'!A2:A271,'외운 것'!C2:C271,0,1),0),"3차")</f>
        <v>3차</v>
      </c>
      <c r="K60" s="8" cm="1">
        <f t="array" ref="K60">IF(P60&lt;&gt;0,IF(N60&gt;=3,_xlfn.XLOOKUP(A60,'외운 것'!A2:A271,'외운 것'!C2:C271,0,1),0),"1차")</f>
        <v>0</v>
      </c>
      <c r="L60" t="str" s="11" cm="1">
        <f t="array" ref="L60">IF(Q60&lt;&gt;0,IF(N60&gt;=3,_xlfn.XLOOKUP(A60,'외운 것'!A2:A271,'외운 것'!C2:C271,0,1),0),"2차")</f>
        <v>2차</v>
      </c>
      <c r="M60" t="str" s="11" cm="1">
        <f t="array" ref="M60">IF(R60&lt;&gt;0,IF(O60&gt;=3,_xlfn.XLOOKUP(B60,'외운 것'!B2:B271,'외운 것'!D2:D271,0,1),0),"3차")</f>
        <v>3차</v>
      </c>
      <c r="N60" s="8">
        <v>0</v>
      </c>
      <c r="O60" s="8">
        <v>3</v>
      </c>
      <c r="P60" s="8">
        <v>2</v>
      </c>
      <c r="Q60" s="8">
        <v>0</v>
      </c>
      <c r="R60" s="8">
        <v>0</v>
      </c>
    </row>
    <row r="61" ht="16" customHeight="1">
      <c r="A61" s="8">
        <v>60</v>
      </c>
      <c r="B61" s="8">
        <v>2</v>
      </c>
      <c r="C61" t="s" s="9">
        <v>199</v>
      </c>
      <c r="D61" t="s" s="9">
        <v>199</v>
      </c>
      <c r="E61" t="s" s="9">
        <v>203</v>
      </c>
      <c r="F61" t="s" s="9">
        <v>204</v>
      </c>
      <c r="G61" t="s" s="9">
        <v>205</v>
      </c>
      <c r="H61" s="8" cm="1">
        <f t="array" ref="H61">MIN(SUMIF('외운 것'!A2:A271,A61,'외운 것'!D2:D271)+IF(R61=0,3,IF(R61=1,2,0)),3)</f>
        <v>3</v>
      </c>
      <c r="I61" s="8" cm="1">
        <f t="array" ref="I61">_xlfn.COUNTIFS('외운 것'!A2:A271,A61,'외운 것'!D2:D271,0)</f>
        <v>2</v>
      </c>
      <c r="J61" t="str" s="10" cm="1">
        <f t="array" ref="J61">IF(R61&lt;&gt;0,IF(H61&gt;=3,_xlfn.XLOOKUP(A61,'외운 것'!A2:A271,'외운 것'!C2:C271,0,1),0),"3차")</f>
        <v>2026-04-28</v>
      </c>
      <c r="K61" s="8" cm="1">
        <f t="array" ref="K61">IF(P61&lt;&gt;0,IF(N61&gt;=3,_xlfn.XLOOKUP(A61,'외운 것'!A2:A271,'외운 것'!C2:C271,0,1),0),"1차")</f>
        <v>0</v>
      </c>
      <c r="L61" s="8" cm="1">
        <f t="array" ref="L61">IF(Q61&lt;&gt;0,IF(N61&gt;=3,_xlfn.XLOOKUP(A61,'외운 것'!A2:A271,'외운 것'!C2:C271,0,1),0),"2차")</f>
        <v>0</v>
      </c>
      <c r="M61" s="8" cm="1">
        <f t="array" ref="M61">IF(R61&lt;&gt;0,IF(O61&gt;=3,_xlfn.XLOOKUP(B61,'외운 것'!B2:B271,'외운 것'!D2:D271,0,1),0),"3차")</f>
        <v>0</v>
      </c>
      <c r="N61" s="8">
        <v>2</v>
      </c>
      <c r="O61" s="8">
        <v>3</v>
      </c>
      <c r="P61" s="8">
        <v>1</v>
      </c>
      <c r="Q61" s="8">
        <v>1</v>
      </c>
      <c r="R61" s="8">
        <v>1</v>
      </c>
    </row>
    <row r="62" ht="16" customHeight="1">
      <c r="A62" s="8">
        <v>61</v>
      </c>
      <c r="B62" s="8">
        <v>3</v>
      </c>
      <c r="C62" t="s" s="9">
        <v>199</v>
      </c>
      <c r="D62" t="s" s="9">
        <v>199</v>
      </c>
      <c r="E62" t="s" s="9">
        <v>206</v>
      </c>
      <c r="F62" t="s" s="9">
        <v>207</v>
      </c>
      <c r="G62" t="s" s="9">
        <v>208</v>
      </c>
      <c r="H62" s="8" cm="1">
        <f t="array" ref="H62">MIN(SUMIF('외운 것'!A2:A271,A62,'외운 것'!D2:D271)+IF(R62=0,3,IF(R62=1,2,0)),3)</f>
        <v>3</v>
      </c>
      <c r="I62" s="8" cm="1">
        <f t="array" ref="I62">_xlfn.COUNTIFS('외운 것'!A2:A271,A62,'외운 것'!D2:D271,0)</f>
        <v>1</v>
      </c>
      <c r="J62" t="str" s="10" cm="1">
        <f t="array" ref="J62">IF(R62&lt;&gt;0,IF(H62&gt;=3,_xlfn.XLOOKUP(A62,'외운 것'!A2:A271,'외운 것'!C2:C271,0,1),0),"3차")</f>
        <v>2026-04-28</v>
      </c>
      <c r="K62" s="8" cm="1">
        <f t="array" ref="K62">IF(P62&lt;&gt;0,IF(N62&gt;=3,_xlfn.XLOOKUP(A62,'외운 것'!A2:A271,'외운 것'!C2:C271,0,1),0),"1차")</f>
        <v>0</v>
      </c>
      <c r="L62" s="8" cm="1">
        <f t="array" ref="L62">IF(Q62&lt;&gt;0,IF(N62&gt;=3,_xlfn.XLOOKUP(A62,'외운 것'!A2:A271,'외운 것'!C2:C271,0,1),0),"2차")</f>
        <v>0</v>
      </c>
      <c r="M62" s="8" cm="1">
        <f t="array" ref="M62">IF(R62&lt;&gt;0,IF(O62&gt;=3,_xlfn.XLOOKUP(B62,'외운 것'!B2:B271,'외운 것'!D2:D271,0,1),0),"3차")</f>
        <v>0</v>
      </c>
      <c r="N62" s="8">
        <v>0</v>
      </c>
      <c r="O62" s="8">
        <v>3</v>
      </c>
      <c r="P62" s="8">
        <v>7</v>
      </c>
      <c r="Q62" s="8">
        <v>2</v>
      </c>
      <c r="R62" s="8">
        <v>1</v>
      </c>
    </row>
    <row r="63" ht="16" customHeight="1">
      <c r="A63" s="8">
        <v>62</v>
      </c>
      <c r="B63" s="8">
        <v>4</v>
      </c>
      <c r="C63" t="s" s="9">
        <v>199</v>
      </c>
      <c r="D63" t="s" s="9">
        <v>199</v>
      </c>
      <c r="E63" t="s" s="9">
        <v>209</v>
      </c>
      <c r="F63" t="s" s="9">
        <v>210</v>
      </c>
      <c r="G63" t="s" s="9">
        <v>211</v>
      </c>
      <c r="H63" s="8" cm="1">
        <f t="array" ref="H63">MIN(SUMIF('외운 것'!A2:A271,A63,'외운 것'!D2:D271)+IF(R63=0,3,IF(R63=1,2,0)),3)</f>
        <v>3</v>
      </c>
      <c r="I63" s="8" cm="1">
        <f t="array" ref="I63">_xlfn.COUNTIFS('외운 것'!A2:A271,A63,'외운 것'!D2:D271,0)</f>
        <v>0</v>
      </c>
      <c r="J63" t="str" s="10" cm="1">
        <f t="array" ref="J63">IF(R63&lt;&gt;0,IF(H63&gt;=3,_xlfn.XLOOKUP(A63,'외운 것'!A2:A271,'외운 것'!C2:C271,0,1),0),"3차")</f>
        <v>2026-04-28</v>
      </c>
      <c r="K63" s="8" cm="1">
        <f t="array" ref="K63">IF(P63&lt;&gt;0,IF(N63&gt;=3,_xlfn.XLOOKUP(A63,'외운 것'!A2:A271,'외운 것'!C2:C271,0,1),0),"1차")</f>
        <v>0</v>
      </c>
      <c r="L63" s="8" cm="1">
        <f t="array" ref="L63">IF(Q63&lt;&gt;0,IF(N63&gt;=3,_xlfn.XLOOKUP(A63,'외운 것'!A2:A271,'외운 것'!C2:C271,0,1),0),"2차")</f>
        <v>0</v>
      </c>
      <c r="M63" s="8" cm="1">
        <f t="array" ref="M63">IF(R63&lt;&gt;0,IF(O63&gt;=3,_xlfn.XLOOKUP(B63,'외운 것'!B2:B271,'외운 것'!D2:D271,0,1),0),"3차")</f>
        <v>0</v>
      </c>
      <c r="N63" s="8">
        <v>0</v>
      </c>
      <c r="O63" s="8">
        <v>3</v>
      </c>
      <c r="P63" s="8">
        <v>3</v>
      </c>
      <c r="Q63" s="8">
        <v>2</v>
      </c>
      <c r="R63" s="8">
        <v>1</v>
      </c>
    </row>
    <row r="64" ht="16" customHeight="1">
      <c r="A64" s="8">
        <v>63</v>
      </c>
      <c r="B64" s="8">
        <v>5</v>
      </c>
      <c r="C64" t="s" s="9">
        <v>199</v>
      </c>
      <c r="D64" t="s" s="9">
        <v>199</v>
      </c>
      <c r="E64" t="s" s="9">
        <v>212</v>
      </c>
      <c r="F64" t="s" s="9">
        <v>213</v>
      </c>
      <c r="G64" t="s" s="9">
        <v>214</v>
      </c>
      <c r="H64" s="8" cm="1">
        <f t="array" ref="H64">MIN(SUMIF('외운 것'!A2:A271,A64,'외운 것'!D2:D271)+IF(R64=0,3,IF(R64=1,2,0)),3)</f>
        <v>3</v>
      </c>
      <c r="I64" s="8" cm="1">
        <f t="array" ref="I64">_xlfn.COUNTIFS('외운 것'!A2:A271,A64,'외운 것'!D2:D271,0)</f>
        <v>0</v>
      </c>
      <c r="J64" t="str" s="10" cm="1">
        <f t="array" ref="J64">IF(R64&lt;&gt;0,IF(H64&gt;=3,_xlfn.XLOOKUP(A64,'외운 것'!A2:A271,'외운 것'!C2:C271,0,1),0),"3차")</f>
        <v>3차</v>
      </c>
      <c r="K64" s="8" cm="1">
        <f t="array" ref="K64">IF(P64&lt;&gt;0,IF(N64&gt;=3,_xlfn.XLOOKUP(A64,'외운 것'!A2:A271,'외운 것'!C2:C271,0,1),0),"1차")</f>
        <v>0</v>
      </c>
      <c r="L64" t="str" s="11" cm="1">
        <f t="array" ref="L64">IF(Q64&lt;&gt;0,IF(N64&gt;=3,_xlfn.XLOOKUP(A64,'외운 것'!A2:A271,'외운 것'!C2:C271,0,1),0),"2차")</f>
        <v>2차</v>
      </c>
      <c r="M64" t="str" s="11" cm="1">
        <f t="array" ref="M64">IF(R64&lt;&gt;0,IF(O64&gt;=3,_xlfn.XLOOKUP(B64,'외운 것'!B2:B271,'외운 것'!D2:D271,0,1),0),"3차")</f>
        <v>3차</v>
      </c>
      <c r="N64" s="8">
        <v>2</v>
      </c>
      <c r="O64" s="8">
        <v>3</v>
      </c>
      <c r="P64" s="8">
        <v>1</v>
      </c>
      <c r="Q64" s="8">
        <v>0</v>
      </c>
      <c r="R64" s="8">
        <v>0</v>
      </c>
    </row>
    <row r="65" ht="16" customHeight="1">
      <c r="A65" s="8">
        <v>64</v>
      </c>
      <c r="B65" s="8">
        <v>6</v>
      </c>
      <c r="C65" t="s" s="9">
        <v>199</v>
      </c>
      <c r="D65" t="s" s="9">
        <v>199</v>
      </c>
      <c r="E65" t="s" s="9">
        <v>215</v>
      </c>
      <c r="F65" t="s" s="9">
        <v>216</v>
      </c>
      <c r="G65" t="s" s="9">
        <v>217</v>
      </c>
      <c r="H65" s="8" cm="1">
        <f t="array" ref="H65">MIN(SUMIF('외운 것'!A2:A271,A65,'외운 것'!D2:D271)+IF(R65=0,3,IF(R65=1,2,0)),3)</f>
        <v>3</v>
      </c>
      <c r="I65" s="8" cm="1">
        <f t="array" ref="I65">_xlfn.COUNTIFS('외운 것'!A2:A271,A65,'외운 것'!D2:D271,0)</f>
        <v>1</v>
      </c>
      <c r="J65" t="str" s="10" cm="1">
        <f t="array" ref="J65">IF(R65&lt;&gt;0,IF(H65&gt;=3,_xlfn.XLOOKUP(A65,'외운 것'!A2:A271,'외운 것'!C2:C271,0,1),0),"3차")</f>
        <v>2026-04-28</v>
      </c>
      <c r="K65" s="8" cm="1">
        <f t="array" ref="K65">IF(P65&lt;&gt;0,IF(N65&gt;=3,_xlfn.XLOOKUP(A65,'외운 것'!A2:A271,'외운 것'!C2:C271,0,1),0),"1차")</f>
        <v>0</v>
      </c>
      <c r="L65" s="8" cm="1">
        <f t="array" ref="L65">IF(Q65&lt;&gt;0,IF(N65&gt;=3,_xlfn.XLOOKUP(A65,'외운 것'!A2:A271,'외운 것'!C2:C271,0,1),0),"2차")</f>
        <v>0</v>
      </c>
      <c r="M65" s="8" cm="1">
        <f t="array" ref="M65">IF(R65&lt;&gt;0,IF(O65&gt;=3,_xlfn.XLOOKUP(B65,'외운 것'!B2:B271,'외운 것'!D2:D271,0,1),0),"3차")</f>
        <v>0</v>
      </c>
      <c r="N65" s="8">
        <v>0</v>
      </c>
      <c r="O65" s="8">
        <v>3</v>
      </c>
      <c r="P65" s="8">
        <v>3</v>
      </c>
      <c r="Q65" s="8">
        <v>2</v>
      </c>
      <c r="R65" s="8">
        <v>1</v>
      </c>
    </row>
    <row r="66" ht="16" customHeight="1">
      <c r="A66" s="8">
        <v>65</v>
      </c>
      <c r="B66" s="8">
        <v>7</v>
      </c>
      <c r="C66" t="s" s="9">
        <v>199</v>
      </c>
      <c r="D66" t="s" s="9">
        <v>199</v>
      </c>
      <c r="E66" t="s" s="9">
        <v>218</v>
      </c>
      <c r="F66" t="s" s="9">
        <v>219</v>
      </c>
      <c r="G66" t="s" s="9">
        <v>220</v>
      </c>
      <c r="H66" s="8" cm="1">
        <f t="array" ref="H66">MIN(SUMIF('외운 것'!A2:A271,A66,'외운 것'!D2:D271)+IF(R66=0,3,IF(R66=1,2,0)),3)</f>
        <v>3</v>
      </c>
      <c r="I66" s="8" cm="1">
        <f t="array" ref="I66">_xlfn.COUNTIFS('외운 것'!A2:A271,A66,'외운 것'!D2:D271,0)</f>
        <v>0</v>
      </c>
      <c r="J66" t="str" s="10" cm="1">
        <f t="array" ref="J66">IF(R66&lt;&gt;0,IF(H66&gt;=3,_xlfn.XLOOKUP(A66,'외운 것'!A2:A271,'외운 것'!C2:C271,0,1),0),"3차")</f>
        <v>3차</v>
      </c>
      <c r="K66" s="8" cm="1">
        <f t="array" ref="K66">IF(P66&lt;&gt;0,IF(N66&gt;=3,_xlfn.XLOOKUP(A66,'외운 것'!A2:A271,'외운 것'!C2:C271,0,1),0),"1차")</f>
        <v>0</v>
      </c>
      <c r="L66" t="str" s="11" cm="1">
        <f t="array" ref="L66">IF(Q66&lt;&gt;0,IF(N66&gt;=3,_xlfn.XLOOKUP(A66,'외운 것'!A2:A271,'외운 것'!C2:C271,0,1),0),"2차")</f>
        <v>2차</v>
      </c>
      <c r="M66" t="str" s="11" cm="1">
        <f t="array" ref="M66">IF(R66&lt;&gt;0,IF(O66&gt;=3,_xlfn.XLOOKUP(B66,'외운 것'!B2:B271,'외운 것'!D2:D271,0,1),0),"3차")</f>
        <v>3차</v>
      </c>
      <c r="N66" s="8">
        <v>2</v>
      </c>
      <c r="O66" s="8">
        <v>3</v>
      </c>
      <c r="P66" s="8">
        <v>1</v>
      </c>
      <c r="Q66" s="8">
        <v>0</v>
      </c>
      <c r="R66" s="8">
        <v>0</v>
      </c>
    </row>
    <row r="67" ht="16" customHeight="1">
      <c r="A67" s="8">
        <v>66</v>
      </c>
      <c r="B67" s="8">
        <v>8</v>
      </c>
      <c r="C67" t="s" s="9">
        <v>199</v>
      </c>
      <c r="D67" t="s" s="9">
        <v>199</v>
      </c>
      <c r="E67" t="s" s="9">
        <v>221</v>
      </c>
      <c r="F67" t="s" s="9">
        <v>222</v>
      </c>
      <c r="G67" t="s" s="9">
        <v>223</v>
      </c>
      <c r="H67" s="8" cm="1">
        <f t="array" ref="H67">MIN(SUMIF('외운 것'!A2:A271,A67,'외운 것'!D2:D271)+IF(R67=0,3,IF(R67=1,2,0)),3)</f>
        <v>3</v>
      </c>
      <c r="I67" s="8" cm="1">
        <f t="array" ref="I67">_xlfn.COUNTIFS('외운 것'!A2:A271,A67,'외운 것'!D2:D271,0)</f>
        <v>1</v>
      </c>
      <c r="J67" t="str" s="10" cm="1">
        <f t="array" ref="J67">IF(R67&lt;&gt;0,IF(H67&gt;=3,_xlfn.XLOOKUP(A67,'외운 것'!A2:A271,'외운 것'!C2:C271,0,1),0),"3차")</f>
        <v>2026-04-29</v>
      </c>
      <c r="K67" s="8" cm="1">
        <f t="array" ref="K67">IF(P67&lt;&gt;0,IF(N67&gt;=3,_xlfn.XLOOKUP(A67,'외운 것'!A2:A271,'외운 것'!C2:C271,0,1),0),"1차")</f>
        <v>0</v>
      </c>
      <c r="L67" s="8" cm="1">
        <f t="array" ref="L67">IF(Q67&lt;&gt;0,IF(N67&gt;=3,_xlfn.XLOOKUP(A67,'외운 것'!A2:A271,'외운 것'!C2:C271,0,1),0),"2차")</f>
        <v>0</v>
      </c>
      <c r="M67" s="8" cm="1">
        <f t="array" ref="M67">IF(R67&lt;&gt;0,IF(O67&gt;=3,_xlfn.XLOOKUP(B67,'외운 것'!B2:B271,'외운 것'!D2:D271,0,1),0),"3차")</f>
        <v>0</v>
      </c>
      <c r="N67" s="8">
        <v>0</v>
      </c>
      <c r="O67" s="8">
        <v>3</v>
      </c>
      <c r="P67" s="8">
        <v>7</v>
      </c>
      <c r="Q67" s="8">
        <v>1</v>
      </c>
      <c r="R67" s="8">
        <v>2</v>
      </c>
    </row>
    <row r="68" ht="16" customHeight="1">
      <c r="A68" s="8">
        <v>67</v>
      </c>
      <c r="B68" s="8">
        <v>9</v>
      </c>
      <c r="C68" t="s" s="9">
        <v>199</v>
      </c>
      <c r="D68" t="s" s="9">
        <v>199</v>
      </c>
      <c r="E68" t="s" s="9">
        <v>224</v>
      </c>
      <c r="F68" t="s" s="9">
        <v>225</v>
      </c>
      <c r="G68" t="s" s="9">
        <v>226</v>
      </c>
      <c r="H68" s="8" cm="1">
        <f t="array" ref="H68">MIN(SUMIF('외운 것'!A2:A271,A68,'외운 것'!D2:D271)+IF(R68=0,3,IF(R68=1,2,0)),3)</f>
        <v>3</v>
      </c>
      <c r="I68" s="8" cm="1">
        <f t="array" ref="I68">_xlfn.COUNTIFS('외운 것'!A2:A271,A68,'외운 것'!D2:D271,0)</f>
        <v>0</v>
      </c>
      <c r="J68" t="str" s="10" cm="1">
        <f t="array" ref="J68">IF(R68&lt;&gt;0,IF(H68&gt;=3,_xlfn.XLOOKUP(A68,'외운 것'!A2:A271,'외운 것'!C2:C271,0,1),0),"3차")</f>
        <v>3차</v>
      </c>
      <c r="K68" s="8" cm="1">
        <f t="array" ref="K68">IF(P68&lt;&gt;0,IF(N68&gt;=3,_xlfn.XLOOKUP(A68,'외운 것'!A2:A271,'외운 것'!C2:C271,0,1),0),"1차")</f>
        <v>0</v>
      </c>
      <c r="L68" s="8" cm="1">
        <f t="array" ref="L68">IF(Q68&lt;&gt;0,IF(N68&gt;=3,_xlfn.XLOOKUP(A68,'외운 것'!A2:A271,'외운 것'!C2:C271,0,1),0),"2차")</f>
        <v>0</v>
      </c>
      <c r="M68" t="str" s="11" cm="1">
        <f t="array" ref="M68">IF(R68&lt;&gt;0,IF(O68&gt;=3,_xlfn.XLOOKUP(B68,'외운 것'!B2:B271,'외운 것'!D2:D271,0,1),0),"3차")</f>
        <v>3차</v>
      </c>
      <c r="N68" s="8">
        <v>0</v>
      </c>
      <c r="O68" s="8">
        <v>3</v>
      </c>
      <c r="P68" s="8">
        <v>5</v>
      </c>
      <c r="Q68" s="8">
        <v>1</v>
      </c>
      <c r="R68" s="8">
        <v>0</v>
      </c>
    </row>
    <row r="69" ht="16" customHeight="1">
      <c r="A69" s="8">
        <v>68</v>
      </c>
      <c r="B69" s="8">
        <v>10</v>
      </c>
      <c r="C69" t="s" s="9">
        <v>199</v>
      </c>
      <c r="D69" t="s" s="9">
        <v>199</v>
      </c>
      <c r="E69" t="s" s="9">
        <v>227</v>
      </c>
      <c r="F69" t="s" s="9">
        <v>228</v>
      </c>
      <c r="G69" t="s" s="9">
        <v>229</v>
      </c>
      <c r="H69" s="8" cm="1">
        <f t="array" ref="H69">MIN(SUMIF('외운 것'!A2:A271,A69,'외운 것'!D2:D271)+IF(R69=0,3,IF(R69=1,2,0)),3)</f>
        <v>3</v>
      </c>
      <c r="I69" s="8" cm="1">
        <f t="array" ref="I69">_xlfn.COUNTIFS('외운 것'!A2:A271,A69,'외운 것'!D2:D271,0)</f>
        <v>0</v>
      </c>
      <c r="J69" t="str" s="10" cm="1">
        <f t="array" ref="J69">IF(R69&lt;&gt;0,IF(H69&gt;=3,_xlfn.XLOOKUP(A69,'외운 것'!A2:A271,'외운 것'!C2:C271,0,1),0),"3차")</f>
        <v>2026-04-28</v>
      </c>
      <c r="K69" s="8" cm="1">
        <f t="array" ref="K69">IF(P69&lt;&gt;0,IF(N69&gt;=3,_xlfn.XLOOKUP(A69,'외운 것'!A2:A271,'외운 것'!C2:C271,0,1),0),"1차")</f>
        <v>0</v>
      </c>
      <c r="L69" s="8" cm="1">
        <f t="array" ref="L69">IF(Q69&lt;&gt;0,IF(N69&gt;=3,_xlfn.XLOOKUP(A69,'외운 것'!A2:A271,'외운 것'!C2:C271,0,1),0),"2차")</f>
        <v>0</v>
      </c>
      <c r="M69" s="8" cm="1">
        <f t="array" ref="M69">IF(R69&lt;&gt;0,IF(O69&gt;=3,_xlfn.XLOOKUP(B69,'외운 것'!B2:B271,'외운 것'!D2:D271,0,1),0),"3차")</f>
        <v>0</v>
      </c>
      <c r="N69" s="8">
        <v>0</v>
      </c>
      <c r="O69" s="8">
        <v>3</v>
      </c>
      <c r="P69" s="8">
        <v>3</v>
      </c>
      <c r="Q69" s="8">
        <v>4</v>
      </c>
      <c r="R69" s="8">
        <v>1</v>
      </c>
    </row>
    <row r="70" ht="16" customHeight="1">
      <c r="A70" s="8">
        <v>69</v>
      </c>
      <c r="B70" s="8">
        <v>11</v>
      </c>
      <c r="C70" t="s" s="9">
        <v>199</v>
      </c>
      <c r="D70" t="s" s="9">
        <v>199</v>
      </c>
      <c r="E70" t="s" s="9">
        <v>230</v>
      </c>
      <c r="F70" t="s" s="9">
        <v>231</v>
      </c>
      <c r="G70" t="s" s="9">
        <v>232</v>
      </c>
      <c r="H70" s="8" cm="1">
        <f t="array" ref="H70">MIN(SUMIF('외운 것'!A2:A271,A70,'외운 것'!D2:D271)+IF(R70=0,3,IF(R70=1,2,0)),3)</f>
        <v>3</v>
      </c>
      <c r="I70" s="8" cm="1">
        <f t="array" ref="I70">_xlfn.COUNTIFS('외운 것'!A2:A271,A70,'외운 것'!D2:D271,0)</f>
        <v>0</v>
      </c>
      <c r="J70" t="str" s="10" cm="1">
        <f t="array" ref="J70">IF(R70&lt;&gt;0,IF(H70&gt;=3,_xlfn.XLOOKUP(A70,'외운 것'!A2:A271,'외운 것'!C2:C271,0,1),0),"3차")</f>
        <v>3차</v>
      </c>
      <c r="K70" s="8" cm="1">
        <f t="array" ref="K70">IF(P70&lt;&gt;0,IF(N70&gt;=3,_xlfn.XLOOKUP(A70,'외운 것'!A2:A271,'외운 것'!C2:C271,0,1),0),"1차")</f>
        <v>0</v>
      </c>
      <c r="L70" t="str" s="11" cm="1">
        <f t="array" ref="L70">IF(Q70&lt;&gt;0,IF(N70&gt;=3,_xlfn.XLOOKUP(A70,'외운 것'!A2:A271,'외운 것'!C2:C271,0,1),0),"2차")</f>
        <v>2차</v>
      </c>
      <c r="M70" t="str" s="11" cm="1">
        <f t="array" ref="M70">IF(R70&lt;&gt;0,IF(O70&gt;=3,_xlfn.XLOOKUP(B70,'외운 것'!B2:B271,'외운 것'!D2:D271,0,1),0),"3차")</f>
        <v>3차</v>
      </c>
      <c r="N70" s="8">
        <v>0</v>
      </c>
      <c r="O70" s="8">
        <v>3</v>
      </c>
      <c r="P70" s="8">
        <v>3</v>
      </c>
      <c r="Q70" s="8">
        <v>0</v>
      </c>
      <c r="R70" s="8">
        <v>0</v>
      </c>
    </row>
    <row r="71" ht="16" customHeight="1">
      <c r="A71" s="8">
        <v>70</v>
      </c>
      <c r="B71" s="8">
        <v>12</v>
      </c>
      <c r="C71" t="s" s="9">
        <v>199</v>
      </c>
      <c r="D71" t="s" s="9">
        <v>199</v>
      </c>
      <c r="E71" t="s" s="9">
        <v>233</v>
      </c>
      <c r="F71" t="s" s="9">
        <v>234</v>
      </c>
      <c r="G71" t="s" s="9">
        <v>235</v>
      </c>
      <c r="H71" s="8" cm="1">
        <f t="array" ref="H71">MIN(SUMIF('외운 것'!A2:A271,A71,'외운 것'!D2:D271)+IF(R71=0,3,IF(R71=1,2,0)),3)</f>
        <v>3</v>
      </c>
      <c r="I71" s="8" cm="1">
        <f t="array" ref="I71">_xlfn.COUNTIFS('외운 것'!A2:A271,A71,'외운 것'!D2:D271,0)</f>
        <v>0</v>
      </c>
      <c r="J71" t="str" s="10" cm="1">
        <f t="array" ref="J71">IF(R71&lt;&gt;0,IF(H71&gt;=3,_xlfn.XLOOKUP(A71,'외운 것'!A2:A271,'외운 것'!C2:C271,0,1),0),"3차")</f>
        <v>3차</v>
      </c>
      <c r="K71" t="str" s="11" cm="1">
        <f t="array" ref="K71">IF(P71&lt;&gt;0,IF(N71&gt;=3,_xlfn.XLOOKUP(A71,'외운 것'!A2:A271,'외운 것'!C2:C271,0,1),0),"1차")</f>
        <v>1차</v>
      </c>
      <c r="L71" t="str" s="11" cm="1">
        <f t="array" ref="L71">IF(Q71&lt;&gt;0,IF(N71&gt;=3,_xlfn.XLOOKUP(A71,'외운 것'!A2:A271,'외운 것'!C2:C271,0,1),0),"2차")</f>
        <v>2차</v>
      </c>
      <c r="M71" t="str" s="11" cm="1">
        <f t="array" ref="M71">IF(R71&lt;&gt;0,IF(O71&gt;=3,_xlfn.XLOOKUP(B71,'외운 것'!B2:B271,'외운 것'!D2:D271,0,1),0),"3차")</f>
        <v>3차</v>
      </c>
      <c r="N71" s="8">
        <v>3</v>
      </c>
      <c r="O71" s="8">
        <v>3</v>
      </c>
      <c r="P71" s="8">
        <v>0</v>
      </c>
      <c r="Q71" s="8">
        <v>0</v>
      </c>
      <c r="R71" s="8">
        <v>0</v>
      </c>
    </row>
    <row r="72" ht="16" customHeight="1">
      <c r="A72" s="8">
        <v>71</v>
      </c>
      <c r="B72" s="8">
        <v>1</v>
      </c>
      <c r="C72" t="s" s="9">
        <v>236</v>
      </c>
      <c r="D72" t="s" s="9">
        <v>236</v>
      </c>
      <c r="E72" t="s" s="9">
        <v>237</v>
      </c>
      <c r="F72" t="s" s="9">
        <v>238</v>
      </c>
      <c r="G72" t="s" s="9">
        <v>239</v>
      </c>
      <c r="H72" s="8" cm="1">
        <f t="array" ref="H72">MIN(SUMIF('외운 것'!A2:A271,A72,'외운 것'!D2:D271)+IF(R72=0,3,IF(R72=1,2,0)),3)</f>
        <v>3</v>
      </c>
      <c r="I72" s="8" cm="1">
        <f t="array" ref="I72">_xlfn.COUNTIFS('외운 것'!A2:A271,A72,'외운 것'!D2:D271,0)</f>
        <v>0</v>
      </c>
      <c r="J72" t="str" s="10" cm="1">
        <f t="array" ref="J72">IF(R72&lt;&gt;0,IF(H72&gt;=3,_xlfn.XLOOKUP(A72,'외운 것'!A2:A271,'외운 것'!C2:C271,0,1),0),"3차")</f>
        <v>3차</v>
      </c>
      <c r="K72" s="8" cm="1">
        <f t="array" ref="K72">IF(P72&lt;&gt;0,IF(N72&gt;=3,_xlfn.XLOOKUP(A72,'외운 것'!A2:A271,'외운 것'!C2:C271,0,1),0),"1차")</f>
        <v>0</v>
      </c>
      <c r="L72" t="str" s="11" cm="1">
        <f t="array" ref="L72">IF(Q72&lt;&gt;0,IF(N72&gt;=3,_xlfn.XLOOKUP(A72,'외운 것'!A2:A271,'외운 것'!C2:C271,0,1),0),"2차")</f>
        <v>2차</v>
      </c>
      <c r="M72" t="str" s="11" cm="1">
        <f t="array" ref="M72">IF(R72&lt;&gt;0,IF(O72&gt;=3,_xlfn.XLOOKUP(B72,'외운 것'!B2:B271,'외운 것'!D2:D271,0,1),0),"3차")</f>
        <v>3차</v>
      </c>
      <c r="N72" s="8">
        <v>0</v>
      </c>
      <c r="O72" s="8">
        <v>3</v>
      </c>
      <c r="P72" s="8">
        <v>2</v>
      </c>
      <c r="Q72" s="8">
        <v>0</v>
      </c>
      <c r="R72" s="8">
        <v>0</v>
      </c>
    </row>
    <row r="73" ht="16" customHeight="1">
      <c r="A73" s="8">
        <v>72</v>
      </c>
      <c r="B73" s="8">
        <v>2</v>
      </c>
      <c r="C73" t="s" s="9">
        <v>236</v>
      </c>
      <c r="D73" t="s" s="9">
        <v>236</v>
      </c>
      <c r="E73" t="s" s="9">
        <v>240</v>
      </c>
      <c r="F73" t="s" s="9">
        <v>241</v>
      </c>
      <c r="G73" t="s" s="9">
        <v>242</v>
      </c>
      <c r="H73" s="8" cm="1">
        <f t="array" ref="H73">MIN(SUMIF('외운 것'!A2:A271,A73,'외운 것'!D2:D271)+IF(R73=0,3,IF(R73=1,2,0)),3)</f>
        <v>3</v>
      </c>
      <c r="I73" s="8" cm="1">
        <f t="array" ref="I73">_xlfn.COUNTIFS('외운 것'!A2:A271,A73,'외운 것'!D2:D271,0)</f>
        <v>0</v>
      </c>
      <c r="J73" t="str" s="10" cm="1">
        <f t="array" ref="J73">IF(R73&lt;&gt;0,IF(H73&gt;=3,_xlfn.XLOOKUP(A73,'외운 것'!A2:A271,'외운 것'!C2:C271,0,1),0),"3차")</f>
        <v>3차</v>
      </c>
      <c r="K73" t="str" s="11" cm="1">
        <f t="array" ref="K73">IF(P73&lt;&gt;0,IF(N73&gt;=3,_xlfn.XLOOKUP(A73,'외운 것'!A2:A271,'외운 것'!C2:C271,0,1),0),"1차")</f>
        <v>1차</v>
      </c>
      <c r="L73" t="str" s="11" cm="1">
        <f t="array" ref="L73">IF(Q73&lt;&gt;0,IF(N73&gt;=3,_xlfn.XLOOKUP(A73,'외운 것'!A2:A271,'외운 것'!C2:C271,0,1),0),"2차")</f>
        <v>2차</v>
      </c>
      <c r="M73" t="str" s="11" cm="1">
        <f t="array" ref="M73">IF(R73&lt;&gt;0,IF(O73&gt;=3,_xlfn.XLOOKUP(B73,'외운 것'!B2:B271,'외운 것'!D2:D271,0,1),0),"3차")</f>
        <v>3차</v>
      </c>
      <c r="N73" s="8">
        <v>3</v>
      </c>
      <c r="O73" s="8">
        <v>3</v>
      </c>
      <c r="P73" s="8">
        <v>0</v>
      </c>
      <c r="Q73" s="8">
        <v>0</v>
      </c>
      <c r="R73" s="8">
        <v>0</v>
      </c>
    </row>
    <row r="74" ht="16" customHeight="1">
      <c r="A74" s="8">
        <v>73</v>
      </c>
      <c r="B74" s="8">
        <v>3</v>
      </c>
      <c r="C74" t="s" s="9">
        <v>236</v>
      </c>
      <c r="D74" t="s" s="9">
        <v>236</v>
      </c>
      <c r="E74" t="s" s="9">
        <v>243</v>
      </c>
      <c r="F74" t="s" s="9">
        <v>244</v>
      </c>
      <c r="G74" t="s" s="9">
        <v>245</v>
      </c>
      <c r="H74" s="8" cm="1">
        <f t="array" ref="H74">MIN(SUMIF('외운 것'!A2:A271,A74,'외운 것'!D2:D271)+IF(R74=0,3,IF(R74=1,2,0)),3)</f>
        <v>3</v>
      </c>
      <c r="I74" s="8" cm="1">
        <f t="array" ref="I74">_xlfn.COUNTIFS('외운 것'!A2:A271,A74,'외운 것'!D2:D271,0)</f>
        <v>1</v>
      </c>
      <c r="J74" t="str" s="10" cm="1">
        <f t="array" ref="J74">IF(R74&lt;&gt;0,IF(H74&gt;=3,_xlfn.XLOOKUP(A74,'외운 것'!A2:A271,'외운 것'!C2:C271,0,1),0),"3차")</f>
        <v>2026-04-29</v>
      </c>
      <c r="K74" s="8" cm="1">
        <f t="array" ref="K74">IF(P74&lt;&gt;0,IF(N74&gt;=3,_xlfn.XLOOKUP(A74,'외운 것'!A2:A271,'외운 것'!C2:C271,0,1),0),"1차")</f>
        <v>0</v>
      </c>
      <c r="L74" s="8" cm="1">
        <f t="array" ref="L74">IF(Q74&lt;&gt;0,IF(N74&gt;=3,_xlfn.XLOOKUP(A74,'외운 것'!A2:A271,'외운 것'!C2:C271,0,1),0),"2차")</f>
        <v>0</v>
      </c>
      <c r="M74" s="8" cm="1">
        <f t="array" ref="M74">IF(R74&lt;&gt;0,IF(O74&gt;=3,_xlfn.XLOOKUP(B74,'외운 것'!B2:B271,'외운 것'!D2:D271,0,1),0),"3차")</f>
        <v>0</v>
      </c>
      <c r="N74" s="8">
        <v>0</v>
      </c>
      <c r="O74" s="8">
        <v>3</v>
      </c>
      <c r="P74" s="8">
        <v>6</v>
      </c>
      <c r="Q74" s="8">
        <v>4</v>
      </c>
      <c r="R74" s="8">
        <v>2</v>
      </c>
    </row>
    <row r="75" ht="16" customHeight="1">
      <c r="A75" s="8">
        <v>74</v>
      </c>
      <c r="B75" s="8">
        <v>4</v>
      </c>
      <c r="C75" t="s" s="9">
        <v>236</v>
      </c>
      <c r="D75" t="s" s="9">
        <v>236</v>
      </c>
      <c r="E75" t="s" s="9">
        <v>246</v>
      </c>
      <c r="F75" t="s" s="9">
        <v>247</v>
      </c>
      <c r="G75" t="s" s="9">
        <v>248</v>
      </c>
      <c r="H75" s="8" cm="1">
        <f t="array" ref="H75">MIN(SUMIF('외운 것'!A2:A271,A75,'외운 것'!D2:D271)+IF(R75=0,3,IF(R75=1,2,0)),3)</f>
        <v>3</v>
      </c>
      <c r="I75" s="8" cm="1">
        <f t="array" ref="I75">_xlfn.COUNTIFS('외운 것'!A2:A271,A75,'외운 것'!D2:D271,0)</f>
        <v>0</v>
      </c>
      <c r="J75" t="str" s="10" cm="1">
        <f t="array" ref="J75">IF(R75&lt;&gt;0,IF(H75&gt;=3,_xlfn.XLOOKUP(A75,'외운 것'!A2:A271,'외운 것'!C2:C271,0,1),0),"3차")</f>
        <v>2026-04-28</v>
      </c>
      <c r="K75" s="8" cm="1">
        <f t="array" ref="K75">IF(P75&lt;&gt;0,IF(N75&gt;=3,_xlfn.XLOOKUP(A75,'외운 것'!A2:A271,'외운 것'!C2:C271,0,1),0),"1차")</f>
        <v>0</v>
      </c>
      <c r="L75" s="8" cm="1">
        <f t="array" ref="L75">IF(Q75&lt;&gt;0,IF(N75&gt;=3,_xlfn.XLOOKUP(A75,'외운 것'!A2:A271,'외운 것'!C2:C271,0,1),0),"2차")</f>
        <v>0</v>
      </c>
      <c r="M75" s="8" cm="1">
        <f t="array" ref="M75">IF(R75&lt;&gt;0,IF(O75&gt;=3,_xlfn.XLOOKUP(B75,'외운 것'!B2:B271,'외운 것'!D2:D271,0,1),0),"3차")</f>
        <v>0</v>
      </c>
      <c r="N75" s="8">
        <v>0</v>
      </c>
      <c r="O75" s="8">
        <v>3</v>
      </c>
      <c r="P75" s="8">
        <v>3</v>
      </c>
      <c r="Q75" s="8">
        <v>1</v>
      </c>
      <c r="R75" s="8">
        <v>1</v>
      </c>
    </row>
    <row r="76" ht="16" customHeight="1">
      <c r="A76" s="8">
        <v>75</v>
      </c>
      <c r="B76" s="8">
        <v>5</v>
      </c>
      <c r="C76" t="s" s="9">
        <v>236</v>
      </c>
      <c r="D76" t="s" s="9">
        <v>236</v>
      </c>
      <c r="E76" t="s" s="9">
        <v>249</v>
      </c>
      <c r="F76" t="s" s="9">
        <v>250</v>
      </c>
      <c r="G76" t="s" s="9">
        <v>251</v>
      </c>
      <c r="H76" s="8" cm="1">
        <f t="array" ref="H76">MIN(SUMIF('외운 것'!A2:A271,A76,'외운 것'!D2:D271)+IF(R76=0,3,IF(R76=1,2,0)),3)</f>
        <v>3</v>
      </c>
      <c r="I76" s="8" cm="1">
        <f t="array" ref="I76">_xlfn.COUNTIFS('외운 것'!A2:A271,A76,'외운 것'!D2:D271,0)</f>
        <v>0</v>
      </c>
      <c r="J76" t="str" s="10" cm="1">
        <f t="array" ref="J76">IF(R76&lt;&gt;0,IF(H76&gt;=3,_xlfn.XLOOKUP(A76,'외운 것'!A2:A271,'외운 것'!C2:C271,0,1),0),"3차")</f>
        <v>3차</v>
      </c>
      <c r="K76" s="8" cm="1">
        <f t="array" ref="K76">IF(P76&lt;&gt;0,IF(N76&gt;=3,_xlfn.XLOOKUP(A76,'외운 것'!A2:A271,'외운 것'!C2:C271,0,1),0),"1차")</f>
        <v>0</v>
      </c>
      <c r="L76" s="8" cm="1">
        <f t="array" ref="L76">IF(Q76&lt;&gt;0,IF(N76&gt;=3,_xlfn.XLOOKUP(A76,'외운 것'!A2:A271,'외운 것'!C2:C271,0,1),0),"2차")</f>
        <v>0</v>
      </c>
      <c r="M76" t="str" s="11" cm="1">
        <f t="array" ref="M76">IF(R76&lt;&gt;0,IF(O76&gt;=3,_xlfn.XLOOKUP(B76,'외운 것'!B2:B271,'외운 것'!D2:D271,0,1),0),"3차")</f>
        <v>3차</v>
      </c>
      <c r="N76" s="8">
        <v>0</v>
      </c>
      <c r="O76" s="8">
        <v>3</v>
      </c>
      <c r="P76" s="8">
        <v>3</v>
      </c>
      <c r="Q76" s="8">
        <v>1</v>
      </c>
      <c r="R76" s="8">
        <v>0</v>
      </c>
    </row>
    <row r="77" ht="16" customHeight="1">
      <c r="A77" s="8">
        <v>76</v>
      </c>
      <c r="B77" s="8">
        <v>6</v>
      </c>
      <c r="C77" t="s" s="9">
        <v>236</v>
      </c>
      <c r="D77" t="s" s="9">
        <v>236</v>
      </c>
      <c r="E77" t="s" s="9">
        <v>252</v>
      </c>
      <c r="F77" t="s" s="9">
        <v>253</v>
      </c>
      <c r="G77" t="s" s="9">
        <v>254</v>
      </c>
      <c r="H77" s="8" cm="1">
        <f t="array" ref="H77">MIN(SUMIF('외운 것'!A2:A271,A77,'외운 것'!D2:D271)+IF(R77=0,3,IF(R77=1,2,0)),3)</f>
        <v>3</v>
      </c>
      <c r="I77" s="8" cm="1">
        <f t="array" ref="I77">_xlfn.COUNTIFS('외운 것'!A2:A271,A77,'외운 것'!D2:D271,0)</f>
        <v>0</v>
      </c>
      <c r="J77" t="str" s="10" cm="1">
        <f t="array" ref="J77">IF(R77&lt;&gt;0,IF(H77&gt;=3,_xlfn.XLOOKUP(A77,'외운 것'!A2:A271,'외운 것'!C2:C271,0,1),0),"3차")</f>
        <v>3차</v>
      </c>
      <c r="K77" t="str" s="11" cm="1">
        <f t="array" ref="K77">IF(P77&lt;&gt;0,IF(N77&gt;=3,_xlfn.XLOOKUP(A77,'외운 것'!A2:A271,'외운 것'!C2:C271,0,1),0),"1차")</f>
        <v>1차</v>
      </c>
      <c r="L77" t="str" s="11" cm="1">
        <f t="array" ref="L77">IF(Q77&lt;&gt;0,IF(N77&gt;=3,_xlfn.XLOOKUP(A77,'외운 것'!A2:A271,'외운 것'!C2:C271,0,1),0),"2차")</f>
        <v>2차</v>
      </c>
      <c r="M77" t="str" s="11" cm="1">
        <f t="array" ref="M77">IF(R77&lt;&gt;0,IF(O77&gt;=3,_xlfn.XLOOKUP(B77,'외운 것'!B2:B271,'외운 것'!D2:D271,0,1),0),"3차")</f>
        <v>3차</v>
      </c>
      <c r="N77" s="8">
        <v>3</v>
      </c>
      <c r="O77" s="8">
        <v>3</v>
      </c>
      <c r="P77" s="8">
        <v>0</v>
      </c>
      <c r="Q77" s="8">
        <v>0</v>
      </c>
      <c r="R77" s="8">
        <v>0</v>
      </c>
    </row>
    <row r="78" ht="16" customHeight="1">
      <c r="A78" s="8">
        <v>77</v>
      </c>
      <c r="B78" s="8">
        <v>7</v>
      </c>
      <c r="C78" t="s" s="9">
        <v>236</v>
      </c>
      <c r="D78" t="s" s="9">
        <v>236</v>
      </c>
      <c r="E78" t="s" s="9">
        <v>255</v>
      </c>
      <c r="F78" t="s" s="9">
        <v>256</v>
      </c>
      <c r="G78" t="s" s="9">
        <v>257</v>
      </c>
      <c r="H78" s="8" cm="1">
        <f t="array" ref="H78">MIN(SUMIF('외운 것'!A2:A271,A78,'외운 것'!D2:D271)+IF(R78=0,3,IF(R78=1,2,0)),3)</f>
        <v>3</v>
      </c>
      <c r="I78" s="8" cm="1">
        <f t="array" ref="I78">_xlfn.COUNTIFS('외운 것'!A2:A271,A78,'외운 것'!D2:D271,0)</f>
        <v>0</v>
      </c>
      <c r="J78" t="str" s="10" cm="1">
        <f t="array" ref="J78">IF(R78&lt;&gt;0,IF(H78&gt;=3,_xlfn.XLOOKUP(A78,'외운 것'!A2:A271,'외운 것'!C2:C271,0,1),0),"3차")</f>
        <v>2026-04-28</v>
      </c>
      <c r="K78" s="8" cm="1">
        <f t="array" ref="K78">IF(P78&lt;&gt;0,IF(N78&gt;=3,_xlfn.XLOOKUP(A78,'외운 것'!A2:A271,'외운 것'!C2:C271,0,1),0),"1차")</f>
        <v>0</v>
      </c>
      <c r="L78" s="8" cm="1">
        <f t="array" ref="L78">IF(Q78&lt;&gt;0,IF(N78&gt;=3,_xlfn.XLOOKUP(A78,'외운 것'!A2:A271,'외운 것'!C2:C271,0,1),0),"2차")</f>
        <v>0</v>
      </c>
      <c r="M78" s="8" cm="1">
        <f t="array" ref="M78">IF(R78&lt;&gt;0,IF(O78&gt;=3,_xlfn.XLOOKUP(B78,'외운 것'!B2:B271,'외운 것'!D2:D271,0,1),0),"3차")</f>
        <v>0</v>
      </c>
      <c r="N78" s="8">
        <v>0</v>
      </c>
      <c r="O78" s="8">
        <v>3</v>
      </c>
      <c r="P78" s="8">
        <v>4</v>
      </c>
      <c r="Q78" s="8">
        <v>2</v>
      </c>
      <c r="R78" s="8">
        <v>1</v>
      </c>
    </row>
    <row r="79" ht="16" customHeight="1">
      <c r="A79" s="8">
        <v>78</v>
      </c>
      <c r="B79" s="8">
        <v>8</v>
      </c>
      <c r="C79" t="s" s="9">
        <v>236</v>
      </c>
      <c r="D79" t="s" s="9">
        <v>236</v>
      </c>
      <c r="E79" t="s" s="9">
        <v>258</v>
      </c>
      <c r="F79" t="s" s="9">
        <v>259</v>
      </c>
      <c r="G79" t="s" s="9">
        <v>260</v>
      </c>
      <c r="H79" s="8" cm="1">
        <f t="array" ref="H79">MIN(SUMIF('외운 것'!A2:A271,A79,'외운 것'!D2:D271)+IF(R79=0,3,IF(R79=1,2,0)),3)</f>
        <v>3</v>
      </c>
      <c r="I79" s="8" cm="1">
        <f t="array" ref="I79">_xlfn.COUNTIFS('외운 것'!A2:A271,A79,'외운 것'!D2:D271,0)</f>
        <v>0</v>
      </c>
      <c r="J79" t="str" s="10" cm="1">
        <f t="array" ref="J79">IF(R79&lt;&gt;0,IF(H79&gt;=3,_xlfn.XLOOKUP(A79,'외운 것'!A2:A271,'외운 것'!C2:C271,0,1),0),"3차")</f>
        <v>3차</v>
      </c>
      <c r="K79" s="8" cm="1">
        <f t="array" ref="K79">IF(P79&lt;&gt;0,IF(N79&gt;=3,_xlfn.XLOOKUP(A79,'외운 것'!A2:A271,'외운 것'!C2:C271,0,1),0),"1차")</f>
        <v>0</v>
      </c>
      <c r="L79" t="str" s="11" cm="1">
        <f t="array" ref="L79">IF(Q79&lt;&gt;0,IF(N79&gt;=3,_xlfn.XLOOKUP(A79,'외운 것'!A2:A271,'외운 것'!C2:C271,0,1),0),"2차")</f>
        <v>2차</v>
      </c>
      <c r="M79" t="str" s="11" cm="1">
        <f t="array" ref="M79">IF(R79&lt;&gt;0,IF(O79&gt;=3,_xlfn.XLOOKUP(B79,'외운 것'!B2:B271,'외운 것'!D2:D271,0,1),0),"3차")</f>
        <v>3차</v>
      </c>
      <c r="N79" s="8">
        <v>2</v>
      </c>
      <c r="O79" s="8">
        <v>3</v>
      </c>
      <c r="P79" s="8">
        <v>1</v>
      </c>
      <c r="Q79" s="8">
        <v>0</v>
      </c>
      <c r="R79" s="8">
        <v>0</v>
      </c>
    </row>
    <row r="80" ht="16" customHeight="1">
      <c r="A80" s="8">
        <v>79</v>
      </c>
      <c r="B80" s="8">
        <v>9</v>
      </c>
      <c r="C80" t="s" s="9">
        <v>236</v>
      </c>
      <c r="D80" t="s" s="9">
        <v>236</v>
      </c>
      <c r="E80" t="s" s="9">
        <v>261</v>
      </c>
      <c r="F80" t="s" s="9">
        <v>262</v>
      </c>
      <c r="G80" t="s" s="9">
        <v>263</v>
      </c>
      <c r="H80" s="8" cm="1">
        <f t="array" ref="H80">MIN(SUMIF('외운 것'!A2:A271,A80,'외운 것'!D2:D271)+IF(R80=0,3,IF(R80=1,2,0)),3)</f>
        <v>3</v>
      </c>
      <c r="I80" s="8" cm="1">
        <f t="array" ref="I80">_xlfn.COUNTIFS('외운 것'!A2:A271,A80,'외운 것'!D2:D271,0)</f>
        <v>0</v>
      </c>
      <c r="J80" t="str" s="10" cm="1">
        <f t="array" ref="J80">IF(R80&lt;&gt;0,IF(H80&gt;=3,_xlfn.XLOOKUP(A80,'외운 것'!A2:A271,'외운 것'!C2:C271,0,1),0),"3차")</f>
        <v>3차</v>
      </c>
      <c r="K80" s="8" cm="1">
        <f t="array" ref="K80">IF(P80&lt;&gt;0,IF(N80&gt;=3,_xlfn.XLOOKUP(A80,'외운 것'!A2:A271,'외운 것'!C2:C271,0,1),0),"1차")</f>
        <v>0</v>
      </c>
      <c r="L80" t="str" s="11" cm="1">
        <f t="array" ref="L80">IF(Q80&lt;&gt;0,IF(N80&gt;=3,_xlfn.XLOOKUP(A80,'외운 것'!A2:A271,'외운 것'!C2:C271,0,1),0),"2차")</f>
        <v>2차</v>
      </c>
      <c r="M80" t="str" s="11" cm="1">
        <f t="array" ref="M80">IF(R80&lt;&gt;0,IF(O80&gt;=3,_xlfn.XLOOKUP(B80,'외운 것'!B2:B271,'외운 것'!D2:D271,0,1),0),"3차")</f>
        <v>3차</v>
      </c>
      <c r="N80" s="8">
        <v>2</v>
      </c>
      <c r="O80" s="8">
        <v>3</v>
      </c>
      <c r="P80" s="8">
        <v>1</v>
      </c>
      <c r="Q80" s="8">
        <v>0</v>
      </c>
      <c r="R80" s="8">
        <v>0</v>
      </c>
    </row>
    <row r="81" ht="16" customHeight="1">
      <c r="A81" s="8">
        <v>80</v>
      </c>
      <c r="B81" s="8">
        <v>10</v>
      </c>
      <c r="C81" t="s" s="9">
        <v>236</v>
      </c>
      <c r="D81" t="s" s="9">
        <v>236</v>
      </c>
      <c r="E81" t="s" s="9">
        <v>264</v>
      </c>
      <c r="F81" t="s" s="9">
        <v>265</v>
      </c>
      <c r="G81" t="s" s="9">
        <v>266</v>
      </c>
      <c r="H81" s="8" cm="1">
        <f t="array" ref="H81">MIN(SUMIF('외운 것'!A2:A271,A81,'외운 것'!D2:D271)+IF(R81=0,3,IF(R81=1,2,0)),3)</f>
        <v>3</v>
      </c>
      <c r="I81" s="8" cm="1">
        <f t="array" ref="I81">_xlfn.COUNTIFS('외운 것'!A2:A271,A81,'외운 것'!D2:D271,0)</f>
        <v>0</v>
      </c>
      <c r="J81" t="str" s="10" cm="1">
        <f t="array" ref="J81">IF(R81&lt;&gt;0,IF(H81&gt;=3,_xlfn.XLOOKUP(A81,'외운 것'!A2:A271,'외운 것'!C2:C271,0,1),0),"3차")</f>
        <v>3차</v>
      </c>
      <c r="K81" s="8" cm="1">
        <f t="array" ref="K81">IF(P81&lt;&gt;0,IF(N81&gt;=3,_xlfn.XLOOKUP(A81,'외운 것'!A2:A271,'외운 것'!C2:C271,0,1),0),"1차")</f>
        <v>0</v>
      </c>
      <c r="L81" t="str" s="11" cm="1">
        <f t="array" ref="L81">IF(Q81&lt;&gt;0,IF(N81&gt;=3,_xlfn.XLOOKUP(A81,'외운 것'!A2:A271,'외운 것'!C2:C271,0,1),0),"2차")</f>
        <v>2차</v>
      </c>
      <c r="M81" t="str" s="11" cm="1">
        <f t="array" ref="M81">IF(R81&lt;&gt;0,IF(O81&gt;=3,_xlfn.XLOOKUP(B81,'외운 것'!B2:B271,'외운 것'!D2:D271,0,1),0),"3차")</f>
        <v>3차</v>
      </c>
      <c r="N81" s="8">
        <v>0</v>
      </c>
      <c r="O81" s="8">
        <v>3</v>
      </c>
      <c r="P81" s="8">
        <v>5</v>
      </c>
      <c r="Q81" s="8">
        <v>0</v>
      </c>
      <c r="R81" s="8">
        <v>0</v>
      </c>
    </row>
    <row r="82" ht="16" customHeight="1">
      <c r="A82" s="8">
        <v>81</v>
      </c>
      <c r="B82" s="8">
        <v>11</v>
      </c>
      <c r="C82" t="s" s="9">
        <v>236</v>
      </c>
      <c r="D82" t="s" s="9">
        <v>236</v>
      </c>
      <c r="E82" t="s" s="9">
        <v>267</v>
      </c>
      <c r="F82" t="s" s="9">
        <v>268</v>
      </c>
      <c r="G82" t="s" s="9">
        <v>269</v>
      </c>
      <c r="H82" s="8" cm="1">
        <f t="array" ref="H82">MIN(SUMIF('외운 것'!A2:A271,A82,'외운 것'!D2:D271)+IF(R82=0,3,IF(R82=1,2,0)),3)</f>
        <v>3</v>
      </c>
      <c r="I82" s="8" cm="1">
        <f t="array" ref="I82">_xlfn.COUNTIFS('외운 것'!A2:A271,A82,'외운 것'!D2:D271,0)</f>
        <v>0</v>
      </c>
      <c r="J82" t="str" s="10" cm="1">
        <f t="array" ref="J82">IF(R82&lt;&gt;0,IF(H82&gt;=3,_xlfn.XLOOKUP(A82,'외운 것'!A2:A271,'외운 것'!C2:C271,0,1),0),"3차")</f>
        <v>3차</v>
      </c>
      <c r="K82" s="8" cm="1">
        <f t="array" ref="K82">IF(P82&lt;&gt;0,IF(N82&gt;=3,_xlfn.XLOOKUP(A82,'외운 것'!A2:A271,'외운 것'!C2:C271,0,1),0),"1차")</f>
        <v>0</v>
      </c>
      <c r="L82" t="str" s="11" cm="1">
        <f t="array" ref="L82">IF(Q82&lt;&gt;0,IF(N82&gt;=3,_xlfn.XLOOKUP(A82,'외운 것'!A2:A271,'외운 것'!C2:C271,0,1),0),"2차")</f>
        <v>2차</v>
      </c>
      <c r="M82" t="str" s="11" cm="1">
        <f t="array" ref="M82">IF(R82&lt;&gt;0,IF(O82&gt;=3,_xlfn.XLOOKUP(B82,'외운 것'!B2:B271,'외운 것'!D2:D271,0,1),0),"3차")</f>
        <v>3차</v>
      </c>
      <c r="N82" s="8">
        <v>2</v>
      </c>
      <c r="O82" s="8">
        <v>3</v>
      </c>
      <c r="P82" s="8">
        <v>1</v>
      </c>
      <c r="Q82" s="8">
        <v>0</v>
      </c>
      <c r="R82" s="8">
        <v>0</v>
      </c>
    </row>
    <row r="83" ht="16" customHeight="1">
      <c r="A83" s="8">
        <v>82</v>
      </c>
      <c r="B83" s="8">
        <v>12</v>
      </c>
      <c r="C83" t="s" s="9">
        <v>236</v>
      </c>
      <c r="D83" t="s" s="9">
        <v>236</v>
      </c>
      <c r="E83" t="s" s="9">
        <v>270</v>
      </c>
      <c r="F83" t="s" s="9">
        <v>271</v>
      </c>
      <c r="G83" t="s" s="9">
        <v>272</v>
      </c>
      <c r="H83" s="8" cm="1">
        <f t="array" ref="H83">MIN(SUMIF('외운 것'!A2:A271,A83,'외운 것'!D2:D271)+IF(R83=0,3,IF(R83=1,2,0)),3)</f>
        <v>3</v>
      </c>
      <c r="I83" s="8" cm="1">
        <f t="array" ref="I83">_xlfn.COUNTIFS('외운 것'!A2:A271,A83,'외운 것'!D2:D271,0)</f>
        <v>2</v>
      </c>
      <c r="J83" t="str" s="10" cm="1">
        <f t="array" ref="J83">IF(R83&lt;&gt;0,IF(H83&gt;=3,_xlfn.XLOOKUP(A83,'외운 것'!A2:A271,'외운 것'!C2:C271,0,1),0),"3차")</f>
        <v>2026-04-28</v>
      </c>
      <c r="K83" s="8" cm="1">
        <f t="array" ref="K83">IF(P83&lt;&gt;0,IF(N83&gt;=3,_xlfn.XLOOKUP(A83,'외운 것'!A2:A271,'외운 것'!C2:C271,0,1),0),"1차")</f>
        <v>0</v>
      </c>
      <c r="L83" s="8" cm="1">
        <f t="array" ref="L83">IF(Q83&lt;&gt;0,IF(N83&gt;=3,_xlfn.XLOOKUP(A83,'외운 것'!A2:A271,'외운 것'!C2:C271,0,1),0),"2차")</f>
        <v>0</v>
      </c>
      <c r="M83" s="8" cm="1">
        <f t="array" ref="M83">IF(R83&lt;&gt;0,IF(O83&gt;=3,_xlfn.XLOOKUP(B83,'외운 것'!B2:B271,'외운 것'!D2:D271,0,1),0),"3차")</f>
        <v>0</v>
      </c>
      <c r="N83" s="8">
        <v>0</v>
      </c>
      <c r="O83" s="8">
        <v>3</v>
      </c>
      <c r="P83" s="8">
        <v>5</v>
      </c>
      <c r="Q83" s="8">
        <v>1</v>
      </c>
      <c r="R83" s="8">
        <v>1</v>
      </c>
    </row>
    <row r="84" ht="16" customHeight="1">
      <c r="A84" s="8">
        <v>83</v>
      </c>
      <c r="B84" s="8">
        <v>13</v>
      </c>
      <c r="C84" t="s" s="9">
        <v>236</v>
      </c>
      <c r="D84" t="s" s="9">
        <v>236</v>
      </c>
      <c r="E84" t="s" s="9">
        <v>273</v>
      </c>
      <c r="F84" t="s" s="9">
        <v>274</v>
      </c>
      <c r="G84" t="s" s="9">
        <v>275</v>
      </c>
      <c r="H84" s="8" cm="1">
        <f t="array" ref="H84">MIN(SUMIF('외운 것'!A2:A271,A84,'외운 것'!D2:D271)+IF(R84=0,3,IF(R84=1,2,0)),3)</f>
        <v>3</v>
      </c>
      <c r="I84" s="8" cm="1">
        <f t="array" ref="I84">_xlfn.COUNTIFS('외운 것'!A2:A271,A84,'외운 것'!D2:D271,0)</f>
        <v>0</v>
      </c>
      <c r="J84" t="str" s="10" cm="1">
        <f t="array" ref="J84">IF(R84&lt;&gt;0,IF(H84&gt;=3,_xlfn.XLOOKUP(A84,'외운 것'!A2:A271,'외운 것'!C2:C271,0,1),0),"3차")</f>
        <v>2026-04-28</v>
      </c>
      <c r="K84" s="8" cm="1">
        <f t="array" ref="K84">IF(P84&lt;&gt;0,IF(N84&gt;=3,_xlfn.XLOOKUP(A84,'외운 것'!A2:A271,'외운 것'!C2:C271,0,1),0),"1차")</f>
        <v>0</v>
      </c>
      <c r="L84" s="8" cm="1">
        <f t="array" ref="L84">IF(Q84&lt;&gt;0,IF(N84&gt;=3,_xlfn.XLOOKUP(A84,'외운 것'!A2:A271,'외운 것'!C2:C271,0,1),0),"2차")</f>
        <v>0</v>
      </c>
      <c r="M84" s="8" cm="1">
        <f t="array" ref="M84">IF(R84&lt;&gt;0,IF(O84&gt;=3,_xlfn.XLOOKUP(B84,'외운 것'!B2:B271,'외운 것'!D2:D271,0,1),0),"3차")</f>
        <v>0</v>
      </c>
      <c r="N84" s="8">
        <v>0</v>
      </c>
      <c r="O84" s="8">
        <v>3</v>
      </c>
      <c r="P84" s="8">
        <v>2</v>
      </c>
      <c r="Q84" s="8">
        <v>1</v>
      </c>
      <c r="R84" s="8">
        <v>2</v>
      </c>
    </row>
    <row r="85" ht="16" customHeight="1">
      <c r="A85" s="8">
        <v>84</v>
      </c>
      <c r="B85" s="8">
        <v>14</v>
      </c>
      <c r="C85" t="s" s="9">
        <v>236</v>
      </c>
      <c r="D85" t="s" s="9">
        <v>236</v>
      </c>
      <c r="E85" t="s" s="9">
        <v>276</v>
      </c>
      <c r="F85" t="s" s="9">
        <v>277</v>
      </c>
      <c r="G85" t="s" s="9">
        <v>278</v>
      </c>
      <c r="H85" s="8" cm="1">
        <f t="array" ref="H85">MIN(SUMIF('외운 것'!A2:A271,A85,'외운 것'!D2:D271)+IF(R85=0,3,IF(R85=1,2,0)),3)</f>
        <v>3</v>
      </c>
      <c r="I85" s="8" cm="1">
        <f t="array" ref="I85">_xlfn.COUNTIFS('외운 것'!A2:A271,A85,'외운 것'!D2:D271,0)</f>
        <v>0</v>
      </c>
      <c r="J85" t="str" s="10" cm="1">
        <f t="array" ref="J85">IF(R85&lt;&gt;0,IF(H85&gt;=3,_xlfn.XLOOKUP(A85,'외운 것'!A2:A271,'외운 것'!C2:C271,0,1),0),"3차")</f>
        <v>2026-04-28</v>
      </c>
      <c r="K85" s="8" cm="1">
        <f t="array" ref="K85">IF(P85&lt;&gt;0,IF(N85&gt;=3,_xlfn.XLOOKUP(A85,'외운 것'!A2:A271,'외운 것'!C2:C271,0,1),0),"1차")</f>
        <v>0</v>
      </c>
      <c r="L85" s="8" cm="1">
        <f t="array" ref="L85">IF(Q85&lt;&gt;0,IF(N85&gt;=3,_xlfn.XLOOKUP(A85,'외운 것'!A2:A271,'외운 것'!C2:C271,0,1),0),"2차")</f>
        <v>0</v>
      </c>
      <c r="M85" s="8" cm="1">
        <f t="array" ref="M85">IF(R85&lt;&gt;0,IF(O85&gt;=3,_xlfn.XLOOKUP(B85,'외운 것'!B2:B271,'외운 것'!D2:D271,0,1),0),"3차")</f>
        <v>0</v>
      </c>
      <c r="N85" s="8">
        <v>0</v>
      </c>
      <c r="O85" s="8">
        <v>3</v>
      </c>
      <c r="P85" s="8">
        <v>6</v>
      </c>
      <c r="Q85" s="8">
        <v>1</v>
      </c>
      <c r="R85" s="8">
        <v>2</v>
      </c>
    </row>
    <row r="86" ht="16" customHeight="1">
      <c r="A86" s="8">
        <v>85</v>
      </c>
      <c r="B86" s="8">
        <v>15</v>
      </c>
      <c r="C86" t="s" s="9">
        <v>236</v>
      </c>
      <c r="D86" t="s" s="9">
        <v>236</v>
      </c>
      <c r="E86" t="s" s="9">
        <v>279</v>
      </c>
      <c r="F86" t="s" s="9">
        <v>280</v>
      </c>
      <c r="G86" t="s" s="9">
        <v>281</v>
      </c>
      <c r="H86" s="8" cm="1">
        <f t="array" ref="H86">MIN(SUMIF('외운 것'!A2:A271,A86,'외운 것'!D2:D271)+IF(R86=0,3,IF(R86=1,2,0)),3)</f>
        <v>3</v>
      </c>
      <c r="I86" s="8" cm="1">
        <f t="array" ref="I86">_xlfn.COUNTIFS('외운 것'!A2:A271,A86,'외운 것'!D2:D271,0)</f>
        <v>0</v>
      </c>
      <c r="J86" t="str" s="10" cm="1">
        <f t="array" ref="J86">IF(R86&lt;&gt;0,IF(H86&gt;=3,_xlfn.XLOOKUP(A86,'외운 것'!A2:A271,'외운 것'!C2:C271,0,1),0),"3차")</f>
        <v>2026-04-28</v>
      </c>
      <c r="K86" s="8" cm="1">
        <f t="array" ref="K86">IF(P86&lt;&gt;0,IF(N86&gt;=3,_xlfn.XLOOKUP(A86,'외운 것'!A2:A271,'외운 것'!C2:C271,0,1),0),"1차")</f>
        <v>0</v>
      </c>
      <c r="L86" s="8" cm="1">
        <f t="array" ref="L86">IF(Q86&lt;&gt;0,IF(N86&gt;=3,_xlfn.XLOOKUP(A86,'외운 것'!A2:A271,'외운 것'!C2:C271,0,1),0),"2차")</f>
        <v>0</v>
      </c>
      <c r="M86" s="8" cm="1">
        <f t="array" ref="M86">IF(R86&lt;&gt;0,IF(O86&gt;=3,_xlfn.XLOOKUP(B86,'외운 것'!B2:B271,'외운 것'!D2:D271,0,1),0),"3차")</f>
        <v>0</v>
      </c>
      <c r="N86" s="8">
        <v>2</v>
      </c>
      <c r="O86" s="8">
        <v>3</v>
      </c>
      <c r="P86" s="8">
        <v>1</v>
      </c>
      <c r="Q86" s="8">
        <v>2</v>
      </c>
      <c r="R86" s="8">
        <v>1</v>
      </c>
    </row>
    <row r="87" ht="16" customHeight="1">
      <c r="A87" s="8">
        <v>86</v>
      </c>
      <c r="B87" s="8">
        <v>16</v>
      </c>
      <c r="C87" t="s" s="9">
        <v>236</v>
      </c>
      <c r="D87" t="s" s="9">
        <v>236</v>
      </c>
      <c r="E87" t="s" s="9">
        <v>282</v>
      </c>
      <c r="F87" t="s" s="9">
        <v>283</v>
      </c>
      <c r="G87" t="s" s="9">
        <v>284</v>
      </c>
      <c r="H87" s="8" cm="1">
        <f t="array" ref="H87">MIN(SUMIF('외운 것'!A2:A271,A87,'외운 것'!D2:D271)+IF(R87=0,3,IF(R87=1,2,0)),3)</f>
        <v>3</v>
      </c>
      <c r="I87" s="8" cm="1">
        <f t="array" ref="I87">_xlfn.COUNTIFS('외운 것'!A2:A271,A87,'외운 것'!D2:D271,0)</f>
        <v>0</v>
      </c>
      <c r="J87" t="str" s="10" cm="1">
        <f t="array" ref="J87">IF(R87&lt;&gt;0,IF(H87&gt;=3,_xlfn.XLOOKUP(A87,'외운 것'!A2:A271,'외운 것'!C2:C271,0,1),0),"3차")</f>
        <v>3차</v>
      </c>
      <c r="K87" s="8" cm="1">
        <f t="array" ref="K87">IF(P87&lt;&gt;0,IF(N87&gt;=3,_xlfn.XLOOKUP(A87,'외운 것'!A2:A271,'외운 것'!C2:C271,0,1),0),"1차")</f>
        <v>0</v>
      </c>
      <c r="L87" t="str" s="11" cm="1">
        <f t="array" ref="L87">IF(Q87&lt;&gt;0,IF(N87&gt;=3,_xlfn.XLOOKUP(A87,'외운 것'!A2:A271,'외운 것'!C2:C271,0,1),0),"2차")</f>
        <v>2차</v>
      </c>
      <c r="M87" t="str" s="11" cm="1">
        <f t="array" ref="M87">IF(R87&lt;&gt;0,IF(O87&gt;=3,_xlfn.XLOOKUP(B87,'외운 것'!B2:B271,'외운 것'!D2:D271,0,1),0),"3차")</f>
        <v>3차</v>
      </c>
      <c r="N87" s="8">
        <v>2</v>
      </c>
      <c r="O87" s="8">
        <v>3</v>
      </c>
      <c r="P87" s="8">
        <v>1</v>
      </c>
      <c r="Q87" s="8">
        <v>0</v>
      </c>
      <c r="R87" s="8">
        <v>0</v>
      </c>
    </row>
    <row r="88" ht="16" customHeight="1">
      <c r="A88" s="8">
        <v>87</v>
      </c>
      <c r="B88" s="8">
        <v>17</v>
      </c>
      <c r="C88" t="s" s="9">
        <v>236</v>
      </c>
      <c r="D88" t="s" s="9">
        <v>236</v>
      </c>
      <c r="E88" t="s" s="9">
        <v>285</v>
      </c>
      <c r="F88" t="s" s="9">
        <v>286</v>
      </c>
      <c r="G88" t="s" s="9">
        <v>287</v>
      </c>
      <c r="H88" s="8" cm="1">
        <f t="array" ref="H88">MIN(SUMIF('외운 것'!A2:A271,A88,'외운 것'!D2:D271)+IF(R88=0,3,IF(R88=1,2,0)),3)</f>
        <v>3</v>
      </c>
      <c r="I88" s="8" cm="1">
        <f t="array" ref="I88">_xlfn.COUNTIFS('외운 것'!A2:A271,A88,'외운 것'!D2:D271,0)</f>
        <v>0</v>
      </c>
      <c r="J88" t="str" s="10" cm="1">
        <f t="array" ref="J88">IF(R88&lt;&gt;0,IF(H88&gt;=3,_xlfn.XLOOKUP(A88,'외운 것'!A2:A271,'외운 것'!C2:C271,0,1),0),"3차")</f>
        <v>3차</v>
      </c>
      <c r="K88" t="str" s="11" cm="1">
        <f t="array" ref="K88">IF(P88&lt;&gt;0,IF(N88&gt;=3,_xlfn.XLOOKUP(A88,'외운 것'!A2:A271,'외운 것'!C2:C271,0,1),0),"1차")</f>
        <v>1차</v>
      </c>
      <c r="L88" t="str" s="11" cm="1">
        <f t="array" ref="L88">IF(Q88&lt;&gt;0,IF(N88&gt;=3,_xlfn.XLOOKUP(A88,'외운 것'!A2:A271,'외운 것'!C2:C271,0,1),0),"2차")</f>
        <v>2차</v>
      </c>
      <c r="M88" t="str" s="11" cm="1">
        <f t="array" ref="M88">IF(R88&lt;&gt;0,IF(O88&gt;=3,_xlfn.XLOOKUP(B88,'외운 것'!B2:B271,'외운 것'!D2:D271,0,1),0),"3차")</f>
        <v>3차</v>
      </c>
      <c r="N88" s="8">
        <v>3</v>
      </c>
      <c r="O88" s="8">
        <v>3</v>
      </c>
      <c r="P88" s="8">
        <v>0</v>
      </c>
      <c r="Q88" s="8">
        <v>0</v>
      </c>
      <c r="R88" s="8">
        <v>0</v>
      </c>
    </row>
    <row r="89" ht="16" customHeight="1">
      <c r="A89" s="8">
        <v>88</v>
      </c>
      <c r="B89" s="8">
        <v>18</v>
      </c>
      <c r="C89" t="s" s="9">
        <v>236</v>
      </c>
      <c r="D89" t="s" s="9">
        <v>236</v>
      </c>
      <c r="E89" t="s" s="9">
        <v>288</v>
      </c>
      <c r="F89" t="s" s="9">
        <v>289</v>
      </c>
      <c r="G89" t="s" s="9">
        <v>290</v>
      </c>
      <c r="H89" s="8" cm="1">
        <f t="array" ref="H89">MIN(SUMIF('외운 것'!A2:A271,A89,'외운 것'!D2:D271)+IF(R89=0,3,IF(R89=1,2,0)),3)</f>
        <v>3</v>
      </c>
      <c r="I89" s="8" cm="1">
        <f t="array" ref="I89">_xlfn.COUNTIFS('외운 것'!A2:A271,A89,'외운 것'!D2:D271,0)</f>
        <v>0</v>
      </c>
      <c r="J89" t="str" s="10" cm="1">
        <f t="array" ref="J89">IF(R89&lt;&gt;0,IF(H89&gt;=3,_xlfn.XLOOKUP(A89,'외운 것'!A2:A271,'외운 것'!C2:C271,0,1),0),"3차")</f>
        <v>3차</v>
      </c>
      <c r="K89" t="str" s="11" cm="1">
        <f t="array" ref="K89">IF(P89&lt;&gt;0,IF(N89&gt;=3,_xlfn.XLOOKUP(A89,'외운 것'!A2:A271,'외운 것'!C2:C271,0,1),0),"1차")</f>
        <v>1차</v>
      </c>
      <c r="L89" t="str" s="11" cm="1">
        <f t="array" ref="L89">IF(Q89&lt;&gt;0,IF(N89&gt;=3,_xlfn.XLOOKUP(A89,'외운 것'!A2:A271,'외운 것'!C2:C271,0,1),0),"2차")</f>
        <v>2차</v>
      </c>
      <c r="M89" t="str" s="11" cm="1">
        <f t="array" ref="M89">IF(R89&lt;&gt;0,IF(O89&gt;=3,_xlfn.XLOOKUP(B89,'외운 것'!B2:B271,'외운 것'!D2:D271,0,1),0),"3차")</f>
        <v>3차</v>
      </c>
      <c r="N89" s="8">
        <v>3</v>
      </c>
      <c r="O89" s="8">
        <v>3</v>
      </c>
      <c r="P89" s="8">
        <v>0</v>
      </c>
      <c r="Q89" s="8">
        <v>0</v>
      </c>
      <c r="R89" s="8">
        <v>0</v>
      </c>
    </row>
    <row r="90" ht="16" customHeight="1">
      <c r="A90" s="8">
        <v>89</v>
      </c>
      <c r="B90" s="8">
        <v>19</v>
      </c>
      <c r="C90" t="s" s="9">
        <v>236</v>
      </c>
      <c r="D90" t="s" s="9">
        <v>236</v>
      </c>
      <c r="E90" t="s" s="9">
        <v>291</v>
      </c>
      <c r="F90" t="s" s="9">
        <v>292</v>
      </c>
      <c r="G90" t="s" s="9">
        <v>293</v>
      </c>
      <c r="H90" s="8" cm="1">
        <f t="array" ref="H90">MIN(SUMIF('외운 것'!A2:A271,A90,'외운 것'!D2:D271)+IF(R90=0,3,IF(R90=1,2,0)),3)</f>
        <v>3</v>
      </c>
      <c r="I90" s="8" cm="1">
        <f t="array" ref="I90">_xlfn.COUNTIFS('외운 것'!A2:A271,A90,'외운 것'!D2:D271,0)</f>
        <v>0</v>
      </c>
      <c r="J90" t="str" s="10" cm="1">
        <f t="array" ref="J90">IF(R90&lt;&gt;0,IF(H90&gt;=3,_xlfn.XLOOKUP(A90,'외운 것'!A2:A271,'외운 것'!C2:C271,0,1),0),"3차")</f>
        <v>3차</v>
      </c>
      <c r="K90" t="str" s="11" cm="1">
        <f t="array" ref="K90">IF(P90&lt;&gt;0,IF(N90&gt;=3,_xlfn.XLOOKUP(A90,'외운 것'!A2:A271,'외운 것'!C2:C271,0,1),0),"1차")</f>
        <v>1차</v>
      </c>
      <c r="L90" t="str" s="11" cm="1">
        <f t="array" ref="L90">IF(Q90&lt;&gt;0,IF(N90&gt;=3,_xlfn.XLOOKUP(A90,'외운 것'!A2:A271,'외운 것'!C2:C271,0,1),0),"2차")</f>
        <v>2차</v>
      </c>
      <c r="M90" t="str" s="11" cm="1">
        <f t="array" ref="M90">IF(R90&lt;&gt;0,IF(O90&gt;=3,_xlfn.XLOOKUP(B90,'외운 것'!B2:B271,'외운 것'!D2:D271,0,1),0),"3차")</f>
        <v>3차</v>
      </c>
      <c r="N90" s="8">
        <v>3</v>
      </c>
      <c r="O90" s="8">
        <v>3</v>
      </c>
      <c r="P90" s="8">
        <v>0</v>
      </c>
      <c r="Q90" s="8">
        <v>0</v>
      </c>
      <c r="R90" s="8">
        <v>0</v>
      </c>
    </row>
    <row r="91" ht="16" customHeight="1">
      <c r="A91" s="8">
        <v>90</v>
      </c>
      <c r="B91" s="8">
        <v>20</v>
      </c>
      <c r="C91" t="s" s="9">
        <v>236</v>
      </c>
      <c r="D91" t="s" s="9">
        <v>236</v>
      </c>
      <c r="E91" t="s" s="9">
        <v>294</v>
      </c>
      <c r="F91" t="s" s="9">
        <v>295</v>
      </c>
      <c r="G91" t="s" s="9">
        <v>296</v>
      </c>
      <c r="H91" s="8" cm="1">
        <f t="array" ref="H91">MIN(SUMIF('외운 것'!A2:A271,A91,'외운 것'!D2:D271)+IF(R91=0,3,IF(R91=1,2,0)),3)</f>
        <v>3</v>
      </c>
      <c r="I91" s="8" cm="1">
        <f t="array" ref="I91">_xlfn.COUNTIFS('외운 것'!A2:A271,A91,'외운 것'!D2:D271,0)</f>
        <v>0</v>
      </c>
      <c r="J91" t="str" s="10" cm="1">
        <f t="array" ref="J91">IF(R91&lt;&gt;0,IF(H91&gt;=3,_xlfn.XLOOKUP(A91,'외운 것'!A2:A271,'외운 것'!C2:C271,0,1),0),"3차")</f>
        <v>3차</v>
      </c>
      <c r="K91" s="8" cm="1">
        <f t="array" ref="K91">IF(P91&lt;&gt;0,IF(N91&gt;=3,_xlfn.XLOOKUP(A91,'외운 것'!A2:A271,'외운 것'!C2:C271,0,1),0),"1차")</f>
        <v>0</v>
      </c>
      <c r="L91" s="8" cm="1">
        <f t="array" ref="L91">IF(Q91&lt;&gt;0,IF(N91&gt;=3,_xlfn.XLOOKUP(A91,'외운 것'!A2:A271,'외운 것'!C2:C271,0,1),0),"2차")</f>
        <v>0</v>
      </c>
      <c r="M91" t="str" s="11" cm="1">
        <f t="array" ref="M91">IF(R91&lt;&gt;0,IF(O91&gt;=3,_xlfn.XLOOKUP(B91,'외운 것'!B2:B271,'외운 것'!D2:D271,0,1),0),"3차")</f>
        <v>3차</v>
      </c>
      <c r="N91" s="8">
        <v>0</v>
      </c>
      <c r="O91" s="8">
        <v>3</v>
      </c>
      <c r="P91" s="8">
        <v>4</v>
      </c>
      <c r="Q91" s="8">
        <v>3</v>
      </c>
      <c r="R91" s="8">
        <v>0</v>
      </c>
    </row>
    <row r="92" ht="16" customHeight="1">
      <c r="A92" s="8">
        <v>91</v>
      </c>
      <c r="B92" s="8">
        <v>21</v>
      </c>
      <c r="C92" t="s" s="9">
        <v>236</v>
      </c>
      <c r="D92" t="s" s="9">
        <v>236</v>
      </c>
      <c r="E92" t="s" s="9">
        <v>297</v>
      </c>
      <c r="F92" t="s" s="9">
        <v>298</v>
      </c>
      <c r="G92" t="s" s="9">
        <v>299</v>
      </c>
      <c r="H92" s="8" cm="1">
        <f t="array" ref="H92">MIN(SUMIF('외운 것'!A2:A271,A92,'외운 것'!D2:D271)+IF(R92=0,3,IF(R92=1,2,0)),3)</f>
        <v>3</v>
      </c>
      <c r="I92" s="8" cm="1">
        <f t="array" ref="I92">_xlfn.COUNTIFS('외운 것'!A2:A271,A92,'외운 것'!D2:D271,0)</f>
        <v>0</v>
      </c>
      <c r="J92" t="str" s="10" cm="1">
        <f t="array" ref="J92">IF(R92&lt;&gt;0,IF(H92&gt;=3,_xlfn.XLOOKUP(A92,'외운 것'!A2:A271,'외운 것'!C2:C271,0,1),0),"3차")</f>
        <v>2026-04-28</v>
      </c>
      <c r="K92" s="8" cm="1">
        <f t="array" ref="K92">IF(P92&lt;&gt;0,IF(N92&gt;=3,_xlfn.XLOOKUP(A92,'외운 것'!A2:A271,'외운 것'!C2:C271,0,1),0),"1차")</f>
        <v>0</v>
      </c>
      <c r="L92" s="8" cm="1">
        <f t="array" ref="L92">IF(Q92&lt;&gt;0,IF(N92&gt;=3,_xlfn.XLOOKUP(A92,'외운 것'!A2:A271,'외운 것'!C2:C271,0,1),0),"2차")</f>
        <v>0</v>
      </c>
      <c r="M92" s="8" cm="1">
        <f t="array" ref="M92">IF(R92&lt;&gt;0,IF(O92&gt;=3,_xlfn.XLOOKUP(B92,'외운 것'!B2:B271,'외운 것'!D2:D271,0,1),0),"3차")</f>
        <v>0</v>
      </c>
      <c r="N92" s="8">
        <v>0</v>
      </c>
      <c r="O92" s="8">
        <v>3</v>
      </c>
      <c r="P92" s="8">
        <v>3</v>
      </c>
      <c r="Q92" s="8">
        <v>3</v>
      </c>
      <c r="R92" s="8">
        <v>1</v>
      </c>
    </row>
    <row r="93" ht="16" customHeight="1">
      <c r="A93" s="8">
        <v>92</v>
      </c>
      <c r="B93" s="8">
        <v>22</v>
      </c>
      <c r="C93" t="s" s="9">
        <v>236</v>
      </c>
      <c r="D93" t="s" s="9">
        <v>236</v>
      </c>
      <c r="E93" t="s" s="9">
        <v>300</v>
      </c>
      <c r="F93" t="s" s="9">
        <v>301</v>
      </c>
      <c r="G93" t="s" s="9">
        <v>302</v>
      </c>
      <c r="H93" s="8" cm="1">
        <f t="array" ref="H93">MIN(SUMIF('외운 것'!A2:A271,A93,'외운 것'!D2:D271)+IF(R93=0,3,IF(R93=1,2,0)),3)</f>
        <v>3</v>
      </c>
      <c r="I93" s="8" cm="1">
        <f t="array" ref="I93">_xlfn.COUNTIFS('외운 것'!A2:A271,A93,'외운 것'!D2:D271,0)</f>
        <v>0</v>
      </c>
      <c r="J93" t="str" s="10" cm="1">
        <f t="array" ref="J93">IF(R93&lt;&gt;0,IF(H93&gt;=3,_xlfn.XLOOKUP(A93,'외운 것'!A2:A271,'외운 것'!C2:C271,0,1),0),"3차")</f>
        <v>3차</v>
      </c>
      <c r="K93" t="str" s="11" cm="1">
        <f t="array" ref="K93">IF(P93&lt;&gt;0,IF(N93&gt;=3,_xlfn.XLOOKUP(A93,'외운 것'!A2:A271,'외운 것'!C2:C271,0,1),0),"1차")</f>
        <v>1차</v>
      </c>
      <c r="L93" t="str" s="11" cm="1">
        <f t="array" ref="L93">IF(Q93&lt;&gt;0,IF(N93&gt;=3,_xlfn.XLOOKUP(A93,'외운 것'!A2:A271,'외운 것'!C2:C271,0,1),0),"2차")</f>
        <v>2차</v>
      </c>
      <c r="M93" t="str" s="11" cm="1">
        <f t="array" ref="M93">IF(R93&lt;&gt;0,IF(O93&gt;=3,_xlfn.XLOOKUP(B93,'외운 것'!B2:B271,'외운 것'!D2:D271,0,1),0),"3차")</f>
        <v>3차</v>
      </c>
      <c r="N93" s="8">
        <v>3</v>
      </c>
      <c r="O93" s="8">
        <v>3</v>
      </c>
      <c r="P93" s="8">
        <v>0</v>
      </c>
      <c r="Q93" s="8">
        <v>0</v>
      </c>
      <c r="R93" s="8">
        <v>0</v>
      </c>
    </row>
    <row r="94" ht="16" customHeight="1">
      <c r="A94" s="8">
        <v>93</v>
      </c>
      <c r="B94" s="8">
        <v>23</v>
      </c>
      <c r="C94" t="s" s="9">
        <v>236</v>
      </c>
      <c r="D94" t="s" s="9">
        <v>236</v>
      </c>
      <c r="E94" t="s" s="9">
        <v>303</v>
      </c>
      <c r="F94" t="s" s="9">
        <v>304</v>
      </c>
      <c r="G94" t="s" s="9">
        <v>305</v>
      </c>
      <c r="H94" s="8" cm="1">
        <f t="array" ref="H94">MIN(SUMIF('외운 것'!A2:A271,A94,'외운 것'!D2:D271)+IF(R94=0,3,IF(R94=1,2,0)),3)</f>
        <v>3</v>
      </c>
      <c r="I94" s="8" cm="1">
        <f t="array" ref="I94">_xlfn.COUNTIFS('외운 것'!A2:A271,A94,'외운 것'!D2:D271,0)</f>
        <v>1</v>
      </c>
      <c r="J94" t="str" s="10" cm="1">
        <f t="array" ref="J94">IF(R94&lt;&gt;0,IF(H94&gt;=3,_xlfn.XLOOKUP(A94,'외운 것'!A2:A271,'외운 것'!C2:C271,0,1),0),"3차")</f>
        <v>2026-04-28</v>
      </c>
      <c r="K94" s="8" cm="1">
        <f t="array" ref="K94">IF(P94&lt;&gt;0,IF(N94&gt;=3,_xlfn.XLOOKUP(A94,'외운 것'!A2:A271,'외운 것'!C2:C271,0,1),0),"1차")</f>
        <v>0</v>
      </c>
      <c r="L94" s="8" cm="1">
        <f t="array" ref="L94">IF(Q94&lt;&gt;0,IF(N94&gt;=3,_xlfn.XLOOKUP(A94,'외운 것'!A2:A271,'외운 것'!C2:C271,0,1),0),"2차")</f>
        <v>0</v>
      </c>
      <c r="M94" s="8" cm="1">
        <f t="array" ref="M94">IF(R94&lt;&gt;0,IF(O94&gt;=3,_xlfn.XLOOKUP(B94,'외운 것'!B2:B271,'외운 것'!D2:D271,0,1),0),"3차")</f>
        <v>0</v>
      </c>
      <c r="N94" s="8">
        <v>0</v>
      </c>
      <c r="O94" s="8">
        <v>3</v>
      </c>
      <c r="P94" s="8">
        <v>4</v>
      </c>
      <c r="Q94" s="8">
        <v>1</v>
      </c>
      <c r="R94" s="8">
        <v>1</v>
      </c>
    </row>
    <row r="95" ht="16" customHeight="1">
      <c r="A95" s="8">
        <v>94</v>
      </c>
      <c r="B95" s="8">
        <v>24</v>
      </c>
      <c r="C95" t="s" s="9">
        <v>236</v>
      </c>
      <c r="D95" t="s" s="9">
        <v>236</v>
      </c>
      <c r="E95" t="s" s="9">
        <v>306</v>
      </c>
      <c r="F95" t="s" s="9">
        <v>307</v>
      </c>
      <c r="G95" t="s" s="9">
        <v>308</v>
      </c>
      <c r="H95" s="8" cm="1">
        <f t="array" ref="H95">MIN(SUMIF('외운 것'!A2:A271,A95,'외운 것'!D2:D271)+IF(R95=0,3,IF(R95=1,2,0)),3)</f>
        <v>3</v>
      </c>
      <c r="I95" s="8" cm="1">
        <f t="array" ref="I95">_xlfn.COUNTIFS('외운 것'!A2:A271,A95,'외운 것'!D2:D271,0)</f>
        <v>0</v>
      </c>
      <c r="J95" t="str" s="10" cm="1">
        <f t="array" ref="J95">IF(R95&lt;&gt;0,IF(H95&gt;=3,_xlfn.XLOOKUP(A95,'외운 것'!A2:A271,'외운 것'!C2:C271,0,1),0),"3차")</f>
        <v>3차</v>
      </c>
      <c r="K95" s="8" cm="1">
        <f t="array" ref="K95">IF(P95&lt;&gt;0,IF(N95&gt;=3,_xlfn.XLOOKUP(A95,'외운 것'!A2:A271,'외운 것'!C2:C271,0,1),0),"1차")</f>
        <v>0</v>
      </c>
      <c r="L95" s="8" cm="1">
        <f t="array" ref="L95">IF(Q95&lt;&gt;0,IF(N95&gt;=3,_xlfn.XLOOKUP(A95,'외운 것'!A2:A271,'외운 것'!C2:C271,0,1),0),"2차")</f>
        <v>0</v>
      </c>
      <c r="M95" t="str" s="11" cm="1">
        <f t="array" ref="M95">IF(R95&lt;&gt;0,IF(O95&gt;=3,_xlfn.XLOOKUP(B95,'외운 것'!B2:B271,'외운 것'!D2:D271,0,1),0),"3차")</f>
        <v>3차</v>
      </c>
      <c r="N95" s="8">
        <v>0</v>
      </c>
      <c r="O95" s="8">
        <v>3</v>
      </c>
      <c r="P95" s="8">
        <v>3</v>
      </c>
      <c r="Q95" s="8">
        <v>1</v>
      </c>
      <c r="R95" s="8">
        <v>0</v>
      </c>
    </row>
    <row r="96" ht="16" customHeight="1">
      <c r="A96" s="8">
        <v>95</v>
      </c>
      <c r="B96" s="8">
        <v>25</v>
      </c>
      <c r="C96" t="s" s="9">
        <v>236</v>
      </c>
      <c r="D96" t="s" s="9">
        <v>236</v>
      </c>
      <c r="E96" t="s" s="9">
        <v>309</v>
      </c>
      <c r="F96" t="s" s="9">
        <v>310</v>
      </c>
      <c r="G96" t="s" s="9">
        <v>311</v>
      </c>
      <c r="H96" s="8" cm="1">
        <f t="array" ref="H96">MIN(SUMIF('외운 것'!A2:A271,A96,'외운 것'!D2:D271)+IF(R96=0,3,IF(R96=1,2,0)),3)</f>
        <v>3</v>
      </c>
      <c r="I96" s="8" cm="1">
        <f t="array" ref="I96">_xlfn.COUNTIFS('외운 것'!A2:A271,A96,'외운 것'!D2:D271,0)</f>
        <v>0</v>
      </c>
      <c r="J96" t="str" s="10" cm="1">
        <f t="array" ref="J96">IF(R96&lt;&gt;0,IF(H96&gt;=3,_xlfn.XLOOKUP(A96,'외운 것'!A2:A271,'외운 것'!C2:C271,0,1),0),"3차")</f>
        <v>3차</v>
      </c>
      <c r="K96" s="8" cm="1">
        <f t="array" ref="K96">IF(P96&lt;&gt;0,IF(N96&gt;=3,_xlfn.XLOOKUP(A96,'외운 것'!A2:A271,'외운 것'!C2:C271,0,1),0),"1차")</f>
        <v>0</v>
      </c>
      <c r="L96" s="8" cm="1">
        <f t="array" ref="L96">IF(Q96&lt;&gt;0,IF(N96&gt;=3,_xlfn.XLOOKUP(A96,'외운 것'!A2:A271,'외운 것'!C2:C271,0,1),0),"2차")</f>
        <v>0</v>
      </c>
      <c r="M96" t="str" s="11" cm="1">
        <f t="array" ref="M96">IF(R96&lt;&gt;0,IF(O96&gt;=3,_xlfn.XLOOKUP(B96,'외운 것'!B2:B271,'외운 것'!D2:D271,0,1),0),"3차")</f>
        <v>3차</v>
      </c>
      <c r="N96" s="8">
        <v>0</v>
      </c>
      <c r="O96" s="8">
        <v>3</v>
      </c>
      <c r="P96" s="8">
        <v>4</v>
      </c>
      <c r="Q96" s="8">
        <v>1</v>
      </c>
      <c r="R96" s="8">
        <v>0</v>
      </c>
    </row>
    <row r="97" ht="16" customHeight="1">
      <c r="A97" s="8">
        <v>96</v>
      </c>
      <c r="B97" s="8">
        <v>26</v>
      </c>
      <c r="C97" t="s" s="9">
        <v>236</v>
      </c>
      <c r="D97" t="s" s="9">
        <v>236</v>
      </c>
      <c r="E97" t="s" s="9">
        <v>312</v>
      </c>
      <c r="F97" t="s" s="9">
        <v>313</v>
      </c>
      <c r="G97" t="s" s="9">
        <v>314</v>
      </c>
      <c r="H97" s="8" cm="1">
        <f t="array" ref="H97">MIN(SUMIF('외운 것'!A2:A271,A97,'외운 것'!D2:D271)+IF(R97=0,3,IF(R97=1,2,0)),3)</f>
        <v>3</v>
      </c>
      <c r="I97" s="8" cm="1">
        <f t="array" ref="I97">_xlfn.COUNTIFS('외운 것'!A2:A271,A97,'외운 것'!D2:D271,0)</f>
        <v>2</v>
      </c>
      <c r="J97" t="str" s="10" cm="1">
        <f t="array" ref="J97">IF(R97&lt;&gt;0,IF(H97&gt;=3,_xlfn.XLOOKUP(A97,'외운 것'!A2:A271,'외운 것'!C2:C271,0,1),0),"3차")</f>
        <v>2026-04-28</v>
      </c>
      <c r="K97" s="8" cm="1">
        <f t="array" ref="K97">IF(P97&lt;&gt;0,IF(N97&gt;=3,_xlfn.XLOOKUP(A97,'외운 것'!A2:A271,'외운 것'!C2:C271,0,1),0),"1차")</f>
        <v>0</v>
      </c>
      <c r="L97" s="8" cm="1">
        <f t="array" ref="L97">IF(Q97&lt;&gt;0,IF(N97&gt;=3,_xlfn.XLOOKUP(A97,'외운 것'!A2:A271,'외운 것'!C2:C271,0,1),0),"2차")</f>
        <v>0</v>
      </c>
      <c r="M97" s="8" cm="1">
        <f t="array" ref="M97">IF(R97&lt;&gt;0,IF(O97&gt;=3,_xlfn.XLOOKUP(B97,'외운 것'!B2:B271,'외운 것'!D2:D271,0,1),0),"3차")</f>
        <v>0</v>
      </c>
      <c r="N97" s="8">
        <v>0</v>
      </c>
      <c r="O97" s="8">
        <v>3</v>
      </c>
      <c r="P97" s="8">
        <v>6</v>
      </c>
      <c r="Q97" s="8">
        <v>5</v>
      </c>
      <c r="R97" s="8">
        <v>1</v>
      </c>
    </row>
    <row r="98" ht="16" customHeight="1">
      <c r="A98" s="8">
        <v>97</v>
      </c>
      <c r="B98" s="8">
        <v>27</v>
      </c>
      <c r="C98" t="s" s="9">
        <v>236</v>
      </c>
      <c r="D98" t="s" s="9">
        <v>236</v>
      </c>
      <c r="E98" t="s" s="9">
        <v>315</v>
      </c>
      <c r="F98" t="s" s="9">
        <v>316</v>
      </c>
      <c r="G98" t="s" s="9">
        <v>317</v>
      </c>
      <c r="H98" s="8" cm="1">
        <f t="array" ref="H98">MIN(SUMIF('외운 것'!A2:A271,A98,'외운 것'!D2:D271)+IF(R98=0,3,IF(R98=1,2,0)),3)</f>
        <v>3</v>
      </c>
      <c r="I98" s="8" cm="1">
        <f t="array" ref="I98">_xlfn.COUNTIFS('외운 것'!A2:A271,A98,'외운 것'!D2:D271,0)</f>
        <v>0</v>
      </c>
      <c r="J98" t="str" s="10" cm="1">
        <f t="array" ref="J98">IF(R98&lt;&gt;0,IF(H98&gt;=3,_xlfn.XLOOKUP(A98,'외운 것'!A2:A271,'외운 것'!C2:C271,0,1),0),"3차")</f>
        <v>3차</v>
      </c>
      <c r="K98" s="8" cm="1">
        <f t="array" ref="K98">IF(P98&lt;&gt;0,IF(N98&gt;=3,_xlfn.XLOOKUP(A98,'외운 것'!A2:A271,'외운 것'!C2:C271,0,1),0),"1차")</f>
        <v>0</v>
      </c>
      <c r="L98" s="8" cm="1">
        <f t="array" ref="L98">IF(Q98&lt;&gt;0,IF(N98&gt;=3,_xlfn.XLOOKUP(A98,'외운 것'!A2:A271,'외운 것'!C2:C271,0,1),0),"2차")</f>
        <v>0</v>
      </c>
      <c r="M98" t="str" s="11" cm="1">
        <f t="array" ref="M98">IF(R98&lt;&gt;0,IF(O98&gt;=3,_xlfn.XLOOKUP(B98,'외운 것'!B2:B271,'외운 것'!D2:D271,0,1),0),"3차")</f>
        <v>3차</v>
      </c>
      <c r="N98" s="8">
        <v>0</v>
      </c>
      <c r="O98" s="8">
        <v>3</v>
      </c>
      <c r="P98" s="8">
        <v>2</v>
      </c>
      <c r="Q98" s="8">
        <v>1</v>
      </c>
      <c r="R98" s="8">
        <v>0</v>
      </c>
    </row>
    <row r="99" ht="16" customHeight="1">
      <c r="A99" s="8">
        <v>98</v>
      </c>
      <c r="B99" s="8">
        <v>28</v>
      </c>
      <c r="C99" t="s" s="9">
        <v>236</v>
      </c>
      <c r="D99" t="s" s="9">
        <v>236</v>
      </c>
      <c r="E99" t="s" s="9">
        <v>318</v>
      </c>
      <c r="F99" t="s" s="9">
        <v>319</v>
      </c>
      <c r="G99" t="s" s="9">
        <v>320</v>
      </c>
      <c r="H99" s="8" cm="1">
        <f t="array" ref="H99">MIN(SUMIF('외운 것'!A2:A271,A99,'외운 것'!D2:D271)+IF(R99=0,3,IF(R99=1,2,0)),3)</f>
        <v>3</v>
      </c>
      <c r="I99" s="8" cm="1">
        <f t="array" ref="I99">_xlfn.COUNTIFS('외운 것'!A2:A271,A99,'외운 것'!D2:D271,0)</f>
        <v>0</v>
      </c>
      <c r="J99" t="str" s="10" cm="1">
        <f t="array" ref="J99">IF(R99&lt;&gt;0,IF(H99&gt;=3,_xlfn.XLOOKUP(A99,'외운 것'!A2:A271,'외운 것'!C2:C271,0,1),0),"3차")</f>
        <v>3차</v>
      </c>
      <c r="K99" s="8" cm="1">
        <f t="array" ref="K99">IF(P99&lt;&gt;0,IF(N99&gt;=3,_xlfn.XLOOKUP(A99,'외운 것'!A2:A271,'외운 것'!C2:C271,0,1),0),"1차")</f>
        <v>0</v>
      </c>
      <c r="L99" t="str" s="11" cm="1">
        <f t="array" ref="L99">IF(Q99&lt;&gt;0,IF(N99&gt;=3,_xlfn.XLOOKUP(A99,'외운 것'!A2:A271,'외운 것'!C2:C271,0,1),0),"2차")</f>
        <v>2차</v>
      </c>
      <c r="M99" t="str" s="11" cm="1">
        <f t="array" ref="M99">IF(R99&lt;&gt;0,IF(O99&gt;=3,_xlfn.XLOOKUP(B99,'외운 것'!B2:B271,'외운 것'!D2:D271,0,1),0),"3차")</f>
        <v>3차</v>
      </c>
      <c r="N99" s="8">
        <v>2</v>
      </c>
      <c r="O99" s="8">
        <v>3</v>
      </c>
      <c r="P99" s="8">
        <v>1</v>
      </c>
      <c r="Q99" s="8">
        <v>0</v>
      </c>
      <c r="R99" s="8">
        <v>0</v>
      </c>
    </row>
    <row r="100" ht="16" customHeight="1">
      <c r="A100" s="8">
        <v>99</v>
      </c>
      <c r="B100" s="8">
        <v>29</v>
      </c>
      <c r="C100" t="s" s="9">
        <v>236</v>
      </c>
      <c r="D100" t="s" s="9">
        <v>236</v>
      </c>
      <c r="E100" t="s" s="9">
        <v>321</v>
      </c>
      <c r="F100" t="s" s="9">
        <v>322</v>
      </c>
      <c r="G100" t="s" s="9">
        <v>323</v>
      </c>
      <c r="H100" s="8" cm="1">
        <f t="array" ref="H100">MIN(SUMIF('외운 것'!A2:A271,A100,'외운 것'!D2:D271)+IF(R100=0,3,IF(R100=1,2,0)),3)</f>
        <v>3</v>
      </c>
      <c r="I100" s="8" cm="1">
        <f t="array" ref="I100">_xlfn.COUNTIFS('외운 것'!A2:A271,A100,'외운 것'!D2:D271,0)</f>
        <v>0</v>
      </c>
      <c r="J100" t="str" s="10" cm="1">
        <f t="array" ref="J100">IF(R100&lt;&gt;0,IF(H100&gt;=3,_xlfn.XLOOKUP(A100,'외운 것'!A2:A271,'외운 것'!C2:C271,0,1),0),"3차")</f>
        <v>3차</v>
      </c>
      <c r="K100" s="8" cm="1">
        <f t="array" ref="K100">IF(P100&lt;&gt;0,IF(N100&gt;=3,_xlfn.XLOOKUP(A100,'외운 것'!A2:A271,'외운 것'!C2:C271,0,1),0),"1차")</f>
        <v>0</v>
      </c>
      <c r="L100" t="str" s="11" cm="1">
        <f t="array" ref="L100">IF(Q100&lt;&gt;0,IF(N100&gt;=3,_xlfn.XLOOKUP(A100,'외운 것'!A2:A271,'외운 것'!C2:C271,0,1),0),"2차")</f>
        <v>2차</v>
      </c>
      <c r="M100" t="str" s="11" cm="1">
        <f t="array" ref="M100">IF(R100&lt;&gt;0,IF(O100&gt;=3,_xlfn.XLOOKUP(B100,'외운 것'!B2:B271,'외운 것'!D2:D271,0,1),0),"3차")</f>
        <v>3차</v>
      </c>
      <c r="N100" s="8">
        <v>2</v>
      </c>
      <c r="O100" s="8">
        <v>3</v>
      </c>
      <c r="P100" s="8">
        <v>1</v>
      </c>
      <c r="Q100" s="8">
        <v>0</v>
      </c>
      <c r="R100" s="8">
        <v>0</v>
      </c>
    </row>
    <row r="101" ht="16" customHeight="1">
      <c r="A101" s="8">
        <v>100</v>
      </c>
      <c r="B101" s="8">
        <v>30</v>
      </c>
      <c r="C101" t="s" s="9">
        <v>236</v>
      </c>
      <c r="D101" t="s" s="9">
        <v>236</v>
      </c>
      <c r="E101" t="s" s="9">
        <v>324</v>
      </c>
      <c r="F101" t="s" s="9">
        <v>325</v>
      </c>
      <c r="G101" t="s" s="9">
        <v>326</v>
      </c>
      <c r="H101" s="8" cm="1">
        <f t="array" ref="H101">MIN(SUMIF('외운 것'!A2:A271,A101,'외운 것'!D2:D271)+IF(R101=0,3,IF(R101=1,2,0)),3)</f>
        <v>3</v>
      </c>
      <c r="I101" s="8" cm="1">
        <f t="array" ref="I101">_xlfn.COUNTIFS('외운 것'!A2:A271,A101,'외운 것'!D2:D271,0)</f>
        <v>2</v>
      </c>
      <c r="J101" t="str" s="10" cm="1">
        <f t="array" ref="J101">IF(R101&lt;&gt;0,IF(H101&gt;=3,_xlfn.XLOOKUP(A101,'외운 것'!A2:A271,'외운 것'!C2:C271,0,1),0),"3차")</f>
        <v>2026-04-29</v>
      </c>
      <c r="K101" s="8" cm="1">
        <f t="array" ref="K101">IF(P101&lt;&gt;0,IF(N101&gt;=3,_xlfn.XLOOKUP(A101,'외운 것'!A2:A271,'외운 것'!C2:C271,0,1),0),"1차")</f>
        <v>0</v>
      </c>
      <c r="L101" s="8" cm="1">
        <f t="array" ref="L101">IF(Q101&lt;&gt;0,IF(N101&gt;=3,_xlfn.XLOOKUP(A101,'외운 것'!A2:A271,'외운 것'!C2:C271,0,1),0),"2차")</f>
        <v>0</v>
      </c>
      <c r="M101" s="8" cm="1">
        <f t="array" ref="M101">IF(R101&lt;&gt;0,IF(O101&gt;=3,_xlfn.XLOOKUP(B101,'외운 것'!B2:B271,'외운 것'!D2:D271,0,1),0),"3차")</f>
        <v>0</v>
      </c>
      <c r="N101" s="8">
        <v>0</v>
      </c>
      <c r="O101" s="8">
        <v>3</v>
      </c>
      <c r="P101" s="8">
        <v>2</v>
      </c>
      <c r="Q101" s="8">
        <v>2</v>
      </c>
      <c r="R101" s="8">
        <v>3</v>
      </c>
    </row>
    <row r="102" ht="16" customHeight="1">
      <c r="A102" s="8">
        <v>101</v>
      </c>
      <c r="B102" s="8">
        <v>31</v>
      </c>
      <c r="C102" t="s" s="9">
        <v>236</v>
      </c>
      <c r="D102" t="s" s="9">
        <v>236</v>
      </c>
      <c r="E102" t="s" s="9">
        <v>327</v>
      </c>
      <c r="F102" t="s" s="9">
        <v>328</v>
      </c>
      <c r="G102" t="s" s="9">
        <v>329</v>
      </c>
      <c r="H102" s="8" cm="1">
        <f t="array" ref="H102">MIN(SUMIF('외운 것'!A2:A271,A102,'외운 것'!D2:D271)+IF(R102=0,3,IF(R102=1,2,0)),3)</f>
        <v>3</v>
      </c>
      <c r="I102" s="8" cm="1">
        <f t="array" ref="I102">_xlfn.COUNTIFS('외운 것'!A2:A271,A102,'외운 것'!D2:D271,0)</f>
        <v>1</v>
      </c>
      <c r="J102" t="str" s="10" cm="1">
        <f t="array" ref="J102">IF(R102&lt;&gt;0,IF(H102&gt;=3,_xlfn.XLOOKUP(A102,'외운 것'!A2:A271,'외운 것'!C2:C271,0,1),0),"3차")</f>
        <v>2026-04-29</v>
      </c>
      <c r="K102" s="8" cm="1">
        <f t="array" ref="K102">IF(P102&lt;&gt;0,IF(N102&gt;=3,_xlfn.XLOOKUP(A102,'외운 것'!A2:A271,'외운 것'!C2:C271,0,1),0),"1차")</f>
        <v>0</v>
      </c>
      <c r="L102" s="8" cm="1">
        <f t="array" ref="L102">IF(Q102&lt;&gt;0,IF(N102&gt;=3,_xlfn.XLOOKUP(A102,'외운 것'!A2:A271,'외운 것'!C2:C271,0,1),0),"2차")</f>
        <v>0</v>
      </c>
      <c r="M102" s="8" cm="1">
        <f t="array" ref="M102">IF(R102&lt;&gt;0,IF(O102&gt;=3,_xlfn.XLOOKUP(B102,'외운 것'!B2:B271,'외운 것'!D2:D271,0,1),0),"3차")</f>
        <v>0</v>
      </c>
      <c r="N102" s="8">
        <v>2</v>
      </c>
      <c r="O102" s="8">
        <v>3</v>
      </c>
      <c r="P102" s="8">
        <v>1</v>
      </c>
      <c r="Q102" s="8">
        <v>2</v>
      </c>
      <c r="R102" s="8">
        <v>2</v>
      </c>
    </row>
    <row r="103" ht="16" customHeight="1">
      <c r="A103" s="8">
        <v>102</v>
      </c>
      <c r="B103" s="8">
        <v>32</v>
      </c>
      <c r="C103" t="s" s="9">
        <v>236</v>
      </c>
      <c r="D103" t="s" s="9">
        <v>236</v>
      </c>
      <c r="E103" t="s" s="9">
        <v>330</v>
      </c>
      <c r="F103" t="s" s="9">
        <v>331</v>
      </c>
      <c r="G103" t="s" s="9">
        <v>332</v>
      </c>
      <c r="H103" s="8" cm="1">
        <f t="array" ref="H103">MIN(SUMIF('외운 것'!A2:A271,A103,'외운 것'!D2:D271)+IF(R103=0,3,IF(R103=1,2,0)),3)</f>
        <v>3</v>
      </c>
      <c r="I103" s="8" cm="1">
        <f t="array" ref="I103">_xlfn.COUNTIFS('외운 것'!A2:A271,A103,'외운 것'!D2:D271,0)</f>
        <v>0</v>
      </c>
      <c r="J103" t="str" s="10" cm="1">
        <f t="array" ref="J103">IF(R103&lt;&gt;0,IF(H103&gt;=3,_xlfn.XLOOKUP(A103,'외운 것'!A2:A271,'외운 것'!C2:C271,0,1),0),"3차")</f>
        <v>3차</v>
      </c>
      <c r="K103" s="8" cm="1">
        <f t="array" ref="K103">IF(P103&lt;&gt;0,IF(N103&gt;=3,_xlfn.XLOOKUP(A103,'외운 것'!A2:A271,'외운 것'!C2:C271,0,1),0),"1차")</f>
        <v>0</v>
      </c>
      <c r="L103" s="8" cm="1">
        <f t="array" ref="L103">IF(Q103&lt;&gt;0,IF(N103&gt;=3,_xlfn.XLOOKUP(A103,'외운 것'!A2:A271,'외운 것'!C2:C271,0,1),0),"2차")</f>
        <v>0</v>
      </c>
      <c r="M103" t="str" s="11" cm="1">
        <f t="array" ref="M103">IF(R103&lt;&gt;0,IF(O103&gt;=3,_xlfn.XLOOKUP(B103,'외운 것'!B2:B271,'외운 것'!D2:D271,0,1),0),"3차")</f>
        <v>3차</v>
      </c>
      <c r="N103" s="8">
        <v>0</v>
      </c>
      <c r="O103" s="8">
        <v>3</v>
      </c>
      <c r="P103" s="8">
        <v>3</v>
      </c>
      <c r="Q103" s="8">
        <v>3</v>
      </c>
      <c r="R103" s="8">
        <v>0</v>
      </c>
    </row>
    <row r="104" ht="16" customHeight="1">
      <c r="A104" s="8">
        <v>103</v>
      </c>
      <c r="B104" s="8">
        <v>33</v>
      </c>
      <c r="C104" t="s" s="9">
        <v>236</v>
      </c>
      <c r="D104" t="s" s="9">
        <v>236</v>
      </c>
      <c r="E104" t="s" s="9">
        <v>333</v>
      </c>
      <c r="F104" t="s" s="9">
        <v>334</v>
      </c>
      <c r="G104" t="s" s="9">
        <v>335</v>
      </c>
      <c r="H104" s="8" cm="1">
        <f t="array" ref="H104">MIN(SUMIF('외운 것'!A2:A271,A104,'외운 것'!D2:D271)+IF(R104=0,3,IF(R104=1,2,0)),3)</f>
        <v>3</v>
      </c>
      <c r="I104" s="8" cm="1">
        <f t="array" ref="I104">_xlfn.COUNTIFS('외운 것'!A2:A271,A104,'외운 것'!D2:D271,0)</f>
        <v>0</v>
      </c>
      <c r="J104" t="str" s="10" cm="1">
        <f t="array" ref="J104">IF(R104&lt;&gt;0,IF(H104&gt;=3,_xlfn.XLOOKUP(A104,'외운 것'!A2:A271,'외운 것'!C2:C271,0,1),0),"3차")</f>
        <v>3차</v>
      </c>
      <c r="K104" s="8" cm="1">
        <f t="array" ref="K104">IF(P104&lt;&gt;0,IF(N104&gt;=3,_xlfn.XLOOKUP(A104,'외운 것'!A2:A271,'외운 것'!C2:C271,0,1),0),"1차")</f>
        <v>0</v>
      </c>
      <c r="L104" s="8" cm="1">
        <f t="array" ref="L104">IF(Q104&lt;&gt;0,IF(N104&gt;=3,_xlfn.XLOOKUP(A104,'외운 것'!A2:A271,'외운 것'!C2:C271,0,1),0),"2차")</f>
        <v>0</v>
      </c>
      <c r="M104" t="str" s="11" cm="1">
        <f t="array" ref="M104">IF(R104&lt;&gt;0,IF(O104&gt;=3,_xlfn.XLOOKUP(B104,'외운 것'!B2:B271,'외운 것'!D2:D271,0,1),0),"3차")</f>
        <v>3차</v>
      </c>
      <c r="N104" s="8">
        <v>0</v>
      </c>
      <c r="O104" s="8">
        <v>3</v>
      </c>
      <c r="P104" s="8">
        <v>4</v>
      </c>
      <c r="Q104" s="8">
        <v>1</v>
      </c>
      <c r="R104" s="8">
        <v>0</v>
      </c>
    </row>
    <row r="105" ht="16" customHeight="1">
      <c r="A105" s="8">
        <v>104</v>
      </c>
      <c r="B105" s="8">
        <v>34</v>
      </c>
      <c r="C105" t="s" s="9">
        <v>236</v>
      </c>
      <c r="D105" t="s" s="9">
        <v>236</v>
      </c>
      <c r="E105" t="s" s="9">
        <v>336</v>
      </c>
      <c r="F105" t="s" s="9">
        <v>337</v>
      </c>
      <c r="G105" t="s" s="9">
        <v>338</v>
      </c>
      <c r="H105" s="8" cm="1">
        <f t="array" ref="H105">MIN(SUMIF('외운 것'!A2:A271,A105,'외운 것'!D2:D271)+IF(R105=0,3,IF(R105=1,2,0)),3)</f>
        <v>3</v>
      </c>
      <c r="I105" s="8" cm="1">
        <f t="array" ref="I105">_xlfn.COUNTIFS('외운 것'!A2:A271,A105,'외운 것'!D2:D271,0)</f>
        <v>1</v>
      </c>
      <c r="J105" t="str" s="10" cm="1">
        <f t="array" ref="J105">IF(R105&lt;&gt;0,IF(H105&gt;=3,_xlfn.XLOOKUP(A105,'외운 것'!A2:A271,'외운 것'!C2:C271,0,1),0),"3차")</f>
        <v>2026-04-28</v>
      </c>
      <c r="K105" s="8" cm="1">
        <f t="array" ref="K105">IF(P105&lt;&gt;0,IF(N105&gt;=3,_xlfn.XLOOKUP(A105,'외운 것'!A2:A271,'외운 것'!C2:C271,0,1),0),"1차")</f>
        <v>0</v>
      </c>
      <c r="L105" s="8" cm="1">
        <f t="array" ref="L105">IF(Q105&lt;&gt;0,IF(N105&gt;=3,_xlfn.XLOOKUP(A105,'외운 것'!A2:A271,'외운 것'!C2:C271,0,1),0),"2차")</f>
        <v>0</v>
      </c>
      <c r="M105" s="8" cm="1">
        <f t="array" ref="M105">IF(R105&lt;&gt;0,IF(O105&gt;=3,_xlfn.XLOOKUP(B105,'외운 것'!B2:B271,'외운 것'!D2:D271,0,1),0),"3차")</f>
        <v>0</v>
      </c>
      <c r="N105" s="8">
        <v>0</v>
      </c>
      <c r="O105" s="8">
        <v>3</v>
      </c>
      <c r="P105" s="8">
        <v>3</v>
      </c>
      <c r="Q105" s="8">
        <v>1</v>
      </c>
      <c r="R105" s="8">
        <v>1</v>
      </c>
    </row>
    <row r="106" ht="16" customHeight="1">
      <c r="A106" s="8">
        <v>105</v>
      </c>
      <c r="B106" s="8">
        <v>35</v>
      </c>
      <c r="C106" t="s" s="9">
        <v>236</v>
      </c>
      <c r="D106" t="s" s="9">
        <v>236</v>
      </c>
      <c r="E106" t="s" s="9">
        <v>339</v>
      </c>
      <c r="F106" t="s" s="9">
        <v>340</v>
      </c>
      <c r="G106" t="s" s="9">
        <v>341</v>
      </c>
      <c r="H106" s="8" cm="1">
        <f t="array" ref="H106">MIN(SUMIF('외운 것'!A2:A271,A106,'외운 것'!D2:D271)+IF(R106=0,3,IF(R106=1,2,0)),3)</f>
        <v>3</v>
      </c>
      <c r="I106" s="8" cm="1">
        <f t="array" ref="I106">_xlfn.COUNTIFS('외운 것'!A2:A271,A106,'외운 것'!D2:D271,0)</f>
        <v>2</v>
      </c>
      <c r="J106" t="str" s="10" cm="1">
        <f t="array" ref="J106">IF(R106&lt;&gt;0,IF(H106&gt;=3,_xlfn.XLOOKUP(A106,'외운 것'!A2:A271,'외운 것'!C2:C271,0,1),0),"3차")</f>
        <v>2026-04-29</v>
      </c>
      <c r="K106" s="8" cm="1">
        <f t="array" ref="K106">IF(P106&lt;&gt;0,IF(N106&gt;=3,_xlfn.XLOOKUP(A106,'외운 것'!A2:A271,'외운 것'!C2:C271,0,1),0),"1차")</f>
        <v>0</v>
      </c>
      <c r="L106" s="8" cm="1">
        <f t="array" ref="L106">IF(Q106&lt;&gt;0,IF(N106&gt;=3,_xlfn.XLOOKUP(A106,'외운 것'!A2:A271,'외운 것'!C2:C271,0,1),0),"2차")</f>
        <v>0</v>
      </c>
      <c r="M106" s="8" cm="1">
        <f t="array" ref="M106">IF(R106&lt;&gt;0,IF(O106&gt;=3,_xlfn.XLOOKUP(B106,'외운 것'!B2:B271,'외운 것'!D2:D271,0,1),0),"3차")</f>
        <v>0</v>
      </c>
      <c r="N106" s="8">
        <v>2</v>
      </c>
      <c r="O106" s="8">
        <v>3</v>
      </c>
      <c r="P106" s="8">
        <v>1</v>
      </c>
      <c r="Q106" s="8">
        <v>1</v>
      </c>
      <c r="R106" s="8">
        <v>1</v>
      </c>
    </row>
    <row r="107" ht="16" customHeight="1">
      <c r="A107" s="8">
        <v>106</v>
      </c>
      <c r="B107" s="8">
        <v>36</v>
      </c>
      <c r="C107" t="s" s="9">
        <v>236</v>
      </c>
      <c r="D107" t="s" s="9">
        <v>236</v>
      </c>
      <c r="E107" t="s" s="9">
        <v>342</v>
      </c>
      <c r="F107" t="s" s="9">
        <v>343</v>
      </c>
      <c r="G107" t="s" s="9">
        <v>344</v>
      </c>
      <c r="H107" s="8" cm="1">
        <f t="array" ref="H107">MIN(SUMIF('외운 것'!A2:A271,A107,'외운 것'!D2:D271)+IF(R107=0,3,IF(R107=1,2,0)),3)</f>
        <v>3</v>
      </c>
      <c r="I107" s="8" cm="1">
        <f t="array" ref="I107">_xlfn.COUNTIFS('외운 것'!A2:A271,A107,'외운 것'!D2:D271,0)</f>
        <v>0</v>
      </c>
      <c r="J107" t="str" s="10" cm="1">
        <f t="array" ref="J107">IF(R107&lt;&gt;0,IF(H107&gt;=3,_xlfn.XLOOKUP(A107,'외운 것'!A2:A271,'외운 것'!C2:C271,0,1),0),"3차")</f>
        <v>3차</v>
      </c>
      <c r="K107" t="str" s="11" cm="1">
        <f t="array" ref="K107">IF(P107&lt;&gt;0,IF(N107&gt;=3,_xlfn.XLOOKUP(A107,'외운 것'!A2:A271,'외운 것'!C2:C271,0,1),0),"1차")</f>
        <v>1차</v>
      </c>
      <c r="L107" t="str" s="11" cm="1">
        <f t="array" ref="L107">IF(Q107&lt;&gt;0,IF(N107&gt;=3,_xlfn.XLOOKUP(A107,'외운 것'!A2:A271,'외운 것'!C2:C271,0,1),0),"2차")</f>
        <v>2차</v>
      </c>
      <c r="M107" t="str" s="11" cm="1">
        <f t="array" ref="M107">IF(R107&lt;&gt;0,IF(O107&gt;=3,_xlfn.XLOOKUP(B107,'외운 것'!B2:B271,'외운 것'!D2:D271,0,1),0),"3차")</f>
        <v>3차</v>
      </c>
      <c r="N107" s="8">
        <v>3</v>
      </c>
      <c r="O107" s="8">
        <v>3</v>
      </c>
      <c r="P107" s="8">
        <v>0</v>
      </c>
      <c r="Q107" s="8">
        <v>0</v>
      </c>
      <c r="R107" s="8">
        <v>0</v>
      </c>
    </row>
    <row r="108" ht="16" customHeight="1">
      <c r="A108" s="8">
        <v>107</v>
      </c>
      <c r="B108" s="8">
        <v>37</v>
      </c>
      <c r="C108" t="s" s="9">
        <v>236</v>
      </c>
      <c r="D108" t="s" s="9">
        <v>236</v>
      </c>
      <c r="E108" t="s" s="9">
        <v>345</v>
      </c>
      <c r="F108" t="s" s="9">
        <v>346</v>
      </c>
      <c r="G108" t="s" s="9">
        <v>347</v>
      </c>
      <c r="H108" s="8" cm="1">
        <f t="array" ref="H108">MIN(SUMIF('외운 것'!A2:A271,A108,'외운 것'!D2:D271)+IF(R108=0,3,IF(R108=1,2,0)),3)</f>
        <v>3</v>
      </c>
      <c r="I108" s="8" cm="1">
        <f t="array" ref="I108">_xlfn.COUNTIFS('외운 것'!A2:A271,A108,'외운 것'!D2:D271,0)</f>
        <v>0</v>
      </c>
      <c r="J108" t="str" s="10" cm="1">
        <f t="array" ref="J108">IF(R108&lt;&gt;0,IF(H108&gt;=3,_xlfn.XLOOKUP(A108,'외운 것'!A2:A271,'외운 것'!C2:C271,0,1),0),"3차")</f>
        <v>3차</v>
      </c>
      <c r="K108" t="str" s="11" cm="1">
        <f t="array" ref="K108">IF(P108&lt;&gt;0,IF(N108&gt;=3,_xlfn.XLOOKUP(A108,'외운 것'!A2:A271,'외운 것'!C2:C271,0,1),0),"1차")</f>
        <v>1차</v>
      </c>
      <c r="L108" t="str" s="11" cm="1">
        <f t="array" ref="L108">IF(Q108&lt;&gt;0,IF(N108&gt;=3,_xlfn.XLOOKUP(A108,'외운 것'!A2:A271,'외운 것'!C2:C271,0,1),0),"2차")</f>
        <v>2차</v>
      </c>
      <c r="M108" t="str" s="11" cm="1">
        <f t="array" ref="M108">IF(R108&lt;&gt;0,IF(O108&gt;=3,_xlfn.XLOOKUP(B108,'외운 것'!B2:B271,'외운 것'!D2:D271,0,1),0),"3차")</f>
        <v>3차</v>
      </c>
      <c r="N108" s="8">
        <v>3</v>
      </c>
      <c r="O108" s="8">
        <v>3</v>
      </c>
      <c r="P108" s="8">
        <v>0</v>
      </c>
      <c r="Q108" s="8">
        <v>0</v>
      </c>
      <c r="R108" s="8">
        <v>0</v>
      </c>
    </row>
    <row r="109" ht="16" customHeight="1">
      <c r="A109" s="8">
        <v>108</v>
      </c>
      <c r="B109" s="8">
        <v>38</v>
      </c>
      <c r="C109" t="s" s="9">
        <v>236</v>
      </c>
      <c r="D109" t="s" s="9">
        <v>236</v>
      </c>
      <c r="E109" t="s" s="9">
        <v>348</v>
      </c>
      <c r="F109" t="s" s="9">
        <v>349</v>
      </c>
      <c r="G109" t="s" s="9">
        <v>350</v>
      </c>
      <c r="H109" s="8" cm="1">
        <f t="array" ref="H109">MIN(SUMIF('외운 것'!A2:A271,A109,'외운 것'!D2:D271)+IF(R109=0,3,IF(R109=1,2,0)),3)</f>
        <v>3</v>
      </c>
      <c r="I109" s="8" cm="1">
        <f t="array" ref="I109">_xlfn.COUNTIFS('외운 것'!A2:A271,A109,'외운 것'!D2:D271,0)</f>
        <v>0</v>
      </c>
      <c r="J109" t="str" s="10" cm="1">
        <f t="array" ref="J109">IF(R109&lt;&gt;0,IF(H109&gt;=3,_xlfn.XLOOKUP(A109,'외운 것'!A2:A271,'외운 것'!C2:C271,0,1),0),"3차")</f>
        <v>3차</v>
      </c>
      <c r="K109" s="8" cm="1">
        <f t="array" ref="K109">IF(P109&lt;&gt;0,IF(N109&gt;=3,_xlfn.XLOOKUP(A109,'외운 것'!A2:A271,'외운 것'!C2:C271,0,1),0),"1차")</f>
        <v>0</v>
      </c>
      <c r="L109" s="8" cm="1">
        <f t="array" ref="L109">IF(Q109&lt;&gt;0,IF(N109&gt;=3,_xlfn.XLOOKUP(A109,'외운 것'!A2:A271,'외운 것'!C2:C271,0,1),0),"2차")</f>
        <v>0</v>
      </c>
      <c r="M109" t="str" s="11" cm="1">
        <f t="array" ref="M109">IF(R109&lt;&gt;0,IF(O109&gt;=3,_xlfn.XLOOKUP(B109,'외운 것'!B2:B271,'외운 것'!D2:D271,0,1),0),"3차")</f>
        <v>3차</v>
      </c>
      <c r="N109" s="8">
        <v>0</v>
      </c>
      <c r="O109" s="8">
        <v>3</v>
      </c>
      <c r="P109" s="8">
        <v>4</v>
      </c>
      <c r="Q109" s="8">
        <v>2</v>
      </c>
      <c r="R109" s="8">
        <v>0</v>
      </c>
    </row>
    <row r="110" ht="16" customHeight="1">
      <c r="A110" s="8">
        <v>109</v>
      </c>
      <c r="B110" s="8">
        <v>39</v>
      </c>
      <c r="C110" t="s" s="9">
        <v>236</v>
      </c>
      <c r="D110" t="s" s="9">
        <v>236</v>
      </c>
      <c r="E110" t="s" s="9">
        <v>351</v>
      </c>
      <c r="F110" t="s" s="9">
        <v>352</v>
      </c>
      <c r="G110" t="s" s="9">
        <v>353</v>
      </c>
      <c r="H110" s="8" cm="1">
        <f t="array" ref="H110">MIN(SUMIF('외운 것'!A2:A271,A110,'외운 것'!D2:D271)+IF(R110=0,3,IF(R110=1,2,0)),3)</f>
        <v>3</v>
      </c>
      <c r="I110" s="8" cm="1">
        <f t="array" ref="I110">_xlfn.COUNTIFS('외운 것'!A2:A271,A110,'외운 것'!D2:D271,0)</f>
        <v>1</v>
      </c>
      <c r="J110" t="str" s="10" cm="1">
        <f t="array" ref="J110">IF(R110&lt;&gt;0,IF(H110&gt;=3,_xlfn.XLOOKUP(A110,'외운 것'!A2:A271,'외운 것'!C2:C271,0,1),0),"3차")</f>
        <v>2026-04-28</v>
      </c>
      <c r="K110" s="8" cm="1">
        <f t="array" ref="K110">IF(P110&lt;&gt;0,IF(N110&gt;=3,_xlfn.XLOOKUP(A110,'외운 것'!A2:A271,'외운 것'!C2:C271,0,1),0),"1차")</f>
        <v>0</v>
      </c>
      <c r="L110" s="8" cm="1">
        <f t="array" ref="L110">IF(Q110&lt;&gt;0,IF(N110&gt;=3,_xlfn.XLOOKUP(A110,'외운 것'!A2:A271,'외운 것'!C2:C271,0,1),0),"2차")</f>
        <v>0</v>
      </c>
      <c r="M110" s="8" cm="1">
        <f t="array" ref="M110">IF(R110&lt;&gt;0,IF(O110&gt;=3,_xlfn.XLOOKUP(B110,'외운 것'!B2:B271,'외운 것'!D2:D271,0,1),0),"3차")</f>
        <v>0</v>
      </c>
      <c r="N110" s="8">
        <v>2</v>
      </c>
      <c r="O110" s="8">
        <v>3</v>
      </c>
      <c r="P110" s="8">
        <v>1</v>
      </c>
      <c r="Q110" s="8">
        <v>1</v>
      </c>
      <c r="R110" s="8">
        <v>1</v>
      </c>
    </row>
    <row r="111" ht="16" customHeight="1">
      <c r="A111" s="8">
        <v>110</v>
      </c>
      <c r="B111" s="8">
        <v>40</v>
      </c>
      <c r="C111" t="s" s="9">
        <v>236</v>
      </c>
      <c r="D111" t="s" s="9">
        <v>236</v>
      </c>
      <c r="E111" t="s" s="9">
        <v>354</v>
      </c>
      <c r="F111" t="s" s="9">
        <v>355</v>
      </c>
      <c r="G111" t="s" s="9">
        <v>356</v>
      </c>
      <c r="H111" s="8" cm="1">
        <f t="array" ref="H111">MIN(SUMIF('외운 것'!A2:A271,A111,'외운 것'!D2:D271)+IF(R111=0,3,IF(R111=1,2,0)),3)</f>
        <v>3</v>
      </c>
      <c r="I111" s="8" cm="1">
        <f t="array" ref="I111">_xlfn.COUNTIFS('외운 것'!A2:A271,A111,'외운 것'!D2:D271,0)</f>
        <v>0</v>
      </c>
      <c r="J111" t="str" s="10" cm="1">
        <f t="array" ref="J111">IF(R111&lt;&gt;0,IF(H111&gt;=3,_xlfn.XLOOKUP(A111,'외운 것'!A2:A271,'외운 것'!C2:C271,0,1),0),"3차")</f>
        <v>3차</v>
      </c>
      <c r="K111" t="str" s="11" cm="1">
        <f t="array" ref="K111">IF(P111&lt;&gt;0,IF(N111&gt;=3,_xlfn.XLOOKUP(A111,'외운 것'!A2:A271,'외운 것'!C2:C271,0,1),0),"1차")</f>
        <v>1차</v>
      </c>
      <c r="L111" t="str" s="11" cm="1">
        <f t="array" ref="L111">IF(Q111&lt;&gt;0,IF(N111&gt;=3,_xlfn.XLOOKUP(A111,'외운 것'!A2:A271,'외운 것'!C2:C271,0,1),0),"2차")</f>
        <v>2차</v>
      </c>
      <c r="M111" t="str" s="11" cm="1">
        <f t="array" ref="M111">IF(R111&lt;&gt;0,IF(O111&gt;=3,_xlfn.XLOOKUP(B111,'외운 것'!B2:B271,'외운 것'!D2:D271,0,1),0),"3차")</f>
        <v>3차</v>
      </c>
      <c r="N111" s="8">
        <v>3</v>
      </c>
      <c r="O111" s="8">
        <v>3</v>
      </c>
      <c r="P111" s="8">
        <v>0</v>
      </c>
      <c r="Q111" s="8">
        <v>0</v>
      </c>
      <c r="R111" s="8">
        <v>0</v>
      </c>
    </row>
    <row r="112" ht="16" customHeight="1">
      <c r="A112" s="8">
        <v>111</v>
      </c>
      <c r="B112" s="8">
        <v>41</v>
      </c>
      <c r="C112" t="s" s="9">
        <v>236</v>
      </c>
      <c r="D112" t="s" s="9">
        <v>236</v>
      </c>
      <c r="E112" t="s" s="9">
        <v>357</v>
      </c>
      <c r="F112" t="s" s="9">
        <v>358</v>
      </c>
      <c r="G112" t="s" s="9">
        <v>359</v>
      </c>
      <c r="H112" s="8" cm="1">
        <f t="array" ref="H112">MIN(SUMIF('외운 것'!A2:A271,A112,'외운 것'!D2:D271)+IF(R112=0,3,IF(R112=1,2,0)),3)</f>
        <v>3</v>
      </c>
      <c r="I112" s="8" cm="1">
        <f t="array" ref="I112">_xlfn.COUNTIFS('외운 것'!A2:A271,A112,'외운 것'!D2:D271,0)</f>
        <v>1</v>
      </c>
      <c r="J112" t="str" s="10" cm="1">
        <f t="array" ref="J112">IF(R112&lt;&gt;0,IF(H112&gt;=3,_xlfn.XLOOKUP(A112,'외운 것'!A2:A271,'외운 것'!C2:C271,0,1),0),"3차")</f>
        <v>2026-04-28</v>
      </c>
      <c r="K112" s="8" cm="1">
        <f t="array" ref="K112">IF(P112&lt;&gt;0,IF(N112&gt;=3,_xlfn.XLOOKUP(A112,'외운 것'!A2:A271,'외운 것'!C2:C271,0,1),0),"1차")</f>
        <v>0</v>
      </c>
      <c r="L112" s="8" cm="1">
        <f t="array" ref="L112">IF(Q112&lt;&gt;0,IF(N112&gt;=3,_xlfn.XLOOKUP(A112,'외운 것'!A2:A271,'외운 것'!C2:C271,0,1),0),"2차")</f>
        <v>0</v>
      </c>
      <c r="M112" s="8" cm="1">
        <f t="array" ref="M112">IF(R112&lt;&gt;0,IF(O112&gt;=3,_xlfn.XLOOKUP(B112,'외운 것'!B2:B271,'외운 것'!D2:D271,0,1),0),"3차")</f>
        <v>0</v>
      </c>
      <c r="N112" s="8">
        <v>2</v>
      </c>
      <c r="O112" s="8">
        <v>3</v>
      </c>
      <c r="P112" s="8">
        <v>1</v>
      </c>
      <c r="Q112" s="8">
        <v>2</v>
      </c>
      <c r="R112" s="8">
        <v>1</v>
      </c>
    </row>
    <row r="113" ht="16" customHeight="1">
      <c r="A113" s="8">
        <v>112</v>
      </c>
      <c r="B113" s="8">
        <v>42</v>
      </c>
      <c r="C113" t="s" s="9">
        <v>236</v>
      </c>
      <c r="D113" t="s" s="9">
        <v>236</v>
      </c>
      <c r="E113" t="s" s="9">
        <v>360</v>
      </c>
      <c r="F113" t="s" s="9">
        <v>361</v>
      </c>
      <c r="G113" t="s" s="9">
        <v>362</v>
      </c>
      <c r="H113" s="8" cm="1">
        <f t="array" ref="H113">MIN(SUMIF('외운 것'!A2:A271,A113,'외운 것'!D2:D271)+IF(R113=0,3,IF(R113=1,2,0)),3)</f>
        <v>3</v>
      </c>
      <c r="I113" s="8" cm="1">
        <f t="array" ref="I113">_xlfn.COUNTIFS('외운 것'!A2:A271,A113,'외운 것'!D2:D271,0)</f>
        <v>0</v>
      </c>
      <c r="J113" t="str" s="10" cm="1">
        <f t="array" ref="J113">IF(R113&lt;&gt;0,IF(H113&gt;=3,_xlfn.XLOOKUP(A113,'외운 것'!A2:A271,'외운 것'!C2:C271,0,1),0),"3차")</f>
        <v>3차</v>
      </c>
      <c r="K113" t="str" s="11" cm="1">
        <f t="array" ref="K113">IF(P113&lt;&gt;0,IF(N113&gt;=3,_xlfn.XLOOKUP(A113,'외운 것'!A2:A271,'외운 것'!C2:C271,0,1),0),"1차")</f>
        <v>1차</v>
      </c>
      <c r="L113" t="str" s="11" cm="1">
        <f t="array" ref="L113">IF(Q113&lt;&gt;0,IF(N113&gt;=3,_xlfn.XLOOKUP(A113,'외운 것'!A2:A271,'외운 것'!C2:C271,0,1),0),"2차")</f>
        <v>2차</v>
      </c>
      <c r="M113" t="str" s="11" cm="1">
        <f t="array" ref="M113">IF(R113&lt;&gt;0,IF(O113&gt;=3,_xlfn.XLOOKUP(B113,'외운 것'!B2:B271,'외운 것'!D2:D271,0,1),0),"3차")</f>
        <v>3차</v>
      </c>
      <c r="N113" s="8">
        <v>3</v>
      </c>
      <c r="O113" s="8">
        <v>3</v>
      </c>
      <c r="P113" s="8">
        <v>0</v>
      </c>
      <c r="Q113" s="8">
        <v>0</v>
      </c>
      <c r="R113" s="8">
        <v>0</v>
      </c>
    </row>
    <row r="114" ht="16" customHeight="1">
      <c r="A114" s="8">
        <v>113</v>
      </c>
      <c r="B114" s="8">
        <v>43</v>
      </c>
      <c r="C114" t="s" s="9">
        <v>236</v>
      </c>
      <c r="D114" t="s" s="9">
        <v>236</v>
      </c>
      <c r="E114" t="s" s="9">
        <v>363</v>
      </c>
      <c r="F114" t="s" s="9">
        <v>364</v>
      </c>
      <c r="G114" t="s" s="9">
        <v>365</v>
      </c>
      <c r="H114" s="8" cm="1">
        <f t="array" ref="H114">MIN(SUMIF('외운 것'!A2:A271,A114,'외운 것'!D2:D271)+IF(R114=0,3,IF(R114=1,2,0)),3)</f>
        <v>3</v>
      </c>
      <c r="I114" s="8" cm="1">
        <f t="array" ref="I114">_xlfn.COUNTIFS('외운 것'!A2:A271,A114,'외운 것'!D2:D271,0)</f>
        <v>0</v>
      </c>
      <c r="J114" t="str" s="10" cm="1">
        <f t="array" ref="J114">IF(R114&lt;&gt;0,IF(H114&gt;=3,_xlfn.XLOOKUP(A114,'외운 것'!A2:A271,'외운 것'!C2:C271,0,1),0),"3차")</f>
        <v>3차</v>
      </c>
      <c r="K114" s="8" cm="1">
        <f t="array" ref="K114">IF(P114&lt;&gt;0,IF(N114&gt;=3,_xlfn.XLOOKUP(A114,'외운 것'!A2:A271,'외운 것'!C2:C271,0,1),0),"1차")</f>
        <v>0</v>
      </c>
      <c r="L114" t="str" s="11" cm="1">
        <f t="array" ref="L114">IF(Q114&lt;&gt;0,IF(N114&gt;=3,_xlfn.XLOOKUP(A114,'외운 것'!A2:A271,'외운 것'!C2:C271,0,1),0),"2차")</f>
        <v>2차</v>
      </c>
      <c r="M114" t="str" s="11" cm="1">
        <f t="array" ref="M114">IF(R114&lt;&gt;0,IF(O114&gt;=3,_xlfn.XLOOKUP(B114,'외운 것'!B2:B271,'외운 것'!D2:D271,0,1),0),"3차")</f>
        <v>3차</v>
      </c>
      <c r="N114" s="8">
        <v>2</v>
      </c>
      <c r="O114" s="8">
        <v>3</v>
      </c>
      <c r="P114" s="8">
        <v>1</v>
      </c>
      <c r="Q114" s="8">
        <v>0</v>
      </c>
      <c r="R114" s="8">
        <v>0</v>
      </c>
    </row>
    <row r="115" ht="16" customHeight="1">
      <c r="A115" s="8">
        <v>114</v>
      </c>
      <c r="B115" s="8">
        <v>44</v>
      </c>
      <c r="C115" t="s" s="9">
        <v>236</v>
      </c>
      <c r="D115" t="s" s="9">
        <v>236</v>
      </c>
      <c r="E115" t="s" s="9">
        <v>366</v>
      </c>
      <c r="F115" t="s" s="9">
        <v>367</v>
      </c>
      <c r="G115" t="s" s="9">
        <v>368</v>
      </c>
      <c r="H115" s="8" cm="1">
        <f t="array" ref="H115">MIN(SUMIF('외운 것'!A2:A271,A115,'외운 것'!D2:D271)+IF(R115=0,3,IF(R115=1,2,0)),3)</f>
        <v>3</v>
      </c>
      <c r="I115" s="8" cm="1">
        <f t="array" ref="I115">_xlfn.COUNTIFS('외운 것'!A2:A271,A115,'외운 것'!D2:D271,0)</f>
        <v>0</v>
      </c>
      <c r="J115" t="str" s="10" cm="1">
        <f t="array" ref="J115">IF(R115&lt;&gt;0,IF(H115&gt;=3,_xlfn.XLOOKUP(A115,'외운 것'!A2:A271,'외운 것'!C2:C271,0,1),0),"3차")</f>
        <v>3차</v>
      </c>
      <c r="K115" t="str" s="11" cm="1">
        <f t="array" ref="K115">IF(P115&lt;&gt;0,IF(N115&gt;=3,_xlfn.XLOOKUP(A115,'외운 것'!A2:A271,'외운 것'!C2:C271,0,1),0),"1차")</f>
        <v>1차</v>
      </c>
      <c r="L115" t="str" s="11" cm="1">
        <f t="array" ref="L115">IF(Q115&lt;&gt;0,IF(N115&gt;=3,_xlfn.XLOOKUP(A115,'외운 것'!A2:A271,'외운 것'!C2:C271,0,1),0),"2차")</f>
        <v>2차</v>
      </c>
      <c r="M115" t="str" s="11" cm="1">
        <f t="array" ref="M115">IF(R115&lt;&gt;0,IF(O115&gt;=3,_xlfn.XLOOKUP(B115,'외운 것'!B2:B271,'외운 것'!D2:D271,0,1),0),"3차")</f>
        <v>3차</v>
      </c>
      <c r="N115" s="8">
        <v>3</v>
      </c>
      <c r="O115" s="8">
        <v>3</v>
      </c>
      <c r="P115" s="8">
        <v>0</v>
      </c>
      <c r="Q115" s="8">
        <v>0</v>
      </c>
      <c r="R115" s="8">
        <v>0</v>
      </c>
    </row>
    <row r="116" ht="16" customHeight="1">
      <c r="A116" s="8">
        <v>115</v>
      </c>
      <c r="B116" s="8">
        <v>45</v>
      </c>
      <c r="C116" t="s" s="9">
        <v>236</v>
      </c>
      <c r="D116" t="s" s="9">
        <v>236</v>
      </c>
      <c r="E116" t="s" s="9">
        <v>369</v>
      </c>
      <c r="F116" t="s" s="9">
        <v>370</v>
      </c>
      <c r="G116" t="s" s="9">
        <v>371</v>
      </c>
      <c r="H116" s="8" cm="1">
        <f t="array" ref="H116">MIN(SUMIF('외운 것'!A2:A271,A116,'외운 것'!D2:D271)+IF(R116=0,3,IF(R116=1,2,0)),3)</f>
        <v>3</v>
      </c>
      <c r="I116" s="8" cm="1">
        <f t="array" ref="I116">_xlfn.COUNTIFS('외운 것'!A2:A271,A116,'외운 것'!D2:D271,0)</f>
        <v>0</v>
      </c>
      <c r="J116" t="str" s="10" cm="1">
        <f t="array" ref="J116">IF(R116&lt;&gt;0,IF(H116&gt;=3,_xlfn.XLOOKUP(A116,'외운 것'!A2:A271,'외운 것'!C2:C271,0,1),0),"3차")</f>
        <v>3차</v>
      </c>
      <c r="K116" s="8" cm="1">
        <f t="array" ref="K116">IF(P116&lt;&gt;0,IF(N116&gt;=3,_xlfn.XLOOKUP(A116,'외운 것'!A2:A271,'외운 것'!C2:C271,0,1),0),"1차")</f>
        <v>0</v>
      </c>
      <c r="L116" t="str" s="11" cm="1">
        <f t="array" ref="L116">IF(Q116&lt;&gt;0,IF(N116&gt;=3,_xlfn.XLOOKUP(A116,'외운 것'!A2:A271,'외운 것'!C2:C271,0,1),0),"2차")</f>
        <v>2차</v>
      </c>
      <c r="M116" t="str" s="11" cm="1">
        <f t="array" ref="M116">IF(R116&lt;&gt;0,IF(O116&gt;=3,_xlfn.XLOOKUP(B116,'외운 것'!B2:B271,'외운 것'!D2:D271,0,1),0),"3차")</f>
        <v>3차</v>
      </c>
      <c r="N116" s="8">
        <v>0</v>
      </c>
      <c r="O116" s="8">
        <v>3</v>
      </c>
      <c r="P116" s="8">
        <v>2</v>
      </c>
      <c r="Q116" s="8">
        <v>0</v>
      </c>
      <c r="R116" s="8">
        <v>0</v>
      </c>
    </row>
    <row r="117" ht="16" customHeight="1">
      <c r="A117" s="8">
        <v>116</v>
      </c>
      <c r="B117" s="8">
        <v>46</v>
      </c>
      <c r="C117" t="s" s="9">
        <v>236</v>
      </c>
      <c r="D117" t="s" s="9">
        <v>236</v>
      </c>
      <c r="E117" t="s" s="9">
        <v>372</v>
      </c>
      <c r="F117" t="s" s="9">
        <v>373</v>
      </c>
      <c r="G117" t="s" s="9">
        <v>374</v>
      </c>
      <c r="H117" s="8" cm="1">
        <f t="array" ref="H117">MIN(SUMIF('외운 것'!A2:A271,A117,'외운 것'!D2:D271)+IF(R117=0,3,IF(R117=1,2,0)),3)</f>
        <v>3</v>
      </c>
      <c r="I117" s="8" cm="1">
        <f t="array" ref="I117">_xlfn.COUNTIFS('외운 것'!A2:A271,A117,'외운 것'!D2:D271,0)</f>
        <v>0</v>
      </c>
      <c r="J117" t="str" s="10" cm="1">
        <f t="array" ref="J117">IF(R117&lt;&gt;0,IF(H117&gt;=3,_xlfn.XLOOKUP(A117,'외운 것'!A2:A271,'외운 것'!C2:C271,0,1),0),"3차")</f>
        <v>3차</v>
      </c>
      <c r="K117" s="8" cm="1">
        <f t="array" ref="K117">IF(P117&lt;&gt;0,IF(N117&gt;=3,_xlfn.XLOOKUP(A117,'외운 것'!A2:A271,'외운 것'!C2:C271,0,1),0),"1차")</f>
        <v>0</v>
      </c>
      <c r="L117" t="str" s="11" cm="1">
        <f t="array" ref="L117">IF(Q117&lt;&gt;0,IF(N117&gt;=3,_xlfn.XLOOKUP(A117,'외운 것'!A2:A271,'외운 것'!C2:C271,0,1),0),"2차")</f>
        <v>2차</v>
      </c>
      <c r="M117" t="str" s="11" cm="1">
        <f t="array" ref="M117">IF(R117&lt;&gt;0,IF(O117&gt;=3,_xlfn.XLOOKUP(B117,'외운 것'!B2:B271,'외운 것'!D2:D271,0,1),0),"3차")</f>
        <v>3차</v>
      </c>
      <c r="N117" s="8">
        <v>0</v>
      </c>
      <c r="O117" s="8">
        <v>3</v>
      </c>
      <c r="P117" s="8">
        <v>2</v>
      </c>
      <c r="Q117" s="8">
        <v>0</v>
      </c>
      <c r="R117" s="8">
        <v>0</v>
      </c>
    </row>
    <row r="118" ht="16" customHeight="1">
      <c r="A118" s="8">
        <v>117</v>
      </c>
      <c r="B118" s="8">
        <v>47</v>
      </c>
      <c r="C118" t="s" s="9">
        <v>236</v>
      </c>
      <c r="D118" t="s" s="9">
        <v>236</v>
      </c>
      <c r="E118" t="s" s="9">
        <v>375</v>
      </c>
      <c r="F118" t="s" s="9">
        <v>376</v>
      </c>
      <c r="G118" t="s" s="9">
        <v>377</v>
      </c>
      <c r="H118" s="8" cm="1">
        <f t="array" ref="H118">MIN(SUMIF('외운 것'!A2:A271,A118,'외운 것'!D2:D271)+IF(R118=0,3,IF(R118=1,2,0)),3)</f>
        <v>3</v>
      </c>
      <c r="I118" s="8" cm="1">
        <f t="array" ref="I118">_xlfn.COUNTIFS('외운 것'!A2:A271,A118,'외운 것'!D2:D271,0)</f>
        <v>0</v>
      </c>
      <c r="J118" t="str" s="10" cm="1">
        <f t="array" ref="J118">IF(R118&lt;&gt;0,IF(H118&gt;=3,_xlfn.XLOOKUP(A118,'외운 것'!A2:A271,'외운 것'!C2:C271,0,1),0),"3차")</f>
        <v>3차</v>
      </c>
      <c r="K118" s="8" cm="1">
        <f t="array" ref="K118">IF(P118&lt;&gt;0,IF(N118&gt;=3,_xlfn.XLOOKUP(A118,'외운 것'!A2:A271,'외운 것'!C2:C271,0,1),0),"1차")</f>
        <v>0</v>
      </c>
      <c r="L118" t="str" s="11" cm="1">
        <f t="array" ref="L118">IF(Q118&lt;&gt;0,IF(N118&gt;=3,_xlfn.XLOOKUP(A118,'외운 것'!A2:A271,'외운 것'!C2:C271,0,1),0),"2차")</f>
        <v>2차</v>
      </c>
      <c r="M118" t="str" s="11" cm="1">
        <f t="array" ref="M118">IF(R118&lt;&gt;0,IF(O118&gt;=3,_xlfn.XLOOKUP(B118,'외운 것'!B2:B271,'외운 것'!D2:D271,0,1),0),"3차")</f>
        <v>3차</v>
      </c>
      <c r="N118" s="8">
        <v>2</v>
      </c>
      <c r="O118" s="8">
        <v>3</v>
      </c>
      <c r="P118" s="8">
        <v>1</v>
      </c>
      <c r="Q118" s="8">
        <v>0</v>
      </c>
      <c r="R118" s="8">
        <v>0</v>
      </c>
    </row>
    <row r="119" ht="16" customHeight="1">
      <c r="A119" s="8">
        <v>118</v>
      </c>
      <c r="B119" s="8">
        <v>48</v>
      </c>
      <c r="C119" t="s" s="9">
        <v>236</v>
      </c>
      <c r="D119" t="s" s="9">
        <v>236</v>
      </c>
      <c r="E119" t="s" s="9">
        <v>378</v>
      </c>
      <c r="F119" t="s" s="9">
        <v>379</v>
      </c>
      <c r="G119" t="s" s="9">
        <v>380</v>
      </c>
      <c r="H119" s="8" cm="1">
        <f t="array" ref="H119">MIN(SUMIF('외운 것'!A2:A271,A119,'외운 것'!D2:D271)+IF(R119=0,3,IF(R119=1,2,0)),3)</f>
        <v>3</v>
      </c>
      <c r="I119" s="8" cm="1">
        <f t="array" ref="I119">_xlfn.COUNTIFS('외운 것'!A2:A271,A119,'외운 것'!D2:D271,0)</f>
        <v>0</v>
      </c>
      <c r="J119" t="str" s="10" cm="1">
        <f t="array" ref="J119">IF(R119&lt;&gt;0,IF(H119&gt;=3,_xlfn.XLOOKUP(A119,'외운 것'!A2:A271,'외운 것'!C2:C271,0,1),0),"3차")</f>
        <v>3차</v>
      </c>
      <c r="K119" s="8" cm="1">
        <f t="array" ref="K119">IF(P119&lt;&gt;0,IF(N119&gt;=3,_xlfn.XLOOKUP(A119,'외운 것'!A2:A271,'외운 것'!C2:C271,0,1),0),"1차")</f>
        <v>0</v>
      </c>
      <c r="L119" t="str" s="11" cm="1">
        <f t="array" ref="L119">IF(Q119&lt;&gt;0,IF(N119&gt;=3,_xlfn.XLOOKUP(A119,'외운 것'!A2:A271,'외운 것'!C2:C271,0,1),0),"2차")</f>
        <v>2차</v>
      </c>
      <c r="M119" t="str" s="11" cm="1">
        <f t="array" ref="M119">IF(R119&lt;&gt;0,IF(O119&gt;=3,_xlfn.XLOOKUP(B119,'외운 것'!B2:B271,'외운 것'!D2:D271,0,1),0),"3차")</f>
        <v>3차</v>
      </c>
      <c r="N119" s="8">
        <v>2</v>
      </c>
      <c r="O119" s="8">
        <v>3</v>
      </c>
      <c r="P119" s="8">
        <v>1</v>
      </c>
      <c r="Q119" s="8">
        <v>0</v>
      </c>
      <c r="R119" s="8">
        <v>0</v>
      </c>
    </row>
    <row r="120" ht="16" customHeight="1">
      <c r="A120" s="8">
        <v>119</v>
      </c>
      <c r="B120" s="8">
        <v>49</v>
      </c>
      <c r="C120" t="s" s="9">
        <v>236</v>
      </c>
      <c r="D120" t="s" s="9">
        <v>236</v>
      </c>
      <c r="E120" t="s" s="9">
        <v>381</v>
      </c>
      <c r="F120" t="s" s="9">
        <v>382</v>
      </c>
      <c r="G120" t="s" s="9">
        <v>383</v>
      </c>
      <c r="H120" s="8" cm="1">
        <f t="array" ref="H120">MIN(SUMIF('외운 것'!A2:A271,A120,'외운 것'!D2:D271)+IF(R120=0,3,IF(R120=1,2,0)),3)</f>
        <v>3</v>
      </c>
      <c r="I120" s="8" cm="1">
        <f t="array" ref="I120">_xlfn.COUNTIFS('외운 것'!A2:A271,A120,'외운 것'!D2:D271,0)</f>
        <v>0</v>
      </c>
      <c r="J120" t="str" s="10" cm="1">
        <f t="array" ref="J120">IF(R120&lt;&gt;0,IF(H120&gt;=3,_xlfn.XLOOKUP(A120,'외운 것'!A2:A271,'외운 것'!C2:C271,0,1),0),"3차")</f>
        <v>3차</v>
      </c>
      <c r="K120" s="8" cm="1">
        <f t="array" ref="K120">IF(P120&lt;&gt;0,IF(N120&gt;=3,_xlfn.XLOOKUP(A120,'외운 것'!A2:A271,'외운 것'!C2:C271,0,1),0),"1차")</f>
        <v>0</v>
      </c>
      <c r="L120" s="8" cm="1">
        <f t="array" ref="L120">IF(Q120&lt;&gt;0,IF(N120&gt;=3,_xlfn.XLOOKUP(A120,'외운 것'!A2:A271,'외운 것'!C2:C271,0,1),0),"2차")</f>
        <v>0</v>
      </c>
      <c r="M120" t="str" s="11" cm="1">
        <f t="array" ref="M120">IF(R120&lt;&gt;0,IF(O120&gt;=3,_xlfn.XLOOKUP(B120,'외운 것'!B2:B271,'외운 것'!D2:D271,0,1),0),"3차")</f>
        <v>3차</v>
      </c>
      <c r="N120" s="8">
        <v>0</v>
      </c>
      <c r="O120" s="8">
        <v>3</v>
      </c>
      <c r="P120" s="8">
        <v>5</v>
      </c>
      <c r="Q120" s="8">
        <v>2</v>
      </c>
      <c r="R120" s="8">
        <v>0</v>
      </c>
    </row>
    <row r="121" ht="16" customHeight="1">
      <c r="A121" s="8">
        <v>120</v>
      </c>
      <c r="B121" s="8">
        <v>50</v>
      </c>
      <c r="C121" t="s" s="9">
        <v>236</v>
      </c>
      <c r="D121" t="s" s="9">
        <v>236</v>
      </c>
      <c r="E121" t="s" s="9">
        <v>384</v>
      </c>
      <c r="F121" t="s" s="9">
        <v>385</v>
      </c>
      <c r="G121" t="s" s="9">
        <v>386</v>
      </c>
      <c r="H121" s="8" cm="1">
        <f t="array" ref="H121">MIN(SUMIF('외운 것'!A2:A271,A121,'외운 것'!D2:D271)+IF(R121=0,3,IF(R121=1,2,0)),3)</f>
        <v>3</v>
      </c>
      <c r="I121" s="8" cm="1">
        <f t="array" ref="I121">_xlfn.COUNTIFS('외운 것'!A2:A271,A121,'외운 것'!D2:D271,0)</f>
        <v>0</v>
      </c>
      <c r="J121" t="str" s="10" cm="1">
        <f t="array" ref="J121">IF(R121&lt;&gt;0,IF(H121&gt;=3,_xlfn.XLOOKUP(A121,'외운 것'!A2:A271,'외운 것'!C2:C271,0,1),0),"3차")</f>
        <v>3차</v>
      </c>
      <c r="K121" s="8" cm="1">
        <f t="array" ref="K121">IF(P121&lt;&gt;0,IF(N121&gt;=3,_xlfn.XLOOKUP(A121,'외운 것'!A2:A271,'외운 것'!C2:C271,0,1),0),"1차")</f>
        <v>0</v>
      </c>
      <c r="L121" t="str" s="11" cm="1">
        <f t="array" ref="L121">IF(Q121&lt;&gt;0,IF(N121&gt;=3,_xlfn.XLOOKUP(A121,'외운 것'!A2:A271,'외운 것'!C2:C271,0,1),0),"2차")</f>
        <v>2차</v>
      </c>
      <c r="M121" t="str" s="11" cm="1">
        <f t="array" ref="M121">IF(R121&lt;&gt;0,IF(O121&gt;=3,_xlfn.XLOOKUP(B121,'외운 것'!B2:B271,'외운 것'!D2:D271,0,1),0),"3차")</f>
        <v>3차</v>
      </c>
      <c r="N121" s="8">
        <v>2</v>
      </c>
      <c r="O121" s="8">
        <v>3</v>
      </c>
      <c r="P121" s="8">
        <v>1</v>
      </c>
      <c r="Q121" s="8">
        <v>0</v>
      </c>
      <c r="R121" s="8">
        <v>0</v>
      </c>
    </row>
    <row r="122" ht="16" customHeight="1">
      <c r="A122" s="8">
        <v>121</v>
      </c>
      <c r="B122" s="8">
        <v>51</v>
      </c>
      <c r="C122" t="s" s="9">
        <v>236</v>
      </c>
      <c r="D122" t="s" s="9">
        <v>236</v>
      </c>
      <c r="E122" t="s" s="9">
        <v>387</v>
      </c>
      <c r="F122" t="s" s="9">
        <v>388</v>
      </c>
      <c r="G122" t="s" s="9">
        <v>389</v>
      </c>
      <c r="H122" s="8" cm="1">
        <f t="array" ref="H122">MIN(SUMIF('외운 것'!A2:A271,A122,'외운 것'!D2:D271)+IF(R122=0,3,IF(R122=1,2,0)),3)</f>
        <v>3</v>
      </c>
      <c r="I122" s="8" cm="1">
        <f t="array" ref="I122">_xlfn.COUNTIFS('외운 것'!A2:A271,A122,'외운 것'!D2:D271,0)</f>
        <v>0</v>
      </c>
      <c r="J122" t="str" s="10" cm="1">
        <f t="array" ref="J122">IF(R122&lt;&gt;0,IF(H122&gt;=3,_xlfn.XLOOKUP(A122,'외운 것'!A2:A271,'외운 것'!C2:C271,0,1),0),"3차")</f>
        <v>3차</v>
      </c>
      <c r="K122" t="str" s="11" cm="1">
        <f t="array" ref="K122">IF(P122&lt;&gt;0,IF(N122&gt;=3,_xlfn.XLOOKUP(A122,'외운 것'!A2:A271,'외운 것'!C2:C271,0,1),0),"1차")</f>
        <v>1차</v>
      </c>
      <c r="L122" t="str" s="11" cm="1">
        <f t="array" ref="L122">IF(Q122&lt;&gt;0,IF(N122&gt;=3,_xlfn.XLOOKUP(A122,'외운 것'!A2:A271,'외운 것'!C2:C271,0,1),0),"2차")</f>
        <v>2차</v>
      </c>
      <c r="M122" t="str" s="11" cm="1">
        <f t="array" ref="M122">IF(R122&lt;&gt;0,IF(O122&gt;=3,_xlfn.XLOOKUP(B122,'외운 것'!B2:B271,'외운 것'!D2:D271,0,1),0),"3차")</f>
        <v>3차</v>
      </c>
      <c r="N122" s="8">
        <v>3</v>
      </c>
      <c r="O122" s="8">
        <v>3</v>
      </c>
      <c r="P122" s="8">
        <v>0</v>
      </c>
      <c r="Q122" s="8">
        <v>0</v>
      </c>
      <c r="R122" s="8">
        <v>0</v>
      </c>
    </row>
    <row r="123" ht="16" customHeight="1">
      <c r="A123" s="8">
        <v>122</v>
      </c>
      <c r="B123" s="8">
        <v>52</v>
      </c>
      <c r="C123" t="s" s="9">
        <v>236</v>
      </c>
      <c r="D123" t="s" s="9">
        <v>236</v>
      </c>
      <c r="E123" t="s" s="9">
        <v>390</v>
      </c>
      <c r="F123" t="s" s="9">
        <v>391</v>
      </c>
      <c r="G123" t="s" s="9">
        <v>392</v>
      </c>
      <c r="H123" s="8" cm="1">
        <f t="array" ref="H123">MIN(SUMIF('외운 것'!A2:A271,A123,'외운 것'!D2:D271)+IF(R123=0,3,IF(R123=1,2,0)),3)</f>
        <v>3</v>
      </c>
      <c r="I123" s="8" cm="1">
        <f t="array" ref="I123">_xlfn.COUNTIFS('외운 것'!A2:A271,A123,'외운 것'!D2:D271,0)</f>
        <v>0</v>
      </c>
      <c r="J123" t="str" s="10" cm="1">
        <f t="array" ref="J123">IF(R123&lt;&gt;0,IF(H123&gt;=3,_xlfn.XLOOKUP(A123,'외운 것'!A2:A271,'외운 것'!C2:C271,0,1),0),"3차")</f>
        <v>3차</v>
      </c>
      <c r="K123" s="8" cm="1">
        <f t="array" ref="K123">IF(P123&lt;&gt;0,IF(N123&gt;=3,_xlfn.XLOOKUP(A123,'외운 것'!A2:A271,'외운 것'!C2:C271,0,1),0),"1차")</f>
        <v>0</v>
      </c>
      <c r="L123" t="str" s="11" cm="1">
        <f t="array" ref="L123">IF(Q123&lt;&gt;0,IF(N123&gt;=3,_xlfn.XLOOKUP(A123,'외운 것'!A2:A271,'외운 것'!C2:C271,0,1),0),"2차")</f>
        <v>2차</v>
      </c>
      <c r="M123" t="str" s="11" cm="1">
        <f t="array" ref="M123">IF(R123&lt;&gt;0,IF(O123&gt;=3,_xlfn.XLOOKUP(B123,'외운 것'!B2:B271,'외운 것'!D2:D271,0,1),0),"3차")</f>
        <v>3차</v>
      </c>
      <c r="N123" s="8">
        <v>2</v>
      </c>
      <c r="O123" s="8">
        <v>3</v>
      </c>
      <c r="P123" s="8">
        <v>1</v>
      </c>
      <c r="Q123" s="8">
        <v>0</v>
      </c>
      <c r="R123" s="8">
        <v>0</v>
      </c>
    </row>
    <row r="124" ht="16" customHeight="1">
      <c r="A124" s="8">
        <v>123</v>
      </c>
      <c r="B124" s="8">
        <v>53</v>
      </c>
      <c r="C124" t="s" s="9">
        <v>236</v>
      </c>
      <c r="D124" t="s" s="9">
        <v>236</v>
      </c>
      <c r="E124" t="s" s="9">
        <v>393</v>
      </c>
      <c r="F124" t="s" s="9">
        <v>394</v>
      </c>
      <c r="G124" t="s" s="9">
        <v>395</v>
      </c>
      <c r="H124" s="8" cm="1">
        <f t="array" ref="H124">MIN(SUMIF('외운 것'!A2:A271,A124,'외운 것'!D2:D271)+IF(R124=0,3,IF(R124=1,2,0)),3)</f>
        <v>3</v>
      </c>
      <c r="I124" s="8" cm="1">
        <f t="array" ref="I124">_xlfn.COUNTIFS('외운 것'!A2:A271,A124,'외운 것'!D2:D271,0)</f>
        <v>0</v>
      </c>
      <c r="J124" t="str" s="10" cm="1">
        <f t="array" ref="J124">IF(R124&lt;&gt;0,IF(H124&gt;=3,_xlfn.XLOOKUP(A124,'외운 것'!A2:A271,'외운 것'!C2:C271,0,1),0),"3차")</f>
        <v>3차</v>
      </c>
      <c r="K124" t="str" s="11" cm="1">
        <f t="array" ref="K124">IF(P124&lt;&gt;0,IF(N124&gt;=3,_xlfn.XLOOKUP(A124,'외운 것'!A2:A271,'외운 것'!C2:C271,0,1),0),"1차")</f>
        <v>1차</v>
      </c>
      <c r="L124" t="str" s="11" cm="1">
        <f t="array" ref="L124">IF(Q124&lt;&gt;0,IF(N124&gt;=3,_xlfn.XLOOKUP(A124,'외운 것'!A2:A271,'외운 것'!C2:C271,0,1),0),"2차")</f>
        <v>2차</v>
      </c>
      <c r="M124" t="str" s="11" cm="1">
        <f t="array" ref="M124">IF(R124&lt;&gt;0,IF(O124&gt;=3,_xlfn.XLOOKUP(B124,'외운 것'!B2:B271,'외운 것'!D2:D271,0,1),0),"3차")</f>
        <v>3차</v>
      </c>
      <c r="N124" s="8">
        <v>3</v>
      </c>
      <c r="O124" s="8">
        <v>3</v>
      </c>
      <c r="P124" s="8">
        <v>0</v>
      </c>
      <c r="Q124" s="8">
        <v>0</v>
      </c>
      <c r="R124" s="8">
        <v>0</v>
      </c>
    </row>
    <row r="125" ht="16" customHeight="1">
      <c r="A125" s="8">
        <v>124</v>
      </c>
      <c r="B125" s="8">
        <v>54</v>
      </c>
      <c r="C125" t="s" s="9">
        <v>236</v>
      </c>
      <c r="D125" t="s" s="9">
        <v>236</v>
      </c>
      <c r="E125" t="s" s="9">
        <v>396</v>
      </c>
      <c r="F125" t="s" s="9">
        <v>397</v>
      </c>
      <c r="G125" t="s" s="9">
        <v>398</v>
      </c>
      <c r="H125" s="8" cm="1">
        <f t="array" ref="H125">MIN(SUMIF('외운 것'!A2:A271,A125,'외운 것'!D2:D271)+IF(R125=0,3,IF(R125=1,2,0)),3)</f>
        <v>3</v>
      </c>
      <c r="I125" s="8" cm="1">
        <f t="array" ref="I125">_xlfn.COUNTIFS('외운 것'!A2:A271,A125,'외운 것'!D2:D271,0)</f>
        <v>0</v>
      </c>
      <c r="J125" t="str" s="10" cm="1">
        <f t="array" ref="J125">IF(R125&lt;&gt;0,IF(H125&gt;=3,_xlfn.XLOOKUP(A125,'외운 것'!A2:A271,'외운 것'!C2:C271,0,1),0),"3차")</f>
        <v>3차</v>
      </c>
      <c r="K125" s="8" cm="1">
        <f t="array" ref="K125">IF(P125&lt;&gt;0,IF(N125&gt;=3,_xlfn.XLOOKUP(A125,'외운 것'!A2:A271,'외운 것'!C2:C271,0,1),0),"1차")</f>
        <v>0</v>
      </c>
      <c r="L125" s="8" cm="1">
        <f t="array" ref="L125">IF(Q125&lt;&gt;0,IF(N125&gt;=3,_xlfn.XLOOKUP(A125,'외운 것'!A2:A271,'외운 것'!C2:C271,0,1),0),"2차")</f>
        <v>0</v>
      </c>
      <c r="M125" t="str" s="11" cm="1">
        <f t="array" ref="M125">IF(R125&lt;&gt;0,IF(O125&gt;=3,_xlfn.XLOOKUP(B125,'외운 것'!B2:B271,'외운 것'!D2:D271,0,1),0),"3차")</f>
        <v>3차</v>
      </c>
      <c r="N125" s="8">
        <v>2</v>
      </c>
      <c r="O125" s="8">
        <v>3</v>
      </c>
      <c r="P125" s="8">
        <v>1</v>
      </c>
      <c r="Q125" s="8">
        <v>1</v>
      </c>
      <c r="R125" s="8">
        <v>0</v>
      </c>
    </row>
    <row r="126" ht="16" customHeight="1">
      <c r="A126" s="8">
        <v>125</v>
      </c>
      <c r="B126" s="8">
        <v>55</v>
      </c>
      <c r="C126" t="s" s="9">
        <v>236</v>
      </c>
      <c r="D126" t="s" s="9">
        <v>236</v>
      </c>
      <c r="E126" t="s" s="9">
        <v>399</v>
      </c>
      <c r="F126" t="s" s="9">
        <v>400</v>
      </c>
      <c r="G126" t="s" s="9">
        <v>401</v>
      </c>
      <c r="H126" s="8" cm="1">
        <f t="array" ref="H126">MIN(SUMIF('외운 것'!A2:A271,A126,'외운 것'!D2:D271)+IF(R126=0,3,IF(R126=1,2,0)),3)</f>
        <v>3</v>
      </c>
      <c r="I126" s="8" cm="1">
        <f t="array" ref="I126">_xlfn.COUNTIFS('외운 것'!A2:A271,A126,'외운 것'!D2:D271,0)</f>
        <v>0</v>
      </c>
      <c r="J126" t="str" s="10" cm="1">
        <f t="array" ref="J126">IF(R126&lt;&gt;0,IF(H126&gt;=3,_xlfn.XLOOKUP(A126,'외운 것'!A2:A271,'외운 것'!C2:C271,0,1),0),"3차")</f>
        <v>3차</v>
      </c>
      <c r="K126" t="str" s="11" cm="1">
        <f t="array" ref="K126">IF(P126&lt;&gt;0,IF(N126&gt;=3,_xlfn.XLOOKUP(A126,'외운 것'!A2:A271,'외운 것'!C2:C271,0,1),0),"1차")</f>
        <v>1차</v>
      </c>
      <c r="L126" t="str" s="11" cm="1">
        <f t="array" ref="L126">IF(Q126&lt;&gt;0,IF(N126&gt;=3,_xlfn.XLOOKUP(A126,'외운 것'!A2:A271,'외운 것'!C2:C271,0,1),0),"2차")</f>
        <v>2차</v>
      </c>
      <c r="M126" t="str" s="11" cm="1">
        <f t="array" ref="M126">IF(R126&lt;&gt;0,IF(O126&gt;=3,_xlfn.XLOOKUP(B126,'외운 것'!B2:B271,'외운 것'!D2:D271,0,1),0),"3차")</f>
        <v>3차</v>
      </c>
      <c r="N126" s="8">
        <v>3</v>
      </c>
      <c r="O126" s="8">
        <v>3</v>
      </c>
      <c r="P126" s="8">
        <v>0</v>
      </c>
      <c r="Q126" s="8">
        <v>0</v>
      </c>
      <c r="R126" s="8">
        <v>0</v>
      </c>
    </row>
    <row r="127" ht="16" customHeight="1">
      <c r="A127" s="8">
        <v>126</v>
      </c>
      <c r="B127" s="8">
        <v>56</v>
      </c>
      <c r="C127" t="s" s="9">
        <v>236</v>
      </c>
      <c r="D127" t="s" s="9">
        <v>236</v>
      </c>
      <c r="E127" t="s" s="9">
        <v>402</v>
      </c>
      <c r="F127" t="s" s="9">
        <v>403</v>
      </c>
      <c r="G127" t="s" s="9">
        <v>404</v>
      </c>
      <c r="H127" s="8" cm="1">
        <f t="array" ref="H127">MIN(SUMIF('외운 것'!A2:A271,A127,'외운 것'!D2:D271)+IF(R127=0,3,IF(R127=1,2,0)),3)</f>
        <v>3</v>
      </c>
      <c r="I127" s="8" cm="1">
        <f t="array" ref="I127">_xlfn.COUNTIFS('외운 것'!A2:A271,A127,'외운 것'!D2:D271,0)</f>
        <v>1</v>
      </c>
      <c r="J127" t="str" s="10" cm="1">
        <f t="array" ref="J127">IF(R127&lt;&gt;0,IF(H127&gt;=3,_xlfn.XLOOKUP(A127,'외운 것'!A2:A271,'외운 것'!C2:C271,0,1),0),"3차")</f>
        <v>2026-04-29</v>
      </c>
      <c r="K127" s="8" cm="1">
        <f t="array" ref="K127">IF(P127&lt;&gt;0,IF(N127&gt;=3,_xlfn.XLOOKUP(A127,'외운 것'!A2:A271,'외운 것'!C2:C271,0,1),0),"1차")</f>
        <v>0</v>
      </c>
      <c r="L127" s="8" cm="1">
        <f t="array" ref="L127">IF(Q127&lt;&gt;0,IF(N127&gt;=3,_xlfn.XLOOKUP(A127,'외운 것'!A2:A271,'외운 것'!C2:C271,0,1),0),"2차")</f>
        <v>0</v>
      </c>
      <c r="M127" s="8" cm="1">
        <f t="array" ref="M127">IF(R127&lt;&gt;0,IF(O127&gt;=3,_xlfn.XLOOKUP(B127,'외운 것'!B2:B271,'외운 것'!D2:D271,0,1),0),"3차")</f>
        <v>0</v>
      </c>
      <c r="N127" s="8">
        <v>0</v>
      </c>
      <c r="O127" s="8">
        <v>3</v>
      </c>
      <c r="P127" s="8">
        <v>5</v>
      </c>
      <c r="Q127" s="8">
        <v>2</v>
      </c>
      <c r="R127" s="8">
        <v>2</v>
      </c>
    </row>
    <row r="128" ht="16" customHeight="1">
      <c r="A128" s="8">
        <v>127</v>
      </c>
      <c r="B128" s="8">
        <v>57</v>
      </c>
      <c r="C128" t="s" s="9">
        <v>236</v>
      </c>
      <c r="D128" t="s" s="9">
        <v>236</v>
      </c>
      <c r="E128" t="s" s="9">
        <v>405</v>
      </c>
      <c r="F128" t="s" s="9">
        <v>406</v>
      </c>
      <c r="G128" t="s" s="9">
        <v>407</v>
      </c>
      <c r="H128" s="8" cm="1">
        <f t="array" ref="H128">MIN(SUMIF('외운 것'!A2:A271,A128,'외운 것'!D2:D271)+IF(R128=0,3,IF(R128=1,2,0)),3)</f>
        <v>3</v>
      </c>
      <c r="I128" s="8" cm="1">
        <f t="array" ref="I128">_xlfn.COUNTIFS('외운 것'!A2:A271,A128,'외운 것'!D2:D271,0)</f>
        <v>0</v>
      </c>
      <c r="J128" t="str" s="10" cm="1">
        <f t="array" ref="J128">IF(R128&lt;&gt;0,IF(H128&gt;=3,_xlfn.XLOOKUP(A128,'외운 것'!A2:A271,'외운 것'!C2:C271,0,1),0),"3차")</f>
        <v>3차</v>
      </c>
      <c r="K128" s="8" cm="1">
        <f t="array" ref="K128">IF(P128&lt;&gt;0,IF(N128&gt;=3,_xlfn.XLOOKUP(A128,'외운 것'!A2:A271,'외운 것'!C2:C271,0,1),0),"1차")</f>
        <v>0</v>
      </c>
      <c r="L128" s="8" cm="1">
        <f t="array" ref="L128">IF(Q128&lt;&gt;0,IF(N128&gt;=3,_xlfn.XLOOKUP(A128,'외운 것'!A2:A271,'외운 것'!C2:C271,0,1),0),"2차")</f>
        <v>0</v>
      </c>
      <c r="M128" t="str" s="11" cm="1">
        <f t="array" ref="M128">IF(R128&lt;&gt;0,IF(O128&gt;=3,_xlfn.XLOOKUP(B128,'외운 것'!B2:B271,'외운 것'!D2:D271,0,1),0),"3차")</f>
        <v>3차</v>
      </c>
      <c r="N128" s="8">
        <v>0</v>
      </c>
      <c r="O128" s="8">
        <v>3</v>
      </c>
      <c r="P128" s="8">
        <v>2</v>
      </c>
      <c r="Q128" s="8">
        <v>1</v>
      </c>
      <c r="R128" s="8">
        <v>0</v>
      </c>
    </row>
    <row r="129" ht="16" customHeight="1">
      <c r="A129" s="8">
        <v>128</v>
      </c>
      <c r="B129" s="8">
        <v>58</v>
      </c>
      <c r="C129" t="s" s="9">
        <v>236</v>
      </c>
      <c r="D129" t="s" s="9">
        <v>236</v>
      </c>
      <c r="E129" t="s" s="9">
        <v>408</v>
      </c>
      <c r="F129" t="s" s="9">
        <v>409</v>
      </c>
      <c r="G129" t="s" s="9">
        <v>410</v>
      </c>
      <c r="H129" s="8" cm="1">
        <f t="array" ref="H129">MIN(SUMIF('외운 것'!A2:A271,A129,'외운 것'!D2:D271)+IF(R129=0,3,IF(R129=1,2,0)),3)</f>
        <v>3</v>
      </c>
      <c r="I129" s="8" cm="1">
        <f t="array" ref="I129">_xlfn.COUNTIFS('외운 것'!A2:A271,A129,'외운 것'!D2:D271,0)</f>
        <v>0</v>
      </c>
      <c r="J129" t="str" s="10" cm="1">
        <f t="array" ref="J129">IF(R129&lt;&gt;0,IF(H129&gt;=3,_xlfn.XLOOKUP(A129,'외운 것'!A2:A271,'외운 것'!C2:C271,0,1),0),"3차")</f>
        <v>3차</v>
      </c>
      <c r="K129" s="8" cm="1">
        <f t="array" ref="K129">IF(P129&lt;&gt;0,IF(N129&gt;=3,_xlfn.XLOOKUP(A129,'외운 것'!A2:A271,'외운 것'!C2:C271,0,1),0),"1차")</f>
        <v>0</v>
      </c>
      <c r="L129" t="str" s="11" cm="1">
        <f t="array" ref="L129">IF(Q129&lt;&gt;0,IF(N129&gt;=3,_xlfn.XLOOKUP(A129,'외운 것'!A2:A271,'외운 것'!C2:C271,0,1),0),"2차")</f>
        <v>2차</v>
      </c>
      <c r="M129" t="str" s="11" cm="1">
        <f t="array" ref="M129">IF(R129&lt;&gt;0,IF(O129&gt;=3,_xlfn.XLOOKUP(B129,'외운 것'!B2:B271,'외운 것'!D2:D271,0,1),0),"3차")</f>
        <v>3차</v>
      </c>
      <c r="N129" s="8">
        <v>2</v>
      </c>
      <c r="O129" s="8">
        <v>3</v>
      </c>
      <c r="P129" s="8">
        <v>1</v>
      </c>
      <c r="Q129" s="8">
        <v>0</v>
      </c>
      <c r="R129" s="8">
        <v>0</v>
      </c>
    </row>
    <row r="130" ht="16" customHeight="1">
      <c r="A130" s="8">
        <v>129</v>
      </c>
      <c r="B130" s="8">
        <v>59</v>
      </c>
      <c r="C130" t="s" s="9">
        <v>236</v>
      </c>
      <c r="D130" t="s" s="9">
        <v>236</v>
      </c>
      <c r="E130" t="s" s="9">
        <v>411</v>
      </c>
      <c r="F130" t="s" s="9">
        <v>412</v>
      </c>
      <c r="G130" t="s" s="9">
        <v>413</v>
      </c>
      <c r="H130" s="8" cm="1">
        <f t="array" ref="H130">MIN(SUMIF('외운 것'!A2:A271,A130,'외운 것'!D2:D271)+IF(R130=0,3,IF(R130=1,2,0)),3)</f>
        <v>3</v>
      </c>
      <c r="I130" s="8" cm="1">
        <f t="array" ref="I130">_xlfn.COUNTIFS('외운 것'!A2:A271,A130,'외운 것'!D2:D271,0)</f>
        <v>0</v>
      </c>
      <c r="J130" t="str" s="10" cm="1">
        <f t="array" ref="J130">IF(R130&lt;&gt;0,IF(H130&gt;=3,_xlfn.XLOOKUP(A130,'외운 것'!A2:A271,'외운 것'!C2:C271,0,1),0),"3차")</f>
        <v>3차</v>
      </c>
      <c r="K130" t="str" s="11" cm="1">
        <f t="array" ref="K130">IF(P130&lt;&gt;0,IF(N130&gt;=3,_xlfn.XLOOKUP(A130,'외운 것'!A2:A271,'외운 것'!C2:C271,0,1),0),"1차")</f>
        <v>1차</v>
      </c>
      <c r="L130" t="str" s="11" cm="1">
        <f t="array" ref="L130">IF(Q130&lt;&gt;0,IF(N130&gt;=3,_xlfn.XLOOKUP(A130,'외운 것'!A2:A271,'외운 것'!C2:C271,0,1),0),"2차")</f>
        <v>2차</v>
      </c>
      <c r="M130" t="str" s="11" cm="1">
        <f t="array" ref="M130">IF(R130&lt;&gt;0,IF(O130&gt;=3,_xlfn.XLOOKUP(B130,'외운 것'!B2:B271,'외운 것'!D2:D271,0,1),0),"3차")</f>
        <v>3차</v>
      </c>
      <c r="N130" s="8">
        <v>3</v>
      </c>
      <c r="O130" s="8">
        <v>3</v>
      </c>
      <c r="P130" s="8">
        <v>0</v>
      </c>
      <c r="Q130" s="8">
        <v>0</v>
      </c>
      <c r="R130" s="8">
        <v>0</v>
      </c>
    </row>
    <row r="131" ht="16" customHeight="1">
      <c r="A131" s="8">
        <v>130</v>
      </c>
      <c r="B131" s="8">
        <v>60</v>
      </c>
      <c r="C131" t="s" s="9">
        <v>236</v>
      </c>
      <c r="D131" t="s" s="9">
        <v>236</v>
      </c>
      <c r="E131" t="s" s="9">
        <v>414</v>
      </c>
      <c r="F131" t="s" s="9">
        <v>415</v>
      </c>
      <c r="G131" t="s" s="9">
        <v>416</v>
      </c>
      <c r="H131" s="8" cm="1">
        <f t="array" ref="H131">MIN(SUMIF('외운 것'!A2:A271,A131,'외운 것'!D2:D271)+IF(R131=0,3,IF(R131=1,2,0)),3)</f>
        <v>3</v>
      </c>
      <c r="I131" s="8" cm="1">
        <f t="array" ref="I131">_xlfn.COUNTIFS('외운 것'!A2:A271,A131,'외운 것'!D2:D271,0)</f>
        <v>0</v>
      </c>
      <c r="J131" t="str" s="10" cm="1">
        <f t="array" ref="J131">IF(R131&lt;&gt;0,IF(H131&gt;=3,_xlfn.XLOOKUP(A131,'외운 것'!A2:A271,'외운 것'!C2:C271,0,1),0),"3차")</f>
        <v>3차</v>
      </c>
      <c r="K131" s="8" cm="1">
        <f t="array" ref="K131">IF(P131&lt;&gt;0,IF(N131&gt;=3,_xlfn.XLOOKUP(A131,'외운 것'!A2:A271,'외운 것'!C2:C271,0,1),0),"1차")</f>
        <v>0</v>
      </c>
      <c r="L131" t="str" s="11" cm="1">
        <f t="array" ref="L131">IF(Q131&lt;&gt;0,IF(N131&gt;=3,_xlfn.XLOOKUP(A131,'외운 것'!A2:A271,'외운 것'!C2:C271,0,1),0),"2차")</f>
        <v>2차</v>
      </c>
      <c r="M131" t="str" s="11" cm="1">
        <f t="array" ref="M131">IF(R131&lt;&gt;0,IF(O131&gt;=3,_xlfn.XLOOKUP(B131,'외운 것'!B2:B271,'외운 것'!D2:D271,0,1),0),"3차")</f>
        <v>3차</v>
      </c>
      <c r="N131" s="8">
        <v>2</v>
      </c>
      <c r="O131" s="8">
        <v>3</v>
      </c>
      <c r="P131" s="8">
        <v>1</v>
      </c>
      <c r="Q131" s="8">
        <v>0</v>
      </c>
      <c r="R131" s="8">
        <v>0</v>
      </c>
    </row>
    <row r="132" ht="16" customHeight="1">
      <c r="A132" s="8">
        <v>131</v>
      </c>
      <c r="B132" s="8">
        <v>1</v>
      </c>
      <c r="C132" t="s" s="9">
        <v>417</v>
      </c>
      <c r="D132" t="s" s="9">
        <v>417</v>
      </c>
      <c r="E132" t="s" s="9">
        <v>418</v>
      </c>
      <c r="F132" t="s" s="9">
        <v>419</v>
      </c>
      <c r="G132" t="s" s="9">
        <v>420</v>
      </c>
      <c r="H132" s="8" cm="1">
        <f t="array" ref="H132">MIN(SUMIF('외운 것'!A2:A271,A132,'외운 것'!D2:D271)+IF(R132=0,3,IF(R132=1,2,0)),3)</f>
        <v>3</v>
      </c>
      <c r="I132" s="8" cm="1">
        <f t="array" ref="I132">_xlfn.COUNTIFS('외운 것'!A2:A271,A132,'외운 것'!D2:D271,0)</f>
        <v>0</v>
      </c>
      <c r="J132" t="str" s="10" cm="1">
        <f t="array" ref="J132">IF(R132&lt;&gt;0,IF(H132&gt;=3,_xlfn.XLOOKUP(A132,'외운 것'!A2:A271,'외운 것'!C2:C271,0,1),0),"3차")</f>
        <v>3차</v>
      </c>
      <c r="K132" s="8" cm="1">
        <f t="array" ref="K132">IF(P132&lt;&gt;0,IF(N132&gt;=3,_xlfn.XLOOKUP(A132,'외운 것'!A2:A271,'외운 것'!C2:C271,0,1),0),"1차")</f>
        <v>0</v>
      </c>
      <c r="L132" t="str" s="11" cm="1">
        <f t="array" ref="L132">IF(Q132&lt;&gt;0,IF(N132&gt;=3,_xlfn.XLOOKUP(A132,'외운 것'!A2:A271,'외운 것'!C2:C271,0,1),0),"2차")</f>
        <v>2차</v>
      </c>
      <c r="M132" t="str" s="11" cm="1">
        <f t="array" ref="M132">IF(R132&lt;&gt;0,IF(O132&gt;=3,_xlfn.XLOOKUP(B132,'외운 것'!B2:B271,'외운 것'!D2:D271,0,1),0),"3차")</f>
        <v>3차</v>
      </c>
      <c r="N132" s="8">
        <v>2</v>
      </c>
      <c r="O132" s="8">
        <v>3</v>
      </c>
      <c r="P132" s="8">
        <v>1</v>
      </c>
      <c r="Q132" s="8">
        <v>0</v>
      </c>
      <c r="R132" s="8">
        <v>0</v>
      </c>
    </row>
    <row r="133" ht="16" customHeight="1">
      <c r="A133" s="8">
        <v>132</v>
      </c>
      <c r="B133" s="8">
        <v>2</v>
      </c>
      <c r="C133" t="s" s="9">
        <v>417</v>
      </c>
      <c r="D133" t="s" s="9">
        <v>417</v>
      </c>
      <c r="E133" t="s" s="9">
        <v>421</v>
      </c>
      <c r="F133" t="s" s="9">
        <v>422</v>
      </c>
      <c r="G133" t="s" s="9">
        <v>423</v>
      </c>
      <c r="H133" s="8" cm="1">
        <f t="array" ref="H133">MIN(SUMIF('외운 것'!A2:A271,A133,'외운 것'!D2:D271)+IF(R133=0,3,IF(R133=1,2,0)),3)</f>
        <v>3</v>
      </c>
      <c r="I133" s="8" cm="1">
        <f t="array" ref="I133">_xlfn.COUNTIFS('외운 것'!A2:A271,A133,'외운 것'!D2:D271,0)</f>
        <v>0</v>
      </c>
      <c r="J133" t="str" s="10" cm="1">
        <f t="array" ref="J133">IF(R133&lt;&gt;0,IF(H133&gt;=3,_xlfn.XLOOKUP(A133,'외운 것'!A2:A271,'외운 것'!C2:C271,0,1),0),"3차")</f>
        <v>3차</v>
      </c>
      <c r="K133" t="str" s="11" cm="1">
        <f t="array" ref="K133">IF(P133&lt;&gt;0,IF(N133&gt;=3,_xlfn.XLOOKUP(A133,'외운 것'!A2:A271,'외운 것'!C2:C271,0,1),0),"1차")</f>
        <v>1차</v>
      </c>
      <c r="L133" t="str" s="11" cm="1">
        <f t="array" ref="L133">IF(Q133&lt;&gt;0,IF(N133&gt;=3,_xlfn.XLOOKUP(A133,'외운 것'!A2:A271,'외운 것'!C2:C271,0,1),0),"2차")</f>
        <v>2차</v>
      </c>
      <c r="M133" t="str" s="11" cm="1">
        <f t="array" ref="M133">IF(R133&lt;&gt;0,IF(O133&gt;=3,_xlfn.XLOOKUP(B133,'외운 것'!B2:B271,'외운 것'!D2:D271,0,1),0),"3차")</f>
        <v>3차</v>
      </c>
      <c r="N133" s="8">
        <v>3</v>
      </c>
      <c r="O133" s="8">
        <v>3</v>
      </c>
      <c r="P133" s="8">
        <v>0</v>
      </c>
      <c r="Q133" s="8">
        <v>0</v>
      </c>
      <c r="R133" s="8">
        <v>0</v>
      </c>
    </row>
    <row r="134" ht="16" customHeight="1">
      <c r="A134" s="8">
        <v>133</v>
      </c>
      <c r="B134" s="8">
        <v>3</v>
      </c>
      <c r="C134" t="s" s="9">
        <v>417</v>
      </c>
      <c r="D134" t="s" s="9">
        <v>417</v>
      </c>
      <c r="E134" t="s" s="9">
        <v>424</v>
      </c>
      <c r="F134" t="s" s="9">
        <v>425</v>
      </c>
      <c r="G134" t="s" s="9">
        <v>426</v>
      </c>
      <c r="H134" s="8" cm="1">
        <f t="array" ref="H134">MIN(SUMIF('외운 것'!A2:A271,A134,'외운 것'!D2:D271)+IF(R134=0,3,IF(R134=1,2,0)),3)</f>
        <v>3</v>
      </c>
      <c r="I134" s="8" cm="1">
        <f t="array" ref="I134">_xlfn.COUNTIFS('외운 것'!A2:A271,A134,'외운 것'!D2:D271,0)</f>
        <v>1</v>
      </c>
      <c r="J134" t="str" s="10" cm="1">
        <f t="array" ref="J134">IF(R134&lt;&gt;0,IF(H134&gt;=3,_xlfn.XLOOKUP(A134,'외운 것'!A2:A271,'외운 것'!C2:C271,0,1),0),"3차")</f>
        <v>2026-04-28</v>
      </c>
      <c r="K134" s="8" cm="1">
        <f t="array" ref="K134">IF(P134&lt;&gt;0,IF(N134&gt;=3,_xlfn.XLOOKUP(A134,'외운 것'!A2:A271,'외운 것'!C2:C271,0,1),0),"1차")</f>
        <v>0</v>
      </c>
      <c r="L134" s="8" cm="1">
        <f t="array" ref="L134">IF(Q134&lt;&gt;0,IF(N134&gt;=3,_xlfn.XLOOKUP(A134,'외운 것'!A2:A271,'외운 것'!C2:C271,0,1),0),"2차")</f>
        <v>0</v>
      </c>
      <c r="M134" s="8" cm="1">
        <f t="array" ref="M134">IF(R134&lt;&gt;0,IF(O134&gt;=3,_xlfn.XLOOKUP(B134,'외운 것'!B2:B271,'외운 것'!D2:D271,0,1),0),"3차")</f>
        <v>0</v>
      </c>
      <c r="N134" s="8">
        <v>2</v>
      </c>
      <c r="O134" s="8">
        <v>3</v>
      </c>
      <c r="P134" s="8">
        <v>1</v>
      </c>
      <c r="Q134" s="8">
        <v>1</v>
      </c>
      <c r="R134" s="8">
        <v>1</v>
      </c>
    </row>
    <row r="135" ht="16" customHeight="1">
      <c r="A135" s="8">
        <v>134</v>
      </c>
      <c r="B135" s="8">
        <v>4</v>
      </c>
      <c r="C135" t="s" s="9">
        <v>417</v>
      </c>
      <c r="D135" t="s" s="9">
        <v>417</v>
      </c>
      <c r="E135" t="s" s="9">
        <v>427</v>
      </c>
      <c r="F135" t="s" s="9">
        <v>428</v>
      </c>
      <c r="G135" t="s" s="9">
        <v>429</v>
      </c>
      <c r="H135" s="8" cm="1">
        <f t="array" ref="H135">MIN(SUMIF('외운 것'!A2:A271,A135,'외운 것'!D2:D271)+IF(R135=0,3,IF(R135=1,2,0)),3)</f>
        <v>3</v>
      </c>
      <c r="I135" s="8" cm="1">
        <f t="array" ref="I135">_xlfn.COUNTIFS('외운 것'!A2:A271,A135,'외운 것'!D2:D271,0)</f>
        <v>0</v>
      </c>
      <c r="J135" t="str" s="10" cm="1">
        <f t="array" ref="J135">IF(R135&lt;&gt;0,IF(H135&gt;=3,_xlfn.XLOOKUP(A135,'외운 것'!A2:A271,'외운 것'!C2:C271,0,1),0),"3차")</f>
        <v>3차</v>
      </c>
      <c r="K135" s="8" cm="1">
        <f t="array" ref="K135">IF(P135&lt;&gt;0,IF(N135&gt;=3,_xlfn.XLOOKUP(A135,'외운 것'!A2:A271,'외운 것'!C2:C271,0,1),0),"1차")</f>
        <v>0</v>
      </c>
      <c r="L135" t="str" s="11" cm="1">
        <f t="array" ref="L135">IF(Q135&lt;&gt;0,IF(N135&gt;=3,_xlfn.XLOOKUP(A135,'외운 것'!A2:A271,'외운 것'!C2:C271,0,1),0),"2차")</f>
        <v>2차</v>
      </c>
      <c r="M135" t="str" s="11" cm="1">
        <f t="array" ref="M135">IF(R135&lt;&gt;0,IF(O135&gt;=3,_xlfn.XLOOKUP(B135,'외운 것'!B2:B271,'외운 것'!D2:D271,0,1),0),"3차")</f>
        <v>3차</v>
      </c>
      <c r="N135" s="8">
        <v>2</v>
      </c>
      <c r="O135" s="8">
        <v>3</v>
      </c>
      <c r="P135" s="8">
        <v>1</v>
      </c>
      <c r="Q135" s="8">
        <v>0</v>
      </c>
      <c r="R135" s="8">
        <v>0</v>
      </c>
    </row>
    <row r="136" ht="16" customHeight="1">
      <c r="A136" s="8">
        <v>135</v>
      </c>
      <c r="B136" s="8">
        <v>5</v>
      </c>
      <c r="C136" t="s" s="9">
        <v>417</v>
      </c>
      <c r="D136" t="s" s="9">
        <v>417</v>
      </c>
      <c r="E136" t="s" s="9">
        <v>430</v>
      </c>
      <c r="F136" t="s" s="9">
        <v>431</v>
      </c>
      <c r="G136" t="s" s="9">
        <v>432</v>
      </c>
      <c r="H136" s="8" cm="1">
        <f t="array" ref="H136">MIN(SUMIF('외운 것'!A2:A271,A136,'외운 것'!D2:D271)+IF(R136=0,3,IF(R136=1,2,0)),3)</f>
        <v>3</v>
      </c>
      <c r="I136" s="8" cm="1">
        <f t="array" ref="I136">_xlfn.COUNTIFS('외운 것'!A2:A271,A136,'외운 것'!D2:D271,0)</f>
        <v>0</v>
      </c>
      <c r="J136" t="str" s="10" cm="1">
        <f t="array" ref="J136">IF(R136&lt;&gt;0,IF(H136&gt;=3,_xlfn.XLOOKUP(A136,'외운 것'!A2:A271,'외운 것'!C2:C271,0,1),0),"3차")</f>
        <v>3차</v>
      </c>
      <c r="K136" s="8" cm="1">
        <f t="array" ref="K136">IF(P136&lt;&gt;0,IF(N136&gt;=3,_xlfn.XLOOKUP(A136,'외운 것'!A2:A271,'외운 것'!C2:C271,0,1),0),"1차")</f>
        <v>0</v>
      </c>
      <c r="L136" s="8" cm="1">
        <f t="array" ref="L136">IF(Q136&lt;&gt;0,IF(N136&gt;=3,_xlfn.XLOOKUP(A136,'외운 것'!A2:A271,'외운 것'!C2:C271,0,1),0),"2차")</f>
        <v>0</v>
      </c>
      <c r="M136" t="str" s="11" cm="1">
        <f t="array" ref="M136">IF(R136&lt;&gt;0,IF(O136&gt;=3,_xlfn.XLOOKUP(B136,'외운 것'!B2:B271,'외운 것'!D2:D271,0,1),0),"3차")</f>
        <v>3차</v>
      </c>
      <c r="N136" s="8">
        <v>0</v>
      </c>
      <c r="O136" s="8">
        <v>3</v>
      </c>
      <c r="P136" s="8">
        <v>2</v>
      </c>
      <c r="Q136" s="8">
        <v>1</v>
      </c>
      <c r="R136" s="8">
        <v>0</v>
      </c>
    </row>
    <row r="137" ht="16" customHeight="1">
      <c r="A137" s="8">
        <v>136</v>
      </c>
      <c r="B137" s="8">
        <v>6</v>
      </c>
      <c r="C137" t="s" s="9">
        <v>417</v>
      </c>
      <c r="D137" t="s" s="9">
        <v>417</v>
      </c>
      <c r="E137" t="s" s="9">
        <v>433</v>
      </c>
      <c r="F137" t="s" s="9">
        <v>434</v>
      </c>
      <c r="G137" t="s" s="9">
        <v>435</v>
      </c>
      <c r="H137" s="8" cm="1">
        <f t="array" ref="H137">MIN(SUMIF('외운 것'!A2:A271,A137,'외운 것'!D2:D271)+IF(R137=0,3,IF(R137=1,2,0)),3)</f>
        <v>3</v>
      </c>
      <c r="I137" s="8" cm="1">
        <f t="array" ref="I137">_xlfn.COUNTIFS('외운 것'!A2:A271,A137,'외운 것'!D2:D271,0)</f>
        <v>0</v>
      </c>
      <c r="J137" t="str" s="10" cm="1">
        <f t="array" ref="J137">IF(R137&lt;&gt;0,IF(H137&gt;=3,_xlfn.XLOOKUP(A137,'외운 것'!A2:A271,'외운 것'!C2:C271,0,1),0),"3차")</f>
        <v>3차</v>
      </c>
      <c r="K137" s="8" cm="1">
        <f t="array" ref="K137">IF(P137&lt;&gt;0,IF(N137&gt;=3,_xlfn.XLOOKUP(A137,'외운 것'!A2:A271,'외운 것'!C2:C271,0,1),0),"1차")</f>
        <v>0</v>
      </c>
      <c r="L137" t="str" s="11" cm="1">
        <f t="array" ref="L137">IF(Q137&lt;&gt;0,IF(N137&gt;=3,_xlfn.XLOOKUP(A137,'외운 것'!A2:A271,'외운 것'!C2:C271,0,1),0),"2차")</f>
        <v>2차</v>
      </c>
      <c r="M137" t="str" s="11" cm="1">
        <f t="array" ref="M137">IF(R137&lt;&gt;0,IF(O137&gt;=3,_xlfn.XLOOKUP(B137,'외운 것'!B2:B271,'외운 것'!D2:D271,0,1),0),"3차")</f>
        <v>3차</v>
      </c>
      <c r="N137" s="8">
        <v>0</v>
      </c>
      <c r="O137" s="8">
        <v>3</v>
      </c>
      <c r="P137" s="8">
        <v>2</v>
      </c>
      <c r="Q137" s="8">
        <v>0</v>
      </c>
      <c r="R137" s="8">
        <v>0</v>
      </c>
    </row>
    <row r="138" ht="16" customHeight="1">
      <c r="A138" s="8">
        <v>137</v>
      </c>
      <c r="B138" s="8">
        <v>7</v>
      </c>
      <c r="C138" t="s" s="9">
        <v>417</v>
      </c>
      <c r="D138" t="s" s="9">
        <v>417</v>
      </c>
      <c r="E138" t="s" s="9">
        <v>436</v>
      </c>
      <c r="F138" t="s" s="9">
        <v>437</v>
      </c>
      <c r="G138" t="s" s="9">
        <v>438</v>
      </c>
      <c r="H138" s="8" cm="1">
        <f t="array" ref="H138">MIN(SUMIF('외운 것'!A2:A271,A138,'외운 것'!D2:D271)+IF(R138=0,3,IF(R138=1,2,0)),3)</f>
        <v>3</v>
      </c>
      <c r="I138" s="8" cm="1">
        <f t="array" ref="I138">_xlfn.COUNTIFS('외운 것'!A2:A271,A138,'외운 것'!D2:D271,0)</f>
        <v>1</v>
      </c>
      <c r="J138" t="str" s="10" cm="1">
        <f t="array" ref="J138">IF(R138&lt;&gt;0,IF(H138&gt;=3,_xlfn.XLOOKUP(A138,'외운 것'!A2:A271,'외운 것'!C2:C271,0,1),0),"3차")</f>
        <v>2026-04-28</v>
      </c>
      <c r="K138" s="8" cm="1">
        <f t="array" ref="K138">IF(P138&lt;&gt;0,IF(N138&gt;=3,_xlfn.XLOOKUP(A138,'외운 것'!A2:A271,'외운 것'!C2:C271,0,1),0),"1차")</f>
        <v>0</v>
      </c>
      <c r="L138" s="8" cm="1">
        <f t="array" ref="L138">IF(Q138&lt;&gt;0,IF(N138&gt;=3,_xlfn.XLOOKUP(A138,'외운 것'!A2:A271,'외운 것'!C2:C271,0,1),0),"2차")</f>
        <v>0</v>
      </c>
      <c r="M138" s="8" cm="1">
        <f t="array" ref="M138">IF(R138&lt;&gt;0,IF(O138&gt;=3,_xlfn.XLOOKUP(B138,'외운 것'!B2:B271,'외운 것'!D2:D271,0,1),0),"3차")</f>
        <v>0</v>
      </c>
      <c r="N138" s="8">
        <v>0</v>
      </c>
      <c r="O138" s="8">
        <v>3</v>
      </c>
      <c r="P138" s="8">
        <v>3</v>
      </c>
      <c r="Q138" s="8">
        <v>1</v>
      </c>
      <c r="R138" s="8">
        <v>1</v>
      </c>
    </row>
    <row r="139" ht="16" customHeight="1">
      <c r="A139" s="8">
        <v>138</v>
      </c>
      <c r="B139" s="8">
        <v>8</v>
      </c>
      <c r="C139" t="s" s="9">
        <v>417</v>
      </c>
      <c r="D139" t="s" s="9">
        <v>417</v>
      </c>
      <c r="E139" t="s" s="9">
        <v>439</v>
      </c>
      <c r="F139" t="s" s="9">
        <v>440</v>
      </c>
      <c r="G139" t="s" s="9">
        <v>441</v>
      </c>
      <c r="H139" s="8" cm="1">
        <f t="array" ref="H139">MIN(SUMIF('외운 것'!A2:A271,A139,'외운 것'!D2:D271)+IF(R139=0,3,IF(R139=1,2,0)),3)</f>
        <v>3</v>
      </c>
      <c r="I139" s="8" cm="1">
        <f t="array" ref="I139">_xlfn.COUNTIFS('외운 것'!A2:A271,A139,'외운 것'!D2:D271,0)</f>
        <v>0</v>
      </c>
      <c r="J139" t="str" s="10" cm="1">
        <f t="array" ref="J139">IF(R139&lt;&gt;0,IF(H139&gt;=3,_xlfn.XLOOKUP(A139,'외운 것'!A2:A271,'외운 것'!C2:C271,0,1),0),"3차")</f>
        <v>3차</v>
      </c>
      <c r="K139" s="8" cm="1">
        <f t="array" ref="K139">IF(P139&lt;&gt;0,IF(N139&gt;=3,_xlfn.XLOOKUP(A139,'외운 것'!A2:A271,'외운 것'!C2:C271,0,1),0),"1차")</f>
        <v>0</v>
      </c>
      <c r="L139" t="str" s="11" cm="1">
        <f t="array" ref="L139">IF(Q139&lt;&gt;0,IF(N139&gt;=3,_xlfn.XLOOKUP(A139,'외운 것'!A2:A271,'외운 것'!C2:C271,0,1),0),"2차")</f>
        <v>2차</v>
      </c>
      <c r="M139" t="str" s="11" cm="1">
        <f t="array" ref="M139">IF(R139&lt;&gt;0,IF(O139&gt;=3,_xlfn.XLOOKUP(B139,'외운 것'!B2:B271,'외운 것'!D2:D271,0,1),0),"3차")</f>
        <v>3차</v>
      </c>
      <c r="N139" s="8">
        <v>0</v>
      </c>
      <c r="O139" s="8">
        <v>3</v>
      </c>
      <c r="P139" s="8">
        <v>2</v>
      </c>
      <c r="Q139" s="8">
        <v>0</v>
      </c>
      <c r="R139" s="8">
        <v>0</v>
      </c>
    </row>
    <row r="140" ht="16" customHeight="1">
      <c r="A140" s="8">
        <v>139</v>
      </c>
      <c r="B140" s="8">
        <v>9</v>
      </c>
      <c r="C140" t="s" s="9">
        <v>417</v>
      </c>
      <c r="D140" t="s" s="9">
        <v>417</v>
      </c>
      <c r="E140" t="s" s="9">
        <v>442</v>
      </c>
      <c r="F140" t="s" s="9">
        <v>443</v>
      </c>
      <c r="G140" t="s" s="9">
        <v>444</v>
      </c>
      <c r="H140" s="8" cm="1">
        <f t="array" ref="H140">MIN(SUMIF('외운 것'!A2:A271,A140,'외운 것'!D2:D271)+IF(R140=0,3,IF(R140=1,2,0)),3)</f>
        <v>3</v>
      </c>
      <c r="I140" s="8" cm="1">
        <f t="array" ref="I140">_xlfn.COUNTIFS('외운 것'!A2:A271,A140,'외운 것'!D2:D271,0)</f>
        <v>0</v>
      </c>
      <c r="J140" t="str" s="10" cm="1">
        <f t="array" ref="J140">IF(R140&lt;&gt;0,IF(H140&gt;=3,_xlfn.XLOOKUP(A140,'외운 것'!A2:A271,'외운 것'!C2:C271,0,1),0),"3차")</f>
        <v>3차</v>
      </c>
      <c r="K140" s="8" cm="1">
        <f t="array" ref="K140">IF(P140&lt;&gt;0,IF(N140&gt;=3,_xlfn.XLOOKUP(A140,'외운 것'!A2:A271,'외운 것'!C2:C271,0,1),0),"1차")</f>
        <v>0</v>
      </c>
      <c r="L140" t="str" s="11" cm="1">
        <f t="array" ref="L140">IF(Q140&lt;&gt;0,IF(N140&gt;=3,_xlfn.XLOOKUP(A140,'외운 것'!A2:A271,'외운 것'!C2:C271,0,1),0),"2차")</f>
        <v>2차</v>
      </c>
      <c r="M140" t="str" s="11" cm="1">
        <f t="array" ref="M140">IF(R140&lt;&gt;0,IF(O140&gt;=3,_xlfn.XLOOKUP(B140,'외운 것'!B2:B271,'외운 것'!D2:D271,0,1),0),"3차")</f>
        <v>3차</v>
      </c>
      <c r="N140" s="8">
        <v>2</v>
      </c>
      <c r="O140" s="8">
        <v>3</v>
      </c>
      <c r="P140" s="8">
        <v>1</v>
      </c>
      <c r="Q140" s="8">
        <v>0</v>
      </c>
      <c r="R140" s="8">
        <v>0</v>
      </c>
    </row>
    <row r="141" ht="16" customHeight="1">
      <c r="A141" s="8">
        <v>140</v>
      </c>
      <c r="B141" s="8">
        <v>10</v>
      </c>
      <c r="C141" t="s" s="9">
        <v>417</v>
      </c>
      <c r="D141" t="s" s="9">
        <v>417</v>
      </c>
      <c r="E141" t="s" s="9">
        <v>445</v>
      </c>
      <c r="F141" t="s" s="9">
        <v>446</v>
      </c>
      <c r="G141" t="s" s="9">
        <v>447</v>
      </c>
      <c r="H141" s="8" cm="1">
        <f t="array" ref="H141">MIN(SUMIF('외운 것'!A2:A271,A141,'외운 것'!D2:D271)+IF(R141=0,3,IF(R141=1,2,0)),3)</f>
        <v>3</v>
      </c>
      <c r="I141" s="8" cm="1">
        <f t="array" ref="I141">_xlfn.COUNTIFS('외운 것'!A2:A271,A141,'외운 것'!D2:D271,0)</f>
        <v>0</v>
      </c>
      <c r="J141" t="str" s="10" cm="1">
        <f t="array" ref="J141">IF(R141&lt;&gt;0,IF(H141&gt;=3,_xlfn.XLOOKUP(A141,'외운 것'!A2:A271,'외운 것'!C2:C271,0,1),0),"3차")</f>
        <v>3차</v>
      </c>
      <c r="K141" t="str" s="11" cm="1">
        <f t="array" ref="K141">IF(P141&lt;&gt;0,IF(N141&gt;=3,_xlfn.XLOOKUP(A141,'외운 것'!A2:A271,'외운 것'!C2:C271,0,1),0),"1차")</f>
        <v>1차</v>
      </c>
      <c r="L141" t="str" s="11" cm="1">
        <f t="array" ref="L141">IF(Q141&lt;&gt;0,IF(N141&gt;=3,_xlfn.XLOOKUP(A141,'외운 것'!A2:A271,'외운 것'!C2:C271,0,1),0),"2차")</f>
        <v>2차</v>
      </c>
      <c r="M141" t="str" s="11" cm="1">
        <f t="array" ref="M141">IF(R141&lt;&gt;0,IF(O141&gt;=3,_xlfn.XLOOKUP(B141,'외운 것'!B2:B271,'외운 것'!D2:D271,0,1),0),"3차")</f>
        <v>3차</v>
      </c>
      <c r="N141" s="8">
        <v>3</v>
      </c>
      <c r="O141" s="8">
        <v>3</v>
      </c>
      <c r="P141" s="8">
        <v>0</v>
      </c>
      <c r="Q141" s="8">
        <v>0</v>
      </c>
      <c r="R141" s="8">
        <v>0</v>
      </c>
    </row>
    <row r="142" ht="16" customHeight="1">
      <c r="A142" s="8">
        <v>141</v>
      </c>
      <c r="B142" s="8">
        <v>11</v>
      </c>
      <c r="C142" t="s" s="9">
        <v>417</v>
      </c>
      <c r="D142" t="s" s="9">
        <v>417</v>
      </c>
      <c r="E142" t="s" s="9">
        <v>448</v>
      </c>
      <c r="F142" t="s" s="9">
        <v>449</v>
      </c>
      <c r="G142" t="s" s="9">
        <v>450</v>
      </c>
      <c r="H142" s="8" cm="1">
        <f t="array" ref="H142">MIN(SUMIF('외운 것'!A2:A271,A142,'외운 것'!D2:D271)+IF(R142=0,3,IF(R142=1,2,0)),3)</f>
        <v>3</v>
      </c>
      <c r="I142" s="8" cm="1">
        <f t="array" ref="I142">_xlfn.COUNTIFS('외운 것'!A2:A271,A142,'외운 것'!D2:D271,0)</f>
        <v>0</v>
      </c>
      <c r="J142" t="str" s="10" cm="1">
        <f t="array" ref="J142">IF(R142&lt;&gt;0,IF(H142&gt;=3,_xlfn.XLOOKUP(A142,'외운 것'!A2:A271,'외운 것'!C2:C271,0,1),0),"3차")</f>
        <v>3차</v>
      </c>
      <c r="K142" t="str" s="11" cm="1">
        <f t="array" ref="K142">IF(P142&lt;&gt;0,IF(N142&gt;=3,_xlfn.XLOOKUP(A142,'외운 것'!A2:A271,'외운 것'!C2:C271,0,1),0),"1차")</f>
        <v>1차</v>
      </c>
      <c r="L142" t="str" s="11" cm="1">
        <f t="array" ref="L142">IF(Q142&lt;&gt;0,IF(N142&gt;=3,_xlfn.XLOOKUP(A142,'외운 것'!A2:A271,'외운 것'!C2:C271,0,1),0),"2차")</f>
        <v>2차</v>
      </c>
      <c r="M142" t="str" s="11" cm="1">
        <f t="array" ref="M142">IF(R142&lt;&gt;0,IF(O142&gt;=3,_xlfn.XLOOKUP(B142,'외운 것'!B2:B271,'외운 것'!D2:D271,0,1),0),"3차")</f>
        <v>3차</v>
      </c>
      <c r="N142" s="8">
        <v>3</v>
      </c>
      <c r="O142" s="8">
        <v>3</v>
      </c>
      <c r="P142" s="8">
        <v>0</v>
      </c>
      <c r="Q142" s="8">
        <v>0</v>
      </c>
      <c r="R142" s="8">
        <v>0</v>
      </c>
    </row>
    <row r="143" ht="16" customHeight="1">
      <c r="A143" s="8">
        <v>142</v>
      </c>
      <c r="B143" s="8">
        <v>12</v>
      </c>
      <c r="C143" t="s" s="9">
        <v>417</v>
      </c>
      <c r="D143" t="s" s="9">
        <v>417</v>
      </c>
      <c r="E143" t="s" s="9">
        <v>451</v>
      </c>
      <c r="F143" t="s" s="9">
        <v>452</v>
      </c>
      <c r="G143" t="s" s="9">
        <v>453</v>
      </c>
      <c r="H143" s="8" cm="1">
        <f t="array" ref="H143">MIN(SUMIF('외운 것'!A2:A271,A143,'외운 것'!D2:D271)+IF(R143=0,3,IF(R143=1,2,0)),3)</f>
        <v>3</v>
      </c>
      <c r="I143" s="8" cm="1">
        <f t="array" ref="I143">_xlfn.COUNTIFS('외운 것'!A2:A271,A143,'외운 것'!D2:D271,0)</f>
        <v>0</v>
      </c>
      <c r="J143" t="str" s="10" cm="1">
        <f t="array" ref="J143">IF(R143&lt;&gt;0,IF(H143&gt;=3,_xlfn.XLOOKUP(A143,'외운 것'!A2:A271,'외운 것'!C2:C271,0,1),0),"3차")</f>
        <v>3차</v>
      </c>
      <c r="K143" s="8" cm="1">
        <f t="array" ref="K143">IF(P143&lt;&gt;0,IF(N143&gt;=3,_xlfn.XLOOKUP(A143,'외운 것'!A2:A271,'외운 것'!C2:C271,0,1),0),"1차")</f>
        <v>0</v>
      </c>
      <c r="L143" t="str" s="11" cm="1">
        <f t="array" ref="L143">IF(Q143&lt;&gt;0,IF(N143&gt;=3,_xlfn.XLOOKUP(A143,'외운 것'!A2:A271,'외운 것'!C2:C271,0,1),0),"2차")</f>
        <v>2차</v>
      </c>
      <c r="M143" t="str" s="11" cm="1">
        <f t="array" ref="M143">IF(R143&lt;&gt;0,IF(O143&gt;=3,_xlfn.XLOOKUP(B143,'외운 것'!B2:B271,'외운 것'!D2:D271,0,1),0),"3차")</f>
        <v>3차</v>
      </c>
      <c r="N143" s="8">
        <v>2</v>
      </c>
      <c r="O143" s="8">
        <v>3</v>
      </c>
      <c r="P143" s="8">
        <v>1</v>
      </c>
      <c r="Q143" s="8">
        <v>0</v>
      </c>
      <c r="R143" s="8">
        <v>0</v>
      </c>
    </row>
    <row r="144" ht="16" customHeight="1">
      <c r="A144" s="8">
        <v>143</v>
      </c>
      <c r="B144" s="8">
        <v>13</v>
      </c>
      <c r="C144" t="s" s="9">
        <v>417</v>
      </c>
      <c r="D144" t="s" s="9">
        <v>417</v>
      </c>
      <c r="E144" t="s" s="9">
        <v>454</v>
      </c>
      <c r="F144" t="s" s="9">
        <v>455</v>
      </c>
      <c r="G144" t="s" s="9">
        <v>456</v>
      </c>
      <c r="H144" s="8" cm="1">
        <f t="array" ref="H144">MIN(SUMIF('외운 것'!A2:A271,A144,'외운 것'!D2:D271)+IF(R144=0,3,IF(R144=1,2,0)),3)</f>
        <v>3</v>
      </c>
      <c r="I144" s="8" cm="1">
        <f t="array" ref="I144">_xlfn.COUNTIFS('외운 것'!A2:A271,A144,'외운 것'!D2:D271,0)</f>
        <v>0</v>
      </c>
      <c r="J144" t="str" s="10" cm="1">
        <f t="array" ref="J144">IF(R144&lt;&gt;0,IF(H144&gt;=3,_xlfn.XLOOKUP(A144,'외운 것'!A2:A271,'외운 것'!C2:C271,0,1),0),"3차")</f>
        <v>3차</v>
      </c>
      <c r="K144" s="8" cm="1">
        <f t="array" ref="K144">IF(P144&lt;&gt;0,IF(N144&gt;=3,_xlfn.XLOOKUP(A144,'외운 것'!A2:A271,'외운 것'!C2:C271,0,1),0),"1차")</f>
        <v>0</v>
      </c>
      <c r="L144" t="str" s="11" cm="1">
        <f t="array" ref="L144">IF(Q144&lt;&gt;0,IF(N144&gt;=3,_xlfn.XLOOKUP(A144,'외운 것'!A2:A271,'외운 것'!C2:C271,0,1),0),"2차")</f>
        <v>2차</v>
      </c>
      <c r="M144" t="str" s="11" cm="1">
        <f t="array" ref="M144">IF(R144&lt;&gt;0,IF(O144&gt;=3,_xlfn.XLOOKUP(B144,'외운 것'!B2:B271,'외운 것'!D2:D271,0,1),0),"3차")</f>
        <v>3차</v>
      </c>
      <c r="N144" s="8">
        <v>0</v>
      </c>
      <c r="O144" s="8">
        <v>3</v>
      </c>
      <c r="P144" s="8">
        <v>2</v>
      </c>
      <c r="Q144" s="8">
        <v>0</v>
      </c>
      <c r="R144" s="8">
        <v>0</v>
      </c>
    </row>
    <row r="145" ht="16" customHeight="1">
      <c r="A145" s="8">
        <v>144</v>
      </c>
      <c r="B145" s="8">
        <v>14</v>
      </c>
      <c r="C145" t="s" s="9">
        <v>417</v>
      </c>
      <c r="D145" t="s" s="9">
        <v>417</v>
      </c>
      <c r="E145" t="s" s="9">
        <v>457</v>
      </c>
      <c r="F145" t="s" s="9">
        <v>458</v>
      </c>
      <c r="G145" t="s" s="9">
        <v>459</v>
      </c>
      <c r="H145" s="8" cm="1">
        <f t="array" ref="H145">MIN(SUMIF('외운 것'!A2:A271,A145,'외운 것'!D2:D271)+IF(R145=0,3,IF(R145=1,2,0)),3)</f>
        <v>3</v>
      </c>
      <c r="I145" s="8" cm="1">
        <f t="array" ref="I145">_xlfn.COUNTIFS('외운 것'!A2:A271,A145,'외운 것'!D2:D271,0)</f>
        <v>0</v>
      </c>
      <c r="J145" t="str" s="10" cm="1">
        <f t="array" ref="J145">IF(R145&lt;&gt;0,IF(H145&gt;=3,_xlfn.XLOOKUP(A145,'외운 것'!A2:A271,'외운 것'!C2:C271,0,1),0),"3차")</f>
        <v>3차</v>
      </c>
      <c r="K145" s="8" cm="1">
        <f t="array" ref="K145">IF(P145&lt;&gt;0,IF(N145&gt;=3,_xlfn.XLOOKUP(A145,'외운 것'!A2:A271,'외운 것'!C2:C271,0,1),0),"1차")</f>
        <v>0</v>
      </c>
      <c r="L145" t="str" s="11" cm="1">
        <f t="array" ref="L145">IF(Q145&lt;&gt;0,IF(N145&gt;=3,_xlfn.XLOOKUP(A145,'외운 것'!A2:A271,'외운 것'!C2:C271,0,1),0),"2차")</f>
        <v>2차</v>
      </c>
      <c r="M145" t="str" s="11" cm="1">
        <f t="array" ref="M145">IF(R145&lt;&gt;0,IF(O145&gt;=3,_xlfn.XLOOKUP(B145,'외운 것'!B2:B271,'외운 것'!D2:D271,0,1),0),"3차")</f>
        <v>3차</v>
      </c>
      <c r="N145" s="8">
        <v>2</v>
      </c>
      <c r="O145" s="8">
        <v>3</v>
      </c>
      <c r="P145" s="8">
        <v>1</v>
      </c>
      <c r="Q145" s="8">
        <v>0</v>
      </c>
      <c r="R145" s="8">
        <v>0</v>
      </c>
    </row>
    <row r="146" ht="16" customHeight="1">
      <c r="A146" s="8">
        <v>145</v>
      </c>
      <c r="B146" s="8">
        <v>15</v>
      </c>
      <c r="C146" t="s" s="9">
        <v>417</v>
      </c>
      <c r="D146" t="s" s="9">
        <v>417</v>
      </c>
      <c r="E146" t="s" s="9">
        <v>460</v>
      </c>
      <c r="F146" t="s" s="9">
        <v>461</v>
      </c>
      <c r="G146" t="s" s="9">
        <v>462</v>
      </c>
      <c r="H146" s="8" cm="1">
        <f t="array" ref="H146">MIN(SUMIF('외운 것'!A2:A271,A146,'외운 것'!D2:D271)+IF(R146=0,3,IF(R146=1,2,0)),3)</f>
        <v>3</v>
      </c>
      <c r="I146" s="8" cm="1">
        <f t="array" ref="I146">_xlfn.COUNTIFS('외운 것'!A2:A271,A146,'외운 것'!D2:D271,0)</f>
        <v>0</v>
      </c>
      <c r="J146" t="str" s="10" cm="1">
        <f t="array" ref="J146">IF(R146&lt;&gt;0,IF(H146&gt;=3,_xlfn.XLOOKUP(A146,'외운 것'!A2:A271,'외운 것'!C2:C271,0,1),0),"3차")</f>
        <v>3차</v>
      </c>
      <c r="K146" s="8" cm="1">
        <f t="array" ref="K146">IF(P146&lt;&gt;0,IF(N146&gt;=3,_xlfn.XLOOKUP(A146,'외운 것'!A2:A271,'외운 것'!C2:C271,0,1),0),"1차")</f>
        <v>0</v>
      </c>
      <c r="L146" s="8" cm="1">
        <f t="array" ref="L146">IF(Q146&lt;&gt;0,IF(N146&gt;=3,_xlfn.XLOOKUP(A146,'외운 것'!A2:A271,'외운 것'!C2:C271,0,1),0),"2차")</f>
        <v>0</v>
      </c>
      <c r="M146" t="str" s="11" cm="1">
        <f t="array" ref="M146">IF(R146&lt;&gt;0,IF(O146&gt;=3,_xlfn.XLOOKUP(B146,'외운 것'!B2:B271,'외운 것'!D2:D271,0,1),0),"3차")</f>
        <v>3차</v>
      </c>
      <c r="N146" s="8">
        <v>0</v>
      </c>
      <c r="O146" s="8">
        <v>3</v>
      </c>
      <c r="P146" s="8">
        <v>2</v>
      </c>
      <c r="Q146" s="8">
        <v>1</v>
      </c>
      <c r="R146" s="8">
        <v>0</v>
      </c>
    </row>
    <row r="147" ht="16" customHeight="1">
      <c r="A147" s="8">
        <v>146</v>
      </c>
      <c r="B147" s="8">
        <v>16</v>
      </c>
      <c r="C147" t="s" s="9">
        <v>417</v>
      </c>
      <c r="D147" t="s" s="9">
        <v>417</v>
      </c>
      <c r="E147" t="s" s="9">
        <v>463</v>
      </c>
      <c r="F147" t="s" s="9">
        <v>464</v>
      </c>
      <c r="G147" t="s" s="9">
        <v>465</v>
      </c>
      <c r="H147" s="8" cm="1">
        <f t="array" ref="H147">MIN(SUMIF('외운 것'!A2:A271,A147,'외운 것'!D2:D271)+IF(R147=0,3,IF(R147=1,2,0)),3)</f>
        <v>3</v>
      </c>
      <c r="I147" s="8" cm="1">
        <f t="array" ref="I147">_xlfn.COUNTIFS('외운 것'!A2:A271,A147,'외운 것'!D2:D271,0)</f>
        <v>1</v>
      </c>
      <c r="J147" t="str" s="10" cm="1">
        <f t="array" ref="J147">IF(R147&lt;&gt;0,IF(H147&gt;=3,_xlfn.XLOOKUP(A147,'외운 것'!A2:A271,'외운 것'!C2:C271,0,1),0),"3차")</f>
        <v>2026-04-28</v>
      </c>
      <c r="K147" s="8" cm="1">
        <f t="array" ref="K147">IF(P147&lt;&gt;0,IF(N147&gt;=3,_xlfn.XLOOKUP(A147,'외운 것'!A2:A271,'외운 것'!C2:C271,0,1),0),"1차")</f>
        <v>0</v>
      </c>
      <c r="L147" s="8" cm="1">
        <f t="array" ref="L147">IF(Q147&lt;&gt;0,IF(N147&gt;=3,_xlfn.XLOOKUP(A147,'외운 것'!A2:A271,'외운 것'!C2:C271,0,1),0),"2차")</f>
        <v>0</v>
      </c>
      <c r="M147" s="8" cm="1">
        <f t="array" ref="M147">IF(R147&lt;&gt;0,IF(O147&gt;=3,_xlfn.XLOOKUP(B147,'외운 것'!B2:B271,'외운 것'!D2:D271,0,1),0),"3차")</f>
        <v>0</v>
      </c>
      <c r="N147" s="8">
        <v>2</v>
      </c>
      <c r="O147" s="8">
        <v>3</v>
      </c>
      <c r="P147" s="8">
        <v>1</v>
      </c>
      <c r="Q147" s="8">
        <v>1</v>
      </c>
      <c r="R147" s="8">
        <v>1</v>
      </c>
    </row>
    <row r="148" ht="16" customHeight="1">
      <c r="A148" s="8">
        <v>147</v>
      </c>
      <c r="B148" s="8">
        <v>17</v>
      </c>
      <c r="C148" t="s" s="9">
        <v>417</v>
      </c>
      <c r="D148" t="s" s="9">
        <v>417</v>
      </c>
      <c r="E148" t="s" s="9">
        <v>466</v>
      </c>
      <c r="F148" t="s" s="9">
        <v>467</v>
      </c>
      <c r="G148" t="s" s="9">
        <v>468</v>
      </c>
      <c r="H148" s="8" cm="1">
        <f t="array" ref="H148">MIN(SUMIF('외운 것'!A2:A271,A148,'외운 것'!D2:D271)+IF(R148=0,3,IF(R148=1,2,0)),3)</f>
        <v>3</v>
      </c>
      <c r="I148" s="8" cm="1">
        <f t="array" ref="I148">_xlfn.COUNTIFS('외운 것'!A2:A271,A148,'외운 것'!D2:D271,0)</f>
        <v>0</v>
      </c>
      <c r="J148" t="str" s="10" cm="1">
        <f t="array" ref="J148">IF(R148&lt;&gt;0,IF(H148&gt;=3,_xlfn.XLOOKUP(A148,'외운 것'!A2:A271,'외운 것'!C2:C271,0,1),0),"3차")</f>
        <v>2026-04-29</v>
      </c>
      <c r="K148" s="8" cm="1">
        <f t="array" ref="K148">IF(P148&lt;&gt;0,IF(N148&gt;=3,_xlfn.XLOOKUP(A148,'외운 것'!A2:A271,'외운 것'!C2:C271,0,1),0),"1차")</f>
        <v>0</v>
      </c>
      <c r="L148" s="8" cm="1">
        <f t="array" ref="L148">IF(Q148&lt;&gt;0,IF(N148&gt;=3,_xlfn.XLOOKUP(A148,'외운 것'!A2:A271,'외운 것'!C2:C271,0,1),0),"2차")</f>
        <v>0</v>
      </c>
      <c r="M148" s="8" cm="1">
        <f t="array" ref="M148">IF(R148&lt;&gt;0,IF(O148&gt;=3,_xlfn.XLOOKUP(B148,'외운 것'!B2:B271,'외운 것'!D2:D271,0,1),0),"3차")</f>
        <v>0</v>
      </c>
      <c r="N148" s="8">
        <v>0</v>
      </c>
      <c r="O148" s="8">
        <v>3</v>
      </c>
      <c r="P148" s="8">
        <v>3</v>
      </c>
      <c r="Q148" s="8">
        <v>2</v>
      </c>
      <c r="R148" s="8">
        <v>3</v>
      </c>
    </row>
    <row r="149" ht="16" customHeight="1">
      <c r="A149" s="8">
        <v>148</v>
      </c>
      <c r="B149" s="8">
        <v>18</v>
      </c>
      <c r="C149" t="s" s="9">
        <v>417</v>
      </c>
      <c r="D149" t="s" s="9">
        <v>417</v>
      </c>
      <c r="E149" t="s" s="9">
        <v>469</v>
      </c>
      <c r="F149" t="s" s="9">
        <v>470</v>
      </c>
      <c r="G149" t="s" s="9">
        <v>471</v>
      </c>
      <c r="H149" s="8" cm="1">
        <f t="array" ref="H149">MIN(SUMIF('외운 것'!A2:A271,A149,'외운 것'!D2:D271)+IF(R149=0,3,IF(R149=1,2,0)),3)</f>
        <v>3</v>
      </c>
      <c r="I149" s="8" cm="1">
        <f t="array" ref="I149">_xlfn.COUNTIFS('외운 것'!A2:A271,A149,'외운 것'!D2:D271,0)</f>
        <v>0</v>
      </c>
      <c r="J149" t="str" s="10" cm="1">
        <f t="array" ref="J149">IF(R149&lt;&gt;0,IF(H149&gt;=3,_xlfn.XLOOKUP(A149,'외운 것'!A2:A271,'외운 것'!C2:C271,0,1),0),"3차")</f>
        <v>3차</v>
      </c>
      <c r="K149" t="str" s="11" cm="1">
        <f t="array" ref="K149">IF(P149&lt;&gt;0,IF(N149&gt;=3,_xlfn.XLOOKUP(A149,'외운 것'!A2:A271,'외운 것'!C2:C271,0,1),0),"1차")</f>
        <v>1차</v>
      </c>
      <c r="L149" t="str" s="11" cm="1">
        <f t="array" ref="L149">IF(Q149&lt;&gt;0,IF(N149&gt;=3,_xlfn.XLOOKUP(A149,'외운 것'!A2:A271,'외운 것'!C2:C271,0,1),0),"2차")</f>
        <v>2차</v>
      </c>
      <c r="M149" t="str" s="11" cm="1">
        <f t="array" ref="M149">IF(R149&lt;&gt;0,IF(O149&gt;=3,_xlfn.XLOOKUP(B149,'외운 것'!B2:B271,'외운 것'!D2:D271,0,1),0),"3차")</f>
        <v>3차</v>
      </c>
      <c r="N149" s="8">
        <v>3</v>
      </c>
      <c r="O149" s="8">
        <v>3</v>
      </c>
      <c r="P149" s="8">
        <v>0</v>
      </c>
      <c r="Q149" s="8">
        <v>0</v>
      </c>
      <c r="R149" s="8">
        <v>0</v>
      </c>
    </row>
    <row r="150" ht="16" customHeight="1">
      <c r="A150" s="8">
        <v>149</v>
      </c>
      <c r="B150" s="8">
        <v>19</v>
      </c>
      <c r="C150" t="s" s="9">
        <v>417</v>
      </c>
      <c r="D150" t="s" s="9">
        <v>417</v>
      </c>
      <c r="E150" t="s" s="9">
        <v>472</v>
      </c>
      <c r="F150" t="s" s="9">
        <v>473</v>
      </c>
      <c r="G150" t="s" s="9">
        <v>474</v>
      </c>
      <c r="H150" s="8" cm="1">
        <f t="array" ref="H150">MIN(SUMIF('외운 것'!A2:A271,A150,'외운 것'!D2:D271)+IF(R150=0,3,IF(R150=1,2,0)),3)</f>
        <v>3</v>
      </c>
      <c r="I150" s="8" cm="1">
        <f t="array" ref="I150">_xlfn.COUNTIFS('외운 것'!A2:A271,A150,'외운 것'!D2:D271,0)</f>
        <v>2</v>
      </c>
      <c r="J150" t="str" s="10" cm="1">
        <f t="array" ref="J150">IF(R150&lt;&gt;0,IF(H150&gt;=3,_xlfn.XLOOKUP(A150,'외운 것'!A2:A271,'외운 것'!C2:C271,0,1),0),"3차")</f>
        <v>2026-04-29</v>
      </c>
      <c r="K150" s="8" cm="1">
        <f t="array" ref="K150">IF(P150&lt;&gt;0,IF(N150&gt;=3,_xlfn.XLOOKUP(A150,'외운 것'!A2:A271,'외운 것'!C2:C271,0,1),0),"1차")</f>
        <v>0</v>
      </c>
      <c r="L150" s="8" cm="1">
        <f t="array" ref="L150">IF(Q150&lt;&gt;0,IF(N150&gt;=3,_xlfn.XLOOKUP(A150,'외운 것'!A2:A271,'외운 것'!C2:C271,0,1),0),"2차")</f>
        <v>0</v>
      </c>
      <c r="M150" s="8" cm="1">
        <f t="array" ref="M150">IF(R150&lt;&gt;0,IF(O150&gt;=3,_xlfn.XLOOKUP(B150,'외운 것'!B2:B271,'외운 것'!D2:D271,0,1),0),"3차")</f>
        <v>0</v>
      </c>
      <c r="N150" s="8">
        <v>0</v>
      </c>
      <c r="O150" s="8">
        <v>3</v>
      </c>
      <c r="P150" s="8">
        <v>5</v>
      </c>
      <c r="Q150" s="8">
        <v>1</v>
      </c>
      <c r="R150" s="8">
        <v>1</v>
      </c>
    </row>
    <row r="151" ht="16" customHeight="1">
      <c r="A151" s="8">
        <v>150</v>
      </c>
      <c r="B151" s="8">
        <v>20</v>
      </c>
      <c r="C151" t="s" s="9">
        <v>417</v>
      </c>
      <c r="D151" t="s" s="9">
        <v>417</v>
      </c>
      <c r="E151" t="s" s="9">
        <v>475</v>
      </c>
      <c r="F151" t="s" s="9">
        <v>476</v>
      </c>
      <c r="G151" t="s" s="9">
        <v>477</v>
      </c>
      <c r="H151" s="8" cm="1">
        <f t="array" ref="H151">MIN(SUMIF('외운 것'!A2:A271,A151,'외운 것'!D2:D271)+IF(R151=0,3,IF(R151=1,2,0)),3)</f>
        <v>3</v>
      </c>
      <c r="I151" s="8" cm="1">
        <f t="array" ref="I151">_xlfn.COUNTIFS('외운 것'!A2:A271,A151,'외운 것'!D2:D271,0)</f>
        <v>1</v>
      </c>
      <c r="J151" t="str" s="10" cm="1">
        <f t="array" ref="J151">IF(R151&lt;&gt;0,IF(H151&gt;=3,_xlfn.XLOOKUP(A151,'외운 것'!A2:A271,'외운 것'!C2:C271,0,1),0),"3차")</f>
        <v>2026-04-29</v>
      </c>
      <c r="K151" s="8" cm="1">
        <f t="array" ref="K151">IF(P151&lt;&gt;0,IF(N151&gt;=3,_xlfn.XLOOKUP(A151,'외운 것'!A2:A271,'외운 것'!C2:C271,0,1),0),"1차")</f>
        <v>0</v>
      </c>
      <c r="L151" s="8" cm="1">
        <f t="array" ref="L151">IF(Q151&lt;&gt;0,IF(N151&gt;=3,_xlfn.XLOOKUP(A151,'외운 것'!A2:A271,'외운 것'!C2:C271,0,1),0),"2차")</f>
        <v>0</v>
      </c>
      <c r="M151" s="8" cm="1">
        <f t="array" ref="M151">IF(R151&lt;&gt;0,IF(O151&gt;=3,_xlfn.XLOOKUP(B151,'외운 것'!B2:B271,'외운 것'!D2:D271,0,1),0),"3차")</f>
        <v>0</v>
      </c>
      <c r="N151" s="8">
        <v>0</v>
      </c>
      <c r="O151" s="8">
        <v>3</v>
      </c>
      <c r="P151" s="8">
        <v>2</v>
      </c>
      <c r="Q151" s="8">
        <v>1</v>
      </c>
      <c r="R151" s="8">
        <v>1</v>
      </c>
    </row>
    <row r="152" ht="16" customHeight="1">
      <c r="A152" s="8">
        <v>151</v>
      </c>
      <c r="B152" s="8">
        <v>21</v>
      </c>
      <c r="C152" t="s" s="9">
        <v>417</v>
      </c>
      <c r="D152" t="s" s="9">
        <v>417</v>
      </c>
      <c r="E152" t="s" s="9">
        <v>478</v>
      </c>
      <c r="F152" t="s" s="9">
        <v>479</v>
      </c>
      <c r="G152" t="s" s="9">
        <v>480</v>
      </c>
      <c r="H152" s="8" cm="1">
        <f t="array" ref="H152">MIN(SUMIF('외운 것'!A2:A271,A152,'외운 것'!D2:D271)+IF(R152=0,3,IF(R152=1,2,0)),3)</f>
        <v>3</v>
      </c>
      <c r="I152" s="8" cm="1">
        <f t="array" ref="I152">_xlfn.COUNTIFS('외운 것'!A2:A271,A152,'외운 것'!D2:D271,0)</f>
        <v>0</v>
      </c>
      <c r="J152" t="str" s="10" cm="1">
        <f t="array" ref="J152">IF(R152&lt;&gt;0,IF(H152&gt;=3,_xlfn.XLOOKUP(A152,'외운 것'!A2:A271,'외운 것'!C2:C271,0,1),0),"3차")</f>
        <v>3차</v>
      </c>
      <c r="K152" s="8" cm="1">
        <f t="array" ref="K152">IF(P152&lt;&gt;0,IF(N152&gt;=3,_xlfn.XLOOKUP(A152,'외운 것'!A2:A271,'외운 것'!C2:C271,0,1),0),"1차")</f>
        <v>0</v>
      </c>
      <c r="L152" s="8" cm="1">
        <f t="array" ref="L152">IF(Q152&lt;&gt;0,IF(N152&gt;=3,_xlfn.XLOOKUP(A152,'외운 것'!A2:A271,'외운 것'!C2:C271,0,1),0),"2차")</f>
        <v>0</v>
      </c>
      <c r="M152" t="str" s="11" cm="1">
        <f t="array" ref="M152">IF(R152&lt;&gt;0,IF(O152&gt;=3,_xlfn.XLOOKUP(B152,'외운 것'!B2:B271,'외운 것'!D2:D271,0,1),0),"3차")</f>
        <v>3차</v>
      </c>
      <c r="N152" s="8">
        <v>0</v>
      </c>
      <c r="O152" s="8">
        <v>3</v>
      </c>
      <c r="P152" s="8">
        <v>4</v>
      </c>
      <c r="Q152" s="8">
        <v>1</v>
      </c>
      <c r="R152" s="8">
        <v>0</v>
      </c>
    </row>
    <row r="153" ht="16" customHeight="1">
      <c r="A153" s="8">
        <v>152</v>
      </c>
      <c r="B153" s="8">
        <v>22</v>
      </c>
      <c r="C153" t="s" s="9">
        <v>417</v>
      </c>
      <c r="D153" t="s" s="9">
        <v>417</v>
      </c>
      <c r="E153" t="s" s="9">
        <v>481</v>
      </c>
      <c r="F153" t="s" s="9">
        <v>482</v>
      </c>
      <c r="G153" t="s" s="9">
        <v>483</v>
      </c>
      <c r="H153" s="8" cm="1">
        <f t="array" ref="H153">MIN(SUMIF('외운 것'!A2:A271,A153,'외운 것'!D2:D271)+IF(R153=0,3,IF(R153=1,2,0)),3)</f>
        <v>3</v>
      </c>
      <c r="I153" s="8" cm="1">
        <f t="array" ref="I153">_xlfn.COUNTIFS('외운 것'!A2:A271,A153,'외운 것'!D2:D271,0)</f>
        <v>0</v>
      </c>
      <c r="J153" t="str" s="10" cm="1">
        <f t="array" ref="J153">IF(R153&lt;&gt;0,IF(H153&gt;=3,_xlfn.XLOOKUP(A153,'외운 것'!A2:A271,'외운 것'!C2:C271,0,1),0),"3차")</f>
        <v>3차</v>
      </c>
      <c r="K153" s="8" cm="1">
        <f t="array" ref="K153">IF(P153&lt;&gt;0,IF(N153&gt;=3,_xlfn.XLOOKUP(A153,'외운 것'!A2:A271,'외운 것'!C2:C271,0,1),0),"1차")</f>
        <v>0</v>
      </c>
      <c r="L153" t="str" s="11" cm="1">
        <f t="array" ref="L153">IF(Q153&lt;&gt;0,IF(N153&gt;=3,_xlfn.XLOOKUP(A153,'외운 것'!A2:A271,'외운 것'!C2:C271,0,1),0),"2차")</f>
        <v>2차</v>
      </c>
      <c r="M153" t="str" s="11" cm="1">
        <f t="array" ref="M153">IF(R153&lt;&gt;0,IF(O153&gt;=3,_xlfn.XLOOKUP(B153,'외운 것'!B2:B271,'외운 것'!D2:D271,0,1),0),"3차")</f>
        <v>3차</v>
      </c>
      <c r="N153" s="8">
        <v>0</v>
      </c>
      <c r="O153" s="8">
        <v>3</v>
      </c>
      <c r="P153" s="8">
        <v>4</v>
      </c>
      <c r="Q153" s="8">
        <v>0</v>
      </c>
      <c r="R153" s="8">
        <v>0</v>
      </c>
    </row>
    <row r="154" ht="16" customHeight="1">
      <c r="A154" s="8">
        <v>153</v>
      </c>
      <c r="B154" s="8">
        <v>23</v>
      </c>
      <c r="C154" t="s" s="9">
        <v>417</v>
      </c>
      <c r="D154" t="s" s="9">
        <v>417</v>
      </c>
      <c r="E154" t="s" s="9">
        <v>484</v>
      </c>
      <c r="F154" t="s" s="9">
        <v>485</v>
      </c>
      <c r="G154" t="s" s="9">
        <v>486</v>
      </c>
      <c r="H154" s="8" cm="1">
        <f t="array" ref="H154">MIN(SUMIF('외운 것'!A2:A271,A154,'외운 것'!D2:D271)+IF(R154=0,3,IF(R154=1,2,0)),3)</f>
        <v>3</v>
      </c>
      <c r="I154" s="8" cm="1">
        <f t="array" ref="I154">_xlfn.COUNTIFS('외운 것'!A2:A271,A154,'외운 것'!D2:D271,0)</f>
        <v>0</v>
      </c>
      <c r="J154" t="str" s="10" cm="1">
        <f t="array" ref="J154">IF(R154&lt;&gt;0,IF(H154&gt;=3,_xlfn.XLOOKUP(A154,'외운 것'!A2:A271,'외운 것'!C2:C271,0,1),0),"3차")</f>
        <v>3차</v>
      </c>
      <c r="K154" t="str" s="11" cm="1">
        <f t="array" ref="K154">IF(P154&lt;&gt;0,IF(N154&gt;=3,_xlfn.XLOOKUP(A154,'외운 것'!A2:A271,'외운 것'!C2:C271,0,1),0),"1차")</f>
        <v>1차</v>
      </c>
      <c r="L154" t="str" s="11" cm="1">
        <f t="array" ref="L154">IF(Q154&lt;&gt;0,IF(N154&gt;=3,_xlfn.XLOOKUP(A154,'외운 것'!A2:A271,'외운 것'!C2:C271,0,1),0),"2차")</f>
        <v>2차</v>
      </c>
      <c r="M154" t="str" s="11" cm="1">
        <f t="array" ref="M154">IF(R154&lt;&gt;0,IF(O154&gt;=3,_xlfn.XLOOKUP(B154,'외운 것'!B2:B271,'외운 것'!D2:D271,0,1),0),"3차")</f>
        <v>3차</v>
      </c>
      <c r="N154" s="8">
        <v>3</v>
      </c>
      <c r="O154" s="8">
        <v>3</v>
      </c>
      <c r="P154" s="8">
        <v>0</v>
      </c>
      <c r="Q154" s="8">
        <v>0</v>
      </c>
      <c r="R154" s="8">
        <v>0</v>
      </c>
    </row>
    <row r="155" ht="16" customHeight="1">
      <c r="A155" s="8">
        <v>154</v>
      </c>
      <c r="B155" s="8">
        <v>24</v>
      </c>
      <c r="C155" t="s" s="9">
        <v>417</v>
      </c>
      <c r="D155" t="s" s="9">
        <v>417</v>
      </c>
      <c r="E155" t="s" s="9">
        <v>487</v>
      </c>
      <c r="F155" t="s" s="9">
        <v>488</v>
      </c>
      <c r="G155" t="s" s="9">
        <v>489</v>
      </c>
      <c r="H155" s="8" cm="1">
        <f t="array" ref="H155">MIN(SUMIF('외운 것'!A2:A271,A155,'외운 것'!D2:D271)+IF(R155=0,3,IF(R155=1,2,0)),3)</f>
        <v>3</v>
      </c>
      <c r="I155" s="8" cm="1">
        <f t="array" ref="I155">_xlfn.COUNTIFS('외운 것'!A2:A271,A155,'외운 것'!D2:D271,0)</f>
        <v>0</v>
      </c>
      <c r="J155" t="str" s="10" cm="1">
        <f t="array" ref="J155">IF(R155&lt;&gt;0,IF(H155&gt;=3,_xlfn.XLOOKUP(A155,'외운 것'!A2:A271,'외운 것'!C2:C271,0,1),0),"3차")</f>
        <v>2026-04-28</v>
      </c>
      <c r="K155" s="8" cm="1">
        <f t="array" ref="K155">IF(P155&lt;&gt;0,IF(N155&gt;=3,_xlfn.XLOOKUP(A155,'외운 것'!A2:A271,'외운 것'!C2:C271,0,1),0),"1차")</f>
        <v>0</v>
      </c>
      <c r="L155" s="8" cm="1">
        <f t="array" ref="L155">IF(Q155&lt;&gt;0,IF(N155&gt;=3,_xlfn.XLOOKUP(A155,'외운 것'!A2:A271,'외운 것'!C2:C271,0,1),0),"2차")</f>
        <v>0</v>
      </c>
      <c r="M155" s="8" cm="1">
        <f t="array" ref="M155">IF(R155&lt;&gt;0,IF(O155&gt;=3,_xlfn.XLOOKUP(B155,'외운 것'!B2:B271,'외운 것'!D2:D271,0,1),0),"3차")</f>
        <v>0</v>
      </c>
      <c r="N155" s="8">
        <v>0</v>
      </c>
      <c r="O155" s="8">
        <v>3</v>
      </c>
      <c r="P155" s="8">
        <v>2</v>
      </c>
      <c r="Q155" s="8">
        <v>3</v>
      </c>
      <c r="R155" s="8">
        <v>1</v>
      </c>
    </row>
    <row r="156" ht="16" customHeight="1">
      <c r="A156" s="8">
        <v>155</v>
      </c>
      <c r="B156" s="8">
        <v>25</v>
      </c>
      <c r="C156" t="s" s="9">
        <v>417</v>
      </c>
      <c r="D156" t="s" s="9">
        <v>417</v>
      </c>
      <c r="E156" t="s" s="9">
        <v>490</v>
      </c>
      <c r="F156" t="s" s="9">
        <v>491</v>
      </c>
      <c r="G156" t="s" s="9">
        <v>492</v>
      </c>
      <c r="H156" s="8" cm="1">
        <f t="array" ref="H156">MIN(SUMIF('외운 것'!A2:A271,A156,'외운 것'!D2:D271)+IF(R156=0,3,IF(R156=1,2,0)),3)</f>
        <v>3</v>
      </c>
      <c r="I156" s="8" cm="1">
        <f t="array" ref="I156">_xlfn.COUNTIFS('외운 것'!A2:A271,A156,'외운 것'!D2:D271,0)</f>
        <v>0</v>
      </c>
      <c r="J156" t="str" s="10" cm="1">
        <f t="array" ref="J156">IF(R156&lt;&gt;0,IF(H156&gt;=3,_xlfn.XLOOKUP(A156,'외운 것'!A2:A271,'외운 것'!C2:C271,0,1),0),"3차")</f>
        <v>2026-04-28</v>
      </c>
      <c r="K156" s="8" cm="1">
        <f t="array" ref="K156">IF(P156&lt;&gt;0,IF(N156&gt;=3,_xlfn.XLOOKUP(A156,'외운 것'!A2:A271,'외운 것'!C2:C271,0,1),0),"1차")</f>
        <v>0</v>
      </c>
      <c r="L156" s="8" cm="1">
        <f t="array" ref="L156">IF(Q156&lt;&gt;0,IF(N156&gt;=3,_xlfn.XLOOKUP(A156,'외운 것'!A2:A271,'외운 것'!C2:C271,0,1),0),"2차")</f>
        <v>0</v>
      </c>
      <c r="M156" s="8" cm="1">
        <f t="array" ref="M156">IF(R156&lt;&gt;0,IF(O156&gt;=3,_xlfn.XLOOKUP(B156,'외운 것'!B2:B271,'외운 것'!D2:D271,0,1),0),"3차")</f>
        <v>0</v>
      </c>
      <c r="N156" s="8">
        <v>0</v>
      </c>
      <c r="O156" s="8">
        <v>3</v>
      </c>
      <c r="P156" s="8">
        <v>4</v>
      </c>
      <c r="Q156" s="8">
        <v>1</v>
      </c>
      <c r="R156" s="8">
        <v>1</v>
      </c>
    </row>
    <row r="157" ht="16" customHeight="1">
      <c r="A157" s="8">
        <v>156</v>
      </c>
      <c r="B157" s="8">
        <v>26</v>
      </c>
      <c r="C157" t="s" s="9">
        <v>417</v>
      </c>
      <c r="D157" t="s" s="9">
        <v>417</v>
      </c>
      <c r="E157" t="s" s="9">
        <v>493</v>
      </c>
      <c r="F157" t="s" s="9">
        <v>494</v>
      </c>
      <c r="G157" t="s" s="9">
        <v>495</v>
      </c>
      <c r="H157" s="8" cm="1">
        <f t="array" ref="H157">MIN(SUMIF('외운 것'!A2:A271,A157,'외운 것'!D2:D271)+IF(R157=0,3,IF(R157=1,2,0)),3)</f>
        <v>3</v>
      </c>
      <c r="I157" s="8" cm="1">
        <f t="array" ref="I157">_xlfn.COUNTIFS('외운 것'!A2:A271,A157,'외운 것'!D2:D271,0)</f>
        <v>2</v>
      </c>
      <c r="J157" t="str" s="10" cm="1">
        <f t="array" ref="J157">IF(R157&lt;&gt;0,IF(H157&gt;=3,_xlfn.XLOOKUP(A157,'외운 것'!A2:A271,'외운 것'!C2:C271,0,1),0),"3차")</f>
        <v>2026-04-30</v>
      </c>
      <c r="K157" s="8" cm="1">
        <f t="array" ref="K157">IF(P157&lt;&gt;0,IF(N157&gt;=3,_xlfn.XLOOKUP(A157,'외운 것'!A2:A271,'외운 것'!C2:C271,0,1),0),"1차")</f>
        <v>0</v>
      </c>
      <c r="L157" s="8" cm="1">
        <f t="array" ref="L157">IF(Q157&lt;&gt;0,IF(N157&gt;=3,_xlfn.XLOOKUP(A157,'외운 것'!A2:A271,'외운 것'!C2:C271,0,1),0),"2차")</f>
        <v>0</v>
      </c>
      <c r="M157" s="8" cm="1">
        <f t="array" ref="M157">IF(R157&lt;&gt;0,IF(O157&gt;=3,_xlfn.XLOOKUP(B157,'외운 것'!B2:B271,'외운 것'!D2:D271,0,1),0),"3차")</f>
        <v>0</v>
      </c>
      <c r="N157" s="8">
        <v>0</v>
      </c>
      <c r="O157" s="8">
        <v>3</v>
      </c>
      <c r="P157" s="8">
        <v>5</v>
      </c>
      <c r="Q157" s="8">
        <v>3</v>
      </c>
      <c r="R157" s="8">
        <v>3</v>
      </c>
    </row>
    <row r="158" ht="16" customHeight="1">
      <c r="A158" s="8">
        <v>157</v>
      </c>
      <c r="B158" s="8">
        <v>27</v>
      </c>
      <c r="C158" t="s" s="9">
        <v>417</v>
      </c>
      <c r="D158" t="s" s="9">
        <v>417</v>
      </c>
      <c r="E158" t="s" s="9">
        <v>497</v>
      </c>
      <c r="F158" t="s" s="9">
        <v>498</v>
      </c>
      <c r="G158" t="s" s="9">
        <v>499</v>
      </c>
      <c r="H158" s="8" cm="1">
        <f t="array" ref="H158">MIN(SUMIF('외운 것'!A2:A271,A158,'외운 것'!D2:D271)+IF(R158=0,3,IF(R158=1,2,0)),3)</f>
        <v>3</v>
      </c>
      <c r="I158" s="8" cm="1">
        <f t="array" ref="I158">_xlfn.COUNTIFS('외운 것'!A2:A271,A158,'외운 것'!D2:D271,0)</f>
        <v>0</v>
      </c>
      <c r="J158" t="str" s="10" cm="1">
        <f t="array" ref="J158">IF(R158&lt;&gt;0,IF(H158&gt;=3,_xlfn.XLOOKUP(A158,'외운 것'!A2:A271,'외운 것'!C2:C271,0,1),0),"3차")</f>
        <v>3차</v>
      </c>
      <c r="K158" t="str" s="11" cm="1">
        <f t="array" ref="K158">IF(P158&lt;&gt;0,IF(N158&gt;=3,_xlfn.XLOOKUP(A158,'외운 것'!A2:A271,'외운 것'!C2:C271,0,1),0),"1차")</f>
        <v>1차</v>
      </c>
      <c r="L158" t="str" s="11" cm="1">
        <f t="array" ref="L158">IF(Q158&lt;&gt;0,IF(N158&gt;=3,_xlfn.XLOOKUP(A158,'외운 것'!A2:A271,'외운 것'!C2:C271,0,1),0),"2차")</f>
        <v>2차</v>
      </c>
      <c r="M158" t="str" s="11" cm="1">
        <f t="array" ref="M158">IF(R158&lt;&gt;0,IF(O158&gt;=3,_xlfn.XLOOKUP(B158,'외운 것'!B2:B271,'외운 것'!D2:D271,0,1),0),"3차")</f>
        <v>3차</v>
      </c>
      <c r="N158" s="8">
        <v>3</v>
      </c>
      <c r="O158" s="8">
        <v>3</v>
      </c>
      <c r="P158" s="8">
        <v>0</v>
      </c>
      <c r="Q158" s="8">
        <v>0</v>
      </c>
      <c r="R158" s="8">
        <v>0</v>
      </c>
    </row>
    <row r="159" ht="16" customHeight="1">
      <c r="A159" s="8">
        <v>158</v>
      </c>
      <c r="B159" s="8">
        <v>28</v>
      </c>
      <c r="C159" t="s" s="9">
        <v>417</v>
      </c>
      <c r="D159" t="s" s="9">
        <v>417</v>
      </c>
      <c r="E159" t="s" s="9">
        <v>500</v>
      </c>
      <c r="F159" t="s" s="9">
        <v>501</v>
      </c>
      <c r="G159" t="s" s="9">
        <v>502</v>
      </c>
      <c r="H159" s="8" cm="1">
        <f t="array" ref="H159">MIN(SUMIF('외운 것'!A2:A271,A159,'외운 것'!D2:D271)+IF(R159=0,3,IF(R159=1,2,0)),3)</f>
        <v>3</v>
      </c>
      <c r="I159" s="8" cm="1">
        <f t="array" ref="I159">_xlfn.COUNTIFS('외운 것'!A2:A271,A159,'외운 것'!D2:D271,0)</f>
        <v>1</v>
      </c>
      <c r="J159" t="str" s="10" cm="1">
        <f t="array" ref="J159">IF(R159&lt;&gt;0,IF(H159&gt;=3,_xlfn.XLOOKUP(A159,'외운 것'!A2:A271,'외운 것'!C2:C271,0,1),0),"3차")</f>
        <v>2026-04-29</v>
      </c>
      <c r="K159" s="8" cm="1">
        <f t="array" ref="K159">IF(P159&lt;&gt;0,IF(N159&gt;=3,_xlfn.XLOOKUP(A159,'외운 것'!A2:A271,'외운 것'!C2:C271,0,1),0),"1차")</f>
        <v>0</v>
      </c>
      <c r="L159" s="8" cm="1">
        <f t="array" ref="L159">IF(Q159&lt;&gt;0,IF(N159&gt;=3,_xlfn.XLOOKUP(A159,'외운 것'!A2:A271,'외운 것'!C2:C271,0,1),0),"2차")</f>
        <v>0</v>
      </c>
      <c r="M159" s="8" cm="1">
        <f t="array" ref="M159">IF(R159&lt;&gt;0,IF(O159&gt;=3,_xlfn.XLOOKUP(B159,'외운 것'!B2:B271,'외운 것'!D2:D271,0,1),0),"3차")</f>
        <v>0</v>
      </c>
      <c r="N159" s="8">
        <v>0</v>
      </c>
      <c r="O159" s="8">
        <v>3</v>
      </c>
      <c r="P159" s="8">
        <v>2</v>
      </c>
      <c r="Q159" s="8">
        <v>2</v>
      </c>
      <c r="R159" s="8">
        <v>3</v>
      </c>
    </row>
    <row r="160" ht="16" customHeight="1">
      <c r="A160" s="8">
        <v>159</v>
      </c>
      <c r="B160" s="8">
        <v>29</v>
      </c>
      <c r="C160" t="s" s="9">
        <v>417</v>
      </c>
      <c r="D160" t="s" s="9">
        <v>417</v>
      </c>
      <c r="E160" t="s" s="9">
        <v>503</v>
      </c>
      <c r="F160" t="s" s="9">
        <v>504</v>
      </c>
      <c r="G160" t="s" s="9">
        <v>505</v>
      </c>
      <c r="H160" s="8" cm="1">
        <f t="array" ref="H160">MIN(SUMIF('외운 것'!A2:A271,A160,'외운 것'!D2:D271)+IF(R160=0,3,IF(R160=1,2,0)),3)</f>
        <v>3</v>
      </c>
      <c r="I160" s="8" cm="1">
        <f t="array" ref="I160">_xlfn.COUNTIFS('외운 것'!A2:A271,A160,'외운 것'!D2:D271,0)</f>
        <v>0</v>
      </c>
      <c r="J160" t="str" s="10" cm="1">
        <f t="array" ref="J160">IF(R160&lt;&gt;0,IF(H160&gt;=3,_xlfn.XLOOKUP(A160,'외운 것'!A2:A271,'외운 것'!C2:C271,0,1),0),"3차")</f>
        <v>3차</v>
      </c>
      <c r="K160" s="8" cm="1">
        <f t="array" ref="K160">IF(P160&lt;&gt;0,IF(N160&gt;=3,_xlfn.XLOOKUP(A160,'외운 것'!A2:A271,'외운 것'!C2:C271,0,1),0),"1차")</f>
        <v>0</v>
      </c>
      <c r="L160" s="8" cm="1">
        <f t="array" ref="L160">IF(Q160&lt;&gt;0,IF(N160&gt;=3,_xlfn.XLOOKUP(A160,'외운 것'!A2:A271,'외운 것'!C2:C271,0,1),0),"2차")</f>
        <v>0</v>
      </c>
      <c r="M160" t="str" s="11" cm="1">
        <f t="array" ref="M160">IF(R160&lt;&gt;0,IF(O160&gt;=3,_xlfn.XLOOKUP(B160,'외운 것'!B2:B271,'외운 것'!D2:D271,0,1),0),"3차")</f>
        <v>3차</v>
      </c>
      <c r="N160" s="8">
        <v>0</v>
      </c>
      <c r="O160" s="8">
        <v>3</v>
      </c>
      <c r="P160" s="8">
        <v>2</v>
      </c>
      <c r="Q160" s="8">
        <v>1</v>
      </c>
      <c r="R160" s="8">
        <v>0</v>
      </c>
    </row>
    <row r="161" ht="16" customHeight="1">
      <c r="A161" s="8">
        <v>160</v>
      </c>
      <c r="B161" s="8">
        <v>30</v>
      </c>
      <c r="C161" t="s" s="9">
        <v>417</v>
      </c>
      <c r="D161" t="s" s="9">
        <v>417</v>
      </c>
      <c r="E161" t="s" s="9">
        <v>506</v>
      </c>
      <c r="F161" t="s" s="9">
        <v>507</v>
      </c>
      <c r="G161" t="s" s="9">
        <v>508</v>
      </c>
      <c r="H161" s="8" cm="1">
        <f t="array" ref="H161">MIN(SUMIF('외운 것'!A2:A271,A161,'외운 것'!D2:D271)+IF(R161=0,3,IF(R161=1,2,0)),3)</f>
        <v>3</v>
      </c>
      <c r="I161" s="8" cm="1">
        <f t="array" ref="I161">_xlfn.COUNTIFS('외운 것'!A2:A271,A161,'외운 것'!D2:D271,0)</f>
        <v>0</v>
      </c>
      <c r="J161" t="str" s="10" cm="1">
        <f t="array" ref="J161">IF(R161&lt;&gt;0,IF(H161&gt;=3,_xlfn.XLOOKUP(A161,'외운 것'!A2:A271,'외운 것'!C2:C271,0,1),0),"3차")</f>
        <v>3차</v>
      </c>
      <c r="K161" t="str" s="11" cm="1">
        <f t="array" ref="K161">IF(P161&lt;&gt;0,IF(N161&gt;=3,_xlfn.XLOOKUP(A161,'외운 것'!A2:A271,'외운 것'!C2:C271,0,1),0),"1차")</f>
        <v>1차</v>
      </c>
      <c r="L161" t="str" s="11" cm="1">
        <f t="array" ref="L161">IF(Q161&lt;&gt;0,IF(N161&gt;=3,_xlfn.XLOOKUP(A161,'외운 것'!A2:A271,'외운 것'!C2:C271,0,1),0),"2차")</f>
        <v>2차</v>
      </c>
      <c r="M161" t="str" s="11" cm="1">
        <f t="array" ref="M161">IF(R161&lt;&gt;0,IF(O161&gt;=3,_xlfn.XLOOKUP(B161,'외운 것'!B2:B271,'외운 것'!D2:D271,0,1),0),"3차")</f>
        <v>3차</v>
      </c>
      <c r="N161" s="8">
        <v>3</v>
      </c>
      <c r="O161" s="8">
        <v>3</v>
      </c>
      <c r="P161" s="8">
        <v>0</v>
      </c>
      <c r="Q161" s="8">
        <v>0</v>
      </c>
      <c r="R161" s="8">
        <v>0</v>
      </c>
    </row>
    <row r="162" ht="16" customHeight="1">
      <c r="A162" s="8">
        <v>161</v>
      </c>
      <c r="B162" s="8">
        <v>31</v>
      </c>
      <c r="C162" t="s" s="9">
        <v>417</v>
      </c>
      <c r="D162" t="s" s="9">
        <v>417</v>
      </c>
      <c r="E162" t="s" s="9">
        <v>509</v>
      </c>
      <c r="F162" t="s" s="9">
        <v>510</v>
      </c>
      <c r="G162" t="s" s="9">
        <v>511</v>
      </c>
      <c r="H162" s="8" cm="1">
        <f t="array" ref="H162">MIN(SUMIF('외운 것'!A2:A271,A162,'외운 것'!D2:D271)+IF(R162=0,3,IF(R162=1,2,0)),3)</f>
        <v>3</v>
      </c>
      <c r="I162" s="8" cm="1">
        <f t="array" ref="I162">_xlfn.COUNTIFS('외운 것'!A2:A271,A162,'외운 것'!D2:D271,0)</f>
        <v>0</v>
      </c>
      <c r="J162" t="str" s="10" cm="1">
        <f t="array" ref="J162">IF(R162&lt;&gt;0,IF(H162&gt;=3,_xlfn.XLOOKUP(A162,'외운 것'!A2:A271,'외운 것'!C2:C271,0,1),0),"3차")</f>
        <v>2026-04-28</v>
      </c>
      <c r="K162" s="8" cm="1">
        <f t="array" ref="K162">IF(P162&lt;&gt;0,IF(N162&gt;=3,_xlfn.XLOOKUP(A162,'외운 것'!A2:A271,'외운 것'!C2:C271,0,1),0),"1차")</f>
        <v>0</v>
      </c>
      <c r="L162" s="8" cm="1">
        <f t="array" ref="L162">IF(Q162&lt;&gt;0,IF(N162&gt;=3,_xlfn.XLOOKUP(A162,'외운 것'!A2:A271,'외운 것'!C2:C271,0,1),0),"2차")</f>
        <v>0</v>
      </c>
      <c r="M162" s="8" cm="1">
        <f t="array" ref="M162">IF(R162&lt;&gt;0,IF(O162&gt;=3,_xlfn.XLOOKUP(B162,'외운 것'!B2:B271,'외운 것'!D2:D271,0,1),0),"3차")</f>
        <v>0</v>
      </c>
      <c r="N162" s="8">
        <v>2</v>
      </c>
      <c r="O162" s="8">
        <v>3</v>
      </c>
      <c r="P162" s="8">
        <v>1</v>
      </c>
      <c r="Q162" s="8">
        <v>2</v>
      </c>
      <c r="R162" s="8">
        <v>1</v>
      </c>
    </row>
    <row r="163" ht="16" customHeight="1">
      <c r="A163" s="8">
        <v>162</v>
      </c>
      <c r="B163" s="8">
        <v>32</v>
      </c>
      <c r="C163" t="s" s="9">
        <v>417</v>
      </c>
      <c r="D163" t="s" s="9">
        <v>417</v>
      </c>
      <c r="E163" t="s" s="9">
        <v>512</v>
      </c>
      <c r="F163" t="s" s="9">
        <v>513</v>
      </c>
      <c r="G163" t="s" s="9">
        <v>514</v>
      </c>
      <c r="H163" s="8" cm="1">
        <f t="array" ref="H163">MIN(SUMIF('외운 것'!A2:A271,A163,'외운 것'!D2:D271)+IF(R163=0,3,IF(R163=1,2,0)),3)</f>
        <v>3</v>
      </c>
      <c r="I163" s="8" cm="1">
        <f t="array" ref="I163">_xlfn.COUNTIFS('외운 것'!A2:A271,A163,'외운 것'!D2:D271,0)</f>
        <v>0</v>
      </c>
      <c r="J163" t="str" s="10" cm="1">
        <f t="array" ref="J163">IF(R163&lt;&gt;0,IF(H163&gt;=3,_xlfn.XLOOKUP(A163,'외운 것'!A2:A271,'외운 것'!C2:C271,0,1),0),"3차")</f>
        <v>3차</v>
      </c>
      <c r="K163" t="str" s="11" cm="1">
        <f t="array" ref="K163">IF(P163&lt;&gt;0,IF(N163&gt;=3,_xlfn.XLOOKUP(A163,'외운 것'!A2:A271,'외운 것'!C2:C271,0,1),0),"1차")</f>
        <v>1차</v>
      </c>
      <c r="L163" t="str" s="11" cm="1">
        <f t="array" ref="L163">IF(Q163&lt;&gt;0,IF(N163&gt;=3,_xlfn.XLOOKUP(A163,'외운 것'!A2:A271,'외운 것'!C2:C271,0,1),0),"2차")</f>
        <v>2차</v>
      </c>
      <c r="M163" t="str" s="11" cm="1">
        <f t="array" ref="M163">IF(R163&lt;&gt;0,IF(O163&gt;=3,_xlfn.XLOOKUP(B163,'외운 것'!B2:B271,'외운 것'!D2:D271,0,1),0),"3차")</f>
        <v>3차</v>
      </c>
      <c r="N163" s="8">
        <v>3</v>
      </c>
      <c r="O163" s="8">
        <v>3</v>
      </c>
      <c r="P163" s="8">
        <v>0</v>
      </c>
      <c r="Q163" s="8">
        <v>0</v>
      </c>
      <c r="R163" s="8">
        <v>0</v>
      </c>
    </row>
    <row r="164" ht="16" customHeight="1">
      <c r="A164" s="8">
        <v>163</v>
      </c>
      <c r="B164" s="8">
        <v>33</v>
      </c>
      <c r="C164" t="s" s="9">
        <v>417</v>
      </c>
      <c r="D164" t="s" s="9">
        <v>417</v>
      </c>
      <c r="E164" t="s" s="9">
        <v>515</v>
      </c>
      <c r="F164" t="s" s="9">
        <v>516</v>
      </c>
      <c r="G164" t="s" s="9">
        <v>517</v>
      </c>
      <c r="H164" s="8" cm="1">
        <f t="array" ref="H164">MIN(SUMIF('외운 것'!A2:A271,A164,'외운 것'!D2:D271)+IF(R164=0,3,IF(R164=1,2,0)),3)</f>
        <v>3</v>
      </c>
      <c r="I164" s="8" cm="1">
        <f t="array" ref="I164">_xlfn.COUNTIFS('외운 것'!A2:A271,A164,'외운 것'!D2:D271,0)</f>
        <v>0</v>
      </c>
      <c r="J164" t="str" s="10" cm="1">
        <f t="array" ref="J164">IF(R164&lt;&gt;0,IF(H164&gt;=3,_xlfn.XLOOKUP(A164,'외운 것'!A2:A271,'외운 것'!C2:C271,0,1),0),"3차")</f>
        <v>3차</v>
      </c>
      <c r="K164" s="8" cm="1">
        <f t="array" ref="K164">IF(P164&lt;&gt;0,IF(N164&gt;=3,_xlfn.XLOOKUP(A164,'외운 것'!A2:A271,'외운 것'!C2:C271,0,1),0),"1차")</f>
        <v>0</v>
      </c>
      <c r="L164" t="str" s="11" cm="1">
        <f t="array" ref="L164">IF(Q164&lt;&gt;0,IF(N164&gt;=3,_xlfn.XLOOKUP(A164,'외운 것'!A2:A271,'외운 것'!C2:C271,0,1),0),"2차")</f>
        <v>2차</v>
      </c>
      <c r="M164" t="str" s="11" cm="1">
        <f t="array" ref="M164">IF(R164&lt;&gt;0,IF(O164&gt;=3,_xlfn.XLOOKUP(B164,'외운 것'!B2:B271,'외운 것'!D2:D271,0,1),0),"3차")</f>
        <v>3차</v>
      </c>
      <c r="N164" s="8">
        <v>0</v>
      </c>
      <c r="O164" s="8">
        <v>3</v>
      </c>
      <c r="P164" s="8">
        <v>3</v>
      </c>
      <c r="Q164" s="8">
        <v>0</v>
      </c>
      <c r="R164" s="8">
        <v>0</v>
      </c>
    </row>
    <row r="165" ht="16" customHeight="1">
      <c r="A165" s="8">
        <v>164</v>
      </c>
      <c r="B165" s="8">
        <v>34</v>
      </c>
      <c r="C165" t="s" s="9">
        <v>417</v>
      </c>
      <c r="D165" t="s" s="9">
        <v>417</v>
      </c>
      <c r="E165" t="s" s="9">
        <v>518</v>
      </c>
      <c r="F165" t="s" s="9">
        <v>519</v>
      </c>
      <c r="G165" t="s" s="9">
        <v>520</v>
      </c>
      <c r="H165" s="8" cm="1">
        <f t="array" ref="H165">MIN(SUMIF('외운 것'!A2:A271,A165,'외운 것'!D2:D271)+IF(R165=0,3,IF(R165=1,2,0)),3)</f>
        <v>3</v>
      </c>
      <c r="I165" s="8" cm="1">
        <f t="array" ref="I165">_xlfn.COUNTIFS('외운 것'!A2:A271,A165,'외운 것'!D2:D271,0)</f>
        <v>0</v>
      </c>
      <c r="J165" t="str" s="10" cm="1">
        <f t="array" ref="J165">IF(R165&lt;&gt;0,IF(H165&gt;=3,_xlfn.XLOOKUP(A165,'외운 것'!A2:A271,'외운 것'!C2:C271,0,1),0),"3차")</f>
        <v>3차</v>
      </c>
      <c r="K165" t="str" s="11" cm="1">
        <f t="array" ref="K165">IF(P165&lt;&gt;0,IF(N165&gt;=3,_xlfn.XLOOKUP(A165,'외운 것'!A2:A271,'외운 것'!C2:C271,0,1),0),"1차")</f>
        <v>1차</v>
      </c>
      <c r="L165" t="str" s="11" cm="1">
        <f t="array" ref="L165">IF(Q165&lt;&gt;0,IF(N165&gt;=3,_xlfn.XLOOKUP(A165,'외운 것'!A2:A271,'외운 것'!C2:C271,0,1),0),"2차")</f>
        <v>2차</v>
      </c>
      <c r="M165" t="str" s="11" cm="1">
        <f t="array" ref="M165">IF(R165&lt;&gt;0,IF(O165&gt;=3,_xlfn.XLOOKUP(B165,'외운 것'!B2:B271,'외운 것'!D2:D271,0,1),0),"3차")</f>
        <v>3차</v>
      </c>
      <c r="N165" s="8">
        <v>3</v>
      </c>
      <c r="O165" s="8">
        <v>3</v>
      </c>
      <c r="P165" s="8">
        <v>0</v>
      </c>
      <c r="Q165" s="8">
        <v>0</v>
      </c>
      <c r="R165" s="8">
        <v>0</v>
      </c>
    </row>
    <row r="166" ht="16" customHeight="1">
      <c r="A166" s="8">
        <v>165</v>
      </c>
      <c r="B166" s="8">
        <v>35</v>
      </c>
      <c r="C166" t="s" s="9">
        <v>417</v>
      </c>
      <c r="D166" t="s" s="9">
        <v>417</v>
      </c>
      <c r="E166" t="s" s="9">
        <v>521</v>
      </c>
      <c r="F166" t="s" s="9">
        <v>522</v>
      </c>
      <c r="G166" t="s" s="9">
        <v>523</v>
      </c>
      <c r="H166" s="8" cm="1">
        <f t="array" ref="H166">MIN(SUMIF('외운 것'!A2:A271,A166,'외운 것'!D2:D271)+IF(R166=0,3,IF(R166=1,2,0)),3)</f>
        <v>3</v>
      </c>
      <c r="I166" s="8" cm="1">
        <f t="array" ref="I166">_xlfn.COUNTIFS('외운 것'!A2:A271,A166,'외운 것'!D2:D271,0)</f>
        <v>0</v>
      </c>
      <c r="J166" t="str" s="10" cm="1">
        <f t="array" ref="J166">IF(R166&lt;&gt;0,IF(H166&gt;=3,_xlfn.XLOOKUP(A166,'외운 것'!A2:A271,'외운 것'!C2:C271,0,1),0),"3차")</f>
        <v>3차</v>
      </c>
      <c r="K166" t="str" s="11" cm="1">
        <f t="array" ref="K166">IF(P166&lt;&gt;0,IF(N166&gt;=3,_xlfn.XLOOKUP(A166,'외운 것'!A2:A271,'외운 것'!C2:C271,0,1),0),"1차")</f>
        <v>1차</v>
      </c>
      <c r="L166" t="str" s="11" cm="1">
        <f t="array" ref="L166">IF(Q166&lt;&gt;0,IF(N166&gt;=3,_xlfn.XLOOKUP(A166,'외운 것'!A2:A271,'외운 것'!C2:C271,0,1),0),"2차")</f>
        <v>2차</v>
      </c>
      <c r="M166" t="str" s="11" cm="1">
        <f t="array" ref="M166">IF(R166&lt;&gt;0,IF(O166&gt;=3,_xlfn.XLOOKUP(B166,'외운 것'!B2:B271,'외운 것'!D2:D271,0,1),0),"3차")</f>
        <v>3차</v>
      </c>
      <c r="N166" s="8">
        <v>3</v>
      </c>
      <c r="O166" s="8">
        <v>3</v>
      </c>
      <c r="P166" s="8">
        <v>0</v>
      </c>
      <c r="Q166" s="8">
        <v>0</v>
      </c>
      <c r="R166" s="8">
        <v>0</v>
      </c>
    </row>
    <row r="167" ht="16" customHeight="1">
      <c r="A167" s="8">
        <v>166</v>
      </c>
      <c r="B167" s="8">
        <v>36</v>
      </c>
      <c r="C167" t="s" s="9">
        <v>417</v>
      </c>
      <c r="D167" t="s" s="9">
        <v>417</v>
      </c>
      <c r="E167" t="s" s="9">
        <v>524</v>
      </c>
      <c r="F167" t="s" s="9">
        <v>525</v>
      </c>
      <c r="G167" t="s" s="9">
        <v>526</v>
      </c>
      <c r="H167" s="8" cm="1">
        <f t="array" ref="H167">MIN(SUMIF('외운 것'!A2:A271,A167,'외운 것'!D2:D271)+IF(R167=0,3,IF(R167=1,2,0)),3)</f>
        <v>3</v>
      </c>
      <c r="I167" s="8" cm="1">
        <f t="array" ref="I167">_xlfn.COUNTIFS('외운 것'!A2:A271,A167,'외운 것'!D2:D271,0)</f>
        <v>0</v>
      </c>
      <c r="J167" t="str" s="10" cm="1">
        <f t="array" ref="J167">IF(R167&lt;&gt;0,IF(H167&gt;=3,_xlfn.XLOOKUP(A167,'외운 것'!A2:A271,'외운 것'!C2:C271,0,1),0),"3차")</f>
        <v>3차</v>
      </c>
      <c r="K167" s="8" cm="1">
        <f t="array" ref="K167">IF(P167&lt;&gt;0,IF(N167&gt;=3,_xlfn.XLOOKUP(A167,'외운 것'!A2:A271,'외운 것'!C2:C271,0,1),0),"1차")</f>
        <v>0</v>
      </c>
      <c r="L167" s="8" cm="1">
        <f t="array" ref="L167">IF(Q167&lt;&gt;0,IF(N167&gt;=3,_xlfn.XLOOKUP(A167,'외운 것'!A2:A271,'외운 것'!C2:C271,0,1),0),"2차")</f>
        <v>0</v>
      </c>
      <c r="M167" t="str" s="11" cm="1">
        <f t="array" ref="M167">IF(R167&lt;&gt;0,IF(O167&gt;=3,_xlfn.XLOOKUP(B167,'외운 것'!B2:B271,'외운 것'!D2:D271,0,1),0),"3차")</f>
        <v>3차</v>
      </c>
      <c r="N167" s="8">
        <v>0</v>
      </c>
      <c r="O167" s="8">
        <v>3</v>
      </c>
      <c r="P167" s="8">
        <v>3</v>
      </c>
      <c r="Q167" s="8">
        <v>3</v>
      </c>
      <c r="R167" s="8">
        <v>0</v>
      </c>
    </row>
    <row r="168" ht="16" customHeight="1">
      <c r="A168" s="8">
        <v>167</v>
      </c>
      <c r="B168" s="8">
        <v>37</v>
      </c>
      <c r="C168" t="s" s="9">
        <v>417</v>
      </c>
      <c r="D168" t="s" s="9">
        <v>417</v>
      </c>
      <c r="E168" t="s" s="9">
        <v>527</v>
      </c>
      <c r="F168" t="s" s="9">
        <v>528</v>
      </c>
      <c r="G168" t="s" s="9">
        <v>529</v>
      </c>
      <c r="H168" s="8" cm="1">
        <f t="array" ref="H168">MIN(SUMIF('외운 것'!A2:A271,A168,'외운 것'!D2:D271)+IF(R168=0,3,IF(R168=1,2,0)),3)</f>
        <v>3</v>
      </c>
      <c r="I168" s="8" cm="1">
        <f t="array" ref="I168">_xlfn.COUNTIFS('외운 것'!A2:A271,A168,'외운 것'!D2:D271,0)</f>
        <v>0</v>
      </c>
      <c r="J168" t="str" s="10" cm="1">
        <f t="array" ref="J168">IF(R168&lt;&gt;0,IF(H168&gt;=3,_xlfn.XLOOKUP(A168,'외운 것'!A2:A271,'외운 것'!C2:C271,0,1),0),"3차")</f>
        <v>3차</v>
      </c>
      <c r="K168" s="8" cm="1">
        <f t="array" ref="K168">IF(P168&lt;&gt;0,IF(N168&gt;=3,_xlfn.XLOOKUP(A168,'외운 것'!A2:A271,'외운 것'!C2:C271,0,1),0),"1차")</f>
        <v>0</v>
      </c>
      <c r="L168" t="str" s="11" cm="1">
        <f t="array" ref="L168">IF(Q168&lt;&gt;0,IF(N168&gt;=3,_xlfn.XLOOKUP(A168,'외운 것'!A2:A271,'외운 것'!C2:C271,0,1),0),"2차")</f>
        <v>2차</v>
      </c>
      <c r="M168" t="str" s="11" cm="1">
        <f t="array" ref="M168">IF(R168&lt;&gt;0,IF(O168&gt;=3,_xlfn.XLOOKUP(B168,'외운 것'!B2:B271,'외운 것'!D2:D271,0,1),0),"3차")</f>
        <v>3차</v>
      </c>
      <c r="N168" s="8">
        <v>2</v>
      </c>
      <c r="O168" s="8">
        <v>3</v>
      </c>
      <c r="P168" s="8">
        <v>1</v>
      </c>
      <c r="Q168" s="8">
        <v>0</v>
      </c>
      <c r="R168" s="8">
        <v>0</v>
      </c>
    </row>
    <row r="169" ht="16" customHeight="1">
      <c r="A169" s="8">
        <v>168</v>
      </c>
      <c r="B169" s="8">
        <v>1</v>
      </c>
      <c r="C169" t="s" s="9">
        <v>530</v>
      </c>
      <c r="D169" t="s" s="9">
        <v>530</v>
      </c>
      <c r="E169" t="s" s="9">
        <v>531</v>
      </c>
      <c r="F169" t="s" s="9">
        <v>532</v>
      </c>
      <c r="G169" t="s" s="9">
        <v>533</v>
      </c>
      <c r="H169" s="8" cm="1">
        <f t="array" ref="H169">MIN(SUMIF('외운 것'!A2:A271,A169,'외운 것'!D2:D271)+IF(R169=0,3,IF(R169=1,2,0)),3)</f>
        <v>3</v>
      </c>
      <c r="I169" s="8" cm="1">
        <f t="array" ref="I169">_xlfn.COUNTIFS('외운 것'!A2:A271,A169,'외운 것'!D2:D271,0)</f>
        <v>0</v>
      </c>
      <c r="J169" t="str" s="10" cm="1">
        <f t="array" ref="J169">IF(R169&lt;&gt;0,IF(H169&gt;=3,_xlfn.XLOOKUP(A169,'외운 것'!A2:A271,'외운 것'!C2:C271,0,1),0),"3차")</f>
        <v>3차</v>
      </c>
      <c r="K169" t="str" s="11" cm="1">
        <f t="array" ref="K169">IF(P169&lt;&gt;0,IF(N169&gt;=3,_xlfn.XLOOKUP(A169,'외운 것'!A2:A271,'외운 것'!C2:C271,0,1),0),"1차")</f>
        <v>1차</v>
      </c>
      <c r="L169" t="str" s="11" cm="1">
        <f t="array" ref="L169">IF(Q169&lt;&gt;0,IF(N169&gt;=3,_xlfn.XLOOKUP(A169,'외운 것'!A2:A271,'외운 것'!C2:C271,0,1),0),"2차")</f>
        <v>2차</v>
      </c>
      <c r="M169" t="str" s="11" cm="1">
        <f t="array" ref="M169">IF(R169&lt;&gt;0,IF(O169&gt;=3,_xlfn.XLOOKUP(B169,'외운 것'!B2:B271,'외운 것'!D2:D271,0,1),0),"3차")</f>
        <v>3차</v>
      </c>
      <c r="N169" s="8">
        <v>3</v>
      </c>
      <c r="O169" s="8">
        <v>3</v>
      </c>
      <c r="P169" s="8">
        <v>0</v>
      </c>
      <c r="Q169" s="8">
        <v>0</v>
      </c>
      <c r="R169" s="8">
        <v>0</v>
      </c>
    </row>
    <row r="170" ht="16" customHeight="1">
      <c r="A170" s="8">
        <v>169</v>
      </c>
      <c r="B170" s="8">
        <v>2</v>
      </c>
      <c r="C170" t="s" s="9">
        <v>530</v>
      </c>
      <c r="D170" t="s" s="9">
        <v>530</v>
      </c>
      <c r="E170" t="s" s="9">
        <v>534</v>
      </c>
      <c r="F170" t="s" s="9">
        <v>535</v>
      </c>
      <c r="G170" t="s" s="9">
        <v>536</v>
      </c>
      <c r="H170" s="8" cm="1">
        <f t="array" ref="H170">MIN(SUMIF('외운 것'!A2:A271,A170,'외운 것'!D2:D271)+IF(R170=0,3,IF(R170=1,2,0)),3)</f>
        <v>3</v>
      </c>
      <c r="I170" s="8" cm="1">
        <f t="array" ref="I170">_xlfn.COUNTIFS('외운 것'!A2:A271,A170,'외운 것'!D2:D271,0)</f>
        <v>0</v>
      </c>
      <c r="J170" t="str" s="10" cm="1">
        <f t="array" ref="J170">IF(R170&lt;&gt;0,IF(H170&gt;=3,_xlfn.XLOOKUP(A170,'외운 것'!A2:A271,'외운 것'!C2:C271,0,1),0),"3차")</f>
        <v>3차</v>
      </c>
      <c r="K170" s="8" cm="1">
        <f t="array" ref="K170">IF(P170&lt;&gt;0,IF(N170&gt;=3,_xlfn.XLOOKUP(A170,'외운 것'!A2:A271,'외운 것'!C2:C271,0,1),0),"1차")</f>
        <v>0</v>
      </c>
      <c r="L170" s="8" cm="1">
        <f t="array" ref="L170">IF(Q170&lt;&gt;0,IF(N170&gt;=3,_xlfn.XLOOKUP(A170,'외운 것'!A2:A271,'외운 것'!C2:C271,0,1),0),"2차")</f>
        <v>0</v>
      </c>
      <c r="M170" t="str" s="11" cm="1">
        <f t="array" ref="M170">IF(R170&lt;&gt;0,IF(O170&gt;=3,_xlfn.XLOOKUP(B170,'외운 것'!B2:B271,'외운 것'!D2:D271,0,1),0),"3차")</f>
        <v>3차</v>
      </c>
      <c r="N170" s="8">
        <v>0</v>
      </c>
      <c r="O170" s="8">
        <v>3</v>
      </c>
      <c r="P170" s="8">
        <v>3</v>
      </c>
      <c r="Q170" s="8">
        <v>2</v>
      </c>
      <c r="R170" s="8">
        <v>0</v>
      </c>
    </row>
    <row r="171" ht="16" customHeight="1">
      <c r="A171" s="8">
        <v>170</v>
      </c>
      <c r="B171" s="8">
        <v>3</v>
      </c>
      <c r="C171" t="s" s="9">
        <v>530</v>
      </c>
      <c r="D171" t="s" s="9">
        <v>530</v>
      </c>
      <c r="E171" t="s" s="9">
        <v>537</v>
      </c>
      <c r="F171" t="s" s="9">
        <v>538</v>
      </c>
      <c r="G171" t="s" s="9">
        <v>539</v>
      </c>
      <c r="H171" s="8" cm="1">
        <f t="array" ref="H171">MIN(SUMIF('외운 것'!A2:A271,A171,'외운 것'!D2:D271)+IF(R171=0,3,IF(R171=1,2,0)),3)</f>
        <v>3</v>
      </c>
      <c r="I171" s="8" cm="1">
        <f t="array" ref="I171">_xlfn.COUNTIFS('외운 것'!A2:A271,A171,'외운 것'!D2:D271,0)</f>
        <v>0</v>
      </c>
      <c r="J171" t="str" s="10" cm="1">
        <f t="array" ref="J171">IF(R171&lt;&gt;0,IF(H171&gt;=3,_xlfn.XLOOKUP(A171,'외운 것'!A2:A271,'외운 것'!C2:C271,0,1),0),"3차")</f>
        <v>3차</v>
      </c>
      <c r="K171" s="8" cm="1">
        <f t="array" ref="K171">IF(P171&lt;&gt;0,IF(N171&gt;=3,_xlfn.XLOOKUP(A171,'외운 것'!A2:A271,'외운 것'!C2:C271,0,1),0),"1차")</f>
        <v>0</v>
      </c>
      <c r="L171" s="8" cm="1">
        <f t="array" ref="L171">IF(Q171&lt;&gt;0,IF(N171&gt;=3,_xlfn.XLOOKUP(A171,'외운 것'!A2:A271,'외운 것'!C2:C271,0,1),0),"2차")</f>
        <v>0</v>
      </c>
      <c r="M171" t="str" s="11" cm="1">
        <f t="array" ref="M171">IF(R171&lt;&gt;0,IF(O171&gt;=3,_xlfn.XLOOKUP(B171,'외운 것'!B2:B271,'외운 것'!D2:D271,0,1),0),"3차")</f>
        <v>3차</v>
      </c>
      <c r="N171" s="8">
        <v>0</v>
      </c>
      <c r="O171" s="8">
        <v>3</v>
      </c>
      <c r="P171" s="8">
        <v>3</v>
      </c>
      <c r="Q171" s="8">
        <v>1</v>
      </c>
      <c r="R171" s="8">
        <v>0</v>
      </c>
    </row>
    <row r="172" ht="16" customHeight="1">
      <c r="A172" s="8">
        <v>171</v>
      </c>
      <c r="B172" s="8">
        <v>4</v>
      </c>
      <c r="C172" t="s" s="9">
        <v>530</v>
      </c>
      <c r="D172" t="s" s="9">
        <v>530</v>
      </c>
      <c r="E172" t="s" s="9">
        <v>540</v>
      </c>
      <c r="F172" t="s" s="9">
        <v>541</v>
      </c>
      <c r="G172" t="s" s="9">
        <v>542</v>
      </c>
      <c r="H172" s="8" cm="1">
        <f t="array" ref="H172">MIN(SUMIF('외운 것'!A2:A271,A172,'외운 것'!D2:D271)+IF(R172=0,3,IF(R172=1,2,0)),3)</f>
        <v>3</v>
      </c>
      <c r="I172" s="8" cm="1">
        <f t="array" ref="I172">_xlfn.COUNTIFS('외운 것'!A2:A271,A172,'외운 것'!D2:D271,0)</f>
        <v>0</v>
      </c>
      <c r="J172" t="str" s="10" cm="1">
        <f t="array" ref="J172">IF(R172&lt;&gt;0,IF(H172&gt;=3,_xlfn.XLOOKUP(A172,'외운 것'!A2:A271,'외운 것'!C2:C271,0,1),0),"3차")</f>
        <v>3차</v>
      </c>
      <c r="K172" s="8" cm="1">
        <f t="array" ref="K172">IF(P172&lt;&gt;0,IF(N172&gt;=3,_xlfn.XLOOKUP(A172,'외운 것'!A2:A271,'외운 것'!C2:C271,0,1),0),"1차")</f>
        <v>0</v>
      </c>
      <c r="L172" s="8" cm="1">
        <f t="array" ref="L172">IF(Q172&lt;&gt;0,IF(N172&gt;=3,_xlfn.XLOOKUP(A172,'외운 것'!A2:A271,'외운 것'!C2:C271,0,1),0),"2차")</f>
        <v>0</v>
      </c>
      <c r="M172" t="str" s="11" cm="1">
        <f t="array" ref="M172">IF(R172&lt;&gt;0,IF(O172&gt;=3,_xlfn.XLOOKUP(B172,'외운 것'!B2:B271,'외운 것'!D2:D271,0,1),0),"3차")</f>
        <v>3차</v>
      </c>
      <c r="N172" s="8">
        <v>0</v>
      </c>
      <c r="O172" s="8">
        <v>3</v>
      </c>
      <c r="P172" s="8">
        <v>2</v>
      </c>
      <c r="Q172" s="8">
        <v>2</v>
      </c>
      <c r="R172" s="8">
        <v>0</v>
      </c>
    </row>
    <row r="173" ht="16" customHeight="1">
      <c r="A173" s="8">
        <v>172</v>
      </c>
      <c r="B173" s="8">
        <v>5</v>
      </c>
      <c r="C173" t="s" s="9">
        <v>530</v>
      </c>
      <c r="D173" t="s" s="9">
        <v>530</v>
      </c>
      <c r="E173" t="s" s="9">
        <v>543</v>
      </c>
      <c r="F173" t="s" s="9">
        <v>544</v>
      </c>
      <c r="G173" t="s" s="9">
        <v>545</v>
      </c>
      <c r="H173" s="8" cm="1">
        <f t="array" ref="H173">MIN(SUMIF('외운 것'!A2:A271,A173,'외운 것'!D2:D271)+IF(R173=0,3,IF(R173=1,2,0)),3)</f>
        <v>3</v>
      </c>
      <c r="I173" s="8" cm="1">
        <f t="array" ref="I173">_xlfn.COUNTIFS('외운 것'!A2:A271,A173,'외운 것'!D2:D271,0)</f>
        <v>0</v>
      </c>
      <c r="J173" t="str" s="10" cm="1">
        <f t="array" ref="J173">IF(R173&lt;&gt;0,IF(H173&gt;=3,_xlfn.XLOOKUP(A173,'외운 것'!A2:A271,'외운 것'!C2:C271,0,1),0),"3차")</f>
        <v>3차</v>
      </c>
      <c r="K173" t="str" s="11" cm="1">
        <f t="array" ref="K173">IF(P173&lt;&gt;0,IF(N173&gt;=3,_xlfn.XLOOKUP(A173,'외운 것'!A2:A271,'외운 것'!C2:C271,0,1),0),"1차")</f>
        <v>1차</v>
      </c>
      <c r="L173" t="str" s="11" cm="1">
        <f t="array" ref="L173">IF(Q173&lt;&gt;0,IF(N173&gt;=3,_xlfn.XLOOKUP(A173,'외운 것'!A2:A271,'외운 것'!C2:C271,0,1),0),"2차")</f>
        <v>2차</v>
      </c>
      <c r="M173" t="str" s="11" cm="1">
        <f t="array" ref="M173">IF(R173&lt;&gt;0,IF(O173&gt;=3,_xlfn.XLOOKUP(B173,'외운 것'!B2:B271,'외운 것'!D2:D271,0,1),0),"3차")</f>
        <v>3차</v>
      </c>
      <c r="N173" s="8">
        <v>3</v>
      </c>
      <c r="O173" s="8">
        <v>3</v>
      </c>
      <c r="P173" s="8">
        <v>0</v>
      </c>
      <c r="Q173" s="8">
        <v>0</v>
      </c>
      <c r="R173" s="8">
        <v>0</v>
      </c>
    </row>
    <row r="174" ht="16" customHeight="1">
      <c r="A174" s="8">
        <v>173</v>
      </c>
      <c r="B174" s="8">
        <v>6</v>
      </c>
      <c r="C174" t="s" s="9">
        <v>530</v>
      </c>
      <c r="D174" t="s" s="9">
        <v>530</v>
      </c>
      <c r="E174" t="s" s="9">
        <v>546</v>
      </c>
      <c r="F174" t="s" s="9">
        <v>547</v>
      </c>
      <c r="G174" t="s" s="9">
        <v>548</v>
      </c>
      <c r="H174" s="8" cm="1">
        <f t="array" ref="H174">MIN(SUMIF('외운 것'!A2:A271,A174,'외운 것'!D2:D271)+IF(R174=0,3,IF(R174=1,2,0)),3)</f>
        <v>3</v>
      </c>
      <c r="I174" s="8" cm="1">
        <f t="array" ref="I174">_xlfn.COUNTIFS('외운 것'!A2:A271,A174,'외운 것'!D2:D271,0)</f>
        <v>0</v>
      </c>
      <c r="J174" t="str" s="10" cm="1">
        <f t="array" ref="J174">IF(R174&lt;&gt;0,IF(H174&gt;=3,_xlfn.XLOOKUP(A174,'외운 것'!A2:A271,'외운 것'!C2:C271,0,1),0),"3차")</f>
        <v>3차</v>
      </c>
      <c r="K174" t="str" s="11" cm="1">
        <f t="array" ref="K174">IF(P174&lt;&gt;0,IF(N174&gt;=3,_xlfn.XLOOKUP(A174,'외운 것'!A2:A271,'외운 것'!C2:C271,0,1),0),"1차")</f>
        <v>1차</v>
      </c>
      <c r="L174" t="str" s="11" cm="1">
        <f t="array" ref="L174">IF(Q174&lt;&gt;0,IF(N174&gt;=3,_xlfn.XLOOKUP(A174,'외운 것'!A2:A271,'외운 것'!C2:C271,0,1),0),"2차")</f>
        <v>2차</v>
      </c>
      <c r="M174" t="str" s="11" cm="1">
        <f t="array" ref="M174">IF(R174&lt;&gt;0,IF(O174&gt;=3,_xlfn.XLOOKUP(B174,'외운 것'!B2:B271,'외운 것'!D2:D271,0,1),0),"3차")</f>
        <v>3차</v>
      </c>
      <c r="N174" s="8">
        <v>3</v>
      </c>
      <c r="O174" s="8">
        <v>3</v>
      </c>
      <c r="P174" s="8">
        <v>0</v>
      </c>
      <c r="Q174" s="8">
        <v>0</v>
      </c>
      <c r="R174" s="8">
        <v>0</v>
      </c>
    </row>
    <row r="175" ht="16" customHeight="1">
      <c r="A175" s="8">
        <v>174</v>
      </c>
      <c r="B175" s="8">
        <v>7</v>
      </c>
      <c r="C175" t="s" s="9">
        <v>530</v>
      </c>
      <c r="D175" t="s" s="9">
        <v>530</v>
      </c>
      <c r="E175" t="s" s="9">
        <v>549</v>
      </c>
      <c r="F175" t="s" s="9">
        <v>550</v>
      </c>
      <c r="G175" t="s" s="9">
        <v>551</v>
      </c>
      <c r="H175" s="8" cm="1">
        <f t="array" ref="H175">MIN(SUMIF('외운 것'!A2:A271,A175,'외운 것'!D2:D271)+IF(R175=0,3,IF(R175=1,2,0)),3)</f>
        <v>3</v>
      </c>
      <c r="I175" s="8" cm="1">
        <f t="array" ref="I175">_xlfn.COUNTIFS('외운 것'!A2:A271,A175,'외운 것'!D2:D271,0)</f>
        <v>0</v>
      </c>
      <c r="J175" t="str" s="10" cm="1">
        <f t="array" ref="J175">IF(R175&lt;&gt;0,IF(H175&gt;=3,_xlfn.XLOOKUP(A175,'외운 것'!A2:A271,'외운 것'!C2:C271,0,1),0),"3차")</f>
        <v>3차</v>
      </c>
      <c r="K175" s="8" cm="1">
        <f t="array" ref="K175">IF(P175&lt;&gt;0,IF(N175&gt;=3,_xlfn.XLOOKUP(A175,'외운 것'!A2:A271,'외운 것'!C2:C271,0,1),0),"1차")</f>
        <v>0</v>
      </c>
      <c r="L175" t="str" s="11" cm="1">
        <f t="array" ref="L175">IF(Q175&lt;&gt;0,IF(N175&gt;=3,_xlfn.XLOOKUP(A175,'외운 것'!A2:A271,'외운 것'!C2:C271,0,1),0),"2차")</f>
        <v>2차</v>
      </c>
      <c r="M175" t="str" s="11" cm="1">
        <f t="array" ref="M175">IF(R175&lt;&gt;0,IF(O175&gt;=3,_xlfn.XLOOKUP(B175,'외운 것'!B2:B271,'외운 것'!D2:D271,0,1),0),"3차")</f>
        <v>3차</v>
      </c>
      <c r="N175" s="8">
        <v>2</v>
      </c>
      <c r="O175" s="8">
        <v>3</v>
      </c>
      <c r="P175" s="8">
        <v>1</v>
      </c>
      <c r="Q175" s="8">
        <v>0</v>
      </c>
      <c r="R175" s="8">
        <v>0</v>
      </c>
    </row>
    <row r="176" ht="16" customHeight="1">
      <c r="A176" s="8">
        <v>175</v>
      </c>
      <c r="B176" s="8">
        <v>8</v>
      </c>
      <c r="C176" t="s" s="9">
        <v>530</v>
      </c>
      <c r="D176" t="s" s="9">
        <v>530</v>
      </c>
      <c r="E176" t="s" s="9">
        <v>552</v>
      </c>
      <c r="F176" t="s" s="9">
        <v>553</v>
      </c>
      <c r="G176" t="s" s="9">
        <v>554</v>
      </c>
      <c r="H176" s="8" cm="1">
        <f t="array" ref="H176">MIN(SUMIF('외운 것'!A2:A271,A176,'외운 것'!D2:D271)+IF(R176=0,3,IF(R176=1,2,0)),3)</f>
        <v>3</v>
      </c>
      <c r="I176" s="8" cm="1">
        <f t="array" ref="I176">_xlfn.COUNTIFS('외운 것'!A2:A271,A176,'외운 것'!D2:D271,0)</f>
        <v>0</v>
      </c>
      <c r="J176" t="str" s="10" cm="1">
        <f t="array" ref="J176">IF(R176&lt;&gt;0,IF(H176&gt;=3,_xlfn.XLOOKUP(A176,'외운 것'!A2:A271,'외운 것'!C2:C271,0,1),0),"3차")</f>
        <v>3차</v>
      </c>
      <c r="K176" s="8" cm="1">
        <f t="array" ref="K176">IF(P176&lt;&gt;0,IF(N176&gt;=3,_xlfn.XLOOKUP(A176,'외운 것'!A2:A271,'외운 것'!C2:C271,0,1),0),"1차")</f>
        <v>0</v>
      </c>
      <c r="L176" s="8" cm="1">
        <f t="array" ref="L176">IF(Q176&lt;&gt;0,IF(N176&gt;=3,_xlfn.XLOOKUP(A176,'외운 것'!A2:A271,'외운 것'!C2:C271,0,1),0),"2차")</f>
        <v>0</v>
      </c>
      <c r="M176" t="str" s="11" cm="1">
        <f t="array" ref="M176">IF(R176&lt;&gt;0,IF(O176&gt;=3,_xlfn.XLOOKUP(B176,'외운 것'!B2:B271,'외운 것'!D2:D271,0,1),0),"3차")</f>
        <v>3차</v>
      </c>
      <c r="N176" s="8">
        <v>2</v>
      </c>
      <c r="O176" s="8">
        <v>3</v>
      </c>
      <c r="P176" s="8">
        <v>1</v>
      </c>
      <c r="Q176" s="8">
        <v>3</v>
      </c>
      <c r="R176" s="8">
        <v>0</v>
      </c>
    </row>
    <row r="177" ht="16" customHeight="1">
      <c r="A177" s="8">
        <v>176</v>
      </c>
      <c r="B177" s="8">
        <v>9</v>
      </c>
      <c r="C177" t="s" s="9">
        <v>530</v>
      </c>
      <c r="D177" t="s" s="9">
        <v>530</v>
      </c>
      <c r="E177" t="s" s="9">
        <v>555</v>
      </c>
      <c r="F177" t="s" s="9">
        <v>556</v>
      </c>
      <c r="G177" t="s" s="9">
        <v>557</v>
      </c>
      <c r="H177" s="8" cm="1">
        <f t="array" ref="H177">MIN(SUMIF('외운 것'!A2:A271,A177,'외운 것'!D2:D271)+IF(R177=0,3,IF(R177=1,2,0)),3)</f>
        <v>3</v>
      </c>
      <c r="I177" s="8" cm="1">
        <f t="array" ref="I177">_xlfn.COUNTIFS('외운 것'!A2:A271,A177,'외운 것'!D2:D271,0)</f>
        <v>0</v>
      </c>
      <c r="J177" t="str" s="10" cm="1">
        <f t="array" ref="J177">IF(R177&lt;&gt;0,IF(H177&gt;=3,_xlfn.XLOOKUP(A177,'외운 것'!A2:A271,'외운 것'!C2:C271,0,1),0),"3차")</f>
        <v>3차</v>
      </c>
      <c r="K177" s="8" cm="1">
        <f t="array" ref="K177">IF(P177&lt;&gt;0,IF(N177&gt;=3,_xlfn.XLOOKUP(A177,'외운 것'!A2:A271,'외운 것'!C2:C271,0,1),0),"1차")</f>
        <v>0</v>
      </c>
      <c r="L177" s="8" cm="1">
        <f t="array" ref="L177">IF(Q177&lt;&gt;0,IF(N177&gt;=3,_xlfn.XLOOKUP(A177,'외운 것'!A2:A271,'외운 것'!C2:C271,0,1),0),"2차")</f>
        <v>0</v>
      </c>
      <c r="M177" t="str" s="11" cm="1">
        <f t="array" ref="M177">IF(R177&lt;&gt;0,IF(O177&gt;=3,_xlfn.XLOOKUP(B177,'외운 것'!B2:B271,'외운 것'!D2:D271,0,1),0),"3차")</f>
        <v>3차</v>
      </c>
      <c r="N177" s="8">
        <v>2</v>
      </c>
      <c r="O177" s="8">
        <v>3</v>
      </c>
      <c r="P177" s="8">
        <v>1</v>
      </c>
      <c r="Q177" s="8">
        <v>1</v>
      </c>
      <c r="R177" s="8">
        <v>0</v>
      </c>
    </row>
    <row r="178" ht="16" customHeight="1">
      <c r="A178" s="8">
        <v>177</v>
      </c>
      <c r="B178" s="8">
        <v>10</v>
      </c>
      <c r="C178" t="s" s="9">
        <v>530</v>
      </c>
      <c r="D178" t="s" s="9">
        <v>530</v>
      </c>
      <c r="E178" t="s" s="9">
        <v>558</v>
      </c>
      <c r="F178" t="s" s="9">
        <v>559</v>
      </c>
      <c r="G178" t="s" s="9">
        <v>560</v>
      </c>
      <c r="H178" s="8" cm="1">
        <f t="array" ref="H178">MIN(SUMIF('외운 것'!A2:A271,A178,'외운 것'!D2:D271)+IF(R178=0,3,IF(R178=1,2,0)),3)</f>
        <v>3</v>
      </c>
      <c r="I178" s="8" cm="1">
        <f t="array" ref="I178">_xlfn.COUNTIFS('외운 것'!A2:A271,A178,'외운 것'!D2:D271,0)</f>
        <v>0</v>
      </c>
      <c r="J178" t="str" s="10" cm="1">
        <f t="array" ref="J178">IF(R178&lt;&gt;0,IF(H178&gt;=3,_xlfn.XLOOKUP(A178,'외운 것'!A2:A271,'외운 것'!C2:C271,0,1),0),"3차")</f>
        <v>3차</v>
      </c>
      <c r="K178" s="8" cm="1">
        <f t="array" ref="K178">IF(P178&lt;&gt;0,IF(N178&gt;=3,_xlfn.XLOOKUP(A178,'외운 것'!A2:A271,'외운 것'!C2:C271,0,1),0),"1차")</f>
        <v>0</v>
      </c>
      <c r="L178" s="8" cm="1">
        <f t="array" ref="L178">IF(Q178&lt;&gt;0,IF(N178&gt;=3,_xlfn.XLOOKUP(A178,'외운 것'!A2:A271,'외운 것'!C2:C271,0,1),0),"2차")</f>
        <v>0</v>
      </c>
      <c r="M178" t="str" s="11" cm="1">
        <f t="array" ref="M178">IF(R178&lt;&gt;0,IF(O178&gt;=3,_xlfn.XLOOKUP(B178,'외운 것'!B2:B271,'외운 것'!D2:D271,0,1),0),"3차")</f>
        <v>3차</v>
      </c>
      <c r="N178" s="8">
        <v>2</v>
      </c>
      <c r="O178" s="8">
        <v>3</v>
      </c>
      <c r="P178" s="8">
        <v>1</v>
      </c>
      <c r="Q178" s="8">
        <v>1</v>
      </c>
      <c r="R178" s="8">
        <v>0</v>
      </c>
    </row>
    <row r="179" ht="16" customHeight="1">
      <c r="A179" s="8">
        <v>178</v>
      </c>
      <c r="B179" s="8">
        <v>11</v>
      </c>
      <c r="C179" t="s" s="9">
        <v>530</v>
      </c>
      <c r="D179" t="s" s="9">
        <v>530</v>
      </c>
      <c r="E179" t="s" s="9">
        <v>561</v>
      </c>
      <c r="F179" t="s" s="9">
        <v>562</v>
      </c>
      <c r="G179" t="s" s="9">
        <v>563</v>
      </c>
      <c r="H179" s="8" cm="1">
        <f t="array" ref="H179">MIN(SUMIF('외운 것'!A2:A271,A179,'외운 것'!D2:D271)+IF(R179=0,3,IF(R179=1,2,0)),3)</f>
        <v>3</v>
      </c>
      <c r="I179" s="8" cm="1">
        <f t="array" ref="I179">_xlfn.COUNTIFS('외운 것'!A2:A271,A179,'외운 것'!D2:D271,0)</f>
        <v>0</v>
      </c>
      <c r="J179" t="str" s="10" cm="1">
        <f t="array" ref="J179">IF(R179&lt;&gt;0,IF(H179&gt;=3,_xlfn.XLOOKUP(A179,'외운 것'!A2:A271,'외운 것'!C2:C271,0,1),0),"3차")</f>
        <v>3차</v>
      </c>
      <c r="K179" s="8" cm="1">
        <f t="array" ref="K179">IF(P179&lt;&gt;0,IF(N179&gt;=3,_xlfn.XLOOKUP(A179,'외운 것'!A2:A271,'외운 것'!C2:C271,0,1),0),"1차")</f>
        <v>0</v>
      </c>
      <c r="L179" t="str" s="11" cm="1">
        <f t="array" ref="L179">IF(Q179&lt;&gt;0,IF(N179&gt;=3,_xlfn.XLOOKUP(A179,'외운 것'!A2:A271,'외운 것'!C2:C271,0,1),0),"2차")</f>
        <v>2차</v>
      </c>
      <c r="M179" t="str" s="11" cm="1">
        <f t="array" ref="M179">IF(R179&lt;&gt;0,IF(O179&gt;=3,_xlfn.XLOOKUP(B179,'외운 것'!B2:B271,'외운 것'!D2:D271,0,1),0),"3차")</f>
        <v>3차</v>
      </c>
      <c r="N179" s="8">
        <v>0</v>
      </c>
      <c r="O179" s="8">
        <v>3</v>
      </c>
      <c r="P179" s="8">
        <v>2</v>
      </c>
      <c r="Q179" s="8">
        <v>0</v>
      </c>
      <c r="R179" s="8">
        <v>0</v>
      </c>
    </row>
    <row r="180" ht="16" customHeight="1">
      <c r="A180" s="8">
        <v>179</v>
      </c>
      <c r="B180" s="8">
        <v>12</v>
      </c>
      <c r="C180" t="s" s="9">
        <v>530</v>
      </c>
      <c r="D180" t="s" s="9">
        <v>530</v>
      </c>
      <c r="E180" t="s" s="9">
        <v>564</v>
      </c>
      <c r="F180" t="s" s="9">
        <v>565</v>
      </c>
      <c r="G180" t="s" s="9">
        <v>566</v>
      </c>
      <c r="H180" s="8" cm="1">
        <f t="array" ref="H180">MIN(SUMIF('외운 것'!A2:A271,A180,'외운 것'!D2:D271)+IF(R180=0,3,IF(R180=1,2,0)),3)</f>
        <v>3</v>
      </c>
      <c r="I180" s="8" cm="1">
        <f t="array" ref="I180">_xlfn.COUNTIFS('외운 것'!A2:A271,A180,'외운 것'!D2:D271,0)</f>
        <v>0</v>
      </c>
      <c r="J180" t="str" s="10" cm="1">
        <f t="array" ref="J180">IF(R180&lt;&gt;0,IF(H180&gt;=3,_xlfn.XLOOKUP(A180,'외운 것'!A2:A271,'외운 것'!C2:C271,0,1),0),"3차")</f>
        <v>3차</v>
      </c>
      <c r="K180" t="str" s="11" cm="1">
        <f t="array" ref="K180">IF(P180&lt;&gt;0,IF(N180&gt;=3,_xlfn.XLOOKUP(A180,'외운 것'!A2:A271,'외운 것'!C2:C271,0,1),0),"1차")</f>
        <v>1차</v>
      </c>
      <c r="L180" t="str" s="11" cm="1">
        <f t="array" ref="L180">IF(Q180&lt;&gt;0,IF(N180&gt;=3,_xlfn.XLOOKUP(A180,'외운 것'!A2:A271,'외운 것'!C2:C271,0,1),0),"2차")</f>
        <v>2차</v>
      </c>
      <c r="M180" t="str" s="11" cm="1">
        <f t="array" ref="M180">IF(R180&lt;&gt;0,IF(O180&gt;=3,_xlfn.XLOOKUP(B180,'외운 것'!B2:B271,'외운 것'!D2:D271,0,1),0),"3차")</f>
        <v>3차</v>
      </c>
      <c r="N180" s="8">
        <v>3</v>
      </c>
      <c r="O180" s="8">
        <v>3</v>
      </c>
      <c r="P180" s="8">
        <v>0</v>
      </c>
      <c r="Q180" s="8">
        <v>0</v>
      </c>
      <c r="R180" s="8">
        <v>0</v>
      </c>
    </row>
    <row r="181" ht="16" customHeight="1">
      <c r="A181" s="8">
        <v>180</v>
      </c>
      <c r="B181" s="8">
        <v>13</v>
      </c>
      <c r="C181" t="s" s="9">
        <v>530</v>
      </c>
      <c r="D181" t="s" s="9">
        <v>530</v>
      </c>
      <c r="E181" t="s" s="9">
        <v>567</v>
      </c>
      <c r="F181" t="s" s="9">
        <v>568</v>
      </c>
      <c r="G181" t="s" s="9">
        <v>569</v>
      </c>
      <c r="H181" s="8" cm="1">
        <f t="array" ref="H181">MIN(SUMIF('외운 것'!A2:A271,A181,'외운 것'!D2:D271)+IF(R181=0,3,IF(R181=1,2,0)),3)</f>
        <v>3</v>
      </c>
      <c r="I181" s="8" cm="1">
        <f t="array" ref="I181">_xlfn.COUNTIFS('외운 것'!A2:A271,A181,'외운 것'!D2:D271,0)</f>
        <v>0</v>
      </c>
      <c r="J181" t="str" s="10" cm="1">
        <f t="array" ref="J181">IF(R181&lt;&gt;0,IF(H181&gt;=3,_xlfn.XLOOKUP(A181,'외운 것'!A2:A271,'외운 것'!C2:C271,0,1),0),"3차")</f>
        <v>3차</v>
      </c>
      <c r="K181" t="str" s="11" cm="1">
        <f t="array" ref="K181">IF(P181&lt;&gt;0,IF(N181&gt;=3,_xlfn.XLOOKUP(A181,'외운 것'!A2:A271,'외운 것'!C2:C271,0,1),0),"1차")</f>
        <v>1차</v>
      </c>
      <c r="L181" t="str" s="11" cm="1">
        <f t="array" ref="L181">IF(Q181&lt;&gt;0,IF(N181&gt;=3,_xlfn.XLOOKUP(A181,'외운 것'!A2:A271,'외운 것'!C2:C271,0,1),0),"2차")</f>
        <v>2차</v>
      </c>
      <c r="M181" t="str" s="11" cm="1">
        <f t="array" ref="M181">IF(R181&lt;&gt;0,IF(O181&gt;=3,_xlfn.XLOOKUP(B181,'외운 것'!B2:B271,'외운 것'!D2:D271,0,1),0),"3차")</f>
        <v>3차</v>
      </c>
      <c r="N181" s="8">
        <v>3</v>
      </c>
      <c r="O181" s="8">
        <v>3</v>
      </c>
      <c r="P181" s="8">
        <v>0</v>
      </c>
      <c r="Q181" s="8">
        <v>0</v>
      </c>
      <c r="R181" s="8">
        <v>0</v>
      </c>
    </row>
    <row r="182" ht="16" customHeight="1">
      <c r="A182" s="8">
        <v>181</v>
      </c>
      <c r="B182" s="8">
        <v>14</v>
      </c>
      <c r="C182" t="s" s="9">
        <v>530</v>
      </c>
      <c r="D182" t="s" s="9">
        <v>530</v>
      </c>
      <c r="E182" t="s" s="9">
        <v>570</v>
      </c>
      <c r="F182" t="s" s="9">
        <v>571</v>
      </c>
      <c r="G182" t="s" s="9">
        <v>572</v>
      </c>
      <c r="H182" s="8" cm="1">
        <f t="array" ref="H182">MIN(SUMIF('외운 것'!A2:A271,A182,'외운 것'!D2:D271)+IF(R182=0,3,IF(R182=1,2,0)),3)</f>
        <v>3</v>
      </c>
      <c r="I182" s="8" cm="1">
        <f t="array" ref="I182">_xlfn.COUNTIFS('외운 것'!A2:A271,A182,'외운 것'!D2:D271,0)</f>
        <v>0</v>
      </c>
      <c r="J182" t="str" s="10" cm="1">
        <f t="array" ref="J182">IF(R182&lt;&gt;0,IF(H182&gt;=3,_xlfn.XLOOKUP(A182,'외운 것'!A2:A271,'외운 것'!C2:C271,0,1),0),"3차")</f>
        <v>3차</v>
      </c>
      <c r="K182" s="8" cm="1">
        <f t="array" ref="K182">IF(P182&lt;&gt;0,IF(N182&gt;=3,_xlfn.XLOOKUP(A182,'외운 것'!A2:A271,'외운 것'!C2:C271,0,1),0),"1차")</f>
        <v>0</v>
      </c>
      <c r="L182" s="8" cm="1">
        <f t="array" ref="L182">IF(Q182&lt;&gt;0,IF(N182&gt;=3,_xlfn.XLOOKUP(A182,'외운 것'!A2:A271,'외운 것'!C2:C271,0,1),0),"2차")</f>
        <v>0</v>
      </c>
      <c r="M182" t="str" s="11" cm="1">
        <f t="array" ref="M182">IF(R182&lt;&gt;0,IF(O182&gt;=3,_xlfn.XLOOKUP(B182,'외운 것'!B2:B271,'외운 것'!D2:D271,0,1),0),"3차")</f>
        <v>3차</v>
      </c>
      <c r="N182" s="8">
        <v>2</v>
      </c>
      <c r="O182" s="8">
        <v>3</v>
      </c>
      <c r="P182" s="8">
        <v>1</v>
      </c>
      <c r="Q182" s="8">
        <v>1</v>
      </c>
      <c r="R182" s="8">
        <v>0</v>
      </c>
    </row>
    <row r="183" ht="16" customHeight="1">
      <c r="A183" s="8">
        <v>182</v>
      </c>
      <c r="B183" s="8">
        <v>15</v>
      </c>
      <c r="C183" t="s" s="9">
        <v>530</v>
      </c>
      <c r="D183" t="s" s="9">
        <v>530</v>
      </c>
      <c r="E183" t="s" s="9">
        <v>573</v>
      </c>
      <c r="F183" t="s" s="9">
        <v>574</v>
      </c>
      <c r="G183" t="s" s="9">
        <v>575</v>
      </c>
      <c r="H183" s="8" cm="1">
        <f t="array" ref="H183">MIN(SUMIF('외운 것'!A2:A271,A183,'외운 것'!D2:D271)+IF(R183=0,3,IF(R183=1,2,0)),3)</f>
        <v>3</v>
      </c>
      <c r="I183" s="8" cm="1">
        <f t="array" ref="I183">_xlfn.COUNTIFS('외운 것'!A2:A271,A183,'외운 것'!D2:D271,0)</f>
        <v>0</v>
      </c>
      <c r="J183" t="str" s="10" cm="1">
        <f t="array" ref="J183">IF(R183&lt;&gt;0,IF(H183&gt;=3,_xlfn.XLOOKUP(A183,'외운 것'!A2:A271,'외운 것'!C2:C271,0,1),0),"3차")</f>
        <v>2026-04-28</v>
      </c>
      <c r="K183" s="8" cm="1">
        <f t="array" ref="K183">IF(P183&lt;&gt;0,IF(N183&gt;=3,_xlfn.XLOOKUP(A183,'외운 것'!A2:A271,'외운 것'!C2:C271,0,1),0),"1차")</f>
        <v>0</v>
      </c>
      <c r="L183" s="8" cm="1">
        <f t="array" ref="L183">IF(Q183&lt;&gt;0,IF(N183&gt;=3,_xlfn.XLOOKUP(A183,'외운 것'!A2:A271,'외운 것'!C2:C271,0,1),0),"2차")</f>
        <v>0</v>
      </c>
      <c r="M183" s="8" cm="1">
        <f t="array" ref="M183">IF(R183&lt;&gt;0,IF(O183&gt;=3,_xlfn.XLOOKUP(B183,'외운 것'!B2:B271,'외운 것'!D2:D271,0,1),0),"3차")</f>
        <v>0</v>
      </c>
      <c r="N183" s="8">
        <v>2</v>
      </c>
      <c r="O183" s="8">
        <v>3</v>
      </c>
      <c r="P183" s="8">
        <v>1</v>
      </c>
      <c r="Q183" s="8">
        <v>1</v>
      </c>
      <c r="R183" s="8">
        <v>1</v>
      </c>
    </row>
    <row r="184" ht="16" customHeight="1">
      <c r="A184" s="8">
        <v>183</v>
      </c>
      <c r="B184" s="8">
        <v>16</v>
      </c>
      <c r="C184" t="s" s="9">
        <v>530</v>
      </c>
      <c r="D184" t="s" s="9">
        <v>530</v>
      </c>
      <c r="E184" t="s" s="9">
        <v>576</v>
      </c>
      <c r="F184" t="s" s="9">
        <v>577</v>
      </c>
      <c r="G184" t="s" s="9">
        <v>578</v>
      </c>
      <c r="H184" s="8" cm="1">
        <f t="array" ref="H184">MIN(SUMIF('외운 것'!A2:A271,A184,'외운 것'!D2:D271)+IF(R184=0,3,IF(R184=1,2,0)),3)</f>
        <v>3</v>
      </c>
      <c r="I184" s="8" cm="1">
        <f t="array" ref="I184">_xlfn.COUNTIFS('외운 것'!A2:A271,A184,'외운 것'!D2:D271,0)</f>
        <v>0</v>
      </c>
      <c r="J184" t="str" s="10" cm="1">
        <f t="array" ref="J184">IF(R184&lt;&gt;0,IF(H184&gt;=3,_xlfn.XLOOKUP(A184,'외운 것'!A2:A271,'외운 것'!C2:C271,0,1),0),"3차")</f>
        <v>3차</v>
      </c>
      <c r="K184" s="8" cm="1">
        <f t="array" ref="K184">IF(P184&lt;&gt;0,IF(N184&gt;=3,_xlfn.XLOOKUP(A184,'외운 것'!A2:A271,'외운 것'!C2:C271,0,1),0),"1차")</f>
        <v>0</v>
      </c>
      <c r="L184" t="str" s="11" cm="1">
        <f t="array" ref="L184">IF(Q184&lt;&gt;0,IF(N184&gt;=3,_xlfn.XLOOKUP(A184,'외운 것'!A2:A271,'외운 것'!C2:C271,0,1),0),"2차")</f>
        <v>2차</v>
      </c>
      <c r="M184" t="str" s="11" cm="1">
        <f t="array" ref="M184">IF(R184&lt;&gt;0,IF(O184&gt;=3,_xlfn.XLOOKUP(B184,'외운 것'!B2:B271,'외운 것'!D2:D271,0,1),0),"3차")</f>
        <v>3차</v>
      </c>
      <c r="N184" s="8">
        <v>2</v>
      </c>
      <c r="O184" s="8">
        <v>3</v>
      </c>
      <c r="P184" s="8">
        <v>1</v>
      </c>
      <c r="Q184" s="8">
        <v>0</v>
      </c>
      <c r="R184" s="8">
        <v>0</v>
      </c>
    </row>
    <row r="185" ht="16" customHeight="1">
      <c r="A185" s="8">
        <v>184</v>
      </c>
      <c r="B185" s="8">
        <v>17</v>
      </c>
      <c r="C185" t="s" s="9">
        <v>530</v>
      </c>
      <c r="D185" t="s" s="9">
        <v>530</v>
      </c>
      <c r="E185" t="s" s="9">
        <v>579</v>
      </c>
      <c r="F185" t="s" s="9">
        <v>580</v>
      </c>
      <c r="G185" t="s" s="9">
        <v>581</v>
      </c>
      <c r="H185" s="8" cm="1">
        <f t="array" ref="H185">MIN(SUMIF('외운 것'!A2:A271,A185,'외운 것'!D2:D271)+IF(R185=0,3,IF(R185=1,2,0)),3)</f>
        <v>3</v>
      </c>
      <c r="I185" s="8" cm="1">
        <f t="array" ref="I185">_xlfn.COUNTIFS('외운 것'!A2:A271,A185,'외운 것'!D2:D271,0)</f>
        <v>1</v>
      </c>
      <c r="J185" t="str" s="10" cm="1">
        <f t="array" ref="J185">IF(R185&lt;&gt;0,IF(H185&gt;=3,_xlfn.XLOOKUP(A185,'외운 것'!A2:A271,'외운 것'!C2:C271,0,1),0),"3차")</f>
        <v>2026-04-29</v>
      </c>
      <c r="K185" s="8" cm="1">
        <f t="array" ref="K185">IF(P185&lt;&gt;0,IF(N185&gt;=3,_xlfn.XLOOKUP(A185,'외운 것'!A2:A271,'외운 것'!C2:C271,0,1),0),"1차")</f>
        <v>0</v>
      </c>
      <c r="L185" s="8" cm="1">
        <f t="array" ref="L185">IF(Q185&lt;&gt;0,IF(N185&gt;=3,_xlfn.XLOOKUP(A185,'외운 것'!A2:A271,'외운 것'!C2:C271,0,1),0),"2차")</f>
        <v>0</v>
      </c>
      <c r="M185" s="8" cm="1">
        <f t="array" ref="M185">IF(R185&lt;&gt;0,IF(O185&gt;=3,_xlfn.XLOOKUP(B185,'외운 것'!B2:B271,'외운 것'!D2:D271,0,1),0),"3차")</f>
        <v>0</v>
      </c>
      <c r="N185" s="8">
        <v>0</v>
      </c>
      <c r="O185" s="8">
        <v>3</v>
      </c>
      <c r="P185" s="8">
        <v>2</v>
      </c>
      <c r="Q185" s="8">
        <v>3</v>
      </c>
      <c r="R185" s="8">
        <v>1</v>
      </c>
    </row>
    <row r="186" ht="16" customHeight="1">
      <c r="A186" s="8">
        <v>185</v>
      </c>
      <c r="B186" s="8">
        <v>18</v>
      </c>
      <c r="C186" t="s" s="9">
        <v>530</v>
      </c>
      <c r="D186" t="s" s="9">
        <v>530</v>
      </c>
      <c r="E186" t="s" s="9">
        <v>582</v>
      </c>
      <c r="F186" t="s" s="9">
        <v>583</v>
      </c>
      <c r="G186" t="s" s="9">
        <v>584</v>
      </c>
      <c r="H186" s="8" cm="1">
        <f t="array" ref="H186">MIN(SUMIF('외운 것'!A2:A271,A186,'외운 것'!D2:D271)+IF(R186=0,3,IF(R186=1,2,0)),3)</f>
        <v>3</v>
      </c>
      <c r="I186" s="8" cm="1">
        <f t="array" ref="I186">_xlfn.COUNTIFS('외운 것'!A2:A271,A186,'외운 것'!D2:D271,0)</f>
        <v>0</v>
      </c>
      <c r="J186" t="str" s="10" cm="1">
        <f t="array" ref="J186">IF(R186&lt;&gt;0,IF(H186&gt;=3,_xlfn.XLOOKUP(A186,'외운 것'!A2:A271,'외운 것'!C2:C271,0,1),0),"3차")</f>
        <v>3차</v>
      </c>
      <c r="K186" s="8" cm="1">
        <f t="array" ref="K186">IF(P186&lt;&gt;0,IF(N186&gt;=3,_xlfn.XLOOKUP(A186,'외운 것'!A2:A271,'외운 것'!C2:C271,0,1),0),"1차")</f>
        <v>0</v>
      </c>
      <c r="L186" s="8" cm="1">
        <f t="array" ref="L186">IF(Q186&lt;&gt;0,IF(N186&gt;=3,_xlfn.XLOOKUP(A186,'외운 것'!A2:A271,'외운 것'!C2:C271,0,1),0),"2차")</f>
        <v>0</v>
      </c>
      <c r="M186" t="str" s="11" cm="1">
        <f t="array" ref="M186">IF(R186&lt;&gt;0,IF(O186&gt;=3,_xlfn.XLOOKUP(B186,'외운 것'!B2:B271,'외운 것'!D2:D271,0,1),0),"3차")</f>
        <v>3차</v>
      </c>
      <c r="N186" s="8">
        <v>2</v>
      </c>
      <c r="O186" s="8">
        <v>3</v>
      </c>
      <c r="P186" s="8">
        <v>1</v>
      </c>
      <c r="Q186" s="8">
        <v>1</v>
      </c>
      <c r="R186" s="8">
        <v>0</v>
      </c>
    </row>
    <row r="187" ht="16" customHeight="1">
      <c r="A187" s="8">
        <v>186</v>
      </c>
      <c r="B187" s="8">
        <v>19</v>
      </c>
      <c r="C187" t="s" s="9">
        <v>530</v>
      </c>
      <c r="D187" t="s" s="9">
        <v>530</v>
      </c>
      <c r="E187" t="s" s="9">
        <v>585</v>
      </c>
      <c r="F187" t="s" s="9">
        <v>586</v>
      </c>
      <c r="G187" t="s" s="9">
        <v>587</v>
      </c>
      <c r="H187" s="8" cm="1">
        <f t="array" ref="H187">MIN(SUMIF('외운 것'!A2:A271,A187,'외운 것'!D2:D271)+IF(R187=0,3,IF(R187=1,2,0)),3)</f>
        <v>3</v>
      </c>
      <c r="I187" s="8" cm="1">
        <f t="array" ref="I187">_xlfn.COUNTIFS('외운 것'!A2:A271,A187,'외운 것'!D2:D271,0)</f>
        <v>2</v>
      </c>
      <c r="J187" t="str" s="10" cm="1">
        <f t="array" ref="J187">IF(R187&lt;&gt;0,IF(H187&gt;=3,_xlfn.XLOOKUP(A187,'외운 것'!A2:A271,'외운 것'!C2:C271,0,1),0),"3차")</f>
        <v>2026-04-29</v>
      </c>
      <c r="K187" s="8" cm="1">
        <f t="array" ref="K187">IF(P187&lt;&gt;0,IF(N187&gt;=3,_xlfn.XLOOKUP(A187,'외운 것'!A2:A271,'외운 것'!C2:C271,0,1),0),"1차")</f>
        <v>0</v>
      </c>
      <c r="L187" s="8" cm="1">
        <f t="array" ref="L187">IF(Q187&lt;&gt;0,IF(N187&gt;=3,_xlfn.XLOOKUP(A187,'외운 것'!A2:A271,'외운 것'!C2:C271,0,1),0),"2차")</f>
        <v>0</v>
      </c>
      <c r="M187" s="8" cm="1">
        <f t="array" ref="M187">IF(R187&lt;&gt;0,IF(O187&gt;=3,_xlfn.XLOOKUP(B187,'외운 것'!B2:B271,'외운 것'!D2:D271,0,1),0),"3차")</f>
        <v>0</v>
      </c>
      <c r="N187" s="8">
        <v>0</v>
      </c>
      <c r="O187" s="8">
        <v>3</v>
      </c>
      <c r="P187" s="8">
        <v>2</v>
      </c>
      <c r="Q187" s="8">
        <v>1</v>
      </c>
      <c r="R187" s="8">
        <v>1</v>
      </c>
    </row>
    <row r="188" ht="16" customHeight="1">
      <c r="A188" s="8">
        <v>187</v>
      </c>
      <c r="B188" s="8">
        <v>20</v>
      </c>
      <c r="C188" t="s" s="9">
        <v>530</v>
      </c>
      <c r="D188" t="s" s="9">
        <v>530</v>
      </c>
      <c r="E188" t="s" s="9">
        <v>588</v>
      </c>
      <c r="F188" t="s" s="9">
        <v>589</v>
      </c>
      <c r="G188" t="s" s="9">
        <v>590</v>
      </c>
      <c r="H188" s="8" cm="1">
        <f t="array" ref="H188">MIN(SUMIF('외운 것'!A2:A271,A188,'외운 것'!D2:D271)+IF(R188=0,3,IF(R188=1,2,0)),3)</f>
        <v>3</v>
      </c>
      <c r="I188" s="8" cm="1">
        <f t="array" ref="I188">_xlfn.COUNTIFS('외운 것'!A2:A271,A188,'외운 것'!D2:D271,0)</f>
        <v>1</v>
      </c>
      <c r="J188" t="str" s="10" cm="1">
        <f t="array" ref="J188">IF(R188&lt;&gt;0,IF(H188&gt;=3,_xlfn.XLOOKUP(A188,'외운 것'!A2:A271,'외운 것'!C2:C271,0,1),0),"3차")</f>
        <v>2026-04-29</v>
      </c>
      <c r="K188" s="8" cm="1">
        <f t="array" ref="K188">IF(P188&lt;&gt;0,IF(N188&gt;=3,_xlfn.XLOOKUP(A188,'외운 것'!A2:A271,'외운 것'!C2:C271,0,1),0),"1차")</f>
        <v>0</v>
      </c>
      <c r="L188" s="8" cm="1">
        <f t="array" ref="L188">IF(Q188&lt;&gt;0,IF(N188&gt;=3,_xlfn.XLOOKUP(A188,'외운 것'!A2:A271,'외운 것'!C2:C271,0,1),0),"2차")</f>
        <v>0</v>
      </c>
      <c r="M188" s="8" cm="1">
        <f t="array" ref="M188">IF(R188&lt;&gt;0,IF(O188&gt;=3,_xlfn.XLOOKUP(B188,'외운 것'!B2:B271,'외운 것'!D2:D271,0,1),0),"3차")</f>
        <v>0</v>
      </c>
      <c r="N188" s="8">
        <v>0</v>
      </c>
      <c r="O188" s="8">
        <v>3</v>
      </c>
      <c r="P188" s="8">
        <v>2</v>
      </c>
      <c r="Q188" s="8">
        <v>1</v>
      </c>
      <c r="R188" s="8">
        <v>1</v>
      </c>
    </row>
    <row r="189" ht="16" customHeight="1">
      <c r="A189" s="8">
        <v>188</v>
      </c>
      <c r="B189" s="8">
        <v>1</v>
      </c>
      <c r="C189" t="s" s="9">
        <v>591</v>
      </c>
      <c r="D189" t="s" s="9">
        <v>591</v>
      </c>
      <c r="E189" t="s" s="9">
        <v>592</v>
      </c>
      <c r="F189" t="s" s="9">
        <v>593</v>
      </c>
      <c r="G189" t="s" s="9">
        <v>594</v>
      </c>
      <c r="H189" s="8" cm="1">
        <f t="array" ref="H189">MIN(SUMIF('외운 것'!A2:A271,A189,'외운 것'!D2:D271)+IF(R189=0,3,IF(R189=1,2,0)),3)</f>
        <v>3</v>
      </c>
      <c r="I189" s="8" cm="1">
        <f t="array" ref="I189">_xlfn.COUNTIFS('외운 것'!A2:A271,A189,'외운 것'!D2:D271,0)</f>
        <v>1</v>
      </c>
      <c r="J189" t="str" s="10" cm="1">
        <f t="array" ref="J189">IF(R189&lt;&gt;0,IF(H189&gt;=3,_xlfn.XLOOKUP(A189,'외운 것'!A2:A271,'외운 것'!C2:C271,0,1),0),"3차")</f>
        <v>2026-04-29</v>
      </c>
      <c r="K189" s="8" cm="1">
        <f t="array" ref="K189">IF(P189&lt;&gt;0,IF(N189&gt;=3,_xlfn.XLOOKUP(A189,'외운 것'!A2:A271,'외운 것'!C2:C271,0,1),0),"1차")</f>
        <v>0</v>
      </c>
      <c r="L189" s="8" cm="1">
        <f t="array" ref="L189">IF(Q189&lt;&gt;0,IF(N189&gt;=3,_xlfn.XLOOKUP(A189,'외운 것'!A2:A271,'외운 것'!C2:C271,0,1),0),"2차")</f>
        <v>0</v>
      </c>
      <c r="M189" s="8" cm="1">
        <f t="array" ref="M189">IF(R189&lt;&gt;0,IF(O189&gt;=3,_xlfn.XLOOKUP(B189,'외운 것'!B2:B271,'외운 것'!D2:D271,0,1),0),"3차")</f>
        <v>0</v>
      </c>
      <c r="N189" s="8">
        <v>0</v>
      </c>
      <c r="O189" s="8">
        <v>3</v>
      </c>
      <c r="P189" s="8">
        <v>3</v>
      </c>
      <c r="Q189" s="8">
        <v>1</v>
      </c>
      <c r="R189" s="8">
        <v>1</v>
      </c>
    </row>
    <row r="190" ht="16" customHeight="1">
      <c r="A190" s="8">
        <v>189</v>
      </c>
      <c r="B190" s="8">
        <v>2</v>
      </c>
      <c r="C190" t="s" s="9">
        <v>591</v>
      </c>
      <c r="D190" t="s" s="9">
        <v>591</v>
      </c>
      <c r="E190" t="s" s="9">
        <v>595</v>
      </c>
      <c r="F190" t="s" s="9">
        <v>596</v>
      </c>
      <c r="G190" t="s" s="9">
        <v>597</v>
      </c>
      <c r="H190" s="8" cm="1">
        <f t="array" ref="H190">MIN(SUMIF('외운 것'!A2:A271,A190,'외운 것'!D2:D271)+IF(R190=0,3,IF(R190=1,2,0)),3)</f>
        <v>3</v>
      </c>
      <c r="I190" s="8" cm="1">
        <f t="array" ref="I190">_xlfn.COUNTIFS('외운 것'!A2:A271,A190,'외운 것'!D2:D271,0)</f>
        <v>1</v>
      </c>
      <c r="J190" t="str" s="10" cm="1">
        <f t="array" ref="J190">IF(R190&lt;&gt;0,IF(H190&gt;=3,_xlfn.XLOOKUP(A190,'외운 것'!A2:A271,'외운 것'!C2:C271,0,1),0),"3차")</f>
        <v>2026-04-29</v>
      </c>
      <c r="K190" s="8" cm="1">
        <f t="array" ref="K190">IF(P190&lt;&gt;0,IF(N190&gt;=3,_xlfn.XLOOKUP(A190,'외운 것'!A2:A271,'외운 것'!C2:C271,0,1),0),"1차")</f>
        <v>0</v>
      </c>
      <c r="L190" s="8" cm="1">
        <f t="array" ref="L190">IF(Q190&lt;&gt;0,IF(N190&gt;=3,_xlfn.XLOOKUP(A190,'외운 것'!A2:A271,'외운 것'!C2:C271,0,1),0),"2차")</f>
        <v>0</v>
      </c>
      <c r="M190" s="8" cm="1">
        <f t="array" ref="M190">IF(R190&lt;&gt;0,IF(O190&gt;=3,_xlfn.XLOOKUP(B190,'외운 것'!B2:B271,'외운 것'!D2:D271,0,1),0),"3차")</f>
        <v>0</v>
      </c>
      <c r="N190" s="8">
        <v>0</v>
      </c>
      <c r="O190" s="8">
        <v>3</v>
      </c>
      <c r="P190" s="8">
        <v>2</v>
      </c>
      <c r="Q190" s="8">
        <v>2</v>
      </c>
      <c r="R190" s="8">
        <v>1</v>
      </c>
    </row>
    <row r="191" ht="16" customHeight="1">
      <c r="A191" s="8">
        <v>190</v>
      </c>
      <c r="B191" s="8">
        <v>3</v>
      </c>
      <c r="C191" t="s" s="9">
        <v>591</v>
      </c>
      <c r="D191" t="s" s="9">
        <v>591</v>
      </c>
      <c r="E191" t="s" s="9">
        <v>598</v>
      </c>
      <c r="F191" t="s" s="9">
        <v>599</v>
      </c>
      <c r="G191" t="s" s="9">
        <v>600</v>
      </c>
      <c r="H191" s="8" cm="1">
        <f t="array" ref="H191">MIN(SUMIF('외운 것'!A2:A271,A191,'외운 것'!D2:D271)+IF(R191=0,3,IF(R191=1,2,0)),3)</f>
        <v>3</v>
      </c>
      <c r="I191" s="8" cm="1">
        <f t="array" ref="I191">_xlfn.COUNTIFS('외운 것'!A2:A271,A191,'외운 것'!D2:D271,0)</f>
        <v>0</v>
      </c>
      <c r="J191" t="str" s="10" cm="1">
        <f t="array" ref="J191">IF(R191&lt;&gt;0,IF(H191&gt;=3,_xlfn.XLOOKUP(A191,'외운 것'!A2:A271,'외운 것'!C2:C271,0,1),0),"3차")</f>
        <v>3차</v>
      </c>
      <c r="K191" s="8" cm="1">
        <f t="array" ref="K191">IF(P191&lt;&gt;0,IF(N191&gt;=3,_xlfn.XLOOKUP(A191,'외운 것'!A2:A271,'외운 것'!C2:C271,0,1),0),"1차")</f>
        <v>0</v>
      </c>
      <c r="L191" t="str" s="11" cm="1">
        <f t="array" ref="L191">IF(Q191&lt;&gt;0,IF(N191&gt;=3,_xlfn.XLOOKUP(A191,'외운 것'!A2:A271,'외운 것'!C2:C271,0,1),0),"2차")</f>
        <v>2차</v>
      </c>
      <c r="M191" t="str" s="11" cm="1">
        <f t="array" ref="M191">IF(R191&lt;&gt;0,IF(O191&gt;=3,_xlfn.XLOOKUP(B191,'외운 것'!B2:B271,'외운 것'!D2:D271,0,1),0),"3차")</f>
        <v>3차</v>
      </c>
      <c r="N191" s="8">
        <v>2</v>
      </c>
      <c r="O191" s="8">
        <v>3</v>
      </c>
      <c r="P191" s="8">
        <v>1</v>
      </c>
      <c r="Q191" s="8">
        <v>0</v>
      </c>
      <c r="R191" s="8">
        <v>0</v>
      </c>
    </row>
    <row r="192" ht="16" customHeight="1">
      <c r="A192" s="8">
        <v>191</v>
      </c>
      <c r="B192" s="8">
        <v>4</v>
      </c>
      <c r="C192" t="s" s="9">
        <v>591</v>
      </c>
      <c r="D192" t="s" s="9">
        <v>591</v>
      </c>
      <c r="E192" t="s" s="9">
        <v>601</v>
      </c>
      <c r="F192" t="s" s="9">
        <v>602</v>
      </c>
      <c r="G192" t="s" s="9">
        <v>603</v>
      </c>
      <c r="H192" s="8" cm="1">
        <f t="array" ref="H192">MIN(SUMIF('외운 것'!A2:A271,A192,'외운 것'!D2:D271)+IF(R192=0,3,IF(R192=1,2,0)),3)</f>
        <v>3</v>
      </c>
      <c r="I192" s="8" cm="1">
        <f t="array" ref="I192">_xlfn.COUNTIFS('외운 것'!A2:A271,A192,'외운 것'!D2:D271,0)</f>
        <v>0</v>
      </c>
      <c r="J192" t="str" s="10" cm="1">
        <f t="array" ref="J192">IF(R192&lt;&gt;0,IF(H192&gt;=3,_xlfn.XLOOKUP(A192,'외운 것'!A2:A271,'외운 것'!C2:C271,0,1),0),"3차")</f>
        <v>3차</v>
      </c>
      <c r="K192" s="8" cm="1">
        <f t="array" ref="K192">IF(P192&lt;&gt;0,IF(N192&gt;=3,_xlfn.XLOOKUP(A192,'외운 것'!A2:A271,'외운 것'!C2:C271,0,1),0),"1차")</f>
        <v>0</v>
      </c>
      <c r="L192" t="str" s="11" cm="1">
        <f t="array" ref="L192">IF(Q192&lt;&gt;0,IF(N192&gt;=3,_xlfn.XLOOKUP(A192,'외운 것'!A2:A271,'외운 것'!C2:C271,0,1),0),"2차")</f>
        <v>2차</v>
      </c>
      <c r="M192" t="str" s="11" cm="1">
        <f t="array" ref="M192">IF(R192&lt;&gt;0,IF(O192&gt;=3,_xlfn.XLOOKUP(B192,'외운 것'!B2:B271,'외운 것'!D2:D271,0,1),0),"3차")</f>
        <v>3차</v>
      </c>
      <c r="N192" s="8">
        <v>2</v>
      </c>
      <c r="O192" s="8">
        <v>3</v>
      </c>
      <c r="P192" s="8">
        <v>1</v>
      </c>
      <c r="Q192" s="8">
        <v>0</v>
      </c>
      <c r="R192" s="8">
        <v>0</v>
      </c>
    </row>
    <row r="193" ht="16" customHeight="1">
      <c r="A193" s="8">
        <v>192</v>
      </c>
      <c r="B193" s="8">
        <v>5</v>
      </c>
      <c r="C193" t="s" s="9">
        <v>591</v>
      </c>
      <c r="D193" t="s" s="9">
        <v>591</v>
      </c>
      <c r="E193" t="s" s="9">
        <v>604</v>
      </c>
      <c r="F193" t="s" s="9">
        <v>605</v>
      </c>
      <c r="G193" t="s" s="9">
        <v>606</v>
      </c>
      <c r="H193" s="8" cm="1">
        <f t="array" ref="H193">MIN(SUMIF('외운 것'!A2:A271,A193,'외운 것'!D2:D271)+IF(R193=0,3,IF(R193=1,2,0)),3)</f>
        <v>3</v>
      </c>
      <c r="I193" s="8" cm="1">
        <f t="array" ref="I193">_xlfn.COUNTIFS('외운 것'!A2:A271,A193,'외운 것'!D2:D271,0)</f>
        <v>0</v>
      </c>
      <c r="J193" t="str" s="10" cm="1">
        <f t="array" ref="J193">IF(R193&lt;&gt;0,IF(H193&gt;=3,_xlfn.XLOOKUP(A193,'외운 것'!A2:A271,'외운 것'!C2:C271,0,1),0),"3차")</f>
        <v>3차</v>
      </c>
      <c r="K193" s="8" cm="1">
        <f t="array" ref="K193">IF(P193&lt;&gt;0,IF(N193&gt;=3,_xlfn.XLOOKUP(A193,'외운 것'!A2:A271,'외운 것'!C2:C271,0,1),0),"1차")</f>
        <v>0</v>
      </c>
      <c r="L193" s="8" cm="1">
        <f t="array" ref="L193">IF(Q193&lt;&gt;0,IF(N193&gt;=3,_xlfn.XLOOKUP(A193,'외운 것'!A2:A271,'외운 것'!C2:C271,0,1),0),"2차")</f>
        <v>0</v>
      </c>
      <c r="M193" t="str" s="11" cm="1">
        <f t="array" ref="M193">IF(R193&lt;&gt;0,IF(O193&gt;=3,_xlfn.XLOOKUP(B193,'외운 것'!B2:B271,'외운 것'!D2:D271,0,1),0),"3차")</f>
        <v>3차</v>
      </c>
      <c r="N193" s="8">
        <v>2</v>
      </c>
      <c r="O193" s="8">
        <v>3</v>
      </c>
      <c r="P193" s="8">
        <v>1</v>
      </c>
      <c r="Q193" s="8">
        <v>1</v>
      </c>
      <c r="R193" s="8">
        <v>0</v>
      </c>
    </row>
    <row r="194" ht="16" customHeight="1">
      <c r="A194" s="8">
        <v>193</v>
      </c>
      <c r="B194" s="8">
        <v>6</v>
      </c>
      <c r="C194" t="s" s="9">
        <v>591</v>
      </c>
      <c r="D194" t="s" s="9">
        <v>591</v>
      </c>
      <c r="E194" t="s" s="9">
        <v>607</v>
      </c>
      <c r="F194" t="s" s="9">
        <v>608</v>
      </c>
      <c r="G194" t="s" s="9">
        <v>609</v>
      </c>
      <c r="H194" s="8" cm="1">
        <f t="array" ref="H194">MIN(SUMIF('외운 것'!A2:A271,A194,'외운 것'!D2:D271)+IF(R194=0,3,IF(R194=1,2,0)),3)</f>
        <v>3</v>
      </c>
      <c r="I194" s="8" cm="1">
        <f t="array" ref="I194">_xlfn.COUNTIFS('외운 것'!A2:A271,A194,'외운 것'!D2:D271,0)</f>
        <v>0</v>
      </c>
      <c r="J194" t="str" s="10" cm="1">
        <f t="array" ref="J194">IF(R194&lt;&gt;0,IF(H194&gt;=3,_xlfn.XLOOKUP(A194,'외운 것'!A2:A271,'외운 것'!C2:C271,0,1),0),"3차")</f>
        <v>3차</v>
      </c>
      <c r="K194" t="str" s="11" cm="1">
        <f t="array" ref="K194">IF(P194&lt;&gt;0,IF(N194&gt;=3,_xlfn.XLOOKUP(A194,'외운 것'!A2:A271,'외운 것'!C2:C271,0,1),0),"1차")</f>
        <v>1차</v>
      </c>
      <c r="L194" t="str" s="11" cm="1">
        <f t="array" ref="L194">IF(Q194&lt;&gt;0,IF(N194&gt;=3,_xlfn.XLOOKUP(A194,'외운 것'!A2:A271,'외운 것'!C2:C271,0,1),0),"2차")</f>
        <v>2차</v>
      </c>
      <c r="M194" t="str" s="11" cm="1">
        <f t="array" ref="M194">IF(R194&lt;&gt;0,IF(O194&gt;=3,_xlfn.XLOOKUP(B194,'외운 것'!B2:B271,'외운 것'!D2:D271,0,1),0),"3차")</f>
        <v>3차</v>
      </c>
      <c r="N194" s="8">
        <v>3</v>
      </c>
      <c r="O194" s="8">
        <v>3</v>
      </c>
      <c r="P194" s="8">
        <v>0</v>
      </c>
      <c r="Q194" s="8">
        <v>0</v>
      </c>
      <c r="R194" s="8">
        <v>0</v>
      </c>
    </row>
    <row r="195" ht="16" customHeight="1">
      <c r="A195" s="8">
        <v>194</v>
      </c>
      <c r="B195" s="8">
        <v>7</v>
      </c>
      <c r="C195" t="s" s="9">
        <v>591</v>
      </c>
      <c r="D195" t="s" s="9">
        <v>591</v>
      </c>
      <c r="E195" t="s" s="9">
        <v>610</v>
      </c>
      <c r="F195" t="s" s="9">
        <v>611</v>
      </c>
      <c r="G195" t="s" s="9">
        <v>612</v>
      </c>
      <c r="H195" s="8" cm="1">
        <f t="array" ref="H195">MIN(SUMIF('외운 것'!A2:A271,A195,'외운 것'!D2:D271)+IF(R195=0,3,IF(R195=1,2,0)),3)</f>
        <v>3</v>
      </c>
      <c r="I195" s="8" cm="1">
        <f t="array" ref="I195">_xlfn.COUNTIFS('외운 것'!A2:A271,A195,'외운 것'!D2:D271,0)</f>
        <v>0</v>
      </c>
      <c r="J195" t="str" s="10" cm="1">
        <f t="array" ref="J195">IF(R195&lt;&gt;0,IF(H195&gt;=3,_xlfn.XLOOKUP(A195,'외운 것'!A2:A271,'외운 것'!C2:C271,0,1),0),"3차")</f>
        <v>3차</v>
      </c>
      <c r="K195" s="8" cm="1">
        <f t="array" ref="K195">IF(P195&lt;&gt;0,IF(N195&gt;=3,_xlfn.XLOOKUP(A195,'외운 것'!A2:A271,'외운 것'!C2:C271,0,1),0),"1차")</f>
        <v>0</v>
      </c>
      <c r="L195" t="str" s="11" cm="1">
        <f t="array" ref="L195">IF(Q195&lt;&gt;0,IF(N195&gt;=3,_xlfn.XLOOKUP(A195,'외운 것'!A2:A271,'외운 것'!C2:C271,0,1),0),"2차")</f>
        <v>2차</v>
      </c>
      <c r="M195" t="str" s="11" cm="1">
        <f t="array" ref="M195">IF(R195&lt;&gt;0,IF(O195&gt;=3,_xlfn.XLOOKUP(B195,'외운 것'!B2:B271,'외운 것'!D2:D271,0,1),0),"3차")</f>
        <v>3차</v>
      </c>
      <c r="N195" s="8">
        <v>2</v>
      </c>
      <c r="O195" s="8">
        <v>3</v>
      </c>
      <c r="P195" s="8">
        <v>1</v>
      </c>
      <c r="Q195" s="8">
        <v>0</v>
      </c>
      <c r="R195" s="8">
        <v>0</v>
      </c>
    </row>
    <row r="196" ht="16" customHeight="1">
      <c r="A196" s="8">
        <v>195</v>
      </c>
      <c r="B196" s="8">
        <v>8</v>
      </c>
      <c r="C196" t="s" s="9">
        <v>591</v>
      </c>
      <c r="D196" t="s" s="9">
        <v>591</v>
      </c>
      <c r="E196" t="s" s="9">
        <v>613</v>
      </c>
      <c r="F196" t="s" s="9">
        <v>614</v>
      </c>
      <c r="G196" t="s" s="9">
        <v>615</v>
      </c>
      <c r="H196" s="8" cm="1">
        <f t="array" ref="H196">MIN(SUMIF('외운 것'!A2:A271,A196,'외운 것'!D2:D271)+IF(R196=0,3,IF(R196=1,2,0)),3)</f>
        <v>3</v>
      </c>
      <c r="I196" s="8" cm="1">
        <f t="array" ref="I196">_xlfn.COUNTIFS('외운 것'!A2:A271,A196,'외운 것'!D2:D271,0)</f>
        <v>0</v>
      </c>
      <c r="J196" t="str" s="10" cm="1">
        <f t="array" ref="J196">IF(R196&lt;&gt;0,IF(H196&gt;=3,_xlfn.XLOOKUP(A196,'외운 것'!A2:A271,'외운 것'!C2:C271,0,1),0),"3차")</f>
        <v>3차</v>
      </c>
      <c r="K196" t="str" s="11" cm="1">
        <f t="array" ref="K196">IF(P196&lt;&gt;0,IF(N196&gt;=3,_xlfn.XLOOKUP(A196,'외운 것'!A2:A271,'외운 것'!C2:C271,0,1),0),"1차")</f>
        <v>1차</v>
      </c>
      <c r="L196" t="str" s="11" cm="1">
        <f t="array" ref="L196">IF(Q196&lt;&gt;0,IF(N196&gt;=3,_xlfn.XLOOKUP(A196,'외운 것'!A2:A271,'외운 것'!C2:C271,0,1),0),"2차")</f>
        <v>2차</v>
      </c>
      <c r="M196" t="str" s="11" cm="1">
        <f t="array" ref="M196">IF(R196&lt;&gt;0,IF(O196&gt;=3,_xlfn.XLOOKUP(B196,'외운 것'!B2:B271,'외운 것'!D2:D271,0,1),0),"3차")</f>
        <v>3차</v>
      </c>
      <c r="N196" s="8">
        <v>3</v>
      </c>
      <c r="O196" s="8">
        <v>3</v>
      </c>
      <c r="P196" s="8">
        <v>0</v>
      </c>
      <c r="Q196" s="8">
        <v>0</v>
      </c>
      <c r="R196" s="8">
        <v>0</v>
      </c>
    </row>
    <row r="197" ht="16" customHeight="1">
      <c r="A197" s="8">
        <v>196</v>
      </c>
      <c r="B197" s="8">
        <v>9</v>
      </c>
      <c r="C197" t="s" s="9">
        <v>591</v>
      </c>
      <c r="D197" t="s" s="9">
        <v>591</v>
      </c>
      <c r="E197" t="s" s="9">
        <v>616</v>
      </c>
      <c r="F197" t="s" s="9">
        <v>617</v>
      </c>
      <c r="G197" t="s" s="9">
        <v>618</v>
      </c>
      <c r="H197" s="8" cm="1">
        <f t="array" ref="H197">MIN(SUMIF('외운 것'!A2:A271,A197,'외운 것'!D2:D271)+IF(R197=0,3,IF(R197=1,2,0)),3)</f>
        <v>3</v>
      </c>
      <c r="I197" s="8" cm="1">
        <f t="array" ref="I197">_xlfn.COUNTIFS('외운 것'!A2:A271,A197,'외운 것'!D2:D271,0)</f>
        <v>3</v>
      </c>
      <c r="J197" t="str" s="10" cm="1">
        <f t="array" ref="J197">IF(R197&lt;&gt;0,IF(H197&gt;=3,_xlfn.XLOOKUP(A197,'외운 것'!A2:A271,'외운 것'!C2:C271,0,1),0),"3차")</f>
        <v>2026-04-30</v>
      </c>
      <c r="K197" s="8" cm="1">
        <f t="array" ref="K197">IF(P197&lt;&gt;0,IF(N197&gt;=3,_xlfn.XLOOKUP(A197,'외운 것'!A2:A271,'외운 것'!C2:C271,0,1),0),"1차")</f>
        <v>0</v>
      </c>
      <c r="L197" s="8" cm="1">
        <f t="array" ref="L197">IF(Q197&lt;&gt;0,IF(N197&gt;=3,_xlfn.XLOOKUP(A197,'외운 것'!A2:A271,'외운 것'!C2:C271,0,1),0),"2차")</f>
        <v>0</v>
      </c>
      <c r="M197" s="8" cm="1">
        <f t="array" ref="M197">IF(R197&lt;&gt;0,IF(O197&gt;=3,_xlfn.XLOOKUP(B197,'외운 것'!B2:B271,'외운 것'!D2:D271,0,1),0),"3차")</f>
        <v>0</v>
      </c>
      <c r="N197" s="8">
        <v>0</v>
      </c>
      <c r="O197" s="8">
        <v>3</v>
      </c>
      <c r="P197" s="8">
        <v>5</v>
      </c>
      <c r="Q197" s="8">
        <v>4</v>
      </c>
      <c r="R197" s="8">
        <v>2</v>
      </c>
    </row>
    <row r="198" ht="16" customHeight="1">
      <c r="A198" s="8">
        <v>197</v>
      </c>
      <c r="B198" s="8">
        <v>10</v>
      </c>
      <c r="C198" t="s" s="9">
        <v>591</v>
      </c>
      <c r="D198" t="s" s="9">
        <v>591</v>
      </c>
      <c r="E198" t="s" s="9">
        <v>619</v>
      </c>
      <c r="F198" t="s" s="9">
        <v>620</v>
      </c>
      <c r="G198" t="s" s="9">
        <v>621</v>
      </c>
      <c r="H198" s="8" cm="1">
        <f t="array" ref="H198">MIN(SUMIF('외운 것'!A2:A271,A198,'외운 것'!D2:D271)+IF(R198=0,3,IF(R198=1,2,0)),3)</f>
        <v>3</v>
      </c>
      <c r="I198" s="8" cm="1">
        <f t="array" ref="I198">_xlfn.COUNTIFS('외운 것'!A2:A271,A198,'외운 것'!D2:D271,0)</f>
        <v>0</v>
      </c>
      <c r="J198" t="str" s="10" cm="1">
        <f t="array" ref="J198">IF(R198&lt;&gt;0,IF(H198&gt;=3,_xlfn.XLOOKUP(A198,'외운 것'!A2:A271,'외운 것'!C2:C271,0,1),0),"3차")</f>
        <v>3차</v>
      </c>
      <c r="K198" s="8" cm="1">
        <f t="array" ref="K198">IF(P198&lt;&gt;0,IF(N198&gt;=3,_xlfn.XLOOKUP(A198,'외운 것'!A2:A271,'외운 것'!C2:C271,0,1),0),"1차")</f>
        <v>0</v>
      </c>
      <c r="L198" s="8" cm="1">
        <f t="array" ref="L198">IF(Q198&lt;&gt;0,IF(N198&gt;=3,_xlfn.XLOOKUP(A198,'외운 것'!A2:A271,'외운 것'!C2:C271,0,1),0),"2차")</f>
        <v>0</v>
      </c>
      <c r="M198" t="str" s="11" cm="1">
        <f t="array" ref="M198">IF(R198&lt;&gt;0,IF(O198&gt;=3,_xlfn.XLOOKUP(B198,'외운 것'!B2:B271,'외운 것'!D2:D271,0,1),0),"3차")</f>
        <v>3차</v>
      </c>
      <c r="N198" s="8">
        <v>0</v>
      </c>
      <c r="O198" s="8">
        <v>3</v>
      </c>
      <c r="P198" s="8">
        <v>5</v>
      </c>
      <c r="Q198" s="8">
        <v>1</v>
      </c>
      <c r="R198" s="8">
        <v>0</v>
      </c>
    </row>
    <row r="199" ht="16" customHeight="1">
      <c r="A199" s="8">
        <v>198</v>
      </c>
      <c r="B199" s="8">
        <v>11</v>
      </c>
      <c r="C199" t="s" s="9">
        <v>591</v>
      </c>
      <c r="D199" t="s" s="9">
        <v>591</v>
      </c>
      <c r="E199" t="s" s="9">
        <v>622</v>
      </c>
      <c r="F199" t="s" s="9">
        <v>623</v>
      </c>
      <c r="G199" t="s" s="9">
        <v>624</v>
      </c>
      <c r="H199" s="8" cm="1">
        <f t="array" ref="H199">MIN(SUMIF('외운 것'!A2:A271,A199,'외운 것'!D2:D271)+IF(R199=0,3,IF(R199=1,2,0)),3)</f>
        <v>3</v>
      </c>
      <c r="I199" s="8" cm="1">
        <f t="array" ref="I199">_xlfn.COUNTIFS('외운 것'!A2:A271,A199,'외운 것'!D2:D271,0)</f>
        <v>0</v>
      </c>
      <c r="J199" t="str" s="10" cm="1">
        <f t="array" ref="J199">IF(R199&lt;&gt;0,IF(H199&gt;=3,_xlfn.XLOOKUP(A199,'외운 것'!A2:A271,'외운 것'!C2:C271,0,1),0),"3차")</f>
        <v>3차</v>
      </c>
      <c r="K199" t="str" s="11" cm="1">
        <f t="array" ref="K199">IF(P199&lt;&gt;0,IF(N199&gt;=3,_xlfn.XLOOKUP(A199,'외운 것'!A2:A271,'외운 것'!C2:C271,0,1),0),"1차")</f>
        <v>1차</v>
      </c>
      <c r="L199" t="str" s="11" cm="1">
        <f t="array" ref="L199">IF(Q199&lt;&gt;0,IF(N199&gt;=3,_xlfn.XLOOKUP(A199,'외운 것'!A2:A271,'외운 것'!C2:C271,0,1),0),"2차")</f>
        <v>2차</v>
      </c>
      <c r="M199" t="str" s="11" cm="1">
        <f t="array" ref="M199">IF(R199&lt;&gt;0,IF(O199&gt;=3,_xlfn.XLOOKUP(B199,'외운 것'!B2:B271,'외운 것'!D2:D271,0,1),0),"3차")</f>
        <v>3차</v>
      </c>
      <c r="N199" s="8">
        <v>3</v>
      </c>
      <c r="O199" s="8">
        <v>3</v>
      </c>
      <c r="P199" s="8">
        <v>0</v>
      </c>
      <c r="Q199" s="8">
        <v>0</v>
      </c>
      <c r="R199" s="8">
        <v>0</v>
      </c>
    </row>
    <row r="200" ht="16" customHeight="1">
      <c r="A200" s="8">
        <v>199</v>
      </c>
      <c r="B200" s="8">
        <v>12</v>
      </c>
      <c r="C200" t="s" s="9">
        <v>591</v>
      </c>
      <c r="D200" t="s" s="9">
        <v>591</v>
      </c>
      <c r="E200" t="s" s="9">
        <v>625</v>
      </c>
      <c r="F200" t="s" s="9">
        <v>626</v>
      </c>
      <c r="G200" t="s" s="9">
        <v>627</v>
      </c>
      <c r="H200" s="8" cm="1">
        <f t="array" ref="H200">MIN(SUMIF('외운 것'!A2:A271,A200,'외운 것'!D2:D271)+IF(R200=0,3,IF(R200=1,2,0)),3)</f>
        <v>3</v>
      </c>
      <c r="I200" s="8" cm="1">
        <f t="array" ref="I200">_xlfn.COUNTIFS('외운 것'!A2:A271,A200,'외운 것'!D2:D271,0)</f>
        <v>0</v>
      </c>
      <c r="J200" t="str" s="10" cm="1">
        <f t="array" ref="J200">IF(R200&lt;&gt;0,IF(H200&gt;=3,_xlfn.XLOOKUP(A200,'외운 것'!A2:A271,'외운 것'!C2:C271,0,1),0),"3차")</f>
        <v>3차</v>
      </c>
      <c r="K200" t="str" s="11" cm="1">
        <f t="array" ref="K200">IF(P200&lt;&gt;0,IF(N200&gt;=3,_xlfn.XLOOKUP(A200,'외운 것'!A2:A271,'외운 것'!C2:C271,0,1),0),"1차")</f>
        <v>1차</v>
      </c>
      <c r="L200" t="str" s="11" cm="1">
        <f t="array" ref="L200">IF(Q200&lt;&gt;0,IF(N200&gt;=3,_xlfn.XLOOKUP(A200,'외운 것'!A2:A271,'외운 것'!C2:C271,0,1),0),"2차")</f>
        <v>2차</v>
      </c>
      <c r="M200" t="str" s="11" cm="1">
        <f t="array" ref="M200">IF(R200&lt;&gt;0,IF(O200&gt;=3,_xlfn.XLOOKUP(B200,'외운 것'!B2:B271,'외운 것'!D2:D271,0,1),0),"3차")</f>
        <v>3차</v>
      </c>
      <c r="N200" s="8">
        <v>3</v>
      </c>
      <c r="O200" s="8">
        <v>3</v>
      </c>
      <c r="P200" s="8">
        <v>0</v>
      </c>
      <c r="Q200" s="8">
        <v>0</v>
      </c>
      <c r="R200" s="8">
        <v>0</v>
      </c>
    </row>
    <row r="201" ht="16" customHeight="1">
      <c r="A201" s="8">
        <v>200</v>
      </c>
      <c r="B201" s="8">
        <v>13</v>
      </c>
      <c r="C201" t="s" s="9">
        <v>591</v>
      </c>
      <c r="D201" t="s" s="9">
        <v>591</v>
      </c>
      <c r="E201" t="s" s="9">
        <v>628</v>
      </c>
      <c r="F201" t="s" s="9">
        <v>629</v>
      </c>
      <c r="G201" t="s" s="9">
        <v>630</v>
      </c>
      <c r="H201" s="8" cm="1">
        <f t="array" ref="H201">MIN(SUMIF('외운 것'!A2:A271,A201,'외운 것'!D2:D271)+IF(R201=0,3,IF(R201=1,2,0)),3)</f>
        <v>3</v>
      </c>
      <c r="I201" s="8" cm="1">
        <f t="array" ref="I201">_xlfn.COUNTIFS('외운 것'!A2:A271,A201,'외운 것'!D2:D271,0)</f>
        <v>0</v>
      </c>
      <c r="J201" t="str" s="10" cm="1">
        <f t="array" ref="J201">IF(R201&lt;&gt;0,IF(H201&gt;=3,_xlfn.XLOOKUP(A201,'외운 것'!A2:A271,'외운 것'!C2:C271,0,1),0),"3차")</f>
        <v>3차</v>
      </c>
      <c r="K201" t="str" s="11" cm="1">
        <f t="array" ref="K201">IF(P201&lt;&gt;0,IF(N201&gt;=3,_xlfn.XLOOKUP(A201,'외운 것'!A2:A271,'외운 것'!C2:C271,0,1),0),"1차")</f>
        <v>1차</v>
      </c>
      <c r="L201" t="str" s="11" cm="1">
        <f t="array" ref="L201">IF(Q201&lt;&gt;0,IF(N201&gt;=3,_xlfn.XLOOKUP(A201,'외운 것'!A2:A271,'외운 것'!C2:C271,0,1),0),"2차")</f>
        <v>2차</v>
      </c>
      <c r="M201" t="str" s="11" cm="1">
        <f t="array" ref="M201">IF(R201&lt;&gt;0,IF(O201&gt;=3,_xlfn.XLOOKUP(B201,'외운 것'!B2:B271,'외운 것'!D2:D271,0,1),0),"3차")</f>
        <v>3차</v>
      </c>
      <c r="N201" s="8">
        <v>3</v>
      </c>
      <c r="O201" s="8">
        <v>3</v>
      </c>
      <c r="P201" s="8">
        <v>0</v>
      </c>
      <c r="Q201" s="8">
        <v>0</v>
      </c>
      <c r="R201" s="8">
        <v>0</v>
      </c>
    </row>
    <row r="202" ht="16" customHeight="1">
      <c r="A202" s="8">
        <v>201</v>
      </c>
      <c r="B202" s="8">
        <v>14</v>
      </c>
      <c r="C202" t="s" s="9">
        <v>591</v>
      </c>
      <c r="D202" t="s" s="9">
        <v>591</v>
      </c>
      <c r="E202" t="s" s="9">
        <v>631</v>
      </c>
      <c r="F202" t="s" s="9">
        <v>632</v>
      </c>
      <c r="G202" t="s" s="9">
        <v>633</v>
      </c>
      <c r="H202" s="8" cm="1">
        <f t="array" ref="H202">MIN(SUMIF('외운 것'!A2:A271,A202,'외운 것'!D2:D271)+IF(R202=0,3,IF(R202=1,2,0)),3)</f>
        <v>3</v>
      </c>
      <c r="I202" s="8" cm="1">
        <f t="array" ref="I202">_xlfn.COUNTIFS('외운 것'!A2:A271,A202,'외운 것'!D2:D271,0)</f>
        <v>1</v>
      </c>
      <c r="J202" t="str" s="10" cm="1">
        <f t="array" ref="J202">IF(R202&lt;&gt;0,IF(H202&gt;=3,_xlfn.XLOOKUP(A202,'외운 것'!A2:A271,'외운 것'!C2:C271,0,1),0),"3차")</f>
        <v>2026-04-29</v>
      </c>
      <c r="K202" s="8" cm="1">
        <f t="array" ref="K202">IF(P202&lt;&gt;0,IF(N202&gt;=3,_xlfn.XLOOKUP(A202,'외운 것'!A2:A271,'외운 것'!C2:C271,0,1),0),"1차")</f>
        <v>0</v>
      </c>
      <c r="L202" s="8" cm="1">
        <f t="array" ref="L202">IF(Q202&lt;&gt;0,IF(N202&gt;=3,_xlfn.XLOOKUP(A202,'외운 것'!A2:A271,'외운 것'!C2:C271,0,1),0),"2차")</f>
        <v>0</v>
      </c>
      <c r="M202" s="8" cm="1">
        <f t="array" ref="M202">IF(R202&lt;&gt;0,IF(O202&gt;=3,_xlfn.XLOOKUP(B202,'외운 것'!B2:B271,'외운 것'!D2:D271,0,1),0),"3차")</f>
        <v>0</v>
      </c>
      <c r="N202" s="8">
        <v>0</v>
      </c>
      <c r="O202" s="8">
        <v>3</v>
      </c>
      <c r="P202" s="8">
        <v>6</v>
      </c>
      <c r="Q202" s="8">
        <v>3</v>
      </c>
      <c r="R202" s="8">
        <v>1</v>
      </c>
    </row>
    <row r="203" ht="16" customHeight="1">
      <c r="A203" s="8">
        <v>202</v>
      </c>
      <c r="B203" s="8">
        <v>15</v>
      </c>
      <c r="C203" t="s" s="9">
        <v>591</v>
      </c>
      <c r="D203" t="s" s="9">
        <v>591</v>
      </c>
      <c r="E203" t="s" s="9">
        <v>634</v>
      </c>
      <c r="F203" t="s" s="9">
        <v>635</v>
      </c>
      <c r="G203" t="s" s="9">
        <v>636</v>
      </c>
      <c r="H203" s="8" cm="1">
        <f t="array" ref="H203">MIN(SUMIF('외운 것'!A2:A271,A203,'외운 것'!D2:D271)+IF(R203=0,3,IF(R203=1,2,0)),3)</f>
        <v>3</v>
      </c>
      <c r="I203" s="8" cm="1">
        <f t="array" ref="I203">_xlfn.COUNTIFS('외운 것'!A2:A271,A203,'외운 것'!D2:D271,0)</f>
        <v>1</v>
      </c>
      <c r="J203" t="str" s="10" cm="1">
        <f t="array" ref="J203">IF(R203&lt;&gt;0,IF(H203&gt;=3,_xlfn.XLOOKUP(A203,'외운 것'!A2:A271,'외운 것'!C2:C271,0,1),0),"3차")</f>
        <v>2026-04-30</v>
      </c>
      <c r="K203" s="8" cm="1">
        <f t="array" ref="K203">IF(P203&lt;&gt;0,IF(N203&gt;=3,_xlfn.XLOOKUP(A203,'외운 것'!A2:A271,'외운 것'!C2:C271,0,1),0),"1차")</f>
        <v>0</v>
      </c>
      <c r="L203" s="8" cm="1">
        <f t="array" ref="L203">IF(Q203&lt;&gt;0,IF(N203&gt;=3,_xlfn.XLOOKUP(A203,'외운 것'!A2:A271,'외운 것'!C2:C271,0,1),0),"2차")</f>
        <v>0</v>
      </c>
      <c r="M203" s="8" cm="1">
        <f t="array" ref="M203">IF(R203&lt;&gt;0,IF(O203&gt;=3,_xlfn.XLOOKUP(B203,'외운 것'!B2:B271,'외운 것'!D2:D271,0,1),0),"3차")</f>
        <v>0</v>
      </c>
      <c r="N203" s="8">
        <v>0</v>
      </c>
      <c r="O203" s="8">
        <v>3</v>
      </c>
      <c r="P203" s="8">
        <v>3</v>
      </c>
      <c r="Q203" s="8">
        <v>2</v>
      </c>
      <c r="R203" s="8">
        <v>2</v>
      </c>
    </row>
    <row r="204" ht="16" customHeight="1">
      <c r="A204" s="8">
        <v>203</v>
      </c>
      <c r="B204" s="8">
        <v>16</v>
      </c>
      <c r="C204" t="s" s="9">
        <v>591</v>
      </c>
      <c r="D204" t="s" s="9">
        <v>591</v>
      </c>
      <c r="E204" t="s" s="9">
        <v>637</v>
      </c>
      <c r="F204" t="s" s="9">
        <v>638</v>
      </c>
      <c r="G204" t="s" s="9">
        <v>639</v>
      </c>
      <c r="H204" s="8" cm="1">
        <f t="array" ref="H204">MIN(SUMIF('외운 것'!A2:A271,A204,'외운 것'!D2:D271)+IF(R204=0,3,IF(R204=1,2,0)),3)</f>
        <v>3</v>
      </c>
      <c r="I204" s="8" cm="1">
        <f t="array" ref="I204">_xlfn.COUNTIFS('외운 것'!A2:A271,A204,'외운 것'!D2:D271,0)</f>
        <v>0</v>
      </c>
      <c r="J204" t="str" s="10" cm="1">
        <f t="array" ref="J204">IF(R204&lt;&gt;0,IF(H204&gt;=3,_xlfn.XLOOKUP(A204,'외운 것'!A2:A271,'외운 것'!C2:C271,0,1),0),"3차")</f>
        <v>2026-04-29</v>
      </c>
      <c r="K204" s="8" cm="1">
        <f t="array" ref="K204">IF(P204&lt;&gt;0,IF(N204&gt;=3,_xlfn.XLOOKUP(A204,'외운 것'!A2:A271,'외운 것'!C2:C271,0,1),0),"1차")</f>
        <v>0</v>
      </c>
      <c r="L204" s="8" cm="1">
        <f t="array" ref="L204">IF(Q204&lt;&gt;0,IF(N204&gt;=3,_xlfn.XLOOKUP(A204,'외운 것'!A2:A271,'외운 것'!C2:C271,0,1),0),"2차")</f>
        <v>0</v>
      </c>
      <c r="M204" s="8" cm="1">
        <f t="array" ref="M204">IF(R204&lt;&gt;0,IF(O204&gt;=3,_xlfn.XLOOKUP(B204,'외운 것'!B2:B271,'외운 것'!D2:D271,0,1),0),"3차")</f>
        <v>0</v>
      </c>
      <c r="N204" s="8">
        <v>0</v>
      </c>
      <c r="O204" s="8">
        <v>3</v>
      </c>
      <c r="P204" s="8">
        <v>5</v>
      </c>
      <c r="Q204" s="8">
        <v>2</v>
      </c>
      <c r="R204" s="8">
        <v>2</v>
      </c>
    </row>
    <row r="205" ht="16" customHeight="1">
      <c r="A205" s="8">
        <v>204</v>
      </c>
      <c r="B205" s="8">
        <v>17</v>
      </c>
      <c r="C205" t="s" s="9">
        <v>591</v>
      </c>
      <c r="D205" t="s" s="9">
        <v>591</v>
      </c>
      <c r="E205" t="s" s="9">
        <v>640</v>
      </c>
      <c r="F205" t="s" s="9">
        <v>641</v>
      </c>
      <c r="G205" t="s" s="9">
        <v>642</v>
      </c>
      <c r="H205" s="8" cm="1">
        <f t="array" ref="H205">MIN(SUMIF('외운 것'!A2:A271,A205,'외운 것'!D2:D271)+IF(R205=0,3,IF(R205=1,2,0)),3)</f>
        <v>3</v>
      </c>
      <c r="I205" s="8" cm="1">
        <f t="array" ref="I205">_xlfn.COUNTIFS('외운 것'!A2:A271,A205,'외운 것'!D2:D271,0)</f>
        <v>0</v>
      </c>
      <c r="J205" t="str" s="10" cm="1">
        <f t="array" ref="J205">IF(R205&lt;&gt;0,IF(H205&gt;=3,_xlfn.XLOOKUP(A205,'외운 것'!A2:A271,'외운 것'!C2:C271,0,1),0),"3차")</f>
        <v>2026-04-29</v>
      </c>
      <c r="K205" s="8" cm="1">
        <f t="array" ref="K205">IF(P205&lt;&gt;0,IF(N205&gt;=3,_xlfn.XLOOKUP(A205,'외운 것'!A2:A271,'외운 것'!C2:C271,0,1),0),"1차")</f>
        <v>0</v>
      </c>
      <c r="L205" s="8" cm="1">
        <f t="array" ref="L205">IF(Q205&lt;&gt;0,IF(N205&gt;=3,_xlfn.XLOOKUP(A205,'외운 것'!A2:A271,'외운 것'!C2:C271,0,1),0),"2차")</f>
        <v>0</v>
      </c>
      <c r="M205" s="8" cm="1">
        <f t="array" ref="M205">IF(R205&lt;&gt;0,IF(O205&gt;=3,_xlfn.XLOOKUP(B205,'외운 것'!B2:B271,'외운 것'!D2:D271,0,1),0),"3차")</f>
        <v>0</v>
      </c>
      <c r="N205" s="8">
        <v>0</v>
      </c>
      <c r="O205" s="8">
        <v>3</v>
      </c>
      <c r="P205" s="8">
        <v>5</v>
      </c>
      <c r="Q205" s="8">
        <v>2</v>
      </c>
      <c r="R205" s="8">
        <v>1</v>
      </c>
    </row>
    <row r="206" ht="16" customHeight="1">
      <c r="A206" s="8">
        <v>205</v>
      </c>
      <c r="B206" s="8">
        <v>18</v>
      </c>
      <c r="C206" t="s" s="9">
        <v>591</v>
      </c>
      <c r="D206" t="s" s="9">
        <v>591</v>
      </c>
      <c r="E206" t="s" s="9">
        <v>643</v>
      </c>
      <c r="F206" t="s" s="9">
        <v>644</v>
      </c>
      <c r="G206" t="s" s="9">
        <v>645</v>
      </c>
      <c r="H206" s="8" cm="1">
        <f t="array" ref="H206">MIN(SUMIF('외운 것'!A2:A271,A206,'외운 것'!D2:D271)+IF(R206=0,3,IF(R206=1,2,0)),3)</f>
        <v>3</v>
      </c>
      <c r="I206" s="8" cm="1">
        <f t="array" ref="I206">_xlfn.COUNTIFS('외운 것'!A2:A271,A206,'외운 것'!D2:D271,0)</f>
        <v>0</v>
      </c>
      <c r="J206" t="str" s="10" cm="1">
        <f t="array" ref="J206">IF(R206&lt;&gt;0,IF(H206&gt;=3,_xlfn.XLOOKUP(A206,'외운 것'!A2:A271,'외운 것'!C2:C271,0,1),0),"3차")</f>
        <v>2026-04-29</v>
      </c>
      <c r="K206" s="8" cm="1">
        <f t="array" ref="K206">IF(P206&lt;&gt;0,IF(N206&gt;=3,_xlfn.XLOOKUP(A206,'외운 것'!A2:A271,'외운 것'!C2:C271,0,1),0),"1차")</f>
        <v>0</v>
      </c>
      <c r="L206" s="8" cm="1">
        <f t="array" ref="L206">IF(Q206&lt;&gt;0,IF(N206&gt;=3,_xlfn.XLOOKUP(A206,'외운 것'!A2:A271,'외운 것'!C2:C271,0,1),0),"2차")</f>
        <v>0</v>
      </c>
      <c r="M206" s="8" cm="1">
        <f t="array" ref="M206">IF(R206&lt;&gt;0,IF(O206&gt;=3,_xlfn.XLOOKUP(B206,'외운 것'!B2:B271,'외운 것'!D2:D271,0,1),0),"3차")</f>
        <v>0</v>
      </c>
      <c r="N206" s="8">
        <v>2</v>
      </c>
      <c r="O206" s="8">
        <v>3</v>
      </c>
      <c r="P206" s="8">
        <v>1</v>
      </c>
      <c r="Q206" s="8">
        <v>1</v>
      </c>
      <c r="R206" s="8">
        <v>1</v>
      </c>
    </row>
    <row r="207" ht="16" customHeight="1">
      <c r="A207" s="8">
        <v>206</v>
      </c>
      <c r="B207" s="8">
        <v>19</v>
      </c>
      <c r="C207" t="s" s="9">
        <v>591</v>
      </c>
      <c r="D207" t="s" s="9">
        <v>591</v>
      </c>
      <c r="E207" t="s" s="9">
        <v>646</v>
      </c>
      <c r="F207" t="s" s="9">
        <v>647</v>
      </c>
      <c r="G207" t="s" s="9">
        <v>648</v>
      </c>
      <c r="H207" s="8" cm="1">
        <f t="array" ref="H207">MIN(SUMIF('외운 것'!A2:A271,A207,'외운 것'!D2:D271)+IF(R207=0,3,IF(R207=1,2,0)),3)</f>
        <v>3</v>
      </c>
      <c r="I207" s="8" cm="1">
        <f t="array" ref="I207">_xlfn.COUNTIFS('외운 것'!A2:A271,A207,'외운 것'!D2:D271,0)</f>
        <v>0</v>
      </c>
      <c r="J207" t="str" s="10" cm="1">
        <f t="array" ref="J207">IF(R207&lt;&gt;0,IF(H207&gt;=3,_xlfn.XLOOKUP(A207,'외운 것'!A2:A271,'외운 것'!C2:C271,0,1),0),"3차")</f>
        <v>3차</v>
      </c>
      <c r="K207" s="8" cm="1">
        <f t="array" ref="K207">IF(P207&lt;&gt;0,IF(N207&gt;=3,_xlfn.XLOOKUP(A207,'외운 것'!A2:A271,'외운 것'!C2:C271,0,1),0),"1차")</f>
        <v>0</v>
      </c>
      <c r="L207" s="8" cm="1">
        <f t="array" ref="L207">IF(Q207&lt;&gt;0,IF(N207&gt;=3,_xlfn.XLOOKUP(A207,'외운 것'!A2:A271,'외운 것'!C2:C271,0,1),0),"2차")</f>
        <v>0</v>
      </c>
      <c r="M207" t="str" s="11" cm="1">
        <f t="array" ref="M207">IF(R207&lt;&gt;0,IF(O207&gt;=3,_xlfn.XLOOKUP(B207,'외운 것'!B2:B271,'외운 것'!D2:D271,0,1),0),"3차")</f>
        <v>3차</v>
      </c>
      <c r="N207" s="8">
        <v>0</v>
      </c>
      <c r="O207" s="8">
        <v>3</v>
      </c>
      <c r="P207" s="8">
        <v>3</v>
      </c>
      <c r="Q207" s="8">
        <v>1</v>
      </c>
      <c r="R207" s="8">
        <v>0</v>
      </c>
    </row>
    <row r="208" ht="16" customHeight="1">
      <c r="A208" s="8">
        <v>207</v>
      </c>
      <c r="B208" s="8">
        <v>20</v>
      </c>
      <c r="C208" t="s" s="9">
        <v>591</v>
      </c>
      <c r="D208" t="s" s="9">
        <v>591</v>
      </c>
      <c r="E208" t="s" s="9">
        <v>649</v>
      </c>
      <c r="F208" t="s" s="9">
        <v>650</v>
      </c>
      <c r="G208" t="s" s="9">
        <v>651</v>
      </c>
      <c r="H208" s="8" cm="1">
        <f t="array" ref="H208">MIN(SUMIF('외운 것'!A2:A271,A208,'외운 것'!D2:D271)+IF(R208=0,3,IF(R208=1,2,0)),3)</f>
        <v>3</v>
      </c>
      <c r="I208" s="8" cm="1">
        <f t="array" ref="I208">_xlfn.COUNTIFS('외운 것'!A2:A271,A208,'외운 것'!D2:D271,0)</f>
        <v>0</v>
      </c>
      <c r="J208" t="str" s="10" cm="1">
        <f t="array" ref="J208">IF(R208&lt;&gt;0,IF(H208&gt;=3,_xlfn.XLOOKUP(A208,'외운 것'!A2:A271,'외운 것'!C2:C271,0,1),0),"3차")</f>
        <v>2026-04-29</v>
      </c>
      <c r="K208" s="8" cm="1">
        <f t="array" ref="K208">IF(P208&lt;&gt;0,IF(N208&gt;=3,_xlfn.XLOOKUP(A208,'외운 것'!A2:A271,'외운 것'!C2:C271,0,1),0),"1차")</f>
        <v>0</v>
      </c>
      <c r="L208" s="8" cm="1">
        <f t="array" ref="L208">IF(Q208&lt;&gt;0,IF(N208&gt;=3,_xlfn.XLOOKUP(A208,'외운 것'!A2:A271,'외운 것'!C2:C271,0,1),0),"2차")</f>
        <v>0</v>
      </c>
      <c r="M208" s="8" cm="1">
        <f t="array" ref="M208">IF(R208&lt;&gt;0,IF(O208&gt;=3,_xlfn.XLOOKUP(B208,'외운 것'!B2:B271,'외운 것'!D2:D271,0,1),0),"3차")</f>
        <v>0</v>
      </c>
      <c r="N208" s="8">
        <v>0</v>
      </c>
      <c r="O208" s="8">
        <v>3</v>
      </c>
      <c r="P208" s="8">
        <v>4</v>
      </c>
      <c r="Q208" s="8">
        <v>6</v>
      </c>
      <c r="R208" s="8">
        <v>3</v>
      </c>
    </row>
    <row r="209" ht="16" customHeight="1">
      <c r="A209" s="8">
        <v>208</v>
      </c>
      <c r="B209" s="8">
        <v>21</v>
      </c>
      <c r="C209" t="s" s="9">
        <v>591</v>
      </c>
      <c r="D209" t="s" s="9">
        <v>591</v>
      </c>
      <c r="E209" t="s" s="9">
        <v>652</v>
      </c>
      <c r="F209" t="s" s="9">
        <v>653</v>
      </c>
      <c r="G209" t="s" s="9">
        <v>654</v>
      </c>
      <c r="H209" s="8" cm="1">
        <f t="array" ref="H209">MIN(SUMIF('외운 것'!A2:A271,A209,'외운 것'!D2:D271)+IF(R209=0,3,IF(R209=1,2,0)),3)</f>
        <v>3</v>
      </c>
      <c r="I209" s="8" cm="1">
        <f t="array" ref="I209">_xlfn.COUNTIFS('외운 것'!A2:A271,A209,'외운 것'!D2:D271,0)</f>
        <v>0</v>
      </c>
      <c r="J209" t="str" s="10" cm="1">
        <f t="array" ref="J209">IF(R209&lt;&gt;0,IF(H209&gt;=3,_xlfn.XLOOKUP(A209,'외운 것'!A2:A271,'외운 것'!C2:C271,0,1),0),"3차")</f>
        <v>2026-04-29</v>
      </c>
      <c r="K209" s="8" cm="1">
        <f t="array" ref="K209">IF(P209&lt;&gt;0,IF(N209&gt;=3,_xlfn.XLOOKUP(A209,'외운 것'!A2:A271,'외운 것'!C2:C271,0,1),0),"1차")</f>
        <v>0</v>
      </c>
      <c r="L209" s="8" cm="1">
        <f t="array" ref="L209">IF(Q209&lt;&gt;0,IF(N209&gt;=3,_xlfn.XLOOKUP(A209,'외운 것'!A2:A271,'외운 것'!C2:C271,0,1),0),"2차")</f>
        <v>0</v>
      </c>
      <c r="M209" s="8" cm="1">
        <f t="array" ref="M209">IF(R209&lt;&gt;0,IF(O209&gt;=3,_xlfn.XLOOKUP(B209,'외운 것'!B2:B271,'외운 것'!D2:D271,0,1),0),"3차")</f>
        <v>0</v>
      </c>
      <c r="N209" s="8">
        <v>0</v>
      </c>
      <c r="O209" s="8">
        <v>3</v>
      </c>
      <c r="P209" s="8">
        <v>2</v>
      </c>
      <c r="Q209" s="8">
        <v>1</v>
      </c>
      <c r="R209" s="8">
        <v>1</v>
      </c>
    </row>
    <row r="210" ht="16" customHeight="1">
      <c r="A210" s="8">
        <v>209</v>
      </c>
      <c r="B210" s="8">
        <v>22</v>
      </c>
      <c r="C210" t="s" s="9">
        <v>591</v>
      </c>
      <c r="D210" t="s" s="9">
        <v>591</v>
      </c>
      <c r="E210" t="s" s="9">
        <v>655</v>
      </c>
      <c r="F210" t="s" s="9">
        <v>656</v>
      </c>
      <c r="G210" t="s" s="9">
        <v>657</v>
      </c>
      <c r="H210" s="8" cm="1">
        <f t="array" ref="H210">MIN(SUMIF('외운 것'!A2:A271,A210,'외운 것'!D2:D271)+IF(R210=0,3,IF(R210=1,2,0)),3)</f>
        <v>3</v>
      </c>
      <c r="I210" s="8" cm="1">
        <f t="array" ref="I210">_xlfn.COUNTIFS('외운 것'!A2:A271,A210,'외운 것'!D2:D271,0)</f>
        <v>0</v>
      </c>
      <c r="J210" t="str" s="10" cm="1">
        <f t="array" ref="J210">IF(R210&lt;&gt;0,IF(H210&gt;=3,_xlfn.XLOOKUP(A210,'외운 것'!A2:A271,'외운 것'!C2:C271,0,1),0),"3차")</f>
        <v>3차</v>
      </c>
      <c r="K210" t="str" s="11" cm="1">
        <f t="array" ref="K210">IF(P210&lt;&gt;0,IF(N210&gt;=3,_xlfn.XLOOKUP(A210,'외운 것'!A2:A271,'외운 것'!C2:C271,0,1),0),"1차")</f>
        <v>1차</v>
      </c>
      <c r="L210" t="str" s="11" cm="1">
        <f t="array" ref="L210">IF(Q210&lt;&gt;0,IF(N210&gt;=3,_xlfn.XLOOKUP(A210,'외운 것'!A2:A271,'외운 것'!C2:C271,0,1),0),"2차")</f>
        <v>2차</v>
      </c>
      <c r="M210" t="str" s="11" cm="1">
        <f t="array" ref="M210">IF(R210&lt;&gt;0,IF(O210&gt;=3,_xlfn.XLOOKUP(B210,'외운 것'!B2:B271,'외운 것'!D2:D271,0,1),0),"3차")</f>
        <v>3차</v>
      </c>
      <c r="N210" s="8">
        <v>3</v>
      </c>
      <c r="O210" s="8">
        <v>3</v>
      </c>
      <c r="P210" s="8">
        <v>0</v>
      </c>
      <c r="Q210" s="8">
        <v>0</v>
      </c>
      <c r="R210" s="8">
        <v>0</v>
      </c>
    </row>
    <row r="211" ht="16" customHeight="1">
      <c r="A211" s="8">
        <v>210</v>
      </c>
      <c r="B211" s="8">
        <v>23</v>
      </c>
      <c r="C211" t="s" s="9">
        <v>591</v>
      </c>
      <c r="D211" t="s" s="9">
        <v>591</v>
      </c>
      <c r="E211" t="s" s="9">
        <v>658</v>
      </c>
      <c r="F211" t="s" s="9">
        <v>659</v>
      </c>
      <c r="G211" t="s" s="9">
        <v>660</v>
      </c>
      <c r="H211" s="8" cm="1">
        <f t="array" ref="H211">MIN(SUMIF('외운 것'!A2:A271,A211,'외운 것'!D2:D271)+IF(R211=0,3,IF(R211=1,2,0)),3)</f>
        <v>3</v>
      </c>
      <c r="I211" s="8" cm="1">
        <f t="array" ref="I211">_xlfn.COUNTIFS('외운 것'!A2:A271,A211,'외운 것'!D2:D271,0)</f>
        <v>0</v>
      </c>
      <c r="J211" t="str" s="10" cm="1">
        <f t="array" ref="J211">IF(R211&lt;&gt;0,IF(H211&gt;=3,_xlfn.XLOOKUP(A211,'외운 것'!A2:A271,'외운 것'!C2:C271,0,1),0),"3차")</f>
        <v>3차</v>
      </c>
      <c r="K211" s="8" cm="1">
        <f t="array" ref="K211">IF(P211&lt;&gt;0,IF(N211&gt;=3,_xlfn.XLOOKUP(A211,'외운 것'!A2:A271,'외운 것'!C2:C271,0,1),0),"1차")</f>
        <v>0</v>
      </c>
      <c r="L211" t="str" s="11" cm="1">
        <f t="array" ref="L211">IF(Q211&lt;&gt;0,IF(N211&gt;=3,_xlfn.XLOOKUP(A211,'외운 것'!A2:A271,'외운 것'!C2:C271,0,1),0),"2차")</f>
        <v>2차</v>
      </c>
      <c r="M211" t="str" s="11" cm="1">
        <f t="array" ref="M211">IF(R211&lt;&gt;0,IF(O211&gt;=3,_xlfn.XLOOKUP(B211,'외운 것'!B2:B271,'외운 것'!D2:D271,0,1),0),"3차")</f>
        <v>3차</v>
      </c>
      <c r="N211" s="8">
        <v>0</v>
      </c>
      <c r="O211" s="8">
        <v>3</v>
      </c>
      <c r="P211" s="8">
        <v>5</v>
      </c>
      <c r="Q211" s="8">
        <v>0</v>
      </c>
      <c r="R211" s="8">
        <v>0</v>
      </c>
    </row>
    <row r="212" ht="16" customHeight="1">
      <c r="A212" s="8">
        <v>211</v>
      </c>
      <c r="B212" s="8">
        <v>24</v>
      </c>
      <c r="C212" t="s" s="9">
        <v>591</v>
      </c>
      <c r="D212" t="s" s="9">
        <v>591</v>
      </c>
      <c r="E212" t="s" s="9">
        <v>661</v>
      </c>
      <c r="F212" t="s" s="9">
        <v>662</v>
      </c>
      <c r="G212" t="s" s="9">
        <v>663</v>
      </c>
      <c r="H212" s="8" cm="1">
        <f t="array" ref="H212">MIN(SUMIF('외운 것'!A2:A271,A212,'외운 것'!D2:D271)+IF(R212=0,3,IF(R212=1,2,0)),3)</f>
        <v>3</v>
      </c>
      <c r="I212" s="8" cm="1">
        <f t="array" ref="I212">_xlfn.COUNTIFS('외운 것'!A2:A271,A212,'외운 것'!D2:D271,0)</f>
        <v>0</v>
      </c>
      <c r="J212" t="str" s="10" cm="1">
        <f t="array" ref="J212">IF(R212&lt;&gt;0,IF(H212&gt;=3,_xlfn.XLOOKUP(A212,'외운 것'!A2:A271,'외운 것'!C2:C271,0,1),0),"3차")</f>
        <v>3차</v>
      </c>
      <c r="K212" s="8" cm="1">
        <f t="array" ref="K212">IF(P212&lt;&gt;0,IF(N212&gt;=3,_xlfn.XLOOKUP(A212,'외운 것'!A2:A271,'외운 것'!C2:C271,0,1),0),"1차")</f>
        <v>0</v>
      </c>
      <c r="L212" t="str" s="11" cm="1">
        <f t="array" ref="L212">IF(Q212&lt;&gt;0,IF(N212&gt;=3,_xlfn.XLOOKUP(A212,'외운 것'!A2:A271,'외운 것'!C2:C271,0,1),0),"2차")</f>
        <v>2차</v>
      </c>
      <c r="M212" t="str" s="11" cm="1">
        <f t="array" ref="M212">IF(R212&lt;&gt;0,IF(O212&gt;=3,_xlfn.XLOOKUP(B212,'외운 것'!B2:B271,'외운 것'!D2:D271,0,1),0),"3차")</f>
        <v>3차</v>
      </c>
      <c r="N212" s="8">
        <v>0</v>
      </c>
      <c r="O212" s="8">
        <v>3</v>
      </c>
      <c r="P212" s="8">
        <v>2</v>
      </c>
      <c r="Q212" s="8">
        <v>0</v>
      </c>
      <c r="R212" s="8">
        <v>0</v>
      </c>
    </row>
    <row r="213" ht="16" customHeight="1">
      <c r="A213" s="8">
        <v>212</v>
      </c>
      <c r="B213" s="8">
        <v>25</v>
      </c>
      <c r="C213" t="s" s="9">
        <v>591</v>
      </c>
      <c r="D213" t="s" s="9">
        <v>591</v>
      </c>
      <c r="E213" t="s" s="9">
        <v>664</v>
      </c>
      <c r="F213" t="s" s="9">
        <v>665</v>
      </c>
      <c r="G213" t="s" s="9">
        <v>666</v>
      </c>
      <c r="H213" s="8" cm="1">
        <f t="array" ref="H213">MIN(SUMIF('외운 것'!A2:A271,A213,'외운 것'!D2:D271)+IF(R213=0,3,IF(R213=1,2,0)),3)</f>
        <v>3</v>
      </c>
      <c r="I213" s="8" cm="1">
        <f t="array" ref="I213">_xlfn.COUNTIFS('외운 것'!A2:A271,A213,'외운 것'!D2:D271,0)</f>
        <v>0</v>
      </c>
      <c r="J213" t="str" s="10" cm="1">
        <f t="array" ref="J213">IF(R213&lt;&gt;0,IF(H213&gt;=3,_xlfn.XLOOKUP(A213,'외운 것'!A2:A271,'외운 것'!C2:C271,0,1),0),"3차")</f>
        <v>3차</v>
      </c>
      <c r="K213" s="8" cm="1">
        <f t="array" ref="K213">IF(P213&lt;&gt;0,IF(N213&gt;=3,_xlfn.XLOOKUP(A213,'외운 것'!A2:A271,'외운 것'!C2:C271,0,1),0),"1차")</f>
        <v>0</v>
      </c>
      <c r="L213" t="str" s="11" cm="1">
        <f t="array" ref="L213">IF(Q213&lt;&gt;0,IF(N213&gt;=3,_xlfn.XLOOKUP(A213,'외운 것'!A2:A271,'외운 것'!C2:C271,0,1),0),"2차")</f>
        <v>2차</v>
      </c>
      <c r="M213" t="str" s="11" cm="1">
        <f t="array" ref="M213">IF(R213&lt;&gt;0,IF(O213&gt;=3,_xlfn.XLOOKUP(B213,'외운 것'!B2:B271,'외운 것'!D2:D271,0,1),0),"3차")</f>
        <v>3차</v>
      </c>
      <c r="N213" s="8">
        <v>2</v>
      </c>
      <c r="O213" s="8">
        <v>3</v>
      </c>
      <c r="P213" s="8">
        <v>1</v>
      </c>
      <c r="Q213" s="8">
        <v>0</v>
      </c>
      <c r="R213" s="8">
        <v>0</v>
      </c>
    </row>
    <row r="214" ht="16" customHeight="1">
      <c r="A214" s="8">
        <v>213</v>
      </c>
      <c r="B214" s="8">
        <v>26</v>
      </c>
      <c r="C214" t="s" s="9">
        <v>591</v>
      </c>
      <c r="D214" t="s" s="9">
        <v>591</v>
      </c>
      <c r="E214" t="s" s="9">
        <v>667</v>
      </c>
      <c r="F214" t="s" s="9">
        <v>668</v>
      </c>
      <c r="G214" t="s" s="9">
        <v>669</v>
      </c>
      <c r="H214" s="8" cm="1">
        <f t="array" ref="H214">MIN(SUMIF('외운 것'!A2:A271,A214,'외운 것'!D2:D271)+IF(R214=0,3,IF(R214=1,2,0)),3)</f>
        <v>3</v>
      </c>
      <c r="I214" s="8" cm="1">
        <f t="array" ref="I214">_xlfn.COUNTIFS('외운 것'!A2:A271,A214,'외운 것'!D2:D271,0)</f>
        <v>0</v>
      </c>
      <c r="J214" t="str" s="10" cm="1">
        <f t="array" ref="J214">IF(R214&lt;&gt;0,IF(H214&gt;=3,_xlfn.XLOOKUP(A214,'외운 것'!A2:A271,'외운 것'!C2:C271,0,1),0),"3차")</f>
        <v>2026-04-29</v>
      </c>
      <c r="K214" s="8" cm="1">
        <f t="array" ref="K214">IF(P214&lt;&gt;0,IF(N214&gt;=3,_xlfn.XLOOKUP(A214,'외운 것'!A2:A271,'외운 것'!C2:C271,0,1),0),"1차")</f>
        <v>0</v>
      </c>
      <c r="L214" s="8" cm="1">
        <f t="array" ref="L214">IF(Q214&lt;&gt;0,IF(N214&gt;=3,_xlfn.XLOOKUP(A214,'외운 것'!A2:A271,'외운 것'!C2:C271,0,1),0),"2차")</f>
        <v>0</v>
      </c>
      <c r="M214" s="8" cm="1">
        <f t="array" ref="M214">IF(R214&lt;&gt;0,IF(O214&gt;=3,_xlfn.XLOOKUP(B214,'외운 것'!B2:B271,'외운 것'!D2:D271,0,1),0),"3차")</f>
        <v>0</v>
      </c>
      <c r="N214" s="8">
        <v>0</v>
      </c>
      <c r="O214" s="8">
        <v>3</v>
      </c>
      <c r="P214" s="8">
        <v>5</v>
      </c>
      <c r="Q214" s="8">
        <v>1</v>
      </c>
      <c r="R214" s="8">
        <v>2</v>
      </c>
    </row>
    <row r="215" ht="16" customHeight="1">
      <c r="A215" s="8">
        <v>214</v>
      </c>
      <c r="B215" s="8">
        <v>27</v>
      </c>
      <c r="C215" t="s" s="9">
        <v>591</v>
      </c>
      <c r="D215" t="s" s="9">
        <v>591</v>
      </c>
      <c r="E215" t="s" s="9">
        <v>670</v>
      </c>
      <c r="F215" t="s" s="9">
        <v>671</v>
      </c>
      <c r="G215" t="s" s="9">
        <v>672</v>
      </c>
      <c r="H215" s="8" cm="1">
        <f t="array" ref="H215">MIN(SUMIF('외운 것'!A2:A271,A215,'외운 것'!D2:D271)+IF(R215=0,3,IF(R215=1,2,0)),3)</f>
        <v>3</v>
      </c>
      <c r="I215" s="8" cm="1">
        <f t="array" ref="I215">_xlfn.COUNTIFS('외운 것'!A2:A271,A215,'외운 것'!D2:D271,0)</f>
        <v>0</v>
      </c>
      <c r="J215" t="str" s="10" cm="1">
        <f t="array" ref="J215">IF(R215&lt;&gt;0,IF(H215&gt;=3,_xlfn.XLOOKUP(A215,'외운 것'!A2:A271,'외운 것'!C2:C271,0,1),0),"3차")</f>
        <v>2026-04-29</v>
      </c>
      <c r="K215" s="8" cm="1">
        <f t="array" ref="K215">IF(P215&lt;&gt;0,IF(N215&gt;=3,_xlfn.XLOOKUP(A215,'외운 것'!A2:A271,'외운 것'!C2:C271,0,1),0),"1차")</f>
        <v>0</v>
      </c>
      <c r="L215" s="8" cm="1">
        <f t="array" ref="L215">IF(Q215&lt;&gt;0,IF(N215&gt;=3,_xlfn.XLOOKUP(A215,'외운 것'!A2:A271,'외운 것'!C2:C271,0,1),0),"2차")</f>
        <v>0</v>
      </c>
      <c r="M215" s="8" cm="1">
        <f t="array" ref="M215">IF(R215&lt;&gt;0,IF(O215&gt;=3,_xlfn.XLOOKUP(B215,'외운 것'!B2:B271,'외운 것'!D2:D271,0,1),0),"3차")</f>
        <v>0</v>
      </c>
      <c r="N215" s="8">
        <v>0</v>
      </c>
      <c r="O215" s="8">
        <v>3</v>
      </c>
      <c r="P215" s="8">
        <v>3</v>
      </c>
      <c r="Q215" s="8">
        <v>1</v>
      </c>
      <c r="R215" s="8">
        <v>1</v>
      </c>
    </row>
    <row r="216" ht="16" customHeight="1">
      <c r="A216" s="8">
        <v>215</v>
      </c>
      <c r="B216" s="8">
        <v>28</v>
      </c>
      <c r="C216" t="s" s="9">
        <v>591</v>
      </c>
      <c r="D216" t="s" s="9">
        <v>591</v>
      </c>
      <c r="E216" t="s" s="9">
        <v>673</v>
      </c>
      <c r="F216" t="s" s="9">
        <v>674</v>
      </c>
      <c r="G216" t="s" s="9">
        <v>675</v>
      </c>
      <c r="H216" s="8" cm="1">
        <f t="array" ref="H216">MIN(SUMIF('외운 것'!A2:A271,A216,'외운 것'!D2:D271)+IF(R216=0,3,IF(R216=1,2,0)),3)</f>
        <v>3</v>
      </c>
      <c r="I216" s="8" cm="1">
        <f t="array" ref="I216">_xlfn.COUNTIFS('외운 것'!A2:A271,A216,'외운 것'!D2:D271,0)</f>
        <v>0</v>
      </c>
      <c r="J216" t="str" s="10" cm="1">
        <f t="array" ref="J216">IF(R216&lt;&gt;0,IF(H216&gt;=3,_xlfn.XLOOKUP(A216,'외운 것'!A2:A271,'외운 것'!C2:C271,0,1),0),"3차")</f>
        <v>3차</v>
      </c>
      <c r="K216" s="8" cm="1">
        <f t="array" ref="K216">IF(P216&lt;&gt;0,IF(N216&gt;=3,_xlfn.XLOOKUP(A216,'외운 것'!A2:A271,'외운 것'!C2:C271,0,1),0),"1차")</f>
        <v>0</v>
      </c>
      <c r="L216" t="str" s="11" cm="1">
        <f t="array" ref="L216">IF(Q216&lt;&gt;0,IF(N216&gt;=3,_xlfn.XLOOKUP(A216,'외운 것'!A2:A271,'외운 것'!C2:C271,0,1),0),"2차")</f>
        <v>2차</v>
      </c>
      <c r="M216" t="str" s="11" cm="1">
        <f t="array" ref="M216">IF(R216&lt;&gt;0,IF(O216&gt;=3,_xlfn.XLOOKUP(B216,'외운 것'!B2:B271,'외운 것'!D2:D271,0,1),0),"3차")</f>
        <v>3차</v>
      </c>
      <c r="N216" s="8">
        <v>2</v>
      </c>
      <c r="O216" s="8">
        <v>3</v>
      </c>
      <c r="P216" s="8">
        <v>1</v>
      </c>
      <c r="Q216" s="8">
        <v>0</v>
      </c>
      <c r="R216" s="8">
        <v>0</v>
      </c>
    </row>
    <row r="217" ht="16" customHeight="1">
      <c r="A217" s="8">
        <v>216</v>
      </c>
      <c r="B217" s="8">
        <v>29</v>
      </c>
      <c r="C217" t="s" s="9">
        <v>591</v>
      </c>
      <c r="D217" t="s" s="9">
        <v>591</v>
      </c>
      <c r="E217" t="s" s="9">
        <v>676</v>
      </c>
      <c r="F217" t="s" s="9">
        <v>677</v>
      </c>
      <c r="G217" t="s" s="9">
        <v>678</v>
      </c>
      <c r="H217" s="8" cm="1">
        <f t="array" ref="H217">MIN(SUMIF('외운 것'!A2:A271,A217,'외운 것'!D2:D271)+IF(R217=0,3,IF(R217=1,2,0)),3)</f>
        <v>3</v>
      </c>
      <c r="I217" s="8" cm="1">
        <f t="array" ref="I217">_xlfn.COUNTIFS('외운 것'!A2:A271,A217,'외운 것'!D2:D271,0)</f>
        <v>0</v>
      </c>
      <c r="J217" t="str" s="10" cm="1">
        <f t="array" ref="J217">IF(R217&lt;&gt;0,IF(H217&gt;=3,_xlfn.XLOOKUP(A217,'외운 것'!A2:A271,'외운 것'!C2:C271,0,1),0),"3차")</f>
        <v>3차</v>
      </c>
      <c r="K217" t="str" s="11" cm="1">
        <f t="array" ref="K217">IF(P217&lt;&gt;0,IF(N217&gt;=3,_xlfn.XLOOKUP(A217,'외운 것'!A2:A271,'외운 것'!C2:C271,0,1),0),"1차")</f>
        <v>1차</v>
      </c>
      <c r="L217" t="str" s="11" cm="1">
        <f t="array" ref="L217">IF(Q217&lt;&gt;0,IF(N217&gt;=3,_xlfn.XLOOKUP(A217,'외운 것'!A2:A271,'외운 것'!C2:C271,0,1),0),"2차")</f>
        <v>2차</v>
      </c>
      <c r="M217" t="str" s="11" cm="1">
        <f t="array" ref="M217">IF(R217&lt;&gt;0,IF(O217&gt;=3,_xlfn.XLOOKUP(B217,'외운 것'!B2:B271,'외운 것'!D2:D271,0,1),0),"3차")</f>
        <v>3차</v>
      </c>
      <c r="N217" s="8">
        <v>3</v>
      </c>
      <c r="O217" s="8">
        <v>3</v>
      </c>
      <c r="P217" s="8">
        <v>0</v>
      </c>
      <c r="Q217" s="8">
        <v>0</v>
      </c>
      <c r="R217" s="8">
        <v>0</v>
      </c>
    </row>
    <row r="218" ht="16" customHeight="1">
      <c r="A218" s="8">
        <v>217</v>
      </c>
      <c r="B218" s="8">
        <v>30</v>
      </c>
      <c r="C218" t="s" s="9">
        <v>591</v>
      </c>
      <c r="D218" t="s" s="9">
        <v>591</v>
      </c>
      <c r="E218" t="s" s="9">
        <v>679</v>
      </c>
      <c r="F218" t="s" s="9">
        <v>680</v>
      </c>
      <c r="G218" t="s" s="9">
        <v>681</v>
      </c>
      <c r="H218" s="8" cm="1">
        <f t="array" ref="H218">MIN(SUMIF('외운 것'!A2:A271,A218,'외운 것'!D2:D271)+IF(R218=0,3,IF(R218=1,2,0)),3)</f>
        <v>3</v>
      </c>
      <c r="I218" s="8" cm="1">
        <f t="array" ref="I218">_xlfn.COUNTIFS('외운 것'!A2:A271,A218,'외운 것'!D2:D271,0)</f>
        <v>1</v>
      </c>
      <c r="J218" t="str" s="10" cm="1">
        <f t="array" ref="J218">IF(R218&lt;&gt;0,IF(H218&gt;=3,_xlfn.XLOOKUP(A218,'외운 것'!A2:A271,'외운 것'!C2:C271,0,1),0),"3차")</f>
        <v>2026-04-30</v>
      </c>
      <c r="K218" s="8" cm="1">
        <f t="array" ref="K218">IF(P218&lt;&gt;0,IF(N218&gt;=3,_xlfn.XLOOKUP(A218,'외운 것'!A2:A271,'외운 것'!C2:C271,0,1),0),"1차")</f>
        <v>0</v>
      </c>
      <c r="L218" s="8" cm="1">
        <f t="array" ref="L218">IF(Q218&lt;&gt;0,IF(N218&gt;=3,_xlfn.XLOOKUP(A218,'외운 것'!A2:A271,'외운 것'!C2:C271,0,1),0),"2차")</f>
        <v>0</v>
      </c>
      <c r="M218" s="8" cm="1">
        <f t="array" ref="M218">IF(R218&lt;&gt;0,IF(O218&gt;=3,_xlfn.XLOOKUP(B218,'외운 것'!B2:B271,'외운 것'!D2:D271,0,1),0),"3차")</f>
        <v>0</v>
      </c>
      <c r="N218" s="8">
        <v>2</v>
      </c>
      <c r="O218" s="8">
        <v>3</v>
      </c>
      <c r="P218" s="8">
        <v>1</v>
      </c>
      <c r="Q218" s="8">
        <v>1</v>
      </c>
      <c r="R218" s="8">
        <v>4</v>
      </c>
    </row>
    <row r="219" ht="16" customHeight="1">
      <c r="A219" s="8">
        <v>218</v>
      </c>
      <c r="B219" s="8">
        <v>31</v>
      </c>
      <c r="C219" t="s" s="9">
        <v>591</v>
      </c>
      <c r="D219" t="s" s="9">
        <v>591</v>
      </c>
      <c r="E219" t="s" s="9">
        <v>682</v>
      </c>
      <c r="F219" t="s" s="9">
        <v>683</v>
      </c>
      <c r="G219" t="s" s="9">
        <v>684</v>
      </c>
      <c r="H219" s="8" cm="1">
        <f t="array" ref="H219">MIN(SUMIF('외운 것'!A2:A271,A219,'외운 것'!D2:D271)+IF(R219=0,3,IF(R219=1,2,0)),3)</f>
        <v>3</v>
      </c>
      <c r="I219" s="8" cm="1">
        <f t="array" ref="I219">_xlfn.COUNTIFS('외운 것'!A2:A271,A219,'외운 것'!D2:D271,0)</f>
        <v>0</v>
      </c>
      <c r="J219" t="str" s="10" cm="1">
        <f t="array" ref="J219">IF(R219&lt;&gt;0,IF(H219&gt;=3,_xlfn.XLOOKUP(A219,'외운 것'!A2:A271,'외운 것'!C2:C271,0,1),0),"3차")</f>
        <v>3차</v>
      </c>
      <c r="K219" s="8" cm="1">
        <f t="array" ref="K219">IF(P219&lt;&gt;0,IF(N219&gt;=3,_xlfn.XLOOKUP(A219,'외운 것'!A2:A271,'외운 것'!C2:C271,0,1),0),"1차")</f>
        <v>0</v>
      </c>
      <c r="L219" t="str" s="11" cm="1">
        <f t="array" ref="L219">IF(Q219&lt;&gt;0,IF(N219&gt;=3,_xlfn.XLOOKUP(A219,'외운 것'!A2:A271,'외운 것'!C2:C271,0,1),0),"2차")</f>
        <v>2차</v>
      </c>
      <c r="M219" t="str" s="11" cm="1">
        <f t="array" ref="M219">IF(R219&lt;&gt;0,IF(O219&gt;=3,_xlfn.XLOOKUP(B219,'외운 것'!B2:B271,'외운 것'!D2:D271,0,1),0),"3차")</f>
        <v>3차</v>
      </c>
      <c r="N219" s="8">
        <v>0</v>
      </c>
      <c r="O219" s="8">
        <v>3</v>
      </c>
      <c r="P219" s="8">
        <v>4</v>
      </c>
      <c r="Q219" s="8">
        <v>0</v>
      </c>
      <c r="R219" s="8">
        <v>0</v>
      </c>
    </row>
    <row r="220" ht="16" customHeight="1">
      <c r="A220" s="8">
        <v>219</v>
      </c>
      <c r="B220" s="8">
        <v>32</v>
      </c>
      <c r="C220" t="s" s="9">
        <v>591</v>
      </c>
      <c r="D220" t="s" s="9">
        <v>591</v>
      </c>
      <c r="E220" t="s" s="9">
        <v>685</v>
      </c>
      <c r="F220" t="s" s="9">
        <v>686</v>
      </c>
      <c r="G220" t="s" s="9">
        <v>687</v>
      </c>
      <c r="H220" s="8" cm="1">
        <f t="array" ref="H220">MIN(SUMIF('외운 것'!A2:A271,A220,'외운 것'!D2:D271)+IF(R220=0,3,IF(R220=1,2,0)),3)</f>
        <v>3</v>
      </c>
      <c r="I220" s="8" cm="1">
        <f t="array" ref="I220">_xlfn.COUNTIFS('외운 것'!A2:A271,A220,'외운 것'!D2:D271,0)</f>
        <v>1</v>
      </c>
      <c r="J220" t="str" s="10" cm="1">
        <f t="array" ref="J220">IF(R220&lt;&gt;0,IF(H220&gt;=3,_xlfn.XLOOKUP(A220,'외운 것'!A2:A271,'외운 것'!C2:C271,0,1),0),"3차")</f>
        <v>2026-04-29</v>
      </c>
      <c r="K220" s="8" cm="1">
        <f t="array" ref="K220">IF(P220&lt;&gt;0,IF(N220&gt;=3,_xlfn.XLOOKUP(A220,'외운 것'!A2:A271,'외운 것'!C2:C271,0,1),0),"1차")</f>
        <v>0</v>
      </c>
      <c r="L220" s="8" cm="1">
        <f t="array" ref="L220">IF(Q220&lt;&gt;0,IF(N220&gt;=3,_xlfn.XLOOKUP(A220,'외운 것'!A2:A271,'외운 것'!C2:C271,0,1),0),"2차")</f>
        <v>0</v>
      </c>
      <c r="M220" s="8" cm="1">
        <f t="array" ref="M220">IF(R220&lt;&gt;0,IF(O220&gt;=3,_xlfn.XLOOKUP(B220,'외운 것'!B2:B271,'외운 것'!D2:D271,0,1),0),"3차")</f>
        <v>0</v>
      </c>
      <c r="N220" s="8">
        <v>0</v>
      </c>
      <c r="O220" s="8">
        <v>3</v>
      </c>
      <c r="P220" s="8">
        <v>3</v>
      </c>
      <c r="Q220" s="8">
        <v>2</v>
      </c>
      <c r="R220" s="8">
        <v>1</v>
      </c>
    </row>
    <row r="221" ht="16" customHeight="1">
      <c r="A221" s="8">
        <v>220</v>
      </c>
      <c r="B221" s="8">
        <v>33</v>
      </c>
      <c r="C221" t="s" s="9">
        <v>591</v>
      </c>
      <c r="D221" t="s" s="9">
        <v>591</v>
      </c>
      <c r="E221" t="s" s="9">
        <v>688</v>
      </c>
      <c r="F221" t="s" s="9">
        <v>689</v>
      </c>
      <c r="G221" t="s" s="9">
        <v>690</v>
      </c>
      <c r="H221" s="8" cm="1">
        <f t="array" ref="H221">MIN(SUMIF('외운 것'!A2:A271,A221,'외운 것'!D2:D271)+IF(R221=0,3,IF(R221=1,2,0)),3)</f>
        <v>3</v>
      </c>
      <c r="I221" s="8" cm="1">
        <f t="array" ref="I221">_xlfn.COUNTIFS('외운 것'!A2:A271,A221,'외운 것'!D2:D271,0)</f>
        <v>0</v>
      </c>
      <c r="J221" t="str" s="10" cm="1">
        <f t="array" ref="J221">IF(R221&lt;&gt;0,IF(H221&gt;=3,_xlfn.XLOOKUP(A221,'외운 것'!A2:A271,'외운 것'!C2:C271,0,1),0),"3차")</f>
        <v>3차</v>
      </c>
      <c r="K221" s="8" cm="1">
        <f t="array" ref="K221">IF(P221&lt;&gt;0,IF(N221&gt;=3,_xlfn.XLOOKUP(A221,'외운 것'!A2:A271,'외운 것'!C2:C271,0,1),0),"1차")</f>
        <v>0</v>
      </c>
      <c r="L221" t="str" s="11" cm="1">
        <f t="array" ref="L221">IF(Q221&lt;&gt;0,IF(N221&gt;=3,_xlfn.XLOOKUP(A221,'외운 것'!A2:A271,'외운 것'!C2:C271,0,1),0),"2차")</f>
        <v>2차</v>
      </c>
      <c r="M221" t="str" s="11" cm="1">
        <f t="array" ref="M221">IF(R221&lt;&gt;0,IF(O221&gt;=3,_xlfn.XLOOKUP(B221,'외운 것'!B2:B271,'외운 것'!D2:D271,0,1),0),"3차")</f>
        <v>3차</v>
      </c>
      <c r="N221" s="8">
        <v>2</v>
      </c>
      <c r="O221" s="8">
        <v>3</v>
      </c>
      <c r="P221" s="8">
        <v>1</v>
      </c>
      <c r="Q221" s="8">
        <v>0</v>
      </c>
      <c r="R221" s="8">
        <v>0</v>
      </c>
    </row>
    <row r="222" ht="16" customHeight="1">
      <c r="A222" s="8">
        <v>221</v>
      </c>
      <c r="B222" s="8">
        <v>34</v>
      </c>
      <c r="C222" t="s" s="9">
        <v>591</v>
      </c>
      <c r="D222" t="s" s="9">
        <v>591</v>
      </c>
      <c r="E222" t="s" s="9">
        <v>691</v>
      </c>
      <c r="F222" t="s" s="9">
        <v>692</v>
      </c>
      <c r="G222" t="s" s="9">
        <v>693</v>
      </c>
      <c r="H222" s="8" cm="1">
        <f t="array" ref="H222">MIN(SUMIF('외운 것'!A2:A271,A222,'외운 것'!D2:D271)+IF(R222=0,3,IF(R222=1,2,0)),3)</f>
        <v>3</v>
      </c>
      <c r="I222" s="8" cm="1">
        <f t="array" ref="I222">_xlfn.COUNTIFS('외운 것'!A2:A271,A222,'외운 것'!D2:D271,0)</f>
        <v>0</v>
      </c>
      <c r="J222" t="str" s="10" cm="1">
        <f t="array" ref="J222">IF(R222&lt;&gt;0,IF(H222&gt;=3,_xlfn.XLOOKUP(A222,'외운 것'!A2:A271,'외운 것'!C2:C271,0,1),0),"3차")</f>
        <v>3차</v>
      </c>
      <c r="K222" s="8" cm="1">
        <f t="array" ref="K222">IF(P222&lt;&gt;0,IF(N222&gt;=3,_xlfn.XLOOKUP(A222,'외운 것'!A2:A271,'외운 것'!C2:C271,0,1),0),"1차")</f>
        <v>0</v>
      </c>
      <c r="L222" t="str" s="11" cm="1">
        <f t="array" ref="L222">IF(Q222&lt;&gt;0,IF(N222&gt;=3,_xlfn.XLOOKUP(A222,'외운 것'!A2:A271,'외운 것'!C2:C271,0,1),0),"2차")</f>
        <v>2차</v>
      </c>
      <c r="M222" t="str" s="11" cm="1">
        <f t="array" ref="M222">IF(R222&lt;&gt;0,IF(O222&gt;=3,_xlfn.XLOOKUP(B222,'외운 것'!B2:B271,'외운 것'!D2:D271,0,1),0),"3차")</f>
        <v>3차</v>
      </c>
      <c r="N222" s="8">
        <v>2</v>
      </c>
      <c r="O222" s="8">
        <v>3</v>
      </c>
      <c r="P222" s="8">
        <v>1</v>
      </c>
      <c r="Q222" s="8">
        <v>0</v>
      </c>
      <c r="R222" s="8">
        <v>0</v>
      </c>
    </row>
    <row r="223" ht="16" customHeight="1">
      <c r="A223" s="8">
        <v>222</v>
      </c>
      <c r="B223" s="8">
        <v>35</v>
      </c>
      <c r="C223" t="s" s="9">
        <v>591</v>
      </c>
      <c r="D223" t="s" s="9">
        <v>591</v>
      </c>
      <c r="E223" t="s" s="9">
        <v>694</v>
      </c>
      <c r="F223" t="s" s="9">
        <v>695</v>
      </c>
      <c r="G223" t="s" s="9">
        <v>696</v>
      </c>
      <c r="H223" s="8" cm="1">
        <f t="array" ref="H223">MIN(SUMIF('외운 것'!A2:A271,A223,'외운 것'!D2:D271)+IF(R223=0,3,IF(R223=1,2,0)),3)</f>
        <v>3</v>
      </c>
      <c r="I223" s="8" cm="1">
        <f t="array" ref="I223">_xlfn.COUNTIFS('외운 것'!A2:A271,A223,'외운 것'!D2:D271,0)</f>
        <v>1</v>
      </c>
      <c r="J223" t="str" s="10" cm="1">
        <f t="array" ref="J223">IF(R223&lt;&gt;0,IF(H223&gt;=3,_xlfn.XLOOKUP(A223,'외운 것'!A2:A271,'외운 것'!C2:C271,0,1),0),"3차")</f>
        <v>2026-04-29</v>
      </c>
      <c r="K223" s="8" cm="1">
        <f t="array" ref="K223">IF(P223&lt;&gt;0,IF(N223&gt;=3,_xlfn.XLOOKUP(A223,'외운 것'!A2:A271,'외운 것'!C2:C271,0,1),0),"1차")</f>
        <v>0</v>
      </c>
      <c r="L223" s="8" cm="1">
        <f t="array" ref="L223">IF(Q223&lt;&gt;0,IF(N223&gt;=3,_xlfn.XLOOKUP(A223,'외운 것'!A2:A271,'외운 것'!C2:C271,0,1),0),"2차")</f>
        <v>0</v>
      </c>
      <c r="M223" s="8" cm="1">
        <f t="array" ref="M223">IF(R223&lt;&gt;0,IF(O223&gt;=3,_xlfn.XLOOKUP(B223,'외운 것'!B2:B271,'외운 것'!D2:D271,0,1),0),"3차")</f>
        <v>0</v>
      </c>
      <c r="N223" s="8">
        <v>0</v>
      </c>
      <c r="O223" s="8">
        <v>3</v>
      </c>
      <c r="P223" s="8">
        <v>2</v>
      </c>
      <c r="Q223" s="8">
        <v>1</v>
      </c>
      <c r="R223" s="8">
        <v>1</v>
      </c>
    </row>
    <row r="224" ht="16" customHeight="1">
      <c r="A224" s="8">
        <v>223</v>
      </c>
      <c r="B224" s="8">
        <v>36</v>
      </c>
      <c r="C224" t="s" s="9">
        <v>591</v>
      </c>
      <c r="D224" t="s" s="9">
        <v>591</v>
      </c>
      <c r="E224" t="s" s="9">
        <v>697</v>
      </c>
      <c r="F224" t="s" s="9">
        <v>698</v>
      </c>
      <c r="G224" t="s" s="9">
        <v>699</v>
      </c>
      <c r="H224" s="8" cm="1">
        <f t="array" ref="H224">MIN(SUMIF('외운 것'!A2:A271,A224,'외운 것'!D2:D271)+IF(R224=0,3,IF(R224=1,2,0)),3)</f>
        <v>3</v>
      </c>
      <c r="I224" s="8" cm="1">
        <f t="array" ref="I224">_xlfn.COUNTIFS('외운 것'!A2:A271,A224,'외운 것'!D2:D271,0)</f>
        <v>0</v>
      </c>
      <c r="J224" t="str" s="10" cm="1">
        <f t="array" ref="J224">IF(R224&lt;&gt;0,IF(H224&gt;=3,_xlfn.XLOOKUP(A224,'외운 것'!A2:A271,'외운 것'!C2:C271,0,1),0),"3차")</f>
        <v>3차</v>
      </c>
      <c r="K224" s="8" cm="1">
        <f t="array" ref="K224">IF(P224&lt;&gt;0,IF(N224&gt;=3,_xlfn.XLOOKUP(A224,'외운 것'!A2:A271,'외운 것'!C2:C271,0,1),0),"1차")</f>
        <v>0</v>
      </c>
      <c r="L224" t="str" s="11" cm="1">
        <f t="array" ref="L224">IF(Q224&lt;&gt;0,IF(N224&gt;=3,_xlfn.XLOOKUP(A224,'외운 것'!A2:A271,'외운 것'!C2:C271,0,1),0),"2차")</f>
        <v>2차</v>
      </c>
      <c r="M224" t="str" s="11" cm="1">
        <f t="array" ref="M224">IF(R224&lt;&gt;0,IF(O224&gt;=3,_xlfn.XLOOKUP(B224,'외운 것'!B2:B271,'외운 것'!D2:D271,0,1),0),"3차")</f>
        <v>3차</v>
      </c>
      <c r="N224" s="8">
        <v>0</v>
      </c>
      <c r="O224" s="8">
        <v>3</v>
      </c>
      <c r="P224" s="8">
        <v>4</v>
      </c>
      <c r="Q224" s="8">
        <v>0</v>
      </c>
      <c r="R224" s="8">
        <v>0</v>
      </c>
    </row>
    <row r="225" ht="16" customHeight="1">
      <c r="A225" s="8">
        <v>224</v>
      </c>
      <c r="B225" s="8">
        <v>37</v>
      </c>
      <c r="C225" t="s" s="9">
        <v>591</v>
      </c>
      <c r="D225" t="s" s="9">
        <v>591</v>
      </c>
      <c r="E225" t="s" s="9">
        <v>700</v>
      </c>
      <c r="F225" t="s" s="9">
        <v>701</v>
      </c>
      <c r="G225" t="s" s="9">
        <v>702</v>
      </c>
      <c r="H225" s="8" cm="1">
        <f t="array" ref="H225">MIN(SUMIF('외운 것'!A2:A271,A225,'외운 것'!D2:D271)+IF(R225=0,3,IF(R225=1,2,0)),3)</f>
        <v>3</v>
      </c>
      <c r="I225" s="8" cm="1">
        <f t="array" ref="I225">_xlfn.COUNTIFS('외운 것'!A2:A271,A225,'외운 것'!D2:D271,0)</f>
        <v>0</v>
      </c>
      <c r="J225" t="str" s="10" cm="1">
        <f t="array" ref="J225">IF(R225&lt;&gt;0,IF(H225&gt;=3,_xlfn.XLOOKUP(A225,'외운 것'!A2:A271,'외운 것'!C2:C271,0,1),0),"3차")</f>
        <v>3차</v>
      </c>
      <c r="K225" s="8" cm="1">
        <f t="array" ref="K225">IF(P225&lt;&gt;0,IF(N225&gt;=3,_xlfn.XLOOKUP(A225,'외운 것'!A2:A271,'외운 것'!C2:C271,0,1),0),"1차")</f>
        <v>0</v>
      </c>
      <c r="L225" t="str" s="11" cm="1">
        <f t="array" ref="L225">IF(Q225&lt;&gt;0,IF(N225&gt;=3,_xlfn.XLOOKUP(A225,'외운 것'!A2:A271,'외운 것'!C2:C271,0,1),0),"2차")</f>
        <v>2차</v>
      </c>
      <c r="M225" t="str" s="11" cm="1">
        <f t="array" ref="M225">IF(R225&lt;&gt;0,IF(O225&gt;=3,_xlfn.XLOOKUP(B225,'외운 것'!B2:B271,'외운 것'!D2:D271,0,1),0),"3차")</f>
        <v>3차</v>
      </c>
      <c r="N225" s="8">
        <v>2</v>
      </c>
      <c r="O225" s="8">
        <v>3</v>
      </c>
      <c r="P225" s="8">
        <v>1</v>
      </c>
      <c r="Q225" s="8">
        <v>0</v>
      </c>
      <c r="R225" s="8">
        <v>0</v>
      </c>
    </row>
    <row r="226" ht="16" customHeight="1">
      <c r="A226" s="8">
        <v>225</v>
      </c>
      <c r="B226" s="8">
        <v>38</v>
      </c>
      <c r="C226" t="s" s="9">
        <v>591</v>
      </c>
      <c r="D226" t="s" s="9">
        <v>591</v>
      </c>
      <c r="E226" t="s" s="9">
        <v>703</v>
      </c>
      <c r="F226" t="s" s="9">
        <v>704</v>
      </c>
      <c r="G226" t="s" s="9">
        <v>705</v>
      </c>
      <c r="H226" s="8" cm="1">
        <f t="array" ref="H226">MIN(SUMIF('외운 것'!A2:A271,A226,'외운 것'!D2:D271)+IF(R226=0,3,IF(R226=1,2,0)),3)</f>
        <v>3</v>
      </c>
      <c r="I226" s="8" cm="1">
        <f t="array" ref="I226">_xlfn.COUNTIFS('외운 것'!A2:A271,A226,'외운 것'!D2:D271,0)</f>
        <v>0</v>
      </c>
      <c r="J226" t="str" s="10" cm="1">
        <f t="array" ref="J226">IF(R226&lt;&gt;0,IF(H226&gt;=3,_xlfn.XLOOKUP(A226,'외운 것'!A2:A271,'외운 것'!C2:C271,0,1),0),"3차")</f>
        <v>2026-04-29</v>
      </c>
      <c r="K226" s="8" cm="1">
        <f t="array" ref="K226">IF(P226&lt;&gt;0,IF(N226&gt;=3,_xlfn.XLOOKUP(A226,'외운 것'!A2:A271,'외운 것'!C2:C271,0,1),0),"1차")</f>
        <v>0</v>
      </c>
      <c r="L226" s="8" cm="1">
        <f t="array" ref="L226">IF(Q226&lt;&gt;0,IF(N226&gt;=3,_xlfn.XLOOKUP(A226,'외운 것'!A2:A271,'외운 것'!C2:C271,0,1),0),"2차")</f>
        <v>0</v>
      </c>
      <c r="M226" s="8" cm="1">
        <f t="array" ref="M226">IF(R226&lt;&gt;0,IF(O226&gt;=3,_xlfn.XLOOKUP(B226,'외운 것'!B2:B271,'외운 것'!D2:D271,0,1),0),"3차")</f>
        <v>0</v>
      </c>
      <c r="N226" s="8">
        <v>0</v>
      </c>
      <c r="O226" s="8">
        <v>3</v>
      </c>
      <c r="P226" s="8">
        <v>4</v>
      </c>
      <c r="Q226" s="8">
        <v>1</v>
      </c>
      <c r="R226" s="8">
        <v>1</v>
      </c>
    </row>
    <row r="227" ht="16" customHeight="1">
      <c r="A227" s="8">
        <v>226</v>
      </c>
      <c r="B227" s="8">
        <v>39</v>
      </c>
      <c r="C227" t="s" s="9">
        <v>591</v>
      </c>
      <c r="D227" t="s" s="9">
        <v>591</v>
      </c>
      <c r="E227" t="s" s="9">
        <v>706</v>
      </c>
      <c r="F227" t="s" s="9">
        <v>707</v>
      </c>
      <c r="G227" t="s" s="9">
        <v>708</v>
      </c>
      <c r="H227" s="8" cm="1">
        <f t="array" ref="H227">MIN(SUMIF('외운 것'!A2:A271,A227,'외운 것'!D2:D271)+IF(R227=0,3,IF(R227=1,2,0)),3)</f>
        <v>3</v>
      </c>
      <c r="I227" s="8" cm="1">
        <f t="array" ref="I227">_xlfn.COUNTIFS('외운 것'!A2:A271,A227,'외운 것'!D2:D271,0)</f>
        <v>0</v>
      </c>
      <c r="J227" t="str" s="10" cm="1">
        <f t="array" ref="J227">IF(R227&lt;&gt;0,IF(H227&gt;=3,_xlfn.XLOOKUP(A227,'외운 것'!A2:A271,'외운 것'!C2:C271,0,1),0),"3차")</f>
        <v>3차</v>
      </c>
      <c r="K227" s="8" cm="1">
        <f t="array" ref="K227">IF(P227&lt;&gt;0,IF(N227&gt;=3,_xlfn.XLOOKUP(A227,'외운 것'!A2:A271,'외운 것'!C2:C271,0,1),0),"1차")</f>
        <v>0</v>
      </c>
      <c r="L227" t="str" s="11" cm="1">
        <f t="array" ref="L227">IF(Q227&lt;&gt;0,IF(N227&gt;=3,_xlfn.XLOOKUP(A227,'외운 것'!A2:A271,'외운 것'!C2:C271,0,1),0),"2차")</f>
        <v>2차</v>
      </c>
      <c r="M227" t="str" s="11" cm="1">
        <f t="array" ref="M227">IF(R227&lt;&gt;0,IF(O227&gt;=3,_xlfn.XLOOKUP(B227,'외운 것'!B2:B271,'외운 것'!D2:D271,0,1),0),"3차")</f>
        <v>3차</v>
      </c>
      <c r="N227" s="8">
        <v>2</v>
      </c>
      <c r="O227" s="8">
        <v>3</v>
      </c>
      <c r="P227" s="8">
        <v>1</v>
      </c>
      <c r="Q227" s="8">
        <v>0</v>
      </c>
      <c r="R227" s="8">
        <v>0</v>
      </c>
    </row>
    <row r="228" ht="16" customHeight="1">
      <c r="A228" s="8">
        <v>227</v>
      </c>
      <c r="B228" s="8">
        <v>40</v>
      </c>
      <c r="C228" t="s" s="9">
        <v>591</v>
      </c>
      <c r="D228" t="s" s="9">
        <v>591</v>
      </c>
      <c r="E228" t="s" s="9">
        <v>709</v>
      </c>
      <c r="F228" t="s" s="9">
        <v>710</v>
      </c>
      <c r="G228" t="s" s="9">
        <v>711</v>
      </c>
      <c r="H228" s="8" cm="1">
        <f t="array" ref="H228">MIN(SUMIF('외운 것'!A2:A271,A228,'외운 것'!D2:D271)+IF(R228=0,3,IF(R228=1,2,0)),3)</f>
        <v>3</v>
      </c>
      <c r="I228" s="8" cm="1">
        <f t="array" ref="I228">_xlfn.COUNTIFS('외운 것'!A2:A271,A228,'외운 것'!D2:D271,0)</f>
        <v>0</v>
      </c>
      <c r="J228" t="str" s="10" cm="1">
        <f t="array" ref="J228">IF(R228&lt;&gt;0,IF(H228&gt;=3,_xlfn.XLOOKUP(A228,'외운 것'!A2:A271,'외운 것'!C2:C271,0,1),0),"3차")</f>
        <v>3차</v>
      </c>
      <c r="K228" s="8" cm="1">
        <f t="array" ref="K228">IF(P228&lt;&gt;0,IF(N228&gt;=3,_xlfn.XLOOKUP(A228,'외운 것'!A2:A271,'외운 것'!C2:C271,0,1),0),"1차")</f>
        <v>0</v>
      </c>
      <c r="L228" s="8" cm="1">
        <f t="array" ref="L228">IF(Q228&lt;&gt;0,IF(N228&gt;=3,_xlfn.XLOOKUP(A228,'외운 것'!A2:A271,'외운 것'!C2:C271,0,1),0),"2차")</f>
        <v>0</v>
      </c>
      <c r="M228" t="str" s="11" cm="1">
        <f t="array" ref="M228">IF(R228&lt;&gt;0,IF(O228&gt;=3,_xlfn.XLOOKUP(B228,'외운 것'!B2:B271,'외운 것'!D2:D271,0,1),0),"3차")</f>
        <v>3차</v>
      </c>
      <c r="N228" s="8">
        <v>0</v>
      </c>
      <c r="O228" s="8">
        <v>3</v>
      </c>
      <c r="P228" s="8">
        <v>2</v>
      </c>
      <c r="Q228" s="8">
        <v>1</v>
      </c>
      <c r="R228" s="8">
        <v>0</v>
      </c>
    </row>
    <row r="229" ht="16" customHeight="1">
      <c r="A229" s="8">
        <v>228</v>
      </c>
      <c r="B229" s="8">
        <v>41</v>
      </c>
      <c r="C229" t="s" s="9">
        <v>591</v>
      </c>
      <c r="D229" t="s" s="9">
        <v>591</v>
      </c>
      <c r="E229" t="s" s="9">
        <v>712</v>
      </c>
      <c r="F229" t="s" s="9">
        <v>713</v>
      </c>
      <c r="G229" t="s" s="9">
        <v>714</v>
      </c>
      <c r="H229" s="8" cm="1">
        <f t="array" ref="H229">MIN(SUMIF('외운 것'!A2:A271,A229,'외운 것'!D2:D271)+IF(R229=0,3,IF(R229=1,2,0)),3)</f>
        <v>3</v>
      </c>
      <c r="I229" s="8" cm="1">
        <f t="array" ref="I229">_xlfn.COUNTIFS('외운 것'!A2:A271,A229,'외운 것'!D2:D271,0)</f>
        <v>0</v>
      </c>
      <c r="J229" t="str" s="10" cm="1">
        <f t="array" ref="J229">IF(R229&lt;&gt;0,IF(H229&gt;=3,_xlfn.XLOOKUP(A229,'외운 것'!A2:A271,'외운 것'!C2:C271,0,1),0),"3차")</f>
        <v>3차</v>
      </c>
      <c r="K229" t="str" s="11" cm="1">
        <f t="array" ref="K229">IF(P229&lt;&gt;0,IF(N229&gt;=3,_xlfn.XLOOKUP(A229,'외운 것'!A2:A271,'외운 것'!C2:C271,0,1),0),"1차")</f>
        <v>1차</v>
      </c>
      <c r="L229" t="str" s="11" cm="1">
        <f t="array" ref="L229">IF(Q229&lt;&gt;0,IF(N229&gt;=3,_xlfn.XLOOKUP(A229,'외운 것'!A2:A271,'외운 것'!C2:C271,0,1),0),"2차")</f>
        <v>2차</v>
      </c>
      <c r="M229" t="str" s="11" cm="1">
        <f t="array" ref="M229">IF(R229&lt;&gt;0,IF(O229&gt;=3,_xlfn.XLOOKUP(B229,'외운 것'!B2:B271,'외운 것'!D2:D271,0,1),0),"3차")</f>
        <v>3차</v>
      </c>
      <c r="N229" s="8">
        <v>3</v>
      </c>
      <c r="O229" s="8">
        <v>3</v>
      </c>
      <c r="P229" s="8">
        <v>0</v>
      </c>
      <c r="Q229" s="8">
        <v>0</v>
      </c>
      <c r="R229" s="8">
        <v>0</v>
      </c>
    </row>
    <row r="230" ht="16" customHeight="1">
      <c r="A230" s="8">
        <v>229</v>
      </c>
      <c r="B230" s="8">
        <v>42</v>
      </c>
      <c r="C230" t="s" s="9">
        <v>591</v>
      </c>
      <c r="D230" t="s" s="9">
        <v>591</v>
      </c>
      <c r="E230" t="s" s="9">
        <v>715</v>
      </c>
      <c r="F230" t="s" s="9">
        <v>716</v>
      </c>
      <c r="G230" t="s" s="9">
        <v>717</v>
      </c>
      <c r="H230" s="8" cm="1">
        <f t="array" ref="H230">MIN(SUMIF('외운 것'!A2:A271,A230,'외운 것'!D2:D271)+IF(R230=0,3,IF(R230=1,2,0)),3)</f>
        <v>3</v>
      </c>
      <c r="I230" s="8" cm="1">
        <f t="array" ref="I230">_xlfn.COUNTIFS('외운 것'!A2:A271,A230,'외운 것'!D2:D271,0)</f>
        <v>0</v>
      </c>
      <c r="J230" t="str" s="10" cm="1">
        <f t="array" ref="J230">IF(R230&lt;&gt;0,IF(H230&gt;=3,_xlfn.XLOOKUP(A230,'외운 것'!A2:A271,'외운 것'!C2:C271,0,1),0),"3차")</f>
        <v>2026-04-29</v>
      </c>
      <c r="K230" s="8" cm="1">
        <f t="array" ref="K230">IF(P230&lt;&gt;0,IF(N230&gt;=3,_xlfn.XLOOKUP(A230,'외운 것'!A2:A271,'외운 것'!C2:C271,0,1),0),"1차")</f>
        <v>0</v>
      </c>
      <c r="L230" s="8" cm="1">
        <f t="array" ref="L230">IF(Q230&lt;&gt;0,IF(N230&gt;=3,_xlfn.XLOOKUP(A230,'외운 것'!A2:A271,'외운 것'!C2:C271,0,1),0),"2차")</f>
        <v>0</v>
      </c>
      <c r="M230" s="8" cm="1">
        <f t="array" ref="M230">IF(R230&lt;&gt;0,IF(O230&gt;=3,_xlfn.XLOOKUP(B230,'외운 것'!B2:B271,'외운 것'!D2:D271,0,1),0),"3차")</f>
        <v>0</v>
      </c>
      <c r="N230" s="8">
        <v>0</v>
      </c>
      <c r="O230" s="8">
        <v>3</v>
      </c>
      <c r="P230" s="8">
        <v>3</v>
      </c>
      <c r="Q230" s="8">
        <v>1</v>
      </c>
      <c r="R230" s="8">
        <v>1</v>
      </c>
    </row>
    <row r="231" ht="16" customHeight="1">
      <c r="A231" s="8">
        <v>230</v>
      </c>
      <c r="B231" s="8">
        <v>43</v>
      </c>
      <c r="C231" t="s" s="9">
        <v>591</v>
      </c>
      <c r="D231" t="s" s="9">
        <v>591</v>
      </c>
      <c r="E231" t="s" s="9">
        <v>718</v>
      </c>
      <c r="F231" t="s" s="9">
        <v>719</v>
      </c>
      <c r="G231" t="s" s="9">
        <v>720</v>
      </c>
      <c r="H231" s="8" cm="1">
        <f t="array" ref="H231">MIN(SUMIF('외운 것'!A2:A271,A231,'외운 것'!D2:D271)+IF(R231=0,3,IF(R231=1,2,0)),3)</f>
        <v>3</v>
      </c>
      <c r="I231" s="8" cm="1">
        <f t="array" ref="I231">_xlfn.COUNTIFS('외운 것'!A2:A271,A231,'외운 것'!D2:D271,0)</f>
        <v>0</v>
      </c>
      <c r="J231" t="str" s="10" cm="1">
        <f t="array" ref="J231">IF(R231&lt;&gt;0,IF(H231&gt;=3,_xlfn.XLOOKUP(A231,'외운 것'!A2:A271,'외운 것'!C2:C271,0,1),0),"3차")</f>
        <v>3차</v>
      </c>
      <c r="K231" s="8" cm="1">
        <f t="array" ref="K231">IF(P231&lt;&gt;0,IF(N231&gt;=3,_xlfn.XLOOKUP(A231,'외운 것'!A2:A271,'외운 것'!C2:C271,0,1),0),"1차")</f>
        <v>0</v>
      </c>
      <c r="L231" t="str" s="11" cm="1">
        <f t="array" ref="L231">IF(Q231&lt;&gt;0,IF(N231&gt;=3,_xlfn.XLOOKUP(A231,'외운 것'!A2:A271,'외운 것'!C2:C271,0,1),0),"2차")</f>
        <v>2차</v>
      </c>
      <c r="M231" t="str" s="11" cm="1">
        <f t="array" ref="M231">IF(R231&lt;&gt;0,IF(O231&gt;=3,_xlfn.XLOOKUP(B231,'외운 것'!B2:B271,'외운 것'!D2:D271,0,1),0),"3차")</f>
        <v>3차</v>
      </c>
      <c r="N231" s="8">
        <v>2</v>
      </c>
      <c r="O231" s="8">
        <v>3</v>
      </c>
      <c r="P231" s="8">
        <v>1</v>
      </c>
      <c r="Q231" s="8">
        <v>0</v>
      </c>
      <c r="R231" s="8">
        <v>0</v>
      </c>
    </row>
    <row r="232" ht="16" customHeight="1">
      <c r="A232" s="8">
        <v>231</v>
      </c>
      <c r="B232" s="8">
        <v>44</v>
      </c>
      <c r="C232" t="s" s="9">
        <v>591</v>
      </c>
      <c r="D232" t="s" s="9">
        <v>591</v>
      </c>
      <c r="E232" t="s" s="9">
        <v>721</v>
      </c>
      <c r="F232" t="s" s="9">
        <v>722</v>
      </c>
      <c r="G232" t="s" s="9">
        <v>723</v>
      </c>
      <c r="H232" s="8" cm="1">
        <f t="array" ref="H232">MIN(SUMIF('외운 것'!A2:A271,A232,'외운 것'!D2:D271)+IF(R232=0,3,IF(R232=1,2,0)),3)</f>
        <v>3</v>
      </c>
      <c r="I232" s="8" cm="1">
        <f t="array" ref="I232">_xlfn.COUNTIFS('외운 것'!A2:A271,A232,'외운 것'!D2:D271,0)</f>
        <v>1</v>
      </c>
      <c r="J232" t="str" s="10" cm="1">
        <f t="array" ref="J232">IF(R232&lt;&gt;0,IF(H232&gt;=3,_xlfn.XLOOKUP(A232,'외운 것'!A2:A271,'외운 것'!C2:C271,0,1),0),"3차")</f>
        <v>2026-04-30</v>
      </c>
      <c r="K232" s="8" cm="1">
        <f t="array" ref="K232">IF(P232&lt;&gt;0,IF(N232&gt;=3,_xlfn.XLOOKUP(A232,'외운 것'!A2:A271,'외운 것'!C2:C271,0,1),0),"1차")</f>
        <v>0</v>
      </c>
      <c r="L232" s="8" cm="1">
        <f t="array" ref="L232">IF(Q232&lt;&gt;0,IF(N232&gt;=3,_xlfn.XLOOKUP(A232,'외운 것'!A2:A271,'외운 것'!C2:C271,0,1),0),"2차")</f>
        <v>0</v>
      </c>
      <c r="M232" s="8" cm="1">
        <f t="array" ref="M232">IF(R232&lt;&gt;0,IF(O232&gt;=3,_xlfn.XLOOKUP(B232,'외운 것'!B2:B271,'외운 것'!D2:D271,0,1),0),"3차")</f>
        <v>0</v>
      </c>
      <c r="N232" s="8">
        <v>0</v>
      </c>
      <c r="O232" s="8">
        <v>3</v>
      </c>
      <c r="P232" s="8">
        <v>4</v>
      </c>
      <c r="Q232" s="8">
        <v>2</v>
      </c>
      <c r="R232" s="8">
        <v>2</v>
      </c>
    </row>
    <row r="233" ht="16" customHeight="1">
      <c r="A233" s="8">
        <v>232</v>
      </c>
      <c r="B233" s="8">
        <v>1</v>
      </c>
      <c r="C233" t="s" s="9">
        <v>724</v>
      </c>
      <c r="D233" t="s" s="9">
        <v>725</v>
      </c>
      <c r="E233" t="s" s="9">
        <v>726</v>
      </c>
      <c r="F233" t="s" s="9">
        <v>727</v>
      </c>
      <c r="G233" t="s" s="9">
        <v>728</v>
      </c>
      <c r="H233" s="8" cm="1">
        <f t="array" ref="H233">MIN(SUMIF('외운 것'!A2:A271,A233,'외운 것'!D2:D271)+IF(R233=0,3,IF(R233=1,2,0)),3)</f>
        <v>3</v>
      </c>
      <c r="I233" s="8" cm="1">
        <f t="array" ref="I233">_xlfn.COUNTIFS('외운 것'!A2:A271,A233,'외운 것'!D2:D271,0)</f>
        <v>0</v>
      </c>
      <c r="J233" t="str" s="10" cm="1">
        <f t="array" ref="J233">IF(R233&lt;&gt;0,IF(H233&gt;=3,_xlfn.XLOOKUP(A233,'외운 것'!A2:A271,'외운 것'!C2:C271,0,1),0),"3차")</f>
        <v>3차</v>
      </c>
      <c r="K233" s="8" cm="1">
        <f t="array" ref="K233">IF(P233&lt;&gt;0,IF(N233&gt;=3,_xlfn.XLOOKUP(A233,'외운 것'!A2:A271,'외운 것'!C2:C271,0,1),0),"1차")</f>
        <v>0</v>
      </c>
      <c r="L233" s="8" cm="1">
        <f t="array" ref="L233">IF(Q233&lt;&gt;0,IF(N233&gt;=3,_xlfn.XLOOKUP(A233,'외운 것'!A2:A271,'외운 것'!C2:C271,0,1),0),"2차")</f>
        <v>0</v>
      </c>
      <c r="M233" t="str" s="11" cm="1">
        <f t="array" ref="M233">IF(R233&lt;&gt;0,IF(O233&gt;=3,_xlfn.XLOOKUP(B233,'외운 것'!B2:B271,'외운 것'!D2:D271,0,1),0),"3차")</f>
        <v>3차</v>
      </c>
      <c r="N233" s="8">
        <v>0</v>
      </c>
      <c r="O233" s="8">
        <v>3</v>
      </c>
      <c r="P233" s="8">
        <v>3</v>
      </c>
      <c r="Q233" s="8">
        <v>2</v>
      </c>
      <c r="R233" s="8">
        <v>0</v>
      </c>
    </row>
    <row r="234" ht="16" customHeight="1">
      <c r="A234" s="8">
        <v>233</v>
      </c>
      <c r="B234" s="8">
        <v>2</v>
      </c>
      <c r="C234" t="s" s="9">
        <v>724</v>
      </c>
      <c r="D234" t="s" s="9">
        <v>725</v>
      </c>
      <c r="E234" t="s" s="9">
        <v>729</v>
      </c>
      <c r="F234" t="s" s="9">
        <v>730</v>
      </c>
      <c r="G234" t="s" s="9">
        <v>731</v>
      </c>
      <c r="H234" s="8" cm="1">
        <f t="array" ref="H234">MIN(SUMIF('외운 것'!A2:A271,A234,'외운 것'!D2:D271)+IF(R234=0,3,IF(R234=1,2,0)),3)</f>
        <v>3</v>
      </c>
      <c r="I234" s="8" cm="1">
        <f t="array" ref="I234">_xlfn.COUNTIFS('외운 것'!A2:A271,A234,'외운 것'!D2:D271,0)</f>
        <v>0</v>
      </c>
      <c r="J234" t="str" s="10" cm="1">
        <f t="array" ref="J234">IF(R234&lt;&gt;0,IF(H234&gt;=3,_xlfn.XLOOKUP(A234,'외운 것'!A2:A271,'외운 것'!C2:C271,0,1),0),"3차")</f>
        <v>3차</v>
      </c>
      <c r="K234" s="8" cm="1">
        <f t="array" ref="K234">IF(P234&lt;&gt;0,IF(N234&gt;=3,_xlfn.XLOOKUP(A234,'외운 것'!A2:A271,'외운 것'!C2:C271,0,1),0),"1차")</f>
        <v>0</v>
      </c>
      <c r="L234" s="8" cm="1">
        <f t="array" ref="L234">IF(Q234&lt;&gt;0,IF(N234&gt;=3,_xlfn.XLOOKUP(A234,'외운 것'!A2:A271,'외운 것'!C2:C271,0,1),0),"2차")</f>
        <v>0</v>
      </c>
      <c r="M234" t="str" s="11" cm="1">
        <f t="array" ref="M234">IF(R234&lt;&gt;0,IF(O234&gt;=3,_xlfn.XLOOKUP(B234,'외운 것'!B2:B271,'외운 것'!D2:D271,0,1),0),"3차")</f>
        <v>3차</v>
      </c>
      <c r="N234" s="8">
        <v>0</v>
      </c>
      <c r="O234" s="8">
        <v>3</v>
      </c>
      <c r="P234" s="8">
        <v>2</v>
      </c>
      <c r="Q234" s="8">
        <v>1</v>
      </c>
      <c r="R234" s="8">
        <v>0</v>
      </c>
    </row>
    <row r="235" ht="16" customHeight="1">
      <c r="A235" s="8">
        <v>234</v>
      </c>
      <c r="B235" s="8">
        <v>3</v>
      </c>
      <c r="C235" t="s" s="9">
        <v>724</v>
      </c>
      <c r="D235" t="s" s="9">
        <v>725</v>
      </c>
      <c r="E235" t="s" s="9">
        <v>732</v>
      </c>
      <c r="F235" t="s" s="9">
        <v>733</v>
      </c>
      <c r="G235" t="s" s="9">
        <v>734</v>
      </c>
      <c r="H235" s="8" cm="1">
        <f t="array" ref="H235">MIN(SUMIF('외운 것'!A2:A271,A235,'외운 것'!D2:D271)+IF(R235=0,3,IF(R235=1,2,0)),3)</f>
        <v>3</v>
      </c>
      <c r="I235" s="8" cm="1">
        <f t="array" ref="I235">_xlfn.COUNTIFS('외운 것'!A2:A271,A235,'외운 것'!D2:D271,0)</f>
        <v>0</v>
      </c>
      <c r="J235" t="str" s="10" cm="1">
        <f t="array" ref="J235">IF(R235&lt;&gt;0,IF(H235&gt;=3,_xlfn.XLOOKUP(A235,'외운 것'!A2:A271,'외운 것'!C2:C271,0,1),0),"3차")</f>
        <v>3차</v>
      </c>
      <c r="K235" s="8" cm="1">
        <f t="array" ref="K235">IF(P235&lt;&gt;0,IF(N235&gt;=3,_xlfn.XLOOKUP(A235,'외운 것'!A2:A271,'외운 것'!C2:C271,0,1),0),"1차")</f>
        <v>0</v>
      </c>
      <c r="L235" s="8" cm="1">
        <f t="array" ref="L235">IF(Q235&lt;&gt;0,IF(N235&gt;=3,_xlfn.XLOOKUP(A235,'외운 것'!A2:A271,'외운 것'!C2:C271,0,1),0),"2차")</f>
        <v>0</v>
      </c>
      <c r="M235" t="str" s="11" cm="1">
        <f t="array" ref="M235">IF(R235&lt;&gt;0,IF(O235&gt;=3,_xlfn.XLOOKUP(B235,'외운 것'!B2:B271,'외운 것'!D2:D271,0,1),0),"3차")</f>
        <v>3차</v>
      </c>
      <c r="N235" s="8">
        <v>0</v>
      </c>
      <c r="O235" s="8">
        <v>3</v>
      </c>
      <c r="P235" s="8">
        <v>5</v>
      </c>
      <c r="Q235" s="8">
        <v>2</v>
      </c>
      <c r="R235" s="8">
        <v>0</v>
      </c>
    </row>
    <row r="236" ht="16" customHeight="1">
      <c r="A236" s="8">
        <v>235</v>
      </c>
      <c r="B236" s="8">
        <v>4</v>
      </c>
      <c r="C236" t="s" s="9">
        <v>724</v>
      </c>
      <c r="D236" t="s" s="9">
        <v>725</v>
      </c>
      <c r="E236" t="s" s="9">
        <v>735</v>
      </c>
      <c r="F236" t="s" s="9">
        <v>736</v>
      </c>
      <c r="G236" t="s" s="9">
        <v>737</v>
      </c>
      <c r="H236" s="8" cm="1">
        <f t="array" ref="H236">MIN(SUMIF('외운 것'!A2:A271,A236,'외운 것'!D2:D271)+IF(R236=0,3,IF(R236=1,2,0)),3)</f>
        <v>3</v>
      </c>
      <c r="I236" s="8" cm="1">
        <f t="array" ref="I236">_xlfn.COUNTIFS('외운 것'!A2:A271,A236,'외운 것'!D2:D271,0)</f>
        <v>0</v>
      </c>
      <c r="J236" t="str" s="10" cm="1">
        <f t="array" ref="J236">IF(R236&lt;&gt;0,IF(H236&gt;=3,_xlfn.XLOOKUP(A236,'외운 것'!A2:A271,'외운 것'!C2:C271,0,1),0),"3차")</f>
        <v>3차</v>
      </c>
      <c r="K236" s="8" cm="1">
        <f t="array" ref="K236">IF(P236&lt;&gt;0,IF(N236&gt;=3,_xlfn.XLOOKUP(A236,'외운 것'!A2:A271,'외운 것'!C2:C271,0,1),0),"1차")</f>
        <v>0</v>
      </c>
      <c r="L236" s="8" cm="1">
        <f t="array" ref="L236">IF(Q236&lt;&gt;0,IF(N236&gt;=3,_xlfn.XLOOKUP(A236,'외운 것'!A2:A271,'외운 것'!C2:C271,0,1),0),"2차")</f>
        <v>0</v>
      </c>
      <c r="M236" t="str" s="11" cm="1">
        <f t="array" ref="M236">IF(R236&lt;&gt;0,IF(O236&gt;=3,_xlfn.XLOOKUP(B236,'외운 것'!B2:B271,'외운 것'!D2:D271,0,1),0),"3차")</f>
        <v>3차</v>
      </c>
      <c r="N236" s="8">
        <v>0</v>
      </c>
      <c r="O236" s="8">
        <v>3</v>
      </c>
      <c r="P236" s="8">
        <v>2</v>
      </c>
      <c r="Q236" s="8">
        <v>1</v>
      </c>
      <c r="R236" s="8">
        <v>0</v>
      </c>
    </row>
    <row r="237" ht="16" customHeight="1">
      <c r="A237" s="8">
        <v>236</v>
      </c>
      <c r="B237" s="8">
        <v>5</v>
      </c>
      <c r="C237" t="s" s="9">
        <v>724</v>
      </c>
      <c r="D237" t="s" s="9">
        <v>725</v>
      </c>
      <c r="E237" t="s" s="9">
        <v>738</v>
      </c>
      <c r="F237" t="s" s="9">
        <v>739</v>
      </c>
      <c r="G237" t="s" s="9">
        <v>740</v>
      </c>
      <c r="H237" s="8" cm="1">
        <f t="array" ref="H237">MIN(SUMIF('외운 것'!A2:A271,A237,'외운 것'!D2:D271)+IF(R237=0,3,IF(R237=1,2,0)),3)</f>
        <v>3</v>
      </c>
      <c r="I237" s="8" cm="1">
        <f t="array" ref="I237">_xlfn.COUNTIFS('외운 것'!A2:A271,A237,'외운 것'!D2:D271,0)</f>
        <v>0</v>
      </c>
      <c r="J237" t="str" s="10" cm="1">
        <f t="array" ref="J237">IF(R237&lt;&gt;0,IF(H237&gt;=3,_xlfn.XLOOKUP(A237,'외운 것'!A2:A271,'외운 것'!C2:C271,0,1),0),"3차")</f>
        <v>3차</v>
      </c>
      <c r="K237" t="str" s="11" cm="1">
        <f t="array" ref="K237">IF(P237&lt;&gt;0,IF(N237&gt;=3,_xlfn.XLOOKUP(A237,'외운 것'!A2:A271,'외운 것'!C2:C271,0,1),0),"1차")</f>
        <v>1차</v>
      </c>
      <c r="L237" t="str" s="11" cm="1">
        <f t="array" ref="L237">IF(Q237&lt;&gt;0,IF(N237&gt;=3,_xlfn.XLOOKUP(A237,'외운 것'!A2:A271,'외운 것'!C2:C271,0,1),0),"2차")</f>
        <v>2차</v>
      </c>
      <c r="M237" t="str" s="11" cm="1">
        <f t="array" ref="M237">IF(R237&lt;&gt;0,IF(O237&gt;=3,_xlfn.XLOOKUP(B237,'외운 것'!B2:B271,'외운 것'!D2:D271,0,1),0),"3차")</f>
        <v>3차</v>
      </c>
      <c r="N237" s="8">
        <v>3</v>
      </c>
      <c r="O237" s="8">
        <v>3</v>
      </c>
      <c r="P237" s="8">
        <v>0</v>
      </c>
      <c r="Q237" s="8">
        <v>0</v>
      </c>
      <c r="R237" s="8">
        <v>0</v>
      </c>
    </row>
    <row r="238" ht="16" customHeight="1">
      <c r="A238" s="8">
        <v>237</v>
      </c>
      <c r="B238" s="8">
        <v>6</v>
      </c>
      <c r="C238" t="s" s="9">
        <v>724</v>
      </c>
      <c r="D238" t="s" s="9">
        <v>725</v>
      </c>
      <c r="E238" t="s" s="9">
        <v>741</v>
      </c>
      <c r="F238" t="s" s="9">
        <v>742</v>
      </c>
      <c r="G238" t="s" s="9">
        <v>743</v>
      </c>
      <c r="H238" s="8" cm="1">
        <f t="array" ref="H238">MIN(SUMIF('외운 것'!A2:A271,A238,'외운 것'!D2:D271)+IF(R238=0,3,IF(R238=1,2,0)),3)</f>
        <v>3</v>
      </c>
      <c r="I238" s="8" cm="1">
        <f t="array" ref="I238">_xlfn.COUNTIFS('외운 것'!A2:A271,A238,'외운 것'!D2:D271,0)</f>
        <v>0</v>
      </c>
      <c r="J238" t="str" s="10" cm="1">
        <f t="array" ref="J238">IF(R238&lt;&gt;0,IF(H238&gt;=3,_xlfn.XLOOKUP(A238,'외운 것'!A2:A271,'외운 것'!C2:C271,0,1),0),"3차")</f>
        <v>3차</v>
      </c>
      <c r="K238" t="str" s="11" cm="1">
        <f t="array" ref="K238">IF(P238&lt;&gt;0,IF(N238&gt;=3,_xlfn.XLOOKUP(A238,'외운 것'!A2:A271,'외운 것'!C2:C271,0,1),0),"1차")</f>
        <v>1차</v>
      </c>
      <c r="L238" t="str" s="11" cm="1">
        <f t="array" ref="L238">IF(Q238&lt;&gt;0,IF(N238&gt;=3,_xlfn.XLOOKUP(A238,'외운 것'!A2:A271,'외운 것'!C2:C271,0,1),0),"2차")</f>
        <v>2차</v>
      </c>
      <c r="M238" t="str" s="11" cm="1">
        <f t="array" ref="M238">IF(R238&lt;&gt;0,IF(O238&gt;=3,_xlfn.XLOOKUP(B238,'외운 것'!B2:B271,'외운 것'!D2:D271,0,1),0),"3차")</f>
        <v>3차</v>
      </c>
      <c r="N238" s="8">
        <v>3</v>
      </c>
      <c r="O238" s="8">
        <v>3</v>
      </c>
      <c r="P238" s="8">
        <v>0</v>
      </c>
      <c r="Q238" s="8">
        <v>0</v>
      </c>
      <c r="R238" s="8">
        <v>0</v>
      </c>
    </row>
    <row r="239" ht="16" customHeight="1">
      <c r="A239" s="8">
        <v>238</v>
      </c>
      <c r="B239" s="8">
        <v>7</v>
      </c>
      <c r="C239" t="s" s="9">
        <v>724</v>
      </c>
      <c r="D239" t="s" s="9">
        <v>725</v>
      </c>
      <c r="E239" t="s" s="9">
        <v>744</v>
      </c>
      <c r="F239" t="s" s="9">
        <v>745</v>
      </c>
      <c r="G239" t="s" s="9">
        <v>746</v>
      </c>
      <c r="H239" s="8" cm="1">
        <f t="array" ref="H239">MIN(SUMIF('외운 것'!A2:A271,A239,'외운 것'!D2:D271)+IF(R239=0,3,IF(R239=1,2,0)),3)</f>
        <v>3</v>
      </c>
      <c r="I239" s="8" cm="1">
        <f t="array" ref="I239">_xlfn.COUNTIFS('외운 것'!A2:A271,A239,'외운 것'!D2:D271,0)</f>
        <v>0</v>
      </c>
      <c r="J239" t="str" s="10" cm="1">
        <f t="array" ref="J239">IF(R239&lt;&gt;0,IF(H239&gt;=3,_xlfn.XLOOKUP(A239,'외운 것'!A2:A271,'외운 것'!C2:C271,0,1),0),"3차")</f>
        <v>3차</v>
      </c>
      <c r="K239" s="8" cm="1">
        <f t="array" ref="K239">IF(P239&lt;&gt;0,IF(N239&gt;=3,_xlfn.XLOOKUP(A239,'외운 것'!A2:A271,'외운 것'!C2:C271,0,1),0),"1차")</f>
        <v>0</v>
      </c>
      <c r="L239" t="str" s="11" cm="1">
        <f t="array" ref="L239">IF(Q239&lt;&gt;0,IF(N239&gt;=3,_xlfn.XLOOKUP(A239,'외운 것'!A2:A271,'외운 것'!C2:C271,0,1),0),"2차")</f>
        <v>2차</v>
      </c>
      <c r="M239" t="str" s="11" cm="1">
        <f t="array" ref="M239">IF(R239&lt;&gt;0,IF(O239&gt;=3,_xlfn.XLOOKUP(B239,'외운 것'!B2:B271,'외운 것'!D2:D271,0,1),0),"3차")</f>
        <v>3차</v>
      </c>
      <c r="N239" s="8">
        <v>2</v>
      </c>
      <c r="O239" s="8">
        <v>3</v>
      </c>
      <c r="P239" s="8">
        <v>1</v>
      </c>
      <c r="Q239" s="8">
        <v>0</v>
      </c>
      <c r="R239" s="8">
        <v>0</v>
      </c>
    </row>
    <row r="240" ht="16" customHeight="1">
      <c r="A240" s="8">
        <v>239</v>
      </c>
      <c r="B240" s="8">
        <v>8</v>
      </c>
      <c r="C240" t="s" s="9">
        <v>724</v>
      </c>
      <c r="D240" t="s" s="9">
        <v>725</v>
      </c>
      <c r="E240" t="s" s="9">
        <v>747</v>
      </c>
      <c r="F240" t="s" s="9">
        <v>748</v>
      </c>
      <c r="G240" t="s" s="9">
        <v>749</v>
      </c>
      <c r="H240" s="8" cm="1">
        <f t="array" ref="H240">MIN(SUMIF('외운 것'!A2:A271,A240,'외운 것'!D2:D271)+IF(R240=0,3,IF(R240=1,2,0)),3)</f>
        <v>3</v>
      </c>
      <c r="I240" s="8" cm="1">
        <f t="array" ref="I240">_xlfn.COUNTIFS('외운 것'!A2:A271,A240,'외운 것'!D2:D271,0)</f>
        <v>0</v>
      </c>
      <c r="J240" t="str" s="10" cm="1">
        <f t="array" ref="J240">IF(R240&lt;&gt;0,IF(H240&gt;=3,_xlfn.XLOOKUP(A240,'외운 것'!A2:A271,'외운 것'!C2:C271,0,1),0),"3차")</f>
        <v>3차</v>
      </c>
      <c r="K240" s="8" cm="1">
        <f t="array" ref="K240">IF(P240&lt;&gt;0,IF(N240&gt;=3,_xlfn.XLOOKUP(A240,'외운 것'!A2:A271,'외운 것'!C2:C271,0,1),0),"1차")</f>
        <v>0</v>
      </c>
      <c r="L240" t="str" s="11" cm="1">
        <f t="array" ref="L240">IF(Q240&lt;&gt;0,IF(N240&gt;=3,_xlfn.XLOOKUP(A240,'외운 것'!A2:A271,'외운 것'!C2:C271,0,1),0),"2차")</f>
        <v>2차</v>
      </c>
      <c r="M240" t="str" s="11" cm="1">
        <f t="array" ref="M240">IF(R240&lt;&gt;0,IF(O240&gt;=3,_xlfn.XLOOKUP(B240,'외운 것'!B2:B271,'외운 것'!D2:D271,0,1),0),"3차")</f>
        <v>3차</v>
      </c>
      <c r="N240" s="8">
        <v>2</v>
      </c>
      <c r="O240" s="8">
        <v>3</v>
      </c>
      <c r="P240" s="8">
        <v>1</v>
      </c>
      <c r="Q240" s="8">
        <v>0</v>
      </c>
      <c r="R240" s="8">
        <v>0</v>
      </c>
    </row>
    <row r="241" ht="16" customHeight="1">
      <c r="A241" s="8">
        <v>240</v>
      </c>
      <c r="B241" s="8">
        <v>9</v>
      </c>
      <c r="C241" t="s" s="9">
        <v>724</v>
      </c>
      <c r="D241" t="s" s="9">
        <v>725</v>
      </c>
      <c r="E241" t="s" s="9">
        <v>750</v>
      </c>
      <c r="F241" t="s" s="9">
        <v>751</v>
      </c>
      <c r="G241" t="s" s="9">
        <v>752</v>
      </c>
      <c r="H241" s="8" cm="1">
        <f t="array" ref="H241">MIN(SUMIF('외운 것'!A2:A271,A241,'외운 것'!D2:D271)+IF(R241=0,3,IF(R241=1,2,0)),3)</f>
        <v>3</v>
      </c>
      <c r="I241" s="8" cm="1">
        <f t="array" ref="I241">_xlfn.COUNTIFS('외운 것'!A2:A271,A241,'외운 것'!D2:D271,0)</f>
        <v>0</v>
      </c>
      <c r="J241" t="str" s="10" cm="1">
        <f t="array" ref="J241">IF(R241&lt;&gt;0,IF(H241&gt;=3,_xlfn.XLOOKUP(A241,'외운 것'!A2:A271,'외운 것'!C2:C271,0,1),0),"3차")</f>
        <v>2026-04-29</v>
      </c>
      <c r="K241" s="8" cm="1">
        <f t="array" ref="K241">IF(P241&lt;&gt;0,IF(N241&gt;=3,_xlfn.XLOOKUP(A241,'외운 것'!A2:A271,'외운 것'!C2:C271,0,1),0),"1차")</f>
        <v>0</v>
      </c>
      <c r="L241" s="8" cm="1">
        <f t="array" ref="L241">IF(Q241&lt;&gt;0,IF(N241&gt;=3,_xlfn.XLOOKUP(A241,'외운 것'!A2:A271,'외운 것'!C2:C271,0,1),0),"2차")</f>
        <v>0</v>
      </c>
      <c r="M241" s="8" cm="1">
        <f t="array" ref="M241">IF(R241&lt;&gt;0,IF(O241&gt;=3,_xlfn.XLOOKUP(B241,'외운 것'!B2:B271,'외운 것'!D2:D271,0,1),0),"3차")</f>
        <v>0</v>
      </c>
      <c r="N241" s="8">
        <v>0</v>
      </c>
      <c r="O241" s="8">
        <v>3</v>
      </c>
      <c r="P241" s="8">
        <v>3</v>
      </c>
      <c r="Q241" s="8">
        <v>1</v>
      </c>
      <c r="R241" s="8">
        <v>1</v>
      </c>
    </row>
    <row r="242" ht="16" customHeight="1">
      <c r="A242" s="8">
        <v>241</v>
      </c>
      <c r="B242" s="8">
        <v>10</v>
      </c>
      <c r="C242" t="s" s="9">
        <v>724</v>
      </c>
      <c r="D242" t="s" s="9">
        <v>725</v>
      </c>
      <c r="E242" t="s" s="9">
        <v>753</v>
      </c>
      <c r="F242" t="s" s="9">
        <v>754</v>
      </c>
      <c r="G242" t="s" s="9">
        <v>755</v>
      </c>
      <c r="H242" s="8" cm="1">
        <f t="array" ref="H242">MIN(SUMIF('외운 것'!A2:A271,A242,'외운 것'!D2:D271)+IF(R242=0,3,IF(R242=1,2,0)),3)</f>
        <v>3</v>
      </c>
      <c r="I242" s="8" cm="1">
        <f t="array" ref="I242">_xlfn.COUNTIFS('외운 것'!A2:A271,A242,'외운 것'!D2:D271,0)</f>
        <v>0</v>
      </c>
      <c r="J242" t="str" s="10" cm="1">
        <f t="array" ref="J242">IF(R242&lt;&gt;0,IF(H242&gt;=3,_xlfn.XLOOKUP(A242,'외운 것'!A2:A271,'외운 것'!C2:C271,0,1),0),"3차")</f>
        <v>3차</v>
      </c>
      <c r="K242" s="8" cm="1">
        <f t="array" ref="K242">IF(P242&lt;&gt;0,IF(N242&gt;=3,_xlfn.XLOOKUP(A242,'외운 것'!A2:A271,'외운 것'!C2:C271,0,1),0),"1차")</f>
        <v>0</v>
      </c>
      <c r="L242" t="str" s="11" cm="1">
        <f t="array" ref="L242">IF(Q242&lt;&gt;0,IF(N242&gt;=3,_xlfn.XLOOKUP(A242,'외운 것'!A2:A271,'외운 것'!C2:C271,0,1),0),"2차")</f>
        <v>2차</v>
      </c>
      <c r="M242" t="str" s="11" cm="1">
        <f t="array" ref="M242">IF(R242&lt;&gt;0,IF(O242&gt;=3,_xlfn.XLOOKUP(B242,'외운 것'!B2:B271,'외운 것'!D2:D271,0,1),0),"3차")</f>
        <v>3차</v>
      </c>
      <c r="N242" s="8">
        <v>0</v>
      </c>
      <c r="O242" s="8">
        <v>3</v>
      </c>
      <c r="P242" s="8">
        <v>2</v>
      </c>
      <c r="Q242" s="8">
        <v>0</v>
      </c>
      <c r="R242" s="8">
        <v>0</v>
      </c>
    </row>
    <row r="243" ht="16" customHeight="1">
      <c r="A243" s="8">
        <v>242</v>
      </c>
      <c r="B243" s="8">
        <v>11</v>
      </c>
      <c r="C243" t="s" s="9">
        <v>724</v>
      </c>
      <c r="D243" t="s" s="9">
        <v>725</v>
      </c>
      <c r="E243" t="s" s="9">
        <v>756</v>
      </c>
      <c r="F243" t="s" s="9">
        <v>757</v>
      </c>
      <c r="G243" t="s" s="9">
        <v>758</v>
      </c>
      <c r="H243" s="8" cm="1">
        <f t="array" ref="H243">MIN(SUMIF('외운 것'!A2:A271,A243,'외운 것'!D2:D271)+IF(R243=0,3,IF(R243=1,2,0)),3)</f>
        <v>3</v>
      </c>
      <c r="I243" s="8" cm="1">
        <f t="array" ref="I243">_xlfn.COUNTIFS('외운 것'!A2:A271,A243,'외운 것'!D2:D271,0)</f>
        <v>0</v>
      </c>
      <c r="J243" t="str" s="10" cm="1">
        <f t="array" ref="J243">IF(R243&lt;&gt;0,IF(H243&gt;=3,_xlfn.XLOOKUP(A243,'외운 것'!A2:A271,'외운 것'!C2:C271,0,1),0),"3차")</f>
        <v>3차</v>
      </c>
      <c r="K243" s="8" cm="1">
        <f t="array" ref="K243">IF(P243&lt;&gt;0,IF(N243&gt;=3,_xlfn.XLOOKUP(A243,'외운 것'!A2:A271,'외운 것'!C2:C271,0,1),0),"1차")</f>
        <v>0</v>
      </c>
      <c r="L243" s="8" cm="1">
        <f t="array" ref="L243">IF(Q243&lt;&gt;0,IF(N243&gt;=3,_xlfn.XLOOKUP(A243,'외운 것'!A2:A271,'외운 것'!C2:C271,0,1),0),"2차")</f>
        <v>0</v>
      </c>
      <c r="M243" t="str" s="11" cm="1">
        <f t="array" ref="M243">IF(R243&lt;&gt;0,IF(O243&gt;=3,_xlfn.XLOOKUP(B243,'외운 것'!B2:B271,'외운 것'!D2:D271,0,1),0),"3차")</f>
        <v>3차</v>
      </c>
      <c r="N243" s="8">
        <v>0</v>
      </c>
      <c r="O243" s="8">
        <v>3</v>
      </c>
      <c r="P243" s="8">
        <v>5</v>
      </c>
      <c r="Q243" s="8">
        <v>1</v>
      </c>
      <c r="R243" s="8">
        <v>0</v>
      </c>
    </row>
    <row r="244" ht="16" customHeight="1">
      <c r="A244" s="8">
        <v>243</v>
      </c>
      <c r="B244" s="8">
        <v>12</v>
      </c>
      <c r="C244" t="s" s="9">
        <v>724</v>
      </c>
      <c r="D244" t="s" s="9">
        <v>725</v>
      </c>
      <c r="E244" t="s" s="9">
        <v>759</v>
      </c>
      <c r="F244" t="s" s="9">
        <v>760</v>
      </c>
      <c r="G244" t="s" s="9">
        <v>761</v>
      </c>
      <c r="H244" s="8" cm="1">
        <f t="array" ref="H244">MIN(SUMIF('외운 것'!A2:A271,A244,'외운 것'!D2:D271)+IF(R244=0,3,IF(R244=1,2,0)),3)</f>
        <v>3</v>
      </c>
      <c r="I244" s="8" cm="1">
        <f t="array" ref="I244">_xlfn.COUNTIFS('외운 것'!A2:A271,A244,'외운 것'!D2:D271,0)</f>
        <v>0</v>
      </c>
      <c r="J244" t="str" s="10" cm="1">
        <f t="array" ref="J244">IF(R244&lt;&gt;0,IF(H244&gt;=3,_xlfn.XLOOKUP(A244,'외운 것'!A2:A271,'외운 것'!C2:C271,0,1),0),"3차")</f>
        <v>3차</v>
      </c>
      <c r="K244" t="str" s="11" cm="1">
        <f t="array" ref="K244">IF(P244&lt;&gt;0,IF(N244&gt;=3,_xlfn.XLOOKUP(A244,'외운 것'!A2:A271,'외운 것'!C2:C271,0,1),0),"1차")</f>
        <v>1차</v>
      </c>
      <c r="L244" t="str" s="11" cm="1">
        <f t="array" ref="L244">IF(Q244&lt;&gt;0,IF(N244&gt;=3,_xlfn.XLOOKUP(A244,'외운 것'!A2:A271,'외운 것'!C2:C271,0,1),0),"2차")</f>
        <v>2차</v>
      </c>
      <c r="M244" t="str" s="11" cm="1">
        <f t="array" ref="M244">IF(R244&lt;&gt;0,IF(O244&gt;=3,_xlfn.XLOOKUP(B244,'외운 것'!B2:B271,'외운 것'!D2:D271,0,1),0),"3차")</f>
        <v>3차</v>
      </c>
      <c r="N244" s="8">
        <v>3</v>
      </c>
      <c r="O244" s="8">
        <v>3</v>
      </c>
      <c r="P244" s="8">
        <v>0</v>
      </c>
      <c r="Q244" s="8">
        <v>0</v>
      </c>
      <c r="R244" s="8">
        <v>0</v>
      </c>
    </row>
    <row r="245" ht="16" customHeight="1">
      <c r="A245" s="8">
        <v>244</v>
      </c>
      <c r="B245" s="8">
        <v>13</v>
      </c>
      <c r="C245" t="s" s="9">
        <v>724</v>
      </c>
      <c r="D245" t="s" s="9">
        <v>725</v>
      </c>
      <c r="E245" t="s" s="9">
        <v>762</v>
      </c>
      <c r="F245" t="s" s="9">
        <v>763</v>
      </c>
      <c r="G245" t="s" s="9">
        <v>764</v>
      </c>
      <c r="H245" s="8" cm="1">
        <f t="array" ref="H245">MIN(SUMIF('외운 것'!A2:A271,A245,'외운 것'!D2:D271)+IF(R245=0,3,IF(R245=1,2,0)),3)</f>
        <v>3</v>
      </c>
      <c r="I245" s="8" cm="1">
        <f t="array" ref="I245">_xlfn.COUNTIFS('외운 것'!A2:A271,A245,'외운 것'!D2:D271,0)</f>
        <v>0</v>
      </c>
      <c r="J245" t="str" s="10" cm="1">
        <f t="array" ref="J245">IF(R245&lt;&gt;0,IF(H245&gt;=3,_xlfn.XLOOKUP(A245,'외운 것'!A2:A271,'외운 것'!C2:C271,0,1),0),"3차")</f>
        <v>2026-04-29</v>
      </c>
      <c r="K245" s="8" cm="1">
        <f t="array" ref="K245">IF(P245&lt;&gt;0,IF(N245&gt;=3,_xlfn.XLOOKUP(A245,'외운 것'!A2:A271,'외운 것'!C2:C271,0,1),0),"1차")</f>
        <v>0</v>
      </c>
      <c r="L245" s="8" cm="1">
        <f t="array" ref="L245">IF(Q245&lt;&gt;0,IF(N245&gt;=3,_xlfn.XLOOKUP(A245,'외운 것'!A2:A271,'외운 것'!C2:C271,0,1),0),"2차")</f>
        <v>0</v>
      </c>
      <c r="M245" s="8" cm="1">
        <f t="array" ref="M245">IF(R245&lt;&gt;0,IF(O245&gt;=3,_xlfn.XLOOKUP(B245,'외운 것'!B2:B271,'외운 것'!D2:D271,0,1),0),"3차")</f>
        <v>0</v>
      </c>
      <c r="N245" s="8">
        <v>0</v>
      </c>
      <c r="O245" s="8">
        <v>3</v>
      </c>
      <c r="P245" s="8">
        <v>2</v>
      </c>
      <c r="Q245" s="8">
        <v>1</v>
      </c>
      <c r="R245" s="8">
        <v>1</v>
      </c>
    </row>
    <row r="246" ht="16" customHeight="1">
      <c r="A246" s="8">
        <v>245</v>
      </c>
      <c r="B246" s="8">
        <v>14</v>
      </c>
      <c r="C246" t="s" s="9">
        <v>724</v>
      </c>
      <c r="D246" t="s" s="9">
        <v>725</v>
      </c>
      <c r="E246" t="s" s="9">
        <v>765</v>
      </c>
      <c r="F246" t="s" s="9">
        <v>766</v>
      </c>
      <c r="G246" t="s" s="9">
        <v>767</v>
      </c>
      <c r="H246" s="8" cm="1">
        <f t="array" ref="H246">MIN(SUMIF('외운 것'!A2:A271,A246,'외운 것'!D2:D271)+IF(R246=0,3,IF(R246=1,2,0)),3)</f>
        <v>3</v>
      </c>
      <c r="I246" s="8" cm="1">
        <f t="array" ref="I246">_xlfn.COUNTIFS('외운 것'!A2:A271,A246,'외운 것'!D2:D271,0)</f>
        <v>0</v>
      </c>
      <c r="J246" t="str" s="10" cm="1">
        <f t="array" ref="J246">IF(R246&lt;&gt;0,IF(H246&gt;=3,_xlfn.XLOOKUP(A246,'외운 것'!A2:A271,'외운 것'!C2:C271,0,1),0),"3차")</f>
        <v>3차</v>
      </c>
      <c r="K246" t="str" s="11" cm="1">
        <f t="array" ref="K246">IF(P246&lt;&gt;0,IF(N246&gt;=3,_xlfn.XLOOKUP(A246,'외운 것'!A2:A271,'외운 것'!C2:C271,0,1),0),"1차")</f>
        <v>1차</v>
      </c>
      <c r="L246" t="str" s="11" cm="1">
        <f t="array" ref="L246">IF(Q246&lt;&gt;0,IF(N246&gt;=3,_xlfn.XLOOKUP(A246,'외운 것'!A2:A271,'외운 것'!C2:C271,0,1),0),"2차")</f>
        <v>2차</v>
      </c>
      <c r="M246" t="str" s="11" cm="1">
        <f t="array" ref="M246">IF(R246&lt;&gt;0,IF(O246&gt;=3,_xlfn.XLOOKUP(B246,'외운 것'!B2:B271,'외운 것'!D2:D271,0,1),0),"3차")</f>
        <v>3차</v>
      </c>
      <c r="N246" s="8">
        <v>3</v>
      </c>
      <c r="O246" s="8">
        <v>3</v>
      </c>
      <c r="P246" s="8">
        <v>0</v>
      </c>
      <c r="Q246" s="8">
        <v>0</v>
      </c>
      <c r="R246" s="8">
        <v>0</v>
      </c>
    </row>
    <row r="247" ht="16" customHeight="1">
      <c r="A247" s="8">
        <v>246</v>
      </c>
      <c r="B247" s="8">
        <v>15</v>
      </c>
      <c r="C247" t="s" s="9">
        <v>724</v>
      </c>
      <c r="D247" t="s" s="9">
        <v>725</v>
      </c>
      <c r="E247" t="s" s="9">
        <v>768</v>
      </c>
      <c r="F247" t="s" s="9">
        <v>769</v>
      </c>
      <c r="G247" t="s" s="9">
        <v>770</v>
      </c>
      <c r="H247" s="8" cm="1">
        <f t="array" ref="H247">MIN(SUMIF('외운 것'!A2:A271,A247,'외운 것'!D2:D271)+IF(R247=0,3,IF(R247=1,2,0)),3)</f>
        <v>3</v>
      </c>
      <c r="I247" s="8" cm="1">
        <f t="array" ref="I247">_xlfn.COUNTIFS('외운 것'!A2:A271,A247,'외운 것'!D2:D271,0)</f>
        <v>0</v>
      </c>
      <c r="J247" t="str" s="10" cm="1">
        <f t="array" ref="J247">IF(R247&lt;&gt;0,IF(H247&gt;=3,_xlfn.XLOOKUP(A247,'외운 것'!A2:A271,'외운 것'!C2:C271,0,1),0),"3차")</f>
        <v>3차</v>
      </c>
      <c r="K247" s="8" cm="1">
        <f t="array" ref="K247">IF(P247&lt;&gt;0,IF(N247&gt;=3,_xlfn.XLOOKUP(A247,'외운 것'!A2:A271,'외운 것'!C2:C271,0,1),0),"1차")</f>
        <v>0</v>
      </c>
      <c r="L247" s="8" cm="1">
        <f t="array" ref="L247">IF(Q247&lt;&gt;0,IF(N247&gt;=3,_xlfn.XLOOKUP(A247,'외운 것'!A2:A271,'외운 것'!C2:C271,0,1),0),"2차")</f>
        <v>0</v>
      </c>
      <c r="M247" t="str" s="11" cm="1">
        <f t="array" ref="M247">IF(R247&lt;&gt;0,IF(O247&gt;=3,_xlfn.XLOOKUP(B247,'외운 것'!B2:B271,'외운 것'!D2:D271,0,1),0),"3차")</f>
        <v>3차</v>
      </c>
      <c r="N247" s="8">
        <v>0</v>
      </c>
      <c r="O247" s="8">
        <v>3</v>
      </c>
      <c r="P247" s="8">
        <v>2</v>
      </c>
      <c r="Q247" s="8">
        <v>1</v>
      </c>
      <c r="R247" s="8">
        <v>0</v>
      </c>
    </row>
    <row r="248" ht="16" customHeight="1">
      <c r="A248" s="8">
        <v>247</v>
      </c>
      <c r="B248" s="8">
        <v>16</v>
      </c>
      <c r="C248" t="s" s="9">
        <v>724</v>
      </c>
      <c r="D248" t="s" s="9">
        <v>725</v>
      </c>
      <c r="E248" t="s" s="9">
        <v>771</v>
      </c>
      <c r="F248" t="s" s="9">
        <v>772</v>
      </c>
      <c r="G248" t="s" s="9">
        <v>773</v>
      </c>
      <c r="H248" s="8" cm="1">
        <f t="array" ref="H248">MIN(SUMIF('외운 것'!A2:A271,A248,'외운 것'!D2:D271)+IF(R248=0,3,IF(R248=1,2,0)),3)</f>
        <v>3</v>
      </c>
      <c r="I248" s="8" cm="1">
        <f t="array" ref="I248">_xlfn.COUNTIFS('외운 것'!A2:A271,A248,'외운 것'!D2:D271,0)</f>
        <v>0</v>
      </c>
      <c r="J248" t="str" s="10" cm="1">
        <f t="array" ref="J248">IF(R248&lt;&gt;0,IF(H248&gt;=3,_xlfn.XLOOKUP(A248,'외운 것'!A2:A271,'외운 것'!C2:C271,0,1),0),"3차")</f>
        <v>3차</v>
      </c>
      <c r="K248" s="8" cm="1">
        <f t="array" ref="K248">IF(P248&lt;&gt;0,IF(N248&gt;=3,_xlfn.XLOOKUP(A248,'외운 것'!A2:A271,'외운 것'!C2:C271,0,1),0),"1차")</f>
        <v>0</v>
      </c>
      <c r="L248" s="8" cm="1">
        <f t="array" ref="L248">IF(Q248&lt;&gt;0,IF(N248&gt;=3,_xlfn.XLOOKUP(A248,'외운 것'!A2:A271,'외운 것'!C2:C271,0,1),0),"2차")</f>
        <v>0</v>
      </c>
      <c r="M248" t="str" s="11" cm="1">
        <f t="array" ref="M248">IF(R248&lt;&gt;0,IF(O248&gt;=3,_xlfn.XLOOKUP(B248,'외운 것'!B2:B271,'외운 것'!D2:D271,0,1),0),"3차")</f>
        <v>3차</v>
      </c>
      <c r="N248" s="8">
        <v>2</v>
      </c>
      <c r="O248" s="8">
        <v>3</v>
      </c>
      <c r="P248" s="8">
        <v>1</v>
      </c>
      <c r="Q248" s="8">
        <v>1</v>
      </c>
      <c r="R248" s="8">
        <v>0</v>
      </c>
    </row>
    <row r="249" ht="16" customHeight="1">
      <c r="A249" s="8">
        <v>248</v>
      </c>
      <c r="B249" s="8">
        <v>17</v>
      </c>
      <c r="C249" t="s" s="9">
        <v>774</v>
      </c>
      <c r="D249" t="s" s="9">
        <v>725</v>
      </c>
      <c r="E249" t="s" s="9">
        <v>775</v>
      </c>
      <c r="F249" t="s" s="9">
        <v>776</v>
      </c>
      <c r="G249" t="s" s="9">
        <v>777</v>
      </c>
      <c r="H249" s="8" cm="1">
        <f t="array" ref="H249">MIN(SUMIF('외운 것'!A2:A271,A249,'외운 것'!D2:D271)+IF(R249=0,3,IF(R249=1,2,0)),3)</f>
        <v>3</v>
      </c>
      <c r="I249" s="8" cm="1">
        <f t="array" ref="I249">_xlfn.COUNTIFS('외운 것'!A2:A271,A249,'외운 것'!D2:D271,0)</f>
        <v>0</v>
      </c>
      <c r="J249" t="str" s="10" cm="1">
        <f t="array" ref="J249">IF(R249&lt;&gt;0,IF(H249&gt;=3,_xlfn.XLOOKUP(A249,'외운 것'!A2:A271,'외운 것'!C2:C271,0,1),0),"3차")</f>
        <v>2026-04-29</v>
      </c>
      <c r="K249" s="8" cm="1">
        <f t="array" ref="K249">IF(P249&lt;&gt;0,IF(N249&gt;=3,_xlfn.XLOOKUP(A249,'외운 것'!A2:A271,'외운 것'!C2:C271,0,1),0),"1차")</f>
        <v>0</v>
      </c>
      <c r="L249" s="8" cm="1">
        <f t="array" ref="L249">IF(Q249&lt;&gt;0,IF(N249&gt;=3,_xlfn.XLOOKUP(A249,'외운 것'!A2:A271,'외운 것'!C2:C271,0,1),0),"2차")</f>
        <v>0</v>
      </c>
      <c r="M249" s="8" cm="1">
        <f t="array" ref="M249">IF(R249&lt;&gt;0,IF(O249&gt;=3,_xlfn.XLOOKUP(B249,'외운 것'!B2:B271,'외운 것'!D2:D271,0,1),0),"3차")</f>
        <v>0</v>
      </c>
      <c r="N249" s="8">
        <v>2</v>
      </c>
      <c r="O249" s="8">
        <v>3</v>
      </c>
      <c r="P249" s="8">
        <v>1</v>
      </c>
      <c r="Q249" s="8">
        <v>1</v>
      </c>
      <c r="R249" s="8">
        <v>1</v>
      </c>
    </row>
    <row r="250" ht="16" customHeight="1">
      <c r="A250" s="8">
        <v>249</v>
      </c>
      <c r="B250" s="8">
        <v>18</v>
      </c>
      <c r="C250" t="s" s="9">
        <v>774</v>
      </c>
      <c r="D250" t="s" s="9">
        <v>725</v>
      </c>
      <c r="E250" t="s" s="9">
        <v>778</v>
      </c>
      <c r="F250" t="s" s="9">
        <v>779</v>
      </c>
      <c r="G250" t="s" s="9">
        <v>780</v>
      </c>
      <c r="H250" s="8" cm="1">
        <f t="array" ref="H250">MIN(SUMIF('외운 것'!A2:A271,A250,'외운 것'!D2:D271)+IF(R250=0,3,IF(R250=1,2,0)),3)</f>
        <v>3</v>
      </c>
      <c r="I250" s="8" cm="1">
        <f t="array" ref="I250">_xlfn.COUNTIFS('외운 것'!A2:A271,A250,'외운 것'!D2:D271,0)</f>
        <v>0</v>
      </c>
      <c r="J250" t="str" s="10" cm="1">
        <f t="array" ref="J250">IF(R250&lt;&gt;0,IF(H250&gt;=3,_xlfn.XLOOKUP(A250,'외운 것'!A2:A271,'외운 것'!C2:C271,0,1),0),"3차")</f>
        <v>3차</v>
      </c>
      <c r="K250" t="str" s="11" cm="1">
        <f t="array" ref="K250">IF(P250&lt;&gt;0,IF(N250&gt;=3,_xlfn.XLOOKUP(A250,'외운 것'!A2:A271,'외운 것'!C2:C271,0,1),0),"1차")</f>
        <v>1차</v>
      </c>
      <c r="L250" t="str" s="11" cm="1">
        <f t="array" ref="L250">IF(Q250&lt;&gt;0,IF(N250&gt;=3,_xlfn.XLOOKUP(A250,'외운 것'!A2:A271,'외운 것'!C2:C271,0,1),0),"2차")</f>
        <v>2차</v>
      </c>
      <c r="M250" t="str" s="11" cm="1">
        <f t="array" ref="M250">IF(R250&lt;&gt;0,IF(O250&gt;=3,_xlfn.XLOOKUP(B250,'외운 것'!B2:B271,'외운 것'!D2:D271,0,1),0),"3차")</f>
        <v>3차</v>
      </c>
      <c r="N250" s="8">
        <v>3</v>
      </c>
      <c r="O250" s="8">
        <v>3</v>
      </c>
      <c r="P250" s="8">
        <v>0</v>
      </c>
      <c r="Q250" s="8">
        <v>0</v>
      </c>
      <c r="R250" s="8">
        <v>0</v>
      </c>
    </row>
    <row r="251" ht="16" customHeight="1">
      <c r="A251" s="8">
        <v>250</v>
      </c>
      <c r="B251" s="8">
        <v>19</v>
      </c>
      <c r="C251" t="s" s="9">
        <v>774</v>
      </c>
      <c r="D251" t="s" s="9">
        <v>725</v>
      </c>
      <c r="E251" t="s" s="9">
        <v>781</v>
      </c>
      <c r="F251" t="s" s="9">
        <v>782</v>
      </c>
      <c r="G251" t="s" s="9">
        <v>783</v>
      </c>
      <c r="H251" s="8" cm="1">
        <f t="array" ref="H251">MIN(SUMIF('외운 것'!A2:A271,A251,'외운 것'!D2:D271)+IF(R251=0,3,IF(R251=1,2,0)),3)</f>
        <v>3</v>
      </c>
      <c r="I251" s="8" cm="1">
        <f t="array" ref="I251">_xlfn.COUNTIFS('외운 것'!A2:A271,A251,'외운 것'!D2:D271,0)</f>
        <v>0</v>
      </c>
      <c r="J251" t="str" s="10" cm="1">
        <f t="array" ref="J251">IF(R251&lt;&gt;0,IF(H251&gt;=3,_xlfn.XLOOKUP(A251,'외운 것'!A2:A271,'외운 것'!C2:C271,0,1),0),"3차")</f>
        <v>2026-04-29</v>
      </c>
      <c r="K251" s="8" cm="1">
        <f t="array" ref="K251">IF(P251&lt;&gt;0,IF(N251&gt;=3,_xlfn.XLOOKUP(A251,'외운 것'!A2:A271,'외운 것'!C2:C271,0,1),0),"1차")</f>
        <v>0</v>
      </c>
      <c r="L251" s="8" cm="1">
        <f t="array" ref="L251">IF(Q251&lt;&gt;0,IF(N251&gt;=3,_xlfn.XLOOKUP(A251,'외운 것'!A2:A271,'외운 것'!C2:C271,0,1),0),"2차")</f>
        <v>0</v>
      </c>
      <c r="M251" s="8" cm="1">
        <f t="array" ref="M251">IF(R251&lt;&gt;0,IF(O251&gt;=3,_xlfn.XLOOKUP(B251,'외운 것'!B2:B271,'외운 것'!D2:D271,0,1),0),"3차")</f>
        <v>0</v>
      </c>
      <c r="N251" s="8">
        <v>0</v>
      </c>
      <c r="O251" s="8">
        <v>3</v>
      </c>
      <c r="P251" s="8">
        <v>2</v>
      </c>
      <c r="Q251" s="8">
        <v>1</v>
      </c>
      <c r="R251" s="8">
        <v>1</v>
      </c>
    </row>
    <row r="252" ht="16" customHeight="1">
      <c r="A252" s="8">
        <v>251</v>
      </c>
      <c r="B252" s="8">
        <v>20</v>
      </c>
      <c r="C252" t="s" s="9">
        <v>774</v>
      </c>
      <c r="D252" t="s" s="9">
        <v>725</v>
      </c>
      <c r="E252" t="s" s="9">
        <v>784</v>
      </c>
      <c r="F252" t="s" s="9">
        <v>785</v>
      </c>
      <c r="G252" t="s" s="9">
        <v>786</v>
      </c>
      <c r="H252" s="8" cm="1">
        <f t="array" ref="H252">MIN(SUMIF('외운 것'!A2:A271,A252,'외운 것'!D2:D271)+IF(R252=0,3,IF(R252=1,2,0)),3)</f>
        <v>3</v>
      </c>
      <c r="I252" s="8" cm="1">
        <f t="array" ref="I252">_xlfn.COUNTIFS('외운 것'!A2:A271,A252,'외운 것'!D2:D271,0)</f>
        <v>0</v>
      </c>
      <c r="J252" t="str" s="10" cm="1">
        <f t="array" ref="J252">IF(R252&lt;&gt;0,IF(H252&gt;=3,_xlfn.XLOOKUP(A252,'외운 것'!A2:A271,'외운 것'!C2:C271,0,1),0),"3차")</f>
        <v>3차</v>
      </c>
      <c r="K252" t="str" s="11" cm="1">
        <f t="array" ref="K252">IF(P252&lt;&gt;0,IF(N252&gt;=3,_xlfn.XLOOKUP(A252,'외운 것'!A2:A271,'외운 것'!C2:C271,0,1),0),"1차")</f>
        <v>1차</v>
      </c>
      <c r="L252" t="str" s="11" cm="1">
        <f t="array" ref="L252">IF(Q252&lt;&gt;0,IF(N252&gt;=3,_xlfn.XLOOKUP(A252,'외운 것'!A2:A271,'외운 것'!C2:C271,0,1),0),"2차")</f>
        <v>2차</v>
      </c>
      <c r="M252" t="str" s="11" cm="1">
        <f t="array" ref="M252">IF(R252&lt;&gt;0,IF(O252&gt;=3,_xlfn.XLOOKUP(B252,'외운 것'!B2:B271,'외운 것'!D2:D271,0,1),0),"3차")</f>
        <v>3차</v>
      </c>
      <c r="N252" s="8">
        <v>3</v>
      </c>
      <c r="O252" s="8">
        <v>3</v>
      </c>
      <c r="P252" s="8">
        <v>0</v>
      </c>
      <c r="Q252" s="8">
        <v>0</v>
      </c>
      <c r="R252" s="8">
        <v>0</v>
      </c>
    </row>
    <row r="253" ht="16" customHeight="1">
      <c r="A253" s="8">
        <v>252</v>
      </c>
      <c r="B253" s="8">
        <v>21</v>
      </c>
      <c r="C253" t="s" s="9">
        <v>774</v>
      </c>
      <c r="D253" t="s" s="9">
        <v>725</v>
      </c>
      <c r="E253" t="s" s="9">
        <v>787</v>
      </c>
      <c r="F253" t="s" s="9">
        <v>788</v>
      </c>
      <c r="G253" t="s" s="9">
        <v>789</v>
      </c>
      <c r="H253" s="8" cm="1">
        <f t="array" ref="H253">MIN(SUMIF('외운 것'!A2:A271,A253,'외운 것'!D2:D271)+IF(R253=0,3,IF(R253=1,2,0)),3)</f>
        <v>3</v>
      </c>
      <c r="I253" s="8" cm="1">
        <f t="array" ref="I253">_xlfn.COUNTIFS('외운 것'!A2:A271,A253,'외운 것'!D2:D271,0)</f>
        <v>0</v>
      </c>
      <c r="J253" t="str" s="10" cm="1">
        <f t="array" ref="J253">IF(R253&lt;&gt;0,IF(H253&gt;=3,_xlfn.XLOOKUP(A253,'외운 것'!A2:A271,'외운 것'!C2:C271,0,1),0),"3차")</f>
        <v>3차</v>
      </c>
      <c r="K253" t="str" s="11" cm="1">
        <f t="array" ref="K253">IF(P253&lt;&gt;0,IF(N253&gt;=3,_xlfn.XLOOKUP(A253,'외운 것'!A2:A271,'외운 것'!C2:C271,0,1),0),"1차")</f>
        <v>1차</v>
      </c>
      <c r="L253" t="str" s="11" cm="1">
        <f t="array" ref="L253">IF(Q253&lt;&gt;0,IF(N253&gt;=3,_xlfn.XLOOKUP(A253,'외운 것'!A2:A271,'외운 것'!C2:C271,0,1),0),"2차")</f>
        <v>2차</v>
      </c>
      <c r="M253" t="str" s="11" cm="1">
        <f t="array" ref="M253">IF(R253&lt;&gt;0,IF(O253&gt;=3,_xlfn.XLOOKUP(B253,'외운 것'!B2:B271,'외운 것'!D2:D271,0,1),0),"3차")</f>
        <v>3차</v>
      </c>
      <c r="N253" s="8">
        <v>3</v>
      </c>
      <c r="O253" s="8">
        <v>3</v>
      </c>
      <c r="P253" s="8">
        <v>0</v>
      </c>
      <c r="Q253" s="8">
        <v>0</v>
      </c>
      <c r="R253" s="8">
        <v>0</v>
      </c>
    </row>
    <row r="254" ht="16" customHeight="1">
      <c r="A254" s="8">
        <v>253</v>
      </c>
      <c r="B254" s="8">
        <v>22</v>
      </c>
      <c r="C254" t="s" s="9">
        <v>774</v>
      </c>
      <c r="D254" t="s" s="9">
        <v>725</v>
      </c>
      <c r="E254" t="s" s="9">
        <v>790</v>
      </c>
      <c r="F254" t="s" s="9">
        <v>791</v>
      </c>
      <c r="G254" t="s" s="9">
        <v>792</v>
      </c>
      <c r="H254" s="8" cm="1">
        <f t="array" ref="H254">MIN(SUMIF('외운 것'!A2:A271,A254,'외운 것'!D2:D271)+IF(R254=0,3,IF(R254=1,2,0)),3)</f>
        <v>3</v>
      </c>
      <c r="I254" s="8" cm="1">
        <f t="array" ref="I254">_xlfn.COUNTIFS('외운 것'!A2:A271,A254,'외운 것'!D2:D271,0)</f>
        <v>0</v>
      </c>
      <c r="J254" t="str" s="10" cm="1">
        <f t="array" ref="J254">IF(R254&lt;&gt;0,IF(H254&gt;=3,_xlfn.XLOOKUP(A254,'외운 것'!A2:A271,'외운 것'!C2:C271,0,1),0),"3차")</f>
        <v>3차</v>
      </c>
      <c r="K254" t="str" s="11" cm="1">
        <f t="array" ref="K254">IF(P254&lt;&gt;0,IF(N254&gt;=3,_xlfn.XLOOKUP(A254,'외운 것'!A2:A271,'외운 것'!C2:C271,0,1),0),"1차")</f>
        <v>1차</v>
      </c>
      <c r="L254" t="str" s="11" cm="1">
        <f t="array" ref="L254">IF(Q254&lt;&gt;0,IF(N254&gt;=3,_xlfn.XLOOKUP(A254,'외운 것'!A2:A271,'외운 것'!C2:C271,0,1),0),"2차")</f>
        <v>2차</v>
      </c>
      <c r="M254" t="str" s="11" cm="1">
        <f t="array" ref="M254">IF(R254&lt;&gt;0,IF(O254&gt;=3,_xlfn.XLOOKUP(B254,'외운 것'!B2:B271,'외운 것'!D2:D271,0,1),0),"3차")</f>
        <v>3차</v>
      </c>
      <c r="N254" s="8">
        <v>3</v>
      </c>
      <c r="O254" s="8">
        <v>3</v>
      </c>
      <c r="P254" s="8">
        <v>0</v>
      </c>
      <c r="Q254" s="8">
        <v>0</v>
      </c>
      <c r="R254" s="8">
        <v>0</v>
      </c>
    </row>
    <row r="255" ht="16" customHeight="1">
      <c r="A255" s="8">
        <v>254</v>
      </c>
      <c r="B255" s="8">
        <v>23</v>
      </c>
      <c r="C255" t="s" s="9">
        <v>774</v>
      </c>
      <c r="D255" t="s" s="9">
        <v>725</v>
      </c>
      <c r="E255" t="s" s="9">
        <v>793</v>
      </c>
      <c r="F255" t="s" s="9">
        <v>794</v>
      </c>
      <c r="G255" t="s" s="9">
        <v>795</v>
      </c>
      <c r="H255" s="8" cm="1">
        <f t="array" ref="H255">MIN(SUMIF('외운 것'!A2:A271,A255,'외운 것'!D2:D271)+IF(R255=0,3,IF(R255=1,2,0)),3)</f>
        <v>3</v>
      </c>
      <c r="I255" s="8" cm="1">
        <f t="array" ref="I255">_xlfn.COUNTIFS('외운 것'!A2:A271,A255,'외운 것'!D2:D271,0)</f>
        <v>0</v>
      </c>
      <c r="J255" t="str" s="10" cm="1">
        <f t="array" ref="J255">IF(R255&lt;&gt;0,IF(H255&gt;=3,_xlfn.XLOOKUP(A255,'외운 것'!A2:A271,'외운 것'!C2:C271,0,1),0),"3차")</f>
        <v>2026-04-29</v>
      </c>
      <c r="K255" s="8" cm="1">
        <f t="array" ref="K255">IF(P255&lt;&gt;0,IF(N255&gt;=3,_xlfn.XLOOKUP(A255,'외운 것'!A2:A271,'외운 것'!C2:C271,0,1),0),"1차")</f>
        <v>0</v>
      </c>
      <c r="L255" s="8" cm="1">
        <f t="array" ref="L255">IF(Q255&lt;&gt;0,IF(N255&gt;=3,_xlfn.XLOOKUP(A255,'외운 것'!A2:A271,'외운 것'!C2:C271,0,1),0),"2차")</f>
        <v>0</v>
      </c>
      <c r="M255" s="8" cm="1">
        <f t="array" ref="M255">IF(R255&lt;&gt;0,IF(O255&gt;=3,_xlfn.XLOOKUP(B255,'외운 것'!B2:B271,'외운 것'!D2:D271,0,1),0),"3차")</f>
        <v>0</v>
      </c>
      <c r="N255" s="8">
        <v>2</v>
      </c>
      <c r="O255" s="8">
        <v>3</v>
      </c>
      <c r="P255" s="8">
        <v>1</v>
      </c>
      <c r="Q255" s="8">
        <v>1</v>
      </c>
      <c r="R255" s="8">
        <v>1</v>
      </c>
    </row>
    <row r="256" ht="16" customHeight="1">
      <c r="A256" s="8">
        <v>255</v>
      </c>
      <c r="B256" s="8">
        <v>24</v>
      </c>
      <c r="C256" t="s" s="9">
        <v>774</v>
      </c>
      <c r="D256" t="s" s="9">
        <v>725</v>
      </c>
      <c r="E256" t="s" s="9">
        <v>796</v>
      </c>
      <c r="F256" t="s" s="9">
        <v>797</v>
      </c>
      <c r="G256" t="s" s="9">
        <v>798</v>
      </c>
      <c r="H256" s="8" cm="1">
        <f t="array" ref="H256">MIN(SUMIF('외운 것'!A2:A271,A256,'외운 것'!D2:D271)+IF(R256=0,3,IF(R256=1,2,0)),3)</f>
        <v>3</v>
      </c>
      <c r="I256" s="8" cm="1">
        <f t="array" ref="I256">_xlfn.COUNTIFS('외운 것'!A2:A271,A256,'외운 것'!D2:D271,0)</f>
        <v>0</v>
      </c>
      <c r="J256" t="str" s="10" cm="1">
        <f t="array" ref="J256">IF(R256&lt;&gt;0,IF(H256&gt;=3,_xlfn.XLOOKUP(A256,'외운 것'!A2:A271,'외운 것'!C2:C271,0,1),0),"3차")</f>
        <v>3차</v>
      </c>
      <c r="K256" t="str" s="11" cm="1">
        <f t="array" ref="K256">IF(P256&lt;&gt;0,IF(N256&gt;=3,_xlfn.XLOOKUP(A256,'외운 것'!A2:A271,'외운 것'!C2:C271,0,1),0),"1차")</f>
        <v>1차</v>
      </c>
      <c r="L256" t="str" s="11" cm="1">
        <f t="array" ref="L256">IF(Q256&lt;&gt;0,IF(N256&gt;=3,_xlfn.XLOOKUP(A256,'외운 것'!A2:A271,'외운 것'!C2:C271,0,1),0),"2차")</f>
        <v>2차</v>
      </c>
      <c r="M256" t="str" s="11" cm="1">
        <f t="array" ref="M256">IF(R256&lt;&gt;0,IF(O256&gt;=3,_xlfn.XLOOKUP(B256,'외운 것'!B2:B271,'외운 것'!D2:D271,0,1),0),"3차")</f>
        <v>3차</v>
      </c>
      <c r="N256" s="8">
        <v>3</v>
      </c>
      <c r="O256" s="8">
        <v>3</v>
      </c>
      <c r="P256" s="8">
        <v>0</v>
      </c>
      <c r="Q256" s="8">
        <v>0</v>
      </c>
      <c r="R256" s="8">
        <v>0</v>
      </c>
    </row>
    <row r="257" ht="16" customHeight="1">
      <c r="A257" s="8">
        <v>256</v>
      </c>
      <c r="B257" s="8">
        <v>25</v>
      </c>
      <c r="C257" t="s" s="9">
        <v>774</v>
      </c>
      <c r="D257" t="s" s="9">
        <v>725</v>
      </c>
      <c r="E257" t="s" s="9">
        <v>799</v>
      </c>
      <c r="F257" t="s" s="9">
        <v>800</v>
      </c>
      <c r="G257" t="s" s="9">
        <v>801</v>
      </c>
      <c r="H257" s="8" cm="1">
        <f t="array" ref="H257">MIN(SUMIF('외운 것'!A2:A271,A257,'외운 것'!D2:D271)+IF(R257=0,3,IF(R257=1,2,0)),3)</f>
        <v>3</v>
      </c>
      <c r="I257" s="8" cm="1">
        <f t="array" ref="I257">_xlfn.COUNTIFS('외운 것'!A2:A271,A257,'외운 것'!D2:D271,0)</f>
        <v>0</v>
      </c>
      <c r="J257" t="str" s="10" cm="1">
        <f t="array" ref="J257">IF(R257&lt;&gt;0,IF(H257&gt;=3,_xlfn.XLOOKUP(A257,'외운 것'!A2:A271,'외운 것'!C2:C271,0,1),0),"3차")</f>
        <v>3차</v>
      </c>
      <c r="K257" s="8" cm="1">
        <f t="array" ref="K257">IF(P257&lt;&gt;0,IF(N257&gt;=3,_xlfn.XLOOKUP(A257,'외운 것'!A2:A271,'외운 것'!C2:C271,0,1),0),"1차")</f>
        <v>0</v>
      </c>
      <c r="L257" s="8" cm="1">
        <f t="array" ref="L257">IF(Q257&lt;&gt;0,IF(N257&gt;=3,_xlfn.XLOOKUP(A257,'외운 것'!A2:A271,'외운 것'!C2:C271,0,1),0),"2차")</f>
        <v>0</v>
      </c>
      <c r="M257" t="str" s="11" cm="1">
        <f t="array" ref="M257">IF(R257&lt;&gt;0,IF(O257&gt;=3,_xlfn.XLOOKUP(B257,'외운 것'!B2:B271,'외운 것'!D2:D271,0,1),0),"3차")</f>
        <v>3차</v>
      </c>
      <c r="N257" s="8">
        <v>0</v>
      </c>
      <c r="O257" s="8">
        <v>3</v>
      </c>
      <c r="P257" s="8">
        <v>3</v>
      </c>
      <c r="Q257" s="8">
        <v>1</v>
      </c>
      <c r="R257" s="8">
        <v>0</v>
      </c>
    </row>
    <row r="258" ht="16" customHeight="1">
      <c r="A258" s="8">
        <v>257</v>
      </c>
      <c r="B258" s="8">
        <v>26</v>
      </c>
      <c r="C258" t="s" s="9">
        <v>774</v>
      </c>
      <c r="D258" t="s" s="9">
        <v>725</v>
      </c>
      <c r="E258" t="s" s="9">
        <v>802</v>
      </c>
      <c r="F258" t="s" s="9">
        <v>803</v>
      </c>
      <c r="G258" t="s" s="9">
        <v>804</v>
      </c>
      <c r="H258" s="8" cm="1">
        <f t="array" ref="H258">MIN(SUMIF('외운 것'!A2:A271,A258,'외운 것'!D2:D271)+IF(R258=0,3,IF(R258=1,2,0)),3)</f>
        <v>3</v>
      </c>
      <c r="I258" s="8" cm="1">
        <f t="array" ref="I258">_xlfn.COUNTIFS('외운 것'!A2:A271,A258,'외운 것'!D2:D271,0)</f>
        <v>0</v>
      </c>
      <c r="J258" t="str" s="10" cm="1">
        <f t="array" ref="J258">IF(R258&lt;&gt;0,IF(H258&gt;=3,_xlfn.XLOOKUP(A258,'외운 것'!A2:A271,'외운 것'!C2:C271,0,1),0),"3차")</f>
        <v>3차</v>
      </c>
      <c r="K258" t="str" s="11" cm="1">
        <f t="array" ref="K258">IF(P258&lt;&gt;0,IF(N258&gt;=3,_xlfn.XLOOKUP(A258,'외운 것'!A2:A271,'외운 것'!C2:C271,0,1),0),"1차")</f>
        <v>1차</v>
      </c>
      <c r="L258" t="str" s="11" cm="1">
        <f t="array" ref="L258">IF(Q258&lt;&gt;0,IF(N258&gt;=3,_xlfn.XLOOKUP(A258,'외운 것'!A2:A271,'외운 것'!C2:C271,0,1),0),"2차")</f>
        <v>2차</v>
      </c>
      <c r="M258" t="str" s="11" cm="1">
        <f t="array" ref="M258">IF(R258&lt;&gt;0,IF(O258&gt;=3,_xlfn.XLOOKUP(B258,'외운 것'!B2:B271,'외운 것'!D2:D271,0,1),0),"3차")</f>
        <v>3차</v>
      </c>
      <c r="N258" s="8">
        <v>3</v>
      </c>
      <c r="O258" s="8">
        <v>3</v>
      </c>
      <c r="P258" s="8">
        <v>0</v>
      </c>
      <c r="Q258" s="8">
        <v>0</v>
      </c>
      <c r="R258" s="8">
        <v>0</v>
      </c>
    </row>
    <row r="259" ht="16" customHeight="1">
      <c r="A259" s="8">
        <v>258</v>
      </c>
      <c r="B259" s="8">
        <v>27</v>
      </c>
      <c r="C259" t="s" s="9">
        <v>774</v>
      </c>
      <c r="D259" t="s" s="9">
        <v>725</v>
      </c>
      <c r="E259" t="s" s="9">
        <v>805</v>
      </c>
      <c r="F259" t="s" s="9">
        <v>806</v>
      </c>
      <c r="G259" t="s" s="9">
        <v>807</v>
      </c>
      <c r="H259" s="8" cm="1">
        <f t="array" ref="H259">MIN(SUMIF('외운 것'!A2:A271,A259,'외운 것'!D2:D271)+IF(R259=0,3,IF(R259=1,2,0)),3)</f>
        <v>3</v>
      </c>
      <c r="I259" s="8" cm="1">
        <f t="array" ref="I259">_xlfn.COUNTIFS('외운 것'!A2:A271,A259,'외운 것'!D2:D271,0)</f>
        <v>0</v>
      </c>
      <c r="J259" t="str" s="10" cm="1">
        <f t="array" ref="J259">IF(R259&lt;&gt;0,IF(H259&gt;=3,_xlfn.XLOOKUP(A259,'외운 것'!A2:A271,'외운 것'!C2:C271,0,1),0),"3차")</f>
        <v>3차</v>
      </c>
      <c r="K259" t="str" s="11" cm="1">
        <f t="array" ref="K259">IF(P259&lt;&gt;0,IF(N259&gt;=3,_xlfn.XLOOKUP(A259,'외운 것'!A2:A271,'외운 것'!C2:C271,0,1),0),"1차")</f>
        <v>1차</v>
      </c>
      <c r="L259" t="str" s="11" cm="1">
        <f t="array" ref="L259">IF(Q259&lt;&gt;0,IF(N259&gt;=3,_xlfn.XLOOKUP(A259,'외운 것'!A2:A271,'외운 것'!C2:C271,0,1),0),"2차")</f>
        <v>2차</v>
      </c>
      <c r="M259" t="str" s="11" cm="1">
        <f t="array" ref="M259">IF(R259&lt;&gt;0,IF(O259&gt;=3,_xlfn.XLOOKUP(B259,'외운 것'!B2:B271,'외운 것'!D2:D271,0,1),0),"3차")</f>
        <v>3차</v>
      </c>
      <c r="N259" s="8">
        <v>3</v>
      </c>
      <c r="O259" s="8">
        <v>3</v>
      </c>
      <c r="P259" s="8">
        <v>0</v>
      </c>
      <c r="Q259" s="8">
        <v>0</v>
      </c>
      <c r="R259" s="8">
        <v>0</v>
      </c>
    </row>
    <row r="260" ht="16" customHeight="1">
      <c r="A260" s="8">
        <v>259</v>
      </c>
      <c r="B260" s="8">
        <v>28</v>
      </c>
      <c r="C260" t="s" s="9">
        <v>774</v>
      </c>
      <c r="D260" t="s" s="9">
        <v>725</v>
      </c>
      <c r="E260" t="s" s="9">
        <v>808</v>
      </c>
      <c r="F260" t="s" s="9">
        <v>809</v>
      </c>
      <c r="G260" t="s" s="9">
        <v>810</v>
      </c>
      <c r="H260" s="8" cm="1">
        <f t="array" ref="H260">MIN(SUMIF('외운 것'!A2:A271,A260,'외운 것'!D2:D271)+IF(R260=0,3,IF(R260=1,2,0)),3)</f>
        <v>3</v>
      </c>
      <c r="I260" s="8" cm="1">
        <f t="array" ref="I260">_xlfn.COUNTIFS('외운 것'!A2:A271,A260,'외운 것'!D2:D271,0)</f>
        <v>0</v>
      </c>
      <c r="J260" t="str" s="10" cm="1">
        <f t="array" ref="J260">IF(R260&lt;&gt;0,IF(H260&gt;=3,_xlfn.XLOOKUP(A260,'외운 것'!A2:A271,'외운 것'!C2:C271,0,1),0),"3차")</f>
        <v>3차</v>
      </c>
      <c r="K260" t="str" s="11" cm="1">
        <f t="array" ref="K260">IF(P260&lt;&gt;0,IF(N260&gt;=3,_xlfn.XLOOKUP(A260,'외운 것'!A2:A271,'외운 것'!C2:C271,0,1),0),"1차")</f>
        <v>1차</v>
      </c>
      <c r="L260" t="str" s="11" cm="1">
        <f t="array" ref="L260">IF(Q260&lt;&gt;0,IF(N260&gt;=3,_xlfn.XLOOKUP(A260,'외운 것'!A2:A271,'외운 것'!C2:C271,0,1),0),"2차")</f>
        <v>2차</v>
      </c>
      <c r="M260" t="str" s="11" cm="1">
        <f t="array" ref="M260">IF(R260&lt;&gt;0,IF(O260&gt;=3,_xlfn.XLOOKUP(B260,'외운 것'!B2:B271,'외운 것'!D2:D271,0,1),0),"3차")</f>
        <v>3차</v>
      </c>
      <c r="N260" s="8">
        <v>3</v>
      </c>
      <c r="O260" s="8">
        <v>3</v>
      </c>
      <c r="P260" s="8">
        <v>0</v>
      </c>
      <c r="Q260" s="8">
        <v>0</v>
      </c>
      <c r="R260" s="8">
        <v>0</v>
      </c>
    </row>
    <row r="261" ht="16" customHeight="1">
      <c r="A261" s="8">
        <v>260</v>
      </c>
      <c r="B261" s="8">
        <v>29</v>
      </c>
      <c r="C261" t="s" s="9">
        <v>774</v>
      </c>
      <c r="D261" t="s" s="9">
        <v>725</v>
      </c>
      <c r="E261" t="s" s="9">
        <v>811</v>
      </c>
      <c r="F261" t="s" s="9">
        <v>812</v>
      </c>
      <c r="G261" t="s" s="9">
        <v>813</v>
      </c>
      <c r="H261" s="8" cm="1">
        <f t="array" ref="H261">MIN(SUMIF('외운 것'!A2:A271,A261,'외운 것'!D2:D271)+IF(R261=0,3,IF(R261=1,2,0)),3)</f>
        <v>3</v>
      </c>
      <c r="I261" s="8" cm="1">
        <f t="array" ref="I261">_xlfn.COUNTIFS('외운 것'!A2:A271,A261,'외운 것'!D2:D271,0)</f>
        <v>0</v>
      </c>
      <c r="J261" t="str" s="10" cm="1">
        <f t="array" ref="J261">IF(R261&lt;&gt;0,IF(H261&gt;=3,_xlfn.XLOOKUP(A261,'외운 것'!A2:A271,'외운 것'!C2:C271,0,1),0),"3차")</f>
        <v>3차</v>
      </c>
      <c r="K261" s="8" cm="1">
        <f t="array" ref="K261">IF(P261&lt;&gt;0,IF(N261&gt;=3,_xlfn.XLOOKUP(A261,'외운 것'!A2:A271,'외운 것'!C2:C271,0,1),0),"1차")</f>
        <v>0</v>
      </c>
      <c r="L261" s="8" cm="1">
        <f t="array" ref="L261">IF(Q261&lt;&gt;0,IF(N261&gt;=3,_xlfn.XLOOKUP(A261,'외운 것'!A2:A271,'외운 것'!C2:C271,0,1),0),"2차")</f>
        <v>0</v>
      </c>
      <c r="M261" t="str" s="11" cm="1">
        <f t="array" ref="M261">IF(R261&lt;&gt;0,IF(O261&gt;=3,_xlfn.XLOOKUP(B261,'외운 것'!B2:B271,'외운 것'!D2:D271,0,1),0),"3차")</f>
        <v>3차</v>
      </c>
      <c r="N261" s="8">
        <v>0</v>
      </c>
      <c r="O261" s="8">
        <v>3</v>
      </c>
      <c r="P261" s="8">
        <v>3</v>
      </c>
      <c r="Q261" s="8">
        <v>1</v>
      </c>
      <c r="R261" s="8">
        <v>0</v>
      </c>
    </row>
    <row r="262" ht="16" customHeight="1">
      <c r="A262" s="8">
        <v>261</v>
      </c>
      <c r="B262" s="8">
        <v>30</v>
      </c>
      <c r="C262" t="s" s="9">
        <v>774</v>
      </c>
      <c r="D262" t="s" s="9">
        <v>725</v>
      </c>
      <c r="E262" t="s" s="9">
        <v>814</v>
      </c>
      <c r="F262" t="s" s="9">
        <v>815</v>
      </c>
      <c r="G262" t="s" s="9">
        <v>816</v>
      </c>
      <c r="H262" s="8" cm="1">
        <f t="array" ref="H262">MIN(SUMIF('외운 것'!A2:A271,A262,'외운 것'!D2:D271)+IF(R262=0,3,IF(R262=1,2,0)),3)</f>
        <v>3</v>
      </c>
      <c r="I262" s="8" cm="1">
        <f t="array" ref="I262">_xlfn.COUNTIFS('외운 것'!A2:A271,A262,'외운 것'!D2:D271,0)</f>
        <v>0</v>
      </c>
      <c r="J262" t="str" s="10" cm="1">
        <f t="array" ref="J262">IF(R262&lt;&gt;0,IF(H262&gt;=3,_xlfn.XLOOKUP(A262,'외운 것'!A2:A271,'외운 것'!C2:C271,0,1),0),"3차")</f>
        <v>3차</v>
      </c>
      <c r="K262" s="8" cm="1">
        <f t="array" ref="K262">IF(P262&lt;&gt;0,IF(N262&gt;=3,_xlfn.XLOOKUP(A262,'외운 것'!A2:A271,'외운 것'!C2:C271,0,1),0),"1차")</f>
        <v>0</v>
      </c>
      <c r="L262" t="str" s="11" cm="1">
        <f t="array" ref="L262">IF(Q262&lt;&gt;0,IF(N262&gt;=3,_xlfn.XLOOKUP(A262,'외운 것'!A2:A271,'외운 것'!C2:C271,0,1),0),"2차")</f>
        <v>2차</v>
      </c>
      <c r="M262" t="str" s="11" cm="1">
        <f t="array" ref="M262">IF(R262&lt;&gt;0,IF(O262&gt;=3,_xlfn.XLOOKUP(B262,'외운 것'!B2:B271,'외운 것'!D2:D271,0,1),0),"3차")</f>
        <v>3차</v>
      </c>
      <c r="N262" s="8">
        <v>2</v>
      </c>
      <c r="O262" s="8">
        <v>3</v>
      </c>
      <c r="P262" s="8">
        <v>1</v>
      </c>
      <c r="Q262" s="8">
        <v>0</v>
      </c>
      <c r="R262" s="8">
        <v>0</v>
      </c>
    </row>
    <row r="263" ht="16" customHeight="1">
      <c r="A263" s="8">
        <v>262</v>
      </c>
      <c r="B263" s="8">
        <v>31</v>
      </c>
      <c r="C263" t="s" s="9">
        <v>774</v>
      </c>
      <c r="D263" t="s" s="9">
        <v>725</v>
      </c>
      <c r="E263" t="s" s="9">
        <v>817</v>
      </c>
      <c r="F263" t="s" s="9">
        <v>818</v>
      </c>
      <c r="G263" t="s" s="9">
        <v>819</v>
      </c>
      <c r="H263" s="8" cm="1">
        <f t="array" ref="H263">MIN(SUMIF('외운 것'!A2:A271,A263,'외운 것'!D2:D271)+IF(R263=0,3,IF(R263=1,2,0)),3)</f>
        <v>3</v>
      </c>
      <c r="I263" s="8" cm="1">
        <f t="array" ref="I263">_xlfn.COUNTIFS('외운 것'!A2:A271,A263,'외운 것'!D2:D271,0)</f>
        <v>0</v>
      </c>
      <c r="J263" t="str" s="10" cm="1">
        <f t="array" ref="J263">IF(R263&lt;&gt;0,IF(H263&gt;=3,_xlfn.XLOOKUP(A263,'외운 것'!A2:A271,'외운 것'!C2:C271,0,1),0),"3차")</f>
        <v>3차</v>
      </c>
      <c r="K263" t="str" s="11" cm="1">
        <f t="array" ref="K263">IF(P263&lt;&gt;0,IF(N263&gt;=3,_xlfn.XLOOKUP(A263,'외운 것'!A2:A271,'외운 것'!C2:C271,0,1),0),"1차")</f>
        <v>1차</v>
      </c>
      <c r="L263" t="str" s="11" cm="1">
        <f t="array" ref="L263">IF(Q263&lt;&gt;0,IF(N263&gt;=3,_xlfn.XLOOKUP(A263,'외운 것'!A2:A271,'외운 것'!C2:C271,0,1),0),"2차")</f>
        <v>2차</v>
      </c>
      <c r="M263" t="str" s="11" cm="1">
        <f t="array" ref="M263">IF(R263&lt;&gt;0,IF(O263&gt;=3,_xlfn.XLOOKUP(B263,'외운 것'!B2:B271,'외운 것'!D2:D271,0,1),0),"3차")</f>
        <v>3차</v>
      </c>
      <c r="N263" s="8">
        <v>3</v>
      </c>
      <c r="O263" s="8">
        <v>3</v>
      </c>
      <c r="P263" s="8">
        <v>0</v>
      </c>
      <c r="Q263" s="8">
        <v>0</v>
      </c>
      <c r="R263" s="8">
        <v>0</v>
      </c>
    </row>
    <row r="264" ht="16" customHeight="1">
      <c r="A264" s="8">
        <v>263</v>
      </c>
      <c r="B264" s="8">
        <v>32</v>
      </c>
      <c r="C264" t="s" s="9">
        <v>774</v>
      </c>
      <c r="D264" t="s" s="9">
        <v>725</v>
      </c>
      <c r="E264" t="s" s="9">
        <v>820</v>
      </c>
      <c r="F264" t="s" s="9">
        <v>821</v>
      </c>
      <c r="G264" t="s" s="9">
        <v>822</v>
      </c>
      <c r="H264" s="8" cm="1">
        <f t="array" ref="H264">MIN(SUMIF('외운 것'!A2:A271,A264,'외운 것'!D2:D271)+IF(R264=0,3,IF(R264=1,2,0)),3)</f>
        <v>3</v>
      </c>
      <c r="I264" s="8" cm="1">
        <f t="array" ref="I264">_xlfn.COUNTIFS('외운 것'!A2:A271,A264,'외운 것'!D2:D271,0)</f>
        <v>0</v>
      </c>
      <c r="J264" t="str" s="10" cm="1">
        <f t="array" ref="J264">IF(R264&lt;&gt;0,IF(H264&gt;=3,_xlfn.XLOOKUP(A264,'외운 것'!A2:A271,'외운 것'!C2:C271,0,1),0),"3차")</f>
        <v>3차</v>
      </c>
      <c r="K264" t="str" s="11" cm="1">
        <f t="array" ref="K264">IF(P264&lt;&gt;0,IF(N264&gt;=3,_xlfn.XLOOKUP(A264,'외운 것'!A2:A271,'외운 것'!C2:C271,0,1),0),"1차")</f>
        <v>1차</v>
      </c>
      <c r="L264" t="str" s="11" cm="1">
        <f t="array" ref="L264">IF(Q264&lt;&gt;0,IF(N264&gt;=3,_xlfn.XLOOKUP(A264,'외운 것'!A2:A271,'외운 것'!C2:C271,0,1),0),"2차")</f>
        <v>2차</v>
      </c>
      <c r="M264" t="str" s="11" cm="1">
        <f t="array" ref="M264">IF(R264&lt;&gt;0,IF(O264&gt;=3,_xlfn.XLOOKUP(B264,'외운 것'!B2:B271,'외운 것'!D2:D271,0,1),0),"3차")</f>
        <v>3차</v>
      </c>
      <c r="N264" s="8">
        <v>3</v>
      </c>
      <c r="O264" s="8">
        <v>3</v>
      </c>
      <c r="P264" s="8">
        <v>0</v>
      </c>
      <c r="Q264" s="8">
        <v>0</v>
      </c>
      <c r="R264" s="8">
        <v>0</v>
      </c>
    </row>
    <row r="265" ht="16" customHeight="1">
      <c r="A265" s="8">
        <v>264</v>
      </c>
      <c r="B265" s="8">
        <v>33</v>
      </c>
      <c r="C265" t="s" s="9">
        <v>774</v>
      </c>
      <c r="D265" t="s" s="9">
        <v>725</v>
      </c>
      <c r="E265" t="s" s="9">
        <v>823</v>
      </c>
      <c r="F265" t="s" s="9">
        <v>824</v>
      </c>
      <c r="G265" t="s" s="9">
        <v>825</v>
      </c>
      <c r="H265" s="8" cm="1">
        <f t="array" ref="H265">MIN(SUMIF('외운 것'!A2:A271,A265,'외운 것'!D2:D271)+IF(R265=0,3,IF(R265=1,2,0)),3)</f>
        <v>3</v>
      </c>
      <c r="I265" s="8" cm="1">
        <f t="array" ref="I265">_xlfn.COUNTIFS('외운 것'!A2:A271,A265,'외운 것'!D2:D271,0)</f>
        <v>0</v>
      </c>
      <c r="J265" t="str" s="10" cm="1">
        <f t="array" ref="J265">IF(R265&lt;&gt;0,IF(H265&gt;=3,_xlfn.XLOOKUP(A265,'외운 것'!A2:A271,'외운 것'!C2:C271,0,1),0),"3차")</f>
        <v>3차</v>
      </c>
      <c r="K265" s="8" cm="1">
        <f t="array" ref="K265">IF(P265&lt;&gt;0,IF(N265&gt;=3,_xlfn.XLOOKUP(A265,'외운 것'!A2:A271,'외운 것'!C2:C271,0,1),0),"1차")</f>
        <v>0</v>
      </c>
      <c r="L265" t="str" s="11" cm="1">
        <f t="array" ref="L265">IF(Q265&lt;&gt;0,IF(N265&gt;=3,_xlfn.XLOOKUP(A265,'외운 것'!A2:A271,'외운 것'!C2:C271,0,1),0),"2차")</f>
        <v>2차</v>
      </c>
      <c r="M265" t="str" s="11" cm="1">
        <f t="array" ref="M265">IF(R265&lt;&gt;0,IF(O265&gt;=3,_xlfn.XLOOKUP(B265,'외운 것'!B2:B271,'외운 것'!D2:D271,0,1),0),"3차")</f>
        <v>3차</v>
      </c>
      <c r="N265" s="8">
        <v>0</v>
      </c>
      <c r="O265" s="8">
        <v>3</v>
      </c>
      <c r="P265" s="8">
        <v>2</v>
      </c>
      <c r="Q265" s="8">
        <v>0</v>
      </c>
      <c r="R265" s="8">
        <v>0</v>
      </c>
    </row>
    <row r="266" ht="16" customHeight="1">
      <c r="A266" s="8">
        <v>265</v>
      </c>
      <c r="B266" s="8">
        <v>34</v>
      </c>
      <c r="C266" t="s" s="9">
        <v>774</v>
      </c>
      <c r="D266" t="s" s="9">
        <v>725</v>
      </c>
      <c r="E266" t="s" s="9">
        <v>826</v>
      </c>
      <c r="F266" t="s" s="9">
        <v>827</v>
      </c>
      <c r="G266" t="s" s="9">
        <v>828</v>
      </c>
      <c r="H266" s="8" cm="1">
        <f t="array" ref="H266">MIN(SUMIF('외운 것'!A2:A271,A266,'외운 것'!D2:D271)+IF(R266=0,3,IF(R266=1,2,0)),3)</f>
        <v>3</v>
      </c>
      <c r="I266" s="8" cm="1">
        <f t="array" ref="I266">_xlfn.COUNTIFS('외운 것'!A2:A271,A266,'외운 것'!D2:D271,0)</f>
        <v>0</v>
      </c>
      <c r="J266" t="str" s="10" cm="1">
        <f t="array" ref="J266">IF(R266&lt;&gt;0,IF(H266&gt;=3,_xlfn.XLOOKUP(A266,'외운 것'!A2:A271,'외운 것'!C2:C271,0,1),0),"3차")</f>
        <v>3차</v>
      </c>
      <c r="K266" t="str" s="11" cm="1">
        <f t="array" ref="K266">IF(P266&lt;&gt;0,IF(N266&gt;=3,_xlfn.XLOOKUP(A266,'외운 것'!A2:A271,'외운 것'!C2:C271,0,1),0),"1차")</f>
        <v>1차</v>
      </c>
      <c r="L266" t="str" s="11" cm="1">
        <f t="array" ref="L266">IF(Q266&lt;&gt;0,IF(N266&gt;=3,_xlfn.XLOOKUP(A266,'외운 것'!A2:A271,'외운 것'!C2:C271,0,1),0),"2차")</f>
        <v>2차</v>
      </c>
      <c r="M266" t="str" s="11" cm="1">
        <f t="array" ref="M266">IF(R266&lt;&gt;0,IF(O266&gt;=3,_xlfn.XLOOKUP(B266,'외운 것'!B2:B271,'외운 것'!D2:D271,0,1),0),"3차")</f>
        <v>3차</v>
      </c>
      <c r="N266" s="8">
        <v>3</v>
      </c>
      <c r="O266" s="8">
        <v>3</v>
      </c>
      <c r="P266" s="8">
        <v>0</v>
      </c>
      <c r="Q266" s="8">
        <v>0</v>
      </c>
      <c r="R266" s="8">
        <v>0</v>
      </c>
    </row>
    <row r="267" ht="16" customHeight="1">
      <c r="A267" s="8">
        <v>266</v>
      </c>
      <c r="B267" s="8">
        <v>35</v>
      </c>
      <c r="C267" t="s" s="9">
        <v>774</v>
      </c>
      <c r="D267" t="s" s="9">
        <v>725</v>
      </c>
      <c r="E267" t="s" s="9">
        <v>829</v>
      </c>
      <c r="F267" t="s" s="9">
        <v>830</v>
      </c>
      <c r="G267" t="s" s="9">
        <v>831</v>
      </c>
      <c r="H267" s="8" cm="1">
        <f t="array" ref="H267">MIN(SUMIF('외운 것'!A2:A271,A267,'외운 것'!D2:D271)+IF(R267=0,3,IF(R267=1,2,0)),3)</f>
        <v>3</v>
      </c>
      <c r="I267" s="8" cm="1">
        <f t="array" ref="I267">_xlfn.COUNTIFS('외운 것'!A2:A271,A267,'외운 것'!D2:D271,0)</f>
        <v>0</v>
      </c>
      <c r="J267" t="str" s="10" cm="1">
        <f t="array" ref="J267">IF(R267&lt;&gt;0,IF(H267&gt;=3,_xlfn.XLOOKUP(A267,'외운 것'!A2:A271,'외운 것'!C2:C271,0,1),0),"3차")</f>
        <v>3차</v>
      </c>
      <c r="K267" t="str" s="11" cm="1">
        <f t="array" ref="K267">IF(P267&lt;&gt;0,IF(N267&gt;=3,_xlfn.XLOOKUP(A267,'외운 것'!A2:A271,'외운 것'!C2:C271,0,1),0),"1차")</f>
        <v>1차</v>
      </c>
      <c r="L267" t="str" s="11" cm="1">
        <f t="array" ref="L267">IF(Q267&lt;&gt;0,IF(N267&gt;=3,_xlfn.XLOOKUP(A267,'외운 것'!A2:A271,'외운 것'!C2:C271,0,1),0),"2차")</f>
        <v>2차</v>
      </c>
      <c r="M267" t="str" s="11" cm="1">
        <f t="array" ref="M267">IF(R267&lt;&gt;0,IF(O267&gt;=3,_xlfn.XLOOKUP(B267,'외운 것'!B2:B271,'외운 것'!D2:D271,0,1),0),"3차")</f>
        <v>3차</v>
      </c>
      <c r="N267" s="8">
        <v>3</v>
      </c>
      <c r="O267" s="8">
        <v>3</v>
      </c>
      <c r="P267" s="8">
        <v>0</v>
      </c>
      <c r="Q267" s="8">
        <v>0</v>
      </c>
      <c r="R267" s="8">
        <v>0</v>
      </c>
    </row>
    <row r="268" ht="16" customHeight="1">
      <c r="A268" s="8">
        <v>267</v>
      </c>
      <c r="B268" s="8">
        <v>36</v>
      </c>
      <c r="C268" t="s" s="9">
        <v>774</v>
      </c>
      <c r="D268" t="s" s="9">
        <v>725</v>
      </c>
      <c r="E268" t="s" s="9">
        <v>832</v>
      </c>
      <c r="F268" t="s" s="9">
        <v>833</v>
      </c>
      <c r="G268" t="s" s="9">
        <v>834</v>
      </c>
      <c r="H268" s="8" cm="1">
        <f t="array" ref="H268">MIN(SUMIF('외운 것'!A2:A271,A268,'외운 것'!D2:D271)+IF(R268=0,3,IF(R268=1,2,0)),3)</f>
        <v>3</v>
      </c>
      <c r="I268" s="8" cm="1">
        <f t="array" ref="I268">_xlfn.COUNTIFS('외운 것'!A2:A271,A268,'외운 것'!D2:D271,0)</f>
        <v>0</v>
      </c>
      <c r="J268" t="str" s="10" cm="1">
        <f t="array" ref="J268">IF(R268&lt;&gt;0,IF(H268&gt;=3,_xlfn.XLOOKUP(A268,'외운 것'!A2:A271,'외운 것'!C2:C271,0,1),0),"3차")</f>
        <v>3차</v>
      </c>
      <c r="K268" t="str" s="11" cm="1">
        <f t="array" ref="K268">IF(P268&lt;&gt;0,IF(N268&gt;=3,_xlfn.XLOOKUP(A268,'외운 것'!A2:A271,'외운 것'!C2:C271,0,1),0),"1차")</f>
        <v>1차</v>
      </c>
      <c r="L268" t="str" s="11" cm="1">
        <f t="array" ref="L268">IF(Q268&lt;&gt;0,IF(N268&gt;=3,_xlfn.XLOOKUP(A268,'외운 것'!A2:A271,'외운 것'!C2:C271,0,1),0),"2차")</f>
        <v>2차</v>
      </c>
      <c r="M268" t="str" s="11" cm="1">
        <f t="array" ref="M268">IF(R268&lt;&gt;0,IF(O268&gt;=3,_xlfn.XLOOKUP(B268,'외운 것'!B2:B271,'외운 것'!D2:D271,0,1),0),"3차")</f>
        <v>3차</v>
      </c>
      <c r="N268" s="8">
        <v>3</v>
      </c>
      <c r="O268" s="8">
        <v>3</v>
      </c>
      <c r="P268" s="8">
        <v>0</v>
      </c>
      <c r="Q268" s="8">
        <v>0</v>
      </c>
      <c r="R268" s="8">
        <v>0</v>
      </c>
    </row>
    <row r="269" ht="16" customHeight="1">
      <c r="A269" s="8">
        <v>268</v>
      </c>
      <c r="B269" s="8">
        <v>37</v>
      </c>
      <c r="C269" t="s" s="9">
        <v>774</v>
      </c>
      <c r="D269" t="s" s="9">
        <v>725</v>
      </c>
      <c r="E269" t="s" s="9">
        <v>835</v>
      </c>
      <c r="F269" t="s" s="9">
        <v>836</v>
      </c>
      <c r="G269" t="s" s="9">
        <v>837</v>
      </c>
      <c r="H269" s="8" cm="1">
        <f t="array" ref="H269">MIN(SUMIF('외운 것'!A2:A271,A269,'외운 것'!D2:D271)+IF(R269=0,3,IF(R269=1,2,0)),3)</f>
        <v>3</v>
      </c>
      <c r="I269" s="8" cm="1">
        <f t="array" ref="I269">_xlfn.COUNTIFS('외운 것'!A2:A271,A269,'외운 것'!D2:D271,0)</f>
        <v>0</v>
      </c>
      <c r="J269" t="str" s="10" cm="1">
        <f t="array" ref="J269">IF(R269&lt;&gt;0,IF(H269&gt;=3,_xlfn.XLOOKUP(A269,'외운 것'!A2:A271,'외운 것'!C2:C271,0,1),0),"3차")</f>
        <v>2026-04-30</v>
      </c>
      <c r="K269" s="8" cm="1">
        <f t="array" ref="K269">IF(P269&lt;&gt;0,IF(N269&gt;=3,_xlfn.XLOOKUP(A269,'외운 것'!A2:A271,'외운 것'!C2:C271,0,1),0),"1차")</f>
        <v>0</v>
      </c>
      <c r="L269" s="8" cm="1">
        <f t="array" ref="L269">IF(Q269&lt;&gt;0,IF(N269&gt;=3,_xlfn.XLOOKUP(A269,'외운 것'!A2:A271,'외운 것'!C2:C271,0,1),0),"2차")</f>
        <v>0</v>
      </c>
      <c r="M269" s="8" cm="1">
        <f t="array" ref="M269">IF(R269&lt;&gt;0,IF(O269&gt;=3,_xlfn.XLOOKUP(B269,'외운 것'!B2:B271,'외운 것'!D2:D271,0,1),0),"3차")</f>
        <v>0</v>
      </c>
      <c r="N269" s="8">
        <v>0</v>
      </c>
      <c r="O269" s="8">
        <v>3</v>
      </c>
      <c r="P269" s="8">
        <v>2</v>
      </c>
      <c r="Q269" s="8">
        <v>2</v>
      </c>
      <c r="R269" s="8">
        <v>2</v>
      </c>
    </row>
    <row r="270" ht="16" customHeight="1">
      <c r="A270" s="8">
        <v>269</v>
      </c>
      <c r="B270" s="8">
        <v>38</v>
      </c>
      <c r="C270" t="s" s="9">
        <v>774</v>
      </c>
      <c r="D270" t="s" s="9">
        <v>725</v>
      </c>
      <c r="E270" t="s" s="9">
        <v>838</v>
      </c>
      <c r="F270" t="s" s="9">
        <v>839</v>
      </c>
      <c r="G270" t="s" s="9">
        <v>840</v>
      </c>
      <c r="H270" s="8" cm="1">
        <f t="array" ref="H270">MIN(SUMIF('외운 것'!A2:A271,A270,'외운 것'!D2:D271)+IF(R270=0,3,IF(R270=1,2,0)),3)</f>
        <v>3</v>
      </c>
      <c r="I270" s="8" cm="1">
        <f t="array" ref="I270">_xlfn.COUNTIFS('외운 것'!A2:A271,A270,'외운 것'!D2:D271,0)</f>
        <v>0</v>
      </c>
      <c r="J270" t="str" s="10" cm="1">
        <f t="array" ref="J270">IF(R270&lt;&gt;0,IF(H270&gt;=3,_xlfn.XLOOKUP(A270,'외운 것'!A2:A271,'외운 것'!C2:C271,0,1),0),"3차")</f>
        <v>3차</v>
      </c>
      <c r="K270" t="str" s="11" cm="1">
        <f t="array" ref="K270">IF(P270&lt;&gt;0,IF(N270&gt;=3,_xlfn.XLOOKUP(A270,'외운 것'!A2:A271,'외운 것'!C2:C271,0,1),0),"1차")</f>
        <v>1차</v>
      </c>
      <c r="L270" t="str" s="11" cm="1">
        <f t="array" ref="L270">IF(Q270&lt;&gt;0,IF(N270&gt;=3,_xlfn.XLOOKUP(A270,'외운 것'!A2:A271,'외운 것'!C2:C271,0,1),0),"2차")</f>
        <v>2차</v>
      </c>
      <c r="M270" t="str" s="11" cm="1">
        <f t="array" ref="M270">IF(R270&lt;&gt;0,IF(O270&gt;=3,_xlfn.XLOOKUP(B270,'외운 것'!B2:B271,'외운 것'!D2:D271,0,1),0),"3차")</f>
        <v>3차</v>
      </c>
      <c r="N270" s="8">
        <v>3</v>
      </c>
      <c r="O270" s="8">
        <v>3</v>
      </c>
      <c r="P270" s="8">
        <v>0</v>
      </c>
      <c r="Q270" s="8">
        <v>0</v>
      </c>
      <c r="R270" s="8">
        <v>0</v>
      </c>
    </row>
    <row r="271" ht="16" customHeight="1">
      <c r="A271" s="8">
        <v>270</v>
      </c>
      <c r="B271" s="8">
        <v>39</v>
      </c>
      <c r="C271" t="s" s="9">
        <v>841</v>
      </c>
      <c r="D271" t="s" s="9">
        <v>725</v>
      </c>
      <c r="E271" t="s" s="9">
        <v>842</v>
      </c>
      <c r="F271" t="s" s="9">
        <v>843</v>
      </c>
      <c r="G271" t="s" s="9">
        <v>844</v>
      </c>
      <c r="H271" s="8" cm="1">
        <f t="array" ref="H271">MIN(SUMIF('외운 것'!A2:A271,A271,'외운 것'!D2:D271)+IF(R271=0,3,IF(R271=1,2,0)),3)</f>
        <v>3</v>
      </c>
      <c r="I271" s="8" cm="1">
        <f t="array" ref="I271">_xlfn.COUNTIFS('외운 것'!A2:A271,A271,'외운 것'!D2:D271,0)</f>
        <v>0</v>
      </c>
      <c r="J271" t="str" s="10" cm="1">
        <f t="array" ref="J271">IF(R271&lt;&gt;0,IF(H271&gt;=3,_xlfn.XLOOKUP(A271,'외운 것'!A2:A271,'외운 것'!C2:C271,0,1),0),"3차")</f>
        <v>3차</v>
      </c>
      <c r="K271" s="8" cm="1">
        <f t="array" ref="K271">IF(P271&lt;&gt;0,IF(N271&gt;=3,_xlfn.XLOOKUP(A271,'외운 것'!A2:A271,'외운 것'!C2:C271,0,1),0),"1차")</f>
        <v>0</v>
      </c>
      <c r="L271" t="str" s="11" cm="1">
        <f t="array" ref="L271">IF(Q271&lt;&gt;0,IF(N271&gt;=3,_xlfn.XLOOKUP(A271,'외운 것'!A2:A271,'외운 것'!C2:C271,0,1),0),"2차")</f>
        <v>2차</v>
      </c>
      <c r="M271" t="str" s="11" cm="1">
        <f t="array" ref="M271">IF(R271&lt;&gt;0,IF(O271&gt;=3,_xlfn.XLOOKUP(B271,'외운 것'!B2:B271,'외운 것'!D2:D271,0,1),0),"3차")</f>
        <v>3차</v>
      </c>
      <c r="N271" s="8">
        <v>0</v>
      </c>
      <c r="O271" s="8">
        <v>3</v>
      </c>
      <c r="P271" s="8">
        <v>2</v>
      </c>
      <c r="Q271" s="8">
        <v>0</v>
      </c>
      <c r="R271" s="8">
        <v>0</v>
      </c>
    </row>
    <row r="272" ht="16" customHeight="1">
      <c r="A272" s="8">
        <v>271</v>
      </c>
      <c r="B272" s="8">
        <v>40</v>
      </c>
      <c r="C272" t="s" s="9">
        <v>841</v>
      </c>
      <c r="D272" t="s" s="9">
        <v>725</v>
      </c>
      <c r="E272" t="s" s="9">
        <v>845</v>
      </c>
      <c r="F272" t="s" s="9">
        <v>846</v>
      </c>
      <c r="G272" t="s" s="9">
        <v>847</v>
      </c>
      <c r="H272" s="8" cm="1">
        <f t="array" ref="H272">MIN(SUMIF('외운 것'!A2:A271,A272,'외운 것'!D2:D271)+IF(R272=0,3,IF(R272=1,2,0)),3)</f>
        <v>3</v>
      </c>
      <c r="I272" s="8" cm="1">
        <f t="array" ref="I272">_xlfn.COUNTIFS('외운 것'!A2:A271,A272,'외운 것'!D2:D271,0)</f>
        <v>0</v>
      </c>
      <c r="J272" t="str" s="10" cm="1">
        <f t="array" ref="J272">IF(R272&lt;&gt;0,IF(H272&gt;=3,_xlfn.XLOOKUP(A272,'외운 것'!A2:A271,'외운 것'!C2:C271,0,1),0),"3차")</f>
        <v>2026-04-29</v>
      </c>
      <c r="K272" s="8" cm="1">
        <f t="array" ref="K272">IF(P272&lt;&gt;0,IF(N272&gt;=3,_xlfn.XLOOKUP(A272,'외운 것'!A2:A271,'외운 것'!C2:C271,0,1),0),"1차")</f>
        <v>0</v>
      </c>
      <c r="L272" s="8" cm="1">
        <f t="array" ref="L272">IF(Q272&lt;&gt;0,IF(N272&gt;=3,_xlfn.XLOOKUP(A272,'외운 것'!A2:A271,'외운 것'!C2:C271,0,1),0),"2차")</f>
        <v>0</v>
      </c>
      <c r="M272" s="8" cm="1">
        <f t="array" ref="M272">IF(R272&lt;&gt;0,IF(O272&gt;=3,_xlfn.XLOOKUP(B272,'외운 것'!B2:B271,'외운 것'!D2:D271,0,1),0),"3차")</f>
        <v>0</v>
      </c>
      <c r="N272" s="8">
        <v>0</v>
      </c>
      <c r="O272" s="8">
        <v>3</v>
      </c>
      <c r="P272" s="8">
        <v>2</v>
      </c>
      <c r="Q272" s="8">
        <v>2</v>
      </c>
      <c r="R272" s="8">
        <v>1</v>
      </c>
    </row>
    <row r="273" ht="16" customHeight="1">
      <c r="A273" s="8">
        <v>272</v>
      </c>
      <c r="B273" s="8">
        <v>41</v>
      </c>
      <c r="C273" t="s" s="9">
        <v>841</v>
      </c>
      <c r="D273" t="s" s="9">
        <v>725</v>
      </c>
      <c r="E273" t="s" s="9">
        <v>848</v>
      </c>
      <c r="F273" t="s" s="9">
        <v>849</v>
      </c>
      <c r="G273" t="s" s="9">
        <v>850</v>
      </c>
      <c r="H273" s="8" cm="1">
        <f t="array" ref="H273">MIN(SUMIF('외운 것'!A2:A271,A273,'외운 것'!D2:D271)+IF(R273=0,3,IF(R273=1,2,0)),3)</f>
        <v>3</v>
      </c>
      <c r="I273" s="8" cm="1">
        <f t="array" ref="I273">_xlfn.COUNTIFS('외운 것'!A2:A271,A273,'외운 것'!D2:D271,0)</f>
        <v>0</v>
      </c>
      <c r="J273" t="str" s="10" cm="1">
        <f t="array" ref="J273">IF(R273&lt;&gt;0,IF(H273&gt;=3,_xlfn.XLOOKUP(A273,'외운 것'!A2:A271,'외운 것'!C2:C271,0,1),0),"3차")</f>
        <v>3차</v>
      </c>
      <c r="K273" t="str" s="11" cm="1">
        <f t="array" ref="K273">IF(P273&lt;&gt;0,IF(N273&gt;=3,_xlfn.XLOOKUP(A273,'외운 것'!A2:A271,'외운 것'!C2:C271,0,1),0),"1차")</f>
        <v>1차</v>
      </c>
      <c r="L273" t="str" s="11" cm="1">
        <f t="array" ref="L273">IF(Q273&lt;&gt;0,IF(N273&gt;=3,_xlfn.XLOOKUP(A273,'외운 것'!A2:A271,'외운 것'!C2:C271,0,1),0),"2차")</f>
        <v>2차</v>
      </c>
      <c r="M273" t="str" s="11" cm="1">
        <f t="array" ref="M273">IF(R273&lt;&gt;0,IF(O273&gt;=3,_xlfn.XLOOKUP(B273,'외운 것'!B2:B271,'외운 것'!D2:D271,0,1),0),"3차")</f>
        <v>3차</v>
      </c>
      <c r="N273" s="8">
        <v>3</v>
      </c>
      <c r="O273" s="8">
        <v>3</v>
      </c>
      <c r="P273" s="8">
        <v>0</v>
      </c>
      <c r="Q273" s="8">
        <v>0</v>
      </c>
      <c r="R273" s="8">
        <v>0</v>
      </c>
    </row>
    <row r="274" ht="16" customHeight="1">
      <c r="A274" s="8">
        <v>273</v>
      </c>
      <c r="B274" s="8">
        <v>42</v>
      </c>
      <c r="C274" t="s" s="9">
        <v>851</v>
      </c>
      <c r="D274" t="s" s="9">
        <v>725</v>
      </c>
      <c r="E274" t="s" s="9">
        <v>852</v>
      </c>
      <c r="F274" t="s" s="9">
        <v>853</v>
      </c>
      <c r="G274" t="s" s="9">
        <v>854</v>
      </c>
      <c r="H274" s="8" cm="1">
        <f t="array" ref="H274">MIN(SUMIF('외운 것'!A2:A271,A274,'외운 것'!D2:D271)+IF(R274=0,3,IF(R274=1,2,0)),3)</f>
        <v>3</v>
      </c>
      <c r="I274" s="8" cm="1">
        <f t="array" ref="I274">_xlfn.COUNTIFS('외운 것'!A2:A271,A274,'외운 것'!D2:D271,0)</f>
        <v>0</v>
      </c>
      <c r="J274" t="str" s="10" cm="1">
        <f t="array" ref="J274">IF(R274&lt;&gt;0,IF(H274&gt;=3,_xlfn.XLOOKUP(A274,'외운 것'!A2:A271,'외운 것'!C2:C271,0,1),0),"3차")</f>
        <v>3차</v>
      </c>
      <c r="K274" s="8" cm="1">
        <f t="array" ref="K274">IF(P274&lt;&gt;0,IF(N274&gt;=3,_xlfn.XLOOKUP(A274,'외운 것'!A2:A271,'외운 것'!C2:C271,0,1),0),"1차")</f>
        <v>0</v>
      </c>
      <c r="L274" s="8" cm="1">
        <f t="array" ref="L274">IF(Q274&lt;&gt;0,IF(N274&gt;=3,_xlfn.XLOOKUP(A274,'외운 것'!A2:A271,'외운 것'!C2:C271,0,1),0),"2차")</f>
        <v>0</v>
      </c>
      <c r="M274" t="str" s="11" cm="1">
        <f t="array" ref="M274">IF(R274&lt;&gt;0,IF(O274&gt;=3,_xlfn.XLOOKUP(B274,'외운 것'!B2:B271,'외운 것'!D2:D271,0,1),0),"3차")</f>
        <v>3차</v>
      </c>
      <c r="N274" s="8">
        <v>2</v>
      </c>
      <c r="O274" s="8">
        <v>3</v>
      </c>
      <c r="P274" s="8">
        <v>1</v>
      </c>
      <c r="Q274" s="8">
        <v>1</v>
      </c>
      <c r="R274" s="8">
        <v>0</v>
      </c>
    </row>
    <row r="275" ht="16" customHeight="1">
      <c r="A275" s="8">
        <v>274</v>
      </c>
      <c r="B275" s="8">
        <v>43</v>
      </c>
      <c r="C275" t="s" s="9">
        <v>851</v>
      </c>
      <c r="D275" t="s" s="9">
        <v>725</v>
      </c>
      <c r="E275" t="s" s="9">
        <v>855</v>
      </c>
      <c r="F275" t="s" s="9">
        <v>856</v>
      </c>
      <c r="G275" t="s" s="9">
        <v>857</v>
      </c>
      <c r="H275" s="8" cm="1">
        <f t="array" ref="H275">MIN(SUMIF('외운 것'!A2:A271,A275,'외운 것'!D2:D271)+IF(R275=0,3,IF(R275=1,2,0)),3)</f>
        <v>3</v>
      </c>
      <c r="I275" s="8" cm="1">
        <f t="array" ref="I275">_xlfn.COUNTIFS('외운 것'!A2:A271,A275,'외운 것'!D2:D271,0)</f>
        <v>0</v>
      </c>
      <c r="J275" t="str" s="10" cm="1">
        <f t="array" ref="J275">IF(R275&lt;&gt;0,IF(H275&gt;=3,_xlfn.XLOOKUP(A275,'외운 것'!A2:A271,'외운 것'!C2:C271,0,1),0),"3차")</f>
        <v>3차</v>
      </c>
      <c r="K275" t="str" s="11" cm="1">
        <f t="array" ref="K275">IF(P275&lt;&gt;0,IF(N275&gt;=3,_xlfn.XLOOKUP(A275,'외운 것'!A2:A271,'외운 것'!C2:C271,0,1),0),"1차")</f>
        <v>1차</v>
      </c>
      <c r="L275" t="str" s="11" cm="1">
        <f t="array" ref="L275">IF(Q275&lt;&gt;0,IF(N275&gt;=3,_xlfn.XLOOKUP(A275,'외운 것'!A2:A271,'외운 것'!C2:C271,0,1),0),"2차")</f>
        <v>2차</v>
      </c>
      <c r="M275" t="str" s="11" cm="1">
        <f t="array" ref="M275">IF(R275&lt;&gt;0,IF(O275&gt;=3,_xlfn.XLOOKUP(B275,'외운 것'!B2:B271,'외운 것'!D2:D271,0,1),0),"3차")</f>
        <v>3차</v>
      </c>
      <c r="N275" s="8">
        <v>3</v>
      </c>
      <c r="O275" s="8">
        <v>3</v>
      </c>
      <c r="P275" s="8">
        <v>0</v>
      </c>
      <c r="Q275" s="8">
        <v>0</v>
      </c>
      <c r="R275" s="8">
        <v>0</v>
      </c>
    </row>
    <row r="276" ht="16" customHeight="1">
      <c r="A276" s="8">
        <v>275</v>
      </c>
      <c r="B276" s="8">
        <v>44</v>
      </c>
      <c r="C276" t="s" s="9">
        <v>851</v>
      </c>
      <c r="D276" t="s" s="9">
        <v>725</v>
      </c>
      <c r="E276" t="s" s="9">
        <v>858</v>
      </c>
      <c r="F276" t="s" s="9">
        <v>859</v>
      </c>
      <c r="G276" t="s" s="9">
        <v>860</v>
      </c>
      <c r="H276" s="8" cm="1">
        <f t="array" ref="H276">MIN(SUMIF('외운 것'!A2:A271,A276,'외운 것'!D2:D271)+IF(R276=0,3,IF(R276=1,2,0)),3)</f>
        <v>3</v>
      </c>
      <c r="I276" s="8" cm="1">
        <f t="array" ref="I276">_xlfn.COUNTIFS('외운 것'!A2:A271,A276,'외운 것'!D2:D271,0)</f>
        <v>0</v>
      </c>
      <c r="J276" t="str" s="10" cm="1">
        <f t="array" ref="J276">IF(R276&lt;&gt;0,IF(H276&gt;=3,_xlfn.XLOOKUP(A276,'외운 것'!A2:A271,'외운 것'!C2:C271,0,1),0),"3차")</f>
        <v>3차</v>
      </c>
      <c r="K276" s="8" cm="1">
        <f t="array" ref="K276">IF(P276&lt;&gt;0,IF(N276&gt;=3,_xlfn.XLOOKUP(A276,'외운 것'!A2:A271,'외운 것'!C2:C271,0,1),0),"1차")</f>
        <v>0</v>
      </c>
      <c r="L276" s="8" cm="1">
        <f t="array" ref="L276">IF(Q276&lt;&gt;0,IF(N276&gt;=3,_xlfn.XLOOKUP(A276,'외운 것'!A2:A271,'외운 것'!C2:C271,0,1),0),"2차")</f>
        <v>0</v>
      </c>
      <c r="M276" t="str" s="11" cm="1">
        <f t="array" ref="M276">IF(R276&lt;&gt;0,IF(O276&gt;=3,_xlfn.XLOOKUP(B276,'외운 것'!B2:B271,'외운 것'!D2:D271,0,1),0),"3차")</f>
        <v>3차</v>
      </c>
      <c r="N276" s="8">
        <v>2</v>
      </c>
      <c r="O276" s="8">
        <v>3</v>
      </c>
      <c r="P276" s="8">
        <v>1</v>
      </c>
      <c r="Q276" s="8">
        <v>1</v>
      </c>
      <c r="R276" s="8">
        <v>0</v>
      </c>
    </row>
    <row r="277" ht="16" customHeight="1">
      <c r="A277" s="8">
        <v>276</v>
      </c>
      <c r="B277" s="8">
        <v>45</v>
      </c>
      <c r="C277" t="s" s="9">
        <v>851</v>
      </c>
      <c r="D277" t="s" s="9">
        <v>725</v>
      </c>
      <c r="E277" t="s" s="9">
        <v>861</v>
      </c>
      <c r="F277" t="s" s="9">
        <v>862</v>
      </c>
      <c r="G277" t="s" s="9">
        <v>863</v>
      </c>
      <c r="H277" s="8" cm="1">
        <f t="array" ref="H277">MIN(SUMIF('외운 것'!A2:A271,A277,'외운 것'!D2:D271)+IF(R277=0,3,IF(R277=1,2,0)),3)</f>
        <v>3</v>
      </c>
      <c r="I277" s="8" cm="1">
        <f t="array" ref="I277">_xlfn.COUNTIFS('외운 것'!A2:A271,A277,'외운 것'!D2:D271,0)</f>
        <v>0</v>
      </c>
      <c r="J277" t="str" s="10" cm="1">
        <f t="array" ref="J277">IF(R277&lt;&gt;0,IF(H277&gt;=3,_xlfn.XLOOKUP(A277,'외운 것'!A2:A271,'외운 것'!C2:C271,0,1),0),"3차")</f>
        <v>2026-04-29</v>
      </c>
      <c r="K277" s="8" cm="1">
        <f t="array" ref="K277">IF(P277&lt;&gt;0,IF(N277&gt;=3,_xlfn.XLOOKUP(A277,'외운 것'!A2:A271,'외운 것'!C2:C271,0,1),0),"1차")</f>
        <v>0</v>
      </c>
      <c r="L277" s="8" cm="1">
        <f t="array" ref="L277">IF(Q277&lt;&gt;0,IF(N277&gt;=3,_xlfn.XLOOKUP(A277,'외운 것'!A2:A271,'외운 것'!C2:C271,0,1),0),"2차")</f>
        <v>0</v>
      </c>
      <c r="M277" s="8" cm="1">
        <f t="array" ref="M277">IF(R277&lt;&gt;0,IF(O277&gt;=3,_xlfn.XLOOKUP(B277,'외운 것'!B2:B271,'외운 것'!D2:D271,0,1),0),"3차")</f>
        <v>0</v>
      </c>
      <c r="N277" s="8">
        <v>0</v>
      </c>
      <c r="O277" s="8">
        <v>3</v>
      </c>
      <c r="P277" s="8">
        <v>2</v>
      </c>
      <c r="Q277" s="8">
        <v>1</v>
      </c>
      <c r="R277" s="8">
        <v>1</v>
      </c>
    </row>
    <row r="278" ht="16" customHeight="1">
      <c r="A278" s="8">
        <v>277</v>
      </c>
      <c r="B278" s="8">
        <v>46</v>
      </c>
      <c r="C278" t="s" s="9">
        <v>851</v>
      </c>
      <c r="D278" t="s" s="9">
        <v>725</v>
      </c>
      <c r="E278" t="s" s="9">
        <v>864</v>
      </c>
      <c r="F278" t="s" s="9">
        <v>865</v>
      </c>
      <c r="G278" t="s" s="9">
        <v>866</v>
      </c>
      <c r="H278" s="8" cm="1">
        <f t="array" ref="H278">MIN(SUMIF('외운 것'!A2:A271,A278,'외운 것'!D2:D271)+IF(R278=0,3,IF(R278=1,2,0)),3)</f>
        <v>3</v>
      </c>
      <c r="I278" s="8" cm="1">
        <f t="array" ref="I278">_xlfn.COUNTIFS('외운 것'!A2:A271,A278,'외운 것'!D2:D271,0)</f>
        <v>0</v>
      </c>
      <c r="J278" t="str" s="10" cm="1">
        <f t="array" ref="J278">IF(R278&lt;&gt;0,IF(H278&gt;=3,_xlfn.XLOOKUP(A278,'외운 것'!A2:A271,'외운 것'!C2:C271,0,1),0),"3차")</f>
        <v>3차</v>
      </c>
      <c r="K278" s="8" cm="1">
        <f t="array" ref="K278">IF(P278&lt;&gt;0,IF(N278&gt;=3,_xlfn.XLOOKUP(A278,'외운 것'!A2:A271,'외운 것'!C2:C271,0,1),0),"1차")</f>
        <v>0</v>
      </c>
      <c r="L278" t="str" s="11" cm="1">
        <f t="array" ref="L278">IF(Q278&lt;&gt;0,IF(N278&gt;=3,_xlfn.XLOOKUP(A278,'외운 것'!A2:A271,'외운 것'!C2:C271,0,1),0),"2차")</f>
        <v>2차</v>
      </c>
      <c r="M278" t="str" s="11" cm="1">
        <f t="array" ref="M278">IF(R278&lt;&gt;0,IF(O278&gt;=3,_xlfn.XLOOKUP(B278,'외운 것'!B2:B271,'외운 것'!D2:D271,0,1),0),"3차")</f>
        <v>3차</v>
      </c>
      <c r="N278" s="8">
        <v>0</v>
      </c>
      <c r="O278" s="8">
        <v>3</v>
      </c>
      <c r="P278" s="8">
        <v>3</v>
      </c>
      <c r="Q278" s="8">
        <v>0</v>
      </c>
      <c r="R278" s="8">
        <v>0</v>
      </c>
    </row>
    <row r="279" ht="16" customHeight="1">
      <c r="A279" s="8">
        <v>278</v>
      </c>
      <c r="B279" s="8">
        <v>47</v>
      </c>
      <c r="C279" t="s" s="9">
        <v>851</v>
      </c>
      <c r="D279" t="s" s="9">
        <v>725</v>
      </c>
      <c r="E279" t="s" s="9">
        <v>867</v>
      </c>
      <c r="F279" t="s" s="9">
        <v>868</v>
      </c>
      <c r="G279" t="s" s="9">
        <v>869</v>
      </c>
      <c r="H279" s="8" cm="1">
        <f t="array" ref="H279">MIN(SUMIF('외운 것'!A2:A271,A279,'외운 것'!D2:D271)+IF(R279=0,3,IF(R279=1,2,0)),3)</f>
        <v>3</v>
      </c>
      <c r="I279" s="8" cm="1">
        <f t="array" ref="I279">_xlfn.COUNTIFS('외운 것'!A2:A271,A279,'외운 것'!D2:D271,0)</f>
        <v>0</v>
      </c>
      <c r="J279" t="str" s="10" cm="1">
        <f t="array" ref="J279">IF(R279&lt;&gt;0,IF(H279&gt;=3,_xlfn.XLOOKUP(A279,'외운 것'!A2:A271,'외운 것'!C2:C271,0,1),0),"3차")</f>
        <v>3차</v>
      </c>
      <c r="K279" s="8" cm="1">
        <f t="array" ref="K279">IF(P279&lt;&gt;0,IF(N279&gt;=3,_xlfn.XLOOKUP(A279,'외운 것'!A2:A271,'외운 것'!C2:C271,0,1),0),"1차")</f>
        <v>0</v>
      </c>
      <c r="L279" t="str" s="11" cm="1">
        <f t="array" ref="L279">IF(Q279&lt;&gt;0,IF(N279&gt;=3,_xlfn.XLOOKUP(A279,'외운 것'!A2:A271,'외운 것'!C2:C271,0,1),0),"2차")</f>
        <v>2차</v>
      </c>
      <c r="M279" t="str" s="11" cm="1">
        <f t="array" ref="M279">IF(R279&lt;&gt;0,IF(O279&gt;=3,_xlfn.XLOOKUP(B279,'외운 것'!B2:B271,'외운 것'!D2:D271,0,1),0),"3차")</f>
        <v>3차</v>
      </c>
      <c r="N279" s="8">
        <v>2</v>
      </c>
      <c r="O279" s="8">
        <v>3</v>
      </c>
      <c r="P279" s="8">
        <v>1</v>
      </c>
      <c r="Q279" s="8">
        <v>0</v>
      </c>
      <c r="R279" s="8">
        <v>0</v>
      </c>
    </row>
    <row r="280" ht="16" customHeight="1">
      <c r="A280" s="8">
        <v>279</v>
      </c>
      <c r="B280" s="8">
        <v>48</v>
      </c>
      <c r="C280" t="s" s="9">
        <v>851</v>
      </c>
      <c r="D280" t="s" s="9">
        <v>725</v>
      </c>
      <c r="E280" t="s" s="9">
        <v>870</v>
      </c>
      <c r="F280" t="s" s="9">
        <v>871</v>
      </c>
      <c r="G280" t="s" s="9">
        <v>872</v>
      </c>
      <c r="H280" s="8" cm="1">
        <f t="array" ref="H280">MIN(SUMIF('외운 것'!A2:A271,A280,'외운 것'!D2:D271)+IF(R280=0,3,IF(R280=1,2,0)),3)</f>
        <v>3</v>
      </c>
      <c r="I280" s="8" cm="1">
        <f t="array" ref="I280">_xlfn.COUNTIFS('외운 것'!A2:A271,A280,'외운 것'!D2:D271,0)</f>
        <v>0</v>
      </c>
      <c r="J280" t="str" s="10" cm="1">
        <f t="array" ref="J280">IF(R280&lt;&gt;0,IF(H280&gt;=3,_xlfn.XLOOKUP(A280,'외운 것'!A2:A271,'외운 것'!C2:C271,0,1),0),"3차")</f>
        <v>3차</v>
      </c>
      <c r="K280" s="8" cm="1">
        <f t="array" ref="K280">IF(P280&lt;&gt;0,IF(N280&gt;=3,_xlfn.XLOOKUP(A280,'외운 것'!A2:A271,'외운 것'!C2:C271,0,1),0),"1차")</f>
        <v>0</v>
      </c>
      <c r="L280" t="str" s="11" cm="1">
        <f t="array" ref="L280">IF(Q280&lt;&gt;0,IF(N280&gt;=3,_xlfn.XLOOKUP(A280,'외운 것'!A2:A271,'외운 것'!C2:C271,0,1),0),"2차")</f>
        <v>2차</v>
      </c>
      <c r="M280" t="str" s="11" cm="1">
        <f t="array" ref="M280">IF(R280&lt;&gt;0,IF(O280&gt;=3,_xlfn.XLOOKUP(B280,'외운 것'!B2:B271,'외운 것'!D2:D271,0,1),0),"3차")</f>
        <v>3차</v>
      </c>
      <c r="N280" s="8">
        <v>2</v>
      </c>
      <c r="O280" s="8">
        <v>3</v>
      </c>
      <c r="P280" s="8">
        <v>1</v>
      </c>
      <c r="Q280" s="8">
        <v>0</v>
      </c>
      <c r="R280" s="8">
        <v>0</v>
      </c>
    </row>
    <row r="281" ht="16" customHeight="1">
      <c r="A281" s="8">
        <v>280</v>
      </c>
      <c r="B281" s="8">
        <v>49</v>
      </c>
      <c r="C281" t="s" s="9">
        <v>851</v>
      </c>
      <c r="D281" t="s" s="9">
        <v>725</v>
      </c>
      <c r="E281" t="s" s="9">
        <v>873</v>
      </c>
      <c r="F281" t="s" s="9">
        <v>874</v>
      </c>
      <c r="G281" t="s" s="9">
        <v>875</v>
      </c>
      <c r="H281" s="8" cm="1">
        <f t="array" ref="H281">MIN(SUMIF('외운 것'!A2:A271,A281,'외운 것'!D2:D271)+IF(R281=0,3,IF(R281=1,2,0)),3)</f>
        <v>3</v>
      </c>
      <c r="I281" s="8" cm="1">
        <f t="array" ref="I281">_xlfn.COUNTIFS('외운 것'!A2:A271,A281,'외운 것'!D2:D271,0)</f>
        <v>0</v>
      </c>
      <c r="J281" t="str" s="10" cm="1">
        <f t="array" ref="J281">IF(R281&lt;&gt;0,IF(H281&gt;=3,_xlfn.XLOOKUP(A281,'외운 것'!A2:A271,'외운 것'!C2:C271,0,1),0),"3차")</f>
        <v>3차</v>
      </c>
      <c r="K281" t="str" s="11" cm="1">
        <f t="array" ref="K281">IF(P281&lt;&gt;0,IF(N281&gt;=3,_xlfn.XLOOKUP(A281,'외운 것'!A2:A271,'외운 것'!C2:C271,0,1),0),"1차")</f>
        <v>1차</v>
      </c>
      <c r="L281" t="str" s="11" cm="1">
        <f t="array" ref="L281">IF(Q281&lt;&gt;0,IF(N281&gt;=3,_xlfn.XLOOKUP(A281,'외운 것'!A2:A271,'외운 것'!C2:C271,0,1),0),"2차")</f>
        <v>2차</v>
      </c>
      <c r="M281" t="str" s="11" cm="1">
        <f t="array" ref="M281">IF(R281&lt;&gt;0,IF(O281&gt;=3,_xlfn.XLOOKUP(B281,'외운 것'!B2:B271,'외운 것'!D2:D271,0,1),0),"3차")</f>
        <v>3차</v>
      </c>
      <c r="N281" s="8">
        <v>3</v>
      </c>
      <c r="O281" s="8">
        <v>3</v>
      </c>
      <c r="P281" s="8">
        <v>0</v>
      </c>
      <c r="Q281" s="8">
        <v>0</v>
      </c>
      <c r="R281" s="8">
        <v>0</v>
      </c>
    </row>
    <row r="282" ht="16" customHeight="1">
      <c r="A282" s="8">
        <v>281</v>
      </c>
      <c r="B282" s="8">
        <v>50</v>
      </c>
      <c r="C282" t="s" s="9">
        <v>851</v>
      </c>
      <c r="D282" t="s" s="9">
        <v>725</v>
      </c>
      <c r="E282" t="s" s="9">
        <v>876</v>
      </c>
      <c r="F282" t="s" s="9">
        <v>877</v>
      </c>
      <c r="G282" t="s" s="9">
        <v>878</v>
      </c>
      <c r="H282" s="8" cm="1">
        <f t="array" ref="H282">MIN(SUMIF('외운 것'!A2:A271,A282,'외운 것'!D2:D271)+IF(R282=0,3,IF(R282=1,2,0)),3)</f>
        <v>3</v>
      </c>
      <c r="I282" s="8" cm="1">
        <f t="array" ref="I282">_xlfn.COUNTIFS('외운 것'!A2:A271,A282,'외운 것'!D2:D271,0)</f>
        <v>0</v>
      </c>
      <c r="J282" t="str" s="10" cm="1">
        <f t="array" ref="J282">IF(R282&lt;&gt;0,IF(H282&gt;=3,_xlfn.XLOOKUP(A282,'외운 것'!A2:A271,'외운 것'!C2:C271,0,1),0),"3차")</f>
        <v>3차</v>
      </c>
      <c r="K282" s="8" cm="1">
        <f t="array" ref="K282">IF(P282&lt;&gt;0,IF(N282&gt;=3,_xlfn.XLOOKUP(A282,'외운 것'!A2:A271,'외운 것'!C2:C271,0,1),0),"1차")</f>
        <v>0</v>
      </c>
      <c r="L282" t="str" s="11" cm="1">
        <f t="array" ref="L282">IF(Q282&lt;&gt;0,IF(N282&gt;=3,_xlfn.XLOOKUP(A282,'외운 것'!A2:A271,'외운 것'!C2:C271,0,1),0),"2차")</f>
        <v>2차</v>
      </c>
      <c r="M282" t="str" s="11" cm="1">
        <f t="array" ref="M282">IF(R282&lt;&gt;0,IF(O282&gt;=3,_xlfn.XLOOKUP(B282,'외운 것'!B2:B271,'외운 것'!D2:D271,0,1),0),"3차")</f>
        <v>3차</v>
      </c>
      <c r="N282" s="8">
        <v>2</v>
      </c>
      <c r="O282" s="8">
        <v>3</v>
      </c>
      <c r="P282" s="8">
        <v>1</v>
      </c>
      <c r="Q282" s="8">
        <v>0</v>
      </c>
      <c r="R282" s="8">
        <v>0</v>
      </c>
    </row>
    <row r="283" ht="16" customHeight="1">
      <c r="A283" s="8">
        <v>282</v>
      </c>
      <c r="B283" s="8">
        <v>51</v>
      </c>
      <c r="C283" t="s" s="9">
        <v>851</v>
      </c>
      <c r="D283" t="s" s="9">
        <v>725</v>
      </c>
      <c r="E283" t="s" s="9">
        <v>879</v>
      </c>
      <c r="F283" t="s" s="9">
        <v>880</v>
      </c>
      <c r="G283" t="s" s="9">
        <v>881</v>
      </c>
      <c r="H283" s="8" cm="1">
        <f t="array" ref="H283">MIN(SUMIF('외운 것'!A2:A271,A283,'외운 것'!D2:D271)+IF(R283=0,3,IF(R283=1,2,0)),3)</f>
        <v>3</v>
      </c>
      <c r="I283" s="8" cm="1">
        <f t="array" ref="I283">_xlfn.COUNTIFS('외운 것'!A2:A271,A283,'외운 것'!D2:D271,0)</f>
        <v>0</v>
      </c>
      <c r="J283" t="str" s="10" cm="1">
        <f t="array" ref="J283">IF(R283&lt;&gt;0,IF(H283&gt;=3,_xlfn.XLOOKUP(A283,'외운 것'!A2:A271,'외운 것'!C2:C271,0,1),0),"3차")</f>
        <v>3차</v>
      </c>
      <c r="K283" s="8" cm="1">
        <f t="array" ref="K283">IF(P283&lt;&gt;0,IF(N283&gt;=3,_xlfn.XLOOKUP(A283,'외운 것'!A2:A271,'외운 것'!C2:C271,0,1),0),"1차")</f>
        <v>0</v>
      </c>
      <c r="L283" s="8" cm="1">
        <f t="array" ref="L283">IF(Q283&lt;&gt;0,IF(N283&gt;=3,_xlfn.XLOOKUP(A283,'외운 것'!A2:A271,'외운 것'!C2:C271,0,1),0),"2차")</f>
        <v>0</v>
      </c>
      <c r="M283" t="str" s="11" cm="1">
        <f t="array" ref="M283">IF(R283&lt;&gt;0,IF(O283&gt;=3,_xlfn.XLOOKUP(B283,'외운 것'!B2:B271,'외운 것'!D2:D271,0,1),0),"3차")</f>
        <v>3차</v>
      </c>
      <c r="N283" s="8">
        <v>2</v>
      </c>
      <c r="O283" s="8">
        <v>3</v>
      </c>
      <c r="P283" s="8">
        <v>1</v>
      </c>
      <c r="Q283" s="8">
        <v>1</v>
      </c>
      <c r="R283" s="8">
        <v>0</v>
      </c>
    </row>
    <row r="284" ht="16" customHeight="1">
      <c r="A284" s="8">
        <v>283</v>
      </c>
      <c r="B284" s="8">
        <v>52</v>
      </c>
      <c r="C284" t="s" s="9">
        <v>724</v>
      </c>
      <c r="D284" t="s" s="9">
        <v>725</v>
      </c>
      <c r="E284" t="s" s="9">
        <v>882</v>
      </c>
      <c r="F284" t="s" s="9">
        <v>883</v>
      </c>
      <c r="G284" t="s" s="9">
        <v>884</v>
      </c>
      <c r="H284" s="8" cm="1">
        <f t="array" ref="H284">MIN(SUMIF('외운 것'!A2:A271,A284,'외운 것'!D2:D271)+IF(R284=0,3,IF(R284=1,2,0)),3)</f>
        <v>3</v>
      </c>
      <c r="I284" s="8" cm="1">
        <f t="array" ref="I284">_xlfn.COUNTIFS('외운 것'!A2:A271,A284,'외운 것'!D2:D271,0)</f>
        <v>0</v>
      </c>
      <c r="J284" t="str" s="10" cm="1">
        <f t="array" ref="J284">IF(R284&lt;&gt;0,IF(H284&gt;=3,_xlfn.XLOOKUP(A284,'외운 것'!A2:A271,'외운 것'!C2:C271,0,1),0),"3차")</f>
        <v>3차</v>
      </c>
      <c r="K284" s="8" cm="1">
        <f t="array" ref="K284">IF(P284&lt;&gt;0,IF(N284&gt;=3,_xlfn.XLOOKUP(A284,'외운 것'!A2:A271,'외운 것'!C2:C271,0,1),0),"1차")</f>
        <v>0</v>
      </c>
      <c r="L284" s="8" cm="1">
        <f t="array" ref="L284">IF(Q284&lt;&gt;0,IF(N284&gt;=3,_xlfn.XLOOKUP(A284,'외운 것'!A2:A271,'외운 것'!C2:C271,0,1),0),"2차")</f>
        <v>0</v>
      </c>
      <c r="M284" t="str" s="11" cm="1">
        <f t="array" ref="M284">IF(R284&lt;&gt;0,IF(O284&gt;=3,_xlfn.XLOOKUP(B284,'외운 것'!B2:B271,'외운 것'!D2:D271,0,1),0),"3차")</f>
        <v>3차</v>
      </c>
      <c r="N284" s="8">
        <v>0</v>
      </c>
      <c r="O284" s="8">
        <v>3</v>
      </c>
      <c r="P284" s="8">
        <v>2</v>
      </c>
      <c r="Q284" s="8">
        <v>1</v>
      </c>
      <c r="R284" s="8">
        <v>0</v>
      </c>
    </row>
    <row r="285" ht="16" customHeight="1">
      <c r="A285" s="8">
        <v>284</v>
      </c>
      <c r="B285" s="8">
        <v>53</v>
      </c>
      <c r="C285" t="s" s="9">
        <v>724</v>
      </c>
      <c r="D285" t="s" s="9">
        <v>725</v>
      </c>
      <c r="E285" t="s" s="9">
        <v>885</v>
      </c>
      <c r="F285" t="s" s="9">
        <v>886</v>
      </c>
      <c r="G285" t="s" s="9">
        <v>887</v>
      </c>
      <c r="H285" s="8" cm="1">
        <f t="array" ref="H285">MIN(SUMIF('외운 것'!A2:A271,A285,'외운 것'!D2:D271)+IF(R285=0,3,IF(R285=1,2,0)),3)</f>
        <v>3</v>
      </c>
      <c r="I285" s="8" cm="1">
        <f t="array" ref="I285">_xlfn.COUNTIFS('외운 것'!A2:A271,A285,'외운 것'!D2:D271,0)</f>
        <v>0</v>
      </c>
      <c r="J285" t="str" s="10" cm="1">
        <f t="array" ref="J285">IF(R285&lt;&gt;0,IF(H285&gt;=3,_xlfn.XLOOKUP(A285,'외운 것'!A2:A271,'외운 것'!C2:C271,0,1),0),"3차")</f>
        <v>3차</v>
      </c>
      <c r="K285" s="8" cm="1">
        <f t="array" ref="K285">IF(P285&lt;&gt;0,IF(N285&gt;=3,_xlfn.XLOOKUP(A285,'외운 것'!A2:A271,'외운 것'!C2:C271,0,1),0),"1차")</f>
        <v>0</v>
      </c>
      <c r="L285" t="str" s="11" cm="1">
        <f t="array" ref="L285">IF(Q285&lt;&gt;0,IF(N285&gt;=3,_xlfn.XLOOKUP(A285,'외운 것'!A2:A271,'외운 것'!C2:C271,0,1),0),"2차")</f>
        <v>2차</v>
      </c>
      <c r="M285" t="str" s="11" cm="1">
        <f t="array" ref="M285">IF(R285&lt;&gt;0,IF(O285&gt;=3,_xlfn.XLOOKUP(B285,'외운 것'!B2:B271,'외운 것'!D2:D271,0,1),0),"3차")</f>
        <v>3차</v>
      </c>
      <c r="N285" s="8">
        <v>2</v>
      </c>
      <c r="O285" s="8">
        <v>3</v>
      </c>
      <c r="P285" s="8">
        <v>1</v>
      </c>
      <c r="Q285" s="8">
        <v>0</v>
      </c>
      <c r="R285" s="8">
        <v>0</v>
      </c>
    </row>
    <row r="286" ht="16" customHeight="1">
      <c r="A286" s="8">
        <v>285</v>
      </c>
      <c r="B286" s="8">
        <v>54</v>
      </c>
      <c r="C286" t="s" s="9">
        <v>724</v>
      </c>
      <c r="D286" t="s" s="9">
        <v>725</v>
      </c>
      <c r="E286" t="s" s="9">
        <v>888</v>
      </c>
      <c r="F286" t="s" s="9">
        <v>889</v>
      </c>
      <c r="G286" t="s" s="9">
        <v>890</v>
      </c>
      <c r="H286" s="8" cm="1">
        <f t="array" ref="H286">MIN(SUMIF('외운 것'!A2:A271,A286,'외운 것'!D2:D271)+IF(R286=0,3,IF(R286=1,2,0)),3)</f>
        <v>3</v>
      </c>
      <c r="I286" s="8" cm="1">
        <f t="array" ref="I286">_xlfn.COUNTIFS('외운 것'!A2:A271,A286,'외운 것'!D2:D271,0)</f>
        <v>0</v>
      </c>
      <c r="J286" t="str" s="10" cm="1">
        <f t="array" ref="J286">IF(R286&lt;&gt;0,IF(H286&gt;=3,_xlfn.XLOOKUP(A286,'외운 것'!A2:A271,'외운 것'!C2:C271,0,1),0),"3차")</f>
        <v>3차</v>
      </c>
      <c r="K286" s="8" cm="1">
        <f t="array" ref="K286">IF(P286&lt;&gt;0,IF(N286&gt;=3,_xlfn.XLOOKUP(A286,'외운 것'!A2:A271,'외운 것'!C2:C271,0,1),0),"1차")</f>
        <v>0</v>
      </c>
      <c r="L286" s="8" cm="1">
        <f t="array" ref="L286">IF(Q286&lt;&gt;0,IF(N286&gt;=3,_xlfn.XLOOKUP(A286,'외운 것'!A2:A271,'외운 것'!C2:C271,0,1),0),"2차")</f>
        <v>0</v>
      </c>
      <c r="M286" t="str" s="11" cm="1">
        <f t="array" ref="M286">IF(R286&lt;&gt;0,IF(O286&gt;=3,_xlfn.XLOOKUP(B286,'외운 것'!B2:B271,'외운 것'!D2:D271,0,1),0),"3차")</f>
        <v>3차</v>
      </c>
      <c r="N286" s="8">
        <v>2</v>
      </c>
      <c r="O286" s="8">
        <v>3</v>
      </c>
      <c r="P286" s="8">
        <v>1</v>
      </c>
      <c r="Q286" s="8">
        <v>1</v>
      </c>
      <c r="R286" s="8">
        <v>0</v>
      </c>
    </row>
    <row r="287" ht="16" customHeight="1">
      <c r="A287" s="8">
        <v>286</v>
      </c>
      <c r="B287" s="8">
        <v>1</v>
      </c>
      <c r="C287" t="s" s="9">
        <v>724</v>
      </c>
      <c r="D287" t="s" s="9">
        <v>891</v>
      </c>
      <c r="E287" t="s" s="9">
        <v>892</v>
      </c>
      <c r="F287" t="s" s="9">
        <v>893</v>
      </c>
      <c r="G287" t="s" s="9">
        <v>894</v>
      </c>
      <c r="H287" s="8" cm="1">
        <f t="array" ref="H287">MIN(SUMIF('외운 것'!A2:A271,A287,'외운 것'!D2:D271)+IF(R287=0,3,IF(R287=1,2,0)),3)</f>
        <v>3</v>
      </c>
      <c r="I287" s="8" cm="1">
        <f t="array" ref="I287">_xlfn.COUNTIFS('외운 것'!A2:A271,A287,'외운 것'!D2:D271,0)</f>
        <v>0</v>
      </c>
      <c r="J287" t="str" s="10" cm="1">
        <f t="array" ref="J287">IF(R287&lt;&gt;0,IF(H287&gt;=3,_xlfn.XLOOKUP(A287,'외운 것'!A2:A271,'외운 것'!C2:C271,0,1),0),"3차")</f>
        <v>2026-04-29</v>
      </c>
      <c r="K287" s="8" cm="1">
        <f t="array" ref="K287">IF(P287&lt;&gt;0,IF(N287&gt;=3,_xlfn.XLOOKUP(A287,'외운 것'!A2:A271,'외운 것'!C2:C271,0,1),0),"1차")</f>
        <v>0</v>
      </c>
      <c r="L287" s="8" cm="1">
        <f t="array" ref="L287">IF(Q287&lt;&gt;0,IF(N287&gt;=3,_xlfn.XLOOKUP(A287,'외운 것'!A2:A271,'외운 것'!C2:C271,0,1),0),"2차")</f>
        <v>0</v>
      </c>
      <c r="M287" s="8" cm="1">
        <f t="array" ref="M287">IF(R287&lt;&gt;0,IF(O287&gt;=3,_xlfn.XLOOKUP(B287,'외운 것'!B2:B271,'외운 것'!D2:D271,0,1),0),"3차")</f>
        <v>0</v>
      </c>
      <c r="N287" s="8">
        <v>0</v>
      </c>
      <c r="O287" s="8">
        <v>3</v>
      </c>
      <c r="P287" s="8">
        <v>3</v>
      </c>
      <c r="Q287" s="8">
        <v>1</v>
      </c>
      <c r="R287" s="8">
        <v>1</v>
      </c>
    </row>
    <row r="288" ht="16" customHeight="1">
      <c r="A288" s="8">
        <v>287</v>
      </c>
      <c r="B288" s="8">
        <v>2</v>
      </c>
      <c r="C288" t="s" s="9">
        <v>774</v>
      </c>
      <c r="D288" t="s" s="9">
        <v>891</v>
      </c>
      <c r="E288" t="s" s="9">
        <v>895</v>
      </c>
      <c r="F288" t="s" s="9">
        <v>896</v>
      </c>
      <c r="G288" t="s" s="9">
        <v>897</v>
      </c>
      <c r="H288" s="8" cm="1">
        <f t="array" ref="H288">MIN(SUMIF('외운 것'!A2:A271,A288,'외운 것'!D2:D271)+IF(R288=0,3,IF(R288=1,2,0)),3)</f>
        <v>3</v>
      </c>
      <c r="I288" s="8" cm="1">
        <f t="array" ref="I288">_xlfn.COUNTIFS('외운 것'!A2:A271,A288,'외운 것'!D2:D271,0)</f>
        <v>0</v>
      </c>
      <c r="J288" t="str" s="10" cm="1">
        <f t="array" ref="J288">IF(R288&lt;&gt;0,IF(H288&gt;=3,_xlfn.XLOOKUP(A288,'외운 것'!A2:A271,'외운 것'!C2:C271,0,1),0),"3차")</f>
        <v>3차</v>
      </c>
      <c r="K288" s="8" cm="1">
        <f t="array" ref="K288">IF(P288&lt;&gt;0,IF(N288&gt;=3,_xlfn.XLOOKUP(A288,'외운 것'!A2:A271,'외운 것'!C2:C271,0,1),0),"1차")</f>
        <v>0</v>
      </c>
      <c r="L288" t="str" s="11" cm="1">
        <f t="array" ref="L288">IF(Q288&lt;&gt;0,IF(N288&gt;=3,_xlfn.XLOOKUP(A288,'외운 것'!A2:A271,'외운 것'!C2:C271,0,1),0),"2차")</f>
        <v>2차</v>
      </c>
      <c r="M288" t="str" s="11" cm="1">
        <f t="array" ref="M288">IF(R288&lt;&gt;0,IF(O288&gt;=3,_xlfn.XLOOKUP(B288,'외운 것'!B2:B271,'외운 것'!D2:D271,0,1),0),"3차")</f>
        <v>3차</v>
      </c>
      <c r="N288" s="8">
        <v>2</v>
      </c>
      <c r="O288" s="8">
        <v>3</v>
      </c>
      <c r="P288" s="8">
        <v>1</v>
      </c>
      <c r="Q288" s="8">
        <v>0</v>
      </c>
      <c r="R288" s="8">
        <v>0</v>
      </c>
    </row>
    <row r="289" ht="16" customHeight="1">
      <c r="A289" s="8">
        <v>288</v>
      </c>
      <c r="B289" s="8">
        <v>3</v>
      </c>
      <c r="C289" t="s" s="9">
        <v>774</v>
      </c>
      <c r="D289" t="s" s="9">
        <v>891</v>
      </c>
      <c r="E289" t="s" s="9">
        <v>898</v>
      </c>
      <c r="F289" t="s" s="9">
        <v>899</v>
      </c>
      <c r="G289" t="s" s="9">
        <v>900</v>
      </c>
      <c r="H289" s="8" cm="1">
        <f t="array" ref="H289">MIN(SUMIF('외운 것'!A2:A271,A289,'외운 것'!D2:D271)+IF(R289=0,3,IF(R289=1,2,0)),3)</f>
        <v>3</v>
      </c>
      <c r="I289" s="8" cm="1">
        <f t="array" ref="I289">_xlfn.COUNTIFS('외운 것'!A2:A271,A289,'외운 것'!D2:D271,0)</f>
        <v>0</v>
      </c>
      <c r="J289" t="str" s="10" cm="1">
        <f t="array" ref="J289">IF(R289&lt;&gt;0,IF(H289&gt;=3,_xlfn.XLOOKUP(A289,'외운 것'!A2:A271,'외운 것'!C2:C271,0,1),0),"3차")</f>
        <v>3차</v>
      </c>
      <c r="K289" t="str" s="11" cm="1">
        <f t="array" ref="K289">IF(P289&lt;&gt;0,IF(N289&gt;=3,_xlfn.XLOOKUP(A289,'외운 것'!A2:A271,'외운 것'!C2:C271,0,1),0),"1차")</f>
        <v>1차</v>
      </c>
      <c r="L289" t="str" s="11" cm="1">
        <f t="array" ref="L289">IF(Q289&lt;&gt;0,IF(N289&gt;=3,_xlfn.XLOOKUP(A289,'외운 것'!A2:A271,'외운 것'!C2:C271,0,1),0),"2차")</f>
        <v>2차</v>
      </c>
      <c r="M289" t="str" s="11" cm="1">
        <f t="array" ref="M289">IF(R289&lt;&gt;0,IF(O289&gt;=3,_xlfn.XLOOKUP(B289,'외운 것'!B2:B271,'외운 것'!D2:D271,0,1),0),"3차")</f>
        <v>3차</v>
      </c>
      <c r="N289" s="8">
        <v>3</v>
      </c>
      <c r="O289" s="8">
        <v>3</v>
      </c>
      <c r="P289" s="8">
        <v>0</v>
      </c>
      <c r="Q289" s="8">
        <v>0</v>
      </c>
      <c r="R289" s="8">
        <v>0</v>
      </c>
    </row>
    <row r="290" ht="16" customHeight="1">
      <c r="A290" s="8">
        <v>289</v>
      </c>
      <c r="B290" s="8">
        <v>4</v>
      </c>
      <c r="C290" t="s" s="9">
        <v>774</v>
      </c>
      <c r="D290" t="s" s="9">
        <v>891</v>
      </c>
      <c r="E290" t="s" s="9">
        <v>901</v>
      </c>
      <c r="F290" t="s" s="9">
        <v>902</v>
      </c>
      <c r="G290" t="s" s="9">
        <v>903</v>
      </c>
      <c r="H290" s="8" cm="1">
        <f t="array" ref="H290">MIN(SUMIF('외운 것'!A2:A271,A290,'외운 것'!D2:D271)+IF(R290=0,3,IF(R290=1,2,0)),3)</f>
        <v>3</v>
      </c>
      <c r="I290" s="8" cm="1">
        <f t="array" ref="I290">_xlfn.COUNTIFS('외운 것'!A2:A271,A290,'외운 것'!D2:D271,0)</f>
        <v>0</v>
      </c>
      <c r="J290" t="str" s="10" cm="1">
        <f t="array" ref="J290">IF(R290&lt;&gt;0,IF(H290&gt;=3,_xlfn.XLOOKUP(A290,'외운 것'!A2:A271,'외운 것'!C2:C271,0,1),0),"3차")</f>
        <v>3차</v>
      </c>
      <c r="K290" s="8" cm="1">
        <f t="array" ref="K290">IF(P290&lt;&gt;0,IF(N290&gt;=3,_xlfn.XLOOKUP(A290,'외운 것'!A2:A271,'외운 것'!C2:C271,0,1),0),"1차")</f>
        <v>0</v>
      </c>
      <c r="L290" t="str" s="11" cm="1">
        <f t="array" ref="L290">IF(Q290&lt;&gt;0,IF(N290&gt;=3,_xlfn.XLOOKUP(A290,'외운 것'!A2:A271,'외운 것'!C2:C271,0,1),0),"2차")</f>
        <v>2차</v>
      </c>
      <c r="M290" t="str" s="11" cm="1">
        <f t="array" ref="M290">IF(R290&lt;&gt;0,IF(O290&gt;=3,_xlfn.XLOOKUP(B290,'외운 것'!B2:B271,'외운 것'!D2:D271,0,1),0),"3차")</f>
        <v>3차</v>
      </c>
      <c r="N290" s="8">
        <v>0</v>
      </c>
      <c r="O290" s="8">
        <v>3</v>
      </c>
      <c r="P290" s="8">
        <v>3</v>
      </c>
      <c r="Q290" s="8">
        <v>0</v>
      </c>
      <c r="R290" s="8">
        <v>0</v>
      </c>
    </row>
    <row r="291" ht="16" customHeight="1">
      <c r="A291" s="8">
        <v>290</v>
      </c>
      <c r="B291" s="8">
        <v>5</v>
      </c>
      <c r="C291" t="s" s="9">
        <v>774</v>
      </c>
      <c r="D291" t="s" s="9">
        <v>891</v>
      </c>
      <c r="E291" t="s" s="9">
        <v>904</v>
      </c>
      <c r="F291" t="s" s="9">
        <v>905</v>
      </c>
      <c r="G291" t="s" s="9">
        <v>906</v>
      </c>
      <c r="H291" s="8" cm="1">
        <f t="array" ref="H291">MIN(SUMIF('외운 것'!A2:A271,A291,'외운 것'!D2:D271)+IF(R291=0,3,IF(R291=1,2,0)),3)</f>
        <v>3</v>
      </c>
      <c r="I291" s="8" cm="1">
        <f t="array" ref="I291">_xlfn.COUNTIFS('외운 것'!A2:A271,A291,'외운 것'!D2:D271,0)</f>
        <v>0</v>
      </c>
      <c r="J291" t="str" s="10" cm="1">
        <f t="array" ref="J291">IF(R291&lt;&gt;0,IF(H291&gt;=3,_xlfn.XLOOKUP(A291,'외운 것'!A2:A271,'외운 것'!C2:C271,0,1),0),"3차")</f>
        <v>3차</v>
      </c>
      <c r="K291" s="8" cm="1">
        <f t="array" ref="K291">IF(P291&lt;&gt;0,IF(N291&gt;=3,_xlfn.XLOOKUP(A291,'외운 것'!A2:A271,'외운 것'!C2:C271,0,1),0),"1차")</f>
        <v>0</v>
      </c>
      <c r="L291" t="str" s="11" cm="1">
        <f t="array" ref="L291">IF(Q291&lt;&gt;0,IF(N291&gt;=3,_xlfn.XLOOKUP(A291,'외운 것'!A2:A271,'외운 것'!C2:C271,0,1),0),"2차")</f>
        <v>2차</v>
      </c>
      <c r="M291" t="str" s="11" cm="1">
        <f t="array" ref="M291">IF(R291&lt;&gt;0,IF(O291&gt;=3,_xlfn.XLOOKUP(B291,'외운 것'!B2:B271,'외운 것'!D2:D271,0,1),0),"3차")</f>
        <v>3차</v>
      </c>
      <c r="N291" s="8">
        <v>0</v>
      </c>
      <c r="O291" s="8">
        <v>3</v>
      </c>
      <c r="P291" s="8">
        <v>2</v>
      </c>
      <c r="Q291" s="8">
        <v>0</v>
      </c>
      <c r="R291" s="8">
        <v>0</v>
      </c>
    </row>
    <row r="292" ht="16" customHeight="1">
      <c r="A292" s="8">
        <v>291</v>
      </c>
      <c r="B292" s="8">
        <v>6</v>
      </c>
      <c r="C292" t="s" s="9">
        <v>841</v>
      </c>
      <c r="D292" t="s" s="9">
        <v>891</v>
      </c>
      <c r="E292" t="s" s="9">
        <v>907</v>
      </c>
      <c r="F292" t="s" s="9">
        <v>908</v>
      </c>
      <c r="G292" t="s" s="9">
        <v>909</v>
      </c>
      <c r="H292" s="8" cm="1">
        <f t="array" ref="H292">MIN(SUMIF('외운 것'!A2:A271,A292,'외운 것'!D2:D271)+IF(R292=0,3,IF(R292=1,2,0)),3)</f>
        <v>3</v>
      </c>
      <c r="I292" s="8" cm="1">
        <f t="array" ref="I292">_xlfn.COUNTIFS('외운 것'!A2:A271,A292,'외운 것'!D2:D271,0)</f>
        <v>0</v>
      </c>
      <c r="J292" t="str" s="10" cm="1">
        <f t="array" ref="J292">IF(R292&lt;&gt;0,IF(H292&gt;=3,_xlfn.XLOOKUP(A292,'외운 것'!A2:A271,'외운 것'!C2:C271,0,1),0),"3차")</f>
        <v>3차</v>
      </c>
      <c r="K292" s="8" cm="1">
        <f t="array" ref="K292">IF(P292&lt;&gt;0,IF(N292&gt;=3,_xlfn.XLOOKUP(A292,'외운 것'!A2:A271,'외운 것'!C2:C271,0,1),0),"1차")</f>
        <v>0</v>
      </c>
      <c r="L292" t="str" s="11" cm="1">
        <f t="array" ref="L292">IF(Q292&lt;&gt;0,IF(N292&gt;=3,_xlfn.XLOOKUP(A292,'외운 것'!A2:A271,'외운 것'!C2:C271,0,1),0),"2차")</f>
        <v>2차</v>
      </c>
      <c r="M292" t="str" s="11" cm="1">
        <f t="array" ref="M292">IF(R292&lt;&gt;0,IF(O292&gt;=3,_xlfn.XLOOKUP(B292,'외운 것'!B2:B271,'외운 것'!D2:D271,0,1),0),"3차")</f>
        <v>3차</v>
      </c>
      <c r="N292" s="8">
        <v>0</v>
      </c>
      <c r="O292" s="8">
        <v>3</v>
      </c>
      <c r="P292" s="8">
        <v>2</v>
      </c>
      <c r="Q292" s="8">
        <v>0</v>
      </c>
      <c r="R292" s="8">
        <v>0</v>
      </c>
    </row>
    <row r="293" ht="16" customHeight="1">
      <c r="A293" s="8">
        <v>292</v>
      </c>
      <c r="B293" s="8">
        <v>7</v>
      </c>
      <c r="C293" t="s" s="9">
        <v>851</v>
      </c>
      <c r="D293" t="s" s="9">
        <v>891</v>
      </c>
      <c r="E293" t="s" s="9">
        <v>910</v>
      </c>
      <c r="F293" t="s" s="9">
        <v>911</v>
      </c>
      <c r="G293" t="s" s="9">
        <v>912</v>
      </c>
      <c r="H293" s="8" cm="1">
        <f t="array" ref="H293">MIN(SUMIF('외운 것'!A2:A271,A293,'외운 것'!D2:D271)+IF(R293=0,3,IF(R293=1,2,0)),3)</f>
        <v>3</v>
      </c>
      <c r="I293" s="8" cm="1">
        <f t="array" ref="I293">_xlfn.COUNTIFS('외운 것'!A2:A271,A293,'외운 것'!D2:D271,0)</f>
        <v>1</v>
      </c>
      <c r="J293" t="str" s="10" cm="1">
        <f t="array" ref="J293">IF(R293&lt;&gt;0,IF(H293&gt;=3,_xlfn.XLOOKUP(A293,'외운 것'!A2:A271,'외운 것'!C2:C271,0,1),0),"3차")</f>
        <v>2026-04-30</v>
      </c>
      <c r="K293" s="8" cm="1">
        <f t="array" ref="K293">IF(P293&lt;&gt;0,IF(N293&gt;=3,_xlfn.XLOOKUP(A293,'외운 것'!A2:A271,'외운 것'!C2:C271,0,1),0),"1차")</f>
        <v>0</v>
      </c>
      <c r="L293" s="8" cm="1">
        <f t="array" ref="L293">IF(Q293&lt;&gt;0,IF(N293&gt;=3,_xlfn.XLOOKUP(A293,'외운 것'!A2:A271,'외운 것'!C2:C271,0,1),0),"2차")</f>
        <v>0</v>
      </c>
      <c r="M293" s="8" cm="1">
        <f t="array" ref="M293">IF(R293&lt;&gt;0,IF(O293&gt;=3,_xlfn.XLOOKUP(B293,'외운 것'!B2:B271,'외운 것'!D2:D271,0,1),0),"3차")</f>
        <v>0</v>
      </c>
      <c r="N293" s="8">
        <v>2</v>
      </c>
      <c r="O293" s="8">
        <v>3</v>
      </c>
      <c r="P293" s="8">
        <v>1</v>
      </c>
      <c r="Q293" s="8">
        <v>1</v>
      </c>
      <c r="R293" s="8">
        <v>1</v>
      </c>
    </row>
    <row r="294" ht="16" customHeight="1">
      <c r="A294" s="8">
        <v>293</v>
      </c>
      <c r="B294" s="8">
        <v>8</v>
      </c>
      <c r="C294" t="s" s="9">
        <v>851</v>
      </c>
      <c r="D294" t="s" s="9">
        <v>891</v>
      </c>
      <c r="E294" t="s" s="9">
        <v>913</v>
      </c>
      <c r="F294" t="s" s="9">
        <v>914</v>
      </c>
      <c r="G294" t="s" s="9">
        <v>915</v>
      </c>
      <c r="H294" s="8" cm="1">
        <f t="array" ref="H294">MIN(SUMIF('외운 것'!A2:A271,A294,'외운 것'!D2:D271)+IF(R294=0,3,IF(R294=1,2,0)),3)</f>
        <v>3</v>
      </c>
      <c r="I294" s="8" cm="1">
        <f t="array" ref="I294">_xlfn.COUNTIFS('외운 것'!A2:A271,A294,'외운 것'!D2:D271,0)</f>
        <v>1</v>
      </c>
      <c r="J294" t="str" s="10" cm="1">
        <f t="array" ref="J294">IF(R294&lt;&gt;0,IF(H294&gt;=3,_xlfn.XLOOKUP(A294,'외운 것'!A2:A271,'외운 것'!C2:C271,0,1),0),"3차")</f>
        <v>2026-04-30</v>
      </c>
      <c r="K294" s="8" cm="1">
        <f t="array" ref="K294">IF(P294&lt;&gt;0,IF(N294&gt;=3,_xlfn.XLOOKUP(A294,'외운 것'!A2:A271,'외운 것'!C2:C271,0,1),0),"1차")</f>
        <v>0</v>
      </c>
      <c r="L294" s="8" cm="1">
        <f t="array" ref="L294">IF(Q294&lt;&gt;0,IF(N294&gt;=3,_xlfn.XLOOKUP(A294,'외운 것'!A2:A271,'외운 것'!C2:C271,0,1),0),"2차")</f>
        <v>0</v>
      </c>
      <c r="M294" s="8" cm="1">
        <f t="array" ref="M294">IF(R294&lt;&gt;0,IF(O294&gt;=3,_xlfn.XLOOKUP(B294,'외운 것'!B2:B271,'외운 것'!D2:D271,0,1),0),"3차")</f>
        <v>0</v>
      </c>
      <c r="N294" s="8">
        <v>2</v>
      </c>
      <c r="O294" s="8">
        <v>3</v>
      </c>
      <c r="P294" s="8">
        <v>1</v>
      </c>
      <c r="Q294" s="8">
        <v>1</v>
      </c>
      <c r="R294" s="8">
        <v>1</v>
      </c>
    </row>
    <row r="295" ht="16" customHeight="1">
      <c r="A295" s="8">
        <v>294</v>
      </c>
      <c r="B295" s="8">
        <v>9</v>
      </c>
      <c r="C295" t="s" s="9">
        <v>851</v>
      </c>
      <c r="D295" t="s" s="9">
        <v>891</v>
      </c>
      <c r="E295" t="s" s="9">
        <v>916</v>
      </c>
      <c r="F295" t="s" s="9">
        <v>917</v>
      </c>
      <c r="G295" t="s" s="9">
        <v>918</v>
      </c>
      <c r="H295" s="8" cm="1">
        <f t="array" ref="H295">MIN(SUMIF('외운 것'!A2:A271,A295,'외운 것'!D2:D271)+IF(R295=0,3,IF(R295=1,2,0)),3)</f>
        <v>3</v>
      </c>
      <c r="I295" s="8" cm="1">
        <f t="array" ref="I295">_xlfn.COUNTIFS('외운 것'!A2:A271,A295,'외운 것'!D2:D271,0)</f>
        <v>1</v>
      </c>
      <c r="J295" t="str" s="10" cm="1">
        <f t="array" ref="J295">IF(R295&lt;&gt;0,IF(H295&gt;=3,_xlfn.XLOOKUP(A295,'외운 것'!A2:A271,'외운 것'!C2:C271,0,1),0),"3차")</f>
        <v>2026-04-30</v>
      </c>
      <c r="K295" s="8" cm="1">
        <f t="array" ref="K295">IF(P295&lt;&gt;0,IF(N295&gt;=3,_xlfn.XLOOKUP(A295,'외운 것'!A2:A271,'외운 것'!C2:C271,0,1),0),"1차")</f>
        <v>0</v>
      </c>
      <c r="L295" s="8" cm="1">
        <f t="array" ref="L295">IF(Q295&lt;&gt;0,IF(N295&gt;=3,_xlfn.XLOOKUP(A295,'외운 것'!A2:A271,'외운 것'!C2:C271,0,1),0),"2차")</f>
        <v>0</v>
      </c>
      <c r="M295" s="8" cm="1">
        <f t="array" ref="M295">IF(R295&lt;&gt;0,IF(O295&gt;=3,_xlfn.XLOOKUP(B295,'외운 것'!B2:B271,'외운 것'!D2:D271,0,1),0),"3차")</f>
        <v>0</v>
      </c>
      <c r="N295" s="8">
        <v>0</v>
      </c>
      <c r="O295" s="8">
        <v>3</v>
      </c>
      <c r="P295" s="8">
        <v>4</v>
      </c>
      <c r="Q295" s="8">
        <v>2</v>
      </c>
      <c r="R295" s="8">
        <v>1</v>
      </c>
    </row>
    <row r="296" ht="16" customHeight="1">
      <c r="A296" s="8">
        <v>295</v>
      </c>
      <c r="B296" s="8">
        <v>10</v>
      </c>
      <c r="C296" t="s" s="9">
        <v>851</v>
      </c>
      <c r="D296" t="s" s="9">
        <v>891</v>
      </c>
      <c r="E296" t="s" s="9">
        <v>919</v>
      </c>
      <c r="F296" t="s" s="9">
        <v>920</v>
      </c>
      <c r="G296" t="s" s="9">
        <v>921</v>
      </c>
      <c r="H296" s="8" cm="1">
        <f t="array" ref="H296">MIN(SUMIF('외운 것'!A2:A271,A296,'외운 것'!D2:D271)+IF(R296=0,3,IF(R296=1,2,0)),3)</f>
        <v>3</v>
      </c>
      <c r="I296" s="8" cm="1">
        <f t="array" ref="I296">_xlfn.COUNTIFS('외운 것'!A2:A271,A296,'외운 것'!D2:D271,0)</f>
        <v>0</v>
      </c>
      <c r="J296" t="str" s="10" cm="1">
        <f t="array" ref="J296">IF(R296&lt;&gt;0,IF(H296&gt;=3,_xlfn.XLOOKUP(A296,'외운 것'!A2:A271,'외운 것'!C2:C271,0,1),0),"3차")</f>
        <v>3차</v>
      </c>
      <c r="K296" t="str" s="11" cm="1">
        <f t="array" ref="K296">IF(P296&lt;&gt;0,IF(N296&gt;=3,_xlfn.XLOOKUP(A296,'외운 것'!A2:A271,'외운 것'!C2:C271,0,1),0),"1차")</f>
        <v>1차</v>
      </c>
      <c r="L296" t="str" s="11" cm="1">
        <f t="array" ref="L296">IF(Q296&lt;&gt;0,IF(N296&gt;=3,_xlfn.XLOOKUP(A296,'외운 것'!A2:A271,'외운 것'!C2:C271,0,1),0),"2차")</f>
        <v>2차</v>
      </c>
      <c r="M296" t="str" s="11" cm="1">
        <f t="array" ref="M296">IF(R296&lt;&gt;0,IF(O296&gt;=3,_xlfn.XLOOKUP(B296,'외운 것'!B2:B271,'외운 것'!D2:D271,0,1),0),"3차")</f>
        <v>3차</v>
      </c>
      <c r="N296" s="8">
        <v>3</v>
      </c>
      <c r="O296" s="8">
        <v>3</v>
      </c>
      <c r="P296" s="8">
        <v>0</v>
      </c>
      <c r="Q296" s="8">
        <v>0</v>
      </c>
      <c r="R296" s="8">
        <v>0</v>
      </c>
    </row>
    <row r="297" ht="16" customHeight="1">
      <c r="A297" s="8">
        <v>296</v>
      </c>
      <c r="B297" s="8">
        <v>11</v>
      </c>
      <c r="C297" t="s" s="9">
        <v>851</v>
      </c>
      <c r="D297" t="s" s="9">
        <v>891</v>
      </c>
      <c r="E297" t="s" s="9">
        <v>922</v>
      </c>
      <c r="F297" t="s" s="9">
        <v>923</v>
      </c>
      <c r="G297" t="s" s="9">
        <v>924</v>
      </c>
      <c r="H297" s="8" cm="1">
        <f t="array" ref="H297">MIN(SUMIF('외운 것'!A2:A271,A297,'외운 것'!D2:D271)+IF(R297=0,3,IF(R297=1,2,0)),3)</f>
        <v>3</v>
      </c>
      <c r="I297" s="8" cm="1">
        <f t="array" ref="I297">_xlfn.COUNTIFS('외운 것'!A2:A271,A297,'외운 것'!D2:D271,0)</f>
        <v>0</v>
      </c>
      <c r="J297" t="str" s="10" cm="1">
        <f t="array" ref="J297">IF(R297&lt;&gt;0,IF(H297&gt;=3,_xlfn.XLOOKUP(A297,'외운 것'!A2:A271,'외운 것'!C2:C271,0,1),0),"3차")</f>
        <v>3차</v>
      </c>
      <c r="K297" s="8" cm="1">
        <f t="array" ref="K297">IF(P297&lt;&gt;0,IF(N297&gt;=3,_xlfn.XLOOKUP(A297,'외운 것'!A2:A271,'외운 것'!C2:C271,0,1),0),"1차")</f>
        <v>0</v>
      </c>
      <c r="L297" t="str" s="11" cm="1">
        <f t="array" ref="L297">IF(Q297&lt;&gt;0,IF(N297&gt;=3,_xlfn.XLOOKUP(A297,'외운 것'!A2:A271,'외운 것'!C2:C271,0,1),0),"2차")</f>
        <v>2차</v>
      </c>
      <c r="M297" t="str" s="11" cm="1">
        <f t="array" ref="M297">IF(R297&lt;&gt;0,IF(O297&gt;=3,_xlfn.XLOOKUP(B297,'외운 것'!B2:B271,'외운 것'!D2:D271,0,1),0),"3차")</f>
        <v>3차</v>
      </c>
      <c r="N297" s="8">
        <v>2</v>
      </c>
      <c r="O297" s="8">
        <v>3</v>
      </c>
      <c r="P297" s="8">
        <v>1</v>
      </c>
      <c r="Q297" s="8">
        <v>0</v>
      </c>
      <c r="R297" s="8">
        <v>0</v>
      </c>
    </row>
    <row r="298" ht="16" customHeight="1">
      <c r="A298" s="8">
        <v>297</v>
      </c>
      <c r="B298" s="8">
        <v>12</v>
      </c>
      <c r="C298" t="s" s="9">
        <v>851</v>
      </c>
      <c r="D298" t="s" s="9">
        <v>891</v>
      </c>
      <c r="E298" t="s" s="9">
        <v>925</v>
      </c>
      <c r="F298" t="s" s="9">
        <v>926</v>
      </c>
      <c r="G298" t="s" s="9">
        <v>927</v>
      </c>
      <c r="H298" s="8" cm="1">
        <f t="array" ref="H298">MIN(SUMIF('외운 것'!A2:A271,A298,'외운 것'!D2:D271)+IF(R298=0,3,IF(R298=1,2,0)),3)</f>
        <v>3</v>
      </c>
      <c r="I298" s="8" cm="1">
        <f t="array" ref="I298">_xlfn.COUNTIFS('외운 것'!A2:A271,A298,'외운 것'!D2:D271,0)</f>
        <v>0</v>
      </c>
      <c r="J298" t="str" s="10" cm="1">
        <f t="array" ref="J298">IF(R298&lt;&gt;0,IF(H298&gt;=3,_xlfn.XLOOKUP(A298,'외운 것'!A2:A271,'외운 것'!C2:C271,0,1),0),"3차")</f>
        <v>3차</v>
      </c>
      <c r="K298" s="8" cm="1">
        <f t="array" ref="K298">IF(P298&lt;&gt;0,IF(N298&gt;=3,_xlfn.XLOOKUP(A298,'외운 것'!A2:A271,'외운 것'!C2:C271,0,1),0),"1차")</f>
        <v>0</v>
      </c>
      <c r="L298" s="8" cm="1">
        <f t="array" ref="L298">IF(Q298&lt;&gt;0,IF(N298&gt;=3,_xlfn.XLOOKUP(A298,'외운 것'!A2:A271,'외운 것'!C2:C271,0,1),0),"2차")</f>
        <v>0</v>
      </c>
      <c r="M298" t="str" s="11" cm="1">
        <f t="array" ref="M298">IF(R298&lt;&gt;0,IF(O298&gt;=3,_xlfn.XLOOKUP(B298,'외운 것'!B2:B271,'외운 것'!D2:D271,0,1),0),"3차")</f>
        <v>3차</v>
      </c>
      <c r="N298" s="8">
        <v>0</v>
      </c>
      <c r="O298" s="8">
        <v>3</v>
      </c>
      <c r="P298" s="8">
        <v>3</v>
      </c>
      <c r="Q298" s="8">
        <v>1</v>
      </c>
      <c r="R298" s="8">
        <v>0</v>
      </c>
    </row>
    <row r="299" ht="16" customHeight="1">
      <c r="A299" s="8">
        <v>298</v>
      </c>
      <c r="B299" s="8">
        <v>13</v>
      </c>
      <c r="C299" t="s" s="9">
        <v>851</v>
      </c>
      <c r="D299" t="s" s="9">
        <v>891</v>
      </c>
      <c r="E299" t="s" s="9">
        <v>928</v>
      </c>
      <c r="F299" t="s" s="9">
        <v>929</v>
      </c>
      <c r="G299" t="s" s="9">
        <v>930</v>
      </c>
      <c r="H299" s="8" cm="1">
        <f t="array" ref="H299">MIN(SUMIF('외운 것'!A2:A271,A299,'외운 것'!D2:D271)+IF(R299=0,3,IF(R299=1,2,0)),3)</f>
        <v>3</v>
      </c>
      <c r="I299" s="8" cm="1">
        <f t="array" ref="I299">_xlfn.COUNTIFS('외운 것'!A2:A271,A299,'외운 것'!D2:D271,0)</f>
        <v>0</v>
      </c>
      <c r="J299" t="str" s="10" cm="1">
        <f t="array" ref="J299">IF(R299&lt;&gt;0,IF(H299&gt;=3,_xlfn.XLOOKUP(A299,'외운 것'!A2:A271,'외운 것'!C2:C271,0,1),0),"3차")</f>
        <v>3차</v>
      </c>
      <c r="K299" t="str" s="11" cm="1">
        <f t="array" ref="K299">IF(P299&lt;&gt;0,IF(N299&gt;=3,_xlfn.XLOOKUP(A299,'외운 것'!A2:A271,'외운 것'!C2:C271,0,1),0),"1차")</f>
        <v>1차</v>
      </c>
      <c r="L299" t="str" s="11" cm="1">
        <f t="array" ref="L299">IF(Q299&lt;&gt;0,IF(N299&gt;=3,_xlfn.XLOOKUP(A299,'외운 것'!A2:A271,'외운 것'!C2:C271,0,1),0),"2차")</f>
        <v>2차</v>
      </c>
      <c r="M299" t="str" s="11" cm="1">
        <f t="array" ref="M299">IF(R299&lt;&gt;0,IF(O299&gt;=3,_xlfn.XLOOKUP(B299,'외운 것'!B2:B271,'외운 것'!D2:D271,0,1),0),"3차")</f>
        <v>3차</v>
      </c>
      <c r="N299" s="8">
        <v>3</v>
      </c>
      <c r="O299" s="8">
        <v>3</v>
      </c>
      <c r="P299" s="8">
        <v>0</v>
      </c>
      <c r="Q299" s="8">
        <v>0</v>
      </c>
      <c r="R299" s="8">
        <v>0</v>
      </c>
    </row>
    <row r="300" ht="16" customHeight="1">
      <c r="A300" s="8">
        <v>299</v>
      </c>
      <c r="B300" s="8">
        <v>14</v>
      </c>
      <c r="C300" t="s" s="9">
        <v>851</v>
      </c>
      <c r="D300" t="s" s="9">
        <v>891</v>
      </c>
      <c r="E300" t="s" s="9">
        <v>931</v>
      </c>
      <c r="F300" t="s" s="9">
        <v>932</v>
      </c>
      <c r="G300" t="s" s="9">
        <v>933</v>
      </c>
      <c r="H300" s="8" cm="1">
        <f t="array" ref="H300">MIN(SUMIF('외운 것'!A2:A271,A300,'외운 것'!D2:D271)+IF(R300=0,3,IF(R300=1,2,0)),3)</f>
        <v>3</v>
      </c>
      <c r="I300" s="8" cm="1">
        <f t="array" ref="I300">_xlfn.COUNTIFS('외운 것'!A2:A271,A300,'외운 것'!D2:D271,0)</f>
        <v>0</v>
      </c>
      <c r="J300" t="str" s="10" cm="1">
        <f t="array" ref="J300">IF(R300&lt;&gt;0,IF(H300&gt;=3,_xlfn.XLOOKUP(A300,'외운 것'!A2:A271,'외운 것'!C2:C271,0,1),0),"3차")</f>
        <v>3차</v>
      </c>
      <c r="K300" t="str" s="11" cm="1">
        <f t="array" ref="K300">IF(P300&lt;&gt;0,IF(N300&gt;=3,_xlfn.XLOOKUP(A300,'외운 것'!A2:A271,'외운 것'!C2:C271,0,1),0),"1차")</f>
        <v>1차</v>
      </c>
      <c r="L300" t="str" s="11" cm="1">
        <f t="array" ref="L300">IF(Q300&lt;&gt;0,IF(N300&gt;=3,_xlfn.XLOOKUP(A300,'외운 것'!A2:A271,'외운 것'!C2:C271,0,1),0),"2차")</f>
        <v>2차</v>
      </c>
      <c r="M300" t="str" s="11" cm="1">
        <f t="array" ref="M300">IF(R300&lt;&gt;0,IF(O300&gt;=3,_xlfn.XLOOKUP(B300,'외운 것'!B2:B271,'외운 것'!D2:D271,0,1),0),"3차")</f>
        <v>3차</v>
      </c>
      <c r="N300" s="8">
        <v>3</v>
      </c>
      <c r="O300" s="8">
        <v>3</v>
      </c>
      <c r="P300" s="8">
        <v>0</v>
      </c>
      <c r="Q300" s="8">
        <v>0</v>
      </c>
      <c r="R300" s="8">
        <v>0</v>
      </c>
    </row>
    <row r="301" ht="16" customHeight="1">
      <c r="A301" s="8">
        <v>300</v>
      </c>
      <c r="B301" s="8">
        <v>15</v>
      </c>
      <c r="C301" t="s" s="9">
        <v>851</v>
      </c>
      <c r="D301" t="s" s="9">
        <v>891</v>
      </c>
      <c r="E301" t="s" s="9">
        <v>934</v>
      </c>
      <c r="F301" t="s" s="9">
        <v>935</v>
      </c>
      <c r="G301" t="s" s="9">
        <v>936</v>
      </c>
      <c r="H301" s="8" cm="1">
        <f t="array" ref="H301">MIN(SUMIF('외운 것'!A2:A271,A301,'외운 것'!D2:D271)+IF(R301=0,3,IF(R301=1,2,0)),3)</f>
        <v>3</v>
      </c>
      <c r="I301" s="8" cm="1">
        <f t="array" ref="I301">_xlfn.COUNTIFS('외운 것'!A2:A271,A301,'외운 것'!D2:D271,0)</f>
        <v>0</v>
      </c>
      <c r="J301" t="str" s="10" cm="1">
        <f t="array" ref="J301">IF(R301&lt;&gt;0,IF(H301&gt;=3,_xlfn.XLOOKUP(A301,'외운 것'!A2:A271,'외운 것'!C2:C271,0,1),0),"3차")</f>
        <v>3차</v>
      </c>
      <c r="K301" s="8" cm="1">
        <f t="array" ref="K301">IF(P301&lt;&gt;0,IF(N301&gt;=3,_xlfn.XLOOKUP(A301,'외운 것'!A2:A271,'외운 것'!C2:C271,0,1),0),"1차")</f>
        <v>0</v>
      </c>
      <c r="L301" t="str" s="11" cm="1">
        <f t="array" ref="L301">IF(Q301&lt;&gt;0,IF(N301&gt;=3,_xlfn.XLOOKUP(A301,'외운 것'!A2:A271,'외운 것'!C2:C271,0,1),0),"2차")</f>
        <v>2차</v>
      </c>
      <c r="M301" t="str" s="11" cm="1">
        <f t="array" ref="M301">IF(R301&lt;&gt;0,IF(O301&gt;=3,_xlfn.XLOOKUP(B301,'외운 것'!B2:B271,'외운 것'!D2:D271,0,1),0),"3차")</f>
        <v>3차</v>
      </c>
      <c r="N301" s="8">
        <v>2</v>
      </c>
      <c r="O301" s="8">
        <v>3</v>
      </c>
      <c r="P301" s="8">
        <v>1</v>
      </c>
      <c r="Q301" s="8">
        <v>0</v>
      </c>
      <c r="R301" s="8">
        <v>0</v>
      </c>
    </row>
    <row r="302" ht="16" customHeight="1">
      <c r="A302" s="8">
        <v>301</v>
      </c>
      <c r="B302" s="8">
        <v>16</v>
      </c>
      <c r="C302" t="s" s="9">
        <v>851</v>
      </c>
      <c r="D302" t="s" s="9">
        <v>891</v>
      </c>
      <c r="E302" t="s" s="9">
        <v>937</v>
      </c>
      <c r="F302" t="s" s="9">
        <v>938</v>
      </c>
      <c r="G302" t="s" s="9">
        <v>939</v>
      </c>
      <c r="H302" s="8" cm="1">
        <f t="array" ref="H302">MIN(SUMIF('외운 것'!A2:A271,A302,'외운 것'!D2:D271)+IF(R302=0,3,IF(R302=1,2,0)),3)</f>
        <v>3</v>
      </c>
      <c r="I302" s="8" cm="1">
        <f t="array" ref="I302">_xlfn.COUNTIFS('외운 것'!A2:A271,A302,'외운 것'!D2:D271,0)</f>
        <v>0</v>
      </c>
      <c r="J302" t="str" s="10" cm="1">
        <f t="array" ref="J302">IF(R302&lt;&gt;0,IF(H302&gt;=3,_xlfn.XLOOKUP(A302,'외운 것'!A2:A271,'외운 것'!C2:C271,0,1),0),"3차")</f>
        <v>3차</v>
      </c>
      <c r="K302" t="str" s="11" cm="1">
        <f t="array" ref="K302">IF(P302&lt;&gt;0,IF(N302&gt;=3,_xlfn.XLOOKUP(A302,'외운 것'!A2:A271,'외운 것'!C2:C271,0,1),0),"1차")</f>
        <v>1차</v>
      </c>
      <c r="L302" t="str" s="11" cm="1">
        <f t="array" ref="L302">IF(Q302&lt;&gt;0,IF(N302&gt;=3,_xlfn.XLOOKUP(A302,'외운 것'!A2:A271,'외운 것'!C2:C271,0,1),0),"2차")</f>
        <v>2차</v>
      </c>
      <c r="M302" t="str" s="11" cm="1">
        <f t="array" ref="M302">IF(R302&lt;&gt;0,IF(O302&gt;=3,_xlfn.XLOOKUP(B302,'외운 것'!B2:B271,'외운 것'!D2:D271,0,1),0),"3차")</f>
        <v>3차</v>
      </c>
      <c r="N302" s="8">
        <v>3</v>
      </c>
      <c r="O302" s="8">
        <v>3</v>
      </c>
      <c r="P302" s="8">
        <v>0</v>
      </c>
      <c r="Q302" s="8">
        <v>0</v>
      </c>
      <c r="R302" s="8">
        <v>0</v>
      </c>
    </row>
    <row r="303" ht="16" customHeight="1">
      <c r="A303" s="8">
        <v>302</v>
      </c>
      <c r="B303" s="8">
        <v>17</v>
      </c>
      <c r="C303" t="s" s="9">
        <v>851</v>
      </c>
      <c r="D303" t="s" s="9">
        <v>891</v>
      </c>
      <c r="E303" t="s" s="9">
        <v>940</v>
      </c>
      <c r="F303" t="s" s="9">
        <v>941</v>
      </c>
      <c r="G303" t="s" s="9">
        <v>942</v>
      </c>
      <c r="H303" s="8" cm="1">
        <f t="array" ref="H303">MIN(SUMIF('외운 것'!A2:A271,A303,'외운 것'!D2:D271)+IF(R303=0,3,IF(R303=1,2,0)),3)</f>
        <v>3</v>
      </c>
      <c r="I303" s="8" cm="1">
        <f t="array" ref="I303">_xlfn.COUNTIFS('외운 것'!A2:A271,A303,'외운 것'!D2:D271,0)</f>
        <v>0</v>
      </c>
      <c r="J303" t="str" s="10" cm="1">
        <f t="array" ref="J303">IF(R303&lt;&gt;0,IF(H303&gt;=3,_xlfn.XLOOKUP(A303,'외운 것'!A2:A271,'외운 것'!C2:C271,0,1),0),"3차")</f>
        <v>3차</v>
      </c>
      <c r="K303" t="str" s="11" cm="1">
        <f t="array" ref="K303">IF(P303&lt;&gt;0,IF(N303&gt;=3,_xlfn.XLOOKUP(A303,'외운 것'!A2:A271,'외운 것'!C2:C271,0,1),0),"1차")</f>
        <v>1차</v>
      </c>
      <c r="L303" t="str" s="11" cm="1">
        <f t="array" ref="L303">IF(Q303&lt;&gt;0,IF(N303&gt;=3,_xlfn.XLOOKUP(A303,'외운 것'!A2:A271,'외운 것'!C2:C271,0,1),0),"2차")</f>
        <v>2차</v>
      </c>
      <c r="M303" t="str" s="11" cm="1">
        <f t="array" ref="M303">IF(R303&lt;&gt;0,IF(O303&gt;=3,_xlfn.XLOOKUP(B303,'외운 것'!B2:B271,'외운 것'!D2:D271,0,1),0),"3차")</f>
        <v>3차</v>
      </c>
      <c r="N303" s="8">
        <v>3</v>
      </c>
      <c r="O303" s="8">
        <v>3</v>
      </c>
      <c r="P303" s="8">
        <v>0</v>
      </c>
      <c r="Q303" s="8">
        <v>0</v>
      </c>
      <c r="R303" s="8">
        <v>0</v>
      </c>
    </row>
    <row r="304" ht="16" customHeight="1">
      <c r="A304" s="8">
        <v>303</v>
      </c>
      <c r="B304" s="8">
        <v>18</v>
      </c>
      <c r="C304" t="s" s="9">
        <v>724</v>
      </c>
      <c r="D304" t="s" s="9">
        <v>891</v>
      </c>
      <c r="E304" t="s" s="9">
        <v>943</v>
      </c>
      <c r="F304" t="s" s="9">
        <v>944</v>
      </c>
      <c r="G304" t="s" s="9">
        <v>945</v>
      </c>
      <c r="H304" s="8" cm="1">
        <f t="array" ref="H304">MIN(SUMIF('외운 것'!A2:A271,A304,'외운 것'!D2:D271)+IF(R304=0,3,IF(R304=1,2,0)),3)</f>
        <v>3</v>
      </c>
      <c r="I304" s="8" cm="1">
        <f t="array" ref="I304">_xlfn.COUNTIFS('외운 것'!A2:A271,A304,'외운 것'!D2:D271,0)</f>
        <v>0</v>
      </c>
      <c r="J304" t="str" s="10" cm="1">
        <f t="array" ref="J304">IF(R304&lt;&gt;0,IF(H304&gt;=3,_xlfn.XLOOKUP(A304,'외운 것'!A2:A271,'외운 것'!C2:C271,0,1),0),"3차")</f>
        <v>3차</v>
      </c>
      <c r="K304" s="8" cm="1">
        <f t="array" ref="K304">IF(P304&lt;&gt;0,IF(N304&gt;=3,_xlfn.XLOOKUP(A304,'외운 것'!A2:A271,'외운 것'!C2:C271,0,1),0),"1차")</f>
        <v>0</v>
      </c>
      <c r="L304" t="str" s="11" cm="1">
        <f t="array" ref="L304">IF(Q304&lt;&gt;0,IF(N304&gt;=3,_xlfn.XLOOKUP(A304,'외운 것'!A2:A271,'외운 것'!C2:C271,0,1),0),"2차")</f>
        <v>2차</v>
      </c>
      <c r="M304" t="str" s="11" cm="1">
        <f t="array" ref="M304">IF(R304&lt;&gt;0,IF(O304&gt;=3,_xlfn.XLOOKUP(B304,'외운 것'!B2:B271,'외운 것'!D2:D271,0,1),0),"3차")</f>
        <v>3차</v>
      </c>
      <c r="N304" s="8">
        <v>2</v>
      </c>
      <c r="O304" s="8">
        <v>3</v>
      </c>
      <c r="P304" s="8">
        <v>1</v>
      </c>
      <c r="Q304" s="8">
        <v>0</v>
      </c>
      <c r="R304" s="8">
        <v>0</v>
      </c>
    </row>
    <row r="305" ht="16" customHeight="1">
      <c r="A305" s="8">
        <v>304</v>
      </c>
      <c r="B305" s="8">
        <v>19</v>
      </c>
      <c r="C305" t="s" s="9">
        <v>724</v>
      </c>
      <c r="D305" t="s" s="9">
        <v>891</v>
      </c>
      <c r="E305" t="s" s="9">
        <v>946</v>
      </c>
      <c r="F305" t="s" s="9">
        <v>947</v>
      </c>
      <c r="G305" t="s" s="9">
        <v>948</v>
      </c>
      <c r="H305" s="8" cm="1">
        <f t="array" ref="H305">MIN(SUMIF('외운 것'!A2:A271,A305,'외운 것'!D2:D271)+IF(R305=0,3,IF(R305=1,2,0)),3)</f>
        <v>3</v>
      </c>
      <c r="I305" s="8" cm="1">
        <f t="array" ref="I305">_xlfn.COUNTIFS('외운 것'!A2:A271,A305,'외운 것'!D2:D271,0)</f>
        <v>0</v>
      </c>
      <c r="J305" t="str" s="10" cm="1">
        <f t="array" ref="J305">IF(R305&lt;&gt;0,IF(H305&gt;=3,_xlfn.XLOOKUP(A305,'외운 것'!A2:A271,'외운 것'!C2:C271,0,1),0),"3차")</f>
        <v>3차</v>
      </c>
      <c r="K305" t="str" s="11" cm="1">
        <f t="array" ref="K305">IF(P305&lt;&gt;0,IF(N305&gt;=3,_xlfn.XLOOKUP(A305,'외운 것'!A2:A271,'외운 것'!C2:C271,0,1),0),"1차")</f>
        <v>1차</v>
      </c>
      <c r="L305" t="str" s="11" cm="1">
        <f t="array" ref="L305">IF(Q305&lt;&gt;0,IF(N305&gt;=3,_xlfn.XLOOKUP(A305,'외운 것'!A2:A271,'외운 것'!C2:C271,0,1),0),"2차")</f>
        <v>2차</v>
      </c>
      <c r="M305" t="str" s="11" cm="1">
        <f t="array" ref="M305">IF(R305&lt;&gt;0,IF(O305&gt;=3,_xlfn.XLOOKUP(B305,'외운 것'!B2:B271,'외운 것'!D2:D271,0,1),0),"3차")</f>
        <v>3차</v>
      </c>
      <c r="N305" s="8">
        <v>3</v>
      </c>
      <c r="O305" s="8">
        <v>3</v>
      </c>
      <c r="P305" s="8">
        <v>0</v>
      </c>
      <c r="Q305" s="8">
        <v>0</v>
      </c>
      <c r="R305" s="8">
        <v>0</v>
      </c>
    </row>
    <row r="306" ht="16" customHeight="1">
      <c r="A306" s="8">
        <v>305</v>
      </c>
      <c r="B306" s="8">
        <v>20</v>
      </c>
      <c r="C306" t="s" s="9">
        <v>724</v>
      </c>
      <c r="D306" t="s" s="9">
        <v>891</v>
      </c>
      <c r="E306" t="s" s="9">
        <v>949</v>
      </c>
      <c r="F306" t="s" s="9">
        <v>950</v>
      </c>
      <c r="G306" t="s" s="9">
        <v>951</v>
      </c>
      <c r="H306" s="8" cm="1">
        <f t="array" ref="H306">MIN(SUMIF('외운 것'!A2:A271,A306,'외운 것'!D2:D271)+IF(R306=0,3,IF(R306=1,2,0)),3)</f>
        <v>3</v>
      </c>
      <c r="I306" s="8" cm="1">
        <f t="array" ref="I306">_xlfn.COUNTIFS('외운 것'!A2:A271,A306,'외운 것'!D2:D271,0)</f>
        <v>0</v>
      </c>
      <c r="J306" t="str" s="10" cm="1">
        <f t="array" ref="J306">IF(R306&lt;&gt;0,IF(H306&gt;=3,_xlfn.XLOOKUP(A306,'외운 것'!A2:A271,'외운 것'!C2:C271,0,1),0),"3차")</f>
        <v>3차</v>
      </c>
      <c r="K306" s="8" cm="1">
        <f t="array" ref="K306">IF(P306&lt;&gt;0,IF(N306&gt;=3,_xlfn.XLOOKUP(A306,'외운 것'!A2:A271,'외운 것'!C2:C271,0,1),0),"1차")</f>
        <v>0</v>
      </c>
      <c r="L306" t="str" s="11" cm="1">
        <f t="array" ref="L306">IF(Q306&lt;&gt;0,IF(N306&gt;=3,_xlfn.XLOOKUP(A306,'외운 것'!A2:A271,'외운 것'!C2:C271,0,1),0),"2차")</f>
        <v>2차</v>
      </c>
      <c r="M306" t="str" s="11" cm="1">
        <f t="array" ref="M306">IF(R306&lt;&gt;0,IF(O306&gt;=3,_xlfn.XLOOKUP(B306,'외운 것'!B2:B271,'외운 것'!D2:D271,0,1),0),"3차")</f>
        <v>3차</v>
      </c>
      <c r="N306" s="8">
        <v>0</v>
      </c>
      <c r="O306" s="8">
        <v>3</v>
      </c>
      <c r="P306" s="8">
        <v>2</v>
      </c>
      <c r="Q306" s="8">
        <v>0</v>
      </c>
      <c r="R306" s="8">
        <v>0</v>
      </c>
    </row>
    <row r="307" ht="16" customHeight="1">
      <c r="A307" s="8">
        <v>306</v>
      </c>
      <c r="B307" s="8">
        <v>21</v>
      </c>
      <c r="C307" t="s" s="9">
        <v>724</v>
      </c>
      <c r="D307" t="s" s="9">
        <v>891</v>
      </c>
      <c r="E307" t="s" s="9">
        <v>952</v>
      </c>
      <c r="F307" t="s" s="9">
        <v>953</v>
      </c>
      <c r="G307" t="s" s="9">
        <v>954</v>
      </c>
      <c r="H307" s="8" cm="1">
        <f t="array" ref="H307">MIN(SUMIF('외운 것'!A2:A271,A307,'외운 것'!D2:D271)+IF(R307=0,3,IF(R307=1,2,0)),3)</f>
        <v>3</v>
      </c>
      <c r="I307" s="8" cm="1">
        <f t="array" ref="I307">_xlfn.COUNTIFS('외운 것'!A2:A271,A307,'외운 것'!D2:D271,0)</f>
        <v>0</v>
      </c>
      <c r="J307" t="str" s="10" cm="1">
        <f t="array" ref="J307">IF(R307&lt;&gt;0,IF(H307&gt;=3,_xlfn.XLOOKUP(A307,'외운 것'!A2:A271,'외운 것'!C2:C271,0,1),0),"3차")</f>
        <v>3차</v>
      </c>
      <c r="K307" t="str" s="11" cm="1">
        <f t="array" ref="K307">IF(P307&lt;&gt;0,IF(N307&gt;=3,_xlfn.XLOOKUP(A307,'외운 것'!A2:A271,'외운 것'!C2:C271,0,1),0),"1차")</f>
        <v>1차</v>
      </c>
      <c r="L307" t="str" s="11" cm="1">
        <f t="array" ref="L307">IF(Q307&lt;&gt;0,IF(N307&gt;=3,_xlfn.XLOOKUP(A307,'외운 것'!A2:A271,'외운 것'!C2:C271,0,1),0),"2차")</f>
        <v>2차</v>
      </c>
      <c r="M307" t="str" s="11" cm="1">
        <f t="array" ref="M307">IF(R307&lt;&gt;0,IF(O307&gt;=3,_xlfn.XLOOKUP(B307,'외운 것'!B2:B271,'외운 것'!D2:D271,0,1),0),"3차")</f>
        <v>3차</v>
      </c>
      <c r="N307" s="8">
        <v>3</v>
      </c>
      <c r="O307" s="8">
        <v>3</v>
      </c>
      <c r="P307" s="8">
        <v>0</v>
      </c>
      <c r="Q307" s="8">
        <v>0</v>
      </c>
      <c r="R307" s="8">
        <v>0</v>
      </c>
    </row>
    <row r="308" ht="16" customHeight="1">
      <c r="A308" s="8">
        <v>307</v>
      </c>
      <c r="B308" s="8">
        <v>22</v>
      </c>
      <c r="C308" t="s" s="9">
        <v>774</v>
      </c>
      <c r="D308" t="s" s="9">
        <v>891</v>
      </c>
      <c r="E308" t="s" s="9">
        <v>955</v>
      </c>
      <c r="F308" t="s" s="9">
        <v>956</v>
      </c>
      <c r="G308" t="s" s="9">
        <v>957</v>
      </c>
      <c r="H308" s="8" cm="1">
        <f t="array" ref="H308">MIN(SUMIF('외운 것'!A2:A271,A308,'외운 것'!D2:D271)+IF(R308=0,3,IF(R308=1,2,0)),3)</f>
        <v>3</v>
      </c>
      <c r="I308" s="8" cm="1">
        <f t="array" ref="I308">_xlfn.COUNTIFS('외운 것'!A2:A271,A308,'외운 것'!D2:D271,0)</f>
        <v>1</v>
      </c>
      <c r="J308" t="str" s="10" cm="1">
        <f t="array" ref="J308">IF(R308&lt;&gt;0,IF(H308&gt;=3,_xlfn.XLOOKUP(A308,'외운 것'!A2:A271,'외운 것'!C2:C271,0,1),0),"3차")</f>
        <v>2026-04-30</v>
      </c>
      <c r="K308" s="8" cm="1">
        <f t="array" ref="K308">IF(P308&lt;&gt;0,IF(N308&gt;=3,_xlfn.XLOOKUP(A308,'외운 것'!A2:A271,'외운 것'!C2:C271,0,1),0),"1차")</f>
        <v>0</v>
      </c>
      <c r="L308" s="8" cm="1">
        <f t="array" ref="L308">IF(Q308&lt;&gt;0,IF(N308&gt;=3,_xlfn.XLOOKUP(A308,'외운 것'!A2:A271,'외운 것'!C2:C271,0,1),0),"2차")</f>
        <v>0</v>
      </c>
      <c r="M308" s="8" cm="1">
        <f t="array" ref="M308">IF(R308&lt;&gt;0,IF(O308&gt;=3,_xlfn.XLOOKUP(B308,'외운 것'!B2:B271,'외운 것'!D2:D271,0,1),0),"3차")</f>
        <v>0</v>
      </c>
      <c r="N308" s="8">
        <v>0</v>
      </c>
      <c r="O308" s="8">
        <v>3</v>
      </c>
      <c r="P308" s="8">
        <v>4</v>
      </c>
      <c r="Q308" s="8">
        <v>1</v>
      </c>
      <c r="R308" s="8">
        <v>1</v>
      </c>
    </row>
    <row r="309" ht="16" customHeight="1">
      <c r="A309" s="8">
        <v>308</v>
      </c>
      <c r="B309" s="8">
        <v>23</v>
      </c>
      <c r="C309" t="s" s="9">
        <v>774</v>
      </c>
      <c r="D309" t="s" s="9">
        <v>891</v>
      </c>
      <c r="E309" t="s" s="9">
        <v>958</v>
      </c>
      <c r="F309" t="s" s="9">
        <v>959</v>
      </c>
      <c r="G309" t="s" s="9">
        <v>960</v>
      </c>
      <c r="H309" s="8" cm="1">
        <f t="array" ref="H309">MIN(SUMIF('외운 것'!A2:A271,A309,'외운 것'!D2:D271)+IF(R309=0,3,IF(R309=1,2,0)),3)</f>
        <v>3</v>
      </c>
      <c r="I309" s="8" cm="1">
        <f t="array" ref="I309">_xlfn.COUNTIFS('외운 것'!A2:A271,A309,'외운 것'!D2:D271,0)</f>
        <v>0</v>
      </c>
      <c r="J309" t="str" s="10" cm="1">
        <f t="array" ref="J309">IF(R309&lt;&gt;0,IF(H309&gt;=3,_xlfn.XLOOKUP(A309,'외운 것'!A2:A271,'외운 것'!C2:C271,0,1),0),"3차")</f>
        <v>3차</v>
      </c>
      <c r="K309" s="8" cm="1">
        <f t="array" ref="K309">IF(P309&lt;&gt;0,IF(N309&gt;=3,_xlfn.XLOOKUP(A309,'외운 것'!A2:A271,'외운 것'!C2:C271,0,1),0),"1차")</f>
        <v>0</v>
      </c>
      <c r="L309" t="str" s="11" cm="1">
        <f t="array" ref="L309">IF(Q309&lt;&gt;0,IF(N309&gt;=3,_xlfn.XLOOKUP(A309,'외운 것'!A2:A271,'외운 것'!C2:C271,0,1),0),"2차")</f>
        <v>2차</v>
      </c>
      <c r="M309" t="str" s="11" cm="1">
        <f t="array" ref="M309">IF(R309&lt;&gt;0,IF(O309&gt;=3,_xlfn.XLOOKUP(B309,'외운 것'!B2:B271,'외운 것'!D2:D271,0,1),0),"3차")</f>
        <v>3차</v>
      </c>
      <c r="N309" s="8">
        <v>2</v>
      </c>
      <c r="O309" s="8">
        <v>3</v>
      </c>
      <c r="P309" s="8">
        <v>1</v>
      </c>
      <c r="Q309" s="8">
        <v>0</v>
      </c>
      <c r="R309" s="8">
        <v>0</v>
      </c>
    </row>
    <row r="310" ht="16" customHeight="1">
      <c r="A310" s="8">
        <v>309</v>
      </c>
      <c r="B310" s="8">
        <v>24</v>
      </c>
      <c r="C310" t="s" s="9">
        <v>774</v>
      </c>
      <c r="D310" t="s" s="9">
        <v>891</v>
      </c>
      <c r="E310" t="s" s="9">
        <v>961</v>
      </c>
      <c r="F310" t="s" s="9">
        <v>962</v>
      </c>
      <c r="G310" t="s" s="9">
        <v>963</v>
      </c>
      <c r="H310" s="8" cm="1">
        <f t="array" ref="H310">MIN(SUMIF('외운 것'!A2:A271,A310,'외운 것'!D2:D271)+IF(R310=0,3,IF(R310=1,2,0)),3)</f>
        <v>3</v>
      </c>
      <c r="I310" s="8" cm="1">
        <f t="array" ref="I310">_xlfn.COUNTIFS('외운 것'!A2:A271,A310,'외운 것'!D2:D271,0)</f>
        <v>2</v>
      </c>
      <c r="J310" t="str" s="10" cm="1">
        <f t="array" ref="J310">IF(R310&lt;&gt;0,IF(H310&gt;=3,_xlfn.XLOOKUP(A310,'외운 것'!A2:A271,'외운 것'!C2:C271,0,1),0),"3차")</f>
        <v>2026-04-30</v>
      </c>
      <c r="K310" s="8" cm="1">
        <f t="array" ref="K310">IF(P310&lt;&gt;0,IF(N310&gt;=3,_xlfn.XLOOKUP(A310,'외운 것'!A2:A271,'외운 것'!C2:C271,0,1),0),"1차")</f>
        <v>0</v>
      </c>
      <c r="L310" s="8" cm="1">
        <f t="array" ref="L310">IF(Q310&lt;&gt;0,IF(N310&gt;=3,_xlfn.XLOOKUP(A310,'외운 것'!A2:A271,'외운 것'!C2:C271,0,1),0),"2차")</f>
        <v>0</v>
      </c>
      <c r="M310" s="8" cm="1">
        <f t="array" ref="M310">IF(R310&lt;&gt;0,IF(O310&gt;=3,_xlfn.XLOOKUP(B310,'외운 것'!B2:B271,'외운 것'!D2:D271,0,1),0),"3차")</f>
        <v>0</v>
      </c>
      <c r="N310" s="8">
        <v>0</v>
      </c>
      <c r="O310" s="8">
        <v>3</v>
      </c>
      <c r="P310" s="8">
        <v>3</v>
      </c>
      <c r="Q310" s="8">
        <v>2</v>
      </c>
      <c r="R310" s="8">
        <v>1</v>
      </c>
    </row>
    <row r="311" ht="16" customHeight="1">
      <c r="A311" s="8">
        <v>310</v>
      </c>
      <c r="B311" s="8">
        <v>25</v>
      </c>
      <c r="C311" t="s" s="9">
        <v>774</v>
      </c>
      <c r="D311" t="s" s="9">
        <v>891</v>
      </c>
      <c r="E311" t="s" s="9">
        <v>964</v>
      </c>
      <c r="F311" t="s" s="9">
        <v>965</v>
      </c>
      <c r="G311" t="s" s="9">
        <v>966</v>
      </c>
      <c r="H311" s="8" cm="1">
        <f t="array" ref="H311">MIN(SUMIF('외운 것'!A2:A271,A311,'외운 것'!D2:D271)+IF(R311=0,3,IF(R311=1,2,0)),3)</f>
        <v>3</v>
      </c>
      <c r="I311" s="8" cm="1">
        <f t="array" ref="I311">_xlfn.COUNTIFS('외운 것'!A2:A271,A311,'외운 것'!D2:D271,0)</f>
        <v>0</v>
      </c>
      <c r="J311" t="str" s="10" cm="1">
        <f t="array" ref="J311">IF(R311&lt;&gt;0,IF(H311&gt;=3,_xlfn.XLOOKUP(A311,'외운 것'!A2:A271,'외운 것'!C2:C271,0,1),0),"3차")</f>
        <v>3차</v>
      </c>
      <c r="K311" t="str" s="11" cm="1">
        <f t="array" ref="K311">IF(P311&lt;&gt;0,IF(N311&gt;=3,_xlfn.XLOOKUP(A311,'외운 것'!A2:A271,'외운 것'!C2:C271,0,1),0),"1차")</f>
        <v>1차</v>
      </c>
      <c r="L311" t="str" s="11" cm="1">
        <f t="array" ref="L311">IF(Q311&lt;&gt;0,IF(N311&gt;=3,_xlfn.XLOOKUP(A311,'외운 것'!A2:A271,'외운 것'!C2:C271,0,1),0),"2차")</f>
        <v>2차</v>
      </c>
      <c r="M311" t="str" s="11" cm="1">
        <f t="array" ref="M311">IF(R311&lt;&gt;0,IF(O311&gt;=3,_xlfn.XLOOKUP(B311,'외운 것'!B2:B271,'외운 것'!D2:D271,0,1),0),"3차")</f>
        <v>3차</v>
      </c>
      <c r="N311" s="8">
        <v>3</v>
      </c>
      <c r="O311" s="8">
        <v>3</v>
      </c>
      <c r="P311" s="8">
        <v>0</v>
      </c>
      <c r="Q311" s="8">
        <v>0</v>
      </c>
      <c r="R311" s="8">
        <v>0</v>
      </c>
    </row>
    <row r="312" ht="16" customHeight="1">
      <c r="A312" s="8">
        <v>311</v>
      </c>
      <c r="B312" s="8">
        <v>26</v>
      </c>
      <c r="C312" t="s" s="9">
        <v>724</v>
      </c>
      <c r="D312" t="s" s="9">
        <v>891</v>
      </c>
      <c r="E312" t="s" s="9">
        <v>967</v>
      </c>
      <c r="F312" t="s" s="9">
        <v>968</v>
      </c>
      <c r="G312" t="s" s="9">
        <v>969</v>
      </c>
      <c r="H312" s="8" cm="1">
        <f t="array" ref="H312">MIN(SUMIF('외운 것'!A2:A271,A312,'외운 것'!D2:D271)+IF(R312=0,3,IF(R312=1,2,0)),3)</f>
        <v>3</v>
      </c>
      <c r="I312" s="8" cm="1">
        <f t="array" ref="I312">_xlfn.COUNTIFS('외운 것'!A2:A271,A312,'외운 것'!D2:D271,0)</f>
        <v>0</v>
      </c>
      <c r="J312" t="str" s="10" cm="1">
        <f t="array" ref="J312">IF(R312&lt;&gt;0,IF(H312&gt;=3,_xlfn.XLOOKUP(A312,'외운 것'!A2:A271,'외운 것'!C2:C271,0,1),0),"3차")</f>
        <v>3차</v>
      </c>
      <c r="K312" t="str" s="11" cm="1">
        <f t="array" ref="K312">IF(P312&lt;&gt;0,IF(N312&gt;=3,_xlfn.XLOOKUP(A312,'외운 것'!A2:A271,'외운 것'!C2:C271,0,1),0),"1차")</f>
        <v>1차</v>
      </c>
      <c r="L312" t="str" s="11" cm="1">
        <f t="array" ref="L312">IF(Q312&lt;&gt;0,IF(N312&gt;=3,_xlfn.XLOOKUP(A312,'외운 것'!A2:A271,'외운 것'!C2:C271,0,1),0),"2차")</f>
        <v>2차</v>
      </c>
      <c r="M312" t="str" s="11" cm="1">
        <f t="array" ref="M312">IF(R312&lt;&gt;0,IF(O312&gt;=3,_xlfn.XLOOKUP(B312,'외운 것'!B2:B271,'외운 것'!D2:D271,0,1),0),"3차")</f>
        <v>3차</v>
      </c>
      <c r="N312" s="8">
        <v>3</v>
      </c>
      <c r="O312" s="8">
        <v>3</v>
      </c>
      <c r="P312" s="8">
        <v>0</v>
      </c>
      <c r="Q312" s="8">
        <v>0</v>
      </c>
      <c r="R312" s="8">
        <v>0</v>
      </c>
    </row>
    <row r="313" ht="16" customHeight="1">
      <c r="A313" s="8">
        <v>312</v>
      </c>
      <c r="B313" s="8">
        <v>27</v>
      </c>
      <c r="C313" t="s" s="9">
        <v>724</v>
      </c>
      <c r="D313" t="s" s="9">
        <v>891</v>
      </c>
      <c r="E313" t="s" s="9">
        <v>970</v>
      </c>
      <c r="F313" t="s" s="9">
        <v>971</v>
      </c>
      <c r="G313" t="s" s="9">
        <v>972</v>
      </c>
      <c r="H313" s="8" cm="1">
        <f t="array" ref="H313">MIN(SUMIF('외운 것'!A2:A271,A313,'외운 것'!D2:D271)+IF(R313=0,3,IF(R313=1,2,0)),3)</f>
        <v>3</v>
      </c>
      <c r="I313" s="8" cm="1">
        <f t="array" ref="I313">_xlfn.COUNTIFS('외운 것'!A2:A271,A313,'외운 것'!D2:D271,0)</f>
        <v>0</v>
      </c>
      <c r="J313" t="str" s="10" cm="1">
        <f t="array" ref="J313">IF(R313&lt;&gt;0,IF(H313&gt;=3,_xlfn.XLOOKUP(A313,'외운 것'!A2:A271,'외운 것'!C2:C271,0,1),0),"3차")</f>
        <v>3차</v>
      </c>
      <c r="K313" t="str" s="11" cm="1">
        <f t="array" ref="K313">IF(P313&lt;&gt;0,IF(N313&gt;=3,_xlfn.XLOOKUP(A313,'외운 것'!A2:A271,'외운 것'!C2:C271,0,1),0),"1차")</f>
        <v>1차</v>
      </c>
      <c r="L313" t="str" s="11" cm="1">
        <f t="array" ref="L313">IF(Q313&lt;&gt;0,IF(N313&gt;=3,_xlfn.XLOOKUP(A313,'외운 것'!A2:A271,'외운 것'!C2:C271,0,1),0),"2차")</f>
        <v>2차</v>
      </c>
      <c r="M313" t="str" s="11" cm="1">
        <f t="array" ref="M313">IF(R313&lt;&gt;0,IF(O313&gt;=3,_xlfn.XLOOKUP(B313,'외운 것'!B2:B271,'외운 것'!D2:D271,0,1),0),"3차")</f>
        <v>3차</v>
      </c>
      <c r="N313" s="8">
        <v>3</v>
      </c>
      <c r="O313" s="8">
        <v>3</v>
      </c>
      <c r="P313" s="8">
        <v>0</v>
      </c>
      <c r="Q313" s="8">
        <v>0</v>
      </c>
      <c r="R313" s="8">
        <v>0</v>
      </c>
    </row>
    <row r="314" ht="16" customHeight="1">
      <c r="A314" s="8">
        <v>313</v>
      </c>
      <c r="B314" s="8">
        <v>28</v>
      </c>
      <c r="C314" t="s" s="9">
        <v>724</v>
      </c>
      <c r="D314" t="s" s="9">
        <v>891</v>
      </c>
      <c r="E314" t="s" s="9">
        <v>973</v>
      </c>
      <c r="F314" t="s" s="9">
        <v>974</v>
      </c>
      <c r="G314" t="s" s="9">
        <v>975</v>
      </c>
      <c r="H314" s="8" cm="1">
        <f t="array" ref="H314">MIN(SUMIF('외운 것'!A2:A271,A314,'외운 것'!D2:D271)+IF(R314=0,3,IF(R314=1,2,0)),3)</f>
        <v>3</v>
      </c>
      <c r="I314" s="8" cm="1">
        <f t="array" ref="I314">_xlfn.COUNTIFS('외운 것'!A2:A271,A314,'외운 것'!D2:D271,0)</f>
        <v>0</v>
      </c>
      <c r="J314" t="str" s="10" cm="1">
        <f t="array" ref="J314">IF(R314&lt;&gt;0,IF(H314&gt;=3,_xlfn.XLOOKUP(A314,'외운 것'!A2:A271,'외운 것'!C2:C271,0,1),0),"3차")</f>
        <v>2026-04-29</v>
      </c>
      <c r="K314" s="8" cm="1">
        <f t="array" ref="K314">IF(P314&lt;&gt;0,IF(N314&gt;=3,_xlfn.XLOOKUP(A314,'외운 것'!A2:A271,'외운 것'!C2:C271,0,1),0),"1차")</f>
        <v>0</v>
      </c>
      <c r="L314" s="8" cm="1">
        <f t="array" ref="L314">IF(Q314&lt;&gt;0,IF(N314&gt;=3,_xlfn.XLOOKUP(A314,'외운 것'!A2:A271,'외운 것'!C2:C271,0,1),0),"2차")</f>
        <v>0</v>
      </c>
      <c r="M314" s="8" cm="1">
        <f t="array" ref="M314">IF(R314&lt;&gt;0,IF(O314&gt;=3,_xlfn.XLOOKUP(B314,'외운 것'!B2:B271,'외운 것'!D2:D271,0,1),0),"3차")</f>
        <v>0</v>
      </c>
      <c r="N314" s="8">
        <v>0</v>
      </c>
      <c r="O314" s="8">
        <v>3</v>
      </c>
      <c r="P314" s="8">
        <v>2</v>
      </c>
      <c r="Q314" s="8">
        <v>2</v>
      </c>
      <c r="R314" s="8">
        <v>1</v>
      </c>
    </row>
    <row r="315" ht="16" customHeight="1">
      <c r="A315" s="8">
        <v>314</v>
      </c>
      <c r="B315" s="8">
        <v>29</v>
      </c>
      <c r="C315" t="s" s="9">
        <v>724</v>
      </c>
      <c r="D315" t="s" s="9">
        <v>891</v>
      </c>
      <c r="E315" t="s" s="9">
        <v>976</v>
      </c>
      <c r="F315" t="s" s="9">
        <v>977</v>
      </c>
      <c r="G315" t="s" s="9">
        <v>978</v>
      </c>
      <c r="H315" s="8" cm="1">
        <f t="array" ref="H315">MIN(SUMIF('외운 것'!A2:A271,A315,'외운 것'!D2:D271)+IF(R315=0,3,IF(R315=1,2,0)),3)</f>
        <v>3</v>
      </c>
      <c r="I315" s="8" cm="1">
        <f t="array" ref="I315">_xlfn.COUNTIFS('외운 것'!A2:A271,A315,'외운 것'!D2:D271,0)</f>
        <v>0</v>
      </c>
      <c r="J315" t="str" s="10" cm="1">
        <f t="array" ref="J315">IF(R315&lt;&gt;0,IF(H315&gt;=3,_xlfn.XLOOKUP(A315,'외운 것'!A2:A271,'외운 것'!C2:C271,0,1),0),"3차")</f>
        <v>3차</v>
      </c>
      <c r="K315" t="str" s="11" cm="1">
        <f t="array" ref="K315">IF(P315&lt;&gt;0,IF(N315&gt;=3,_xlfn.XLOOKUP(A315,'외운 것'!A2:A271,'외운 것'!C2:C271,0,1),0),"1차")</f>
        <v>1차</v>
      </c>
      <c r="L315" t="str" s="11" cm="1">
        <f t="array" ref="L315">IF(Q315&lt;&gt;0,IF(N315&gt;=3,_xlfn.XLOOKUP(A315,'외운 것'!A2:A271,'외운 것'!C2:C271,0,1),0),"2차")</f>
        <v>2차</v>
      </c>
      <c r="M315" t="str" s="11" cm="1">
        <f t="array" ref="M315">IF(R315&lt;&gt;0,IF(O315&gt;=3,_xlfn.XLOOKUP(B315,'외운 것'!B2:B271,'외운 것'!D2:D271,0,1),0),"3차")</f>
        <v>3차</v>
      </c>
      <c r="N315" s="8">
        <v>3</v>
      </c>
      <c r="O315" s="8">
        <v>3</v>
      </c>
      <c r="P315" s="8">
        <v>0</v>
      </c>
      <c r="Q315" s="8">
        <v>0</v>
      </c>
      <c r="R315" s="8">
        <v>0</v>
      </c>
    </row>
    <row r="316" ht="16" customHeight="1">
      <c r="A316" s="8">
        <v>315</v>
      </c>
      <c r="B316" s="8">
        <v>30</v>
      </c>
      <c r="C316" t="s" s="9">
        <v>841</v>
      </c>
      <c r="D316" t="s" s="9">
        <v>891</v>
      </c>
      <c r="E316" t="s" s="9">
        <v>979</v>
      </c>
      <c r="F316" t="s" s="9">
        <v>980</v>
      </c>
      <c r="G316" t="s" s="9">
        <v>981</v>
      </c>
      <c r="H316" s="8" cm="1">
        <f t="array" ref="H316">MIN(SUMIF('외운 것'!A2:A271,A316,'외운 것'!D2:D271)+IF(R316=0,3,IF(R316=1,2,0)),3)</f>
        <v>3</v>
      </c>
      <c r="I316" s="8" cm="1">
        <f t="array" ref="I316">_xlfn.COUNTIFS('외운 것'!A2:A271,A316,'외운 것'!D2:D271,0)</f>
        <v>0</v>
      </c>
      <c r="J316" t="str" s="10" cm="1">
        <f t="array" ref="J316">IF(R316&lt;&gt;0,IF(H316&gt;=3,_xlfn.XLOOKUP(A316,'외운 것'!A2:A271,'외운 것'!C2:C271,0,1),0),"3차")</f>
        <v>2026-04-29</v>
      </c>
      <c r="K316" s="8" cm="1">
        <f t="array" ref="K316">IF(P316&lt;&gt;0,IF(N316&gt;=3,_xlfn.XLOOKUP(A316,'외운 것'!A2:A271,'외운 것'!C2:C271,0,1),0),"1차")</f>
        <v>0</v>
      </c>
      <c r="L316" s="8" cm="1">
        <f t="array" ref="L316">IF(Q316&lt;&gt;0,IF(N316&gt;=3,_xlfn.XLOOKUP(A316,'외운 것'!A2:A271,'외운 것'!C2:C271,0,1),0),"2차")</f>
        <v>0</v>
      </c>
      <c r="M316" s="8" cm="1">
        <f t="array" ref="M316">IF(R316&lt;&gt;0,IF(O316&gt;=3,_xlfn.XLOOKUP(B316,'외운 것'!B2:B271,'외운 것'!D2:D271,0,1),0),"3차")</f>
        <v>0</v>
      </c>
      <c r="N316" s="8">
        <v>2</v>
      </c>
      <c r="O316" s="8">
        <v>3</v>
      </c>
      <c r="P316" s="8">
        <v>1</v>
      </c>
      <c r="Q316" s="8">
        <v>1</v>
      </c>
      <c r="R316" s="8">
        <v>1</v>
      </c>
    </row>
    <row r="317" ht="16" customHeight="1">
      <c r="A317" s="8">
        <v>316</v>
      </c>
      <c r="B317" s="8">
        <v>31</v>
      </c>
      <c r="C317" t="s" s="9">
        <v>851</v>
      </c>
      <c r="D317" t="s" s="9">
        <v>891</v>
      </c>
      <c r="E317" t="s" s="9">
        <v>982</v>
      </c>
      <c r="F317" t="s" s="9">
        <v>983</v>
      </c>
      <c r="G317" t="s" s="9">
        <v>984</v>
      </c>
      <c r="H317" s="8" cm="1">
        <f t="array" ref="H317">MIN(SUMIF('외운 것'!A2:A271,A317,'외운 것'!D2:D271)+IF(R317=0,3,IF(R317=1,2,0)),3)</f>
        <v>3</v>
      </c>
      <c r="I317" s="8" cm="1">
        <f t="array" ref="I317">_xlfn.COUNTIFS('외운 것'!A2:A271,A317,'외운 것'!D2:D271,0)</f>
        <v>1</v>
      </c>
      <c r="J317" t="str" s="10" cm="1">
        <f t="array" ref="J317">IF(R317&lt;&gt;0,IF(H317&gt;=3,_xlfn.XLOOKUP(A317,'외운 것'!A2:A271,'외운 것'!C2:C271,0,1),0),"3차")</f>
        <v>2026-04-30</v>
      </c>
      <c r="K317" s="8" cm="1">
        <f t="array" ref="K317">IF(P317&lt;&gt;0,IF(N317&gt;=3,_xlfn.XLOOKUP(A317,'외운 것'!A2:A271,'외운 것'!C2:C271,0,1),0),"1차")</f>
        <v>0</v>
      </c>
      <c r="L317" s="8" cm="1">
        <f t="array" ref="L317">IF(Q317&lt;&gt;0,IF(N317&gt;=3,_xlfn.XLOOKUP(A317,'외운 것'!A2:A271,'외운 것'!C2:C271,0,1),0),"2차")</f>
        <v>0</v>
      </c>
      <c r="M317" s="8" cm="1">
        <f t="array" ref="M317">IF(R317&lt;&gt;0,IF(O317&gt;=3,_xlfn.XLOOKUP(B317,'외운 것'!B2:B271,'외운 것'!D2:D271,0,1),0),"3차")</f>
        <v>0</v>
      </c>
      <c r="N317" s="8">
        <v>0</v>
      </c>
      <c r="O317" s="8">
        <v>3</v>
      </c>
      <c r="P317" s="8">
        <v>2</v>
      </c>
      <c r="Q317" s="8">
        <v>1</v>
      </c>
      <c r="R317" s="8">
        <v>1</v>
      </c>
    </row>
    <row r="318" ht="16" customHeight="1">
      <c r="A318" s="8">
        <v>317</v>
      </c>
      <c r="B318" s="8">
        <v>32</v>
      </c>
      <c r="C318" t="s" s="9">
        <v>851</v>
      </c>
      <c r="D318" t="s" s="9">
        <v>891</v>
      </c>
      <c r="E318" t="s" s="9">
        <v>985</v>
      </c>
      <c r="F318" t="s" s="9">
        <v>986</v>
      </c>
      <c r="G318" t="s" s="9">
        <v>987</v>
      </c>
      <c r="H318" s="8" cm="1">
        <f t="array" ref="H318">MIN(SUMIF('외운 것'!A2:A271,A318,'외운 것'!D2:D271)+IF(R318=0,3,IF(R318=1,2,0)),3)</f>
        <v>3</v>
      </c>
      <c r="I318" s="8" cm="1">
        <f t="array" ref="I318">_xlfn.COUNTIFS('외운 것'!A2:A271,A318,'외운 것'!D2:D271,0)</f>
        <v>0</v>
      </c>
      <c r="J318" t="str" s="10" cm="1">
        <f t="array" ref="J318">IF(R318&lt;&gt;0,IF(H318&gt;=3,_xlfn.XLOOKUP(A318,'외운 것'!A2:A271,'외운 것'!C2:C271,0,1),0),"3차")</f>
        <v>3차</v>
      </c>
      <c r="K318" t="str" s="11" cm="1">
        <f t="array" ref="K318">IF(P318&lt;&gt;0,IF(N318&gt;=3,_xlfn.XLOOKUP(A318,'외운 것'!A2:A271,'외운 것'!C2:C271,0,1),0),"1차")</f>
        <v>1차</v>
      </c>
      <c r="L318" t="str" s="11" cm="1">
        <f t="array" ref="L318">IF(Q318&lt;&gt;0,IF(N318&gt;=3,_xlfn.XLOOKUP(A318,'외운 것'!A2:A271,'외운 것'!C2:C271,0,1),0),"2차")</f>
        <v>2차</v>
      </c>
      <c r="M318" t="str" s="11" cm="1">
        <f t="array" ref="M318">IF(R318&lt;&gt;0,IF(O318&gt;=3,_xlfn.XLOOKUP(B318,'외운 것'!B2:B271,'외운 것'!D2:D271,0,1),0),"3차")</f>
        <v>3차</v>
      </c>
      <c r="N318" s="8">
        <v>3</v>
      </c>
      <c r="O318" s="8">
        <v>3</v>
      </c>
      <c r="P318" s="8">
        <v>0</v>
      </c>
      <c r="Q318" s="8">
        <v>0</v>
      </c>
      <c r="R318" s="8">
        <v>0</v>
      </c>
    </row>
    <row r="319" ht="16" customHeight="1">
      <c r="A319" s="8">
        <v>318</v>
      </c>
      <c r="B319" s="8">
        <v>33</v>
      </c>
      <c r="C319" t="s" s="9">
        <v>851</v>
      </c>
      <c r="D319" t="s" s="9">
        <v>891</v>
      </c>
      <c r="E319" t="s" s="9">
        <v>988</v>
      </c>
      <c r="F319" t="s" s="9">
        <v>989</v>
      </c>
      <c r="G319" t="s" s="9">
        <v>990</v>
      </c>
      <c r="H319" s="8" cm="1">
        <f t="array" ref="H319">MIN(SUMIF('외운 것'!A2:A271,A319,'외운 것'!D2:D271)+IF(R319=0,3,IF(R319=1,2,0)),3)</f>
        <v>3</v>
      </c>
      <c r="I319" s="8" cm="1">
        <f t="array" ref="I319">_xlfn.COUNTIFS('외운 것'!A2:A271,A319,'외운 것'!D2:D271,0)</f>
        <v>2</v>
      </c>
      <c r="J319" t="str" s="10" cm="1">
        <f t="array" ref="J319">IF(R319&lt;&gt;0,IF(H319&gt;=3,_xlfn.XLOOKUP(A319,'외운 것'!A2:A271,'외운 것'!C2:C271,0,1),0),"3차")</f>
        <v>2026-04-30</v>
      </c>
      <c r="K319" s="8" cm="1">
        <f t="array" ref="K319">IF(P319&lt;&gt;0,IF(N319&gt;=3,_xlfn.XLOOKUP(A319,'외운 것'!A2:A271,'외운 것'!C2:C271,0,1),0),"1차")</f>
        <v>0</v>
      </c>
      <c r="L319" s="8" cm="1">
        <f t="array" ref="L319">IF(Q319&lt;&gt;0,IF(N319&gt;=3,_xlfn.XLOOKUP(A319,'외운 것'!A2:A271,'외운 것'!C2:C271,0,1),0),"2차")</f>
        <v>0</v>
      </c>
      <c r="M319" s="8" cm="1">
        <f t="array" ref="M319">IF(R319&lt;&gt;0,IF(O319&gt;=3,_xlfn.XLOOKUP(B319,'외운 것'!B2:B271,'외운 것'!D2:D271,0,1),0),"3차")</f>
        <v>0</v>
      </c>
      <c r="N319" s="8">
        <v>2</v>
      </c>
      <c r="O319" s="8">
        <v>3</v>
      </c>
      <c r="P319" s="8">
        <v>1</v>
      </c>
      <c r="Q319" s="8">
        <v>4</v>
      </c>
      <c r="R319" s="8">
        <v>1</v>
      </c>
    </row>
    <row r="320" ht="16" customHeight="1">
      <c r="A320" s="8">
        <v>319</v>
      </c>
      <c r="B320" s="8">
        <v>34</v>
      </c>
      <c r="C320" t="s" s="9">
        <v>851</v>
      </c>
      <c r="D320" t="s" s="9">
        <v>891</v>
      </c>
      <c r="E320" t="s" s="9">
        <v>991</v>
      </c>
      <c r="F320" t="s" s="9">
        <v>992</v>
      </c>
      <c r="G320" t="s" s="9">
        <v>993</v>
      </c>
      <c r="H320" s="8" cm="1">
        <f t="array" ref="H320">MIN(SUMIF('외운 것'!A2:A271,A320,'외운 것'!D2:D271)+IF(R320=0,3,IF(R320=1,2,0)),3)</f>
        <v>3</v>
      </c>
      <c r="I320" s="8" cm="1">
        <f t="array" ref="I320">_xlfn.COUNTIFS('외운 것'!A2:A271,A320,'외운 것'!D2:D271,0)</f>
        <v>0</v>
      </c>
      <c r="J320" t="str" s="10" cm="1">
        <f t="array" ref="J320">IF(R320&lt;&gt;0,IF(H320&gt;=3,_xlfn.XLOOKUP(A320,'외운 것'!A2:A271,'외운 것'!C2:C271,0,1),0),"3차")</f>
        <v>3차</v>
      </c>
      <c r="K320" s="8" cm="1">
        <f t="array" ref="K320">IF(P320&lt;&gt;0,IF(N320&gt;=3,_xlfn.XLOOKUP(A320,'외운 것'!A2:A271,'외운 것'!C2:C271,0,1),0),"1차")</f>
        <v>0</v>
      </c>
      <c r="L320" s="8" cm="1">
        <f t="array" ref="L320">IF(Q320&lt;&gt;0,IF(N320&gt;=3,_xlfn.XLOOKUP(A320,'외운 것'!A2:A271,'외운 것'!C2:C271,0,1),0),"2차")</f>
        <v>0</v>
      </c>
      <c r="M320" t="str" s="11" cm="1">
        <f t="array" ref="M320">IF(R320&lt;&gt;0,IF(O320&gt;=3,_xlfn.XLOOKUP(B320,'외운 것'!B2:B271,'외운 것'!D2:D271,0,1),0),"3차")</f>
        <v>3차</v>
      </c>
      <c r="N320" s="8">
        <v>0</v>
      </c>
      <c r="O320" s="8">
        <v>3</v>
      </c>
      <c r="P320" s="8">
        <v>7</v>
      </c>
      <c r="Q320" s="8">
        <v>3</v>
      </c>
      <c r="R320" s="8">
        <v>0</v>
      </c>
    </row>
    <row r="321" ht="16" customHeight="1">
      <c r="A321" s="8">
        <v>320</v>
      </c>
      <c r="B321" s="8">
        <v>35</v>
      </c>
      <c r="C321" t="s" s="9">
        <v>851</v>
      </c>
      <c r="D321" t="s" s="9">
        <v>891</v>
      </c>
      <c r="E321" t="s" s="9">
        <v>994</v>
      </c>
      <c r="F321" t="s" s="9">
        <v>989</v>
      </c>
      <c r="G321" t="s" s="9">
        <v>990</v>
      </c>
      <c r="H321" s="8" cm="1">
        <f t="array" ref="H321">MIN(SUMIF('외운 것'!A2:A271,A321,'외운 것'!D2:D271)+IF(R321=0,3,IF(R321=1,2,0)),3)</f>
        <v>3</v>
      </c>
      <c r="I321" s="8" cm="1">
        <f t="array" ref="I321">_xlfn.COUNTIFS('외운 것'!A2:A271,A321,'외운 것'!D2:D271,0)</f>
        <v>0</v>
      </c>
      <c r="J321" t="str" s="10" cm="1">
        <f t="array" ref="J321">IF(R321&lt;&gt;0,IF(H321&gt;=3,_xlfn.XLOOKUP(A321,'외운 것'!A2:A271,'외운 것'!C2:C271,0,1),0),"3차")</f>
        <v>3차</v>
      </c>
      <c r="K321" t="str" s="11" cm="1">
        <f t="array" ref="K321">IF(P321&lt;&gt;0,IF(N321&gt;=3,_xlfn.XLOOKUP(A321,'외운 것'!A2:A271,'외운 것'!C2:C271,0,1),0),"1차")</f>
        <v>1차</v>
      </c>
      <c r="L321" t="str" s="11" cm="1">
        <f t="array" ref="L321">IF(Q321&lt;&gt;0,IF(N321&gt;=3,_xlfn.XLOOKUP(A321,'외운 것'!A2:A271,'외운 것'!C2:C271,0,1),0),"2차")</f>
        <v>2차</v>
      </c>
      <c r="M321" t="str" s="11" cm="1">
        <f t="array" ref="M321">IF(R321&lt;&gt;0,IF(O321&gt;=3,_xlfn.XLOOKUP(B321,'외운 것'!B2:B271,'외운 것'!D2:D271,0,1),0),"3차")</f>
        <v>3차</v>
      </c>
      <c r="N321" s="8">
        <v>3</v>
      </c>
      <c r="O321" s="8">
        <v>3</v>
      </c>
      <c r="P321" s="8">
        <v>0</v>
      </c>
      <c r="Q321" s="8">
        <v>0</v>
      </c>
      <c r="R321" s="8">
        <v>0</v>
      </c>
    </row>
    <row r="322" ht="16" customHeight="1">
      <c r="A322" s="8">
        <v>321</v>
      </c>
      <c r="B322" s="8">
        <v>36</v>
      </c>
      <c r="C322" t="s" s="9">
        <v>774</v>
      </c>
      <c r="D322" t="s" s="9">
        <v>891</v>
      </c>
      <c r="E322" t="s" s="9">
        <v>995</v>
      </c>
      <c r="F322" t="s" s="9">
        <v>996</v>
      </c>
      <c r="G322" t="s" s="9">
        <v>997</v>
      </c>
      <c r="H322" s="8" cm="1">
        <f t="array" ref="H322">MIN(SUMIF('외운 것'!A2:A271,A322,'외운 것'!D2:D271)+IF(R322=0,3,IF(R322=1,2,0)),3)</f>
        <v>3</v>
      </c>
      <c r="I322" s="8" cm="1">
        <f t="array" ref="I322">_xlfn.COUNTIFS('외운 것'!A2:A271,A322,'외운 것'!D2:D271,0)</f>
        <v>0</v>
      </c>
      <c r="J322" t="str" s="10" cm="1">
        <f t="array" ref="J322">IF(R322&lt;&gt;0,IF(H322&gt;=3,_xlfn.XLOOKUP(A322,'외운 것'!A2:A271,'외운 것'!C2:C271,0,1),0),"3차")</f>
        <v>3차</v>
      </c>
      <c r="K322" s="8" cm="1">
        <f t="array" ref="K322">IF(P322&lt;&gt;0,IF(N322&gt;=3,_xlfn.XLOOKUP(A322,'외운 것'!A2:A271,'외운 것'!C2:C271,0,1),0),"1차")</f>
        <v>0</v>
      </c>
      <c r="L322" s="8" cm="1">
        <f t="array" ref="L322">IF(Q322&lt;&gt;0,IF(N322&gt;=3,_xlfn.XLOOKUP(A322,'외운 것'!A2:A271,'외운 것'!C2:C271,0,1),0),"2차")</f>
        <v>0</v>
      </c>
      <c r="M322" t="str" s="11" cm="1">
        <f t="array" ref="M322">IF(R322&lt;&gt;0,IF(O322&gt;=3,_xlfn.XLOOKUP(B322,'외운 것'!B2:B271,'외운 것'!D2:D271,0,1),0),"3차")</f>
        <v>3차</v>
      </c>
      <c r="N322" s="8">
        <v>0</v>
      </c>
      <c r="O322" s="8">
        <v>3</v>
      </c>
      <c r="P322" s="8">
        <v>3</v>
      </c>
      <c r="Q322" s="8">
        <v>3</v>
      </c>
      <c r="R322" s="8">
        <v>0</v>
      </c>
    </row>
    <row r="323" ht="16" customHeight="1">
      <c r="A323" s="8">
        <v>322</v>
      </c>
      <c r="B323" s="8">
        <v>37</v>
      </c>
      <c r="C323" t="s" s="9">
        <v>851</v>
      </c>
      <c r="D323" t="s" s="9">
        <v>891</v>
      </c>
      <c r="E323" t="s" s="9">
        <v>998</v>
      </c>
      <c r="F323" t="s" s="9">
        <v>999</v>
      </c>
      <c r="G323" t="s" s="9">
        <v>1000</v>
      </c>
      <c r="H323" s="8" cm="1">
        <f t="array" ref="H323">MIN(SUMIF('외운 것'!A2:A271,A323,'외운 것'!D2:D271)+IF(R323=0,3,IF(R323=1,2,0)),3)</f>
        <v>3</v>
      </c>
      <c r="I323" s="8" cm="1">
        <f t="array" ref="I323">_xlfn.COUNTIFS('외운 것'!A2:A271,A323,'외운 것'!D2:D271,0)</f>
        <v>0</v>
      </c>
      <c r="J323" t="str" s="10" cm="1">
        <f t="array" ref="J323">IF(R323&lt;&gt;0,IF(H323&gt;=3,_xlfn.XLOOKUP(A323,'외운 것'!A2:A271,'외운 것'!C2:C271,0,1),0),"3차")</f>
        <v>3차</v>
      </c>
      <c r="K323" s="8" cm="1">
        <f t="array" ref="K323">IF(P323&lt;&gt;0,IF(N323&gt;=3,_xlfn.XLOOKUP(A323,'외운 것'!A2:A271,'외운 것'!C2:C271,0,1),0),"1차")</f>
        <v>0</v>
      </c>
      <c r="L323" t="str" s="11" cm="1">
        <f t="array" ref="L323">IF(Q323&lt;&gt;0,IF(N323&gt;=3,_xlfn.XLOOKUP(A323,'외운 것'!A2:A271,'외운 것'!C2:C271,0,1),0),"2차")</f>
        <v>2차</v>
      </c>
      <c r="M323" t="str" s="11" cm="1">
        <f t="array" ref="M323">IF(R323&lt;&gt;0,IF(O323&gt;=3,_xlfn.XLOOKUP(B323,'외운 것'!B2:B271,'외운 것'!D2:D271,0,1),0),"3차")</f>
        <v>3차</v>
      </c>
      <c r="N323" s="8">
        <v>0</v>
      </c>
      <c r="O323" s="8">
        <v>3</v>
      </c>
      <c r="P323" s="8">
        <v>2</v>
      </c>
      <c r="Q323" s="8">
        <v>0</v>
      </c>
      <c r="R323" s="8">
        <v>0</v>
      </c>
    </row>
    <row r="324" ht="16" customHeight="1">
      <c r="A324" s="8">
        <v>323</v>
      </c>
      <c r="B324" s="8">
        <v>38</v>
      </c>
      <c r="C324" t="s" s="9">
        <v>724</v>
      </c>
      <c r="D324" t="s" s="9">
        <v>891</v>
      </c>
      <c r="E324" t="s" s="9">
        <v>1001</v>
      </c>
      <c r="F324" t="s" s="9">
        <v>1002</v>
      </c>
      <c r="G324" t="s" s="9">
        <v>1003</v>
      </c>
      <c r="H324" s="8" cm="1">
        <f t="array" ref="H324">MIN(SUMIF('외운 것'!A2:A271,A324,'외운 것'!D2:D271)+IF(R324=0,3,IF(R324=1,2,0)),3)</f>
        <v>3</v>
      </c>
      <c r="I324" s="8" cm="1">
        <f t="array" ref="I324">_xlfn.COUNTIFS('외운 것'!A2:A271,A324,'외운 것'!D2:D271,0)</f>
        <v>0</v>
      </c>
      <c r="J324" t="str" s="10" cm="1">
        <f t="array" ref="J324">IF(R324&lt;&gt;0,IF(H324&gt;=3,_xlfn.XLOOKUP(A324,'외운 것'!A2:A271,'외운 것'!C2:C271,0,1),0),"3차")</f>
        <v>2026-04-29</v>
      </c>
      <c r="K324" s="8" cm="1">
        <f t="array" ref="K324">IF(P324&lt;&gt;0,IF(N324&gt;=3,_xlfn.XLOOKUP(A324,'외운 것'!A2:A271,'외운 것'!C2:C271,0,1),0),"1차")</f>
        <v>0</v>
      </c>
      <c r="L324" s="8" cm="1">
        <f t="array" ref="L324">IF(Q324&lt;&gt;0,IF(N324&gt;=3,_xlfn.XLOOKUP(A324,'외운 것'!A2:A271,'외운 것'!C2:C271,0,1),0),"2차")</f>
        <v>0</v>
      </c>
      <c r="M324" s="8" cm="1">
        <f t="array" ref="M324">IF(R324&lt;&gt;0,IF(O324&gt;=3,_xlfn.XLOOKUP(B324,'외운 것'!B2:B271,'외운 것'!D2:D271,0,1),0),"3차")</f>
        <v>0</v>
      </c>
      <c r="N324" s="8">
        <v>0</v>
      </c>
      <c r="O324" s="8">
        <v>3</v>
      </c>
      <c r="P324" s="8">
        <v>5</v>
      </c>
      <c r="Q324" s="8">
        <v>5</v>
      </c>
      <c r="R324" s="8">
        <v>1</v>
      </c>
    </row>
    <row r="325" ht="16" customHeight="1">
      <c r="A325" s="8">
        <v>324</v>
      </c>
      <c r="B325" s="8">
        <v>39</v>
      </c>
      <c r="C325" t="s" s="9">
        <v>724</v>
      </c>
      <c r="D325" t="s" s="9">
        <v>891</v>
      </c>
      <c r="E325" t="s" s="9">
        <v>1004</v>
      </c>
      <c r="F325" t="s" s="9">
        <v>1005</v>
      </c>
      <c r="G325" t="s" s="9">
        <v>1006</v>
      </c>
      <c r="H325" s="8" cm="1">
        <f t="array" ref="H325">MIN(SUMIF('외운 것'!A2:A271,A325,'외운 것'!D2:D271)+IF(R325=0,3,IF(R325=1,2,0)),3)</f>
        <v>3</v>
      </c>
      <c r="I325" s="8" cm="1">
        <f t="array" ref="I325">_xlfn.COUNTIFS('외운 것'!A2:A271,A325,'외운 것'!D2:D271,0)</f>
        <v>1</v>
      </c>
      <c r="J325" t="str" s="10" cm="1">
        <f t="array" ref="J325">IF(R325&lt;&gt;0,IF(H325&gt;=3,_xlfn.XLOOKUP(A325,'외운 것'!A2:A271,'외운 것'!C2:C271,0,1),0),"3차")</f>
        <v>2026-04-30</v>
      </c>
      <c r="K325" s="8" cm="1">
        <f t="array" ref="K325">IF(P325&lt;&gt;0,IF(N325&gt;=3,_xlfn.XLOOKUP(A325,'외운 것'!A2:A271,'외운 것'!C2:C271,0,1),0),"1차")</f>
        <v>0</v>
      </c>
      <c r="L325" s="8" cm="1">
        <f t="array" ref="L325">IF(Q325&lt;&gt;0,IF(N325&gt;=3,_xlfn.XLOOKUP(A325,'외운 것'!A2:A271,'외운 것'!C2:C271,0,1),0),"2차")</f>
        <v>0</v>
      </c>
      <c r="M325" s="8" cm="1">
        <f t="array" ref="M325">IF(R325&lt;&gt;0,IF(O325&gt;=3,_xlfn.XLOOKUP(B325,'외운 것'!B2:B271,'외운 것'!D2:D271,0,1),0),"3차")</f>
        <v>0</v>
      </c>
      <c r="N325" s="8">
        <v>0</v>
      </c>
      <c r="O325" s="8">
        <v>3</v>
      </c>
      <c r="P325" s="8">
        <v>4</v>
      </c>
      <c r="Q325" s="8">
        <v>3</v>
      </c>
      <c r="R325" s="8">
        <v>2</v>
      </c>
    </row>
    <row r="326" ht="16" customHeight="1">
      <c r="A326" s="8">
        <v>325</v>
      </c>
      <c r="B326" s="8">
        <v>40</v>
      </c>
      <c r="C326" t="s" s="9">
        <v>774</v>
      </c>
      <c r="D326" t="s" s="9">
        <v>891</v>
      </c>
      <c r="E326" t="s" s="9">
        <v>1007</v>
      </c>
      <c r="F326" t="s" s="9">
        <v>1008</v>
      </c>
      <c r="G326" t="s" s="9">
        <v>1009</v>
      </c>
      <c r="H326" s="8" cm="1">
        <f t="array" ref="H326">MIN(SUMIF('외운 것'!A2:A271,A326,'외운 것'!D2:D271)+IF(R326=0,3,IF(R326=1,2,0)),3)</f>
        <v>3</v>
      </c>
      <c r="I326" s="8" cm="1">
        <f t="array" ref="I326">_xlfn.COUNTIFS('외운 것'!A2:A271,A326,'외운 것'!D2:D271,0)</f>
        <v>0</v>
      </c>
      <c r="J326" t="str" s="10" cm="1">
        <f t="array" ref="J326">IF(R326&lt;&gt;0,IF(H326&gt;=3,_xlfn.XLOOKUP(A326,'외운 것'!A2:A271,'외운 것'!C2:C271,0,1),0),"3차")</f>
        <v>2026-04-29</v>
      </c>
      <c r="K326" s="8" cm="1">
        <f t="array" ref="K326">IF(P326&lt;&gt;0,IF(N326&gt;=3,_xlfn.XLOOKUP(A326,'외운 것'!A2:A271,'외운 것'!C2:C271,0,1),0),"1차")</f>
        <v>0</v>
      </c>
      <c r="L326" s="8" cm="1">
        <f t="array" ref="L326">IF(Q326&lt;&gt;0,IF(N326&gt;=3,_xlfn.XLOOKUP(A326,'외운 것'!A2:A271,'외운 것'!C2:C271,0,1),0),"2차")</f>
        <v>0</v>
      </c>
      <c r="M326" s="8" cm="1">
        <f t="array" ref="M326">IF(R326&lt;&gt;0,IF(O326&gt;=3,_xlfn.XLOOKUP(B326,'외운 것'!B2:B271,'외운 것'!D2:D271,0,1),0),"3차")</f>
        <v>0</v>
      </c>
      <c r="N326" s="8">
        <v>0</v>
      </c>
      <c r="O326" s="8">
        <v>3</v>
      </c>
      <c r="P326" s="8">
        <v>2</v>
      </c>
      <c r="Q326" s="8">
        <v>2</v>
      </c>
      <c r="R326" s="8">
        <v>1</v>
      </c>
    </row>
    <row r="327" ht="16" customHeight="1">
      <c r="A327" s="8">
        <v>326</v>
      </c>
      <c r="B327" s="8">
        <v>41</v>
      </c>
      <c r="C327" t="s" s="9">
        <v>774</v>
      </c>
      <c r="D327" t="s" s="9">
        <v>891</v>
      </c>
      <c r="E327" t="s" s="9">
        <v>1010</v>
      </c>
      <c r="F327" t="s" s="9">
        <v>1011</v>
      </c>
      <c r="G327" t="s" s="9">
        <v>1012</v>
      </c>
      <c r="H327" s="8" cm="1">
        <f t="array" ref="H327">MIN(SUMIF('외운 것'!A2:A271,A327,'외운 것'!D2:D271)+IF(R327=0,3,IF(R327=1,2,0)),3)</f>
        <v>3</v>
      </c>
      <c r="I327" s="8" cm="1">
        <f t="array" ref="I327">_xlfn.COUNTIFS('외운 것'!A2:A271,A327,'외운 것'!D2:D271,0)</f>
        <v>0</v>
      </c>
      <c r="J327" t="str" s="10" cm="1">
        <f t="array" ref="J327">IF(R327&lt;&gt;0,IF(H327&gt;=3,_xlfn.XLOOKUP(A327,'외운 것'!A2:A271,'외운 것'!C2:C271,0,1),0),"3차")</f>
        <v>3차</v>
      </c>
      <c r="K327" s="8" cm="1">
        <f t="array" ref="K327">IF(P327&lt;&gt;0,IF(N327&gt;=3,_xlfn.XLOOKUP(A327,'외운 것'!A2:A271,'외운 것'!C2:C271,0,1),0),"1차")</f>
        <v>0</v>
      </c>
      <c r="L327" t="str" s="11" cm="1">
        <f t="array" ref="L327">IF(Q327&lt;&gt;0,IF(N327&gt;=3,_xlfn.XLOOKUP(A327,'외운 것'!A2:A271,'외운 것'!C2:C271,0,1),0),"2차")</f>
        <v>2차</v>
      </c>
      <c r="M327" t="str" s="11" cm="1">
        <f t="array" ref="M327">IF(R327&lt;&gt;0,IF(O327&gt;=3,_xlfn.XLOOKUP(B327,'외운 것'!B2:B271,'외운 것'!D2:D271,0,1),0),"3차")</f>
        <v>3차</v>
      </c>
      <c r="N327" s="8">
        <v>2</v>
      </c>
      <c r="O327" s="8">
        <v>3</v>
      </c>
      <c r="P327" s="8">
        <v>1</v>
      </c>
      <c r="Q327" s="8">
        <v>0</v>
      </c>
      <c r="R327" s="8">
        <v>0</v>
      </c>
    </row>
    <row r="328" ht="16" customHeight="1">
      <c r="A328" s="8">
        <v>327</v>
      </c>
      <c r="B328" s="8">
        <v>42</v>
      </c>
      <c r="C328" t="s" s="9">
        <v>1013</v>
      </c>
      <c r="D328" t="s" s="9">
        <v>891</v>
      </c>
      <c r="E328" t="s" s="9">
        <v>1014</v>
      </c>
      <c r="F328" t="s" s="9">
        <v>1015</v>
      </c>
      <c r="G328" t="s" s="9">
        <v>1016</v>
      </c>
      <c r="H328" s="8" cm="1">
        <f t="array" ref="H328">MIN(SUMIF('외운 것'!A2:A271,A328,'외운 것'!D2:D271)+IF(R328=0,3,IF(R328=1,2,0)),3)</f>
        <v>3</v>
      </c>
      <c r="I328" s="8" cm="1">
        <f t="array" ref="I328">_xlfn.COUNTIFS('외운 것'!A2:A271,A328,'외운 것'!D2:D271,0)</f>
        <v>1</v>
      </c>
      <c r="J328" t="str" s="10" cm="1">
        <f t="array" ref="J328">IF(R328&lt;&gt;0,IF(H328&gt;=3,_xlfn.XLOOKUP(A328,'외운 것'!A2:A271,'외운 것'!C2:C271,0,1),0),"3차")</f>
        <v>2026-04-30</v>
      </c>
      <c r="K328" s="8" cm="1">
        <f t="array" ref="K328">IF(P328&lt;&gt;0,IF(N328&gt;=3,_xlfn.XLOOKUP(A328,'외운 것'!A2:A271,'외운 것'!C2:C271,0,1),0),"1차")</f>
        <v>0</v>
      </c>
      <c r="L328" s="8" cm="1">
        <f t="array" ref="L328">IF(Q328&lt;&gt;0,IF(N328&gt;=3,_xlfn.XLOOKUP(A328,'외운 것'!A2:A271,'외운 것'!C2:C271,0,1),0),"2차")</f>
        <v>0</v>
      </c>
      <c r="M328" s="8" cm="1">
        <f t="array" ref="M328">IF(R328&lt;&gt;0,IF(O328&gt;=3,_xlfn.XLOOKUP(B328,'외운 것'!B2:B271,'외운 것'!D2:D271,0,1),0),"3차")</f>
        <v>0</v>
      </c>
      <c r="N328" s="8">
        <v>0</v>
      </c>
      <c r="O328" s="8">
        <v>3</v>
      </c>
      <c r="P328" s="8">
        <v>5</v>
      </c>
      <c r="Q328" s="8">
        <v>1</v>
      </c>
      <c r="R328" s="8">
        <v>1</v>
      </c>
    </row>
    <row r="329" ht="16" customHeight="1">
      <c r="A329" s="8">
        <v>328</v>
      </c>
      <c r="B329" s="8">
        <v>43</v>
      </c>
      <c r="C329" t="s" s="9">
        <v>1013</v>
      </c>
      <c r="D329" t="s" s="9">
        <v>891</v>
      </c>
      <c r="E329" t="s" s="9">
        <v>1017</v>
      </c>
      <c r="F329" t="s" s="9">
        <v>1018</v>
      </c>
      <c r="G329" t="s" s="9">
        <v>1019</v>
      </c>
      <c r="H329" s="8" cm="1">
        <f t="array" ref="H329">MIN(SUMIF('외운 것'!A2:A271,A329,'외운 것'!D2:D271)+IF(R329=0,3,IF(R329=1,2,0)),3)</f>
        <v>3</v>
      </c>
      <c r="I329" s="8" cm="1">
        <f t="array" ref="I329">_xlfn.COUNTIFS('외운 것'!A2:A271,A329,'외운 것'!D2:D271,0)</f>
        <v>0</v>
      </c>
      <c r="J329" t="str" s="10" cm="1">
        <f t="array" ref="J329">IF(R329&lt;&gt;0,IF(H329&gt;=3,_xlfn.XLOOKUP(A329,'외운 것'!A2:A271,'외운 것'!C2:C271,0,1),0),"3차")</f>
        <v>3차</v>
      </c>
      <c r="K329" s="8" cm="1">
        <f t="array" ref="K329">IF(P329&lt;&gt;0,IF(N329&gt;=3,_xlfn.XLOOKUP(A329,'외운 것'!A2:A271,'외운 것'!C2:C271,0,1),0),"1차")</f>
        <v>0</v>
      </c>
      <c r="L329" t="str" s="11" cm="1">
        <f t="array" ref="L329">IF(Q329&lt;&gt;0,IF(N329&gt;=3,_xlfn.XLOOKUP(A329,'외운 것'!A2:A271,'외운 것'!C2:C271,0,1),0),"2차")</f>
        <v>2차</v>
      </c>
      <c r="M329" t="str" s="11" cm="1">
        <f t="array" ref="M329">IF(R329&lt;&gt;0,IF(O329&gt;=3,_xlfn.XLOOKUP(B329,'외운 것'!B2:B271,'외운 것'!D2:D271,0,1),0),"3차")</f>
        <v>3차</v>
      </c>
      <c r="N329" s="8">
        <v>2</v>
      </c>
      <c r="O329" s="8">
        <v>3</v>
      </c>
      <c r="P329" s="8">
        <v>1</v>
      </c>
      <c r="Q329" s="8">
        <v>0</v>
      </c>
      <c r="R329" s="8">
        <v>0</v>
      </c>
    </row>
    <row r="330" ht="16" customHeight="1">
      <c r="A330" s="8">
        <v>329</v>
      </c>
      <c r="B330" s="8">
        <v>44</v>
      </c>
      <c r="C330" t="s" s="9">
        <v>1013</v>
      </c>
      <c r="D330" t="s" s="9">
        <v>891</v>
      </c>
      <c r="E330" t="s" s="9">
        <v>1020</v>
      </c>
      <c r="F330" t="s" s="9">
        <v>1021</v>
      </c>
      <c r="G330" t="s" s="9">
        <v>1022</v>
      </c>
      <c r="H330" s="8" cm="1">
        <f t="array" ref="H330">MIN(SUMIF('외운 것'!A2:A271,A330,'외운 것'!D2:D271)+IF(R330=0,3,IF(R330=1,2,0)),3)</f>
        <v>3</v>
      </c>
      <c r="I330" s="8" cm="1">
        <f t="array" ref="I330">_xlfn.COUNTIFS('외운 것'!A2:A271,A330,'외운 것'!D2:D271,0)</f>
        <v>0</v>
      </c>
      <c r="J330" t="str" s="10" cm="1">
        <f t="array" ref="J330">IF(R330&lt;&gt;0,IF(H330&gt;=3,_xlfn.XLOOKUP(A330,'외운 것'!A2:A271,'외운 것'!C2:C271,0,1),0),"3차")</f>
        <v>3차</v>
      </c>
      <c r="K330" s="8" cm="1">
        <f t="array" ref="K330">IF(P330&lt;&gt;0,IF(N330&gt;=3,_xlfn.XLOOKUP(A330,'외운 것'!A2:A271,'외운 것'!C2:C271,0,1),0),"1차")</f>
        <v>0</v>
      </c>
      <c r="L330" s="8" cm="1">
        <f t="array" ref="L330">IF(Q330&lt;&gt;0,IF(N330&gt;=3,_xlfn.XLOOKUP(A330,'외운 것'!A2:A271,'외운 것'!C2:C271,0,1),0),"2차")</f>
        <v>0</v>
      </c>
      <c r="M330" t="str" s="11" cm="1">
        <f t="array" ref="M330">IF(R330&lt;&gt;0,IF(O330&gt;=3,_xlfn.XLOOKUP(B330,'외운 것'!B2:B271,'외운 것'!D2:D271,0,1),0),"3차")</f>
        <v>3차</v>
      </c>
      <c r="N330" s="8">
        <v>2</v>
      </c>
      <c r="O330" s="8">
        <v>3</v>
      </c>
      <c r="P330" s="8">
        <v>1</v>
      </c>
      <c r="Q330" s="8">
        <v>1</v>
      </c>
      <c r="R330" s="8">
        <v>0</v>
      </c>
    </row>
    <row r="331" ht="16" customHeight="1">
      <c r="A331" s="8">
        <v>330</v>
      </c>
      <c r="B331" s="8">
        <v>45</v>
      </c>
      <c r="C331" t="s" s="9">
        <v>1013</v>
      </c>
      <c r="D331" t="s" s="9">
        <v>891</v>
      </c>
      <c r="E331" t="s" s="9">
        <v>1023</v>
      </c>
      <c r="F331" t="s" s="9">
        <v>1024</v>
      </c>
      <c r="G331" t="s" s="9">
        <v>1025</v>
      </c>
      <c r="H331" s="8" cm="1">
        <f t="array" ref="H331">MIN(SUMIF('외운 것'!A2:A271,A331,'외운 것'!D2:D271)+IF(R331=0,3,IF(R331=1,2,0)),3)</f>
        <v>3</v>
      </c>
      <c r="I331" s="8" cm="1">
        <f t="array" ref="I331">_xlfn.COUNTIFS('외운 것'!A2:A271,A331,'외운 것'!D2:D271,0)</f>
        <v>0</v>
      </c>
      <c r="J331" t="str" s="10" cm="1">
        <f t="array" ref="J331">IF(R331&lt;&gt;0,IF(H331&gt;=3,_xlfn.XLOOKUP(A331,'외운 것'!A2:A271,'외운 것'!C2:C271,0,1),0),"3차")</f>
        <v>3차</v>
      </c>
      <c r="K331" s="8" cm="1">
        <f t="array" ref="K331">IF(P331&lt;&gt;0,IF(N331&gt;=3,_xlfn.XLOOKUP(A331,'외운 것'!A2:A271,'외운 것'!C2:C271,0,1),0),"1차")</f>
        <v>0</v>
      </c>
      <c r="L331" t="str" s="11" cm="1">
        <f t="array" ref="L331">IF(Q331&lt;&gt;0,IF(N331&gt;=3,_xlfn.XLOOKUP(A331,'외운 것'!A2:A271,'외운 것'!C2:C271,0,1),0),"2차")</f>
        <v>2차</v>
      </c>
      <c r="M331" t="str" s="11" cm="1">
        <f t="array" ref="M331">IF(R331&lt;&gt;0,IF(O331&gt;=3,_xlfn.XLOOKUP(B331,'외운 것'!B2:B271,'외운 것'!D2:D271,0,1),0),"3차")</f>
        <v>3차</v>
      </c>
      <c r="N331" s="8">
        <v>2</v>
      </c>
      <c r="O331" s="8">
        <v>3</v>
      </c>
      <c r="P331" s="8">
        <v>1</v>
      </c>
      <c r="Q331" s="8">
        <v>0</v>
      </c>
      <c r="R331" s="8">
        <v>0</v>
      </c>
    </row>
    <row r="332" ht="16" customHeight="1">
      <c r="A332" s="8">
        <v>331</v>
      </c>
      <c r="B332" s="8">
        <v>46</v>
      </c>
      <c r="C332" t="s" s="9">
        <v>1013</v>
      </c>
      <c r="D332" t="s" s="9">
        <v>891</v>
      </c>
      <c r="E332" t="s" s="9">
        <v>1026</v>
      </c>
      <c r="F332" t="s" s="9">
        <v>1027</v>
      </c>
      <c r="G332" t="s" s="9">
        <v>1028</v>
      </c>
      <c r="H332" s="8" cm="1">
        <f t="array" ref="H332">MIN(SUMIF('외운 것'!A2:A271,A332,'외운 것'!D2:D271)+IF(R332=0,3,IF(R332=1,2,0)),3)</f>
        <v>3</v>
      </c>
      <c r="I332" s="8" cm="1">
        <f t="array" ref="I332">_xlfn.COUNTIFS('외운 것'!A2:A271,A332,'외운 것'!D2:D271,0)</f>
        <v>0</v>
      </c>
      <c r="J332" t="str" s="10" cm="1">
        <f t="array" ref="J332">IF(R332&lt;&gt;0,IF(H332&gt;=3,_xlfn.XLOOKUP(A332,'외운 것'!A2:A271,'외운 것'!C2:C271,0,1),0),"3차")</f>
        <v>2026-04-29</v>
      </c>
      <c r="K332" s="8" cm="1">
        <f t="array" ref="K332">IF(P332&lt;&gt;0,IF(N332&gt;=3,_xlfn.XLOOKUP(A332,'외운 것'!A2:A271,'외운 것'!C2:C271,0,1),0),"1차")</f>
        <v>0</v>
      </c>
      <c r="L332" s="8" cm="1">
        <f t="array" ref="L332">IF(Q332&lt;&gt;0,IF(N332&gt;=3,_xlfn.XLOOKUP(A332,'외운 것'!A2:A271,'외운 것'!C2:C271,0,1),0),"2차")</f>
        <v>0</v>
      </c>
      <c r="M332" s="8" cm="1">
        <f t="array" ref="M332">IF(R332&lt;&gt;0,IF(O332&gt;=3,_xlfn.XLOOKUP(B332,'외운 것'!B2:B271,'외운 것'!D2:D271,0,1),0),"3차")</f>
        <v>0</v>
      </c>
      <c r="N332" s="8">
        <v>0</v>
      </c>
      <c r="O332" s="8">
        <v>3</v>
      </c>
      <c r="P332" s="8">
        <v>3</v>
      </c>
      <c r="Q332" s="8">
        <v>1</v>
      </c>
      <c r="R332" s="8">
        <v>1</v>
      </c>
    </row>
    <row r="333" ht="16" customHeight="1">
      <c r="A333" s="8">
        <v>332</v>
      </c>
      <c r="B333" s="8">
        <v>47</v>
      </c>
      <c r="C333" t="s" s="9">
        <v>1013</v>
      </c>
      <c r="D333" t="s" s="9">
        <v>891</v>
      </c>
      <c r="E333" t="s" s="9">
        <v>1029</v>
      </c>
      <c r="F333" t="s" s="9">
        <v>1030</v>
      </c>
      <c r="G333" t="s" s="9">
        <v>1031</v>
      </c>
      <c r="H333" s="8" cm="1">
        <f t="array" ref="H333">MIN(SUMIF('외운 것'!A2:A271,A333,'외운 것'!D2:D271)+IF(R333=0,3,IF(R333=1,2,0)),3)</f>
        <v>3</v>
      </c>
      <c r="I333" s="8" cm="1">
        <f t="array" ref="I333">_xlfn.COUNTIFS('외운 것'!A2:A271,A333,'외운 것'!D2:D271,0)</f>
        <v>0</v>
      </c>
      <c r="J333" t="str" s="10" cm="1">
        <f t="array" ref="J333">IF(R333&lt;&gt;0,IF(H333&gt;=3,_xlfn.XLOOKUP(A333,'외운 것'!A2:A271,'외운 것'!C2:C271,0,1),0),"3차")</f>
        <v>3차</v>
      </c>
      <c r="K333" s="8" cm="1">
        <f t="array" ref="K333">IF(P333&lt;&gt;0,IF(N333&gt;=3,_xlfn.XLOOKUP(A333,'외운 것'!A2:A271,'외운 것'!C2:C271,0,1),0),"1차")</f>
        <v>0</v>
      </c>
      <c r="L333" s="8" cm="1">
        <f t="array" ref="L333">IF(Q333&lt;&gt;0,IF(N333&gt;=3,_xlfn.XLOOKUP(A333,'외운 것'!A2:A271,'외운 것'!C2:C271,0,1),0),"2차")</f>
        <v>0</v>
      </c>
      <c r="M333" t="str" s="11" cm="1">
        <f t="array" ref="M333">IF(R333&lt;&gt;0,IF(O333&gt;=3,_xlfn.XLOOKUP(B333,'외운 것'!B2:B271,'외운 것'!D2:D271,0,1),0),"3차")</f>
        <v>3차</v>
      </c>
      <c r="N333" s="8">
        <v>2</v>
      </c>
      <c r="O333" s="8">
        <v>3</v>
      </c>
      <c r="P333" s="8">
        <v>1</v>
      </c>
      <c r="Q333" s="8">
        <v>1</v>
      </c>
      <c r="R333" s="8">
        <v>0</v>
      </c>
    </row>
    <row r="334" ht="16" customHeight="1">
      <c r="A334" s="8">
        <v>333</v>
      </c>
      <c r="B334" s="8">
        <v>48</v>
      </c>
      <c r="C334" t="s" s="9">
        <v>1013</v>
      </c>
      <c r="D334" t="s" s="9">
        <v>891</v>
      </c>
      <c r="E334" t="s" s="9">
        <v>1032</v>
      </c>
      <c r="F334" t="s" s="9">
        <v>1033</v>
      </c>
      <c r="G334" t="s" s="9">
        <v>1034</v>
      </c>
      <c r="H334" s="8" cm="1">
        <f t="array" ref="H334">MIN(SUMIF('외운 것'!A2:A271,A334,'외운 것'!D2:D271)+IF(R334=0,3,IF(R334=1,2,0)),3)</f>
        <v>3</v>
      </c>
      <c r="I334" s="8" cm="1">
        <f t="array" ref="I334">_xlfn.COUNTIFS('외운 것'!A2:A271,A334,'외운 것'!D2:D271,0)</f>
        <v>0</v>
      </c>
      <c r="J334" t="str" s="10" cm="1">
        <f t="array" ref="J334">IF(R334&lt;&gt;0,IF(H334&gt;=3,_xlfn.XLOOKUP(A334,'외운 것'!A2:A271,'외운 것'!C2:C271,0,1),0),"3차")</f>
        <v>3차</v>
      </c>
      <c r="K334" s="8" cm="1">
        <f t="array" ref="K334">IF(P334&lt;&gt;0,IF(N334&gt;=3,_xlfn.XLOOKUP(A334,'외운 것'!A2:A271,'외운 것'!C2:C271,0,1),0),"1차")</f>
        <v>0</v>
      </c>
      <c r="L334" s="8" cm="1">
        <f t="array" ref="L334">IF(Q334&lt;&gt;0,IF(N334&gt;=3,_xlfn.XLOOKUP(A334,'외운 것'!A2:A271,'외운 것'!C2:C271,0,1),0),"2차")</f>
        <v>0</v>
      </c>
      <c r="M334" t="str" s="11" cm="1">
        <f t="array" ref="M334">IF(R334&lt;&gt;0,IF(O334&gt;=3,_xlfn.XLOOKUP(B334,'외운 것'!B2:B271,'외운 것'!D2:D271,0,1),0),"3차")</f>
        <v>3차</v>
      </c>
      <c r="N334" s="8">
        <v>0</v>
      </c>
      <c r="O334" s="8">
        <v>3</v>
      </c>
      <c r="P334" s="8">
        <v>4</v>
      </c>
      <c r="Q334" s="8">
        <v>1</v>
      </c>
      <c r="R334" s="8">
        <v>0</v>
      </c>
    </row>
    <row r="335" ht="16" customHeight="1">
      <c r="A335" s="8">
        <v>334</v>
      </c>
      <c r="B335" s="8">
        <v>49</v>
      </c>
      <c r="C335" t="s" s="9">
        <v>1013</v>
      </c>
      <c r="D335" t="s" s="9">
        <v>891</v>
      </c>
      <c r="E335" t="s" s="9">
        <v>1035</v>
      </c>
      <c r="F335" t="s" s="9">
        <v>1036</v>
      </c>
      <c r="G335" t="s" s="9">
        <v>1037</v>
      </c>
      <c r="H335" s="8" cm="1">
        <f t="array" ref="H335">MIN(SUMIF('외운 것'!A2:A271,A335,'외운 것'!D2:D271)+IF(R335=0,3,IF(R335=1,2,0)),3)</f>
        <v>3</v>
      </c>
      <c r="I335" s="8" cm="1">
        <f t="array" ref="I335">_xlfn.COUNTIFS('외운 것'!A2:A271,A335,'외운 것'!D2:D271,0)</f>
        <v>0</v>
      </c>
      <c r="J335" t="str" s="10" cm="1">
        <f t="array" ref="J335">IF(R335&lt;&gt;0,IF(H335&gt;=3,_xlfn.XLOOKUP(A335,'외운 것'!A2:A271,'외운 것'!C2:C271,0,1),0),"3차")</f>
        <v>3차</v>
      </c>
      <c r="K335" s="8" cm="1">
        <f t="array" ref="K335">IF(P335&lt;&gt;0,IF(N335&gt;=3,_xlfn.XLOOKUP(A335,'외운 것'!A2:A271,'외운 것'!C2:C271,0,1),0),"1차")</f>
        <v>0</v>
      </c>
      <c r="L335" s="8" cm="1">
        <f t="array" ref="L335">IF(Q335&lt;&gt;0,IF(N335&gt;=3,_xlfn.XLOOKUP(A335,'외운 것'!A2:A271,'외운 것'!C2:C271,0,1),0),"2차")</f>
        <v>0</v>
      </c>
      <c r="M335" t="str" s="11" cm="1">
        <f t="array" ref="M335">IF(R335&lt;&gt;0,IF(O335&gt;=3,_xlfn.XLOOKUP(B335,'외운 것'!B2:B271,'외운 것'!D2:D271,0,1),0),"3차")</f>
        <v>3차</v>
      </c>
      <c r="N335" s="8">
        <v>0</v>
      </c>
      <c r="O335" s="8">
        <v>3</v>
      </c>
      <c r="P335" s="8">
        <v>2</v>
      </c>
      <c r="Q335" s="8">
        <v>1</v>
      </c>
      <c r="R335" s="8">
        <v>0</v>
      </c>
    </row>
    <row r="336" ht="16" customHeight="1">
      <c r="A336" s="8">
        <v>335</v>
      </c>
      <c r="B336" s="8">
        <v>50</v>
      </c>
      <c r="C336" t="s" s="9">
        <v>1013</v>
      </c>
      <c r="D336" t="s" s="9">
        <v>891</v>
      </c>
      <c r="E336" t="s" s="9">
        <v>1038</v>
      </c>
      <c r="F336" t="s" s="9">
        <v>1039</v>
      </c>
      <c r="G336" t="s" s="9">
        <v>1040</v>
      </c>
      <c r="H336" s="8" cm="1">
        <f t="array" ref="H336">MIN(SUMIF('외운 것'!A2:A271,A336,'외운 것'!D2:D271)+IF(R336=0,3,IF(R336=1,2,0)),3)</f>
        <v>3</v>
      </c>
      <c r="I336" s="8" cm="1">
        <f t="array" ref="I336">_xlfn.COUNTIFS('외운 것'!A2:A271,A336,'외운 것'!D2:D271,0)</f>
        <v>0</v>
      </c>
      <c r="J336" t="str" s="10" cm="1">
        <f t="array" ref="J336">IF(R336&lt;&gt;0,IF(H336&gt;=3,_xlfn.XLOOKUP(A336,'외운 것'!A2:A271,'외운 것'!C2:C271,0,1),0),"3차")</f>
        <v>2026-04-30</v>
      </c>
      <c r="K336" s="8" cm="1">
        <f t="array" ref="K336">IF(P336&lt;&gt;0,IF(N336&gt;=3,_xlfn.XLOOKUP(A336,'외운 것'!A2:A271,'외운 것'!C2:C271,0,1),0),"1차")</f>
        <v>0</v>
      </c>
      <c r="L336" s="8" cm="1">
        <f t="array" ref="L336">IF(Q336&lt;&gt;0,IF(N336&gt;=3,_xlfn.XLOOKUP(A336,'외운 것'!A2:A271,'외운 것'!C2:C271,0,1),0),"2차")</f>
        <v>0</v>
      </c>
      <c r="M336" s="8" cm="1">
        <f t="array" ref="M336">IF(R336&lt;&gt;0,IF(O336&gt;=3,_xlfn.XLOOKUP(B336,'외운 것'!B2:B271,'외운 것'!D2:D271,0,1),0),"3차")</f>
        <v>0</v>
      </c>
      <c r="N336" s="8">
        <v>0</v>
      </c>
      <c r="O336" s="8">
        <v>3</v>
      </c>
      <c r="P336" s="8">
        <v>4</v>
      </c>
      <c r="Q336" s="8">
        <v>2</v>
      </c>
      <c r="R336" s="8">
        <v>3</v>
      </c>
    </row>
    <row r="337" ht="14.35" customHeight="1">
      <c r="A337" s="8">
        <v>336</v>
      </c>
      <c r="B337" s="8">
        <v>1</v>
      </c>
      <c r="C337" t="s" s="9">
        <v>724</v>
      </c>
      <c r="D337" t="s" s="9">
        <v>1041</v>
      </c>
      <c r="E337" t="s" s="9">
        <v>1042</v>
      </c>
      <c r="F337" t="s" s="9">
        <v>1043</v>
      </c>
      <c r="G337" t="s" s="9">
        <v>1044</v>
      </c>
      <c r="H337" s="8" cm="1">
        <f t="array" ref="H337">MIN(SUMIF('외운 것'!A2:A271,A337,'외운 것'!D2:D271)+IF(R337=0,3,IF(R337=1,2,0)),3)</f>
        <v>3</v>
      </c>
      <c r="I337" s="8" cm="1">
        <f t="array" ref="I337">_xlfn.COUNTIFS('외운 것'!A2:A271,A337,'외운 것'!D2:D271,0)</f>
        <v>2</v>
      </c>
      <c r="J337" t="str" s="10" cm="1">
        <f t="array" ref="J337">IF(R337&lt;&gt;0,IF(H337&gt;=3,_xlfn.XLOOKUP(A337,'외운 것'!A2:A271,'외운 것'!C2:C271,0,1),0),"3차")</f>
        <v>2026-04-30</v>
      </c>
      <c r="K337" s="8" cm="1">
        <f t="array" ref="K337">IF(P337&lt;&gt;0,IF(N337&gt;=3,_xlfn.XLOOKUP(A337,'외운 것'!A2:A271,'외운 것'!C2:C271,0,1),0),"1차")</f>
        <v>0</v>
      </c>
      <c r="L337" s="8" cm="1">
        <f t="array" ref="L337">IF(Q337&lt;&gt;0,IF(N337&gt;=3,_xlfn.XLOOKUP(A337,'외운 것'!A2:A271,'외운 것'!C2:C271,0,1),0),"2차")</f>
        <v>0</v>
      </c>
      <c r="M337" s="8" cm="1">
        <f t="array" ref="M337">IF(R337&lt;&gt;0,IF(O337&gt;=3,_xlfn.XLOOKUP(B337,'외운 것'!B2:B271,'외운 것'!D2:D271,0,1),0),"3차")</f>
        <v>0</v>
      </c>
      <c r="N337" s="8">
        <v>0</v>
      </c>
      <c r="O337" s="8">
        <v>3</v>
      </c>
      <c r="P337" s="8">
        <v>5</v>
      </c>
      <c r="Q337" s="8">
        <v>1</v>
      </c>
      <c r="R337" s="8">
        <v>1</v>
      </c>
    </row>
    <row r="338" ht="33" customHeight="1">
      <c r="A338" s="8">
        <v>337</v>
      </c>
      <c r="B338" s="8">
        <v>2</v>
      </c>
      <c r="C338" t="s" s="9">
        <v>724</v>
      </c>
      <c r="D338" t="s" s="9">
        <v>1041</v>
      </c>
      <c r="E338" t="s" s="9">
        <v>1045</v>
      </c>
      <c r="F338" t="s" s="9">
        <v>1046</v>
      </c>
      <c r="G338" t="s" s="9">
        <v>1047</v>
      </c>
      <c r="H338" s="8" cm="1">
        <f t="array" ref="H338">MIN(SUMIF('외운 것'!A2:A271,A338,'외운 것'!D2:D271)+IF(R338=0,3,IF(R338=1,2,0)),3)</f>
        <v>3</v>
      </c>
      <c r="I338" s="8" cm="1">
        <f t="array" ref="I338">_xlfn.COUNTIFS('외운 것'!A2:A271,A338,'외운 것'!D2:D271,0)</f>
        <v>0</v>
      </c>
      <c r="J338" t="str" s="10" cm="1">
        <f t="array" ref="J338">IF(R338&lt;&gt;0,IF(H338&gt;=3,_xlfn.XLOOKUP(A338,'외운 것'!A2:A271,'외운 것'!C2:C271,0,1),0),"3차")</f>
        <v>3차</v>
      </c>
      <c r="K338" s="8" cm="1">
        <f t="array" ref="K338">IF(P338&lt;&gt;0,IF(N338&gt;=3,_xlfn.XLOOKUP(A338,'외운 것'!A2:A271,'외운 것'!C2:C271,0,1),0),"1차")</f>
        <v>0</v>
      </c>
      <c r="L338" s="8" cm="1">
        <f t="array" ref="L338">IF(Q338&lt;&gt;0,IF(N338&gt;=3,_xlfn.XLOOKUP(A338,'외운 것'!A2:A271,'외운 것'!C2:C271,0,1),0),"2차")</f>
        <v>0</v>
      </c>
      <c r="M338" t="str" s="11" cm="1">
        <f t="array" ref="M338">IF(R338&lt;&gt;0,IF(O338&gt;=3,_xlfn.XLOOKUP(B338,'외운 것'!B2:B271,'외운 것'!D2:D271,0,1),0),"3차")</f>
        <v>3차</v>
      </c>
      <c r="N338" s="8">
        <v>2</v>
      </c>
      <c r="O338" s="8">
        <v>3</v>
      </c>
      <c r="P338" s="8">
        <v>1</v>
      </c>
      <c r="Q338" s="8">
        <v>2</v>
      </c>
      <c r="R338" s="8">
        <v>0</v>
      </c>
    </row>
    <row r="339" ht="16.75" customHeight="1">
      <c r="A339" s="8">
        <v>338</v>
      </c>
      <c r="B339" s="8">
        <v>3</v>
      </c>
      <c r="C339" t="s" s="9">
        <v>724</v>
      </c>
      <c r="D339" t="s" s="9">
        <v>1041</v>
      </c>
      <c r="E339" t="s" s="9">
        <v>1048</v>
      </c>
      <c r="F339" t="s" s="9">
        <v>1049</v>
      </c>
      <c r="G339" t="s" s="9">
        <v>1050</v>
      </c>
      <c r="H339" s="8" cm="1">
        <f t="array" ref="H339">MIN(SUMIF('외운 것'!A2:A271,A339,'외운 것'!D2:D271)+IF(R339=0,3,IF(R339=1,2,0)),3)</f>
        <v>3</v>
      </c>
      <c r="I339" s="8" cm="1">
        <f t="array" ref="I339">_xlfn.COUNTIFS('외운 것'!A2:A271,A339,'외운 것'!D2:D271,0)</f>
        <v>1</v>
      </c>
      <c r="J339" t="str" s="10" cm="1">
        <f t="array" ref="J339">IF(R339&lt;&gt;0,IF(H339&gt;=3,_xlfn.XLOOKUP(A339,'외운 것'!A2:A271,'외운 것'!C2:C271,0,1),0),"3차")</f>
        <v>2026-04-30</v>
      </c>
      <c r="K339" s="8" cm="1">
        <f t="array" ref="K339">IF(P339&lt;&gt;0,IF(N339&gt;=3,_xlfn.XLOOKUP(A339,'외운 것'!A2:A271,'외운 것'!C2:C271,0,1),0),"1차")</f>
        <v>0</v>
      </c>
      <c r="L339" s="8" cm="1">
        <f t="array" ref="L339">IF(Q339&lt;&gt;0,IF(N339&gt;=3,_xlfn.XLOOKUP(A339,'외운 것'!A2:A271,'외운 것'!C2:C271,0,1),0),"2차")</f>
        <v>0</v>
      </c>
      <c r="M339" s="8" cm="1">
        <f t="array" ref="M339">IF(R339&lt;&gt;0,IF(O339&gt;=3,_xlfn.XLOOKUP(B339,'외운 것'!B2:B271,'외운 것'!D2:D271,0,1),0),"3차")</f>
        <v>0</v>
      </c>
      <c r="N339" s="8">
        <v>0</v>
      </c>
      <c r="O339" s="8">
        <v>3</v>
      </c>
      <c r="P339" s="8">
        <v>3</v>
      </c>
      <c r="Q339" s="8">
        <v>1</v>
      </c>
      <c r="R339" s="8">
        <v>1</v>
      </c>
    </row>
    <row r="340" ht="33" customHeight="1">
      <c r="A340" s="8">
        <v>339</v>
      </c>
      <c r="B340" s="8">
        <v>4</v>
      </c>
      <c r="C340" t="s" s="9">
        <v>724</v>
      </c>
      <c r="D340" t="s" s="9">
        <v>1041</v>
      </c>
      <c r="E340" t="s" s="9">
        <v>1051</v>
      </c>
      <c r="F340" t="s" s="9">
        <v>1052</v>
      </c>
      <c r="G340" t="s" s="9">
        <v>1053</v>
      </c>
      <c r="H340" s="8" cm="1">
        <f t="array" ref="H340">MIN(SUMIF('외운 것'!A2:A271,A340,'외운 것'!D2:D271)+IF(R340=0,3,IF(R340=1,2,0)),3)</f>
        <v>3</v>
      </c>
      <c r="I340" s="8" cm="1">
        <f t="array" ref="I340">_xlfn.COUNTIFS('외운 것'!A2:A271,A340,'외운 것'!D2:D271,0)</f>
        <v>0</v>
      </c>
      <c r="J340" t="str" s="10" cm="1">
        <f t="array" ref="J340">IF(R340&lt;&gt;0,IF(H340&gt;=3,_xlfn.XLOOKUP(A340,'외운 것'!A2:A271,'외운 것'!C2:C271,0,1),0),"3차")</f>
        <v>2026-04-30</v>
      </c>
      <c r="K340" s="8" cm="1">
        <f t="array" ref="K340">IF(P340&lt;&gt;0,IF(N340&gt;=3,_xlfn.XLOOKUP(A340,'외운 것'!A2:A271,'외운 것'!C2:C271,0,1),0),"1차")</f>
        <v>0</v>
      </c>
      <c r="L340" s="8" cm="1">
        <f t="array" ref="L340">IF(Q340&lt;&gt;0,IF(N340&gt;=3,_xlfn.XLOOKUP(A340,'외운 것'!A2:A271,'외운 것'!C2:C271,0,1),0),"2차")</f>
        <v>0</v>
      </c>
      <c r="M340" s="8" cm="1">
        <f t="array" ref="M340">IF(R340&lt;&gt;0,IF(O340&gt;=3,_xlfn.XLOOKUP(B340,'외운 것'!B2:B271,'외운 것'!D2:D271,0,1),0),"3차")</f>
        <v>0</v>
      </c>
      <c r="N340" s="8">
        <v>0</v>
      </c>
      <c r="O340" s="8">
        <v>3</v>
      </c>
      <c r="P340" s="8">
        <v>5</v>
      </c>
      <c r="Q340" s="8">
        <v>2</v>
      </c>
      <c r="R340" s="8">
        <v>1</v>
      </c>
    </row>
    <row r="341" ht="33" customHeight="1">
      <c r="A341" s="8">
        <v>340</v>
      </c>
      <c r="B341" s="8">
        <v>5</v>
      </c>
      <c r="C341" t="s" s="9">
        <v>724</v>
      </c>
      <c r="D341" t="s" s="9">
        <v>1041</v>
      </c>
      <c r="E341" t="s" s="9">
        <v>1054</v>
      </c>
      <c r="F341" t="s" s="9">
        <v>1055</v>
      </c>
      <c r="G341" t="s" s="9">
        <v>1056</v>
      </c>
      <c r="H341" s="8" cm="1">
        <f t="array" ref="H341">MIN(SUMIF('외운 것'!A2:A271,A341,'외운 것'!D2:D271)+IF(R341=0,3,IF(R341=1,2,0)),3)</f>
        <v>3</v>
      </c>
      <c r="I341" s="8" cm="1">
        <f t="array" ref="I341">_xlfn.COUNTIFS('외운 것'!A2:A271,A341,'외운 것'!D2:D271,0)</f>
        <v>0</v>
      </c>
      <c r="J341" t="str" s="10" cm="1">
        <f t="array" ref="J341">IF(R341&lt;&gt;0,IF(H341&gt;=3,_xlfn.XLOOKUP(A341,'외운 것'!A2:A271,'외운 것'!C2:C271,0,1),0),"3차")</f>
        <v>3차</v>
      </c>
      <c r="K341" s="8" cm="1">
        <f t="array" ref="K341">IF(P341&lt;&gt;0,IF(N341&gt;=3,_xlfn.XLOOKUP(A341,'외운 것'!A2:A271,'외운 것'!C2:C271,0,1),0),"1차")</f>
        <v>0</v>
      </c>
      <c r="L341" s="8" cm="1">
        <f t="array" ref="L341">IF(Q341&lt;&gt;0,IF(N341&gt;=3,_xlfn.XLOOKUP(A341,'외운 것'!A2:A271,'외운 것'!C2:C271,0,1),0),"2차")</f>
        <v>0</v>
      </c>
      <c r="M341" t="str" s="11" cm="1">
        <f t="array" ref="M341">IF(R341&lt;&gt;0,IF(O341&gt;=3,_xlfn.XLOOKUP(B341,'외운 것'!B2:B271,'외운 것'!D2:D271,0,1),0),"3차")</f>
        <v>3차</v>
      </c>
      <c r="N341" s="8">
        <v>2</v>
      </c>
      <c r="O341" s="8">
        <v>3</v>
      </c>
      <c r="P341" s="8">
        <v>1</v>
      </c>
      <c r="Q341" s="8">
        <v>1</v>
      </c>
      <c r="R341" s="8">
        <v>0</v>
      </c>
    </row>
    <row r="342" ht="16" customHeight="1">
      <c r="A342" s="8">
        <v>341</v>
      </c>
      <c r="B342" s="8">
        <v>6</v>
      </c>
      <c r="C342" t="s" s="9">
        <v>724</v>
      </c>
      <c r="D342" t="s" s="9">
        <v>1041</v>
      </c>
      <c r="E342" t="s" s="9">
        <v>1057</v>
      </c>
      <c r="F342" t="s" s="9">
        <v>1058</v>
      </c>
      <c r="G342" t="s" s="9">
        <v>1059</v>
      </c>
      <c r="H342" s="8" cm="1">
        <f t="array" ref="H342">MIN(SUMIF('외운 것'!A2:A271,A342,'외운 것'!D2:D271)+IF(R342=0,3,IF(R342=1,2,0)),3)</f>
        <v>3</v>
      </c>
      <c r="I342" s="8" cm="1">
        <f t="array" ref="I342">_xlfn.COUNTIFS('외운 것'!A2:A271,A342,'외운 것'!D2:D271,0)</f>
        <v>1</v>
      </c>
      <c r="J342" t="str" s="10" cm="1">
        <f t="array" ref="J342">IF(R342&lt;&gt;0,IF(H342&gt;=3,_xlfn.XLOOKUP(A342,'외운 것'!A2:A271,'외운 것'!C2:C271,0,1),0),"3차")</f>
        <v>2026-04-30</v>
      </c>
      <c r="K342" s="8" cm="1">
        <f t="array" ref="K342">IF(P342&lt;&gt;0,IF(N342&gt;=3,_xlfn.XLOOKUP(A342,'외운 것'!A2:A271,'외운 것'!C2:C271,0,1),0),"1차")</f>
        <v>0</v>
      </c>
      <c r="L342" s="8" cm="1">
        <f t="array" ref="L342">IF(Q342&lt;&gt;0,IF(N342&gt;=3,_xlfn.XLOOKUP(A342,'외운 것'!A2:A271,'외운 것'!C2:C271,0,1),0),"2차")</f>
        <v>0</v>
      </c>
      <c r="M342" s="8" cm="1">
        <f t="array" ref="M342">IF(R342&lt;&gt;0,IF(O342&gt;=3,_xlfn.XLOOKUP(B342,'외운 것'!B2:B271,'외운 것'!D2:D271,0,1),0),"3차")</f>
        <v>0</v>
      </c>
      <c r="N342" s="8">
        <v>0</v>
      </c>
      <c r="O342" s="8">
        <v>3</v>
      </c>
      <c r="P342" s="8">
        <v>3</v>
      </c>
      <c r="Q342" s="8">
        <v>4</v>
      </c>
      <c r="R342" s="8">
        <v>1</v>
      </c>
    </row>
    <row r="343" ht="33" customHeight="1">
      <c r="A343" s="8">
        <v>342</v>
      </c>
      <c r="B343" s="8">
        <v>7</v>
      </c>
      <c r="C343" t="s" s="9">
        <v>724</v>
      </c>
      <c r="D343" t="s" s="9">
        <v>1041</v>
      </c>
      <c r="E343" t="s" s="9">
        <v>1060</v>
      </c>
      <c r="F343" t="s" s="9">
        <v>1061</v>
      </c>
      <c r="G343" t="s" s="9">
        <v>1062</v>
      </c>
      <c r="H343" s="8" cm="1">
        <f t="array" ref="H343">MIN(SUMIF('외운 것'!A2:A271,A343,'외운 것'!D2:D271)+IF(R343=0,3,IF(R343=1,2,0)),3)</f>
        <v>2</v>
      </c>
      <c r="I343" s="8" cm="1">
        <f t="array" ref="I343">_xlfn.COUNTIFS('외운 것'!A2:A271,A343,'외운 것'!D2:D271,0)</f>
        <v>1</v>
      </c>
      <c r="J343" s="19" cm="1">
        <f t="array" ref="J343">IF(R343&lt;&gt;0,IF(H343&gt;=3,_xlfn.XLOOKUP(A343,'외운 것'!A2:A271,'외운 것'!C2:C271,0,1),0),"3차")</f>
        <v>0</v>
      </c>
      <c r="K343" s="8" cm="1">
        <f t="array" ref="K343">IF(P343&lt;&gt;0,IF(N343&gt;=3,_xlfn.XLOOKUP(A343,'외운 것'!A2:A271,'외운 것'!C2:C271,0,1),0),"1차")</f>
        <v>0</v>
      </c>
      <c r="L343" s="8" cm="1">
        <f t="array" ref="L343">IF(Q343&lt;&gt;0,IF(N343&gt;=3,_xlfn.XLOOKUP(A343,'외운 것'!A2:A271,'외운 것'!C2:C271,0,1),0),"2차")</f>
        <v>0</v>
      </c>
      <c r="M343" s="8" cm="1">
        <f t="array" ref="M343">IF(R343&lt;&gt;0,IF(O343&gt;=3,_xlfn.XLOOKUP(B343,'외운 것'!B2:B271,'외운 것'!D2:D271,0,1),0),"3차")</f>
        <v>0</v>
      </c>
      <c r="N343" s="8">
        <v>0</v>
      </c>
      <c r="O343" s="8">
        <v>3</v>
      </c>
      <c r="P343" s="8">
        <v>3</v>
      </c>
      <c r="Q343" s="8">
        <v>2</v>
      </c>
      <c r="R343" s="8">
        <v>2</v>
      </c>
    </row>
    <row r="344" ht="33" customHeight="1">
      <c r="A344" s="8">
        <v>343</v>
      </c>
      <c r="B344" s="8">
        <v>8</v>
      </c>
      <c r="C344" t="s" s="9">
        <v>724</v>
      </c>
      <c r="D344" t="s" s="9">
        <v>1041</v>
      </c>
      <c r="E344" t="s" s="9">
        <v>1063</v>
      </c>
      <c r="F344" t="s" s="9">
        <v>1064</v>
      </c>
      <c r="G344" t="s" s="9">
        <v>1065</v>
      </c>
      <c r="H344" s="8" cm="1">
        <f t="array" ref="H344">MIN(SUMIF('외운 것'!A2:A271,A344,'외운 것'!D2:D271)+IF(R344=0,3,IF(R344=1,2,0)),3)</f>
        <v>3</v>
      </c>
      <c r="I344" s="8" cm="1">
        <f t="array" ref="I344">_xlfn.COUNTIFS('외운 것'!A2:A271,A344,'외운 것'!D2:D271,0)</f>
        <v>0</v>
      </c>
      <c r="J344" t="str" s="10" cm="1">
        <f t="array" ref="J344">IF(R344&lt;&gt;0,IF(H344&gt;=3,_xlfn.XLOOKUP(A344,'외운 것'!A2:A271,'외운 것'!C2:C271,0,1),0),"3차")</f>
        <v>3차</v>
      </c>
      <c r="K344" s="8" cm="1">
        <f t="array" ref="K344">IF(P344&lt;&gt;0,IF(N344&gt;=3,_xlfn.XLOOKUP(A344,'외운 것'!A2:A271,'외운 것'!C2:C271,0,1),0),"1차")</f>
        <v>0</v>
      </c>
      <c r="L344" s="8" cm="1">
        <f t="array" ref="L344">IF(Q344&lt;&gt;0,IF(N344&gt;=3,_xlfn.XLOOKUP(A344,'외운 것'!A2:A271,'외운 것'!C2:C271,0,1),0),"2차")</f>
        <v>0</v>
      </c>
      <c r="M344" t="str" s="11" cm="1">
        <f t="array" ref="M344">IF(R344&lt;&gt;0,IF(O344&gt;=3,_xlfn.XLOOKUP(B344,'외운 것'!B2:B271,'외운 것'!D2:D271,0,1),0),"3차")</f>
        <v>3차</v>
      </c>
      <c r="N344" s="8">
        <v>0</v>
      </c>
      <c r="O344" s="8">
        <v>3</v>
      </c>
      <c r="P344" s="8">
        <v>3</v>
      </c>
      <c r="Q344" s="8">
        <v>2</v>
      </c>
      <c r="R344" s="8">
        <v>0</v>
      </c>
    </row>
    <row r="345" ht="33" customHeight="1">
      <c r="A345" s="8">
        <v>344</v>
      </c>
      <c r="B345" s="8">
        <v>9</v>
      </c>
      <c r="C345" t="s" s="9">
        <v>724</v>
      </c>
      <c r="D345" t="s" s="9">
        <v>1041</v>
      </c>
      <c r="E345" t="s" s="9">
        <v>1066</v>
      </c>
      <c r="F345" t="s" s="9">
        <v>1067</v>
      </c>
      <c r="G345" t="s" s="9">
        <v>1068</v>
      </c>
      <c r="H345" s="8" cm="1">
        <f t="array" ref="H345">MIN(SUMIF('외운 것'!A2:A271,A345,'외운 것'!D2:D271)+IF(R345=0,3,IF(R345=1,2,0)),3)</f>
        <v>3</v>
      </c>
      <c r="I345" s="8" cm="1">
        <f t="array" ref="I345">_xlfn.COUNTIFS('외운 것'!A2:A271,A345,'외운 것'!D2:D271,0)</f>
        <v>0</v>
      </c>
      <c r="J345" t="str" s="10" cm="1">
        <f t="array" ref="J345">IF(R345&lt;&gt;0,IF(H345&gt;=3,_xlfn.XLOOKUP(A345,'외운 것'!A2:A271,'외운 것'!C2:C271,0,1),0),"3차")</f>
        <v>3차</v>
      </c>
      <c r="K345" s="8" cm="1">
        <f t="array" ref="K345">IF(P345&lt;&gt;0,IF(N345&gt;=3,_xlfn.XLOOKUP(A345,'외운 것'!A2:A271,'외운 것'!C2:C271,0,1),0),"1차")</f>
        <v>0</v>
      </c>
      <c r="L345" s="8" cm="1">
        <f t="array" ref="L345">IF(Q345&lt;&gt;0,IF(N345&gt;=3,_xlfn.XLOOKUP(A345,'외운 것'!A2:A271,'외운 것'!C2:C271,0,1),0),"2차")</f>
        <v>0</v>
      </c>
      <c r="M345" t="str" s="11" cm="1">
        <f t="array" ref="M345">IF(R345&lt;&gt;0,IF(O345&gt;=3,_xlfn.XLOOKUP(B345,'외운 것'!B2:B271,'외운 것'!D2:D271,0,1),0),"3차")</f>
        <v>3차</v>
      </c>
      <c r="N345" s="8">
        <v>0</v>
      </c>
      <c r="O345" s="8">
        <v>3</v>
      </c>
      <c r="P345" s="8">
        <v>2</v>
      </c>
      <c r="Q345" s="8">
        <v>1</v>
      </c>
      <c r="R345" s="8">
        <v>0</v>
      </c>
    </row>
    <row r="346" ht="16.75" customHeight="1">
      <c r="A346" s="8">
        <v>345</v>
      </c>
      <c r="B346" s="8">
        <v>10</v>
      </c>
      <c r="C346" t="s" s="9">
        <v>724</v>
      </c>
      <c r="D346" t="s" s="9">
        <v>1041</v>
      </c>
      <c r="E346" t="s" s="9">
        <v>1069</v>
      </c>
      <c r="F346" t="s" s="9">
        <v>1070</v>
      </c>
      <c r="G346" t="s" s="9">
        <v>1071</v>
      </c>
      <c r="H346" s="8" cm="1">
        <f t="array" ref="H346">MIN(SUMIF('외운 것'!A2:A271,A346,'외운 것'!D2:D271)+IF(R346=0,3,IF(R346=1,2,0)),3)</f>
        <v>3</v>
      </c>
      <c r="I346" s="8" cm="1">
        <f t="array" ref="I346">_xlfn.COUNTIFS('외운 것'!A2:A271,A346,'외운 것'!D2:D271,0)</f>
        <v>0</v>
      </c>
      <c r="J346" t="str" s="10" cm="1">
        <f t="array" ref="J346">IF(R346&lt;&gt;0,IF(H346&gt;=3,_xlfn.XLOOKUP(A346,'외운 것'!A2:A271,'외운 것'!C2:C271,0,1),0),"3차")</f>
        <v>3차</v>
      </c>
      <c r="K346" s="8" cm="1">
        <f t="array" ref="K346">IF(P346&lt;&gt;0,IF(N346&gt;=3,_xlfn.XLOOKUP(A346,'외운 것'!A2:A271,'외운 것'!C2:C271,0,1),0),"1차")</f>
        <v>0</v>
      </c>
      <c r="L346" t="str" s="11" cm="1">
        <f t="array" ref="L346">IF(Q346&lt;&gt;0,IF(N346&gt;=3,_xlfn.XLOOKUP(A346,'외운 것'!A2:A271,'외운 것'!C2:C271,0,1),0),"2차")</f>
        <v>2차</v>
      </c>
      <c r="M346" t="str" s="11" cm="1">
        <f t="array" ref="M346">IF(R346&lt;&gt;0,IF(O346&gt;=3,_xlfn.XLOOKUP(B346,'외운 것'!B2:B271,'외운 것'!D2:D271,0,1),0),"3차")</f>
        <v>3차</v>
      </c>
      <c r="N346" s="8">
        <v>2</v>
      </c>
      <c r="O346" s="8">
        <v>3</v>
      </c>
      <c r="P346" s="8">
        <v>1</v>
      </c>
      <c r="Q346" s="8">
        <v>0</v>
      </c>
      <c r="R346" s="8">
        <v>0</v>
      </c>
    </row>
    <row r="347" ht="16.75" customHeight="1">
      <c r="A347" s="8">
        <v>346</v>
      </c>
      <c r="B347" s="8">
        <v>11</v>
      </c>
      <c r="C347" t="s" s="9">
        <v>724</v>
      </c>
      <c r="D347" t="s" s="9">
        <v>1041</v>
      </c>
      <c r="E347" t="s" s="9">
        <v>1072</v>
      </c>
      <c r="F347" t="s" s="9">
        <v>1073</v>
      </c>
      <c r="G347" t="s" s="9">
        <v>1074</v>
      </c>
      <c r="H347" s="8" cm="1">
        <f t="array" ref="H347">MIN(SUMIF('외운 것'!A2:A271,A347,'외운 것'!D2:D271)+IF(R347=0,3,IF(R347=1,2,0)),3)</f>
        <v>3</v>
      </c>
      <c r="I347" s="8" cm="1">
        <f t="array" ref="I347">_xlfn.COUNTIFS('외운 것'!A2:A271,A347,'외운 것'!D2:D271,0)</f>
        <v>0</v>
      </c>
      <c r="J347" t="str" s="10" cm="1">
        <f t="array" ref="J347">IF(R347&lt;&gt;0,IF(H347&gt;=3,_xlfn.XLOOKUP(A347,'외운 것'!A2:A271,'외운 것'!C2:C271,0,1),0),"3차")</f>
        <v>3차</v>
      </c>
      <c r="K347" s="8" cm="1">
        <f t="array" ref="K347">IF(P347&lt;&gt;0,IF(N347&gt;=3,_xlfn.XLOOKUP(A347,'외운 것'!A2:A271,'외운 것'!C2:C271,0,1),0),"1차")</f>
        <v>0</v>
      </c>
      <c r="L347" t="str" s="11" cm="1">
        <f t="array" ref="L347">IF(Q347&lt;&gt;0,IF(N347&gt;=3,_xlfn.XLOOKUP(A347,'외운 것'!A2:A271,'외운 것'!C2:C271,0,1),0),"2차")</f>
        <v>2차</v>
      </c>
      <c r="M347" t="str" s="11" cm="1">
        <f t="array" ref="M347">IF(R347&lt;&gt;0,IF(O347&gt;=3,_xlfn.XLOOKUP(B347,'외운 것'!B2:B271,'외운 것'!D2:D271,0,1),0),"3차")</f>
        <v>3차</v>
      </c>
      <c r="N347" s="8">
        <v>0</v>
      </c>
      <c r="O347" s="8">
        <v>3</v>
      </c>
      <c r="P347" s="8">
        <v>2</v>
      </c>
      <c r="Q347" s="8">
        <v>0</v>
      </c>
      <c r="R347" s="8">
        <v>0</v>
      </c>
    </row>
    <row r="348" ht="16.75" customHeight="1">
      <c r="A348" s="8">
        <v>347</v>
      </c>
      <c r="B348" s="8">
        <v>12</v>
      </c>
      <c r="C348" t="s" s="9">
        <v>724</v>
      </c>
      <c r="D348" t="s" s="9">
        <v>1041</v>
      </c>
      <c r="E348" t="s" s="9">
        <v>1075</v>
      </c>
      <c r="F348" t="s" s="9">
        <v>1076</v>
      </c>
      <c r="G348" t="s" s="9">
        <v>1077</v>
      </c>
      <c r="H348" s="8" cm="1">
        <f t="array" ref="H348">MIN(SUMIF('외운 것'!A2:A271,A348,'외운 것'!D2:D271)+IF(R348=0,3,IF(R348=1,2,0)),3)</f>
        <v>3</v>
      </c>
      <c r="I348" s="8" cm="1">
        <f t="array" ref="I348">_xlfn.COUNTIFS('외운 것'!A2:A271,A348,'외운 것'!D2:D271,0)</f>
        <v>0</v>
      </c>
      <c r="J348" t="str" s="10" cm="1">
        <f t="array" ref="J348">IF(R348&lt;&gt;0,IF(H348&gt;=3,_xlfn.XLOOKUP(A348,'외운 것'!A2:A271,'외운 것'!C2:C271,0,1),0),"3차")</f>
        <v>2026-04-30</v>
      </c>
      <c r="K348" s="8" cm="1">
        <f t="array" ref="K348">IF(P348&lt;&gt;0,IF(N348&gt;=3,_xlfn.XLOOKUP(A348,'외운 것'!A2:A271,'외운 것'!C2:C271,0,1),0),"1차")</f>
        <v>0</v>
      </c>
      <c r="L348" s="8" cm="1">
        <f t="array" ref="L348">IF(Q348&lt;&gt;0,IF(N348&gt;=3,_xlfn.XLOOKUP(A348,'외운 것'!A2:A271,'외운 것'!C2:C271,0,1),0),"2차")</f>
        <v>0</v>
      </c>
      <c r="M348" s="8" cm="1">
        <f t="array" ref="M348">IF(R348&lt;&gt;0,IF(O348&gt;=3,_xlfn.XLOOKUP(B348,'외운 것'!B2:B271,'외운 것'!D2:D271,0,1),0),"3차")</f>
        <v>0</v>
      </c>
      <c r="N348" s="8">
        <v>0</v>
      </c>
      <c r="O348" s="8">
        <v>3</v>
      </c>
      <c r="P348" s="8">
        <v>3</v>
      </c>
      <c r="Q348" s="8">
        <v>1</v>
      </c>
      <c r="R348" s="8">
        <v>2</v>
      </c>
    </row>
    <row r="349" ht="33" customHeight="1">
      <c r="A349" s="8">
        <v>348</v>
      </c>
      <c r="B349" s="8">
        <v>13</v>
      </c>
      <c r="C349" t="s" s="9">
        <v>724</v>
      </c>
      <c r="D349" t="s" s="9">
        <v>1041</v>
      </c>
      <c r="E349" t="s" s="9">
        <v>1078</v>
      </c>
      <c r="F349" t="s" s="9">
        <v>1079</v>
      </c>
      <c r="G349" t="s" s="9">
        <v>1080</v>
      </c>
      <c r="H349" s="8" cm="1">
        <f t="array" ref="H349">MIN(SUMIF('외운 것'!A2:A271,A349,'외운 것'!D2:D271)+IF(R349=0,3,IF(R349=1,2,0)),3)</f>
        <v>3</v>
      </c>
      <c r="I349" s="8" cm="1">
        <f t="array" ref="I349">_xlfn.COUNTIFS('외운 것'!A2:A271,A349,'외운 것'!D2:D271,0)</f>
        <v>0</v>
      </c>
      <c r="J349" t="str" s="10" cm="1">
        <f t="array" ref="J349">IF(R349&lt;&gt;0,IF(H349&gt;=3,_xlfn.XLOOKUP(A349,'외운 것'!A2:A271,'외운 것'!C2:C271,0,1),0),"3차")</f>
        <v>3차</v>
      </c>
      <c r="K349" s="8" cm="1">
        <f t="array" ref="K349">IF(P349&lt;&gt;0,IF(N349&gt;=3,_xlfn.XLOOKUP(A349,'외운 것'!A2:A271,'외운 것'!C2:C271,0,1),0),"1차")</f>
        <v>0</v>
      </c>
      <c r="L349" t="str" s="11" cm="1">
        <f t="array" ref="L349">IF(Q349&lt;&gt;0,IF(N349&gt;=3,_xlfn.XLOOKUP(A349,'외운 것'!A2:A271,'외운 것'!C2:C271,0,1),0),"2차")</f>
        <v>2차</v>
      </c>
      <c r="M349" t="str" s="11" cm="1">
        <f t="array" ref="M349">IF(R349&lt;&gt;0,IF(O349&gt;=3,_xlfn.XLOOKUP(B349,'외운 것'!B2:B271,'외운 것'!D2:D271,0,1),0),"3차")</f>
        <v>3차</v>
      </c>
      <c r="N349" s="8">
        <v>2</v>
      </c>
      <c r="O349" s="8">
        <v>3</v>
      </c>
      <c r="P349" s="8">
        <v>1</v>
      </c>
      <c r="Q349" s="8">
        <v>0</v>
      </c>
      <c r="R349" s="8">
        <v>0</v>
      </c>
    </row>
    <row r="350" ht="16.75" customHeight="1">
      <c r="A350" s="8">
        <v>349</v>
      </c>
      <c r="B350" s="8">
        <v>14</v>
      </c>
      <c r="C350" t="s" s="9">
        <v>724</v>
      </c>
      <c r="D350" t="s" s="9">
        <v>1041</v>
      </c>
      <c r="E350" t="s" s="9">
        <v>1081</v>
      </c>
      <c r="F350" t="s" s="9">
        <v>1082</v>
      </c>
      <c r="G350" t="s" s="9">
        <v>1083</v>
      </c>
      <c r="H350" s="8" cm="1">
        <f t="array" ref="H350">MIN(SUMIF('외운 것'!A2:A271,A350,'외운 것'!D2:D271)+IF(R350=0,3,IF(R350=1,2,0)),3)</f>
        <v>3</v>
      </c>
      <c r="I350" s="8" cm="1">
        <f t="array" ref="I350">_xlfn.COUNTIFS('외운 것'!A2:A271,A350,'외운 것'!D2:D271,0)</f>
        <v>0</v>
      </c>
      <c r="J350" t="str" s="10" cm="1">
        <f t="array" ref="J350">IF(R350&lt;&gt;0,IF(H350&gt;=3,_xlfn.XLOOKUP(A350,'외운 것'!A2:A271,'외운 것'!C2:C271,0,1),0),"3차")</f>
        <v>3차</v>
      </c>
      <c r="K350" t="str" s="11" cm="1">
        <f t="array" ref="K350">IF(P350&lt;&gt;0,IF(N350&gt;=3,_xlfn.XLOOKUP(A350,'외운 것'!A2:A271,'외운 것'!C2:C271,0,1),0),"1차")</f>
        <v>1차</v>
      </c>
      <c r="L350" t="str" s="11" cm="1">
        <f t="array" ref="L350">IF(Q350&lt;&gt;0,IF(N350&gt;=3,_xlfn.XLOOKUP(A350,'외운 것'!A2:A271,'외운 것'!C2:C271,0,1),0),"2차")</f>
        <v>2차</v>
      </c>
      <c r="M350" t="str" s="11" cm="1">
        <f t="array" ref="M350">IF(R350&lt;&gt;0,IF(O350&gt;=3,_xlfn.XLOOKUP(B350,'외운 것'!B2:B271,'외운 것'!D2:D271,0,1),0),"3차")</f>
        <v>3차</v>
      </c>
      <c r="N350" s="8">
        <v>3</v>
      </c>
      <c r="O350" s="8">
        <v>3</v>
      </c>
      <c r="P350" s="8">
        <v>0</v>
      </c>
      <c r="Q350" s="8">
        <v>0</v>
      </c>
      <c r="R350" s="8">
        <v>0</v>
      </c>
    </row>
    <row r="351" ht="16.75" customHeight="1">
      <c r="A351" s="8">
        <v>350</v>
      </c>
      <c r="B351" s="8">
        <v>15</v>
      </c>
      <c r="C351" t="s" s="9">
        <v>724</v>
      </c>
      <c r="D351" t="s" s="9">
        <v>1041</v>
      </c>
      <c r="E351" t="s" s="9">
        <v>1084</v>
      </c>
      <c r="F351" t="s" s="9">
        <v>1085</v>
      </c>
      <c r="G351" t="s" s="9">
        <v>1086</v>
      </c>
      <c r="H351" s="8" cm="1">
        <f t="array" ref="H351">MIN(SUMIF('외운 것'!A2:A271,A351,'외운 것'!D2:D271)+IF(R351=0,3,IF(R351=1,2,0)),3)</f>
        <v>3</v>
      </c>
      <c r="I351" s="8" cm="1">
        <f t="array" ref="I351">_xlfn.COUNTIFS('외운 것'!A2:A271,A351,'외운 것'!D2:D271,0)</f>
        <v>0</v>
      </c>
      <c r="J351" t="str" s="10" cm="1">
        <f t="array" ref="J351">IF(R351&lt;&gt;0,IF(H351&gt;=3,_xlfn.XLOOKUP(A351,'외운 것'!A2:A271,'외운 것'!C2:C271,0,1),0),"3차")</f>
        <v>3차</v>
      </c>
      <c r="K351" s="8" cm="1">
        <f t="array" ref="K351">IF(P351&lt;&gt;0,IF(N351&gt;=3,_xlfn.XLOOKUP(A351,'외운 것'!A2:A271,'외운 것'!C2:C271,0,1),0),"1차")</f>
        <v>0</v>
      </c>
      <c r="L351" s="8" cm="1">
        <f t="array" ref="L351">IF(Q351&lt;&gt;0,IF(N351&gt;=3,_xlfn.XLOOKUP(A351,'외운 것'!A2:A271,'외운 것'!C2:C271,0,1),0),"2차")</f>
        <v>0</v>
      </c>
      <c r="M351" t="str" s="11" cm="1">
        <f t="array" ref="M351">IF(R351&lt;&gt;0,IF(O351&gt;=3,_xlfn.XLOOKUP(B351,'외운 것'!B2:B271,'외운 것'!D2:D271,0,1),0),"3차")</f>
        <v>3차</v>
      </c>
      <c r="N351" s="8">
        <v>0</v>
      </c>
      <c r="O351" s="8">
        <v>3</v>
      </c>
      <c r="P351" s="8">
        <v>3</v>
      </c>
      <c r="Q351" s="8">
        <v>3</v>
      </c>
      <c r="R351" s="8">
        <v>0</v>
      </c>
    </row>
    <row r="352" ht="33" customHeight="1">
      <c r="A352" s="8">
        <v>351</v>
      </c>
      <c r="B352" s="8">
        <v>16</v>
      </c>
      <c r="C352" t="s" s="9">
        <v>724</v>
      </c>
      <c r="D352" t="s" s="9">
        <v>1041</v>
      </c>
      <c r="E352" t="s" s="9">
        <v>1087</v>
      </c>
      <c r="F352" t="s" s="9">
        <v>1088</v>
      </c>
      <c r="G352" t="s" s="9">
        <v>1089</v>
      </c>
      <c r="H352" s="8" cm="1">
        <f t="array" ref="H352">MIN(SUMIF('외운 것'!A2:A271,A352,'외운 것'!D2:D271)+IF(R352=0,3,IF(R352=1,2,0)),3)</f>
        <v>3</v>
      </c>
      <c r="I352" s="8" cm="1">
        <f t="array" ref="I352">_xlfn.COUNTIFS('외운 것'!A2:A271,A352,'외운 것'!D2:D271,0)</f>
        <v>0</v>
      </c>
      <c r="J352" t="str" s="10" cm="1">
        <f t="array" ref="J352">IF(R352&lt;&gt;0,IF(H352&gt;=3,_xlfn.XLOOKUP(A352,'외운 것'!A2:A271,'외운 것'!C2:C271,0,1),0),"3차")</f>
        <v>3차</v>
      </c>
      <c r="K352" s="8" cm="1">
        <f t="array" ref="K352">IF(P352&lt;&gt;0,IF(N352&gt;=3,_xlfn.XLOOKUP(A352,'외운 것'!A2:A271,'외운 것'!C2:C271,0,1),0),"1차")</f>
        <v>0</v>
      </c>
      <c r="L352" s="8" cm="1">
        <f t="array" ref="L352">IF(Q352&lt;&gt;0,IF(N352&gt;=3,_xlfn.XLOOKUP(A352,'외운 것'!A2:A271,'외운 것'!C2:C271,0,1),0),"2차")</f>
        <v>0</v>
      </c>
      <c r="M352" t="str" s="11" cm="1">
        <f t="array" ref="M352">IF(R352&lt;&gt;0,IF(O352&gt;=3,_xlfn.XLOOKUP(B352,'외운 것'!B2:B271,'외운 것'!D2:D271,0,1),0),"3차")</f>
        <v>3차</v>
      </c>
      <c r="N352" s="8">
        <v>2</v>
      </c>
      <c r="O352" s="8">
        <v>3</v>
      </c>
      <c r="P352" s="8">
        <v>1</v>
      </c>
      <c r="Q352" s="8">
        <v>1</v>
      </c>
      <c r="R352" s="8">
        <v>0</v>
      </c>
    </row>
    <row r="353" ht="16.75" customHeight="1">
      <c r="A353" s="8">
        <v>352</v>
      </c>
      <c r="B353" s="8">
        <v>17</v>
      </c>
      <c r="C353" t="s" s="9">
        <v>724</v>
      </c>
      <c r="D353" t="s" s="9">
        <v>1041</v>
      </c>
      <c r="E353" t="s" s="9">
        <v>1090</v>
      </c>
      <c r="F353" t="s" s="9">
        <v>1091</v>
      </c>
      <c r="G353" t="s" s="9">
        <v>1092</v>
      </c>
      <c r="H353" s="8" cm="1">
        <f t="array" ref="H353">MIN(SUMIF('외운 것'!A2:A271,A353,'외운 것'!D2:D271)+IF(R353=0,3,IF(R353=1,2,0)),3)</f>
        <v>3</v>
      </c>
      <c r="I353" s="8" cm="1">
        <f t="array" ref="I353">_xlfn.COUNTIFS('외운 것'!A2:A271,A353,'외운 것'!D2:D271,0)</f>
        <v>0</v>
      </c>
      <c r="J353" t="str" s="10" cm="1">
        <f t="array" ref="J353">IF(R353&lt;&gt;0,IF(H353&gt;=3,_xlfn.XLOOKUP(A353,'외운 것'!A2:A271,'외운 것'!C2:C271,0,1),0),"3차")</f>
        <v>3차</v>
      </c>
      <c r="K353" s="8" cm="1">
        <f t="array" ref="K353">IF(P353&lt;&gt;0,IF(N353&gt;=3,_xlfn.XLOOKUP(A353,'외운 것'!A2:A271,'외운 것'!C2:C271,0,1),0),"1차")</f>
        <v>0</v>
      </c>
      <c r="L353" s="8" cm="1">
        <f t="array" ref="L353">IF(Q353&lt;&gt;0,IF(N353&gt;=3,_xlfn.XLOOKUP(A353,'외운 것'!A2:A271,'외운 것'!C2:C271,0,1),0),"2차")</f>
        <v>0</v>
      </c>
      <c r="M353" t="str" s="11" cm="1">
        <f t="array" ref="M353">IF(R353&lt;&gt;0,IF(O353&gt;=3,_xlfn.XLOOKUP(B353,'외운 것'!B2:B271,'외운 것'!D2:D271,0,1),0),"3차")</f>
        <v>3차</v>
      </c>
      <c r="N353" s="8">
        <v>2</v>
      </c>
      <c r="O353" s="8">
        <v>3</v>
      </c>
      <c r="P353" s="8">
        <v>1</v>
      </c>
      <c r="Q353" s="8">
        <v>2</v>
      </c>
      <c r="R353" s="8">
        <v>0</v>
      </c>
    </row>
    <row r="354" ht="16.75" customHeight="1">
      <c r="A354" s="8">
        <v>353</v>
      </c>
      <c r="B354" s="8">
        <v>18</v>
      </c>
      <c r="C354" t="s" s="9">
        <v>724</v>
      </c>
      <c r="D354" t="s" s="9">
        <v>1041</v>
      </c>
      <c r="E354" t="s" s="9">
        <v>1093</v>
      </c>
      <c r="F354" t="s" s="9">
        <v>1094</v>
      </c>
      <c r="G354" t="s" s="9">
        <v>1095</v>
      </c>
      <c r="H354" s="8" cm="1">
        <f t="array" ref="H354">MIN(SUMIF('외운 것'!A2:A271,A354,'외운 것'!D2:D271)+IF(R354=0,3,IF(R354=1,2,0)),3)</f>
        <v>2</v>
      </c>
      <c r="I354" s="8" cm="1">
        <f t="array" ref="I354">_xlfn.COUNTIFS('외운 것'!A2:A271,A354,'외운 것'!D2:D271,0)</f>
        <v>1</v>
      </c>
      <c r="J354" s="19" cm="1">
        <f t="array" ref="J354">IF(R354&lt;&gt;0,IF(H354&gt;=3,_xlfn.XLOOKUP(A354,'외운 것'!A2:A271,'외운 것'!C2:C271,0,1),0),"3차")</f>
        <v>0</v>
      </c>
      <c r="K354" s="8" cm="1">
        <f t="array" ref="K354">IF(P354&lt;&gt;0,IF(N354&gt;=3,_xlfn.XLOOKUP(A354,'외운 것'!A2:A271,'외운 것'!C2:C271,0,1),0),"1차")</f>
        <v>0</v>
      </c>
      <c r="L354" s="8" cm="1">
        <f t="array" ref="L354">IF(Q354&lt;&gt;0,IF(N354&gt;=3,_xlfn.XLOOKUP(A354,'외운 것'!A2:A271,'외운 것'!C2:C271,0,1),0),"2차")</f>
        <v>0</v>
      </c>
      <c r="M354" s="8" cm="1">
        <f t="array" ref="M354">IF(R354&lt;&gt;0,IF(O354&gt;=3,_xlfn.XLOOKUP(B354,'외운 것'!B2:B271,'외운 것'!D2:D271,0,1),0),"3차")</f>
        <v>0</v>
      </c>
      <c r="N354" s="8">
        <v>0</v>
      </c>
      <c r="O354" s="8">
        <v>3</v>
      </c>
      <c r="P354" s="8">
        <v>4</v>
      </c>
      <c r="Q354" s="8">
        <v>1</v>
      </c>
      <c r="R354" s="8">
        <v>2</v>
      </c>
    </row>
    <row r="355" ht="16.75" customHeight="1">
      <c r="A355" s="8">
        <v>354</v>
      </c>
      <c r="B355" s="8">
        <v>1</v>
      </c>
      <c r="C355" t="s" s="9">
        <v>1096</v>
      </c>
      <c r="D355" t="s" s="9">
        <v>1096</v>
      </c>
      <c r="E355" t="s" s="9">
        <v>1097</v>
      </c>
      <c r="F355" t="s" s="9">
        <v>1098</v>
      </c>
      <c r="G355" t="s" s="9">
        <v>1099</v>
      </c>
      <c r="H355" s="8" cm="1">
        <f t="array" ref="H355">MIN(SUMIF('외운 것'!A2:A271,A355,'외운 것'!D2:D271)+IF(R355=0,3,IF(R355=1,2,0)),3)</f>
        <v>3</v>
      </c>
      <c r="I355" s="8" cm="1">
        <f t="array" ref="I355">_xlfn.COUNTIFS('외운 것'!A2:A271,A355,'외운 것'!D2:D271,0)</f>
        <v>0</v>
      </c>
      <c r="J355" t="str" s="10" cm="1">
        <f t="array" ref="J355">IF(R355&lt;&gt;0,IF(H355&gt;=3,_xlfn.XLOOKUP(A355,'외운 것'!A2:A271,'외운 것'!C2:C271,0,1),0),"3차")</f>
        <v>2026-04-30</v>
      </c>
      <c r="K355" s="8" cm="1">
        <f t="array" ref="K355">IF(P355&lt;&gt;0,IF(N355&gt;=3,_xlfn.XLOOKUP(A355,'외운 것'!A2:A271,'외운 것'!C2:C271,0,1),0),"1차")</f>
        <v>0</v>
      </c>
      <c r="L355" s="8" cm="1">
        <f t="array" ref="L355">IF(Q355&lt;&gt;0,IF(N355&gt;=3,_xlfn.XLOOKUP(A355,'외운 것'!A2:A271,'외운 것'!C2:C271,0,1),0),"2차")</f>
        <v>0</v>
      </c>
      <c r="M355" s="8" cm="1">
        <f t="array" ref="M355">IF(R355&lt;&gt;0,IF(O355&gt;=3,_xlfn.XLOOKUP(B355,'외운 것'!B2:B271,'외운 것'!D2:D271,0,1),0),"3차")</f>
        <v>0</v>
      </c>
      <c r="N355" s="8">
        <v>0</v>
      </c>
      <c r="O355" s="8">
        <v>3</v>
      </c>
      <c r="P355" s="8">
        <v>3</v>
      </c>
      <c r="Q355" s="8">
        <v>3</v>
      </c>
      <c r="R355" s="8">
        <v>1</v>
      </c>
    </row>
    <row r="356" ht="16.75" customHeight="1">
      <c r="A356" s="8">
        <v>355</v>
      </c>
      <c r="B356" s="8">
        <v>2</v>
      </c>
      <c r="C356" t="s" s="9">
        <v>1096</v>
      </c>
      <c r="D356" t="s" s="9">
        <v>1096</v>
      </c>
      <c r="E356" t="s" s="9">
        <v>1100</v>
      </c>
      <c r="F356" t="s" s="9">
        <v>1101</v>
      </c>
      <c r="G356" t="s" s="9">
        <v>1102</v>
      </c>
      <c r="H356" s="8" cm="1">
        <f t="array" ref="H356">MIN(SUMIF('외운 것'!A2:A271,A356,'외운 것'!D2:D271)+IF(R356=0,3,IF(R356=1,2,0)),3)</f>
        <v>3</v>
      </c>
      <c r="I356" s="8" cm="1">
        <f t="array" ref="I356">_xlfn.COUNTIFS('외운 것'!A2:A271,A356,'외운 것'!D2:D271,0)</f>
        <v>0</v>
      </c>
      <c r="J356" t="str" s="10" cm="1">
        <f t="array" ref="J356">IF(R356&lt;&gt;0,IF(H356&gt;=3,_xlfn.XLOOKUP(A356,'외운 것'!A2:A271,'외운 것'!C2:C271,0,1),0),"3차")</f>
        <v>2026-04-30</v>
      </c>
      <c r="K356" s="8" cm="1">
        <f t="array" ref="K356">IF(P356&lt;&gt;0,IF(N356&gt;=3,_xlfn.XLOOKUP(A356,'외운 것'!A2:A271,'외운 것'!C2:C271,0,1),0),"1차")</f>
        <v>0</v>
      </c>
      <c r="L356" s="8" cm="1">
        <f t="array" ref="L356">IF(Q356&lt;&gt;0,IF(N356&gt;=3,_xlfn.XLOOKUP(A356,'외운 것'!A2:A271,'외운 것'!C2:C271,0,1),0),"2차")</f>
        <v>0</v>
      </c>
      <c r="M356" s="8" cm="1">
        <f t="array" ref="M356">IF(R356&lt;&gt;0,IF(O356&gt;=3,_xlfn.XLOOKUP(B356,'외운 것'!B2:B271,'외운 것'!D2:D271,0,1),0),"3차")</f>
        <v>0</v>
      </c>
      <c r="N356" s="8">
        <v>2</v>
      </c>
      <c r="O356" s="8">
        <v>3</v>
      </c>
      <c r="P356" s="8">
        <v>1</v>
      </c>
      <c r="Q356" s="8">
        <v>1</v>
      </c>
      <c r="R356" s="8">
        <v>1</v>
      </c>
    </row>
    <row r="357" ht="16.75" customHeight="1">
      <c r="A357" s="8">
        <v>356</v>
      </c>
      <c r="B357" s="8">
        <v>3</v>
      </c>
      <c r="C357" t="s" s="9">
        <v>1096</v>
      </c>
      <c r="D357" t="s" s="9">
        <v>1096</v>
      </c>
      <c r="E357" t="s" s="9">
        <v>1103</v>
      </c>
      <c r="F357" t="s" s="9">
        <v>1104</v>
      </c>
      <c r="G357" t="s" s="9">
        <v>1105</v>
      </c>
      <c r="H357" s="8" cm="1">
        <f t="array" ref="H357">MIN(SUMIF('외운 것'!A2:A271,A357,'외운 것'!D2:D271)+IF(R357=0,3,IF(R357=1,2,0)),3)</f>
        <v>3</v>
      </c>
      <c r="I357" s="8" cm="1">
        <f t="array" ref="I357">_xlfn.COUNTIFS('외운 것'!A2:A271,A357,'외운 것'!D2:D271,0)</f>
        <v>0</v>
      </c>
      <c r="J357" t="str" s="10" cm="1">
        <f t="array" ref="J357">IF(R357&lt;&gt;0,IF(H357&gt;=3,_xlfn.XLOOKUP(A357,'외운 것'!A2:A271,'외운 것'!C2:C271,0,1),0),"3차")</f>
        <v>3차</v>
      </c>
      <c r="K357" s="8" cm="1">
        <f t="array" ref="K357">IF(P357&lt;&gt;0,IF(N357&gt;=3,_xlfn.XLOOKUP(A357,'외운 것'!A2:A271,'외운 것'!C2:C271,0,1),0),"1차")</f>
        <v>0</v>
      </c>
      <c r="L357" t="str" s="11" cm="1">
        <f t="array" ref="L357">IF(Q357&lt;&gt;0,IF(N357&gt;=3,_xlfn.XLOOKUP(A357,'외운 것'!A2:A271,'외운 것'!C2:C271,0,1),0),"2차")</f>
        <v>2차</v>
      </c>
      <c r="M357" t="str" s="11" cm="1">
        <f t="array" ref="M357">IF(R357&lt;&gt;0,IF(O357&gt;=3,_xlfn.XLOOKUP(B357,'외운 것'!B2:B271,'외운 것'!D2:D271,0,1),0),"3차")</f>
        <v>3차</v>
      </c>
      <c r="N357" s="8">
        <v>2</v>
      </c>
      <c r="O357" s="8">
        <v>3</v>
      </c>
      <c r="P357" s="8">
        <v>1</v>
      </c>
      <c r="Q357" s="8">
        <v>0</v>
      </c>
      <c r="R357" s="8">
        <v>0</v>
      </c>
    </row>
    <row r="358" ht="16.75" customHeight="1">
      <c r="A358" s="8">
        <v>357</v>
      </c>
      <c r="B358" s="8">
        <v>4</v>
      </c>
      <c r="C358" t="s" s="9">
        <v>1096</v>
      </c>
      <c r="D358" t="s" s="9">
        <v>1096</v>
      </c>
      <c r="E358" t="s" s="9">
        <v>1106</v>
      </c>
      <c r="F358" t="s" s="9">
        <v>1107</v>
      </c>
      <c r="G358" t="s" s="9">
        <v>1108</v>
      </c>
      <c r="H358" s="8" cm="1">
        <f t="array" ref="H358">MIN(SUMIF('외운 것'!A2:A271,A358,'외운 것'!D2:D271)+IF(R358=0,3,IF(R358=1,2,0)),3)</f>
        <v>3</v>
      </c>
      <c r="I358" s="8" cm="1">
        <f t="array" ref="I358">_xlfn.COUNTIFS('외운 것'!A2:A271,A358,'외운 것'!D2:D271,0)</f>
        <v>0</v>
      </c>
      <c r="J358" t="str" s="10" cm="1">
        <f t="array" ref="J358">IF(R358&lt;&gt;0,IF(H358&gt;=3,_xlfn.XLOOKUP(A358,'외운 것'!A2:A271,'외운 것'!C2:C271,0,1),0),"3차")</f>
        <v>3차</v>
      </c>
      <c r="K358" s="8" cm="1">
        <f t="array" ref="K358">IF(P358&lt;&gt;0,IF(N358&gt;=3,_xlfn.XLOOKUP(A358,'외운 것'!A2:A271,'외운 것'!C2:C271,0,1),0),"1차")</f>
        <v>0</v>
      </c>
      <c r="L358" t="str" s="11" cm="1">
        <f t="array" ref="L358">IF(Q358&lt;&gt;0,IF(N358&gt;=3,_xlfn.XLOOKUP(A358,'외운 것'!A2:A271,'외운 것'!C2:C271,0,1),0),"2차")</f>
        <v>2차</v>
      </c>
      <c r="M358" t="str" s="11" cm="1">
        <f t="array" ref="M358">IF(R358&lt;&gt;0,IF(O358&gt;=3,_xlfn.XLOOKUP(B358,'외운 것'!B2:B271,'외운 것'!D2:D271,0,1),0),"3차")</f>
        <v>3차</v>
      </c>
      <c r="N358" s="8">
        <v>0</v>
      </c>
      <c r="O358" s="8">
        <v>3</v>
      </c>
      <c r="P358" s="8">
        <v>2</v>
      </c>
      <c r="Q358" s="8">
        <v>0</v>
      </c>
      <c r="R358" s="8">
        <v>0</v>
      </c>
    </row>
    <row r="359" ht="33" customHeight="1">
      <c r="A359" s="8">
        <v>358</v>
      </c>
      <c r="B359" s="8">
        <v>5</v>
      </c>
      <c r="C359" t="s" s="9">
        <v>1096</v>
      </c>
      <c r="D359" t="s" s="9">
        <v>1096</v>
      </c>
      <c r="E359" t="s" s="9">
        <v>1109</v>
      </c>
      <c r="F359" t="s" s="9">
        <v>1110</v>
      </c>
      <c r="G359" t="s" s="9">
        <v>1111</v>
      </c>
      <c r="H359" s="8" cm="1">
        <f t="array" ref="H359">MIN(SUMIF('외운 것'!A2:A271,A359,'외운 것'!D2:D271)+IF(R359=0,3,IF(R359=1,2,0)),3)</f>
        <v>2</v>
      </c>
      <c r="I359" s="8" cm="1">
        <f t="array" ref="I359">_xlfn.COUNTIFS('외운 것'!A2:A271,A359,'외운 것'!D2:D271,0)</f>
        <v>1</v>
      </c>
      <c r="J359" s="19" cm="1">
        <f t="array" ref="J359">IF(R359&lt;&gt;0,IF(H359&gt;=3,_xlfn.XLOOKUP(A359,'외운 것'!A2:A271,'외운 것'!C2:C271,0,1),0),"3차")</f>
        <v>0</v>
      </c>
      <c r="K359" s="8" cm="1">
        <f t="array" ref="K359">IF(P359&lt;&gt;0,IF(N359&gt;=3,_xlfn.XLOOKUP(A359,'외운 것'!A2:A271,'외운 것'!C2:C271,0,1),0),"1차")</f>
        <v>0</v>
      </c>
      <c r="L359" s="8" cm="1">
        <f t="array" ref="L359">IF(Q359&lt;&gt;0,IF(N359&gt;=3,_xlfn.XLOOKUP(A359,'외운 것'!A2:A271,'외운 것'!C2:C271,0,1),0),"2차")</f>
        <v>0</v>
      </c>
      <c r="M359" s="8" cm="1">
        <f t="array" ref="M359">IF(R359&lt;&gt;0,IF(O359&gt;=3,_xlfn.XLOOKUP(B359,'외운 것'!B2:B271,'외운 것'!D2:D271,0,1),0),"3차")</f>
        <v>0</v>
      </c>
      <c r="N359" s="8">
        <v>0</v>
      </c>
      <c r="O359" s="8">
        <v>3</v>
      </c>
      <c r="P359" s="8">
        <v>4</v>
      </c>
      <c r="Q359" s="8">
        <v>3</v>
      </c>
      <c r="R359" s="8">
        <v>2</v>
      </c>
    </row>
    <row r="360" ht="16.75" customHeight="1">
      <c r="A360" s="8">
        <v>359</v>
      </c>
      <c r="B360" s="8">
        <v>6</v>
      </c>
      <c r="C360" t="s" s="9">
        <v>1096</v>
      </c>
      <c r="D360" t="s" s="9">
        <v>1096</v>
      </c>
      <c r="E360" t="s" s="9">
        <v>1112</v>
      </c>
      <c r="F360" t="s" s="9">
        <v>1113</v>
      </c>
      <c r="G360" t="s" s="9">
        <v>1114</v>
      </c>
      <c r="H360" s="8" cm="1">
        <f t="array" ref="H360">MIN(SUMIF('외운 것'!A2:A271,A360,'외운 것'!D2:D271)+IF(R360=0,3,IF(R360=1,2,0)),3)</f>
        <v>3</v>
      </c>
      <c r="I360" s="8" cm="1">
        <f t="array" ref="I360">_xlfn.COUNTIFS('외운 것'!A2:A271,A360,'외운 것'!D2:D271,0)</f>
        <v>0</v>
      </c>
      <c r="J360" t="str" s="10" cm="1">
        <f t="array" ref="J360">IF(R360&lt;&gt;0,IF(H360&gt;=3,_xlfn.XLOOKUP(A360,'외운 것'!A2:A271,'외운 것'!C2:C271,0,1),0),"3차")</f>
        <v>3차</v>
      </c>
      <c r="K360" s="8" cm="1">
        <f t="array" ref="K360">IF(P360&lt;&gt;0,IF(N360&gt;=3,_xlfn.XLOOKUP(A360,'외운 것'!A2:A271,'외운 것'!C2:C271,0,1),0),"1차")</f>
        <v>0</v>
      </c>
      <c r="L360" t="str" s="11" cm="1">
        <f t="array" ref="L360">IF(Q360&lt;&gt;0,IF(N360&gt;=3,_xlfn.XLOOKUP(A360,'외운 것'!A2:A271,'외운 것'!C2:C271,0,1),0),"2차")</f>
        <v>2차</v>
      </c>
      <c r="M360" t="str" s="11" cm="1">
        <f t="array" ref="M360">IF(R360&lt;&gt;0,IF(O360&gt;=3,_xlfn.XLOOKUP(B360,'외운 것'!B2:B271,'외운 것'!D2:D271,0,1),0),"3차")</f>
        <v>3차</v>
      </c>
      <c r="N360" s="8">
        <v>0</v>
      </c>
      <c r="O360" s="8">
        <v>3</v>
      </c>
      <c r="P360" s="8">
        <v>2</v>
      </c>
      <c r="Q360" s="8">
        <v>0</v>
      </c>
      <c r="R360" s="8">
        <v>0</v>
      </c>
    </row>
    <row r="361" ht="16.75" customHeight="1">
      <c r="A361" s="8">
        <v>360</v>
      </c>
      <c r="B361" s="8">
        <v>7</v>
      </c>
      <c r="C361" t="s" s="9">
        <v>1096</v>
      </c>
      <c r="D361" t="s" s="9">
        <v>1096</v>
      </c>
      <c r="E361" t="s" s="9">
        <v>1115</v>
      </c>
      <c r="F361" t="s" s="9">
        <v>1116</v>
      </c>
      <c r="G361" t="s" s="9">
        <v>1117</v>
      </c>
      <c r="H361" s="8" cm="1">
        <f t="array" ref="H361">MIN(SUMIF('외운 것'!A2:A271,A361,'외운 것'!D2:D271)+IF(R361=0,3,IF(R361=1,2,0)),3)</f>
        <v>3</v>
      </c>
      <c r="I361" s="8" cm="1">
        <f t="array" ref="I361">_xlfn.COUNTIFS('외운 것'!A2:A271,A361,'외운 것'!D2:D271,0)</f>
        <v>0</v>
      </c>
      <c r="J361" t="str" s="10" cm="1">
        <f t="array" ref="J361">IF(R361&lt;&gt;0,IF(H361&gt;=3,_xlfn.XLOOKUP(A361,'외운 것'!A2:A271,'외운 것'!C2:C271,0,1),0),"3차")</f>
        <v>3차</v>
      </c>
      <c r="K361" s="8" cm="1">
        <f t="array" ref="K361">IF(P361&lt;&gt;0,IF(N361&gt;=3,_xlfn.XLOOKUP(A361,'외운 것'!A2:A271,'외운 것'!C2:C271,0,1),0),"1차")</f>
        <v>0</v>
      </c>
      <c r="L361" t="str" s="11" cm="1">
        <f t="array" ref="L361">IF(Q361&lt;&gt;0,IF(N361&gt;=3,_xlfn.XLOOKUP(A361,'외운 것'!A2:A271,'외운 것'!C2:C271,0,1),0),"2차")</f>
        <v>2차</v>
      </c>
      <c r="M361" t="str" s="11" cm="1">
        <f t="array" ref="M361">IF(R361&lt;&gt;0,IF(O361&gt;=3,_xlfn.XLOOKUP(B361,'외운 것'!B2:B271,'외운 것'!D2:D271,0,1),0),"3차")</f>
        <v>3차</v>
      </c>
      <c r="N361" s="8">
        <v>2</v>
      </c>
      <c r="O361" s="8">
        <v>3</v>
      </c>
      <c r="P361" s="8">
        <v>1</v>
      </c>
      <c r="Q361" s="8">
        <v>0</v>
      </c>
      <c r="R361" s="8">
        <v>0</v>
      </c>
    </row>
    <row r="362" ht="16.75" customHeight="1">
      <c r="A362" s="8">
        <v>361</v>
      </c>
      <c r="B362" s="8">
        <v>8</v>
      </c>
      <c r="C362" t="s" s="9">
        <v>1096</v>
      </c>
      <c r="D362" t="s" s="9">
        <v>1096</v>
      </c>
      <c r="E362" t="s" s="9">
        <v>1118</v>
      </c>
      <c r="F362" t="s" s="9">
        <v>1119</v>
      </c>
      <c r="G362" t="s" s="9">
        <v>1120</v>
      </c>
      <c r="H362" s="8" cm="1">
        <f t="array" ref="H362">MIN(SUMIF('외운 것'!A2:A271,A362,'외운 것'!D2:D271)+IF(R362=0,3,IF(R362=1,2,0)),3)</f>
        <v>2</v>
      </c>
      <c r="I362" s="8" cm="1">
        <f t="array" ref="I362">_xlfn.COUNTIFS('외운 것'!A2:A271,A362,'외운 것'!D2:D271,0)</f>
        <v>1</v>
      </c>
      <c r="J362" s="19" cm="1">
        <f t="array" ref="J362">IF(R362&lt;&gt;0,IF(H362&gt;=3,_xlfn.XLOOKUP(A362,'외운 것'!A2:A271,'외운 것'!C2:C271,0,1),0),"3차")</f>
        <v>0</v>
      </c>
      <c r="K362" s="8" cm="1">
        <f t="array" ref="K362">IF(P362&lt;&gt;0,IF(N362&gt;=3,_xlfn.XLOOKUP(A362,'외운 것'!A2:A271,'외운 것'!C2:C271,0,1),0),"1차")</f>
        <v>0</v>
      </c>
      <c r="L362" s="8" cm="1">
        <f t="array" ref="L362">IF(Q362&lt;&gt;0,IF(N362&gt;=3,_xlfn.XLOOKUP(A362,'외운 것'!A2:A271,'외운 것'!C2:C271,0,1),0),"2차")</f>
        <v>0</v>
      </c>
      <c r="M362" s="8" cm="1">
        <f t="array" ref="M362">IF(R362&lt;&gt;0,IF(O362&gt;=3,_xlfn.XLOOKUP(B362,'외운 것'!B2:B271,'외운 것'!D2:D271,0,1),0),"3차")</f>
        <v>0</v>
      </c>
      <c r="N362" s="8">
        <v>0</v>
      </c>
      <c r="O362" s="8">
        <v>3</v>
      </c>
      <c r="P362" s="8">
        <v>2</v>
      </c>
      <c r="Q362" s="8">
        <v>4</v>
      </c>
      <c r="R362" s="8">
        <v>3</v>
      </c>
    </row>
    <row r="363" ht="33" customHeight="1">
      <c r="A363" s="8">
        <v>362</v>
      </c>
      <c r="B363" s="8">
        <v>9</v>
      </c>
      <c r="C363" t="s" s="9">
        <v>1096</v>
      </c>
      <c r="D363" t="s" s="9">
        <v>1096</v>
      </c>
      <c r="E363" t="s" s="9">
        <v>1121</v>
      </c>
      <c r="F363" t="s" s="9">
        <v>1122</v>
      </c>
      <c r="G363" t="s" s="9">
        <v>1123</v>
      </c>
      <c r="H363" s="8" cm="1">
        <f t="array" ref="H363">MIN(SUMIF('외운 것'!A2:A271,A363,'외운 것'!D2:D271)+IF(R363=0,3,IF(R363=1,2,0)),3)</f>
        <v>3</v>
      </c>
      <c r="I363" s="8" cm="1">
        <f t="array" ref="I363">_xlfn.COUNTIFS('외운 것'!A2:A271,A363,'외운 것'!D2:D271,0)</f>
        <v>1</v>
      </c>
      <c r="J363" t="str" s="10" cm="1">
        <f t="array" ref="J363">IF(R363&lt;&gt;0,IF(H363&gt;=3,_xlfn.XLOOKUP(A363,'외운 것'!A2:A271,'외운 것'!C2:C271,0,1),0),"3차")</f>
        <v>2026-04-30</v>
      </c>
      <c r="K363" s="8" cm="1">
        <f t="array" ref="K363">IF(P363&lt;&gt;0,IF(N363&gt;=3,_xlfn.XLOOKUP(A363,'외운 것'!A2:A271,'외운 것'!C2:C271,0,1),0),"1차")</f>
        <v>0</v>
      </c>
      <c r="L363" s="8" cm="1">
        <f t="array" ref="L363">IF(Q363&lt;&gt;0,IF(N363&gt;=3,_xlfn.XLOOKUP(A363,'외운 것'!A2:A271,'외운 것'!C2:C271,0,1),0),"2차")</f>
        <v>0</v>
      </c>
      <c r="M363" s="8" cm="1">
        <f t="array" ref="M363">IF(R363&lt;&gt;0,IF(O363&gt;=3,_xlfn.XLOOKUP(B363,'외운 것'!B2:B271,'외운 것'!D2:D271,0,1),0),"3차")</f>
        <v>0</v>
      </c>
      <c r="N363" s="8">
        <v>2</v>
      </c>
      <c r="O363" s="8">
        <v>3</v>
      </c>
      <c r="P363" s="8">
        <v>1</v>
      </c>
      <c r="Q363" s="8">
        <v>2</v>
      </c>
      <c r="R363" s="8">
        <v>1</v>
      </c>
    </row>
    <row r="364" ht="16.75" customHeight="1">
      <c r="A364" s="8">
        <v>363</v>
      </c>
      <c r="B364" s="8">
        <v>10</v>
      </c>
      <c r="C364" t="s" s="9">
        <v>1096</v>
      </c>
      <c r="D364" t="s" s="9">
        <v>1096</v>
      </c>
      <c r="E364" t="s" s="9">
        <v>1124</v>
      </c>
      <c r="F364" t="s" s="9">
        <v>1125</v>
      </c>
      <c r="G364" t="s" s="9">
        <v>1126</v>
      </c>
      <c r="H364" s="8" cm="1">
        <f t="array" ref="H364">MIN(SUMIF('외운 것'!A2:A271,A364,'외운 것'!D2:D271)+IF(R364=0,3,IF(R364=1,2,0)),3)</f>
        <v>2</v>
      </c>
      <c r="I364" s="8" cm="1">
        <f t="array" ref="I364">_xlfn.COUNTIFS('외운 것'!A2:A271,A364,'외운 것'!D2:D271,0)</f>
        <v>1</v>
      </c>
      <c r="J364" s="19" cm="1">
        <f t="array" ref="J364">IF(R364&lt;&gt;0,IF(H364&gt;=3,_xlfn.XLOOKUP(A364,'외운 것'!A2:A271,'외운 것'!C2:C271,0,1),0),"3차")</f>
        <v>0</v>
      </c>
      <c r="K364" s="8" cm="1">
        <f t="array" ref="K364">IF(P364&lt;&gt;0,IF(N364&gt;=3,_xlfn.XLOOKUP(A364,'외운 것'!A2:A271,'외운 것'!C2:C271,0,1),0),"1차")</f>
        <v>0</v>
      </c>
      <c r="L364" s="8" cm="1">
        <f t="array" ref="L364">IF(Q364&lt;&gt;0,IF(N364&gt;=3,_xlfn.XLOOKUP(A364,'외운 것'!A2:A271,'외운 것'!C2:C271,0,1),0),"2차")</f>
        <v>0</v>
      </c>
      <c r="M364" s="8" cm="1">
        <f t="array" ref="M364">IF(R364&lt;&gt;0,IF(O364&gt;=3,_xlfn.XLOOKUP(B364,'외운 것'!B2:B271,'외운 것'!D2:D271,0,1),0),"3차")</f>
        <v>0</v>
      </c>
      <c r="N364" s="8">
        <v>0</v>
      </c>
      <c r="O364" s="8">
        <v>3</v>
      </c>
      <c r="P364" s="8">
        <v>4</v>
      </c>
      <c r="Q364" s="8">
        <v>3</v>
      </c>
      <c r="R364" s="8">
        <v>2</v>
      </c>
    </row>
    <row r="365" ht="33" customHeight="1">
      <c r="A365" s="8">
        <v>364</v>
      </c>
      <c r="B365" s="8">
        <v>11</v>
      </c>
      <c r="C365" t="s" s="9">
        <v>1096</v>
      </c>
      <c r="D365" t="s" s="9">
        <v>1096</v>
      </c>
      <c r="E365" t="s" s="9">
        <v>1127</v>
      </c>
      <c r="F365" t="s" s="9">
        <v>1128</v>
      </c>
      <c r="G365" t="s" s="9">
        <v>1129</v>
      </c>
      <c r="H365" s="8" cm="1">
        <f t="array" ref="H365">MIN(SUMIF('외운 것'!A2:A271,A365,'외운 것'!D2:D271)+IF(R365=0,3,IF(R365=1,2,0)),3)</f>
        <v>3</v>
      </c>
      <c r="I365" s="8" cm="1">
        <f t="array" ref="I365">_xlfn.COUNTIFS('외운 것'!A2:A271,A365,'외운 것'!D2:D271,0)</f>
        <v>1</v>
      </c>
      <c r="J365" t="str" s="10" cm="1">
        <f t="array" ref="J365">IF(R365&lt;&gt;0,IF(H365&gt;=3,_xlfn.XLOOKUP(A365,'외운 것'!A2:A271,'외운 것'!C2:C271,0,1),0),"3차")</f>
        <v>2026-04-30</v>
      </c>
      <c r="K365" s="8" cm="1">
        <f t="array" ref="K365">IF(P365&lt;&gt;0,IF(N365&gt;=3,_xlfn.XLOOKUP(A365,'외운 것'!A2:A271,'외운 것'!C2:C271,0,1),0),"1차")</f>
        <v>0</v>
      </c>
      <c r="L365" s="8" cm="1">
        <f t="array" ref="L365">IF(Q365&lt;&gt;0,IF(N365&gt;=3,_xlfn.XLOOKUP(A365,'외운 것'!A2:A271,'외운 것'!C2:C271,0,1),0),"2차")</f>
        <v>0</v>
      </c>
      <c r="M365" s="8" cm="1">
        <f t="array" ref="M365">IF(R365&lt;&gt;0,IF(O365&gt;=3,_xlfn.XLOOKUP(B365,'외운 것'!B2:B271,'외운 것'!D2:D271,0,1),0),"3차")</f>
        <v>0</v>
      </c>
      <c r="N365" s="8">
        <v>0</v>
      </c>
      <c r="O365" s="8">
        <v>3</v>
      </c>
      <c r="P365" s="8">
        <v>5</v>
      </c>
      <c r="Q365" s="8">
        <v>4</v>
      </c>
      <c r="R365" s="8">
        <v>1</v>
      </c>
    </row>
    <row r="366" ht="16.75" customHeight="1">
      <c r="A366" s="8">
        <v>365</v>
      </c>
      <c r="B366" s="8">
        <v>12</v>
      </c>
      <c r="C366" t="s" s="9">
        <v>1096</v>
      </c>
      <c r="D366" t="s" s="9">
        <v>1096</v>
      </c>
      <c r="E366" t="s" s="9">
        <v>1130</v>
      </c>
      <c r="F366" t="s" s="9">
        <v>1131</v>
      </c>
      <c r="G366" t="s" s="9">
        <v>1132</v>
      </c>
      <c r="H366" s="8" cm="1">
        <f t="array" ref="H366">MIN(SUMIF('외운 것'!A2:A271,A366,'외운 것'!D2:D271)+IF(R366=0,3,IF(R366=1,2,0)),3)</f>
        <v>3</v>
      </c>
      <c r="I366" s="8" cm="1">
        <f t="array" ref="I366">_xlfn.COUNTIFS('외운 것'!A2:A271,A366,'외운 것'!D2:D271,0)</f>
        <v>0</v>
      </c>
      <c r="J366" t="str" s="10" cm="1">
        <f t="array" ref="J366">IF(R366&lt;&gt;0,IF(H366&gt;=3,_xlfn.XLOOKUP(A366,'외운 것'!A2:A271,'외운 것'!C2:C271,0,1),0),"3차")</f>
        <v>3차</v>
      </c>
      <c r="K366" s="8" cm="1">
        <f t="array" ref="K366">IF(P366&lt;&gt;0,IF(N366&gt;=3,_xlfn.XLOOKUP(A366,'외운 것'!A2:A271,'외운 것'!C2:C271,0,1),0),"1차")</f>
        <v>0</v>
      </c>
      <c r="L366" t="str" s="11" cm="1">
        <f t="array" ref="L366">IF(Q366&lt;&gt;0,IF(N366&gt;=3,_xlfn.XLOOKUP(A366,'외운 것'!A2:A271,'외운 것'!C2:C271,0,1),0),"2차")</f>
        <v>2차</v>
      </c>
      <c r="M366" t="str" s="11" cm="1">
        <f t="array" ref="M366">IF(R366&lt;&gt;0,IF(O366&gt;=3,_xlfn.XLOOKUP(B366,'외운 것'!B2:B271,'외운 것'!D2:D271,0,1),0),"3차")</f>
        <v>3차</v>
      </c>
      <c r="N366" s="8">
        <v>0</v>
      </c>
      <c r="O366" s="8">
        <v>3</v>
      </c>
      <c r="P366" s="8">
        <v>2</v>
      </c>
      <c r="Q366" s="8">
        <v>0</v>
      </c>
      <c r="R366" s="8">
        <v>0</v>
      </c>
    </row>
    <row r="367" ht="16.75" customHeight="1">
      <c r="A367" s="8">
        <v>366</v>
      </c>
      <c r="B367" s="8">
        <v>13</v>
      </c>
      <c r="C367" t="s" s="9">
        <v>1096</v>
      </c>
      <c r="D367" t="s" s="9">
        <v>1096</v>
      </c>
      <c r="E367" t="s" s="9">
        <v>1133</v>
      </c>
      <c r="F367" t="s" s="9">
        <v>1134</v>
      </c>
      <c r="G367" t="s" s="9">
        <v>1135</v>
      </c>
      <c r="H367" s="8" cm="1">
        <f t="array" ref="H367">MIN(SUMIF('외운 것'!A2:A271,A367,'외운 것'!D2:D271)+IF(R367=0,3,IF(R367=1,2,0)),3)</f>
        <v>3</v>
      </c>
      <c r="I367" s="8" cm="1">
        <f t="array" ref="I367">_xlfn.COUNTIFS('외운 것'!A2:A271,A367,'외운 것'!D2:D271,0)</f>
        <v>0</v>
      </c>
      <c r="J367" t="str" s="10" cm="1">
        <f t="array" ref="J367">IF(R367&lt;&gt;0,IF(H367&gt;=3,_xlfn.XLOOKUP(A367,'외운 것'!A2:A271,'외운 것'!C2:C271,0,1),0),"3차")</f>
        <v>3차</v>
      </c>
      <c r="K367" s="8" cm="1">
        <f t="array" ref="K367">IF(P367&lt;&gt;0,IF(N367&gt;=3,_xlfn.XLOOKUP(A367,'외운 것'!A2:A271,'외운 것'!C2:C271,0,1),0),"1차")</f>
        <v>0</v>
      </c>
      <c r="L367" t="str" s="11" cm="1">
        <f t="array" ref="L367">IF(Q367&lt;&gt;0,IF(N367&gt;=3,_xlfn.XLOOKUP(A367,'외운 것'!A2:A271,'외운 것'!C2:C271,0,1),0),"2차")</f>
        <v>2차</v>
      </c>
      <c r="M367" t="str" s="11" cm="1">
        <f t="array" ref="M367">IF(R367&lt;&gt;0,IF(O367&gt;=3,_xlfn.XLOOKUP(B367,'외운 것'!B2:B271,'외운 것'!D2:D271,0,1),0),"3차")</f>
        <v>3차</v>
      </c>
      <c r="N367" s="8">
        <v>2</v>
      </c>
      <c r="O367" s="8">
        <v>3</v>
      </c>
      <c r="P367" s="8">
        <v>1</v>
      </c>
      <c r="Q367" s="8">
        <v>0</v>
      </c>
      <c r="R367" s="8">
        <v>0</v>
      </c>
    </row>
    <row r="368" ht="33" customHeight="1">
      <c r="A368" s="8">
        <v>367</v>
      </c>
      <c r="B368" s="8">
        <v>14</v>
      </c>
      <c r="C368" t="s" s="9">
        <v>1096</v>
      </c>
      <c r="D368" t="s" s="9">
        <v>1096</v>
      </c>
      <c r="E368" t="s" s="9">
        <v>1136</v>
      </c>
      <c r="F368" t="s" s="9">
        <v>1137</v>
      </c>
      <c r="G368" t="s" s="9">
        <v>1138</v>
      </c>
      <c r="H368" s="8" cm="1">
        <f t="array" ref="H368">MIN(SUMIF('외운 것'!A2:A271,A368,'외운 것'!D2:D271)+IF(R368=0,3,IF(R368=1,2,0)),3)</f>
        <v>3</v>
      </c>
      <c r="I368" s="8" cm="1">
        <f t="array" ref="I368">_xlfn.COUNTIFS('외운 것'!A2:A271,A368,'외운 것'!D2:D271,0)</f>
        <v>0</v>
      </c>
      <c r="J368" t="str" s="10" cm="1">
        <f t="array" ref="J368">IF(R368&lt;&gt;0,IF(H368&gt;=3,_xlfn.XLOOKUP(A368,'외운 것'!A2:A271,'외운 것'!C2:C271,0,1),0),"3차")</f>
        <v>3차</v>
      </c>
      <c r="K368" s="8" cm="1">
        <f t="array" ref="K368">IF(P368&lt;&gt;0,IF(N368&gt;=3,_xlfn.XLOOKUP(A368,'외운 것'!A2:A271,'외운 것'!C2:C271,0,1),0),"1차")</f>
        <v>0</v>
      </c>
      <c r="L368" s="8" cm="1">
        <f t="array" ref="L368">IF(Q368&lt;&gt;0,IF(N368&gt;=3,_xlfn.XLOOKUP(A368,'외운 것'!A2:A271,'외운 것'!C2:C271,0,1),0),"2차")</f>
        <v>0</v>
      </c>
      <c r="M368" t="str" s="11" cm="1">
        <f t="array" ref="M368">IF(R368&lt;&gt;0,IF(O368&gt;=3,_xlfn.XLOOKUP(B368,'외운 것'!B2:B271,'외운 것'!D2:D271,0,1),0),"3차")</f>
        <v>3차</v>
      </c>
      <c r="N368" s="8">
        <v>0</v>
      </c>
      <c r="O368" s="8">
        <v>3</v>
      </c>
      <c r="P368" s="8">
        <v>2</v>
      </c>
      <c r="Q368" s="8">
        <v>4</v>
      </c>
      <c r="R368" s="8">
        <v>0</v>
      </c>
    </row>
    <row r="369" ht="16.75" customHeight="1">
      <c r="A369" s="8">
        <v>368</v>
      </c>
      <c r="B369" s="8">
        <v>15</v>
      </c>
      <c r="C369" t="s" s="9">
        <v>1096</v>
      </c>
      <c r="D369" t="s" s="9">
        <v>1096</v>
      </c>
      <c r="E369" t="s" s="9">
        <v>1139</v>
      </c>
      <c r="F369" t="s" s="9">
        <v>1140</v>
      </c>
      <c r="G369" t="s" s="9">
        <v>1141</v>
      </c>
      <c r="H369" s="8" cm="1">
        <f t="array" ref="H369">MIN(SUMIF('외운 것'!A2:A271,A369,'외운 것'!D2:D271)+IF(R369=0,3,IF(R369=1,2,0)),3)</f>
        <v>3</v>
      </c>
      <c r="I369" s="8" cm="1">
        <f t="array" ref="I369">_xlfn.COUNTIFS('외운 것'!A2:A271,A369,'외운 것'!D2:D271,0)</f>
        <v>0</v>
      </c>
      <c r="J369" t="str" s="10" cm="1">
        <f t="array" ref="J369">IF(R369&lt;&gt;0,IF(H369&gt;=3,_xlfn.XLOOKUP(A369,'외운 것'!A2:A271,'외운 것'!C2:C271,0,1),0),"3차")</f>
        <v>3차</v>
      </c>
      <c r="K369" s="8" cm="1">
        <f t="array" ref="K369">IF(P369&lt;&gt;0,IF(N369&gt;=3,_xlfn.XLOOKUP(A369,'외운 것'!A2:A271,'외운 것'!C2:C271,0,1),0),"1차")</f>
        <v>0</v>
      </c>
      <c r="L369" s="8" cm="1">
        <f t="array" ref="L369">IF(Q369&lt;&gt;0,IF(N369&gt;=3,_xlfn.XLOOKUP(A369,'외운 것'!A2:A271,'외운 것'!C2:C271,0,1),0),"2차")</f>
        <v>0</v>
      </c>
      <c r="M369" t="str" s="11" cm="1">
        <f t="array" ref="M369">IF(R369&lt;&gt;0,IF(O369&gt;=3,_xlfn.XLOOKUP(B369,'외운 것'!B2:B271,'외운 것'!D2:D271,0,1),0),"3차")</f>
        <v>3차</v>
      </c>
      <c r="N369" s="8">
        <v>0</v>
      </c>
      <c r="O369" s="8">
        <v>3</v>
      </c>
      <c r="P369" s="8">
        <v>2</v>
      </c>
      <c r="Q369" s="8">
        <v>2</v>
      </c>
      <c r="R369" s="8">
        <v>0</v>
      </c>
    </row>
    <row r="370" ht="33" customHeight="1">
      <c r="A370" s="8">
        <v>369</v>
      </c>
      <c r="B370" s="8">
        <v>16</v>
      </c>
      <c r="C370" t="s" s="9">
        <v>1096</v>
      </c>
      <c r="D370" t="s" s="9">
        <v>1096</v>
      </c>
      <c r="E370" t="s" s="9">
        <v>1142</v>
      </c>
      <c r="F370" t="s" s="9">
        <v>1143</v>
      </c>
      <c r="G370" t="s" s="9">
        <v>1144</v>
      </c>
      <c r="H370" s="8" cm="1">
        <f t="array" ref="H370">MIN(SUMIF('외운 것'!A2:A271,A370,'외운 것'!D2:D271)+IF(R370=0,3,IF(R370=1,2,0)),3)</f>
        <v>1</v>
      </c>
      <c r="I370" s="8" cm="1">
        <f t="array" ref="I370">_xlfn.COUNTIFS('외운 것'!A2:A271,A370,'외운 것'!D2:D271,0)</f>
        <v>1</v>
      </c>
      <c r="J370" s="19" cm="1">
        <f t="array" ref="J370">IF(R370&lt;&gt;0,IF(H370&gt;=3,_xlfn.XLOOKUP(A370,'외운 것'!A2:A271,'외운 것'!C2:C271,0,1),0),"3차")</f>
        <v>0</v>
      </c>
      <c r="K370" s="8" cm="1">
        <f t="array" ref="K370">IF(P370&lt;&gt;0,IF(N370&gt;=3,_xlfn.XLOOKUP(A370,'외운 것'!A2:A271,'외운 것'!C2:C271,0,1),0),"1차")</f>
        <v>0</v>
      </c>
      <c r="L370" s="8" cm="1">
        <f t="array" ref="L370">IF(Q370&lt;&gt;0,IF(N370&gt;=3,_xlfn.XLOOKUP(A370,'외운 것'!A2:A271,'외운 것'!C2:C271,0,1),0),"2차")</f>
        <v>0</v>
      </c>
      <c r="M370" s="8" cm="1">
        <f t="array" ref="M370">IF(R370&lt;&gt;0,IF(O370&gt;=3,_xlfn.XLOOKUP(B370,'외운 것'!B2:B271,'외운 것'!D2:D271,0,1),0),"3차")</f>
        <v>0</v>
      </c>
      <c r="N370" s="8">
        <v>0</v>
      </c>
      <c r="O370" s="8">
        <v>3</v>
      </c>
      <c r="P370" s="8">
        <v>2</v>
      </c>
      <c r="Q370" s="8">
        <v>2</v>
      </c>
      <c r="R370" s="8">
        <v>2</v>
      </c>
    </row>
    <row r="371" ht="16.75" customHeight="1">
      <c r="A371" s="8">
        <v>370</v>
      </c>
      <c r="B371" s="8">
        <v>17</v>
      </c>
      <c r="C371" t="s" s="9">
        <v>1096</v>
      </c>
      <c r="D371" t="s" s="9">
        <v>1096</v>
      </c>
      <c r="E371" t="s" s="9">
        <v>1145</v>
      </c>
      <c r="F371" t="s" s="9">
        <v>1146</v>
      </c>
      <c r="G371" t="s" s="9">
        <v>1147</v>
      </c>
      <c r="H371" s="8" cm="1">
        <f t="array" ref="H371">MIN(SUMIF('외운 것'!A2:A271,A371,'외운 것'!D2:D271)+IF(R371=0,3,IF(R371=1,2,0)),3)</f>
        <v>2</v>
      </c>
      <c r="I371" s="8" cm="1">
        <f t="array" ref="I371">_xlfn.COUNTIFS('외운 것'!A2:A271,A371,'외운 것'!D2:D271,0)</f>
        <v>0</v>
      </c>
      <c r="J371" s="19" cm="1">
        <f t="array" ref="J371">IF(R371&lt;&gt;0,IF(H371&gt;=3,_xlfn.XLOOKUP(A371,'외운 것'!A2:A271,'외운 것'!C2:C271,0,1),0),"3차")</f>
        <v>0</v>
      </c>
      <c r="K371" s="8" cm="1">
        <f t="array" ref="K371">IF(P371&lt;&gt;0,IF(N371&gt;=3,_xlfn.XLOOKUP(A371,'외운 것'!A2:A271,'외운 것'!C2:C271,0,1),0),"1차")</f>
        <v>0</v>
      </c>
      <c r="L371" s="8" cm="1">
        <f t="array" ref="L371">IF(Q371&lt;&gt;0,IF(N371&gt;=3,_xlfn.XLOOKUP(A371,'외운 것'!A2:A271,'외운 것'!C2:C271,0,1),0),"2차")</f>
        <v>0</v>
      </c>
      <c r="M371" s="8" cm="1">
        <f t="array" ref="M371">IF(R371&lt;&gt;0,IF(O371&gt;=3,_xlfn.XLOOKUP(B371,'외운 것'!B2:B271,'외운 것'!D2:D271,0,1),0),"3차")</f>
        <v>0</v>
      </c>
      <c r="N371" s="8">
        <v>0</v>
      </c>
      <c r="O371" s="8">
        <v>3</v>
      </c>
      <c r="P371" s="8">
        <v>2</v>
      </c>
      <c r="Q371" s="8">
        <v>1</v>
      </c>
      <c r="R371" s="8">
        <v>2</v>
      </c>
    </row>
    <row r="372" ht="16.75" customHeight="1">
      <c r="A372" s="8">
        <v>371</v>
      </c>
      <c r="B372" s="8">
        <v>18</v>
      </c>
      <c r="C372" t="s" s="9">
        <v>1096</v>
      </c>
      <c r="D372" t="s" s="9">
        <v>1096</v>
      </c>
      <c r="E372" t="s" s="9">
        <v>1148</v>
      </c>
      <c r="F372" t="s" s="9">
        <v>1149</v>
      </c>
      <c r="G372" t="s" s="9">
        <v>1150</v>
      </c>
      <c r="H372" s="8" cm="1">
        <f t="array" ref="H372">MIN(SUMIF('외운 것'!A2:A271,A372,'외운 것'!D2:D271)+IF(R372=0,3,IF(R372=1,2,0)),3)</f>
        <v>3</v>
      </c>
      <c r="I372" s="8" cm="1">
        <f t="array" ref="I372">_xlfn.COUNTIFS('외운 것'!A2:A271,A372,'외운 것'!D2:D271,0)</f>
        <v>0</v>
      </c>
      <c r="J372" t="str" s="10" cm="1">
        <f t="array" ref="J372">IF(R372&lt;&gt;0,IF(H372&gt;=3,_xlfn.XLOOKUP(A372,'외운 것'!A2:A271,'외운 것'!C2:C271,0,1),0),"3차")</f>
        <v>3차</v>
      </c>
      <c r="K372" s="8" cm="1">
        <f t="array" ref="K372">IF(P372&lt;&gt;0,IF(N372&gt;=3,_xlfn.XLOOKUP(A372,'외운 것'!A2:A271,'외운 것'!C2:C271,0,1),0),"1차")</f>
        <v>0</v>
      </c>
      <c r="L372" t="str" s="11" cm="1">
        <f t="array" ref="L372">IF(Q372&lt;&gt;0,IF(N372&gt;=3,_xlfn.XLOOKUP(A372,'외운 것'!A2:A271,'외운 것'!C2:C271,0,1),0),"2차")</f>
        <v>2차</v>
      </c>
      <c r="M372" t="str" s="11" cm="1">
        <f t="array" ref="M372">IF(R372&lt;&gt;0,IF(O372&gt;=3,_xlfn.XLOOKUP(B372,'외운 것'!B2:B271,'외운 것'!D2:D271,0,1),0),"3차")</f>
        <v>3차</v>
      </c>
      <c r="N372" s="8">
        <v>2</v>
      </c>
      <c r="O372" s="8">
        <v>3</v>
      </c>
      <c r="P372" s="8">
        <v>1</v>
      </c>
      <c r="Q372" s="8">
        <v>0</v>
      </c>
      <c r="R372" s="8">
        <v>0</v>
      </c>
    </row>
    <row r="373" ht="16.75" customHeight="1">
      <c r="A373" s="8">
        <v>372</v>
      </c>
      <c r="B373" s="8">
        <v>19</v>
      </c>
      <c r="C373" t="s" s="9">
        <v>1096</v>
      </c>
      <c r="D373" t="s" s="9">
        <v>1096</v>
      </c>
      <c r="E373" t="s" s="9">
        <v>1151</v>
      </c>
      <c r="F373" t="s" s="9">
        <v>1152</v>
      </c>
      <c r="G373" t="s" s="9">
        <v>1153</v>
      </c>
      <c r="H373" s="8" cm="1">
        <f t="array" ref="H373">MIN(SUMIF('외운 것'!A2:A271,A373,'외운 것'!D2:D271)+IF(R373=0,3,IF(R373=1,2,0)),3)</f>
        <v>3</v>
      </c>
      <c r="I373" s="8" cm="1">
        <f t="array" ref="I373">_xlfn.COUNTIFS('외운 것'!A2:A271,A373,'외운 것'!D2:D271,0)</f>
        <v>0</v>
      </c>
      <c r="J373" t="str" s="10" cm="1">
        <f t="array" ref="J373">IF(R373&lt;&gt;0,IF(H373&gt;=3,_xlfn.XLOOKUP(A373,'외운 것'!A2:A271,'외운 것'!C2:C271,0,1),0),"3차")</f>
        <v>3차</v>
      </c>
      <c r="K373" t="str" s="11" cm="1">
        <f t="array" ref="K373">IF(P373&lt;&gt;0,IF(N373&gt;=3,_xlfn.XLOOKUP(A373,'외운 것'!A2:A271,'외운 것'!C2:C271,0,1),0),"1차")</f>
        <v>1차</v>
      </c>
      <c r="L373" t="str" s="11" cm="1">
        <f t="array" ref="L373">IF(Q373&lt;&gt;0,IF(N373&gt;=3,_xlfn.XLOOKUP(A373,'외운 것'!A2:A271,'외운 것'!C2:C271,0,1),0),"2차")</f>
        <v>2차</v>
      </c>
      <c r="M373" t="str" s="11" cm="1">
        <f t="array" ref="M373">IF(R373&lt;&gt;0,IF(O373&gt;=3,_xlfn.XLOOKUP(B373,'외운 것'!B2:B271,'외운 것'!D2:D271,0,1),0),"3차")</f>
        <v>3차</v>
      </c>
      <c r="N373" s="8">
        <v>3</v>
      </c>
      <c r="O373" s="8">
        <v>3</v>
      </c>
      <c r="P373" s="8">
        <v>0</v>
      </c>
      <c r="Q373" s="8">
        <v>0</v>
      </c>
      <c r="R373" s="8">
        <v>0</v>
      </c>
    </row>
    <row r="374" ht="16.75" customHeight="1">
      <c r="A374" s="8">
        <v>373</v>
      </c>
      <c r="B374" s="8">
        <v>20</v>
      </c>
      <c r="C374" t="s" s="9">
        <v>1096</v>
      </c>
      <c r="D374" t="s" s="9">
        <v>1096</v>
      </c>
      <c r="E374" t="s" s="9">
        <v>1154</v>
      </c>
      <c r="F374" t="s" s="9">
        <v>1155</v>
      </c>
      <c r="G374" t="s" s="9">
        <v>1156</v>
      </c>
      <c r="H374" s="8" cm="1">
        <f t="array" ref="H374">MIN(SUMIF('외운 것'!A2:A271,A374,'외운 것'!D2:D271)+IF(R374=0,3,IF(R374=1,2,0)),3)</f>
        <v>2</v>
      </c>
      <c r="I374" s="8" cm="1">
        <f t="array" ref="I374">_xlfn.COUNTIFS('외운 것'!A2:A271,A374,'외운 것'!D2:D271,0)</f>
        <v>0</v>
      </c>
      <c r="J374" s="19" cm="1">
        <f t="array" ref="J374">IF(R374&lt;&gt;0,IF(H374&gt;=3,_xlfn.XLOOKUP(A374,'외운 것'!A2:A271,'외운 것'!C2:C271,0,1),0),"3차")</f>
        <v>0</v>
      </c>
      <c r="K374" s="8" cm="1">
        <f t="array" ref="K374">IF(P374&lt;&gt;0,IF(N374&gt;=3,_xlfn.XLOOKUP(A374,'외운 것'!A2:A271,'외운 것'!C2:C271,0,1),0),"1차")</f>
        <v>0</v>
      </c>
      <c r="L374" s="8" cm="1">
        <f t="array" ref="L374">IF(Q374&lt;&gt;0,IF(N374&gt;=3,_xlfn.XLOOKUP(A374,'외운 것'!A2:A271,'외운 것'!C2:C271,0,1),0),"2차")</f>
        <v>0</v>
      </c>
      <c r="M374" s="8" cm="1">
        <f t="array" ref="M374">IF(R374&lt;&gt;0,IF(O374&gt;=3,_xlfn.XLOOKUP(B374,'외운 것'!B2:B271,'외운 것'!D2:D271,0,1),0),"3차")</f>
        <v>0</v>
      </c>
      <c r="N374" s="8">
        <v>0</v>
      </c>
      <c r="O374" s="8">
        <v>3</v>
      </c>
      <c r="P374" s="8">
        <v>2</v>
      </c>
      <c r="Q374" s="8">
        <v>3</v>
      </c>
      <c r="R374" s="8">
        <v>2</v>
      </c>
    </row>
    <row r="375" ht="16.75" customHeight="1">
      <c r="A375" s="8">
        <v>374</v>
      </c>
      <c r="B375" s="8">
        <v>21</v>
      </c>
      <c r="C375" t="s" s="9">
        <v>1096</v>
      </c>
      <c r="D375" t="s" s="9">
        <v>1096</v>
      </c>
      <c r="E375" t="s" s="9">
        <v>1157</v>
      </c>
      <c r="F375" t="s" s="9">
        <v>1158</v>
      </c>
      <c r="G375" t="s" s="9">
        <v>1159</v>
      </c>
      <c r="H375" s="8" cm="1">
        <f t="array" ref="H375">MIN(SUMIF('외운 것'!A2:A271,A375,'외운 것'!D2:D271)+IF(R375=0,3,IF(R375=1,2,0)),3)</f>
        <v>3</v>
      </c>
      <c r="I375" s="8" cm="1">
        <f t="array" ref="I375">_xlfn.COUNTIFS('외운 것'!A2:A271,A375,'외운 것'!D2:D271,0)</f>
        <v>0</v>
      </c>
      <c r="J375" t="str" s="10" cm="1">
        <f t="array" ref="J375">IF(R375&lt;&gt;0,IF(H375&gt;=3,_xlfn.XLOOKUP(A375,'외운 것'!A2:A271,'외운 것'!C2:C271,0,1),0),"3차")</f>
        <v>3차</v>
      </c>
      <c r="K375" s="8" cm="1">
        <f t="array" ref="K375">IF(P375&lt;&gt;0,IF(N375&gt;=3,_xlfn.XLOOKUP(A375,'외운 것'!A2:A271,'외운 것'!C2:C271,0,1),0),"1차")</f>
        <v>0</v>
      </c>
      <c r="L375" t="str" s="11" cm="1">
        <f t="array" ref="L375">IF(Q375&lt;&gt;0,IF(N375&gt;=3,_xlfn.XLOOKUP(A375,'외운 것'!A2:A271,'외운 것'!C2:C271,0,1),0),"2차")</f>
        <v>2차</v>
      </c>
      <c r="M375" t="str" s="11" cm="1">
        <f t="array" ref="M375">IF(R375&lt;&gt;0,IF(O375&gt;=3,_xlfn.XLOOKUP(B375,'외운 것'!B2:B271,'외운 것'!D2:D271,0,1),0),"3차")</f>
        <v>3차</v>
      </c>
      <c r="N375" s="8">
        <v>0</v>
      </c>
      <c r="O375" s="8">
        <v>3</v>
      </c>
      <c r="P375" s="8">
        <v>2</v>
      </c>
      <c r="Q375" s="8">
        <v>0</v>
      </c>
      <c r="R375" s="8">
        <v>0</v>
      </c>
    </row>
    <row r="376" ht="16.75" customHeight="1">
      <c r="A376" s="8">
        <v>375</v>
      </c>
      <c r="B376" s="8">
        <v>22</v>
      </c>
      <c r="C376" t="s" s="9">
        <v>1096</v>
      </c>
      <c r="D376" t="s" s="9">
        <v>1096</v>
      </c>
      <c r="E376" t="s" s="9">
        <v>1160</v>
      </c>
      <c r="F376" t="s" s="9">
        <v>1161</v>
      </c>
      <c r="G376" t="s" s="9">
        <v>1162</v>
      </c>
      <c r="H376" s="8" cm="1">
        <f t="array" ref="H376">MIN(SUMIF('외운 것'!A2:A271,A376,'외운 것'!D2:D271)+IF(R376=0,3,IF(R376=1,2,0)),3)</f>
        <v>3</v>
      </c>
      <c r="I376" s="8" cm="1">
        <f t="array" ref="I376">_xlfn.COUNTIFS('외운 것'!A2:A271,A376,'외운 것'!D2:D271,0)</f>
        <v>0</v>
      </c>
      <c r="J376" t="str" s="10" cm="1">
        <f t="array" ref="J376">IF(R376&lt;&gt;0,IF(H376&gt;=3,_xlfn.XLOOKUP(A376,'외운 것'!A2:A271,'외운 것'!C2:C271,0,1),0),"3차")</f>
        <v>3차</v>
      </c>
      <c r="K376" t="str" s="11" cm="1">
        <f t="array" ref="K376">IF(P376&lt;&gt;0,IF(N376&gt;=3,_xlfn.XLOOKUP(A376,'외운 것'!A2:A271,'외운 것'!C2:C271,0,1),0),"1차")</f>
        <v>1차</v>
      </c>
      <c r="L376" t="str" s="11" cm="1">
        <f t="array" ref="L376">IF(Q376&lt;&gt;0,IF(N376&gt;=3,_xlfn.XLOOKUP(A376,'외운 것'!A2:A271,'외운 것'!C2:C271,0,1),0),"2차")</f>
        <v>2차</v>
      </c>
      <c r="M376" t="str" s="11" cm="1">
        <f t="array" ref="M376">IF(R376&lt;&gt;0,IF(O376&gt;=3,_xlfn.XLOOKUP(B376,'외운 것'!B2:B271,'외운 것'!D2:D271,0,1),0),"3차")</f>
        <v>3차</v>
      </c>
      <c r="N376" s="8">
        <v>3</v>
      </c>
      <c r="O376" s="8">
        <v>3</v>
      </c>
      <c r="P376" s="8">
        <v>0</v>
      </c>
      <c r="Q376" s="8">
        <v>0</v>
      </c>
      <c r="R376" s="8">
        <v>0</v>
      </c>
    </row>
    <row r="377" ht="16.75" customHeight="1">
      <c r="A377" s="8">
        <v>376</v>
      </c>
      <c r="B377" s="8">
        <v>23</v>
      </c>
      <c r="C377" t="s" s="9">
        <v>1096</v>
      </c>
      <c r="D377" t="s" s="9">
        <v>1096</v>
      </c>
      <c r="E377" t="s" s="9">
        <v>1163</v>
      </c>
      <c r="F377" t="s" s="9">
        <v>1164</v>
      </c>
      <c r="G377" t="s" s="9">
        <v>1165</v>
      </c>
      <c r="H377" s="8" cm="1">
        <f t="array" ref="H377">MIN(SUMIF('외운 것'!A2:A271,A377,'외운 것'!D2:D271)+IF(R377=0,3,IF(R377=1,2,0)),3)</f>
        <v>0</v>
      </c>
      <c r="I377" s="8" cm="1">
        <f t="array" ref="I377">_xlfn.COUNTIFS('외운 것'!A2:A271,A377,'외운 것'!D2:D271,0)</f>
        <v>2</v>
      </c>
      <c r="J377" s="19" cm="1">
        <f t="array" ref="J377">IF(R377&lt;&gt;0,IF(H377&gt;=3,_xlfn.XLOOKUP(A377,'외운 것'!A2:A271,'외운 것'!C2:C271,0,1),0),"3차")</f>
        <v>0</v>
      </c>
      <c r="K377" s="8" cm="1">
        <f t="array" ref="K377">IF(P377&lt;&gt;0,IF(N377&gt;=3,_xlfn.XLOOKUP(A377,'외운 것'!A2:A271,'외운 것'!C2:C271,0,1),0),"1차")</f>
        <v>0</v>
      </c>
      <c r="L377" s="8" cm="1">
        <f t="array" ref="L377">IF(Q377&lt;&gt;0,IF(N377&gt;=3,_xlfn.XLOOKUP(A377,'외운 것'!A2:A271,'외운 것'!C2:C271,0,1),0),"2차")</f>
        <v>0</v>
      </c>
      <c r="M377" s="8" cm="1">
        <f t="array" ref="M377">IF(R377&lt;&gt;0,IF(O377&gt;=3,_xlfn.XLOOKUP(B377,'외운 것'!B2:B271,'외운 것'!D2:D271,0,1),0),"3차")</f>
        <v>0</v>
      </c>
      <c r="N377" s="8">
        <v>0</v>
      </c>
      <c r="O377" s="8">
        <v>3</v>
      </c>
      <c r="P377" s="8">
        <v>5</v>
      </c>
      <c r="Q377" s="8">
        <v>2</v>
      </c>
      <c r="R377" s="8">
        <v>2</v>
      </c>
    </row>
    <row r="378" ht="16.75" customHeight="1">
      <c r="A378" s="8">
        <v>377</v>
      </c>
      <c r="B378" s="8">
        <v>24</v>
      </c>
      <c r="C378" t="s" s="9">
        <v>1096</v>
      </c>
      <c r="D378" t="s" s="9">
        <v>1096</v>
      </c>
      <c r="E378" t="s" s="9">
        <v>1166</v>
      </c>
      <c r="F378" t="s" s="9">
        <v>1167</v>
      </c>
      <c r="G378" t="s" s="9">
        <v>1168</v>
      </c>
      <c r="H378" s="8" cm="1">
        <f t="array" ref="H378">MIN(SUMIF('외운 것'!A2:A271,A378,'외운 것'!D2:D271)+IF(R378=0,3,IF(R378=1,2,0)),3)</f>
        <v>3</v>
      </c>
      <c r="I378" s="8" cm="1">
        <f t="array" ref="I378">_xlfn.COUNTIFS('외운 것'!A2:A271,A378,'외운 것'!D2:D271,0)</f>
        <v>0</v>
      </c>
      <c r="J378" t="str" s="10" cm="1">
        <f t="array" ref="J378">IF(R378&lt;&gt;0,IF(H378&gt;=3,_xlfn.XLOOKUP(A378,'외운 것'!A2:A271,'외운 것'!C2:C271,0,1),0),"3차")</f>
        <v>3차</v>
      </c>
      <c r="K378" t="str" s="11" cm="1">
        <f t="array" ref="K378">IF(P378&lt;&gt;0,IF(N378&gt;=3,_xlfn.XLOOKUP(A378,'외운 것'!A2:A271,'외운 것'!C2:C271,0,1),0),"1차")</f>
        <v>1차</v>
      </c>
      <c r="L378" t="str" s="11" cm="1">
        <f t="array" ref="L378">IF(Q378&lt;&gt;0,IF(N378&gt;=3,_xlfn.XLOOKUP(A378,'외운 것'!A2:A271,'외운 것'!C2:C271,0,1),0),"2차")</f>
        <v>2차</v>
      </c>
      <c r="M378" t="str" s="11" cm="1">
        <f t="array" ref="M378">IF(R378&lt;&gt;0,IF(O378&gt;=3,_xlfn.XLOOKUP(B378,'외운 것'!B2:B271,'외운 것'!D2:D271,0,1),0),"3차")</f>
        <v>3차</v>
      </c>
      <c r="N378" s="8">
        <v>3</v>
      </c>
      <c r="O378" s="8">
        <v>3</v>
      </c>
      <c r="P378" s="8">
        <v>0</v>
      </c>
      <c r="Q378" s="8">
        <v>0</v>
      </c>
      <c r="R378" s="8">
        <v>0</v>
      </c>
    </row>
    <row r="379" ht="16.75" customHeight="1">
      <c r="A379" s="8">
        <v>378</v>
      </c>
      <c r="B379" s="8">
        <v>25</v>
      </c>
      <c r="C379" t="s" s="9">
        <v>1096</v>
      </c>
      <c r="D379" t="s" s="9">
        <v>1096</v>
      </c>
      <c r="E379" t="s" s="9">
        <v>1169</v>
      </c>
      <c r="F379" t="s" s="9">
        <v>1170</v>
      </c>
      <c r="G379" t="s" s="9">
        <v>1171</v>
      </c>
      <c r="H379" s="8" cm="1">
        <f t="array" ref="H379">MIN(SUMIF('외운 것'!A2:A271,A379,'외운 것'!D2:D271)+IF(R379=0,3,IF(R379=1,2,0)),3)</f>
        <v>3</v>
      </c>
      <c r="I379" s="8" cm="1">
        <f t="array" ref="I379">_xlfn.COUNTIFS('외운 것'!A2:A271,A379,'외운 것'!D2:D271,0)</f>
        <v>0</v>
      </c>
      <c r="J379" t="str" s="10" cm="1">
        <f t="array" ref="J379">IF(R379&lt;&gt;0,IF(H379&gt;=3,_xlfn.XLOOKUP(A379,'외운 것'!A2:A271,'외운 것'!C2:C271,0,1),0),"3차")</f>
        <v>3차</v>
      </c>
      <c r="K379" s="8" cm="1">
        <f t="array" ref="K379">IF(P379&lt;&gt;0,IF(N379&gt;=3,_xlfn.XLOOKUP(A379,'외운 것'!A2:A271,'외운 것'!C2:C271,0,1),0),"1차")</f>
        <v>0</v>
      </c>
      <c r="L379" t="str" s="11" cm="1">
        <f t="array" ref="L379">IF(Q379&lt;&gt;0,IF(N379&gt;=3,_xlfn.XLOOKUP(A379,'외운 것'!A2:A271,'외운 것'!C2:C271,0,1),0),"2차")</f>
        <v>2차</v>
      </c>
      <c r="M379" t="str" s="11" cm="1">
        <f t="array" ref="M379">IF(R379&lt;&gt;0,IF(O379&gt;=3,_xlfn.XLOOKUP(B379,'외운 것'!B2:B271,'외운 것'!D2:D271,0,1),0),"3차")</f>
        <v>3차</v>
      </c>
      <c r="N379" s="8">
        <v>2</v>
      </c>
      <c r="O379" s="8">
        <v>3</v>
      </c>
      <c r="P379" s="8">
        <v>1</v>
      </c>
      <c r="Q379" s="8">
        <v>0</v>
      </c>
      <c r="R379" s="8">
        <v>0</v>
      </c>
    </row>
    <row r="380" ht="16.75" customHeight="1">
      <c r="A380" s="8">
        <v>379</v>
      </c>
      <c r="B380" s="8">
        <v>26</v>
      </c>
      <c r="C380" t="s" s="9">
        <v>1096</v>
      </c>
      <c r="D380" t="s" s="9">
        <v>1096</v>
      </c>
      <c r="E380" t="s" s="9">
        <v>1172</v>
      </c>
      <c r="F380" t="s" s="9">
        <v>1173</v>
      </c>
      <c r="G380" t="s" s="9">
        <v>1174</v>
      </c>
      <c r="H380" s="8" cm="1">
        <f t="array" ref="H380">MIN(SUMIF('외운 것'!A2:A271,A380,'외운 것'!D2:D271)+IF(R380=0,3,IF(R380=1,2,0)),3)</f>
        <v>3</v>
      </c>
      <c r="I380" s="8" cm="1">
        <f t="array" ref="I380">_xlfn.COUNTIFS('외운 것'!A2:A271,A380,'외운 것'!D2:D271,0)</f>
        <v>0</v>
      </c>
      <c r="J380" t="str" s="10" cm="1">
        <f t="array" ref="J380">IF(R380&lt;&gt;0,IF(H380&gt;=3,_xlfn.XLOOKUP(A380,'외운 것'!A2:A271,'외운 것'!C2:C271,0,1),0),"3차")</f>
        <v>3차</v>
      </c>
      <c r="K380" s="8" cm="1">
        <f t="array" ref="K380">IF(P380&lt;&gt;0,IF(N380&gt;=3,_xlfn.XLOOKUP(A380,'외운 것'!A2:A271,'외운 것'!C2:C271,0,1),0),"1차")</f>
        <v>0</v>
      </c>
      <c r="L380" s="8" cm="1">
        <f t="array" ref="L380">IF(Q380&lt;&gt;0,IF(N380&gt;=3,_xlfn.XLOOKUP(A380,'외운 것'!A2:A271,'외운 것'!C2:C271,0,1),0),"2차")</f>
        <v>0</v>
      </c>
      <c r="M380" t="str" s="11" cm="1">
        <f t="array" ref="M380">IF(R380&lt;&gt;0,IF(O380&gt;=3,_xlfn.XLOOKUP(B380,'외운 것'!B2:B271,'외운 것'!D2:D271,0,1),0),"3차")</f>
        <v>3차</v>
      </c>
      <c r="N380" s="8">
        <v>2</v>
      </c>
      <c r="O380" s="8">
        <v>3</v>
      </c>
      <c r="P380" s="8">
        <v>1</v>
      </c>
      <c r="Q380" s="8">
        <v>3</v>
      </c>
      <c r="R380" s="8">
        <v>0</v>
      </c>
    </row>
    <row r="381" ht="33" customHeight="1">
      <c r="A381" s="8">
        <v>380</v>
      </c>
      <c r="B381" s="8">
        <v>27</v>
      </c>
      <c r="C381" t="s" s="9">
        <v>1096</v>
      </c>
      <c r="D381" t="s" s="9">
        <v>1096</v>
      </c>
      <c r="E381" t="s" s="9">
        <v>1175</v>
      </c>
      <c r="F381" t="s" s="9">
        <v>1176</v>
      </c>
      <c r="G381" t="s" s="9">
        <v>1177</v>
      </c>
      <c r="H381" s="8" cm="1">
        <f t="array" ref="H381">MIN(SUMIF('외운 것'!A2:A271,A381,'외운 것'!D2:D271)+IF(R381=0,3,IF(R381=1,2,0)),3)</f>
        <v>3</v>
      </c>
      <c r="I381" s="8" cm="1">
        <f t="array" ref="I381">_xlfn.COUNTIFS('외운 것'!A2:A271,A381,'외운 것'!D2:D271,0)</f>
        <v>0</v>
      </c>
      <c r="J381" t="str" s="10" cm="1">
        <f t="array" ref="J381">IF(R381&lt;&gt;0,IF(H381&gt;=3,_xlfn.XLOOKUP(A381,'외운 것'!A2:A271,'외운 것'!C2:C271,0,1),0),"3차")</f>
        <v>3차</v>
      </c>
      <c r="K381" s="8" cm="1">
        <f t="array" ref="K381">IF(P381&lt;&gt;0,IF(N381&gt;=3,_xlfn.XLOOKUP(A381,'외운 것'!A2:A271,'외운 것'!C2:C271,0,1),0),"1차")</f>
        <v>0</v>
      </c>
      <c r="L381" t="str" s="11" cm="1">
        <f t="array" ref="L381">IF(Q381&lt;&gt;0,IF(N381&gt;=3,_xlfn.XLOOKUP(A381,'외운 것'!A2:A271,'외운 것'!C2:C271,0,1),0),"2차")</f>
        <v>2차</v>
      </c>
      <c r="M381" t="str" s="11" cm="1">
        <f t="array" ref="M381">IF(R381&lt;&gt;0,IF(O381&gt;=3,_xlfn.XLOOKUP(B381,'외운 것'!B2:B271,'외운 것'!D2:D271,0,1),0),"3차")</f>
        <v>3차</v>
      </c>
      <c r="N381" s="8">
        <v>2</v>
      </c>
      <c r="O381" s="8">
        <v>3</v>
      </c>
      <c r="P381" s="8">
        <v>1</v>
      </c>
      <c r="Q381" s="8">
        <v>0</v>
      </c>
      <c r="R381" s="8">
        <v>0</v>
      </c>
    </row>
    <row r="382" ht="16.75" customHeight="1">
      <c r="A382" s="8">
        <v>381</v>
      </c>
      <c r="B382" s="8">
        <v>28</v>
      </c>
      <c r="C382" t="s" s="9">
        <v>1096</v>
      </c>
      <c r="D382" t="s" s="9">
        <v>1096</v>
      </c>
      <c r="E382" t="s" s="9">
        <v>1178</v>
      </c>
      <c r="F382" t="s" s="9">
        <v>1179</v>
      </c>
      <c r="G382" t="s" s="9">
        <v>1180</v>
      </c>
      <c r="H382" s="8" cm="1">
        <f t="array" ref="H382">MIN(SUMIF('외운 것'!A2:A271,A382,'외운 것'!D2:D271)+IF(R382=0,3,IF(R382=1,2,0)),3)</f>
        <v>3</v>
      </c>
      <c r="I382" s="8" cm="1">
        <f t="array" ref="I382">_xlfn.COUNTIFS('외운 것'!A2:A271,A382,'외운 것'!D2:D271,0)</f>
        <v>0</v>
      </c>
      <c r="J382" t="str" s="10" cm="1">
        <f t="array" ref="J382">IF(R382&lt;&gt;0,IF(H382&gt;=3,_xlfn.XLOOKUP(A382,'외운 것'!A2:A271,'외운 것'!C2:C271,0,1),0),"3차")</f>
        <v>3차</v>
      </c>
      <c r="K382" s="8" cm="1">
        <f t="array" ref="K382">IF(P382&lt;&gt;0,IF(N382&gt;=3,_xlfn.XLOOKUP(A382,'외운 것'!A2:A271,'외운 것'!C2:C271,0,1),0),"1차")</f>
        <v>0</v>
      </c>
      <c r="L382" s="8" cm="1">
        <f t="array" ref="L382">IF(Q382&lt;&gt;0,IF(N382&gt;=3,_xlfn.XLOOKUP(A382,'외운 것'!A2:A271,'외운 것'!C2:C271,0,1),0),"2차")</f>
        <v>0</v>
      </c>
      <c r="M382" t="str" s="11" cm="1">
        <f t="array" ref="M382">IF(R382&lt;&gt;0,IF(O382&gt;=3,_xlfn.XLOOKUP(B382,'외운 것'!B2:B271,'외운 것'!D2:D271,0,1),0),"3차")</f>
        <v>3차</v>
      </c>
      <c r="N382" s="8">
        <v>0</v>
      </c>
      <c r="O382" s="8">
        <v>3</v>
      </c>
      <c r="P382" s="8">
        <v>2</v>
      </c>
      <c r="Q382" s="8">
        <v>1</v>
      </c>
      <c r="R382" s="8">
        <v>0</v>
      </c>
    </row>
    <row r="383" ht="16.75" customHeight="1">
      <c r="A383" s="8">
        <v>382</v>
      </c>
      <c r="B383" s="8">
        <v>29</v>
      </c>
      <c r="C383" t="s" s="9">
        <v>1096</v>
      </c>
      <c r="D383" t="s" s="9">
        <v>1096</v>
      </c>
      <c r="E383" t="s" s="9">
        <v>1181</v>
      </c>
      <c r="F383" t="s" s="9">
        <v>1182</v>
      </c>
      <c r="G383" t="s" s="9">
        <v>1183</v>
      </c>
      <c r="H383" s="8" cm="1">
        <f t="array" ref="H383">MIN(SUMIF('외운 것'!A2:A271,A383,'외운 것'!D2:D271)+IF(R383=0,3,IF(R383=1,2,0)),3)</f>
        <v>3</v>
      </c>
      <c r="I383" s="8" cm="1">
        <f t="array" ref="I383">_xlfn.COUNTIFS('외운 것'!A2:A271,A383,'외운 것'!D2:D271,0)</f>
        <v>0</v>
      </c>
      <c r="J383" t="str" s="10" cm="1">
        <f t="array" ref="J383">IF(R383&lt;&gt;0,IF(H383&gt;=3,_xlfn.XLOOKUP(A383,'외운 것'!A2:A271,'외운 것'!C2:C271,0,1),0),"3차")</f>
        <v>3차</v>
      </c>
      <c r="K383" t="str" s="11" cm="1">
        <f t="array" ref="K383">IF(P383&lt;&gt;0,IF(N383&gt;=3,_xlfn.XLOOKUP(A383,'외운 것'!A2:A271,'외운 것'!C2:C271,0,1),0),"1차")</f>
        <v>1차</v>
      </c>
      <c r="L383" t="str" s="11" cm="1">
        <f t="array" ref="L383">IF(Q383&lt;&gt;0,IF(N383&gt;=3,_xlfn.XLOOKUP(A383,'외운 것'!A2:A271,'외운 것'!C2:C271,0,1),0),"2차")</f>
        <v>2차</v>
      </c>
      <c r="M383" t="str" s="11" cm="1">
        <f t="array" ref="M383">IF(R383&lt;&gt;0,IF(O383&gt;=3,_xlfn.XLOOKUP(B383,'외운 것'!B2:B271,'외운 것'!D2:D271,0,1),0),"3차")</f>
        <v>3차</v>
      </c>
      <c r="N383" s="8">
        <v>3</v>
      </c>
      <c r="O383" s="8">
        <v>3</v>
      </c>
      <c r="P383" s="8">
        <v>0</v>
      </c>
      <c r="Q383" s="8">
        <v>0</v>
      </c>
      <c r="R383" s="8">
        <v>0</v>
      </c>
    </row>
    <row r="384" ht="33" customHeight="1">
      <c r="A384" s="8">
        <v>383</v>
      </c>
      <c r="B384" s="8">
        <v>30</v>
      </c>
      <c r="C384" t="s" s="9">
        <v>1096</v>
      </c>
      <c r="D384" t="s" s="9">
        <v>1096</v>
      </c>
      <c r="E384" t="s" s="9">
        <v>1184</v>
      </c>
      <c r="F384" t="s" s="9">
        <v>1185</v>
      </c>
      <c r="G384" t="s" s="9">
        <v>1186</v>
      </c>
      <c r="H384" s="8" cm="1">
        <f t="array" ref="H384">MIN(SUMIF('외운 것'!A2:A271,A384,'외운 것'!D2:D271)+IF(R384=0,3,IF(R384=1,2,0)),3)</f>
        <v>3</v>
      </c>
      <c r="I384" s="8" cm="1">
        <f t="array" ref="I384">_xlfn.COUNTIFS('외운 것'!A2:A271,A384,'외운 것'!D2:D271,0)</f>
        <v>0</v>
      </c>
      <c r="J384" t="str" s="10" cm="1">
        <f t="array" ref="J384">IF(R384&lt;&gt;0,IF(H384&gt;=3,_xlfn.XLOOKUP(A384,'외운 것'!A2:A271,'외운 것'!C2:C271,0,1),0),"3차")</f>
        <v>3차</v>
      </c>
      <c r="K384" s="8" cm="1">
        <f t="array" ref="K384">IF(P384&lt;&gt;0,IF(N384&gt;=3,_xlfn.XLOOKUP(A384,'외운 것'!A2:A271,'외운 것'!C2:C271,0,1),0),"1차")</f>
        <v>0</v>
      </c>
      <c r="L384" t="str" s="11" cm="1">
        <f t="array" ref="L384">IF(Q384&lt;&gt;0,IF(N384&gt;=3,_xlfn.XLOOKUP(A384,'외운 것'!A2:A271,'외운 것'!C2:C271,0,1),0),"2차")</f>
        <v>2차</v>
      </c>
      <c r="M384" t="str" s="11" cm="1">
        <f t="array" ref="M384">IF(R384&lt;&gt;0,IF(O384&gt;=3,_xlfn.XLOOKUP(B384,'외운 것'!B2:B271,'외운 것'!D2:D271,0,1),0),"3차")</f>
        <v>3차</v>
      </c>
      <c r="N384" s="8">
        <v>2</v>
      </c>
      <c r="O384" s="8">
        <v>3</v>
      </c>
      <c r="P384" s="8">
        <v>1</v>
      </c>
      <c r="Q384" s="8">
        <v>0</v>
      </c>
      <c r="R384" s="8">
        <v>0</v>
      </c>
    </row>
    <row r="385" ht="16.75" customHeight="1">
      <c r="A385" s="8">
        <v>384</v>
      </c>
      <c r="B385" s="8">
        <v>31</v>
      </c>
      <c r="C385" t="s" s="9">
        <v>1096</v>
      </c>
      <c r="D385" t="s" s="9">
        <v>1096</v>
      </c>
      <c r="E385" t="s" s="9">
        <v>1187</v>
      </c>
      <c r="F385" t="s" s="9">
        <v>1188</v>
      </c>
      <c r="G385" t="s" s="9">
        <v>1189</v>
      </c>
      <c r="H385" s="8" cm="1">
        <f t="array" ref="H385">MIN(SUMIF('외운 것'!A2:A271,A385,'외운 것'!D2:D271)+IF(R385=0,3,IF(R385=1,2,0)),3)</f>
        <v>3</v>
      </c>
      <c r="I385" s="8" cm="1">
        <f t="array" ref="I385">_xlfn.COUNTIFS('외운 것'!A2:A271,A385,'외운 것'!D2:D271,0)</f>
        <v>0</v>
      </c>
      <c r="J385" t="str" s="10" cm="1">
        <f t="array" ref="J385">IF(R385&lt;&gt;0,IF(H385&gt;=3,_xlfn.XLOOKUP(A385,'외운 것'!A2:A271,'외운 것'!C2:C271,0,1),0),"3차")</f>
        <v>3차</v>
      </c>
      <c r="K385" s="8" cm="1">
        <f t="array" ref="K385">IF(P385&lt;&gt;0,IF(N385&gt;=3,_xlfn.XLOOKUP(A385,'외운 것'!A2:A271,'외운 것'!C2:C271,0,1),0),"1차")</f>
        <v>0</v>
      </c>
      <c r="L385" s="8" cm="1">
        <f t="array" ref="L385">IF(Q385&lt;&gt;0,IF(N385&gt;=3,_xlfn.XLOOKUP(A385,'외운 것'!A2:A271,'외운 것'!C2:C271,0,1),0),"2차")</f>
        <v>0</v>
      </c>
      <c r="M385" t="str" s="11" cm="1">
        <f t="array" ref="M385">IF(R385&lt;&gt;0,IF(O385&gt;=3,_xlfn.XLOOKUP(B385,'외운 것'!B2:B271,'외운 것'!D2:D271,0,1),0),"3차")</f>
        <v>3차</v>
      </c>
      <c r="N385" s="8">
        <v>2</v>
      </c>
      <c r="O385" s="8">
        <v>3</v>
      </c>
      <c r="P385" s="8">
        <v>1</v>
      </c>
      <c r="Q385" s="8">
        <v>1</v>
      </c>
      <c r="R385" s="8">
        <v>0</v>
      </c>
    </row>
    <row r="386" ht="16.75" customHeight="1">
      <c r="A386" s="8">
        <v>385</v>
      </c>
      <c r="B386" s="8">
        <v>32</v>
      </c>
      <c r="C386" t="s" s="9">
        <v>1096</v>
      </c>
      <c r="D386" t="s" s="9">
        <v>1096</v>
      </c>
      <c r="E386" t="s" s="9">
        <v>1190</v>
      </c>
      <c r="F386" t="s" s="9">
        <v>1191</v>
      </c>
      <c r="G386" t="s" s="9">
        <v>1192</v>
      </c>
      <c r="H386" s="8" cm="1">
        <f t="array" ref="H386">MIN(SUMIF('외운 것'!A2:A271,A386,'외운 것'!D2:D271)+IF(R386=0,3,IF(R386=1,2,0)),3)</f>
        <v>3</v>
      </c>
      <c r="I386" s="8" cm="1">
        <f t="array" ref="I386">_xlfn.COUNTIFS('외운 것'!A2:A271,A386,'외운 것'!D2:D271,0)</f>
        <v>1</v>
      </c>
      <c r="J386" t="str" s="10" cm="1">
        <f t="array" ref="J386">IF(R386&lt;&gt;0,IF(H386&gt;=3,_xlfn.XLOOKUP(A386,'외운 것'!A2:A271,'외운 것'!C2:C271,0,1),0),"3차")</f>
        <v>2026-04-30</v>
      </c>
      <c r="K386" s="8" cm="1">
        <f t="array" ref="K386">IF(P386&lt;&gt;0,IF(N386&gt;=3,_xlfn.XLOOKUP(A386,'외운 것'!A2:A271,'외운 것'!C2:C271,0,1),0),"1차")</f>
        <v>0</v>
      </c>
      <c r="L386" s="8" cm="1">
        <f t="array" ref="L386">IF(Q386&lt;&gt;0,IF(N386&gt;=3,_xlfn.XLOOKUP(A386,'외운 것'!A2:A271,'외운 것'!C2:C271,0,1),0),"2차")</f>
        <v>0</v>
      </c>
      <c r="M386" s="8" cm="1">
        <f t="array" ref="M386">IF(R386&lt;&gt;0,IF(O386&gt;=3,_xlfn.XLOOKUP(B386,'외운 것'!B2:B271,'외운 것'!D2:D271,0,1),0),"3차")</f>
        <v>0</v>
      </c>
      <c r="N386" s="8">
        <v>2</v>
      </c>
      <c r="O386" s="8">
        <v>3</v>
      </c>
      <c r="P386" s="8">
        <v>1</v>
      </c>
      <c r="Q386" s="8">
        <v>1</v>
      </c>
      <c r="R386" s="8">
        <v>1</v>
      </c>
    </row>
    <row r="387" ht="16.75" customHeight="1">
      <c r="A387" s="8">
        <v>386</v>
      </c>
      <c r="B387" s="8">
        <v>33</v>
      </c>
      <c r="C387" t="s" s="9">
        <v>1096</v>
      </c>
      <c r="D387" t="s" s="9">
        <v>1096</v>
      </c>
      <c r="E387" t="s" s="9">
        <v>1193</v>
      </c>
      <c r="F387" t="s" s="9">
        <v>1194</v>
      </c>
      <c r="G387" t="s" s="9">
        <v>1195</v>
      </c>
      <c r="H387" s="8" cm="1">
        <f t="array" ref="H387">MIN(SUMIF('외운 것'!A2:A271,A387,'외운 것'!D2:D271)+IF(R387=0,3,IF(R387=1,2,0)),3)</f>
        <v>0</v>
      </c>
      <c r="I387" s="8" cm="1">
        <f t="array" ref="I387">_xlfn.COUNTIFS('외운 것'!A2:A271,A387,'외운 것'!D2:D271,0)</f>
        <v>2</v>
      </c>
      <c r="J387" s="19" cm="1">
        <f t="array" ref="J387">IF(R387&lt;&gt;0,IF(H387&gt;=3,_xlfn.XLOOKUP(A387,'외운 것'!A2:A271,'외운 것'!C2:C271,0,1),0),"3차")</f>
        <v>0</v>
      </c>
      <c r="K387" s="8" cm="1">
        <f t="array" ref="K387">IF(P387&lt;&gt;0,IF(N387&gt;=3,_xlfn.XLOOKUP(A387,'외운 것'!A2:A271,'외운 것'!C2:C271,0,1),0),"1차")</f>
        <v>0</v>
      </c>
      <c r="L387" s="8" cm="1">
        <f t="array" ref="L387">IF(Q387&lt;&gt;0,IF(N387&gt;=3,_xlfn.XLOOKUP(A387,'외운 것'!A2:A271,'외운 것'!C2:C271,0,1),0),"2차")</f>
        <v>0</v>
      </c>
      <c r="M387" s="8" cm="1">
        <f t="array" ref="M387">IF(R387&lt;&gt;0,IF(O387&gt;=3,_xlfn.XLOOKUP(B387,'외운 것'!B2:B271,'외운 것'!D2:D271,0,1),0),"3차")</f>
        <v>0</v>
      </c>
      <c r="N387" s="8">
        <v>0</v>
      </c>
      <c r="O387" s="8">
        <v>3</v>
      </c>
      <c r="P387" s="8">
        <v>2</v>
      </c>
      <c r="Q387" s="8">
        <v>2</v>
      </c>
      <c r="R387" s="8">
        <v>3</v>
      </c>
    </row>
    <row r="388" ht="16.75" customHeight="1">
      <c r="A388" s="8">
        <v>387</v>
      </c>
      <c r="B388" s="8">
        <v>34</v>
      </c>
      <c r="C388" t="s" s="9">
        <v>1096</v>
      </c>
      <c r="D388" t="s" s="9">
        <v>1096</v>
      </c>
      <c r="E388" t="s" s="9">
        <v>1196</v>
      </c>
      <c r="F388" t="s" s="9">
        <v>1197</v>
      </c>
      <c r="G388" t="s" s="9">
        <v>1198</v>
      </c>
      <c r="H388" s="8" cm="1">
        <f t="array" ref="H388">MIN(SUMIF('외운 것'!A2:A271,A388,'외운 것'!D2:D271)+IF(R388=0,3,IF(R388=1,2,0)),3)</f>
        <v>3</v>
      </c>
      <c r="I388" s="8" cm="1">
        <f t="array" ref="I388">_xlfn.COUNTIFS('외운 것'!A2:A271,A388,'외운 것'!D2:D271,0)</f>
        <v>0</v>
      </c>
      <c r="J388" t="str" s="10" cm="1">
        <f t="array" ref="J388">IF(R388&lt;&gt;0,IF(H388&gt;=3,_xlfn.XLOOKUP(A388,'외운 것'!A2:A271,'외운 것'!C2:C271,0,1),0),"3차")</f>
        <v>3차</v>
      </c>
      <c r="K388" t="str" s="11" cm="1">
        <f t="array" ref="K388">IF(P388&lt;&gt;0,IF(N388&gt;=3,_xlfn.XLOOKUP(A388,'외운 것'!A2:A271,'외운 것'!C2:C271,0,1),0),"1차")</f>
        <v>1차</v>
      </c>
      <c r="L388" t="str" s="11" cm="1">
        <f t="array" ref="L388">IF(Q388&lt;&gt;0,IF(N388&gt;=3,_xlfn.XLOOKUP(A388,'외운 것'!A2:A271,'외운 것'!C2:C271,0,1),0),"2차")</f>
        <v>2차</v>
      </c>
      <c r="M388" t="str" s="11" cm="1">
        <f t="array" ref="M388">IF(R388&lt;&gt;0,IF(O388&gt;=3,_xlfn.XLOOKUP(B388,'외운 것'!B2:B271,'외운 것'!D2:D271,0,1),0),"3차")</f>
        <v>3차</v>
      </c>
      <c r="N388" s="8">
        <v>3</v>
      </c>
      <c r="O388" s="8">
        <v>3</v>
      </c>
      <c r="P388" s="8">
        <v>0</v>
      </c>
      <c r="Q388" s="8">
        <v>0</v>
      </c>
      <c r="R388" s="8">
        <v>0</v>
      </c>
    </row>
    <row r="389" ht="16.75" customHeight="1">
      <c r="A389" s="8">
        <v>388</v>
      </c>
      <c r="B389" s="8">
        <v>35</v>
      </c>
      <c r="C389" t="s" s="9">
        <v>1096</v>
      </c>
      <c r="D389" t="s" s="9">
        <v>1096</v>
      </c>
      <c r="E389" t="s" s="9">
        <v>1199</v>
      </c>
      <c r="F389" t="s" s="9">
        <v>1200</v>
      </c>
      <c r="G389" t="s" s="9">
        <v>1201</v>
      </c>
      <c r="H389" s="8" cm="1">
        <f t="array" ref="H389">MIN(SUMIF('외운 것'!A2:A271,A389,'외운 것'!D2:D271)+IF(R389=0,3,IF(R389=1,2,0)),3)</f>
        <v>3</v>
      </c>
      <c r="I389" s="8" cm="1">
        <f t="array" ref="I389">_xlfn.COUNTIFS('외운 것'!A2:A271,A389,'외운 것'!D2:D271,0)</f>
        <v>0</v>
      </c>
      <c r="J389" t="str" s="10" cm="1">
        <f t="array" ref="J389">IF(R389&lt;&gt;0,IF(H389&gt;=3,_xlfn.XLOOKUP(A389,'외운 것'!A2:A271,'외운 것'!C2:C271,0,1),0),"3차")</f>
        <v>3차</v>
      </c>
      <c r="K389" t="str" s="11" cm="1">
        <f t="array" ref="K389">IF(P389&lt;&gt;0,IF(N389&gt;=3,_xlfn.XLOOKUP(A389,'외운 것'!A2:A271,'외운 것'!C2:C271,0,1),0),"1차")</f>
        <v>1차</v>
      </c>
      <c r="L389" t="str" s="11" cm="1">
        <f t="array" ref="L389">IF(Q389&lt;&gt;0,IF(N389&gt;=3,_xlfn.XLOOKUP(A389,'외운 것'!A2:A271,'외운 것'!C2:C271,0,1),0),"2차")</f>
        <v>2차</v>
      </c>
      <c r="M389" t="str" s="11" cm="1">
        <f t="array" ref="M389">IF(R389&lt;&gt;0,IF(O389&gt;=3,_xlfn.XLOOKUP(B389,'외운 것'!B2:B271,'외운 것'!D2:D271,0,1),0),"3차")</f>
        <v>3차</v>
      </c>
      <c r="N389" s="8">
        <v>3</v>
      </c>
      <c r="O389" s="8">
        <v>3</v>
      </c>
      <c r="P389" s="8">
        <v>0</v>
      </c>
      <c r="Q389" s="8">
        <v>0</v>
      </c>
      <c r="R389" s="8">
        <v>0</v>
      </c>
    </row>
    <row r="390" ht="16.75" customHeight="1">
      <c r="A390" s="8">
        <v>389</v>
      </c>
      <c r="B390" s="8">
        <v>36</v>
      </c>
      <c r="C390" t="s" s="9">
        <v>1096</v>
      </c>
      <c r="D390" t="s" s="9">
        <v>1096</v>
      </c>
      <c r="E390" t="s" s="9">
        <v>1202</v>
      </c>
      <c r="F390" t="s" s="9">
        <v>1203</v>
      </c>
      <c r="G390" t="s" s="9">
        <v>1204</v>
      </c>
      <c r="H390" s="8" cm="1">
        <f t="array" ref="H390">MIN(SUMIF('외운 것'!A2:A271,A390,'외운 것'!D2:D271)+IF(R390=0,3,IF(R390=1,2,0)),3)</f>
        <v>1</v>
      </c>
      <c r="I390" s="8" cm="1">
        <f t="array" ref="I390">_xlfn.COUNTIFS('외운 것'!A2:A271,A390,'외운 것'!D2:D271,0)</f>
        <v>1</v>
      </c>
      <c r="J390" s="19" cm="1">
        <f t="array" ref="J390">IF(R390&lt;&gt;0,IF(H390&gt;=3,_xlfn.XLOOKUP(A390,'외운 것'!A2:A271,'외운 것'!C2:C271,0,1),0),"3차")</f>
        <v>0</v>
      </c>
      <c r="K390" s="8" cm="1">
        <f t="array" ref="K390">IF(P390&lt;&gt;0,IF(N390&gt;=3,_xlfn.XLOOKUP(A390,'외운 것'!A2:A271,'외운 것'!C2:C271,0,1),0),"1차")</f>
        <v>0</v>
      </c>
      <c r="L390" s="8" cm="1">
        <f t="array" ref="L390">IF(Q390&lt;&gt;0,IF(N390&gt;=3,_xlfn.XLOOKUP(A390,'외운 것'!A2:A271,'외운 것'!C2:C271,0,1),0),"2차")</f>
        <v>0</v>
      </c>
      <c r="M390" s="8" cm="1">
        <f t="array" ref="M390">IF(R390&lt;&gt;0,IF(O390&gt;=3,_xlfn.XLOOKUP(B390,'외운 것'!B2:B271,'외운 것'!D2:D271,0,1),0),"3차")</f>
        <v>0</v>
      </c>
      <c r="N390" s="8">
        <v>0</v>
      </c>
      <c r="O390" s="8">
        <v>3</v>
      </c>
      <c r="P390" s="8">
        <v>2</v>
      </c>
      <c r="Q390" s="8">
        <v>3</v>
      </c>
      <c r="R390" s="8">
        <v>2</v>
      </c>
    </row>
    <row r="391" ht="33" customHeight="1">
      <c r="A391" s="8">
        <v>390</v>
      </c>
      <c r="B391" s="8">
        <v>37</v>
      </c>
      <c r="C391" t="s" s="9">
        <v>1096</v>
      </c>
      <c r="D391" t="s" s="9">
        <v>1096</v>
      </c>
      <c r="E391" t="s" s="9">
        <v>1205</v>
      </c>
      <c r="F391" t="s" s="9">
        <v>1206</v>
      </c>
      <c r="G391" t="s" s="9">
        <v>1207</v>
      </c>
      <c r="H391" s="8" cm="1">
        <f t="array" ref="H391">MIN(SUMIF('외운 것'!A2:A271,A391,'외운 것'!D2:D271)+IF(R391=0,3,IF(R391=1,2,0)),3)</f>
        <v>3</v>
      </c>
      <c r="I391" s="8" cm="1">
        <f t="array" ref="I391">_xlfn.COUNTIFS('외운 것'!A2:A271,A391,'외운 것'!D2:D271,0)</f>
        <v>0</v>
      </c>
      <c r="J391" t="str" s="10" cm="1">
        <f t="array" ref="J391">IF(R391&lt;&gt;0,IF(H391&gt;=3,_xlfn.XLOOKUP(A391,'외운 것'!A2:A271,'외운 것'!C2:C271,0,1),0),"3차")</f>
        <v>3차</v>
      </c>
      <c r="K391" s="8" cm="1">
        <f t="array" ref="K391">IF(P391&lt;&gt;0,IF(N391&gt;=3,_xlfn.XLOOKUP(A391,'외운 것'!A2:A271,'외운 것'!C2:C271,0,1),0),"1차")</f>
        <v>0</v>
      </c>
      <c r="L391" s="8" cm="1">
        <f t="array" ref="L391">IF(Q391&lt;&gt;0,IF(N391&gt;=3,_xlfn.XLOOKUP(A391,'외운 것'!A2:A271,'외운 것'!C2:C271,0,1),0),"2차")</f>
        <v>0</v>
      </c>
      <c r="M391" t="str" s="11" cm="1">
        <f t="array" ref="M391">IF(R391&lt;&gt;0,IF(O391&gt;=3,_xlfn.XLOOKUP(B391,'외운 것'!B2:B271,'외운 것'!D2:D271,0,1),0),"3차")</f>
        <v>3차</v>
      </c>
      <c r="N391" s="8">
        <v>0</v>
      </c>
      <c r="O391" s="8">
        <v>3</v>
      </c>
      <c r="P391" s="8">
        <v>3</v>
      </c>
      <c r="Q391" s="8">
        <v>3</v>
      </c>
      <c r="R391" s="8">
        <v>0</v>
      </c>
    </row>
    <row r="392" ht="16.75" customHeight="1">
      <c r="A392" s="8">
        <v>391</v>
      </c>
      <c r="B392" s="8">
        <v>38</v>
      </c>
      <c r="C392" t="s" s="9">
        <v>1096</v>
      </c>
      <c r="D392" t="s" s="9">
        <v>1096</v>
      </c>
      <c r="E392" t="s" s="9">
        <v>1208</v>
      </c>
      <c r="F392" t="s" s="9">
        <v>1209</v>
      </c>
      <c r="G392" t="s" s="9">
        <v>1210</v>
      </c>
      <c r="H392" s="8" cm="1">
        <f t="array" ref="H392">MIN(SUMIF('외운 것'!A2:A271,A392,'외운 것'!D2:D271)+IF(R392=0,3,IF(R392=1,2,0)),3)</f>
        <v>3</v>
      </c>
      <c r="I392" s="8" cm="1">
        <f t="array" ref="I392">_xlfn.COUNTIFS('외운 것'!A2:A271,A392,'외운 것'!D2:D271,0)</f>
        <v>0</v>
      </c>
      <c r="J392" t="str" s="10" cm="1">
        <f t="array" ref="J392">IF(R392&lt;&gt;0,IF(H392&gt;=3,_xlfn.XLOOKUP(A392,'외운 것'!A2:A271,'외운 것'!C2:C271,0,1),0),"3차")</f>
        <v>3차</v>
      </c>
      <c r="K392" s="8" cm="1">
        <f t="array" ref="K392">IF(P392&lt;&gt;0,IF(N392&gt;=3,_xlfn.XLOOKUP(A392,'외운 것'!A2:A271,'외운 것'!C2:C271,0,1),0),"1차")</f>
        <v>0</v>
      </c>
      <c r="L392" t="str" s="11" cm="1">
        <f t="array" ref="L392">IF(Q392&lt;&gt;0,IF(N392&gt;=3,_xlfn.XLOOKUP(A392,'외운 것'!A2:A271,'외운 것'!C2:C271,0,1),0),"2차")</f>
        <v>2차</v>
      </c>
      <c r="M392" t="str" s="11" cm="1">
        <f t="array" ref="M392">IF(R392&lt;&gt;0,IF(O392&gt;=3,_xlfn.XLOOKUP(B392,'외운 것'!B2:B271,'외운 것'!D2:D271,0,1),0),"3차")</f>
        <v>3차</v>
      </c>
      <c r="N392" s="8">
        <v>0</v>
      </c>
      <c r="O392" s="8">
        <v>3</v>
      </c>
      <c r="P392" s="8">
        <v>2</v>
      </c>
      <c r="Q392" s="8">
        <v>0</v>
      </c>
      <c r="R392" s="8">
        <v>0</v>
      </c>
    </row>
    <row r="393" ht="16.75" customHeight="1">
      <c r="A393" s="8">
        <v>392</v>
      </c>
      <c r="B393" s="8">
        <v>39</v>
      </c>
      <c r="C393" t="s" s="9">
        <v>1096</v>
      </c>
      <c r="D393" t="s" s="9">
        <v>1096</v>
      </c>
      <c r="E393" t="s" s="9">
        <v>1211</v>
      </c>
      <c r="F393" t="s" s="9">
        <v>1212</v>
      </c>
      <c r="G393" t="s" s="9">
        <v>1213</v>
      </c>
      <c r="H393" s="8" cm="1">
        <f t="array" ref="H393">MIN(SUMIF('외운 것'!A2:A271,A393,'외운 것'!D2:D271)+IF(R393=0,3,IF(R393=1,2,0)),3)</f>
        <v>3</v>
      </c>
      <c r="I393" s="8" cm="1">
        <f t="array" ref="I393">_xlfn.COUNTIFS('외운 것'!A2:A271,A393,'외운 것'!D2:D271,0)</f>
        <v>0</v>
      </c>
      <c r="J393" t="str" s="10" cm="1">
        <f t="array" ref="J393">IF(R393&lt;&gt;0,IF(H393&gt;=3,_xlfn.XLOOKUP(A393,'외운 것'!A2:A271,'외운 것'!C2:C271,0,1),0),"3차")</f>
        <v>3차</v>
      </c>
      <c r="K393" s="8" cm="1">
        <f t="array" ref="K393">IF(P393&lt;&gt;0,IF(N393&gt;=3,_xlfn.XLOOKUP(A393,'외운 것'!A2:A271,'외운 것'!C2:C271,0,1),0),"1차")</f>
        <v>0</v>
      </c>
      <c r="L393" t="str" s="11" cm="1">
        <f t="array" ref="L393">IF(Q393&lt;&gt;0,IF(N393&gt;=3,_xlfn.XLOOKUP(A393,'외운 것'!A2:A271,'외운 것'!C2:C271,0,1),0),"2차")</f>
        <v>2차</v>
      </c>
      <c r="M393" t="str" s="11" cm="1">
        <f t="array" ref="M393">IF(R393&lt;&gt;0,IF(O393&gt;=3,_xlfn.XLOOKUP(B393,'외운 것'!B2:B271,'외운 것'!D2:D271,0,1),0),"3차")</f>
        <v>3차</v>
      </c>
      <c r="N393" s="8">
        <v>0</v>
      </c>
      <c r="O393" s="8">
        <v>3</v>
      </c>
      <c r="P393" s="8">
        <v>3</v>
      </c>
      <c r="Q393" s="8">
        <v>0</v>
      </c>
      <c r="R393" s="8">
        <v>0</v>
      </c>
    </row>
    <row r="394" ht="16.75" customHeight="1">
      <c r="A394" s="8">
        <v>393</v>
      </c>
      <c r="B394" s="8">
        <v>40</v>
      </c>
      <c r="C394" t="s" s="9">
        <v>1096</v>
      </c>
      <c r="D394" t="s" s="9">
        <v>1096</v>
      </c>
      <c r="E394" t="s" s="9">
        <v>1214</v>
      </c>
      <c r="F394" t="s" s="9">
        <v>1215</v>
      </c>
      <c r="G394" t="s" s="9">
        <v>1216</v>
      </c>
      <c r="H394" s="8" cm="1">
        <f t="array" ref="H394">MIN(SUMIF('외운 것'!A2:A271,A394,'외운 것'!D2:D271)+IF(R394=0,3,IF(R394=1,2,0)),3)</f>
        <v>3</v>
      </c>
      <c r="I394" s="8" cm="1">
        <f t="array" ref="I394">_xlfn.COUNTIFS('외운 것'!A2:A271,A394,'외운 것'!D2:D271,0)</f>
        <v>0</v>
      </c>
      <c r="J394" t="str" s="10" cm="1">
        <f t="array" ref="J394">IF(R394&lt;&gt;0,IF(H394&gt;=3,_xlfn.XLOOKUP(A394,'외운 것'!A2:A271,'외운 것'!C2:C271,0,1),0),"3차")</f>
        <v>3차</v>
      </c>
      <c r="K394" s="8" cm="1">
        <f t="array" ref="K394">IF(P394&lt;&gt;0,IF(N394&gt;=3,_xlfn.XLOOKUP(A394,'외운 것'!A2:A271,'외운 것'!C2:C271,0,1),0),"1차")</f>
        <v>0</v>
      </c>
      <c r="L394" t="str" s="11" cm="1">
        <f t="array" ref="L394">IF(Q394&lt;&gt;0,IF(N394&gt;=3,_xlfn.XLOOKUP(A394,'외운 것'!A2:A271,'외운 것'!C2:C271,0,1),0),"2차")</f>
        <v>2차</v>
      </c>
      <c r="M394" t="str" s="11" cm="1">
        <f t="array" ref="M394">IF(R394&lt;&gt;0,IF(O394&gt;=3,_xlfn.XLOOKUP(B394,'외운 것'!B2:B271,'외운 것'!D2:D271,0,1),0),"3차")</f>
        <v>3차</v>
      </c>
      <c r="N394" s="8">
        <v>2</v>
      </c>
      <c r="O394" s="8">
        <v>3</v>
      </c>
      <c r="P394" s="8">
        <v>1</v>
      </c>
      <c r="Q394" s="8">
        <v>0</v>
      </c>
      <c r="R394" s="8">
        <v>0</v>
      </c>
    </row>
    <row r="395" ht="16.75" customHeight="1">
      <c r="A395" s="8">
        <v>394</v>
      </c>
      <c r="B395" s="8">
        <v>41</v>
      </c>
      <c r="C395" t="s" s="9">
        <v>1096</v>
      </c>
      <c r="D395" t="s" s="9">
        <v>1096</v>
      </c>
      <c r="E395" t="s" s="9">
        <v>1217</v>
      </c>
      <c r="F395" t="s" s="9">
        <v>1218</v>
      </c>
      <c r="G395" t="s" s="9">
        <v>1219</v>
      </c>
      <c r="H395" s="8" cm="1">
        <f t="array" ref="H395">MIN(SUMIF('외운 것'!A2:A271,A395,'외운 것'!D2:D271)+IF(R395=0,3,IF(R395=1,2,0)),3)</f>
        <v>3</v>
      </c>
      <c r="I395" s="8" cm="1">
        <f t="array" ref="I395">_xlfn.COUNTIFS('외운 것'!A2:A271,A395,'외운 것'!D2:D271,0)</f>
        <v>1</v>
      </c>
      <c r="J395" t="str" s="10" cm="1">
        <f t="array" ref="J395">IF(R395&lt;&gt;0,IF(H395&gt;=3,_xlfn.XLOOKUP(A395,'외운 것'!A2:A271,'외운 것'!C2:C271,0,1),0),"3차")</f>
        <v>2026-04-30</v>
      </c>
      <c r="K395" s="8" cm="1">
        <f t="array" ref="K395">IF(P395&lt;&gt;0,IF(N395&gt;=3,_xlfn.XLOOKUP(A395,'외운 것'!A2:A271,'외운 것'!C2:C271,0,1),0),"1차")</f>
        <v>0</v>
      </c>
      <c r="L395" s="8" cm="1">
        <f t="array" ref="L395">IF(Q395&lt;&gt;0,IF(N395&gt;=3,_xlfn.XLOOKUP(A395,'외운 것'!A2:A271,'외운 것'!C2:C271,0,1),0),"2차")</f>
        <v>0</v>
      </c>
      <c r="M395" s="8" cm="1">
        <f t="array" ref="M395">IF(R395&lt;&gt;0,IF(O395&gt;=3,_xlfn.XLOOKUP(B395,'외운 것'!B2:B271,'외운 것'!D2:D271,0,1),0),"3차")</f>
        <v>0</v>
      </c>
      <c r="N395" s="8">
        <v>0</v>
      </c>
      <c r="O395" s="8">
        <v>3</v>
      </c>
      <c r="P395" s="8">
        <v>2</v>
      </c>
      <c r="Q395" s="8">
        <v>1</v>
      </c>
      <c r="R395" s="8">
        <v>1</v>
      </c>
    </row>
    <row r="396" ht="16.75" customHeight="1">
      <c r="A396" s="8">
        <v>395</v>
      </c>
      <c r="B396" s="8">
        <v>42</v>
      </c>
      <c r="C396" t="s" s="9">
        <v>1096</v>
      </c>
      <c r="D396" t="s" s="9">
        <v>1096</v>
      </c>
      <c r="E396" t="s" s="9">
        <v>1220</v>
      </c>
      <c r="F396" t="s" s="9">
        <v>1221</v>
      </c>
      <c r="G396" t="s" s="9">
        <v>1222</v>
      </c>
      <c r="H396" s="8" cm="1">
        <f t="array" ref="H396">MIN(SUMIF('외운 것'!A2:A271,A396,'외운 것'!D2:D271)+IF(R396=0,3,IF(R396=1,2,0)),3)</f>
        <v>3</v>
      </c>
      <c r="I396" s="8" cm="1">
        <f t="array" ref="I396">_xlfn.COUNTIFS('외운 것'!A2:A271,A396,'외운 것'!D2:D271,0)</f>
        <v>0</v>
      </c>
      <c r="J396" t="str" s="10" cm="1">
        <f t="array" ref="J396">IF(R396&lt;&gt;0,IF(H396&gt;=3,_xlfn.XLOOKUP(A396,'외운 것'!A2:A271,'외운 것'!C2:C271,0,1),0),"3차")</f>
        <v>3차</v>
      </c>
      <c r="K396" s="8" cm="1">
        <f t="array" ref="K396">IF(P396&lt;&gt;0,IF(N396&gt;=3,_xlfn.XLOOKUP(A396,'외운 것'!A2:A271,'외운 것'!C2:C271,0,1),0),"1차")</f>
        <v>0</v>
      </c>
      <c r="L396" t="str" s="11" cm="1">
        <f t="array" ref="L396">IF(Q396&lt;&gt;0,IF(N396&gt;=3,_xlfn.XLOOKUP(A396,'외운 것'!A2:A271,'외운 것'!C2:C271,0,1),0),"2차")</f>
        <v>2차</v>
      </c>
      <c r="M396" t="str" s="11" cm="1">
        <f t="array" ref="M396">IF(R396&lt;&gt;0,IF(O396&gt;=3,_xlfn.XLOOKUP(B396,'외운 것'!B2:B271,'외운 것'!D2:D271,0,1),0),"3차")</f>
        <v>3차</v>
      </c>
      <c r="N396" s="8">
        <v>2</v>
      </c>
      <c r="O396" s="8">
        <v>3</v>
      </c>
      <c r="P396" s="8">
        <v>1</v>
      </c>
      <c r="Q396" s="8">
        <v>0</v>
      </c>
      <c r="R396" s="8">
        <v>0</v>
      </c>
    </row>
    <row r="397" ht="16.75" customHeight="1">
      <c r="A397" s="8">
        <v>396</v>
      </c>
      <c r="B397" s="8">
        <v>43</v>
      </c>
      <c r="C397" t="s" s="9">
        <v>1096</v>
      </c>
      <c r="D397" t="s" s="9">
        <v>1096</v>
      </c>
      <c r="E397" t="s" s="9">
        <v>1223</v>
      </c>
      <c r="F397" t="s" s="9">
        <v>1224</v>
      </c>
      <c r="G397" t="s" s="9">
        <v>1225</v>
      </c>
      <c r="H397" s="8" cm="1">
        <f t="array" ref="H397">MIN(SUMIF('외운 것'!A2:A271,A397,'외운 것'!D2:D271)+IF(R397=0,3,IF(R397=1,2,0)),3)</f>
        <v>3</v>
      </c>
      <c r="I397" s="8" cm="1">
        <f t="array" ref="I397">_xlfn.COUNTIFS('외운 것'!A2:A271,A397,'외운 것'!D2:D271,0)</f>
        <v>0</v>
      </c>
      <c r="J397" t="str" s="10" cm="1">
        <f t="array" ref="J397">IF(R397&lt;&gt;0,IF(H397&gt;=3,_xlfn.XLOOKUP(A397,'외운 것'!A2:A271,'외운 것'!C2:C271,0,1),0),"3차")</f>
        <v>3차</v>
      </c>
      <c r="K397" s="8" cm="1">
        <f t="array" ref="K397">IF(P397&lt;&gt;0,IF(N397&gt;=3,_xlfn.XLOOKUP(A397,'외운 것'!A2:A271,'외운 것'!C2:C271,0,1),0),"1차")</f>
        <v>0</v>
      </c>
      <c r="L397" s="8" cm="1">
        <f t="array" ref="L397">IF(Q397&lt;&gt;0,IF(N397&gt;=3,_xlfn.XLOOKUP(A397,'외운 것'!A2:A271,'외운 것'!C2:C271,0,1),0),"2차")</f>
        <v>0</v>
      </c>
      <c r="M397" t="str" s="11" cm="1">
        <f t="array" ref="M397">IF(R397&lt;&gt;0,IF(O397&gt;=3,_xlfn.XLOOKUP(B397,'외운 것'!B2:B271,'외운 것'!D2:D271,0,1),0),"3차")</f>
        <v>3차</v>
      </c>
      <c r="N397" s="8">
        <v>2</v>
      </c>
      <c r="O397" s="8">
        <v>3</v>
      </c>
      <c r="P397" s="8">
        <v>1</v>
      </c>
      <c r="Q397" s="8">
        <v>2</v>
      </c>
      <c r="R397" s="8">
        <v>0</v>
      </c>
    </row>
    <row r="398" ht="16.75" customHeight="1">
      <c r="A398" s="8">
        <v>397</v>
      </c>
      <c r="B398" s="8">
        <v>44</v>
      </c>
      <c r="C398" t="s" s="9">
        <v>1096</v>
      </c>
      <c r="D398" t="s" s="9">
        <v>1096</v>
      </c>
      <c r="E398" t="s" s="9">
        <v>1226</v>
      </c>
      <c r="F398" t="s" s="9">
        <v>1227</v>
      </c>
      <c r="G398" t="s" s="9">
        <v>1228</v>
      </c>
      <c r="H398" s="8" cm="1">
        <f t="array" ref="H398">MIN(SUMIF('외운 것'!A2:A271,A398,'외운 것'!D2:D271)+IF(R398=0,3,IF(R398=1,2,0)),3)</f>
        <v>3</v>
      </c>
      <c r="I398" s="8" cm="1">
        <f t="array" ref="I398">_xlfn.COUNTIFS('외운 것'!A2:A271,A398,'외운 것'!D2:D271,0)</f>
        <v>0</v>
      </c>
      <c r="J398" t="str" s="10" cm="1">
        <f t="array" ref="J398">IF(R398&lt;&gt;0,IF(H398&gt;=3,_xlfn.XLOOKUP(A398,'외운 것'!A2:A271,'외운 것'!C2:C271,0,1),0),"3차")</f>
        <v>3차</v>
      </c>
      <c r="K398" s="8" cm="1">
        <f t="array" ref="K398">IF(P398&lt;&gt;0,IF(N398&gt;=3,_xlfn.XLOOKUP(A398,'외운 것'!A2:A271,'외운 것'!C2:C271,0,1),0),"1차")</f>
        <v>0</v>
      </c>
      <c r="L398" t="str" s="11" cm="1">
        <f t="array" ref="L398">IF(Q398&lt;&gt;0,IF(N398&gt;=3,_xlfn.XLOOKUP(A398,'외운 것'!A2:A271,'외운 것'!C2:C271,0,1),0),"2차")</f>
        <v>2차</v>
      </c>
      <c r="M398" t="str" s="11" cm="1">
        <f t="array" ref="M398">IF(R398&lt;&gt;0,IF(O398&gt;=3,_xlfn.XLOOKUP(B398,'외운 것'!B2:B271,'외운 것'!D2:D271,0,1),0),"3차")</f>
        <v>3차</v>
      </c>
      <c r="N398" s="8">
        <v>0</v>
      </c>
      <c r="O398" s="8">
        <v>3</v>
      </c>
      <c r="P398" s="8">
        <v>2</v>
      </c>
      <c r="Q398" s="8">
        <v>0</v>
      </c>
      <c r="R398" s="8">
        <v>0</v>
      </c>
    </row>
    <row r="399" ht="16.75" customHeight="1">
      <c r="A399" s="8">
        <v>398</v>
      </c>
      <c r="B399" s="8">
        <v>45</v>
      </c>
      <c r="C399" t="s" s="9">
        <v>1096</v>
      </c>
      <c r="D399" t="s" s="9">
        <v>1096</v>
      </c>
      <c r="E399" t="s" s="9">
        <v>1229</v>
      </c>
      <c r="F399" t="s" s="9">
        <v>1230</v>
      </c>
      <c r="G399" t="s" s="9">
        <v>1231</v>
      </c>
      <c r="H399" s="8" cm="1">
        <f t="array" ref="H399">MIN(SUMIF('외운 것'!A2:A271,A399,'외운 것'!D2:D271)+IF(R399=0,3,IF(R399=1,2,0)),3)</f>
        <v>2</v>
      </c>
      <c r="I399" s="8" cm="1">
        <f t="array" ref="I399">_xlfn.COUNTIFS('외운 것'!A2:A271,A399,'외운 것'!D2:D271,0)</f>
        <v>0</v>
      </c>
      <c r="J399" s="19" cm="1">
        <f t="array" ref="J399">IF(R399&lt;&gt;0,IF(H399&gt;=3,_xlfn.XLOOKUP(A399,'외운 것'!A2:A271,'외운 것'!C2:C271,0,1),0),"3차")</f>
        <v>0</v>
      </c>
      <c r="K399" s="8" cm="1">
        <f t="array" ref="K399">IF(P399&lt;&gt;0,IF(N399&gt;=3,_xlfn.XLOOKUP(A399,'외운 것'!A2:A271,'외운 것'!C2:C271,0,1),0),"1차")</f>
        <v>0</v>
      </c>
      <c r="L399" s="8" cm="1">
        <f t="array" ref="L399">IF(Q399&lt;&gt;0,IF(N399&gt;=3,_xlfn.XLOOKUP(A399,'외운 것'!A2:A271,'외운 것'!C2:C271,0,1),0),"2차")</f>
        <v>0</v>
      </c>
      <c r="M399" s="8" cm="1">
        <f t="array" ref="M399">IF(R399&lt;&gt;0,IF(O399&gt;=3,_xlfn.XLOOKUP(B399,'외운 것'!B2:B271,'외운 것'!D2:D271,0,1),0),"3차")</f>
        <v>0</v>
      </c>
      <c r="N399" s="8">
        <v>0</v>
      </c>
      <c r="O399" s="8">
        <v>3</v>
      </c>
      <c r="P399" s="8">
        <v>3</v>
      </c>
      <c r="Q399" s="8">
        <v>2</v>
      </c>
      <c r="R399" s="8">
        <v>3</v>
      </c>
    </row>
    <row r="400" ht="16.75" customHeight="1">
      <c r="A400" s="8">
        <v>399</v>
      </c>
      <c r="B400" s="8">
        <v>46</v>
      </c>
      <c r="C400" t="s" s="9">
        <v>1096</v>
      </c>
      <c r="D400" t="s" s="9">
        <v>1096</v>
      </c>
      <c r="E400" t="s" s="9">
        <v>1232</v>
      </c>
      <c r="F400" t="s" s="9">
        <v>1233</v>
      </c>
      <c r="G400" t="s" s="9">
        <v>1234</v>
      </c>
      <c r="H400" s="8" cm="1">
        <f t="array" ref="H400">MIN(SUMIF('외운 것'!A2:A271,A400,'외운 것'!D2:D271)+IF(R400=0,3,IF(R400=1,2,0)),3)</f>
        <v>3</v>
      </c>
      <c r="I400" s="8" cm="1">
        <f t="array" ref="I400">_xlfn.COUNTIFS('외운 것'!A2:A271,A400,'외운 것'!D2:D271,0)</f>
        <v>0</v>
      </c>
      <c r="J400" t="str" s="10" cm="1">
        <f t="array" ref="J400">IF(R400&lt;&gt;0,IF(H400&gt;=3,_xlfn.XLOOKUP(A400,'외운 것'!A2:A271,'외운 것'!C2:C271,0,1),0),"3차")</f>
        <v>3차</v>
      </c>
      <c r="K400" s="8" cm="1">
        <f t="array" ref="K400">IF(P400&lt;&gt;0,IF(N400&gt;=3,_xlfn.XLOOKUP(A400,'외운 것'!A2:A271,'외운 것'!C2:C271,0,1),0),"1차")</f>
        <v>0</v>
      </c>
      <c r="L400" t="str" s="11" cm="1">
        <f t="array" ref="L400">IF(Q400&lt;&gt;0,IF(N400&gt;=3,_xlfn.XLOOKUP(A400,'외운 것'!A2:A271,'외운 것'!C2:C271,0,1),0),"2차")</f>
        <v>2차</v>
      </c>
      <c r="M400" t="str" s="11" cm="1">
        <f t="array" ref="M400">IF(R400&lt;&gt;0,IF(O400&gt;=3,_xlfn.XLOOKUP(B400,'외운 것'!B2:B271,'외운 것'!D2:D271,0,1),0),"3차")</f>
        <v>3차</v>
      </c>
      <c r="N400" s="8">
        <v>0</v>
      </c>
      <c r="O400" s="8">
        <v>3</v>
      </c>
      <c r="P400" s="8">
        <v>3</v>
      </c>
      <c r="Q400" s="8">
        <v>0</v>
      </c>
      <c r="R400" s="8">
        <v>0</v>
      </c>
    </row>
    <row r="401" ht="16.75" customHeight="1">
      <c r="A401" s="8">
        <v>400</v>
      </c>
      <c r="B401" s="8">
        <v>47</v>
      </c>
      <c r="C401" t="s" s="9">
        <v>1096</v>
      </c>
      <c r="D401" t="s" s="9">
        <v>1096</v>
      </c>
      <c r="E401" t="s" s="9">
        <v>1235</v>
      </c>
      <c r="F401" t="s" s="9">
        <v>1236</v>
      </c>
      <c r="G401" t="s" s="9">
        <v>1237</v>
      </c>
      <c r="H401" s="8" cm="1">
        <f t="array" ref="H401">MIN(SUMIF('외운 것'!A2:A271,A401,'외운 것'!D2:D271)+IF(R401=0,3,IF(R401=1,2,0)),3)</f>
        <v>3</v>
      </c>
      <c r="I401" s="8" cm="1">
        <f t="array" ref="I401">_xlfn.COUNTIFS('외운 것'!A2:A271,A401,'외운 것'!D2:D271,0)</f>
        <v>0</v>
      </c>
      <c r="J401" t="str" s="10" cm="1">
        <f t="array" ref="J401">IF(R401&lt;&gt;0,IF(H401&gt;=3,_xlfn.XLOOKUP(A401,'외운 것'!A2:A271,'외운 것'!C2:C271,0,1),0),"3차")</f>
        <v>3차</v>
      </c>
      <c r="K401" t="str" s="11" cm="1">
        <f t="array" ref="K401">IF(P401&lt;&gt;0,IF(N401&gt;=3,_xlfn.XLOOKUP(A401,'외운 것'!A2:A271,'외운 것'!C2:C271,0,1),0),"1차")</f>
        <v>1차</v>
      </c>
      <c r="L401" t="str" s="11" cm="1">
        <f t="array" ref="L401">IF(Q401&lt;&gt;0,IF(N401&gt;=3,_xlfn.XLOOKUP(A401,'외운 것'!A2:A271,'외운 것'!C2:C271,0,1),0),"2차")</f>
        <v>2차</v>
      </c>
      <c r="M401" t="str" s="11" cm="1">
        <f t="array" ref="M401">IF(R401&lt;&gt;0,IF(O401&gt;=3,_xlfn.XLOOKUP(B401,'외운 것'!B2:B271,'외운 것'!D2:D271,0,1),0),"3차")</f>
        <v>3차</v>
      </c>
      <c r="N401" s="8">
        <v>3</v>
      </c>
      <c r="O401" s="8">
        <v>3</v>
      </c>
      <c r="P401" s="8">
        <v>0</v>
      </c>
      <c r="Q401" s="8">
        <v>0</v>
      </c>
      <c r="R401" s="8">
        <v>0</v>
      </c>
    </row>
    <row r="402" ht="16.75" customHeight="1">
      <c r="A402" s="8">
        <v>401</v>
      </c>
      <c r="B402" s="8">
        <v>48</v>
      </c>
      <c r="C402" t="s" s="9">
        <v>1096</v>
      </c>
      <c r="D402" t="s" s="9">
        <v>1096</v>
      </c>
      <c r="E402" t="s" s="9">
        <v>1238</v>
      </c>
      <c r="F402" t="s" s="9">
        <v>1239</v>
      </c>
      <c r="G402" t="s" s="9">
        <v>1240</v>
      </c>
      <c r="H402" s="8" cm="1">
        <f t="array" ref="H402">MIN(SUMIF('외운 것'!A2:A271,A402,'외운 것'!D2:D271)+IF(R402=0,3,IF(R402=1,2,0)),3)</f>
        <v>1</v>
      </c>
      <c r="I402" s="8" cm="1">
        <f t="array" ref="I402">_xlfn.COUNTIFS('외운 것'!A2:A271,A402,'외운 것'!D2:D271,0)</f>
        <v>1</v>
      </c>
      <c r="J402" s="19" cm="1">
        <f t="array" ref="J402">IF(R402&lt;&gt;0,IF(H402&gt;=3,_xlfn.XLOOKUP(A402,'외운 것'!A2:A271,'외운 것'!C2:C271,0,1),0),"3차")</f>
        <v>0</v>
      </c>
      <c r="K402" s="8" cm="1">
        <f t="array" ref="K402">IF(P402&lt;&gt;0,IF(N402&gt;=3,_xlfn.XLOOKUP(A402,'외운 것'!A2:A271,'외운 것'!C2:C271,0,1),0),"1차")</f>
        <v>0</v>
      </c>
      <c r="L402" s="8" cm="1">
        <f t="array" ref="L402">IF(Q402&lt;&gt;0,IF(N402&gt;=3,_xlfn.XLOOKUP(A402,'외운 것'!A2:A271,'외운 것'!C2:C271,0,1),0),"2차")</f>
        <v>0</v>
      </c>
      <c r="M402" s="8" cm="1">
        <f t="array" ref="M402">IF(R402&lt;&gt;0,IF(O402&gt;=3,_xlfn.XLOOKUP(B402,'외운 것'!B2:B271,'외운 것'!D2:D271,0,1),0),"3차")</f>
        <v>0</v>
      </c>
      <c r="N402" s="8">
        <v>0</v>
      </c>
      <c r="O402" s="8">
        <v>3</v>
      </c>
      <c r="P402" s="8">
        <v>2</v>
      </c>
      <c r="Q402" s="8">
        <v>4</v>
      </c>
      <c r="R402" s="8">
        <v>5</v>
      </c>
    </row>
    <row r="403" ht="16" customHeight="1">
      <c r="A403" s="8">
        <v>402</v>
      </c>
      <c r="B403" s="8">
        <v>1</v>
      </c>
      <c r="C403" t="s" s="9">
        <v>1241</v>
      </c>
      <c r="D403" t="s" s="9">
        <v>1241</v>
      </c>
      <c r="E403" t="s" s="9">
        <v>1242</v>
      </c>
      <c r="F403" t="s" s="9">
        <v>1243</v>
      </c>
      <c r="G403" t="s" s="9">
        <v>1244</v>
      </c>
      <c r="H403" s="8" cm="1">
        <f t="array" ref="H403">MIN(SUMIF('외운 것'!A2:A271,A403,'외운 것'!D2:D271)+IF(R403=0,3,IF(R403=1,2,0)),3)</f>
        <v>3</v>
      </c>
      <c r="I403" s="8" cm="1">
        <f t="array" ref="I403">_xlfn.COUNTIFS('외운 것'!A2:A271,A403,'외운 것'!D2:D271,0)</f>
        <v>0</v>
      </c>
      <c r="J403" t="str" s="10" cm="1">
        <f t="array" ref="J403">IF(R403&lt;&gt;0,IF(H403&gt;=3,_xlfn.XLOOKUP(A403,'외운 것'!A2:A271,'외운 것'!C2:C271,0,1),0),"3차")</f>
        <v>3차</v>
      </c>
      <c r="K403" s="8" cm="1">
        <f t="array" ref="K403">IF(P403&lt;&gt;0,IF(N403&gt;=3,_xlfn.XLOOKUP(A403,'외운 것'!A2:A271,'외운 것'!C2:C271,0,1),0),"1차")</f>
        <v>0</v>
      </c>
      <c r="L403" t="str" s="11" cm="1">
        <f t="array" ref="L403">IF(Q403&lt;&gt;0,IF(N403&gt;=3,_xlfn.XLOOKUP(A403,'외운 것'!A2:A271,'외운 것'!C2:C271,0,1),0),"2차")</f>
        <v>2차</v>
      </c>
      <c r="M403" t="str" s="11" cm="1">
        <f t="array" ref="M403">IF(R403&lt;&gt;0,IF(O403&gt;=3,_xlfn.XLOOKUP(B403,'외운 것'!B2:B271,'외운 것'!D2:D271,0,1),0),"3차")</f>
        <v>3차</v>
      </c>
      <c r="N403" s="8">
        <v>0</v>
      </c>
      <c r="O403" s="8">
        <v>3</v>
      </c>
      <c r="P403" s="8">
        <v>2</v>
      </c>
      <c r="Q403" s="8">
        <v>0</v>
      </c>
      <c r="R403" s="8">
        <v>0</v>
      </c>
    </row>
    <row r="404" ht="16" customHeight="1">
      <c r="A404" s="8">
        <v>403</v>
      </c>
      <c r="B404" s="8">
        <v>2</v>
      </c>
      <c r="C404" t="s" s="9">
        <v>1241</v>
      </c>
      <c r="D404" t="s" s="9">
        <v>1241</v>
      </c>
      <c r="E404" t="s" s="9">
        <v>1245</v>
      </c>
      <c r="F404" t="s" s="9">
        <v>1246</v>
      </c>
      <c r="G404" t="s" s="9">
        <v>1247</v>
      </c>
      <c r="H404" s="8" cm="1">
        <f t="array" ref="H404">MIN(SUMIF('외운 것'!A2:A271,A404,'외운 것'!D2:D271)+IF(R404=0,3,IF(R404=1,2,0)),3)</f>
        <v>3</v>
      </c>
      <c r="I404" s="8" cm="1">
        <f t="array" ref="I404">_xlfn.COUNTIFS('외운 것'!A2:A271,A404,'외운 것'!D2:D271,0)</f>
        <v>0</v>
      </c>
      <c r="J404" t="str" s="10" cm="1">
        <f t="array" ref="J404">IF(R404&lt;&gt;0,IF(H404&gt;=3,_xlfn.XLOOKUP(A404,'외운 것'!A2:A271,'외운 것'!C2:C271,0,1),0),"3차")</f>
        <v>3차</v>
      </c>
      <c r="K404" s="8" cm="1">
        <f t="array" ref="K404">IF(P404&lt;&gt;0,IF(N404&gt;=3,_xlfn.XLOOKUP(A404,'외운 것'!A2:A271,'외운 것'!C2:C271,0,1),0),"1차")</f>
        <v>0</v>
      </c>
      <c r="L404" t="str" s="11" cm="1">
        <f t="array" ref="L404">IF(Q404&lt;&gt;0,IF(N404&gt;=3,_xlfn.XLOOKUP(A404,'외운 것'!A2:A271,'외운 것'!C2:C271,0,1),0),"2차")</f>
        <v>2차</v>
      </c>
      <c r="M404" t="str" s="11" cm="1">
        <f t="array" ref="M404">IF(R404&lt;&gt;0,IF(O404&gt;=3,_xlfn.XLOOKUP(B404,'외운 것'!B2:B271,'외운 것'!D2:D271,0,1),0),"3차")</f>
        <v>3차</v>
      </c>
      <c r="N404" s="8">
        <v>2</v>
      </c>
      <c r="O404" s="8">
        <v>3</v>
      </c>
      <c r="P404" s="8">
        <v>1</v>
      </c>
      <c r="Q404" s="8">
        <v>0</v>
      </c>
      <c r="R404" s="8">
        <v>0</v>
      </c>
    </row>
    <row r="405" ht="16" customHeight="1">
      <c r="A405" s="8">
        <v>404</v>
      </c>
      <c r="B405" s="8">
        <v>3</v>
      </c>
      <c r="C405" t="s" s="9">
        <v>1241</v>
      </c>
      <c r="D405" t="s" s="9">
        <v>1241</v>
      </c>
      <c r="E405" t="s" s="9">
        <v>1248</v>
      </c>
      <c r="F405" t="s" s="9">
        <v>1249</v>
      </c>
      <c r="G405" t="s" s="9">
        <v>1250</v>
      </c>
      <c r="H405" s="8" cm="1">
        <f t="array" ref="H405">MIN(SUMIF('외운 것'!A2:A271,A405,'외운 것'!D2:D271)+IF(R405=0,3,IF(R405=1,2,0)),3)</f>
        <v>3</v>
      </c>
      <c r="I405" s="8" cm="1">
        <f t="array" ref="I405">_xlfn.COUNTIFS('외운 것'!A2:A271,A405,'외운 것'!D2:D271,0)</f>
        <v>0</v>
      </c>
      <c r="J405" t="str" s="10" cm="1">
        <f t="array" ref="J405">IF(R405&lt;&gt;0,IF(H405&gt;=3,_xlfn.XLOOKUP(A405,'외운 것'!A2:A271,'외운 것'!C2:C271,0,1),0),"3차")</f>
        <v>3차</v>
      </c>
      <c r="K405" s="8" cm="1">
        <f t="array" ref="K405">IF(P405&lt;&gt;0,IF(N405&gt;=3,_xlfn.XLOOKUP(A405,'외운 것'!A2:A271,'외운 것'!C2:C271,0,1),0),"1차")</f>
        <v>0</v>
      </c>
      <c r="L405" s="8" cm="1">
        <f t="array" ref="L405">IF(Q405&lt;&gt;0,IF(N405&gt;=3,_xlfn.XLOOKUP(A405,'외운 것'!A2:A271,'외운 것'!C2:C271,0,1),0),"2차")</f>
        <v>0</v>
      </c>
      <c r="M405" t="str" s="11" cm="1">
        <f t="array" ref="M405">IF(R405&lt;&gt;0,IF(O405&gt;=3,_xlfn.XLOOKUP(B405,'외운 것'!B2:B271,'외운 것'!D2:D271,0,1),0),"3차")</f>
        <v>3차</v>
      </c>
      <c r="N405" s="8">
        <v>0</v>
      </c>
      <c r="O405" s="8">
        <v>3</v>
      </c>
      <c r="P405" s="8">
        <v>2</v>
      </c>
      <c r="Q405" s="8">
        <v>1</v>
      </c>
      <c r="R405" s="8">
        <v>0</v>
      </c>
    </row>
    <row r="406" ht="16" customHeight="1">
      <c r="A406" s="8">
        <v>405</v>
      </c>
      <c r="B406" s="8">
        <v>4</v>
      </c>
      <c r="C406" t="s" s="9">
        <v>1241</v>
      </c>
      <c r="D406" t="s" s="9">
        <v>1241</v>
      </c>
      <c r="E406" t="s" s="9">
        <v>1251</v>
      </c>
      <c r="F406" t="s" s="9">
        <v>1252</v>
      </c>
      <c r="G406" t="s" s="9">
        <v>1253</v>
      </c>
      <c r="H406" s="8" cm="1">
        <f t="array" ref="H406">MIN(SUMIF('외운 것'!A2:A271,A406,'외운 것'!D2:D271)+IF(R406=0,3,IF(R406=1,2,0)),3)</f>
        <v>3</v>
      </c>
      <c r="I406" s="8" cm="1">
        <f t="array" ref="I406">_xlfn.COUNTIFS('외운 것'!A2:A271,A406,'외운 것'!D2:D271,0)</f>
        <v>0</v>
      </c>
      <c r="J406" t="str" s="10" cm="1">
        <f t="array" ref="J406">IF(R406&lt;&gt;0,IF(H406&gt;=3,_xlfn.XLOOKUP(A406,'외운 것'!A2:A271,'외운 것'!C2:C271,0,1),0),"3차")</f>
        <v>3차</v>
      </c>
      <c r="K406" t="str" s="11" cm="1">
        <f t="array" ref="K406">IF(P406&lt;&gt;0,IF(N406&gt;=3,_xlfn.XLOOKUP(A406,'외운 것'!A2:A271,'외운 것'!C2:C271,0,1),0),"1차")</f>
        <v>1차</v>
      </c>
      <c r="L406" t="str" s="11" cm="1">
        <f t="array" ref="L406">IF(Q406&lt;&gt;0,IF(N406&gt;=3,_xlfn.XLOOKUP(A406,'외운 것'!A2:A271,'외운 것'!C2:C271,0,1),0),"2차")</f>
        <v>2차</v>
      </c>
      <c r="M406" t="str" s="11" cm="1">
        <f t="array" ref="M406">IF(R406&lt;&gt;0,IF(O406&gt;=3,_xlfn.XLOOKUP(B406,'외운 것'!B2:B271,'외운 것'!D2:D271,0,1),0),"3차")</f>
        <v>3차</v>
      </c>
      <c r="N406" s="8">
        <v>3</v>
      </c>
      <c r="O406" s="8">
        <v>3</v>
      </c>
      <c r="P406" s="8">
        <v>0</v>
      </c>
      <c r="Q406" s="8">
        <v>0</v>
      </c>
      <c r="R406" s="8">
        <v>0</v>
      </c>
    </row>
    <row r="407" ht="16" customHeight="1">
      <c r="A407" s="8">
        <v>406</v>
      </c>
      <c r="B407" s="8">
        <v>5</v>
      </c>
      <c r="C407" t="s" s="9">
        <v>1241</v>
      </c>
      <c r="D407" t="s" s="9">
        <v>1241</v>
      </c>
      <c r="E407" t="s" s="9">
        <v>1254</v>
      </c>
      <c r="F407" t="s" s="9">
        <v>1255</v>
      </c>
      <c r="G407" t="s" s="9">
        <v>1256</v>
      </c>
      <c r="H407" s="8" cm="1">
        <f t="array" ref="H407">MIN(SUMIF('외운 것'!A2:A271,A407,'외운 것'!D2:D271)+IF(R407=0,3,IF(R407=1,2,0)),3)</f>
        <v>3</v>
      </c>
      <c r="I407" s="8" cm="1">
        <f t="array" ref="I407">_xlfn.COUNTIFS('외운 것'!A2:A271,A407,'외운 것'!D2:D271,0)</f>
        <v>0</v>
      </c>
      <c r="J407" t="str" s="10" cm="1">
        <f t="array" ref="J407">IF(R407&lt;&gt;0,IF(H407&gt;=3,_xlfn.XLOOKUP(A407,'외운 것'!A2:A271,'외운 것'!C2:C271,0,1),0),"3차")</f>
        <v>3차</v>
      </c>
      <c r="K407" s="8" cm="1">
        <f t="array" ref="K407">IF(P407&lt;&gt;0,IF(N407&gt;=3,_xlfn.XLOOKUP(A407,'외운 것'!A2:A271,'외운 것'!C2:C271,0,1),0),"1차")</f>
        <v>0</v>
      </c>
      <c r="L407" t="str" s="11" cm="1">
        <f t="array" ref="L407">IF(Q407&lt;&gt;0,IF(N407&gt;=3,_xlfn.XLOOKUP(A407,'외운 것'!A2:A271,'외운 것'!C2:C271,0,1),0),"2차")</f>
        <v>2차</v>
      </c>
      <c r="M407" t="str" s="11" cm="1">
        <f t="array" ref="M407">IF(R407&lt;&gt;0,IF(O407&gt;=3,_xlfn.XLOOKUP(B407,'외운 것'!B2:B271,'외운 것'!D2:D271,0,1),0),"3차")</f>
        <v>3차</v>
      </c>
      <c r="N407" s="8">
        <v>0</v>
      </c>
      <c r="O407" s="8">
        <v>3</v>
      </c>
      <c r="P407" s="8">
        <v>5</v>
      </c>
      <c r="Q407" s="8">
        <v>0</v>
      </c>
      <c r="R407" s="8">
        <v>0</v>
      </c>
    </row>
    <row r="408" ht="16" customHeight="1">
      <c r="A408" s="8">
        <v>407</v>
      </c>
      <c r="B408" s="8">
        <v>6</v>
      </c>
      <c r="C408" t="s" s="9">
        <v>1241</v>
      </c>
      <c r="D408" t="s" s="9">
        <v>1241</v>
      </c>
      <c r="E408" t="s" s="9">
        <v>1257</v>
      </c>
      <c r="F408" t="s" s="9">
        <v>1258</v>
      </c>
      <c r="G408" t="s" s="9">
        <v>1259</v>
      </c>
      <c r="H408" s="8" cm="1">
        <f t="array" ref="H408">MIN(SUMIF('외운 것'!A2:A271,A408,'외운 것'!D2:D271)+IF(R408=0,3,IF(R408=1,2,0)),3)</f>
        <v>3</v>
      </c>
      <c r="I408" s="8" cm="1">
        <f t="array" ref="I408">_xlfn.COUNTIFS('외운 것'!A2:A271,A408,'외운 것'!D2:D271,0)</f>
        <v>0</v>
      </c>
      <c r="J408" t="str" s="10" cm="1">
        <f t="array" ref="J408">IF(R408&lt;&gt;0,IF(H408&gt;=3,_xlfn.XLOOKUP(A408,'외운 것'!A2:A271,'외운 것'!C2:C271,0,1),0),"3차")</f>
        <v>2026-04-30</v>
      </c>
      <c r="K408" s="8" cm="1">
        <f t="array" ref="K408">IF(P408&lt;&gt;0,IF(N408&gt;=3,_xlfn.XLOOKUP(A408,'외운 것'!A2:A271,'외운 것'!C2:C271,0,1),0),"1차")</f>
        <v>0</v>
      </c>
      <c r="L408" s="8" cm="1">
        <f t="array" ref="L408">IF(Q408&lt;&gt;0,IF(N408&gt;=3,_xlfn.XLOOKUP(A408,'외운 것'!A2:A271,'외운 것'!C2:C271,0,1),0),"2차")</f>
        <v>0</v>
      </c>
      <c r="M408" s="8" cm="1">
        <f t="array" ref="M408">IF(R408&lt;&gt;0,IF(O408&gt;=3,_xlfn.XLOOKUP(B408,'외운 것'!B2:B271,'외운 것'!D2:D271,0,1),0),"3차")</f>
        <v>0</v>
      </c>
      <c r="N408" s="8">
        <v>2</v>
      </c>
      <c r="O408" s="8">
        <v>3</v>
      </c>
      <c r="P408" s="8">
        <v>1</v>
      </c>
      <c r="Q408" s="8">
        <v>3</v>
      </c>
      <c r="R408" s="8">
        <v>1</v>
      </c>
    </row>
    <row r="409" ht="16" customHeight="1">
      <c r="A409" s="8">
        <v>408</v>
      </c>
      <c r="B409" s="8">
        <v>7</v>
      </c>
      <c r="C409" t="s" s="9">
        <v>1241</v>
      </c>
      <c r="D409" t="s" s="9">
        <v>1241</v>
      </c>
      <c r="E409" t="s" s="9">
        <v>1260</v>
      </c>
      <c r="F409" t="s" s="9">
        <v>1261</v>
      </c>
      <c r="G409" t="s" s="9">
        <v>1262</v>
      </c>
      <c r="H409" s="8" cm="1">
        <f t="array" ref="H409">MIN(SUMIF('외운 것'!A2:A271,A409,'외운 것'!D2:D271)+IF(R409=0,3,IF(R409=1,2,0)),3)</f>
        <v>3</v>
      </c>
      <c r="I409" s="8" cm="1">
        <f t="array" ref="I409">_xlfn.COUNTIFS('외운 것'!A2:A271,A409,'외운 것'!D2:D271,0)</f>
        <v>0</v>
      </c>
      <c r="J409" t="str" s="10" cm="1">
        <f t="array" ref="J409">IF(R409&lt;&gt;0,IF(H409&gt;=3,_xlfn.XLOOKUP(A409,'외운 것'!A2:A271,'외운 것'!C2:C271,0,1),0),"3차")</f>
        <v>3차</v>
      </c>
      <c r="K409" s="8" cm="1">
        <f t="array" ref="K409">IF(P409&lt;&gt;0,IF(N409&gt;=3,_xlfn.XLOOKUP(A409,'외운 것'!A2:A271,'외운 것'!C2:C271,0,1),0),"1차")</f>
        <v>0</v>
      </c>
      <c r="L409" s="8" cm="1">
        <f t="array" ref="L409">IF(Q409&lt;&gt;0,IF(N409&gt;=3,_xlfn.XLOOKUP(A409,'외운 것'!A2:A271,'외운 것'!C2:C271,0,1),0),"2차")</f>
        <v>0</v>
      </c>
      <c r="M409" t="str" s="11" cm="1">
        <f t="array" ref="M409">IF(R409&lt;&gt;0,IF(O409&gt;=3,_xlfn.XLOOKUP(B409,'외운 것'!B2:B271,'외운 것'!D2:D271,0,1),0),"3차")</f>
        <v>3차</v>
      </c>
      <c r="N409" s="8">
        <v>0</v>
      </c>
      <c r="O409" s="8">
        <v>3</v>
      </c>
      <c r="P409" s="8">
        <v>2</v>
      </c>
      <c r="Q409" s="8">
        <v>4</v>
      </c>
      <c r="R409" s="8">
        <v>0</v>
      </c>
    </row>
    <row r="410" ht="16" customHeight="1">
      <c r="A410" s="8">
        <v>409</v>
      </c>
      <c r="B410" s="8">
        <v>8</v>
      </c>
      <c r="C410" t="s" s="9">
        <v>1241</v>
      </c>
      <c r="D410" t="s" s="9">
        <v>1241</v>
      </c>
      <c r="E410" t="s" s="9">
        <v>1263</v>
      </c>
      <c r="F410" t="s" s="9">
        <v>1264</v>
      </c>
      <c r="G410" t="s" s="9">
        <v>1265</v>
      </c>
      <c r="H410" s="8" cm="1">
        <f t="array" ref="H410">MIN(SUMIF('외운 것'!A2:A271,A410,'외운 것'!D2:D271)+IF(R410=0,3,IF(R410=1,2,0)),3)</f>
        <v>3</v>
      </c>
      <c r="I410" s="8" cm="1">
        <f t="array" ref="I410">_xlfn.COUNTIFS('외운 것'!A2:A271,A410,'외운 것'!D2:D271,0)</f>
        <v>0</v>
      </c>
      <c r="J410" t="str" s="10" cm="1">
        <f t="array" ref="J410">IF(R410&lt;&gt;0,IF(H410&gt;=3,_xlfn.XLOOKUP(A410,'외운 것'!A2:A271,'외운 것'!C2:C271,0,1),0),"3차")</f>
        <v>3차</v>
      </c>
      <c r="K410" t="str" s="11" cm="1">
        <f t="array" ref="K410">IF(P410&lt;&gt;0,IF(N410&gt;=3,_xlfn.XLOOKUP(A410,'외운 것'!A2:A271,'외운 것'!C2:C271,0,1),0),"1차")</f>
        <v>1차</v>
      </c>
      <c r="L410" t="str" s="11" cm="1">
        <f t="array" ref="L410">IF(Q410&lt;&gt;0,IF(N410&gt;=3,_xlfn.XLOOKUP(A410,'외운 것'!A2:A271,'외운 것'!C2:C271,0,1),0),"2차")</f>
        <v>2차</v>
      </c>
      <c r="M410" t="str" s="11" cm="1">
        <f t="array" ref="M410">IF(R410&lt;&gt;0,IF(O410&gt;=3,_xlfn.XLOOKUP(B410,'외운 것'!B2:B271,'외운 것'!D2:D271,0,1),0),"3차")</f>
        <v>3차</v>
      </c>
      <c r="N410" s="8">
        <v>3</v>
      </c>
      <c r="O410" s="8">
        <v>3</v>
      </c>
      <c r="P410" s="8">
        <v>0</v>
      </c>
      <c r="Q410" s="8">
        <v>0</v>
      </c>
      <c r="R410" s="8">
        <v>0</v>
      </c>
    </row>
    <row r="411" ht="16" customHeight="1">
      <c r="A411" s="8">
        <v>410</v>
      </c>
      <c r="B411" s="8">
        <v>9</v>
      </c>
      <c r="C411" t="s" s="9">
        <v>1241</v>
      </c>
      <c r="D411" t="s" s="9">
        <v>1241</v>
      </c>
      <c r="E411" t="s" s="9">
        <v>1266</v>
      </c>
      <c r="F411" t="s" s="9">
        <v>1267</v>
      </c>
      <c r="G411" t="s" s="9">
        <v>1268</v>
      </c>
      <c r="H411" s="8" cm="1">
        <f t="array" ref="H411">MIN(SUMIF('외운 것'!A2:A271,A411,'외운 것'!D2:D271)+IF(R411=0,3,IF(R411=1,2,0)),3)</f>
        <v>3</v>
      </c>
      <c r="I411" s="8" cm="1">
        <f t="array" ref="I411">_xlfn.COUNTIFS('외운 것'!A2:A271,A411,'외운 것'!D2:D271,0)</f>
        <v>0</v>
      </c>
      <c r="J411" t="str" s="10" cm="1">
        <f t="array" ref="J411">IF(R411&lt;&gt;0,IF(H411&gt;=3,_xlfn.XLOOKUP(A411,'외운 것'!A2:A271,'외운 것'!C2:C271,0,1),0),"3차")</f>
        <v>3차</v>
      </c>
      <c r="K411" t="str" s="11" cm="1">
        <f t="array" ref="K411">IF(P411&lt;&gt;0,IF(N411&gt;=3,_xlfn.XLOOKUP(A411,'외운 것'!A2:A271,'외운 것'!C2:C271,0,1),0),"1차")</f>
        <v>1차</v>
      </c>
      <c r="L411" t="str" s="11" cm="1">
        <f t="array" ref="L411">IF(Q411&lt;&gt;0,IF(N411&gt;=3,_xlfn.XLOOKUP(A411,'외운 것'!A2:A271,'외운 것'!C2:C271,0,1),0),"2차")</f>
        <v>2차</v>
      </c>
      <c r="M411" t="str" s="11" cm="1">
        <f t="array" ref="M411">IF(R411&lt;&gt;0,IF(O411&gt;=3,_xlfn.XLOOKUP(B411,'외운 것'!B2:B271,'외운 것'!D2:D271,0,1),0),"3차")</f>
        <v>3차</v>
      </c>
      <c r="N411" s="8">
        <v>3</v>
      </c>
      <c r="O411" s="8">
        <v>3</v>
      </c>
      <c r="P411" s="8">
        <v>0</v>
      </c>
      <c r="Q411" s="8">
        <v>0</v>
      </c>
      <c r="R411" s="8">
        <v>0</v>
      </c>
    </row>
    <row r="412" ht="16" customHeight="1">
      <c r="A412" s="8">
        <v>411</v>
      </c>
      <c r="B412" s="8">
        <v>10</v>
      </c>
      <c r="C412" t="s" s="9">
        <v>1241</v>
      </c>
      <c r="D412" t="s" s="9">
        <v>1241</v>
      </c>
      <c r="E412" t="s" s="9">
        <v>1269</v>
      </c>
      <c r="F412" t="s" s="9">
        <v>1270</v>
      </c>
      <c r="G412" t="s" s="9">
        <v>1271</v>
      </c>
      <c r="H412" s="8" cm="1">
        <f t="array" ref="H412">MIN(SUMIF('외운 것'!A2:A271,A412,'외운 것'!D2:D271)+IF(R412=0,3,IF(R412=1,2,0)),3)</f>
        <v>3</v>
      </c>
      <c r="I412" s="8" cm="1">
        <f t="array" ref="I412">_xlfn.COUNTIFS('외운 것'!A2:A271,A412,'외운 것'!D2:D271,0)</f>
        <v>0</v>
      </c>
      <c r="J412" t="str" s="10" cm="1">
        <f t="array" ref="J412">IF(R412&lt;&gt;0,IF(H412&gt;=3,_xlfn.XLOOKUP(A412,'외운 것'!A2:A271,'외운 것'!C2:C271,0,1),0),"3차")</f>
        <v>3차</v>
      </c>
      <c r="K412" t="str" s="11" cm="1">
        <f t="array" ref="K412">IF(P412&lt;&gt;0,IF(N412&gt;=3,_xlfn.XLOOKUP(A412,'외운 것'!A2:A271,'외운 것'!C2:C271,0,1),0),"1차")</f>
        <v>1차</v>
      </c>
      <c r="L412" t="str" s="11" cm="1">
        <f t="array" ref="L412">IF(Q412&lt;&gt;0,IF(N412&gt;=3,_xlfn.XLOOKUP(A412,'외운 것'!A2:A271,'외운 것'!C2:C271,0,1),0),"2차")</f>
        <v>2차</v>
      </c>
      <c r="M412" t="str" s="11" cm="1">
        <f t="array" ref="M412">IF(R412&lt;&gt;0,IF(O412&gt;=3,_xlfn.XLOOKUP(B412,'외운 것'!B2:B271,'외운 것'!D2:D271,0,1),0),"3차")</f>
        <v>3차</v>
      </c>
      <c r="N412" s="8">
        <v>3</v>
      </c>
      <c r="O412" s="8">
        <v>3</v>
      </c>
      <c r="P412" s="8">
        <v>0</v>
      </c>
      <c r="Q412" s="8">
        <v>0</v>
      </c>
      <c r="R412" s="8">
        <v>0</v>
      </c>
    </row>
    <row r="413" ht="16" customHeight="1">
      <c r="A413" s="8">
        <v>412</v>
      </c>
      <c r="B413" s="8">
        <v>11</v>
      </c>
      <c r="C413" t="s" s="9">
        <v>1241</v>
      </c>
      <c r="D413" t="s" s="9">
        <v>1241</v>
      </c>
      <c r="E413" t="s" s="9">
        <v>1272</v>
      </c>
      <c r="F413" t="s" s="9">
        <v>1273</v>
      </c>
      <c r="G413" t="s" s="9">
        <v>1274</v>
      </c>
      <c r="H413" s="8" cm="1">
        <f t="array" ref="H413">MIN(SUMIF('외운 것'!A2:A271,A413,'외운 것'!D2:D271)+IF(R413=0,3,IF(R413=1,2,0)),3)</f>
        <v>3</v>
      </c>
      <c r="I413" s="8" cm="1">
        <f t="array" ref="I413">_xlfn.COUNTIFS('외운 것'!A2:A271,A413,'외운 것'!D2:D271,0)</f>
        <v>0</v>
      </c>
      <c r="J413" t="str" s="10" cm="1">
        <f t="array" ref="J413">IF(R413&lt;&gt;0,IF(H413&gt;=3,_xlfn.XLOOKUP(A413,'외운 것'!A2:A271,'외운 것'!C2:C271,0,1),0),"3차")</f>
        <v>3차</v>
      </c>
      <c r="K413" s="8" cm="1">
        <f t="array" ref="K413">IF(P413&lt;&gt;0,IF(N413&gt;=3,_xlfn.XLOOKUP(A413,'외운 것'!A2:A271,'외운 것'!C2:C271,0,1),0),"1차")</f>
        <v>0</v>
      </c>
      <c r="L413" s="8" cm="1">
        <f t="array" ref="L413">IF(Q413&lt;&gt;0,IF(N413&gt;=3,_xlfn.XLOOKUP(A413,'외운 것'!A2:A271,'외운 것'!C2:C271,0,1),0),"2차")</f>
        <v>0</v>
      </c>
      <c r="M413" t="str" s="11" cm="1">
        <f t="array" ref="M413">IF(R413&lt;&gt;0,IF(O413&gt;=3,_xlfn.XLOOKUP(B413,'외운 것'!B2:B271,'외운 것'!D2:D271,0,1),0),"3차")</f>
        <v>3차</v>
      </c>
      <c r="N413" s="8">
        <v>2</v>
      </c>
      <c r="O413" s="8">
        <v>3</v>
      </c>
      <c r="P413" s="8">
        <v>1</v>
      </c>
      <c r="Q413" s="8">
        <v>1</v>
      </c>
      <c r="R413" s="8">
        <v>0</v>
      </c>
    </row>
    <row r="414" ht="16" customHeight="1">
      <c r="A414" s="8">
        <v>413</v>
      </c>
      <c r="B414" s="8">
        <v>12</v>
      </c>
      <c r="C414" t="s" s="9">
        <v>1241</v>
      </c>
      <c r="D414" t="s" s="9">
        <v>1241</v>
      </c>
      <c r="E414" t="s" s="9">
        <v>1275</v>
      </c>
      <c r="F414" t="s" s="9">
        <v>1276</v>
      </c>
      <c r="G414" t="s" s="9">
        <v>1277</v>
      </c>
      <c r="H414" s="8" cm="1">
        <f t="array" ref="H414">MIN(SUMIF('외운 것'!A2:A271,A414,'외운 것'!D2:D271)+IF(R414=0,3,IF(R414=1,2,0)),3)</f>
        <v>3</v>
      </c>
      <c r="I414" s="8" cm="1">
        <f t="array" ref="I414">_xlfn.COUNTIFS('외운 것'!A2:A271,A414,'외운 것'!D2:D271,0)</f>
        <v>0</v>
      </c>
      <c r="J414" t="str" s="10" cm="1">
        <f t="array" ref="J414">IF(R414&lt;&gt;0,IF(H414&gt;=3,_xlfn.XLOOKUP(A414,'외운 것'!A2:A271,'외운 것'!C2:C271,0,1),0),"3차")</f>
        <v>3차</v>
      </c>
      <c r="K414" t="str" s="11" cm="1">
        <f t="array" ref="K414">IF(P414&lt;&gt;0,IF(N414&gt;=3,_xlfn.XLOOKUP(A414,'외운 것'!A2:A271,'외운 것'!C2:C271,0,1),0),"1차")</f>
        <v>1차</v>
      </c>
      <c r="L414" t="str" s="11" cm="1">
        <f t="array" ref="L414">IF(Q414&lt;&gt;0,IF(N414&gt;=3,_xlfn.XLOOKUP(A414,'외운 것'!A2:A271,'외운 것'!C2:C271,0,1),0),"2차")</f>
        <v>2차</v>
      </c>
      <c r="M414" t="str" s="11" cm="1">
        <f t="array" ref="M414">IF(R414&lt;&gt;0,IF(O414&gt;=3,_xlfn.XLOOKUP(B414,'외운 것'!B2:B271,'외운 것'!D2:D271,0,1),0),"3차")</f>
        <v>3차</v>
      </c>
      <c r="N414" s="8">
        <v>3</v>
      </c>
      <c r="O414" s="8">
        <v>3</v>
      </c>
      <c r="P414" s="8">
        <v>0</v>
      </c>
      <c r="Q414" s="8">
        <v>0</v>
      </c>
      <c r="R414" s="8">
        <v>0</v>
      </c>
    </row>
    <row r="415" ht="16" customHeight="1">
      <c r="A415" s="8">
        <v>414</v>
      </c>
      <c r="B415" s="8">
        <v>13</v>
      </c>
      <c r="C415" t="s" s="9">
        <v>1241</v>
      </c>
      <c r="D415" t="s" s="9">
        <v>1241</v>
      </c>
      <c r="E415" t="s" s="9">
        <v>1278</v>
      </c>
      <c r="F415" t="s" s="9">
        <v>1279</v>
      </c>
      <c r="G415" t="s" s="9">
        <v>1280</v>
      </c>
      <c r="H415" s="8" cm="1">
        <f t="array" ref="H415">MIN(SUMIF('외운 것'!A2:A271,A415,'외운 것'!D2:D271)+IF(R415=0,3,IF(R415=1,2,0)),3)</f>
        <v>3</v>
      </c>
      <c r="I415" s="8" cm="1">
        <f t="array" ref="I415">_xlfn.COUNTIFS('외운 것'!A2:A271,A415,'외운 것'!D2:D271,0)</f>
        <v>1</v>
      </c>
      <c r="J415" t="str" s="10" cm="1">
        <f t="array" ref="J415">IF(R415&lt;&gt;0,IF(H415&gt;=3,_xlfn.XLOOKUP(A415,'외운 것'!A2:A271,'외운 것'!C2:C271,0,1),0),"3차")</f>
        <v>2026-04-30</v>
      </c>
      <c r="K415" s="8" cm="1">
        <f t="array" ref="K415">IF(P415&lt;&gt;0,IF(N415&gt;=3,_xlfn.XLOOKUP(A415,'외운 것'!A2:A271,'외운 것'!C2:C271,0,1),0),"1차")</f>
        <v>0</v>
      </c>
      <c r="L415" s="8" cm="1">
        <f t="array" ref="L415">IF(Q415&lt;&gt;0,IF(N415&gt;=3,_xlfn.XLOOKUP(A415,'외운 것'!A2:A271,'외운 것'!C2:C271,0,1),0),"2차")</f>
        <v>0</v>
      </c>
      <c r="M415" s="8" cm="1">
        <f t="array" ref="M415">IF(R415&lt;&gt;0,IF(O415&gt;=3,_xlfn.XLOOKUP(B415,'외운 것'!B2:B271,'외운 것'!D2:D271,0,1),0),"3차")</f>
        <v>0</v>
      </c>
      <c r="N415" s="8">
        <v>0</v>
      </c>
      <c r="O415" s="8">
        <v>3</v>
      </c>
      <c r="P415" s="8">
        <v>2</v>
      </c>
      <c r="Q415" s="8">
        <v>1</v>
      </c>
      <c r="R415" s="8">
        <v>1</v>
      </c>
    </row>
    <row r="416" ht="16" customHeight="1">
      <c r="A416" s="8">
        <v>415</v>
      </c>
      <c r="B416" s="8">
        <v>14</v>
      </c>
      <c r="C416" t="s" s="9">
        <v>1241</v>
      </c>
      <c r="D416" t="s" s="9">
        <v>1241</v>
      </c>
      <c r="E416" t="s" s="9">
        <v>1281</v>
      </c>
      <c r="F416" t="s" s="9">
        <v>1282</v>
      </c>
      <c r="G416" t="s" s="9">
        <v>1283</v>
      </c>
      <c r="H416" s="8" cm="1">
        <f t="array" ref="H416">MIN(SUMIF('외운 것'!A2:A271,A416,'외운 것'!D2:D271)+IF(R416=0,3,IF(R416=1,2,0)),3)</f>
        <v>3</v>
      </c>
      <c r="I416" s="8" cm="1">
        <f t="array" ref="I416">_xlfn.COUNTIFS('외운 것'!A2:A271,A416,'외운 것'!D2:D271,0)</f>
        <v>0</v>
      </c>
      <c r="J416" t="str" s="10" cm="1">
        <f t="array" ref="J416">IF(R416&lt;&gt;0,IF(H416&gt;=3,_xlfn.XLOOKUP(A416,'외운 것'!A2:A271,'외운 것'!C2:C271,0,1),0),"3차")</f>
        <v>3차</v>
      </c>
      <c r="K416" t="str" s="11" cm="1">
        <f t="array" ref="K416">IF(P416&lt;&gt;0,IF(N416&gt;=3,_xlfn.XLOOKUP(A416,'외운 것'!A2:A271,'외운 것'!C2:C271,0,1),0),"1차")</f>
        <v>1차</v>
      </c>
      <c r="L416" t="str" s="11" cm="1">
        <f t="array" ref="L416">IF(Q416&lt;&gt;0,IF(N416&gt;=3,_xlfn.XLOOKUP(A416,'외운 것'!A2:A271,'외운 것'!C2:C271,0,1),0),"2차")</f>
        <v>2차</v>
      </c>
      <c r="M416" t="str" s="11" cm="1">
        <f t="array" ref="M416">IF(R416&lt;&gt;0,IF(O416&gt;=3,_xlfn.XLOOKUP(B416,'외운 것'!B2:B271,'외운 것'!D2:D271,0,1),0),"3차")</f>
        <v>3차</v>
      </c>
      <c r="N416" s="8">
        <v>3</v>
      </c>
      <c r="O416" s="8">
        <v>3</v>
      </c>
      <c r="P416" s="8">
        <v>0</v>
      </c>
      <c r="Q416" s="8">
        <v>0</v>
      </c>
      <c r="R416" s="8">
        <v>0</v>
      </c>
    </row>
    <row r="417" ht="16" customHeight="1">
      <c r="A417" s="8">
        <v>416</v>
      </c>
      <c r="B417" s="8">
        <v>15</v>
      </c>
      <c r="C417" t="s" s="9">
        <v>1241</v>
      </c>
      <c r="D417" t="s" s="9">
        <v>1241</v>
      </c>
      <c r="E417" t="s" s="9">
        <v>1284</v>
      </c>
      <c r="F417" t="s" s="9">
        <v>1285</v>
      </c>
      <c r="G417" t="s" s="9">
        <v>1286</v>
      </c>
      <c r="H417" s="8" cm="1">
        <f t="array" ref="H417">MIN(SUMIF('외운 것'!A2:A271,A417,'외운 것'!D2:D271)+IF(R417=0,3,IF(R417=1,2,0)),3)</f>
        <v>3</v>
      </c>
      <c r="I417" s="8" cm="1">
        <f t="array" ref="I417">_xlfn.COUNTIFS('외운 것'!A2:A271,A417,'외운 것'!D2:D271,0)</f>
        <v>0</v>
      </c>
      <c r="J417" t="str" s="10" cm="1">
        <f t="array" ref="J417">IF(R417&lt;&gt;0,IF(H417&gt;=3,_xlfn.XLOOKUP(A417,'외운 것'!A2:A271,'외운 것'!C2:C271,0,1),0),"3차")</f>
        <v>3차</v>
      </c>
      <c r="K417" t="str" s="11" cm="1">
        <f t="array" ref="K417">IF(P417&lt;&gt;0,IF(N417&gt;=3,_xlfn.XLOOKUP(A417,'외운 것'!A2:A271,'외운 것'!C2:C271,0,1),0),"1차")</f>
        <v>1차</v>
      </c>
      <c r="L417" t="str" s="11" cm="1">
        <f t="array" ref="L417">IF(Q417&lt;&gt;0,IF(N417&gt;=3,_xlfn.XLOOKUP(A417,'외운 것'!A2:A271,'외운 것'!C2:C271,0,1),0),"2차")</f>
        <v>2차</v>
      </c>
      <c r="M417" t="str" s="11" cm="1">
        <f t="array" ref="M417">IF(R417&lt;&gt;0,IF(O417&gt;=3,_xlfn.XLOOKUP(B417,'외운 것'!B2:B271,'외운 것'!D2:D271,0,1),0),"3차")</f>
        <v>3차</v>
      </c>
      <c r="N417" s="8">
        <v>3</v>
      </c>
      <c r="O417" s="8">
        <v>3</v>
      </c>
      <c r="P417" s="8">
        <v>0</v>
      </c>
      <c r="Q417" s="8">
        <v>0</v>
      </c>
      <c r="R417" s="8">
        <v>0</v>
      </c>
    </row>
    <row r="418" ht="16" customHeight="1">
      <c r="A418" s="8">
        <v>417</v>
      </c>
      <c r="B418" s="8">
        <v>16</v>
      </c>
      <c r="C418" t="s" s="9">
        <v>1241</v>
      </c>
      <c r="D418" t="s" s="9">
        <v>1241</v>
      </c>
      <c r="E418" t="s" s="9">
        <v>1287</v>
      </c>
      <c r="F418" t="s" s="9">
        <v>1288</v>
      </c>
      <c r="G418" t="s" s="9">
        <v>1289</v>
      </c>
      <c r="H418" s="8" cm="1">
        <f t="array" ref="H418">MIN(SUMIF('외운 것'!A2:A271,A418,'외운 것'!D2:D271)+IF(R418=0,3,IF(R418=1,2,0)),3)</f>
        <v>3</v>
      </c>
      <c r="I418" s="8" cm="1">
        <f t="array" ref="I418">_xlfn.COUNTIFS('외운 것'!A2:A271,A418,'외운 것'!D2:D271,0)</f>
        <v>0</v>
      </c>
      <c r="J418" t="str" s="10" cm="1">
        <f t="array" ref="J418">IF(R418&lt;&gt;0,IF(H418&gt;=3,_xlfn.XLOOKUP(A418,'외운 것'!A2:A271,'외운 것'!C2:C271,0,1),0),"3차")</f>
        <v>3차</v>
      </c>
      <c r="K418" s="8" cm="1">
        <f t="array" ref="K418">IF(P418&lt;&gt;0,IF(N418&gt;=3,_xlfn.XLOOKUP(A418,'외운 것'!A2:A271,'외운 것'!C2:C271,0,1),0),"1차")</f>
        <v>0</v>
      </c>
      <c r="L418" t="str" s="11" cm="1">
        <f t="array" ref="L418">IF(Q418&lt;&gt;0,IF(N418&gt;=3,_xlfn.XLOOKUP(A418,'외운 것'!A2:A271,'외운 것'!C2:C271,0,1),0),"2차")</f>
        <v>2차</v>
      </c>
      <c r="M418" t="str" s="11" cm="1">
        <f t="array" ref="M418">IF(R418&lt;&gt;0,IF(O418&gt;=3,_xlfn.XLOOKUP(B418,'외운 것'!B2:B271,'외운 것'!D2:D271,0,1),0),"3차")</f>
        <v>3차</v>
      </c>
      <c r="N418" s="8">
        <v>2</v>
      </c>
      <c r="O418" s="8">
        <v>3</v>
      </c>
      <c r="P418" s="8">
        <v>1</v>
      </c>
      <c r="Q418" s="8">
        <v>0</v>
      </c>
      <c r="R418" s="8">
        <v>0</v>
      </c>
    </row>
    <row r="419" ht="16" customHeight="1">
      <c r="A419" s="8">
        <v>418</v>
      </c>
      <c r="B419" s="8">
        <v>17</v>
      </c>
      <c r="C419" t="s" s="9">
        <v>1241</v>
      </c>
      <c r="D419" t="s" s="9">
        <v>1241</v>
      </c>
      <c r="E419" t="s" s="9">
        <v>1290</v>
      </c>
      <c r="F419" t="s" s="9">
        <v>1291</v>
      </c>
      <c r="G419" t="s" s="9">
        <v>1292</v>
      </c>
      <c r="H419" s="8" cm="1">
        <f t="array" ref="H419">MIN(SUMIF('외운 것'!A2:A271,A419,'외운 것'!D2:D271)+IF(R419=0,3,IF(R419=1,2,0)),3)</f>
        <v>2</v>
      </c>
      <c r="I419" s="8" cm="1">
        <f t="array" ref="I419">_xlfn.COUNTIFS('외운 것'!A2:A271,A419,'외운 것'!D2:D271,0)</f>
        <v>1</v>
      </c>
      <c r="J419" s="19" cm="1">
        <f t="array" ref="J419">IF(R419&lt;&gt;0,IF(H419&gt;=3,_xlfn.XLOOKUP(A419,'외운 것'!A2:A271,'외운 것'!C2:C271,0,1),0),"3차")</f>
        <v>0</v>
      </c>
      <c r="K419" s="8" cm="1">
        <f t="array" ref="K419">IF(P419&lt;&gt;0,IF(N419&gt;=3,_xlfn.XLOOKUP(A419,'외운 것'!A2:A271,'외운 것'!C2:C271,0,1),0),"1차")</f>
        <v>0</v>
      </c>
      <c r="L419" s="8" cm="1">
        <f t="array" ref="L419">IF(Q419&lt;&gt;0,IF(N419&gt;=3,_xlfn.XLOOKUP(A419,'외운 것'!A2:A271,'외운 것'!C2:C271,0,1),0),"2차")</f>
        <v>0</v>
      </c>
      <c r="M419" s="8" cm="1">
        <f t="array" ref="M419">IF(R419&lt;&gt;0,IF(O419&gt;=3,_xlfn.XLOOKUP(B419,'외운 것'!B2:B271,'외운 것'!D2:D271,0,1),0),"3차")</f>
        <v>0</v>
      </c>
      <c r="N419" s="8">
        <v>0</v>
      </c>
      <c r="O419" s="8">
        <v>3</v>
      </c>
      <c r="P419" s="8">
        <v>2</v>
      </c>
      <c r="Q419" s="8">
        <v>1</v>
      </c>
      <c r="R419" s="8">
        <v>1</v>
      </c>
    </row>
    <row r="420" ht="16" customHeight="1">
      <c r="A420" s="8">
        <v>419</v>
      </c>
      <c r="B420" s="8">
        <v>18</v>
      </c>
      <c r="C420" t="s" s="9">
        <v>1241</v>
      </c>
      <c r="D420" t="s" s="9">
        <v>1241</v>
      </c>
      <c r="E420" t="s" s="9">
        <v>1293</v>
      </c>
      <c r="F420" t="s" s="9">
        <v>1294</v>
      </c>
      <c r="G420" t="s" s="9">
        <v>1295</v>
      </c>
      <c r="H420" s="8" cm="1">
        <f t="array" ref="H420">MIN(SUMIF('외운 것'!A2:A271,A420,'외운 것'!D2:D271)+IF(R420=0,3,IF(R420=1,2,0)),3)</f>
        <v>3</v>
      </c>
      <c r="I420" s="8" cm="1">
        <f t="array" ref="I420">_xlfn.COUNTIFS('외운 것'!A2:A271,A420,'외운 것'!D2:D271,0)</f>
        <v>0</v>
      </c>
      <c r="J420" t="str" s="10" cm="1">
        <f t="array" ref="J420">IF(R420&lt;&gt;0,IF(H420&gt;=3,_xlfn.XLOOKUP(A420,'외운 것'!A2:A271,'외운 것'!C2:C271,0,1),0),"3차")</f>
        <v>3차</v>
      </c>
      <c r="K420" t="str" s="11" cm="1">
        <f t="array" ref="K420">IF(P420&lt;&gt;0,IF(N420&gt;=3,_xlfn.XLOOKUP(A420,'외운 것'!A2:A271,'외운 것'!C2:C271,0,1),0),"1차")</f>
        <v>1차</v>
      </c>
      <c r="L420" t="str" s="11" cm="1">
        <f t="array" ref="L420">IF(Q420&lt;&gt;0,IF(N420&gt;=3,_xlfn.XLOOKUP(A420,'외운 것'!A2:A271,'외운 것'!C2:C271,0,1),0),"2차")</f>
        <v>2차</v>
      </c>
      <c r="M420" t="str" s="11" cm="1">
        <f t="array" ref="M420">IF(R420&lt;&gt;0,IF(O420&gt;=3,_xlfn.XLOOKUP(B420,'외운 것'!B2:B271,'외운 것'!D2:D271,0,1),0),"3차")</f>
        <v>3차</v>
      </c>
      <c r="N420" s="8">
        <v>3</v>
      </c>
      <c r="O420" s="8">
        <v>3</v>
      </c>
      <c r="P420" s="8">
        <v>0</v>
      </c>
      <c r="Q420" s="8">
        <v>0</v>
      </c>
      <c r="R420" s="8">
        <v>0</v>
      </c>
    </row>
    <row r="421" ht="16.75" customHeight="1">
      <c r="A421" s="8">
        <v>420</v>
      </c>
      <c r="B421" s="8">
        <v>19</v>
      </c>
      <c r="C421" t="s" s="9">
        <v>1241</v>
      </c>
      <c r="D421" t="s" s="9">
        <v>1241</v>
      </c>
      <c r="E421" t="s" s="9">
        <v>1296</v>
      </c>
      <c r="F421" t="s" s="9">
        <v>1297</v>
      </c>
      <c r="G421" t="s" s="9">
        <v>1298</v>
      </c>
      <c r="H421" s="8" cm="1">
        <f t="array" ref="H421">MIN(SUMIF('외운 것'!A2:A271,A421,'외운 것'!D2:D271)+IF(R421=0,3,IF(R421=1,2,0)),3)</f>
        <v>3</v>
      </c>
      <c r="I421" s="8" cm="1">
        <f t="array" ref="I421">_xlfn.COUNTIFS('외운 것'!A2:A271,A421,'외운 것'!D2:D271,0)</f>
        <v>0</v>
      </c>
      <c r="J421" t="str" s="10" cm="1">
        <f t="array" ref="J421">IF(R421&lt;&gt;0,IF(H421&gt;=3,_xlfn.XLOOKUP(A421,'외운 것'!A2:A271,'외운 것'!C2:C271,0,1),0),"3차")</f>
        <v>3차</v>
      </c>
      <c r="K421" t="str" s="11" cm="1">
        <f t="array" ref="K421">IF(P421&lt;&gt;0,IF(N421&gt;=3,_xlfn.XLOOKUP(A421,'외운 것'!A2:A271,'외운 것'!C2:C271,0,1),0),"1차")</f>
        <v>1차</v>
      </c>
      <c r="L421" t="str" s="11" cm="1">
        <f t="array" ref="L421">IF(Q421&lt;&gt;0,IF(N421&gt;=3,_xlfn.XLOOKUP(A421,'외운 것'!A2:A271,'외운 것'!C2:C271,0,1),0),"2차")</f>
        <v>2차</v>
      </c>
      <c r="M421" t="str" s="11" cm="1">
        <f t="array" ref="M421">IF(R421&lt;&gt;0,IF(O421&gt;=3,_xlfn.XLOOKUP(B421,'외운 것'!B2:B271,'외운 것'!D2:D271,0,1),0),"3차")</f>
        <v>3차</v>
      </c>
      <c r="N421" s="8">
        <v>3</v>
      </c>
      <c r="O421" s="8">
        <v>3</v>
      </c>
      <c r="P421" s="8">
        <v>0</v>
      </c>
      <c r="Q421" s="8">
        <v>0</v>
      </c>
      <c r="R421" s="8">
        <v>0</v>
      </c>
    </row>
    <row r="422" ht="16.75" customHeight="1">
      <c r="A422" s="8">
        <v>421</v>
      </c>
      <c r="B422" s="8">
        <v>20</v>
      </c>
      <c r="C422" t="s" s="9">
        <v>1241</v>
      </c>
      <c r="D422" t="s" s="9">
        <v>1241</v>
      </c>
      <c r="E422" t="s" s="9">
        <v>1299</v>
      </c>
      <c r="F422" t="s" s="9">
        <v>1300</v>
      </c>
      <c r="G422" t="s" s="9">
        <v>1301</v>
      </c>
      <c r="H422" s="8" cm="1">
        <f t="array" ref="H422">MIN(SUMIF('외운 것'!A2:A271,A422,'외운 것'!D2:D271)+IF(R422=0,3,IF(R422=1,2,0)),3)</f>
        <v>3</v>
      </c>
      <c r="I422" s="8" cm="1">
        <f t="array" ref="I422">_xlfn.COUNTIFS('외운 것'!A2:A271,A422,'외운 것'!D2:D271,0)</f>
        <v>0</v>
      </c>
      <c r="J422" t="str" s="10" cm="1">
        <f t="array" ref="J422">IF(R422&lt;&gt;0,IF(H422&gt;=3,_xlfn.XLOOKUP(A422,'외운 것'!A2:A271,'외운 것'!C2:C271,0,1),0),"3차")</f>
        <v>3차</v>
      </c>
      <c r="K422" t="str" s="11" cm="1">
        <f t="array" ref="K422">IF(P422&lt;&gt;0,IF(N422&gt;=3,_xlfn.XLOOKUP(A422,'외운 것'!A2:A271,'외운 것'!C2:C271,0,1),0),"1차")</f>
        <v>1차</v>
      </c>
      <c r="L422" t="str" s="11" cm="1">
        <f t="array" ref="L422">IF(Q422&lt;&gt;0,IF(N422&gt;=3,_xlfn.XLOOKUP(A422,'외운 것'!A2:A271,'외운 것'!C2:C271,0,1),0),"2차")</f>
        <v>2차</v>
      </c>
      <c r="M422" t="str" s="11" cm="1">
        <f t="array" ref="M422">IF(R422&lt;&gt;0,IF(O422&gt;=3,_xlfn.XLOOKUP(B422,'외운 것'!B2:B271,'외운 것'!D2:D271,0,1),0),"3차")</f>
        <v>3차</v>
      </c>
      <c r="N422" s="8">
        <v>3</v>
      </c>
      <c r="O422" s="8">
        <v>3</v>
      </c>
      <c r="P422" s="8">
        <v>0</v>
      </c>
      <c r="Q422" s="8">
        <v>0</v>
      </c>
      <c r="R422" s="8">
        <v>0</v>
      </c>
    </row>
    <row r="423" ht="16.75" customHeight="1">
      <c r="A423" s="8">
        <v>422</v>
      </c>
      <c r="B423" s="8">
        <v>21</v>
      </c>
      <c r="C423" t="s" s="9">
        <v>1241</v>
      </c>
      <c r="D423" t="s" s="9">
        <v>1241</v>
      </c>
      <c r="E423" t="s" s="9">
        <v>1302</v>
      </c>
      <c r="F423" t="s" s="9">
        <v>1303</v>
      </c>
      <c r="G423" t="s" s="9">
        <v>1304</v>
      </c>
      <c r="H423" s="8" cm="1">
        <f t="array" ref="H423">MIN(SUMIF('외운 것'!A2:A271,A423,'외운 것'!D2:D271)+IF(R423=0,3,IF(R423=1,2,0)),3)</f>
        <v>3</v>
      </c>
      <c r="I423" s="8" cm="1">
        <f t="array" ref="I423">_xlfn.COUNTIFS('외운 것'!A2:A271,A423,'외운 것'!D2:D271,0)</f>
        <v>0</v>
      </c>
      <c r="J423" t="str" s="10" cm="1">
        <f t="array" ref="J423">IF(R423&lt;&gt;0,IF(H423&gt;=3,_xlfn.XLOOKUP(A423,'외운 것'!A2:A271,'외운 것'!C2:C271,0,1),0),"3차")</f>
        <v>2026-04-30</v>
      </c>
      <c r="K423" s="8" cm="1">
        <f t="array" ref="K423">IF(P423&lt;&gt;0,IF(N423&gt;=3,_xlfn.XLOOKUP(A423,'외운 것'!A2:A271,'외운 것'!C2:C271,0,1),0),"1차")</f>
        <v>0</v>
      </c>
      <c r="L423" s="8" cm="1">
        <f t="array" ref="L423">IF(Q423&lt;&gt;0,IF(N423&gt;=3,_xlfn.XLOOKUP(A423,'외운 것'!A2:A271,'외운 것'!C2:C271,0,1),0),"2차")</f>
        <v>0</v>
      </c>
      <c r="M423" s="8" cm="1">
        <f t="array" ref="M423">IF(R423&lt;&gt;0,IF(O423&gt;=3,_xlfn.XLOOKUP(B423,'외운 것'!B2:B271,'외운 것'!D2:D271,0,1),0),"3차")</f>
        <v>0</v>
      </c>
      <c r="N423" s="8">
        <v>0</v>
      </c>
      <c r="O423" s="8">
        <v>3</v>
      </c>
      <c r="P423" s="8">
        <v>2</v>
      </c>
      <c r="Q423" s="8">
        <v>2</v>
      </c>
      <c r="R423" s="8">
        <v>1</v>
      </c>
    </row>
    <row r="424" ht="16" customHeight="1">
      <c r="A424" s="8">
        <v>423</v>
      </c>
      <c r="B424" s="8">
        <v>22</v>
      </c>
      <c r="C424" t="s" s="9">
        <v>1241</v>
      </c>
      <c r="D424" t="s" s="9">
        <v>1241</v>
      </c>
      <c r="E424" t="s" s="9">
        <v>1305</v>
      </c>
      <c r="F424" t="s" s="9">
        <v>1306</v>
      </c>
      <c r="G424" t="s" s="9">
        <v>1307</v>
      </c>
      <c r="H424" s="8" cm="1">
        <f t="array" ref="H424">MIN(SUMIF('외운 것'!A2:A271,A424,'외운 것'!D2:D271)+IF(R424=0,3,IF(R424=1,2,0)),3)</f>
        <v>3</v>
      </c>
      <c r="I424" s="8" cm="1">
        <f t="array" ref="I424">_xlfn.COUNTIFS('외운 것'!A2:A271,A424,'외운 것'!D2:D271,0)</f>
        <v>0</v>
      </c>
      <c r="J424" t="str" s="10" cm="1">
        <f t="array" ref="J424">IF(R424&lt;&gt;0,IF(H424&gt;=3,_xlfn.XLOOKUP(A424,'외운 것'!A2:A271,'외운 것'!C2:C271,0,1),0),"3차")</f>
        <v>3차</v>
      </c>
      <c r="K424" t="str" s="11" cm="1">
        <f t="array" ref="K424">IF(P424&lt;&gt;0,IF(N424&gt;=3,_xlfn.XLOOKUP(A424,'외운 것'!A2:A271,'외운 것'!C2:C271,0,1),0),"1차")</f>
        <v>1차</v>
      </c>
      <c r="L424" t="str" s="11" cm="1">
        <f t="array" ref="L424">IF(Q424&lt;&gt;0,IF(N424&gt;=3,_xlfn.XLOOKUP(A424,'외운 것'!A2:A271,'외운 것'!C2:C271,0,1),0),"2차")</f>
        <v>2차</v>
      </c>
      <c r="M424" t="str" s="11" cm="1">
        <f t="array" ref="M424">IF(R424&lt;&gt;0,IF(O424&gt;=3,_xlfn.XLOOKUP(B424,'외운 것'!B2:B271,'외운 것'!D2:D271,0,1),0),"3차")</f>
        <v>3차</v>
      </c>
      <c r="N424" s="8">
        <v>3</v>
      </c>
      <c r="O424" s="8">
        <v>3</v>
      </c>
      <c r="P424" s="8">
        <v>0</v>
      </c>
      <c r="Q424" s="8">
        <v>0</v>
      </c>
      <c r="R424" s="8">
        <v>0</v>
      </c>
    </row>
    <row r="425" ht="16" customHeight="1">
      <c r="A425" s="8">
        <v>424</v>
      </c>
      <c r="B425" s="8">
        <v>23</v>
      </c>
      <c r="C425" t="s" s="9">
        <v>1241</v>
      </c>
      <c r="D425" t="s" s="9">
        <v>1241</v>
      </c>
      <c r="E425" t="s" s="9">
        <v>1308</v>
      </c>
      <c r="F425" t="s" s="9">
        <v>1309</v>
      </c>
      <c r="G425" t="s" s="9">
        <v>1310</v>
      </c>
      <c r="H425" s="8" cm="1">
        <f t="array" ref="H425">MIN(SUMIF('외운 것'!A2:A271,A425,'외운 것'!D2:D271)+IF(R425=0,3,IF(R425=1,2,0)),3)</f>
        <v>2</v>
      </c>
      <c r="I425" s="8" cm="1">
        <f t="array" ref="I425">_xlfn.COUNTIFS('외운 것'!A2:A271,A425,'외운 것'!D2:D271,0)</f>
        <v>1</v>
      </c>
      <c r="J425" s="19" cm="1">
        <f t="array" ref="J425">IF(R425&lt;&gt;0,IF(H425&gt;=3,_xlfn.XLOOKUP(A425,'외운 것'!A2:A271,'외운 것'!C2:C271,0,1),0),"3차")</f>
        <v>0</v>
      </c>
      <c r="K425" s="8" cm="1">
        <f t="array" ref="K425">IF(P425&lt;&gt;0,IF(N425&gt;=3,_xlfn.XLOOKUP(A425,'외운 것'!A2:A271,'외운 것'!C2:C271,0,1),0),"1차")</f>
        <v>0</v>
      </c>
      <c r="L425" s="8" cm="1">
        <f t="array" ref="L425">IF(Q425&lt;&gt;0,IF(N425&gt;=3,_xlfn.XLOOKUP(A425,'외운 것'!A2:A271,'외운 것'!C2:C271,0,1),0),"2차")</f>
        <v>0</v>
      </c>
      <c r="M425" s="8" cm="1">
        <f t="array" ref="M425">IF(R425&lt;&gt;0,IF(O425&gt;=3,_xlfn.XLOOKUP(B425,'외운 것'!B2:B271,'외운 것'!D2:D271,0,1),0),"3차")</f>
        <v>0</v>
      </c>
      <c r="N425" s="8">
        <v>0</v>
      </c>
      <c r="O425" s="8">
        <v>3</v>
      </c>
      <c r="P425" s="8">
        <v>3</v>
      </c>
      <c r="Q425" s="8">
        <v>1</v>
      </c>
      <c r="R425" s="8">
        <v>1</v>
      </c>
    </row>
    <row r="426" ht="16" customHeight="1">
      <c r="A426" s="8">
        <v>425</v>
      </c>
      <c r="B426" s="8">
        <v>24</v>
      </c>
      <c r="C426" t="s" s="9">
        <v>1311</v>
      </c>
      <c r="D426" t="s" s="9">
        <v>1311</v>
      </c>
      <c r="E426" t="s" s="9">
        <v>1312</v>
      </c>
      <c r="F426" t="s" s="9">
        <v>1313</v>
      </c>
      <c r="G426" t="s" s="9">
        <v>1314</v>
      </c>
      <c r="H426" s="8" cm="1">
        <f t="array" ref="H426">MIN(SUMIF('외운 것'!A2:A271,A426,'외운 것'!D2:D271)+IF(R426=0,3,IF(R426=1,2,0)),3)</f>
        <v>3</v>
      </c>
      <c r="I426" s="8" cm="1">
        <f t="array" ref="I426">_xlfn.COUNTIFS('외운 것'!A2:A271,A426,'외운 것'!D2:D271,0)</f>
        <v>0</v>
      </c>
      <c r="J426" t="str" s="10" cm="1">
        <f t="array" ref="J426">IF(R426&lt;&gt;0,IF(H426&gt;=3,_xlfn.XLOOKUP(A426,'외운 것'!A2:A271,'외운 것'!C2:C271,0,1),0),"3차")</f>
        <v>3차</v>
      </c>
      <c r="K426" s="8" cm="1">
        <f t="array" ref="K426">IF(P426&lt;&gt;0,IF(N426&gt;=3,_xlfn.XLOOKUP(A426,'외운 것'!A2:A271,'외운 것'!C2:C271,0,1),0),"1차")</f>
        <v>0</v>
      </c>
      <c r="L426" s="8" cm="1">
        <f t="array" ref="L426">IF(Q426&lt;&gt;0,IF(N426&gt;=3,_xlfn.XLOOKUP(A426,'외운 것'!A2:A271,'외운 것'!C2:C271,0,1),0),"2차")</f>
        <v>0</v>
      </c>
      <c r="M426" t="str" s="11" cm="1">
        <f t="array" ref="M426">IF(R426&lt;&gt;0,IF(O426&gt;=3,_xlfn.XLOOKUP(B426,'외운 것'!B2:B271,'외운 것'!D2:D271,0,1),0),"3차")</f>
        <v>3차</v>
      </c>
      <c r="N426" s="8">
        <v>0</v>
      </c>
      <c r="O426" s="8">
        <v>3</v>
      </c>
      <c r="P426" s="8">
        <v>2</v>
      </c>
      <c r="Q426" s="8">
        <v>1</v>
      </c>
      <c r="R426" s="8">
        <v>0</v>
      </c>
    </row>
    <row r="427" ht="16" customHeight="1">
      <c r="A427" s="8">
        <v>426</v>
      </c>
      <c r="B427" s="8">
        <v>25</v>
      </c>
      <c r="C427" t="s" s="9">
        <v>1311</v>
      </c>
      <c r="D427" t="s" s="9">
        <v>1311</v>
      </c>
      <c r="E427" t="s" s="9">
        <v>1315</v>
      </c>
      <c r="F427" t="s" s="9">
        <v>1316</v>
      </c>
      <c r="G427" t="s" s="9">
        <v>1317</v>
      </c>
      <c r="H427" s="8" cm="1">
        <f t="array" ref="H427">MIN(SUMIF('외운 것'!A2:A271,A427,'외운 것'!D2:D271)+IF(R427=0,3,IF(R427=1,2,0)),3)</f>
        <v>3</v>
      </c>
      <c r="I427" s="8" cm="1">
        <f t="array" ref="I427">_xlfn.COUNTIFS('외운 것'!A2:A271,A427,'외운 것'!D2:D271,0)</f>
        <v>0</v>
      </c>
      <c r="J427" t="str" s="10" cm="1">
        <f t="array" ref="J427">IF(R427&lt;&gt;0,IF(H427&gt;=3,_xlfn.XLOOKUP(A427,'외운 것'!A2:A271,'외운 것'!C2:C271,0,1),0),"3차")</f>
        <v>3차</v>
      </c>
      <c r="K427" s="8" cm="1">
        <f t="array" ref="K427">IF(P427&lt;&gt;0,IF(N427&gt;=3,_xlfn.XLOOKUP(A427,'외운 것'!A2:A271,'외운 것'!C2:C271,0,1),0),"1차")</f>
        <v>0</v>
      </c>
      <c r="L427" t="str" s="11" cm="1">
        <f t="array" ref="L427">IF(Q427&lt;&gt;0,IF(N427&gt;=3,_xlfn.XLOOKUP(A427,'외운 것'!A2:A271,'외운 것'!C2:C271,0,1),0),"2차")</f>
        <v>2차</v>
      </c>
      <c r="M427" t="str" s="11" cm="1">
        <f t="array" ref="M427">IF(R427&lt;&gt;0,IF(O427&gt;=3,_xlfn.XLOOKUP(B427,'외운 것'!B2:B271,'외운 것'!D2:D271,0,1),0),"3차")</f>
        <v>3차</v>
      </c>
      <c r="N427" s="8">
        <v>0</v>
      </c>
      <c r="O427" s="8">
        <v>3</v>
      </c>
      <c r="P427" s="8">
        <v>2</v>
      </c>
      <c r="Q427" s="8">
        <v>0</v>
      </c>
      <c r="R427" s="8">
        <v>0</v>
      </c>
    </row>
    <row r="428" ht="16" customHeight="1">
      <c r="A428" s="8">
        <v>427</v>
      </c>
      <c r="B428" s="8">
        <v>26</v>
      </c>
      <c r="C428" t="s" s="9">
        <v>1311</v>
      </c>
      <c r="D428" t="s" s="9">
        <v>1311</v>
      </c>
      <c r="E428" t="s" s="9">
        <v>1318</v>
      </c>
      <c r="F428" t="s" s="9">
        <v>1319</v>
      </c>
      <c r="G428" t="s" s="9">
        <v>1320</v>
      </c>
      <c r="H428" s="8" cm="1">
        <f t="array" ref="H428">MIN(SUMIF('외운 것'!A2:A271,A428,'외운 것'!D2:D271)+IF(R428=0,3,IF(R428=1,2,0)),3)</f>
        <v>3</v>
      </c>
      <c r="I428" s="8" cm="1">
        <f t="array" ref="I428">_xlfn.COUNTIFS('외운 것'!A2:A271,A428,'외운 것'!D2:D271,0)</f>
        <v>0</v>
      </c>
      <c r="J428" t="str" s="10" cm="1">
        <f t="array" ref="J428">IF(R428&lt;&gt;0,IF(H428&gt;=3,_xlfn.XLOOKUP(A428,'외운 것'!A2:A271,'외운 것'!C2:C271,0,1),0),"3차")</f>
        <v>3차</v>
      </c>
      <c r="K428" s="8" cm="1">
        <f t="array" ref="K428">IF(P428&lt;&gt;0,IF(N428&gt;=3,_xlfn.XLOOKUP(A428,'외운 것'!A2:A271,'외운 것'!C2:C271,0,1),0),"1차")</f>
        <v>0</v>
      </c>
      <c r="L428" t="str" s="11" cm="1">
        <f t="array" ref="L428">IF(Q428&lt;&gt;0,IF(N428&gt;=3,_xlfn.XLOOKUP(A428,'외운 것'!A2:A271,'외운 것'!C2:C271,0,1),0),"2차")</f>
        <v>2차</v>
      </c>
      <c r="M428" t="str" s="11" cm="1">
        <f t="array" ref="M428">IF(R428&lt;&gt;0,IF(O428&gt;=3,_xlfn.XLOOKUP(B428,'외운 것'!B2:B271,'외운 것'!D2:D271,0,1),0),"3차")</f>
        <v>3차</v>
      </c>
      <c r="N428" s="8">
        <v>0</v>
      </c>
      <c r="O428" s="8">
        <v>3</v>
      </c>
      <c r="P428" s="8">
        <v>2</v>
      </c>
      <c r="Q428" s="8">
        <v>0</v>
      </c>
      <c r="R428" s="8">
        <v>0</v>
      </c>
    </row>
    <row r="429" ht="16" customHeight="1">
      <c r="A429" s="8">
        <v>428</v>
      </c>
      <c r="B429" s="8">
        <v>27</v>
      </c>
      <c r="C429" t="s" s="9">
        <v>1311</v>
      </c>
      <c r="D429" t="s" s="9">
        <v>1311</v>
      </c>
      <c r="E429" t="s" s="9">
        <v>1321</v>
      </c>
      <c r="F429" t="s" s="9">
        <v>1322</v>
      </c>
      <c r="G429" t="s" s="9">
        <v>1323</v>
      </c>
      <c r="H429" s="8" cm="1">
        <f t="array" ref="H429">MIN(SUMIF('외운 것'!A2:A271,A429,'외운 것'!D2:D271)+IF(R429=0,3,IF(R429=1,2,0)),3)</f>
        <v>3</v>
      </c>
      <c r="I429" s="8" cm="1">
        <f t="array" ref="I429">_xlfn.COUNTIFS('외운 것'!A2:A271,A429,'외운 것'!D2:D271,0)</f>
        <v>0</v>
      </c>
      <c r="J429" t="str" s="10" cm="1">
        <f t="array" ref="J429">IF(R429&lt;&gt;0,IF(H429&gt;=3,_xlfn.XLOOKUP(A429,'외운 것'!A2:A271,'외운 것'!C2:C271,0,1),0),"3차")</f>
        <v>3차</v>
      </c>
      <c r="K429" t="str" s="11" cm="1">
        <f t="array" ref="K429">IF(P429&lt;&gt;0,IF(N429&gt;=3,_xlfn.XLOOKUP(A429,'외운 것'!A2:A271,'외운 것'!C2:C271,0,1),0),"1차")</f>
        <v>1차</v>
      </c>
      <c r="L429" t="str" s="11" cm="1">
        <f t="array" ref="L429">IF(Q429&lt;&gt;0,IF(N429&gt;=3,_xlfn.XLOOKUP(A429,'외운 것'!A2:A271,'외운 것'!C2:C271,0,1),0),"2차")</f>
        <v>2차</v>
      </c>
      <c r="M429" t="str" s="11" cm="1">
        <f t="array" ref="M429">IF(R429&lt;&gt;0,IF(O429&gt;=3,_xlfn.XLOOKUP(B429,'외운 것'!B2:B271,'외운 것'!D2:D271,0,1),0),"3차")</f>
        <v>3차</v>
      </c>
      <c r="N429" s="8">
        <v>3</v>
      </c>
      <c r="O429" s="8">
        <v>3</v>
      </c>
      <c r="P429" s="8">
        <v>0</v>
      </c>
      <c r="Q429" s="8">
        <v>0</v>
      </c>
      <c r="R429" s="8">
        <v>0</v>
      </c>
    </row>
    <row r="430" ht="16" customHeight="1">
      <c r="A430" s="8">
        <v>429</v>
      </c>
      <c r="B430" s="8">
        <v>28</v>
      </c>
      <c r="C430" t="s" s="9">
        <v>1311</v>
      </c>
      <c r="D430" t="s" s="9">
        <v>1311</v>
      </c>
      <c r="E430" t="s" s="9">
        <v>1324</v>
      </c>
      <c r="F430" t="s" s="9">
        <v>1325</v>
      </c>
      <c r="G430" t="s" s="9">
        <v>1326</v>
      </c>
      <c r="H430" s="8" cm="1">
        <f t="array" ref="H430">MIN(SUMIF('외운 것'!A2:A271,A430,'외운 것'!D2:D271)+IF(R430=0,3,IF(R430=1,2,0)),3)</f>
        <v>3</v>
      </c>
      <c r="I430" s="8" cm="1">
        <f t="array" ref="I430">_xlfn.COUNTIFS('외운 것'!A2:A271,A430,'외운 것'!D2:D271,0)</f>
        <v>0</v>
      </c>
      <c r="J430" t="str" s="10" cm="1">
        <f t="array" ref="J430">IF(R430&lt;&gt;0,IF(H430&gt;=3,_xlfn.XLOOKUP(A430,'외운 것'!A2:A271,'외운 것'!C2:C271,0,1),0),"3차")</f>
        <v>3차</v>
      </c>
      <c r="K430" s="8" cm="1">
        <f t="array" ref="K430">IF(P430&lt;&gt;0,IF(N430&gt;=3,_xlfn.XLOOKUP(A430,'외운 것'!A2:A271,'외운 것'!C2:C271,0,1),0),"1차")</f>
        <v>0</v>
      </c>
      <c r="L430" t="str" s="11" cm="1">
        <f t="array" ref="L430">IF(Q430&lt;&gt;0,IF(N430&gt;=3,_xlfn.XLOOKUP(A430,'외운 것'!A2:A271,'외운 것'!C2:C271,0,1),0),"2차")</f>
        <v>2차</v>
      </c>
      <c r="M430" t="str" s="11" cm="1">
        <f t="array" ref="M430">IF(R430&lt;&gt;0,IF(O430&gt;=3,_xlfn.XLOOKUP(B430,'외운 것'!B2:B271,'외운 것'!D2:D271,0,1),0),"3차")</f>
        <v>3차</v>
      </c>
      <c r="N430" s="8">
        <v>2</v>
      </c>
      <c r="O430" s="8">
        <v>3</v>
      </c>
      <c r="P430" s="8">
        <v>1</v>
      </c>
      <c r="Q430" s="8">
        <v>0</v>
      </c>
      <c r="R430" s="8">
        <v>0</v>
      </c>
    </row>
    <row r="431" ht="16" customHeight="1">
      <c r="A431" s="8">
        <v>430</v>
      </c>
      <c r="B431" s="8">
        <v>29</v>
      </c>
      <c r="C431" t="s" s="9">
        <v>1311</v>
      </c>
      <c r="D431" t="s" s="9">
        <v>1311</v>
      </c>
      <c r="E431" t="s" s="9">
        <v>1327</v>
      </c>
      <c r="F431" t="s" s="9">
        <v>1328</v>
      </c>
      <c r="G431" t="s" s="9">
        <v>1329</v>
      </c>
      <c r="H431" s="8" cm="1">
        <f t="array" ref="H431">MIN(SUMIF('외운 것'!A2:A271,A431,'외운 것'!D2:D271)+IF(R431=0,3,IF(R431=1,2,0)),3)</f>
        <v>3</v>
      </c>
      <c r="I431" s="8" cm="1">
        <f t="array" ref="I431">_xlfn.COUNTIFS('외운 것'!A2:A271,A431,'외운 것'!D2:D271,0)</f>
        <v>0</v>
      </c>
      <c r="J431" t="str" s="10" cm="1">
        <f t="array" ref="J431">IF(R431&lt;&gt;0,IF(H431&gt;=3,_xlfn.XLOOKUP(A431,'외운 것'!A2:A271,'외운 것'!C2:C271,0,1),0),"3차")</f>
        <v>3차</v>
      </c>
      <c r="K431" s="8" cm="1">
        <f t="array" ref="K431">IF(P431&lt;&gt;0,IF(N431&gt;=3,_xlfn.XLOOKUP(A431,'외운 것'!A2:A271,'외운 것'!C2:C271,0,1),0),"1차")</f>
        <v>0</v>
      </c>
      <c r="L431" t="str" s="11" cm="1">
        <f t="array" ref="L431">IF(Q431&lt;&gt;0,IF(N431&gt;=3,_xlfn.XLOOKUP(A431,'외운 것'!A2:A271,'외운 것'!C2:C271,0,1),0),"2차")</f>
        <v>2차</v>
      </c>
      <c r="M431" t="str" s="11" cm="1">
        <f t="array" ref="M431">IF(R431&lt;&gt;0,IF(O431&gt;=3,_xlfn.XLOOKUP(B431,'외운 것'!B2:B271,'외운 것'!D2:D271,0,1),0),"3차")</f>
        <v>3차</v>
      </c>
      <c r="N431" s="8">
        <v>0</v>
      </c>
      <c r="O431" s="8">
        <v>3</v>
      </c>
      <c r="P431" s="8">
        <v>2</v>
      </c>
      <c r="Q431" s="8">
        <v>0</v>
      </c>
      <c r="R431" s="8">
        <v>0</v>
      </c>
    </row>
    <row r="432" ht="16" customHeight="1">
      <c r="A432" s="8">
        <v>431</v>
      </c>
      <c r="B432" s="8">
        <v>30</v>
      </c>
      <c r="C432" t="s" s="9">
        <v>1311</v>
      </c>
      <c r="D432" t="s" s="9">
        <v>1311</v>
      </c>
      <c r="E432" t="s" s="9">
        <v>1330</v>
      </c>
      <c r="F432" t="s" s="9">
        <v>1331</v>
      </c>
      <c r="G432" t="s" s="9">
        <v>1332</v>
      </c>
      <c r="H432" s="8" cm="1">
        <f t="array" ref="H432">MIN(SUMIF('외운 것'!A2:A271,A432,'외운 것'!D2:D271)+IF(R432=0,3,IF(R432=1,2,0)),3)</f>
        <v>0</v>
      </c>
      <c r="I432" s="8" cm="1">
        <f t="array" ref="I432">_xlfn.COUNTIFS('외운 것'!A2:A271,A432,'외운 것'!D2:D271,0)</f>
        <v>1</v>
      </c>
      <c r="J432" s="19" cm="1">
        <f t="array" ref="J432">IF(R432&lt;&gt;0,IF(H432&gt;=3,_xlfn.XLOOKUP(A432,'외운 것'!A2:A271,'외운 것'!C2:C271,0,1),0),"3차")</f>
        <v>0</v>
      </c>
      <c r="K432" s="8" cm="1">
        <f t="array" ref="K432">IF(P432&lt;&gt;0,IF(N432&gt;=3,_xlfn.XLOOKUP(A432,'외운 것'!A2:A271,'외운 것'!C2:C271,0,1),0),"1차")</f>
        <v>0</v>
      </c>
      <c r="L432" s="8" cm="1">
        <f t="array" ref="L432">IF(Q432&lt;&gt;0,IF(N432&gt;=3,_xlfn.XLOOKUP(A432,'외운 것'!A2:A271,'외운 것'!C2:C271,0,1),0),"2차")</f>
        <v>0</v>
      </c>
      <c r="M432" s="8" cm="1">
        <f t="array" ref="M432">IF(R432&lt;&gt;0,IF(O432&gt;=3,_xlfn.XLOOKUP(B432,'외운 것'!B2:B271,'외운 것'!D2:D271,0,1),0),"3차")</f>
        <v>0</v>
      </c>
      <c r="N432" s="8">
        <v>0</v>
      </c>
      <c r="O432" s="8">
        <v>3</v>
      </c>
      <c r="P432" s="8">
        <v>2</v>
      </c>
      <c r="Q432" s="8">
        <v>4</v>
      </c>
      <c r="R432" s="8">
        <v>2</v>
      </c>
    </row>
    <row r="433" ht="16" customHeight="1">
      <c r="A433" s="8">
        <v>432</v>
      </c>
      <c r="B433" s="8">
        <v>31</v>
      </c>
      <c r="C433" t="s" s="9">
        <v>1311</v>
      </c>
      <c r="D433" t="s" s="9">
        <v>1311</v>
      </c>
      <c r="E433" t="s" s="9">
        <v>1333</v>
      </c>
      <c r="F433" t="s" s="9">
        <v>1334</v>
      </c>
      <c r="G433" t="s" s="9">
        <v>1335</v>
      </c>
      <c r="H433" s="8" cm="1">
        <f t="array" ref="H433">MIN(SUMIF('외운 것'!A2:A271,A433,'외운 것'!D2:D271)+IF(R433=0,3,IF(R433=1,2,0)),3)</f>
        <v>3</v>
      </c>
      <c r="I433" s="8" cm="1">
        <f t="array" ref="I433">_xlfn.COUNTIFS('외운 것'!A2:A271,A433,'외운 것'!D2:D271,0)</f>
        <v>0</v>
      </c>
      <c r="J433" t="str" s="10" cm="1">
        <f t="array" ref="J433">IF(R433&lt;&gt;0,IF(H433&gt;=3,_xlfn.XLOOKUP(A433,'외운 것'!A2:A271,'외운 것'!C2:C271,0,1),0),"3차")</f>
        <v>3차</v>
      </c>
      <c r="K433" s="8" cm="1">
        <f t="array" ref="K433">IF(P433&lt;&gt;0,IF(N433&gt;=3,_xlfn.XLOOKUP(A433,'외운 것'!A2:A271,'외운 것'!C2:C271,0,1),0),"1차")</f>
        <v>0</v>
      </c>
      <c r="L433" t="str" s="11" cm="1">
        <f t="array" ref="L433">IF(Q433&lt;&gt;0,IF(N433&gt;=3,_xlfn.XLOOKUP(A433,'외운 것'!A2:A271,'외운 것'!C2:C271,0,1),0),"2차")</f>
        <v>2차</v>
      </c>
      <c r="M433" t="str" s="11" cm="1">
        <f t="array" ref="M433">IF(R433&lt;&gt;0,IF(O433&gt;=3,_xlfn.XLOOKUP(B433,'외운 것'!B2:B271,'외운 것'!D2:D271,0,1),0),"3차")</f>
        <v>3차</v>
      </c>
      <c r="N433" s="8">
        <v>2</v>
      </c>
      <c r="O433" s="8">
        <v>3</v>
      </c>
      <c r="P433" s="8">
        <v>1</v>
      </c>
      <c r="Q433" s="8">
        <v>0</v>
      </c>
      <c r="R433" s="8">
        <v>0</v>
      </c>
    </row>
    <row r="434" ht="16" customHeight="1">
      <c r="A434" s="8">
        <v>433</v>
      </c>
      <c r="B434" s="8">
        <v>32</v>
      </c>
      <c r="C434" t="s" s="9">
        <v>1311</v>
      </c>
      <c r="D434" t="s" s="9">
        <v>1311</v>
      </c>
      <c r="E434" t="s" s="9">
        <v>1336</v>
      </c>
      <c r="F434" t="s" s="9">
        <v>1337</v>
      </c>
      <c r="G434" t="s" s="9">
        <v>1338</v>
      </c>
      <c r="H434" s="8" cm="1">
        <f t="array" ref="H434">MIN(SUMIF('외운 것'!A2:A271,A434,'외운 것'!D2:D271)+IF(R434=0,3,IF(R434=1,2,0)),3)</f>
        <v>3</v>
      </c>
      <c r="I434" s="8" cm="1">
        <f t="array" ref="I434">_xlfn.COUNTIFS('외운 것'!A2:A271,A434,'외운 것'!D2:D271,0)</f>
        <v>0</v>
      </c>
      <c r="J434" t="str" s="10" cm="1">
        <f t="array" ref="J434">IF(R434&lt;&gt;0,IF(H434&gt;=3,_xlfn.XLOOKUP(A434,'외운 것'!A2:A271,'외운 것'!C2:C271,0,1),0),"3차")</f>
        <v>3차</v>
      </c>
      <c r="K434" s="8" cm="1">
        <f t="array" ref="K434">IF(P434&lt;&gt;0,IF(N434&gt;=3,_xlfn.XLOOKUP(A434,'외운 것'!A2:A271,'외운 것'!C2:C271,0,1),0),"1차")</f>
        <v>0</v>
      </c>
      <c r="L434" s="8" cm="1">
        <f t="array" ref="L434">IF(Q434&lt;&gt;0,IF(N434&gt;=3,_xlfn.XLOOKUP(A434,'외운 것'!A2:A271,'외운 것'!C2:C271,0,1),0),"2차")</f>
        <v>0</v>
      </c>
      <c r="M434" t="str" s="11" cm="1">
        <f t="array" ref="M434">IF(R434&lt;&gt;0,IF(O434&gt;=3,_xlfn.XLOOKUP(B434,'외운 것'!B2:B271,'외운 것'!D2:D271,0,1),0),"3차")</f>
        <v>3차</v>
      </c>
      <c r="N434" s="8">
        <v>2</v>
      </c>
      <c r="O434" s="8">
        <v>3</v>
      </c>
      <c r="P434" s="8">
        <v>1</v>
      </c>
      <c r="Q434" s="8">
        <v>1</v>
      </c>
      <c r="R434" s="8">
        <v>0</v>
      </c>
    </row>
    <row r="435" ht="16" customHeight="1">
      <c r="A435" s="8">
        <v>434</v>
      </c>
      <c r="B435" s="8">
        <v>33</v>
      </c>
      <c r="C435" t="s" s="9">
        <v>1311</v>
      </c>
      <c r="D435" t="s" s="9">
        <v>1311</v>
      </c>
      <c r="E435" t="s" s="9">
        <v>1339</v>
      </c>
      <c r="F435" t="s" s="9">
        <v>1340</v>
      </c>
      <c r="G435" t="s" s="9">
        <v>1341</v>
      </c>
      <c r="H435" s="8" cm="1">
        <f t="array" ref="H435">MIN(SUMIF('외운 것'!A2:A271,A435,'외운 것'!D2:D271)+IF(R435=0,3,IF(R435=1,2,0)),3)</f>
        <v>3</v>
      </c>
      <c r="I435" s="8" cm="1">
        <f t="array" ref="I435">_xlfn.COUNTIFS('외운 것'!A2:A271,A435,'외운 것'!D2:D271,0)</f>
        <v>0</v>
      </c>
      <c r="J435" t="str" s="10" cm="1">
        <f t="array" ref="J435">IF(R435&lt;&gt;0,IF(H435&gt;=3,_xlfn.XLOOKUP(A435,'외운 것'!A2:A271,'외운 것'!C2:C271,0,1),0),"3차")</f>
        <v>3차</v>
      </c>
      <c r="K435" s="8" cm="1">
        <f t="array" ref="K435">IF(P435&lt;&gt;0,IF(N435&gt;=3,_xlfn.XLOOKUP(A435,'외운 것'!A2:A271,'외운 것'!C2:C271,0,1),0),"1차")</f>
        <v>0</v>
      </c>
      <c r="L435" t="str" s="11" cm="1">
        <f t="array" ref="L435">IF(Q435&lt;&gt;0,IF(N435&gt;=3,_xlfn.XLOOKUP(A435,'외운 것'!A2:A271,'외운 것'!C2:C271,0,1),0),"2차")</f>
        <v>2차</v>
      </c>
      <c r="M435" t="str" s="11" cm="1">
        <f t="array" ref="M435">IF(R435&lt;&gt;0,IF(O435&gt;=3,_xlfn.XLOOKUP(B435,'외운 것'!B2:B271,'외운 것'!D2:D271,0,1),0),"3차")</f>
        <v>3차</v>
      </c>
      <c r="N435" s="8">
        <v>2</v>
      </c>
      <c r="O435" s="8">
        <v>3</v>
      </c>
      <c r="P435" s="8">
        <v>1</v>
      </c>
      <c r="Q435" s="8">
        <v>0</v>
      </c>
      <c r="R435" s="8">
        <v>0</v>
      </c>
    </row>
    <row r="436" ht="16" customHeight="1">
      <c r="A436" s="8">
        <v>435</v>
      </c>
      <c r="B436" s="8">
        <v>1</v>
      </c>
      <c r="C436" t="s" s="9">
        <v>1342</v>
      </c>
      <c r="D436" t="s" s="9">
        <v>1342</v>
      </c>
      <c r="E436" t="s" s="9">
        <v>1343</v>
      </c>
      <c r="F436" t="s" s="9">
        <v>1344</v>
      </c>
      <c r="G436" t="s" s="9">
        <v>1345</v>
      </c>
      <c r="H436" s="8" cm="1">
        <f t="array" ref="H436">MIN(SUMIF('외운 것'!A2:A271,A436,'외운 것'!D2:D271)+IF(R436=0,3,IF(R436=1,2,0)),3)</f>
        <v>3</v>
      </c>
      <c r="I436" s="8" cm="1">
        <f t="array" ref="I436">_xlfn.COUNTIFS('외운 것'!A2:A271,A436,'외운 것'!D2:D271,0)</f>
        <v>0</v>
      </c>
      <c r="J436" t="str" s="10" cm="1">
        <f t="array" ref="J436">IF(R436&lt;&gt;0,IF(H436&gt;=3,_xlfn.XLOOKUP(A436,'외운 것'!A2:A271,'외운 것'!C2:C271,0,1),0),"3차")</f>
        <v>3차</v>
      </c>
      <c r="K436" t="str" s="11" cm="1">
        <f t="array" ref="K436">IF(P436&lt;&gt;0,IF(N436&gt;=3,_xlfn.XLOOKUP(A436,'외운 것'!A2:A271,'외운 것'!C2:C271,0,1),0),"1차")</f>
        <v>1차</v>
      </c>
      <c r="L436" t="str" s="11" cm="1">
        <f t="array" ref="L436">IF(Q436&lt;&gt;0,IF(N436&gt;=3,_xlfn.XLOOKUP(A436,'외운 것'!A2:A271,'외운 것'!C2:C271,0,1),0),"2차")</f>
        <v>2차</v>
      </c>
      <c r="M436" t="str" s="11" cm="1">
        <f t="array" ref="M436">IF(R436&lt;&gt;0,IF(O436&gt;=3,_xlfn.XLOOKUP(B436,'외운 것'!B2:B271,'외운 것'!D2:D271,0,1),0),"3차")</f>
        <v>3차</v>
      </c>
      <c r="N436" s="8">
        <v>3</v>
      </c>
      <c r="O436" s="8">
        <v>3</v>
      </c>
      <c r="P436" s="8">
        <v>0</v>
      </c>
      <c r="Q436" s="8">
        <v>0</v>
      </c>
      <c r="R436" s="8">
        <v>0</v>
      </c>
    </row>
    <row r="437" ht="16" customHeight="1">
      <c r="A437" s="8">
        <v>436</v>
      </c>
      <c r="B437" s="8">
        <v>2</v>
      </c>
      <c r="C437" t="s" s="9">
        <v>1342</v>
      </c>
      <c r="D437" t="s" s="9">
        <v>1342</v>
      </c>
      <c r="E437" t="s" s="9">
        <v>1346</v>
      </c>
      <c r="F437" t="s" s="9">
        <v>1347</v>
      </c>
      <c r="G437" t="s" s="9">
        <v>1348</v>
      </c>
      <c r="H437" s="8" cm="1">
        <f t="array" ref="H437">MIN(SUMIF('외운 것'!A2:A271,A437,'외운 것'!D2:D271)+IF(R437=0,3,IF(R437=1,2,0)),3)</f>
        <v>3</v>
      </c>
      <c r="I437" s="8" cm="1">
        <f t="array" ref="I437">_xlfn.COUNTIFS('외운 것'!A2:A271,A437,'외운 것'!D2:D271,0)</f>
        <v>0</v>
      </c>
      <c r="J437" t="str" s="10" cm="1">
        <f t="array" ref="J437">IF(R437&lt;&gt;0,IF(H437&gt;=3,_xlfn.XLOOKUP(A437,'외운 것'!A2:A271,'외운 것'!C2:C271,0,1),0),"3차")</f>
        <v>3차</v>
      </c>
      <c r="K437" t="str" s="11" cm="1">
        <f t="array" ref="K437">IF(P437&lt;&gt;0,IF(N437&gt;=3,_xlfn.XLOOKUP(A437,'외운 것'!A2:A271,'외운 것'!C2:C271,0,1),0),"1차")</f>
        <v>1차</v>
      </c>
      <c r="L437" t="str" s="11" cm="1">
        <f t="array" ref="L437">IF(Q437&lt;&gt;0,IF(N437&gt;=3,_xlfn.XLOOKUP(A437,'외운 것'!A2:A271,'외운 것'!C2:C271,0,1),0),"2차")</f>
        <v>2차</v>
      </c>
      <c r="M437" t="str" s="11" cm="1">
        <f t="array" ref="M437">IF(R437&lt;&gt;0,IF(O437&gt;=3,_xlfn.XLOOKUP(B437,'외운 것'!B2:B271,'외운 것'!D2:D271,0,1),0),"3차")</f>
        <v>3차</v>
      </c>
      <c r="N437" s="8">
        <v>3</v>
      </c>
      <c r="O437" s="8">
        <v>3</v>
      </c>
      <c r="P437" s="8">
        <v>0</v>
      </c>
      <c r="Q437" s="8">
        <v>0</v>
      </c>
      <c r="R437" s="8">
        <v>0</v>
      </c>
    </row>
    <row r="438" ht="16" customHeight="1">
      <c r="A438" s="8">
        <v>437</v>
      </c>
      <c r="B438" s="8">
        <v>3</v>
      </c>
      <c r="C438" t="s" s="9">
        <v>1342</v>
      </c>
      <c r="D438" t="s" s="9">
        <v>1342</v>
      </c>
      <c r="E438" t="s" s="9">
        <v>1349</v>
      </c>
      <c r="F438" t="s" s="9">
        <v>1350</v>
      </c>
      <c r="G438" t="s" s="9">
        <v>1351</v>
      </c>
      <c r="H438" s="8" cm="1">
        <f t="array" ref="H438">MIN(SUMIF('외운 것'!A2:A271,A438,'외운 것'!D2:D271)+IF(R438=0,3,IF(R438=1,2,0)),3)</f>
        <v>3</v>
      </c>
      <c r="I438" s="8" cm="1">
        <f t="array" ref="I438">_xlfn.COUNTIFS('외운 것'!A2:A271,A438,'외운 것'!D2:D271,0)</f>
        <v>0</v>
      </c>
      <c r="J438" t="str" s="10" cm="1">
        <f t="array" ref="J438">IF(R438&lt;&gt;0,IF(H438&gt;=3,_xlfn.XLOOKUP(A438,'외운 것'!A2:A271,'외운 것'!C2:C271,0,1),0),"3차")</f>
        <v>3차</v>
      </c>
      <c r="K438" t="str" s="11" cm="1">
        <f t="array" ref="K438">IF(P438&lt;&gt;0,IF(N438&gt;=3,_xlfn.XLOOKUP(A438,'외운 것'!A2:A271,'외운 것'!C2:C271,0,1),0),"1차")</f>
        <v>1차</v>
      </c>
      <c r="L438" t="str" s="11" cm="1">
        <f t="array" ref="L438">IF(Q438&lt;&gt;0,IF(N438&gt;=3,_xlfn.XLOOKUP(A438,'외운 것'!A2:A271,'외운 것'!C2:C271,0,1),0),"2차")</f>
        <v>2차</v>
      </c>
      <c r="M438" t="str" s="11" cm="1">
        <f t="array" ref="M438">IF(R438&lt;&gt;0,IF(O438&gt;=3,_xlfn.XLOOKUP(B438,'외운 것'!B2:B271,'외운 것'!D2:D271,0,1),0),"3차")</f>
        <v>3차</v>
      </c>
      <c r="N438" s="8">
        <v>3</v>
      </c>
      <c r="O438" s="8">
        <v>3</v>
      </c>
      <c r="P438" s="8">
        <v>0</v>
      </c>
      <c r="Q438" s="8">
        <v>0</v>
      </c>
      <c r="R438" s="8">
        <v>0</v>
      </c>
    </row>
    <row r="439" ht="16" customHeight="1">
      <c r="A439" s="8">
        <v>438</v>
      </c>
      <c r="B439" s="8">
        <v>4</v>
      </c>
      <c r="C439" t="s" s="9">
        <v>1342</v>
      </c>
      <c r="D439" t="s" s="9">
        <v>1342</v>
      </c>
      <c r="E439" t="s" s="9">
        <v>1352</v>
      </c>
      <c r="F439" t="s" s="9">
        <v>1353</v>
      </c>
      <c r="G439" t="s" s="9">
        <v>1354</v>
      </c>
      <c r="H439" s="8" cm="1">
        <f t="array" ref="H439">MIN(SUMIF('외운 것'!A2:A271,A439,'외운 것'!D2:D271)+IF(R439=0,3,IF(R439=1,2,0)),3)</f>
        <v>3</v>
      </c>
      <c r="I439" s="8" cm="1">
        <f t="array" ref="I439">_xlfn.COUNTIFS('외운 것'!A2:A271,A439,'외운 것'!D2:D271,0)</f>
        <v>0</v>
      </c>
      <c r="J439" t="str" s="10" cm="1">
        <f t="array" ref="J439">IF(R439&lt;&gt;0,IF(H439&gt;=3,_xlfn.XLOOKUP(A439,'외운 것'!A2:A271,'외운 것'!C2:C271,0,1),0),"3차")</f>
        <v>3차</v>
      </c>
      <c r="K439" t="str" s="11" cm="1">
        <f t="array" ref="K439">IF(P439&lt;&gt;0,IF(N439&gt;=3,_xlfn.XLOOKUP(A439,'외운 것'!A2:A271,'외운 것'!C2:C271,0,1),0),"1차")</f>
        <v>1차</v>
      </c>
      <c r="L439" t="str" s="11" cm="1">
        <f t="array" ref="L439">IF(Q439&lt;&gt;0,IF(N439&gt;=3,_xlfn.XLOOKUP(A439,'외운 것'!A2:A271,'외운 것'!C2:C271,0,1),0),"2차")</f>
        <v>2차</v>
      </c>
      <c r="M439" t="str" s="11" cm="1">
        <f t="array" ref="M439">IF(R439&lt;&gt;0,IF(O439&gt;=3,_xlfn.XLOOKUP(B439,'외운 것'!B2:B271,'외운 것'!D2:D271,0,1),0),"3차")</f>
        <v>3차</v>
      </c>
      <c r="N439" s="8">
        <v>3</v>
      </c>
      <c r="O439" s="8">
        <v>3</v>
      </c>
      <c r="P439" s="8">
        <v>0</v>
      </c>
      <c r="Q439" s="8">
        <v>0</v>
      </c>
      <c r="R439" s="8">
        <v>0</v>
      </c>
    </row>
    <row r="440" ht="16" customHeight="1">
      <c r="A440" s="8">
        <v>439</v>
      </c>
      <c r="B440" s="8">
        <v>5</v>
      </c>
      <c r="C440" t="s" s="9">
        <v>1342</v>
      </c>
      <c r="D440" t="s" s="9">
        <v>1342</v>
      </c>
      <c r="E440" t="s" s="9">
        <v>1355</v>
      </c>
      <c r="F440" t="s" s="9">
        <v>1356</v>
      </c>
      <c r="G440" t="s" s="9">
        <v>1357</v>
      </c>
      <c r="H440" s="8" cm="1">
        <f t="array" ref="H440">MIN(SUMIF('외운 것'!A2:A271,A440,'외운 것'!D2:D271)+IF(R440=0,3,IF(R440=1,2,0)),3)</f>
        <v>3</v>
      </c>
      <c r="I440" s="8" cm="1">
        <f t="array" ref="I440">_xlfn.COUNTIFS('외운 것'!A2:A271,A440,'외운 것'!D2:D271,0)</f>
        <v>0</v>
      </c>
      <c r="J440" t="str" s="10" cm="1">
        <f t="array" ref="J440">IF(R440&lt;&gt;0,IF(H440&gt;=3,_xlfn.XLOOKUP(A440,'외운 것'!A2:A271,'외운 것'!C2:C271,0,1),0),"3차")</f>
        <v>3차</v>
      </c>
      <c r="K440" t="str" s="11" cm="1">
        <f t="array" ref="K440">IF(P440&lt;&gt;0,IF(N440&gt;=3,_xlfn.XLOOKUP(A440,'외운 것'!A2:A271,'외운 것'!C2:C271,0,1),0),"1차")</f>
        <v>1차</v>
      </c>
      <c r="L440" t="str" s="11" cm="1">
        <f t="array" ref="L440">IF(Q440&lt;&gt;0,IF(N440&gt;=3,_xlfn.XLOOKUP(A440,'외운 것'!A2:A271,'외운 것'!C2:C271,0,1),0),"2차")</f>
        <v>2차</v>
      </c>
      <c r="M440" t="str" s="11" cm="1">
        <f t="array" ref="M440">IF(R440&lt;&gt;0,IF(O440&gt;=3,_xlfn.XLOOKUP(B440,'외운 것'!B2:B271,'외운 것'!D2:D271,0,1),0),"3차")</f>
        <v>3차</v>
      </c>
      <c r="N440" s="8">
        <v>3</v>
      </c>
      <c r="O440" s="8">
        <v>3</v>
      </c>
      <c r="P440" s="8">
        <v>0</v>
      </c>
      <c r="Q440" s="8">
        <v>0</v>
      </c>
      <c r="R440" s="8">
        <v>0</v>
      </c>
    </row>
    <row r="441" ht="16" customHeight="1">
      <c r="A441" s="8">
        <v>440</v>
      </c>
      <c r="B441" s="8">
        <v>6</v>
      </c>
      <c r="C441" t="s" s="9">
        <v>1342</v>
      </c>
      <c r="D441" t="s" s="9">
        <v>1342</v>
      </c>
      <c r="E441" t="s" s="9">
        <v>1358</v>
      </c>
      <c r="F441" t="s" s="9">
        <v>1359</v>
      </c>
      <c r="G441" t="s" s="9">
        <v>1360</v>
      </c>
      <c r="H441" s="8" cm="1">
        <f t="array" ref="H441">MIN(SUMIF('외운 것'!A2:A271,A441,'외운 것'!D2:D271)+IF(R441=0,3,IF(R441=1,2,0)),3)</f>
        <v>3</v>
      </c>
      <c r="I441" s="8" cm="1">
        <f t="array" ref="I441">_xlfn.COUNTIFS('외운 것'!A2:A271,A441,'외운 것'!D2:D271,0)</f>
        <v>0</v>
      </c>
      <c r="J441" t="str" s="10" cm="1">
        <f t="array" ref="J441">IF(R441&lt;&gt;0,IF(H441&gt;=3,_xlfn.XLOOKUP(A441,'외운 것'!A2:A271,'외운 것'!C2:C271,0,1),0),"3차")</f>
        <v>3차</v>
      </c>
      <c r="K441" t="str" s="11" cm="1">
        <f t="array" ref="K441">IF(P441&lt;&gt;0,IF(N441&gt;=3,_xlfn.XLOOKUP(A441,'외운 것'!A2:A271,'외운 것'!C2:C271,0,1),0),"1차")</f>
        <v>1차</v>
      </c>
      <c r="L441" t="str" s="11" cm="1">
        <f t="array" ref="L441">IF(Q441&lt;&gt;0,IF(N441&gt;=3,_xlfn.XLOOKUP(A441,'외운 것'!A2:A271,'외운 것'!C2:C271,0,1),0),"2차")</f>
        <v>2차</v>
      </c>
      <c r="M441" t="str" s="11" cm="1">
        <f t="array" ref="M441">IF(R441&lt;&gt;0,IF(O441&gt;=3,_xlfn.XLOOKUP(B441,'외운 것'!B2:B271,'외운 것'!D2:D271,0,1),0),"3차")</f>
        <v>3차</v>
      </c>
      <c r="N441" s="8">
        <v>3</v>
      </c>
      <c r="O441" s="8">
        <v>3</v>
      </c>
      <c r="P441" s="8">
        <v>0</v>
      </c>
      <c r="Q441" s="8">
        <v>0</v>
      </c>
      <c r="R441" s="8">
        <v>0</v>
      </c>
    </row>
    <row r="442" ht="16" customHeight="1">
      <c r="A442" s="8">
        <v>441</v>
      </c>
      <c r="B442" s="8">
        <v>7</v>
      </c>
      <c r="C442" t="s" s="9">
        <v>1342</v>
      </c>
      <c r="D442" t="s" s="9">
        <v>1342</v>
      </c>
      <c r="E442" t="s" s="9">
        <v>1361</v>
      </c>
      <c r="F442" t="s" s="9">
        <v>1362</v>
      </c>
      <c r="G442" t="s" s="9">
        <v>1363</v>
      </c>
      <c r="H442" s="8" cm="1">
        <f t="array" ref="H442">MIN(SUMIF('외운 것'!A2:A271,A442,'외운 것'!D2:D271)+IF(R442=0,3,IF(R442=1,2,0)),3)</f>
        <v>3</v>
      </c>
      <c r="I442" s="8" cm="1">
        <f t="array" ref="I442">_xlfn.COUNTIFS('외운 것'!A2:A271,A442,'외운 것'!D2:D271,0)</f>
        <v>0</v>
      </c>
      <c r="J442" t="str" s="10" cm="1">
        <f t="array" ref="J442">IF(R442&lt;&gt;0,IF(H442&gt;=3,_xlfn.XLOOKUP(A442,'외운 것'!A2:A271,'외운 것'!C2:C271,0,1),0),"3차")</f>
        <v>3차</v>
      </c>
      <c r="K442" t="str" s="11" cm="1">
        <f t="array" ref="K442">IF(P442&lt;&gt;0,IF(N442&gt;=3,_xlfn.XLOOKUP(A442,'외운 것'!A2:A271,'외운 것'!C2:C271,0,1),0),"1차")</f>
        <v>1차</v>
      </c>
      <c r="L442" t="str" s="11" cm="1">
        <f t="array" ref="L442">IF(Q442&lt;&gt;0,IF(N442&gt;=3,_xlfn.XLOOKUP(A442,'외운 것'!A2:A271,'외운 것'!C2:C271,0,1),0),"2차")</f>
        <v>2차</v>
      </c>
      <c r="M442" t="str" s="11" cm="1">
        <f t="array" ref="M442">IF(R442&lt;&gt;0,IF(O442&gt;=3,_xlfn.XLOOKUP(B442,'외운 것'!B2:B271,'외운 것'!D2:D271,0,1),0),"3차")</f>
        <v>3차</v>
      </c>
      <c r="N442" s="8">
        <v>3</v>
      </c>
      <c r="O442" s="8">
        <v>3</v>
      </c>
      <c r="P442" s="8">
        <v>0</v>
      </c>
      <c r="Q442" s="8">
        <v>0</v>
      </c>
      <c r="R442" s="8">
        <v>0</v>
      </c>
    </row>
    <row r="443" ht="16" customHeight="1">
      <c r="A443" s="8">
        <v>442</v>
      </c>
      <c r="B443" s="8">
        <v>8</v>
      </c>
      <c r="C443" t="s" s="9">
        <v>1342</v>
      </c>
      <c r="D443" t="s" s="9">
        <v>1342</v>
      </c>
      <c r="E443" t="s" s="9">
        <v>1364</v>
      </c>
      <c r="F443" t="s" s="9">
        <v>1365</v>
      </c>
      <c r="G443" t="s" s="9">
        <v>1366</v>
      </c>
      <c r="H443" s="8" cm="1">
        <f t="array" ref="H443">MIN(SUMIF('외운 것'!A2:A271,A443,'외운 것'!D2:D271)+IF(R443=0,3,IF(R443=1,2,0)),3)</f>
        <v>3</v>
      </c>
      <c r="I443" s="8" cm="1">
        <f t="array" ref="I443">_xlfn.COUNTIFS('외운 것'!A2:A271,A443,'외운 것'!D2:D271,0)</f>
        <v>0</v>
      </c>
      <c r="J443" t="str" s="10" cm="1">
        <f t="array" ref="J443">IF(R443&lt;&gt;0,IF(H443&gt;=3,_xlfn.XLOOKUP(A443,'외운 것'!A2:A271,'외운 것'!C2:C271,0,1),0),"3차")</f>
        <v>3차</v>
      </c>
      <c r="K443" t="str" s="11" cm="1">
        <f t="array" ref="K443">IF(P443&lt;&gt;0,IF(N443&gt;=3,_xlfn.XLOOKUP(A443,'외운 것'!A2:A271,'외운 것'!C2:C271,0,1),0),"1차")</f>
        <v>1차</v>
      </c>
      <c r="L443" t="str" s="11" cm="1">
        <f t="array" ref="L443">IF(Q443&lt;&gt;0,IF(N443&gt;=3,_xlfn.XLOOKUP(A443,'외운 것'!A2:A271,'외운 것'!C2:C271,0,1),0),"2차")</f>
        <v>2차</v>
      </c>
      <c r="M443" t="str" s="11" cm="1">
        <f t="array" ref="M443">IF(R443&lt;&gt;0,IF(O443&gt;=3,_xlfn.XLOOKUP(B443,'외운 것'!B2:B271,'외운 것'!D2:D271,0,1),0),"3차")</f>
        <v>3차</v>
      </c>
      <c r="N443" s="8">
        <v>3</v>
      </c>
      <c r="O443" s="8">
        <v>3</v>
      </c>
      <c r="P443" s="8">
        <v>0</v>
      </c>
      <c r="Q443" s="8">
        <v>0</v>
      </c>
      <c r="R443" s="8">
        <v>0</v>
      </c>
    </row>
    <row r="444" ht="16" customHeight="1">
      <c r="A444" s="8">
        <v>443</v>
      </c>
      <c r="B444" s="8">
        <v>9</v>
      </c>
      <c r="C444" t="s" s="9">
        <v>1342</v>
      </c>
      <c r="D444" t="s" s="9">
        <v>1342</v>
      </c>
      <c r="E444" t="s" s="9">
        <v>1367</v>
      </c>
      <c r="F444" t="s" s="9">
        <v>1368</v>
      </c>
      <c r="G444" t="s" s="9">
        <v>1369</v>
      </c>
      <c r="H444" s="8" cm="1">
        <f t="array" ref="H444">MIN(SUMIF('외운 것'!A2:A271,A444,'외운 것'!D2:D271)+IF(R444=0,3,IF(R444=1,2,0)),3)</f>
        <v>3</v>
      </c>
      <c r="I444" s="8" cm="1">
        <f t="array" ref="I444">_xlfn.COUNTIFS('외운 것'!A2:A271,A444,'외운 것'!D2:D271,0)</f>
        <v>0</v>
      </c>
      <c r="J444" t="str" s="10" cm="1">
        <f t="array" ref="J444">IF(R444&lt;&gt;0,IF(H444&gt;=3,_xlfn.XLOOKUP(A444,'외운 것'!A2:A271,'외운 것'!C2:C271,0,1),0),"3차")</f>
        <v>3차</v>
      </c>
      <c r="K444" t="str" s="11" cm="1">
        <f t="array" ref="K444">IF(P444&lt;&gt;0,IF(N444&gt;=3,_xlfn.XLOOKUP(A444,'외운 것'!A2:A271,'외운 것'!C2:C271,0,1),0),"1차")</f>
        <v>1차</v>
      </c>
      <c r="L444" t="str" s="11" cm="1">
        <f t="array" ref="L444">IF(Q444&lt;&gt;0,IF(N444&gt;=3,_xlfn.XLOOKUP(A444,'외운 것'!A2:A271,'외운 것'!C2:C271,0,1),0),"2차")</f>
        <v>2차</v>
      </c>
      <c r="M444" t="str" s="11" cm="1">
        <f t="array" ref="M444">IF(R444&lt;&gt;0,IF(O444&gt;=3,_xlfn.XLOOKUP(B444,'외운 것'!B2:B271,'외운 것'!D2:D271,0,1),0),"3차")</f>
        <v>3차</v>
      </c>
      <c r="N444" s="8">
        <v>3</v>
      </c>
      <c r="O444" s="8">
        <v>3</v>
      </c>
      <c r="P444" s="8">
        <v>0</v>
      </c>
      <c r="Q444" s="8">
        <v>0</v>
      </c>
      <c r="R444" s="8">
        <v>0</v>
      </c>
    </row>
    <row r="445" ht="16" customHeight="1">
      <c r="A445" s="8">
        <v>444</v>
      </c>
      <c r="B445" s="8">
        <v>10</v>
      </c>
      <c r="C445" t="s" s="9">
        <v>1342</v>
      </c>
      <c r="D445" t="s" s="9">
        <v>1342</v>
      </c>
      <c r="E445" t="s" s="9">
        <v>1370</v>
      </c>
      <c r="F445" t="s" s="9">
        <v>1371</v>
      </c>
      <c r="G445" t="s" s="9">
        <v>1372</v>
      </c>
      <c r="H445" s="8" cm="1">
        <f t="array" ref="H445">MIN(SUMIF('외운 것'!A2:A271,A445,'외운 것'!D2:D271)+IF(R445=0,3,IF(R445=1,2,0)),3)</f>
        <v>3</v>
      </c>
      <c r="I445" s="8" cm="1">
        <f t="array" ref="I445">_xlfn.COUNTIFS('외운 것'!A2:A271,A445,'외운 것'!D2:D271,0)</f>
        <v>0</v>
      </c>
      <c r="J445" t="str" s="10" cm="1">
        <f t="array" ref="J445">IF(R445&lt;&gt;0,IF(H445&gt;=3,_xlfn.XLOOKUP(A445,'외운 것'!A2:A271,'외운 것'!C2:C271,0,1),0),"3차")</f>
        <v>3차</v>
      </c>
      <c r="K445" t="str" s="11" cm="1">
        <f t="array" ref="K445">IF(P445&lt;&gt;0,IF(N445&gt;=3,_xlfn.XLOOKUP(A445,'외운 것'!A2:A271,'외운 것'!C2:C271,0,1),0),"1차")</f>
        <v>1차</v>
      </c>
      <c r="L445" t="str" s="11" cm="1">
        <f t="array" ref="L445">IF(Q445&lt;&gt;0,IF(N445&gt;=3,_xlfn.XLOOKUP(A445,'외운 것'!A2:A271,'외운 것'!C2:C271,0,1),0),"2차")</f>
        <v>2차</v>
      </c>
      <c r="M445" t="str" s="11" cm="1">
        <f t="array" ref="M445">IF(R445&lt;&gt;0,IF(O445&gt;=3,_xlfn.XLOOKUP(B445,'외운 것'!B2:B271,'외운 것'!D2:D271,0,1),0),"3차")</f>
        <v>3차</v>
      </c>
      <c r="N445" s="8">
        <v>3</v>
      </c>
      <c r="O445" s="8">
        <v>3</v>
      </c>
      <c r="P445" s="8">
        <v>0</v>
      </c>
      <c r="Q445" s="8">
        <v>0</v>
      </c>
      <c r="R445" s="8">
        <v>0</v>
      </c>
    </row>
    <row r="446" ht="16" customHeight="1">
      <c r="A446" s="8">
        <v>445</v>
      </c>
      <c r="B446" s="8">
        <v>11</v>
      </c>
      <c r="C446" t="s" s="9">
        <v>1342</v>
      </c>
      <c r="D446" t="s" s="9">
        <v>1342</v>
      </c>
      <c r="E446" t="s" s="9">
        <v>1373</v>
      </c>
      <c r="F446" t="s" s="9">
        <v>1374</v>
      </c>
      <c r="G446" t="s" s="9">
        <v>1375</v>
      </c>
      <c r="H446" s="8" cm="1">
        <f t="array" ref="H446">MIN(SUMIF('외운 것'!A2:A271,A446,'외운 것'!D2:D271)+IF(R446=0,3,IF(R446=1,2,0)),3)</f>
        <v>3</v>
      </c>
      <c r="I446" s="8" cm="1">
        <f t="array" ref="I446">_xlfn.COUNTIFS('외운 것'!A2:A271,A446,'외운 것'!D2:D271,0)</f>
        <v>0</v>
      </c>
      <c r="J446" t="str" s="10" cm="1">
        <f t="array" ref="J446">IF(R446&lt;&gt;0,IF(H446&gt;=3,_xlfn.XLOOKUP(A446,'외운 것'!A2:A271,'외운 것'!C2:C271,0,1),0),"3차")</f>
        <v>3차</v>
      </c>
      <c r="K446" t="str" s="11" cm="1">
        <f t="array" ref="K446">IF(P446&lt;&gt;0,IF(N446&gt;=3,_xlfn.XLOOKUP(A446,'외운 것'!A2:A271,'외운 것'!C2:C271,0,1),0),"1차")</f>
        <v>1차</v>
      </c>
      <c r="L446" t="str" s="11" cm="1">
        <f t="array" ref="L446">IF(Q446&lt;&gt;0,IF(N446&gt;=3,_xlfn.XLOOKUP(A446,'외운 것'!A2:A271,'외운 것'!C2:C271,0,1),0),"2차")</f>
        <v>2차</v>
      </c>
      <c r="M446" t="str" s="11" cm="1">
        <f t="array" ref="M446">IF(R446&lt;&gt;0,IF(O446&gt;=3,_xlfn.XLOOKUP(B446,'외운 것'!B2:B271,'외운 것'!D2:D271,0,1),0),"3차")</f>
        <v>3차</v>
      </c>
      <c r="N446" s="8">
        <v>3</v>
      </c>
      <c r="O446" s="8">
        <v>3</v>
      </c>
      <c r="P446" s="8">
        <v>0</v>
      </c>
      <c r="Q446" s="8">
        <v>0</v>
      </c>
      <c r="R446" s="8">
        <v>0</v>
      </c>
    </row>
    <row r="447" ht="16" customHeight="1">
      <c r="A447" s="8">
        <v>446</v>
      </c>
      <c r="B447" s="8">
        <v>12</v>
      </c>
      <c r="C447" t="s" s="9">
        <v>1342</v>
      </c>
      <c r="D447" t="s" s="9">
        <v>1342</v>
      </c>
      <c r="E447" t="s" s="9">
        <v>1376</v>
      </c>
      <c r="F447" t="s" s="9">
        <v>1377</v>
      </c>
      <c r="G447" t="s" s="9">
        <v>1378</v>
      </c>
      <c r="H447" s="8" cm="1">
        <f t="array" ref="H447">MIN(SUMIF('외운 것'!A2:A271,A447,'외운 것'!D2:D271)+IF(R447=0,3,IF(R447=1,2,0)),3)</f>
        <v>3</v>
      </c>
      <c r="I447" s="8" cm="1">
        <f t="array" ref="I447">_xlfn.COUNTIFS('외운 것'!A2:A271,A447,'외운 것'!D2:D271,0)</f>
        <v>0</v>
      </c>
      <c r="J447" t="str" s="10" cm="1">
        <f t="array" ref="J447">IF(R447&lt;&gt;0,IF(H447&gt;=3,_xlfn.XLOOKUP(A447,'외운 것'!A2:A271,'외운 것'!C2:C271,0,1),0),"3차")</f>
        <v>3차</v>
      </c>
      <c r="K447" t="str" s="11" cm="1">
        <f t="array" ref="K447">IF(P447&lt;&gt;0,IF(N447&gt;=3,_xlfn.XLOOKUP(A447,'외운 것'!A2:A271,'외운 것'!C2:C271,0,1),0),"1차")</f>
        <v>1차</v>
      </c>
      <c r="L447" t="str" s="11" cm="1">
        <f t="array" ref="L447">IF(Q447&lt;&gt;0,IF(N447&gt;=3,_xlfn.XLOOKUP(A447,'외운 것'!A2:A271,'외운 것'!C2:C271,0,1),0),"2차")</f>
        <v>2차</v>
      </c>
      <c r="M447" t="str" s="11" cm="1">
        <f t="array" ref="M447">IF(R447&lt;&gt;0,IF(O447&gt;=3,_xlfn.XLOOKUP(B447,'외운 것'!B2:B271,'외운 것'!D2:D271,0,1),0),"3차")</f>
        <v>3차</v>
      </c>
      <c r="N447" s="8">
        <v>3</v>
      </c>
      <c r="O447" s="8">
        <v>3</v>
      </c>
      <c r="P447" s="8">
        <v>0</v>
      </c>
      <c r="Q447" s="8">
        <v>0</v>
      </c>
      <c r="R447" s="8">
        <v>0</v>
      </c>
    </row>
    <row r="448" ht="16" customHeight="1">
      <c r="A448" s="8">
        <v>447</v>
      </c>
      <c r="B448" s="8">
        <v>13</v>
      </c>
      <c r="C448" t="s" s="9">
        <v>1342</v>
      </c>
      <c r="D448" t="s" s="9">
        <v>1342</v>
      </c>
      <c r="E448" t="s" s="9">
        <v>1379</v>
      </c>
      <c r="F448" t="s" s="9">
        <v>1380</v>
      </c>
      <c r="G448" t="s" s="9">
        <v>1381</v>
      </c>
      <c r="H448" s="8" cm="1">
        <f t="array" ref="H448">MIN(SUMIF('외운 것'!A2:A271,A448,'외운 것'!D2:D271)+IF(R448=0,3,IF(R448=1,2,0)),3)</f>
        <v>3</v>
      </c>
      <c r="I448" s="8" cm="1">
        <f t="array" ref="I448">_xlfn.COUNTIFS('외운 것'!A2:A271,A448,'외운 것'!D2:D271,0)</f>
        <v>0</v>
      </c>
      <c r="J448" t="str" s="10" cm="1">
        <f t="array" ref="J448">IF(R448&lt;&gt;0,IF(H448&gt;=3,_xlfn.XLOOKUP(A448,'외운 것'!A2:A271,'외운 것'!C2:C271,0,1),0),"3차")</f>
        <v>3차</v>
      </c>
      <c r="K448" s="8" cm="1">
        <f t="array" ref="K448">IF(P448&lt;&gt;0,IF(N448&gt;=3,_xlfn.XLOOKUP(A448,'외운 것'!A2:A271,'외운 것'!C2:C271,0,1),0),"1차")</f>
        <v>0</v>
      </c>
      <c r="L448" s="8" cm="1">
        <f t="array" ref="L448">IF(Q448&lt;&gt;0,IF(N448&gt;=3,_xlfn.XLOOKUP(A448,'외운 것'!A2:A271,'외운 것'!C2:C271,0,1),0),"2차")</f>
        <v>0</v>
      </c>
      <c r="M448" t="str" s="11" cm="1">
        <f t="array" ref="M448">IF(R448&lt;&gt;0,IF(O448&gt;=3,_xlfn.XLOOKUP(B448,'외운 것'!B2:B271,'외운 것'!D2:D271,0,1),0),"3차")</f>
        <v>3차</v>
      </c>
      <c r="N448" s="8">
        <v>0</v>
      </c>
      <c r="O448" s="8">
        <v>3</v>
      </c>
      <c r="P448" s="8">
        <v>3</v>
      </c>
      <c r="Q448" s="8">
        <v>1</v>
      </c>
      <c r="R448" s="8">
        <v>0</v>
      </c>
    </row>
    <row r="449" ht="16" customHeight="1">
      <c r="A449" s="8">
        <v>448</v>
      </c>
      <c r="B449" s="8">
        <v>14</v>
      </c>
      <c r="C449" t="s" s="9">
        <v>1342</v>
      </c>
      <c r="D449" t="s" s="9">
        <v>1342</v>
      </c>
      <c r="E449" t="s" s="9">
        <v>1382</v>
      </c>
      <c r="F449" t="s" s="9">
        <v>1383</v>
      </c>
      <c r="G449" t="s" s="9">
        <v>1384</v>
      </c>
      <c r="H449" s="8" cm="1">
        <f t="array" ref="H449">MIN(SUMIF('외운 것'!A2:A271,A449,'외운 것'!D2:D271)+IF(R449=0,3,IF(R449=1,2,0)),3)</f>
        <v>3</v>
      </c>
      <c r="I449" s="8" cm="1">
        <f t="array" ref="I449">_xlfn.COUNTIFS('외운 것'!A2:A271,A449,'외운 것'!D2:D271,0)</f>
        <v>0</v>
      </c>
      <c r="J449" t="str" s="10" cm="1">
        <f t="array" ref="J449">IF(R449&lt;&gt;0,IF(H449&gt;=3,_xlfn.XLOOKUP(A449,'외운 것'!A2:A271,'외운 것'!C2:C271,0,1),0),"3차")</f>
        <v>3차</v>
      </c>
      <c r="K449" s="8" cm="1">
        <f t="array" ref="K449">IF(P449&lt;&gt;0,IF(N449&gt;=3,_xlfn.XLOOKUP(A449,'외운 것'!A2:A271,'외운 것'!C2:C271,0,1),0),"1차")</f>
        <v>0</v>
      </c>
      <c r="L449" s="8" cm="1">
        <f t="array" ref="L449">IF(Q449&lt;&gt;0,IF(N449&gt;=3,_xlfn.XLOOKUP(A449,'외운 것'!A2:A271,'외운 것'!C2:C271,0,1),0),"2차")</f>
        <v>0</v>
      </c>
      <c r="M449" t="str" s="11" cm="1">
        <f t="array" ref="M449">IF(R449&lt;&gt;0,IF(O449&gt;=3,_xlfn.XLOOKUP(B449,'외운 것'!B2:B271,'외운 것'!D2:D271,0,1),0),"3차")</f>
        <v>3차</v>
      </c>
      <c r="N449" s="8">
        <v>0</v>
      </c>
      <c r="O449" s="8">
        <v>3</v>
      </c>
      <c r="P449" s="8">
        <v>5</v>
      </c>
      <c r="Q449" s="8">
        <v>2</v>
      </c>
      <c r="R449" s="8">
        <v>0</v>
      </c>
    </row>
    <row r="450" ht="16" customHeight="1">
      <c r="A450" s="8">
        <v>449</v>
      </c>
      <c r="B450" s="8">
        <v>15</v>
      </c>
      <c r="C450" t="s" s="9">
        <v>1342</v>
      </c>
      <c r="D450" t="s" s="9">
        <v>1342</v>
      </c>
      <c r="E450" t="s" s="9">
        <v>1385</v>
      </c>
      <c r="F450" t="s" s="9">
        <v>1386</v>
      </c>
      <c r="G450" t="s" s="9">
        <v>1387</v>
      </c>
      <c r="H450" s="8" cm="1">
        <f t="array" ref="H450">MIN(SUMIF('외운 것'!A2:A271,A450,'외운 것'!D2:D271)+IF(R450=0,3,IF(R450=1,2,0)),3)</f>
        <v>3</v>
      </c>
      <c r="I450" s="8" cm="1">
        <f t="array" ref="I450">_xlfn.COUNTIFS('외운 것'!A2:A271,A450,'외운 것'!D2:D271,0)</f>
        <v>0</v>
      </c>
      <c r="J450" t="str" s="10" cm="1">
        <f t="array" ref="J450">IF(R450&lt;&gt;0,IF(H450&gt;=3,_xlfn.XLOOKUP(A450,'외운 것'!A2:A271,'외운 것'!C2:C271,0,1),0),"3차")</f>
        <v>3차</v>
      </c>
      <c r="K450" s="8" cm="1">
        <f t="array" ref="K450">IF(P450&lt;&gt;0,IF(N450&gt;=3,_xlfn.XLOOKUP(A450,'외운 것'!A2:A271,'외운 것'!C2:C271,0,1),0),"1차")</f>
        <v>0</v>
      </c>
      <c r="L450" s="8" cm="1">
        <f t="array" ref="L450">IF(Q450&lt;&gt;0,IF(N450&gt;=3,_xlfn.XLOOKUP(A450,'외운 것'!A2:A271,'외운 것'!C2:C271,0,1),0),"2차")</f>
        <v>0</v>
      </c>
      <c r="M450" t="str" s="11" cm="1">
        <f t="array" ref="M450">IF(R450&lt;&gt;0,IF(O450&gt;=3,_xlfn.XLOOKUP(B450,'외운 것'!B2:B271,'외운 것'!D2:D271,0,1),0),"3차")</f>
        <v>3차</v>
      </c>
      <c r="N450" s="8">
        <v>2</v>
      </c>
      <c r="O450" s="8">
        <v>3</v>
      </c>
      <c r="P450" s="8">
        <v>1</v>
      </c>
      <c r="Q450" s="8">
        <v>4</v>
      </c>
      <c r="R450" s="8">
        <v>0</v>
      </c>
    </row>
    <row r="451" ht="16" customHeight="1">
      <c r="A451" s="8">
        <v>450</v>
      </c>
      <c r="B451" s="8">
        <v>16</v>
      </c>
      <c r="C451" t="s" s="9">
        <v>1342</v>
      </c>
      <c r="D451" t="s" s="9">
        <v>1342</v>
      </c>
      <c r="E451" t="s" s="9">
        <v>1388</v>
      </c>
      <c r="F451" t="s" s="9">
        <v>1389</v>
      </c>
      <c r="G451" t="s" s="9">
        <v>1390</v>
      </c>
      <c r="H451" s="8" cm="1">
        <f t="array" ref="H451">MIN(SUMIF('외운 것'!A2:A271,A451,'외운 것'!D2:D271)+IF(R451=0,3,IF(R451=1,2,0)),3)</f>
        <v>3</v>
      </c>
      <c r="I451" s="8" cm="1">
        <f t="array" ref="I451">_xlfn.COUNTIFS('외운 것'!A2:A271,A451,'외운 것'!D2:D271,0)</f>
        <v>0</v>
      </c>
      <c r="J451" t="str" s="10" cm="1">
        <f t="array" ref="J451">IF(R451&lt;&gt;0,IF(H451&gt;=3,_xlfn.XLOOKUP(A451,'외운 것'!A2:A271,'외운 것'!C2:C271,0,1),0),"3차")</f>
        <v>3차</v>
      </c>
      <c r="K451" s="8" cm="1">
        <f t="array" ref="K451">IF(P451&lt;&gt;0,IF(N451&gt;=3,_xlfn.XLOOKUP(A451,'외운 것'!A2:A271,'외운 것'!C2:C271,0,1),0),"1차")</f>
        <v>0</v>
      </c>
      <c r="L451" t="str" s="11" cm="1">
        <f t="array" ref="L451">IF(Q451&lt;&gt;0,IF(N451&gt;=3,_xlfn.XLOOKUP(A451,'외운 것'!A2:A271,'외운 것'!C2:C271,0,1),0),"2차")</f>
        <v>2차</v>
      </c>
      <c r="M451" t="str" s="11" cm="1">
        <f t="array" ref="M451">IF(R451&lt;&gt;0,IF(O451&gt;=3,_xlfn.XLOOKUP(B451,'외운 것'!B2:B271,'외운 것'!D2:D271,0,1),0),"3차")</f>
        <v>3차</v>
      </c>
      <c r="N451" s="8">
        <v>0</v>
      </c>
      <c r="O451" s="8">
        <v>3</v>
      </c>
      <c r="P451" s="8">
        <v>2</v>
      </c>
      <c r="Q451" s="8">
        <v>0</v>
      </c>
      <c r="R451" s="8">
        <v>0</v>
      </c>
    </row>
    <row r="452" ht="16" customHeight="1">
      <c r="A452" s="8">
        <v>451</v>
      </c>
      <c r="B452" s="8">
        <v>17</v>
      </c>
      <c r="C452" t="s" s="9">
        <v>1342</v>
      </c>
      <c r="D452" t="s" s="9">
        <v>1342</v>
      </c>
      <c r="E452" t="s" s="9">
        <v>1391</v>
      </c>
      <c r="F452" t="s" s="9">
        <v>1392</v>
      </c>
      <c r="G452" t="s" s="9">
        <v>1393</v>
      </c>
      <c r="H452" s="8" cm="1">
        <f t="array" ref="H452">MIN(SUMIF('외운 것'!A2:A271,A452,'외운 것'!D2:D271)+IF(R452=0,3,IF(R452=1,2,0)),3)</f>
        <v>3</v>
      </c>
      <c r="I452" s="8" cm="1">
        <f t="array" ref="I452">_xlfn.COUNTIFS('외운 것'!A2:A271,A452,'외운 것'!D2:D271,0)</f>
        <v>0</v>
      </c>
      <c r="J452" t="str" s="10" cm="1">
        <f t="array" ref="J452">IF(R452&lt;&gt;0,IF(H452&gt;=3,_xlfn.XLOOKUP(A452,'외운 것'!A2:A271,'외운 것'!C2:C271,0,1),0),"3차")</f>
        <v>3차</v>
      </c>
      <c r="K452" s="8" cm="1">
        <f t="array" ref="K452">IF(P452&lt;&gt;0,IF(N452&gt;=3,_xlfn.XLOOKUP(A452,'외운 것'!A2:A271,'외운 것'!C2:C271,0,1),0),"1차")</f>
        <v>0</v>
      </c>
      <c r="L452" t="str" s="11" cm="1">
        <f t="array" ref="L452">IF(Q452&lt;&gt;0,IF(N452&gt;=3,_xlfn.XLOOKUP(A452,'외운 것'!A2:A271,'외운 것'!C2:C271,0,1),0),"2차")</f>
        <v>2차</v>
      </c>
      <c r="M452" t="str" s="11" cm="1">
        <f t="array" ref="M452">IF(R452&lt;&gt;0,IF(O452&gt;=3,_xlfn.XLOOKUP(B452,'외운 것'!B2:B271,'외운 것'!D2:D271,0,1),0),"3차")</f>
        <v>3차</v>
      </c>
      <c r="N452" s="8">
        <v>2</v>
      </c>
      <c r="O452" s="8">
        <v>3</v>
      </c>
      <c r="P452" s="8">
        <v>1</v>
      </c>
      <c r="Q452" s="8">
        <v>0</v>
      </c>
      <c r="R452" s="8">
        <v>0</v>
      </c>
    </row>
    <row r="453" ht="16" customHeight="1">
      <c r="A453" s="8">
        <v>452</v>
      </c>
      <c r="B453" s="8">
        <v>18</v>
      </c>
      <c r="C453" t="s" s="9">
        <v>1342</v>
      </c>
      <c r="D453" t="s" s="9">
        <v>1342</v>
      </c>
      <c r="E453" t="s" s="9">
        <v>1394</v>
      </c>
      <c r="F453" t="s" s="9">
        <v>1395</v>
      </c>
      <c r="G453" t="s" s="9">
        <v>1396</v>
      </c>
      <c r="H453" s="8" cm="1">
        <f t="array" ref="H453">MIN(SUMIF('외운 것'!A2:A271,A453,'외운 것'!D2:D271)+IF(R453=0,3,IF(R453=1,2,0)),3)</f>
        <v>3</v>
      </c>
      <c r="I453" s="8" cm="1">
        <f t="array" ref="I453">_xlfn.COUNTIFS('외운 것'!A2:A271,A453,'외운 것'!D2:D271,0)</f>
        <v>0</v>
      </c>
      <c r="J453" t="str" s="10" cm="1">
        <f t="array" ref="J453">IF(R453&lt;&gt;0,IF(H453&gt;=3,_xlfn.XLOOKUP(A453,'외운 것'!A2:A271,'외운 것'!C2:C271,0,1),0),"3차")</f>
        <v>3차</v>
      </c>
      <c r="K453" s="8" cm="1">
        <f t="array" ref="K453">IF(P453&lt;&gt;0,IF(N453&gt;=3,_xlfn.XLOOKUP(A453,'외운 것'!A2:A271,'외운 것'!C2:C271,0,1),0),"1차")</f>
        <v>0</v>
      </c>
      <c r="L453" s="8" cm="1">
        <f t="array" ref="L453">IF(Q453&lt;&gt;0,IF(N453&gt;=3,_xlfn.XLOOKUP(A453,'외운 것'!A2:A271,'외운 것'!C2:C271,0,1),0),"2차")</f>
        <v>0</v>
      </c>
      <c r="M453" t="str" s="11" cm="1">
        <f t="array" ref="M453">IF(R453&lt;&gt;0,IF(O453&gt;=3,_xlfn.XLOOKUP(B453,'외운 것'!B2:B271,'외운 것'!D2:D271,0,1),0),"3차")</f>
        <v>3차</v>
      </c>
      <c r="N453" s="8">
        <v>0</v>
      </c>
      <c r="O453" s="8">
        <v>3</v>
      </c>
      <c r="P453" s="8">
        <v>4</v>
      </c>
      <c r="Q453" s="8">
        <v>1</v>
      </c>
      <c r="R453" s="8">
        <v>0</v>
      </c>
    </row>
    <row r="454" ht="16" customHeight="1">
      <c r="A454" s="8">
        <v>453</v>
      </c>
      <c r="B454" s="8">
        <v>19</v>
      </c>
      <c r="C454" t="s" s="9">
        <v>1342</v>
      </c>
      <c r="D454" t="s" s="9">
        <v>1342</v>
      </c>
      <c r="E454" t="s" s="9">
        <v>1397</v>
      </c>
      <c r="F454" t="s" s="9">
        <v>1398</v>
      </c>
      <c r="G454" t="s" s="9">
        <v>1399</v>
      </c>
      <c r="H454" s="8" cm="1">
        <f t="array" ref="H454">MIN(SUMIF('외운 것'!A2:A271,A454,'외운 것'!D2:D271)+IF(R454=0,3,IF(R454=1,2,0)),3)</f>
        <v>3</v>
      </c>
      <c r="I454" s="8" cm="1">
        <f t="array" ref="I454">_xlfn.COUNTIFS('외운 것'!A2:A271,A454,'외운 것'!D2:D271,0)</f>
        <v>0</v>
      </c>
      <c r="J454" t="str" s="10" cm="1">
        <f t="array" ref="J454">IF(R454&lt;&gt;0,IF(H454&gt;=3,_xlfn.XLOOKUP(A454,'외운 것'!A2:A271,'외운 것'!C2:C271,0,1),0),"3차")</f>
        <v>3차</v>
      </c>
      <c r="K454" s="8" cm="1">
        <f t="array" ref="K454">IF(P454&lt;&gt;0,IF(N454&gt;=3,_xlfn.XLOOKUP(A454,'외운 것'!A2:A271,'외운 것'!C2:C271,0,1),0),"1차")</f>
        <v>0</v>
      </c>
      <c r="L454" t="str" s="11" cm="1">
        <f t="array" ref="L454">IF(Q454&lt;&gt;0,IF(N454&gt;=3,_xlfn.XLOOKUP(A454,'외운 것'!A2:A271,'외운 것'!C2:C271,0,1),0),"2차")</f>
        <v>2차</v>
      </c>
      <c r="M454" t="str" s="11" cm="1">
        <f t="array" ref="M454">IF(R454&lt;&gt;0,IF(O454&gt;=3,_xlfn.XLOOKUP(B454,'외운 것'!B2:B271,'외운 것'!D2:D271,0,1),0),"3차")</f>
        <v>3차</v>
      </c>
      <c r="N454" s="8">
        <v>0</v>
      </c>
      <c r="O454" s="8">
        <v>3</v>
      </c>
      <c r="P454" s="8">
        <v>2</v>
      </c>
      <c r="Q454" s="8">
        <v>0</v>
      </c>
      <c r="R454" s="8">
        <v>0</v>
      </c>
    </row>
    <row r="455" ht="16" customHeight="1">
      <c r="A455" s="8">
        <v>454</v>
      </c>
      <c r="B455" s="8">
        <v>20</v>
      </c>
      <c r="C455" t="s" s="9">
        <v>1342</v>
      </c>
      <c r="D455" t="s" s="9">
        <v>1342</v>
      </c>
      <c r="E455" t="s" s="9">
        <v>1400</v>
      </c>
      <c r="F455" t="s" s="9">
        <v>1401</v>
      </c>
      <c r="G455" t="s" s="9">
        <v>1402</v>
      </c>
      <c r="H455" s="8" cm="1">
        <f t="array" ref="H455">MIN(SUMIF('외운 것'!A2:A271,A455,'외운 것'!D2:D271)+IF(R455=0,3,IF(R455=1,2,0)),3)</f>
        <v>3</v>
      </c>
      <c r="I455" s="8" cm="1">
        <f t="array" ref="I455">_xlfn.COUNTIFS('외운 것'!A2:A271,A455,'외운 것'!D2:D271,0)</f>
        <v>0</v>
      </c>
      <c r="J455" t="str" s="10" cm="1">
        <f t="array" ref="J455">IF(R455&lt;&gt;0,IF(H455&gt;=3,_xlfn.XLOOKUP(A455,'외운 것'!A2:A271,'외운 것'!C2:C271,0,1),0),"3차")</f>
        <v>3차</v>
      </c>
      <c r="K455" s="8" cm="1">
        <f t="array" ref="K455">IF(P455&lt;&gt;0,IF(N455&gt;=3,_xlfn.XLOOKUP(A455,'외운 것'!A2:A271,'외운 것'!C2:C271,0,1),0),"1차")</f>
        <v>0</v>
      </c>
      <c r="L455" t="str" s="11" cm="1">
        <f t="array" ref="L455">IF(Q455&lt;&gt;0,IF(N455&gt;=3,_xlfn.XLOOKUP(A455,'외운 것'!A2:A271,'외운 것'!C2:C271,0,1),0),"2차")</f>
        <v>2차</v>
      </c>
      <c r="M455" t="str" s="11" cm="1">
        <f t="array" ref="M455">IF(R455&lt;&gt;0,IF(O455&gt;=3,_xlfn.XLOOKUP(B455,'외운 것'!B2:B271,'외운 것'!D2:D271,0,1),0),"3차")</f>
        <v>3차</v>
      </c>
      <c r="N455" s="8">
        <v>2</v>
      </c>
      <c r="O455" s="8">
        <v>3</v>
      </c>
      <c r="P455" s="8">
        <v>1</v>
      </c>
      <c r="Q455" s="8">
        <v>0</v>
      </c>
      <c r="R455" s="8">
        <v>0</v>
      </c>
    </row>
    <row r="456" ht="16" customHeight="1">
      <c r="A456" s="8">
        <v>455</v>
      </c>
      <c r="B456" s="8">
        <v>21</v>
      </c>
      <c r="C456" t="s" s="9">
        <v>1342</v>
      </c>
      <c r="D456" t="s" s="9">
        <v>1342</v>
      </c>
      <c r="E456" t="s" s="9">
        <v>1403</v>
      </c>
      <c r="F456" t="s" s="9">
        <v>1404</v>
      </c>
      <c r="G456" t="s" s="9">
        <v>1405</v>
      </c>
      <c r="H456" s="8" cm="1">
        <f t="array" ref="H456">MIN(SUMIF('외운 것'!A2:A271,A456,'외운 것'!D2:D271)+IF(R456=0,3,IF(R456=1,2,0)),3)</f>
        <v>2</v>
      </c>
      <c r="I456" s="8" cm="1">
        <f t="array" ref="I456">_xlfn.COUNTIFS('외운 것'!A2:A271,A456,'외운 것'!D2:D271,0)</f>
        <v>1</v>
      </c>
      <c r="J456" s="19" cm="1">
        <f t="array" ref="J456">IF(R456&lt;&gt;0,IF(H456&gt;=3,_xlfn.XLOOKUP(A456,'외운 것'!A2:A271,'외운 것'!C2:C271,0,1),0),"3차")</f>
        <v>0</v>
      </c>
      <c r="K456" s="8" cm="1">
        <f t="array" ref="K456">IF(P456&lt;&gt;0,IF(N456&gt;=3,_xlfn.XLOOKUP(A456,'외운 것'!A2:A271,'외운 것'!C2:C271,0,1),0),"1차")</f>
        <v>0</v>
      </c>
      <c r="L456" s="8" cm="1">
        <f t="array" ref="L456">IF(Q456&lt;&gt;0,IF(N456&gt;=3,_xlfn.XLOOKUP(A456,'외운 것'!A2:A271,'외운 것'!C2:C271,0,1),0),"2차")</f>
        <v>0</v>
      </c>
      <c r="M456" s="8" cm="1">
        <f t="array" ref="M456">IF(R456&lt;&gt;0,IF(O456&gt;=3,_xlfn.XLOOKUP(B456,'외운 것'!B2:B271,'외운 것'!D2:D271,0,1),0),"3차")</f>
        <v>0</v>
      </c>
      <c r="N456" s="8">
        <v>0</v>
      </c>
      <c r="O456" s="8">
        <v>3</v>
      </c>
      <c r="P456" s="8">
        <v>6</v>
      </c>
      <c r="Q456" s="8">
        <v>5</v>
      </c>
      <c r="R456" s="8">
        <v>1</v>
      </c>
    </row>
    <row r="457" ht="16" customHeight="1">
      <c r="A457" s="8">
        <v>456</v>
      </c>
      <c r="B457" s="8">
        <v>22</v>
      </c>
      <c r="C457" t="s" s="9">
        <v>1342</v>
      </c>
      <c r="D457" t="s" s="9">
        <v>1342</v>
      </c>
      <c r="E457" t="s" s="9">
        <v>1406</v>
      </c>
      <c r="F457" t="s" s="9">
        <v>1407</v>
      </c>
      <c r="G457" t="s" s="9">
        <v>1408</v>
      </c>
      <c r="H457" s="8" cm="1">
        <f t="array" ref="H457">MIN(SUMIF('외운 것'!A2:A271,A457,'외운 것'!D2:D271)+IF(R457=0,3,IF(R457=1,2,0)),3)</f>
        <v>3</v>
      </c>
      <c r="I457" s="8" cm="1">
        <f t="array" ref="I457">_xlfn.COUNTIFS('외운 것'!A2:A271,A457,'외운 것'!D2:D271,0)</f>
        <v>0</v>
      </c>
      <c r="J457" t="str" s="10" cm="1">
        <f t="array" ref="J457">IF(R457&lt;&gt;0,IF(H457&gt;=3,_xlfn.XLOOKUP(A457,'외운 것'!A2:A271,'외운 것'!C2:C271,0,1),0),"3차")</f>
        <v>3차</v>
      </c>
      <c r="K457" s="8" cm="1">
        <f t="array" ref="K457">IF(P457&lt;&gt;0,IF(N457&gt;=3,_xlfn.XLOOKUP(A457,'외운 것'!A2:A271,'외운 것'!C2:C271,0,1),0),"1차")</f>
        <v>0</v>
      </c>
      <c r="L457" t="str" s="11" cm="1">
        <f t="array" ref="L457">IF(Q457&lt;&gt;0,IF(N457&gt;=3,_xlfn.XLOOKUP(A457,'외운 것'!A2:A271,'외운 것'!C2:C271,0,1),0),"2차")</f>
        <v>2차</v>
      </c>
      <c r="M457" t="str" s="11" cm="1">
        <f t="array" ref="M457">IF(R457&lt;&gt;0,IF(O457&gt;=3,_xlfn.XLOOKUP(B457,'외운 것'!B2:B271,'외운 것'!D2:D271,0,1),0),"3차")</f>
        <v>3차</v>
      </c>
      <c r="N457" s="8">
        <v>2</v>
      </c>
      <c r="O457" s="8">
        <v>3</v>
      </c>
      <c r="P457" s="8">
        <v>1</v>
      </c>
      <c r="Q457" s="8">
        <v>0</v>
      </c>
      <c r="R457" s="8">
        <v>0</v>
      </c>
    </row>
    <row r="458" ht="16" customHeight="1">
      <c r="A458" s="8">
        <v>457</v>
      </c>
      <c r="B458" s="8">
        <v>1</v>
      </c>
      <c r="C458" t="s" s="9">
        <v>1409</v>
      </c>
      <c r="D458" t="s" s="9">
        <v>1409</v>
      </c>
      <c r="E458" t="s" s="9">
        <v>1410</v>
      </c>
      <c r="F458" t="s" s="9">
        <v>1411</v>
      </c>
      <c r="G458" t="s" s="9">
        <v>1412</v>
      </c>
      <c r="H458" s="8" cm="1">
        <f t="array" ref="H458">MIN(SUMIF('외운 것'!A2:A271,A458,'외운 것'!D2:D271)+IF(R458=0,3,IF(R458=1,2,0)),3)</f>
        <v>0</v>
      </c>
      <c r="I458" s="8" cm="1">
        <f t="array" ref="I458">_xlfn.COUNTIFS('외운 것'!A2:A271,A458,'외운 것'!D2:D271,0)</f>
        <v>1</v>
      </c>
      <c r="J458" s="19" cm="1">
        <f t="array" ref="J458">IF(R458&lt;&gt;0,IF(H458&gt;=3,_xlfn.XLOOKUP(A458,'외운 것'!A2:A271,'외운 것'!C2:C271,0,1),0),"3차")</f>
        <v>0</v>
      </c>
      <c r="K458" s="8" cm="1">
        <f t="array" ref="K458">IF(P458&lt;&gt;0,IF(N458&gt;=3,_xlfn.XLOOKUP(A458,'외운 것'!A2:A271,'외운 것'!C2:C271,0,1),0),"1차")</f>
        <v>0</v>
      </c>
      <c r="L458" s="8" cm="1">
        <f t="array" ref="L458">IF(Q458&lt;&gt;0,IF(N458&gt;=3,_xlfn.XLOOKUP(A458,'외운 것'!A2:A271,'외운 것'!C2:C271,0,1),0),"2차")</f>
        <v>0</v>
      </c>
      <c r="M458" s="8" cm="1">
        <f t="array" ref="M458">IF(R458&lt;&gt;0,IF(O458&gt;=3,_xlfn.XLOOKUP(B458,'외운 것'!B2:B271,'외운 것'!D2:D271,0,1),0),"3차")</f>
        <v>0</v>
      </c>
      <c r="N458" s="8">
        <v>2</v>
      </c>
      <c r="O458" s="8">
        <v>3</v>
      </c>
      <c r="P458" s="8">
        <v>1</v>
      </c>
      <c r="Q458" s="8">
        <v>1</v>
      </c>
      <c r="R458" s="8">
        <v>2</v>
      </c>
    </row>
    <row r="459" ht="16" customHeight="1">
      <c r="A459" s="8">
        <v>458</v>
      </c>
      <c r="B459" s="8">
        <v>2</v>
      </c>
      <c r="C459" t="s" s="9">
        <v>1409</v>
      </c>
      <c r="D459" t="s" s="9">
        <v>1409</v>
      </c>
      <c r="E459" t="s" s="9">
        <v>1413</v>
      </c>
      <c r="F459" t="s" s="9">
        <v>1414</v>
      </c>
      <c r="G459" t="s" s="9">
        <v>1415</v>
      </c>
      <c r="H459" s="8" cm="1">
        <f t="array" ref="H459">MIN(SUMIF('외운 것'!A2:A271,A459,'외운 것'!D2:D271)+IF(R459=0,3,IF(R459=1,2,0)),3)</f>
        <v>3</v>
      </c>
      <c r="I459" s="8" cm="1">
        <f t="array" ref="I459">_xlfn.COUNTIFS('외운 것'!A2:A271,A459,'외운 것'!D2:D271,0)</f>
        <v>0</v>
      </c>
      <c r="J459" t="str" s="10" cm="1">
        <f t="array" ref="J459">IF(R459&lt;&gt;0,IF(H459&gt;=3,_xlfn.XLOOKUP(A459,'외운 것'!A2:A271,'외운 것'!C2:C271,0,1),0),"3차")</f>
        <v>3차</v>
      </c>
      <c r="K459" s="8" cm="1">
        <f t="array" ref="K459">IF(P459&lt;&gt;0,IF(N459&gt;=3,_xlfn.XLOOKUP(A459,'외운 것'!A2:A271,'외운 것'!C2:C271,0,1),0),"1차")</f>
        <v>0</v>
      </c>
      <c r="L459" t="str" s="11" cm="1">
        <f t="array" ref="L459">IF(Q459&lt;&gt;0,IF(N459&gt;=3,_xlfn.XLOOKUP(A459,'외운 것'!A2:A271,'외운 것'!C2:C271,0,1),0),"2차")</f>
        <v>2차</v>
      </c>
      <c r="M459" t="str" s="11" cm="1">
        <f t="array" ref="M459">IF(R459&lt;&gt;0,IF(O459&gt;=3,_xlfn.XLOOKUP(B459,'외운 것'!B2:B271,'외운 것'!D2:D271,0,1),0),"3차")</f>
        <v>3차</v>
      </c>
      <c r="N459" s="8">
        <v>2</v>
      </c>
      <c r="O459" s="8">
        <v>3</v>
      </c>
      <c r="P459" s="8">
        <v>1</v>
      </c>
      <c r="Q459" s="8">
        <v>0</v>
      </c>
      <c r="R459" s="8">
        <v>0</v>
      </c>
    </row>
    <row r="460" ht="16" customHeight="1">
      <c r="A460" s="8">
        <v>459</v>
      </c>
      <c r="B460" s="8">
        <v>3</v>
      </c>
      <c r="C460" t="s" s="9">
        <v>1409</v>
      </c>
      <c r="D460" t="s" s="9">
        <v>1409</v>
      </c>
      <c r="E460" t="s" s="9">
        <v>1416</v>
      </c>
      <c r="F460" t="s" s="9">
        <v>1417</v>
      </c>
      <c r="G460" t="s" s="9">
        <v>1418</v>
      </c>
      <c r="H460" s="8" cm="1">
        <f t="array" ref="H460">MIN(SUMIF('외운 것'!A2:A271,A460,'외운 것'!D2:D271)+IF(R460=0,3,IF(R460=1,2,0)),3)</f>
        <v>3</v>
      </c>
      <c r="I460" s="8" cm="1">
        <f t="array" ref="I460">_xlfn.COUNTIFS('외운 것'!A2:A271,A460,'외운 것'!D2:D271,0)</f>
        <v>0</v>
      </c>
      <c r="J460" t="str" s="10" cm="1">
        <f t="array" ref="J460">IF(R460&lt;&gt;0,IF(H460&gt;=3,_xlfn.XLOOKUP(A460,'외운 것'!A2:A271,'외운 것'!C2:C271,0,1),0),"3차")</f>
        <v>3차</v>
      </c>
      <c r="K460" s="8" cm="1">
        <f t="array" ref="K460">IF(P460&lt;&gt;0,IF(N460&gt;=3,_xlfn.XLOOKUP(A460,'외운 것'!A2:A271,'외운 것'!C2:C271,0,1),0),"1차")</f>
        <v>0</v>
      </c>
      <c r="L460" s="8" cm="1">
        <f t="array" ref="L460">IF(Q460&lt;&gt;0,IF(N460&gt;=3,_xlfn.XLOOKUP(A460,'외운 것'!A2:A271,'외운 것'!C2:C271,0,1),0),"2차")</f>
        <v>0</v>
      </c>
      <c r="M460" t="str" s="11" cm="1">
        <f t="array" ref="M460">IF(R460&lt;&gt;0,IF(O460&gt;=3,_xlfn.XLOOKUP(B460,'외운 것'!B2:B271,'외운 것'!D2:D271,0,1),0),"3차")</f>
        <v>3차</v>
      </c>
      <c r="N460" s="8">
        <v>2</v>
      </c>
      <c r="O460" s="8">
        <v>3</v>
      </c>
      <c r="P460" s="8">
        <v>1</v>
      </c>
      <c r="Q460" s="8">
        <v>1</v>
      </c>
      <c r="R460" s="8">
        <v>0</v>
      </c>
    </row>
    <row r="461" ht="16" customHeight="1">
      <c r="A461" s="8">
        <v>460</v>
      </c>
      <c r="B461" s="8">
        <v>4</v>
      </c>
      <c r="C461" t="s" s="9">
        <v>1409</v>
      </c>
      <c r="D461" t="s" s="9">
        <v>1409</v>
      </c>
      <c r="E461" t="s" s="9">
        <v>1419</v>
      </c>
      <c r="F461" t="s" s="9">
        <v>1420</v>
      </c>
      <c r="G461" t="s" s="9">
        <v>1421</v>
      </c>
      <c r="H461" s="8" cm="1">
        <f t="array" ref="H461">MIN(SUMIF('외운 것'!A2:A271,A461,'외운 것'!D2:D271)+IF(R461=0,3,IF(R461=1,2,0)),3)</f>
        <v>3</v>
      </c>
      <c r="I461" s="8" cm="1">
        <f t="array" ref="I461">_xlfn.COUNTIFS('외운 것'!A2:A271,A461,'외운 것'!D2:D271,0)</f>
        <v>0</v>
      </c>
      <c r="J461" t="str" s="10" cm="1">
        <f t="array" ref="J461">IF(R461&lt;&gt;0,IF(H461&gt;=3,_xlfn.XLOOKUP(A461,'외운 것'!A2:A271,'외운 것'!C2:C271,0,1),0),"3차")</f>
        <v>2026-04-30</v>
      </c>
      <c r="K461" s="8" cm="1">
        <f t="array" ref="K461">IF(P461&lt;&gt;0,IF(N461&gt;=3,_xlfn.XLOOKUP(A461,'외운 것'!A2:A271,'외운 것'!C2:C271,0,1),0),"1차")</f>
        <v>0</v>
      </c>
      <c r="L461" s="8" cm="1">
        <f t="array" ref="L461">IF(Q461&lt;&gt;0,IF(N461&gt;=3,_xlfn.XLOOKUP(A461,'외운 것'!A2:A271,'외운 것'!C2:C271,0,1),0),"2차")</f>
        <v>0</v>
      </c>
      <c r="M461" s="8" cm="1">
        <f t="array" ref="M461">IF(R461&lt;&gt;0,IF(O461&gt;=3,_xlfn.XLOOKUP(B461,'외운 것'!B2:B271,'외운 것'!D2:D271,0,1),0),"3차")</f>
        <v>0</v>
      </c>
      <c r="N461" s="8">
        <v>0</v>
      </c>
      <c r="O461" s="8">
        <v>3</v>
      </c>
      <c r="P461" s="8">
        <v>3</v>
      </c>
      <c r="Q461" s="8">
        <v>2</v>
      </c>
      <c r="R461" s="8">
        <v>1</v>
      </c>
    </row>
    <row r="462" ht="16" customHeight="1">
      <c r="A462" s="8">
        <v>461</v>
      </c>
      <c r="B462" s="8">
        <v>5</v>
      </c>
      <c r="C462" t="s" s="9">
        <v>1409</v>
      </c>
      <c r="D462" t="s" s="9">
        <v>1409</v>
      </c>
      <c r="E462" t="s" s="9">
        <v>1422</v>
      </c>
      <c r="F462" t="s" s="9">
        <v>1423</v>
      </c>
      <c r="G462" t="s" s="9">
        <v>1424</v>
      </c>
      <c r="H462" s="8" cm="1">
        <f t="array" ref="H462">MIN(SUMIF('외운 것'!A2:A271,A462,'외운 것'!D2:D271)+IF(R462=0,3,IF(R462=1,2,0)),3)</f>
        <v>3</v>
      </c>
      <c r="I462" s="8" cm="1">
        <f t="array" ref="I462">_xlfn.COUNTIFS('외운 것'!A2:A271,A462,'외운 것'!D2:D271,0)</f>
        <v>0</v>
      </c>
      <c r="J462" t="str" s="10" cm="1">
        <f t="array" ref="J462">IF(R462&lt;&gt;0,IF(H462&gt;=3,_xlfn.XLOOKUP(A462,'외운 것'!A2:A271,'외운 것'!C2:C271,0,1),0),"3차")</f>
        <v>3차</v>
      </c>
      <c r="K462" s="8" cm="1">
        <f t="array" ref="K462">IF(P462&lt;&gt;0,IF(N462&gt;=3,_xlfn.XLOOKUP(A462,'외운 것'!A2:A271,'외운 것'!C2:C271,0,1),0),"1차")</f>
        <v>0</v>
      </c>
      <c r="L462" t="str" s="11" cm="1">
        <f t="array" ref="L462">IF(Q462&lt;&gt;0,IF(N462&gt;=3,_xlfn.XLOOKUP(A462,'외운 것'!A2:A271,'외운 것'!C2:C271,0,1),0),"2차")</f>
        <v>2차</v>
      </c>
      <c r="M462" t="str" s="11" cm="1">
        <f t="array" ref="M462">IF(R462&lt;&gt;0,IF(O462&gt;=3,_xlfn.XLOOKUP(B462,'외운 것'!B2:B271,'외운 것'!D2:D271,0,1),0),"3차")</f>
        <v>3차</v>
      </c>
      <c r="N462" s="8">
        <v>0</v>
      </c>
      <c r="O462" s="8">
        <v>3</v>
      </c>
      <c r="P462" s="8">
        <v>2</v>
      </c>
      <c r="Q462" s="8">
        <v>0</v>
      </c>
      <c r="R462" s="8">
        <v>0</v>
      </c>
    </row>
    <row r="463" ht="16" customHeight="1">
      <c r="A463" s="8">
        <v>462</v>
      </c>
      <c r="B463" s="8">
        <v>6</v>
      </c>
      <c r="C463" t="s" s="9">
        <v>1409</v>
      </c>
      <c r="D463" t="s" s="9">
        <v>1409</v>
      </c>
      <c r="E463" t="s" s="9">
        <v>1425</v>
      </c>
      <c r="F463" t="s" s="9">
        <v>1426</v>
      </c>
      <c r="G463" t="s" s="9">
        <v>1427</v>
      </c>
      <c r="H463" s="8" cm="1">
        <f t="array" ref="H463">MIN(SUMIF('외운 것'!A2:A271,A463,'외운 것'!D2:D271)+IF(R463=0,3,IF(R463=1,2,0)),3)</f>
        <v>3</v>
      </c>
      <c r="I463" s="8" cm="1">
        <f t="array" ref="I463">_xlfn.COUNTIFS('외운 것'!A2:A271,A463,'외운 것'!D2:D271,0)</f>
        <v>0</v>
      </c>
      <c r="J463" t="str" s="10" cm="1">
        <f t="array" ref="J463">IF(R463&lt;&gt;0,IF(H463&gt;=3,_xlfn.XLOOKUP(A463,'외운 것'!A2:A271,'외운 것'!C2:C271,0,1),0),"3차")</f>
        <v>2026-04-30</v>
      </c>
      <c r="K463" s="8" cm="1">
        <f t="array" ref="K463">IF(P463&lt;&gt;0,IF(N463&gt;=3,_xlfn.XLOOKUP(A463,'외운 것'!A2:A271,'외운 것'!C2:C271,0,1),0),"1차")</f>
        <v>0</v>
      </c>
      <c r="L463" s="8" cm="1">
        <f t="array" ref="L463">IF(Q463&lt;&gt;0,IF(N463&gt;=3,_xlfn.XLOOKUP(A463,'외운 것'!A2:A271,'외운 것'!C2:C271,0,1),0),"2차")</f>
        <v>0</v>
      </c>
      <c r="M463" s="8" cm="1">
        <f t="array" ref="M463">IF(R463&lt;&gt;0,IF(O463&gt;=3,_xlfn.XLOOKUP(B463,'외운 것'!B2:B271,'외운 것'!D2:D271,0,1),0),"3차")</f>
        <v>0</v>
      </c>
      <c r="N463" s="8">
        <v>2</v>
      </c>
      <c r="O463" s="8">
        <v>3</v>
      </c>
      <c r="P463" s="8">
        <v>1</v>
      </c>
      <c r="Q463" s="8">
        <v>1</v>
      </c>
      <c r="R463" s="8">
        <v>1</v>
      </c>
    </row>
    <row r="464" ht="16" customHeight="1">
      <c r="A464" s="8">
        <v>463</v>
      </c>
      <c r="B464" s="8">
        <v>7</v>
      </c>
      <c r="C464" t="s" s="9">
        <v>1409</v>
      </c>
      <c r="D464" t="s" s="9">
        <v>1409</v>
      </c>
      <c r="E464" t="s" s="9">
        <v>1428</v>
      </c>
      <c r="F464" t="s" s="9">
        <v>1429</v>
      </c>
      <c r="G464" t="s" s="9">
        <v>1430</v>
      </c>
      <c r="H464" s="8" cm="1">
        <f t="array" ref="H464">MIN(SUMIF('외운 것'!A2:A271,A464,'외운 것'!D2:D271)+IF(R464=0,3,IF(R464=1,2,0)),3)</f>
        <v>3</v>
      </c>
      <c r="I464" s="8" cm="1">
        <f t="array" ref="I464">_xlfn.COUNTIFS('외운 것'!A2:A271,A464,'외운 것'!D2:D271,0)</f>
        <v>0</v>
      </c>
      <c r="J464" t="str" s="10" cm="1">
        <f t="array" ref="J464">IF(R464&lt;&gt;0,IF(H464&gt;=3,_xlfn.XLOOKUP(A464,'외운 것'!A2:A271,'외운 것'!C2:C271,0,1),0),"3차")</f>
        <v>3차</v>
      </c>
      <c r="K464" t="str" s="11" cm="1">
        <f t="array" ref="K464">IF(P464&lt;&gt;0,IF(N464&gt;=3,_xlfn.XLOOKUP(A464,'외운 것'!A2:A271,'외운 것'!C2:C271,0,1),0),"1차")</f>
        <v>1차</v>
      </c>
      <c r="L464" t="str" s="11" cm="1">
        <f t="array" ref="L464">IF(Q464&lt;&gt;0,IF(N464&gt;=3,_xlfn.XLOOKUP(A464,'외운 것'!A2:A271,'외운 것'!C2:C271,0,1),0),"2차")</f>
        <v>2차</v>
      </c>
      <c r="M464" t="str" s="11" cm="1">
        <f t="array" ref="M464">IF(R464&lt;&gt;0,IF(O464&gt;=3,_xlfn.XLOOKUP(B464,'외운 것'!B2:B271,'외운 것'!D2:D271,0,1),0),"3차")</f>
        <v>3차</v>
      </c>
      <c r="N464" s="8">
        <v>3</v>
      </c>
      <c r="O464" s="8">
        <v>3</v>
      </c>
      <c r="P464" s="8">
        <v>0</v>
      </c>
      <c r="Q464" s="8">
        <v>0</v>
      </c>
      <c r="R464" s="8">
        <v>0</v>
      </c>
    </row>
    <row r="465" ht="16" customHeight="1">
      <c r="A465" s="8">
        <v>464</v>
      </c>
      <c r="B465" s="8">
        <v>8</v>
      </c>
      <c r="C465" t="s" s="9">
        <v>1409</v>
      </c>
      <c r="D465" t="s" s="9">
        <v>1409</v>
      </c>
      <c r="E465" t="s" s="9">
        <v>1431</v>
      </c>
      <c r="F465" t="s" s="9">
        <v>1432</v>
      </c>
      <c r="G465" t="s" s="9">
        <v>1433</v>
      </c>
      <c r="H465" s="8" cm="1">
        <f t="array" ref="H465">MIN(SUMIF('외운 것'!A2:A271,A465,'외운 것'!D2:D271)+IF(R465=0,3,IF(R465=1,2,0)),3)</f>
        <v>0</v>
      </c>
      <c r="I465" s="8" cm="1">
        <f t="array" ref="I465">_xlfn.COUNTIFS('외운 것'!A2:A271,A465,'외운 것'!D2:D271,0)</f>
        <v>1</v>
      </c>
      <c r="J465" s="19" cm="1">
        <f t="array" ref="J465">IF(R465&lt;&gt;0,IF(H465&gt;=3,_xlfn.XLOOKUP(A465,'외운 것'!A2:A271,'외운 것'!C2:C271,0,1),0),"3차")</f>
        <v>0</v>
      </c>
      <c r="K465" s="8" cm="1">
        <f t="array" ref="K465">IF(P465&lt;&gt;0,IF(N465&gt;=3,_xlfn.XLOOKUP(A465,'외운 것'!A2:A271,'외운 것'!C2:C271,0,1),0),"1차")</f>
        <v>0</v>
      </c>
      <c r="L465" s="8" cm="1">
        <f t="array" ref="L465">IF(Q465&lt;&gt;0,IF(N465&gt;=3,_xlfn.XLOOKUP(A465,'외운 것'!A2:A271,'외운 것'!C2:C271,0,1),0),"2차")</f>
        <v>0</v>
      </c>
      <c r="M465" s="8" cm="1">
        <f t="array" ref="M465">IF(R465&lt;&gt;0,IF(O465&gt;=3,_xlfn.XLOOKUP(B465,'외운 것'!B2:B271,'외운 것'!D2:D271,0,1),0),"3차")</f>
        <v>0</v>
      </c>
      <c r="N465" s="8">
        <v>2</v>
      </c>
      <c r="O465" s="8">
        <v>3</v>
      </c>
      <c r="P465" s="8">
        <v>1</v>
      </c>
      <c r="Q465" s="8">
        <v>2</v>
      </c>
      <c r="R465" s="8">
        <v>2</v>
      </c>
    </row>
    <row r="466" ht="16" customHeight="1">
      <c r="A466" s="8">
        <v>465</v>
      </c>
      <c r="B466" s="8">
        <v>9</v>
      </c>
      <c r="C466" t="s" s="9">
        <v>1409</v>
      </c>
      <c r="D466" t="s" s="9">
        <v>1409</v>
      </c>
      <c r="E466" t="s" s="9">
        <v>1434</v>
      </c>
      <c r="F466" t="s" s="9">
        <v>1435</v>
      </c>
      <c r="G466" t="s" s="9">
        <v>1436</v>
      </c>
      <c r="H466" s="8" cm="1">
        <f t="array" ref="H466">MIN(SUMIF('외운 것'!A2:A271,A466,'외운 것'!D2:D271)+IF(R466=0,3,IF(R466=1,2,0)),3)</f>
        <v>3</v>
      </c>
      <c r="I466" s="8" cm="1">
        <f t="array" ref="I466">_xlfn.COUNTIFS('외운 것'!A2:A271,A466,'외운 것'!D2:D271,0)</f>
        <v>0</v>
      </c>
      <c r="J466" t="str" s="10" cm="1">
        <f t="array" ref="J466">IF(R466&lt;&gt;0,IF(H466&gt;=3,_xlfn.XLOOKUP(A466,'외운 것'!A2:A271,'외운 것'!C2:C271,0,1),0),"3차")</f>
        <v>3차</v>
      </c>
      <c r="K466" t="str" s="11" cm="1">
        <f t="array" ref="K466">IF(P466&lt;&gt;0,IF(N466&gt;=3,_xlfn.XLOOKUP(A466,'외운 것'!A2:A271,'외운 것'!C2:C271,0,1),0),"1차")</f>
        <v>1차</v>
      </c>
      <c r="L466" t="str" s="11" cm="1">
        <f t="array" ref="L466">IF(Q466&lt;&gt;0,IF(N466&gt;=3,_xlfn.XLOOKUP(A466,'외운 것'!A2:A271,'외운 것'!C2:C271,0,1),0),"2차")</f>
        <v>2차</v>
      </c>
      <c r="M466" t="str" s="11" cm="1">
        <f t="array" ref="M466">IF(R466&lt;&gt;0,IF(O466&gt;=3,_xlfn.XLOOKUP(B466,'외운 것'!B2:B271,'외운 것'!D2:D271,0,1),0),"3차")</f>
        <v>3차</v>
      </c>
      <c r="N466" s="8">
        <v>3</v>
      </c>
      <c r="O466" s="8">
        <v>3</v>
      </c>
      <c r="P466" s="8">
        <v>0</v>
      </c>
      <c r="Q466" s="8">
        <v>0</v>
      </c>
      <c r="R466" s="8">
        <v>0</v>
      </c>
    </row>
    <row r="467" ht="16" customHeight="1">
      <c r="A467" s="8">
        <v>466</v>
      </c>
      <c r="B467" s="8">
        <v>10</v>
      </c>
      <c r="C467" t="s" s="9">
        <v>1409</v>
      </c>
      <c r="D467" t="s" s="9">
        <v>1409</v>
      </c>
      <c r="E467" t="s" s="9">
        <v>1437</v>
      </c>
      <c r="F467" t="s" s="9">
        <v>1438</v>
      </c>
      <c r="G467" t="s" s="9">
        <v>1439</v>
      </c>
      <c r="H467" s="8" cm="1">
        <f t="array" ref="H467">MIN(SUMIF('외운 것'!A2:A271,A467,'외운 것'!D2:D271)+IF(R467=0,3,IF(R467=1,2,0)),3)</f>
        <v>3</v>
      </c>
      <c r="I467" s="8" cm="1">
        <f t="array" ref="I467">_xlfn.COUNTIFS('외운 것'!A2:A271,A467,'외운 것'!D2:D271,0)</f>
        <v>0</v>
      </c>
      <c r="J467" t="str" s="10" cm="1">
        <f t="array" ref="J467">IF(R467&lt;&gt;0,IF(H467&gt;=3,_xlfn.XLOOKUP(A467,'외운 것'!A2:A271,'외운 것'!C2:C271,0,1),0),"3차")</f>
        <v>3차</v>
      </c>
      <c r="K467" t="str" s="11" cm="1">
        <f t="array" ref="K467">IF(P467&lt;&gt;0,IF(N467&gt;=3,_xlfn.XLOOKUP(A467,'외운 것'!A2:A271,'외운 것'!C2:C271,0,1),0),"1차")</f>
        <v>1차</v>
      </c>
      <c r="L467" t="str" s="11" cm="1">
        <f t="array" ref="L467">IF(Q467&lt;&gt;0,IF(N467&gt;=3,_xlfn.XLOOKUP(A467,'외운 것'!A2:A271,'외운 것'!C2:C271,0,1),0),"2차")</f>
        <v>2차</v>
      </c>
      <c r="M467" t="str" s="11" cm="1">
        <f t="array" ref="M467">IF(R467&lt;&gt;0,IF(O467&gt;=3,_xlfn.XLOOKUP(B467,'외운 것'!B2:B271,'외운 것'!D2:D271,0,1),0),"3차")</f>
        <v>3차</v>
      </c>
      <c r="N467" s="8">
        <v>3</v>
      </c>
      <c r="O467" s="8">
        <v>3</v>
      </c>
      <c r="P467" s="8">
        <v>0</v>
      </c>
      <c r="Q467" s="8">
        <v>0</v>
      </c>
      <c r="R467" s="8">
        <v>0</v>
      </c>
    </row>
    <row r="468" ht="16" customHeight="1">
      <c r="A468" s="8">
        <v>467</v>
      </c>
      <c r="B468" s="8">
        <v>1</v>
      </c>
      <c r="C468" t="s" s="9">
        <v>1440</v>
      </c>
      <c r="D468" t="s" s="9">
        <v>1440</v>
      </c>
      <c r="E468" t="s" s="9">
        <v>1441</v>
      </c>
      <c r="F468" t="s" s="9">
        <v>1442</v>
      </c>
      <c r="G468" t="s" s="9">
        <v>1443</v>
      </c>
      <c r="H468" s="8" cm="1">
        <f t="array" ref="H468">MIN(SUMIF('외운 것'!A2:A271,A468,'외운 것'!D2:D271)+IF(R468=0,3,IF(R468=1,2,0)),3)</f>
        <v>3</v>
      </c>
      <c r="I468" s="8" cm="1">
        <f t="array" ref="I468">_xlfn.COUNTIFS('외운 것'!A2:A271,A468,'외운 것'!D2:D271,0)</f>
        <v>0</v>
      </c>
      <c r="J468" t="str" s="10" cm="1">
        <f t="array" ref="J468">IF(R468&lt;&gt;0,IF(H468&gt;=3,_xlfn.XLOOKUP(A468,'외운 것'!A2:A271,'외운 것'!C2:C271,0,1),0),"3차")</f>
        <v>3차</v>
      </c>
      <c r="K468" s="8" cm="1">
        <f t="array" ref="K468">IF(P468&lt;&gt;0,IF(N468&gt;=3,_xlfn.XLOOKUP(A468,'외운 것'!A2:A271,'외운 것'!C2:C271,0,1),0),"1차")</f>
        <v>0</v>
      </c>
      <c r="L468" t="str" s="11" cm="1">
        <f t="array" ref="L468">IF(Q468&lt;&gt;0,IF(N468&gt;=3,_xlfn.XLOOKUP(A468,'외운 것'!A2:A271,'외운 것'!C2:C271,0,1),0),"2차")</f>
        <v>2차</v>
      </c>
      <c r="M468" t="str" s="11" cm="1">
        <f t="array" ref="M468">IF(R468&lt;&gt;0,IF(O468&gt;=3,_xlfn.XLOOKUP(B468,'외운 것'!B2:B271,'외운 것'!D2:D271,0,1),0),"3차")</f>
        <v>3차</v>
      </c>
      <c r="N468" s="8">
        <v>0</v>
      </c>
      <c r="O468" s="8">
        <v>3</v>
      </c>
      <c r="P468" s="8">
        <v>2</v>
      </c>
      <c r="Q468" s="8">
        <v>0</v>
      </c>
      <c r="R468" s="8">
        <v>0</v>
      </c>
    </row>
    <row r="469" ht="16" customHeight="1">
      <c r="A469" s="8">
        <v>468</v>
      </c>
      <c r="B469" s="8">
        <v>2</v>
      </c>
      <c r="C469" t="s" s="9">
        <v>1440</v>
      </c>
      <c r="D469" t="s" s="9">
        <v>1440</v>
      </c>
      <c r="E469" t="s" s="9">
        <v>1444</v>
      </c>
      <c r="F469" t="s" s="9">
        <v>1445</v>
      </c>
      <c r="G469" t="s" s="9">
        <v>1446</v>
      </c>
      <c r="H469" s="8" cm="1">
        <f t="array" ref="H469">MIN(SUMIF('외운 것'!A2:A271,A469,'외운 것'!D2:D271)+IF(R469=0,3,IF(R469=1,2,0)),3)</f>
        <v>3</v>
      </c>
      <c r="I469" s="8" cm="1">
        <f t="array" ref="I469">_xlfn.COUNTIFS('외운 것'!A2:A271,A469,'외운 것'!D2:D271,0)</f>
        <v>0</v>
      </c>
      <c r="J469" t="str" s="10" cm="1">
        <f t="array" ref="J469">IF(R469&lt;&gt;0,IF(H469&gt;=3,_xlfn.XLOOKUP(A469,'외운 것'!A2:A271,'외운 것'!C2:C271,0,1),0),"3차")</f>
        <v>3차</v>
      </c>
      <c r="K469" s="8" cm="1">
        <f t="array" ref="K469">IF(P469&lt;&gt;0,IF(N469&gt;=3,_xlfn.XLOOKUP(A469,'외운 것'!A2:A271,'외운 것'!C2:C271,0,1),0),"1차")</f>
        <v>0</v>
      </c>
      <c r="L469" t="str" s="11" cm="1">
        <f t="array" ref="L469">IF(Q469&lt;&gt;0,IF(N469&gt;=3,_xlfn.XLOOKUP(A469,'외운 것'!A2:A271,'외운 것'!C2:C271,0,1),0),"2차")</f>
        <v>2차</v>
      </c>
      <c r="M469" t="str" s="11" cm="1">
        <f t="array" ref="M469">IF(R469&lt;&gt;0,IF(O469&gt;=3,_xlfn.XLOOKUP(B469,'외운 것'!B2:B271,'외운 것'!D2:D271,0,1),0),"3차")</f>
        <v>3차</v>
      </c>
      <c r="N469" s="8">
        <v>2</v>
      </c>
      <c r="O469" s="8">
        <v>3</v>
      </c>
      <c r="P469" s="8">
        <v>1</v>
      </c>
      <c r="Q469" s="8">
        <v>0</v>
      </c>
      <c r="R469" s="8">
        <v>0</v>
      </c>
    </row>
    <row r="470" ht="16" customHeight="1">
      <c r="A470" s="8">
        <v>469</v>
      </c>
      <c r="B470" s="8">
        <v>3</v>
      </c>
      <c r="C470" t="s" s="9">
        <v>1440</v>
      </c>
      <c r="D470" t="s" s="9">
        <v>1440</v>
      </c>
      <c r="E470" t="s" s="9">
        <v>1447</v>
      </c>
      <c r="F470" t="s" s="9">
        <v>1448</v>
      </c>
      <c r="G470" t="s" s="9">
        <v>1449</v>
      </c>
      <c r="H470" s="8" cm="1">
        <f t="array" ref="H470">MIN(SUMIF('외운 것'!A2:A271,A470,'외운 것'!D2:D271)+IF(R470=0,3,IF(R470=1,2,0)),3)</f>
        <v>3</v>
      </c>
      <c r="I470" s="8" cm="1">
        <f t="array" ref="I470">_xlfn.COUNTIFS('외운 것'!A2:A271,A470,'외운 것'!D2:D271,0)</f>
        <v>0</v>
      </c>
      <c r="J470" t="str" s="10" cm="1">
        <f t="array" ref="J470">IF(R470&lt;&gt;0,IF(H470&gt;=3,_xlfn.XLOOKUP(A470,'외운 것'!A2:A271,'외운 것'!C2:C271,0,1),0),"3차")</f>
        <v>3차</v>
      </c>
      <c r="K470" t="str" s="11" cm="1">
        <f t="array" ref="K470">IF(P470&lt;&gt;0,IF(N470&gt;=3,_xlfn.XLOOKUP(A470,'외운 것'!A2:A271,'외운 것'!C2:C271,0,1),0),"1차")</f>
        <v>1차</v>
      </c>
      <c r="L470" t="str" s="11" cm="1">
        <f t="array" ref="L470">IF(Q470&lt;&gt;0,IF(N470&gt;=3,_xlfn.XLOOKUP(A470,'외운 것'!A2:A271,'외운 것'!C2:C271,0,1),0),"2차")</f>
        <v>2차</v>
      </c>
      <c r="M470" t="str" s="11" cm="1">
        <f t="array" ref="M470">IF(R470&lt;&gt;0,IF(O470&gt;=3,_xlfn.XLOOKUP(B470,'외운 것'!B2:B271,'외운 것'!D2:D271,0,1),0),"3차")</f>
        <v>3차</v>
      </c>
      <c r="N470" s="8">
        <v>3</v>
      </c>
      <c r="O470" s="8">
        <v>3</v>
      </c>
      <c r="P470" s="8">
        <v>0</v>
      </c>
      <c r="Q470" s="8">
        <v>0</v>
      </c>
      <c r="R470" s="8">
        <v>0</v>
      </c>
    </row>
    <row r="471" ht="16" customHeight="1">
      <c r="A471" s="8">
        <v>470</v>
      </c>
      <c r="B471" s="8">
        <v>4</v>
      </c>
      <c r="C471" t="s" s="9">
        <v>1440</v>
      </c>
      <c r="D471" t="s" s="9">
        <v>1440</v>
      </c>
      <c r="E471" t="s" s="9">
        <v>1450</v>
      </c>
      <c r="F471" t="s" s="9">
        <v>1451</v>
      </c>
      <c r="G471" t="s" s="9">
        <v>1452</v>
      </c>
      <c r="H471" s="8" cm="1">
        <f t="array" ref="H471">MIN(SUMIF('외운 것'!A2:A271,A471,'외운 것'!D2:D271)+IF(R471=0,3,IF(R471=1,2,0)),3)</f>
        <v>0</v>
      </c>
      <c r="I471" s="8" cm="1">
        <f t="array" ref="I471">_xlfn.COUNTIFS('외운 것'!A2:A271,A471,'외운 것'!D2:D271,0)</f>
        <v>0</v>
      </c>
      <c r="J471" s="19" cm="1">
        <f t="array" ref="J471">IF(R471&lt;&gt;0,IF(H471&gt;=3,_xlfn.XLOOKUP(A471,'외운 것'!A2:A271,'외운 것'!C2:C271,0,1),0),"3차")</f>
        <v>0</v>
      </c>
      <c r="K471" s="8" cm="1">
        <f t="array" ref="K471">IF(P471&lt;&gt;0,IF(N471&gt;=3,_xlfn.XLOOKUP(A471,'외운 것'!A2:A271,'외운 것'!C2:C271,0,1),0),"1차")</f>
        <v>0</v>
      </c>
      <c r="L471" s="8" cm="1">
        <f t="array" ref="L471">IF(Q471&lt;&gt;0,IF(N471&gt;=3,_xlfn.XLOOKUP(A471,'외운 것'!A2:A271,'외운 것'!C2:C271,0,1),0),"2차")</f>
        <v>0</v>
      </c>
      <c r="M471" s="8" cm="1">
        <f t="array" ref="M471">IF(R471&lt;&gt;0,IF(O471&gt;=3,_xlfn.XLOOKUP(B471,'외운 것'!B2:B271,'외운 것'!D2:D271,0,1),0),"3차")</f>
        <v>0</v>
      </c>
      <c r="N471" s="8">
        <v>2</v>
      </c>
      <c r="O471" s="8">
        <v>3</v>
      </c>
      <c r="P471" s="8">
        <v>1</v>
      </c>
      <c r="Q471" s="8">
        <v>1</v>
      </c>
      <c r="R471" s="8">
        <v>2</v>
      </c>
    </row>
    <row r="472" ht="16" customHeight="1">
      <c r="A472" s="8">
        <v>471</v>
      </c>
      <c r="B472" s="8">
        <v>5</v>
      </c>
      <c r="C472" t="s" s="9">
        <v>1440</v>
      </c>
      <c r="D472" t="s" s="9">
        <v>1440</v>
      </c>
      <c r="E472" t="s" s="9">
        <v>1453</v>
      </c>
      <c r="F472" t="s" s="9">
        <v>1454</v>
      </c>
      <c r="G472" t="s" s="9">
        <v>1455</v>
      </c>
      <c r="H472" s="8" cm="1">
        <f t="array" ref="H472">MIN(SUMIF('외운 것'!A2:A271,A472,'외운 것'!D2:D271)+IF(R472=0,3,IF(R472=1,2,0)),3)</f>
        <v>3</v>
      </c>
      <c r="I472" s="8" cm="1">
        <f t="array" ref="I472">_xlfn.COUNTIFS('외운 것'!A2:A271,A472,'외운 것'!D2:D271,0)</f>
        <v>0</v>
      </c>
      <c r="J472" t="str" s="10" cm="1">
        <f t="array" ref="J472">IF(R472&lt;&gt;0,IF(H472&gt;=3,_xlfn.XLOOKUP(A472,'외운 것'!A2:A271,'외운 것'!C2:C271,0,1),0),"3차")</f>
        <v>3차</v>
      </c>
      <c r="K472" t="str" s="11" cm="1">
        <f t="array" ref="K472">IF(P472&lt;&gt;0,IF(N472&gt;=3,_xlfn.XLOOKUP(A472,'외운 것'!A2:A271,'외운 것'!C2:C271,0,1),0),"1차")</f>
        <v>1차</v>
      </c>
      <c r="L472" t="str" s="11" cm="1">
        <f t="array" ref="L472">IF(Q472&lt;&gt;0,IF(N472&gt;=3,_xlfn.XLOOKUP(A472,'외운 것'!A2:A271,'외운 것'!C2:C271,0,1),0),"2차")</f>
        <v>2차</v>
      </c>
      <c r="M472" t="str" s="11" cm="1">
        <f t="array" ref="M472">IF(R472&lt;&gt;0,IF(O472&gt;=3,_xlfn.XLOOKUP(B472,'외운 것'!B2:B271,'외운 것'!D2:D271,0,1),0),"3차")</f>
        <v>3차</v>
      </c>
      <c r="N472" s="8">
        <v>3</v>
      </c>
      <c r="O472" s="8">
        <v>3</v>
      </c>
      <c r="P472" s="8">
        <v>0</v>
      </c>
      <c r="Q472" s="8">
        <v>0</v>
      </c>
      <c r="R472" s="8">
        <v>0</v>
      </c>
    </row>
    <row r="473" ht="16" customHeight="1">
      <c r="A473" s="8">
        <v>472</v>
      </c>
      <c r="B473" s="8">
        <v>6</v>
      </c>
      <c r="C473" t="s" s="9">
        <v>1440</v>
      </c>
      <c r="D473" t="s" s="9">
        <v>1440</v>
      </c>
      <c r="E473" t="s" s="9">
        <v>1456</v>
      </c>
      <c r="F473" t="s" s="9">
        <v>1457</v>
      </c>
      <c r="G473" t="s" s="9">
        <v>1458</v>
      </c>
      <c r="H473" s="8" cm="1">
        <f t="array" ref="H473">MIN(SUMIF('외운 것'!A2:A271,A473,'외운 것'!D2:D271)+IF(R473=0,3,IF(R473=1,2,0)),3)</f>
        <v>3</v>
      </c>
      <c r="I473" s="8" cm="1">
        <f t="array" ref="I473">_xlfn.COUNTIFS('외운 것'!A2:A271,A473,'외운 것'!D2:D271,0)</f>
        <v>0</v>
      </c>
      <c r="J473" t="str" s="10" cm="1">
        <f t="array" ref="J473">IF(R473&lt;&gt;0,IF(H473&gt;=3,_xlfn.XLOOKUP(A473,'외운 것'!A2:A271,'외운 것'!C2:C271,0,1),0),"3차")</f>
        <v>3차</v>
      </c>
      <c r="K473" s="8" cm="1">
        <f t="array" ref="K473">IF(P473&lt;&gt;0,IF(N473&gt;=3,_xlfn.XLOOKUP(A473,'외운 것'!A2:A271,'외운 것'!C2:C271,0,1),0),"1차")</f>
        <v>0</v>
      </c>
      <c r="L473" t="str" s="11" cm="1">
        <f t="array" ref="L473">IF(Q473&lt;&gt;0,IF(N473&gt;=3,_xlfn.XLOOKUP(A473,'외운 것'!A2:A271,'외운 것'!C2:C271,0,1),0),"2차")</f>
        <v>2차</v>
      </c>
      <c r="M473" t="str" s="11" cm="1">
        <f t="array" ref="M473">IF(R473&lt;&gt;0,IF(O473&gt;=3,_xlfn.XLOOKUP(B473,'외운 것'!B2:B271,'외운 것'!D2:D271,0,1),0),"3차")</f>
        <v>3차</v>
      </c>
      <c r="N473" s="8">
        <v>2</v>
      </c>
      <c r="O473" s="8">
        <v>3</v>
      </c>
      <c r="P473" s="8">
        <v>1</v>
      </c>
      <c r="Q473" s="8">
        <v>0</v>
      </c>
      <c r="R473" s="8">
        <v>0</v>
      </c>
    </row>
    <row r="474" ht="16" customHeight="1">
      <c r="A474" s="8">
        <v>473</v>
      </c>
      <c r="B474" s="8">
        <v>7</v>
      </c>
      <c r="C474" t="s" s="9">
        <v>1440</v>
      </c>
      <c r="D474" t="s" s="9">
        <v>1440</v>
      </c>
      <c r="E474" t="s" s="9">
        <v>1459</v>
      </c>
      <c r="F474" t="s" s="9">
        <v>1460</v>
      </c>
      <c r="G474" t="s" s="9">
        <v>1461</v>
      </c>
      <c r="H474" s="8" cm="1">
        <f t="array" ref="H474">MIN(SUMIF('외운 것'!A2:A271,A474,'외운 것'!D2:D271)+IF(R474=0,3,IF(R474=1,2,0)),3)</f>
        <v>3</v>
      </c>
      <c r="I474" s="8" cm="1">
        <f t="array" ref="I474">_xlfn.COUNTIFS('외운 것'!A2:A271,A474,'외운 것'!D2:D271,0)</f>
        <v>0</v>
      </c>
      <c r="J474" t="str" s="10" cm="1">
        <f t="array" ref="J474">IF(R474&lt;&gt;0,IF(H474&gt;=3,_xlfn.XLOOKUP(A474,'외운 것'!A2:A271,'외운 것'!C2:C271,0,1),0),"3차")</f>
        <v>3차</v>
      </c>
      <c r="K474" t="str" s="11" cm="1">
        <f t="array" ref="K474">IF(P474&lt;&gt;0,IF(N474&gt;=3,_xlfn.XLOOKUP(A474,'외운 것'!A2:A271,'외운 것'!C2:C271,0,1),0),"1차")</f>
        <v>1차</v>
      </c>
      <c r="L474" t="str" s="11" cm="1">
        <f t="array" ref="L474">IF(Q474&lt;&gt;0,IF(N474&gt;=3,_xlfn.XLOOKUP(A474,'외운 것'!A2:A271,'외운 것'!C2:C271,0,1),0),"2차")</f>
        <v>2차</v>
      </c>
      <c r="M474" t="str" s="11" cm="1">
        <f t="array" ref="M474">IF(R474&lt;&gt;0,IF(O474&gt;=3,_xlfn.XLOOKUP(B474,'외운 것'!B2:B271,'외운 것'!D2:D271,0,1),0),"3차")</f>
        <v>3차</v>
      </c>
      <c r="N474" s="8">
        <v>3</v>
      </c>
      <c r="O474" s="8">
        <v>3</v>
      </c>
      <c r="P474" s="8">
        <v>0</v>
      </c>
      <c r="Q474" s="8">
        <v>0</v>
      </c>
      <c r="R474" s="8">
        <v>0</v>
      </c>
    </row>
    <row r="475" ht="16" customHeight="1">
      <c r="A475" s="8">
        <v>474</v>
      </c>
      <c r="B475" s="8">
        <v>8</v>
      </c>
      <c r="C475" t="s" s="9">
        <v>1440</v>
      </c>
      <c r="D475" t="s" s="9">
        <v>1440</v>
      </c>
      <c r="E475" t="s" s="9">
        <v>1462</v>
      </c>
      <c r="F475" t="s" s="9">
        <v>1463</v>
      </c>
      <c r="G475" t="s" s="9">
        <v>1464</v>
      </c>
      <c r="H475" s="8" cm="1">
        <f t="array" ref="H475">MIN(SUMIF('외운 것'!A2:A271,A475,'외운 것'!D2:D271)+IF(R475=0,3,IF(R475=1,2,0)),3)</f>
        <v>2</v>
      </c>
      <c r="I475" s="8" cm="1">
        <f t="array" ref="I475">_xlfn.COUNTIFS('외운 것'!A2:A271,A475,'외운 것'!D2:D271,0)</f>
        <v>0</v>
      </c>
      <c r="J475" s="19" cm="1">
        <f t="array" ref="J475">IF(R475&lt;&gt;0,IF(H475&gt;=3,_xlfn.XLOOKUP(A475,'외운 것'!A2:A271,'외운 것'!C2:C271,0,1),0),"3차")</f>
        <v>0</v>
      </c>
      <c r="K475" s="8" cm="1">
        <f t="array" ref="K475">IF(P475&lt;&gt;0,IF(N475&gt;=3,_xlfn.XLOOKUP(A475,'외운 것'!A2:A271,'외운 것'!C2:C271,0,1),0),"1차")</f>
        <v>0</v>
      </c>
      <c r="L475" s="8" cm="1">
        <f t="array" ref="L475">IF(Q475&lt;&gt;0,IF(N475&gt;=3,_xlfn.XLOOKUP(A475,'외운 것'!A2:A271,'외운 것'!C2:C271,0,1),0),"2차")</f>
        <v>0</v>
      </c>
      <c r="M475" s="8" cm="1">
        <f t="array" ref="M475">IF(R475&lt;&gt;0,IF(O475&gt;=3,_xlfn.XLOOKUP(B475,'외운 것'!B2:B271,'외운 것'!D2:D271,0,1),0),"3차")</f>
        <v>0</v>
      </c>
      <c r="N475" s="8">
        <v>2</v>
      </c>
      <c r="O475" s="8">
        <v>3</v>
      </c>
      <c r="P475" s="8">
        <v>1</v>
      </c>
      <c r="Q475" s="8">
        <v>1</v>
      </c>
      <c r="R475" s="8">
        <v>1</v>
      </c>
    </row>
    <row r="476" ht="16" customHeight="1">
      <c r="A476" s="8">
        <v>475</v>
      </c>
      <c r="B476" s="8">
        <v>9</v>
      </c>
      <c r="C476" t="s" s="9">
        <v>1440</v>
      </c>
      <c r="D476" t="s" s="9">
        <v>1440</v>
      </c>
      <c r="E476" t="s" s="9">
        <v>1465</v>
      </c>
      <c r="F476" t="s" s="9">
        <v>1466</v>
      </c>
      <c r="G476" t="s" s="9">
        <v>1467</v>
      </c>
      <c r="H476" s="8" cm="1">
        <f t="array" ref="H476">MIN(SUMIF('외운 것'!A2:A271,A476,'외운 것'!D2:D271)+IF(R476=0,3,IF(R476=1,2,0)),3)</f>
        <v>3</v>
      </c>
      <c r="I476" s="8" cm="1">
        <f t="array" ref="I476">_xlfn.COUNTIFS('외운 것'!A2:A271,A476,'외운 것'!D2:D271,0)</f>
        <v>0</v>
      </c>
      <c r="J476" t="str" s="10" cm="1">
        <f t="array" ref="J476">IF(R476&lt;&gt;0,IF(H476&gt;=3,_xlfn.XLOOKUP(A476,'외운 것'!A2:A271,'외운 것'!C2:C271,0,1),0),"3차")</f>
        <v>3차</v>
      </c>
      <c r="K476" s="8" cm="1">
        <f t="array" ref="K476">IF(P476&lt;&gt;0,IF(N476&gt;=3,_xlfn.XLOOKUP(A476,'외운 것'!A2:A271,'외운 것'!C2:C271,0,1),0),"1차")</f>
        <v>0</v>
      </c>
      <c r="L476" t="str" s="11" cm="1">
        <f t="array" ref="L476">IF(Q476&lt;&gt;0,IF(N476&gt;=3,_xlfn.XLOOKUP(A476,'외운 것'!A2:A271,'외운 것'!C2:C271,0,1),0),"2차")</f>
        <v>2차</v>
      </c>
      <c r="M476" t="str" s="11" cm="1">
        <f t="array" ref="M476">IF(R476&lt;&gt;0,IF(O476&gt;=3,_xlfn.XLOOKUP(B476,'외운 것'!B2:B271,'외운 것'!D2:D271,0,1),0),"3차")</f>
        <v>3차</v>
      </c>
      <c r="N476" s="8">
        <v>2</v>
      </c>
      <c r="O476" s="8">
        <v>3</v>
      </c>
      <c r="P476" s="8">
        <v>1</v>
      </c>
      <c r="Q476" s="8">
        <v>0</v>
      </c>
      <c r="R476" s="8">
        <v>0</v>
      </c>
    </row>
    <row r="477" ht="16" customHeight="1">
      <c r="A477" s="8">
        <v>476</v>
      </c>
      <c r="B477" s="8">
        <v>10</v>
      </c>
      <c r="C477" t="s" s="9">
        <v>1440</v>
      </c>
      <c r="D477" t="s" s="9">
        <v>1440</v>
      </c>
      <c r="E477" t="s" s="9">
        <v>1468</v>
      </c>
      <c r="F477" t="s" s="9">
        <v>1469</v>
      </c>
      <c r="G477" t="s" s="9">
        <v>1470</v>
      </c>
      <c r="H477" s="8" cm="1">
        <f t="array" ref="H477">MIN(SUMIF('외운 것'!A2:A271,A477,'외운 것'!D2:D271)+IF(R477=0,3,IF(R477=1,2,0)),3)</f>
        <v>3</v>
      </c>
      <c r="I477" s="8" cm="1">
        <f t="array" ref="I477">_xlfn.COUNTIFS('외운 것'!A2:A271,A477,'외운 것'!D2:D271,0)</f>
        <v>0</v>
      </c>
      <c r="J477" t="str" s="10" cm="1">
        <f t="array" ref="J477">IF(R477&lt;&gt;0,IF(H477&gt;=3,_xlfn.XLOOKUP(A477,'외운 것'!A2:A271,'외운 것'!C2:C271,0,1),0),"3차")</f>
        <v>3차</v>
      </c>
      <c r="K477" s="8" cm="1">
        <f t="array" ref="K477">IF(P477&lt;&gt;0,IF(N477&gt;=3,_xlfn.XLOOKUP(A477,'외운 것'!A2:A271,'외운 것'!C2:C271,0,1),0),"1차")</f>
        <v>0</v>
      </c>
      <c r="L477" s="8" cm="1">
        <f t="array" ref="L477">IF(Q477&lt;&gt;0,IF(N477&gt;=3,_xlfn.XLOOKUP(A477,'외운 것'!A2:A271,'외운 것'!C2:C271,0,1),0),"2차")</f>
        <v>0</v>
      </c>
      <c r="M477" t="str" s="11" cm="1">
        <f t="array" ref="M477">IF(R477&lt;&gt;0,IF(O477&gt;=3,_xlfn.XLOOKUP(B477,'외운 것'!B2:B271,'외운 것'!D2:D271,0,1),0),"3차")</f>
        <v>3차</v>
      </c>
      <c r="N477" s="8">
        <v>2</v>
      </c>
      <c r="O477" s="8">
        <v>3</v>
      </c>
      <c r="P477" s="8">
        <v>1</v>
      </c>
      <c r="Q477" s="8">
        <v>1</v>
      </c>
      <c r="R477" s="8">
        <v>0</v>
      </c>
    </row>
    <row r="478" ht="16" customHeight="1">
      <c r="A478" s="8">
        <v>477</v>
      </c>
      <c r="B478" s="8">
        <v>11</v>
      </c>
      <c r="C478" t="s" s="9">
        <v>1440</v>
      </c>
      <c r="D478" t="s" s="9">
        <v>1440</v>
      </c>
      <c r="E478" t="s" s="9">
        <v>1471</v>
      </c>
      <c r="F478" t="s" s="9">
        <v>1472</v>
      </c>
      <c r="G478" t="s" s="9">
        <v>1473</v>
      </c>
      <c r="H478" s="8" cm="1">
        <f t="array" ref="H478">MIN(SUMIF('외운 것'!A2:A271,A478,'외운 것'!D2:D271)+IF(R478=0,3,IF(R478=1,2,0)),3)</f>
        <v>2</v>
      </c>
      <c r="I478" s="8" cm="1">
        <f t="array" ref="I478">_xlfn.COUNTIFS('외운 것'!A2:A271,A478,'외운 것'!D2:D271,0)</f>
        <v>0</v>
      </c>
      <c r="J478" s="19" cm="1">
        <f t="array" ref="J478">IF(R478&lt;&gt;0,IF(H478&gt;=3,_xlfn.XLOOKUP(A478,'외운 것'!A2:A271,'외운 것'!C2:C271,0,1),0),"3차")</f>
        <v>0</v>
      </c>
      <c r="K478" s="8" cm="1">
        <f t="array" ref="K478">IF(P478&lt;&gt;0,IF(N478&gt;=3,_xlfn.XLOOKUP(A478,'외운 것'!A2:A271,'외운 것'!C2:C271,0,1),0),"1차")</f>
        <v>0</v>
      </c>
      <c r="L478" s="8" cm="1">
        <f t="array" ref="L478">IF(Q478&lt;&gt;0,IF(N478&gt;=3,_xlfn.XLOOKUP(A478,'외운 것'!A2:A271,'외운 것'!C2:C271,0,1),0),"2차")</f>
        <v>0</v>
      </c>
      <c r="M478" s="8" cm="1">
        <f t="array" ref="M478">IF(R478&lt;&gt;0,IF(O478&gt;=3,_xlfn.XLOOKUP(B478,'외운 것'!B2:B271,'외운 것'!D2:D271,0,1),0),"3차")</f>
        <v>0</v>
      </c>
      <c r="N478" s="8">
        <v>2</v>
      </c>
      <c r="O478" s="8">
        <v>3</v>
      </c>
      <c r="P478" s="8">
        <v>1</v>
      </c>
      <c r="Q478" s="8">
        <v>1</v>
      </c>
      <c r="R478" s="8">
        <v>1</v>
      </c>
    </row>
    <row r="479" ht="16" customHeight="1">
      <c r="A479" s="8">
        <v>478</v>
      </c>
      <c r="B479" s="8">
        <v>14</v>
      </c>
      <c r="C479" t="s" s="9">
        <v>1440</v>
      </c>
      <c r="D479" t="s" s="9">
        <v>1440</v>
      </c>
      <c r="E479" t="s" s="9">
        <v>1474</v>
      </c>
      <c r="F479" t="s" s="9">
        <v>1475</v>
      </c>
      <c r="G479" t="s" s="9">
        <v>1476</v>
      </c>
      <c r="H479" s="8" cm="1">
        <f t="array" ref="H479">MIN(SUMIF('외운 것'!A2:A271,A479,'외운 것'!D2:D271)+IF(R479=0,3,IF(R479=1,2,0)),3)</f>
        <v>3</v>
      </c>
      <c r="I479" s="8" cm="1">
        <f t="array" ref="I479">_xlfn.COUNTIFS('외운 것'!A2:A271,A479,'외운 것'!D2:D271,0)</f>
        <v>0</v>
      </c>
      <c r="J479" t="str" s="10" cm="1">
        <f t="array" ref="J479">IF(R479&lt;&gt;0,IF(H479&gt;=3,_xlfn.XLOOKUP(A479,'외운 것'!A2:A271,'외운 것'!C2:C271,0,1),0),"3차")</f>
        <v>3차</v>
      </c>
      <c r="K479" s="8" cm="1">
        <f t="array" ref="K479">IF(P479&lt;&gt;0,IF(N479&gt;=3,_xlfn.XLOOKUP(A479,'외운 것'!A2:A271,'외운 것'!C2:C271,0,1),0),"1차")</f>
        <v>0</v>
      </c>
      <c r="L479" t="str" s="11" cm="1">
        <f t="array" ref="L479">IF(Q479&lt;&gt;0,IF(N479&gt;=3,_xlfn.XLOOKUP(A479,'외운 것'!A2:A271,'외운 것'!C2:C271,0,1),0),"2차")</f>
        <v>2차</v>
      </c>
      <c r="M479" t="str" s="11" cm="1">
        <f t="array" ref="M479">IF(R479&lt;&gt;0,IF(O479&gt;=3,_xlfn.XLOOKUP(B479,'외운 것'!B2:B271,'외운 것'!D2:D271,0,1),0),"3차")</f>
        <v>3차</v>
      </c>
      <c r="N479" s="8">
        <v>2</v>
      </c>
      <c r="O479" s="8">
        <v>3</v>
      </c>
      <c r="P479" s="8">
        <v>1</v>
      </c>
      <c r="Q479" s="8">
        <v>0</v>
      </c>
      <c r="R479" s="8">
        <v>0</v>
      </c>
    </row>
    <row r="480" ht="16" customHeight="1">
      <c r="A480" s="8">
        <v>479</v>
      </c>
      <c r="B480" s="8">
        <v>21</v>
      </c>
      <c r="C480" t="s" s="9">
        <v>1440</v>
      </c>
      <c r="D480" t="s" s="9">
        <v>1440</v>
      </c>
      <c r="E480" t="s" s="9">
        <v>1477</v>
      </c>
      <c r="F480" t="s" s="9">
        <v>1478</v>
      </c>
      <c r="G480" t="s" s="9">
        <v>1479</v>
      </c>
      <c r="H480" s="8" cm="1">
        <f t="array" ref="H480">MIN(SUMIF('외운 것'!A2:A271,A480,'외운 것'!D2:D271)+IF(R480=0,3,IF(R480=1,2,0)),3)</f>
        <v>3</v>
      </c>
      <c r="I480" s="8" cm="1">
        <f t="array" ref="I480">_xlfn.COUNTIFS('외운 것'!A2:A271,A480,'외운 것'!D2:D271,0)</f>
        <v>0</v>
      </c>
      <c r="J480" t="str" s="10" cm="1">
        <f t="array" ref="J480">IF(R480&lt;&gt;0,IF(H480&gt;=3,_xlfn.XLOOKUP(A480,'외운 것'!A2:A271,'외운 것'!C2:C271,0,1),0),"3차")</f>
        <v>3차</v>
      </c>
      <c r="K480" s="8" cm="1">
        <f t="array" ref="K480">IF(P480&lt;&gt;0,IF(N480&gt;=3,_xlfn.XLOOKUP(A480,'외운 것'!A2:A271,'외운 것'!C2:C271,0,1),0),"1차")</f>
        <v>0</v>
      </c>
      <c r="L480" t="str" s="11" cm="1">
        <f t="array" ref="L480">IF(Q480&lt;&gt;0,IF(N480&gt;=3,_xlfn.XLOOKUP(A480,'외운 것'!A2:A271,'외운 것'!C2:C271,0,1),0),"2차")</f>
        <v>2차</v>
      </c>
      <c r="M480" t="str" s="11" cm="1">
        <f t="array" ref="M480">IF(R480&lt;&gt;0,IF(O480&gt;=3,_xlfn.XLOOKUP(B480,'외운 것'!B2:B271,'외운 것'!D2:D271,0,1),0),"3차")</f>
        <v>3차</v>
      </c>
      <c r="N480" s="8">
        <v>2</v>
      </c>
      <c r="O480" s="8">
        <v>3</v>
      </c>
      <c r="P480" s="8">
        <v>1</v>
      </c>
      <c r="Q480" s="8">
        <v>0</v>
      </c>
      <c r="R480" s="8">
        <v>0</v>
      </c>
    </row>
    <row r="481" ht="16" customHeight="1">
      <c r="A481" s="8">
        <v>480</v>
      </c>
      <c r="B481" s="8">
        <v>22</v>
      </c>
      <c r="C481" t="s" s="9">
        <v>1440</v>
      </c>
      <c r="D481" t="s" s="9">
        <v>1440</v>
      </c>
      <c r="E481" t="s" s="9">
        <v>1480</v>
      </c>
      <c r="F481" t="s" s="9">
        <v>1481</v>
      </c>
      <c r="G481" t="s" s="9">
        <v>1482</v>
      </c>
      <c r="H481" s="8" cm="1">
        <f t="array" ref="H481">MIN(SUMIF('외운 것'!A2:A271,A481,'외운 것'!D2:D271)+IF(R481=0,3,IF(R481=1,2,0)),3)</f>
        <v>3</v>
      </c>
      <c r="I481" s="8" cm="1">
        <f t="array" ref="I481">_xlfn.COUNTIFS('외운 것'!A2:A271,A481,'외운 것'!D2:D271,0)</f>
        <v>0</v>
      </c>
      <c r="J481" t="str" s="10" cm="1">
        <f t="array" ref="J481">IF(R481&lt;&gt;0,IF(H481&gt;=3,_xlfn.XLOOKUP(A481,'외운 것'!A2:A271,'외운 것'!C2:C271,0,1),0),"3차")</f>
        <v>3차</v>
      </c>
      <c r="K481" s="8" cm="1">
        <f t="array" ref="K481">IF(P481&lt;&gt;0,IF(N481&gt;=3,_xlfn.XLOOKUP(A481,'외운 것'!A2:A271,'외운 것'!C2:C271,0,1),0),"1차")</f>
        <v>0</v>
      </c>
      <c r="L481" t="str" s="11" cm="1">
        <f t="array" ref="L481">IF(Q481&lt;&gt;0,IF(N481&gt;=3,_xlfn.XLOOKUP(A481,'외운 것'!A2:A271,'외운 것'!C2:C271,0,1),0),"2차")</f>
        <v>2차</v>
      </c>
      <c r="M481" t="str" s="11" cm="1">
        <f t="array" ref="M481">IF(R481&lt;&gt;0,IF(O481&gt;=3,_xlfn.XLOOKUP(B481,'외운 것'!B2:B271,'외운 것'!D2:D271,0,1),0),"3차")</f>
        <v>3차</v>
      </c>
      <c r="N481" s="8">
        <v>2</v>
      </c>
      <c r="O481" s="8">
        <v>3</v>
      </c>
      <c r="P481" s="8">
        <v>1</v>
      </c>
      <c r="Q481" s="8">
        <v>0</v>
      </c>
      <c r="R481" s="8">
        <v>0</v>
      </c>
    </row>
    <row r="482" ht="16" customHeight="1">
      <c r="A482" s="8">
        <v>481</v>
      </c>
      <c r="B482" s="8">
        <v>23</v>
      </c>
      <c r="C482" t="s" s="9">
        <v>1440</v>
      </c>
      <c r="D482" t="s" s="9">
        <v>1440</v>
      </c>
      <c r="E482" t="s" s="9">
        <v>1483</v>
      </c>
      <c r="F482" t="s" s="9">
        <v>1484</v>
      </c>
      <c r="G482" t="s" s="9">
        <v>1485</v>
      </c>
      <c r="H482" s="8" cm="1">
        <f t="array" ref="H482">MIN(SUMIF('외운 것'!A2:A271,A482,'외운 것'!D2:D271)+IF(R482=0,3,IF(R482=1,2,0)),3)</f>
        <v>2</v>
      </c>
      <c r="I482" s="8" cm="1">
        <f t="array" ref="I482">_xlfn.COUNTIFS('외운 것'!A2:A271,A482,'외운 것'!D2:D271,0)</f>
        <v>0</v>
      </c>
      <c r="J482" s="19" cm="1">
        <f t="array" ref="J482">IF(R482&lt;&gt;0,IF(H482&gt;=3,_xlfn.XLOOKUP(A482,'외운 것'!A2:A271,'외운 것'!C2:C271,0,1),0),"3차")</f>
        <v>0</v>
      </c>
      <c r="K482" s="8" cm="1">
        <f t="array" ref="K482">IF(P482&lt;&gt;0,IF(N482&gt;=3,_xlfn.XLOOKUP(A482,'외운 것'!A2:A271,'외운 것'!C2:C271,0,1),0),"1차")</f>
        <v>0</v>
      </c>
      <c r="L482" s="8" cm="1">
        <f t="array" ref="L482">IF(Q482&lt;&gt;0,IF(N482&gt;=3,_xlfn.XLOOKUP(A482,'외운 것'!A2:A271,'외운 것'!C2:C271,0,1),0),"2차")</f>
        <v>0</v>
      </c>
      <c r="M482" s="8" cm="1">
        <f t="array" ref="M482">IF(R482&lt;&gt;0,IF(O482&gt;=3,_xlfn.XLOOKUP(B482,'외운 것'!B2:B271,'외운 것'!D2:D271,0,1),0),"3차")</f>
        <v>0</v>
      </c>
      <c r="N482" s="8">
        <v>0</v>
      </c>
      <c r="O482" s="8">
        <v>3</v>
      </c>
      <c r="P482" s="8">
        <v>2</v>
      </c>
      <c r="Q482" s="8">
        <v>3</v>
      </c>
      <c r="R482" s="8">
        <v>1</v>
      </c>
    </row>
    <row r="483" ht="16" customHeight="1">
      <c r="A483" s="8">
        <v>482</v>
      </c>
      <c r="B483" s="8">
        <v>24</v>
      </c>
      <c r="C483" t="s" s="9">
        <v>1440</v>
      </c>
      <c r="D483" t="s" s="9">
        <v>1440</v>
      </c>
      <c r="E483" t="s" s="9">
        <v>1486</v>
      </c>
      <c r="F483" t="s" s="9">
        <v>1487</v>
      </c>
      <c r="G483" t="s" s="9">
        <v>1488</v>
      </c>
      <c r="H483" s="8" cm="1">
        <f t="array" ref="H483">MIN(SUMIF('외운 것'!A2:A271,A483,'외운 것'!D2:D271)+IF(R483=0,3,IF(R483=1,2,0)),3)</f>
        <v>2</v>
      </c>
      <c r="I483" s="8" cm="1">
        <f t="array" ref="I483">_xlfn.COUNTIFS('외운 것'!A2:A271,A483,'외운 것'!D2:D271,0)</f>
        <v>0</v>
      </c>
      <c r="J483" s="19" cm="1">
        <f t="array" ref="J483">IF(R483&lt;&gt;0,IF(H483&gt;=3,_xlfn.XLOOKUP(A483,'외운 것'!A2:A271,'외운 것'!C2:C271,0,1),0),"3차")</f>
        <v>0</v>
      </c>
      <c r="K483" s="8" cm="1">
        <f t="array" ref="K483">IF(P483&lt;&gt;0,IF(N483&gt;=3,_xlfn.XLOOKUP(A483,'외운 것'!A2:A271,'외운 것'!C2:C271,0,1),0),"1차")</f>
        <v>0</v>
      </c>
      <c r="L483" s="8" cm="1">
        <f t="array" ref="L483">IF(Q483&lt;&gt;0,IF(N483&gt;=3,_xlfn.XLOOKUP(A483,'외운 것'!A2:A271,'외운 것'!C2:C271,0,1),0),"2차")</f>
        <v>0</v>
      </c>
      <c r="M483" s="8" cm="1">
        <f t="array" ref="M483">IF(R483&lt;&gt;0,IF(O483&gt;=3,_xlfn.XLOOKUP(B483,'외운 것'!B2:B271,'외운 것'!D2:D271,0,1),0),"3차")</f>
        <v>0</v>
      </c>
      <c r="N483" s="8">
        <v>2</v>
      </c>
      <c r="O483" s="8">
        <v>3</v>
      </c>
      <c r="P483" s="8">
        <v>1</v>
      </c>
      <c r="Q483" s="8">
        <v>1</v>
      </c>
      <c r="R483" s="8">
        <v>1</v>
      </c>
    </row>
    <row r="484" ht="16" customHeight="1">
      <c r="A484" s="8">
        <v>483</v>
      </c>
      <c r="B484" s="8">
        <v>25</v>
      </c>
      <c r="C484" t="s" s="9">
        <v>1440</v>
      </c>
      <c r="D484" t="s" s="9">
        <v>1440</v>
      </c>
      <c r="E484" t="s" s="9">
        <v>1489</v>
      </c>
      <c r="F484" t="s" s="9">
        <v>1490</v>
      </c>
      <c r="G484" t="s" s="9">
        <v>1491</v>
      </c>
      <c r="H484" s="8" cm="1">
        <f t="array" ref="H484">MIN(SUMIF('외운 것'!A2:A271,A484,'외운 것'!D2:D271)+IF(R484=0,3,IF(R484=1,2,0)),3)</f>
        <v>3</v>
      </c>
      <c r="I484" s="8" cm="1">
        <f t="array" ref="I484">_xlfn.COUNTIFS('외운 것'!A2:A271,A484,'외운 것'!D2:D271,0)</f>
        <v>0</v>
      </c>
      <c r="J484" t="str" s="10" cm="1">
        <f t="array" ref="J484">IF(R484&lt;&gt;0,IF(H484&gt;=3,_xlfn.XLOOKUP(A484,'외운 것'!A2:A271,'외운 것'!C2:C271,0,1),0),"3차")</f>
        <v>3차</v>
      </c>
      <c r="K484" t="str" s="11" cm="1">
        <f t="array" ref="K484">IF(P484&lt;&gt;0,IF(N484&gt;=3,_xlfn.XLOOKUP(A484,'외운 것'!A2:A271,'외운 것'!C2:C271,0,1),0),"1차")</f>
        <v>1차</v>
      </c>
      <c r="L484" t="str" s="11" cm="1">
        <f t="array" ref="L484">IF(Q484&lt;&gt;0,IF(N484&gt;=3,_xlfn.XLOOKUP(A484,'외운 것'!A2:A271,'외운 것'!C2:C271,0,1),0),"2차")</f>
        <v>2차</v>
      </c>
      <c r="M484" t="str" s="11" cm="1">
        <f t="array" ref="M484">IF(R484&lt;&gt;0,IF(O484&gt;=3,_xlfn.XLOOKUP(B484,'외운 것'!B2:B271,'외운 것'!D2:D271,0,1),0),"3차")</f>
        <v>3차</v>
      </c>
      <c r="N484" s="8">
        <v>3</v>
      </c>
      <c r="O484" s="8">
        <v>3</v>
      </c>
      <c r="P484" s="8">
        <v>0</v>
      </c>
      <c r="Q484" s="8">
        <v>0</v>
      </c>
      <c r="R484" s="8">
        <v>0</v>
      </c>
    </row>
    <row r="485" ht="16" customHeight="1">
      <c r="A485" s="8">
        <v>484</v>
      </c>
      <c r="B485" s="8">
        <v>26</v>
      </c>
      <c r="C485" t="s" s="9">
        <v>1440</v>
      </c>
      <c r="D485" t="s" s="9">
        <v>1440</v>
      </c>
      <c r="E485" t="s" s="9">
        <v>1492</v>
      </c>
      <c r="F485" t="s" s="9">
        <v>1493</v>
      </c>
      <c r="G485" t="s" s="9">
        <v>1494</v>
      </c>
      <c r="H485" s="8" cm="1">
        <f t="array" ref="H485">MIN(SUMIF('외운 것'!A2:A271,A485,'외운 것'!D2:D271)+IF(R485=0,3,IF(R485=1,2,0)),3)</f>
        <v>3</v>
      </c>
      <c r="I485" s="8" cm="1">
        <f t="array" ref="I485">_xlfn.COUNTIFS('외운 것'!A2:A271,A485,'외운 것'!D2:D271,0)</f>
        <v>0</v>
      </c>
      <c r="J485" t="str" s="10" cm="1">
        <f t="array" ref="J485">IF(R485&lt;&gt;0,IF(H485&gt;=3,_xlfn.XLOOKUP(A485,'외운 것'!A2:A271,'외운 것'!C2:C271,0,1),0),"3차")</f>
        <v>3차</v>
      </c>
      <c r="K485" s="8" cm="1">
        <f t="array" ref="K485">IF(P485&lt;&gt;0,IF(N485&gt;=3,_xlfn.XLOOKUP(A485,'외운 것'!A2:A271,'외운 것'!C2:C271,0,1),0),"1차")</f>
        <v>0</v>
      </c>
      <c r="L485" t="str" s="11" cm="1">
        <f t="array" ref="L485">IF(Q485&lt;&gt;0,IF(N485&gt;=3,_xlfn.XLOOKUP(A485,'외운 것'!A2:A271,'외운 것'!C2:C271,0,1),0),"2차")</f>
        <v>2차</v>
      </c>
      <c r="M485" t="str" s="11" cm="1">
        <f t="array" ref="M485">IF(R485&lt;&gt;0,IF(O485&gt;=3,_xlfn.XLOOKUP(B485,'외운 것'!B2:B271,'외운 것'!D2:D271,0,1),0),"3차")</f>
        <v>3차</v>
      </c>
      <c r="N485" s="8">
        <v>0</v>
      </c>
      <c r="O485" s="8">
        <v>3</v>
      </c>
      <c r="P485" s="8">
        <v>3</v>
      </c>
      <c r="Q485" s="8">
        <v>0</v>
      </c>
      <c r="R485" s="8">
        <v>0</v>
      </c>
    </row>
    <row r="486" ht="16" customHeight="1">
      <c r="A486" s="8">
        <v>485</v>
      </c>
      <c r="B486" s="8">
        <v>27</v>
      </c>
      <c r="C486" t="s" s="9">
        <v>1440</v>
      </c>
      <c r="D486" t="s" s="9">
        <v>1440</v>
      </c>
      <c r="E486" t="s" s="9">
        <v>1495</v>
      </c>
      <c r="F486" t="s" s="9">
        <v>1496</v>
      </c>
      <c r="G486" t="s" s="9">
        <v>1497</v>
      </c>
      <c r="H486" s="8" cm="1">
        <f t="array" ref="H486">MIN(SUMIF('외운 것'!A2:A271,A486,'외운 것'!D2:D271)+IF(R486=0,3,IF(R486=1,2,0)),3)</f>
        <v>3</v>
      </c>
      <c r="I486" s="8" cm="1">
        <f t="array" ref="I486">_xlfn.COUNTIFS('외운 것'!A2:A271,A486,'외운 것'!D2:D271,0)</f>
        <v>0</v>
      </c>
      <c r="J486" t="str" s="10" cm="1">
        <f t="array" ref="J486">IF(R486&lt;&gt;0,IF(H486&gt;=3,_xlfn.XLOOKUP(A486,'외운 것'!A2:A271,'외운 것'!C2:C271,0,1),0),"3차")</f>
        <v>3차</v>
      </c>
      <c r="K486" t="str" s="11" cm="1">
        <f t="array" ref="K486">IF(P486&lt;&gt;0,IF(N486&gt;=3,_xlfn.XLOOKUP(A486,'외운 것'!A2:A271,'외운 것'!C2:C271,0,1),0),"1차")</f>
        <v>1차</v>
      </c>
      <c r="L486" t="str" s="11" cm="1">
        <f t="array" ref="L486">IF(Q486&lt;&gt;0,IF(N486&gt;=3,_xlfn.XLOOKUP(A486,'외운 것'!A2:A271,'외운 것'!C2:C271,0,1),0),"2차")</f>
        <v>2차</v>
      </c>
      <c r="M486" t="str" s="11" cm="1">
        <f t="array" ref="M486">IF(R486&lt;&gt;0,IF(O486&gt;=3,_xlfn.XLOOKUP(B486,'외운 것'!B2:B271,'외운 것'!D2:D271,0,1),0),"3차")</f>
        <v>3차</v>
      </c>
      <c r="N486" s="8">
        <v>3</v>
      </c>
      <c r="O486" s="8">
        <v>3</v>
      </c>
      <c r="P486" s="8">
        <v>0</v>
      </c>
      <c r="Q486" s="8">
        <v>0</v>
      </c>
      <c r="R486" s="8">
        <v>0</v>
      </c>
    </row>
    <row r="487" ht="16" customHeight="1">
      <c r="A487" s="8">
        <v>486</v>
      </c>
      <c r="B487" s="8">
        <v>28</v>
      </c>
      <c r="C487" t="s" s="9">
        <v>1440</v>
      </c>
      <c r="D487" t="s" s="9">
        <v>1440</v>
      </c>
      <c r="E487" t="s" s="9">
        <v>1498</v>
      </c>
      <c r="F487" t="s" s="9">
        <v>1499</v>
      </c>
      <c r="G487" t="s" s="9">
        <v>1500</v>
      </c>
      <c r="H487" s="8" cm="1">
        <f t="array" ref="H487">MIN(SUMIF('외운 것'!A2:A271,A487,'외운 것'!D2:D271)+IF(R487=0,3,IF(R487=1,2,0)),3)</f>
        <v>0</v>
      </c>
      <c r="I487" s="8" cm="1">
        <f t="array" ref="I487">_xlfn.COUNTIFS('외운 것'!A2:A271,A487,'외운 것'!D2:D271,0)</f>
        <v>0</v>
      </c>
      <c r="J487" s="19" cm="1">
        <f t="array" ref="J487">IF(R487&lt;&gt;0,IF(H487&gt;=3,_xlfn.XLOOKUP(A487,'외운 것'!A2:A271,'외운 것'!C2:C271,0,1),0),"3차")</f>
        <v>0</v>
      </c>
      <c r="K487" s="8" cm="1">
        <f t="array" ref="K487">IF(P487&lt;&gt;0,IF(N487&gt;=3,_xlfn.XLOOKUP(A487,'외운 것'!A2:A271,'외운 것'!C2:C271,0,1),0),"1차")</f>
        <v>0</v>
      </c>
      <c r="L487" s="8" cm="1">
        <f t="array" ref="L487">IF(Q487&lt;&gt;0,IF(N487&gt;=3,_xlfn.XLOOKUP(A487,'외운 것'!A2:A271,'외운 것'!C2:C271,0,1),0),"2차")</f>
        <v>0</v>
      </c>
      <c r="M487" s="8" cm="1">
        <f t="array" ref="M487">IF(R487&lt;&gt;0,IF(O487&gt;=3,_xlfn.XLOOKUP(B487,'외운 것'!B2:B271,'외운 것'!D2:D271,0,1),0),"3차")</f>
        <v>0</v>
      </c>
      <c r="N487" s="8">
        <v>0</v>
      </c>
      <c r="O487" s="8">
        <v>3</v>
      </c>
      <c r="P487" s="8">
        <v>2</v>
      </c>
      <c r="Q487" s="8">
        <v>1</v>
      </c>
      <c r="R487" s="8">
        <v>5</v>
      </c>
    </row>
    <row r="488" ht="16" customHeight="1">
      <c r="A488" s="8">
        <v>487</v>
      </c>
      <c r="B488" s="8">
        <v>29</v>
      </c>
      <c r="C488" t="s" s="9">
        <v>1440</v>
      </c>
      <c r="D488" t="s" s="9">
        <v>1440</v>
      </c>
      <c r="E488" t="s" s="9">
        <v>1501</v>
      </c>
      <c r="F488" t="s" s="9">
        <v>1502</v>
      </c>
      <c r="G488" t="s" s="9">
        <v>1503</v>
      </c>
      <c r="H488" s="8" cm="1">
        <f t="array" ref="H488">MIN(SUMIF('외운 것'!A2:A271,A488,'외운 것'!D2:D271)+IF(R488=0,3,IF(R488=1,2,0)),3)</f>
        <v>3</v>
      </c>
      <c r="I488" s="8" cm="1">
        <f t="array" ref="I488">_xlfn.COUNTIFS('외운 것'!A2:A271,A488,'외운 것'!D2:D271,0)</f>
        <v>0</v>
      </c>
      <c r="J488" t="str" s="10" cm="1">
        <f t="array" ref="J488">IF(R488&lt;&gt;0,IF(H488&gt;=3,_xlfn.XLOOKUP(A488,'외운 것'!A2:A271,'외운 것'!C2:C271,0,1),0),"3차")</f>
        <v>3차</v>
      </c>
      <c r="K488" t="str" s="11" cm="1">
        <f t="array" ref="K488">IF(P488&lt;&gt;0,IF(N488&gt;=3,_xlfn.XLOOKUP(A488,'외운 것'!A2:A271,'외운 것'!C2:C271,0,1),0),"1차")</f>
        <v>1차</v>
      </c>
      <c r="L488" t="str" s="11" cm="1">
        <f t="array" ref="L488">IF(Q488&lt;&gt;0,IF(N488&gt;=3,_xlfn.XLOOKUP(A488,'외운 것'!A2:A271,'외운 것'!C2:C271,0,1),0),"2차")</f>
        <v>2차</v>
      </c>
      <c r="M488" t="str" s="11" cm="1">
        <f t="array" ref="M488">IF(R488&lt;&gt;0,IF(O488&gt;=3,_xlfn.XLOOKUP(B488,'외운 것'!B2:B271,'외운 것'!D2:D271,0,1),0),"3차")</f>
        <v>3차</v>
      </c>
      <c r="N488" s="8">
        <v>3</v>
      </c>
      <c r="O488" s="8">
        <v>3</v>
      </c>
      <c r="P488" s="8">
        <v>0</v>
      </c>
      <c r="Q488" s="8">
        <v>0</v>
      </c>
      <c r="R488" s="8">
        <v>0</v>
      </c>
    </row>
    <row r="489" ht="16" customHeight="1">
      <c r="A489" s="8">
        <v>488</v>
      </c>
      <c r="B489" s="8">
        <v>30</v>
      </c>
      <c r="C489" t="s" s="9">
        <v>1440</v>
      </c>
      <c r="D489" t="s" s="9">
        <v>1440</v>
      </c>
      <c r="E489" t="s" s="9">
        <v>1504</v>
      </c>
      <c r="F489" t="s" s="9">
        <v>1505</v>
      </c>
      <c r="G489" t="s" s="9">
        <v>1506</v>
      </c>
      <c r="H489" s="8" cm="1">
        <f t="array" ref="H489">MIN(SUMIF('외운 것'!A2:A271,A489,'외운 것'!D2:D271)+IF(R489=0,3,IF(R489=1,2,0)),3)</f>
        <v>3</v>
      </c>
      <c r="I489" s="8" cm="1">
        <f t="array" ref="I489">_xlfn.COUNTIFS('외운 것'!A2:A271,A489,'외운 것'!D2:D271,0)</f>
        <v>0</v>
      </c>
      <c r="J489" t="str" s="10" cm="1">
        <f t="array" ref="J489">IF(R489&lt;&gt;0,IF(H489&gt;=3,_xlfn.XLOOKUP(A489,'외운 것'!A2:A271,'외운 것'!C2:C271,0,1),0),"3차")</f>
        <v>3차</v>
      </c>
      <c r="K489" t="str" s="11" cm="1">
        <f t="array" ref="K489">IF(P489&lt;&gt;0,IF(N489&gt;=3,_xlfn.XLOOKUP(A489,'외운 것'!A2:A271,'외운 것'!C2:C271,0,1),0),"1차")</f>
        <v>1차</v>
      </c>
      <c r="L489" t="str" s="11" cm="1">
        <f t="array" ref="L489">IF(Q489&lt;&gt;0,IF(N489&gt;=3,_xlfn.XLOOKUP(A489,'외운 것'!A2:A271,'외운 것'!C2:C271,0,1),0),"2차")</f>
        <v>2차</v>
      </c>
      <c r="M489" t="str" s="11" cm="1">
        <f t="array" ref="M489">IF(R489&lt;&gt;0,IF(O489&gt;=3,_xlfn.XLOOKUP(B489,'외운 것'!B2:B271,'외운 것'!D2:D271,0,1),0),"3차")</f>
        <v>3차</v>
      </c>
      <c r="N489" s="8">
        <v>3</v>
      </c>
      <c r="O489" s="8">
        <v>3</v>
      </c>
      <c r="P489" s="8">
        <v>0</v>
      </c>
      <c r="Q489" s="8">
        <v>0</v>
      </c>
      <c r="R489" s="8">
        <v>0</v>
      </c>
    </row>
    <row r="490" ht="16" customHeight="1">
      <c r="A490" s="8">
        <v>489</v>
      </c>
      <c r="B490" s="8">
        <v>1</v>
      </c>
      <c r="C490" t="s" s="9">
        <v>1507</v>
      </c>
      <c r="D490" t="s" s="9">
        <v>1507</v>
      </c>
      <c r="E490" t="s" s="9">
        <v>1508</v>
      </c>
      <c r="F490" t="s" s="9">
        <v>1509</v>
      </c>
      <c r="G490" t="s" s="9">
        <v>1510</v>
      </c>
      <c r="H490" s="8" cm="1">
        <f t="array" ref="H490">MIN(SUMIF('외운 것'!A2:A271,A490,'외운 것'!D2:D271)+IF(R490=0,3,IF(R490=1,2,0)),3)</f>
        <v>0</v>
      </c>
      <c r="I490" s="8" cm="1">
        <f t="array" ref="I490">_xlfn.COUNTIFS('외운 것'!A2:A271,A490,'외운 것'!D2:D271,0)</f>
        <v>0</v>
      </c>
      <c r="J490" s="19" cm="1">
        <f t="array" ref="J490">IF(R490&lt;&gt;0,IF(H490&gt;=3,_xlfn.XLOOKUP(A490,'외운 것'!A2:A271,'외운 것'!C2:C271,0,1),0),"3차")</f>
        <v>0</v>
      </c>
      <c r="K490" s="8" cm="1">
        <f t="array" ref="K490">IF(P490&lt;&gt;0,IF(N490&gt;=3,_xlfn.XLOOKUP(A490,'외운 것'!A2:A271,'외운 것'!C2:C271,0,1),0),"1차")</f>
        <v>0</v>
      </c>
      <c r="L490" s="8" cm="1">
        <f t="array" ref="L490">IF(Q490&lt;&gt;0,IF(N490&gt;=3,_xlfn.XLOOKUP(A490,'외운 것'!A2:A271,'외운 것'!C2:C271,0,1),0),"2차")</f>
        <v>0</v>
      </c>
      <c r="M490" s="8" cm="1">
        <f t="array" ref="M490">IF(R490&lt;&gt;0,IF(O490&gt;=3,_xlfn.XLOOKUP(B490,'외운 것'!B2:B271,'외운 것'!D2:D271,0,1),0),"3차")</f>
        <v>0</v>
      </c>
      <c r="N490" s="8">
        <v>2</v>
      </c>
      <c r="O490" s="8">
        <v>3</v>
      </c>
      <c r="P490" s="8">
        <v>1</v>
      </c>
      <c r="Q490" s="8">
        <v>2</v>
      </c>
      <c r="R490" s="8">
        <v>2</v>
      </c>
    </row>
    <row r="491" ht="16" customHeight="1">
      <c r="A491" s="8">
        <v>490</v>
      </c>
      <c r="B491" s="8">
        <v>2</v>
      </c>
      <c r="C491" t="s" s="9">
        <v>1507</v>
      </c>
      <c r="D491" t="s" s="9">
        <v>1507</v>
      </c>
      <c r="E491" t="s" s="9">
        <v>1511</v>
      </c>
      <c r="F491" t="s" s="9">
        <v>1512</v>
      </c>
      <c r="G491" t="s" s="9">
        <v>1513</v>
      </c>
      <c r="H491" s="8" cm="1">
        <f t="array" ref="H491">MIN(SUMIF('외운 것'!A2:A271,A491,'외운 것'!D2:D271)+IF(R491=0,3,IF(R491=1,2,0)),3)</f>
        <v>0</v>
      </c>
      <c r="I491" s="8" cm="1">
        <f t="array" ref="I491">_xlfn.COUNTIFS('외운 것'!A2:A271,A491,'외운 것'!D2:D271,0)</f>
        <v>0</v>
      </c>
      <c r="J491" s="19" cm="1">
        <f t="array" ref="J491">IF(R491&lt;&gt;0,IF(H491&gt;=3,_xlfn.XLOOKUP(A491,'외운 것'!A2:A271,'외운 것'!C2:C271,0,1),0),"3차")</f>
        <v>0</v>
      </c>
      <c r="K491" s="8" cm="1">
        <f t="array" ref="K491">IF(P491&lt;&gt;0,IF(N491&gt;=3,_xlfn.XLOOKUP(A491,'외운 것'!A2:A271,'외운 것'!C2:C271,0,1),0),"1차")</f>
        <v>0</v>
      </c>
      <c r="L491" s="8" cm="1">
        <f t="array" ref="L491">IF(Q491&lt;&gt;0,IF(N491&gt;=3,_xlfn.XLOOKUP(A491,'외운 것'!A2:A271,'외운 것'!C2:C271,0,1),0),"2차")</f>
        <v>0</v>
      </c>
      <c r="M491" s="8" cm="1">
        <f t="array" ref="M491">IF(R491&lt;&gt;0,IF(O491&gt;=3,_xlfn.XLOOKUP(B491,'외운 것'!B2:B271,'외운 것'!D2:D271,0,1),0),"3차")</f>
        <v>0</v>
      </c>
      <c r="N491" s="8">
        <v>0</v>
      </c>
      <c r="O491" s="8">
        <v>3</v>
      </c>
      <c r="P491" s="8">
        <v>6</v>
      </c>
      <c r="Q491" s="8">
        <v>5</v>
      </c>
      <c r="R491" s="8">
        <v>3</v>
      </c>
    </row>
    <row r="492" ht="16" customHeight="1">
      <c r="A492" s="8">
        <v>491</v>
      </c>
      <c r="B492" s="8">
        <v>3</v>
      </c>
      <c r="C492" t="s" s="9">
        <v>1507</v>
      </c>
      <c r="D492" t="s" s="9">
        <v>1507</v>
      </c>
      <c r="E492" t="s" s="9">
        <v>1514</v>
      </c>
      <c r="F492" t="s" s="9">
        <v>1515</v>
      </c>
      <c r="G492" t="s" s="9">
        <v>1516</v>
      </c>
      <c r="H492" s="8" cm="1">
        <f t="array" ref="H492">MIN(SUMIF('외운 것'!A2:A271,A492,'외운 것'!D2:D271)+IF(R492=0,3,IF(R492=1,2,0)),3)</f>
        <v>0</v>
      </c>
      <c r="I492" s="8" cm="1">
        <f t="array" ref="I492">_xlfn.COUNTIFS('외운 것'!A2:A271,A492,'외운 것'!D2:D271,0)</f>
        <v>0</v>
      </c>
      <c r="J492" s="19" cm="1">
        <f t="array" ref="J492">IF(R492&lt;&gt;0,IF(H492&gt;=3,_xlfn.XLOOKUP(A492,'외운 것'!A2:A271,'외운 것'!C2:C271,0,1),0),"3차")</f>
        <v>0</v>
      </c>
      <c r="K492" s="8" cm="1">
        <f t="array" ref="K492">IF(P492&lt;&gt;0,IF(N492&gt;=3,_xlfn.XLOOKUP(A492,'외운 것'!A2:A271,'외운 것'!C2:C271,0,1),0),"1차")</f>
        <v>0</v>
      </c>
      <c r="L492" s="8" cm="1">
        <f t="array" ref="L492">IF(Q492&lt;&gt;0,IF(N492&gt;=3,_xlfn.XLOOKUP(A492,'외운 것'!A2:A271,'외운 것'!C2:C271,0,1),0),"2차")</f>
        <v>0</v>
      </c>
      <c r="M492" s="8" cm="1">
        <f t="array" ref="M492">IF(R492&lt;&gt;0,IF(O492&gt;=3,_xlfn.XLOOKUP(B492,'외운 것'!B2:B271,'외운 것'!D2:D271,0,1),0),"3차")</f>
        <v>0</v>
      </c>
      <c r="N492" s="8">
        <v>0</v>
      </c>
      <c r="O492" s="8">
        <v>3</v>
      </c>
      <c r="P492" s="8">
        <v>4</v>
      </c>
      <c r="Q492" s="8">
        <v>4</v>
      </c>
      <c r="R492" s="8">
        <v>2</v>
      </c>
    </row>
    <row r="493" ht="16" customHeight="1">
      <c r="A493" s="8">
        <v>492</v>
      </c>
      <c r="B493" s="8">
        <v>4</v>
      </c>
      <c r="C493" t="s" s="9">
        <v>1507</v>
      </c>
      <c r="D493" t="s" s="9">
        <v>1507</v>
      </c>
      <c r="E493" t="s" s="9">
        <v>1517</v>
      </c>
      <c r="F493" t="s" s="9">
        <v>1518</v>
      </c>
      <c r="G493" t="s" s="9">
        <v>1519</v>
      </c>
      <c r="H493" s="8" cm="1">
        <f t="array" ref="H493">MIN(SUMIF('외운 것'!A2:A271,A493,'외운 것'!D2:D271)+IF(R493=0,3,IF(R493=1,2,0)),3)</f>
        <v>3</v>
      </c>
      <c r="I493" s="8" cm="1">
        <f t="array" ref="I493">_xlfn.COUNTIFS('외운 것'!A2:A271,A493,'외운 것'!D2:D271,0)</f>
        <v>0</v>
      </c>
      <c r="J493" t="str" s="10" cm="1">
        <f t="array" ref="J493">IF(R493&lt;&gt;0,IF(H493&gt;=3,_xlfn.XLOOKUP(A493,'외운 것'!A2:A271,'외운 것'!C2:C271,0,1),0),"3차")</f>
        <v>3차</v>
      </c>
      <c r="K493" s="8" cm="1">
        <f t="array" ref="K493">IF(P493&lt;&gt;0,IF(N493&gt;=3,_xlfn.XLOOKUP(A493,'외운 것'!A2:A271,'외운 것'!C2:C271,0,1),0),"1차")</f>
        <v>0</v>
      </c>
      <c r="L493" t="str" s="11" cm="1">
        <f t="array" ref="L493">IF(Q493&lt;&gt;0,IF(N493&gt;=3,_xlfn.XLOOKUP(A493,'외운 것'!A2:A271,'외운 것'!C2:C271,0,1),0),"2차")</f>
        <v>2차</v>
      </c>
      <c r="M493" t="str" s="11" cm="1">
        <f t="array" ref="M493">IF(R493&lt;&gt;0,IF(O493&gt;=3,_xlfn.XLOOKUP(B493,'외운 것'!B2:B271,'외운 것'!D2:D271,0,1),0),"3차")</f>
        <v>3차</v>
      </c>
      <c r="N493" s="8">
        <v>0</v>
      </c>
      <c r="O493" s="8">
        <v>3</v>
      </c>
      <c r="P493" s="8">
        <v>3</v>
      </c>
      <c r="Q493" s="8">
        <v>0</v>
      </c>
      <c r="R493" s="8">
        <v>0</v>
      </c>
    </row>
    <row r="494" ht="16" customHeight="1">
      <c r="A494" s="8">
        <v>493</v>
      </c>
      <c r="B494" s="8">
        <v>5</v>
      </c>
      <c r="C494" t="s" s="9">
        <v>1507</v>
      </c>
      <c r="D494" t="s" s="9">
        <v>1507</v>
      </c>
      <c r="E494" t="s" s="9">
        <v>1520</v>
      </c>
      <c r="F494" t="s" s="9">
        <v>1521</v>
      </c>
      <c r="G494" t="s" s="9">
        <v>1522</v>
      </c>
      <c r="H494" s="8" cm="1">
        <f t="array" ref="H494">MIN(SUMIF('외운 것'!A2:A271,A494,'외운 것'!D2:D271)+IF(R494=0,3,IF(R494=1,2,0)),3)</f>
        <v>0</v>
      </c>
      <c r="I494" s="8" cm="1">
        <f t="array" ref="I494">_xlfn.COUNTIFS('외운 것'!A2:A271,A494,'외운 것'!D2:D271,0)</f>
        <v>0</v>
      </c>
      <c r="J494" s="19" cm="1">
        <f t="array" ref="J494">IF(R494&lt;&gt;0,IF(H494&gt;=3,_xlfn.XLOOKUP(A494,'외운 것'!A2:A271,'외운 것'!C2:C271,0,1),0),"3차")</f>
        <v>0</v>
      </c>
      <c r="K494" s="8" cm="1">
        <f t="array" ref="K494">IF(P494&lt;&gt;0,IF(N494&gt;=3,_xlfn.XLOOKUP(A494,'외운 것'!A2:A271,'외운 것'!C2:C271,0,1),0),"1차")</f>
        <v>0</v>
      </c>
      <c r="L494" s="8" cm="1">
        <f t="array" ref="L494">IF(Q494&lt;&gt;0,IF(N494&gt;=3,_xlfn.XLOOKUP(A494,'외운 것'!A2:A271,'외운 것'!C2:C271,0,1),0),"2차")</f>
        <v>0</v>
      </c>
      <c r="M494" s="8" cm="1">
        <f t="array" ref="M494">IF(R494&lt;&gt;0,IF(O494&gt;=3,_xlfn.XLOOKUP(B494,'외운 것'!B2:B271,'외운 것'!D2:D271,0,1),0),"3차")</f>
        <v>0</v>
      </c>
      <c r="N494" s="8">
        <v>0</v>
      </c>
      <c r="O494" s="8">
        <v>3</v>
      </c>
      <c r="P494" s="8">
        <v>2</v>
      </c>
      <c r="Q494" s="8">
        <v>4</v>
      </c>
      <c r="R494" s="8">
        <v>4</v>
      </c>
    </row>
    <row r="495" ht="16" customHeight="1">
      <c r="A495" s="8">
        <v>494</v>
      </c>
      <c r="B495" s="8">
        <v>6</v>
      </c>
      <c r="C495" t="s" s="9">
        <v>1507</v>
      </c>
      <c r="D495" t="s" s="9">
        <v>1507</v>
      </c>
      <c r="E495" t="s" s="9">
        <v>1523</v>
      </c>
      <c r="F495" t="s" s="9">
        <v>1524</v>
      </c>
      <c r="G495" t="s" s="9">
        <v>1525</v>
      </c>
      <c r="H495" s="8" cm="1">
        <f t="array" ref="H495">MIN(SUMIF('외운 것'!A2:A271,A495,'외운 것'!D2:D271)+IF(R495=0,3,IF(R495=1,2,0)),3)</f>
        <v>3</v>
      </c>
      <c r="I495" s="8" cm="1">
        <f t="array" ref="I495">_xlfn.COUNTIFS('외운 것'!A2:A271,A495,'외운 것'!D2:D271,0)</f>
        <v>0</v>
      </c>
      <c r="J495" t="str" s="10" cm="1">
        <f t="array" ref="J495">IF(R495&lt;&gt;0,IF(H495&gt;=3,_xlfn.XLOOKUP(A495,'외운 것'!A2:A271,'외운 것'!C2:C271,0,1),0),"3차")</f>
        <v>3차</v>
      </c>
      <c r="K495" s="8" cm="1">
        <f t="array" ref="K495">IF(P495&lt;&gt;0,IF(N495&gt;=3,_xlfn.XLOOKUP(A495,'외운 것'!A2:A271,'외운 것'!C2:C271,0,1),0),"1차")</f>
        <v>0</v>
      </c>
      <c r="L495" t="str" s="11" cm="1">
        <f t="array" ref="L495">IF(Q495&lt;&gt;0,IF(N495&gt;=3,_xlfn.XLOOKUP(A495,'외운 것'!A2:A271,'외운 것'!C2:C271,0,1),0),"2차")</f>
        <v>2차</v>
      </c>
      <c r="M495" t="str" s="11" cm="1">
        <f t="array" ref="M495">IF(R495&lt;&gt;0,IF(O495&gt;=3,_xlfn.XLOOKUP(B495,'외운 것'!B2:B271,'외운 것'!D2:D271,0,1),0),"3차")</f>
        <v>3차</v>
      </c>
      <c r="N495" s="8">
        <v>2</v>
      </c>
      <c r="O495" s="8">
        <v>3</v>
      </c>
      <c r="P495" s="8">
        <v>1</v>
      </c>
      <c r="Q495" s="8">
        <v>0</v>
      </c>
      <c r="R495" s="8">
        <v>0</v>
      </c>
    </row>
    <row r="496" ht="16" customHeight="1">
      <c r="A496" s="8">
        <v>495</v>
      </c>
      <c r="B496" s="8">
        <v>7</v>
      </c>
      <c r="C496" t="s" s="9">
        <v>1507</v>
      </c>
      <c r="D496" t="s" s="9">
        <v>1507</v>
      </c>
      <c r="E496" t="s" s="9">
        <v>1526</v>
      </c>
      <c r="F496" t="s" s="9">
        <v>1527</v>
      </c>
      <c r="G496" t="s" s="9">
        <v>1528</v>
      </c>
      <c r="H496" s="8" cm="1">
        <f t="array" ref="H496">MIN(SUMIF('외운 것'!A2:A271,A496,'외운 것'!D2:D271)+IF(R496=0,3,IF(R496=1,2,0)),3)</f>
        <v>2</v>
      </c>
      <c r="I496" s="8" cm="1">
        <f t="array" ref="I496">_xlfn.COUNTIFS('외운 것'!A2:A271,A496,'외운 것'!D2:D271,0)</f>
        <v>0</v>
      </c>
      <c r="J496" s="19" cm="1">
        <f t="array" ref="J496">IF(R496&lt;&gt;0,IF(H496&gt;=3,_xlfn.XLOOKUP(A496,'외운 것'!A2:A271,'외운 것'!C2:C271,0,1),0),"3차")</f>
        <v>0</v>
      </c>
      <c r="K496" s="8" cm="1">
        <f t="array" ref="K496">IF(P496&lt;&gt;0,IF(N496&gt;=3,_xlfn.XLOOKUP(A496,'외운 것'!A2:A271,'외운 것'!C2:C271,0,1),0),"1차")</f>
        <v>0</v>
      </c>
      <c r="L496" s="8" cm="1">
        <f t="array" ref="L496">IF(Q496&lt;&gt;0,IF(N496&gt;=3,_xlfn.XLOOKUP(A496,'외운 것'!A2:A271,'외운 것'!C2:C271,0,1),0),"2차")</f>
        <v>0</v>
      </c>
      <c r="M496" s="8" cm="1">
        <f t="array" ref="M496">IF(R496&lt;&gt;0,IF(O496&gt;=3,_xlfn.XLOOKUP(B496,'외운 것'!B2:B271,'외운 것'!D2:D271,0,1),0),"3차")</f>
        <v>0</v>
      </c>
      <c r="N496" s="8">
        <v>0</v>
      </c>
      <c r="O496" s="8">
        <v>3</v>
      </c>
      <c r="P496" s="8">
        <v>2</v>
      </c>
      <c r="Q496" s="8">
        <v>1</v>
      </c>
      <c r="R496" s="8">
        <v>1</v>
      </c>
    </row>
    <row r="497" ht="16" customHeight="1">
      <c r="A497" s="8">
        <v>496</v>
      </c>
      <c r="B497" s="8">
        <v>8</v>
      </c>
      <c r="C497" t="s" s="9">
        <v>1507</v>
      </c>
      <c r="D497" t="s" s="9">
        <v>1507</v>
      </c>
      <c r="E497" t="s" s="9">
        <v>1529</v>
      </c>
      <c r="F497" t="s" s="9">
        <v>1530</v>
      </c>
      <c r="G497" t="s" s="9">
        <v>1531</v>
      </c>
      <c r="H497" s="8" cm="1">
        <f t="array" ref="H497">MIN(SUMIF('외운 것'!A2:A271,A497,'외운 것'!D2:D271)+IF(R497=0,3,IF(R497=1,2,0)),3)</f>
        <v>0</v>
      </c>
      <c r="I497" s="8" cm="1">
        <f t="array" ref="I497">_xlfn.COUNTIFS('외운 것'!A2:A271,A497,'외운 것'!D2:D271,0)</f>
        <v>0</v>
      </c>
      <c r="J497" s="19" cm="1">
        <f t="array" ref="J497">IF(R497&lt;&gt;0,IF(H497&gt;=3,_xlfn.XLOOKUP(A497,'외운 것'!A2:A271,'외운 것'!C2:C271,0,1),0),"3차")</f>
        <v>0</v>
      </c>
      <c r="K497" s="8" cm="1">
        <f t="array" ref="K497">IF(P497&lt;&gt;0,IF(N497&gt;=3,_xlfn.XLOOKUP(A497,'외운 것'!A2:A271,'외운 것'!C2:C271,0,1),0),"1차")</f>
        <v>0</v>
      </c>
      <c r="L497" s="8" cm="1">
        <f t="array" ref="L497">IF(Q497&lt;&gt;0,IF(N497&gt;=3,_xlfn.XLOOKUP(A497,'외운 것'!A2:A271,'외운 것'!C2:C271,0,1),0),"2차")</f>
        <v>0</v>
      </c>
      <c r="M497" s="8" cm="1">
        <f t="array" ref="M497">IF(R497&lt;&gt;0,IF(O497&gt;=3,_xlfn.XLOOKUP(B497,'외운 것'!B2:B271,'외운 것'!D2:D271,0,1),0),"3차")</f>
        <v>0</v>
      </c>
      <c r="N497" s="8">
        <v>0</v>
      </c>
      <c r="O497" s="8">
        <v>3</v>
      </c>
      <c r="P497" s="8">
        <v>7</v>
      </c>
      <c r="Q497" s="8">
        <v>3</v>
      </c>
      <c r="R497" s="8">
        <v>5</v>
      </c>
    </row>
    <row r="498" ht="16" customHeight="1">
      <c r="A498" s="8">
        <v>497</v>
      </c>
      <c r="B498" s="8">
        <v>9</v>
      </c>
      <c r="C498" t="s" s="9">
        <v>1507</v>
      </c>
      <c r="D498" t="s" s="9">
        <v>1507</v>
      </c>
      <c r="E498" t="s" s="9">
        <v>1532</v>
      </c>
      <c r="F498" t="s" s="9">
        <v>1533</v>
      </c>
      <c r="G498" t="s" s="9">
        <v>1534</v>
      </c>
      <c r="H498" s="8" cm="1">
        <f t="array" ref="H498">MIN(SUMIF('외운 것'!A2:A271,A498,'외운 것'!D2:D271)+IF(R498=0,3,IF(R498=1,2,0)),3)</f>
        <v>3</v>
      </c>
      <c r="I498" s="8" cm="1">
        <f t="array" ref="I498">_xlfn.COUNTIFS('외운 것'!A2:A271,A498,'외운 것'!D2:D271,0)</f>
        <v>0</v>
      </c>
      <c r="J498" t="str" s="10" cm="1">
        <f t="array" ref="J498">IF(R498&lt;&gt;0,IF(H498&gt;=3,_xlfn.XLOOKUP(A498,'외운 것'!A2:A271,'외운 것'!C2:C271,0,1),0),"3차")</f>
        <v>3차</v>
      </c>
      <c r="K498" s="8" cm="1">
        <f t="array" ref="K498">IF(P498&lt;&gt;0,IF(N498&gt;=3,_xlfn.XLOOKUP(A498,'외운 것'!A2:A271,'외운 것'!C2:C271,0,1),0),"1차")</f>
        <v>0</v>
      </c>
      <c r="L498" s="8" cm="1">
        <f t="array" ref="L498">IF(Q498&lt;&gt;0,IF(N498&gt;=3,_xlfn.XLOOKUP(A498,'외운 것'!A2:A271,'외운 것'!C2:C271,0,1),0),"2차")</f>
        <v>0</v>
      </c>
      <c r="M498" t="str" s="11" cm="1">
        <f t="array" ref="M498">IF(R498&lt;&gt;0,IF(O498&gt;=3,_xlfn.XLOOKUP(B498,'외운 것'!B2:B271,'외운 것'!D2:D271,0,1),0),"3차")</f>
        <v>3차</v>
      </c>
      <c r="N498" s="8">
        <v>0</v>
      </c>
      <c r="O498" s="8">
        <v>3</v>
      </c>
      <c r="P498" s="8">
        <v>3</v>
      </c>
      <c r="Q498" s="8">
        <v>1</v>
      </c>
      <c r="R498" s="8">
        <v>0</v>
      </c>
    </row>
    <row r="499" ht="16" customHeight="1">
      <c r="A499" s="8">
        <v>498</v>
      </c>
      <c r="B499" s="8">
        <v>10</v>
      </c>
      <c r="C499" t="s" s="9">
        <v>1507</v>
      </c>
      <c r="D499" t="s" s="9">
        <v>1507</v>
      </c>
      <c r="E499" t="s" s="9">
        <v>1535</v>
      </c>
      <c r="F499" t="s" s="9">
        <v>1536</v>
      </c>
      <c r="G499" t="s" s="9">
        <v>1537</v>
      </c>
      <c r="H499" s="8" cm="1">
        <f t="array" ref="H499">MIN(SUMIF('외운 것'!A2:A271,A499,'외운 것'!D2:D271)+IF(R499=0,3,IF(R499=1,2,0)),3)</f>
        <v>3</v>
      </c>
      <c r="I499" s="8" cm="1">
        <f t="array" ref="I499">_xlfn.COUNTIFS('외운 것'!A2:A271,A499,'외운 것'!D2:D271,0)</f>
        <v>0</v>
      </c>
      <c r="J499" t="str" s="10" cm="1">
        <f t="array" ref="J499">IF(R499&lt;&gt;0,IF(H499&gt;=3,_xlfn.XLOOKUP(A499,'외운 것'!A2:A271,'외운 것'!C2:C271,0,1),0),"3차")</f>
        <v>3차</v>
      </c>
      <c r="K499" s="8" cm="1">
        <f t="array" ref="K499">IF(P499&lt;&gt;0,IF(N499&gt;=3,_xlfn.XLOOKUP(A499,'외운 것'!A2:A271,'외운 것'!C2:C271,0,1),0),"1차")</f>
        <v>0</v>
      </c>
      <c r="L499" s="8" cm="1">
        <f t="array" ref="L499">IF(Q499&lt;&gt;0,IF(N499&gt;=3,_xlfn.XLOOKUP(A499,'외운 것'!A2:A271,'외운 것'!C2:C271,0,1),0),"2차")</f>
        <v>0</v>
      </c>
      <c r="M499" t="str" s="11" cm="1">
        <f t="array" ref="M499">IF(R499&lt;&gt;0,IF(O499&gt;=3,_xlfn.XLOOKUP(B499,'외운 것'!B2:B271,'외운 것'!D2:D271,0,1),0),"3차")</f>
        <v>3차</v>
      </c>
      <c r="N499" s="8">
        <v>0</v>
      </c>
      <c r="O499" s="8">
        <v>3</v>
      </c>
      <c r="P499" s="8">
        <v>3</v>
      </c>
      <c r="Q499" s="8">
        <v>1</v>
      </c>
      <c r="R499" s="8">
        <v>0</v>
      </c>
    </row>
    <row r="500" ht="16" customHeight="1">
      <c r="A500" s="8">
        <v>499</v>
      </c>
      <c r="B500" s="8">
        <v>11</v>
      </c>
      <c r="C500" t="s" s="9">
        <v>1507</v>
      </c>
      <c r="D500" t="s" s="9">
        <v>1507</v>
      </c>
      <c r="E500" t="s" s="9">
        <v>1538</v>
      </c>
      <c r="F500" t="s" s="9">
        <v>1539</v>
      </c>
      <c r="G500" t="s" s="9">
        <v>1540</v>
      </c>
      <c r="H500" s="8" cm="1">
        <f t="array" ref="H500">MIN(SUMIF('외운 것'!A2:A271,A500,'외운 것'!D2:D271)+IF(R500=0,3,IF(R500=1,2,0)),3)</f>
        <v>0</v>
      </c>
      <c r="I500" s="8" cm="1">
        <f t="array" ref="I500">_xlfn.COUNTIFS('외운 것'!A2:A271,A500,'외운 것'!D2:D271,0)</f>
        <v>0</v>
      </c>
      <c r="J500" s="19" cm="1">
        <f t="array" ref="J500">IF(R500&lt;&gt;0,IF(H500&gt;=3,_xlfn.XLOOKUP(A500,'외운 것'!A2:A271,'외운 것'!C2:C271,0,1),0),"3차")</f>
        <v>0</v>
      </c>
      <c r="K500" s="8" cm="1">
        <f t="array" ref="K500">IF(P500&lt;&gt;0,IF(N500&gt;=3,_xlfn.XLOOKUP(A500,'외운 것'!A2:A271,'외운 것'!C2:C271,0,1),0),"1차")</f>
        <v>0</v>
      </c>
      <c r="L500" s="8" cm="1">
        <f t="array" ref="L500">IF(Q500&lt;&gt;0,IF(N500&gt;=3,_xlfn.XLOOKUP(A500,'외운 것'!A2:A271,'외운 것'!C2:C271,0,1),0),"2차")</f>
        <v>0</v>
      </c>
      <c r="M500" s="8" cm="1">
        <f t="array" ref="M500">IF(R500&lt;&gt;0,IF(O500&gt;=3,_xlfn.XLOOKUP(B500,'외운 것'!B2:B271,'외운 것'!D2:D271,0,1),0),"3차")</f>
        <v>0</v>
      </c>
      <c r="N500" s="8">
        <v>2</v>
      </c>
      <c r="O500" s="8">
        <v>3</v>
      </c>
      <c r="P500" s="8">
        <v>1</v>
      </c>
      <c r="Q500" s="8">
        <v>2</v>
      </c>
      <c r="R500" s="8">
        <v>4</v>
      </c>
    </row>
    <row r="501" ht="16" customHeight="1">
      <c r="A501" s="8">
        <v>500</v>
      </c>
      <c r="B501" s="8">
        <v>12</v>
      </c>
      <c r="C501" t="s" s="9">
        <v>1507</v>
      </c>
      <c r="D501" t="s" s="9">
        <v>1507</v>
      </c>
      <c r="E501" t="s" s="9">
        <v>1541</v>
      </c>
      <c r="F501" t="s" s="9">
        <v>1542</v>
      </c>
      <c r="G501" t="s" s="9">
        <v>1543</v>
      </c>
      <c r="H501" s="8" cm="1">
        <f t="array" ref="H501">MIN(SUMIF('외운 것'!A2:A271,A501,'외운 것'!D2:D271)+IF(R501=0,3,IF(R501=1,2,0)),3)</f>
        <v>3</v>
      </c>
      <c r="I501" s="8" cm="1">
        <f t="array" ref="I501">_xlfn.COUNTIFS('외운 것'!A2:A271,A501,'외운 것'!D2:D271,0)</f>
        <v>0</v>
      </c>
      <c r="J501" t="str" s="10" cm="1">
        <f t="array" ref="J501">IF(R501&lt;&gt;0,IF(H501&gt;=3,_xlfn.XLOOKUP(A501,'외운 것'!A2:A271,'외운 것'!C2:C271,0,1),0),"3차")</f>
        <v>3차</v>
      </c>
      <c r="K501" s="8" cm="1">
        <f t="array" ref="K501">IF(P501&lt;&gt;0,IF(N501&gt;=3,_xlfn.XLOOKUP(A501,'외운 것'!A2:A271,'외운 것'!C2:C271,0,1),0),"1차")</f>
        <v>0</v>
      </c>
      <c r="L501" s="8" cm="1">
        <f t="array" ref="L501">IF(Q501&lt;&gt;0,IF(N501&gt;=3,_xlfn.XLOOKUP(A501,'외운 것'!A2:A271,'외운 것'!C2:C271,0,1),0),"2차")</f>
        <v>0</v>
      </c>
      <c r="M501" t="str" s="11" cm="1">
        <f t="array" ref="M501">IF(R501&lt;&gt;0,IF(O501&gt;=3,_xlfn.XLOOKUP(B501,'외운 것'!B2:B271,'외운 것'!D2:D271,0,1),0),"3차")</f>
        <v>3차</v>
      </c>
      <c r="N501" s="8">
        <v>0</v>
      </c>
      <c r="O501" s="8">
        <v>3</v>
      </c>
      <c r="P501" s="8">
        <v>2</v>
      </c>
      <c r="Q501" s="8">
        <v>1</v>
      </c>
      <c r="R501" s="8">
        <v>0</v>
      </c>
    </row>
    <row r="502" ht="16" customHeight="1">
      <c r="A502" s="8">
        <v>501</v>
      </c>
      <c r="B502" s="8">
        <v>13</v>
      </c>
      <c r="C502" t="s" s="9">
        <v>1507</v>
      </c>
      <c r="D502" t="s" s="9">
        <v>1507</v>
      </c>
      <c r="E502" t="s" s="9">
        <v>1544</v>
      </c>
      <c r="F502" t="s" s="9">
        <v>1545</v>
      </c>
      <c r="G502" t="s" s="9">
        <v>1546</v>
      </c>
      <c r="H502" s="8" cm="1">
        <f t="array" ref="H502">MIN(SUMIF('외운 것'!A2:A271,A502,'외운 것'!D2:D271)+IF(R502=0,3,IF(R502=1,2,0)),3)</f>
        <v>3</v>
      </c>
      <c r="I502" s="8" cm="1">
        <f t="array" ref="I502">_xlfn.COUNTIFS('외운 것'!A2:A271,A502,'외운 것'!D2:D271,0)</f>
        <v>0</v>
      </c>
      <c r="J502" t="str" s="10" cm="1">
        <f t="array" ref="J502">IF(R502&lt;&gt;0,IF(H502&gt;=3,_xlfn.XLOOKUP(A502,'외운 것'!A2:A271,'외운 것'!C2:C271,0,1),0),"3차")</f>
        <v>3차</v>
      </c>
      <c r="K502" s="8" cm="1">
        <f t="array" ref="K502">IF(P502&lt;&gt;0,IF(N502&gt;=3,_xlfn.XLOOKUP(A502,'외운 것'!A2:A271,'외운 것'!C2:C271,0,1),0),"1차")</f>
        <v>0</v>
      </c>
      <c r="L502" t="str" s="11" cm="1">
        <f t="array" ref="L502">IF(Q502&lt;&gt;0,IF(N502&gt;=3,_xlfn.XLOOKUP(A502,'외운 것'!A2:A271,'외운 것'!C2:C271,0,1),0),"2차")</f>
        <v>2차</v>
      </c>
      <c r="M502" t="str" s="11" cm="1">
        <f t="array" ref="M502">IF(R502&lt;&gt;0,IF(O502&gt;=3,_xlfn.XLOOKUP(B502,'외운 것'!B2:B271,'외운 것'!D2:D271,0,1),0),"3차")</f>
        <v>3차</v>
      </c>
      <c r="N502" s="8">
        <v>2</v>
      </c>
      <c r="O502" s="8">
        <v>3</v>
      </c>
      <c r="P502" s="8">
        <v>1</v>
      </c>
      <c r="Q502" s="8">
        <v>0</v>
      </c>
      <c r="R502" s="8">
        <v>0</v>
      </c>
    </row>
    <row r="503" ht="16" customHeight="1">
      <c r="A503" s="8">
        <v>502</v>
      </c>
      <c r="B503" s="8">
        <v>14</v>
      </c>
      <c r="C503" t="s" s="9">
        <v>1507</v>
      </c>
      <c r="D503" t="s" s="9">
        <v>1507</v>
      </c>
      <c r="E503" t="s" s="9">
        <v>1547</v>
      </c>
      <c r="F503" t="s" s="9">
        <v>1548</v>
      </c>
      <c r="G503" t="s" s="9">
        <v>1549</v>
      </c>
      <c r="H503" s="8" cm="1">
        <f t="array" ref="H503">MIN(SUMIF('외운 것'!A2:A271,A503,'외운 것'!D2:D271)+IF(R503=0,3,IF(R503=1,2,0)),3)</f>
        <v>3</v>
      </c>
      <c r="I503" s="8" cm="1">
        <f t="array" ref="I503">_xlfn.COUNTIFS('외운 것'!A2:A271,A503,'외운 것'!D2:D271,0)</f>
        <v>0</v>
      </c>
      <c r="J503" t="str" s="10" cm="1">
        <f t="array" ref="J503">IF(R503&lt;&gt;0,IF(H503&gt;=3,_xlfn.XLOOKUP(A503,'외운 것'!A2:A271,'외운 것'!C2:C271,0,1),0),"3차")</f>
        <v>3차</v>
      </c>
      <c r="K503" t="str" s="11" cm="1">
        <f t="array" ref="K503">IF(P503&lt;&gt;0,IF(N503&gt;=3,_xlfn.XLOOKUP(A503,'외운 것'!A2:A271,'외운 것'!C2:C271,0,1),0),"1차")</f>
        <v>1차</v>
      </c>
      <c r="L503" t="str" s="11" cm="1">
        <f t="array" ref="L503">IF(Q503&lt;&gt;0,IF(N503&gt;=3,_xlfn.XLOOKUP(A503,'외운 것'!A2:A271,'외운 것'!C2:C271,0,1),0),"2차")</f>
        <v>2차</v>
      </c>
      <c r="M503" t="str" s="11" cm="1">
        <f t="array" ref="M503">IF(R503&lt;&gt;0,IF(O503&gt;=3,_xlfn.XLOOKUP(B503,'외운 것'!B2:B271,'외운 것'!D2:D271,0,1),0),"3차")</f>
        <v>3차</v>
      </c>
      <c r="N503" s="8">
        <v>3</v>
      </c>
      <c r="O503" s="8">
        <v>3</v>
      </c>
      <c r="P503" s="8">
        <v>0</v>
      </c>
      <c r="Q503" s="8">
        <v>0</v>
      </c>
      <c r="R503" s="8">
        <v>0</v>
      </c>
    </row>
    <row r="504" ht="16" customHeight="1">
      <c r="A504" s="8">
        <v>503</v>
      </c>
      <c r="B504" s="8">
        <v>15</v>
      </c>
      <c r="C504" t="s" s="9">
        <v>1507</v>
      </c>
      <c r="D504" t="s" s="9">
        <v>1507</v>
      </c>
      <c r="E504" t="s" s="9">
        <v>1550</v>
      </c>
      <c r="F504" t="s" s="9">
        <v>1551</v>
      </c>
      <c r="G504" t="s" s="9">
        <v>1552</v>
      </c>
      <c r="H504" s="8" cm="1">
        <f t="array" ref="H504">MIN(SUMIF('외운 것'!A2:A271,A504,'외운 것'!D2:D271)+IF(R504=0,3,IF(R504=1,2,0)),3)</f>
        <v>3</v>
      </c>
      <c r="I504" s="8" cm="1">
        <f t="array" ref="I504">_xlfn.COUNTIFS('외운 것'!A2:A271,A504,'외운 것'!D2:D271,0)</f>
        <v>0</v>
      </c>
      <c r="J504" t="str" s="10" cm="1">
        <f t="array" ref="J504">IF(R504&lt;&gt;0,IF(H504&gt;=3,_xlfn.XLOOKUP(A504,'외운 것'!A2:A271,'외운 것'!C2:C271,0,1),0),"3차")</f>
        <v>3차</v>
      </c>
      <c r="K504" s="8" cm="1">
        <f t="array" ref="K504">IF(P504&lt;&gt;0,IF(N504&gt;=3,_xlfn.XLOOKUP(A504,'외운 것'!A2:A271,'외운 것'!C2:C271,0,1),0),"1차")</f>
        <v>0</v>
      </c>
      <c r="L504" t="str" s="11" cm="1">
        <f t="array" ref="L504">IF(Q504&lt;&gt;0,IF(N504&gt;=3,_xlfn.XLOOKUP(A504,'외운 것'!A2:A271,'외운 것'!C2:C271,0,1),0),"2차")</f>
        <v>2차</v>
      </c>
      <c r="M504" t="str" s="11" cm="1">
        <f t="array" ref="M504">IF(R504&lt;&gt;0,IF(O504&gt;=3,_xlfn.XLOOKUP(B504,'외운 것'!B2:B271,'외운 것'!D2:D271,0,1),0),"3차")</f>
        <v>3차</v>
      </c>
      <c r="N504" s="8">
        <v>2</v>
      </c>
      <c r="O504" s="8">
        <v>3</v>
      </c>
      <c r="P504" s="8">
        <v>1</v>
      </c>
      <c r="Q504" s="8">
        <v>0</v>
      </c>
      <c r="R504" s="8">
        <v>0</v>
      </c>
    </row>
    <row r="505" ht="16" customHeight="1">
      <c r="A505" s="8">
        <v>504</v>
      </c>
      <c r="B505" s="8">
        <v>16</v>
      </c>
      <c r="C505" t="s" s="9">
        <v>1507</v>
      </c>
      <c r="D505" t="s" s="9">
        <v>1507</v>
      </c>
      <c r="E505" t="s" s="9">
        <v>1553</v>
      </c>
      <c r="F505" t="s" s="9">
        <v>1554</v>
      </c>
      <c r="G505" t="s" s="9">
        <v>1555</v>
      </c>
      <c r="H505" s="8" cm="1">
        <f t="array" ref="H505">MIN(SUMIF('외운 것'!A2:A271,A505,'외운 것'!D2:D271)+IF(R505=0,3,IF(R505=1,2,0)),3)</f>
        <v>0</v>
      </c>
      <c r="I505" s="8" cm="1">
        <f t="array" ref="I505">_xlfn.COUNTIFS('외운 것'!A2:A271,A505,'외운 것'!D2:D271,0)</f>
        <v>0</v>
      </c>
      <c r="J505" s="19" cm="1">
        <f t="array" ref="J505">IF(R505&lt;&gt;0,IF(H505&gt;=3,_xlfn.XLOOKUP(A505,'외운 것'!A2:A271,'외운 것'!C2:C271,0,1),0),"3차")</f>
        <v>0</v>
      </c>
      <c r="K505" s="8" cm="1">
        <f t="array" ref="K505">IF(P505&lt;&gt;0,IF(N505&gt;=3,_xlfn.XLOOKUP(A505,'외운 것'!A2:A271,'외운 것'!C2:C271,0,1),0),"1차")</f>
        <v>0</v>
      </c>
      <c r="L505" s="8" cm="1">
        <f t="array" ref="L505">IF(Q505&lt;&gt;0,IF(N505&gt;=3,_xlfn.XLOOKUP(A505,'외운 것'!A2:A271,'외운 것'!C2:C271,0,1),0),"2차")</f>
        <v>0</v>
      </c>
      <c r="M505" s="8" cm="1">
        <f t="array" ref="M505">IF(R505&lt;&gt;0,IF(O505&gt;=3,_xlfn.XLOOKUP(B505,'외운 것'!B2:B271,'외운 것'!D2:D271,0,1),0),"3차")</f>
        <v>0</v>
      </c>
      <c r="N505" s="8">
        <v>0</v>
      </c>
      <c r="O505" s="8">
        <v>3</v>
      </c>
      <c r="P505" s="8">
        <v>4</v>
      </c>
      <c r="Q505" s="8">
        <v>1</v>
      </c>
      <c r="R505" s="8">
        <v>2</v>
      </c>
    </row>
    <row r="506" ht="16" customHeight="1">
      <c r="A506" s="8">
        <v>505</v>
      </c>
      <c r="B506" s="8">
        <v>17</v>
      </c>
      <c r="C506" t="s" s="9">
        <v>1507</v>
      </c>
      <c r="D506" t="s" s="9">
        <v>1507</v>
      </c>
      <c r="E506" t="s" s="9">
        <v>1556</v>
      </c>
      <c r="F506" t="s" s="9">
        <v>1557</v>
      </c>
      <c r="G506" t="s" s="9">
        <v>1558</v>
      </c>
      <c r="H506" s="8" cm="1">
        <f t="array" ref="H506">MIN(SUMIF('외운 것'!A2:A271,A506,'외운 것'!D2:D271)+IF(R506=0,3,IF(R506=1,2,0)),3)</f>
        <v>3</v>
      </c>
      <c r="I506" s="8" cm="1">
        <f t="array" ref="I506">_xlfn.COUNTIFS('외운 것'!A2:A271,A506,'외운 것'!D2:D271,0)</f>
        <v>0</v>
      </c>
      <c r="J506" t="str" s="10" cm="1">
        <f t="array" ref="J506">IF(R506&lt;&gt;0,IF(H506&gt;=3,_xlfn.XLOOKUP(A506,'외운 것'!A2:A271,'외운 것'!C2:C271,0,1),0),"3차")</f>
        <v>3차</v>
      </c>
      <c r="K506" s="8" cm="1">
        <f t="array" ref="K506">IF(P506&lt;&gt;0,IF(N506&gt;=3,_xlfn.XLOOKUP(A506,'외운 것'!A2:A271,'외운 것'!C2:C271,0,1),0),"1차")</f>
        <v>0</v>
      </c>
      <c r="L506" t="str" s="11" cm="1">
        <f t="array" ref="L506">IF(Q506&lt;&gt;0,IF(N506&gt;=3,_xlfn.XLOOKUP(A506,'외운 것'!A2:A271,'외운 것'!C2:C271,0,1),0),"2차")</f>
        <v>2차</v>
      </c>
      <c r="M506" t="str" s="11" cm="1">
        <f t="array" ref="M506">IF(R506&lt;&gt;0,IF(O506&gt;=3,_xlfn.XLOOKUP(B506,'외운 것'!B2:B271,'외운 것'!D2:D271,0,1),0),"3차")</f>
        <v>3차</v>
      </c>
      <c r="N506" s="8">
        <v>0</v>
      </c>
      <c r="O506" s="8">
        <v>3</v>
      </c>
      <c r="P506" s="8">
        <v>2</v>
      </c>
      <c r="Q506" s="8">
        <v>0</v>
      </c>
      <c r="R506" s="8">
        <v>0</v>
      </c>
    </row>
    <row r="507" ht="16" customHeight="1">
      <c r="A507" s="8">
        <v>506</v>
      </c>
      <c r="B507" s="8">
        <v>18</v>
      </c>
      <c r="C507" t="s" s="9">
        <v>1507</v>
      </c>
      <c r="D507" t="s" s="9">
        <v>1507</v>
      </c>
      <c r="E507" t="s" s="9">
        <v>1559</v>
      </c>
      <c r="F507" t="s" s="9">
        <v>1560</v>
      </c>
      <c r="G507" t="s" s="9">
        <v>1561</v>
      </c>
      <c r="H507" s="8" cm="1">
        <f t="array" ref="H507">MIN(SUMIF('외운 것'!A2:A271,A507,'외운 것'!D2:D271)+IF(R507=0,3,IF(R507=1,2,0)),3)</f>
        <v>3</v>
      </c>
      <c r="I507" s="8" cm="1">
        <f t="array" ref="I507">_xlfn.COUNTIFS('외운 것'!A2:A271,A507,'외운 것'!D2:D271,0)</f>
        <v>0</v>
      </c>
      <c r="J507" t="str" s="10" cm="1">
        <f t="array" ref="J507">IF(R507&lt;&gt;0,IF(H507&gt;=3,_xlfn.XLOOKUP(A507,'외운 것'!A2:A271,'외운 것'!C2:C271,0,1),0),"3차")</f>
        <v>3차</v>
      </c>
      <c r="K507" s="8" cm="1">
        <f t="array" ref="K507">IF(P507&lt;&gt;0,IF(N507&gt;=3,_xlfn.XLOOKUP(A507,'외운 것'!A2:A271,'외운 것'!C2:C271,0,1),0),"1차")</f>
        <v>0</v>
      </c>
      <c r="L507" t="str" s="11" cm="1">
        <f t="array" ref="L507">IF(Q507&lt;&gt;0,IF(N507&gt;=3,_xlfn.XLOOKUP(A507,'외운 것'!A2:A271,'외운 것'!C2:C271,0,1),0),"2차")</f>
        <v>2차</v>
      </c>
      <c r="M507" t="str" s="11" cm="1">
        <f t="array" ref="M507">IF(R507&lt;&gt;0,IF(O507&gt;=3,_xlfn.XLOOKUP(B507,'외운 것'!B2:B271,'외운 것'!D2:D271,0,1),0),"3차")</f>
        <v>3차</v>
      </c>
      <c r="N507" s="8">
        <v>2</v>
      </c>
      <c r="O507" s="8">
        <v>3</v>
      </c>
      <c r="P507" s="8">
        <v>1</v>
      </c>
      <c r="Q507" s="8">
        <v>0</v>
      </c>
      <c r="R507" s="8">
        <v>0</v>
      </c>
    </row>
    <row r="508" ht="16" customHeight="1">
      <c r="A508" s="8">
        <v>507</v>
      </c>
      <c r="B508" s="8">
        <v>19</v>
      </c>
      <c r="C508" t="s" s="9">
        <v>1507</v>
      </c>
      <c r="D508" t="s" s="9">
        <v>1507</v>
      </c>
      <c r="E508" t="s" s="9">
        <v>1562</v>
      </c>
      <c r="F508" t="s" s="9">
        <v>1563</v>
      </c>
      <c r="G508" t="s" s="9">
        <v>1564</v>
      </c>
      <c r="H508" s="8" cm="1">
        <f t="array" ref="H508">MIN(SUMIF('외운 것'!A2:A271,A508,'외운 것'!D2:D271)+IF(R508=0,3,IF(R508=1,2,0)),3)</f>
        <v>3</v>
      </c>
      <c r="I508" s="8" cm="1">
        <f t="array" ref="I508">_xlfn.COUNTIFS('외운 것'!A2:A271,A508,'외운 것'!D2:D271,0)</f>
        <v>0</v>
      </c>
      <c r="J508" t="str" s="10" cm="1">
        <f t="array" ref="J508">IF(R508&lt;&gt;0,IF(H508&gt;=3,_xlfn.XLOOKUP(A508,'외운 것'!A2:A271,'외운 것'!C2:C271,0,1),0),"3차")</f>
        <v>3차</v>
      </c>
      <c r="K508" s="8" cm="1">
        <f t="array" ref="K508">IF(P508&lt;&gt;0,IF(N508&gt;=3,_xlfn.XLOOKUP(A508,'외운 것'!A2:A271,'외운 것'!C2:C271,0,1),0),"1차")</f>
        <v>0</v>
      </c>
      <c r="L508" t="str" s="11" cm="1">
        <f t="array" ref="L508">IF(Q508&lt;&gt;0,IF(N508&gt;=3,_xlfn.XLOOKUP(A508,'외운 것'!A2:A271,'외운 것'!C2:C271,0,1),0),"2차")</f>
        <v>2차</v>
      </c>
      <c r="M508" t="str" s="11" cm="1">
        <f t="array" ref="M508">IF(R508&lt;&gt;0,IF(O508&gt;=3,_xlfn.XLOOKUP(B508,'외운 것'!B2:B271,'외운 것'!D2:D271,0,1),0),"3차")</f>
        <v>3차</v>
      </c>
      <c r="N508" s="8">
        <v>0</v>
      </c>
      <c r="O508" s="8">
        <v>3</v>
      </c>
      <c r="P508" s="8">
        <v>2</v>
      </c>
      <c r="Q508" s="8">
        <v>0</v>
      </c>
      <c r="R508" s="8">
        <v>0</v>
      </c>
    </row>
    <row r="509" ht="16" customHeight="1">
      <c r="A509" s="8">
        <v>508</v>
      </c>
      <c r="B509" s="8">
        <v>20</v>
      </c>
      <c r="C509" t="s" s="9">
        <v>1507</v>
      </c>
      <c r="D509" t="s" s="9">
        <v>1507</v>
      </c>
      <c r="E509" t="s" s="9">
        <v>1565</v>
      </c>
      <c r="F509" t="s" s="9">
        <v>1566</v>
      </c>
      <c r="G509" t="s" s="9">
        <v>1567</v>
      </c>
      <c r="H509" s="8" cm="1">
        <f t="array" ref="H509">MIN(SUMIF('외운 것'!A2:A271,A509,'외운 것'!D2:D271)+IF(R509=0,3,IF(R509=1,2,0)),3)</f>
        <v>3</v>
      </c>
      <c r="I509" s="8" cm="1">
        <f t="array" ref="I509">_xlfn.COUNTIFS('외운 것'!A2:A271,A509,'외운 것'!D2:D271,0)</f>
        <v>0</v>
      </c>
      <c r="J509" t="str" s="10" cm="1">
        <f t="array" ref="J509">IF(R509&lt;&gt;0,IF(H509&gt;=3,_xlfn.XLOOKUP(A509,'외운 것'!A2:A271,'외운 것'!C2:C271,0,1),0),"3차")</f>
        <v>3차</v>
      </c>
      <c r="K509" s="8" cm="1">
        <f t="array" ref="K509">IF(P509&lt;&gt;0,IF(N509&gt;=3,_xlfn.XLOOKUP(A509,'외운 것'!A2:A271,'외운 것'!C2:C271,0,1),0),"1차")</f>
        <v>0</v>
      </c>
      <c r="L509" t="str" s="11" cm="1">
        <f t="array" ref="L509">IF(Q509&lt;&gt;0,IF(N509&gt;=3,_xlfn.XLOOKUP(A509,'외운 것'!A2:A271,'외운 것'!C2:C271,0,1),0),"2차")</f>
        <v>2차</v>
      </c>
      <c r="M509" t="str" s="11" cm="1">
        <f t="array" ref="M509">IF(R509&lt;&gt;0,IF(O509&gt;=3,_xlfn.XLOOKUP(B509,'외운 것'!B2:B271,'외운 것'!D2:D271,0,1),0),"3차")</f>
        <v>3차</v>
      </c>
      <c r="N509" s="8">
        <v>2</v>
      </c>
      <c r="O509" s="8">
        <v>3</v>
      </c>
      <c r="P509" s="8">
        <v>1</v>
      </c>
      <c r="Q509" s="8">
        <v>0</v>
      </c>
      <c r="R509" s="8">
        <v>0</v>
      </c>
    </row>
    <row r="510" ht="16" customHeight="1">
      <c r="A510" s="8">
        <v>509</v>
      </c>
      <c r="B510" s="8">
        <v>1</v>
      </c>
      <c r="C510" t="s" s="9">
        <v>1568</v>
      </c>
      <c r="D510" t="s" s="9">
        <v>1568</v>
      </c>
      <c r="E510" t="s" s="9">
        <v>1569</v>
      </c>
      <c r="F510" t="s" s="9">
        <v>1570</v>
      </c>
      <c r="G510" t="s" s="9">
        <v>1571</v>
      </c>
      <c r="H510" s="8" cm="1">
        <f t="array" ref="H510">MIN(SUMIF('외운 것'!A2:A271,A510,'외운 것'!D2:D271)+IF(R510=0,3,IF(R510=1,2,0)),3)</f>
        <v>3</v>
      </c>
      <c r="I510" s="8" cm="1">
        <f t="array" ref="I510">_xlfn.COUNTIFS('외운 것'!A2:A271,A510,'외운 것'!D2:D271,0)</f>
        <v>0</v>
      </c>
      <c r="J510" t="str" s="10" cm="1">
        <f t="array" ref="J510">IF(R510&lt;&gt;0,IF(H510&gt;=3,_xlfn.XLOOKUP(A510,'외운 것'!A2:A271,'외운 것'!C2:C271,0,1),0),"3차")</f>
        <v>3차</v>
      </c>
      <c r="K510" t="str" s="11" cm="1">
        <f t="array" ref="K510">IF(P510&lt;&gt;0,IF(N510&gt;=3,_xlfn.XLOOKUP(A510,'외운 것'!A2:A271,'외운 것'!C2:C271,0,1),0),"1차")</f>
        <v>1차</v>
      </c>
      <c r="L510" t="str" s="11" cm="1">
        <f t="array" ref="L510">IF(Q510&lt;&gt;0,IF(N510&gt;=3,_xlfn.XLOOKUP(A510,'외운 것'!A2:A271,'외운 것'!C2:C271,0,1),0),"2차")</f>
        <v>2차</v>
      </c>
      <c r="M510" t="str" s="11" cm="1">
        <f t="array" ref="M510">IF(R510&lt;&gt;0,IF(O510&gt;=3,_xlfn.XLOOKUP(B510,'외운 것'!B2:B271,'외운 것'!D2:D271,0,1),0),"3차")</f>
        <v>3차</v>
      </c>
      <c r="N510" s="8">
        <v>3</v>
      </c>
      <c r="O510" s="8">
        <v>3</v>
      </c>
      <c r="P510" s="8">
        <v>0</v>
      </c>
      <c r="Q510" s="8">
        <v>0</v>
      </c>
      <c r="R510" s="8">
        <v>0</v>
      </c>
    </row>
    <row r="511" ht="16" customHeight="1">
      <c r="A511" s="8">
        <v>510</v>
      </c>
      <c r="B511" s="8">
        <v>2</v>
      </c>
      <c r="C511" t="s" s="9">
        <v>1568</v>
      </c>
      <c r="D511" t="s" s="9">
        <v>1568</v>
      </c>
      <c r="E511" t="s" s="9">
        <v>1572</v>
      </c>
      <c r="F511" t="s" s="9">
        <v>1573</v>
      </c>
      <c r="G511" t="s" s="9">
        <v>1574</v>
      </c>
      <c r="H511" s="8" cm="1">
        <f t="array" ref="H511">MIN(SUMIF('외운 것'!A2:A271,A511,'외운 것'!D2:D271)+IF(R511=0,3,IF(R511=1,2,0)),3)</f>
        <v>2</v>
      </c>
      <c r="I511" s="8" cm="1">
        <f t="array" ref="I511">_xlfn.COUNTIFS('외운 것'!A2:A271,A511,'외운 것'!D2:D271,0)</f>
        <v>0</v>
      </c>
      <c r="J511" s="19" cm="1">
        <f t="array" ref="J511">IF(R511&lt;&gt;0,IF(H511&gt;=3,_xlfn.XLOOKUP(A511,'외운 것'!A2:A271,'외운 것'!C2:C271,0,1),0),"3차")</f>
        <v>0</v>
      </c>
      <c r="K511" s="8" cm="1">
        <f t="array" ref="K511">IF(P511&lt;&gt;0,IF(N511&gt;=3,_xlfn.XLOOKUP(A511,'외운 것'!A2:A271,'외운 것'!C2:C271,0,1),0),"1차")</f>
        <v>0</v>
      </c>
      <c r="L511" s="8" cm="1">
        <f t="array" ref="L511">IF(Q511&lt;&gt;0,IF(N511&gt;=3,_xlfn.XLOOKUP(A511,'외운 것'!A2:A271,'외운 것'!C2:C271,0,1),0),"2차")</f>
        <v>0</v>
      </c>
      <c r="M511" s="8" cm="1">
        <f t="array" ref="M511">IF(R511&lt;&gt;0,IF(O511&gt;=3,_xlfn.XLOOKUP(B511,'외운 것'!B2:B271,'외운 것'!D2:D271,0,1),0),"3차")</f>
        <v>0</v>
      </c>
      <c r="N511" s="8">
        <v>2</v>
      </c>
      <c r="O511" s="8">
        <v>3</v>
      </c>
      <c r="P511" s="8">
        <v>1</v>
      </c>
      <c r="Q511" s="8">
        <v>1</v>
      </c>
      <c r="R511" s="8">
        <v>1</v>
      </c>
    </row>
    <row r="512" ht="16" customHeight="1">
      <c r="A512" s="8">
        <v>511</v>
      </c>
      <c r="B512" s="8">
        <v>3</v>
      </c>
      <c r="C512" t="s" s="9">
        <v>1568</v>
      </c>
      <c r="D512" t="s" s="9">
        <v>1568</v>
      </c>
      <c r="E512" t="s" s="9">
        <v>1575</v>
      </c>
      <c r="F512" t="s" s="9">
        <v>1576</v>
      </c>
      <c r="G512" t="s" s="9">
        <v>1577</v>
      </c>
      <c r="H512" s="8" cm="1">
        <f t="array" ref="H512">MIN(SUMIF('외운 것'!A2:A271,A512,'외운 것'!D2:D271)+IF(R512=0,3,IF(R512=1,2,0)),3)</f>
        <v>3</v>
      </c>
      <c r="I512" s="8" cm="1">
        <f t="array" ref="I512">_xlfn.COUNTIFS('외운 것'!A2:A271,A512,'외운 것'!D2:D271,0)</f>
        <v>0</v>
      </c>
      <c r="J512" t="str" s="10" cm="1">
        <f t="array" ref="J512">IF(R512&lt;&gt;0,IF(H512&gt;=3,_xlfn.XLOOKUP(A512,'외운 것'!A2:A271,'외운 것'!C2:C271,0,1),0),"3차")</f>
        <v>3차</v>
      </c>
      <c r="K512" t="str" s="11" cm="1">
        <f t="array" ref="K512">IF(P512&lt;&gt;0,IF(N512&gt;=3,_xlfn.XLOOKUP(A512,'외운 것'!A2:A271,'외운 것'!C2:C271,0,1),0),"1차")</f>
        <v>1차</v>
      </c>
      <c r="L512" t="str" s="11" cm="1">
        <f t="array" ref="L512">IF(Q512&lt;&gt;0,IF(N512&gt;=3,_xlfn.XLOOKUP(A512,'외운 것'!A2:A271,'외운 것'!C2:C271,0,1),0),"2차")</f>
        <v>2차</v>
      </c>
      <c r="M512" t="str" s="11" cm="1">
        <f t="array" ref="M512">IF(R512&lt;&gt;0,IF(O512&gt;=3,_xlfn.XLOOKUP(B512,'외운 것'!B2:B271,'외운 것'!D2:D271,0,1),0),"3차")</f>
        <v>3차</v>
      </c>
      <c r="N512" s="8">
        <v>3</v>
      </c>
      <c r="O512" s="8">
        <v>3</v>
      </c>
      <c r="P512" s="8">
        <v>0</v>
      </c>
      <c r="Q512" s="8">
        <v>0</v>
      </c>
      <c r="R512" s="8">
        <v>0</v>
      </c>
    </row>
    <row r="513" ht="16" customHeight="1">
      <c r="A513" s="8">
        <v>512</v>
      </c>
      <c r="B513" s="8">
        <v>4</v>
      </c>
      <c r="C513" t="s" s="9">
        <v>1568</v>
      </c>
      <c r="D513" t="s" s="9">
        <v>1568</v>
      </c>
      <c r="E513" t="s" s="9">
        <v>1578</v>
      </c>
      <c r="F513" t="s" s="9">
        <v>1579</v>
      </c>
      <c r="G513" t="s" s="9">
        <v>1580</v>
      </c>
      <c r="H513" s="8" cm="1">
        <f t="array" ref="H513">MIN(SUMIF('외운 것'!A2:A271,A513,'외운 것'!D2:D271)+IF(R513=0,3,IF(R513=1,2,0)),3)</f>
        <v>3</v>
      </c>
      <c r="I513" s="8" cm="1">
        <f t="array" ref="I513">_xlfn.COUNTIFS('외운 것'!A2:A271,A513,'외운 것'!D2:D271,0)</f>
        <v>0</v>
      </c>
      <c r="J513" t="str" s="10" cm="1">
        <f t="array" ref="J513">IF(R513&lt;&gt;0,IF(H513&gt;=3,_xlfn.XLOOKUP(A513,'외운 것'!A2:A271,'외운 것'!C2:C271,0,1),0),"3차")</f>
        <v>3차</v>
      </c>
      <c r="K513" s="8" cm="1">
        <f t="array" ref="K513">IF(P513&lt;&gt;0,IF(N513&gt;=3,_xlfn.XLOOKUP(A513,'외운 것'!A2:A271,'외운 것'!C2:C271,0,1),0),"1차")</f>
        <v>0</v>
      </c>
      <c r="L513" t="str" s="11" cm="1">
        <f t="array" ref="L513">IF(Q513&lt;&gt;0,IF(N513&gt;=3,_xlfn.XLOOKUP(A513,'외운 것'!A2:A271,'외운 것'!C2:C271,0,1),0),"2차")</f>
        <v>2차</v>
      </c>
      <c r="M513" t="str" s="11" cm="1">
        <f t="array" ref="M513">IF(R513&lt;&gt;0,IF(O513&gt;=3,_xlfn.XLOOKUP(B513,'외운 것'!B2:B271,'외운 것'!D2:D271,0,1),0),"3차")</f>
        <v>3차</v>
      </c>
      <c r="N513" s="8">
        <v>2</v>
      </c>
      <c r="O513" s="8">
        <v>3</v>
      </c>
      <c r="P513" s="8">
        <v>1</v>
      </c>
      <c r="Q513" s="8">
        <v>0</v>
      </c>
      <c r="R513" s="8">
        <v>0</v>
      </c>
    </row>
    <row r="514" ht="16" customHeight="1">
      <c r="A514" s="8">
        <v>513</v>
      </c>
      <c r="B514" s="8">
        <v>5</v>
      </c>
      <c r="C514" t="s" s="9">
        <v>1568</v>
      </c>
      <c r="D514" t="s" s="9">
        <v>1568</v>
      </c>
      <c r="E514" t="s" s="9">
        <v>1581</v>
      </c>
      <c r="F514" t="s" s="9">
        <v>1582</v>
      </c>
      <c r="G514" t="s" s="9">
        <v>1583</v>
      </c>
      <c r="H514" s="8" cm="1">
        <f t="array" ref="H514">MIN(SUMIF('외운 것'!A2:A271,A514,'외운 것'!D2:D271)+IF(R514=0,3,IF(R514=1,2,0)),3)</f>
        <v>3</v>
      </c>
      <c r="I514" s="8" cm="1">
        <f t="array" ref="I514">_xlfn.COUNTIFS('외운 것'!A2:A271,A514,'외운 것'!D2:D271,0)</f>
        <v>0</v>
      </c>
      <c r="J514" t="str" s="10" cm="1">
        <f t="array" ref="J514">IF(R514&lt;&gt;0,IF(H514&gt;=3,_xlfn.XLOOKUP(A514,'외운 것'!A2:A271,'외운 것'!C2:C271,0,1),0),"3차")</f>
        <v>3차</v>
      </c>
      <c r="K514" s="8" cm="1">
        <f t="array" ref="K514">IF(P514&lt;&gt;0,IF(N514&gt;=3,_xlfn.XLOOKUP(A514,'외운 것'!A2:A271,'외운 것'!C2:C271,0,1),0),"1차")</f>
        <v>0</v>
      </c>
      <c r="L514" t="str" s="11" cm="1">
        <f t="array" ref="L514">IF(Q514&lt;&gt;0,IF(N514&gt;=3,_xlfn.XLOOKUP(A514,'외운 것'!A2:A271,'외운 것'!C2:C271,0,1),0),"2차")</f>
        <v>2차</v>
      </c>
      <c r="M514" t="str" s="11" cm="1">
        <f t="array" ref="M514">IF(R514&lt;&gt;0,IF(O514&gt;=3,_xlfn.XLOOKUP(B514,'외운 것'!B2:B271,'외운 것'!D2:D271,0,1),0),"3차")</f>
        <v>3차</v>
      </c>
      <c r="N514" s="8">
        <v>0</v>
      </c>
      <c r="O514" s="8">
        <v>3</v>
      </c>
      <c r="P514" s="8">
        <v>4</v>
      </c>
      <c r="Q514" s="8">
        <v>0</v>
      </c>
      <c r="R514" s="8">
        <v>0</v>
      </c>
    </row>
    <row r="515" ht="16" customHeight="1">
      <c r="A515" s="8">
        <v>514</v>
      </c>
      <c r="B515" s="8">
        <v>6</v>
      </c>
      <c r="C515" t="s" s="9">
        <v>1568</v>
      </c>
      <c r="D515" t="s" s="9">
        <v>1568</v>
      </c>
      <c r="E515" t="s" s="9">
        <v>1584</v>
      </c>
      <c r="F515" t="s" s="9">
        <v>1585</v>
      </c>
      <c r="G515" t="s" s="9">
        <v>1586</v>
      </c>
      <c r="H515" s="8" cm="1">
        <f t="array" ref="H515">MIN(SUMIF('외운 것'!A2:A271,A515,'외운 것'!D2:D271)+IF(R515=0,3,IF(R515=1,2,0)),3)</f>
        <v>2</v>
      </c>
      <c r="I515" s="8" cm="1">
        <f t="array" ref="I515">_xlfn.COUNTIFS('외운 것'!A2:A271,A515,'외운 것'!D2:D271,0)</f>
        <v>0</v>
      </c>
      <c r="J515" s="19" cm="1">
        <f t="array" ref="J515">IF(R515&lt;&gt;0,IF(H515&gt;=3,_xlfn.XLOOKUP(A515,'외운 것'!A2:A271,'외운 것'!C2:C271,0,1),0),"3차")</f>
        <v>0</v>
      </c>
      <c r="K515" s="8" cm="1">
        <f t="array" ref="K515">IF(P515&lt;&gt;0,IF(N515&gt;=3,_xlfn.XLOOKUP(A515,'외운 것'!A2:A271,'외운 것'!C2:C271,0,1),0),"1차")</f>
        <v>0</v>
      </c>
      <c r="L515" s="8" cm="1">
        <f t="array" ref="L515">IF(Q515&lt;&gt;0,IF(N515&gt;=3,_xlfn.XLOOKUP(A515,'외운 것'!A2:A271,'외운 것'!C2:C271,0,1),0),"2차")</f>
        <v>0</v>
      </c>
      <c r="M515" s="8" cm="1">
        <f t="array" ref="M515">IF(R515&lt;&gt;0,IF(O515&gt;=3,_xlfn.XLOOKUP(B515,'외운 것'!B2:B271,'외운 것'!D2:D271,0,1),0),"3차")</f>
        <v>0</v>
      </c>
      <c r="N515" s="8">
        <v>2</v>
      </c>
      <c r="O515" s="8">
        <v>3</v>
      </c>
      <c r="P515" s="8">
        <v>1</v>
      </c>
      <c r="Q515" s="8">
        <v>1</v>
      </c>
      <c r="R515" s="8">
        <v>1</v>
      </c>
    </row>
    <row r="516" ht="16" customHeight="1">
      <c r="A516" s="8">
        <v>515</v>
      </c>
      <c r="B516" s="8">
        <v>7</v>
      </c>
      <c r="C516" t="s" s="9">
        <v>1568</v>
      </c>
      <c r="D516" t="s" s="9">
        <v>1568</v>
      </c>
      <c r="E516" t="s" s="9">
        <v>1587</v>
      </c>
      <c r="F516" t="s" s="9">
        <v>1588</v>
      </c>
      <c r="G516" t="s" s="9">
        <v>1589</v>
      </c>
      <c r="H516" s="8" cm="1">
        <f t="array" ref="H516">MIN(SUMIF('외운 것'!A2:A271,A516,'외운 것'!D2:D271)+IF(R516=0,3,IF(R516=1,2,0)),3)</f>
        <v>2</v>
      </c>
      <c r="I516" s="8" cm="1">
        <f t="array" ref="I516">_xlfn.COUNTIFS('외운 것'!A2:A271,A516,'외운 것'!D2:D271,0)</f>
        <v>0</v>
      </c>
      <c r="J516" s="19" cm="1">
        <f t="array" ref="J516">IF(R516&lt;&gt;0,IF(H516&gt;=3,_xlfn.XLOOKUP(A516,'외운 것'!A2:A271,'외운 것'!C2:C271,0,1),0),"3차")</f>
        <v>0</v>
      </c>
      <c r="K516" s="8" cm="1">
        <f t="array" ref="K516">IF(P516&lt;&gt;0,IF(N516&gt;=3,_xlfn.XLOOKUP(A516,'외운 것'!A2:A271,'외운 것'!C2:C271,0,1),0),"1차")</f>
        <v>0</v>
      </c>
      <c r="L516" s="8" cm="1">
        <f t="array" ref="L516">IF(Q516&lt;&gt;0,IF(N516&gt;=3,_xlfn.XLOOKUP(A516,'외운 것'!A2:A271,'외운 것'!C2:C271,0,1),0),"2차")</f>
        <v>0</v>
      </c>
      <c r="M516" s="8" cm="1">
        <f t="array" ref="M516">IF(R516&lt;&gt;0,IF(O516&gt;=3,_xlfn.XLOOKUP(B516,'외운 것'!B2:B271,'외운 것'!D2:D271,0,1),0),"3차")</f>
        <v>0</v>
      </c>
      <c r="N516" s="8">
        <v>0</v>
      </c>
      <c r="O516" s="8">
        <v>3</v>
      </c>
      <c r="P516" s="8">
        <v>5</v>
      </c>
      <c r="Q516" s="8">
        <v>4</v>
      </c>
      <c r="R516" s="8">
        <v>1</v>
      </c>
    </row>
    <row r="517" ht="16" customHeight="1">
      <c r="A517" s="8">
        <v>516</v>
      </c>
      <c r="B517" s="8">
        <v>8</v>
      </c>
      <c r="C517" t="s" s="9">
        <v>1568</v>
      </c>
      <c r="D517" t="s" s="9">
        <v>1568</v>
      </c>
      <c r="E517" t="s" s="9">
        <v>1590</v>
      </c>
      <c r="F517" t="s" s="9">
        <v>1591</v>
      </c>
      <c r="G517" t="s" s="9">
        <v>1592</v>
      </c>
      <c r="H517" s="8" cm="1">
        <f t="array" ref="H517">MIN(SUMIF('외운 것'!A2:A271,A517,'외운 것'!D2:D271)+IF(R517=0,3,IF(R517=1,2,0)),3)</f>
        <v>2</v>
      </c>
      <c r="I517" s="8" cm="1">
        <f t="array" ref="I517">_xlfn.COUNTIFS('외운 것'!A2:A271,A517,'외운 것'!D2:D271,0)</f>
        <v>0</v>
      </c>
      <c r="J517" s="19" cm="1">
        <f t="array" ref="J517">IF(R517&lt;&gt;0,IF(H517&gt;=3,_xlfn.XLOOKUP(A517,'외운 것'!A2:A271,'외운 것'!C2:C271,0,1),0),"3차")</f>
        <v>0</v>
      </c>
      <c r="K517" s="8" cm="1">
        <f t="array" ref="K517">IF(P517&lt;&gt;0,IF(N517&gt;=3,_xlfn.XLOOKUP(A517,'외운 것'!A2:A271,'외운 것'!C2:C271,0,1),0),"1차")</f>
        <v>0</v>
      </c>
      <c r="L517" s="8" cm="1">
        <f t="array" ref="L517">IF(Q517&lt;&gt;0,IF(N517&gt;=3,_xlfn.XLOOKUP(A517,'외운 것'!A2:A271,'외운 것'!C2:C271,0,1),0),"2차")</f>
        <v>0</v>
      </c>
      <c r="M517" s="8" cm="1">
        <f t="array" ref="M517">IF(R517&lt;&gt;0,IF(O517&gt;=3,_xlfn.XLOOKUP(B517,'외운 것'!B2:B271,'외운 것'!D2:D271,0,1),0),"3차")</f>
        <v>0</v>
      </c>
      <c r="N517" s="8">
        <v>0</v>
      </c>
      <c r="O517" s="8">
        <v>3</v>
      </c>
      <c r="P517" s="8">
        <v>4</v>
      </c>
      <c r="Q517" s="8">
        <v>3</v>
      </c>
      <c r="R517" s="8">
        <v>1</v>
      </c>
    </row>
    <row r="518" ht="16" customHeight="1">
      <c r="A518" s="8">
        <v>517</v>
      </c>
      <c r="B518" s="8">
        <v>9</v>
      </c>
      <c r="C518" t="s" s="9">
        <v>1568</v>
      </c>
      <c r="D518" t="s" s="9">
        <v>1568</v>
      </c>
      <c r="E518" t="s" s="9">
        <v>1593</v>
      </c>
      <c r="F518" t="s" s="9">
        <v>1594</v>
      </c>
      <c r="G518" t="s" s="9">
        <v>1595</v>
      </c>
      <c r="H518" s="8" cm="1">
        <f t="array" ref="H518">MIN(SUMIF('외운 것'!A2:A271,A518,'외운 것'!D2:D271)+IF(R518=0,3,IF(R518=1,2,0)),3)</f>
        <v>3</v>
      </c>
      <c r="I518" s="8" cm="1">
        <f t="array" ref="I518">_xlfn.COUNTIFS('외운 것'!A2:A271,A518,'외운 것'!D2:D271,0)</f>
        <v>0</v>
      </c>
      <c r="J518" t="str" s="10" cm="1">
        <f t="array" ref="J518">IF(R518&lt;&gt;0,IF(H518&gt;=3,_xlfn.XLOOKUP(A518,'외운 것'!A2:A271,'외운 것'!C2:C271,0,1),0),"3차")</f>
        <v>3차</v>
      </c>
      <c r="K518" s="8" cm="1">
        <f t="array" ref="K518">IF(P518&lt;&gt;0,IF(N518&gt;=3,_xlfn.XLOOKUP(A518,'외운 것'!A2:A271,'외운 것'!C2:C271,0,1),0),"1차")</f>
        <v>0</v>
      </c>
      <c r="L518" t="str" s="11" cm="1">
        <f t="array" ref="L518">IF(Q518&lt;&gt;0,IF(N518&gt;=3,_xlfn.XLOOKUP(A518,'외운 것'!A2:A271,'외운 것'!C2:C271,0,1),0),"2차")</f>
        <v>2차</v>
      </c>
      <c r="M518" t="str" s="11" cm="1">
        <f t="array" ref="M518">IF(R518&lt;&gt;0,IF(O518&gt;=3,_xlfn.XLOOKUP(B518,'외운 것'!B2:B271,'외운 것'!D2:D271,0,1),0),"3차")</f>
        <v>3차</v>
      </c>
      <c r="N518" s="8">
        <v>2</v>
      </c>
      <c r="O518" s="8">
        <v>3</v>
      </c>
      <c r="P518" s="8">
        <v>1</v>
      </c>
      <c r="Q518" s="8">
        <v>0</v>
      </c>
      <c r="R518" s="8">
        <v>0</v>
      </c>
    </row>
    <row r="519" ht="16" customHeight="1">
      <c r="A519" s="8">
        <v>518</v>
      </c>
      <c r="B519" s="8">
        <v>10</v>
      </c>
      <c r="C519" t="s" s="9">
        <v>1568</v>
      </c>
      <c r="D519" t="s" s="9">
        <v>1568</v>
      </c>
      <c r="E519" t="s" s="9">
        <v>1596</v>
      </c>
      <c r="F519" t="s" s="9">
        <v>1597</v>
      </c>
      <c r="G519" t="s" s="9">
        <v>1598</v>
      </c>
      <c r="H519" s="8" cm="1">
        <f t="array" ref="H519">MIN(SUMIF('외운 것'!A2:A271,A519,'외운 것'!D2:D271)+IF(R519=0,3,IF(R519=1,2,0)),3)</f>
        <v>2</v>
      </c>
      <c r="I519" s="8" cm="1">
        <f t="array" ref="I519">_xlfn.COUNTIFS('외운 것'!A2:A271,A519,'외운 것'!D2:D271,0)</f>
        <v>0</v>
      </c>
      <c r="J519" s="19" cm="1">
        <f t="array" ref="J519">IF(R519&lt;&gt;0,IF(H519&gt;=3,_xlfn.XLOOKUP(A519,'외운 것'!A2:A271,'외운 것'!C2:C271,0,1),0),"3차")</f>
        <v>0</v>
      </c>
      <c r="K519" s="8" cm="1">
        <f t="array" ref="K519">IF(P519&lt;&gt;0,IF(N519&gt;=3,_xlfn.XLOOKUP(A519,'외운 것'!A2:A271,'외운 것'!C2:C271,0,1),0),"1차")</f>
        <v>0</v>
      </c>
      <c r="L519" s="8" cm="1">
        <f t="array" ref="L519">IF(Q519&lt;&gt;0,IF(N519&gt;=3,_xlfn.XLOOKUP(A519,'외운 것'!A2:A271,'외운 것'!C2:C271,0,1),0),"2차")</f>
        <v>0</v>
      </c>
      <c r="M519" s="8" cm="1">
        <f t="array" ref="M519">IF(R519&lt;&gt;0,IF(O519&gt;=3,_xlfn.XLOOKUP(B519,'외운 것'!B2:B271,'외운 것'!D2:D271,0,1),0),"3차")</f>
        <v>0</v>
      </c>
      <c r="N519" s="8">
        <v>0</v>
      </c>
      <c r="O519" s="8">
        <v>3</v>
      </c>
      <c r="P519" s="8">
        <v>4</v>
      </c>
      <c r="Q519" s="8">
        <v>3</v>
      </c>
      <c r="R519" s="8">
        <v>1</v>
      </c>
    </row>
    <row r="520" ht="16" customHeight="1">
      <c r="A520" s="8">
        <v>519</v>
      </c>
      <c r="B520" s="8">
        <v>11</v>
      </c>
      <c r="C520" t="s" s="9">
        <v>1568</v>
      </c>
      <c r="D520" t="s" s="9">
        <v>1568</v>
      </c>
      <c r="E520" t="s" s="9">
        <v>1599</v>
      </c>
      <c r="F520" t="s" s="9">
        <v>1600</v>
      </c>
      <c r="G520" t="s" s="9">
        <v>1601</v>
      </c>
      <c r="H520" s="8" cm="1">
        <f t="array" ref="H520">MIN(SUMIF('외운 것'!A2:A271,A520,'외운 것'!D2:D271)+IF(R520=0,3,IF(R520=1,2,0)),3)</f>
        <v>0</v>
      </c>
      <c r="I520" s="8" cm="1">
        <f t="array" ref="I520">_xlfn.COUNTIFS('외운 것'!A2:A271,A520,'외운 것'!D2:D271,0)</f>
        <v>0</v>
      </c>
      <c r="J520" s="19" cm="1">
        <f t="array" ref="J520">IF(R520&lt;&gt;0,IF(H520&gt;=3,_xlfn.XLOOKUP(A520,'외운 것'!A2:A271,'외운 것'!C2:C271,0,1),0),"3차")</f>
        <v>0</v>
      </c>
      <c r="K520" s="8" cm="1">
        <f t="array" ref="K520">IF(P520&lt;&gt;0,IF(N520&gt;=3,_xlfn.XLOOKUP(A520,'외운 것'!A2:A271,'외운 것'!C2:C271,0,1),0),"1차")</f>
        <v>0</v>
      </c>
      <c r="L520" s="8" cm="1">
        <f t="array" ref="L520">IF(Q520&lt;&gt;0,IF(N520&gt;=3,_xlfn.XLOOKUP(A520,'외운 것'!A2:A271,'외운 것'!C2:C271,0,1),0),"2차")</f>
        <v>0</v>
      </c>
      <c r="M520" s="8" cm="1">
        <f t="array" ref="M520">IF(R520&lt;&gt;0,IF(O520&gt;=3,_xlfn.XLOOKUP(B520,'외운 것'!B2:B271,'외운 것'!D2:D271,0,1),0),"3차")</f>
        <v>0</v>
      </c>
      <c r="N520" s="8">
        <v>0</v>
      </c>
      <c r="O520" s="8">
        <v>3</v>
      </c>
      <c r="P520" s="8">
        <v>3</v>
      </c>
      <c r="Q520" s="8">
        <v>2</v>
      </c>
      <c r="R520" s="8">
        <v>2</v>
      </c>
    </row>
    <row r="521" ht="16" customHeight="1">
      <c r="A521" s="8">
        <v>520</v>
      </c>
      <c r="B521" s="8">
        <v>12</v>
      </c>
      <c r="C521" t="s" s="9">
        <v>1568</v>
      </c>
      <c r="D521" t="s" s="9">
        <v>1568</v>
      </c>
      <c r="E521" t="s" s="9">
        <v>1602</v>
      </c>
      <c r="F521" t="s" s="9">
        <v>1603</v>
      </c>
      <c r="G521" t="s" s="9">
        <v>1604</v>
      </c>
      <c r="H521" s="8" cm="1">
        <f t="array" ref="H521">MIN(SUMIF('외운 것'!A2:A271,A521,'외운 것'!D2:D271)+IF(R521=0,3,IF(R521=1,2,0)),3)</f>
        <v>3</v>
      </c>
      <c r="I521" s="8" cm="1">
        <f t="array" ref="I521">_xlfn.COUNTIFS('외운 것'!A2:A271,A521,'외운 것'!D2:D271,0)</f>
        <v>0</v>
      </c>
      <c r="J521" t="str" s="10" cm="1">
        <f t="array" ref="J521">IF(R521&lt;&gt;0,IF(H521&gt;=3,_xlfn.XLOOKUP(A521,'외운 것'!A2:A271,'외운 것'!C2:C271,0,1),0),"3차")</f>
        <v>3차</v>
      </c>
      <c r="K521" s="8" cm="1">
        <f t="array" ref="K521">IF(P521&lt;&gt;0,IF(N521&gt;=3,_xlfn.XLOOKUP(A521,'외운 것'!A2:A271,'외운 것'!C2:C271,0,1),0),"1차")</f>
        <v>0</v>
      </c>
      <c r="L521" s="8" cm="1">
        <f t="array" ref="L521">IF(Q521&lt;&gt;0,IF(N521&gt;=3,_xlfn.XLOOKUP(A521,'외운 것'!A2:A271,'외운 것'!C2:C271,0,1),0),"2차")</f>
        <v>0</v>
      </c>
      <c r="M521" t="str" s="11" cm="1">
        <f t="array" ref="M521">IF(R521&lt;&gt;0,IF(O521&gt;=3,_xlfn.XLOOKUP(B521,'외운 것'!B2:B271,'외운 것'!D2:D271,0,1),0),"3차")</f>
        <v>3차</v>
      </c>
      <c r="N521" s="8">
        <v>0</v>
      </c>
      <c r="O521" s="8">
        <v>3</v>
      </c>
      <c r="P521" s="8">
        <v>2</v>
      </c>
      <c r="Q521" s="8">
        <v>1</v>
      </c>
      <c r="R521" s="8">
        <v>0</v>
      </c>
    </row>
    <row r="522" ht="16" customHeight="1">
      <c r="A522" s="8">
        <v>521</v>
      </c>
      <c r="B522" s="8">
        <v>13</v>
      </c>
      <c r="C522" t="s" s="9">
        <v>1568</v>
      </c>
      <c r="D522" t="s" s="9">
        <v>1568</v>
      </c>
      <c r="E522" t="s" s="9">
        <v>1605</v>
      </c>
      <c r="F522" t="s" s="9">
        <v>1606</v>
      </c>
      <c r="G522" t="s" s="9">
        <v>1607</v>
      </c>
      <c r="H522" s="8" cm="1">
        <f t="array" ref="H522">MIN(SUMIF('외운 것'!A2:A271,A522,'외운 것'!D2:D271)+IF(R522=0,3,IF(R522=1,2,0)),3)</f>
        <v>3</v>
      </c>
      <c r="I522" s="8" cm="1">
        <f t="array" ref="I522">_xlfn.COUNTIFS('외운 것'!A2:A271,A522,'외운 것'!D2:D271,0)</f>
        <v>0</v>
      </c>
      <c r="J522" t="str" s="10" cm="1">
        <f t="array" ref="J522">IF(R522&lt;&gt;0,IF(H522&gt;=3,_xlfn.XLOOKUP(A522,'외운 것'!A2:A271,'외운 것'!C2:C271,0,1),0),"3차")</f>
        <v>3차</v>
      </c>
      <c r="K522" s="8" cm="1">
        <f t="array" ref="K522">IF(P522&lt;&gt;0,IF(N522&gt;=3,_xlfn.XLOOKUP(A522,'외운 것'!A2:A271,'외운 것'!C2:C271,0,1),0),"1차")</f>
        <v>0</v>
      </c>
      <c r="L522" s="8" cm="1">
        <f t="array" ref="L522">IF(Q522&lt;&gt;0,IF(N522&gt;=3,_xlfn.XLOOKUP(A522,'외운 것'!A2:A271,'외운 것'!C2:C271,0,1),0),"2차")</f>
        <v>0</v>
      </c>
      <c r="M522" t="str" s="11" cm="1">
        <f t="array" ref="M522">IF(R522&lt;&gt;0,IF(O522&gt;=3,_xlfn.XLOOKUP(B522,'외운 것'!B2:B271,'외운 것'!D2:D271,0,1),0),"3차")</f>
        <v>3차</v>
      </c>
      <c r="N522" s="8">
        <v>0</v>
      </c>
      <c r="O522" s="8">
        <v>3</v>
      </c>
      <c r="P522" s="8">
        <v>4</v>
      </c>
      <c r="Q522" s="8">
        <v>2</v>
      </c>
      <c r="R522" s="8">
        <v>0</v>
      </c>
    </row>
    <row r="523" ht="16" customHeight="1">
      <c r="A523" s="8">
        <v>522</v>
      </c>
      <c r="B523" s="8">
        <v>14</v>
      </c>
      <c r="C523" t="s" s="9">
        <v>1568</v>
      </c>
      <c r="D523" t="s" s="9">
        <v>1568</v>
      </c>
      <c r="E523" t="s" s="9">
        <v>1608</v>
      </c>
      <c r="F523" t="s" s="9">
        <v>1609</v>
      </c>
      <c r="G523" t="s" s="9">
        <v>1610</v>
      </c>
      <c r="H523" s="8" cm="1">
        <f t="array" ref="H523">MIN(SUMIF('외운 것'!A2:A271,A523,'외운 것'!D2:D271)+IF(R523=0,3,IF(R523=1,2,0)),3)</f>
        <v>0</v>
      </c>
      <c r="I523" s="8" cm="1">
        <f t="array" ref="I523">_xlfn.COUNTIFS('외운 것'!A2:A271,A523,'외운 것'!D2:D271,0)</f>
        <v>0</v>
      </c>
      <c r="J523" s="19" cm="1">
        <f t="array" ref="J523">IF(R523&lt;&gt;0,IF(H523&gt;=3,_xlfn.XLOOKUP(A523,'외운 것'!A2:A271,'외운 것'!C2:C271,0,1),0),"3차")</f>
        <v>0</v>
      </c>
      <c r="K523" s="8" cm="1">
        <f t="array" ref="K523">IF(P523&lt;&gt;0,IF(N523&gt;=3,_xlfn.XLOOKUP(A523,'외운 것'!A2:A271,'외운 것'!C2:C271,0,1),0),"1차")</f>
        <v>0</v>
      </c>
      <c r="L523" s="8" cm="1">
        <f t="array" ref="L523">IF(Q523&lt;&gt;0,IF(N523&gt;=3,_xlfn.XLOOKUP(A523,'외운 것'!A2:A271,'외운 것'!C2:C271,0,1),0),"2차")</f>
        <v>0</v>
      </c>
      <c r="M523" s="8" cm="1">
        <f t="array" ref="M523">IF(R523&lt;&gt;0,IF(O523&gt;=3,_xlfn.XLOOKUP(B523,'외운 것'!B2:B271,'외운 것'!D2:D271,0,1),0),"3차")</f>
        <v>0</v>
      </c>
      <c r="N523" s="8">
        <v>0</v>
      </c>
      <c r="O523" s="8">
        <v>3</v>
      </c>
      <c r="P523" s="8">
        <v>4</v>
      </c>
      <c r="Q523" s="8">
        <v>3</v>
      </c>
      <c r="R523" s="8">
        <v>4</v>
      </c>
    </row>
    <row r="524" ht="16" customHeight="1">
      <c r="A524" s="8">
        <v>523</v>
      </c>
      <c r="B524" s="8">
        <v>15</v>
      </c>
      <c r="C524" t="s" s="9">
        <v>1568</v>
      </c>
      <c r="D524" t="s" s="9">
        <v>1568</v>
      </c>
      <c r="E524" t="s" s="9">
        <v>1611</v>
      </c>
      <c r="F524" t="s" s="9">
        <v>1612</v>
      </c>
      <c r="G524" t="s" s="9">
        <v>1613</v>
      </c>
      <c r="H524" s="8" cm="1">
        <f t="array" ref="H524">MIN(SUMIF('외운 것'!A2:A271,A524,'외운 것'!D2:D271)+IF(R524=0,3,IF(R524=1,2,0)),3)</f>
        <v>3</v>
      </c>
      <c r="I524" s="8" cm="1">
        <f t="array" ref="I524">_xlfn.COUNTIFS('외운 것'!A2:A271,A524,'외운 것'!D2:D271,0)</f>
        <v>0</v>
      </c>
      <c r="J524" t="str" s="10" cm="1">
        <f t="array" ref="J524">IF(R524&lt;&gt;0,IF(H524&gt;=3,_xlfn.XLOOKUP(A524,'외운 것'!A2:A271,'외운 것'!C2:C271,0,1),0),"3차")</f>
        <v>3차</v>
      </c>
      <c r="K524" s="8" cm="1">
        <f t="array" ref="K524">IF(P524&lt;&gt;0,IF(N524&gt;=3,_xlfn.XLOOKUP(A524,'외운 것'!A2:A271,'외운 것'!C2:C271,0,1),0),"1차")</f>
        <v>0</v>
      </c>
      <c r="L524" t="str" s="11" cm="1">
        <f t="array" ref="L524">IF(Q524&lt;&gt;0,IF(N524&gt;=3,_xlfn.XLOOKUP(A524,'외운 것'!A2:A271,'외운 것'!C2:C271,0,1),0),"2차")</f>
        <v>2차</v>
      </c>
      <c r="M524" t="str" s="11" cm="1">
        <f t="array" ref="M524">IF(R524&lt;&gt;0,IF(O524&gt;=3,_xlfn.XLOOKUP(B524,'외운 것'!B2:B271,'외운 것'!D2:D271,0,1),0),"3차")</f>
        <v>3차</v>
      </c>
      <c r="N524" s="8">
        <v>2</v>
      </c>
      <c r="O524" s="8">
        <v>3</v>
      </c>
      <c r="P524" s="8">
        <v>1</v>
      </c>
      <c r="Q524" s="8">
        <v>0</v>
      </c>
      <c r="R524" s="8">
        <v>0</v>
      </c>
    </row>
    <row r="525" ht="16" customHeight="1">
      <c r="A525" s="8">
        <v>524</v>
      </c>
      <c r="B525" s="8">
        <v>16</v>
      </c>
      <c r="C525" t="s" s="9">
        <v>1568</v>
      </c>
      <c r="D525" t="s" s="9">
        <v>1568</v>
      </c>
      <c r="E525" t="s" s="9">
        <v>1614</v>
      </c>
      <c r="F525" t="s" s="9">
        <v>1615</v>
      </c>
      <c r="G525" t="s" s="9">
        <v>1616</v>
      </c>
      <c r="H525" s="8" cm="1">
        <f t="array" ref="H525">MIN(SUMIF('외운 것'!A2:A271,A525,'외운 것'!D2:D271)+IF(R525=0,3,IF(R525=1,2,0)),3)</f>
        <v>3</v>
      </c>
      <c r="I525" s="8" cm="1">
        <f t="array" ref="I525">_xlfn.COUNTIFS('외운 것'!A2:A271,A525,'외운 것'!D2:D271,0)</f>
        <v>0</v>
      </c>
      <c r="J525" t="str" s="10" cm="1">
        <f t="array" ref="J525">IF(R525&lt;&gt;0,IF(H525&gt;=3,_xlfn.XLOOKUP(A525,'외운 것'!A2:A271,'외운 것'!C2:C271,0,1),0),"3차")</f>
        <v>3차</v>
      </c>
      <c r="K525" s="8" cm="1">
        <f t="array" ref="K525">IF(P525&lt;&gt;0,IF(N525&gt;=3,_xlfn.XLOOKUP(A525,'외운 것'!A2:A271,'외운 것'!C2:C271,0,1),0),"1차")</f>
        <v>0</v>
      </c>
      <c r="L525" s="8" cm="1">
        <f t="array" ref="L525">IF(Q525&lt;&gt;0,IF(N525&gt;=3,_xlfn.XLOOKUP(A525,'외운 것'!A2:A271,'외운 것'!C2:C271,0,1),0),"2차")</f>
        <v>0</v>
      </c>
      <c r="M525" t="str" s="11" cm="1">
        <f t="array" ref="M525">IF(R525&lt;&gt;0,IF(O525&gt;=3,_xlfn.XLOOKUP(B525,'외운 것'!B2:B271,'외운 것'!D2:D271,0,1),0),"3차")</f>
        <v>3차</v>
      </c>
      <c r="N525" s="8">
        <v>0</v>
      </c>
      <c r="O525" s="8">
        <v>3</v>
      </c>
      <c r="P525" s="8">
        <v>2</v>
      </c>
      <c r="Q525" s="8">
        <v>1</v>
      </c>
      <c r="R525" s="8">
        <v>0</v>
      </c>
    </row>
    <row r="526" ht="16" customHeight="1">
      <c r="A526" s="8">
        <v>525</v>
      </c>
      <c r="B526" s="8">
        <v>17</v>
      </c>
      <c r="C526" t="s" s="9">
        <v>1568</v>
      </c>
      <c r="D526" t="s" s="9">
        <v>1568</v>
      </c>
      <c r="E526" t="s" s="9">
        <v>1617</v>
      </c>
      <c r="F526" t="s" s="9">
        <v>1618</v>
      </c>
      <c r="G526" t="s" s="9">
        <v>1619</v>
      </c>
      <c r="H526" s="8" cm="1">
        <f t="array" ref="H526">MIN(SUMIF('외운 것'!A2:A271,A526,'외운 것'!D2:D271)+IF(R526=0,3,IF(R526=1,2,0)),3)</f>
        <v>3</v>
      </c>
      <c r="I526" s="8" cm="1">
        <f t="array" ref="I526">_xlfn.COUNTIFS('외운 것'!A2:A271,A526,'외운 것'!D2:D271,0)</f>
        <v>0</v>
      </c>
      <c r="J526" t="str" s="10" cm="1">
        <f t="array" ref="J526">IF(R526&lt;&gt;0,IF(H526&gt;=3,_xlfn.XLOOKUP(A526,'외운 것'!A2:A271,'외운 것'!C2:C271,0,1),0),"3차")</f>
        <v>3차</v>
      </c>
      <c r="K526" s="8" cm="1">
        <f t="array" ref="K526">IF(P526&lt;&gt;0,IF(N526&gt;=3,_xlfn.XLOOKUP(A526,'외운 것'!A2:A271,'외운 것'!C2:C271,0,1),0),"1차")</f>
        <v>0</v>
      </c>
      <c r="L526" t="str" s="11" cm="1">
        <f t="array" ref="L526">IF(Q526&lt;&gt;0,IF(N526&gt;=3,_xlfn.XLOOKUP(A526,'외운 것'!A2:A271,'외운 것'!C2:C271,0,1),0),"2차")</f>
        <v>2차</v>
      </c>
      <c r="M526" t="str" s="11" cm="1">
        <f t="array" ref="M526">IF(R526&lt;&gt;0,IF(O526&gt;=3,_xlfn.XLOOKUP(B526,'외운 것'!B2:B271,'외운 것'!D2:D271,0,1),0),"3차")</f>
        <v>3차</v>
      </c>
      <c r="N526" s="8">
        <v>2</v>
      </c>
      <c r="O526" s="8">
        <v>3</v>
      </c>
      <c r="P526" s="8">
        <v>1</v>
      </c>
      <c r="Q526" s="8">
        <v>0</v>
      </c>
      <c r="R526" s="8">
        <v>0</v>
      </c>
    </row>
    <row r="527" ht="16" customHeight="1">
      <c r="A527" s="8">
        <v>526</v>
      </c>
      <c r="B527" s="8">
        <v>18</v>
      </c>
      <c r="C527" t="s" s="9">
        <v>1568</v>
      </c>
      <c r="D527" t="s" s="9">
        <v>1568</v>
      </c>
      <c r="E527" t="s" s="9">
        <v>1620</v>
      </c>
      <c r="F527" t="s" s="9">
        <v>1621</v>
      </c>
      <c r="G527" t="s" s="9">
        <v>1622</v>
      </c>
      <c r="H527" s="8" cm="1">
        <f t="array" ref="H527">MIN(SUMIF('외운 것'!A2:A271,A527,'외운 것'!D2:D271)+IF(R527=0,3,IF(R527=1,2,0)),3)</f>
        <v>3</v>
      </c>
      <c r="I527" s="8" cm="1">
        <f t="array" ref="I527">_xlfn.COUNTIFS('외운 것'!A2:A271,A527,'외운 것'!D2:D271,0)</f>
        <v>0</v>
      </c>
      <c r="J527" t="str" s="10" cm="1">
        <f t="array" ref="J527">IF(R527&lt;&gt;0,IF(H527&gt;=3,_xlfn.XLOOKUP(A527,'외운 것'!A2:A271,'외운 것'!C2:C271,0,1),0),"3차")</f>
        <v>3차</v>
      </c>
      <c r="K527" s="8" cm="1">
        <f t="array" ref="K527">IF(P527&lt;&gt;0,IF(N527&gt;=3,_xlfn.XLOOKUP(A527,'외운 것'!A2:A271,'외운 것'!C2:C271,0,1),0),"1차")</f>
        <v>0</v>
      </c>
      <c r="L527" t="str" s="11" cm="1">
        <f t="array" ref="L527">IF(Q527&lt;&gt;0,IF(N527&gt;=3,_xlfn.XLOOKUP(A527,'외운 것'!A2:A271,'외운 것'!C2:C271,0,1),0),"2차")</f>
        <v>2차</v>
      </c>
      <c r="M527" t="str" s="11" cm="1">
        <f t="array" ref="M527">IF(R527&lt;&gt;0,IF(O527&gt;=3,_xlfn.XLOOKUP(B527,'외운 것'!B2:B271,'외운 것'!D2:D271,0,1),0),"3차")</f>
        <v>3차</v>
      </c>
      <c r="N527" s="8">
        <v>2</v>
      </c>
      <c r="O527" s="8">
        <v>3</v>
      </c>
      <c r="P527" s="8">
        <v>1</v>
      </c>
      <c r="Q527" s="8">
        <v>0</v>
      </c>
      <c r="R527" s="8">
        <v>0</v>
      </c>
    </row>
    <row r="528" ht="16" customHeight="1">
      <c r="A528" s="8">
        <v>527</v>
      </c>
      <c r="B528" s="8">
        <v>19</v>
      </c>
      <c r="C528" t="s" s="9">
        <v>1568</v>
      </c>
      <c r="D528" t="s" s="9">
        <v>1568</v>
      </c>
      <c r="E528" t="s" s="9">
        <v>1623</v>
      </c>
      <c r="F528" t="s" s="9">
        <v>1624</v>
      </c>
      <c r="G528" t="s" s="9">
        <v>1625</v>
      </c>
      <c r="H528" s="8" cm="1">
        <f t="array" ref="H528">MIN(SUMIF('외운 것'!A2:A271,A528,'외운 것'!D2:D271)+IF(R528=0,3,IF(R528=1,2,0)),3)</f>
        <v>3</v>
      </c>
      <c r="I528" s="8" cm="1">
        <f t="array" ref="I528">_xlfn.COUNTIFS('외운 것'!A2:A271,A528,'외운 것'!D2:D271,0)</f>
        <v>0</v>
      </c>
      <c r="J528" t="str" s="10" cm="1">
        <f t="array" ref="J528">IF(R528&lt;&gt;0,IF(H528&gt;=3,_xlfn.XLOOKUP(A528,'외운 것'!A2:A271,'외운 것'!C2:C271,0,1),0),"3차")</f>
        <v>3차</v>
      </c>
      <c r="K528" s="8" cm="1">
        <f t="array" ref="K528">IF(P528&lt;&gt;0,IF(N528&gt;=3,_xlfn.XLOOKUP(A528,'외운 것'!A2:A271,'외운 것'!C2:C271,0,1),0),"1차")</f>
        <v>0</v>
      </c>
      <c r="L528" t="str" s="11" cm="1">
        <f t="array" ref="L528">IF(Q528&lt;&gt;0,IF(N528&gt;=3,_xlfn.XLOOKUP(A528,'외운 것'!A2:A271,'외운 것'!C2:C271,0,1),0),"2차")</f>
        <v>2차</v>
      </c>
      <c r="M528" t="str" s="11" cm="1">
        <f t="array" ref="M528">IF(R528&lt;&gt;0,IF(O528&gt;=3,_xlfn.XLOOKUP(B528,'외운 것'!B2:B271,'외운 것'!D2:D271,0,1),0),"3차")</f>
        <v>3차</v>
      </c>
      <c r="N528" s="8">
        <v>2</v>
      </c>
      <c r="O528" s="8">
        <v>3</v>
      </c>
      <c r="P528" s="8">
        <v>1</v>
      </c>
      <c r="Q528" s="8">
        <v>0</v>
      </c>
      <c r="R528" s="8">
        <v>0</v>
      </c>
    </row>
    <row r="529" ht="16" customHeight="1">
      <c r="A529" s="8">
        <v>528</v>
      </c>
      <c r="B529" s="8">
        <v>20</v>
      </c>
      <c r="C529" t="s" s="9">
        <v>1568</v>
      </c>
      <c r="D529" t="s" s="9">
        <v>1568</v>
      </c>
      <c r="E529" t="s" s="9">
        <v>1626</v>
      </c>
      <c r="F529" t="s" s="9">
        <v>1627</v>
      </c>
      <c r="G529" t="s" s="9">
        <v>1628</v>
      </c>
      <c r="H529" s="8" cm="1">
        <f t="array" ref="H529">MIN(SUMIF('외운 것'!A2:A271,A529,'외운 것'!D2:D271)+IF(R529=0,3,IF(R529=1,2,0)),3)</f>
        <v>3</v>
      </c>
      <c r="I529" s="8" cm="1">
        <f t="array" ref="I529">_xlfn.COUNTIFS('외운 것'!A2:A271,A529,'외운 것'!D2:D271,0)</f>
        <v>0</v>
      </c>
      <c r="J529" t="str" s="10" cm="1">
        <f t="array" ref="J529">IF(R529&lt;&gt;0,IF(H529&gt;=3,_xlfn.XLOOKUP(A529,'외운 것'!A2:A271,'외운 것'!C2:C271,0,1),0),"3차")</f>
        <v>3차</v>
      </c>
      <c r="K529" s="8" cm="1">
        <f t="array" ref="K529">IF(P529&lt;&gt;0,IF(N529&gt;=3,_xlfn.XLOOKUP(A529,'외운 것'!A2:A271,'외운 것'!C2:C271,0,1),0),"1차")</f>
        <v>0</v>
      </c>
      <c r="L529" s="8" cm="1">
        <f t="array" ref="L529">IF(Q529&lt;&gt;0,IF(N529&gt;=3,_xlfn.XLOOKUP(A529,'외운 것'!A2:A271,'외운 것'!C2:C271,0,1),0),"2차")</f>
        <v>0</v>
      </c>
      <c r="M529" t="str" s="11" cm="1">
        <f t="array" ref="M529">IF(R529&lt;&gt;0,IF(O529&gt;=3,_xlfn.XLOOKUP(B529,'외운 것'!B2:B271,'외운 것'!D2:D271,0,1),0),"3차")</f>
        <v>3차</v>
      </c>
      <c r="N529" s="8">
        <v>0</v>
      </c>
      <c r="O529" s="8">
        <v>3</v>
      </c>
      <c r="P529" s="8">
        <v>3</v>
      </c>
      <c r="Q529" s="8">
        <v>1</v>
      </c>
      <c r="R529" s="8">
        <v>0</v>
      </c>
    </row>
    <row r="530" ht="16" customHeight="1">
      <c r="A530" s="8">
        <v>529</v>
      </c>
      <c r="B530" s="8">
        <v>21</v>
      </c>
      <c r="C530" t="s" s="9">
        <v>1568</v>
      </c>
      <c r="D530" t="s" s="9">
        <v>1568</v>
      </c>
      <c r="E530" t="s" s="9">
        <v>1629</v>
      </c>
      <c r="F530" t="s" s="9">
        <v>1630</v>
      </c>
      <c r="G530" t="s" s="9">
        <v>1631</v>
      </c>
      <c r="H530" s="8" cm="1">
        <f t="array" ref="H530">MIN(SUMIF('외운 것'!A2:A271,A530,'외운 것'!D2:D271)+IF(R530=0,3,IF(R530=1,2,0)),3)</f>
        <v>3</v>
      </c>
      <c r="I530" s="8" cm="1">
        <f t="array" ref="I530">_xlfn.COUNTIFS('외운 것'!A2:A271,A530,'외운 것'!D2:D271,0)</f>
        <v>0</v>
      </c>
      <c r="J530" t="str" s="10" cm="1">
        <f t="array" ref="J530">IF(R530&lt;&gt;0,IF(H530&gt;=3,_xlfn.XLOOKUP(A530,'외운 것'!A2:A271,'외운 것'!C2:C271,0,1),0),"3차")</f>
        <v>3차</v>
      </c>
      <c r="K530" t="str" s="11" cm="1">
        <f t="array" ref="K530">IF(P530&lt;&gt;0,IF(N530&gt;=3,_xlfn.XLOOKUP(A530,'외운 것'!A2:A271,'외운 것'!C2:C271,0,1),0),"1차")</f>
        <v>1차</v>
      </c>
      <c r="L530" t="str" s="11" cm="1">
        <f t="array" ref="L530">IF(Q530&lt;&gt;0,IF(N530&gt;=3,_xlfn.XLOOKUP(A530,'외운 것'!A2:A271,'외운 것'!C2:C271,0,1),0),"2차")</f>
        <v>2차</v>
      </c>
      <c r="M530" t="str" s="11" cm="1">
        <f t="array" ref="M530">IF(R530&lt;&gt;0,IF(O530&gt;=3,_xlfn.XLOOKUP(B530,'외운 것'!B2:B271,'외운 것'!D2:D271,0,1),0),"3차")</f>
        <v>3차</v>
      </c>
      <c r="N530" s="8">
        <v>3</v>
      </c>
      <c r="O530" s="8">
        <v>3</v>
      </c>
      <c r="P530" s="8">
        <v>0</v>
      </c>
      <c r="Q530" s="8">
        <v>0</v>
      </c>
      <c r="R530" s="8">
        <v>0</v>
      </c>
    </row>
    <row r="531" ht="16" customHeight="1">
      <c r="A531" s="8">
        <v>530</v>
      </c>
      <c r="B531" s="8">
        <v>22</v>
      </c>
      <c r="C531" t="s" s="9">
        <v>1568</v>
      </c>
      <c r="D531" t="s" s="9">
        <v>1568</v>
      </c>
      <c r="E531" t="s" s="9">
        <v>1632</v>
      </c>
      <c r="F531" t="s" s="9">
        <v>1633</v>
      </c>
      <c r="G531" t="s" s="9">
        <v>1634</v>
      </c>
      <c r="H531" s="8" cm="1">
        <f t="array" ref="H531">MIN(SUMIF('외운 것'!A2:A271,A531,'외운 것'!D2:D271)+IF(R531=0,3,IF(R531=1,2,0)),3)</f>
        <v>3</v>
      </c>
      <c r="I531" s="8" cm="1">
        <f t="array" ref="I531">_xlfn.COUNTIFS('외운 것'!A2:A271,A531,'외운 것'!D2:D271,0)</f>
        <v>0</v>
      </c>
      <c r="J531" t="str" s="10" cm="1">
        <f t="array" ref="J531">IF(R531&lt;&gt;0,IF(H531&gt;=3,_xlfn.XLOOKUP(A531,'외운 것'!A2:A271,'외운 것'!C2:C271,0,1),0),"3차")</f>
        <v>3차</v>
      </c>
      <c r="K531" s="8" cm="1">
        <f t="array" ref="K531">IF(P531&lt;&gt;0,IF(N531&gt;=3,_xlfn.XLOOKUP(A531,'외운 것'!A2:A271,'외운 것'!C2:C271,0,1),0),"1차")</f>
        <v>0</v>
      </c>
      <c r="L531" t="str" s="11" cm="1">
        <f t="array" ref="L531">IF(Q531&lt;&gt;0,IF(N531&gt;=3,_xlfn.XLOOKUP(A531,'외운 것'!A2:A271,'외운 것'!C2:C271,0,1),0),"2차")</f>
        <v>2차</v>
      </c>
      <c r="M531" t="str" s="11" cm="1">
        <f t="array" ref="M531">IF(R531&lt;&gt;0,IF(O531&gt;=3,_xlfn.XLOOKUP(B531,'외운 것'!B2:B271,'외운 것'!D2:D271,0,1),0),"3차")</f>
        <v>3차</v>
      </c>
      <c r="N531" s="8">
        <v>2</v>
      </c>
      <c r="O531" s="8">
        <v>3</v>
      </c>
      <c r="P531" s="8">
        <v>1</v>
      </c>
      <c r="Q531" s="8">
        <v>0</v>
      </c>
      <c r="R531" s="8">
        <v>0</v>
      </c>
    </row>
    <row r="532" ht="16" customHeight="1">
      <c r="A532" s="8">
        <v>531</v>
      </c>
      <c r="B532" s="8">
        <v>23</v>
      </c>
      <c r="C532" t="s" s="9">
        <v>1568</v>
      </c>
      <c r="D532" t="s" s="9">
        <v>1568</v>
      </c>
      <c r="E532" t="s" s="9">
        <v>1635</v>
      </c>
      <c r="F532" t="s" s="9">
        <v>1636</v>
      </c>
      <c r="G532" t="s" s="9">
        <v>1637</v>
      </c>
      <c r="H532" s="8" cm="1">
        <f t="array" ref="H532">MIN(SUMIF('외운 것'!A2:A271,A532,'외운 것'!D2:D271)+IF(R532=0,3,IF(R532=1,2,0)),3)</f>
        <v>3</v>
      </c>
      <c r="I532" s="8" cm="1">
        <f t="array" ref="I532">_xlfn.COUNTIFS('외운 것'!A2:A271,A532,'외운 것'!D2:D271,0)</f>
        <v>0</v>
      </c>
      <c r="J532" t="str" s="10" cm="1">
        <f t="array" ref="J532">IF(R532&lt;&gt;0,IF(H532&gt;=3,_xlfn.XLOOKUP(A532,'외운 것'!A2:A271,'외운 것'!C2:C271,0,1),0),"3차")</f>
        <v>3차</v>
      </c>
      <c r="K532" s="8" cm="1">
        <f t="array" ref="K532">IF(P532&lt;&gt;0,IF(N532&gt;=3,_xlfn.XLOOKUP(A532,'외운 것'!A2:A271,'외운 것'!C2:C271,0,1),0),"1차")</f>
        <v>0</v>
      </c>
      <c r="L532" s="8" cm="1">
        <f t="array" ref="L532">IF(Q532&lt;&gt;0,IF(N532&gt;=3,_xlfn.XLOOKUP(A532,'외운 것'!A2:A271,'외운 것'!C2:C271,0,1),0),"2차")</f>
        <v>0</v>
      </c>
      <c r="M532" t="str" s="11" cm="1">
        <f t="array" ref="M532">IF(R532&lt;&gt;0,IF(O532&gt;=3,_xlfn.XLOOKUP(B532,'외운 것'!B2:B271,'외운 것'!D2:D271,0,1),0),"3차")</f>
        <v>3차</v>
      </c>
      <c r="N532" s="8">
        <v>0</v>
      </c>
      <c r="O532" s="8">
        <v>3</v>
      </c>
      <c r="P532" s="8">
        <v>2</v>
      </c>
      <c r="Q532" s="8">
        <v>2</v>
      </c>
      <c r="R532" s="8">
        <v>0</v>
      </c>
    </row>
    <row r="533" ht="16" customHeight="1">
      <c r="A533" s="8">
        <v>532</v>
      </c>
      <c r="B533" s="8">
        <v>24</v>
      </c>
      <c r="C533" t="s" s="9">
        <v>1568</v>
      </c>
      <c r="D533" t="s" s="9">
        <v>1568</v>
      </c>
      <c r="E533" t="s" s="9">
        <v>1638</v>
      </c>
      <c r="F533" t="s" s="9">
        <v>1639</v>
      </c>
      <c r="G533" t="s" s="9">
        <v>1640</v>
      </c>
      <c r="H533" s="8" cm="1">
        <f t="array" ref="H533">MIN(SUMIF('외운 것'!A2:A271,A533,'외운 것'!D2:D271)+IF(R533=0,3,IF(R533=1,2,0)),3)</f>
        <v>3</v>
      </c>
      <c r="I533" s="8" cm="1">
        <f t="array" ref="I533">_xlfn.COUNTIFS('외운 것'!A2:A271,A533,'외운 것'!D2:D271,0)</f>
        <v>0</v>
      </c>
      <c r="J533" t="str" s="10" cm="1">
        <f t="array" ref="J533">IF(R533&lt;&gt;0,IF(H533&gt;=3,_xlfn.XLOOKUP(A533,'외운 것'!A2:A271,'외운 것'!C2:C271,0,1),0),"3차")</f>
        <v>3차</v>
      </c>
      <c r="K533" s="8" cm="1">
        <f t="array" ref="K533">IF(P533&lt;&gt;0,IF(N533&gt;=3,_xlfn.XLOOKUP(A533,'외운 것'!A2:A271,'외운 것'!C2:C271,0,1),0),"1차")</f>
        <v>0</v>
      </c>
      <c r="L533" t="str" s="11" cm="1">
        <f t="array" ref="L533">IF(Q533&lt;&gt;0,IF(N533&gt;=3,_xlfn.XLOOKUP(A533,'외운 것'!A2:A271,'외운 것'!C2:C271,0,1),0),"2차")</f>
        <v>2차</v>
      </c>
      <c r="M533" t="str" s="11" cm="1">
        <f t="array" ref="M533">IF(R533&lt;&gt;0,IF(O533&gt;=3,_xlfn.XLOOKUP(B533,'외운 것'!B2:B271,'외운 것'!D2:D271,0,1),0),"3차")</f>
        <v>3차</v>
      </c>
      <c r="N533" s="8">
        <v>0</v>
      </c>
      <c r="O533" s="8">
        <v>3</v>
      </c>
      <c r="P533" s="8">
        <v>4</v>
      </c>
      <c r="Q533" s="8">
        <v>0</v>
      </c>
      <c r="R533" s="8">
        <v>0</v>
      </c>
    </row>
    <row r="534" ht="16" customHeight="1">
      <c r="A534" s="8">
        <v>533</v>
      </c>
      <c r="B534" s="8">
        <v>25</v>
      </c>
      <c r="C534" t="s" s="9">
        <v>1568</v>
      </c>
      <c r="D534" t="s" s="9">
        <v>1568</v>
      </c>
      <c r="E534" t="s" s="9">
        <v>1641</v>
      </c>
      <c r="F534" t="s" s="9">
        <v>1642</v>
      </c>
      <c r="G534" t="s" s="9">
        <v>1643</v>
      </c>
      <c r="H534" s="8" cm="1">
        <f t="array" ref="H534">MIN(SUMIF('외운 것'!A2:A271,A534,'외운 것'!D2:D271)+IF(R534=0,3,IF(R534=1,2,0)),3)</f>
        <v>3</v>
      </c>
      <c r="I534" s="8" cm="1">
        <f t="array" ref="I534">_xlfn.COUNTIFS('외운 것'!A2:A271,A534,'외운 것'!D2:D271,0)</f>
        <v>0</v>
      </c>
      <c r="J534" t="str" s="10" cm="1">
        <f t="array" ref="J534">IF(R534&lt;&gt;0,IF(H534&gt;=3,_xlfn.XLOOKUP(A534,'외운 것'!A2:A271,'외운 것'!C2:C271,0,1),0),"3차")</f>
        <v>3차</v>
      </c>
      <c r="K534" s="8" cm="1">
        <f t="array" ref="K534">IF(P534&lt;&gt;0,IF(N534&gt;=3,_xlfn.XLOOKUP(A534,'외운 것'!A2:A271,'외운 것'!C2:C271,0,1),0),"1차")</f>
        <v>0</v>
      </c>
      <c r="L534" s="8" cm="1">
        <f t="array" ref="L534">IF(Q534&lt;&gt;0,IF(N534&gt;=3,_xlfn.XLOOKUP(A534,'외운 것'!A2:A271,'외운 것'!C2:C271,0,1),0),"2차")</f>
        <v>0</v>
      </c>
      <c r="M534" t="str" s="11" cm="1">
        <f t="array" ref="M534">IF(R534&lt;&gt;0,IF(O534&gt;=3,_xlfn.XLOOKUP(B534,'외운 것'!B2:B271,'외운 것'!D2:D271,0,1),0),"3차")</f>
        <v>3차</v>
      </c>
      <c r="N534" s="8">
        <v>0</v>
      </c>
      <c r="O534" s="8">
        <v>3</v>
      </c>
      <c r="P534" s="8">
        <v>3</v>
      </c>
      <c r="Q534" s="8">
        <v>1</v>
      </c>
      <c r="R534" s="8">
        <v>0</v>
      </c>
    </row>
    <row r="535" ht="16" customHeight="1">
      <c r="A535" s="8">
        <v>534</v>
      </c>
      <c r="B535" s="8">
        <v>26</v>
      </c>
      <c r="C535" t="s" s="9">
        <v>1568</v>
      </c>
      <c r="D535" t="s" s="9">
        <v>1568</v>
      </c>
      <c r="E535" t="s" s="9">
        <v>1644</v>
      </c>
      <c r="F535" t="s" s="9">
        <v>1645</v>
      </c>
      <c r="G535" t="s" s="9">
        <v>1646</v>
      </c>
      <c r="H535" s="8" cm="1">
        <f t="array" ref="H535">MIN(SUMIF('외운 것'!A2:A271,A535,'외운 것'!D2:D271)+IF(R535=0,3,IF(R535=1,2,0)),3)</f>
        <v>3</v>
      </c>
      <c r="I535" s="8" cm="1">
        <f t="array" ref="I535">_xlfn.COUNTIFS('외운 것'!A2:A271,A535,'외운 것'!D2:D271,0)</f>
        <v>0</v>
      </c>
      <c r="J535" t="str" s="10" cm="1">
        <f t="array" ref="J535">IF(R535&lt;&gt;0,IF(H535&gt;=3,_xlfn.XLOOKUP(A535,'외운 것'!A2:A271,'외운 것'!C2:C271,0,1),0),"3차")</f>
        <v>3차</v>
      </c>
      <c r="K535" t="str" s="11" cm="1">
        <f t="array" ref="K535">IF(P535&lt;&gt;0,IF(N535&gt;=3,_xlfn.XLOOKUP(A535,'외운 것'!A2:A271,'외운 것'!C2:C271,0,1),0),"1차")</f>
        <v>1차</v>
      </c>
      <c r="L535" t="str" s="11" cm="1">
        <f t="array" ref="L535">IF(Q535&lt;&gt;0,IF(N535&gt;=3,_xlfn.XLOOKUP(A535,'외운 것'!A2:A271,'외운 것'!C2:C271,0,1),0),"2차")</f>
        <v>2차</v>
      </c>
      <c r="M535" t="str" s="11" cm="1">
        <f t="array" ref="M535">IF(R535&lt;&gt;0,IF(O535&gt;=3,_xlfn.XLOOKUP(B535,'외운 것'!B2:B271,'외운 것'!D2:D271,0,1),0),"3차")</f>
        <v>3차</v>
      </c>
      <c r="N535" s="8">
        <v>3</v>
      </c>
      <c r="O535" s="8">
        <v>3</v>
      </c>
      <c r="P535" s="8">
        <v>0</v>
      </c>
      <c r="Q535" s="8">
        <v>0</v>
      </c>
      <c r="R535" s="8">
        <v>0</v>
      </c>
    </row>
    <row r="536" ht="16" customHeight="1">
      <c r="A536" s="8">
        <v>535</v>
      </c>
      <c r="B536" s="8">
        <v>27</v>
      </c>
      <c r="C536" t="s" s="9">
        <v>1568</v>
      </c>
      <c r="D536" t="s" s="9">
        <v>1568</v>
      </c>
      <c r="E536" t="s" s="9">
        <v>1647</v>
      </c>
      <c r="F536" t="s" s="9">
        <v>1648</v>
      </c>
      <c r="G536" t="s" s="9">
        <v>1649</v>
      </c>
      <c r="H536" s="8" cm="1">
        <f t="array" ref="H536">MIN(SUMIF('외운 것'!A2:A271,A536,'외운 것'!D2:D271)+IF(R536=0,3,IF(R536=1,2,0)),3)</f>
        <v>3</v>
      </c>
      <c r="I536" s="8" cm="1">
        <f t="array" ref="I536">_xlfn.COUNTIFS('외운 것'!A2:A271,A536,'외운 것'!D2:D271,0)</f>
        <v>0</v>
      </c>
      <c r="J536" t="str" s="10" cm="1">
        <f t="array" ref="J536">IF(R536&lt;&gt;0,IF(H536&gt;=3,_xlfn.XLOOKUP(A536,'외운 것'!A2:A271,'외운 것'!C2:C271,0,1),0),"3차")</f>
        <v>3차</v>
      </c>
      <c r="K536" s="8" cm="1">
        <f t="array" ref="K536">IF(P536&lt;&gt;0,IF(N536&gt;=3,_xlfn.XLOOKUP(A536,'외운 것'!A2:A271,'외운 것'!C2:C271,0,1),0),"1차")</f>
        <v>0</v>
      </c>
      <c r="L536" t="str" s="11" cm="1">
        <f t="array" ref="L536">IF(Q536&lt;&gt;0,IF(N536&gt;=3,_xlfn.XLOOKUP(A536,'외운 것'!A2:A271,'외운 것'!C2:C271,0,1),0),"2차")</f>
        <v>2차</v>
      </c>
      <c r="M536" t="str" s="11" cm="1">
        <f t="array" ref="M536">IF(R536&lt;&gt;0,IF(O536&gt;=3,_xlfn.XLOOKUP(B536,'외운 것'!B2:B271,'외운 것'!D2:D271,0,1),0),"3차")</f>
        <v>3차</v>
      </c>
      <c r="N536" s="8">
        <v>0</v>
      </c>
      <c r="O536" s="8">
        <v>3</v>
      </c>
      <c r="P536" s="8">
        <v>2</v>
      </c>
      <c r="Q536" s="8">
        <v>0</v>
      </c>
      <c r="R536" s="8">
        <v>0</v>
      </c>
    </row>
    <row r="537" ht="16" customHeight="1">
      <c r="A537" s="8">
        <v>536</v>
      </c>
      <c r="B537" s="8">
        <v>28</v>
      </c>
      <c r="C537" t="s" s="9">
        <v>1568</v>
      </c>
      <c r="D537" t="s" s="9">
        <v>1568</v>
      </c>
      <c r="E537" t="s" s="9">
        <v>1650</v>
      </c>
      <c r="F537" t="s" s="9">
        <v>1651</v>
      </c>
      <c r="G537" t="s" s="9">
        <v>1652</v>
      </c>
      <c r="H537" s="8" cm="1">
        <f t="array" ref="H537">MIN(SUMIF('외운 것'!A2:A271,A537,'외운 것'!D2:D271)+IF(R537=0,3,IF(R537=1,2,0)),3)</f>
        <v>3</v>
      </c>
      <c r="I537" s="8" cm="1">
        <f t="array" ref="I537">_xlfn.COUNTIFS('외운 것'!A2:A271,A537,'외운 것'!D2:D271,0)</f>
        <v>0</v>
      </c>
      <c r="J537" t="str" s="10" cm="1">
        <f t="array" ref="J537">IF(R537&lt;&gt;0,IF(H537&gt;=3,_xlfn.XLOOKUP(A537,'외운 것'!A2:A271,'외운 것'!C2:C271,0,1),0),"3차")</f>
        <v>3차</v>
      </c>
      <c r="K537" t="str" s="11" cm="1">
        <f t="array" ref="K537">IF(P537&lt;&gt;0,IF(N537&gt;=3,_xlfn.XLOOKUP(A537,'외운 것'!A2:A271,'외운 것'!C2:C271,0,1),0),"1차")</f>
        <v>1차</v>
      </c>
      <c r="L537" t="str" s="11" cm="1">
        <f t="array" ref="L537">IF(Q537&lt;&gt;0,IF(N537&gt;=3,_xlfn.XLOOKUP(A537,'외운 것'!A2:A271,'외운 것'!C2:C271,0,1),0),"2차")</f>
        <v>2차</v>
      </c>
      <c r="M537" t="str" s="11" cm="1">
        <f t="array" ref="M537">IF(R537&lt;&gt;0,IF(O537&gt;=3,_xlfn.XLOOKUP(B537,'외운 것'!B2:B271,'외운 것'!D2:D271,0,1),0),"3차")</f>
        <v>3차</v>
      </c>
      <c r="N537" s="8">
        <v>3</v>
      </c>
      <c r="O537" s="8">
        <v>3</v>
      </c>
      <c r="P537" s="8">
        <v>0</v>
      </c>
      <c r="Q537" s="8">
        <v>0</v>
      </c>
      <c r="R537" s="8">
        <v>0</v>
      </c>
    </row>
    <row r="538" ht="16" customHeight="1">
      <c r="A538" s="8">
        <v>537</v>
      </c>
      <c r="B538" s="8">
        <v>29</v>
      </c>
      <c r="C538" t="s" s="9">
        <v>1568</v>
      </c>
      <c r="D538" t="s" s="9">
        <v>1568</v>
      </c>
      <c r="E538" t="s" s="9">
        <v>1653</v>
      </c>
      <c r="F538" t="s" s="9">
        <v>1654</v>
      </c>
      <c r="G538" t="s" s="9">
        <v>1655</v>
      </c>
      <c r="H538" s="8" cm="1">
        <f t="array" ref="H538">MIN(SUMIF('외운 것'!A2:A271,A538,'외운 것'!D2:D271)+IF(R538=0,3,IF(R538=1,2,0)),3)</f>
        <v>0</v>
      </c>
      <c r="I538" s="8" cm="1">
        <f t="array" ref="I538">_xlfn.COUNTIFS('외운 것'!A2:A271,A538,'외운 것'!D2:D271,0)</f>
        <v>0</v>
      </c>
      <c r="J538" s="19" cm="1">
        <f t="array" ref="J538">IF(R538&lt;&gt;0,IF(H538&gt;=3,_xlfn.XLOOKUP(A538,'외운 것'!A2:A271,'외운 것'!C2:C271,0,1),0),"3차")</f>
        <v>0</v>
      </c>
      <c r="K538" s="8" cm="1">
        <f t="array" ref="K538">IF(P538&lt;&gt;0,IF(N538&gt;=3,_xlfn.XLOOKUP(A538,'외운 것'!A2:A271,'외운 것'!C2:C271,0,1),0),"1차")</f>
        <v>0</v>
      </c>
      <c r="L538" s="8" cm="1">
        <f t="array" ref="L538">IF(Q538&lt;&gt;0,IF(N538&gt;=3,_xlfn.XLOOKUP(A538,'외운 것'!A2:A271,'외운 것'!C2:C271,0,1),0),"2차")</f>
        <v>0</v>
      </c>
      <c r="M538" s="8" cm="1">
        <f t="array" ref="M538">IF(R538&lt;&gt;0,IF(O538&gt;=3,_xlfn.XLOOKUP(B538,'외운 것'!B2:B271,'외운 것'!D2:D271,0,1),0),"3차")</f>
        <v>0</v>
      </c>
      <c r="N538" s="8">
        <v>0</v>
      </c>
      <c r="O538" s="8">
        <v>3</v>
      </c>
      <c r="P538" s="8">
        <v>3</v>
      </c>
      <c r="Q538" s="8">
        <v>3</v>
      </c>
      <c r="R538" s="8">
        <v>4</v>
      </c>
    </row>
    <row r="539" ht="16" customHeight="1">
      <c r="A539" s="8">
        <v>538</v>
      </c>
      <c r="B539" s="8">
        <v>30</v>
      </c>
      <c r="C539" t="s" s="9">
        <v>1568</v>
      </c>
      <c r="D539" t="s" s="9">
        <v>1568</v>
      </c>
      <c r="E539" t="s" s="9">
        <v>1656</v>
      </c>
      <c r="F539" t="s" s="9">
        <v>1657</v>
      </c>
      <c r="G539" t="s" s="9">
        <v>1658</v>
      </c>
      <c r="H539" s="8" cm="1">
        <f t="array" ref="H539">MIN(SUMIF('외운 것'!A2:A271,A539,'외운 것'!D2:D271)+IF(R539=0,3,IF(R539=1,2,0)),3)</f>
        <v>3</v>
      </c>
      <c r="I539" s="8" cm="1">
        <f t="array" ref="I539">_xlfn.COUNTIFS('외운 것'!A2:A271,A539,'외운 것'!D2:D271,0)</f>
        <v>0</v>
      </c>
      <c r="J539" t="str" s="10" cm="1">
        <f t="array" ref="J539">IF(R539&lt;&gt;0,IF(H539&gt;=3,_xlfn.XLOOKUP(A539,'외운 것'!A2:A271,'외운 것'!C2:C271,0,1),0),"3차")</f>
        <v>3차</v>
      </c>
      <c r="K539" s="8" cm="1">
        <f t="array" ref="K539">IF(P539&lt;&gt;0,IF(N539&gt;=3,_xlfn.XLOOKUP(A539,'외운 것'!A2:A271,'외운 것'!C2:C271,0,1),0),"1차")</f>
        <v>0</v>
      </c>
      <c r="L539" t="str" s="11" cm="1">
        <f t="array" ref="L539">IF(Q539&lt;&gt;0,IF(N539&gt;=3,_xlfn.XLOOKUP(A539,'외운 것'!A2:A271,'외운 것'!C2:C271,0,1),0),"2차")</f>
        <v>2차</v>
      </c>
      <c r="M539" t="str" s="11" cm="1">
        <f t="array" ref="M539">IF(R539&lt;&gt;0,IF(O539&gt;=3,_xlfn.XLOOKUP(B539,'외운 것'!B2:B271,'외운 것'!D2:D271,0,1),0),"3차")</f>
        <v>3차</v>
      </c>
      <c r="N539" s="8">
        <v>2</v>
      </c>
      <c r="O539" s="8">
        <v>3</v>
      </c>
      <c r="P539" s="8">
        <v>1</v>
      </c>
      <c r="Q539" s="8">
        <v>0</v>
      </c>
      <c r="R539" s="8">
        <v>0</v>
      </c>
    </row>
    <row r="540" ht="16" customHeight="1">
      <c r="A540" s="8">
        <v>539</v>
      </c>
      <c r="B540" s="8">
        <v>31</v>
      </c>
      <c r="C540" t="s" s="9">
        <v>1568</v>
      </c>
      <c r="D540" t="s" s="9">
        <v>1568</v>
      </c>
      <c r="E540" t="s" s="9">
        <v>1659</v>
      </c>
      <c r="F540" t="s" s="9">
        <v>1660</v>
      </c>
      <c r="G540" t="s" s="9">
        <v>1661</v>
      </c>
      <c r="H540" s="8" cm="1">
        <f t="array" ref="H540">MIN(SUMIF('외운 것'!A2:A271,A540,'외운 것'!D2:D271)+IF(R540=0,3,IF(R540=1,2,0)),3)</f>
        <v>3</v>
      </c>
      <c r="I540" s="8" cm="1">
        <f t="array" ref="I540">_xlfn.COUNTIFS('외운 것'!A2:A271,A540,'외운 것'!D2:D271,0)</f>
        <v>0</v>
      </c>
      <c r="J540" t="str" s="10" cm="1">
        <f t="array" ref="J540">IF(R540&lt;&gt;0,IF(H540&gt;=3,_xlfn.XLOOKUP(A540,'외운 것'!A2:A271,'외운 것'!C2:C271,0,1),0),"3차")</f>
        <v>3차</v>
      </c>
      <c r="K540" s="8" cm="1">
        <f t="array" ref="K540">IF(P540&lt;&gt;0,IF(N540&gt;=3,_xlfn.XLOOKUP(A540,'외운 것'!A2:A271,'외운 것'!C2:C271,0,1),0),"1차")</f>
        <v>0</v>
      </c>
      <c r="L540" s="8" cm="1">
        <f t="array" ref="L540">IF(Q540&lt;&gt;0,IF(N540&gt;=3,_xlfn.XLOOKUP(A540,'외운 것'!A2:A271,'외운 것'!C2:C271,0,1),0),"2차")</f>
        <v>0</v>
      </c>
      <c r="M540" t="str" s="11" cm="1">
        <f t="array" ref="M540">IF(R540&lt;&gt;0,IF(O540&gt;=3,_xlfn.XLOOKUP(B540,'외운 것'!B2:B271,'외운 것'!D2:D271,0,1),0),"3차")</f>
        <v>3차</v>
      </c>
      <c r="N540" s="8">
        <v>0</v>
      </c>
      <c r="O540" s="8">
        <v>3</v>
      </c>
      <c r="P540" s="8">
        <v>4</v>
      </c>
      <c r="Q540" s="8">
        <v>4</v>
      </c>
      <c r="R540" s="8">
        <v>0</v>
      </c>
    </row>
    <row r="541" ht="16" customHeight="1">
      <c r="A541" s="8">
        <v>540</v>
      </c>
      <c r="B541" s="8">
        <v>32</v>
      </c>
      <c r="C541" t="s" s="9">
        <v>1568</v>
      </c>
      <c r="D541" t="s" s="9">
        <v>1568</v>
      </c>
      <c r="E541" t="s" s="9">
        <v>1662</v>
      </c>
      <c r="F541" t="s" s="9">
        <v>1663</v>
      </c>
      <c r="G541" t="s" s="9">
        <v>1664</v>
      </c>
      <c r="H541" s="8" cm="1">
        <f t="array" ref="H541">MIN(SUMIF('외운 것'!A2:A271,A541,'외운 것'!D2:D271)+IF(R541=0,3,IF(R541=1,2,0)),3)</f>
        <v>3</v>
      </c>
      <c r="I541" s="8" cm="1">
        <f t="array" ref="I541">_xlfn.COUNTIFS('외운 것'!A2:A271,A541,'외운 것'!D2:D271,0)</f>
        <v>0</v>
      </c>
      <c r="J541" t="str" s="10" cm="1">
        <f t="array" ref="J541">IF(R541&lt;&gt;0,IF(H541&gt;=3,_xlfn.XLOOKUP(A541,'외운 것'!A2:A271,'외운 것'!C2:C271,0,1),0),"3차")</f>
        <v>3차</v>
      </c>
      <c r="K541" t="str" s="11" cm="1">
        <f t="array" ref="K541">IF(P541&lt;&gt;0,IF(N541&gt;=3,_xlfn.XLOOKUP(A541,'외운 것'!A2:A271,'외운 것'!C2:C271,0,1),0),"1차")</f>
        <v>1차</v>
      </c>
      <c r="L541" t="str" s="11" cm="1">
        <f t="array" ref="L541">IF(Q541&lt;&gt;0,IF(N541&gt;=3,_xlfn.XLOOKUP(A541,'외운 것'!A2:A271,'외운 것'!C2:C271,0,1),0),"2차")</f>
        <v>2차</v>
      </c>
      <c r="M541" t="str" s="11" cm="1">
        <f t="array" ref="M541">IF(R541&lt;&gt;0,IF(O541&gt;=3,_xlfn.XLOOKUP(B541,'외운 것'!B2:B271,'외운 것'!D2:D271,0,1),0),"3차")</f>
        <v>3차</v>
      </c>
      <c r="N541" s="8">
        <v>3</v>
      </c>
      <c r="O541" s="8">
        <v>3</v>
      </c>
      <c r="P541" s="8">
        <v>0</v>
      </c>
      <c r="Q541" s="8">
        <v>0</v>
      </c>
      <c r="R541" s="8">
        <v>0</v>
      </c>
    </row>
    <row r="542" ht="16" customHeight="1">
      <c r="A542" s="8">
        <v>541</v>
      </c>
      <c r="B542" s="8">
        <v>33</v>
      </c>
      <c r="C542" t="s" s="9">
        <v>1568</v>
      </c>
      <c r="D542" t="s" s="9">
        <v>1568</v>
      </c>
      <c r="E542" t="s" s="9">
        <v>1665</v>
      </c>
      <c r="F542" t="s" s="9">
        <v>1666</v>
      </c>
      <c r="G542" t="s" s="9">
        <v>1667</v>
      </c>
      <c r="H542" s="8" cm="1">
        <f t="array" ref="H542">MIN(SUMIF('외운 것'!A2:A271,A542,'외운 것'!D2:D271)+IF(R542=0,3,IF(R542=1,2,0)),3)</f>
        <v>3</v>
      </c>
      <c r="I542" s="8" cm="1">
        <f t="array" ref="I542">_xlfn.COUNTIFS('외운 것'!A2:A271,A542,'외운 것'!D2:D271,0)</f>
        <v>0</v>
      </c>
      <c r="J542" t="str" s="10" cm="1">
        <f t="array" ref="J542">IF(R542&lt;&gt;0,IF(H542&gt;=3,_xlfn.XLOOKUP(A542,'외운 것'!A2:A271,'외운 것'!C2:C271,0,1),0),"3차")</f>
        <v>3차</v>
      </c>
      <c r="K542" s="8" cm="1">
        <f t="array" ref="K542">IF(P542&lt;&gt;0,IF(N542&gt;=3,_xlfn.XLOOKUP(A542,'외운 것'!A2:A271,'외운 것'!C2:C271,0,1),0),"1차")</f>
        <v>0</v>
      </c>
      <c r="L542" s="8" cm="1">
        <f t="array" ref="L542">IF(Q542&lt;&gt;0,IF(N542&gt;=3,_xlfn.XLOOKUP(A542,'외운 것'!A2:A271,'외운 것'!C2:C271,0,1),0),"2차")</f>
        <v>0</v>
      </c>
      <c r="M542" t="str" s="11" cm="1">
        <f t="array" ref="M542">IF(R542&lt;&gt;0,IF(O542&gt;=3,_xlfn.XLOOKUP(B542,'외운 것'!B2:B271,'외운 것'!D2:D271,0,1),0),"3차")</f>
        <v>3차</v>
      </c>
      <c r="N542" s="8">
        <v>0</v>
      </c>
      <c r="O542" s="8">
        <v>3</v>
      </c>
      <c r="P542" s="8">
        <v>2</v>
      </c>
      <c r="Q542" s="8">
        <v>3</v>
      </c>
      <c r="R542" s="8">
        <v>0</v>
      </c>
    </row>
    <row r="543" ht="16" customHeight="1">
      <c r="A543" s="8">
        <v>542</v>
      </c>
      <c r="B543" s="8">
        <v>34</v>
      </c>
      <c r="C543" t="s" s="9">
        <v>1568</v>
      </c>
      <c r="D543" t="s" s="9">
        <v>1568</v>
      </c>
      <c r="E543" t="s" s="9">
        <v>1668</v>
      </c>
      <c r="F543" t="s" s="9">
        <v>1669</v>
      </c>
      <c r="G543" t="s" s="9">
        <v>1670</v>
      </c>
      <c r="H543" s="8" cm="1">
        <f t="array" ref="H543">MIN(SUMIF('외운 것'!A2:A271,A543,'외운 것'!D2:D271)+IF(R543=0,3,IF(R543=1,2,0)),3)</f>
        <v>3</v>
      </c>
      <c r="I543" s="8" cm="1">
        <f t="array" ref="I543">_xlfn.COUNTIFS('외운 것'!A2:A271,A543,'외운 것'!D2:D271,0)</f>
        <v>0</v>
      </c>
      <c r="J543" t="str" s="10" cm="1">
        <f t="array" ref="J543">IF(R543&lt;&gt;0,IF(H543&gt;=3,_xlfn.XLOOKUP(A543,'외운 것'!A2:A271,'외운 것'!C2:C271,0,1),0),"3차")</f>
        <v>3차</v>
      </c>
      <c r="K543" s="8" cm="1">
        <f t="array" ref="K543">IF(P543&lt;&gt;0,IF(N543&gt;=3,_xlfn.XLOOKUP(A543,'외운 것'!A2:A271,'외운 것'!C2:C271,0,1),0),"1차")</f>
        <v>0</v>
      </c>
      <c r="L543" s="8" cm="1">
        <f t="array" ref="L543">IF(Q543&lt;&gt;0,IF(N543&gt;=3,_xlfn.XLOOKUP(A543,'외운 것'!A2:A271,'외운 것'!C2:C271,0,1),0),"2차")</f>
        <v>0</v>
      </c>
      <c r="M543" t="str" s="11" cm="1">
        <f t="array" ref="M543">IF(R543&lt;&gt;0,IF(O543&gt;=3,_xlfn.XLOOKUP(B543,'외운 것'!B2:B271,'외운 것'!D2:D271,0,1),0),"3차")</f>
        <v>3차</v>
      </c>
      <c r="N543" s="8">
        <v>2</v>
      </c>
      <c r="O543" s="8">
        <v>3</v>
      </c>
      <c r="P543" s="8">
        <v>1</v>
      </c>
      <c r="Q543" s="8">
        <v>1</v>
      </c>
      <c r="R543" s="8">
        <v>0</v>
      </c>
    </row>
    <row r="544" ht="16" customHeight="1">
      <c r="A544" s="8">
        <v>543</v>
      </c>
      <c r="B544" s="8">
        <v>35</v>
      </c>
      <c r="C544" t="s" s="9">
        <v>1568</v>
      </c>
      <c r="D544" t="s" s="9">
        <v>1568</v>
      </c>
      <c r="E544" t="s" s="9">
        <v>1671</v>
      </c>
      <c r="F544" t="s" s="9">
        <v>1672</v>
      </c>
      <c r="G544" t="s" s="9">
        <v>1673</v>
      </c>
      <c r="H544" s="8" cm="1">
        <f t="array" ref="H544">MIN(SUMIF('외운 것'!A2:A271,A544,'외운 것'!D2:D271)+IF(R544=0,3,IF(R544=1,2,0)),3)</f>
        <v>3</v>
      </c>
      <c r="I544" s="8" cm="1">
        <f t="array" ref="I544">_xlfn.COUNTIFS('외운 것'!A2:A271,A544,'외운 것'!D2:D271,0)</f>
        <v>0</v>
      </c>
      <c r="J544" t="str" s="10" cm="1">
        <f t="array" ref="J544">IF(R544&lt;&gt;0,IF(H544&gt;=3,_xlfn.XLOOKUP(A544,'외운 것'!A2:A271,'외운 것'!C2:C271,0,1),0),"3차")</f>
        <v>3차</v>
      </c>
      <c r="K544" t="str" s="11" cm="1">
        <f t="array" ref="K544">IF(P544&lt;&gt;0,IF(N544&gt;=3,_xlfn.XLOOKUP(A544,'외운 것'!A2:A271,'외운 것'!C2:C271,0,1),0),"1차")</f>
        <v>1차</v>
      </c>
      <c r="L544" t="str" s="11" cm="1">
        <f t="array" ref="L544">IF(Q544&lt;&gt;0,IF(N544&gt;=3,_xlfn.XLOOKUP(A544,'외운 것'!A2:A271,'외운 것'!C2:C271,0,1),0),"2차")</f>
        <v>2차</v>
      </c>
      <c r="M544" t="str" s="11" cm="1">
        <f t="array" ref="M544">IF(R544&lt;&gt;0,IF(O544&gt;=3,_xlfn.XLOOKUP(B544,'외운 것'!B2:B271,'외운 것'!D2:D271,0,1),0),"3차")</f>
        <v>3차</v>
      </c>
      <c r="N544" s="8">
        <v>3</v>
      </c>
      <c r="O544" s="8">
        <v>3</v>
      </c>
      <c r="P544" s="8">
        <v>0</v>
      </c>
      <c r="Q544" s="8">
        <v>0</v>
      </c>
      <c r="R544" s="8">
        <v>0</v>
      </c>
    </row>
    <row r="545" ht="16" customHeight="1">
      <c r="A545" s="8">
        <v>544</v>
      </c>
      <c r="B545" s="8">
        <v>36</v>
      </c>
      <c r="C545" t="s" s="9">
        <v>1568</v>
      </c>
      <c r="D545" t="s" s="9">
        <v>1568</v>
      </c>
      <c r="E545" t="s" s="9">
        <v>1674</v>
      </c>
      <c r="F545" t="s" s="9">
        <v>1675</v>
      </c>
      <c r="G545" t="s" s="9">
        <v>1676</v>
      </c>
      <c r="H545" s="8" cm="1">
        <f t="array" ref="H545">MIN(SUMIF('외운 것'!A2:A271,A545,'외운 것'!D2:D271)+IF(R545=0,3,IF(R545=1,2,0)),3)</f>
        <v>2</v>
      </c>
      <c r="I545" s="8" cm="1">
        <f t="array" ref="I545">_xlfn.COUNTIFS('외운 것'!A2:A271,A545,'외운 것'!D2:D271,0)</f>
        <v>0</v>
      </c>
      <c r="J545" s="19" cm="1">
        <f t="array" ref="J545">IF(R545&lt;&gt;0,IF(H545&gt;=3,_xlfn.XLOOKUP(A545,'외운 것'!A2:A271,'외운 것'!C2:C271,0,1),0),"3차")</f>
        <v>0</v>
      </c>
      <c r="K545" s="8" cm="1">
        <f t="array" ref="K545">IF(P545&lt;&gt;0,IF(N545&gt;=3,_xlfn.XLOOKUP(A545,'외운 것'!A2:A271,'외운 것'!C2:C271,0,1),0),"1차")</f>
        <v>0</v>
      </c>
      <c r="L545" s="8" cm="1">
        <f t="array" ref="L545">IF(Q545&lt;&gt;0,IF(N545&gt;=3,_xlfn.XLOOKUP(A545,'외운 것'!A2:A271,'외운 것'!C2:C271,0,1),0),"2차")</f>
        <v>0</v>
      </c>
      <c r="M545" s="8" cm="1">
        <f t="array" ref="M545">IF(R545&lt;&gt;0,IF(O545&gt;=3,_xlfn.XLOOKUP(B545,'외운 것'!B2:B271,'외운 것'!D2:D271,0,1),0),"3차")</f>
        <v>0</v>
      </c>
      <c r="N545" s="8">
        <v>0</v>
      </c>
      <c r="O545" s="8">
        <v>3</v>
      </c>
      <c r="P545" s="8">
        <v>4</v>
      </c>
      <c r="Q545" s="8">
        <v>3</v>
      </c>
      <c r="R545" s="8">
        <v>1</v>
      </c>
    </row>
    <row r="546" ht="16" customHeight="1">
      <c r="A546" s="8">
        <v>545</v>
      </c>
      <c r="B546" s="8">
        <v>37</v>
      </c>
      <c r="C546" t="s" s="9">
        <v>1568</v>
      </c>
      <c r="D546" t="s" s="9">
        <v>1568</v>
      </c>
      <c r="E546" t="s" s="9">
        <v>1677</v>
      </c>
      <c r="F546" t="s" s="9">
        <v>1678</v>
      </c>
      <c r="G546" t="s" s="9">
        <v>1679</v>
      </c>
      <c r="H546" s="8" cm="1">
        <f t="array" ref="H546">MIN(SUMIF('외운 것'!A2:A271,A546,'외운 것'!D2:D271)+IF(R546=0,3,IF(R546=1,2,0)),3)</f>
        <v>3</v>
      </c>
      <c r="I546" s="8" cm="1">
        <f t="array" ref="I546">_xlfn.COUNTIFS('외운 것'!A2:A271,A546,'외운 것'!D2:D271,0)</f>
        <v>0</v>
      </c>
      <c r="J546" t="str" s="10" cm="1">
        <f t="array" ref="J546">IF(R546&lt;&gt;0,IF(H546&gt;=3,_xlfn.XLOOKUP(A546,'외운 것'!A2:A271,'외운 것'!C2:C271,0,1),0),"3차")</f>
        <v>3차</v>
      </c>
      <c r="K546" s="8" cm="1">
        <f t="array" ref="K546">IF(P546&lt;&gt;0,IF(N546&gt;=3,_xlfn.XLOOKUP(A546,'외운 것'!A2:A271,'외운 것'!C2:C271,0,1),0),"1차")</f>
        <v>0</v>
      </c>
      <c r="L546" s="8" cm="1">
        <f t="array" ref="L546">IF(Q546&lt;&gt;0,IF(N546&gt;=3,_xlfn.XLOOKUP(A546,'외운 것'!A2:A271,'외운 것'!C2:C271,0,1),0),"2차")</f>
        <v>0</v>
      </c>
      <c r="M546" t="str" s="11" cm="1">
        <f t="array" ref="M546">IF(R546&lt;&gt;0,IF(O546&gt;=3,_xlfn.XLOOKUP(B546,'외운 것'!B2:B271,'외운 것'!D2:D271,0,1),0),"3차")</f>
        <v>3차</v>
      </c>
      <c r="N546" s="8">
        <v>0</v>
      </c>
      <c r="O546" s="8">
        <v>3</v>
      </c>
      <c r="P546" s="8">
        <v>2</v>
      </c>
      <c r="Q546" s="8">
        <v>2</v>
      </c>
      <c r="R546" s="8">
        <v>0</v>
      </c>
    </row>
    <row r="547" ht="16" customHeight="1">
      <c r="A547" s="8">
        <v>546</v>
      </c>
      <c r="B547" s="8">
        <v>38</v>
      </c>
      <c r="C547" t="s" s="9">
        <v>1568</v>
      </c>
      <c r="D547" t="s" s="9">
        <v>1568</v>
      </c>
      <c r="E547" t="s" s="9">
        <v>1680</v>
      </c>
      <c r="F547" t="s" s="9">
        <v>1681</v>
      </c>
      <c r="G547" t="s" s="9">
        <v>1682</v>
      </c>
      <c r="H547" s="8" cm="1">
        <f t="array" ref="H547">MIN(SUMIF('외운 것'!A2:A271,A547,'외운 것'!D2:D271)+IF(R547=0,3,IF(R547=1,2,0)),3)</f>
        <v>3</v>
      </c>
      <c r="I547" s="8" cm="1">
        <f t="array" ref="I547">_xlfn.COUNTIFS('외운 것'!A2:A271,A547,'외운 것'!D2:D271,0)</f>
        <v>0</v>
      </c>
      <c r="J547" t="str" s="10" cm="1">
        <f t="array" ref="J547">IF(R547&lt;&gt;0,IF(H547&gt;=3,_xlfn.XLOOKUP(A547,'외운 것'!A2:A271,'외운 것'!C2:C271,0,1),0),"3차")</f>
        <v>3차</v>
      </c>
      <c r="K547" t="str" s="11" cm="1">
        <f t="array" ref="K547">IF(P547&lt;&gt;0,IF(N547&gt;=3,_xlfn.XLOOKUP(A547,'외운 것'!A2:A271,'외운 것'!C2:C271,0,1),0),"1차")</f>
        <v>1차</v>
      </c>
      <c r="L547" t="str" s="11" cm="1">
        <f t="array" ref="L547">IF(Q547&lt;&gt;0,IF(N547&gt;=3,_xlfn.XLOOKUP(A547,'외운 것'!A2:A271,'외운 것'!C2:C271,0,1),0),"2차")</f>
        <v>2차</v>
      </c>
      <c r="M547" t="str" s="11" cm="1">
        <f t="array" ref="M547">IF(R547&lt;&gt;0,IF(O547&gt;=3,_xlfn.XLOOKUP(B547,'외운 것'!B2:B271,'외운 것'!D2:D271,0,1),0),"3차")</f>
        <v>3차</v>
      </c>
      <c r="N547" s="8">
        <v>3</v>
      </c>
      <c r="O547" s="8">
        <v>3</v>
      </c>
      <c r="P547" s="8">
        <v>0</v>
      </c>
      <c r="Q547" s="8">
        <v>0</v>
      </c>
      <c r="R547" s="8">
        <v>0</v>
      </c>
    </row>
    <row r="548" ht="16" customHeight="1">
      <c r="A548" s="8">
        <v>547</v>
      </c>
      <c r="B548" s="8">
        <v>39</v>
      </c>
      <c r="C548" t="s" s="9">
        <v>1568</v>
      </c>
      <c r="D548" t="s" s="9">
        <v>1568</v>
      </c>
      <c r="E548" t="s" s="9">
        <v>1683</v>
      </c>
      <c r="F548" t="s" s="9">
        <v>1684</v>
      </c>
      <c r="G548" t="s" s="9">
        <v>1685</v>
      </c>
      <c r="H548" s="8" cm="1">
        <f t="array" ref="H548">MIN(SUMIF('외운 것'!A2:A271,A548,'외운 것'!D2:D271)+IF(R548=0,3,IF(R548=1,2,0)),3)</f>
        <v>3</v>
      </c>
      <c r="I548" s="8" cm="1">
        <f t="array" ref="I548">_xlfn.COUNTIFS('외운 것'!A2:A271,A548,'외운 것'!D2:D271,0)</f>
        <v>0</v>
      </c>
      <c r="J548" t="str" s="10" cm="1">
        <f t="array" ref="J548">IF(R548&lt;&gt;0,IF(H548&gt;=3,_xlfn.XLOOKUP(A548,'외운 것'!A2:A271,'외운 것'!C2:C271,0,1),0),"3차")</f>
        <v>3차</v>
      </c>
      <c r="K548" s="8" cm="1">
        <f t="array" ref="K548">IF(P548&lt;&gt;0,IF(N548&gt;=3,_xlfn.XLOOKUP(A548,'외운 것'!A2:A271,'외운 것'!C2:C271,0,1),0),"1차")</f>
        <v>0</v>
      </c>
      <c r="L548" t="str" s="11" cm="1">
        <f t="array" ref="L548">IF(Q548&lt;&gt;0,IF(N548&gt;=3,_xlfn.XLOOKUP(A548,'외운 것'!A2:A271,'외운 것'!C2:C271,0,1),0),"2차")</f>
        <v>2차</v>
      </c>
      <c r="M548" t="str" s="11" cm="1">
        <f t="array" ref="M548">IF(R548&lt;&gt;0,IF(O548&gt;=3,_xlfn.XLOOKUP(B548,'외운 것'!B2:B271,'외운 것'!D2:D271,0,1),0),"3차")</f>
        <v>3차</v>
      </c>
      <c r="N548" s="8">
        <v>2</v>
      </c>
      <c r="O548" s="8">
        <v>3</v>
      </c>
      <c r="P548" s="8">
        <v>1</v>
      </c>
      <c r="Q548" s="8">
        <v>0</v>
      </c>
      <c r="R548" s="8">
        <v>0</v>
      </c>
    </row>
    <row r="549" ht="16" customHeight="1">
      <c r="A549" s="8">
        <v>548</v>
      </c>
      <c r="B549" s="8">
        <v>40</v>
      </c>
      <c r="C549" t="s" s="9">
        <v>1568</v>
      </c>
      <c r="D549" t="s" s="9">
        <v>1568</v>
      </c>
      <c r="E549" t="s" s="9">
        <v>1686</v>
      </c>
      <c r="F549" t="s" s="9">
        <v>1687</v>
      </c>
      <c r="G549" t="s" s="9">
        <v>1688</v>
      </c>
      <c r="H549" s="8" cm="1">
        <f t="array" ref="H549">MIN(SUMIF('외운 것'!A2:A271,A549,'외운 것'!D2:D271)+IF(R549=0,3,IF(R549=1,2,0)),3)</f>
        <v>2</v>
      </c>
      <c r="I549" s="8" cm="1">
        <f t="array" ref="I549">_xlfn.COUNTIFS('외운 것'!A2:A271,A549,'외운 것'!D2:D271,0)</f>
        <v>0</v>
      </c>
      <c r="J549" s="19" cm="1">
        <f t="array" ref="J549">IF(R549&lt;&gt;0,IF(H549&gt;=3,_xlfn.XLOOKUP(A549,'외운 것'!A2:A271,'외운 것'!C2:C271,0,1),0),"3차")</f>
        <v>0</v>
      </c>
      <c r="K549" s="8" cm="1">
        <f t="array" ref="K549">IF(P549&lt;&gt;0,IF(N549&gt;=3,_xlfn.XLOOKUP(A549,'외운 것'!A2:A271,'외운 것'!C2:C271,0,1),0),"1차")</f>
        <v>0</v>
      </c>
      <c r="L549" s="8" cm="1">
        <f t="array" ref="L549">IF(Q549&lt;&gt;0,IF(N549&gt;=3,_xlfn.XLOOKUP(A549,'외운 것'!A2:A271,'외운 것'!C2:C271,0,1),0),"2차")</f>
        <v>0</v>
      </c>
      <c r="M549" s="8" cm="1">
        <f t="array" ref="M549">IF(R549&lt;&gt;0,IF(O549&gt;=3,_xlfn.XLOOKUP(B549,'외운 것'!B2:B271,'외운 것'!D2:D271,0,1),0),"3차")</f>
        <v>0</v>
      </c>
      <c r="N549" s="8">
        <v>0</v>
      </c>
      <c r="O549" s="8">
        <v>3</v>
      </c>
      <c r="P549" s="8">
        <v>3</v>
      </c>
      <c r="Q549" s="8">
        <v>3</v>
      </c>
      <c r="R549" s="8">
        <v>1</v>
      </c>
    </row>
    <row r="550" ht="16" customHeight="1">
      <c r="A550" s="8">
        <v>549</v>
      </c>
      <c r="B550" s="8">
        <v>41</v>
      </c>
      <c r="C550" t="s" s="9">
        <v>1568</v>
      </c>
      <c r="D550" t="s" s="9">
        <v>1568</v>
      </c>
      <c r="E550" t="s" s="9">
        <v>1689</v>
      </c>
      <c r="F550" t="s" s="9">
        <v>1690</v>
      </c>
      <c r="G550" t="s" s="9">
        <v>1691</v>
      </c>
      <c r="H550" s="8" cm="1">
        <f t="array" ref="H550">MIN(SUMIF('외운 것'!A2:A271,A550,'외운 것'!D2:D271)+IF(R550=0,3,IF(R550=1,2,0)),3)</f>
        <v>3</v>
      </c>
      <c r="I550" s="8" cm="1">
        <f t="array" ref="I550">_xlfn.COUNTIFS('외운 것'!A2:A271,A550,'외운 것'!D2:D271,0)</f>
        <v>0</v>
      </c>
      <c r="J550" t="str" s="10" cm="1">
        <f t="array" ref="J550">IF(R550&lt;&gt;0,IF(H550&gt;=3,_xlfn.XLOOKUP(A550,'외운 것'!A2:A271,'외운 것'!C2:C271,0,1),0),"3차")</f>
        <v>3차</v>
      </c>
      <c r="K550" s="8" cm="1">
        <f t="array" ref="K550">IF(P550&lt;&gt;0,IF(N550&gt;=3,_xlfn.XLOOKUP(A550,'외운 것'!A2:A271,'외운 것'!C2:C271,0,1),0),"1차")</f>
        <v>0</v>
      </c>
      <c r="L550" t="str" s="11" cm="1">
        <f t="array" ref="L550">IF(Q550&lt;&gt;0,IF(N550&gt;=3,_xlfn.XLOOKUP(A550,'외운 것'!A2:A271,'외운 것'!C2:C271,0,1),0),"2차")</f>
        <v>2차</v>
      </c>
      <c r="M550" t="str" s="11" cm="1">
        <f t="array" ref="M550">IF(R550&lt;&gt;0,IF(O550&gt;=3,_xlfn.XLOOKUP(B550,'외운 것'!B2:B271,'외운 것'!D2:D271,0,1),0),"3차")</f>
        <v>3차</v>
      </c>
      <c r="N550" s="8">
        <v>2</v>
      </c>
      <c r="O550" s="8">
        <v>3</v>
      </c>
      <c r="P550" s="8">
        <v>1</v>
      </c>
      <c r="Q550" s="8">
        <v>0</v>
      </c>
      <c r="R550" s="8">
        <v>0</v>
      </c>
    </row>
    <row r="551" ht="16" customHeight="1">
      <c r="A551" s="8">
        <v>550</v>
      </c>
      <c r="B551" s="8">
        <v>43</v>
      </c>
      <c r="C551" t="s" s="9">
        <v>1568</v>
      </c>
      <c r="D551" t="s" s="9">
        <v>1568</v>
      </c>
      <c r="E551" t="s" s="9">
        <v>1692</v>
      </c>
      <c r="F551" t="s" s="9">
        <v>1693</v>
      </c>
      <c r="G551" t="s" s="9">
        <v>1694</v>
      </c>
      <c r="H551" s="8" cm="1">
        <f t="array" ref="H551">MIN(SUMIF('외운 것'!A2:A271,A551,'외운 것'!D2:D271)+IF(R551=0,3,IF(R551=1,2,0)),3)</f>
        <v>3</v>
      </c>
      <c r="I551" s="8" cm="1">
        <f t="array" ref="I551">_xlfn.COUNTIFS('외운 것'!A2:A271,A551,'외운 것'!D2:D271,0)</f>
        <v>0</v>
      </c>
      <c r="J551" t="str" s="10" cm="1">
        <f t="array" ref="J551">IF(R551&lt;&gt;0,IF(H551&gt;=3,_xlfn.XLOOKUP(A551,'외운 것'!A2:A271,'외운 것'!C2:C271,0,1),0),"3차")</f>
        <v>3차</v>
      </c>
      <c r="K551" t="str" s="11" cm="1">
        <f t="array" ref="K551">IF(P551&lt;&gt;0,IF(N551&gt;=3,_xlfn.XLOOKUP(A551,'외운 것'!A2:A271,'외운 것'!C2:C271,0,1),0),"1차")</f>
        <v>1차</v>
      </c>
      <c r="L551" t="str" s="11" cm="1">
        <f t="array" ref="L551">IF(Q551&lt;&gt;0,IF(N551&gt;=3,_xlfn.XLOOKUP(A551,'외운 것'!A2:A271,'외운 것'!C2:C271,0,1),0),"2차")</f>
        <v>2차</v>
      </c>
      <c r="M551" t="str" s="11" cm="1">
        <f t="array" ref="M551">IF(R551&lt;&gt;0,IF(O551&gt;=3,_xlfn.XLOOKUP(B551,'외운 것'!B2:B271,'외운 것'!D2:D271,0,1),0),"3차")</f>
        <v>3차</v>
      </c>
      <c r="N551" s="8">
        <v>3</v>
      </c>
      <c r="O551" s="8">
        <v>3</v>
      </c>
      <c r="P551" s="8">
        <v>0</v>
      </c>
      <c r="Q551" s="8">
        <v>0</v>
      </c>
      <c r="R551" s="8">
        <v>0</v>
      </c>
    </row>
    <row r="552" ht="16" customHeight="1">
      <c r="A552" s="8">
        <v>551</v>
      </c>
      <c r="B552" s="8">
        <v>44</v>
      </c>
      <c r="C552" t="s" s="9">
        <v>1568</v>
      </c>
      <c r="D552" t="s" s="9">
        <v>1568</v>
      </c>
      <c r="E552" t="s" s="9">
        <v>1695</v>
      </c>
      <c r="F552" t="s" s="9">
        <v>1696</v>
      </c>
      <c r="G552" t="s" s="9">
        <v>1697</v>
      </c>
      <c r="H552" s="8" cm="1">
        <f t="array" ref="H552">MIN(SUMIF('외운 것'!A2:A271,A552,'외운 것'!D2:D271)+IF(R552=0,3,IF(R552=1,2,0)),3)</f>
        <v>3</v>
      </c>
      <c r="I552" s="8" cm="1">
        <f t="array" ref="I552">_xlfn.COUNTIFS('외운 것'!A2:A271,A552,'외운 것'!D2:D271,0)</f>
        <v>0</v>
      </c>
      <c r="J552" t="str" s="10" cm="1">
        <f t="array" ref="J552">IF(R552&lt;&gt;0,IF(H552&gt;=3,_xlfn.XLOOKUP(A552,'외운 것'!A2:A271,'외운 것'!C2:C271,0,1),0),"3차")</f>
        <v>3차</v>
      </c>
      <c r="K552" s="8" cm="1">
        <f t="array" ref="K552">IF(P552&lt;&gt;0,IF(N552&gt;=3,_xlfn.XLOOKUP(A552,'외운 것'!A2:A271,'외운 것'!C2:C271,0,1),0),"1차")</f>
        <v>0</v>
      </c>
      <c r="L552" t="str" s="11" cm="1">
        <f t="array" ref="L552">IF(Q552&lt;&gt;0,IF(N552&gt;=3,_xlfn.XLOOKUP(A552,'외운 것'!A2:A271,'외운 것'!C2:C271,0,1),0),"2차")</f>
        <v>2차</v>
      </c>
      <c r="M552" t="str" s="11" cm="1">
        <f t="array" ref="M552">IF(R552&lt;&gt;0,IF(O552&gt;=3,_xlfn.XLOOKUP(B552,'외운 것'!B2:B271,'외운 것'!D2:D271,0,1),0),"3차")</f>
        <v>3차</v>
      </c>
      <c r="N552" s="8">
        <v>2</v>
      </c>
      <c r="O552" s="8">
        <v>3</v>
      </c>
      <c r="P552" s="8">
        <v>1</v>
      </c>
      <c r="Q552" s="8">
        <v>0</v>
      </c>
      <c r="R552" s="8">
        <v>0</v>
      </c>
    </row>
    <row r="553" ht="16" customHeight="1">
      <c r="A553" s="8">
        <v>552</v>
      </c>
      <c r="B553" s="8">
        <v>45</v>
      </c>
      <c r="C553" t="s" s="9">
        <v>1568</v>
      </c>
      <c r="D553" t="s" s="9">
        <v>1568</v>
      </c>
      <c r="E553" t="s" s="9">
        <v>1698</v>
      </c>
      <c r="F553" t="s" s="9">
        <v>1699</v>
      </c>
      <c r="G553" t="s" s="9">
        <v>1700</v>
      </c>
      <c r="H553" s="8" cm="1">
        <f t="array" ref="H553">MIN(SUMIF('외운 것'!A2:A271,A553,'외운 것'!D2:D271)+IF(R553=0,3,IF(R553=1,2,0)),3)</f>
        <v>0</v>
      </c>
      <c r="I553" s="8" cm="1">
        <f t="array" ref="I553">_xlfn.COUNTIFS('외운 것'!A2:A271,A553,'외운 것'!D2:D271,0)</f>
        <v>0</v>
      </c>
      <c r="J553" s="19" cm="1">
        <f t="array" ref="J553">IF(R553&lt;&gt;0,IF(H553&gt;=3,_xlfn.XLOOKUP(A553,'외운 것'!A2:A271,'외운 것'!C2:C271,0,1),0),"3차")</f>
        <v>0</v>
      </c>
      <c r="K553" s="8" cm="1">
        <f t="array" ref="K553">IF(P553&lt;&gt;0,IF(N553&gt;=3,_xlfn.XLOOKUP(A553,'외운 것'!A2:A271,'외운 것'!C2:C271,0,1),0),"1차")</f>
        <v>0</v>
      </c>
      <c r="L553" s="8" cm="1">
        <f t="array" ref="L553">IF(Q553&lt;&gt;0,IF(N553&gt;=3,_xlfn.XLOOKUP(A553,'외운 것'!A2:A271,'외운 것'!C2:C271,0,1),0),"2차")</f>
        <v>0</v>
      </c>
      <c r="M553" s="8" cm="1">
        <f t="array" ref="M553">IF(R553&lt;&gt;0,IF(O553&gt;=3,_xlfn.XLOOKUP(B553,'외운 것'!B2:B271,'외운 것'!D2:D271,0,1),0),"3차")</f>
        <v>0</v>
      </c>
      <c r="N553" s="8">
        <v>0</v>
      </c>
      <c r="O553" s="8">
        <v>3</v>
      </c>
      <c r="P553" s="8">
        <v>3</v>
      </c>
      <c r="Q553" s="8">
        <v>3</v>
      </c>
      <c r="R553" s="8">
        <v>2</v>
      </c>
    </row>
    <row r="554" ht="16" customHeight="1">
      <c r="A554" s="8">
        <v>553</v>
      </c>
      <c r="B554" s="8">
        <v>46</v>
      </c>
      <c r="C554" t="s" s="9">
        <v>1568</v>
      </c>
      <c r="D554" t="s" s="9">
        <v>1568</v>
      </c>
      <c r="E554" t="s" s="9">
        <v>1701</v>
      </c>
      <c r="F554" t="s" s="9">
        <v>1702</v>
      </c>
      <c r="G554" t="s" s="9">
        <v>1703</v>
      </c>
      <c r="H554" s="8" cm="1">
        <f t="array" ref="H554">MIN(SUMIF('외운 것'!A2:A271,A554,'외운 것'!D2:D271)+IF(R554=0,3,IF(R554=1,2,0)),3)</f>
        <v>2</v>
      </c>
      <c r="I554" s="8" cm="1">
        <f t="array" ref="I554">_xlfn.COUNTIFS('외운 것'!A2:A271,A554,'외운 것'!D2:D271,0)</f>
        <v>0</v>
      </c>
      <c r="J554" s="19" cm="1">
        <f t="array" ref="J554">IF(R554&lt;&gt;0,IF(H554&gt;=3,_xlfn.XLOOKUP(A554,'외운 것'!A2:A271,'외운 것'!C2:C271,0,1),0),"3차")</f>
        <v>0</v>
      </c>
      <c r="K554" s="8" cm="1">
        <f t="array" ref="K554">IF(P554&lt;&gt;0,IF(N554&gt;=3,_xlfn.XLOOKUP(A554,'외운 것'!A2:A271,'외운 것'!C2:C271,0,1),0),"1차")</f>
        <v>0</v>
      </c>
      <c r="L554" s="8" cm="1">
        <f t="array" ref="L554">IF(Q554&lt;&gt;0,IF(N554&gt;=3,_xlfn.XLOOKUP(A554,'외운 것'!A2:A271,'외운 것'!C2:C271,0,1),0),"2차")</f>
        <v>0</v>
      </c>
      <c r="M554" s="8" cm="1">
        <f t="array" ref="M554">IF(R554&lt;&gt;0,IF(O554&gt;=3,_xlfn.XLOOKUP(B554,'외운 것'!B2:B271,'외운 것'!D2:D271,0,1),0),"3차")</f>
        <v>0</v>
      </c>
      <c r="N554" s="8">
        <v>0</v>
      </c>
      <c r="O554" s="8">
        <v>3</v>
      </c>
      <c r="P554" s="8">
        <v>4</v>
      </c>
      <c r="Q554" s="8">
        <v>5</v>
      </c>
      <c r="R554" s="8">
        <v>1</v>
      </c>
    </row>
    <row r="555" ht="16" customHeight="1">
      <c r="A555" s="8">
        <v>554</v>
      </c>
      <c r="B555" s="8">
        <v>47</v>
      </c>
      <c r="C555" t="s" s="9">
        <v>1568</v>
      </c>
      <c r="D555" t="s" s="9">
        <v>1568</v>
      </c>
      <c r="E555" t="s" s="9">
        <v>1704</v>
      </c>
      <c r="F555" t="s" s="9">
        <v>1705</v>
      </c>
      <c r="G555" t="s" s="9">
        <v>1706</v>
      </c>
      <c r="H555" s="8" cm="1">
        <f t="array" ref="H555">MIN(SUMIF('외운 것'!A2:A271,A555,'외운 것'!D2:D271)+IF(R555=0,3,IF(R555=1,2,0)),3)</f>
        <v>3</v>
      </c>
      <c r="I555" s="8" cm="1">
        <f t="array" ref="I555">_xlfn.COUNTIFS('외운 것'!A2:A271,A555,'외운 것'!D2:D271,0)</f>
        <v>0</v>
      </c>
      <c r="J555" t="str" s="10" cm="1">
        <f t="array" ref="J555">IF(R555&lt;&gt;0,IF(H555&gt;=3,_xlfn.XLOOKUP(A555,'외운 것'!A2:A271,'외운 것'!C2:C271,0,1),0),"3차")</f>
        <v>3차</v>
      </c>
      <c r="K555" s="8" cm="1">
        <f t="array" ref="K555">IF(P555&lt;&gt;0,IF(N555&gt;=3,_xlfn.XLOOKUP(A555,'외운 것'!A2:A271,'외운 것'!C2:C271,0,1),0),"1차")</f>
        <v>0</v>
      </c>
      <c r="L555" s="8" cm="1">
        <f t="array" ref="L555">IF(Q555&lt;&gt;0,IF(N555&gt;=3,_xlfn.XLOOKUP(A555,'외운 것'!A2:A271,'외운 것'!C2:C271,0,1),0),"2차")</f>
        <v>0</v>
      </c>
      <c r="M555" t="str" s="11" cm="1">
        <f t="array" ref="M555">IF(R555&lt;&gt;0,IF(O555&gt;=3,_xlfn.XLOOKUP(B555,'외운 것'!B2:B271,'외운 것'!D2:D271,0,1),0),"3차")</f>
        <v>3차</v>
      </c>
      <c r="N555" s="8">
        <v>0</v>
      </c>
      <c r="O555" s="8">
        <v>3</v>
      </c>
      <c r="P555" s="8">
        <v>2</v>
      </c>
      <c r="Q555" s="8">
        <v>4</v>
      </c>
      <c r="R555" s="8">
        <v>0</v>
      </c>
    </row>
    <row r="556" ht="16" customHeight="1">
      <c r="A556" s="8">
        <v>555</v>
      </c>
      <c r="B556" s="8">
        <v>49</v>
      </c>
      <c r="C556" t="s" s="9">
        <v>1568</v>
      </c>
      <c r="D556" t="s" s="9">
        <v>1568</v>
      </c>
      <c r="E556" t="s" s="9">
        <v>1707</v>
      </c>
      <c r="F556" t="s" s="9">
        <v>1708</v>
      </c>
      <c r="G556" t="s" s="9">
        <v>1709</v>
      </c>
      <c r="H556" s="8" cm="1">
        <f t="array" ref="H556">MIN(SUMIF('외운 것'!A2:A271,A556,'외운 것'!D2:D271)+IF(R556=0,3,IF(R556=1,2,0)),3)</f>
        <v>3</v>
      </c>
      <c r="I556" s="8" cm="1">
        <f t="array" ref="I556">_xlfn.COUNTIFS('외운 것'!A2:A271,A556,'외운 것'!D2:D271,0)</f>
        <v>0</v>
      </c>
      <c r="J556" t="str" s="10" cm="1">
        <f t="array" ref="J556">IF(R556&lt;&gt;0,IF(H556&gt;=3,_xlfn.XLOOKUP(A556,'외운 것'!A2:A271,'외운 것'!C2:C271,0,1),0),"3차")</f>
        <v>3차</v>
      </c>
      <c r="K556" s="8" cm="1">
        <f t="array" ref="K556">IF(P556&lt;&gt;0,IF(N556&gt;=3,_xlfn.XLOOKUP(A556,'외운 것'!A2:A271,'외운 것'!C2:C271,0,1),0),"1차")</f>
        <v>0</v>
      </c>
      <c r="L556" t="str" s="11" cm="1">
        <f t="array" ref="L556">IF(Q556&lt;&gt;0,IF(N556&gt;=3,_xlfn.XLOOKUP(A556,'외운 것'!A2:A271,'외운 것'!C2:C271,0,1),0),"2차")</f>
        <v>2차</v>
      </c>
      <c r="M556" t="str" s="11" cm="1">
        <f t="array" ref="M556">IF(R556&lt;&gt;0,IF(O556&gt;=3,_xlfn.XLOOKUP(B556,'외운 것'!B2:B271,'외운 것'!D2:D271,0,1),0),"3차")</f>
        <v>3차</v>
      </c>
      <c r="N556" s="8">
        <v>0</v>
      </c>
      <c r="O556" s="8">
        <v>3</v>
      </c>
      <c r="P556" s="8">
        <v>3</v>
      </c>
      <c r="Q556" s="8">
        <v>0</v>
      </c>
      <c r="R556" s="8">
        <v>0</v>
      </c>
    </row>
    <row r="557" ht="16" customHeight="1">
      <c r="A557" s="8">
        <v>556</v>
      </c>
      <c r="B557" s="8">
        <v>50</v>
      </c>
      <c r="C557" t="s" s="9">
        <v>1568</v>
      </c>
      <c r="D557" t="s" s="9">
        <v>1568</v>
      </c>
      <c r="E557" t="s" s="9">
        <v>1710</v>
      </c>
      <c r="F557" t="s" s="9">
        <v>1711</v>
      </c>
      <c r="G557" t="s" s="9">
        <v>1712</v>
      </c>
      <c r="H557" s="8" cm="1">
        <f t="array" ref="H557">MIN(SUMIF('외운 것'!A2:A271,A557,'외운 것'!D2:D271)+IF(R557=0,3,IF(R557=1,2,0)),3)</f>
        <v>3</v>
      </c>
      <c r="I557" s="8" cm="1">
        <f t="array" ref="I557">_xlfn.COUNTIFS('외운 것'!A2:A271,A557,'외운 것'!D2:D271,0)</f>
        <v>0</v>
      </c>
      <c r="J557" t="str" s="10" cm="1">
        <f t="array" ref="J557">IF(R557&lt;&gt;0,IF(H557&gt;=3,_xlfn.XLOOKUP(A557,'외운 것'!A2:A271,'외운 것'!C2:C271,0,1),0),"3차")</f>
        <v>3차</v>
      </c>
      <c r="K557" s="8" cm="1">
        <f t="array" ref="K557">IF(P557&lt;&gt;0,IF(N557&gt;=3,_xlfn.XLOOKUP(A557,'외운 것'!A2:A271,'외운 것'!C2:C271,0,1),0),"1차")</f>
        <v>0</v>
      </c>
      <c r="L557" s="8" cm="1">
        <f t="array" ref="L557">IF(Q557&lt;&gt;0,IF(N557&gt;=3,_xlfn.XLOOKUP(A557,'외운 것'!A2:A271,'외운 것'!C2:C271,0,1),0),"2차")</f>
        <v>0</v>
      </c>
      <c r="M557" t="str" s="11" cm="1">
        <f t="array" ref="M557">IF(R557&lt;&gt;0,IF(O557&gt;=3,_xlfn.XLOOKUP(B557,'외운 것'!B2:B271,'외운 것'!D2:D271,0,1),0),"3차")</f>
        <v>3차</v>
      </c>
      <c r="N557" s="8">
        <v>0</v>
      </c>
      <c r="O557" s="8">
        <v>3</v>
      </c>
      <c r="P557" s="8">
        <v>3</v>
      </c>
      <c r="Q557" s="8">
        <v>1</v>
      </c>
      <c r="R557" s="8">
        <v>0</v>
      </c>
    </row>
    <row r="558" ht="16" customHeight="1">
      <c r="A558" s="8">
        <v>557</v>
      </c>
      <c r="B558" s="8">
        <v>51</v>
      </c>
      <c r="C558" t="s" s="9">
        <v>1568</v>
      </c>
      <c r="D558" t="s" s="9">
        <v>1568</v>
      </c>
      <c r="E558" t="s" s="9">
        <v>1713</v>
      </c>
      <c r="F558" t="s" s="9">
        <v>1714</v>
      </c>
      <c r="G558" t="s" s="9">
        <v>1715</v>
      </c>
      <c r="H558" s="8" cm="1">
        <f t="array" ref="H558">MIN(SUMIF('외운 것'!A2:A271,A558,'외운 것'!D2:D271)+IF(R558=0,3,IF(R558=1,2,0)),3)</f>
        <v>3</v>
      </c>
      <c r="I558" s="8" cm="1">
        <f t="array" ref="I558">_xlfn.COUNTIFS('외운 것'!A2:A271,A558,'외운 것'!D2:D271,0)</f>
        <v>0</v>
      </c>
      <c r="J558" t="str" s="10" cm="1">
        <f t="array" ref="J558">IF(R558&lt;&gt;0,IF(H558&gt;=3,_xlfn.XLOOKUP(A558,'외운 것'!A2:A271,'외운 것'!C2:C271,0,1),0),"3차")</f>
        <v>3차</v>
      </c>
      <c r="K558" s="8" cm="1">
        <f t="array" ref="K558">IF(P558&lt;&gt;0,IF(N558&gt;=3,_xlfn.XLOOKUP(A558,'외운 것'!A2:A271,'외운 것'!C2:C271,0,1),0),"1차")</f>
        <v>0</v>
      </c>
      <c r="L558" t="str" s="11" cm="1">
        <f t="array" ref="L558">IF(Q558&lt;&gt;0,IF(N558&gt;=3,_xlfn.XLOOKUP(A558,'외운 것'!A2:A271,'외운 것'!C2:C271,0,1),0),"2차")</f>
        <v>2차</v>
      </c>
      <c r="M558" t="str" s="11" cm="1">
        <f t="array" ref="M558">IF(R558&lt;&gt;0,IF(O558&gt;=3,_xlfn.XLOOKUP(B558,'외운 것'!B2:B271,'외운 것'!D2:D271,0,1),0),"3차")</f>
        <v>3차</v>
      </c>
      <c r="N558" s="8">
        <v>2</v>
      </c>
      <c r="O558" s="8">
        <v>3</v>
      </c>
      <c r="P558" s="8">
        <v>1</v>
      </c>
      <c r="Q558" s="8">
        <v>0</v>
      </c>
      <c r="R558" s="8">
        <v>0</v>
      </c>
    </row>
    <row r="559" ht="16" customHeight="1">
      <c r="A559" s="8">
        <v>558</v>
      </c>
      <c r="B559" s="8">
        <v>52</v>
      </c>
      <c r="C559" t="s" s="9">
        <v>1568</v>
      </c>
      <c r="D559" t="s" s="9">
        <v>1568</v>
      </c>
      <c r="E559" t="s" s="9">
        <v>1716</v>
      </c>
      <c r="F559" t="s" s="9">
        <v>1717</v>
      </c>
      <c r="G559" t="s" s="9">
        <v>1718</v>
      </c>
      <c r="H559" s="8" cm="1">
        <f t="array" ref="H559">MIN(SUMIF('외운 것'!A2:A271,A559,'외운 것'!D2:D271)+IF(R559=0,3,IF(R559=1,2,0)),3)</f>
        <v>2</v>
      </c>
      <c r="I559" s="8" cm="1">
        <f t="array" ref="I559">_xlfn.COUNTIFS('외운 것'!A2:A271,A559,'외운 것'!D2:D271,0)</f>
        <v>0</v>
      </c>
      <c r="J559" s="19" cm="1">
        <f t="array" ref="J559">IF(R559&lt;&gt;0,IF(H559&gt;=3,_xlfn.XLOOKUP(A559,'외운 것'!A2:A271,'외운 것'!C2:C271,0,1),0),"3차")</f>
        <v>0</v>
      </c>
      <c r="K559" s="8" cm="1">
        <f t="array" ref="K559">IF(P559&lt;&gt;0,IF(N559&gt;=3,_xlfn.XLOOKUP(A559,'외운 것'!A2:A271,'외운 것'!C2:C271,0,1),0),"1차")</f>
        <v>0</v>
      </c>
      <c r="L559" s="8" cm="1">
        <f t="array" ref="L559">IF(Q559&lt;&gt;0,IF(N559&gt;=3,_xlfn.XLOOKUP(A559,'외운 것'!A2:A271,'외운 것'!C2:C271,0,1),0),"2차")</f>
        <v>0</v>
      </c>
      <c r="M559" s="8" cm="1">
        <f t="array" ref="M559">IF(R559&lt;&gt;0,IF(O559&gt;=3,_xlfn.XLOOKUP(B559,'외운 것'!B2:B271,'외운 것'!D2:D271,0,1),0),"3차")</f>
        <v>0</v>
      </c>
      <c r="N559" s="8">
        <v>2</v>
      </c>
      <c r="O559" s="8">
        <v>3</v>
      </c>
      <c r="P559" s="8">
        <v>1</v>
      </c>
      <c r="Q559" s="8">
        <v>1</v>
      </c>
      <c r="R559" s="8">
        <v>1</v>
      </c>
    </row>
    <row r="560" ht="16" customHeight="1">
      <c r="A560" s="8">
        <v>559</v>
      </c>
      <c r="B560" s="8">
        <v>53</v>
      </c>
      <c r="C560" t="s" s="9">
        <v>1568</v>
      </c>
      <c r="D560" t="s" s="9">
        <v>1568</v>
      </c>
      <c r="E560" t="s" s="9">
        <v>1719</v>
      </c>
      <c r="F560" t="s" s="9">
        <v>1720</v>
      </c>
      <c r="G560" t="s" s="9">
        <v>1721</v>
      </c>
      <c r="H560" s="8" cm="1">
        <f t="array" ref="H560">MIN(SUMIF('외운 것'!A2:A271,A560,'외운 것'!D2:D271)+IF(R560=0,3,IF(R560=1,2,0)),3)</f>
        <v>2</v>
      </c>
      <c r="I560" s="8" cm="1">
        <f t="array" ref="I560">_xlfn.COUNTIFS('외운 것'!A2:A271,A560,'외운 것'!D2:D271,0)</f>
        <v>0</v>
      </c>
      <c r="J560" s="19" cm="1">
        <f t="array" ref="J560">IF(R560&lt;&gt;0,IF(H560&gt;=3,_xlfn.XLOOKUP(A560,'외운 것'!A2:A271,'외운 것'!C2:C271,0,1),0),"3차")</f>
        <v>0</v>
      </c>
      <c r="K560" s="8" cm="1">
        <f t="array" ref="K560">IF(P560&lt;&gt;0,IF(N560&gt;=3,_xlfn.XLOOKUP(A560,'외운 것'!A2:A271,'외운 것'!C2:C271,0,1),0),"1차")</f>
        <v>0</v>
      </c>
      <c r="L560" s="8" cm="1">
        <f t="array" ref="L560">IF(Q560&lt;&gt;0,IF(N560&gt;=3,_xlfn.XLOOKUP(A560,'외운 것'!A2:A271,'외운 것'!C2:C271,0,1),0),"2차")</f>
        <v>0</v>
      </c>
      <c r="M560" s="8" cm="1">
        <f t="array" ref="M560">IF(R560&lt;&gt;0,IF(O560&gt;=3,_xlfn.XLOOKUP(B560,'외운 것'!B2:B271,'외운 것'!D2:D271,0,1),0),"3차")</f>
        <v>0</v>
      </c>
      <c r="N560" s="8">
        <v>0</v>
      </c>
      <c r="O560" s="8">
        <v>3</v>
      </c>
      <c r="P560" s="8">
        <v>5</v>
      </c>
      <c r="Q560" s="8">
        <v>5</v>
      </c>
      <c r="R560" s="8">
        <v>1</v>
      </c>
    </row>
    <row r="561" ht="16" customHeight="1">
      <c r="A561" s="8">
        <v>560</v>
      </c>
      <c r="B561" s="8">
        <v>1</v>
      </c>
      <c r="C561" t="s" s="9">
        <v>1722</v>
      </c>
      <c r="D561" t="s" s="9">
        <v>1722</v>
      </c>
      <c r="E561" t="s" s="9">
        <v>1723</v>
      </c>
      <c r="F561" t="s" s="9">
        <v>1724</v>
      </c>
      <c r="G561" t="s" s="9">
        <v>1725</v>
      </c>
      <c r="H561" s="8" cm="1">
        <f t="array" ref="H561">MIN(SUMIF('외운 것'!A2:A271,A561,'외운 것'!D2:D271)+IF(R561=0,3,IF(R561=1,2,0)),3)</f>
        <v>3</v>
      </c>
      <c r="I561" s="8" cm="1">
        <f t="array" ref="I561">_xlfn.COUNTIFS('외운 것'!A2:A271,A561,'외운 것'!D2:D271,0)</f>
        <v>0</v>
      </c>
      <c r="J561" t="str" s="10" cm="1">
        <f t="array" ref="J561">IF(R561&lt;&gt;0,IF(H561&gt;=3,_xlfn.XLOOKUP(A561,'외운 것'!A2:A271,'외운 것'!C2:C271,0,1),0),"3차")</f>
        <v>3차</v>
      </c>
      <c r="K561" s="8" cm="1">
        <f t="array" ref="K561">IF(P561&lt;&gt;0,IF(N561&gt;=3,_xlfn.XLOOKUP(A561,'외운 것'!A2:A271,'외운 것'!C2:C271,0,1),0),"1차")</f>
        <v>0</v>
      </c>
      <c r="L561" s="8" cm="1">
        <f t="array" ref="L561">IF(Q561&lt;&gt;0,IF(N561&gt;=3,_xlfn.XLOOKUP(A561,'외운 것'!A2:A271,'외운 것'!C2:C271,0,1),0),"2차")</f>
        <v>0</v>
      </c>
      <c r="M561" t="str" s="11" cm="1">
        <f t="array" ref="M561">IF(R561&lt;&gt;0,IF(O561&gt;=3,_xlfn.XLOOKUP(B561,'외운 것'!B2:B271,'외운 것'!D2:D271,0,1),0),"3차")</f>
        <v>3차</v>
      </c>
      <c r="N561" s="8">
        <v>0</v>
      </c>
      <c r="O561" s="8">
        <v>3</v>
      </c>
      <c r="P561" s="8">
        <v>4</v>
      </c>
      <c r="Q561" s="8">
        <v>2</v>
      </c>
      <c r="R561" s="8">
        <v>0</v>
      </c>
    </row>
    <row r="562" ht="16" customHeight="1">
      <c r="A562" s="8">
        <v>561</v>
      </c>
      <c r="B562" s="8">
        <v>2</v>
      </c>
      <c r="C562" t="s" s="9">
        <v>1722</v>
      </c>
      <c r="D562" t="s" s="9">
        <v>1722</v>
      </c>
      <c r="E562" t="s" s="9">
        <v>1726</v>
      </c>
      <c r="F562" t="s" s="9">
        <v>1727</v>
      </c>
      <c r="G562" t="s" s="9">
        <v>1728</v>
      </c>
      <c r="H562" s="8" cm="1">
        <f t="array" ref="H562">MIN(SUMIF('외운 것'!A2:A271,A562,'외운 것'!D2:D271)+IF(R562=0,3,IF(R562=1,2,0)),3)</f>
        <v>2</v>
      </c>
      <c r="I562" s="8" cm="1">
        <f t="array" ref="I562">_xlfn.COUNTIFS('외운 것'!A2:A271,A562,'외운 것'!D2:D271,0)</f>
        <v>0</v>
      </c>
      <c r="J562" s="19" cm="1">
        <f t="array" ref="J562">IF(R562&lt;&gt;0,IF(H562&gt;=3,_xlfn.XLOOKUP(A562,'외운 것'!A2:A271,'외운 것'!C2:C271,0,1),0),"3차")</f>
        <v>0</v>
      </c>
      <c r="K562" s="8" cm="1">
        <f t="array" ref="K562">IF(P562&lt;&gt;0,IF(N562&gt;=3,_xlfn.XLOOKUP(A562,'외운 것'!A2:A271,'외운 것'!C2:C271,0,1),0),"1차")</f>
        <v>0</v>
      </c>
      <c r="L562" s="8" cm="1">
        <f t="array" ref="L562">IF(Q562&lt;&gt;0,IF(N562&gt;=3,_xlfn.XLOOKUP(A562,'외운 것'!A2:A271,'외운 것'!C2:C271,0,1),0),"2차")</f>
        <v>0</v>
      </c>
      <c r="M562" s="8" cm="1">
        <f t="array" ref="M562">IF(R562&lt;&gt;0,IF(O562&gt;=3,_xlfn.XLOOKUP(B562,'외운 것'!B2:B271,'외운 것'!D2:D271,0,1),0),"3차")</f>
        <v>0</v>
      </c>
      <c r="N562" s="8">
        <v>2</v>
      </c>
      <c r="O562" s="8">
        <v>3</v>
      </c>
      <c r="P562" s="8">
        <v>1</v>
      </c>
      <c r="Q562" s="8">
        <v>3</v>
      </c>
      <c r="R562" s="8">
        <v>1</v>
      </c>
    </row>
    <row r="563" ht="16" customHeight="1">
      <c r="A563" s="8">
        <v>562</v>
      </c>
      <c r="B563" s="8">
        <v>3</v>
      </c>
      <c r="C563" t="s" s="9">
        <v>1722</v>
      </c>
      <c r="D563" t="s" s="9">
        <v>1722</v>
      </c>
      <c r="E563" t="s" s="9">
        <v>1729</v>
      </c>
      <c r="F563" t="s" s="9">
        <v>1730</v>
      </c>
      <c r="G563" t="s" s="9">
        <v>1731</v>
      </c>
      <c r="H563" s="8" cm="1">
        <f t="array" ref="H563">MIN(SUMIF('외운 것'!A2:A271,A563,'외운 것'!D2:D271)+IF(R563=0,3,IF(R563=1,2,0)),3)</f>
        <v>3</v>
      </c>
      <c r="I563" s="8" cm="1">
        <f t="array" ref="I563">_xlfn.COUNTIFS('외운 것'!A2:A271,A563,'외운 것'!D2:D271,0)</f>
        <v>0</v>
      </c>
      <c r="J563" t="str" s="10" cm="1">
        <f t="array" ref="J563">IF(R563&lt;&gt;0,IF(H563&gt;=3,_xlfn.XLOOKUP(A563,'외운 것'!A2:A271,'외운 것'!C2:C271,0,1),0),"3차")</f>
        <v>3차</v>
      </c>
      <c r="K563" s="8" cm="1">
        <f t="array" ref="K563">IF(P563&lt;&gt;0,IF(N563&gt;=3,_xlfn.XLOOKUP(A563,'외운 것'!A2:A271,'외운 것'!C2:C271,0,1),0),"1차")</f>
        <v>0</v>
      </c>
      <c r="L563" t="str" s="11" cm="1">
        <f t="array" ref="L563">IF(Q563&lt;&gt;0,IF(N563&gt;=3,_xlfn.XLOOKUP(A563,'외운 것'!A2:A271,'외운 것'!C2:C271,0,1),0),"2차")</f>
        <v>2차</v>
      </c>
      <c r="M563" t="str" s="11" cm="1">
        <f t="array" ref="M563">IF(R563&lt;&gt;0,IF(O563&gt;=3,_xlfn.XLOOKUP(B563,'외운 것'!B2:B271,'외운 것'!D2:D271,0,1),0),"3차")</f>
        <v>3차</v>
      </c>
      <c r="N563" s="8">
        <v>2</v>
      </c>
      <c r="O563" s="8">
        <v>3</v>
      </c>
      <c r="P563" s="8">
        <v>1</v>
      </c>
      <c r="Q563" s="8">
        <v>0</v>
      </c>
      <c r="R563" s="8">
        <v>0</v>
      </c>
    </row>
    <row r="564" ht="16" customHeight="1">
      <c r="A564" s="8">
        <v>563</v>
      </c>
      <c r="B564" s="8">
        <v>4</v>
      </c>
      <c r="C564" t="s" s="9">
        <v>1722</v>
      </c>
      <c r="D564" t="s" s="9">
        <v>1722</v>
      </c>
      <c r="E564" t="s" s="9">
        <v>1732</v>
      </c>
      <c r="F564" t="s" s="9">
        <v>1733</v>
      </c>
      <c r="G564" t="s" s="9">
        <v>1734</v>
      </c>
      <c r="H564" s="8" cm="1">
        <f t="array" ref="H564">MIN(SUMIF('외운 것'!A2:A271,A564,'외운 것'!D2:D271)+IF(R564=0,3,IF(R564=1,2,0)),3)</f>
        <v>2</v>
      </c>
      <c r="I564" s="8" cm="1">
        <f t="array" ref="I564">_xlfn.COUNTIFS('외운 것'!A2:A271,A564,'외운 것'!D2:D271,0)</f>
        <v>0</v>
      </c>
      <c r="J564" s="19" cm="1">
        <f t="array" ref="J564">IF(R564&lt;&gt;0,IF(H564&gt;=3,_xlfn.XLOOKUP(A564,'외운 것'!A2:A271,'외운 것'!C2:C271,0,1),0),"3차")</f>
        <v>0</v>
      </c>
      <c r="K564" s="8" cm="1">
        <f t="array" ref="K564">IF(P564&lt;&gt;0,IF(N564&gt;=3,_xlfn.XLOOKUP(A564,'외운 것'!A2:A271,'외운 것'!C2:C271,0,1),0),"1차")</f>
        <v>0</v>
      </c>
      <c r="L564" s="8" cm="1">
        <f t="array" ref="L564">IF(Q564&lt;&gt;0,IF(N564&gt;=3,_xlfn.XLOOKUP(A564,'외운 것'!A2:A271,'외운 것'!C2:C271,0,1),0),"2차")</f>
        <v>0</v>
      </c>
      <c r="M564" s="8" cm="1">
        <f t="array" ref="M564">IF(R564&lt;&gt;0,IF(O564&gt;=3,_xlfn.XLOOKUP(B564,'외운 것'!B2:B271,'외운 것'!D2:D271,0,1),0),"3차")</f>
        <v>0</v>
      </c>
      <c r="N564" s="8">
        <v>0</v>
      </c>
      <c r="O564" s="8">
        <v>3</v>
      </c>
      <c r="P564" s="8">
        <v>2</v>
      </c>
      <c r="Q564" s="8">
        <v>1</v>
      </c>
      <c r="R564" s="8">
        <v>1</v>
      </c>
    </row>
    <row r="565" ht="16" customHeight="1">
      <c r="A565" s="8">
        <v>564</v>
      </c>
      <c r="B565" s="8">
        <v>5</v>
      </c>
      <c r="C565" t="s" s="9">
        <v>1722</v>
      </c>
      <c r="D565" t="s" s="9">
        <v>1722</v>
      </c>
      <c r="E565" t="s" s="9">
        <v>1735</v>
      </c>
      <c r="F565" t="s" s="9">
        <v>1736</v>
      </c>
      <c r="G565" t="s" s="9">
        <v>1737</v>
      </c>
      <c r="H565" s="8" cm="1">
        <f t="array" ref="H565">MIN(SUMIF('외운 것'!A2:A271,A565,'외운 것'!D2:D271)+IF(R565=0,3,IF(R565=1,2,0)),3)</f>
        <v>3</v>
      </c>
      <c r="I565" s="8" cm="1">
        <f t="array" ref="I565">_xlfn.COUNTIFS('외운 것'!A2:A271,A565,'외운 것'!D2:D271,0)</f>
        <v>0</v>
      </c>
      <c r="J565" t="str" s="10" cm="1">
        <f t="array" ref="J565">IF(R565&lt;&gt;0,IF(H565&gt;=3,_xlfn.XLOOKUP(A565,'외운 것'!A2:A271,'외운 것'!C2:C271,0,1),0),"3차")</f>
        <v>3차</v>
      </c>
      <c r="K565" t="str" s="11" cm="1">
        <f t="array" ref="K565">IF(P565&lt;&gt;0,IF(N565&gt;=3,_xlfn.XLOOKUP(A565,'외운 것'!A2:A271,'외운 것'!C2:C271,0,1),0),"1차")</f>
        <v>1차</v>
      </c>
      <c r="L565" t="str" s="11" cm="1">
        <f t="array" ref="L565">IF(Q565&lt;&gt;0,IF(N565&gt;=3,_xlfn.XLOOKUP(A565,'외운 것'!A2:A271,'외운 것'!C2:C271,0,1),0),"2차")</f>
        <v>2차</v>
      </c>
      <c r="M565" t="str" s="11" cm="1">
        <f t="array" ref="M565">IF(R565&lt;&gt;0,IF(O565&gt;=3,_xlfn.XLOOKUP(B565,'외운 것'!B2:B271,'외운 것'!D2:D271,0,1),0),"3차")</f>
        <v>3차</v>
      </c>
      <c r="N565" s="8">
        <v>3</v>
      </c>
      <c r="O565" s="8">
        <v>3</v>
      </c>
      <c r="P565" s="8">
        <v>0</v>
      </c>
      <c r="Q565" s="8">
        <v>0</v>
      </c>
      <c r="R565" s="8">
        <v>0</v>
      </c>
    </row>
    <row r="566" ht="16" customHeight="1">
      <c r="A566" s="8">
        <v>565</v>
      </c>
      <c r="B566" s="8">
        <v>6</v>
      </c>
      <c r="C566" t="s" s="9">
        <v>1722</v>
      </c>
      <c r="D566" t="s" s="9">
        <v>1722</v>
      </c>
      <c r="E566" t="s" s="9">
        <v>1738</v>
      </c>
      <c r="F566" t="s" s="9">
        <v>1739</v>
      </c>
      <c r="G566" t="s" s="9">
        <v>1740</v>
      </c>
      <c r="H566" s="8" cm="1">
        <f t="array" ref="H566">MIN(SUMIF('외운 것'!A2:A271,A566,'외운 것'!D2:D271)+IF(R566=0,3,IF(R566=1,2,0)),3)</f>
        <v>3</v>
      </c>
      <c r="I566" s="8" cm="1">
        <f t="array" ref="I566">_xlfn.COUNTIFS('외운 것'!A2:A271,A566,'외운 것'!D2:D271,0)</f>
        <v>0</v>
      </c>
      <c r="J566" t="str" s="10" cm="1">
        <f t="array" ref="J566">IF(R566&lt;&gt;0,IF(H566&gt;=3,_xlfn.XLOOKUP(A566,'외운 것'!A2:A271,'외운 것'!C2:C271,0,1),0),"3차")</f>
        <v>3차</v>
      </c>
      <c r="K566" s="8" cm="1">
        <f t="array" ref="K566">IF(P566&lt;&gt;0,IF(N566&gt;=3,_xlfn.XLOOKUP(A566,'외운 것'!A2:A271,'외운 것'!C2:C271,0,1),0),"1차")</f>
        <v>0</v>
      </c>
      <c r="L566" t="str" s="11" cm="1">
        <f t="array" ref="L566">IF(Q566&lt;&gt;0,IF(N566&gt;=3,_xlfn.XLOOKUP(A566,'외운 것'!A2:A271,'외운 것'!C2:C271,0,1),0),"2차")</f>
        <v>2차</v>
      </c>
      <c r="M566" t="str" s="11" cm="1">
        <f t="array" ref="M566">IF(R566&lt;&gt;0,IF(O566&gt;=3,_xlfn.XLOOKUP(B566,'외운 것'!B2:B271,'외운 것'!D2:D271,0,1),0),"3차")</f>
        <v>3차</v>
      </c>
      <c r="N566" s="8">
        <v>2</v>
      </c>
      <c r="O566" s="8">
        <v>3</v>
      </c>
      <c r="P566" s="8">
        <v>1</v>
      </c>
      <c r="Q566" s="8">
        <v>0</v>
      </c>
      <c r="R566" s="8">
        <v>0</v>
      </c>
    </row>
    <row r="567" ht="16" customHeight="1">
      <c r="A567" s="8">
        <v>566</v>
      </c>
      <c r="B567" s="8">
        <v>7</v>
      </c>
      <c r="C567" t="s" s="9">
        <v>1722</v>
      </c>
      <c r="D567" t="s" s="9">
        <v>1722</v>
      </c>
      <c r="E567" t="s" s="9">
        <v>1741</v>
      </c>
      <c r="F567" t="s" s="9">
        <v>1742</v>
      </c>
      <c r="G567" t="s" s="9">
        <v>1743</v>
      </c>
      <c r="H567" s="8" cm="1">
        <f t="array" ref="H567">MIN(SUMIF('외운 것'!A2:A271,A567,'외운 것'!D2:D271)+IF(R567=0,3,IF(R567=1,2,0)),3)</f>
        <v>3</v>
      </c>
      <c r="I567" s="8" cm="1">
        <f t="array" ref="I567">_xlfn.COUNTIFS('외운 것'!A2:A271,A567,'외운 것'!D2:D271,0)</f>
        <v>0</v>
      </c>
      <c r="J567" t="str" s="10" cm="1">
        <f t="array" ref="J567">IF(R567&lt;&gt;0,IF(H567&gt;=3,_xlfn.XLOOKUP(A567,'외운 것'!A2:A271,'외운 것'!C2:C271,0,1),0),"3차")</f>
        <v>3차</v>
      </c>
      <c r="K567" t="str" s="11" cm="1">
        <f t="array" ref="K567">IF(P567&lt;&gt;0,IF(N567&gt;=3,_xlfn.XLOOKUP(A567,'외운 것'!A2:A271,'외운 것'!C2:C271,0,1),0),"1차")</f>
        <v>1차</v>
      </c>
      <c r="L567" t="str" s="11" cm="1">
        <f t="array" ref="L567">IF(Q567&lt;&gt;0,IF(N567&gt;=3,_xlfn.XLOOKUP(A567,'외운 것'!A2:A271,'외운 것'!C2:C271,0,1),0),"2차")</f>
        <v>2차</v>
      </c>
      <c r="M567" t="str" s="11" cm="1">
        <f t="array" ref="M567">IF(R567&lt;&gt;0,IF(O567&gt;=3,_xlfn.XLOOKUP(B567,'외운 것'!B2:B271,'외운 것'!D2:D271,0,1),0),"3차")</f>
        <v>3차</v>
      </c>
      <c r="N567" s="8">
        <v>3</v>
      </c>
      <c r="O567" s="8">
        <v>3</v>
      </c>
      <c r="P567" s="8">
        <v>0</v>
      </c>
      <c r="Q567" s="8">
        <v>0</v>
      </c>
      <c r="R567" s="8">
        <v>0</v>
      </c>
    </row>
    <row r="568" ht="16" customHeight="1">
      <c r="A568" s="8">
        <v>567</v>
      </c>
      <c r="B568" s="8">
        <v>8</v>
      </c>
      <c r="C568" t="s" s="9">
        <v>1722</v>
      </c>
      <c r="D568" t="s" s="9">
        <v>1722</v>
      </c>
      <c r="E568" t="s" s="9">
        <v>1744</v>
      </c>
      <c r="F568" t="s" s="9">
        <v>1745</v>
      </c>
      <c r="G568" t="s" s="9">
        <v>1746</v>
      </c>
      <c r="H568" s="8" cm="1">
        <f t="array" ref="H568">MIN(SUMIF('외운 것'!A2:A271,A568,'외운 것'!D2:D271)+IF(R568=0,3,IF(R568=1,2,0)),3)</f>
        <v>3</v>
      </c>
      <c r="I568" s="8" cm="1">
        <f t="array" ref="I568">_xlfn.COUNTIFS('외운 것'!A2:A271,A568,'외운 것'!D2:D271,0)</f>
        <v>0</v>
      </c>
      <c r="J568" t="str" s="10" cm="1">
        <f t="array" ref="J568">IF(R568&lt;&gt;0,IF(H568&gt;=3,_xlfn.XLOOKUP(A568,'외운 것'!A2:A271,'외운 것'!C2:C271,0,1),0),"3차")</f>
        <v>3차</v>
      </c>
      <c r="K568" s="8" cm="1">
        <f t="array" ref="K568">IF(P568&lt;&gt;0,IF(N568&gt;=3,_xlfn.XLOOKUP(A568,'외운 것'!A2:A271,'외운 것'!C2:C271,0,1),0),"1차")</f>
        <v>0</v>
      </c>
      <c r="L568" s="8" cm="1">
        <f t="array" ref="L568">IF(Q568&lt;&gt;0,IF(N568&gt;=3,_xlfn.XLOOKUP(A568,'외운 것'!A2:A271,'외운 것'!C2:C271,0,1),0),"2차")</f>
        <v>0</v>
      </c>
      <c r="M568" t="str" s="11" cm="1">
        <f t="array" ref="M568">IF(R568&lt;&gt;0,IF(O568&gt;=3,_xlfn.XLOOKUP(B568,'외운 것'!B2:B271,'외운 것'!D2:D271,0,1),0),"3차")</f>
        <v>3차</v>
      </c>
      <c r="N568" s="8">
        <v>0</v>
      </c>
      <c r="O568" s="8">
        <v>3</v>
      </c>
      <c r="P568" s="8">
        <v>2</v>
      </c>
      <c r="Q568" s="8">
        <v>2</v>
      </c>
      <c r="R568" s="8">
        <v>0</v>
      </c>
    </row>
    <row r="569" ht="16" customHeight="1">
      <c r="A569" s="8">
        <v>568</v>
      </c>
      <c r="B569" s="8">
        <v>9</v>
      </c>
      <c r="C569" t="s" s="9">
        <v>1722</v>
      </c>
      <c r="D569" t="s" s="9">
        <v>1722</v>
      </c>
      <c r="E569" t="s" s="9">
        <v>1747</v>
      </c>
      <c r="F569" t="s" s="9">
        <v>1748</v>
      </c>
      <c r="G569" t="s" s="9">
        <v>1749</v>
      </c>
      <c r="H569" s="8" cm="1">
        <f t="array" ref="H569">MIN(SUMIF('외운 것'!A2:A271,A569,'외운 것'!D2:D271)+IF(R569=0,3,IF(R569=1,2,0)),3)</f>
        <v>3</v>
      </c>
      <c r="I569" s="8" cm="1">
        <f t="array" ref="I569">_xlfn.COUNTIFS('외운 것'!A2:A271,A569,'외운 것'!D2:D271,0)</f>
        <v>0</v>
      </c>
      <c r="J569" t="str" s="10" cm="1">
        <f t="array" ref="J569">IF(R569&lt;&gt;0,IF(H569&gt;=3,_xlfn.XLOOKUP(A569,'외운 것'!A2:A271,'외운 것'!C2:C271,0,1),0),"3차")</f>
        <v>3차</v>
      </c>
      <c r="K569" s="8" cm="1">
        <f t="array" ref="K569">IF(P569&lt;&gt;0,IF(N569&gt;=3,_xlfn.XLOOKUP(A569,'외운 것'!A2:A271,'외운 것'!C2:C271,0,1),0),"1차")</f>
        <v>0</v>
      </c>
      <c r="L569" s="8" cm="1">
        <f t="array" ref="L569">IF(Q569&lt;&gt;0,IF(N569&gt;=3,_xlfn.XLOOKUP(A569,'외운 것'!A2:A271,'외운 것'!C2:C271,0,1),0),"2차")</f>
        <v>0</v>
      </c>
      <c r="M569" t="str" s="11" cm="1">
        <f t="array" ref="M569">IF(R569&lt;&gt;0,IF(O569&gt;=3,_xlfn.XLOOKUP(B569,'외운 것'!B2:B271,'외운 것'!D2:D271,0,1),0),"3차")</f>
        <v>3차</v>
      </c>
      <c r="N569" s="8">
        <v>0</v>
      </c>
      <c r="O569" s="8">
        <v>3</v>
      </c>
      <c r="P569" s="8">
        <v>2</v>
      </c>
      <c r="Q569" s="8">
        <v>2</v>
      </c>
      <c r="R569" s="8">
        <v>0</v>
      </c>
    </row>
    <row r="570" ht="16" customHeight="1">
      <c r="A570" s="8">
        <v>569</v>
      </c>
      <c r="B570" s="8">
        <v>10</v>
      </c>
      <c r="C570" t="s" s="9">
        <v>1722</v>
      </c>
      <c r="D570" t="s" s="9">
        <v>1722</v>
      </c>
      <c r="E570" t="s" s="9">
        <v>1750</v>
      </c>
      <c r="F570" t="s" s="9">
        <v>1751</v>
      </c>
      <c r="G570" t="s" s="9">
        <v>1752</v>
      </c>
      <c r="H570" s="8" cm="1">
        <f t="array" ref="H570">MIN(SUMIF('외운 것'!A2:A271,A570,'외운 것'!D2:D271)+IF(R570=0,3,IF(R570=1,2,0)),3)</f>
        <v>3</v>
      </c>
      <c r="I570" s="8" cm="1">
        <f t="array" ref="I570">_xlfn.COUNTIFS('외운 것'!A2:A271,A570,'외운 것'!D2:D271,0)</f>
        <v>0</v>
      </c>
      <c r="J570" t="str" s="10" cm="1">
        <f t="array" ref="J570">IF(R570&lt;&gt;0,IF(H570&gt;=3,_xlfn.XLOOKUP(A570,'외운 것'!A2:A271,'외운 것'!C2:C271,0,1),0),"3차")</f>
        <v>3차</v>
      </c>
      <c r="K570" s="8" cm="1">
        <f t="array" ref="K570">IF(P570&lt;&gt;0,IF(N570&gt;=3,_xlfn.XLOOKUP(A570,'외운 것'!A2:A271,'외운 것'!C2:C271,0,1),0),"1차")</f>
        <v>0</v>
      </c>
      <c r="L570" s="8" cm="1">
        <f t="array" ref="L570">IF(Q570&lt;&gt;0,IF(N570&gt;=3,_xlfn.XLOOKUP(A570,'외운 것'!A2:A271,'외운 것'!C2:C271,0,1),0),"2차")</f>
        <v>0</v>
      </c>
      <c r="M570" t="str" s="11" cm="1">
        <f t="array" ref="M570">IF(R570&lt;&gt;0,IF(O570&gt;=3,_xlfn.XLOOKUP(B570,'외운 것'!B2:B271,'외운 것'!D2:D271,0,1),0),"3차")</f>
        <v>3차</v>
      </c>
      <c r="N570" s="8">
        <v>2</v>
      </c>
      <c r="O570" s="8">
        <v>3</v>
      </c>
      <c r="P570" s="8">
        <v>1</v>
      </c>
      <c r="Q570" s="8">
        <v>1</v>
      </c>
      <c r="R570" s="8">
        <v>0</v>
      </c>
    </row>
    <row r="571" ht="16" customHeight="1">
      <c r="A571" s="8">
        <v>570</v>
      </c>
      <c r="B571" s="8">
        <v>11</v>
      </c>
      <c r="C571" t="s" s="9">
        <v>1722</v>
      </c>
      <c r="D571" t="s" s="9">
        <v>1722</v>
      </c>
      <c r="E571" t="s" s="9">
        <v>1753</v>
      </c>
      <c r="F571" t="s" s="9">
        <v>1754</v>
      </c>
      <c r="G571" t="s" s="9">
        <v>1755</v>
      </c>
      <c r="H571" s="8" cm="1">
        <f t="array" ref="H571">MIN(SUMIF('외운 것'!A2:A271,A571,'외운 것'!D2:D271)+IF(R571=0,3,IF(R571=1,2,0)),3)</f>
        <v>3</v>
      </c>
      <c r="I571" s="8" cm="1">
        <f t="array" ref="I571">_xlfn.COUNTIFS('외운 것'!A2:A271,A571,'외운 것'!D2:D271,0)</f>
        <v>0</v>
      </c>
      <c r="J571" t="str" s="10" cm="1">
        <f t="array" ref="J571">IF(R571&lt;&gt;0,IF(H571&gt;=3,_xlfn.XLOOKUP(A571,'외운 것'!A2:A271,'외운 것'!C2:C271,0,1),0),"3차")</f>
        <v>3차</v>
      </c>
      <c r="K571" t="str" s="11" cm="1">
        <f t="array" ref="K571">IF(P571&lt;&gt;0,IF(N571&gt;=3,_xlfn.XLOOKUP(A571,'외운 것'!A2:A271,'외운 것'!C2:C271,0,1),0),"1차")</f>
        <v>1차</v>
      </c>
      <c r="L571" t="str" s="11" cm="1">
        <f t="array" ref="L571">IF(Q571&lt;&gt;0,IF(N571&gt;=3,_xlfn.XLOOKUP(A571,'외운 것'!A2:A271,'외운 것'!C2:C271,0,1),0),"2차")</f>
        <v>2차</v>
      </c>
      <c r="M571" t="str" s="11" cm="1">
        <f t="array" ref="M571">IF(R571&lt;&gt;0,IF(O571&gt;=3,_xlfn.XLOOKUP(B571,'외운 것'!B2:B271,'외운 것'!D2:D271,0,1),0),"3차")</f>
        <v>3차</v>
      </c>
      <c r="N571" s="8">
        <v>3</v>
      </c>
      <c r="O571" s="8">
        <v>3</v>
      </c>
      <c r="P571" s="8">
        <v>0</v>
      </c>
      <c r="Q571" s="8">
        <v>0</v>
      </c>
      <c r="R571" s="8">
        <v>0</v>
      </c>
    </row>
    <row r="572" ht="16" customHeight="1">
      <c r="A572" s="8">
        <v>571</v>
      </c>
      <c r="B572" s="8">
        <v>12</v>
      </c>
      <c r="C572" t="s" s="9">
        <v>1722</v>
      </c>
      <c r="D572" t="s" s="9">
        <v>1722</v>
      </c>
      <c r="E572" t="s" s="9">
        <v>1756</v>
      </c>
      <c r="F572" t="s" s="9">
        <v>1757</v>
      </c>
      <c r="G572" t="s" s="9">
        <v>1758</v>
      </c>
      <c r="H572" s="8" cm="1">
        <f t="array" ref="H572">MIN(SUMIF('외운 것'!A2:A271,A572,'외운 것'!D2:D271)+IF(R572=0,3,IF(R572=1,2,0)),3)</f>
        <v>2</v>
      </c>
      <c r="I572" s="8" cm="1">
        <f t="array" ref="I572">_xlfn.COUNTIFS('외운 것'!A2:A271,A572,'외운 것'!D2:D271,0)</f>
        <v>0</v>
      </c>
      <c r="J572" s="19" cm="1">
        <f t="array" ref="J572">IF(R572&lt;&gt;0,IF(H572&gt;=3,_xlfn.XLOOKUP(A572,'외운 것'!A2:A271,'외운 것'!C2:C271,0,1),0),"3차")</f>
        <v>0</v>
      </c>
      <c r="K572" s="8" cm="1">
        <f t="array" ref="K572">IF(P572&lt;&gt;0,IF(N572&gt;=3,_xlfn.XLOOKUP(A572,'외운 것'!A2:A271,'외운 것'!C2:C271,0,1),0),"1차")</f>
        <v>0</v>
      </c>
      <c r="L572" s="8" cm="1">
        <f t="array" ref="L572">IF(Q572&lt;&gt;0,IF(N572&gt;=3,_xlfn.XLOOKUP(A572,'외운 것'!A2:A271,'외운 것'!C2:C271,0,1),0),"2차")</f>
        <v>0</v>
      </c>
      <c r="M572" s="8" cm="1">
        <f t="array" ref="M572">IF(R572&lt;&gt;0,IF(O572&gt;=3,_xlfn.XLOOKUP(B572,'외운 것'!B2:B271,'외운 것'!D2:D271,0,1),0),"3차")</f>
        <v>0</v>
      </c>
      <c r="N572" s="8">
        <v>0</v>
      </c>
      <c r="O572" s="8">
        <v>3</v>
      </c>
      <c r="P572" s="8">
        <v>2</v>
      </c>
      <c r="Q572" s="8">
        <v>2</v>
      </c>
      <c r="R572" s="8">
        <v>1</v>
      </c>
    </row>
    <row r="573" ht="16" customHeight="1">
      <c r="A573" s="8">
        <v>572</v>
      </c>
      <c r="B573" s="8">
        <v>13</v>
      </c>
      <c r="C573" t="s" s="9">
        <v>1722</v>
      </c>
      <c r="D573" t="s" s="9">
        <v>1722</v>
      </c>
      <c r="E573" t="s" s="9">
        <v>1759</v>
      </c>
      <c r="F573" t="s" s="9">
        <v>1760</v>
      </c>
      <c r="G573" t="s" s="9">
        <v>1761</v>
      </c>
      <c r="H573" s="8" cm="1">
        <f t="array" ref="H573">MIN(SUMIF('외운 것'!A2:A271,A573,'외운 것'!D2:D271)+IF(R573=0,3,IF(R573=1,2,0)),3)</f>
        <v>3</v>
      </c>
      <c r="I573" s="8" cm="1">
        <f t="array" ref="I573">_xlfn.COUNTIFS('외운 것'!A2:A271,A573,'외운 것'!D2:D271,0)</f>
        <v>0</v>
      </c>
      <c r="J573" t="str" s="10" cm="1">
        <f t="array" ref="J573">IF(R573&lt;&gt;0,IF(H573&gt;=3,_xlfn.XLOOKUP(A573,'외운 것'!A2:A271,'외운 것'!C2:C271,0,1),0),"3차")</f>
        <v>3차</v>
      </c>
      <c r="K573" t="str" s="11" cm="1">
        <f t="array" ref="K573">IF(P573&lt;&gt;0,IF(N573&gt;=3,_xlfn.XLOOKUP(A573,'외운 것'!A2:A271,'외운 것'!C2:C271,0,1),0),"1차")</f>
        <v>1차</v>
      </c>
      <c r="L573" t="str" s="11" cm="1">
        <f t="array" ref="L573">IF(Q573&lt;&gt;0,IF(N573&gt;=3,_xlfn.XLOOKUP(A573,'외운 것'!A2:A271,'외운 것'!C2:C271,0,1),0),"2차")</f>
        <v>2차</v>
      </c>
      <c r="M573" t="str" s="11" cm="1">
        <f t="array" ref="M573">IF(R573&lt;&gt;0,IF(O573&gt;=3,_xlfn.XLOOKUP(B573,'외운 것'!B2:B271,'외운 것'!D2:D271,0,1),0),"3차")</f>
        <v>3차</v>
      </c>
      <c r="N573" s="8">
        <v>3</v>
      </c>
      <c r="O573" s="8">
        <v>3</v>
      </c>
      <c r="P573" s="8">
        <v>0</v>
      </c>
      <c r="Q573" s="8">
        <v>0</v>
      </c>
      <c r="R573" s="8">
        <v>0</v>
      </c>
    </row>
    <row r="574" ht="16" customHeight="1">
      <c r="A574" s="8">
        <v>573</v>
      </c>
      <c r="B574" s="8">
        <v>14</v>
      </c>
      <c r="C574" t="s" s="9">
        <v>1722</v>
      </c>
      <c r="D574" t="s" s="9">
        <v>1722</v>
      </c>
      <c r="E574" t="s" s="9">
        <v>1762</v>
      </c>
      <c r="F574" t="s" s="9">
        <v>1763</v>
      </c>
      <c r="G574" t="s" s="9">
        <v>1764</v>
      </c>
      <c r="H574" s="8" cm="1">
        <f t="array" ref="H574">MIN(SUMIF('외운 것'!A2:A271,A574,'외운 것'!D2:D271)+IF(R574=0,3,IF(R574=1,2,0)),3)</f>
        <v>2</v>
      </c>
      <c r="I574" s="8" cm="1">
        <f t="array" ref="I574">_xlfn.COUNTIFS('외운 것'!A2:A271,A574,'외운 것'!D2:D271,0)</f>
        <v>0</v>
      </c>
      <c r="J574" s="19" cm="1">
        <f t="array" ref="J574">IF(R574&lt;&gt;0,IF(H574&gt;=3,_xlfn.XLOOKUP(A574,'외운 것'!A2:A271,'외운 것'!C2:C271,0,1),0),"3차")</f>
        <v>0</v>
      </c>
      <c r="K574" s="8" cm="1">
        <f t="array" ref="K574">IF(P574&lt;&gt;0,IF(N574&gt;=3,_xlfn.XLOOKUP(A574,'외운 것'!A2:A271,'외운 것'!C2:C271,0,1),0),"1차")</f>
        <v>0</v>
      </c>
      <c r="L574" s="8" cm="1">
        <f t="array" ref="L574">IF(Q574&lt;&gt;0,IF(N574&gt;=3,_xlfn.XLOOKUP(A574,'외운 것'!A2:A271,'외운 것'!C2:C271,0,1),0),"2차")</f>
        <v>0</v>
      </c>
      <c r="M574" s="8" cm="1">
        <f t="array" ref="M574">IF(R574&lt;&gt;0,IF(O574&gt;=3,_xlfn.XLOOKUP(B574,'외운 것'!B2:B271,'외운 것'!D2:D271,0,1),0),"3차")</f>
        <v>0</v>
      </c>
      <c r="N574" s="8">
        <v>0</v>
      </c>
      <c r="O574" s="8">
        <v>3</v>
      </c>
      <c r="P574" s="8">
        <v>3</v>
      </c>
      <c r="Q574" s="8">
        <v>1</v>
      </c>
      <c r="R574" s="8">
        <v>1</v>
      </c>
    </row>
    <row r="575" ht="16" customHeight="1">
      <c r="A575" s="8">
        <v>574</v>
      </c>
      <c r="B575" s="8">
        <v>15</v>
      </c>
      <c r="C575" t="s" s="9">
        <v>1722</v>
      </c>
      <c r="D575" t="s" s="9">
        <v>1722</v>
      </c>
      <c r="E575" t="s" s="9">
        <v>1765</v>
      </c>
      <c r="F575" t="s" s="9">
        <v>1766</v>
      </c>
      <c r="G575" t="s" s="9">
        <v>1767</v>
      </c>
      <c r="H575" s="8" cm="1">
        <f t="array" ref="H575">MIN(SUMIF('외운 것'!A2:A271,A575,'외운 것'!D2:D271)+IF(R575=0,3,IF(R575=1,2,0)),3)</f>
        <v>3</v>
      </c>
      <c r="I575" s="8" cm="1">
        <f t="array" ref="I575">_xlfn.COUNTIFS('외운 것'!A2:A271,A575,'외운 것'!D2:D271,0)</f>
        <v>0</v>
      </c>
      <c r="J575" t="str" s="10" cm="1">
        <f t="array" ref="J575">IF(R575&lt;&gt;0,IF(H575&gt;=3,_xlfn.XLOOKUP(A575,'외운 것'!A2:A271,'외운 것'!C2:C271,0,1),0),"3차")</f>
        <v>3차</v>
      </c>
      <c r="K575" s="8" cm="1">
        <f t="array" ref="K575">IF(P575&lt;&gt;0,IF(N575&gt;=3,_xlfn.XLOOKUP(A575,'외운 것'!A2:A271,'외운 것'!C2:C271,0,1),0),"1차")</f>
        <v>0</v>
      </c>
      <c r="L575" t="str" s="11" cm="1">
        <f t="array" ref="L575">IF(Q575&lt;&gt;0,IF(N575&gt;=3,_xlfn.XLOOKUP(A575,'외운 것'!A2:A271,'외운 것'!C2:C271,0,1),0),"2차")</f>
        <v>2차</v>
      </c>
      <c r="M575" t="str" s="11" cm="1">
        <f t="array" ref="M575">IF(R575&lt;&gt;0,IF(O575&gt;=3,_xlfn.XLOOKUP(B575,'외운 것'!B2:B271,'외운 것'!D2:D271,0,1),0),"3차")</f>
        <v>3차</v>
      </c>
      <c r="N575" s="8">
        <v>2</v>
      </c>
      <c r="O575" s="8">
        <v>3</v>
      </c>
      <c r="P575" s="8">
        <v>1</v>
      </c>
      <c r="Q575" s="8">
        <v>0</v>
      </c>
      <c r="R575" s="8">
        <v>0</v>
      </c>
    </row>
    <row r="576" ht="16" customHeight="1">
      <c r="A576" s="8">
        <v>575</v>
      </c>
      <c r="B576" s="8">
        <v>16</v>
      </c>
      <c r="C576" t="s" s="9">
        <v>1722</v>
      </c>
      <c r="D576" t="s" s="9">
        <v>1722</v>
      </c>
      <c r="E576" t="s" s="9">
        <v>1768</v>
      </c>
      <c r="F576" t="s" s="9">
        <v>1769</v>
      </c>
      <c r="G576" t="s" s="9">
        <v>1770</v>
      </c>
      <c r="H576" s="8" cm="1">
        <f t="array" ref="H576">MIN(SUMIF('외운 것'!A2:A271,A576,'외운 것'!D2:D271)+IF(R576=0,3,IF(R576=1,2,0)),3)</f>
        <v>3</v>
      </c>
      <c r="I576" s="8" cm="1">
        <f t="array" ref="I576">_xlfn.COUNTIFS('외운 것'!A2:A271,A576,'외운 것'!D2:D271,0)</f>
        <v>0</v>
      </c>
      <c r="J576" t="str" s="10" cm="1">
        <f t="array" ref="J576">IF(R576&lt;&gt;0,IF(H576&gt;=3,_xlfn.XLOOKUP(A576,'외운 것'!A2:A271,'외운 것'!C2:C271,0,1),0),"3차")</f>
        <v>3차</v>
      </c>
      <c r="K576" t="str" s="11" cm="1">
        <f t="array" ref="K576">IF(P576&lt;&gt;0,IF(N576&gt;=3,_xlfn.XLOOKUP(A576,'외운 것'!A2:A271,'외운 것'!C2:C271,0,1),0),"1차")</f>
        <v>1차</v>
      </c>
      <c r="L576" t="str" s="11" cm="1">
        <f t="array" ref="L576">IF(Q576&lt;&gt;0,IF(N576&gt;=3,_xlfn.XLOOKUP(A576,'외운 것'!A2:A271,'외운 것'!C2:C271,0,1),0),"2차")</f>
        <v>2차</v>
      </c>
      <c r="M576" t="str" s="11" cm="1">
        <f t="array" ref="M576">IF(R576&lt;&gt;0,IF(O576&gt;=3,_xlfn.XLOOKUP(B576,'외운 것'!B2:B271,'외운 것'!D2:D271,0,1),0),"3차")</f>
        <v>3차</v>
      </c>
      <c r="N576" s="8">
        <v>3</v>
      </c>
      <c r="O576" s="8">
        <v>3</v>
      </c>
      <c r="P576" s="8">
        <v>0</v>
      </c>
      <c r="Q576" s="8">
        <v>0</v>
      </c>
      <c r="R576" s="8">
        <v>0</v>
      </c>
    </row>
    <row r="577" ht="16" customHeight="1">
      <c r="A577" s="8">
        <v>576</v>
      </c>
      <c r="B577" s="8">
        <v>17</v>
      </c>
      <c r="C577" t="s" s="9">
        <v>1722</v>
      </c>
      <c r="D577" t="s" s="9">
        <v>1722</v>
      </c>
      <c r="E577" t="s" s="9">
        <v>1771</v>
      </c>
      <c r="F577" t="s" s="9">
        <v>1772</v>
      </c>
      <c r="G577" t="s" s="9">
        <v>1773</v>
      </c>
      <c r="H577" s="8" cm="1">
        <f t="array" ref="H577">MIN(SUMIF('외운 것'!A2:A271,A577,'외운 것'!D2:D271)+IF(R577=0,3,IF(R577=1,2,0)),3)</f>
        <v>3</v>
      </c>
      <c r="I577" s="8" cm="1">
        <f t="array" ref="I577">_xlfn.COUNTIFS('외운 것'!A2:A271,A577,'외운 것'!D2:D271,0)</f>
        <v>0</v>
      </c>
      <c r="J577" t="str" s="10" cm="1">
        <f t="array" ref="J577">IF(R577&lt;&gt;0,IF(H577&gt;=3,_xlfn.XLOOKUP(A577,'외운 것'!A2:A271,'외운 것'!C2:C271,0,1),0),"3차")</f>
        <v>3차</v>
      </c>
      <c r="K577" t="str" s="11" cm="1">
        <f t="array" ref="K577">IF(P577&lt;&gt;0,IF(N577&gt;=3,_xlfn.XLOOKUP(A577,'외운 것'!A2:A271,'외운 것'!C2:C271,0,1),0),"1차")</f>
        <v>1차</v>
      </c>
      <c r="L577" t="str" s="11" cm="1">
        <f t="array" ref="L577">IF(Q577&lt;&gt;0,IF(N577&gt;=3,_xlfn.XLOOKUP(A577,'외운 것'!A2:A271,'외운 것'!C2:C271,0,1),0),"2차")</f>
        <v>2차</v>
      </c>
      <c r="M577" t="str" s="11" cm="1">
        <f t="array" ref="M577">IF(R577&lt;&gt;0,IF(O577&gt;=3,_xlfn.XLOOKUP(B577,'외운 것'!B2:B271,'외운 것'!D2:D271,0,1),0),"3차")</f>
        <v>3차</v>
      </c>
      <c r="N577" s="8">
        <v>3</v>
      </c>
      <c r="O577" s="8">
        <v>3</v>
      </c>
      <c r="P577" s="8">
        <v>0</v>
      </c>
      <c r="Q577" s="8">
        <v>0</v>
      </c>
      <c r="R577" s="8">
        <v>0</v>
      </c>
    </row>
    <row r="578" ht="16" customHeight="1">
      <c r="A578" s="8">
        <v>577</v>
      </c>
      <c r="B578" s="8">
        <v>18</v>
      </c>
      <c r="C578" t="s" s="9">
        <v>1722</v>
      </c>
      <c r="D578" t="s" s="9">
        <v>1722</v>
      </c>
      <c r="E578" t="s" s="9">
        <v>1774</v>
      </c>
      <c r="F578" t="s" s="9">
        <v>1775</v>
      </c>
      <c r="G578" t="s" s="9">
        <v>1776</v>
      </c>
      <c r="H578" s="8" cm="1">
        <f t="array" ref="H578">MIN(SUMIF('외운 것'!A2:A271,A578,'외운 것'!D2:D271)+IF(R578=0,3,IF(R578=1,2,0)),3)</f>
        <v>3</v>
      </c>
      <c r="I578" s="8" cm="1">
        <f t="array" ref="I578">_xlfn.COUNTIFS('외운 것'!A2:A271,A578,'외운 것'!D2:D271,0)</f>
        <v>0</v>
      </c>
      <c r="J578" t="str" s="10" cm="1">
        <f t="array" ref="J578">IF(R578&lt;&gt;0,IF(H578&gt;=3,_xlfn.XLOOKUP(A578,'외운 것'!A2:A271,'외운 것'!C2:C271,0,1),0),"3차")</f>
        <v>3차</v>
      </c>
      <c r="K578" t="str" s="11" cm="1">
        <f t="array" ref="K578">IF(P578&lt;&gt;0,IF(N578&gt;=3,_xlfn.XLOOKUP(A578,'외운 것'!A2:A271,'외운 것'!C2:C271,0,1),0),"1차")</f>
        <v>1차</v>
      </c>
      <c r="L578" t="str" s="11" cm="1">
        <f t="array" ref="L578">IF(Q578&lt;&gt;0,IF(N578&gt;=3,_xlfn.XLOOKUP(A578,'외운 것'!A2:A271,'외운 것'!C2:C271,0,1),0),"2차")</f>
        <v>2차</v>
      </c>
      <c r="M578" t="str" s="11" cm="1">
        <f t="array" ref="M578">IF(R578&lt;&gt;0,IF(O578&gt;=3,_xlfn.XLOOKUP(B578,'외운 것'!B2:B271,'외운 것'!D2:D271,0,1),0),"3차")</f>
        <v>3차</v>
      </c>
      <c r="N578" s="8">
        <v>3</v>
      </c>
      <c r="O578" s="8">
        <v>3</v>
      </c>
      <c r="P578" s="8">
        <v>0</v>
      </c>
      <c r="Q578" s="8">
        <v>0</v>
      </c>
      <c r="R578" s="8">
        <v>0</v>
      </c>
    </row>
    <row r="579" ht="16" customHeight="1">
      <c r="A579" s="8">
        <v>578</v>
      </c>
      <c r="B579" s="8">
        <v>19</v>
      </c>
      <c r="C579" t="s" s="9">
        <v>1722</v>
      </c>
      <c r="D579" t="s" s="9">
        <v>1722</v>
      </c>
      <c r="E579" t="s" s="9">
        <v>1777</v>
      </c>
      <c r="F579" t="s" s="9">
        <v>1778</v>
      </c>
      <c r="G579" t="s" s="9">
        <v>1779</v>
      </c>
      <c r="H579" s="8" cm="1">
        <f t="array" ref="H579">MIN(SUMIF('외운 것'!A2:A271,A579,'외운 것'!D2:D271)+IF(R579=0,3,IF(R579=1,2,0)),3)</f>
        <v>3</v>
      </c>
      <c r="I579" s="8" cm="1">
        <f t="array" ref="I579">_xlfn.COUNTIFS('외운 것'!A2:A271,A579,'외운 것'!D2:D271,0)</f>
        <v>0</v>
      </c>
      <c r="J579" t="str" s="10" cm="1">
        <f t="array" ref="J579">IF(R579&lt;&gt;0,IF(H579&gt;=3,_xlfn.XLOOKUP(A579,'외운 것'!A2:A271,'외운 것'!C2:C271,0,1),0),"3차")</f>
        <v>3차</v>
      </c>
      <c r="K579" t="str" s="11" cm="1">
        <f t="array" ref="K579">IF(P579&lt;&gt;0,IF(N579&gt;=3,_xlfn.XLOOKUP(A579,'외운 것'!A2:A271,'외운 것'!C2:C271,0,1),0),"1차")</f>
        <v>1차</v>
      </c>
      <c r="L579" t="str" s="11" cm="1">
        <f t="array" ref="L579">IF(Q579&lt;&gt;0,IF(N579&gt;=3,_xlfn.XLOOKUP(A579,'외운 것'!A2:A271,'외운 것'!C2:C271,0,1),0),"2차")</f>
        <v>2차</v>
      </c>
      <c r="M579" t="str" s="11" cm="1">
        <f t="array" ref="M579">IF(R579&lt;&gt;0,IF(O579&gt;=3,_xlfn.XLOOKUP(B579,'외운 것'!B2:B271,'외운 것'!D2:D271,0,1),0),"3차")</f>
        <v>3차</v>
      </c>
      <c r="N579" s="8">
        <v>3</v>
      </c>
      <c r="O579" s="8">
        <v>3</v>
      </c>
      <c r="P579" s="8">
        <v>0</v>
      </c>
      <c r="Q579" s="8">
        <v>0</v>
      </c>
      <c r="R579" s="8">
        <v>0</v>
      </c>
    </row>
    <row r="580" ht="16" customHeight="1">
      <c r="A580" s="8">
        <v>579</v>
      </c>
      <c r="B580" s="8">
        <v>20</v>
      </c>
      <c r="C580" t="s" s="9">
        <v>1722</v>
      </c>
      <c r="D580" t="s" s="9">
        <v>1722</v>
      </c>
      <c r="E580" t="s" s="9">
        <v>1780</v>
      </c>
      <c r="F580" t="s" s="9">
        <v>1781</v>
      </c>
      <c r="G580" t="s" s="9">
        <v>1782</v>
      </c>
      <c r="H580" s="8" cm="1">
        <f t="array" ref="H580">MIN(SUMIF('외운 것'!A2:A271,A580,'외운 것'!D2:D271)+IF(R580=0,3,IF(R580=1,2,0)),3)</f>
        <v>3</v>
      </c>
      <c r="I580" s="8" cm="1">
        <f t="array" ref="I580">_xlfn.COUNTIFS('외운 것'!A2:A271,A580,'외운 것'!D2:D271,0)</f>
        <v>0</v>
      </c>
      <c r="J580" t="str" s="10" cm="1">
        <f t="array" ref="J580">IF(R580&lt;&gt;0,IF(H580&gt;=3,_xlfn.XLOOKUP(A580,'외운 것'!A2:A271,'외운 것'!C2:C271,0,1),0),"3차")</f>
        <v>3차</v>
      </c>
      <c r="K580" t="str" s="11" cm="1">
        <f t="array" ref="K580">IF(P580&lt;&gt;0,IF(N580&gt;=3,_xlfn.XLOOKUP(A580,'외운 것'!A2:A271,'외운 것'!C2:C271,0,1),0),"1차")</f>
        <v>1차</v>
      </c>
      <c r="L580" t="str" s="11" cm="1">
        <f t="array" ref="L580">IF(Q580&lt;&gt;0,IF(N580&gt;=3,_xlfn.XLOOKUP(A580,'외운 것'!A2:A271,'외운 것'!C2:C271,0,1),0),"2차")</f>
        <v>2차</v>
      </c>
      <c r="M580" t="str" s="11" cm="1">
        <f t="array" ref="M580">IF(R580&lt;&gt;0,IF(O580&gt;=3,_xlfn.XLOOKUP(B580,'외운 것'!B2:B271,'외운 것'!D2:D271,0,1),0),"3차")</f>
        <v>3차</v>
      </c>
      <c r="N580" s="8">
        <v>3</v>
      </c>
      <c r="O580" s="8">
        <v>3</v>
      </c>
      <c r="P580" s="8">
        <v>0</v>
      </c>
      <c r="Q580" s="8">
        <v>0</v>
      </c>
      <c r="R580" s="8">
        <v>0</v>
      </c>
    </row>
    <row r="581" ht="16" customHeight="1">
      <c r="A581" s="8">
        <v>580</v>
      </c>
      <c r="B581" s="8">
        <v>21</v>
      </c>
      <c r="C581" t="s" s="9">
        <v>1722</v>
      </c>
      <c r="D581" t="s" s="9">
        <v>1722</v>
      </c>
      <c r="E581" t="s" s="9">
        <v>1783</v>
      </c>
      <c r="F581" t="s" s="9">
        <v>1784</v>
      </c>
      <c r="G581" t="s" s="9">
        <v>1785</v>
      </c>
      <c r="H581" s="8" cm="1">
        <f t="array" ref="H581">MIN(SUMIF('외운 것'!A2:A271,A581,'외운 것'!D2:D271)+IF(R581=0,3,IF(R581=1,2,0)),3)</f>
        <v>3</v>
      </c>
      <c r="I581" s="8" cm="1">
        <f t="array" ref="I581">_xlfn.COUNTIFS('외운 것'!A2:A271,A581,'외운 것'!D2:D271,0)</f>
        <v>0</v>
      </c>
      <c r="J581" t="str" s="10" cm="1">
        <f t="array" ref="J581">IF(R581&lt;&gt;0,IF(H581&gt;=3,_xlfn.XLOOKUP(A581,'외운 것'!A2:A271,'외운 것'!C2:C271,0,1),0),"3차")</f>
        <v>3차</v>
      </c>
      <c r="K581" t="str" s="11" cm="1">
        <f t="array" ref="K581">IF(P581&lt;&gt;0,IF(N581&gt;=3,_xlfn.XLOOKUP(A581,'외운 것'!A2:A271,'외운 것'!C2:C271,0,1),0),"1차")</f>
        <v>1차</v>
      </c>
      <c r="L581" t="str" s="11" cm="1">
        <f t="array" ref="L581">IF(Q581&lt;&gt;0,IF(N581&gt;=3,_xlfn.XLOOKUP(A581,'외운 것'!A2:A271,'외운 것'!C2:C271,0,1),0),"2차")</f>
        <v>2차</v>
      </c>
      <c r="M581" t="str" s="11" cm="1">
        <f t="array" ref="M581">IF(R581&lt;&gt;0,IF(O581&gt;=3,_xlfn.XLOOKUP(B581,'외운 것'!B2:B271,'외운 것'!D2:D271,0,1),0),"3차")</f>
        <v>3차</v>
      </c>
      <c r="N581" s="8">
        <v>3</v>
      </c>
      <c r="O581" s="8">
        <v>3</v>
      </c>
      <c r="P581" s="8">
        <v>0</v>
      </c>
      <c r="Q581" s="8">
        <v>0</v>
      </c>
      <c r="R581" s="8">
        <v>0</v>
      </c>
    </row>
    <row r="582" ht="16" customHeight="1">
      <c r="A582" s="8">
        <v>581</v>
      </c>
      <c r="B582" s="8">
        <v>22</v>
      </c>
      <c r="C582" t="s" s="9">
        <v>1786</v>
      </c>
      <c r="D582" t="s" s="9">
        <v>1722</v>
      </c>
      <c r="E582" t="s" s="9">
        <v>1787</v>
      </c>
      <c r="F582" t="s" s="9">
        <v>1788</v>
      </c>
      <c r="G582" t="s" s="9">
        <v>1789</v>
      </c>
      <c r="H582" s="8" cm="1">
        <f t="array" ref="H582">MIN(SUMIF('외운 것'!A2:A271,A582,'외운 것'!D2:D271)+IF(R582=0,3,IF(R582=1,2,0)),3)</f>
        <v>3</v>
      </c>
      <c r="I582" s="8" cm="1">
        <f t="array" ref="I582">_xlfn.COUNTIFS('외운 것'!A2:A271,A582,'외운 것'!D2:D271,0)</f>
        <v>0</v>
      </c>
      <c r="J582" t="str" s="10" cm="1">
        <f t="array" ref="J582">IF(R582&lt;&gt;0,IF(H582&gt;=3,_xlfn.XLOOKUP(A582,'외운 것'!A2:A271,'외운 것'!C2:C271,0,1),0),"3차")</f>
        <v>3차</v>
      </c>
      <c r="K582" s="8" cm="1">
        <f t="array" ref="K582">IF(P582&lt;&gt;0,IF(N582&gt;=3,_xlfn.XLOOKUP(A582,'외운 것'!A2:A271,'외운 것'!C2:C271,0,1),0),"1차")</f>
        <v>0</v>
      </c>
      <c r="L582" s="8" cm="1">
        <f t="array" ref="L582">IF(Q582&lt;&gt;0,IF(N582&gt;=3,_xlfn.XLOOKUP(A582,'외운 것'!A2:A271,'외운 것'!C2:C271,0,1),0),"2차")</f>
        <v>0</v>
      </c>
      <c r="M582" t="str" s="11" cm="1">
        <f t="array" ref="M582">IF(R582&lt;&gt;0,IF(O582&gt;=3,_xlfn.XLOOKUP(B582,'외운 것'!B2:B271,'외운 것'!D2:D271,0,1),0),"3차")</f>
        <v>3차</v>
      </c>
      <c r="N582" s="8">
        <v>2</v>
      </c>
      <c r="O582" s="8">
        <v>3</v>
      </c>
      <c r="P582" s="8">
        <v>1</v>
      </c>
      <c r="Q582" s="8">
        <v>1</v>
      </c>
      <c r="R582" s="8">
        <v>0</v>
      </c>
    </row>
    <row r="583" ht="16" customHeight="1">
      <c r="A583" s="8">
        <v>582</v>
      </c>
      <c r="B583" s="8">
        <v>23</v>
      </c>
      <c r="C583" t="s" s="9">
        <v>1786</v>
      </c>
      <c r="D583" t="s" s="9">
        <v>1722</v>
      </c>
      <c r="E583" t="s" s="9">
        <v>1790</v>
      </c>
      <c r="F583" t="s" s="9">
        <v>1791</v>
      </c>
      <c r="G583" t="s" s="9">
        <v>1792</v>
      </c>
      <c r="H583" s="8" cm="1">
        <f t="array" ref="H583">MIN(SUMIF('외운 것'!A2:A271,A583,'외운 것'!D2:D271)+IF(R583=0,3,IF(R583=1,2,0)),3)</f>
        <v>3</v>
      </c>
      <c r="I583" s="8" cm="1">
        <f t="array" ref="I583">_xlfn.COUNTIFS('외운 것'!A2:A271,A583,'외운 것'!D2:D271,0)</f>
        <v>0</v>
      </c>
      <c r="J583" t="str" s="10" cm="1">
        <f t="array" ref="J583">IF(R583&lt;&gt;0,IF(H583&gt;=3,_xlfn.XLOOKUP(A583,'외운 것'!A2:A271,'외운 것'!C2:C271,0,1),0),"3차")</f>
        <v>3차</v>
      </c>
      <c r="K583" t="str" s="11" cm="1">
        <f t="array" ref="K583">IF(P583&lt;&gt;0,IF(N583&gt;=3,_xlfn.XLOOKUP(A583,'외운 것'!A2:A271,'외운 것'!C2:C271,0,1),0),"1차")</f>
        <v>1차</v>
      </c>
      <c r="L583" t="str" s="11" cm="1">
        <f t="array" ref="L583">IF(Q583&lt;&gt;0,IF(N583&gt;=3,_xlfn.XLOOKUP(A583,'외운 것'!A2:A271,'외운 것'!C2:C271,0,1),0),"2차")</f>
        <v>2차</v>
      </c>
      <c r="M583" t="str" s="11" cm="1">
        <f t="array" ref="M583">IF(R583&lt;&gt;0,IF(O583&gt;=3,_xlfn.XLOOKUP(B583,'외운 것'!B2:B271,'외운 것'!D2:D271,0,1),0),"3차")</f>
        <v>3차</v>
      </c>
      <c r="N583" s="8">
        <v>3</v>
      </c>
      <c r="O583" s="8">
        <v>3</v>
      </c>
      <c r="P583" s="8">
        <v>0</v>
      </c>
      <c r="Q583" s="8">
        <v>0</v>
      </c>
      <c r="R583" s="8">
        <v>0</v>
      </c>
    </row>
    <row r="584" ht="16" customHeight="1">
      <c r="A584" s="8">
        <v>583</v>
      </c>
      <c r="B584" s="8">
        <v>24</v>
      </c>
      <c r="C584" t="s" s="9">
        <v>1786</v>
      </c>
      <c r="D584" t="s" s="9">
        <v>1722</v>
      </c>
      <c r="E584" t="s" s="9">
        <v>1793</v>
      </c>
      <c r="F584" t="s" s="9">
        <v>1794</v>
      </c>
      <c r="G584" t="s" s="9">
        <v>1795</v>
      </c>
      <c r="H584" s="8" cm="1">
        <f t="array" ref="H584">MIN(SUMIF('외운 것'!A2:A271,A584,'외운 것'!D2:D271)+IF(R584=0,3,IF(R584=1,2,0)),3)</f>
        <v>2</v>
      </c>
      <c r="I584" s="8" cm="1">
        <f t="array" ref="I584">_xlfn.COUNTIFS('외운 것'!A2:A271,A584,'외운 것'!D2:D271,0)</f>
        <v>0</v>
      </c>
      <c r="J584" s="19" cm="1">
        <f t="array" ref="J584">IF(R584&lt;&gt;0,IF(H584&gt;=3,_xlfn.XLOOKUP(A584,'외운 것'!A2:A271,'외운 것'!C2:C271,0,1),0),"3차")</f>
        <v>0</v>
      </c>
      <c r="K584" s="8" cm="1">
        <f t="array" ref="K584">IF(P584&lt;&gt;0,IF(N584&gt;=3,_xlfn.XLOOKUP(A584,'외운 것'!A2:A271,'외운 것'!C2:C271,0,1),0),"1차")</f>
        <v>0</v>
      </c>
      <c r="L584" s="8" cm="1">
        <f t="array" ref="L584">IF(Q584&lt;&gt;0,IF(N584&gt;=3,_xlfn.XLOOKUP(A584,'외운 것'!A2:A271,'외운 것'!C2:C271,0,1),0),"2차")</f>
        <v>0</v>
      </c>
      <c r="M584" s="8" cm="1">
        <f t="array" ref="M584">IF(R584&lt;&gt;0,IF(O584&gt;=3,_xlfn.XLOOKUP(B584,'외운 것'!B2:B271,'외운 것'!D2:D271,0,1),0),"3차")</f>
        <v>0</v>
      </c>
      <c r="N584" s="8">
        <v>0</v>
      </c>
      <c r="O584" s="8">
        <v>3</v>
      </c>
      <c r="P584" s="8">
        <v>2</v>
      </c>
      <c r="Q584" s="8">
        <v>2</v>
      </c>
      <c r="R584" s="8">
        <v>1</v>
      </c>
    </row>
    <row r="585" ht="16" customHeight="1">
      <c r="A585" s="8">
        <v>584</v>
      </c>
      <c r="B585" s="8">
        <v>25</v>
      </c>
      <c r="C585" t="s" s="9">
        <v>1786</v>
      </c>
      <c r="D585" t="s" s="9">
        <v>1722</v>
      </c>
      <c r="E585" t="s" s="9">
        <v>1796</v>
      </c>
      <c r="F585" t="s" s="9">
        <v>1797</v>
      </c>
      <c r="G585" t="s" s="9">
        <v>1798</v>
      </c>
      <c r="H585" s="8" cm="1">
        <f t="array" ref="H585">MIN(SUMIF('외운 것'!A2:A271,A585,'외운 것'!D2:D271)+IF(R585=0,3,IF(R585=1,2,0)),3)</f>
        <v>2</v>
      </c>
      <c r="I585" s="8" cm="1">
        <f t="array" ref="I585">_xlfn.COUNTIFS('외운 것'!A2:A271,A585,'외운 것'!D2:D271,0)</f>
        <v>0</v>
      </c>
      <c r="J585" s="19" cm="1">
        <f t="array" ref="J585">IF(R585&lt;&gt;0,IF(H585&gt;=3,_xlfn.XLOOKUP(A585,'외운 것'!A2:A271,'외운 것'!C2:C271,0,1),0),"3차")</f>
        <v>0</v>
      </c>
      <c r="K585" s="8" cm="1">
        <f t="array" ref="K585">IF(P585&lt;&gt;0,IF(N585&gt;=3,_xlfn.XLOOKUP(A585,'외운 것'!A2:A271,'외운 것'!C2:C271,0,1),0),"1차")</f>
        <v>0</v>
      </c>
      <c r="L585" s="8" cm="1">
        <f t="array" ref="L585">IF(Q585&lt;&gt;0,IF(N585&gt;=3,_xlfn.XLOOKUP(A585,'외운 것'!A2:A271,'외운 것'!C2:C271,0,1),0),"2차")</f>
        <v>0</v>
      </c>
      <c r="M585" s="8" cm="1">
        <f t="array" ref="M585">IF(R585&lt;&gt;0,IF(O585&gt;=3,_xlfn.XLOOKUP(B585,'외운 것'!B2:B271,'외운 것'!D2:D271,0,1),0),"3차")</f>
        <v>0</v>
      </c>
      <c r="N585" s="8">
        <v>0</v>
      </c>
      <c r="O585" s="8">
        <v>3</v>
      </c>
      <c r="P585" s="8">
        <v>2</v>
      </c>
      <c r="Q585" s="8">
        <v>3</v>
      </c>
      <c r="R585" s="8">
        <v>1</v>
      </c>
    </row>
    <row r="586" ht="16" customHeight="1">
      <c r="A586" s="8">
        <v>585</v>
      </c>
      <c r="B586" s="8">
        <v>26</v>
      </c>
      <c r="C586" t="s" s="9">
        <v>1786</v>
      </c>
      <c r="D586" t="s" s="9">
        <v>1722</v>
      </c>
      <c r="E586" t="s" s="9">
        <v>1799</v>
      </c>
      <c r="F586" t="s" s="9">
        <v>1800</v>
      </c>
      <c r="G586" t="s" s="9">
        <v>1801</v>
      </c>
      <c r="H586" s="8" cm="1">
        <f t="array" ref="H586">MIN(SUMIF('외운 것'!A2:A271,A586,'외운 것'!D2:D271)+IF(R586=0,3,IF(R586=1,2,0)),3)</f>
        <v>3</v>
      </c>
      <c r="I586" s="8" cm="1">
        <f t="array" ref="I586">_xlfn.COUNTIFS('외운 것'!A2:A271,A586,'외운 것'!D2:D271,0)</f>
        <v>0</v>
      </c>
      <c r="J586" t="str" s="10" cm="1">
        <f t="array" ref="J586">IF(R586&lt;&gt;0,IF(H586&gt;=3,_xlfn.XLOOKUP(A586,'외운 것'!A2:A271,'외운 것'!C2:C271,0,1),0),"3차")</f>
        <v>3차</v>
      </c>
      <c r="K586" s="8" cm="1">
        <f t="array" ref="K586">IF(P586&lt;&gt;0,IF(N586&gt;=3,_xlfn.XLOOKUP(A586,'외운 것'!A2:A271,'외운 것'!C2:C271,0,1),0),"1차")</f>
        <v>0</v>
      </c>
      <c r="L586" t="str" s="11" cm="1">
        <f t="array" ref="L586">IF(Q586&lt;&gt;0,IF(N586&gt;=3,_xlfn.XLOOKUP(A586,'외운 것'!A2:A271,'외운 것'!C2:C271,0,1),0),"2차")</f>
        <v>2차</v>
      </c>
      <c r="M586" t="str" s="11" cm="1">
        <f t="array" ref="M586">IF(R586&lt;&gt;0,IF(O586&gt;=3,_xlfn.XLOOKUP(B586,'외운 것'!B2:B271,'외운 것'!D2:D271,0,1),0),"3차")</f>
        <v>3차</v>
      </c>
      <c r="N586" s="8">
        <v>2</v>
      </c>
      <c r="O586" s="8">
        <v>3</v>
      </c>
      <c r="P586" s="8">
        <v>1</v>
      </c>
      <c r="Q586" s="8">
        <v>0</v>
      </c>
      <c r="R586" s="8">
        <v>0</v>
      </c>
    </row>
    <row r="587" ht="16" customHeight="1">
      <c r="A587" s="8">
        <v>586</v>
      </c>
      <c r="B587" s="8">
        <v>27</v>
      </c>
      <c r="C587" t="s" s="9">
        <v>1802</v>
      </c>
      <c r="D587" t="s" s="9">
        <v>1722</v>
      </c>
      <c r="E587" t="s" s="9">
        <v>1803</v>
      </c>
      <c r="F587" t="s" s="9">
        <v>1804</v>
      </c>
      <c r="G587" t="s" s="9">
        <v>1805</v>
      </c>
      <c r="H587" s="8" cm="1">
        <f t="array" ref="H587">MIN(SUMIF('외운 것'!A2:A271,A587,'외운 것'!D2:D271)+IF(R587=0,3,IF(R587=1,2,0)),3)</f>
        <v>3</v>
      </c>
      <c r="I587" s="8" cm="1">
        <f t="array" ref="I587">_xlfn.COUNTIFS('외운 것'!A2:A271,A587,'외운 것'!D2:D271,0)</f>
        <v>0</v>
      </c>
      <c r="J587" t="str" s="10" cm="1">
        <f t="array" ref="J587">IF(R587&lt;&gt;0,IF(H587&gt;=3,_xlfn.XLOOKUP(A587,'외운 것'!A2:A271,'외운 것'!C2:C271,0,1),0),"3차")</f>
        <v>3차</v>
      </c>
      <c r="K587" t="str" s="11" cm="1">
        <f t="array" ref="K587">IF(P587&lt;&gt;0,IF(N587&gt;=3,_xlfn.XLOOKUP(A587,'외운 것'!A2:A271,'외운 것'!C2:C271,0,1),0),"1차")</f>
        <v>1차</v>
      </c>
      <c r="L587" t="str" s="11" cm="1">
        <f t="array" ref="L587">IF(Q587&lt;&gt;0,IF(N587&gt;=3,_xlfn.XLOOKUP(A587,'외운 것'!A2:A271,'외운 것'!C2:C271,0,1),0),"2차")</f>
        <v>2차</v>
      </c>
      <c r="M587" t="str" s="11" cm="1">
        <f t="array" ref="M587">IF(R587&lt;&gt;0,IF(O587&gt;=3,_xlfn.XLOOKUP(B587,'외운 것'!B2:B271,'외운 것'!D2:D271,0,1),0),"3차")</f>
        <v>3차</v>
      </c>
      <c r="N587" s="8">
        <v>3</v>
      </c>
      <c r="O587" s="8">
        <v>3</v>
      </c>
      <c r="P587" s="8">
        <v>0</v>
      </c>
      <c r="Q587" s="8">
        <v>0</v>
      </c>
      <c r="R587" s="8">
        <v>0</v>
      </c>
    </row>
    <row r="588" ht="16" customHeight="1">
      <c r="A588" s="8">
        <v>587</v>
      </c>
      <c r="B588" s="8">
        <v>28</v>
      </c>
      <c r="C588" t="s" s="9">
        <v>1802</v>
      </c>
      <c r="D588" t="s" s="9">
        <v>1722</v>
      </c>
      <c r="E588" t="s" s="9">
        <v>1806</v>
      </c>
      <c r="F588" t="s" s="9">
        <v>1807</v>
      </c>
      <c r="G588" t="s" s="9">
        <v>1808</v>
      </c>
      <c r="H588" s="8" cm="1">
        <f t="array" ref="H588">MIN(SUMIF('외운 것'!A2:A271,A588,'외운 것'!D2:D271)+IF(R588=0,3,IF(R588=1,2,0)),3)</f>
        <v>2</v>
      </c>
      <c r="I588" s="8" cm="1">
        <f t="array" ref="I588">_xlfn.COUNTIFS('외운 것'!A2:A271,A588,'외운 것'!D2:D271,0)</f>
        <v>0</v>
      </c>
      <c r="J588" s="19" cm="1">
        <f t="array" ref="J588">IF(R588&lt;&gt;0,IF(H588&gt;=3,_xlfn.XLOOKUP(A588,'외운 것'!A2:A271,'외운 것'!C2:C271,0,1),0),"3차")</f>
        <v>0</v>
      </c>
      <c r="K588" s="8" cm="1">
        <f t="array" ref="K588">IF(P588&lt;&gt;0,IF(N588&gt;=3,_xlfn.XLOOKUP(A588,'외운 것'!A2:A271,'외운 것'!C2:C271,0,1),0),"1차")</f>
        <v>0</v>
      </c>
      <c r="L588" s="8" cm="1">
        <f t="array" ref="L588">IF(Q588&lt;&gt;0,IF(N588&gt;=3,_xlfn.XLOOKUP(A588,'외운 것'!A2:A271,'외운 것'!C2:C271,0,1),0),"2차")</f>
        <v>0</v>
      </c>
      <c r="M588" s="8" cm="1">
        <f t="array" ref="M588">IF(R588&lt;&gt;0,IF(O588&gt;=3,_xlfn.XLOOKUP(B588,'외운 것'!B2:B271,'외운 것'!D2:D271,0,1),0),"3차")</f>
        <v>0</v>
      </c>
      <c r="N588" s="8">
        <v>0</v>
      </c>
      <c r="O588" s="8">
        <v>3</v>
      </c>
      <c r="P588" s="8">
        <v>3</v>
      </c>
      <c r="Q588" s="8">
        <v>1</v>
      </c>
      <c r="R588" s="8">
        <v>1</v>
      </c>
    </row>
    <row r="589" ht="16" customHeight="1">
      <c r="A589" s="8">
        <v>588</v>
      </c>
      <c r="B589" s="8">
        <v>29</v>
      </c>
      <c r="C589" t="s" s="9">
        <v>1802</v>
      </c>
      <c r="D589" t="s" s="9">
        <v>1722</v>
      </c>
      <c r="E589" t="s" s="9">
        <v>1809</v>
      </c>
      <c r="F589" t="s" s="9">
        <v>1810</v>
      </c>
      <c r="G589" t="s" s="9">
        <v>1811</v>
      </c>
      <c r="H589" s="8" cm="1">
        <f t="array" ref="H589">MIN(SUMIF('외운 것'!A2:A271,A589,'외운 것'!D2:D271)+IF(R589=0,3,IF(R589=1,2,0)),3)</f>
        <v>3</v>
      </c>
      <c r="I589" s="8" cm="1">
        <f t="array" ref="I589">_xlfn.COUNTIFS('외운 것'!A2:A271,A589,'외운 것'!D2:D271,0)</f>
        <v>0</v>
      </c>
      <c r="J589" t="str" s="10" cm="1">
        <f t="array" ref="J589">IF(R589&lt;&gt;0,IF(H589&gt;=3,_xlfn.XLOOKUP(A589,'외운 것'!A2:A271,'외운 것'!C2:C271,0,1),0),"3차")</f>
        <v>3차</v>
      </c>
      <c r="K589" t="str" s="11" cm="1">
        <f t="array" ref="K589">IF(P589&lt;&gt;0,IF(N589&gt;=3,_xlfn.XLOOKUP(A589,'외운 것'!A2:A271,'외운 것'!C2:C271,0,1),0),"1차")</f>
        <v>1차</v>
      </c>
      <c r="L589" t="str" s="11" cm="1">
        <f t="array" ref="L589">IF(Q589&lt;&gt;0,IF(N589&gt;=3,_xlfn.XLOOKUP(A589,'외운 것'!A2:A271,'외운 것'!C2:C271,0,1),0),"2차")</f>
        <v>2차</v>
      </c>
      <c r="M589" t="str" s="11" cm="1">
        <f t="array" ref="M589">IF(R589&lt;&gt;0,IF(O589&gt;=3,_xlfn.XLOOKUP(B589,'외운 것'!B2:B271,'외운 것'!D2:D271,0,1),0),"3차")</f>
        <v>3차</v>
      </c>
      <c r="N589" s="8">
        <v>3</v>
      </c>
      <c r="O589" s="8">
        <v>3</v>
      </c>
      <c r="P589" s="8">
        <v>0</v>
      </c>
      <c r="Q589" s="8">
        <v>0</v>
      </c>
      <c r="R589" s="8">
        <v>0</v>
      </c>
    </row>
    <row r="590" ht="16" customHeight="1">
      <c r="A590" s="8">
        <v>589</v>
      </c>
      <c r="B590" s="8">
        <v>30</v>
      </c>
      <c r="C590" t="s" s="9">
        <v>1802</v>
      </c>
      <c r="D590" t="s" s="9">
        <v>1722</v>
      </c>
      <c r="E590" t="s" s="9">
        <v>1812</v>
      </c>
      <c r="F590" t="s" s="9">
        <v>1813</v>
      </c>
      <c r="G590" t="s" s="9">
        <v>1814</v>
      </c>
      <c r="H590" s="8" cm="1">
        <f t="array" ref="H590">MIN(SUMIF('외운 것'!A2:A271,A590,'외운 것'!D2:D271)+IF(R590=0,3,IF(R590=1,2,0)),3)</f>
        <v>3</v>
      </c>
      <c r="I590" s="8" cm="1">
        <f t="array" ref="I590">_xlfn.COUNTIFS('외운 것'!A2:A271,A590,'외운 것'!D2:D271,0)</f>
        <v>0</v>
      </c>
      <c r="J590" t="str" s="10" cm="1">
        <f t="array" ref="J590">IF(R590&lt;&gt;0,IF(H590&gt;=3,_xlfn.XLOOKUP(A590,'외운 것'!A2:A271,'외운 것'!C2:C271,0,1),0),"3차")</f>
        <v>3차</v>
      </c>
      <c r="K590" s="8" cm="1">
        <f t="array" ref="K590">IF(P590&lt;&gt;0,IF(N590&gt;=3,_xlfn.XLOOKUP(A590,'외운 것'!A2:A271,'외운 것'!C2:C271,0,1),0),"1차")</f>
        <v>0</v>
      </c>
      <c r="L590" s="8" cm="1">
        <f t="array" ref="L590">IF(Q590&lt;&gt;0,IF(N590&gt;=3,_xlfn.XLOOKUP(A590,'외운 것'!A2:A271,'외운 것'!C2:C271,0,1),0),"2차")</f>
        <v>0</v>
      </c>
      <c r="M590" t="str" s="11" cm="1">
        <f t="array" ref="M590">IF(R590&lt;&gt;0,IF(O590&gt;=3,_xlfn.XLOOKUP(B590,'외운 것'!B2:B271,'외운 것'!D2:D271,0,1),0),"3차")</f>
        <v>3차</v>
      </c>
      <c r="N590" s="8">
        <v>0</v>
      </c>
      <c r="O590" s="8">
        <v>3</v>
      </c>
      <c r="P590" s="8">
        <v>2</v>
      </c>
      <c r="Q590" s="8">
        <v>1</v>
      </c>
      <c r="R590" s="8">
        <v>0</v>
      </c>
    </row>
    <row r="591" ht="16" customHeight="1">
      <c r="A591" s="8">
        <v>590</v>
      </c>
      <c r="B591" s="8">
        <v>31</v>
      </c>
      <c r="C591" t="s" s="9">
        <v>1802</v>
      </c>
      <c r="D591" t="s" s="9">
        <v>1722</v>
      </c>
      <c r="E591" t="s" s="9">
        <v>1815</v>
      </c>
      <c r="F591" t="s" s="9">
        <v>1816</v>
      </c>
      <c r="G591" t="s" s="9">
        <v>1817</v>
      </c>
      <c r="H591" s="8" cm="1">
        <f t="array" ref="H591">MIN(SUMIF('외운 것'!A2:A271,A591,'외운 것'!D2:D271)+IF(R591=0,3,IF(R591=1,2,0)),3)</f>
        <v>3</v>
      </c>
      <c r="I591" s="8" cm="1">
        <f t="array" ref="I591">_xlfn.COUNTIFS('외운 것'!A2:A271,A591,'외운 것'!D2:D271,0)</f>
        <v>0</v>
      </c>
      <c r="J591" t="str" s="10" cm="1">
        <f t="array" ref="J591">IF(R591&lt;&gt;0,IF(H591&gt;=3,_xlfn.XLOOKUP(A591,'외운 것'!A2:A271,'외운 것'!C2:C271,0,1),0),"3차")</f>
        <v>3차</v>
      </c>
      <c r="K591" s="8" cm="1">
        <f t="array" ref="K591">IF(P591&lt;&gt;0,IF(N591&gt;=3,_xlfn.XLOOKUP(A591,'외운 것'!A2:A271,'외운 것'!C2:C271,0,1),0),"1차")</f>
        <v>0</v>
      </c>
      <c r="L591" t="str" s="11" cm="1">
        <f t="array" ref="L591">IF(Q591&lt;&gt;0,IF(N591&gt;=3,_xlfn.XLOOKUP(A591,'외운 것'!A2:A271,'외운 것'!C2:C271,0,1),0),"2차")</f>
        <v>2차</v>
      </c>
      <c r="M591" t="str" s="11" cm="1">
        <f t="array" ref="M591">IF(R591&lt;&gt;0,IF(O591&gt;=3,_xlfn.XLOOKUP(B591,'외운 것'!B2:B271,'외운 것'!D2:D271,0,1),0),"3차")</f>
        <v>3차</v>
      </c>
      <c r="N591" s="8">
        <v>2</v>
      </c>
      <c r="O591" s="8">
        <v>3</v>
      </c>
      <c r="P591" s="8">
        <v>1</v>
      </c>
      <c r="Q591" s="8">
        <v>0</v>
      </c>
      <c r="R591" s="8">
        <v>0</v>
      </c>
    </row>
    <row r="592" ht="16" customHeight="1">
      <c r="A592" s="8">
        <v>591</v>
      </c>
      <c r="B592" s="8">
        <v>32</v>
      </c>
      <c r="C592" t="s" s="9">
        <v>1802</v>
      </c>
      <c r="D592" t="s" s="9">
        <v>1722</v>
      </c>
      <c r="E592" t="s" s="9">
        <v>1818</v>
      </c>
      <c r="F592" t="s" s="9">
        <v>1819</v>
      </c>
      <c r="G592" t="s" s="9">
        <v>1820</v>
      </c>
      <c r="H592" s="8" cm="1">
        <f t="array" ref="H592">MIN(SUMIF('외운 것'!A2:A271,A592,'외운 것'!D2:D271)+IF(R592=0,3,IF(R592=1,2,0)),3)</f>
        <v>3</v>
      </c>
      <c r="I592" s="8" cm="1">
        <f t="array" ref="I592">_xlfn.COUNTIFS('외운 것'!A2:A271,A592,'외운 것'!D2:D271,0)</f>
        <v>0</v>
      </c>
      <c r="J592" t="str" s="10" cm="1">
        <f t="array" ref="J592">IF(R592&lt;&gt;0,IF(H592&gt;=3,_xlfn.XLOOKUP(A592,'외운 것'!A2:A271,'외운 것'!C2:C271,0,1),0),"3차")</f>
        <v>3차</v>
      </c>
      <c r="K592" s="8" cm="1">
        <f t="array" ref="K592">IF(P592&lt;&gt;0,IF(N592&gt;=3,_xlfn.XLOOKUP(A592,'외운 것'!A2:A271,'외운 것'!C2:C271,0,1),0),"1차")</f>
        <v>0</v>
      </c>
      <c r="L592" s="8" cm="1">
        <f t="array" ref="L592">IF(Q592&lt;&gt;0,IF(N592&gt;=3,_xlfn.XLOOKUP(A592,'외운 것'!A2:A271,'외운 것'!C2:C271,0,1),0),"2차")</f>
        <v>0</v>
      </c>
      <c r="M592" t="str" s="11" cm="1">
        <f t="array" ref="M592">IF(R592&lt;&gt;0,IF(O592&gt;=3,_xlfn.XLOOKUP(B592,'외운 것'!B2:B271,'외운 것'!D2:D271,0,1),0),"3차")</f>
        <v>3차</v>
      </c>
      <c r="N592" s="8">
        <v>2</v>
      </c>
      <c r="O592" s="8">
        <v>3</v>
      </c>
      <c r="P592" s="8">
        <v>1</v>
      </c>
      <c r="Q592" s="8">
        <v>1</v>
      </c>
      <c r="R592" s="8">
        <v>0</v>
      </c>
    </row>
    <row r="593" ht="16" customHeight="1">
      <c r="A593" s="8">
        <v>592</v>
      </c>
      <c r="B593" s="8">
        <v>33</v>
      </c>
      <c r="C593" t="s" s="9">
        <v>1802</v>
      </c>
      <c r="D593" t="s" s="9">
        <v>1722</v>
      </c>
      <c r="E593" t="s" s="9">
        <v>1821</v>
      </c>
      <c r="F593" t="s" s="9">
        <v>1822</v>
      </c>
      <c r="G593" t="s" s="9">
        <v>1823</v>
      </c>
      <c r="H593" s="8" cm="1">
        <f t="array" ref="H593">MIN(SUMIF('외운 것'!A2:A271,A593,'외운 것'!D2:D271)+IF(R593=0,3,IF(R593=1,2,0)),3)</f>
        <v>3</v>
      </c>
      <c r="I593" s="8" cm="1">
        <f t="array" ref="I593">_xlfn.COUNTIFS('외운 것'!A2:A271,A593,'외운 것'!D2:D271,0)</f>
        <v>0</v>
      </c>
      <c r="J593" t="str" s="10" cm="1">
        <f t="array" ref="J593">IF(R593&lt;&gt;0,IF(H593&gt;=3,_xlfn.XLOOKUP(A593,'외운 것'!A2:A271,'외운 것'!C2:C271,0,1),0),"3차")</f>
        <v>3차</v>
      </c>
      <c r="K593" s="8" cm="1">
        <f t="array" ref="K593">IF(P593&lt;&gt;0,IF(N593&gt;=3,_xlfn.XLOOKUP(A593,'외운 것'!A2:A271,'외운 것'!C2:C271,0,1),0),"1차")</f>
        <v>0</v>
      </c>
      <c r="L593" s="8" cm="1">
        <f t="array" ref="L593">IF(Q593&lt;&gt;0,IF(N593&gt;=3,_xlfn.XLOOKUP(A593,'외운 것'!A2:A271,'외운 것'!C2:C271,0,1),0),"2차")</f>
        <v>0</v>
      </c>
      <c r="M593" t="str" s="11" cm="1">
        <f t="array" ref="M593">IF(R593&lt;&gt;0,IF(O593&gt;=3,_xlfn.XLOOKUP(B593,'외운 것'!B2:B271,'외운 것'!D2:D271,0,1),0),"3차")</f>
        <v>3차</v>
      </c>
      <c r="N593" s="8">
        <v>0</v>
      </c>
      <c r="O593" s="8">
        <v>3</v>
      </c>
      <c r="P593" s="8">
        <v>2</v>
      </c>
      <c r="Q593" s="8">
        <v>1</v>
      </c>
      <c r="R593" s="8">
        <v>0</v>
      </c>
    </row>
    <row r="594" ht="16" customHeight="1">
      <c r="A594" s="8">
        <v>593</v>
      </c>
      <c r="B594" s="8">
        <v>34</v>
      </c>
      <c r="C594" t="s" s="9">
        <v>1802</v>
      </c>
      <c r="D594" t="s" s="9">
        <v>1722</v>
      </c>
      <c r="E594" t="s" s="9">
        <v>1824</v>
      </c>
      <c r="F594" t="s" s="9">
        <v>1825</v>
      </c>
      <c r="G594" t="s" s="9">
        <v>1826</v>
      </c>
      <c r="H594" s="8" cm="1">
        <f t="array" ref="H594">MIN(SUMIF('외운 것'!A2:A271,A594,'외운 것'!D2:D271)+IF(R594=0,3,IF(R594=1,2,0)),3)</f>
        <v>3</v>
      </c>
      <c r="I594" s="8" cm="1">
        <f t="array" ref="I594">_xlfn.COUNTIFS('외운 것'!A2:A271,A594,'외운 것'!D2:D271,0)</f>
        <v>0</v>
      </c>
      <c r="J594" t="str" s="10" cm="1">
        <f t="array" ref="J594">IF(R594&lt;&gt;0,IF(H594&gt;=3,_xlfn.XLOOKUP(A594,'외운 것'!A2:A271,'외운 것'!C2:C271,0,1),0),"3차")</f>
        <v>3차</v>
      </c>
      <c r="K594" s="8" cm="1">
        <f t="array" ref="K594">IF(P594&lt;&gt;0,IF(N594&gt;=3,_xlfn.XLOOKUP(A594,'외운 것'!A2:A271,'외운 것'!C2:C271,0,1),0),"1차")</f>
        <v>0</v>
      </c>
      <c r="L594" t="str" s="11" cm="1">
        <f t="array" ref="L594">IF(Q594&lt;&gt;0,IF(N594&gt;=3,_xlfn.XLOOKUP(A594,'외운 것'!A2:A271,'외운 것'!C2:C271,0,1),0),"2차")</f>
        <v>2차</v>
      </c>
      <c r="M594" t="str" s="11" cm="1">
        <f t="array" ref="M594">IF(R594&lt;&gt;0,IF(O594&gt;=3,_xlfn.XLOOKUP(B594,'외운 것'!B2:B271,'외운 것'!D2:D271,0,1),0),"3차")</f>
        <v>3차</v>
      </c>
      <c r="N594" s="8">
        <v>2</v>
      </c>
      <c r="O594" s="8">
        <v>3</v>
      </c>
      <c r="P594" s="8">
        <v>1</v>
      </c>
      <c r="Q594" s="8">
        <v>0</v>
      </c>
      <c r="R594" s="8">
        <v>0</v>
      </c>
    </row>
    <row r="595" ht="16" customHeight="1">
      <c r="A595" s="8">
        <v>594</v>
      </c>
      <c r="B595" s="8">
        <v>35</v>
      </c>
      <c r="C595" t="s" s="9">
        <v>1802</v>
      </c>
      <c r="D595" t="s" s="9">
        <v>1722</v>
      </c>
      <c r="E595" t="s" s="9">
        <v>1827</v>
      </c>
      <c r="F595" t="s" s="9">
        <v>1828</v>
      </c>
      <c r="G595" t="s" s="9">
        <v>1829</v>
      </c>
      <c r="H595" s="8" cm="1">
        <f t="array" ref="H595">MIN(SUMIF('외운 것'!A2:A271,A595,'외운 것'!D2:D271)+IF(R595=0,3,IF(R595=1,2,0)),3)</f>
        <v>3</v>
      </c>
      <c r="I595" s="8" cm="1">
        <f t="array" ref="I595">_xlfn.COUNTIFS('외운 것'!A2:A271,A595,'외운 것'!D2:D271,0)</f>
        <v>0</v>
      </c>
      <c r="J595" t="str" s="10" cm="1">
        <f t="array" ref="J595">IF(R595&lt;&gt;0,IF(H595&gt;=3,_xlfn.XLOOKUP(A595,'외운 것'!A2:A271,'외운 것'!C2:C271,0,1),0),"3차")</f>
        <v>3차</v>
      </c>
      <c r="K595" t="str" s="11" cm="1">
        <f t="array" ref="K595">IF(P595&lt;&gt;0,IF(N595&gt;=3,_xlfn.XLOOKUP(A595,'외운 것'!A2:A271,'외운 것'!C2:C271,0,1),0),"1차")</f>
        <v>1차</v>
      </c>
      <c r="L595" t="str" s="11" cm="1">
        <f t="array" ref="L595">IF(Q595&lt;&gt;0,IF(N595&gt;=3,_xlfn.XLOOKUP(A595,'외운 것'!A2:A271,'외운 것'!C2:C271,0,1),0),"2차")</f>
        <v>2차</v>
      </c>
      <c r="M595" t="str" s="11" cm="1">
        <f t="array" ref="M595">IF(R595&lt;&gt;0,IF(O595&gt;=3,_xlfn.XLOOKUP(B595,'외운 것'!B2:B271,'외운 것'!D2:D271,0,1),0),"3차")</f>
        <v>3차</v>
      </c>
      <c r="N595" s="8">
        <v>3</v>
      </c>
      <c r="O595" s="8">
        <v>3</v>
      </c>
      <c r="P595" s="8">
        <v>0</v>
      </c>
      <c r="Q595" s="8">
        <v>0</v>
      </c>
      <c r="R595" s="8">
        <v>0</v>
      </c>
    </row>
    <row r="596" ht="16" customHeight="1">
      <c r="A596" s="8">
        <v>595</v>
      </c>
      <c r="B596" s="8">
        <v>36</v>
      </c>
      <c r="C596" t="s" s="9">
        <v>1802</v>
      </c>
      <c r="D596" t="s" s="9">
        <v>1722</v>
      </c>
      <c r="E596" t="s" s="9">
        <v>1830</v>
      </c>
      <c r="F596" t="s" s="9">
        <v>1831</v>
      </c>
      <c r="G596" t="s" s="9">
        <v>1832</v>
      </c>
      <c r="H596" s="8" cm="1">
        <f t="array" ref="H596">MIN(SUMIF('외운 것'!A2:A271,A596,'외운 것'!D2:D271)+IF(R596=0,3,IF(R596=1,2,0)),3)</f>
        <v>3</v>
      </c>
      <c r="I596" s="8" cm="1">
        <f t="array" ref="I596">_xlfn.COUNTIFS('외운 것'!A2:A271,A596,'외운 것'!D2:D271,0)</f>
        <v>0</v>
      </c>
      <c r="J596" t="str" s="10" cm="1">
        <f t="array" ref="J596">IF(R596&lt;&gt;0,IF(H596&gt;=3,_xlfn.XLOOKUP(A596,'외운 것'!A2:A271,'외운 것'!C2:C271,0,1),0),"3차")</f>
        <v>3차</v>
      </c>
      <c r="K596" t="str" s="11" cm="1">
        <f t="array" ref="K596">IF(P596&lt;&gt;0,IF(N596&gt;=3,_xlfn.XLOOKUP(A596,'외운 것'!A2:A271,'외운 것'!C2:C271,0,1),0),"1차")</f>
        <v>1차</v>
      </c>
      <c r="L596" t="str" s="11" cm="1">
        <f t="array" ref="L596">IF(Q596&lt;&gt;0,IF(N596&gt;=3,_xlfn.XLOOKUP(A596,'외운 것'!A2:A271,'외운 것'!C2:C271,0,1),0),"2차")</f>
        <v>2차</v>
      </c>
      <c r="M596" t="str" s="11" cm="1">
        <f t="array" ref="M596">IF(R596&lt;&gt;0,IF(O596&gt;=3,_xlfn.XLOOKUP(B596,'외운 것'!B2:B271,'외운 것'!D2:D271,0,1),0),"3차")</f>
        <v>3차</v>
      </c>
      <c r="N596" s="8">
        <v>3</v>
      </c>
      <c r="O596" s="8">
        <v>3</v>
      </c>
      <c r="P596" s="8">
        <v>0</v>
      </c>
      <c r="Q596" s="8">
        <v>0</v>
      </c>
      <c r="R596" s="8">
        <v>0</v>
      </c>
    </row>
    <row r="597" ht="16" customHeight="1">
      <c r="A597" s="8">
        <v>596</v>
      </c>
      <c r="B597" s="8">
        <v>37</v>
      </c>
      <c r="C597" t="s" s="9">
        <v>1786</v>
      </c>
      <c r="D597" t="s" s="9">
        <v>1722</v>
      </c>
      <c r="E597" t="s" s="9">
        <v>1833</v>
      </c>
      <c r="F597" t="s" s="9">
        <v>1834</v>
      </c>
      <c r="G597" t="s" s="9">
        <v>1835</v>
      </c>
      <c r="H597" s="8" cm="1">
        <f t="array" ref="H597">MIN(SUMIF('외운 것'!A2:A271,A597,'외운 것'!D2:D271)+IF(R597=0,3,IF(R597=1,2,0)),3)</f>
        <v>0</v>
      </c>
      <c r="I597" s="8" cm="1">
        <f t="array" ref="I597">_xlfn.COUNTIFS('외운 것'!A2:A271,A597,'외운 것'!D2:D271,0)</f>
        <v>0</v>
      </c>
      <c r="J597" s="19" cm="1">
        <f t="array" ref="J597">IF(R597&lt;&gt;0,IF(H597&gt;=3,_xlfn.XLOOKUP(A597,'외운 것'!A2:A271,'외운 것'!C2:C271,0,1),0),"3차")</f>
        <v>0</v>
      </c>
      <c r="K597" s="8" cm="1">
        <f t="array" ref="K597">IF(P597&lt;&gt;0,IF(N597&gt;=3,_xlfn.XLOOKUP(A597,'외운 것'!A2:A271,'외운 것'!C2:C271,0,1),0),"1차")</f>
        <v>0</v>
      </c>
      <c r="L597" s="8" cm="1">
        <f t="array" ref="L597">IF(Q597&lt;&gt;0,IF(N597&gt;=3,_xlfn.XLOOKUP(A597,'외운 것'!A2:A271,'외운 것'!C2:C271,0,1),0),"2차")</f>
        <v>0</v>
      </c>
      <c r="M597" s="8" cm="1">
        <f t="array" ref="M597">IF(R597&lt;&gt;0,IF(O597&gt;=3,_xlfn.XLOOKUP(B597,'외운 것'!B2:B271,'외운 것'!D2:D271,0,1),0),"3차")</f>
        <v>0</v>
      </c>
      <c r="N597" s="8">
        <v>0</v>
      </c>
      <c r="O597" s="8">
        <v>3</v>
      </c>
      <c r="P597" s="8">
        <v>2</v>
      </c>
      <c r="Q597" s="8">
        <v>2</v>
      </c>
      <c r="R597" s="8">
        <v>2</v>
      </c>
    </row>
    <row r="598" ht="16" customHeight="1">
      <c r="A598" s="8">
        <v>597</v>
      </c>
      <c r="B598" s="8">
        <v>38</v>
      </c>
      <c r="C598" t="s" s="9">
        <v>1786</v>
      </c>
      <c r="D598" t="s" s="9">
        <v>1722</v>
      </c>
      <c r="E598" t="s" s="9">
        <v>1836</v>
      </c>
      <c r="F598" t="s" s="9">
        <v>1837</v>
      </c>
      <c r="G598" t="s" s="9">
        <v>1838</v>
      </c>
      <c r="H598" s="8" cm="1">
        <f t="array" ref="H598">MIN(SUMIF('외운 것'!A2:A271,A598,'외운 것'!D2:D271)+IF(R598=0,3,IF(R598=1,2,0)),3)</f>
        <v>3</v>
      </c>
      <c r="I598" s="8" cm="1">
        <f t="array" ref="I598">_xlfn.COUNTIFS('외운 것'!A2:A271,A598,'외운 것'!D2:D271,0)</f>
        <v>0</v>
      </c>
      <c r="J598" t="str" s="10" cm="1">
        <f t="array" ref="J598">IF(R598&lt;&gt;0,IF(H598&gt;=3,_xlfn.XLOOKUP(A598,'외운 것'!A2:A271,'외운 것'!C2:C271,0,1),0),"3차")</f>
        <v>3차</v>
      </c>
      <c r="K598" s="8" cm="1">
        <f t="array" ref="K598">IF(P598&lt;&gt;0,IF(N598&gt;=3,_xlfn.XLOOKUP(A598,'외운 것'!A2:A271,'외운 것'!C2:C271,0,1),0),"1차")</f>
        <v>0</v>
      </c>
      <c r="L598" t="str" s="11" cm="1">
        <f t="array" ref="L598">IF(Q598&lt;&gt;0,IF(N598&gt;=3,_xlfn.XLOOKUP(A598,'외운 것'!A2:A271,'외운 것'!C2:C271,0,1),0),"2차")</f>
        <v>2차</v>
      </c>
      <c r="M598" t="str" s="11" cm="1">
        <f t="array" ref="M598">IF(R598&lt;&gt;0,IF(O598&gt;=3,_xlfn.XLOOKUP(B598,'외운 것'!B2:B271,'외운 것'!D2:D271,0,1),0),"3차")</f>
        <v>3차</v>
      </c>
      <c r="N598" s="8">
        <v>2</v>
      </c>
      <c r="O598" s="8">
        <v>3</v>
      </c>
      <c r="P598" s="8">
        <v>1</v>
      </c>
      <c r="Q598" s="8">
        <v>0</v>
      </c>
      <c r="R598" s="8">
        <v>0</v>
      </c>
    </row>
    <row r="599" ht="16" customHeight="1">
      <c r="A599" s="8">
        <v>598</v>
      </c>
      <c r="B599" s="8">
        <v>39</v>
      </c>
      <c r="C599" t="s" s="9">
        <v>1786</v>
      </c>
      <c r="D599" t="s" s="9">
        <v>1722</v>
      </c>
      <c r="E599" t="s" s="9">
        <v>1839</v>
      </c>
      <c r="F599" t="s" s="9">
        <v>1840</v>
      </c>
      <c r="G599" t="s" s="9">
        <v>1841</v>
      </c>
      <c r="H599" s="8" cm="1">
        <f t="array" ref="H599">MIN(SUMIF('외운 것'!A2:A271,A599,'외운 것'!D2:D271)+IF(R599=0,3,IF(R599=1,2,0)),3)</f>
        <v>2</v>
      </c>
      <c r="I599" s="8" cm="1">
        <f t="array" ref="I599">_xlfn.COUNTIFS('외운 것'!A2:A271,A599,'외운 것'!D2:D271,0)</f>
        <v>0</v>
      </c>
      <c r="J599" s="19" cm="1">
        <f t="array" ref="J599">IF(R599&lt;&gt;0,IF(H599&gt;=3,_xlfn.XLOOKUP(A599,'외운 것'!A2:A271,'외운 것'!C2:C271,0,1),0),"3차")</f>
        <v>0</v>
      </c>
      <c r="K599" s="8" cm="1">
        <f t="array" ref="K599">IF(P599&lt;&gt;0,IF(N599&gt;=3,_xlfn.XLOOKUP(A599,'외운 것'!A2:A271,'외운 것'!C2:C271,0,1),0),"1차")</f>
        <v>0</v>
      </c>
      <c r="L599" s="8" cm="1">
        <f t="array" ref="L599">IF(Q599&lt;&gt;0,IF(N599&gt;=3,_xlfn.XLOOKUP(A599,'외운 것'!A2:A271,'외운 것'!C2:C271,0,1),0),"2차")</f>
        <v>0</v>
      </c>
      <c r="M599" s="8" cm="1">
        <f t="array" ref="M599">IF(R599&lt;&gt;0,IF(O599&gt;=3,_xlfn.XLOOKUP(B599,'외운 것'!B2:B271,'외운 것'!D2:D271,0,1),0),"3차")</f>
        <v>0</v>
      </c>
      <c r="N599" s="8">
        <v>2</v>
      </c>
      <c r="O599" s="8">
        <v>3</v>
      </c>
      <c r="P599" s="8">
        <v>1</v>
      </c>
      <c r="Q599" s="8">
        <v>1</v>
      </c>
      <c r="R599" s="8">
        <v>1</v>
      </c>
    </row>
    <row r="600" ht="16" customHeight="1">
      <c r="A600" s="8">
        <v>599</v>
      </c>
      <c r="B600" s="8">
        <v>40</v>
      </c>
      <c r="C600" t="s" s="9">
        <v>1786</v>
      </c>
      <c r="D600" t="s" s="9">
        <v>1722</v>
      </c>
      <c r="E600" t="s" s="9">
        <v>1842</v>
      </c>
      <c r="F600" t="s" s="9">
        <v>1843</v>
      </c>
      <c r="G600" t="s" s="9">
        <v>1844</v>
      </c>
      <c r="H600" s="8" cm="1">
        <f t="array" ref="H600">MIN(SUMIF('외운 것'!A2:A271,A600,'외운 것'!D2:D271)+IF(R600=0,3,IF(R600=1,2,0)),3)</f>
        <v>3</v>
      </c>
      <c r="I600" s="8" cm="1">
        <f t="array" ref="I600">_xlfn.COUNTIFS('외운 것'!A2:A271,A600,'외운 것'!D2:D271,0)</f>
        <v>0</v>
      </c>
      <c r="J600" t="str" s="10" cm="1">
        <f t="array" ref="J600">IF(R600&lt;&gt;0,IF(H600&gt;=3,_xlfn.XLOOKUP(A600,'외운 것'!A2:A271,'외운 것'!C2:C271,0,1),0),"3차")</f>
        <v>3차</v>
      </c>
      <c r="K600" s="8" cm="1">
        <f t="array" ref="K600">IF(P600&lt;&gt;0,IF(N600&gt;=3,_xlfn.XLOOKUP(A600,'외운 것'!A2:A271,'외운 것'!C2:C271,0,1),0),"1차")</f>
        <v>0</v>
      </c>
      <c r="L600" t="str" s="11" cm="1">
        <f t="array" ref="L600">IF(Q600&lt;&gt;0,IF(N600&gt;=3,_xlfn.XLOOKUP(A600,'외운 것'!A2:A271,'외운 것'!C2:C271,0,1),0),"2차")</f>
        <v>2차</v>
      </c>
      <c r="M600" t="str" s="11" cm="1">
        <f t="array" ref="M600">IF(R600&lt;&gt;0,IF(O600&gt;=3,_xlfn.XLOOKUP(B600,'외운 것'!B2:B271,'외운 것'!D2:D271,0,1),0),"3차")</f>
        <v>3차</v>
      </c>
      <c r="N600" s="8">
        <v>2</v>
      </c>
      <c r="O600" s="8">
        <v>3</v>
      </c>
      <c r="P600" s="8">
        <v>1</v>
      </c>
      <c r="Q600" s="8">
        <v>0</v>
      </c>
      <c r="R600" s="8">
        <v>0</v>
      </c>
    </row>
    <row r="601" ht="16" customHeight="1">
      <c r="A601" s="8">
        <v>600</v>
      </c>
      <c r="B601" s="8">
        <v>41</v>
      </c>
      <c r="C601" t="s" s="9">
        <v>1786</v>
      </c>
      <c r="D601" t="s" s="9">
        <v>1722</v>
      </c>
      <c r="E601" t="s" s="9">
        <v>1845</v>
      </c>
      <c r="F601" t="s" s="9">
        <v>1846</v>
      </c>
      <c r="G601" t="s" s="9">
        <v>1847</v>
      </c>
      <c r="H601" s="8" cm="1">
        <f t="array" ref="H601">MIN(SUMIF('외운 것'!A2:A271,A601,'외운 것'!D2:D271)+IF(R601=0,3,IF(R601=1,2,0)),3)</f>
        <v>3</v>
      </c>
      <c r="I601" s="8" cm="1">
        <f t="array" ref="I601">_xlfn.COUNTIFS('외운 것'!A2:A271,A601,'외운 것'!D2:D271,0)</f>
        <v>0</v>
      </c>
      <c r="J601" t="str" s="10" cm="1">
        <f t="array" ref="J601">IF(R601&lt;&gt;0,IF(H601&gt;=3,_xlfn.XLOOKUP(A601,'외운 것'!A2:A271,'외운 것'!C2:C271,0,1),0),"3차")</f>
        <v>3차</v>
      </c>
      <c r="K601" s="8" cm="1">
        <f t="array" ref="K601">IF(P601&lt;&gt;0,IF(N601&gt;=3,_xlfn.XLOOKUP(A601,'외운 것'!A2:A271,'외운 것'!C2:C271,0,1),0),"1차")</f>
        <v>0</v>
      </c>
      <c r="L601" s="8" cm="1">
        <f t="array" ref="L601">IF(Q601&lt;&gt;0,IF(N601&gt;=3,_xlfn.XLOOKUP(A601,'외운 것'!A2:A271,'외운 것'!C2:C271,0,1),0),"2차")</f>
        <v>0</v>
      </c>
      <c r="M601" t="str" s="11" cm="1">
        <f t="array" ref="M601">IF(R601&lt;&gt;0,IF(O601&gt;=3,_xlfn.XLOOKUP(B601,'외운 것'!B2:B271,'외운 것'!D2:D271,0,1),0),"3차")</f>
        <v>3차</v>
      </c>
      <c r="N601" s="8">
        <v>0</v>
      </c>
      <c r="O601" s="8">
        <v>3</v>
      </c>
      <c r="P601" s="8">
        <v>2</v>
      </c>
      <c r="Q601" s="8">
        <v>1</v>
      </c>
      <c r="R601" s="8">
        <v>0</v>
      </c>
    </row>
    <row r="602" ht="16" customHeight="1">
      <c r="A602" s="8">
        <v>601</v>
      </c>
      <c r="B602" s="8">
        <v>1</v>
      </c>
      <c r="C602" t="s" s="9">
        <v>1848</v>
      </c>
      <c r="D602" t="s" s="9">
        <v>1848</v>
      </c>
      <c r="E602" t="s" s="9">
        <v>1849</v>
      </c>
      <c r="F602" t="s" s="9">
        <v>1850</v>
      </c>
      <c r="G602" t="s" s="9">
        <v>1851</v>
      </c>
      <c r="H602" s="8" cm="1">
        <f t="array" ref="H602">MIN(SUMIF('외운 것'!A2:A271,A602,'외운 것'!D2:D271)+IF(R602=0,3,IF(R602=1,2,0)),3)</f>
        <v>2</v>
      </c>
      <c r="I602" s="8" cm="1">
        <f t="array" ref="I602">_xlfn.COUNTIFS('외운 것'!A2:A271,A602,'외운 것'!D2:D271,0)</f>
        <v>0</v>
      </c>
      <c r="J602" s="19" cm="1">
        <f t="array" ref="J602">IF(R602&lt;&gt;0,IF(H602&gt;=3,_xlfn.XLOOKUP(A602,'외운 것'!A2:A271,'외운 것'!C2:C271,0,1),0),"3차")</f>
        <v>0</v>
      </c>
      <c r="K602" s="8" cm="1">
        <f t="array" ref="K602">IF(P602&lt;&gt;0,IF(N602&gt;=3,_xlfn.XLOOKUP(A602,'외운 것'!A2:A271,'외운 것'!C2:C271,0,1),0),"1차")</f>
        <v>0</v>
      </c>
      <c r="L602" s="8" cm="1">
        <f t="array" ref="L602">IF(Q602&lt;&gt;0,IF(N602&gt;=3,_xlfn.XLOOKUP(A602,'외운 것'!A2:A271,'외운 것'!C2:C271,0,1),0),"2차")</f>
        <v>0</v>
      </c>
      <c r="M602" s="8" cm="1">
        <f t="array" ref="M602">IF(R602&lt;&gt;0,IF(O602&gt;=3,_xlfn.XLOOKUP(B602,'외운 것'!B2:B271,'외운 것'!D2:D271,0,1),0),"3차")</f>
        <v>0</v>
      </c>
      <c r="N602" s="8">
        <v>0</v>
      </c>
      <c r="O602" s="8">
        <v>3</v>
      </c>
      <c r="P602" s="8">
        <v>2</v>
      </c>
      <c r="Q602" s="8">
        <v>1</v>
      </c>
      <c r="R602" s="8">
        <v>1</v>
      </c>
    </row>
    <row r="603" ht="16" customHeight="1">
      <c r="A603" s="8">
        <v>602</v>
      </c>
      <c r="B603" s="8">
        <v>2</v>
      </c>
      <c r="C603" t="s" s="9">
        <v>1848</v>
      </c>
      <c r="D603" t="s" s="9">
        <v>1848</v>
      </c>
      <c r="E603" t="s" s="9">
        <v>1852</v>
      </c>
      <c r="F603" t="s" s="9">
        <v>1853</v>
      </c>
      <c r="G603" t="s" s="9">
        <v>1854</v>
      </c>
      <c r="H603" s="8" cm="1">
        <f t="array" ref="H603">MIN(SUMIF('외운 것'!A2:A271,A603,'외운 것'!D2:D271)+IF(R603=0,3,IF(R603=1,2,0)),3)</f>
        <v>3</v>
      </c>
      <c r="I603" s="8" cm="1">
        <f t="array" ref="I603">_xlfn.COUNTIFS('외운 것'!A2:A271,A603,'외운 것'!D2:D271,0)</f>
        <v>0</v>
      </c>
      <c r="J603" t="str" s="10" cm="1">
        <f t="array" ref="J603">IF(R603&lt;&gt;0,IF(H603&gt;=3,_xlfn.XLOOKUP(A603,'외운 것'!A2:A271,'외운 것'!C2:C271,0,1),0),"3차")</f>
        <v>3차</v>
      </c>
      <c r="K603" s="8" cm="1">
        <f t="array" ref="K603">IF(P603&lt;&gt;0,IF(N603&gt;=3,_xlfn.XLOOKUP(A603,'외운 것'!A2:A271,'외운 것'!C2:C271,0,1),0),"1차")</f>
        <v>0</v>
      </c>
      <c r="L603" t="str" s="11" cm="1">
        <f t="array" ref="L603">IF(Q603&lt;&gt;0,IF(N603&gt;=3,_xlfn.XLOOKUP(A603,'외운 것'!A2:A271,'외운 것'!C2:C271,0,1),0),"2차")</f>
        <v>2차</v>
      </c>
      <c r="M603" t="str" s="11" cm="1">
        <f t="array" ref="M603">IF(R603&lt;&gt;0,IF(O603&gt;=3,_xlfn.XLOOKUP(B603,'외운 것'!B2:B271,'외운 것'!D2:D271,0,1),0),"3차")</f>
        <v>3차</v>
      </c>
      <c r="N603" s="8">
        <v>2</v>
      </c>
      <c r="O603" s="8">
        <v>3</v>
      </c>
      <c r="P603" s="8">
        <v>1</v>
      </c>
      <c r="Q603" s="8">
        <v>0</v>
      </c>
      <c r="R603" s="8">
        <v>0</v>
      </c>
    </row>
    <row r="604" ht="16" customHeight="1">
      <c r="A604" s="8">
        <v>603</v>
      </c>
      <c r="B604" s="8">
        <v>3</v>
      </c>
      <c r="C604" t="s" s="9">
        <v>1848</v>
      </c>
      <c r="D604" t="s" s="9">
        <v>1848</v>
      </c>
      <c r="E604" t="s" s="9">
        <v>1855</v>
      </c>
      <c r="F604" t="s" s="9">
        <v>1856</v>
      </c>
      <c r="G604" t="s" s="9">
        <v>1857</v>
      </c>
      <c r="H604" s="8" cm="1">
        <f t="array" ref="H604">MIN(SUMIF('외운 것'!A2:A271,A604,'외운 것'!D2:D271)+IF(R604=0,3,IF(R604=1,2,0)),3)</f>
        <v>2</v>
      </c>
      <c r="I604" s="8" cm="1">
        <f t="array" ref="I604">_xlfn.COUNTIFS('외운 것'!A2:A271,A604,'외운 것'!D2:D271,0)</f>
        <v>0</v>
      </c>
      <c r="J604" s="19" cm="1">
        <f t="array" ref="J604">IF(R604&lt;&gt;0,IF(H604&gt;=3,_xlfn.XLOOKUP(A604,'외운 것'!A2:A271,'외운 것'!C2:C271,0,1),0),"3차")</f>
        <v>0</v>
      </c>
      <c r="K604" s="8" cm="1">
        <f t="array" ref="K604">IF(P604&lt;&gt;0,IF(N604&gt;=3,_xlfn.XLOOKUP(A604,'외운 것'!A2:A271,'외운 것'!C2:C271,0,1),0),"1차")</f>
        <v>0</v>
      </c>
      <c r="L604" s="8" cm="1">
        <f t="array" ref="L604">IF(Q604&lt;&gt;0,IF(N604&gt;=3,_xlfn.XLOOKUP(A604,'외운 것'!A2:A271,'외운 것'!C2:C271,0,1),0),"2차")</f>
        <v>0</v>
      </c>
      <c r="M604" s="8" cm="1">
        <f t="array" ref="M604">IF(R604&lt;&gt;0,IF(O604&gt;=3,_xlfn.XLOOKUP(B604,'외운 것'!B2:B271,'외운 것'!D2:D271,0,1),0),"3차")</f>
        <v>0</v>
      </c>
      <c r="N604" s="8">
        <v>2</v>
      </c>
      <c r="O604" s="8">
        <v>3</v>
      </c>
      <c r="P604" s="8">
        <v>1</v>
      </c>
      <c r="Q604" s="8">
        <v>1</v>
      </c>
      <c r="R604" s="8">
        <v>1</v>
      </c>
    </row>
    <row r="605" ht="16" customHeight="1">
      <c r="A605" s="8">
        <v>604</v>
      </c>
      <c r="B605" s="8">
        <v>4</v>
      </c>
      <c r="C605" t="s" s="9">
        <v>1848</v>
      </c>
      <c r="D605" t="s" s="9">
        <v>1848</v>
      </c>
      <c r="E605" t="s" s="9">
        <v>1858</v>
      </c>
      <c r="F605" t="s" s="9">
        <v>1859</v>
      </c>
      <c r="G605" t="s" s="9">
        <v>1860</v>
      </c>
      <c r="H605" s="8" cm="1">
        <f t="array" ref="H605">MIN(SUMIF('외운 것'!A2:A271,A605,'외운 것'!D2:D271)+IF(R605=0,3,IF(R605=1,2,0)),3)</f>
        <v>3</v>
      </c>
      <c r="I605" s="8" cm="1">
        <f t="array" ref="I605">_xlfn.COUNTIFS('외운 것'!A2:A271,A605,'외운 것'!D2:D271,0)</f>
        <v>0</v>
      </c>
      <c r="J605" t="str" s="10" cm="1">
        <f t="array" ref="J605">IF(R605&lt;&gt;0,IF(H605&gt;=3,_xlfn.XLOOKUP(A605,'외운 것'!A2:A271,'외운 것'!C2:C271,0,1),0),"3차")</f>
        <v>3차</v>
      </c>
      <c r="K605" t="str" s="11" cm="1">
        <f t="array" ref="K605">IF(P605&lt;&gt;0,IF(N605&gt;=3,_xlfn.XLOOKUP(A605,'외운 것'!A2:A271,'외운 것'!C2:C271,0,1),0),"1차")</f>
        <v>1차</v>
      </c>
      <c r="L605" t="str" s="11" cm="1">
        <f t="array" ref="L605">IF(Q605&lt;&gt;0,IF(N605&gt;=3,_xlfn.XLOOKUP(A605,'외운 것'!A2:A271,'외운 것'!C2:C271,0,1),0),"2차")</f>
        <v>2차</v>
      </c>
      <c r="M605" t="str" s="11" cm="1">
        <f t="array" ref="M605">IF(R605&lt;&gt;0,IF(O605&gt;=3,_xlfn.XLOOKUP(B605,'외운 것'!B2:B271,'외운 것'!D2:D271,0,1),0),"3차")</f>
        <v>3차</v>
      </c>
      <c r="N605" s="8">
        <v>3</v>
      </c>
      <c r="O605" s="8">
        <v>3</v>
      </c>
      <c r="P605" s="8">
        <v>0</v>
      </c>
      <c r="Q605" s="8">
        <v>0</v>
      </c>
      <c r="R605" s="8">
        <v>0</v>
      </c>
    </row>
    <row r="606" ht="16" customHeight="1">
      <c r="A606" s="8">
        <v>605</v>
      </c>
      <c r="B606" s="8">
        <v>5</v>
      </c>
      <c r="C606" t="s" s="9">
        <v>1848</v>
      </c>
      <c r="D606" t="s" s="9">
        <v>1848</v>
      </c>
      <c r="E606" t="s" s="9">
        <v>1861</v>
      </c>
      <c r="F606" t="s" s="9">
        <v>1862</v>
      </c>
      <c r="G606" t="s" s="9">
        <v>1863</v>
      </c>
      <c r="H606" s="8" cm="1">
        <f t="array" ref="H606">MIN(SUMIF('외운 것'!A2:A271,A606,'외운 것'!D2:D271)+IF(R606=0,3,IF(R606=1,2,0)),3)</f>
        <v>3</v>
      </c>
      <c r="I606" s="8" cm="1">
        <f t="array" ref="I606">_xlfn.COUNTIFS('외운 것'!A2:A271,A606,'외운 것'!D2:D271,0)</f>
        <v>0</v>
      </c>
      <c r="J606" t="str" s="10" cm="1">
        <f t="array" ref="J606">IF(R606&lt;&gt;0,IF(H606&gt;=3,_xlfn.XLOOKUP(A606,'외운 것'!A2:A271,'외운 것'!C2:C271,0,1),0),"3차")</f>
        <v>3차</v>
      </c>
      <c r="K606" s="8" cm="1">
        <f t="array" ref="K606">IF(P606&lt;&gt;0,IF(N606&gt;=3,_xlfn.XLOOKUP(A606,'외운 것'!A2:A271,'외운 것'!C2:C271,0,1),0),"1차")</f>
        <v>0</v>
      </c>
      <c r="L606" s="8" cm="1">
        <f t="array" ref="L606">IF(Q606&lt;&gt;0,IF(N606&gt;=3,_xlfn.XLOOKUP(A606,'외운 것'!A2:A271,'외운 것'!C2:C271,0,1),0),"2차")</f>
        <v>0</v>
      </c>
      <c r="M606" t="str" s="11" cm="1">
        <f t="array" ref="M606">IF(R606&lt;&gt;0,IF(O606&gt;=3,_xlfn.XLOOKUP(B606,'외운 것'!B2:B271,'외운 것'!D2:D271,0,1),0),"3차")</f>
        <v>3차</v>
      </c>
      <c r="N606" s="8">
        <v>2</v>
      </c>
      <c r="O606" s="8">
        <v>3</v>
      </c>
      <c r="P606" s="8">
        <v>1</v>
      </c>
      <c r="Q606" s="8">
        <v>1</v>
      </c>
      <c r="R606" s="8">
        <v>0</v>
      </c>
    </row>
    <row r="607" ht="16" customHeight="1">
      <c r="A607" s="8">
        <v>606</v>
      </c>
      <c r="B607" s="8">
        <v>6</v>
      </c>
      <c r="C607" t="s" s="9">
        <v>1848</v>
      </c>
      <c r="D607" t="s" s="9">
        <v>1848</v>
      </c>
      <c r="E607" t="s" s="9">
        <v>1864</v>
      </c>
      <c r="F607" t="s" s="9">
        <v>1865</v>
      </c>
      <c r="G607" t="s" s="9">
        <v>1866</v>
      </c>
      <c r="H607" s="8" cm="1">
        <f t="array" ref="H607">MIN(SUMIF('외운 것'!A2:A271,A607,'외운 것'!D2:D271)+IF(R607=0,3,IF(R607=1,2,0)),3)</f>
        <v>3</v>
      </c>
      <c r="I607" s="8" cm="1">
        <f t="array" ref="I607">_xlfn.COUNTIFS('외운 것'!A2:A271,A607,'외운 것'!D2:D271,0)</f>
        <v>0</v>
      </c>
      <c r="J607" t="str" s="10" cm="1">
        <f t="array" ref="J607">IF(R607&lt;&gt;0,IF(H607&gt;=3,_xlfn.XLOOKUP(A607,'외운 것'!A2:A271,'외운 것'!C2:C271,0,1),0),"3차")</f>
        <v>3차</v>
      </c>
      <c r="K607" s="8" cm="1">
        <f t="array" ref="K607">IF(P607&lt;&gt;0,IF(N607&gt;=3,_xlfn.XLOOKUP(A607,'외운 것'!A2:A271,'외운 것'!C2:C271,0,1),0),"1차")</f>
        <v>0</v>
      </c>
      <c r="L607" t="str" s="11" cm="1">
        <f t="array" ref="L607">IF(Q607&lt;&gt;0,IF(N607&gt;=3,_xlfn.XLOOKUP(A607,'외운 것'!A2:A271,'외운 것'!C2:C271,0,1),0),"2차")</f>
        <v>2차</v>
      </c>
      <c r="M607" t="str" s="11" cm="1">
        <f t="array" ref="M607">IF(R607&lt;&gt;0,IF(O607&gt;=3,_xlfn.XLOOKUP(B607,'외운 것'!B2:B271,'외운 것'!D2:D271,0,1),0),"3차")</f>
        <v>3차</v>
      </c>
      <c r="N607" s="8">
        <v>2</v>
      </c>
      <c r="O607" s="8">
        <v>3</v>
      </c>
      <c r="P607" s="8">
        <v>1</v>
      </c>
      <c r="Q607" s="8">
        <v>0</v>
      </c>
      <c r="R607" s="8">
        <v>0</v>
      </c>
    </row>
    <row r="608" ht="16" customHeight="1">
      <c r="A608" s="8">
        <v>607</v>
      </c>
      <c r="B608" s="8">
        <v>7</v>
      </c>
      <c r="C608" t="s" s="9">
        <v>1848</v>
      </c>
      <c r="D608" t="s" s="9">
        <v>1848</v>
      </c>
      <c r="E608" t="s" s="9">
        <v>1867</v>
      </c>
      <c r="F608" t="s" s="9">
        <v>1868</v>
      </c>
      <c r="G608" t="s" s="9">
        <v>1869</v>
      </c>
      <c r="H608" s="8" cm="1">
        <f t="array" ref="H608">MIN(SUMIF('외운 것'!A2:A271,A608,'외운 것'!D2:D271)+IF(R608=0,3,IF(R608=1,2,0)),3)</f>
        <v>2</v>
      </c>
      <c r="I608" s="8" cm="1">
        <f t="array" ref="I608">_xlfn.COUNTIFS('외운 것'!A2:A271,A608,'외운 것'!D2:D271,0)</f>
        <v>0</v>
      </c>
      <c r="J608" s="19" cm="1">
        <f t="array" ref="J608">IF(R608&lt;&gt;0,IF(H608&gt;=3,_xlfn.XLOOKUP(A608,'외운 것'!A2:A271,'외운 것'!C2:C271,0,1),0),"3차")</f>
        <v>0</v>
      </c>
      <c r="K608" s="8" cm="1">
        <f t="array" ref="K608">IF(P608&lt;&gt;0,IF(N608&gt;=3,_xlfn.XLOOKUP(A608,'외운 것'!A2:A271,'외운 것'!C2:C271,0,1),0),"1차")</f>
        <v>0</v>
      </c>
      <c r="L608" s="8" cm="1">
        <f t="array" ref="L608">IF(Q608&lt;&gt;0,IF(N608&gt;=3,_xlfn.XLOOKUP(A608,'외운 것'!A2:A271,'외운 것'!C2:C271,0,1),0),"2차")</f>
        <v>0</v>
      </c>
      <c r="M608" s="8" cm="1">
        <f t="array" ref="M608">IF(R608&lt;&gt;0,IF(O608&gt;=3,_xlfn.XLOOKUP(B608,'외운 것'!B2:B271,'외운 것'!D2:D271,0,1),0),"3차")</f>
        <v>0</v>
      </c>
      <c r="N608" s="8">
        <v>0</v>
      </c>
      <c r="O608" s="8">
        <v>3</v>
      </c>
      <c r="P608" s="8">
        <v>2</v>
      </c>
      <c r="Q608" s="8">
        <v>2</v>
      </c>
      <c r="R608" s="8">
        <v>1</v>
      </c>
    </row>
    <row r="609" ht="16" customHeight="1">
      <c r="A609" s="8">
        <v>608</v>
      </c>
      <c r="B609" s="8">
        <v>8</v>
      </c>
      <c r="C609" t="s" s="9">
        <v>1848</v>
      </c>
      <c r="D609" t="s" s="9">
        <v>1848</v>
      </c>
      <c r="E609" t="s" s="9">
        <v>1870</v>
      </c>
      <c r="F609" t="s" s="9">
        <v>1871</v>
      </c>
      <c r="G609" t="s" s="9">
        <v>1872</v>
      </c>
      <c r="H609" s="8" cm="1">
        <f t="array" ref="H609">MIN(SUMIF('외운 것'!A2:A271,A609,'외운 것'!D2:D271)+IF(R609=0,3,IF(R609=1,2,0)),3)</f>
        <v>0</v>
      </c>
      <c r="I609" s="8" cm="1">
        <f t="array" ref="I609">_xlfn.COUNTIFS('외운 것'!A2:A271,A609,'외운 것'!D2:D271,0)</f>
        <v>0</v>
      </c>
      <c r="J609" s="19" cm="1">
        <f t="array" ref="J609">IF(R609&lt;&gt;0,IF(H609&gt;=3,_xlfn.XLOOKUP(A609,'외운 것'!A2:A271,'외운 것'!C2:C271,0,1),0),"3차")</f>
        <v>0</v>
      </c>
      <c r="K609" s="8" cm="1">
        <f t="array" ref="K609">IF(P609&lt;&gt;0,IF(N609&gt;=3,_xlfn.XLOOKUP(A609,'외운 것'!A2:A271,'외운 것'!C2:C271,0,1),0),"1차")</f>
        <v>0</v>
      </c>
      <c r="L609" s="8" cm="1">
        <f t="array" ref="L609">IF(Q609&lt;&gt;0,IF(N609&gt;=3,_xlfn.XLOOKUP(A609,'외운 것'!A2:A271,'외운 것'!C2:C271,0,1),0),"2차")</f>
        <v>0</v>
      </c>
      <c r="M609" s="8" cm="1">
        <f t="array" ref="M609">IF(R609&lt;&gt;0,IF(O609&gt;=3,_xlfn.XLOOKUP(B609,'외운 것'!B2:B271,'외운 것'!D2:D271,0,1),0),"3차")</f>
        <v>0</v>
      </c>
      <c r="N609" s="8">
        <v>0</v>
      </c>
      <c r="O609" s="8">
        <v>3</v>
      </c>
      <c r="P609" s="8">
        <v>4</v>
      </c>
      <c r="Q609" s="8">
        <v>3</v>
      </c>
      <c r="R609" s="8">
        <v>2</v>
      </c>
    </row>
    <row r="610" ht="16" customHeight="1">
      <c r="A610" s="8">
        <v>609</v>
      </c>
      <c r="B610" s="8">
        <v>9</v>
      </c>
      <c r="C610" t="s" s="9">
        <v>1848</v>
      </c>
      <c r="D610" t="s" s="9">
        <v>1848</v>
      </c>
      <c r="E610" t="s" s="9">
        <v>1873</v>
      </c>
      <c r="F610" t="s" s="9">
        <v>1874</v>
      </c>
      <c r="G610" t="s" s="9">
        <v>1875</v>
      </c>
      <c r="H610" s="8" cm="1">
        <f t="array" ref="H610">MIN(SUMIF('외운 것'!A2:A271,A610,'외운 것'!D2:D271)+IF(R610=0,3,IF(R610=1,2,0)),3)</f>
        <v>0</v>
      </c>
      <c r="I610" s="8" cm="1">
        <f t="array" ref="I610">_xlfn.COUNTIFS('외운 것'!A2:A271,A610,'외운 것'!D2:D271,0)</f>
        <v>0</v>
      </c>
      <c r="J610" s="19" cm="1">
        <f t="array" ref="J610">IF(R610&lt;&gt;0,IF(H610&gt;=3,_xlfn.XLOOKUP(A610,'외운 것'!A2:A271,'외운 것'!C2:C271,0,1),0),"3차")</f>
        <v>0</v>
      </c>
      <c r="K610" s="8" cm="1">
        <f t="array" ref="K610">IF(P610&lt;&gt;0,IF(N610&gt;=3,_xlfn.XLOOKUP(A610,'외운 것'!A2:A271,'외운 것'!C2:C271,0,1),0),"1차")</f>
        <v>0</v>
      </c>
      <c r="L610" s="8" cm="1">
        <f t="array" ref="L610">IF(Q610&lt;&gt;0,IF(N610&gt;=3,_xlfn.XLOOKUP(A610,'외운 것'!A2:A271,'외운 것'!C2:C271,0,1),0),"2차")</f>
        <v>0</v>
      </c>
      <c r="M610" s="8" cm="1">
        <f t="array" ref="M610">IF(R610&lt;&gt;0,IF(O610&gt;=3,_xlfn.XLOOKUP(B610,'외운 것'!B2:B271,'외운 것'!D2:D271,0,1),0),"3차")</f>
        <v>0</v>
      </c>
      <c r="N610" s="8">
        <v>0</v>
      </c>
      <c r="O610" s="8">
        <v>3</v>
      </c>
      <c r="P610" s="8">
        <v>3</v>
      </c>
      <c r="Q610" s="8">
        <v>4</v>
      </c>
      <c r="R610" s="8">
        <v>2</v>
      </c>
    </row>
    <row r="611" ht="16" customHeight="1">
      <c r="A611" s="8">
        <v>610</v>
      </c>
      <c r="B611" s="8">
        <v>10</v>
      </c>
      <c r="C611" t="s" s="9">
        <v>1848</v>
      </c>
      <c r="D611" t="s" s="9">
        <v>1848</v>
      </c>
      <c r="E611" t="s" s="9">
        <v>1876</v>
      </c>
      <c r="F611" t="s" s="9">
        <v>1877</v>
      </c>
      <c r="G611" t="s" s="9">
        <v>1878</v>
      </c>
      <c r="H611" s="8" cm="1">
        <f t="array" ref="H611">MIN(SUMIF('외운 것'!A2:A271,A611,'외운 것'!D2:D271)+IF(R611=0,3,IF(R611=1,2,0)),3)</f>
        <v>3</v>
      </c>
      <c r="I611" s="8" cm="1">
        <f t="array" ref="I611">_xlfn.COUNTIFS('외운 것'!A2:A271,A611,'외운 것'!D2:D271,0)</f>
        <v>0</v>
      </c>
      <c r="J611" t="str" s="10" cm="1">
        <f t="array" ref="J611">IF(R611&lt;&gt;0,IF(H611&gt;=3,_xlfn.XLOOKUP(A611,'외운 것'!A2:A271,'외운 것'!C2:C271,0,1),0),"3차")</f>
        <v>3차</v>
      </c>
      <c r="K611" s="8" cm="1">
        <f t="array" ref="K611">IF(P611&lt;&gt;0,IF(N611&gt;=3,_xlfn.XLOOKUP(A611,'외운 것'!A2:A271,'외운 것'!C2:C271,0,1),0),"1차")</f>
        <v>0</v>
      </c>
      <c r="L611" t="str" s="11" cm="1">
        <f t="array" ref="L611">IF(Q611&lt;&gt;0,IF(N611&gt;=3,_xlfn.XLOOKUP(A611,'외운 것'!A2:A271,'외운 것'!C2:C271,0,1),0),"2차")</f>
        <v>2차</v>
      </c>
      <c r="M611" t="str" s="11" cm="1">
        <f t="array" ref="M611">IF(R611&lt;&gt;0,IF(O611&gt;=3,_xlfn.XLOOKUP(B611,'외운 것'!B2:B271,'외운 것'!D2:D271,0,1),0),"3차")</f>
        <v>3차</v>
      </c>
      <c r="N611" s="8">
        <v>2</v>
      </c>
      <c r="O611" s="8">
        <v>3</v>
      </c>
      <c r="P611" s="8">
        <v>1</v>
      </c>
      <c r="Q611" s="8">
        <v>0</v>
      </c>
      <c r="R611" s="8">
        <v>0</v>
      </c>
    </row>
    <row r="612" ht="16" customHeight="1">
      <c r="A612" s="8">
        <v>611</v>
      </c>
      <c r="B612" s="8">
        <v>12</v>
      </c>
      <c r="C612" t="s" s="9">
        <v>1848</v>
      </c>
      <c r="D612" t="s" s="9">
        <v>1848</v>
      </c>
      <c r="E612" t="s" s="9">
        <v>1879</v>
      </c>
      <c r="F612" t="s" s="9">
        <v>1880</v>
      </c>
      <c r="G612" t="s" s="9">
        <v>1881</v>
      </c>
      <c r="H612" s="8" cm="1">
        <f t="array" ref="H612">MIN(SUMIF('외운 것'!A2:A271,A612,'외운 것'!D2:D271)+IF(R612=0,3,IF(R612=1,2,0)),3)</f>
        <v>0</v>
      </c>
      <c r="I612" s="8" cm="1">
        <f t="array" ref="I612">_xlfn.COUNTIFS('외운 것'!A2:A271,A612,'외운 것'!D2:D271,0)</f>
        <v>0</v>
      </c>
      <c r="J612" s="19" cm="1">
        <f t="array" ref="J612">IF(R612&lt;&gt;0,IF(H612&gt;=3,_xlfn.XLOOKUP(A612,'외운 것'!A2:A271,'외운 것'!C2:C271,0,1),0),"3차")</f>
        <v>0</v>
      </c>
      <c r="K612" s="8" cm="1">
        <f t="array" ref="K612">IF(P612&lt;&gt;0,IF(N612&gt;=3,_xlfn.XLOOKUP(A612,'외운 것'!A2:A271,'외운 것'!C2:C271,0,1),0),"1차")</f>
        <v>0</v>
      </c>
      <c r="L612" s="8" cm="1">
        <f t="array" ref="L612">IF(Q612&lt;&gt;0,IF(N612&gt;=3,_xlfn.XLOOKUP(A612,'외운 것'!A2:A271,'외운 것'!C2:C271,0,1),0),"2차")</f>
        <v>0</v>
      </c>
      <c r="M612" s="8" cm="1">
        <f t="array" ref="M612">IF(R612&lt;&gt;0,IF(O612&gt;=3,_xlfn.XLOOKUP(B612,'외운 것'!B2:B271,'외운 것'!D2:D271,0,1),0),"3차")</f>
        <v>0</v>
      </c>
      <c r="N612" s="8">
        <v>0</v>
      </c>
      <c r="O612" s="8">
        <v>3</v>
      </c>
      <c r="P612" s="8">
        <v>3</v>
      </c>
      <c r="Q612" s="8">
        <v>4</v>
      </c>
      <c r="R612" s="8">
        <v>2</v>
      </c>
    </row>
    <row r="613" ht="16" customHeight="1">
      <c r="A613" s="8">
        <v>612</v>
      </c>
      <c r="B613" s="8">
        <v>13</v>
      </c>
      <c r="C613" t="s" s="9">
        <v>1848</v>
      </c>
      <c r="D613" t="s" s="9">
        <v>1848</v>
      </c>
      <c r="E613" t="s" s="9">
        <v>1882</v>
      </c>
      <c r="F613" t="s" s="9">
        <v>1883</v>
      </c>
      <c r="G613" t="s" s="9">
        <v>1884</v>
      </c>
      <c r="H613" s="8" cm="1">
        <f t="array" ref="H613">MIN(SUMIF('외운 것'!A2:A271,A613,'외운 것'!D2:D271)+IF(R613=0,3,IF(R613=1,2,0)),3)</f>
        <v>0</v>
      </c>
      <c r="I613" s="8" cm="1">
        <f t="array" ref="I613">_xlfn.COUNTIFS('외운 것'!A2:A271,A613,'외운 것'!D2:D271,0)</f>
        <v>0</v>
      </c>
      <c r="J613" s="19" cm="1">
        <f t="array" ref="J613">IF(R613&lt;&gt;0,IF(H613&gt;=3,_xlfn.XLOOKUP(A613,'외운 것'!A2:A271,'외운 것'!C2:C271,0,1),0),"3차")</f>
        <v>0</v>
      </c>
      <c r="K613" s="8" cm="1">
        <f t="array" ref="K613">IF(P613&lt;&gt;0,IF(N613&gt;=3,_xlfn.XLOOKUP(A613,'외운 것'!A2:A271,'외운 것'!C2:C271,0,1),0),"1차")</f>
        <v>0</v>
      </c>
      <c r="L613" s="8" cm="1">
        <f t="array" ref="L613">IF(Q613&lt;&gt;0,IF(N613&gt;=3,_xlfn.XLOOKUP(A613,'외운 것'!A2:A271,'외운 것'!C2:C271,0,1),0),"2차")</f>
        <v>0</v>
      </c>
      <c r="M613" s="8" cm="1">
        <f t="array" ref="M613">IF(R613&lt;&gt;0,IF(O613&gt;=3,_xlfn.XLOOKUP(B613,'외운 것'!B2:B271,'외운 것'!D2:D271,0,1),0),"3차")</f>
        <v>0</v>
      </c>
      <c r="N613" s="8">
        <v>0</v>
      </c>
      <c r="O613" s="8">
        <v>3</v>
      </c>
      <c r="P613" s="8">
        <v>2</v>
      </c>
      <c r="Q613" s="8">
        <v>5</v>
      </c>
      <c r="R613" s="8">
        <v>2</v>
      </c>
    </row>
    <row r="614" ht="16" customHeight="1">
      <c r="A614" s="8">
        <v>613</v>
      </c>
      <c r="B614" s="8">
        <v>15</v>
      </c>
      <c r="C614" t="s" s="9">
        <v>1848</v>
      </c>
      <c r="D614" t="s" s="9">
        <v>1848</v>
      </c>
      <c r="E614" t="s" s="9">
        <v>1885</v>
      </c>
      <c r="F614" t="s" s="9">
        <v>1886</v>
      </c>
      <c r="G614" t="s" s="9">
        <v>1887</v>
      </c>
      <c r="H614" s="8" cm="1">
        <f t="array" ref="H614">MIN(SUMIF('외운 것'!A2:A271,A614,'외운 것'!D2:D271)+IF(R614=0,3,IF(R614=1,2,0)),3)</f>
        <v>3</v>
      </c>
      <c r="I614" s="8" cm="1">
        <f t="array" ref="I614">_xlfn.COUNTIFS('외운 것'!A2:A271,A614,'외운 것'!D2:D271,0)</f>
        <v>0</v>
      </c>
      <c r="J614" t="str" s="10" cm="1">
        <f t="array" ref="J614">IF(R614&lt;&gt;0,IF(H614&gt;=3,_xlfn.XLOOKUP(A614,'외운 것'!A2:A271,'외운 것'!C2:C271,0,1),0),"3차")</f>
        <v>3차</v>
      </c>
      <c r="K614" s="8" cm="1">
        <f t="array" ref="K614">IF(P614&lt;&gt;0,IF(N614&gt;=3,_xlfn.XLOOKUP(A614,'외운 것'!A2:A271,'외운 것'!C2:C271,0,1),0),"1차")</f>
        <v>0</v>
      </c>
      <c r="L614" t="str" s="11" cm="1">
        <f t="array" ref="L614">IF(Q614&lt;&gt;0,IF(N614&gt;=3,_xlfn.XLOOKUP(A614,'외운 것'!A2:A271,'외운 것'!C2:C271,0,1),0),"2차")</f>
        <v>2차</v>
      </c>
      <c r="M614" t="str" s="11" cm="1">
        <f t="array" ref="M614">IF(R614&lt;&gt;0,IF(O614&gt;=3,_xlfn.XLOOKUP(B614,'외운 것'!B2:B271,'외운 것'!D2:D271,0,1),0),"3차")</f>
        <v>3차</v>
      </c>
      <c r="N614" s="8">
        <v>2</v>
      </c>
      <c r="O614" s="8">
        <v>3</v>
      </c>
      <c r="P614" s="8">
        <v>1</v>
      </c>
      <c r="Q614" s="8">
        <v>0</v>
      </c>
      <c r="R614" s="8">
        <v>0</v>
      </c>
    </row>
    <row r="615" ht="16" customHeight="1">
      <c r="A615" s="8">
        <v>614</v>
      </c>
      <c r="B615" s="8">
        <v>16</v>
      </c>
      <c r="C615" t="s" s="9">
        <v>1848</v>
      </c>
      <c r="D615" t="s" s="9">
        <v>1848</v>
      </c>
      <c r="E615" t="s" s="9">
        <v>1888</v>
      </c>
      <c r="F615" t="s" s="9">
        <v>1889</v>
      </c>
      <c r="G615" t="s" s="9">
        <v>1890</v>
      </c>
      <c r="H615" s="8" cm="1">
        <f t="array" ref="H615">MIN(SUMIF('외운 것'!A2:A271,A615,'외운 것'!D2:D271)+IF(R615=0,3,IF(R615=1,2,0)),3)</f>
        <v>3</v>
      </c>
      <c r="I615" s="8" cm="1">
        <f t="array" ref="I615">_xlfn.COUNTIFS('외운 것'!A2:A271,A615,'외운 것'!D2:D271,0)</f>
        <v>0</v>
      </c>
      <c r="J615" t="str" s="10" cm="1">
        <f t="array" ref="J615">IF(R615&lt;&gt;0,IF(H615&gt;=3,_xlfn.XLOOKUP(A615,'외운 것'!A2:A271,'외운 것'!C2:C271,0,1),0),"3차")</f>
        <v>3차</v>
      </c>
      <c r="K615" s="8" cm="1">
        <f t="array" ref="K615">IF(P615&lt;&gt;0,IF(N615&gt;=3,_xlfn.XLOOKUP(A615,'외운 것'!A2:A271,'외운 것'!C2:C271,0,1),0),"1차")</f>
        <v>0</v>
      </c>
      <c r="L615" t="str" s="11" cm="1">
        <f t="array" ref="L615">IF(Q615&lt;&gt;0,IF(N615&gt;=3,_xlfn.XLOOKUP(A615,'외운 것'!A2:A271,'외운 것'!C2:C271,0,1),0),"2차")</f>
        <v>2차</v>
      </c>
      <c r="M615" t="str" s="11" cm="1">
        <f t="array" ref="M615">IF(R615&lt;&gt;0,IF(O615&gt;=3,_xlfn.XLOOKUP(B615,'외운 것'!B2:B271,'외운 것'!D2:D271,0,1),0),"3차")</f>
        <v>3차</v>
      </c>
      <c r="N615" s="8">
        <v>2</v>
      </c>
      <c r="O615" s="8">
        <v>3</v>
      </c>
      <c r="P615" s="8">
        <v>1</v>
      </c>
      <c r="Q615" s="8">
        <v>0</v>
      </c>
      <c r="R615" s="8">
        <v>0</v>
      </c>
    </row>
    <row r="616" ht="16" customHeight="1">
      <c r="A616" s="8">
        <v>615</v>
      </c>
      <c r="B616" s="8">
        <v>17</v>
      </c>
      <c r="C616" t="s" s="9">
        <v>1848</v>
      </c>
      <c r="D616" t="s" s="9">
        <v>1848</v>
      </c>
      <c r="E616" t="s" s="9">
        <v>1891</v>
      </c>
      <c r="F616" t="s" s="9">
        <v>1892</v>
      </c>
      <c r="G616" t="s" s="9">
        <v>1893</v>
      </c>
      <c r="H616" s="8" cm="1">
        <f t="array" ref="H616">MIN(SUMIF('외운 것'!A2:A271,A616,'외운 것'!D2:D271)+IF(R616=0,3,IF(R616=1,2,0)),3)</f>
        <v>3</v>
      </c>
      <c r="I616" s="8" cm="1">
        <f t="array" ref="I616">_xlfn.COUNTIFS('외운 것'!A2:A271,A616,'외운 것'!D2:D271,0)</f>
        <v>0</v>
      </c>
      <c r="J616" t="str" s="10" cm="1">
        <f t="array" ref="J616">IF(R616&lt;&gt;0,IF(H616&gt;=3,_xlfn.XLOOKUP(A616,'외운 것'!A2:A271,'외운 것'!C2:C271,0,1),0),"3차")</f>
        <v>3차</v>
      </c>
      <c r="K616" s="8" cm="1">
        <f t="array" ref="K616">IF(P616&lt;&gt;0,IF(N616&gt;=3,_xlfn.XLOOKUP(A616,'외운 것'!A2:A271,'외운 것'!C2:C271,0,1),0),"1차")</f>
        <v>0</v>
      </c>
      <c r="L616" s="8" cm="1">
        <f t="array" ref="L616">IF(Q616&lt;&gt;0,IF(N616&gt;=3,_xlfn.XLOOKUP(A616,'외운 것'!A2:A271,'외운 것'!C2:C271,0,1),0),"2차")</f>
        <v>0</v>
      </c>
      <c r="M616" t="str" s="11" cm="1">
        <f t="array" ref="M616">IF(R616&lt;&gt;0,IF(O616&gt;=3,_xlfn.XLOOKUP(B616,'외운 것'!B2:B271,'외운 것'!D2:D271,0,1),0),"3차")</f>
        <v>3차</v>
      </c>
      <c r="N616" s="8">
        <v>2</v>
      </c>
      <c r="O616" s="8">
        <v>3</v>
      </c>
      <c r="P616" s="8">
        <v>1</v>
      </c>
      <c r="Q616" s="8">
        <v>1</v>
      </c>
      <c r="R616" s="8">
        <v>0</v>
      </c>
    </row>
    <row r="617" ht="16" customHeight="1">
      <c r="A617" s="8">
        <v>616</v>
      </c>
      <c r="B617" s="8">
        <v>18</v>
      </c>
      <c r="C617" t="s" s="9">
        <v>1848</v>
      </c>
      <c r="D617" t="s" s="9">
        <v>1848</v>
      </c>
      <c r="E617" t="s" s="9">
        <v>1894</v>
      </c>
      <c r="F617" t="s" s="9">
        <v>1895</v>
      </c>
      <c r="G617" t="s" s="9">
        <v>1896</v>
      </c>
      <c r="H617" s="8" cm="1">
        <f t="array" ref="H617">MIN(SUMIF('외운 것'!A2:A271,A617,'외운 것'!D2:D271)+IF(R617=0,3,IF(R617=1,2,0)),3)</f>
        <v>2</v>
      </c>
      <c r="I617" s="8" cm="1">
        <f t="array" ref="I617">_xlfn.COUNTIFS('외운 것'!A2:A271,A617,'외운 것'!D2:D271,0)</f>
        <v>0</v>
      </c>
      <c r="J617" s="19" cm="1">
        <f t="array" ref="J617">IF(R617&lt;&gt;0,IF(H617&gt;=3,_xlfn.XLOOKUP(A617,'외운 것'!A2:A271,'외운 것'!C2:C271,0,1),0),"3차")</f>
        <v>0</v>
      </c>
      <c r="K617" s="8" cm="1">
        <f t="array" ref="K617">IF(P617&lt;&gt;0,IF(N617&gt;=3,_xlfn.XLOOKUP(A617,'외운 것'!A2:A271,'외운 것'!C2:C271,0,1),0),"1차")</f>
        <v>0</v>
      </c>
      <c r="L617" s="8" cm="1">
        <f t="array" ref="L617">IF(Q617&lt;&gt;0,IF(N617&gt;=3,_xlfn.XLOOKUP(A617,'외운 것'!A2:A271,'외운 것'!C2:C271,0,1),0),"2차")</f>
        <v>0</v>
      </c>
      <c r="M617" s="8" cm="1">
        <f t="array" ref="M617">IF(R617&lt;&gt;0,IF(O617&gt;=3,_xlfn.XLOOKUP(B617,'외운 것'!B2:B271,'외운 것'!D2:D271,0,1),0),"3차")</f>
        <v>0</v>
      </c>
      <c r="N617" s="8">
        <v>0</v>
      </c>
      <c r="O617" s="8">
        <v>3</v>
      </c>
      <c r="P617" s="8">
        <v>3</v>
      </c>
      <c r="Q617" s="8">
        <v>1</v>
      </c>
      <c r="R617" s="8">
        <v>1</v>
      </c>
    </row>
    <row r="618" ht="16" customHeight="1">
      <c r="A618" s="8">
        <v>617</v>
      </c>
      <c r="B618" s="8">
        <v>19</v>
      </c>
      <c r="C618" t="s" s="9">
        <v>1848</v>
      </c>
      <c r="D618" t="s" s="9">
        <v>1848</v>
      </c>
      <c r="E618" t="s" s="9">
        <v>1897</v>
      </c>
      <c r="F618" t="s" s="9">
        <v>1898</v>
      </c>
      <c r="G618" t="s" s="9">
        <v>1899</v>
      </c>
      <c r="H618" s="8" cm="1">
        <f t="array" ref="H618">MIN(SUMIF('외운 것'!A2:A271,A618,'외운 것'!D2:D271)+IF(R618=0,3,IF(R618=1,2,0)),3)</f>
        <v>3</v>
      </c>
      <c r="I618" s="8" cm="1">
        <f t="array" ref="I618">_xlfn.COUNTIFS('외운 것'!A2:A271,A618,'외운 것'!D2:D271,0)</f>
        <v>0</v>
      </c>
      <c r="J618" t="str" s="10" cm="1">
        <f t="array" ref="J618">IF(R618&lt;&gt;0,IF(H618&gt;=3,_xlfn.XLOOKUP(A618,'외운 것'!A2:A271,'외운 것'!C2:C271,0,1),0),"3차")</f>
        <v>3차</v>
      </c>
      <c r="K618" t="str" s="11" cm="1">
        <f t="array" ref="K618">IF(P618&lt;&gt;0,IF(N618&gt;=3,_xlfn.XLOOKUP(A618,'외운 것'!A2:A271,'외운 것'!C2:C271,0,1),0),"1차")</f>
        <v>1차</v>
      </c>
      <c r="L618" t="str" s="11" cm="1">
        <f t="array" ref="L618">IF(Q618&lt;&gt;0,IF(N618&gt;=3,_xlfn.XLOOKUP(A618,'외운 것'!A2:A271,'외운 것'!C2:C271,0,1),0),"2차")</f>
        <v>2차</v>
      </c>
      <c r="M618" t="str" s="11" cm="1">
        <f t="array" ref="M618">IF(R618&lt;&gt;0,IF(O618&gt;=3,_xlfn.XLOOKUP(B618,'외운 것'!B2:B271,'외운 것'!D2:D271,0,1),0),"3차")</f>
        <v>3차</v>
      </c>
      <c r="N618" s="8">
        <v>3</v>
      </c>
      <c r="O618" s="8">
        <v>3</v>
      </c>
      <c r="P618" s="8">
        <v>0</v>
      </c>
      <c r="Q618" s="8">
        <v>0</v>
      </c>
      <c r="R618" s="8">
        <v>0</v>
      </c>
    </row>
    <row r="619" ht="16" customHeight="1">
      <c r="A619" s="8">
        <v>618</v>
      </c>
      <c r="B619" s="8">
        <v>20</v>
      </c>
      <c r="C619" t="s" s="9">
        <v>1848</v>
      </c>
      <c r="D619" t="s" s="9">
        <v>1848</v>
      </c>
      <c r="E619" t="s" s="9">
        <v>1900</v>
      </c>
      <c r="F619" t="s" s="9">
        <v>1901</v>
      </c>
      <c r="G619" t="s" s="9">
        <v>1902</v>
      </c>
      <c r="H619" s="8" cm="1">
        <f t="array" ref="H619">MIN(SUMIF('외운 것'!A2:A271,A619,'외운 것'!D2:D271)+IF(R619=0,3,IF(R619=1,2,0)),3)</f>
        <v>2</v>
      </c>
      <c r="I619" s="8" cm="1">
        <f t="array" ref="I619">_xlfn.COUNTIFS('외운 것'!A2:A271,A619,'외운 것'!D2:D271,0)</f>
        <v>0</v>
      </c>
      <c r="J619" s="19" cm="1">
        <f t="array" ref="J619">IF(R619&lt;&gt;0,IF(H619&gt;=3,_xlfn.XLOOKUP(A619,'외운 것'!A2:A271,'외운 것'!C2:C271,0,1),0),"3차")</f>
        <v>0</v>
      </c>
      <c r="K619" s="8" cm="1">
        <f t="array" ref="K619">IF(P619&lt;&gt;0,IF(N619&gt;=3,_xlfn.XLOOKUP(A619,'외운 것'!A2:A271,'외운 것'!C2:C271,0,1),0),"1차")</f>
        <v>0</v>
      </c>
      <c r="L619" s="8" cm="1">
        <f t="array" ref="L619">IF(Q619&lt;&gt;0,IF(N619&gt;=3,_xlfn.XLOOKUP(A619,'외운 것'!A2:A271,'외운 것'!C2:C271,0,1),0),"2차")</f>
        <v>0</v>
      </c>
      <c r="M619" s="8" cm="1">
        <f t="array" ref="M619">IF(R619&lt;&gt;0,IF(O619&gt;=3,_xlfn.XLOOKUP(B619,'외운 것'!B2:B271,'외운 것'!D2:D271,0,1),0),"3차")</f>
        <v>0</v>
      </c>
      <c r="N619" s="8">
        <v>0</v>
      </c>
      <c r="O619" s="8">
        <v>3</v>
      </c>
      <c r="P619" s="8">
        <v>3</v>
      </c>
      <c r="Q619" s="8">
        <v>2</v>
      </c>
      <c r="R619" s="8">
        <v>1</v>
      </c>
    </row>
    <row r="620" ht="16" customHeight="1">
      <c r="A620" s="8">
        <v>619</v>
      </c>
      <c r="B620" s="8">
        <v>21</v>
      </c>
      <c r="C620" t="s" s="9">
        <v>1848</v>
      </c>
      <c r="D620" t="s" s="9">
        <v>1848</v>
      </c>
      <c r="E620" t="s" s="9">
        <v>1903</v>
      </c>
      <c r="F620" t="s" s="9">
        <v>1904</v>
      </c>
      <c r="G620" t="s" s="9">
        <v>1905</v>
      </c>
      <c r="H620" s="8" cm="1">
        <f t="array" ref="H620">MIN(SUMIF('외운 것'!A2:A271,A620,'외운 것'!D2:D271)+IF(R620=0,3,IF(R620=1,2,0)),3)</f>
        <v>0</v>
      </c>
      <c r="I620" s="8" cm="1">
        <f t="array" ref="I620">_xlfn.COUNTIFS('외운 것'!A2:A271,A620,'외운 것'!D2:D271,0)</f>
        <v>0</v>
      </c>
      <c r="J620" s="19" cm="1">
        <f t="array" ref="J620">IF(R620&lt;&gt;0,IF(H620&gt;=3,_xlfn.XLOOKUP(A620,'외운 것'!A2:A271,'외운 것'!C2:C271,0,1),0),"3차")</f>
        <v>0</v>
      </c>
      <c r="K620" s="8" cm="1">
        <f t="array" ref="K620">IF(P620&lt;&gt;0,IF(N620&gt;=3,_xlfn.XLOOKUP(A620,'외운 것'!A2:A271,'외운 것'!C2:C271,0,1),0),"1차")</f>
        <v>0</v>
      </c>
      <c r="L620" s="8" cm="1">
        <f t="array" ref="L620">IF(Q620&lt;&gt;0,IF(N620&gt;=3,_xlfn.XLOOKUP(A620,'외운 것'!A2:A271,'외운 것'!C2:C271,0,1),0),"2차")</f>
        <v>0</v>
      </c>
      <c r="M620" s="8" cm="1">
        <f t="array" ref="M620">IF(R620&lt;&gt;0,IF(O620&gt;=3,_xlfn.XLOOKUP(B620,'외운 것'!B2:B271,'외운 것'!D2:D271,0,1),0),"3차")</f>
        <v>0</v>
      </c>
      <c r="N620" s="8">
        <v>0</v>
      </c>
      <c r="O620" s="8">
        <v>3</v>
      </c>
      <c r="P620" s="8">
        <v>6</v>
      </c>
      <c r="Q620" s="8">
        <v>3</v>
      </c>
      <c r="R620" s="8">
        <v>3</v>
      </c>
    </row>
    <row r="621" ht="16" customHeight="1">
      <c r="A621" s="8">
        <v>620</v>
      </c>
      <c r="B621" s="8">
        <v>22</v>
      </c>
      <c r="C621" t="s" s="9">
        <v>1848</v>
      </c>
      <c r="D621" t="s" s="9">
        <v>1848</v>
      </c>
      <c r="E621" t="s" s="9">
        <v>1906</v>
      </c>
      <c r="F621" t="s" s="9">
        <v>1907</v>
      </c>
      <c r="G621" t="s" s="9">
        <v>1908</v>
      </c>
      <c r="H621" s="8" cm="1">
        <f t="array" ref="H621">MIN(SUMIF('외운 것'!A2:A271,A621,'외운 것'!D2:D271)+IF(R621=0,3,IF(R621=1,2,0)),3)</f>
        <v>0</v>
      </c>
      <c r="I621" s="8" cm="1">
        <f t="array" ref="I621">_xlfn.COUNTIFS('외운 것'!A2:A271,A621,'외운 것'!D2:D271,0)</f>
        <v>0</v>
      </c>
      <c r="J621" s="19" cm="1">
        <f t="array" ref="J621">IF(R621&lt;&gt;0,IF(H621&gt;=3,_xlfn.XLOOKUP(A621,'외운 것'!A2:A271,'외운 것'!C2:C271,0,1),0),"3차")</f>
        <v>0</v>
      </c>
      <c r="K621" s="8" cm="1">
        <f t="array" ref="K621">IF(P621&lt;&gt;0,IF(N621&gt;=3,_xlfn.XLOOKUP(A621,'외운 것'!A2:A271,'외운 것'!C2:C271,0,1),0),"1차")</f>
        <v>0</v>
      </c>
      <c r="L621" s="8" cm="1">
        <f t="array" ref="L621">IF(Q621&lt;&gt;0,IF(N621&gt;=3,_xlfn.XLOOKUP(A621,'외운 것'!A2:A271,'외운 것'!C2:C271,0,1),0),"2차")</f>
        <v>0</v>
      </c>
      <c r="M621" s="8" cm="1">
        <f t="array" ref="M621">IF(R621&lt;&gt;0,IF(O621&gt;=3,_xlfn.XLOOKUP(B621,'외운 것'!B2:B271,'외운 것'!D2:D271,0,1),0),"3차")</f>
        <v>0</v>
      </c>
      <c r="N621" s="8">
        <v>0</v>
      </c>
      <c r="O621" s="8">
        <v>3</v>
      </c>
      <c r="P621" s="8">
        <v>2</v>
      </c>
      <c r="Q621" s="8">
        <v>3</v>
      </c>
      <c r="R621" s="8">
        <v>3</v>
      </c>
    </row>
    <row r="622" ht="16" customHeight="1">
      <c r="A622" s="8">
        <v>621</v>
      </c>
      <c r="B622" s="8">
        <v>23</v>
      </c>
      <c r="C622" t="s" s="9">
        <v>1848</v>
      </c>
      <c r="D622" t="s" s="9">
        <v>1848</v>
      </c>
      <c r="E622" t="s" s="9">
        <v>1909</v>
      </c>
      <c r="F622" t="s" s="9">
        <v>1910</v>
      </c>
      <c r="G622" t="s" s="9">
        <v>1911</v>
      </c>
      <c r="H622" s="8" cm="1">
        <f t="array" ref="H622">MIN(SUMIF('외운 것'!A2:A271,A622,'외운 것'!D2:D271)+IF(R622=0,3,IF(R622=1,2,0)),3)</f>
        <v>3</v>
      </c>
      <c r="I622" s="8" cm="1">
        <f t="array" ref="I622">_xlfn.COUNTIFS('외운 것'!A2:A271,A622,'외운 것'!D2:D271,0)</f>
        <v>0</v>
      </c>
      <c r="J622" t="str" s="10" cm="1">
        <f t="array" ref="J622">IF(R622&lt;&gt;0,IF(H622&gt;=3,_xlfn.XLOOKUP(A622,'외운 것'!A2:A271,'외운 것'!C2:C271,0,1),0),"3차")</f>
        <v>3차</v>
      </c>
      <c r="K622" s="8" cm="1">
        <f t="array" ref="K622">IF(P622&lt;&gt;0,IF(N622&gt;=3,_xlfn.XLOOKUP(A622,'외운 것'!A2:A271,'외운 것'!C2:C271,0,1),0),"1차")</f>
        <v>0</v>
      </c>
      <c r="L622" s="8" cm="1">
        <f t="array" ref="L622">IF(Q622&lt;&gt;0,IF(N622&gt;=3,_xlfn.XLOOKUP(A622,'외운 것'!A2:A271,'외운 것'!C2:C271,0,1),0),"2차")</f>
        <v>0</v>
      </c>
      <c r="M622" t="str" s="11" cm="1">
        <f t="array" ref="M622">IF(R622&lt;&gt;0,IF(O622&gt;=3,_xlfn.XLOOKUP(B622,'외운 것'!B2:B271,'외운 것'!D2:D271,0,1),0),"3차")</f>
        <v>3차</v>
      </c>
      <c r="N622" s="8">
        <v>0</v>
      </c>
      <c r="O622" s="8">
        <v>3</v>
      </c>
      <c r="P622" s="8">
        <v>6</v>
      </c>
      <c r="Q622" s="8">
        <v>2</v>
      </c>
      <c r="R622" s="8">
        <v>0</v>
      </c>
    </row>
    <row r="623" ht="16" customHeight="1">
      <c r="A623" s="8">
        <v>622</v>
      </c>
      <c r="B623" s="8">
        <v>24</v>
      </c>
      <c r="C623" t="s" s="9">
        <v>1848</v>
      </c>
      <c r="D623" t="s" s="9">
        <v>1848</v>
      </c>
      <c r="E623" t="s" s="9">
        <v>1912</v>
      </c>
      <c r="F623" t="s" s="9">
        <v>1913</v>
      </c>
      <c r="G623" t="s" s="9">
        <v>1914</v>
      </c>
      <c r="H623" s="8" cm="1">
        <f t="array" ref="H623">MIN(SUMIF('외운 것'!A2:A271,A623,'외운 것'!D2:D271)+IF(R623=0,3,IF(R623=1,2,0)),3)</f>
        <v>3</v>
      </c>
      <c r="I623" s="8" cm="1">
        <f t="array" ref="I623">_xlfn.COUNTIFS('외운 것'!A2:A271,A623,'외운 것'!D2:D271,0)</f>
        <v>0</v>
      </c>
      <c r="J623" t="str" s="10" cm="1">
        <f t="array" ref="J623">IF(R623&lt;&gt;0,IF(H623&gt;=3,_xlfn.XLOOKUP(A623,'외운 것'!A2:A271,'외운 것'!C2:C271,0,1),0),"3차")</f>
        <v>3차</v>
      </c>
      <c r="K623" t="str" s="11" cm="1">
        <f t="array" ref="K623">IF(P623&lt;&gt;0,IF(N623&gt;=3,_xlfn.XLOOKUP(A623,'외운 것'!A2:A271,'외운 것'!C2:C271,0,1),0),"1차")</f>
        <v>1차</v>
      </c>
      <c r="L623" t="str" s="11" cm="1">
        <f t="array" ref="L623">IF(Q623&lt;&gt;0,IF(N623&gt;=3,_xlfn.XLOOKUP(A623,'외운 것'!A2:A271,'외운 것'!C2:C271,0,1),0),"2차")</f>
        <v>2차</v>
      </c>
      <c r="M623" t="str" s="11" cm="1">
        <f t="array" ref="M623">IF(R623&lt;&gt;0,IF(O623&gt;=3,_xlfn.XLOOKUP(B623,'외운 것'!B2:B271,'외운 것'!D2:D271,0,1),0),"3차")</f>
        <v>3차</v>
      </c>
      <c r="N623" s="8">
        <v>3</v>
      </c>
      <c r="O623" s="8">
        <v>3</v>
      </c>
      <c r="P623" s="8">
        <v>0</v>
      </c>
      <c r="Q623" s="8">
        <v>0</v>
      </c>
      <c r="R623" s="8">
        <v>0</v>
      </c>
    </row>
    <row r="624" ht="16" customHeight="1">
      <c r="A624" s="8">
        <v>623</v>
      </c>
      <c r="B624" s="8">
        <v>25</v>
      </c>
      <c r="C624" t="s" s="9">
        <v>1848</v>
      </c>
      <c r="D624" t="s" s="9">
        <v>1848</v>
      </c>
      <c r="E624" t="s" s="9">
        <v>1915</v>
      </c>
      <c r="F624" t="s" s="9">
        <v>1916</v>
      </c>
      <c r="G624" t="s" s="9">
        <v>1917</v>
      </c>
      <c r="H624" s="8" cm="1">
        <f t="array" ref="H624">MIN(SUMIF('외운 것'!A2:A271,A624,'외운 것'!D2:D271)+IF(R624=0,3,IF(R624=1,2,0)),3)</f>
        <v>3</v>
      </c>
      <c r="I624" s="8" cm="1">
        <f t="array" ref="I624">_xlfn.COUNTIFS('외운 것'!A2:A271,A624,'외운 것'!D2:D271,0)</f>
        <v>0</v>
      </c>
      <c r="J624" t="str" s="10" cm="1">
        <f t="array" ref="J624">IF(R624&lt;&gt;0,IF(H624&gt;=3,_xlfn.XLOOKUP(A624,'외운 것'!A2:A271,'외운 것'!C2:C271,0,1),0),"3차")</f>
        <v>3차</v>
      </c>
      <c r="K624" s="8" cm="1">
        <f t="array" ref="K624">IF(P624&lt;&gt;0,IF(N624&gt;=3,_xlfn.XLOOKUP(A624,'외운 것'!A2:A271,'외운 것'!C2:C271,0,1),0),"1차")</f>
        <v>0</v>
      </c>
      <c r="L624" t="str" s="11" cm="1">
        <f t="array" ref="L624">IF(Q624&lt;&gt;0,IF(N624&gt;=3,_xlfn.XLOOKUP(A624,'외운 것'!A2:A271,'외운 것'!C2:C271,0,1),0),"2차")</f>
        <v>2차</v>
      </c>
      <c r="M624" t="str" s="11" cm="1">
        <f t="array" ref="M624">IF(R624&lt;&gt;0,IF(O624&gt;=3,_xlfn.XLOOKUP(B624,'외운 것'!B2:B271,'외운 것'!D2:D271,0,1),0),"3차")</f>
        <v>3차</v>
      </c>
      <c r="N624" s="8">
        <v>2</v>
      </c>
      <c r="O624" s="8">
        <v>3</v>
      </c>
      <c r="P624" s="8">
        <v>1</v>
      </c>
      <c r="Q624" s="8">
        <v>0</v>
      </c>
      <c r="R624" s="8">
        <v>0</v>
      </c>
    </row>
    <row r="625" ht="16" customHeight="1">
      <c r="A625" s="8">
        <v>624</v>
      </c>
      <c r="B625" s="8">
        <v>26</v>
      </c>
      <c r="C625" t="s" s="9">
        <v>1848</v>
      </c>
      <c r="D625" t="s" s="9">
        <v>1848</v>
      </c>
      <c r="E625" t="s" s="9">
        <v>1918</v>
      </c>
      <c r="F625" t="s" s="9">
        <v>1919</v>
      </c>
      <c r="G625" t="s" s="9">
        <v>1920</v>
      </c>
      <c r="H625" s="8" cm="1">
        <f t="array" ref="H625">MIN(SUMIF('외운 것'!A2:A271,A625,'외운 것'!D2:D271)+IF(R625=0,3,IF(R625=1,2,0)),3)</f>
        <v>2</v>
      </c>
      <c r="I625" s="8" cm="1">
        <f t="array" ref="I625">_xlfn.COUNTIFS('외운 것'!A2:A271,A625,'외운 것'!D2:D271,0)</f>
        <v>0</v>
      </c>
      <c r="J625" s="19" cm="1">
        <f t="array" ref="J625">IF(R625&lt;&gt;0,IF(H625&gt;=3,_xlfn.XLOOKUP(A625,'외운 것'!A2:A271,'외운 것'!C2:C271,0,1),0),"3차")</f>
        <v>0</v>
      </c>
      <c r="K625" s="8" cm="1">
        <f t="array" ref="K625">IF(P625&lt;&gt;0,IF(N625&gt;=3,_xlfn.XLOOKUP(A625,'외운 것'!A2:A271,'외운 것'!C2:C271,0,1),0),"1차")</f>
        <v>0</v>
      </c>
      <c r="L625" s="8" cm="1">
        <f t="array" ref="L625">IF(Q625&lt;&gt;0,IF(N625&gt;=3,_xlfn.XLOOKUP(A625,'외운 것'!A2:A271,'외운 것'!C2:C271,0,1),0),"2차")</f>
        <v>0</v>
      </c>
      <c r="M625" s="8" cm="1">
        <f t="array" ref="M625">IF(R625&lt;&gt;0,IF(O625&gt;=3,_xlfn.XLOOKUP(B625,'외운 것'!B2:B271,'외운 것'!D2:D271,0,1),0),"3차")</f>
        <v>0</v>
      </c>
      <c r="N625" s="8">
        <v>0</v>
      </c>
      <c r="O625" s="8">
        <v>3</v>
      </c>
      <c r="P625" s="8">
        <v>3</v>
      </c>
      <c r="Q625" s="8">
        <v>4</v>
      </c>
      <c r="R625" s="8">
        <v>1</v>
      </c>
    </row>
    <row r="626" ht="16" customHeight="1">
      <c r="A626" s="8">
        <v>625</v>
      </c>
      <c r="B626" s="8">
        <v>27</v>
      </c>
      <c r="C626" t="s" s="9">
        <v>1848</v>
      </c>
      <c r="D626" t="s" s="9">
        <v>1848</v>
      </c>
      <c r="E626" t="s" s="9">
        <v>1921</v>
      </c>
      <c r="F626" t="s" s="9">
        <v>1922</v>
      </c>
      <c r="G626" t="s" s="9">
        <v>1923</v>
      </c>
      <c r="H626" s="8" cm="1">
        <f t="array" ref="H626">MIN(SUMIF('외운 것'!A2:A271,A626,'외운 것'!D2:D271)+IF(R626=0,3,IF(R626=1,2,0)),3)</f>
        <v>0</v>
      </c>
      <c r="I626" s="8" cm="1">
        <f t="array" ref="I626">_xlfn.COUNTIFS('외운 것'!A2:A271,A626,'외운 것'!D2:D271,0)</f>
        <v>0</v>
      </c>
      <c r="J626" s="19" cm="1">
        <f t="array" ref="J626">IF(R626&lt;&gt;0,IF(H626&gt;=3,_xlfn.XLOOKUP(A626,'외운 것'!A2:A271,'외운 것'!C2:C271,0,1),0),"3차")</f>
        <v>0</v>
      </c>
      <c r="K626" s="8" cm="1">
        <f t="array" ref="K626">IF(P626&lt;&gt;0,IF(N626&gt;=3,_xlfn.XLOOKUP(A626,'외운 것'!A2:A271,'외운 것'!C2:C271,0,1),0),"1차")</f>
        <v>0</v>
      </c>
      <c r="L626" s="8" cm="1">
        <f t="array" ref="L626">IF(Q626&lt;&gt;0,IF(N626&gt;=3,_xlfn.XLOOKUP(A626,'외운 것'!A2:A271,'외운 것'!C2:C271,0,1),0),"2차")</f>
        <v>0</v>
      </c>
      <c r="M626" s="8" cm="1">
        <f t="array" ref="M626">IF(R626&lt;&gt;0,IF(O626&gt;=3,_xlfn.XLOOKUP(B626,'외운 것'!B2:B271,'외운 것'!D2:D271,0,1),0),"3차")</f>
        <v>0</v>
      </c>
      <c r="N626" s="8">
        <v>2</v>
      </c>
      <c r="O626" s="8">
        <v>3</v>
      </c>
      <c r="P626" s="8">
        <v>1</v>
      </c>
      <c r="Q626" s="8">
        <v>2</v>
      </c>
      <c r="R626" s="8">
        <v>2</v>
      </c>
    </row>
    <row r="627" ht="16" customHeight="1">
      <c r="A627" s="8">
        <v>626</v>
      </c>
      <c r="B627" s="8">
        <v>28</v>
      </c>
      <c r="C627" t="s" s="9">
        <v>1848</v>
      </c>
      <c r="D627" t="s" s="9">
        <v>1848</v>
      </c>
      <c r="E627" t="s" s="9">
        <v>1924</v>
      </c>
      <c r="F627" t="s" s="9">
        <v>1925</v>
      </c>
      <c r="G627" t="s" s="9">
        <v>1926</v>
      </c>
      <c r="H627" s="8" cm="1">
        <f t="array" ref="H627">MIN(SUMIF('외운 것'!A2:A271,A627,'외운 것'!D2:D271)+IF(R627=0,3,IF(R627=1,2,0)),3)</f>
        <v>3</v>
      </c>
      <c r="I627" s="8" cm="1">
        <f t="array" ref="I627">_xlfn.COUNTIFS('외운 것'!A2:A271,A627,'외운 것'!D2:D271,0)</f>
        <v>0</v>
      </c>
      <c r="J627" t="str" s="10" cm="1">
        <f t="array" ref="J627">IF(R627&lt;&gt;0,IF(H627&gt;=3,_xlfn.XLOOKUP(A627,'외운 것'!A2:A271,'외운 것'!C2:C271,0,1),0),"3차")</f>
        <v>3차</v>
      </c>
      <c r="K627" s="8" cm="1">
        <f t="array" ref="K627">IF(P627&lt;&gt;0,IF(N627&gt;=3,_xlfn.XLOOKUP(A627,'외운 것'!A2:A271,'외운 것'!C2:C271,0,1),0),"1차")</f>
        <v>0</v>
      </c>
      <c r="L627" t="str" s="11" cm="1">
        <f t="array" ref="L627">IF(Q627&lt;&gt;0,IF(N627&gt;=3,_xlfn.XLOOKUP(A627,'외운 것'!A2:A271,'외운 것'!C2:C271,0,1),0),"2차")</f>
        <v>2차</v>
      </c>
      <c r="M627" t="str" s="11" cm="1">
        <f t="array" ref="M627">IF(R627&lt;&gt;0,IF(O627&gt;=3,_xlfn.XLOOKUP(B627,'외운 것'!B2:B271,'외운 것'!D2:D271,0,1),0),"3차")</f>
        <v>3차</v>
      </c>
      <c r="N627" s="8">
        <v>2</v>
      </c>
      <c r="O627" s="8">
        <v>3</v>
      </c>
      <c r="P627" s="8">
        <v>1</v>
      </c>
      <c r="Q627" s="8">
        <v>0</v>
      </c>
      <c r="R627" s="8">
        <v>0</v>
      </c>
    </row>
    <row r="628" ht="16" customHeight="1">
      <c r="A628" s="8">
        <v>627</v>
      </c>
      <c r="B628" s="8">
        <v>29</v>
      </c>
      <c r="C628" t="s" s="9">
        <v>1848</v>
      </c>
      <c r="D628" t="s" s="9">
        <v>1848</v>
      </c>
      <c r="E628" t="s" s="9">
        <v>1927</v>
      </c>
      <c r="F628" t="s" s="9">
        <v>1928</v>
      </c>
      <c r="G628" t="s" s="9">
        <v>1929</v>
      </c>
      <c r="H628" s="8" cm="1">
        <f t="array" ref="H628">MIN(SUMIF('외운 것'!A2:A271,A628,'외운 것'!D2:D271)+IF(R628=0,3,IF(R628=1,2,0)),3)</f>
        <v>3</v>
      </c>
      <c r="I628" s="8" cm="1">
        <f t="array" ref="I628">_xlfn.COUNTIFS('외운 것'!A2:A271,A628,'외운 것'!D2:D271,0)</f>
        <v>0</v>
      </c>
      <c r="J628" t="str" s="10" cm="1">
        <f t="array" ref="J628">IF(R628&lt;&gt;0,IF(H628&gt;=3,_xlfn.XLOOKUP(A628,'외운 것'!A2:A271,'외운 것'!C2:C271,0,1),0),"3차")</f>
        <v>3차</v>
      </c>
      <c r="K628" t="str" s="11" cm="1">
        <f t="array" ref="K628">IF(P628&lt;&gt;0,IF(N628&gt;=3,_xlfn.XLOOKUP(A628,'외운 것'!A2:A271,'외운 것'!C2:C271,0,1),0),"1차")</f>
        <v>1차</v>
      </c>
      <c r="L628" t="str" s="11" cm="1">
        <f t="array" ref="L628">IF(Q628&lt;&gt;0,IF(N628&gt;=3,_xlfn.XLOOKUP(A628,'외운 것'!A2:A271,'외운 것'!C2:C271,0,1),0),"2차")</f>
        <v>2차</v>
      </c>
      <c r="M628" t="str" s="11" cm="1">
        <f t="array" ref="M628">IF(R628&lt;&gt;0,IF(O628&gt;=3,_xlfn.XLOOKUP(B628,'외운 것'!B2:B271,'외운 것'!D2:D271,0,1),0),"3차")</f>
        <v>3차</v>
      </c>
      <c r="N628" s="8">
        <v>3</v>
      </c>
      <c r="O628" s="8">
        <v>3</v>
      </c>
      <c r="P628" s="8">
        <v>0</v>
      </c>
      <c r="Q628" s="8">
        <v>0</v>
      </c>
      <c r="R628" s="8">
        <v>0</v>
      </c>
    </row>
    <row r="629" ht="16" customHeight="1">
      <c r="A629" s="8">
        <v>628</v>
      </c>
      <c r="B629" s="8">
        <v>30</v>
      </c>
      <c r="C629" t="s" s="9">
        <v>1848</v>
      </c>
      <c r="D629" t="s" s="9">
        <v>1848</v>
      </c>
      <c r="E629" t="s" s="9">
        <v>1930</v>
      </c>
      <c r="F629" t="s" s="9">
        <v>1931</v>
      </c>
      <c r="G629" t="s" s="9">
        <v>1932</v>
      </c>
      <c r="H629" s="8" cm="1">
        <f t="array" ref="H629">MIN(SUMIF('외운 것'!A2:A271,A629,'외운 것'!D2:D271)+IF(R629=0,3,IF(R629=1,2,0)),3)</f>
        <v>0</v>
      </c>
      <c r="I629" s="8" cm="1">
        <f t="array" ref="I629">_xlfn.COUNTIFS('외운 것'!A2:A271,A629,'외운 것'!D2:D271,0)</f>
        <v>0</v>
      </c>
      <c r="J629" s="19" cm="1">
        <f t="array" ref="J629">IF(R629&lt;&gt;0,IF(H629&gt;=3,_xlfn.XLOOKUP(A629,'외운 것'!A2:A271,'외운 것'!C2:C271,0,1),0),"3차")</f>
        <v>0</v>
      </c>
      <c r="K629" s="8" cm="1">
        <f t="array" ref="K629">IF(P629&lt;&gt;0,IF(N629&gt;=3,_xlfn.XLOOKUP(A629,'외운 것'!A2:A271,'외운 것'!C2:C271,0,1),0),"1차")</f>
        <v>0</v>
      </c>
      <c r="L629" s="8" cm="1">
        <f t="array" ref="L629">IF(Q629&lt;&gt;0,IF(N629&gt;=3,_xlfn.XLOOKUP(A629,'외운 것'!A2:A271,'외운 것'!C2:C271,0,1),0),"2차")</f>
        <v>0</v>
      </c>
      <c r="M629" s="8" cm="1">
        <f t="array" ref="M629">IF(R629&lt;&gt;0,IF(O629&gt;=3,_xlfn.XLOOKUP(B629,'외운 것'!B2:B271,'외운 것'!D2:D271,0,1),0),"3차")</f>
        <v>0</v>
      </c>
      <c r="N629" s="8">
        <v>0</v>
      </c>
      <c r="O629" s="8">
        <v>3</v>
      </c>
      <c r="P629" s="8">
        <v>7</v>
      </c>
      <c r="Q629" s="8">
        <v>3</v>
      </c>
      <c r="R629" s="8">
        <v>4</v>
      </c>
    </row>
    <row r="630" ht="16" customHeight="1">
      <c r="A630" s="8">
        <v>629</v>
      </c>
      <c r="B630" s="8">
        <v>31</v>
      </c>
      <c r="C630" t="s" s="9">
        <v>1848</v>
      </c>
      <c r="D630" t="s" s="9">
        <v>1848</v>
      </c>
      <c r="E630" t="s" s="9">
        <v>1933</v>
      </c>
      <c r="F630" t="s" s="9">
        <v>1934</v>
      </c>
      <c r="G630" t="s" s="9">
        <v>1935</v>
      </c>
      <c r="H630" s="8" cm="1">
        <f t="array" ref="H630">MIN(SUMIF('외운 것'!A2:A271,A630,'외운 것'!D2:D271)+IF(R630=0,3,IF(R630=1,2,0)),3)</f>
        <v>3</v>
      </c>
      <c r="I630" s="8" cm="1">
        <f t="array" ref="I630">_xlfn.COUNTIFS('외운 것'!A2:A271,A630,'외운 것'!D2:D271,0)</f>
        <v>0</v>
      </c>
      <c r="J630" t="str" s="10" cm="1">
        <f t="array" ref="J630">IF(R630&lt;&gt;0,IF(H630&gt;=3,_xlfn.XLOOKUP(A630,'외운 것'!A2:A271,'외운 것'!C2:C271,0,1),0),"3차")</f>
        <v>3차</v>
      </c>
      <c r="K630" s="8" cm="1">
        <f t="array" ref="K630">IF(P630&lt;&gt;0,IF(N630&gt;=3,_xlfn.XLOOKUP(A630,'외운 것'!A2:A271,'외운 것'!C2:C271,0,1),0),"1차")</f>
        <v>0</v>
      </c>
      <c r="L630" s="8" cm="1">
        <f t="array" ref="L630">IF(Q630&lt;&gt;0,IF(N630&gt;=3,_xlfn.XLOOKUP(A630,'외운 것'!A2:A271,'외운 것'!C2:C271,0,1),0),"2차")</f>
        <v>0</v>
      </c>
      <c r="M630" t="str" s="11" cm="1">
        <f t="array" ref="M630">IF(R630&lt;&gt;0,IF(O630&gt;=3,_xlfn.XLOOKUP(B630,'외운 것'!B2:B271,'외운 것'!D2:D271,0,1),0),"3차")</f>
        <v>3차</v>
      </c>
      <c r="N630" s="8">
        <v>0</v>
      </c>
      <c r="O630" s="8">
        <v>3</v>
      </c>
      <c r="P630" s="8">
        <v>5</v>
      </c>
      <c r="Q630" s="8">
        <v>2</v>
      </c>
      <c r="R630" s="8">
        <v>0</v>
      </c>
    </row>
    <row r="631" ht="16" customHeight="1">
      <c r="A631" s="8">
        <v>630</v>
      </c>
      <c r="B631" s="8">
        <v>32</v>
      </c>
      <c r="C631" t="s" s="9">
        <v>1848</v>
      </c>
      <c r="D631" t="s" s="9">
        <v>1848</v>
      </c>
      <c r="E631" t="s" s="9">
        <v>1936</v>
      </c>
      <c r="F631" t="s" s="9">
        <v>1937</v>
      </c>
      <c r="G631" t="s" s="9">
        <v>1938</v>
      </c>
      <c r="H631" s="8" cm="1">
        <f t="array" ref="H631">MIN(SUMIF('외운 것'!A2:A271,A631,'외운 것'!D2:D271)+IF(R631=0,3,IF(R631=1,2,0)),3)</f>
        <v>2</v>
      </c>
      <c r="I631" s="8" cm="1">
        <f t="array" ref="I631">_xlfn.COUNTIFS('외운 것'!A2:A271,A631,'외운 것'!D2:D271,0)</f>
        <v>0</v>
      </c>
      <c r="J631" s="19" cm="1">
        <f t="array" ref="J631">IF(R631&lt;&gt;0,IF(H631&gt;=3,_xlfn.XLOOKUP(A631,'외운 것'!A2:A271,'외운 것'!C2:C271,0,1),0),"3차")</f>
        <v>0</v>
      </c>
      <c r="K631" s="8" cm="1">
        <f t="array" ref="K631">IF(P631&lt;&gt;0,IF(N631&gt;=3,_xlfn.XLOOKUP(A631,'외운 것'!A2:A271,'외운 것'!C2:C271,0,1),0),"1차")</f>
        <v>0</v>
      </c>
      <c r="L631" s="8" cm="1">
        <f t="array" ref="L631">IF(Q631&lt;&gt;0,IF(N631&gt;=3,_xlfn.XLOOKUP(A631,'외운 것'!A2:A271,'외운 것'!C2:C271,0,1),0),"2차")</f>
        <v>0</v>
      </c>
      <c r="M631" s="8" cm="1">
        <f t="array" ref="M631">IF(R631&lt;&gt;0,IF(O631&gt;=3,_xlfn.XLOOKUP(B631,'외운 것'!B2:B271,'외운 것'!D2:D271,0,1),0),"3차")</f>
        <v>0</v>
      </c>
      <c r="N631" s="8">
        <v>0</v>
      </c>
      <c r="O631" s="8">
        <v>3</v>
      </c>
      <c r="P631" s="8">
        <v>3</v>
      </c>
      <c r="Q631" s="8">
        <v>1</v>
      </c>
      <c r="R631" s="8">
        <v>1</v>
      </c>
    </row>
    <row r="632" ht="16" customHeight="1">
      <c r="A632" s="8">
        <v>631</v>
      </c>
      <c r="B632" s="8">
        <v>1</v>
      </c>
      <c r="C632" t="s" s="9">
        <v>1939</v>
      </c>
      <c r="D632" t="s" s="9">
        <v>127</v>
      </c>
      <c r="E632" t="s" s="9">
        <v>1940</v>
      </c>
      <c r="F632" t="s" s="9">
        <v>1941</v>
      </c>
      <c r="G632" t="s" s="9">
        <v>1942</v>
      </c>
      <c r="H632" s="8" cm="1">
        <f t="array" ref="H632">MIN(SUMIF('외운 것'!A2:A271,A632,'외운 것'!D2:D271)+IF(R632=0,3,IF(R632=1,2,0)),3)</f>
        <v>3</v>
      </c>
      <c r="I632" s="8" cm="1">
        <f t="array" ref="I632">_xlfn.COUNTIFS('외운 것'!A2:A271,A632,'외운 것'!D2:D271,0)</f>
        <v>0</v>
      </c>
      <c r="J632" t="str" s="10" cm="1">
        <f t="array" ref="J632">IF(R632&lt;&gt;0,IF(H632&gt;=3,_xlfn.XLOOKUP(A632,'외운 것'!A2:A271,'외운 것'!C2:C271,0,1),0),"3차")</f>
        <v>3차</v>
      </c>
      <c r="K632" s="8" cm="1">
        <f t="array" ref="K632">IF(P632&lt;&gt;0,IF(N632&gt;=3,_xlfn.XLOOKUP(A632,'외운 것'!A2:A271,'외운 것'!C2:C271,0,1),0),"1차")</f>
        <v>0</v>
      </c>
      <c r="L632" t="str" s="11" cm="1">
        <f t="array" ref="L632">IF(Q632&lt;&gt;0,IF(N632&gt;=3,_xlfn.XLOOKUP(A632,'외운 것'!A2:A271,'외운 것'!C2:C271,0,1),0),"2차")</f>
        <v>2차</v>
      </c>
      <c r="M632" t="str" s="11" cm="1">
        <f t="array" ref="M632">IF(R632&lt;&gt;0,IF(O632&gt;=3,_xlfn.XLOOKUP(B632,'외운 것'!B2:B271,'외운 것'!D2:D271,0,1),0),"3차")</f>
        <v>3차</v>
      </c>
      <c r="N632" s="8">
        <v>2</v>
      </c>
      <c r="O632" s="8">
        <v>3</v>
      </c>
      <c r="P632" s="8">
        <v>1</v>
      </c>
      <c r="Q632" s="8">
        <v>0</v>
      </c>
      <c r="R632" s="8">
        <v>0</v>
      </c>
    </row>
    <row r="633" ht="16" customHeight="1">
      <c r="A633" s="8">
        <v>632</v>
      </c>
      <c r="B633" s="8">
        <v>2</v>
      </c>
      <c r="C633" t="s" s="9">
        <v>1939</v>
      </c>
      <c r="D633" t="s" s="9">
        <v>127</v>
      </c>
      <c r="E633" t="s" s="9">
        <v>1943</v>
      </c>
      <c r="F633" t="s" s="9">
        <v>1944</v>
      </c>
      <c r="G633" t="s" s="9">
        <v>1945</v>
      </c>
      <c r="H633" s="8" cm="1">
        <f t="array" ref="H633">MIN(SUMIF('외운 것'!A2:A271,A633,'외운 것'!D2:D271)+IF(R633=0,3,IF(R633=1,2,0)),3)</f>
        <v>2</v>
      </c>
      <c r="I633" s="8" cm="1">
        <f t="array" ref="I633">_xlfn.COUNTIFS('외운 것'!A2:A271,A633,'외운 것'!D2:D271,0)</f>
        <v>0</v>
      </c>
      <c r="J633" s="19" cm="1">
        <f t="array" ref="J633">IF(R633&lt;&gt;0,IF(H633&gt;=3,_xlfn.XLOOKUP(A633,'외운 것'!A2:A271,'외운 것'!C2:C271,0,1),0),"3차")</f>
        <v>0</v>
      </c>
      <c r="K633" s="8" cm="1">
        <f t="array" ref="K633">IF(P633&lt;&gt;0,IF(N633&gt;=3,_xlfn.XLOOKUP(A633,'외운 것'!A2:A271,'외운 것'!C2:C271,0,1),0),"1차")</f>
        <v>0</v>
      </c>
      <c r="L633" s="8" cm="1">
        <f t="array" ref="L633">IF(Q633&lt;&gt;0,IF(N633&gt;=3,_xlfn.XLOOKUP(A633,'외운 것'!A2:A271,'외운 것'!C2:C271,0,1),0),"2차")</f>
        <v>0</v>
      </c>
      <c r="M633" s="8" cm="1">
        <f t="array" ref="M633">IF(R633&lt;&gt;0,IF(O633&gt;=3,_xlfn.XLOOKUP(B633,'외운 것'!B2:B271,'외운 것'!D2:D271,0,1),0),"3차")</f>
        <v>0</v>
      </c>
      <c r="N633" s="8">
        <v>0</v>
      </c>
      <c r="O633" s="8">
        <v>3</v>
      </c>
      <c r="P633" s="8">
        <v>3</v>
      </c>
      <c r="Q633" s="8">
        <v>1</v>
      </c>
      <c r="R633" s="8">
        <v>1</v>
      </c>
    </row>
    <row r="634" ht="16" customHeight="1">
      <c r="A634" s="8">
        <v>633</v>
      </c>
      <c r="B634" s="8">
        <v>3</v>
      </c>
      <c r="C634" t="s" s="9">
        <v>1939</v>
      </c>
      <c r="D634" t="s" s="9">
        <v>127</v>
      </c>
      <c r="E634" t="s" s="9">
        <v>1946</v>
      </c>
      <c r="F634" t="s" s="9">
        <v>1947</v>
      </c>
      <c r="G634" t="s" s="9">
        <v>1948</v>
      </c>
      <c r="H634" s="8" cm="1">
        <f t="array" ref="H634">MIN(SUMIF('외운 것'!A2:A271,A634,'외운 것'!D2:D271)+IF(R634=0,3,IF(R634=1,2,0)),3)</f>
        <v>2</v>
      </c>
      <c r="I634" s="8" cm="1">
        <f t="array" ref="I634">_xlfn.COUNTIFS('외운 것'!A2:A271,A634,'외운 것'!D2:D271,0)</f>
        <v>0</v>
      </c>
      <c r="J634" s="19" cm="1">
        <f t="array" ref="J634">IF(R634&lt;&gt;0,IF(H634&gt;=3,_xlfn.XLOOKUP(A634,'외운 것'!A2:A271,'외운 것'!C2:C271,0,1),0),"3차")</f>
        <v>0</v>
      </c>
      <c r="K634" s="8" cm="1">
        <f t="array" ref="K634">IF(P634&lt;&gt;0,IF(N634&gt;=3,_xlfn.XLOOKUP(A634,'외운 것'!A2:A271,'외운 것'!C2:C271,0,1),0),"1차")</f>
        <v>0</v>
      </c>
      <c r="L634" s="8" cm="1">
        <f t="array" ref="L634">IF(Q634&lt;&gt;0,IF(N634&gt;=3,_xlfn.XLOOKUP(A634,'외운 것'!A2:A271,'외운 것'!C2:C271,0,1),0),"2차")</f>
        <v>0</v>
      </c>
      <c r="M634" s="8" cm="1">
        <f t="array" ref="M634">IF(R634&lt;&gt;0,IF(O634&gt;=3,_xlfn.XLOOKUP(B634,'외운 것'!B2:B271,'외운 것'!D2:D271,0,1),0),"3차")</f>
        <v>0</v>
      </c>
      <c r="N634" s="8">
        <v>2</v>
      </c>
      <c r="O634" s="8">
        <v>3</v>
      </c>
      <c r="P634" s="8">
        <v>1</v>
      </c>
      <c r="Q634" s="8">
        <v>1</v>
      </c>
      <c r="R634" s="8">
        <v>1</v>
      </c>
    </row>
    <row r="635" ht="16" customHeight="1">
      <c r="A635" s="8">
        <v>634</v>
      </c>
      <c r="B635" s="8">
        <v>4</v>
      </c>
      <c r="C635" t="s" s="9">
        <v>1939</v>
      </c>
      <c r="D635" t="s" s="9">
        <v>127</v>
      </c>
      <c r="E635" t="s" s="9">
        <v>1949</v>
      </c>
      <c r="F635" t="s" s="9">
        <v>1950</v>
      </c>
      <c r="G635" t="s" s="9">
        <v>1951</v>
      </c>
      <c r="H635" s="8" cm="1">
        <f t="array" ref="H635">MIN(SUMIF('외운 것'!A2:A271,A635,'외운 것'!D2:D271)+IF(R635=0,3,IF(R635=1,2,0)),3)</f>
        <v>3</v>
      </c>
      <c r="I635" s="8" cm="1">
        <f t="array" ref="I635">_xlfn.COUNTIFS('외운 것'!A2:A271,A635,'외운 것'!D2:D271,0)</f>
        <v>0</v>
      </c>
      <c r="J635" t="str" s="10" cm="1">
        <f t="array" ref="J635">IF(R635&lt;&gt;0,IF(H635&gt;=3,_xlfn.XLOOKUP(A635,'외운 것'!A2:A271,'외운 것'!C2:C271,0,1),0),"3차")</f>
        <v>3차</v>
      </c>
      <c r="K635" t="str" s="11" cm="1">
        <f t="array" ref="K635">IF(P635&lt;&gt;0,IF(N635&gt;=3,_xlfn.XLOOKUP(A635,'외운 것'!A2:A271,'외운 것'!C2:C271,0,1),0),"1차")</f>
        <v>1차</v>
      </c>
      <c r="L635" t="str" s="11" cm="1">
        <f t="array" ref="L635">IF(Q635&lt;&gt;0,IF(N635&gt;=3,_xlfn.XLOOKUP(A635,'외운 것'!A2:A271,'외운 것'!C2:C271,0,1),0),"2차")</f>
        <v>2차</v>
      </c>
      <c r="M635" t="str" s="11" cm="1">
        <f t="array" ref="M635">IF(R635&lt;&gt;0,IF(O635&gt;=3,_xlfn.XLOOKUP(B635,'외운 것'!B2:B271,'외운 것'!D2:D271,0,1),0),"3차")</f>
        <v>3차</v>
      </c>
      <c r="N635" s="8">
        <v>3</v>
      </c>
      <c r="O635" s="8">
        <v>3</v>
      </c>
      <c r="P635" s="8">
        <v>0</v>
      </c>
      <c r="Q635" s="8">
        <v>0</v>
      </c>
      <c r="R635" s="8">
        <v>0</v>
      </c>
    </row>
    <row r="636" ht="16" customHeight="1">
      <c r="A636" s="8">
        <v>635</v>
      </c>
      <c r="B636" s="8">
        <v>5</v>
      </c>
      <c r="C636" t="s" s="9">
        <v>1939</v>
      </c>
      <c r="D636" t="s" s="9">
        <v>127</v>
      </c>
      <c r="E636" t="s" s="9">
        <v>1952</v>
      </c>
      <c r="F636" t="s" s="9">
        <v>1953</v>
      </c>
      <c r="G636" t="s" s="9">
        <v>1954</v>
      </c>
      <c r="H636" s="8" cm="1">
        <f t="array" ref="H636">MIN(SUMIF('외운 것'!A2:A271,A636,'외운 것'!D2:D271)+IF(R636=0,3,IF(R636=1,2,0)),3)</f>
        <v>3</v>
      </c>
      <c r="I636" s="8" cm="1">
        <f t="array" ref="I636">_xlfn.COUNTIFS('외운 것'!A2:A271,A636,'외운 것'!D2:D271,0)</f>
        <v>0</v>
      </c>
      <c r="J636" t="str" s="10" cm="1">
        <f t="array" ref="J636">IF(R636&lt;&gt;0,IF(H636&gt;=3,_xlfn.XLOOKUP(A636,'외운 것'!A2:A271,'외운 것'!C2:C271,0,1),0),"3차")</f>
        <v>3차</v>
      </c>
      <c r="K636" s="8" cm="1">
        <f t="array" ref="K636">IF(P636&lt;&gt;0,IF(N636&gt;=3,_xlfn.XLOOKUP(A636,'외운 것'!A2:A271,'외운 것'!C2:C271,0,1),0),"1차")</f>
        <v>0</v>
      </c>
      <c r="L636" t="str" s="11" cm="1">
        <f t="array" ref="L636">IF(Q636&lt;&gt;0,IF(N636&gt;=3,_xlfn.XLOOKUP(A636,'외운 것'!A2:A271,'외운 것'!C2:C271,0,1),0),"2차")</f>
        <v>2차</v>
      </c>
      <c r="M636" t="str" s="11" cm="1">
        <f t="array" ref="M636">IF(R636&lt;&gt;0,IF(O636&gt;=3,_xlfn.XLOOKUP(B636,'외운 것'!B2:B271,'외운 것'!D2:D271,0,1),0),"3차")</f>
        <v>3차</v>
      </c>
      <c r="N636" s="8">
        <v>2</v>
      </c>
      <c r="O636" s="8">
        <v>3</v>
      </c>
      <c r="P636" s="8">
        <v>1</v>
      </c>
      <c r="Q636" s="8">
        <v>0</v>
      </c>
      <c r="R636" s="8">
        <v>0</v>
      </c>
    </row>
    <row r="637" ht="16" customHeight="1">
      <c r="A637" s="8">
        <v>636</v>
      </c>
      <c r="B637" s="8">
        <v>6</v>
      </c>
      <c r="C637" t="s" s="9">
        <v>1939</v>
      </c>
      <c r="D637" t="s" s="9">
        <v>127</v>
      </c>
      <c r="E637" t="s" s="9">
        <v>1955</v>
      </c>
      <c r="F637" t="s" s="9">
        <v>1956</v>
      </c>
      <c r="G637" t="s" s="9">
        <v>1957</v>
      </c>
      <c r="H637" s="8" cm="1">
        <f t="array" ref="H637">MIN(SUMIF('외운 것'!A2:A271,A637,'외운 것'!D2:D271)+IF(R637=0,3,IF(R637=1,2,0)),3)</f>
        <v>2</v>
      </c>
      <c r="I637" s="8" cm="1">
        <f t="array" ref="I637">_xlfn.COUNTIFS('외운 것'!A2:A271,A637,'외운 것'!D2:D271,0)</f>
        <v>0</v>
      </c>
      <c r="J637" s="19" cm="1">
        <f t="array" ref="J637">IF(R637&lt;&gt;0,IF(H637&gt;=3,_xlfn.XLOOKUP(A637,'외운 것'!A2:A271,'외운 것'!C2:C271,0,1),0),"3차")</f>
        <v>0</v>
      </c>
      <c r="K637" s="8" cm="1">
        <f t="array" ref="K637">IF(P637&lt;&gt;0,IF(N637&gt;=3,_xlfn.XLOOKUP(A637,'외운 것'!A2:A271,'외운 것'!C2:C271,0,1),0),"1차")</f>
        <v>0</v>
      </c>
      <c r="L637" s="8" cm="1">
        <f t="array" ref="L637">IF(Q637&lt;&gt;0,IF(N637&gt;=3,_xlfn.XLOOKUP(A637,'외운 것'!A2:A271,'외운 것'!C2:C271,0,1),0),"2차")</f>
        <v>0</v>
      </c>
      <c r="M637" s="8" cm="1">
        <f t="array" ref="M637">IF(R637&lt;&gt;0,IF(O637&gt;=3,_xlfn.XLOOKUP(B637,'외운 것'!B2:B271,'외운 것'!D2:D271,0,1),0),"3차")</f>
        <v>0</v>
      </c>
      <c r="N637" s="8">
        <v>2</v>
      </c>
      <c r="O637" s="8">
        <v>3</v>
      </c>
      <c r="P637" s="8">
        <v>1</v>
      </c>
      <c r="Q637" s="8">
        <v>1</v>
      </c>
      <c r="R637" s="8">
        <v>1</v>
      </c>
    </row>
    <row r="638" ht="16" customHeight="1">
      <c r="A638" s="8">
        <v>637</v>
      </c>
      <c r="B638" s="8">
        <v>7</v>
      </c>
      <c r="C638" t="s" s="9">
        <v>1939</v>
      </c>
      <c r="D638" t="s" s="9">
        <v>127</v>
      </c>
      <c r="E638" t="s" s="9">
        <v>1958</v>
      </c>
      <c r="F638" t="s" s="9">
        <v>1959</v>
      </c>
      <c r="G638" t="s" s="9">
        <v>1960</v>
      </c>
      <c r="H638" s="8" cm="1">
        <f t="array" ref="H638">MIN(SUMIF('외운 것'!A2:A271,A638,'외운 것'!D2:D271)+IF(R638=0,3,IF(R638=1,2,0)),3)</f>
        <v>3</v>
      </c>
      <c r="I638" s="8" cm="1">
        <f t="array" ref="I638">_xlfn.COUNTIFS('외운 것'!A2:A271,A638,'외운 것'!D2:D271,0)</f>
        <v>0</v>
      </c>
      <c r="J638" t="str" s="10" cm="1">
        <f t="array" ref="J638">IF(R638&lt;&gt;0,IF(H638&gt;=3,_xlfn.XLOOKUP(A638,'외운 것'!A2:A271,'외운 것'!C2:C271,0,1),0),"3차")</f>
        <v>3차</v>
      </c>
      <c r="K638" t="str" s="11" cm="1">
        <f t="array" ref="K638">IF(P638&lt;&gt;0,IF(N638&gt;=3,_xlfn.XLOOKUP(A638,'외운 것'!A2:A271,'외운 것'!C2:C271,0,1),0),"1차")</f>
        <v>1차</v>
      </c>
      <c r="L638" t="str" s="11" cm="1">
        <f t="array" ref="L638">IF(Q638&lt;&gt;0,IF(N638&gt;=3,_xlfn.XLOOKUP(A638,'외운 것'!A2:A271,'외운 것'!C2:C271,0,1),0),"2차")</f>
        <v>2차</v>
      </c>
      <c r="M638" t="str" s="11" cm="1">
        <f t="array" ref="M638">IF(R638&lt;&gt;0,IF(O638&gt;=3,_xlfn.XLOOKUP(B638,'외운 것'!B2:B271,'외운 것'!D2:D271,0,1),0),"3차")</f>
        <v>3차</v>
      </c>
      <c r="N638" s="8">
        <v>3</v>
      </c>
      <c r="O638" s="8">
        <v>3</v>
      </c>
      <c r="P638" s="8">
        <v>0</v>
      </c>
      <c r="Q638" s="8">
        <v>0</v>
      </c>
      <c r="R638" s="8">
        <v>0</v>
      </c>
    </row>
    <row r="639" ht="16" customHeight="1">
      <c r="A639" s="8">
        <v>638</v>
      </c>
      <c r="B639" s="8">
        <v>8</v>
      </c>
      <c r="C639" t="s" s="9">
        <v>1939</v>
      </c>
      <c r="D639" t="s" s="9">
        <v>127</v>
      </c>
      <c r="E639" t="s" s="9">
        <v>1961</v>
      </c>
      <c r="F639" t="s" s="9">
        <v>1962</v>
      </c>
      <c r="G639" t="s" s="9">
        <v>1963</v>
      </c>
      <c r="H639" s="8" cm="1">
        <f t="array" ref="H639">MIN(SUMIF('외운 것'!A2:A271,A639,'외운 것'!D2:D271)+IF(R639=0,3,IF(R639=1,2,0)),3)</f>
        <v>0</v>
      </c>
      <c r="I639" s="8" cm="1">
        <f t="array" ref="I639">_xlfn.COUNTIFS('외운 것'!A2:A271,A639,'외운 것'!D2:D271,0)</f>
        <v>0</v>
      </c>
      <c r="J639" s="19" cm="1">
        <f t="array" ref="J639">IF(R639&lt;&gt;0,IF(H639&gt;=3,_xlfn.XLOOKUP(A639,'외운 것'!A2:A271,'외운 것'!C2:C271,0,1),0),"3차")</f>
        <v>0</v>
      </c>
      <c r="K639" s="8" cm="1">
        <f t="array" ref="K639">IF(P639&lt;&gt;0,IF(N639&gt;=3,_xlfn.XLOOKUP(A639,'외운 것'!A2:A271,'외운 것'!C2:C271,0,1),0),"1차")</f>
        <v>0</v>
      </c>
      <c r="L639" s="8" cm="1">
        <f t="array" ref="L639">IF(Q639&lt;&gt;0,IF(N639&gt;=3,_xlfn.XLOOKUP(A639,'외운 것'!A2:A271,'외운 것'!C2:C271,0,1),0),"2차")</f>
        <v>0</v>
      </c>
      <c r="M639" s="8" cm="1">
        <f t="array" ref="M639">IF(R639&lt;&gt;0,IF(O639&gt;=3,_xlfn.XLOOKUP(B639,'외운 것'!B2:B271,'외운 것'!D2:D271,0,1),0),"3차")</f>
        <v>0</v>
      </c>
      <c r="N639" s="8">
        <v>0</v>
      </c>
      <c r="O639" s="8">
        <v>3</v>
      </c>
      <c r="P639" s="8">
        <v>3</v>
      </c>
      <c r="Q639" s="8">
        <v>1</v>
      </c>
      <c r="R639" s="8">
        <v>5</v>
      </c>
    </row>
    <row r="640" ht="16" customHeight="1">
      <c r="A640" s="8">
        <v>639</v>
      </c>
      <c r="B640" s="8">
        <v>9</v>
      </c>
      <c r="C640" t="s" s="9">
        <v>1939</v>
      </c>
      <c r="D640" t="s" s="9">
        <v>127</v>
      </c>
      <c r="E640" t="s" s="9">
        <v>1964</v>
      </c>
      <c r="F640" t="s" s="9">
        <v>1965</v>
      </c>
      <c r="G640" t="s" s="9">
        <v>1966</v>
      </c>
      <c r="H640" s="8" cm="1">
        <f t="array" ref="H640">MIN(SUMIF('외운 것'!A2:A271,A640,'외운 것'!D2:D271)+IF(R640=0,3,IF(R640=1,2,0)),3)</f>
        <v>3</v>
      </c>
      <c r="I640" s="8" cm="1">
        <f t="array" ref="I640">_xlfn.COUNTIFS('외운 것'!A2:A271,A640,'외운 것'!D2:D271,0)</f>
        <v>0</v>
      </c>
      <c r="J640" t="str" s="10" cm="1">
        <f t="array" ref="J640">IF(R640&lt;&gt;0,IF(H640&gt;=3,_xlfn.XLOOKUP(A640,'외운 것'!A2:A271,'외운 것'!C2:C271,0,1),0),"3차")</f>
        <v>3차</v>
      </c>
      <c r="K640" s="8" cm="1">
        <f t="array" ref="K640">IF(P640&lt;&gt;0,IF(N640&gt;=3,_xlfn.XLOOKUP(A640,'외운 것'!A2:A271,'외운 것'!C2:C271,0,1),0),"1차")</f>
        <v>0</v>
      </c>
      <c r="L640" t="str" s="11" cm="1">
        <f t="array" ref="L640">IF(Q640&lt;&gt;0,IF(N640&gt;=3,_xlfn.XLOOKUP(A640,'외운 것'!A2:A271,'외운 것'!C2:C271,0,1),0),"2차")</f>
        <v>2차</v>
      </c>
      <c r="M640" t="str" s="11" cm="1">
        <f t="array" ref="M640">IF(R640&lt;&gt;0,IF(O640&gt;=3,_xlfn.XLOOKUP(B640,'외운 것'!B2:B271,'외운 것'!D2:D271,0,1),0),"3차")</f>
        <v>3차</v>
      </c>
      <c r="N640" s="8">
        <v>2</v>
      </c>
      <c r="O640" s="8">
        <v>3</v>
      </c>
      <c r="P640" s="8">
        <v>1</v>
      </c>
      <c r="Q640" s="8">
        <v>0</v>
      </c>
      <c r="R640" s="8">
        <v>0</v>
      </c>
    </row>
    <row r="641" ht="16" customHeight="1">
      <c r="A641" s="8">
        <v>640</v>
      </c>
      <c r="B641" s="8">
        <v>10</v>
      </c>
      <c r="C641" t="s" s="9">
        <v>1939</v>
      </c>
      <c r="D641" t="s" s="9">
        <v>127</v>
      </c>
      <c r="E641" t="s" s="9">
        <v>1967</v>
      </c>
      <c r="F641" t="s" s="9">
        <v>1968</v>
      </c>
      <c r="G641" t="s" s="9">
        <v>1969</v>
      </c>
      <c r="H641" s="8" cm="1">
        <f t="array" ref="H641">MIN(SUMIF('외운 것'!A2:A271,A641,'외운 것'!D2:D271)+IF(R641=0,3,IF(R641=1,2,0)),3)</f>
        <v>3</v>
      </c>
      <c r="I641" s="8" cm="1">
        <f t="array" ref="I641">_xlfn.COUNTIFS('외운 것'!A2:A271,A641,'외운 것'!D2:D271,0)</f>
        <v>0</v>
      </c>
      <c r="J641" t="str" s="10" cm="1">
        <f t="array" ref="J641">IF(R641&lt;&gt;0,IF(H641&gt;=3,_xlfn.XLOOKUP(A641,'외운 것'!A2:A271,'외운 것'!C2:C271,0,1),0),"3차")</f>
        <v>3차</v>
      </c>
      <c r="K641" s="8" cm="1">
        <f t="array" ref="K641">IF(P641&lt;&gt;0,IF(N641&gt;=3,_xlfn.XLOOKUP(A641,'외운 것'!A2:A271,'외운 것'!C2:C271,0,1),0),"1차")</f>
        <v>0</v>
      </c>
      <c r="L641" t="str" s="11" cm="1">
        <f t="array" ref="L641">IF(Q641&lt;&gt;0,IF(N641&gt;=3,_xlfn.XLOOKUP(A641,'외운 것'!A2:A271,'외운 것'!C2:C271,0,1),0),"2차")</f>
        <v>2차</v>
      </c>
      <c r="M641" t="str" s="11" cm="1">
        <f t="array" ref="M641">IF(R641&lt;&gt;0,IF(O641&gt;=3,_xlfn.XLOOKUP(B641,'외운 것'!B2:B271,'외운 것'!D2:D271,0,1),0),"3차")</f>
        <v>3차</v>
      </c>
      <c r="N641" s="8">
        <v>2</v>
      </c>
      <c r="O641" s="8">
        <v>3</v>
      </c>
      <c r="P641" s="8">
        <v>1</v>
      </c>
      <c r="Q641" s="8">
        <v>0</v>
      </c>
      <c r="R641" s="8">
        <v>0</v>
      </c>
    </row>
    <row r="642" ht="16" customHeight="1">
      <c r="A642" s="8">
        <v>641</v>
      </c>
      <c r="B642" s="8">
        <v>11</v>
      </c>
      <c r="C642" t="s" s="9">
        <v>1939</v>
      </c>
      <c r="D642" t="s" s="9">
        <v>127</v>
      </c>
      <c r="E642" t="s" s="9">
        <v>1970</v>
      </c>
      <c r="F642" t="s" s="9">
        <v>1971</v>
      </c>
      <c r="G642" t="s" s="9">
        <v>1972</v>
      </c>
      <c r="H642" s="8" cm="1">
        <f t="array" ref="H642">MIN(SUMIF('외운 것'!A2:A271,A642,'외운 것'!D2:D271)+IF(R642=0,3,IF(R642=1,2,0)),3)</f>
        <v>3</v>
      </c>
      <c r="I642" s="8" cm="1">
        <f t="array" ref="I642">_xlfn.COUNTIFS('외운 것'!A2:A271,A642,'외운 것'!D2:D271,0)</f>
        <v>0</v>
      </c>
      <c r="J642" t="str" s="10" cm="1">
        <f t="array" ref="J642">IF(R642&lt;&gt;0,IF(H642&gt;=3,_xlfn.XLOOKUP(A642,'외운 것'!A2:A271,'외운 것'!C2:C271,0,1),0),"3차")</f>
        <v>3차</v>
      </c>
      <c r="K642" t="str" s="11" cm="1">
        <f t="array" ref="K642">IF(P642&lt;&gt;0,IF(N642&gt;=3,_xlfn.XLOOKUP(A642,'외운 것'!A2:A271,'외운 것'!C2:C271,0,1),0),"1차")</f>
        <v>1차</v>
      </c>
      <c r="L642" t="str" s="11" cm="1">
        <f t="array" ref="L642">IF(Q642&lt;&gt;0,IF(N642&gt;=3,_xlfn.XLOOKUP(A642,'외운 것'!A2:A271,'외운 것'!C2:C271,0,1),0),"2차")</f>
        <v>2차</v>
      </c>
      <c r="M642" t="str" s="11" cm="1">
        <f t="array" ref="M642">IF(R642&lt;&gt;0,IF(O642&gt;=3,_xlfn.XLOOKUP(B642,'외운 것'!B2:B271,'외운 것'!D2:D271,0,1),0),"3차")</f>
        <v>3차</v>
      </c>
      <c r="N642" s="8">
        <v>3</v>
      </c>
      <c r="O642" s="8">
        <v>3</v>
      </c>
      <c r="P642" s="8">
        <v>0</v>
      </c>
      <c r="Q642" s="8">
        <v>0</v>
      </c>
      <c r="R642" s="8">
        <v>0</v>
      </c>
    </row>
    <row r="643" ht="16" customHeight="1">
      <c r="A643" s="8">
        <v>642</v>
      </c>
      <c r="B643" s="8">
        <v>12</v>
      </c>
      <c r="C643" t="s" s="9">
        <v>1939</v>
      </c>
      <c r="D643" t="s" s="9">
        <v>127</v>
      </c>
      <c r="E643" t="s" s="9">
        <v>1973</v>
      </c>
      <c r="F643" t="s" s="9">
        <v>1974</v>
      </c>
      <c r="G643" t="s" s="9">
        <v>1975</v>
      </c>
      <c r="H643" s="8" cm="1">
        <f t="array" ref="H643">MIN(SUMIF('외운 것'!A2:A271,A643,'외운 것'!D2:D271)+IF(R643=0,3,IF(R643=1,2,0)),3)</f>
        <v>2</v>
      </c>
      <c r="I643" s="8" cm="1">
        <f t="array" ref="I643">_xlfn.COUNTIFS('외운 것'!A2:A271,A643,'외운 것'!D2:D271,0)</f>
        <v>0</v>
      </c>
      <c r="J643" s="19" cm="1">
        <f t="array" ref="J643">IF(R643&lt;&gt;0,IF(H643&gt;=3,_xlfn.XLOOKUP(A643,'외운 것'!A2:A271,'외운 것'!C2:C271,0,1),0),"3차")</f>
        <v>0</v>
      </c>
      <c r="K643" s="8" cm="1">
        <f t="array" ref="K643">IF(P643&lt;&gt;0,IF(N643&gt;=3,_xlfn.XLOOKUP(A643,'외운 것'!A2:A271,'외운 것'!C2:C271,0,1),0),"1차")</f>
        <v>0</v>
      </c>
      <c r="L643" s="8" cm="1">
        <f t="array" ref="L643">IF(Q643&lt;&gt;0,IF(N643&gt;=3,_xlfn.XLOOKUP(A643,'외운 것'!A2:A271,'외운 것'!C2:C271,0,1),0),"2차")</f>
        <v>0</v>
      </c>
      <c r="M643" s="8" cm="1">
        <f t="array" ref="M643">IF(R643&lt;&gt;0,IF(O643&gt;=3,_xlfn.XLOOKUP(B643,'외운 것'!B2:B271,'외운 것'!D2:D271,0,1),0),"3차")</f>
        <v>0</v>
      </c>
      <c r="N643" s="8">
        <v>0</v>
      </c>
      <c r="O643" s="8">
        <v>3</v>
      </c>
      <c r="P643" s="8">
        <v>2</v>
      </c>
      <c r="Q643" s="8">
        <v>2</v>
      </c>
      <c r="R643" s="8">
        <v>1</v>
      </c>
    </row>
    <row r="644" ht="16" customHeight="1">
      <c r="A644" s="8">
        <v>643</v>
      </c>
      <c r="B644" s="8">
        <v>13</v>
      </c>
      <c r="C644" t="s" s="9">
        <v>1939</v>
      </c>
      <c r="D644" t="s" s="9">
        <v>127</v>
      </c>
      <c r="E644" t="s" s="9">
        <v>1976</v>
      </c>
      <c r="F644" t="s" s="9">
        <v>1974</v>
      </c>
      <c r="G644" t="s" s="9">
        <v>1977</v>
      </c>
      <c r="H644" s="8" cm="1">
        <f t="array" ref="H644">MIN(SUMIF('외운 것'!A2:A271,A644,'외운 것'!D2:D271)+IF(R644=0,3,IF(R644=1,2,0)),3)</f>
        <v>3</v>
      </c>
      <c r="I644" s="8" cm="1">
        <f t="array" ref="I644">_xlfn.COUNTIFS('외운 것'!A2:A271,A644,'외운 것'!D2:D271,0)</f>
        <v>0</v>
      </c>
      <c r="J644" t="str" s="10" cm="1">
        <f t="array" ref="J644">IF(R644&lt;&gt;0,IF(H644&gt;=3,_xlfn.XLOOKUP(A644,'외운 것'!A2:A271,'외운 것'!C2:C271,0,1),0),"3차")</f>
        <v>3차</v>
      </c>
      <c r="K644" t="str" s="11" cm="1">
        <f t="array" ref="K644">IF(P644&lt;&gt;0,IF(N644&gt;=3,_xlfn.XLOOKUP(A644,'외운 것'!A2:A271,'외운 것'!C2:C271,0,1),0),"1차")</f>
        <v>1차</v>
      </c>
      <c r="L644" t="str" s="11" cm="1">
        <f t="array" ref="L644">IF(Q644&lt;&gt;0,IF(N644&gt;=3,_xlfn.XLOOKUP(A644,'외운 것'!A2:A271,'외운 것'!C2:C271,0,1),0),"2차")</f>
        <v>2차</v>
      </c>
      <c r="M644" t="str" s="11" cm="1">
        <f t="array" ref="M644">IF(R644&lt;&gt;0,IF(O644&gt;=3,_xlfn.XLOOKUP(B644,'외운 것'!B2:B271,'외운 것'!D2:D271,0,1),0),"3차")</f>
        <v>3차</v>
      </c>
      <c r="N644" s="8">
        <v>3</v>
      </c>
      <c r="O644" s="8">
        <v>3</v>
      </c>
      <c r="P644" s="8">
        <v>0</v>
      </c>
      <c r="Q644" s="8">
        <v>0</v>
      </c>
      <c r="R644" s="8">
        <v>0</v>
      </c>
    </row>
    <row r="645" ht="16" customHeight="1">
      <c r="A645" s="8">
        <v>644</v>
      </c>
      <c r="B645" s="8">
        <v>14</v>
      </c>
      <c r="C645" t="s" s="9">
        <v>1939</v>
      </c>
      <c r="D645" t="s" s="9">
        <v>127</v>
      </c>
      <c r="E645" t="s" s="9">
        <v>1978</v>
      </c>
      <c r="F645" t="s" s="9">
        <v>1979</v>
      </c>
      <c r="G645" t="s" s="9">
        <v>1980</v>
      </c>
      <c r="H645" s="8" cm="1">
        <f t="array" ref="H645">MIN(SUMIF('외운 것'!A2:A271,A645,'외운 것'!D2:D271)+IF(R645=0,3,IF(R645=1,2,0)),3)</f>
        <v>3</v>
      </c>
      <c r="I645" s="8" cm="1">
        <f t="array" ref="I645">_xlfn.COUNTIFS('외운 것'!A2:A271,A645,'외운 것'!D2:D271,0)</f>
        <v>0</v>
      </c>
      <c r="J645" t="str" s="10" cm="1">
        <f t="array" ref="J645">IF(R645&lt;&gt;0,IF(H645&gt;=3,_xlfn.XLOOKUP(A645,'외운 것'!A2:A271,'외운 것'!C2:C271,0,1),0),"3차")</f>
        <v>3차</v>
      </c>
      <c r="K645" s="8" cm="1">
        <f t="array" ref="K645">IF(P645&lt;&gt;0,IF(N645&gt;=3,_xlfn.XLOOKUP(A645,'외운 것'!A2:A271,'외운 것'!C2:C271,0,1),0),"1차")</f>
        <v>0</v>
      </c>
      <c r="L645" s="8" cm="1">
        <f t="array" ref="L645">IF(Q645&lt;&gt;0,IF(N645&gt;=3,_xlfn.XLOOKUP(A645,'외운 것'!A2:A271,'외운 것'!C2:C271,0,1),0),"2차")</f>
        <v>0</v>
      </c>
      <c r="M645" t="str" s="11" cm="1">
        <f t="array" ref="M645">IF(R645&lt;&gt;0,IF(O645&gt;=3,_xlfn.XLOOKUP(B645,'외운 것'!B2:B271,'외운 것'!D2:D271,0,1),0),"3차")</f>
        <v>3차</v>
      </c>
      <c r="N645" s="8">
        <v>2</v>
      </c>
      <c r="O645" s="8">
        <v>3</v>
      </c>
      <c r="P645" s="8">
        <v>1</v>
      </c>
      <c r="Q645" s="8">
        <v>1</v>
      </c>
      <c r="R645" s="8">
        <v>0</v>
      </c>
    </row>
    <row r="646" ht="16" customHeight="1">
      <c r="A646" s="8">
        <v>645</v>
      </c>
      <c r="B646" s="8">
        <v>15</v>
      </c>
      <c r="C646" t="s" s="9">
        <v>1939</v>
      </c>
      <c r="D646" t="s" s="9">
        <v>127</v>
      </c>
      <c r="E646" t="s" s="9">
        <v>1981</v>
      </c>
      <c r="F646" t="s" s="9">
        <v>1979</v>
      </c>
      <c r="G646" t="s" s="9">
        <v>1982</v>
      </c>
      <c r="H646" s="8" cm="1">
        <f t="array" ref="H646">MIN(SUMIF('외운 것'!A2:A271,A646,'외운 것'!D2:D271)+IF(R646=0,3,IF(R646=1,2,0)),3)</f>
        <v>3</v>
      </c>
      <c r="I646" s="8" cm="1">
        <f t="array" ref="I646">_xlfn.COUNTIFS('외운 것'!A2:A271,A646,'외운 것'!D2:D271,0)</f>
        <v>0</v>
      </c>
      <c r="J646" t="str" s="10" cm="1">
        <f t="array" ref="J646">IF(R646&lt;&gt;0,IF(H646&gt;=3,_xlfn.XLOOKUP(A646,'외운 것'!A2:A271,'외운 것'!C2:C271,0,1),0),"3차")</f>
        <v>3차</v>
      </c>
      <c r="K646" t="str" s="11" cm="1">
        <f t="array" ref="K646">IF(P646&lt;&gt;0,IF(N646&gt;=3,_xlfn.XLOOKUP(A646,'외운 것'!A2:A271,'외운 것'!C2:C271,0,1),0),"1차")</f>
        <v>1차</v>
      </c>
      <c r="L646" t="str" s="11" cm="1">
        <f t="array" ref="L646">IF(Q646&lt;&gt;0,IF(N646&gt;=3,_xlfn.XLOOKUP(A646,'외운 것'!A2:A271,'외운 것'!C2:C271,0,1),0),"2차")</f>
        <v>2차</v>
      </c>
      <c r="M646" t="str" s="11" cm="1">
        <f t="array" ref="M646">IF(R646&lt;&gt;0,IF(O646&gt;=3,_xlfn.XLOOKUP(B646,'외운 것'!B2:B271,'외운 것'!D2:D271,0,1),0),"3차")</f>
        <v>3차</v>
      </c>
      <c r="N646" s="8">
        <v>3</v>
      </c>
      <c r="O646" s="8">
        <v>3</v>
      </c>
      <c r="P646" s="8">
        <v>0</v>
      </c>
      <c r="Q646" s="8">
        <v>0</v>
      </c>
      <c r="R646" s="8">
        <v>0</v>
      </c>
    </row>
    <row r="647" ht="16" customHeight="1">
      <c r="A647" s="8">
        <v>646</v>
      </c>
      <c r="B647" s="8">
        <v>16</v>
      </c>
      <c r="C647" t="s" s="9">
        <v>1983</v>
      </c>
      <c r="D647" t="s" s="9">
        <v>1984</v>
      </c>
      <c r="E647" t="s" s="9">
        <v>1985</v>
      </c>
      <c r="F647" t="s" s="9">
        <v>1986</v>
      </c>
      <c r="G647" t="s" s="9">
        <v>1987</v>
      </c>
      <c r="H647" s="8" cm="1">
        <f t="array" ref="H647">MIN(SUMIF('외운 것'!A2:A271,A647,'외운 것'!D2:D271)+IF(R647=0,3,IF(R647=1,2,0)),3)</f>
        <v>3</v>
      </c>
      <c r="I647" s="8" cm="1">
        <f t="array" ref="I647">_xlfn.COUNTIFS('외운 것'!A2:A271,A647,'외운 것'!D2:D271,0)</f>
        <v>0</v>
      </c>
      <c r="J647" t="str" s="10" cm="1">
        <f t="array" ref="J647">IF(R647&lt;&gt;0,IF(H647&gt;=3,_xlfn.XLOOKUP(A647,'외운 것'!A2:A271,'외운 것'!C2:C271,0,1),0),"3차")</f>
        <v>3차</v>
      </c>
      <c r="K647" s="8" cm="1">
        <f t="array" ref="K647">IF(P647&lt;&gt;0,IF(N647&gt;=3,_xlfn.XLOOKUP(A647,'외운 것'!A2:A271,'외운 것'!C2:C271,0,1),0),"1차")</f>
        <v>0</v>
      </c>
      <c r="L647" t="str" s="11" cm="1">
        <f t="array" ref="L647">IF(Q647&lt;&gt;0,IF(N647&gt;=3,_xlfn.XLOOKUP(A647,'외운 것'!A2:A271,'외운 것'!C2:C271,0,1),0),"2차")</f>
        <v>2차</v>
      </c>
      <c r="M647" t="str" s="11" cm="1">
        <f t="array" ref="M647">IF(R647&lt;&gt;0,IF(O647&gt;=3,_xlfn.XLOOKUP(B647,'외운 것'!B2:B271,'외운 것'!D2:D271,0,1),0),"3차")</f>
        <v>3차</v>
      </c>
      <c r="N647" s="8">
        <v>0</v>
      </c>
      <c r="O647" s="8">
        <v>3</v>
      </c>
      <c r="P647" s="8">
        <v>2</v>
      </c>
      <c r="Q647" s="8">
        <v>0</v>
      </c>
      <c r="R647" s="8">
        <v>0</v>
      </c>
    </row>
    <row r="648" ht="16" customHeight="1">
      <c r="A648" s="8">
        <v>647</v>
      </c>
      <c r="B648" s="8">
        <v>17</v>
      </c>
      <c r="C648" t="s" s="9">
        <v>1983</v>
      </c>
      <c r="D648" t="s" s="9">
        <v>1984</v>
      </c>
      <c r="E648" t="s" s="9">
        <v>1988</v>
      </c>
      <c r="F648" t="s" s="9">
        <v>1989</v>
      </c>
      <c r="G648" t="s" s="9">
        <v>1990</v>
      </c>
      <c r="H648" s="8" cm="1">
        <f t="array" ref="H648">MIN(SUMIF('외운 것'!A2:A271,A648,'외운 것'!D2:D271)+IF(R648=0,3,IF(R648=1,2,0)),3)</f>
        <v>3</v>
      </c>
      <c r="I648" s="8" cm="1">
        <f t="array" ref="I648">_xlfn.COUNTIFS('외운 것'!A2:A271,A648,'외운 것'!D2:D271,0)</f>
        <v>0</v>
      </c>
      <c r="J648" t="str" s="10" cm="1">
        <f t="array" ref="J648">IF(R648&lt;&gt;0,IF(H648&gt;=3,_xlfn.XLOOKUP(A648,'외운 것'!A2:A271,'외운 것'!C2:C271,0,1),0),"3차")</f>
        <v>3차</v>
      </c>
      <c r="K648" t="str" s="11" cm="1">
        <f t="array" ref="K648">IF(P648&lt;&gt;0,IF(N648&gt;=3,_xlfn.XLOOKUP(A648,'외운 것'!A2:A271,'외운 것'!C2:C271,0,1),0),"1차")</f>
        <v>1차</v>
      </c>
      <c r="L648" t="str" s="11" cm="1">
        <f t="array" ref="L648">IF(Q648&lt;&gt;0,IF(N648&gt;=3,_xlfn.XLOOKUP(A648,'외운 것'!A2:A271,'외운 것'!C2:C271,0,1),0),"2차")</f>
        <v>2차</v>
      </c>
      <c r="M648" t="str" s="11" cm="1">
        <f t="array" ref="M648">IF(R648&lt;&gt;0,IF(O648&gt;=3,_xlfn.XLOOKUP(B648,'외운 것'!B2:B271,'외운 것'!D2:D271,0,1),0),"3차")</f>
        <v>3차</v>
      </c>
      <c r="N648" s="8">
        <v>3</v>
      </c>
      <c r="O648" s="8">
        <v>3</v>
      </c>
      <c r="P648" s="8">
        <v>0</v>
      </c>
      <c r="Q648" s="8">
        <v>0</v>
      </c>
      <c r="R648" s="8">
        <v>0</v>
      </c>
    </row>
    <row r="649" ht="16" customHeight="1">
      <c r="A649" s="8">
        <v>648</v>
      </c>
      <c r="B649" s="8">
        <v>18</v>
      </c>
      <c r="C649" t="s" s="9">
        <v>1983</v>
      </c>
      <c r="D649" t="s" s="9">
        <v>1984</v>
      </c>
      <c r="E649" t="s" s="9">
        <v>1991</v>
      </c>
      <c r="F649" t="s" s="9">
        <v>1992</v>
      </c>
      <c r="G649" t="s" s="9">
        <v>1993</v>
      </c>
      <c r="H649" s="8" cm="1">
        <f t="array" ref="H649">MIN(SUMIF('외운 것'!A2:A271,A649,'외운 것'!D2:D271)+IF(R649=0,3,IF(R649=1,2,0)),3)</f>
        <v>2</v>
      </c>
      <c r="I649" s="8" cm="1">
        <f t="array" ref="I649">_xlfn.COUNTIFS('외운 것'!A2:A271,A649,'외운 것'!D2:D271,0)</f>
        <v>0</v>
      </c>
      <c r="J649" s="19" cm="1">
        <f t="array" ref="J649">IF(R649&lt;&gt;0,IF(H649&gt;=3,_xlfn.XLOOKUP(A649,'외운 것'!A2:A271,'외운 것'!C2:C271,0,1),0),"3차")</f>
        <v>0</v>
      </c>
      <c r="K649" s="8" cm="1">
        <f t="array" ref="K649">IF(P649&lt;&gt;0,IF(N649&gt;=3,_xlfn.XLOOKUP(A649,'외운 것'!A2:A271,'외운 것'!C2:C271,0,1),0),"1차")</f>
        <v>0</v>
      </c>
      <c r="L649" s="8" cm="1">
        <f t="array" ref="L649">IF(Q649&lt;&gt;0,IF(N649&gt;=3,_xlfn.XLOOKUP(A649,'외운 것'!A2:A271,'외운 것'!C2:C271,0,1),0),"2차")</f>
        <v>0</v>
      </c>
      <c r="M649" s="8" cm="1">
        <f t="array" ref="M649">IF(R649&lt;&gt;0,IF(O649&gt;=3,_xlfn.XLOOKUP(B649,'외운 것'!B2:B271,'외운 것'!D2:D271,0,1),0),"3차")</f>
        <v>0</v>
      </c>
      <c r="N649" s="8">
        <v>0</v>
      </c>
      <c r="O649" s="8">
        <v>3</v>
      </c>
      <c r="P649" s="8">
        <v>3</v>
      </c>
      <c r="Q649" s="8">
        <v>1</v>
      </c>
      <c r="R649" s="8">
        <v>1</v>
      </c>
    </row>
    <row r="650" ht="16" customHeight="1">
      <c r="A650" s="8">
        <v>649</v>
      </c>
      <c r="B650" s="8">
        <v>19</v>
      </c>
      <c r="C650" t="s" s="9">
        <v>1983</v>
      </c>
      <c r="D650" t="s" s="9">
        <v>1984</v>
      </c>
      <c r="E650" t="s" s="9">
        <v>1994</v>
      </c>
      <c r="F650" t="s" s="9">
        <v>1995</v>
      </c>
      <c r="G650" t="s" s="9">
        <v>1996</v>
      </c>
      <c r="H650" s="8" cm="1">
        <f t="array" ref="H650">MIN(SUMIF('외운 것'!A2:A271,A650,'외운 것'!D2:D271)+IF(R650=0,3,IF(R650=1,2,0)),3)</f>
        <v>3</v>
      </c>
      <c r="I650" s="8" cm="1">
        <f t="array" ref="I650">_xlfn.COUNTIFS('외운 것'!A2:A271,A650,'외운 것'!D2:D271,0)</f>
        <v>0</v>
      </c>
      <c r="J650" t="str" s="10" cm="1">
        <f t="array" ref="J650">IF(R650&lt;&gt;0,IF(H650&gt;=3,_xlfn.XLOOKUP(A650,'외운 것'!A2:A271,'외운 것'!C2:C271,0,1),0),"3차")</f>
        <v>3차</v>
      </c>
      <c r="K650" s="8" cm="1">
        <f t="array" ref="K650">IF(P650&lt;&gt;0,IF(N650&gt;=3,_xlfn.XLOOKUP(A650,'외운 것'!A2:A271,'외운 것'!C2:C271,0,1),0),"1차")</f>
        <v>0</v>
      </c>
      <c r="L650" t="str" s="11" cm="1">
        <f t="array" ref="L650">IF(Q650&lt;&gt;0,IF(N650&gt;=3,_xlfn.XLOOKUP(A650,'외운 것'!A2:A271,'외운 것'!C2:C271,0,1),0),"2차")</f>
        <v>2차</v>
      </c>
      <c r="M650" t="str" s="11" cm="1">
        <f t="array" ref="M650">IF(R650&lt;&gt;0,IF(O650&gt;=3,_xlfn.XLOOKUP(B650,'외운 것'!B2:B271,'외운 것'!D2:D271,0,1),0),"3차")</f>
        <v>3차</v>
      </c>
      <c r="N650" s="8">
        <v>2</v>
      </c>
      <c r="O650" s="8">
        <v>3</v>
      </c>
      <c r="P650" s="8">
        <v>1</v>
      </c>
      <c r="Q650" s="8">
        <v>0</v>
      </c>
      <c r="R650" s="8">
        <v>0</v>
      </c>
    </row>
    <row r="651" ht="16" customHeight="1">
      <c r="A651" s="8">
        <v>650</v>
      </c>
      <c r="B651" s="8">
        <v>20</v>
      </c>
      <c r="C651" t="s" s="9">
        <v>1997</v>
      </c>
      <c r="D651" t="s" s="9">
        <v>1984</v>
      </c>
      <c r="E651" t="s" s="9">
        <v>1998</v>
      </c>
      <c r="F651" t="s" s="9">
        <v>1999</v>
      </c>
      <c r="G651" t="s" s="9">
        <v>2000</v>
      </c>
      <c r="H651" s="8" cm="1">
        <f t="array" ref="H651">MIN(SUMIF('외운 것'!A2:A271,A651,'외운 것'!D2:D271)+IF(R651=0,3,IF(R651=1,2,0)),3)</f>
        <v>3</v>
      </c>
      <c r="I651" s="8" cm="1">
        <f t="array" ref="I651">_xlfn.COUNTIFS('외운 것'!A2:A271,A651,'외운 것'!D2:D271,0)</f>
        <v>0</v>
      </c>
      <c r="J651" t="str" s="10" cm="1">
        <f t="array" ref="J651">IF(R651&lt;&gt;0,IF(H651&gt;=3,_xlfn.XLOOKUP(A651,'외운 것'!A2:A271,'외운 것'!C2:C271,0,1),0),"3차")</f>
        <v>3차</v>
      </c>
      <c r="K651" s="8" cm="1">
        <f t="array" ref="K651">IF(P651&lt;&gt;0,IF(N651&gt;=3,_xlfn.XLOOKUP(A651,'외운 것'!A2:A271,'외운 것'!C2:C271,0,1),0),"1차")</f>
        <v>0</v>
      </c>
      <c r="L651" t="str" s="11" cm="1">
        <f t="array" ref="L651">IF(Q651&lt;&gt;0,IF(N651&gt;=3,_xlfn.XLOOKUP(A651,'외운 것'!A2:A271,'외운 것'!C2:C271,0,1),0),"2차")</f>
        <v>2차</v>
      </c>
      <c r="M651" t="str" s="11" cm="1">
        <f t="array" ref="M651">IF(R651&lt;&gt;0,IF(O651&gt;=3,_xlfn.XLOOKUP(B651,'외운 것'!B2:B271,'외운 것'!D2:D271,0,1),0),"3차")</f>
        <v>3차</v>
      </c>
      <c r="N651" s="8">
        <v>0</v>
      </c>
      <c r="O651" s="8">
        <v>3</v>
      </c>
      <c r="P651" s="8">
        <v>2</v>
      </c>
      <c r="Q651" s="8">
        <v>0</v>
      </c>
      <c r="R651" s="8">
        <v>0</v>
      </c>
    </row>
    <row r="652" ht="16" customHeight="1">
      <c r="A652" s="8">
        <v>651</v>
      </c>
      <c r="B652" s="8">
        <v>21</v>
      </c>
      <c r="C652" t="s" s="9">
        <v>2001</v>
      </c>
      <c r="D652" t="s" s="9">
        <v>1984</v>
      </c>
      <c r="E652" t="s" s="9">
        <v>2002</v>
      </c>
      <c r="F652" t="s" s="9">
        <v>2003</v>
      </c>
      <c r="G652" t="s" s="9">
        <v>2004</v>
      </c>
      <c r="H652" s="8" cm="1">
        <f t="array" ref="H652">MIN(SUMIF('외운 것'!A2:A271,A652,'외운 것'!D2:D271)+IF(R652=0,3,IF(R652=1,2,0)),3)</f>
        <v>2</v>
      </c>
      <c r="I652" s="8" cm="1">
        <f t="array" ref="I652">_xlfn.COUNTIFS('외운 것'!A2:A271,A652,'외운 것'!D2:D271,0)</f>
        <v>0</v>
      </c>
      <c r="J652" s="19" cm="1">
        <f t="array" ref="J652">IF(R652&lt;&gt;0,IF(H652&gt;=3,_xlfn.XLOOKUP(A652,'외운 것'!A2:A271,'외운 것'!C2:C271,0,1),0),"3차")</f>
        <v>0</v>
      </c>
      <c r="K652" s="8" cm="1">
        <f t="array" ref="K652">IF(P652&lt;&gt;0,IF(N652&gt;=3,_xlfn.XLOOKUP(A652,'외운 것'!A2:A271,'외운 것'!C2:C271,0,1),0),"1차")</f>
        <v>0</v>
      </c>
      <c r="L652" s="8" cm="1">
        <f t="array" ref="L652">IF(Q652&lt;&gt;0,IF(N652&gt;=3,_xlfn.XLOOKUP(A652,'외운 것'!A2:A271,'외운 것'!C2:C271,0,1),0),"2차")</f>
        <v>0</v>
      </c>
      <c r="M652" s="8" cm="1">
        <f t="array" ref="M652">IF(R652&lt;&gt;0,IF(O652&gt;=3,_xlfn.XLOOKUP(B652,'외운 것'!B2:B271,'외운 것'!D2:D271,0,1),0),"3차")</f>
        <v>0</v>
      </c>
      <c r="N652" s="8">
        <v>0</v>
      </c>
      <c r="O652" s="8">
        <v>3</v>
      </c>
      <c r="P652" s="8">
        <v>2</v>
      </c>
      <c r="Q652" s="8">
        <v>2</v>
      </c>
      <c r="R652" s="8">
        <v>1</v>
      </c>
    </row>
    <row r="653" ht="16" customHeight="1">
      <c r="A653" s="8">
        <v>652</v>
      </c>
      <c r="B653" s="8">
        <v>22</v>
      </c>
      <c r="C653" t="s" s="9">
        <v>2001</v>
      </c>
      <c r="D653" t="s" s="9">
        <v>1984</v>
      </c>
      <c r="E653" t="s" s="9">
        <v>2005</v>
      </c>
      <c r="F653" t="s" s="9">
        <v>2006</v>
      </c>
      <c r="G653" t="s" s="9">
        <v>2007</v>
      </c>
      <c r="H653" s="8" cm="1">
        <f t="array" ref="H653">MIN(SUMIF('외운 것'!A2:A271,A653,'외운 것'!D2:D271)+IF(R653=0,3,IF(R653=1,2,0)),3)</f>
        <v>3</v>
      </c>
      <c r="I653" s="8" cm="1">
        <f t="array" ref="I653">_xlfn.COUNTIFS('외운 것'!A2:A271,A653,'외운 것'!D2:D271,0)</f>
        <v>0</v>
      </c>
      <c r="J653" t="str" s="10" cm="1">
        <f t="array" ref="J653">IF(R653&lt;&gt;0,IF(H653&gt;=3,_xlfn.XLOOKUP(A653,'외운 것'!A2:A271,'외운 것'!C2:C271,0,1),0),"3차")</f>
        <v>3차</v>
      </c>
      <c r="K653" s="8" cm="1">
        <f t="array" ref="K653">IF(P653&lt;&gt;0,IF(N653&gt;=3,_xlfn.XLOOKUP(A653,'외운 것'!A2:A271,'외운 것'!C2:C271,0,1),0),"1차")</f>
        <v>0</v>
      </c>
      <c r="L653" t="str" s="11" cm="1">
        <f t="array" ref="L653">IF(Q653&lt;&gt;0,IF(N653&gt;=3,_xlfn.XLOOKUP(A653,'외운 것'!A2:A271,'외운 것'!C2:C271,0,1),0),"2차")</f>
        <v>2차</v>
      </c>
      <c r="M653" t="str" s="11" cm="1">
        <f t="array" ref="M653">IF(R653&lt;&gt;0,IF(O653&gt;=3,_xlfn.XLOOKUP(B653,'외운 것'!B2:B271,'외운 것'!D2:D271,0,1),0),"3차")</f>
        <v>3차</v>
      </c>
      <c r="N653" s="8">
        <v>2</v>
      </c>
      <c r="O653" s="8">
        <v>3</v>
      </c>
      <c r="P653" s="8">
        <v>1</v>
      </c>
      <c r="Q653" s="8">
        <v>0</v>
      </c>
      <c r="R653" s="8">
        <v>0</v>
      </c>
    </row>
    <row r="654" ht="16" customHeight="1">
      <c r="A654" s="8">
        <v>653</v>
      </c>
      <c r="B654" s="8">
        <v>23</v>
      </c>
      <c r="C654" t="s" s="9">
        <v>2001</v>
      </c>
      <c r="D654" t="s" s="9">
        <v>1984</v>
      </c>
      <c r="E654" t="s" s="9">
        <v>2008</v>
      </c>
      <c r="F654" t="s" s="9">
        <v>2009</v>
      </c>
      <c r="G654" t="s" s="9">
        <v>2010</v>
      </c>
      <c r="H654" s="8" cm="1">
        <f t="array" ref="H654">MIN(SUMIF('외운 것'!A2:A271,A654,'외운 것'!D2:D271)+IF(R654=0,3,IF(R654=1,2,0)),3)</f>
        <v>3</v>
      </c>
      <c r="I654" s="8" cm="1">
        <f t="array" ref="I654">_xlfn.COUNTIFS('외운 것'!A2:A271,A654,'외운 것'!D2:D271,0)</f>
        <v>0</v>
      </c>
      <c r="J654" t="str" s="10" cm="1">
        <f t="array" ref="J654">IF(R654&lt;&gt;0,IF(H654&gt;=3,_xlfn.XLOOKUP(A654,'외운 것'!A2:A271,'외운 것'!C2:C271,0,1),0),"3차")</f>
        <v>3차</v>
      </c>
      <c r="K654" s="8" cm="1">
        <f t="array" ref="K654">IF(P654&lt;&gt;0,IF(N654&gt;=3,_xlfn.XLOOKUP(A654,'외운 것'!A2:A271,'외운 것'!C2:C271,0,1),0),"1차")</f>
        <v>0</v>
      </c>
      <c r="L654" t="str" s="11" cm="1">
        <f t="array" ref="L654">IF(Q654&lt;&gt;0,IF(N654&gt;=3,_xlfn.XLOOKUP(A654,'외운 것'!A2:A271,'외운 것'!C2:C271,0,1),0),"2차")</f>
        <v>2차</v>
      </c>
      <c r="M654" t="str" s="11" cm="1">
        <f t="array" ref="M654">IF(R654&lt;&gt;0,IF(O654&gt;=3,_xlfn.XLOOKUP(B654,'외운 것'!B2:B271,'외운 것'!D2:D271,0,1),0),"3차")</f>
        <v>3차</v>
      </c>
      <c r="N654" s="8">
        <v>0</v>
      </c>
      <c r="O654" s="8">
        <v>3</v>
      </c>
      <c r="P654" s="8">
        <v>4</v>
      </c>
      <c r="Q654" s="8">
        <v>0</v>
      </c>
      <c r="R654" s="8">
        <v>0</v>
      </c>
    </row>
    <row r="655" ht="16" customHeight="1">
      <c r="A655" s="8">
        <v>654</v>
      </c>
      <c r="B655" s="8">
        <v>24</v>
      </c>
      <c r="C655" t="s" s="9">
        <v>2001</v>
      </c>
      <c r="D655" t="s" s="9">
        <v>1984</v>
      </c>
      <c r="E655" t="s" s="9">
        <v>2011</v>
      </c>
      <c r="F655" t="s" s="9">
        <v>2012</v>
      </c>
      <c r="G655" t="s" s="9">
        <v>2013</v>
      </c>
      <c r="H655" s="8" cm="1">
        <f t="array" ref="H655">MIN(SUMIF('외운 것'!A2:A271,A655,'외운 것'!D2:D271)+IF(R655=0,3,IF(R655=1,2,0)),3)</f>
        <v>3</v>
      </c>
      <c r="I655" s="8" cm="1">
        <f t="array" ref="I655">_xlfn.COUNTIFS('외운 것'!A2:A271,A655,'외운 것'!D2:D271,0)</f>
        <v>0</v>
      </c>
      <c r="J655" t="str" s="10" cm="1">
        <f t="array" ref="J655">IF(R655&lt;&gt;0,IF(H655&gt;=3,_xlfn.XLOOKUP(A655,'외운 것'!A2:A271,'외운 것'!C2:C271,0,1),0),"3차")</f>
        <v>3차</v>
      </c>
      <c r="K655" s="8" cm="1">
        <f t="array" ref="K655">IF(P655&lt;&gt;0,IF(N655&gt;=3,_xlfn.XLOOKUP(A655,'외운 것'!A2:A271,'외운 것'!C2:C271,0,1),0),"1차")</f>
        <v>0</v>
      </c>
      <c r="L655" t="str" s="11" cm="1">
        <f t="array" ref="L655">IF(Q655&lt;&gt;0,IF(N655&gt;=3,_xlfn.XLOOKUP(A655,'외운 것'!A2:A271,'외운 것'!C2:C271,0,1),0),"2차")</f>
        <v>2차</v>
      </c>
      <c r="M655" t="str" s="11" cm="1">
        <f t="array" ref="M655">IF(R655&lt;&gt;0,IF(O655&gt;=3,_xlfn.XLOOKUP(B655,'외운 것'!B2:B271,'외운 것'!D2:D271,0,1),0),"3차")</f>
        <v>3차</v>
      </c>
      <c r="N655" s="8">
        <v>2</v>
      </c>
      <c r="O655" s="8">
        <v>3</v>
      </c>
      <c r="P655" s="8">
        <v>1</v>
      </c>
      <c r="Q655" s="8">
        <v>0</v>
      </c>
      <c r="R655" s="8">
        <v>0</v>
      </c>
    </row>
    <row r="656" ht="16" customHeight="1">
      <c r="A656" s="8">
        <v>655</v>
      </c>
      <c r="B656" s="8">
        <v>25</v>
      </c>
      <c r="C656" t="s" s="9">
        <v>2001</v>
      </c>
      <c r="D656" t="s" s="9">
        <v>1984</v>
      </c>
      <c r="E656" t="s" s="9">
        <v>2014</v>
      </c>
      <c r="F656" t="s" s="9">
        <v>2015</v>
      </c>
      <c r="G656" t="s" s="9">
        <v>2016</v>
      </c>
      <c r="H656" s="8" cm="1">
        <f t="array" ref="H656">MIN(SUMIF('외운 것'!A2:A271,A656,'외운 것'!D2:D271)+IF(R656=0,3,IF(R656=1,2,0)),3)</f>
        <v>2</v>
      </c>
      <c r="I656" s="8" cm="1">
        <f t="array" ref="I656">_xlfn.COUNTIFS('외운 것'!A2:A271,A656,'외운 것'!D2:D271,0)</f>
        <v>0</v>
      </c>
      <c r="J656" s="19" cm="1">
        <f t="array" ref="J656">IF(R656&lt;&gt;0,IF(H656&gt;=3,_xlfn.XLOOKUP(A656,'외운 것'!A2:A271,'외운 것'!C2:C271,0,1),0),"3차")</f>
        <v>0</v>
      </c>
      <c r="K656" s="8" cm="1">
        <f t="array" ref="K656">IF(P656&lt;&gt;0,IF(N656&gt;=3,_xlfn.XLOOKUP(A656,'외운 것'!A2:A271,'외운 것'!C2:C271,0,1),0),"1차")</f>
        <v>0</v>
      </c>
      <c r="L656" s="8" cm="1">
        <f t="array" ref="L656">IF(Q656&lt;&gt;0,IF(N656&gt;=3,_xlfn.XLOOKUP(A656,'외운 것'!A2:A271,'외운 것'!C2:C271,0,1),0),"2차")</f>
        <v>0</v>
      </c>
      <c r="M656" s="8" cm="1">
        <f t="array" ref="M656">IF(R656&lt;&gt;0,IF(O656&gt;=3,_xlfn.XLOOKUP(B656,'외운 것'!B2:B271,'외운 것'!D2:D271,0,1),0),"3차")</f>
        <v>0</v>
      </c>
      <c r="N656" s="8">
        <v>0</v>
      </c>
      <c r="O656" s="8">
        <v>3</v>
      </c>
      <c r="P656" s="8">
        <v>3</v>
      </c>
      <c r="Q656" s="8">
        <v>1</v>
      </c>
      <c r="R656" s="8">
        <v>1</v>
      </c>
    </row>
    <row r="657" ht="16" customHeight="1">
      <c r="A657" s="8">
        <v>656</v>
      </c>
      <c r="B657" s="8">
        <v>26</v>
      </c>
      <c r="C657" t="s" s="9">
        <v>2001</v>
      </c>
      <c r="D657" t="s" s="9">
        <v>1984</v>
      </c>
      <c r="E657" t="s" s="9">
        <v>2017</v>
      </c>
      <c r="F657" t="s" s="9">
        <v>2018</v>
      </c>
      <c r="G657" t="s" s="9">
        <v>2019</v>
      </c>
      <c r="H657" s="8" cm="1">
        <f t="array" ref="H657">MIN(SUMIF('외운 것'!A2:A271,A657,'외운 것'!D2:D271)+IF(R657=0,3,IF(R657=1,2,0)),3)</f>
        <v>2</v>
      </c>
      <c r="I657" s="8" cm="1">
        <f t="array" ref="I657">_xlfn.COUNTIFS('외운 것'!A2:A271,A657,'외운 것'!D2:D271,0)</f>
        <v>0</v>
      </c>
      <c r="J657" s="19" cm="1">
        <f t="array" ref="J657">IF(R657&lt;&gt;0,IF(H657&gt;=3,_xlfn.XLOOKUP(A657,'외운 것'!A2:A271,'외운 것'!C2:C271,0,1),0),"3차")</f>
        <v>0</v>
      </c>
      <c r="K657" s="8" cm="1">
        <f t="array" ref="K657">IF(P657&lt;&gt;0,IF(N657&gt;=3,_xlfn.XLOOKUP(A657,'외운 것'!A2:A271,'외운 것'!C2:C271,0,1),0),"1차")</f>
        <v>0</v>
      </c>
      <c r="L657" s="8" cm="1">
        <f t="array" ref="L657">IF(Q657&lt;&gt;0,IF(N657&gt;=3,_xlfn.XLOOKUP(A657,'외운 것'!A2:A271,'외운 것'!C2:C271,0,1),0),"2차")</f>
        <v>0</v>
      </c>
      <c r="M657" s="8" cm="1">
        <f t="array" ref="M657">IF(R657&lt;&gt;0,IF(O657&gt;=3,_xlfn.XLOOKUP(B657,'외운 것'!B2:B271,'외운 것'!D2:D271,0,1),0),"3차")</f>
        <v>0</v>
      </c>
      <c r="N657" s="8">
        <v>0</v>
      </c>
      <c r="O657" s="8">
        <v>3</v>
      </c>
      <c r="P657" s="8">
        <v>2</v>
      </c>
      <c r="Q657" s="8">
        <v>1</v>
      </c>
      <c r="R657" s="8">
        <v>1</v>
      </c>
    </row>
    <row r="658" ht="16" customHeight="1">
      <c r="A658" s="8">
        <v>657</v>
      </c>
      <c r="B658" s="8">
        <v>27</v>
      </c>
      <c r="C658" t="s" s="9">
        <v>2001</v>
      </c>
      <c r="D658" t="s" s="9">
        <v>1984</v>
      </c>
      <c r="E658" t="s" s="9">
        <v>2020</v>
      </c>
      <c r="F658" t="s" s="9">
        <v>2021</v>
      </c>
      <c r="G658" t="s" s="9">
        <v>2022</v>
      </c>
      <c r="H658" s="8" cm="1">
        <f t="array" ref="H658">MIN(SUMIF('외운 것'!A2:A271,A658,'외운 것'!D2:D271)+IF(R658=0,3,IF(R658=1,2,0)),3)</f>
        <v>3</v>
      </c>
      <c r="I658" s="8" cm="1">
        <f t="array" ref="I658">_xlfn.COUNTIFS('외운 것'!A2:A271,A658,'외운 것'!D2:D271,0)</f>
        <v>0</v>
      </c>
      <c r="J658" t="str" s="10" cm="1">
        <f t="array" ref="J658">IF(R658&lt;&gt;0,IF(H658&gt;=3,_xlfn.XLOOKUP(A658,'외운 것'!A2:A271,'외운 것'!C2:C271,0,1),0),"3차")</f>
        <v>3차</v>
      </c>
      <c r="K658" s="8" cm="1">
        <f t="array" ref="K658">IF(P658&lt;&gt;0,IF(N658&gt;=3,_xlfn.XLOOKUP(A658,'외운 것'!A2:A271,'외운 것'!C2:C271,0,1),0),"1차")</f>
        <v>0</v>
      </c>
      <c r="L658" t="str" s="11" cm="1">
        <f t="array" ref="L658">IF(Q658&lt;&gt;0,IF(N658&gt;=3,_xlfn.XLOOKUP(A658,'외운 것'!A2:A271,'외운 것'!C2:C271,0,1),0),"2차")</f>
        <v>2차</v>
      </c>
      <c r="M658" t="str" s="11" cm="1">
        <f t="array" ref="M658">IF(R658&lt;&gt;0,IF(O658&gt;=3,_xlfn.XLOOKUP(B658,'외운 것'!B2:B271,'외운 것'!D2:D271,0,1),0),"3차")</f>
        <v>3차</v>
      </c>
      <c r="N658" s="8">
        <v>2</v>
      </c>
      <c r="O658" s="8">
        <v>3</v>
      </c>
      <c r="P658" s="8">
        <v>1</v>
      </c>
      <c r="Q658" s="8">
        <v>0</v>
      </c>
      <c r="R658" s="8">
        <v>0</v>
      </c>
    </row>
    <row r="659" ht="16" customHeight="1">
      <c r="A659" s="8">
        <v>658</v>
      </c>
      <c r="B659" s="8">
        <v>28</v>
      </c>
      <c r="C659" t="s" s="9">
        <v>2001</v>
      </c>
      <c r="D659" t="s" s="9">
        <v>1984</v>
      </c>
      <c r="E659" t="s" s="9">
        <v>2023</v>
      </c>
      <c r="F659" t="s" s="9">
        <v>2024</v>
      </c>
      <c r="G659" t="s" s="9">
        <v>2025</v>
      </c>
      <c r="H659" s="8" cm="1">
        <f t="array" ref="H659">MIN(SUMIF('외운 것'!A2:A271,A659,'외운 것'!D2:D271)+IF(R659=0,3,IF(R659=1,2,0)),3)</f>
        <v>3</v>
      </c>
      <c r="I659" s="8" cm="1">
        <f t="array" ref="I659">_xlfn.COUNTIFS('외운 것'!A2:A271,A659,'외운 것'!D2:D271,0)</f>
        <v>0</v>
      </c>
      <c r="J659" t="str" s="10" cm="1">
        <f t="array" ref="J659">IF(R659&lt;&gt;0,IF(H659&gt;=3,_xlfn.XLOOKUP(A659,'외운 것'!A2:A271,'외운 것'!C2:C271,0,1),0),"3차")</f>
        <v>3차</v>
      </c>
      <c r="K659" t="str" s="11" cm="1">
        <f t="array" ref="K659">IF(P659&lt;&gt;0,IF(N659&gt;=3,_xlfn.XLOOKUP(A659,'외운 것'!A2:A271,'외운 것'!C2:C271,0,1),0),"1차")</f>
        <v>1차</v>
      </c>
      <c r="L659" t="str" s="11" cm="1">
        <f t="array" ref="L659">IF(Q659&lt;&gt;0,IF(N659&gt;=3,_xlfn.XLOOKUP(A659,'외운 것'!A2:A271,'외운 것'!C2:C271,0,1),0),"2차")</f>
        <v>2차</v>
      </c>
      <c r="M659" t="str" s="11" cm="1">
        <f t="array" ref="M659">IF(R659&lt;&gt;0,IF(O659&gt;=3,_xlfn.XLOOKUP(B659,'외운 것'!B2:B271,'외운 것'!D2:D271,0,1),0),"3차")</f>
        <v>3차</v>
      </c>
      <c r="N659" s="8">
        <v>3</v>
      </c>
      <c r="O659" s="8">
        <v>3</v>
      </c>
      <c r="P659" s="8">
        <v>0</v>
      </c>
      <c r="Q659" s="8">
        <v>0</v>
      </c>
      <c r="R659" s="8">
        <v>0</v>
      </c>
    </row>
    <row r="660" ht="16" customHeight="1">
      <c r="A660" s="8">
        <v>659</v>
      </c>
      <c r="B660" s="8">
        <v>29</v>
      </c>
      <c r="C660" t="s" s="9">
        <v>2026</v>
      </c>
      <c r="D660" t="s" s="9">
        <v>1984</v>
      </c>
      <c r="E660" t="s" s="9">
        <v>2027</v>
      </c>
      <c r="F660" t="s" s="9">
        <v>2028</v>
      </c>
      <c r="G660" t="s" s="9">
        <v>2029</v>
      </c>
      <c r="H660" s="8" cm="1">
        <f t="array" ref="H660">MIN(SUMIF('외운 것'!A2:A271,A660,'외운 것'!D2:D271)+IF(R660=0,3,IF(R660=1,2,0)),3)</f>
        <v>3</v>
      </c>
      <c r="I660" s="8" cm="1">
        <f t="array" ref="I660">_xlfn.COUNTIFS('외운 것'!A2:A271,A660,'외운 것'!D2:D271,0)</f>
        <v>0</v>
      </c>
      <c r="J660" t="str" s="10" cm="1">
        <f t="array" ref="J660">IF(R660&lt;&gt;0,IF(H660&gt;=3,_xlfn.XLOOKUP(A660,'외운 것'!A2:A271,'외운 것'!C2:C271,0,1),0),"3차")</f>
        <v>3차</v>
      </c>
      <c r="K660" s="8" cm="1">
        <f t="array" ref="K660">IF(P660&lt;&gt;0,IF(N660&gt;=3,_xlfn.XLOOKUP(A660,'외운 것'!A2:A271,'외운 것'!C2:C271,0,1),0),"1차")</f>
        <v>0</v>
      </c>
      <c r="L660" t="str" s="11" cm="1">
        <f t="array" ref="L660">IF(Q660&lt;&gt;0,IF(N660&gt;=3,_xlfn.XLOOKUP(A660,'외운 것'!A2:A271,'외운 것'!C2:C271,0,1),0),"2차")</f>
        <v>2차</v>
      </c>
      <c r="M660" t="str" s="11" cm="1">
        <f t="array" ref="M660">IF(R660&lt;&gt;0,IF(O660&gt;=3,_xlfn.XLOOKUP(B660,'외운 것'!B2:B271,'외운 것'!D2:D271,0,1),0),"3차")</f>
        <v>3차</v>
      </c>
      <c r="N660" s="8">
        <v>2</v>
      </c>
      <c r="O660" s="8">
        <v>3</v>
      </c>
      <c r="P660" s="8">
        <v>1</v>
      </c>
      <c r="Q660" s="8">
        <v>0</v>
      </c>
      <c r="R660" s="8">
        <v>0</v>
      </c>
    </row>
    <row r="661" ht="16" customHeight="1">
      <c r="A661" s="8">
        <v>660</v>
      </c>
      <c r="B661" s="8">
        <v>30</v>
      </c>
      <c r="C661" t="s" s="9">
        <v>2026</v>
      </c>
      <c r="D661" t="s" s="9">
        <v>1984</v>
      </c>
      <c r="E661" t="s" s="9">
        <v>2030</v>
      </c>
      <c r="F661" t="s" s="9">
        <v>2031</v>
      </c>
      <c r="G661" t="s" s="9">
        <v>2032</v>
      </c>
      <c r="H661" s="8" cm="1">
        <f t="array" ref="H661">MIN(SUMIF('외운 것'!A2:A271,A661,'외운 것'!D2:D271)+IF(R661=0,3,IF(R661=1,2,0)),3)</f>
        <v>2</v>
      </c>
      <c r="I661" s="8" cm="1">
        <f t="array" ref="I661">_xlfn.COUNTIFS('외운 것'!A2:A271,A661,'외운 것'!D2:D271,0)</f>
        <v>0</v>
      </c>
      <c r="J661" s="19" cm="1">
        <f t="array" ref="J661">IF(R661&lt;&gt;0,IF(H661&gt;=3,_xlfn.XLOOKUP(A661,'외운 것'!A2:A271,'외운 것'!C2:C271,0,1),0),"3차")</f>
        <v>0</v>
      </c>
      <c r="K661" s="8" cm="1">
        <f t="array" ref="K661">IF(P661&lt;&gt;0,IF(N661&gt;=3,_xlfn.XLOOKUP(A661,'외운 것'!A2:A271,'외운 것'!C2:C271,0,1),0),"1차")</f>
        <v>0</v>
      </c>
      <c r="L661" s="8" cm="1">
        <f t="array" ref="L661">IF(Q661&lt;&gt;0,IF(N661&gt;=3,_xlfn.XLOOKUP(A661,'외운 것'!A2:A271,'외운 것'!C2:C271,0,1),0),"2차")</f>
        <v>0</v>
      </c>
      <c r="M661" s="8" cm="1">
        <f t="array" ref="M661">IF(R661&lt;&gt;0,IF(O661&gt;=3,_xlfn.XLOOKUP(B661,'외운 것'!B2:B271,'외운 것'!D2:D271,0,1),0),"3차")</f>
        <v>0</v>
      </c>
      <c r="N661" s="8">
        <v>0</v>
      </c>
      <c r="O661" s="8">
        <v>3</v>
      </c>
      <c r="P661" s="8">
        <v>3</v>
      </c>
      <c r="Q661" s="8">
        <v>1</v>
      </c>
      <c r="R661" s="8">
        <v>1</v>
      </c>
    </row>
    <row r="662" ht="16" customHeight="1">
      <c r="A662" s="8">
        <v>661</v>
      </c>
      <c r="B662" s="8">
        <v>31</v>
      </c>
      <c r="C662" t="s" s="9">
        <v>2026</v>
      </c>
      <c r="D662" t="s" s="9">
        <v>1984</v>
      </c>
      <c r="E662" t="s" s="9">
        <v>2033</v>
      </c>
      <c r="F662" t="s" s="9">
        <v>2034</v>
      </c>
      <c r="G662" t="s" s="9">
        <v>2035</v>
      </c>
      <c r="H662" s="8" cm="1">
        <f t="array" ref="H662">MIN(SUMIF('외운 것'!A2:A271,A662,'외운 것'!D2:D271)+IF(R662=0,3,IF(R662=1,2,0)),3)</f>
        <v>3</v>
      </c>
      <c r="I662" s="8" cm="1">
        <f t="array" ref="I662">_xlfn.COUNTIFS('외운 것'!A2:A271,A662,'외운 것'!D2:D271,0)</f>
        <v>0</v>
      </c>
      <c r="J662" t="str" s="10" cm="1">
        <f t="array" ref="J662">IF(R662&lt;&gt;0,IF(H662&gt;=3,_xlfn.XLOOKUP(A662,'외운 것'!A2:A271,'외운 것'!C2:C271,0,1),0),"3차")</f>
        <v>3차</v>
      </c>
      <c r="K662" s="8" cm="1">
        <f t="array" ref="K662">IF(P662&lt;&gt;0,IF(N662&gt;=3,_xlfn.XLOOKUP(A662,'외운 것'!A2:A271,'외운 것'!C2:C271,0,1),0),"1차")</f>
        <v>0</v>
      </c>
      <c r="L662" s="8" cm="1">
        <f t="array" ref="L662">IF(Q662&lt;&gt;0,IF(N662&gt;=3,_xlfn.XLOOKUP(A662,'외운 것'!A2:A271,'외운 것'!C2:C271,0,1),0),"2차")</f>
        <v>0</v>
      </c>
      <c r="M662" t="str" s="11" cm="1">
        <f t="array" ref="M662">IF(R662&lt;&gt;0,IF(O662&gt;=3,_xlfn.XLOOKUP(B662,'외운 것'!B2:B271,'외운 것'!D2:D271,0,1),0),"3차")</f>
        <v>3차</v>
      </c>
      <c r="N662" s="8">
        <v>2</v>
      </c>
      <c r="O662" s="8">
        <v>3</v>
      </c>
      <c r="P662" s="8">
        <v>1</v>
      </c>
      <c r="Q662" s="8">
        <v>1</v>
      </c>
      <c r="R662" s="8">
        <v>0</v>
      </c>
    </row>
    <row r="663" ht="16" customHeight="1">
      <c r="A663" s="8">
        <v>662</v>
      </c>
      <c r="B663" s="8">
        <v>32</v>
      </c>
      <c r="C663" t="s" s="9">
        <v>2026</v>
      </c>
      <c r="D663" t="s" s="9">
        <v>1984</v>
      </c>
      <c r="E663" t="s" s="9">
        <v>2036</v>
      </c>
      <c r="F663" t="s" s="9">
        <v>2037</v>
      </c>
      <c r="G663" t="s" s="9">
        <v>2038</v>
      </c>
      <c r="H663" s="8" cm="1">
        <f t="array" ref="H663">MIN(SUMIF('외운 것'!A2:A271,A663,'외운 것'!D2:D271)+IF(R663=0,3,IF(R663=1,2,0)),3)</f>
        <v>3</v>
      </c>
      <c r="I663" s="8" cm="1">
        <f t="array" ref="I663">_xlfn.COUNTIFS('외운 것'!A2:A271,A663,'외운 것'!D2:D271,0)</f>
        <v>0</v>
      </c>
      <c r="J663" t="str" s="10" cm="1">
        <f t="array" ref="J663">IF(R663&lt;&gt;0,IF(H663&gt;=3,_xlfn.XLOOKUP(A663,'외운 것'!A2:A271,'외운 것'!C2:C271,0,1),0),"3차")</f>
        <v>3차</v>
      </c>
      <c r="K663" s="8" cm="1">
        <f t="array" ref="K663">IF(P663&lt;&gt;0,IF(N663&gt;=3,_xlfn.XLOOKUP(A663,'외운 것'!A2:A271,'외운 것'!C2:C271,0,1),0),"1차")</f>
        <v>0</v>
      </c>
      <c r="L663" t="str" s="11" cm="1">
        <f t="array" ref="L663">IF(Q663&lt;&gt;0,IF(N663&gt;=3,_xlfn.XLOOKUP(A663,'외운 것'!A2:A271,'외운 것'!C2:C271,0,1),0),"2차")</f>
        <v>2차</v>
      </c>
      <c r="M663" t="str" s="11" cm="1">
        <f t="array" ref="M663">IF(R663&lt;&gt;0,IF(O663&gt;=3,_xlfn.XLOOKUP(B663,'외운 것'!B2:B271,'외운 것'!D2:D271,0,1),0),"3차")</f>
        <v>3차</v>
      </c>
      <c r="N663" s="8">
        <v>0</v>
      </c>
      <c r="O663" s="8">
        <v>3</v>
      </c>
      <c r="P663" s="8">
        <v>3</v>
      </c>
      <c r="Q663" s="8">
        <v>0</v>
      </c>
      <c r="R663" s="8">
        <v>0</v>
      </c>
    </row>
    <row r="664" ht="16" customHeight="1">
      <c r="A664" s="8">
        <v>663</v>
      </c>
      <c r="B664" s="8">
        <v>33</v>
      </c>
      <c r="C664" t="s" s="9">
        <v>2039</v>
      </c>
      <c r="D664" t="s" s="9">
        <v>1984</v>
      </c>
      <c r="E664" t="s" s="9">
        <v>2040</v>
      </c>
      <c r="F664" t="s" s="9">
        <v>2041</v>
      </c>
      <c r="G664" t="s" s="9">
        <v>2042</v>
      </c>
      <c r="H664" s="8" cm="1">
        <f t="array" ref="H664">MIN(SUMIF('외운 것'!A2:A271,A664,'외운 것'!D2:D271)+IF(R664=0,3,IF(R664=1,2,0)),3)</f>
        <v>3</v>
      </c>
      <c r="I664" s="8" cm="1">
        <f t="array" ref="I664">_xlfn.COUNTIFS('외운 것'!A2:A271,A664,'외운 것'!D2:D271,0)</f>
        <v>0</v>
      </c>
      <c r="J664" t="str" s="10" cm="1">
        <f t="array" ref="J664">IF(R664&lt;&gt;0,IF(H664&gt;=3,_xlfn.XLOOKUP(A664,'외운 것'!A2:A271,'외운 것'!C2:C271,0,1),0),"3차")</f>
        <v>3차</v>
      </c>
      <c r="K664" s="8" cm="1">
        <f t="array" ref="K664">IF(P664&lt;&gt;0,IF(N664&gt;=3,_xlfn.XLOOKUP(A664,'외운 것'!A2:A271,'외운 것'!C2:C271,0,1),0),"1차")</f>
        <v>0</v>
      </c>
      <c r="L664" s="8" cm="1">
        <f t="array" ref="L664">IF(Q664&lt;&gt;0,IF(N664&gt;=3,_xlfn.XLOOKUP(A664,'외운 것'!A2:A271,'외운 것'!C2:C271,0,1),0),"2차")</f>
        <v>0</v>
      </c>
      <c r="M664" t="str" s="11" cm="1">
        <f t="array" ref="M664">IF(R664&lt;&gt;0,IF(O664&gt;=3,_xlfn.XLOOKUP(B664,'외운 것'!B2:B271,'외운 것'!D2:D271,0,1),0),"3차")</f>
        <v>3차</v>
      </c>
      <c r="N664" s="8">
        <v>0</v>
      </c>
      <c r="O664" s="8">
        <v>3</v>
      </c>
      <c r="P664" s="8">
        <v>2</v>
      </c>
      <c r="Q664" s="8">
        <v>1</v>
      </c>
      <c r="R664" s="8">
        <v>0</v>
      </c>
    </row>
    <row r="665" ht="16" customHeight="1">
      <c r="A665" s="8">
        <v>664</v>
      </c>
      <c r="B665" s="8">
        <v>34</v>
      </c>
      <c r="C665" t="s" s="9">
        <v>2039</v>
      </c>
      <c r="D665" t="s" s="9">
        <v>1984</v>
      </c>
      <c r="E665" t="s" s="9">
        <v>2043</v>
      </c>
      <c r="F665" t="s" s="9">
        <v>2044</v>
      </c>
      <c r="G665" t="s" s="9">
        <v>2045</v>
      </c>
      <c r="H665" s="8" cm="1">
        <f t="array" ref="H665">MIN(SUMIF('외운 것'!A2:A271,A665,'외운 것'!D2:D271)+IF(R665=0,3,IF(R665=1,2,0)),3)</f>
        <v>3</v>
      </c>
      <c r="I665" s="8" cm="1">
        <f t="array" ref="I665">_xlfn.COUNTIFS('외운 것'!A2:A271,A665,'외운 것'!D2:D271,0)</f>
        <v>0</v>
      </c>
      <c r="J665" t="str" s="10" cm="1">
        <f t="array" ref="J665">IF(R665&lt;&gt;0,IF(H665&gt;=3,_xlfn.XLOOKUP(A665,'외운 것'!A2:A271,'외운 것'!C2:C271,0,1),0),"3차")</f>
        <v>3차</v>
      </c>
      <c r="K665" s="8" cm="1">
        <f t="array" ref="K665">IF(P665&lt;&gt;0,IF(N665&gt;=3,_xlfn.XLOOKUP(A665,'외운 것'!A2:A271,'외운 것'!C2:C271,0,1),0),"1차")</f>
        <v>0</v>
      </c>
      <c r="L665" t="str" s="11" cm="1">
        <f t="array" ref="L665">IF(Q665&lt;&gt;0,IF(N665&gt;=3,_xlfn.XLOOKUP(A665,'외운 것'!A2:A271,'외운 것'!C2:C271,0,1),0),"2차")</f>
        <v>2차</v>
      </c>
      <c r="M665" t="str" s="11" cm="1">
        <f t="array" ref="M665">IF(R665&lt;&gt;0,IF(O665&gt;=3,_xlfn.XLOOKUP(B665,'외운 것'!B2:B271,'외운 것'!D2:D271,0,1),0),"3차")</f>
        <v>3차</v>
      </c>
      <c r="N665" s="8">
        <v>0</v>
      </c>
      <c r="O665" s="8">
        <v>3</v>
      </c>
      <c r="P665" s="8">
        <v>2</v>
      </c>
      <c r="Q665" s="8">
        <v>0</v>
      </c>
      <c r="R665" s="8">
        <v>0</v>
      </c>
    </row>
    <row r="666" ht="16" customHeight="1">
      <c r="A666" s="8">
        <v>665</v>
      </c>
      <c r="B666" s="8">
        <v>35</v>
      </c>
      <c r="C666" t="s" s="9">
        <v>2046</v>
      </c>
      <c r="D666" t="s" s="9">
        <v>1984</v>
      </c>
      <c r="E666" t="s" s="9">
        <v>2047</v>
      </c>
      <c r="F666" t="s" s="9">
        <v>2048</v>
      </c>
      <c r="G666" t="s" s="9">
        <v>2049</v>
      </c>
      <c r="H666" s="8" cm="1">
        <f t="array" ref="H666">MIN(SUMIF('외운 것'!A2:A271,A666,'외운 것'!D2:D271)+IF(R666=0,3,IF(R666=1,2,0)),3)</f>
        <v>3</v>
      </c>
      <c r="I666" s="8" cm="1">
        <f t="array" ref="I666">_xlfn.COUNTIFS('외운 것'!A2:A271,A666,'외운 것'!D2:D271,0)</f>
        <v>0</v>
      </c>
      <c r="J666" t="str" s="10" cm="1">
        <f t="array" ref="J666">IF(R666&lt;&gt;0,IF(H666&gt;=3,_xlfn.XLOOKUP(A666,'외운 것'!A2:A271,'외운 것'!C2:C271,0,1),0),"3차")</f>
        <v>3차</v>
      </c>
      <c r="K666" s="8" cm="1">
        <f t="array" ref="K666">IF(P666&lt;&gt;0,IF(N666&gt;=3,_xlfn.XLOOKUP(A666,'외운 것'!A2:A271,'외운 것'!C2:C271,0,1),0),"1차")</f>
        <v>0</v>
      </c>
      <c r="L666" t="str" s="11" cm="1">
        <f t="array" ref="L666">IF(Q666&lt;&gt;0,IF(N666&gt;=3,_xlfn.XLOOKUP(A666,'외운 것'!A2:A271,'외운 것'!C2:C271,0,1),0),"2차")</f>
        <v>2차</v>
      </c>
      <c r="M666" t="str" s="11" cm="1">
        <f t="array" ref="M666">IF(R666&lt;&gt;0,IF(O666&gt;=3,_xlfn.XLOOKUP(B666,'외운 것'!B2:B271,'외운 것'!D2:D271,0,1),0),"3차")</f>
        <v>3차</v>
      </c>
      <c r="N666" s="8">
        <v>2</v>
      </c>
      <c r="O666" s="8">
        <v>3</v>
      </c>
      <c r="P666" s="8">
        <v>1</v>
      </c>
      <c r="Q666" s="8">
        <v>0</v>
      </c>
      <c r="R666" s="8">
        <v>0</v>
      </c>
    </row>
    <row r="667" ht="16" customHeight="1">
      <c r="A667" s="8">
        <v>666</v>
      </c>
      <c r="B667" s="8">
        <v>36</v>
      </c>
      <c r="C667" t="s" s="9">
        <v>2050</v>
      </c>
      <c r="D667" t="s" s="9">
        <v>1984</v>
      </c>
      <c r="E667" t="s" s="9">
        <v>2051</v>
      </c>
      <c r="F667" t="s" s="9">
        <v>2052</v>
      </c>
      <c r="G667" t="s" s="9">
        <v>2053</v>
      </c>
      <c r="H667" s="8" cm="1">
        <f t="array" ref="H667">MIN(SUMIF('외운 것'!A2:A271,A667,'외운 것'!D2:D271)+IF(R667=0,3,IF(R667=1,2,0)),3)</f>
        <v>3</v>
      </c>
      <c r="I667" s="8" cm="1">
        <f t="array" ref="I667">_xlfn.COUNTIFS('외운 것'!A2:A271,A667,'외운 것'!D2:D271,0)</f>
        <v>0</v>
      </c>
      <c r="J667" t="str" s="10" cm="1">
        <f t="array" ref="J667">IF(R667&lt;&gt;0,IF(H667&gt;=3,_xlfn.XLOOKUP(A667,'외운 것'!A2:A271,'외운 것'!C2:C271,0,1),0),"3차")</f>
        <v>3차</v>
      </c>
      <c r="K667" s="8" cm="1">
        <f t="array" ref="K667">IF(P667&lt;&gt;0,IF(N667&gt;=3,_xlfn.XLOOKUP(A667,'외운 것'!A2:A271,'외운 것'!C2:C271,0,1),0),"1차")</f>
        <v>0</v>
      </c>
      <c r="L667" t="str" s="11" cm="1">
        <f t="array" ref="L667">IF(Q667&lt;&gt;0,IF(N667&gt;=3,_xlfn.XLOOKUP(A667,'외운 것'!A2:A271,'외운 것'!C2:C271,0,1),0),"2차")</f>
        <v>2차</v>
      </c>
      <c r="M667" t="str" s="11" cm="1">
        <f t="array" ref="M667">IF(R667&lt;&gt;0,IF(O667&gt;=3,_xlfn.XLOOKUP(B667,'외운 것'!B2:B271,'외운 것'!D2:D271,0,1),0),"3차")</f>
        <v>3차</v>
      </c>
      <c r="N667" s="8">
        <v>0</v>
      </c>
      <c r="O667" s="8">
        <v>3</v>
      </c>
      <c r="P667" s="8">
        <v>3</v>
      </c>
      <c r="Q667" s="8">
        <v>0</v>
      </c>
      <c r="R667" s="8">
        <v>0</v>
      </c>
    </row>
    <row r="668" ht="16" customHeight="1">
      <c r="A668" s="8">
        <v>667</v>
      </c>
      <c r="B668" s="8">
        <v>37</v>
      </c>
      <c r="C668" t="s" s="9">
        <v>2054</v>
      </c>
      <c r="D668" t="s" s="9">
        <v>1984</v>
      </c>
      <c r="E668" t="s" s="9">
        <v>2055</v>
      </c>
      <c r="F668" t="s" s="9">
        <v>2056</v>
      </c>
      <c r="G668" t="s" s="9">
        <v>2057</v>
      </c>
      <c r="H668" s="8" cm="1">
        <f t="array" ref="H668">MIN(SUMIF('외운 것'!A2:A271,A668,'외운 것'!D2:D271)+IF(R668=0,3,IF(R668=1,2,0)),3)</f>
        <v>3</v>
      </c>
      <c r="I668" s="8" cm="1">
        <f t="array" ref="I668">_xlfn.COUNTIFS('외운 것'!A2:A271,A668,'외운 것'!D2:D271,0)</f>
        <v>0</v>
      </c>
      <c r="J668" t="str" s="10" cm="1">
        <f t="array" ref="J668">IF(R668&lt;&gt;0,IF(H668&gt;=3,_xlfn.XLOOKUP(A668,'외운 것'!A2:A271,'외운 것'!C2:C271,0,1),0),"3차")</f>
        <v>3차</v>
      </c>
      <c r="K668" t="str" s="11" cm="1">
        <f t="array" ref="K668">IF(P668&lt;&gt;0,IF(N668&gt;=3,_xlfn.XLOOKUP(A668,'외운 것'!A2:A271,'외운 것'!C2:C271,0,1),0),"1차")</f>
        <v>1차</v>
      </c>
      <c r="L668" t="str" s="11" cm="1">
        <f t="array" ref="L668">IF(Q668&lt;&gt;0,IF(N668&gt;=3,_xlfn.XLOOKUP(A668,'외운 것'!A2:A271,'외운 것'!C2:C271,0,1),0),"2차")</f>
        <v>2차</v>
      </c>
      <c r="M668" t="str" s="11" cm="1">
        <f t="array" ref="M668">IF(R668&lt;&gt;0,IF(O668&gt;=3,_xlfn.XLOOKUP(B668,'외운 것'!B2:B271,'외운 것'!D2:D271,0,1),0),"3차")</f>
        <v>3차</v>
      </c>
      <c r="N668" s="8">
        <v>3</v>
      </c>
      <c r="O668" s="8">
        <v>3</v>
      </c>
      <c r="P668" s="8">
        <v>0</v>
      </c>
      <c r="Q668" s="8">
        <v>0</v>
      </c>
      <c r="R668" s="8">
        <v>0</v>
      </c>
    </row>
    <row r="669" ht="17.25" customHeight="1">
      <c r="A669" s="8">
        <v>668</v>
      </c>
      <c r="B669" s="8">
        <v>1</v>
      </c>
      <c r="C669" t="s" s="9">
        <v>236</v>
      </c>
      <c r="D669" t="s" s="9">
        <v>236</v>
      </c>
      <c r="E669" t="s" s="9">
        <v>2058</v>
      </c>
      <c r="F669" t="s" s="9">
        <v>2059</v>
      </c>
      <c r="G669" t="s" s="9">
        <v>2060</v>
      </c>
      <c r="H669" s="8" cm="1">
        <f t="array" ref="H669">MIN(SUMIF('외운 것'!A2:A271,A669,'외운 것'!D2:D271)+IF(R669=0,3,IF(R669=1,2,0)),3)</f>
        <v>3</v>
      </c>
      <c r="I669" s="8" cm="1">
        <f t="array" ref="I669">_xlfn.COUNTIFS('외운 것'!A2:A271,A669,'외운 것'!D2:D271,0)</f>
        <v>0</v>
      </c>
      <c r="J669" t="str" s="10" cm="1">
        <f t="array" ref="J669">IF(R669&lt;&gt;0,IF(H669&gt;=3,_xlfn.XLOOKUP(A669,'외운 것'!A2:A271,'외운 것'!C2:C271,0,1),0),"3차")</f>
        <v>3차</v>
      </c>
      <c r="K669" s="8" cm="1">
        <f t="array" ref="K669">IF(P669&lt;&gt;0,IF(N669&gt;=3,_xlfn.XLOOKUP(A669,'외운 것'!A2:A271,'외운 것'!C2:C271,0,1),0),"1차")</f>
        <v>0</v>
      </c>
      <c r="L669" s="8" cm="1">
        <f t="array" ref="L669">IF(Q669&lt;&gt;0,IF(N669&gt;=3,_xlfn.XLOOKUP(A669,'외운 것'!A2:A271,'외운 것'!C2:C271,0,1),0),"2차")</f>
        <v>0</v>
      </c>
      <c r="M669" t="str" s="11" cm="1">
        <f t="array" ref="M669">IF(R669&lt;&gt;0,IF(O669&gt;=3,_xlfn.XLOOKUP(B669,'외운 것'!B2:B271,'외운 것'!D2:D271,0,1),0),"3차")</f>
        <v>3차</v>
      </c>
      <c r="N669" s="8">
        <v>0</v>
      </c>
      <c r="O669" s="8">
        <v>3</v>
      </c>
      <c r="P669" s="8">
        <v>2</v>
      </c>
      <c r="Q669" s="8">
        <v>1</v>
      </c>
      <c r="R669" s="8">
        <v>0</v>
      </c>
    </row>
    <row r="670" ht="17.25" customHeight="1">
      <c r="A670" s="8">
        <v>669</v>
      </c>
      <c r="B670" s="8">
        <v>2</v>
      </c>
      <c r="C670" t="s" s="9">
        <v>236</v>
      </c>
      <c r="D670" t="s" s="9">
        <v>236</v>
      </c>
      <c r="E670" t="s" s="9">
        <v>2061</v>
      </c>
      <c r="F670" t="s" s="9">
        <v>2062</v>
      </c>
      <c r="G670" t="s" s="9">
        <v>2063</v>
      </c>
      <c r="H670" s="8" cm="1">
        <f t="array" ref="H670">MIN(SUMIF('외운 것'!A2:A271,A670,'외운 것'!D2:D271)+IF(R670=0,3,IF(R670=1,2,0)),3)</f>
        <v>3</v>
      </c>
      <c r="I670" s="8" cm="1">
        <f t="array" ref="I670">_xlfn.COUNTIFS('외운 것'!A2:A271,A670,'외운 것'!D2:D271,0)</f>
        <v>0</v>
      </c>
      <c r="J670" t="str" s="10" cm="1">
        <f t="array" ref="J670">IF(R670&lt;&gt;0,IF(H670&gt;=3,_xlfn.XLOOKUP(A670,'외운 것'!A2:A271,'외운 것'!C2:C271,0,1),0),"3차")</f>
        <v>3차</v>
      </c>
      <c r="K670" t="str" s="11" cm="1">
        <f t="array" ref="K670">IF(P670&lt;&gt;0,IF(N670&gt;=3,_xlfn.XLOOKUP(A670,'외운 것'!A2:A271,'외운 것'!C2:C271,0,1),0),"1차")</f>
        <v>1차</v>
      </c>
      <c r="L670" t="str" s="11" cm="1">
        <f t="array" ref="L670">IF(Q670&lt;&gt;0,IF(N670&gt;=3,_xlfn.XLOOKUP(A670,'외운 것'!A2:A271,'외운 것'!C2:C271,0,1),0),"2차")</f>
        <v>2차</v>
      </c>
      <c r="M670" t="str" s="11" cm="1">
        <f t="array" ref="M670">IF(R670&lt;&gt;0,IF(O670&gt;=3,_xlfn.XLOOKUP(B670,'외운 것'!B2:B271,'외운 것'!D2:D271,0,1),0),"3차")</f>
        <v>3차</v>
      </c>
      <c r="N670" s="8">
        <v>3</v>
      </c>
      <c r="O670" s="8">
        <v>3</v>
      </c>
      <c r="P670" s="8">
        <v>0</v>
      </c>
      <c r="Q670" s="8">
        <v>0</v>
      </c>
      <c r="R670" s="8">
        <v>0</v>
      </c>
    </row>
    <row r="671" ht="17.25" customHeight="1">
      <c r="A671" s="8">
        <v>670</v>
      </c>
      <c r="B671" s="8">
        <v>3</v>
      </c>
      <c r="C671" t="s" s="9">
        <v>236</v>
      </c>
      <c r="D671" t="s" s="9">
        <v>236</v>
      </c>
      <c r="E671" t="s" s="9">
        <v>2064</v>
      </c>
      <c r="F671" t="s" s="9">
        <v>2065</v>
      </c>
      <c r="G671" t="s" s="9">
        <v>2066</v>
      </c>
      <c r="H671" s="8" cm="1">
        <f t="array" ref="H671">MIN(SUMIF('외운 것'!A2:A271,A671,'외운 것'!D2:D271)+IF(R671=0,3,IF(R671=1,2,0)),3)</f>
        <v>2</v>
      </c>
      <c r="I671" s="8" cm="1">
        <f t="array" ref="I671">_xlfn.COUNTIFS('외운 것'!A2:A271,A671,'외운 것'!D2:D271,0)</f>
        <v>0</v>
      </c>
      <c r="J671" s="19" cm="1">
        <f t="array" ref="J671">IF(R671&lt;&gt;0,IF(H671&gt;=3,_xlfn.XLOOKUP(A671,'외운 것'!A2:A271,'외운 것'!C2:C271,0,1),0),"3차")</f>
        <v>0</v>
      </c>
      <c r="K671" s="8" cm="1">
        <f t="array" ref="K671">IF(P671&lt;&gt;0,IF(N671&gt;=3,_xlfn.XLOOKUP(A671,'외운 것'!A2:A271,'외운 것'!C2:C271,0,1),0),"1차")</f>
        <v>0</v>
      </c>
      <c r="L671" s="8" cm="1">
        <f t="array" ref="L671">IF(Q671&lt;&gt;0,IF(N671&gt;=3,_xlfn.XLOOKUP(A671,'외운 것'!A2:A271,'외운 것'!C2:C271,0,1),0),"2차")</f>
        <v>0</v>
      </c>
      <c r="M671" s="8" cm="1">
        <f t="array" ref="M671">IF(R671&lt;&gt;0,IF(O671&gt;=3,_xlfn.XLOOKUP(B671,'외운 것'!B2:B271,'외운 것'!D2:D271,0,1),0),"3차")</f>
        <v>0</v>
      </c>
      <c r="N671" s="8">
        <v>2</v>
      </c>
      <c r="O671" s="8">
        <v>3</v>
      </c>
      <c r="P671" s="8">
        <v>1</v>
      </c>
      <c r="Q671" s="8">
        <v>1</v>
      </c>
      <c r="R671" s="8">
        <v>1</v>
      </c>
    </row>
    <row r="672" ht="17.25" customHeight="1">
      <c r="A672" s="8">
        <v>671</v>
      </c>
      <c r="B672" s="8">
        <v>4</v>
      </c>
      <c r="C672" t="s" s="9">
        <v>236</v>
      </c>
      <c r="D672" t="s" s="9">
        <v>236</v>
      </c>
      <c r="E672" t="s" s="9">
        <v>2067</v>
      </c>
      <c r="F672" t="s" s="9">
        <v>2068</v>
      </c>
      <c r="G672" t="s" s="9">
        <v>2069</v>
      </c>
      <c r="H672" s="8" cm="1">
        <f t="array" ref="H672">MIN(SUMIF('외운 것'!A2:A271,A672,'외운 것'!D2:D271)+IF(R672=0,3,IF(R672=1,2,0)),3)</f>
        <v>3</v>
      </c>
      <c r="I672" s="8" cm="1">
        <f t="array" ref="I672">_xlfn.COUNTIFS('외운 것'!A2:A271,A672,'외운 것'!D2:D271,0)</f>
        <v>0</v>
      </c>
      <c r="J672" t="str" s="10" cm="1">
        <f t="array" ref="J672">IF(R672&lt;&gt;0,IF(H672&gt;=3,_xlfn.XLOOKUP(A672,'외운 것'!A2:A271,'외운 것'!C2:C271,0,1),0),"3차")</f>
        <v>3차</v>
      </c>
      <c r="K672" t="str" s="11" cm="1">
        <f t="array" ref="K672">IF(P672&lt;&gt;0,IF(N672&gt;=3,_xlfn.XLOOKUP(A672,'외운 것'!A2:A271,'외운 것'!C2:C271,0,1),0),"1차")</f>
        <v>1차</v>
      </c>
      <c r="L672" t="str" s="11" cm="1">
        <f t="array" ref="L672">IF(Q672&lt;&gt;0,IF(N672&gt;=3,_xlfn.XLOOKUP(A672,'외운 것'!A2:A271,'외운 것'!C2:C271,0,1),0),"2차")</f>
        <v>2차</v>
      </c>
      <c r="M672" t="str" s="11" cm="1">
        <f t="array" ref="M672">IF(R672&lt;&gt;0,IF(O672&gt;=3,_xlfn.XLOOKUP(B672,'외운 것'!B2:B271,'외운 것'!D2:D271,0,1),0),"3차")</f>
        <v>3차</v>
      </c>
      <c r="N672" s="8">
        <v>3</v>
      </c>
      <c r="O672" s="8">
        <v>3</v>
      </c>
      <c r="P672" s="8">
        <v>0</v>
      </c>
      <c r="Q672" s="8">
        <v>0</v>
      </c>
      <c r="R672" s="8">
        <v>0</v>
      </c>
    </row>
    <row r="673" ht="17.25" customHeight="1">
      <c r="A673" s="8">
        <v>672</v>
      </c>
      <c r="B673" s="8">
        <v>5</v>
      </c>
      <c r="C673" t="s" s="9">
        <v>236</v>
      </c>
      <c r="D673" t="s" s="9">
        <v>236</v>
      </c>
      <c r="E673" t="s" s="9">
        <v>2070</v>
      </c>
      <c r="F673" t="s" s="9">
        <v>2071</v>
      </c>
      <c r="G673" t="s" s="9">
        <v>2072</v>
      </c>
      <c r="H673" s="8" cm="1">
        <f t="array" ref="H673">MIN(SUMIF('외운 것'!A2:A271,A673,'외운 것'!D2:D271)+IF(R673=0,3,IF(R673=1,2,0)),3)</f>
        <v>3</v>
      </c>
      <c r="I673" s="8" cm="1">
        <f t="array" ref="I673">_xlfn.COUNTIFS('외운 것'!A2:A271,A673,'외운 것'!D2:D271,0)</f>
        <v>0</v>
      </c>
      <c r="J673" t="str" s="10" cm="1">
        <f t="array" ref="J673">IF(R673&lt;&gt;0,IF(H673&gt;=3,_xlfn.XLOOKUP(A673,'외운 것'!A2:A271,'외운 것'!C2:C271,0,1),0),"3차")</f>
        <v>3차</v>
      </c>
      <c r="K673" t="str" s="11" cm="1">
        <f t="array" ref="K673">IF(P673&lt;&gt;0,IF(N673&gt;=3,_xlfn.XLOOKUP(A673,'외운 것'!A2:A271,'외운 것'!C2:C271,0,1),0),"1차")</f>
        <v>1차</v>
      </c>
      <c r="L673" t="str" s="11" cm="1">
        <f t="array" ref="L673">IF(Q673&lt;&gt;0,IF(N673&gt;=3,_xlfn.XLOOKUP(A673,'외운 것'!A2:A271,'외운 것'!C2:C271,0,1),0),"2차")</f>
        <v>2차</v>
      </c>
      <c r="M673" t="str" s="11" cm="1">
        <f t="array" ref="M673">IF(R673&lt;&gt;0,IF(O673&gt;=3,_xlfn.XLOOKUP(B673,'외운 것'!B2:B271,'외운 것'!D2:D271,0,1),0),"3차")</f>
        <v>3차</v>
      </c>
      <c r="N673" s="8">
        <v>3</v>
      </c>
      <c r="O673" s="8">
        <v>3</v>
      </c>
      <c r="P673" s="8">
        <v>0</v>
      </c>
      <c r="Q673" s="8">
        <v>0</v>
      </c>
      <c r="R673" s="8">
        <v>0</v>
      </c>
    </row>
    <row r="674" ht="17.25" customHeight="1">
      <c r="A674" s="8">
        <v>673</v>
      </c>
      <c r="B674" s="8">
        <v>6</v>
      </c>
      <c r="C674" t="s" s="9">
        <v>236</v>
      </c>
      <c r="D674" t="s" s="9">
        <v>236</v>
      </c>
      <c r="E674" t="s" s="9">
        <v>2073</v>
      </c>
      <c r="F674" t="s" s="9">
        <v>2074</v>
      </c>
      <c r="G674" t="s" s="9">
        <v>2075</v>
      </c>
      <c r="H674" s="8" cm="1">
        <f t="array" ref="H674">MIN(SUMIF('외운 것'!A2:A271,A674,'외운 것'!D2:D271)+IF(R674=0,3,IF(R674=1,2,0)),3)</f>
        <v>3</v>
      </c>
      <c r="I674" s="8" cm="1">
        <f t="array" ref="I674">_xlfn.COUNTIFS('외운 것'!A2:A271,A674,'외운 것'!D2:D271,0)</f>
        <v>0</v>
      </c>
      <c r="J674" t="str" s="10" cm="1">
        <f t="array" ref="J674">IF(R674&lt;&gt;0,IF(H674&gt;=3,_xlfn.XLOOKUP(A674,'외운 것'!A2:A271,'외운 것'!C2:C271,0,1),0),"3차")</f>
        <v>3차</v>
      </c>
      <c r="K674" s="8" cm="1">
        <f t="array" ref="K674">IF(P674&lt;&gt;0,IF(N674&gt;=3,_xlfn.XLOOKUP(A674,'외운 것'!A2:A271,'외운 것'!C2:C271,0,1),0),"1차")</f>
        <v>0</v>
      </c>
      <c r="L674" t="str" s="11" cm="1">
        <f t="array" ref="L674">IF(Q674&lt;&gt;0,IF(N674&gt;=3,_xlfn.XLOOKUP(A674,'외운 것'!A2:A271,'외운 것'!C2:C271,0,1),0),"2차")</f>
        <v>2차</v>
      </c>
      <c r="M674" t="str" s="11" cm="1">
        <f t="array" ref="M674">IF(R674&lt;&gt;0,IF(O674&gt;=3,_xlfn.XLOOKUP(B674,'외운 것'!B2:B271,'외운 것'!D2:D271,0,1),0),"3차")</f>
        <v>3차</v>
      </c>
      <c r="N674" s="8">
        <v>2</v>
      </c>
      <c r="O674" s="8">
        <v>3</v>
      </c>
      <c r="P674" s="8">
        <v>1</v>
      </c>
      <c r="Q674" s="8">
        <v>0</v>
      </c>
      <c r="R674" s="8">
        <v>0</v>
      </c>
    </row>
    <row r="675" ht="17.25" customHeight="1">
      <c r="A675" s="8">
        <v>674</v>
      </c>
      <c r="B675" s="8">
        <v>7</v>
      </c>
      <c r="C675" t="s" s="9">
        <v>236</v>
      </c>
      <c r="D675" t="s" s="9">
        <v>236</v>
      </c>
      <c r="E675" t="s" s="9">
        <v>2076</v>
      </c>
      <c r="F675" t="s" s="9">
        <v>2077</v>
      </c>
      <c r="G675" t="s" s="9">
        <v>2078</v>
      </c>
      <c r="H675" s="8" cm="1">
        <f t="array" ref="H675">MIN(SUMIF('외운 것'!A2:A271,A675,'외운 것'!D2:D271)+IF(R675=0,3,IF(R675=1,2,0)),3)</f>
        <v>3</v>
      </c>
      <c r="I675" s="8" cm="1">
        <f t="array" ref="I675">_xlfn.COUNTIFS('외운 것'!A2:A271,A675,'외운 것'!D2:D271,0)</f>
        <v>0</v>
      </c>
      <c r="J675" t="str" s="10" cm="1">
        <f t="array" ref="J675">IF(R675&lt;&gt;0,IF(H675&gt;=3,_xlfn.XLOOKUP(A675,'외운 것'!A2:A271,'외운 것'!C2:C271,0,1),0),"3차")</f>
        <v>3차</v>
      </c>
      <c r="K675" s="8" cm="1">
        <f t="array" ref="K675">IF(P675&lt;&gt;0,IF(N675&gt;=3,_xlfn.XLOOKUP(A675,'외운 것'!A2:A271,'외운 것'!C2:C271,0,1),0),"1차")</f>
        <v>0</v>
      </c>
      <c r="L675" s="8" cm="1">
        <f t="array" ref="L675">IF(Q675&lt;&gt;0,IF(N675&gt;=3,_xlfn.XLOOKUP(A675,'외운 것'!A2:A271,'외운 것'!C2:C271,0,1),0),"2차")</f>
        <v>0</v>
      </c>
      <c r="M675" t="str" s="11" cm="1">
        <f t="array" ref="M675">IF(R675&lt;&gt;0,IF(O675&gt;=3,_xlfn.XLOOKUP(B675,'외운 것'!B2:B271,'외운 것'!D2:D271,0,1),0),"3차")</f>
        <v>3차</v>
      </c>
      <c r="N675" s="8">
        <v>0</v>
      </c>
      <c r="O675" s="8">
        <v>3</v>
      </c>
      <c r="P675" s="8">
        <v>2</v>
      </c>
      <c r="Q675" s="8">
        <v>1</v>
      </c>
      <c r="R675" s="8">
        <v>0</v>
      </c>
    </row>
    <row r="676" ht="17.25" customHeight="1">
      <c r="A676" s="8">
        <v>675</v>
      </c>
      <c r="B676" s="8">
        <v>8</v>
      </c>
      <c r="C676" t="s" s="9">
        <v>236</v>
      </c>
      <c r="D676" t="s" s="9">
        <v>236</v>
      </c>
      <c r="E676" t="s" s="9">
        <v>2079</v>
      </c>
      <c r="F676" t="s" s="9">
        <v>2080</v>
      </c>
      <c r="G676" t="s" s="9">
        <v>2081</v>
      </c>
      <c r="H676" s="8" cm="1">
        <f t="array" ref="H676">MIN(SUMIF('외운 것'!A2:A271,A676,'외운 것'!D2:D271)+IF(R676=0,3,IF(R676=1,2,0)),3)</f>
        <v>0</v>
      </c>
      <c r="I676" s="8" cm="1">
        <f t="array" ref="I676">_xlfn.COUNTIFS('외운 것'!A2:A271,A676,'외운 것'!D2:D271,0)</f>
        <v>0</v>
      </c>
      <c r="J676" s="19" cm="1">
        <f t="array" ref="J676">IF(R676&lt;&gt;0,IF(H676&gt;=3,_xlfn.XLOOKUP(A676,'외운 것'!A2:A271,'외운 것'!C2:C271,0,1),0),"3차")</f>
        <v>0</v>
      </c>
      <c r="K676" s="8" cm="1">
        <f t="array" ref="K676">IF(P676&lt;&gt;0,IF(N676&gt;=3,_xlfn.XLOOKUP(A676,'외운 것'!A2:A271,'외운 것'!C2:C271,0,1),0),"1차")</f>
        <v>0</v>
      </c>
      <c r="L676" s="8" cm="1">
        <f t="array" ref="L676">IF(Q676&lt;&gt;0,IF(N676&gt;=3,_xlfn.XLOOKUP(A676,'외운 것'!A2:A271,'외운 것'!C2:C271,0,1),0),"2차")</f>
        <v>0</v>
      </c>
      <c r="M676" s="8" cm="1">
        <f t="array" ref="M676">IF(R676&lt;&gt;0,IF(O676&gt;=3,_xlfn.XLOOKUP(B676,'외운 것'!B2:B271,'외운 것'!D2:D271,0,1),0),"3차")</f>
        <v>0</v>
      </c>
      <c r="N676" s="8">
        <v>0</v>
      </c>
      <c r="O676" s="8">
        <v>3</v>
      </c>
      <c r="P676" s="8">
        <v>3</v>
      </c>
      <c r="Q676" s="8">
        <v>2</v>
      </c>
      <c r="R676" s="8">
        <v>2</v>
      </c>
    </row>
    <row r="677" ht="17.25" customHeight="1">
      <c r="A677" s="8">
        <v>676</v>
      </c>
      <c r="B677" s="8">
        <v>9</v>
      </c>
      <c r="C677" t="s" s="9">
        <v>236</v>
      </c>
      <c r="D677" t="s" s="9">
        <v>236</v>
      </c>
      <c r="E677" t="s" s="9">
        <v>2082</v>
      </c>
      <c r="F677" t="s" s="9">
        <v>2083</v>
      </c>
      <c r="G677" t="s" s="9">
        <v>2084</v>
      </c>
      <c r="H677" s="8" cm="1">
        <f t="array" ref="H677">MIN(SUMIF('외운 것'!A2:A271,A677,'외운 것'!D2:D271)+IF(R677=0,3,IF(R677=1,2,0)),3)</f>
        <v>3</v>
      </c>
      <c r="I677" s="8" cm="1">
        <f t="array" ref="I677">_xlfn.COUNTIFS('외운 것'!A2:A271,A677,'외운 것'!D2:D271,0)</f>
        <v>0</v>
      </c>
      <c r="J677" t="str" s="10" cm="1">
        <f t="array" ref="J677">IF(R677&lt;&gt;0,IF(H677&gt;=3,_xlfn.XLOOKUP(A677,'외운 것'!A2:A271,'외운 것'!C2:C271,0,1),0),"3차")</f>
        <v>3차</v>
      </c>
      <c r="K677" s="8" cm="1">
        <f t="array" ref="K677">IF(P677&lt;&gt;0,IF(N677&gt;=3,_xlfn.XLOOKUP(A677,'외운 것'!A2:A271,'외운 것'!C2:C271,0,1),0),"1차")</f>
        <v>0</v>
      </c>
      <c r="L677" t="str" s="11" cm="1">
        <f t="array" ref="L677">IF(Q677&lt;&gt;0,IF(N677&gt;=3,_xlfn.XLOOKUP(A677,'외운 것'!A2:A271,'외운 것'!C2:C271,0,1),0),"2차")</f>
        <v>2차</v>
      </c>
      <c r="M677" t="str" s="11" cm="1">
        <f t="array" ref="M677">IF(R677&lt;&gt;0,IF(O677&gt;=3,_xlfn.XLOOKUP(B677,'외운 것'!B2:B271,'외운 것'!D2:D271,0,1),0),"3차")</f>
        <v>3차</v>
      </c>
      <c r="N677" s="8">
        <v>0</v>
      </c>
      <c r="O677" s="8">
        <v>3</v>
      </c>
      <c r="P677" s="8">
        <v>2</v>
      </c>
      <c r="Q677" s="8">
        <v>0</v>
      </c>
      <c r="R677" s="8">
        <v>0</v>
      </c>
    </row>
    <row r="678" ht="17.25" customHeight="1">
      <c r="A678" s="8">
        <v>677</v>
      </c>
      <c r="B678" s="8">
        <v>10</v>
      </c>
      <c r="C678" t="s" s="9">
        <v>236</v>
      </c>
      <c r="D678" t="s" s="9">
        <v>236</v>
      </c>
      <c r="E678" t="s" s="9">
        <v>2085</v>
      </c>
      <c r="F678" t="s" s="9">
        <v>2086</v>
      </c>
      <c r="G678" t="s" s="9">
        <v>2087</v>
      </c>
      <c r="H678" s="8" cm="1">
        <f t="array" ref="H678">MIN(SUMIF('외운 것'!A2:A271,A678,'외운 것'!D2:D271)+IF(R678=0,3,IF(R678=1,2,0)),3)</f>
        <v>2</v>
      </c>
      <c r="I678" s="8" cm="1">
        <f t="array" ref="I678">_xlfn.COUNTIFS('외운 것'!A2:A271,A678,'외운 것'!D2:D271,0)</f>
        <v>0</v>
      </c>
      <c r="J678" s="19" cm="1">
        <f t="array" ref="J678">IF(R678&lt;&gt;0,IF(H678&gt;=3,_xlfn.XLOOKUP(A678,'외운 것'!A2:A271,'외운 것'!C2:C271,0,1),0),"3차")</f>
        <v>0</v>
      </c>
      <c r="K678" s="8" cm="1">
        <f t="array" ref="K678">IF(P678&lt;&gt;0,IF(N678&gt;=3,_xlfn.XLOOKUP(A678,'외운 것'!A2:A271,'외운 것'!C2:C271,0,1),0),"1차")</f>
        <v>0</v>
      </c>
      <c r="L678" s="8" cm="1">
        <f t="array" ref="L678">IF(Q678&lt;&gt;0,IF(N678&gt;=3,_xlfn.XLOOKUP(A678,'외운 것'!A2:A271,'외운 것'!C2:C271,0,1),0),"2차")</f>
        <v>0</v>
      </c>
      <c r="M678" s="8" cm="1">
        <f t="array" ref="M678">IF(R678&lt;&gt;0,IF(O678&gt;=3,_xlfn.XLOOKUP(B678,'외운 것'!B2:B271,'외운 것'!D2:D271,0,1),0),"3차")</f>
        <v>0</v>
      </c>
      <c r="N678" s="8">
        <v>0</v>
      </c>
      <c r="O678" s="8">
        <v>3</v>
      </c>
      <c r="P678" s="8">
        <v>3</v>
      </c>
      <c r="Q678" s="8">
        <v>2</v>
      </c>
      <c r="R678" s="8">
        <v>1</v>
      </c>
    </row>
    <row r="679" ht="17.25" customHeight="1">
      <c r="A679" s="8">
        <v>678</v>
      </c>
      <c r="B679" s="8">
        <v>11</v>
      </c>
      <c r="C679" t="s" s="9">
        <v>236</v>
      </c>
      <c r="D679" t="s" s="9">
        <v>236</v>
      </c>
      <c r="E679" t="s" s="9">
        <v>2088</v>
      </c>
      <c r="F679" t="s" s="9">
        <v>2089</v>
      </c>
      <c r="G679" t="s" s="9">
        <v>2090</v>
      </c>
      <c r="H679" s="8" cm="1">
        <f t="array" ref="H679">MIN(SUMIF('외운 것'!A2:A271,A679,'외운 것'!D2:D271)+IF(R679=0,3,IF(R679=1,2,0)),3)</f>
        <v>3</v>
      </c>
      <c r="I679" s="8" cm="1">
        <f t="array" ref="I679">_xlfn.COUNTIFS('외운 것'!A2:A271,A679,'외운 것'!D2:D271,0)</f>
        <v>0</v>
      </c>
      <c r="J679" t="str" s="10" cm="1">
        <f t="array" ref="J679">IF(R679&lt;&gt;0,IF(H679&gt;=3,_xlfn.XLOOKUP(A679,'외운 것'!A2:A271,'외운 것'!C2:C271,0,1),0),"3차")</f>
        <v>3차</v>
      </c>
      <c r="K679" t="str" s="11" cm="1">
        <f t="array" ref="K679">IF(P679&lt;&gt;0,IF(N679&gt;=3,_xlfn.XLOOKUP(A679,'외운 것'!A2:A271,'외운 것'!C2:C271,0,1),0),"1차")</f>
        <v>1차</v>
      </c>
      <c r="L679" t="str" s="11" cm="1">
        <f t="array" ref="L679">IF(Q679&lt;&gt;0,IF(N679&gt;=3,_xlfn.XLOOKUP(A679,'외운 것'!A2:A271,'외운 것'!C2:C271,0,1),0),"2차")</f>
        <v>2차</v>
      </c>
      <c r="M679" t="str" s="11" cm="1">
        <f t="array" ref="M679">IF(R679&lt;&gt;0,IF(O679&gt;=3,_xlfn.XLOOKUP(B679,'외운 것'!B2:B271,'외운 것'!D2:D271,0,1),0),"3차")</f>
        <v>3차</v>
      </c>
      <c r="N679" s="8">
        <v>3</v>
      </c>
      <c r="O679" s="8">
        <v>3</v>
      </c>
      <c r="P679" s="8">
        <v>0</v>
      </c>
      <c r="Q679" s="8">
        <v>0</v>
      </c>
      <c r="R679" s="8">
        <v>0</v>
      </c>
    </row>
    <row r="680" ht="17.25" customHeight="1">
      <c r="A680" s="8">
        <v>679</v>
      </c>
      <c r="B680" s="8">
        <v>12</v>
      </c>
      <c r="C680" t="s" s="9">
        <v>236</v>
      </c>
      <c r="D680" t="s" s="9">
        <v>236</v>
      </c>
      <c r="E680" t="s" s="9">
        <v>2091</v>
      </c>
      <c r="F680" t="s" s="9">
        <v>2092</v>
      </c>
      <c r="G680" t="s" s="9">
        <v>2093</v>
      </c>
      <c r="H680" s="8" cm="1">
        <f t="array" ref="H680">MIN(SUMIF('외운 것'!A2:A271,A680,'외운 것'!D2:D271)+IF(R680=0,3,IF(R680=1,2,0)),3)</f>
        <v>2</v>
      </c>
      <c r="I680" s="8" cm="1">
        <f t="array" ref="I680">_xlfn.COUNTIFS('외운 것'!A2:A271,A680,'외운 것'!D2:D271,0)</f>
        <v>0</v>
      </c>
      <c r="J680" s="19" cm="1">
        <f t="array" ref="J680">IF(R680&lt;&gt;0,IF(H680&gt;=3,_xlfn.XLOOKUP(A680,'외운 것'!A2:A271,'외운 것'!C2:C271,0,1),0),"3차")</f>
        <v>0</v>
      </c>
      <c r="K680" s="8" cm="1">
        <f t="array" ref="K680">IF(P680&lt;&gt;0,IF(N680&gt;=3,_xlfn.XLOOKUP(A680,'외운 것'!A2:A271,'외운 것'!C2:C271,0,1),0),"1차")</f>
        <v>0</v>
      </c>
      <c r="L680" s="8" cm="1">
        <f t="array" ref="L680">IF(Q680&lt;&gt;0,IF(N680&gt;=3,_xlfn.XLOOKUP(A680,'외운 것'!A2:A271,'외운 것'!C2:C271,0,1),0),"2차")</f>
        <v>0</v>
      </c>
      <c r="M680" s="8" cm="1">
        <f t="array" ref="M680">IF(R680&lt;&gt;0,IF(O680&gt;=3,_xlfn.XLOOKUP(B680,'외운 것'!B2:B271,'외운 것'!D2:D271,0,1),0),"3차")</f>
        <v>0</v>
      </c>
      <c r="N680" s="8">
        <v>0</v>
      </c>
      <c r="O680" s="8">
        <v>3</v>
      </c>
      <c r="P680" s="8">
        <v>2</v>
      </c>
      <c r="Q680" s="8">
        <v>1</v>
      </c>
      <c r="R680" s="8">
        <v>1</v>
      </c>
    </row>
    <row r="681" ht="17.25" customHeight="1">
      <c r="A681" s="8">
        <v>680</v>
      </c>
      <c r="B681" s="8">
        <v>13</v>
      </c>
      <c r="C681" t="s" s="9">
        <v>236</v>
      </c>
      <c r="D681" t="s" s="9">
        <v>236</v>
      </c>
      <c r="E681" t="s" s="9">
        <v>2094</v>
      </c>
      <c r="F681" t="s" s="9">
        <v>2095</v>
      </c>
      <c r="G681" t="s" s="9">
        <v>2096</v>
      </c>
      <c r="H681" s="8" cm="1">
        <f t="array" ref="H681">MIN(SUMIF('외운 것'!A2:A271,A681,'외운 것'!D2:D271)+IF(R681=0,3,IF(R681=1,2,0)),3)</f>
        <v>3</v>
      </c>
      <c r="I681" s="8" cm="1">
        <f t="array" ref="I681">_xlfn.COUNTIFS('외운 것'!A2:A271,A681,'외운 것'!D2:D271,0)</f>
        <v>0</v>
      </c>
      <c r="J681" t="str" s="10" cm="1">
        <f t="array" ref="J681">IF(R681&lt;&gt;0,IF(H681&gt;=3,_xlfn.XLOOKUP(A681,'외운 것'!A2:A271,'외운 것'!C2:C271,0,1),0),"3차")</f>
        <v>3차</v>
      </c>
      <c r="K681" t="str" s="11" cm="1">
        <f t="array" ref="K681">IF(P681&lt;&gt;0,IF(N681&gt;=3,_xlfn.XLOOKUP(A681,'외운 것'!A2:A271,'외운 것'!C2:C271,0,1),0),"1차")</f>
        <v>1차</v>
      </c>
      <c r="L681" t="str" s="11" cm="1">
        <f t="array" ref="L681">IF(Q681&lt;&gt;0,IF(N681&gt;=3,_xlfn.XLOOKUP(A681,'외운 것'!A2:A271,'외운 것'!C2:C271,0,1),0),"2차")</f>
        <v>2차</v>
      </c>
      <c r="M681" t="str" s="11" cm="1">
        <f t="array" ref="M681">IF(R681&lt;&gt;0,IF(O681&gt;=3,_xlfn.XLOOKUP(B681,'외운 것'!B2:B271,'외운 것'!D2:D271,0,1),0),"3차")</f>
        <v>3차</v>
      </c>
      <c r="N681" s="8">
        <v>3</v>
      </c>
      <c r="O681" s="8">
        <v>3</v>
      </c>
      <c r="P681" s="8">
        <v>0</v>
      </c>
      <c r="Q681" s="8">
        <v>0</v>
      </c>
      <c r="R681" s="8">
        <v>0</v>
      </c>
    </row>
    <row r="682" ht="17.25" customHeight="1">
      <c r="A682" s="8">
        <v>681</v>
      </c>
      <c r="B682" s="8">
        <v>14</v>
      </c>
      <c r="C682" t="s" s="9">
        <v>236</v>
      </c>
      <c r="D682" t="s" s="9">
        <v>236</v>
      </c>
      <c r="E682" t="s" s="9">
        <v>2097</v>
      </c>
      <c r="F682" t="s" s="9">
        <v>2098</v>
      </c>
      <c r="G682" t="s" s="9">
        <v>2099</v>
      </c>
      <c r="H682" s="8" cm="1">
        <f t="array" ref="H682">MIN(SUMIF('외운 것'!A2:A271,A682,'외운 것'!D2:D271)+IF(R682=0,3,IF(R682=1,2,0)),3)</f>
        <v>3</v>
      </c>
      <c r="I682" s="8" cm="1">
        <f t="array" ref="I682">_xlfn.COUNTIFS('외운 것'!A2:A271,A682,'외운 것'!D2:D271,0)</f>
        <v>0</v>
      </c>
      <c r="J682" t="str" s="10" cm="1">
        <f t="array" ref="J682">IF(R682&lt;&gt;0,IF(H682&gt;=3,_xlfn.XLOOKUP(A682,'외운 것'!A2:A271,'외운 것'!C2:C271,0,1),0),"3차")</f>
        <v>3차</v>
      </c>
      <c r="K682" t="str" s="11" cm="1">
        <f t="array" ref="K682">IF(P682&lt;&gt;0,IF(N682&gt;=3,_xlfn.XLOOKUP(A682,'외운 것'!A2:A271,'외운 것'!C2:C271,0,1),0),"1차")</f>
        <v>1차</v>
      </c>
      <c r="L682" t="str" s="11" cm="1">
        <f t="array" ref="L682">IF(Q682&lt;&gt;0,IF(N682&gt;=3,_xlfn.XLOOKUP(A682,'외운 것'!A2:A271,'외운 것'!C2:C271,0,1),0),"2차")</f>
        <v>2차</v>
      </c>
      <c r="M682" t="str" s="11" cm="1">
        <f t="array" ref="M682">IF(R682&lt;&gt;0,IF(O682&gt;=3,_xlfn.XLOOKUP(B682,'외운 것'!B2:B271,'외운 것'!D2:D271,0,1),0),"3차")</f>
        <v>3차</v>
      </c>
      <c r="N682" s="8">
        <v>3</v>
      </c>
      <c r="O682" s="8">
        <v>3</v>
      </c>
      <c r="P682" s="8">
        <v>0</v>
      </c>
      <c r="Q682" s="8">
        <v>0</v>
      </c>
      <c r="R682" s="8">
        <v>0</v>
      </c>
    </row>
    <row r="683" ht="17.25" customHeight="1">
      <c r="A683" s="8">
        <v>682</v>
      </c>
      <c r="B683" s="8">
        <v>15</v>
      </c>
      <c r="C683" t="s" s="9">
        <v>236</v>
      </c>
      <c r="D683" t="s" s="9">
        <v>236</v>
      </c>
      <c r="E683" t="s" s="9">
        <v>2100</v>
      </c>
      <c r="F683" t="s" s="9">
        <v>2101</v>
      </c>
      <c r="G683" t="s" s="9">
        <v>2102</v>
      </c>
      <c r="H683" s="8" cm="1">
        <f t="array" ref="H683">MIN(SUMIF('외운 것'!A2:A271,A683,'외운 것'!D2:D271)+IF(R683=0,3,IF(R683=1,2,0)),3)</f>
        <v>3</v>
      </c>
      <c r="I683" s="8" cm="1">
        <f t="array" ref="I683">_xlfn.COUNTIFS('외운 것'!A2:A271,A683,'외운 것'!D2:D271,0)</f>
        <v>0</v>
      </c>
      <c r="J683" t="str" s="10" cm="1">
        <f t="array" ref="J683">IF(R683&lt;&gt;0,IF(H683&gt;=3,_xlfn.XLOOKUP(A683,'외운 것'!A2:A271,'외운 것'!C2:C271,0,1),0),"3차")</f>
        <v>3차</v>
      </c>
      <c r="K683" s="8" cm="1">
        <f t="array" ref="K683">IF(P683&lt;&gt;0,IF(N683&gt;=3,_xlfn.XLOOKUP(A683,'외운 것'!A2:A271,'외운 것'!C2:C271,0,1),0),"1차")</f>
        <v>0</v>
      </c>
      <c r="L683" s="8" cm="1">
        <f t="array" ref="L683">IF(Q683&lt;&gt;0,IF(N683&gt;=3,_xlfn.XLOOKUP(A683,'외운 것'!A2:A271,'외운 것'!C2:C271,0,1),0),"2차")</f>
        <v>0</v>
      </c>
      <c r="M683" t="str" s="11" cm="1">
        <f t="array" ref="M683">IF(R683&lt;&gt;0,IF(O683&gt;=3,_xlfn.XLOOKUP(B683,'외운 것'!B2:B271,'외운 것'!D2:D271,0,1),0),"3차")</f>
        <v>3차</v>
      </c>
      <c r="N683" s="8">
        <v>0</v>
      </c>
      <c r="O683" s="8">
        <v>3</v>
      </c>
      <c r="P683" s="8">
        <v>2</v>
      </c>
      <c r="Q683" s="8">
        <v>1</v>
      </c>
      <c r="R683" s="8">
        <v>0</v>
      </c>
    </row>
    <row r="684" ht="17.25" customHeight="1">
      <c r="A684" s="8">
        <v>683</v>
      </c>
      <c r="B684" s="8">
        <v>16</v>
      </c>
      <c r="C684" t="s" s="9">
        <v>236</v>
      </c>
      <c r="D684" t="s" s="9">
        <v>236</v>
      </c>
      <c r="E684" t="s" s="9">
        <v>2103</v>
      </c>
      <c r="F684" t="s" s="9">
        <v>2104</v>
      </c>
      <c r="G684" t="s" s="9">
        <v>2105</v>
      </c>
      <c r="H684" s="8" cm="1">
        <f t="array" ref="H684">MIN(SUMIF('외운 것'!A2:A271,A684,'외운 것'!D2:D271)+IF(R684=0,3,IF(R684=1,2,0)),3)</f>
        <v>3</v>
      </c>
      <c r="I684" s="8" cm="1">
        <f t="array" ref="I684">_xlfn.COUNTIFS('외운 것'!A2:A271,A684,'외운 것'!D2:D271,0)</f>
        <v>0</v>
      </c>
      <c r="J684" t="str" s="10" cm="1">
        <f t="array" ref="J684">IF(R684&lt;&gt;0,IF(H684&gt;=3,_xlfn.XLOOKUP(A684,'외운 것'!A2:A271,'외운 것'!C2:C271,0,1),0),"3차")</f>
        <v>3차</v>
      </c>
      <c r="K684" s="8" cm="1">
        <f t="array" ref="K684">IF(P684&lt;&gt;0,IF(N684&gt;=3,_xlfn.XLOOKUP(A684,'외운 것'!A2:A271,'외운 것'!C2:C271,0,1),0),"1차")</f>
        <v>0</v>
      </c>
      <c r="L684" t="str" s="11" cm="1">
        <f t="array" ref="L684">IF(Q684&lt;&gt;0,IF(N684&gt;=3,_xlfn.XLOOKUP(A684,'외운 것'!A2:A271,'외운 것'!C2:C271,0,1),0),"2차")</f>
        <v>2차</v>
      </c>
      <c r="M684" t="str" s="11" cm="1">
        <f t="array" ref="M684">IF(R684&lt;&gt;0,IF(O684&gt;=3,_xlfn.XLOOKUP(B684,'외운 것'!B2:B271,'외운 것'!D2:D271,0,1),0),"3차")</f>
        <v>3차</v>
      </c>
      <c r="N684" s="8">
        <v>2</v>
      </c>
      <c r="O684" s="8">
        <v>3</v>
      </c>
      <c r="P684" s="8">
        <v>1</v>
      </c>
      <c r="Q684" s="8">
        <v>0</v>
      </c>
      <c r="R684" s="8">
        <v>0</v>
      </c>
    </row>
    <row r="685" ht="17.25" customHeight="1">
      <c r="A685" s="8">
        <v>684</v>
      </c>
      <c r="B685" s="8">
        <v>17</v>
      </c>
      <c r="C685" t="s" s="9">
        <v>236</v>
      </c>
      <c r="D685" t="s" s="9">
        <v>236</v>
      </c>
      <c r="E685" t="s" s="9">
        <v>2106</v>
      </c>
      <c r="F685" t="s" s="9">
        <v>2107</v>
      </c>
      <c r="G685" t="s" s="9">
        <v>2108</v>
      </c>
      <c r="H685" s="8" cm="1">
        <f t="array" ref="H685">MIN(SUMIF('외운 것'!A2:A271,A685,'외운 것'!D2:D271)+IF(R685=0,3,IF(R685=1,2,0)),3)</f>
        <v>3</v>
      </c>
      <c r="I685" s="8" cm="1">
        <f t="array" ref="I685">_xlfn.COUNTIFS('외운 것'!A2:A271,A685,'외운 것'!D2:D271,0)</f>
        <v>0</v>
      </c>
      <c r="J685" t="str" s="10" cm="1">
        <f t="array" ref="J685">IF(R685&lt;&gt;0,IF(H685&gt;=3,_xlfn.XLOOKUP(A685,'외운 것'!A2:A271,'외운 것'!C2:C271,0,1),0),"3차")</f>
        <v>3차</v>
      </c>
      <c r="K685" t="str" s="11" cm="1">
        <f t="array" ref="K685">IF(P685&lt;&gt;0,IF(N685&gt;=3,_xlfn.XLOOKUP(A685,'외운 것'!A2:A271,'외운 것'!C2:C271,0,1),0),"1차")</f>
        <v>1차</v>
      </c>
      <c r="L685" t="str" s="11" cm="1">
        <f t="array" ref="L685">IF(Q685&lt;&gt;0,IF(N685&gt;=3,_xlfn.XLOOKUP(A685,'외운 것'!A2:A271,'외운 것'!C2:C271,0,1),0),"2차")</f>
        <v>2차</v>
      </c>
      <c r="M685" t="str" s="11" cm="1">
        <f t="array" ref="M685">IF(R685&lt;&gt;0,IF(O685&gt;=3,_xlfn.XLOOKUP(B685,'외운 것'!B2:B271,'외운 것'!D2:D271,0,1),0),"3차")</f>
        <v>3차</v>
      </c>
      <c r="N685" s="8">
        <v>3</v>
      </c>
      <c r="O685" s="8">
        <v>3</v>
      </c>
      <c r="P685" s="8">
        <v>0</v>
      </c>
      <c r="Q685" s="8">
        <v>0</v>
      </c>
      <c r="R685" s="8">
        <v>0</v>
      </c>
    </row>
    <row r="686" ht="17.25" customHeight="1">
      <c r="A686" s="8">
        <v>685</v>
      </c>
      <c r="B686" s="8">
        <v>18</v>
      </c>
      <c r="C686" t="s" s="9">
        <v>236</v>
      </c>
      <c r="D686" t="s" s="9">
        <v>236</v>
      </c>
      <c r="E686" t="s" s="9">
        <v>2109</v>
      </c>
      <c r="F686" t="s" s="9">
        <v>2110</v>
      </c>
      <c r="G686" t="s" s="9">
        <v>2111</v>
      </c>
      <c r="H686" s="8" cm="1">
        <f t="array" ref="H686">MIN(SUMIF('외운 것'!A2:A271,A686,'외운 것'!D2:D271)+IF(R686=0,3,IF(R686=1,2,0)),3)</f>
        <v>3</v>
      </c>
      <c r="I686" s="8" cm="1">
        <f t="array" ref="I686">_xlfn.COUNTIFS('외운 것'!A2:A271,A686,'외운 것'!D2:D271,0)</f>
        <v>0</v>
      </c>
      <c r="J686" t="str" s="10" cm="1">
        <f t="array" ref="J686">IF(R686&lt;&gt;0,IF(H686&gt;=3,_xlfn.XLOOKUP(A686,'외운 것'!A2:A271,'외운 것'!C2:C271,0,1),0),"3차")</f>
        <v>3차</v>
      </c>
      <c r="K686" t="str" s="11" cm="1">
        <f t="array" ref="K686">IF(P686&lt;&gt;0,IF(N686&gt;=3,_xlfn.XLOOKUP(A686,'외운 것'!A2:A271,'외운 것'!C2:C271,0,1),0),"1차")</f>
        <v>1차</v>
      </c>
      <c r="L686" t="str" s="11" cm="1">
        <f t="array" ref="L686">IF(Q686&lt;&gt;0,IF(N686&gt;=3,_xlfn.XLOOKUP(A686,'외운 것'!A2:A271,'외운 것'!C2:C271,0,1),0),"2차")</f>
        <v>2차</v>
      </c>
      <c r="M686" t="str" s="11" cm="1">
        <f t="array" ref="M686">IF(R686&lt;&gt;0,IF(O686&gt;=3,_xlfn.XLOOKUP(B686,'외운 것'!B2:B271,'외운 것'!D2:D271,0,1),0),"3차")</f>
        <v>3차</v>
      </c>
      <c r="N686" s="8">
        <v>3</v>
      </c>
      <c r="O686" s="8">
        <v>3</v>
      </c>
      <c r="P686" s="8">
        <v>0</v>
      </c>
      <c r="Q686" s="8">
        <v>0</v>
      </c>
      <c r="R686" s="8">
        <v>0</v>
      </c>
    </row>
    <row r="687" ht="17.25" customHeight="1">
      <c r="A687" s="8">
        <v>686</v>
      </c>
      <c r="B687" s="8">
        <v>19</v>
      </c>
      <c r="C687" t="s" s="9">
        <v>236</v>
      </c>
      <c r="D687" t="s" s="9">
        <v>236</v>
      </c>
      <c r="E687" t="s" s="9">
        <v>2112</v>
      </c>
      <c r="F687" t="s" s="9">
        <v>2113</v>
      </c>
      <c r="G687" t="s" s="9">
        <v>2114</v>
      </c>
      <c r="H687" s="8" cm="1">
        <f t="array" ref="H687">MIN(SUMIF('외운 것'!A2:A271,A687,'외운 것'!D2:D271)+IF(R687=0,3,IF(R687=1,2,0)),3)</f>
        <v>3</v>
      </c>
      <c r="I687" s="8" cm="1">
        <f t="array" ref="I687">_xlfn.COUNTIFS('외운 것'!A2:A271,A687,'외운 것'!D2:D271,0)</f>
        <v>0</v>
      </c>
      <c r="J687" t="str" s="10" cm="1">
        <f t="array" ref="J687">IF(R687&lt;&gt;0,IF(H687&gt;=3,_xlfn.XLOOKUP(A687,'외운 것'!A2:A271,'외운 것'!C2:C271,0,1),0),"3차")</f>
        <v>3차</v>
      </c>
      <c r="K687" s="8" cm="1">
        <f t="array" ref="K687">IF(P687&lt;&gt;0,IF(N687&gt;=3,_xlfn.XLOOKUP(A687,'외운 것'!A2:A271,'외운 것'!C2:C271,0,1),0),"1차")</f>
        <v>0</v>
      </c>
      <c r="L687" s="8" cm="1">
        <f t="array" ref="L687">IF(Q687&lt;&gt;0,IF(N687&gt;=3,_xlfn.XLOOKUP(A687,'외운 것'!A2:A271,'외운 것'!C2:C271,0,1),0),"2차")</f>
        <v>0</v>
      </c>
      <c r="M687" t="str" s="11" cm="1">
        <f t="array" ref="M687">IF(R687&lt;&gt;0,IF(O687&gt;=3,_xlfn.XLOOKUP(B687,'외운 것'!B2:B271,'외운 것'!D2:D271,0,1),0),"3차")</f>
        <v>3차</v>
      </c>
      <c r="N687" s="8">
        <v>0</v>
      </c>
      <c r="O687" s="8">
        <v>3</v>
      </c>
      <c r="P687" s="8">
        <v>3</v>
      </c>
      <c r="Q687" s="8">
        <v>2</v>
      </c>
      <c r="R687" s="8">
        <v>0</v>
      </c>
    </row>
    <row r="688" ht="17.25" customHeight="1">
      <c r="A688" s="8">
        <v>687</v>
      </c>
      <c r="B688" s="8">
        <v>20</v>
      </c>
      <c r="C688" t="s" s="9">
        <v>236</v>
      </c>
      <c r="D688" t="s" s="9">
        <v>236</v>
      </c>
      <c r="E688" t="s" s="9">
        <v>2115</v>
      </c>
      <c r="F688" t="s" s="9">
        <v>2116</v>
      </c>
      <c r="G688" t="s" s="9">
        <v>2117</v>
      </c>
      <c r="H688" s="8" cm="1">
        <f t="array" ref="H688">MIN(SUMIF('외운 것'!A2:A271,A688,'외운 것'!D2:D271)+IF(R688=0,3,IF(R688=1,2,0)),3)</f>
        <v>3</v>
      </c>
      <c r="I688" s="8" cm="1">
        <f t="array" ref="I688">_xlfn.COUNTIFS('외운 것'!A2:A271,A688,'외운 것'!D2:D271,0)</f>
        <v>0</v>
      </c>
      <c r="J688" t="str" s="10" cm="1">
        <f t="array" ref="J688">IF(R688&lt;&gt;0,IF(H688&gt;=3,_xlfn.XLOOKUP(A688,'외운 것'!A2:A271,'외운 것'!C2:C271,0,1),0),"3차")</f>
        <v>3차</v>
      </c>
      <c r="K688" s="8" cm="1">
        <f t="array" ref="K688">IF(P688&lt;&gt;0,IF(N688&gt;=3,_xlfn.XLOOKUP(A688,'외운 것'!A2:A271,'외운 것'!C2:C271,0,1),0),"1차")</f>
        <v>0</v>
      </c>
      <c r="L688" t="str" s="11" cm="1">
        <f t="array" ref="L688">IF(Q688&lt;&gt;0,IF(N688&gt;=3,_xlfn.XLOOKUP(A688,'외운 것'!A2:A271,'외운 것'!C2:C271,0,1),0),"2차")</f>
        <v>2차</v>
      </c>
      <c r="M688" t="str" s="11" cm="1">
        <f t="array" ref="M688">IF(R688&lt;&gt;0,IF(O688&gt;=3,_xlfn.XLOOKUP(B688,'외운 것'!B2:B271,'외운 것'!D2:D271,0,1),0),"3차")</f>
        <v>3차</v>
      </c>
      <c r="N688" s="8">
        <v>2</v>
      </c>
      <c r="O688" s="8">
        <v>3</v>
      </c>
      <c r="P688" s="8">
        <v>1</v>
      </c>
      <c r="Q688" s="8">
        <v>0</v>
      </c>
      <c r="R688" s="8">
        <v>0</v>
      </c>
    </row>
    <row r="689" ht="17.25" customHeight="1">
      <c r="A689" s="8">
        <v>688</v>
      </c>
      <c r="B689" s="8">
        <v>21</v>
      </c>
      <c r="C689" t="s" s="9">
        <v>236</v>
      </c>
      <c r="D689" t="s" s="9">
        <v>236</v>
      </c>
      <c r="E689" t="s" s="9">
        <v>2118</v>
      </c>
      <c r="F689" t="s" s="9">
        <v>2119</v>
      </c>
      <c r="G689" t="s" s="9">
        <v>2120</v>
      </c>
      <c r="H689" s="8" cm="1">
        <f t="array" ref="H689">MIN(SUMIF('외운 것'!A2:A271,A689,'외운 것'!D2:D271)+IF(R689=0,3,IF(R689=1,2,0)),3)</f>
        <v>2</v>
      </c>
      <c r="I689" s="8" cm="1">
        <f t="array" ref="I689">_xlfn.COUNTIFS('외운 것'!A2:A271,A689,'외운 것'!D2:D271,0)</f>
        <v>0</v>
      </c>
      <c r="J689" s="19" cm="1">
        <f t="array" ref="J689">IF(R689&lt;&gt;0,IF(H689&gt;=3,_xlfn.XLOOKUP(A689,'외운 것'!A2:A271,'외운 것'!C2:C271,0,1),0),"3차")</f>
        <v>0</v>
      </c>
      <c r="K689" s="8" cm="1">
        <f t="array" ref="K689">IF(P689&lt;&gt;0,IF(N689&gt;=3,_xlfn.XLOOKUP(A689,'외운 것'!A2:A271,'외운 것'!C2:C271,0,1),0),"1차")</f>
        <v>0</v>
      </c>
      <c r="L689" s="8" cm="1">
        <f t="array" ref="L689">IF(Q689&lt;&gt;0,IF(N689&gt;=3,_xlfn.XLOOKUP(A689,'외운 것'!A2:A271,'외운 것'!C2:C271,0,1),0),"2차")</f>
        <v>0</v>
      </c>
      <c r="M689" s="8" cm="1">
        <f t="array" ref="M689">IF(R689&lt;&gt;0,IF(O689&gt;=3,_xlfn.XLOOKUP(B689,'외운 것'!B2:B271,'외운 것'!D2:D271,0,1),0),"3차")</f>
        <v>0</v>
      </c>
      <c r="N689" s="8">
        <v>2</v>
      </c>
      <c r="O689" s="8">
        <v>3</v>
      </c>
      <c r="P689" s="8">
        <v>1</v>
      </c>
      <c r="Q689" s="8">
        <v>2</v>
      </c>
      <c r="R689" s="8">
        <v>1</v>
      </c>
    </row>
    <row r="690" ht="17.25" customHeight="1">
      <c r="A690" s="8">
        <v>689</v>
      </c>
      <c r="B690" s="8">
        <v>22</v>
      </c>
      <c r="C690" t="s" s="9">
        <v>236</v>
      </c>
      <c r="D690" t="s" s="9">
        <v>236</v>
      </c>
      <c r="E690" t="s" s="9">
        <v>2121</v>
      </c>
      <c r="F690" t="s" s="9">
        <v>2122</v>
      </c>
      <c r="G690" t="s" s="9">
        <v>2123</v>
      </c>
      <c r="H690" s="8" cm="1">
        <f t="array" ref="H690">MIN(SUMIF('외운 것'!A2:A271,A690,'외운 것'!D2:D271)+IF(R690=0,3,IF(R690=1,2,0)),3)</f>
        <v>3</v>
      </c>
      <c r="I690" s="8" cm="1">
        <f t="array" ref="I690">_xlfn.COUNTIFS('외운 것'!A2:A271,A690,'외운 것'!D2:D271,0)</f>
        <v>0</v>
      </c>
      <c r="J690" t="str" s="10" cm="1">
        <f t="array" ref="J690">IF(R690&lt;&gt;0,IF(H690&gt;=3,_xlfn.XLOOKUP(A690,'외운 것'!A2:A271,'외운 것'!C2:C271,0,1),0),"3차")</f>
        <v>3차</v>
      </c>
      <c r="K690" s="8" cm="1">
        <f t="array" ref="K690">IF(P690&lt;&gt;0,IF(N690&gt;=3,_xlfn.XLOOKUP(A690,'외운 것'!A2:A271,'외운 것'!C2:C271,0,1),0),"1차")</f>
        <v>0</v>
      </c>
      <c r="L690" s="8" cm="1">
        <f t="array" ref="L690">IF(Q690&lt;&gt;0,IF(N690&gt;=3,_xlfn.XLOOKUP(A690,'외운 것'!A2:A271,'외운 것'!C2:C271,0,1),0),"2차")</f>
        <v>0</v>
      </c>
      <c r="M690" t="str" s="11" cm="1">
        <f t="array" ref="M690">IF(R690&lt;&gt;0,IF(O690&gt;=3,_xlfn.XLOOKUP(B690,'외운 것'!B2:B271,'외운 것'!D2:D271,0,1),0),"3차")</f>
        <v>3차</v>
      </c>
      <c r="N690" s="8">
        <v>0</v>
      </c>
      <c r="O690" s="8">
        <v>3</v>
      </c>
      <c r="P690" s="8">
        <v>2</v>
      </c>
      <c r="Q690" s="8">
        <v>1</v>
      </c>
      <c r="R690" s="8">
        <v>0</v>
      </c>
    </row>
    <row r="691" ht="17.25" customHeight="1">
      <c r="A691" s="8">
        <v>690</v>
      </c>
      <c r="B691" s="8">
        <v>23</v>
      </c>
      <c r="C691" t="s" s="9">
        <v>236</v>
      </c>
      <c r="D691" t="s" s="9">
        <v>236</v>
      </c>
      <c r="E691" t="s" s="9">
        <v>2124</v>
      </c>
      <c r="F691" t="s" s="9">
        <v>2125</v>
      </c>
      <c r="G691" t="s" s="9">
        <v>2126</v>
      </c>
      <c r="H691" s="8" cm="1">
        <f t="array" ref="H691">MIN(SUMIF('외운 것'!A2:A271,A691,'외운 것'!D2:D271)+IF(R691=0,3,IF(R691=1,2,0)),3)</f>
        <v>3</v>
      </c>
      <c r="I691" s="8" cm="1">
        <f t="array" ref="I691">_xlfn.COUNTIFS('외운 것'!A2:A271,A691,'외운 것'!D2:D271,0)</f>
        <v>0</v>
      </c>
      <c r="J691" t="str" s="10" cm="1">
        <f t="array" ref="J691">IF(R691&lt;&gt;0,IF(H691&gt;=3,_xlfn.XLOOKUP(A691,'외운 것'!A2:A271,'외운 것'!C2:C271,0,1),0),"3차")</f>
        <v>3차</v>
      </c>
      <c r="K691" s="8" cm="1">
        <f t="array" ref="K691">IF(P691&lt;&gt;0,IF(N691&gt;=3,_xlfn.XLOOKUP(A691,'외운 것'!A2:A271,'외운 것'!C2:C271,0,1),0),"1차")</f>
        <v>0</v>
      </c>
      <c r="L691" t="str" s="11" cm="1">
        <f t="array" ref="L691">IF(Q691&lt;&gt;0,IF(N691&gt;=3,_xlfn.XLOOKUP(A691,'외운 것'!A2:A271,'외운 것'!C2:C271,0,1),0),"2차")</f>
        <v>2차</v>
      </c>
      <c r="M691" t="str" s="11" cm="1">
        <f t="array" ref="M691">IF(R691&lt;&gt;0,IF(O691&gt;=3,_xlfn.XLOOKUP(B691,'외운 것'!B2:B271,'외운 것'!D2:D271,0,1),0),"3차")</f>
        <v>3차</v>
      </c>
      <c r="N691" s="8">
        <v>2</v>
      </c>
      <c r="O691" s="8">
        <v>3</v>
      </c>
      <c r="P691" s="8">
        <v>1</v>
      </c>
      <c r="Q691" s="8">
        <v>0</v>
      </c>
      <c r="R691" s="8">
        <v>0</v>
      </c>
    </row>
    <row r="692" ht="17.25" customHeight="1">
      <c r="A692" s="8">
        <v>691</v>
      </c>
      <c r="B692" s="8">
        <v>24</v>
      </c>
      <c r="C692" t="s" s="9">
        <v>236</v>
      </c>
      <c r="D692" t="s" s="9">
        <v>236</v>
      </c>
      <c r="E692" t="s" s="9">
        <v>2127</v>
      </c>
      <c r="F692" t="s" s="9">
        <v>2128</v>
      </c>
      <c r="G692" t="s" s="9">
        <v>2129</v>
      </c>
      <c r="H692" s="8" cm="1">
        <f t="array" ref="H692">MIN(SUMIF('외운 것'!A2:A271,A692,'외운 것'!D2:D271)+IF(R692=0,3,IF(R692=1,2,0)),3)</f>
        <v>3</v>
      </c>
      <c r="I692" s="8" cm="1">
        <f t="array" ref="I692">_xlfn.COUNTIFS('외운 것'!A2:A271,A692,'외운 것'!D2:D271,0)</f>
        <v>0</v>
      </c>
      <c r="J692" t="str" s="10" cm="1">
        <f t="array" ref="J692">IF(R692&lt;&gt;0,IF(H692&gt;=3,_xlfn.XLOOKUP(A692,'외운 것'!A2:A271,'외운 것'!C2:C271,0,1),0),"3차")</f>
        <v>3차</v>
      </c>
      <c r="K692" s="8" cm="1">
        <f t="array" ref="K692">IF(P692&lt;&gt;0,IF(N692&gt;=3,_xlfn.XLOOKUP(A692,'외운 것'!A2:A271,'외운 것'!C2:C271,0,1),0),"1차")</f>
        <v>0</v>
      </c>
      <c r="L692" s="8" cm="1">
        <f t="array" ref="L692">IF(Q692&lt;&gt;0,IF(N692&gt;=3,_xlfn.XLOOKUP(A692,'외운 것'!A2:A271,'외운 것'!C2:C271,0,1),0),"2차")</f>
        <v>0</v>
      </c>
      <c r="M692" t="str" s="11" cm="1">
        <f t="array" ref="M692">IF(R692&lt;&gt;0,IF(O692&gt;=3,_xlfn.XLOOKUP(B692,'외운 것'!B2:B271,'외운 것'!D2:D271,0,1),0),"3차")</f>
        <v>3차</v>
      </c>
      <c r="N692" s="8">
        <v>2</v>
      </c>
      <c r="O692" s="8">
        <v>3</v>
      </c>
      <c r="P692" s="8">
        <v>1</v>
      </c>
      <c r="Q692" s="8">
        <v>1</v>
      </c>
      <c r="R692" s="8">
        <v>0</v>
      </c>
    </row>
    <row r="693" ht="17.25" customHeight="1">
      <c r="A693" s="8">
        <v>692</v>
      </c>
      <c r="B693" s="8">
        <v>25</v>
      </c>
      <c r="C693" t="s" s="9">
        <v>236</v>
      </c>
      <c r="D693" t="s" s="9">
        <v>236</v>
      </c>
      <c r="E693" t="s" s="9">
        <v>2130</v>
      </c>
      <c r="F693" t="s" s="9">
        <v>2131</v>
      </c>
      <c r="G693" t="s" s="9">
        <v>2132</v>
      </c>
      <c r="H693" s="8" cm="1">
        <f t="array" ref="H693">MIN(SUMIF('외운 것'!A2:A271,A693,'외운 것'!D2:D271)+IF(R693=0,3,IF(R693=1,2,0)),3)</f>
        <v>0</v>
      </c>
      <c r="I693" s="8" cm="1">
        <f t="array" ref="I693">_xlfn.COUNTIFS('외운 것'!A2:A271,A693,'외운 것'!D2:D271,0)</f>
        <v>0</v>
      </c>
      <c r="J693" s="19" cm="1">
        <f t="array" ref="J693">IF(R693&lt;&gt;0,IF(H693&gt;=3,_xlfn.XLOOKUP(A693,'외운 것'!A2:A271,'외운 것'!C2:C271,0,1),0),"3차")</f>
        <v>0</v>
      </c>
      <c r="K693" s="8" cm="1">
        <f t="array" ref="K693">IF(P693&lt;&gt;0,IF(N693&gt;=3,_xlfn.XLOOKUP(A693,'외운 것'!A2:A271,'외운 것'!C2:C271,0,1),0),"1차")</f>
        <v>0</v>
      </c>
      <c r="L693" s="8" cm="1">
        <f t="array" ref="L693">IF(Q693&lt;&gt;0,IF(N693&gt;=3,_xlfn.XLOOKUP(A693,'외운 것'!A2:A271,'외운 것'!C2:C271,0,1),0),"2차")</f>
        <v>0</v>
      </c>
      <c r="M693" s="8" cm="1">
        <f t="array" ref="M693">IF(R693&lt;&gt;0,IF(O693&gt;=3,_xlfn.XLOOKUP(B693,'외운 것'!B2:B271,'외운 것'!D2:D271,0,1),0),"3차")</f>
        <v>0</v>
      </c>
      <c r="N693" s="8">
        <v>0</v>
      </c>
      <c r="O693" s="8">
        <v>3</v>
      </c>
      <c r="P693" s="8">
        <v>2</v>
      </c>
      <c r="Q693" s="8">
        <v>2</v>
      </c>
      <c r="R693" s="8">
        <v>2</v>
      </c>
    </row>
    <row r="694" ht="17.25" customHeight="1">
      <c r="A694" s="8">
        <v>693</v>
      </c>
      <c r="B694" s="8">
        <v>26</v>
      </c>
      <c r="C694" t="s" s="9">
        <v>236</v>
      </c>
      <c r="D694" t="s" s="9">
        <v>236</v>
      </c>
      <c r="E694" t="s" s="9">
        <v>2133</v>
      </c>
      <c r="F694" t="s" s="9">
        <v>2134</v>
      </c>
      <c r="G694" t="s" s="9">
        <v>2135</v>
      </c>
      <c r="H694" s="8" cm="1">
        <f t="array" ref="H694">MIN(SUMIF('외운 것'!A2:A271,A694,'외운 것'!D2:D271)+IF(R694=0,3,IF(R694=1,2,0)),3)</f>
        <v>3</v>
      </c>
      <c r="I694" s="8" cm="1">
        <f t="array" ref="I694">_xlfn.COUNTIFS('외운 것'!A2:A271,A694,'외운 것'!D2:D271,0)</f>
        <v>0</v>
      </c>
      <c r="J694" t="str" s="10" cm="1">
        <f t="array" ref="J694">IF(R694&lt;&gt;0,IF(H694&gt;=3,_xlfn.XLOOKUP(A694,'외운 것'!A2:A271,'외운 것'!C2:C271,0,1),0),"3차")</f>
        <v>3차</v>
      </c>
      <c r="K694" t="str" s="11" cm="1">
        <f t="array" ref="K694">IF(P694&lt;&gt;0,IF(N694&gt;=3,_xlfn.XLOOKUP(A694,'외운 것'!A2:A271,'외운 것'!C2:C271,0,1),0),"1차")</f>
        <v>1차</v>
      </c>
      <c r="L694" t="str" s="11" cm="1">
        <f t="array" ref="L694">IF(Q694&lt;&gt;0,IF(N694&gt;=3,_xlfn.XLOOKUP(A694,'외운 것'!A2:A271,'외운 것'!C2:C271,0,1),0),"2차")</f>
        <v>2차</v>
      </c>
      <c r="M694" t="str" s="11" cm="1">
        <f t="array" ref="M694">IF(R694&lt;&gt;0,IF(O694&gt;=3,_xlfn.XLOOKUP(B694,'외운 것'!B2:B271,'외운 것'!D2:D271,0,1),0),"3차")</f>
        <v>3차</v>
      </c>
      <c r="N694" s="8">
        <v>3</v>
      </c>
      <c r="O694" s="8">
        <v>3</v>
      </c>
      <c r="P694" s="8">
        <v>0</v>
      </c>
      <c r="Q694" s="8">
        <v>0</v>
      </c>
      <c r="R694" s="8">
        <v>0</v>
      </c>
    </row>
    <row r="695" ht="17.25" customHeight="1">
      <c r="A695" s="8">
        <v>694</v>
      </c>
      <c r="B695" s="8">
        <v>27</v>
      </c>
      <c r="C695" t="s" s="9">
        <v>236</v>
      </c>
      <c r="D695" t="s" s="9">
        <v>236</v>
      </c>
      <c r="E695" t="s" s="9">
        <v>2136</v>
      </c>
      <c r="F695" t="s" s="9">
        <v>2137</v>
      </c>
      <c r="G695" t="s" s="9">
        <v>2138</v>
      </c>
      <c r="H695" s="8" cm="1">
        <f t="array" ref="H695">MIN(SUMIF('외운 것'!A2:A271,A695,'외운 것'!D2:D271)+IF(R695=0,3,IF(R695=1,2,0)),3)</f>
        <v>3</v>
      </c>
      <c r="I695" s="8" cm="1">
        <f t="array" ref="I695">_xlfn.COUNTIFS('외운 것'!A2:A271,A695,'외운 것'!D2:D271,0)</f>
        <v>0</v>
      </c>
      <c r="J695" t="str" s="10" cm="1">
        <f t="array" ref="J695">IF(R695&lt;&gt;0,IF(H695&gt;=3,_xlfn.XLOOKUP(A695,'외운 것'!A2:A271,'외운 것'!C2:C271,0,1),0),"3차")</f>
        <v>3차</v>
      </c>
      <c r="K695" s="8" cm="1">
        <f t="array" ref="K695">IF(P695&lt;&gt;0,IF(N695&gt;=3,_xlfn.XLOOKUP(A695,'외운 것'!A2:A271,'외운 것'!C2:C271,0,1),0),"1차")</f>
        <v>0</v>
      </c>
      <c r="L695" t="str" s="11" cm="1">
        <f t="array" ref="L695">IF(Q695&lt;&gt;0,IF(N695&gt;=3,_xlfn.XLOOKUP(A695,'외운 것'!A2:A271,'외운 것'!C2:C271,0,1),0),"2차")</f>
        <v>2차</v>
      </c>
      <c r="M695" t="str" s="11" cm="1">
        <f t="array" ref="M695">IF(R695&lt;&gt;0,IF(O695&gt;=3,_xlfn.XLOOKUP(B695,'외운 것'!B2:B271,'외운 것'!D2:D271,0,1),0),"3차")</f>
        <v>3차</v>
      </c>
      <c r="N695" s="8">
        <v>0</v>
      </c>
      <c r="O695" s="8">
        <v>3</v>
      </c>
      <c r="P695" s="8">
        <v>2</v>
      </c>
      <c r="Q695" s="8">
        <v>0</v>
      </c>
      <c r="R695" s="8">
        <v>0</v>
      </c>
    </row>
    <row r="696" ht="17.25" customHeight="1">
      <c r="A696" s="8">
        <v>695</v>
      </c>
      <c r="B696" s="8">
        <v>28</v>
      </c>
      <c r="C696" t="s" s="9">
        <v>236</v>
      </c>
      <c r="D696" t="s" s="9">
        <v>236</v>
      </c>
      <c r="E696" t="s" s="9">
        <v>2139</v>
      </c>
      <c r="F696" t="s" s="9">
        <v>2140</v>
      </c>
      <c r="G696" t="s" s="9">
        <v>2141</v>
      </c>
      <c r="H696" s="8" cm="1">
        <f t="array" ref="H696">MIN(SUMIF('외운 것'!A2:A271,A696,'외운 것'!D2:D271)+IF(R696=0,3,IF(R696=1,2,0)),3)</f>
        <v>3</v>
      </c>
      <c r="I696" s="8" cm="1">
        <f t="array" ref="I696">_xlfn.COUNTIFS('외운 것'!A2:A271,A696,'외운 것'!D2:D271,0)</f>
        <v>0</v>
      </c>
      <c r="J696" t="str" s="10" cm="1">
        <f t="array" ref="J696">IF(R696&lt;&gt;0,IF(H696&gt;=3,_xlfn.XLOOKUP(A696,'외운 것'!A2:A271,'외운 것'!C2:C271,0,1),0),"3차")</f>
        <v>3차</v>
      </c>
      <c r="K696" t="str" s="11" cm="1">
        <f t="array" ref="K696">IF(P696&lt;&gt;0,IF(N696&gt;=3,_xlfn.XLOOKUP(A696,'외운 것'!A2:A271,'외운 것'!C2:C271,0,1),0),"1차")</f>
        <v>1차</v>
      </c>
      <c r="L696" t="str" s="11" cm="1">
        <f t="array" ref="L696">IF(Q696&lt;&gt;0,IF(N696&gt;=3,_xlfn.XLOOKUP(A696,'외운 것'!A2:A271,'외운 것'!C2:C271,0,1),0),"2차")</f>
        <v>2차</v>
      </c>
      <c r="M696" t="str" s="11" cm="1">
        <f t="array" ref="M696">IF(R696&lt;&gt;0,IF(O696&gt;=3,_xlfn.XLOOKUP(B696,'외운 것'!B2:B271,'외운 것'!D2:D271,0,1),0),"3차")</f>
        <v>3차</v>
      </c>
      <c r="N696" s="8">
        <v>3</v>
      </c>
      <c r="O696" s="8">
        <v>3</v>
      </c>
      <c r="P696" s="8">
        <v>0</v>
      </c>
      <c r="Q696" s="8">
        <v>0</v>
      </c>
      <c r="R696" s="8">
        <v>0</v>
      </c>
    </row>
    <row r="697" ht="17.25" customHeight="1">
      <c r="A697" s="8">
        <v>696</v>
      </c>
      <c r="B697" s="8">
        <v>29</v>
      </c>
      <c r="C697" t="s" s="9">
        <v>236</v>
      </c>
      <c r="D697" t="s" s="9">
        <v>236</v>
      </c>
      <c r="E697" t="s" s="9">
        <v>2142</v>
      </c>
      <c r="F697" t="s" s="9">
        <v>2143</v>
      </c>
      <c r="G697" t="s" s="9">
        <v>2144</v>
      </c>
      <c r="H697" s="8" cm="1">
        <f t="array" ref="H697">MIN(SUMIF('외운 것'!A2:A271,A697,'외운 것'!D2:D271)+IF(R697=0,3,IF(R697=1,2,0)),3)</f>
        <v>3</v>
      </c>
      <c r="I697" s="8" cm="1">
        <f t="array" ref="I697">_xlfn.COUNTIFS('외운 것'!A2:A271,A697,'외운 것'!D2:D271,0)</f>
        <v>0</v>
      </c>
      <c r="J697" t="str" s="10" cm="1">
        <f t="array" ref="J697">IF(R697&lt;&gt;0,IF(H697&gt;=3,_xlfn.XLOOKUP(A697,'외운 것'!A2:A271,'외운 것'!C2:C271,0,1),0),"3차")</f>
        <v>3차</v>
      </c>
      <c r="K697" t="str" s="11" cm="1">
        <f t="array" ref="K697">IF(P697&lt;&gt;0,IF(N697&gt;=3,_xlfn.XLOOKUP(A697,'외운 것'!A2:A271,'외운 것'!C2:C271,0,1),0),"1차")</f>
        <v>1차</v>
      </c>
      <c r="L697" t="str" s="11" cm="1">
        <f t="array" ref="L697">IF(Q697&lt;&gt;0,IF(N697&gt;=3,_xlfn.XLOOKUP(A697,'외운 것'!A2:A271,'외운 것'!C2:C271,0,1),0),"2차")</f>
        <v>2차</v>
      </c>
      <c r="M697" t="str" s="11" cm="1">
        <f t="array" ref="M697">IF(R697&lt;&gt;0,IF(O697&gt;=3,_xlfn.XLOOKUP(B697,'외운 것'!B2:B271,'외운 것'!D2:D271,0,1),0),"3차")</f>
        <v>3차</v>
      </c>
      <c r="N697" s="8">
        <v>3</v>
      </c>
      <c r="O697" s="8">
        <v>3</v>
      </c>
      <c r="P697" s="8">
        <v>0</v>
      </c>
      <c r="Q697" s="8">
        <v>0</v>
      </c>
      <c r="R697" s="8">
        <v>0</v>
      </c>
    </row>
    <row r="698" ht="17.25" customHeight="1">
      <c r="A698" s="8">
        <v>697</v>
      </c>
      <c r="B698" s="8">
        <v>30</v>
      </c>
      <c r="C698" t="s" s="9">
        <v>236</v>
      </c>
      <c r="D698" t="s" s="9">
        <v>236</v>
      </c>
      <c r="E698" t="s" s="9">
        <v>2145</v>
      </c>
      <c r="F698" t="s" s="9">
        <v>2146</v>
      </c>
      <c r="G698" t="s" s="9">
        <v>2147</v>
      </c>
      <c r="H698" s="8" cm="1">
        <f t="array" ref="H698">MIN(SUMIF('외운 것'!A2:A271,A698,'외운 것'!D2:D271)+IF(R698=0,3,IF(R698=1,2,0)),3)</f>
        <v>2</v>
      </c>
      <c r="I698" s="8" cm="1">
        <f t="array" ref="I698">_xlfn.COUNTIFS('외운 것'!A2:A271,A698,'외운 것'!D2:D271,0)</f>
        <v>0</v>
      </c>
      <c r="J698" s="19" cm="1">
        <f t="array" ref="J698">IF(R698&lt;&gt;0,IF(H698&gt;=3,_xlfn.XLOOKUP(A698,'외운 것'!A2:A271,'외운 것'!C2:C271,0,1),0),"3차")</f>
        <v>0</v>
      </c>
      <c r="K698" s="8" cm="1">
        <f t="array" ref="K698">IF(P698&lt;&gt;0,IF(N698&gt;=3,_xlfn.XLOOKUP(A698,'외운 것'!A2:A271,'외운 것'!C2:C271,0,1),0),"1차")</f>
        <v>0</v>
      </c>
      <c r="L698" s="8" cm="1">
        <f t="array" ref="L698">IF(Q698&lt;&gt;0,IF(N698&gt;=3,_xlfn.XLOOKUP(A698,'외운 것'!A2:A271,'외운 것'!C2:C271,0,1),0),"2차")</f>
        <v>0</v>
      </c>
      <c r="M698" s="8" cm="1">
        <f t="array" ref="M698">IF(R698&lt;&gt;0,IF(O698&gt;=3,_xlfn.XLOOKUP(B698,'외운 것'!B2:B271,'외운 것'!D2:D271,0,1),0),"3차")</f>
        <v>0</v>
      </c>
      <c r="N698" s="8">
        <v>2</v>
      </c>
      <c r="O698" s="8">
        <v>3</v>
      </c>
      <c r="P698" s="8">
        <v>1</v>
      </c>
      <c r="Q698" s="8">
        <v>3</v>
      </c>
      <c r="R698" s="8">
        <v>1</v>
      </c>
    </row>
    <row r="699" ht="17.25" customHeight="1">
      <c r="A699" s="8">
        <v>698</v>
      </c>
      <c r="B699" s="8">
        <v>31</v>
      </c>
      <c r="C699" t="s" s="9">
        <v>236</v>
      </c>
      <c r="D699" t="s" s="9">
        <v>236</v>
      </c>
      <c r="E699" t="s" s="9">
        <v>2148</v>
      </c>
      <c r="F699" t="s" s="9">
        <v>2149</v>
      </c>
      <c r="G699" t="s" s="9">
        <v>2150</v>
      </c>
      <c r="H699" s="8" cm="1">
        <f t="array" ref="H699">MIN(SUMIF('외운 것'!A2:A271,A699,'외운 것'!D2:D271)+IF(R699=0,3,IF(R699=1,2,0)),3)</f>
        <v>0</v>
      </c>
      <c r="I699" s="8" cm="1">
        <f t="array" ref="I699">_xlfn.COUNTIFS('외운 것'!A2:A271,A699,'외운 것'!D2:D271,0)</f>
        <v>0</v>
      </c>
      <c r="J699" s="19" cm="1">
        <f t="array" ref="J699">IF(R699&lt;&gt;0,IF(H699&gt;=3,_xlfn.XLOOKUP(A699,'외운 것'!A2:A271,'외운 것'!C2:C271,0,1),0),"3차")</f>
        <v>0</v>
      </c>
      <c r="K699" s="8" cm="1">
        <f t="array" ref="K699">IF(P699&lt;&gt;0,IF(N699&gt;=3,_xlfn.XLOOKUP(A699,'외운 것'!A2:A271,'외운 것'!C2:C271,0,1),0),"1차")</f>
        <v>0</v>
      </c>
      <c r="L699" s="8" cm="1">
        <f t="array" ref="L699">IF(Q699&lt;&gt;0,IF(N699&gt;=3,_xlfn.XLOOKUP(A699,'외운 것'!A2:A271,'외운 것'!C2:C271,0,1),0),"2차")</f>
        <v>0</v>
      </c>
      <c r="M699" s="8" cm="1">
        <f t="array" ref="M699">IF(R699&lt;&gt;0,IF(O699&gt;=3,_xlfn.XLOOKUP(B699,'외운 것'!B2:B271,'외운 것'!D2:D271,0,1),0),"3차")</f>
        <v>0</v>
      </c>
      <c r="N699" s="8">
        <v>2</v>
      </c>
      <c r="O699" s="8">
        <v>3</v>
      </c>
      <c r="P699" s="8">
        <v>1</v>
      </c>
      <c r="Q699" s="8">
        <v>3</v>
      </c>
      <c r="R699" s="8">
        <v>2</v>
      </c>
    </row>
    <row r="700" ht="17.25" customHeight="1">
      <c r="A700" s="8">
        <v>699</v>
      </c>
      <c r="B700" s="8">
        <v>32</v>
      </c>
      <c r="C700" t="s" s="9">
        <v>236</v>
      </c>
      <c r="D700" t="s" s="9">
        <v>236</v>
      </c>
      <c r="E700" t="s" s="9">
        <v>2151</v>
      </c>
      <c r="F700" t="s" s="9">
        <v>2152</v>
      </c>
      <c r="G700" t="s" s="9">
        <v>2153</v>
      </c>
      <c r="H700" s="8" cm="1">
        <f t="array" ref="H700">MIN(SUMIF('외운 것'!A2:A271,A700,'외운 것'!D2:D271)+IF(R700=0,3,IF(R700=1,2,0)),3)</f>
        <v>3</v>
      </c>
      <c r="I700" s="8" cm="1">
        <f t="array" ref="I700">_xlfn.COUNTIFS('외운 것'!A2:A271,A700,'외운 것'!D2:D271,0)</f>
        <v>0</v>
      </c>
      <c r="J700" t="str" s="10" cm="1">
        <f t="array" ref="J700">IF(R700&lt;&gt;0,IF(H700&gt;=3,_xlfn.XLOOKUP(A700,'외운 것'!A2:A271,'외운 것'!C2:C271,0,1),0),"3차")</f>
        <v>3차</v>
      </c>
      <c r="K700" t="str" s="11" cm="1">
        <f t="array" ref="K700">IF(P700&lt;&gt;0,IF(N700&gt;=3,_xlfn.XLOOKUP(A700,'외운 것'!A2:A271,'외운 것'!C2:C271,0,1),0),"1차")</f>
        <v>1차</v>
      </c>
      <c r="L700" t="str" s="11" cm="1">
        <f t="array" ref="L700">IF(Q700&lt;&gt;0,IF(N700&gt;=3,_xlfn.XLOOKUP(A700,'외운 것'!A2:A271,'외운 것'!C2:C271,0,1),0),"2차")</f>
        <v>2차</v>
      </c>
      <c r="M700" t="str" s="11" cm="1">
        <f t="array" ref="M700">IF(R700&lt;&gt;0,IF(O700&gt;=3,_xlfn.XLOOKUP(B700,'외운 것'!B2:B271,'외운 것'!D2:D271,0,1),0),"3차")</f>
        <v>3차</v>
      </c>
      <c r="N700" s="8">
        <v>3</v>
      </c>
      <c r="O700" s="8">
        <v>3</v>
      </c>
      <c r="P700" s="8">
        <v>0</v>
      </c>
      <c r="Q700" s="8">
        <v>0</v>
      </c>
      <c r="R700" s="8">
        <v>0</v>
      </c>
    </row>
    <row r="701" ht="17.25" customHeight="1">
      <c r="A701" s="8">
        <v>700</v>
      </c>
      <c r="B701" s="8">
        <v>33</v>
      </c>
      <c r="C701" t="s" s="9">
        <v>236</v>
      </c>
      <c r="D701" t="s" s="9">
        <v>236</v>
      </c>
      <c r="E701" t="s" s="9">
        <v>2154</v>
      </c>
      <c r="F701" t="s" s="9">
        <v>2155</v>
      </c>
      <c r="G701" t="s" s="9">
        <v>2156</v>
      </c>
      <c r="H701" s="8" cm="1">
        <f t="array" ref="H701">MIN(SUMIF('외운 것'!A2:A271,A701,'외운 것'!D2:D271)+IF(R701=0,3,IF(R701=1,2,0)),3)</f>
        <v>3</v>
      </c>
      <c r="I701" s="8" cm="1">
        <f t="array" ref="I701">_xlfn.COUNTIFS('외운 것'!A2:A271,A701,'외운 것'!D2:D271,0)</f>
        <v>0</v>
      </c>
      <c r="J701" t="str" s="10" cm="1">
        <f t="array" ref="J701">IF(R701&lt;&gt;0,IF(H701&gt;=3,_xlfn.XLOOKUP(A701,'외운 것'!A2:A271,'외운 것'!C2:C271,0,1),0),"3차")</f>
        <v>3차</v>
      </c>
      <c r="K701" s="8" cm="1">
        <f t="array" ref="K701">IF(P701&lt;&gt;0,IF(N701&gt;=3,_xlfn.XLOOKUP(A701,'외운 것'!A2:A271,'외운 것'!C2:C271,0,1),0),"1차")</f>
        <v>0</v>
      </c>
      <c r="L701" t="str" s="11" cm="1">
        <f t="array" ref="L701">IF(Q701&lt;&gt;0,IF(N701&gt;=3,_xlfn.XLOOKUP(A701,'외운 것'!A2:A271,'외운 것'!C2:C271,0,1),0),"2차")</f>
        <v>2차</v>
      </c>
      <c r="M701" t="str" s="11" cm="1">
        <f t="array" ref="M701">IF(R701&lt;&gt;0,IF(O701&gt;=3,_xlfn.XLOOKUP(B701,'외운 것'!B2:B271,'외운 것'!D2:D271,0,1),0),"3차")</f>
        <v>3차</v>
      </c>
      <c r="N701" s="8">
        <v>2</v>
      </c>
      <c r="O701" s="8">
        <v>3</v>
      </c>
      <c r="P701" s="8">
        <v>1</v>
      </c>
      <c r="Q701" s="8">
        <v>0</v>
      </c>
      <c r="R701" s="8">
        <v>0</v>
      </c>
    </row>
    <row r="702" ht="17.25" customHeight="1">
      <c r="A702" s="8">
        <v>701</v>
      </c>
      <c r="B702" s="8">
        <v>34</v>
      </c>
      <c r="C702" t="s" s="9">
        <v>236</v>
      </c>
      <c r="D702" t="s" s="9">
        <v>236</v>
      </c>
      <c r="E702" t="s" s="9">
        <v>2157</v>
      </c>
      <c r="F702" t="s" s="9">
        <v>2158</v>
      </c>
      <c r="G702" t="s" s="9">
        <v>2159</v>
      </c>
      <c r="H702" s="8" cm="1">
        <f t="array" ref="H702">MIN(SUMIF('외운 것'!A2:A271,A702,'외운 것'!D2:D271)+IF(R702=0,3,IF(R702=1,2,0)),3)</f>
        <v>2</v>
      </c>
      <c r="I702" s="8" cm="1">
        <f t="array" ref="I702">_xlfn.COUNTIFS('외운 것'!A2:A271,A702,'외운 것'!D2:D271,0)</f>
        <v>0</v>
      </c>
      <c r="J702" s="19" cm="1">
        <f t="array" ref="J702">IF(R702&lt;&gt;0,IF(H702&gt;=3,_xlfn.XLOOKUP(A702,'외운 것'!A2:A271,'외운 것'!C2:C271,0,1),0),"3차")</f>
        <v>0</v>
      </c>
      <c r="K702" s="8" cm="1">
        <f t="array" ref="K702">IF(P702&lt;&gt;0,IF(N702&gt;=3,_xlfn.XLOOKUP(A702,'외운 것'!A2:A271,'외운 것'!C2:C271,0,1),0),"1차")</f>
        <v>0</v>
      </c>
      <c r="L702" s="8" cm="1">
        <f t="array" ref="L702">IF(Q702&lt;&gt;0,IF(N702&gt;=3,_xlfn.XLOOKUP(A702,'외운 것'!A2:A271,'외운 것'!C2:C271,0,1),0),"2차")</f>
        <v>0</v>
      </c>
      <c r="M702" s="8" cm="1">
        <f t="array" ref="M702">IF(R702&lt;&gt;0,IF(O702&gt;=3,_xlfn.XLOOKUP(B702,'외운 것'!B2:B271,'외운 것'!D2:D271,0,1),0),"3차")</f>
        <v>0</v>
      </c>
      <c r="N702" s="8">
        <v>0</v>
      </c>
      <c r="O702" s="8">
        <v>3</v>
      </c>
      <c r="P702" s="8">
        <v>4</v>
      </c>
      <c r="Q702" s="8">
        <v>3</v>
      </c>
      <c r="R702" s="8">
        <v>1</v>
      </c>
    </row>
    <row r="703" ht="17.25" customHeight="1">
      <c r="A703" s="8">
        <v>702</v>
      </c>
      <c r="B703" s="8">
        <v>35</v>
      </c>
      <c r="C703" t="s" s="9">
        <v>236</v>
      </c>
      <c r="D703" t="s" s="9">
        <v>236</v>
      </c>
      <c r="E703" t="s" s="9">
        <v>2160</v>
      </c>
      <c r="F703" t="s" s="9">
        <v>2161</v>
      </c>
      <c r="G703" t="s" s="9">
        <v>2162</v>
      </c>
      <c r="H703" s="8" cm="1">
        <f t="array" ref="H703">MIN(SUMIF('외운 것'!A2:A271,A703,'외운 것'!D2:D271)+IF(R703=0,3,IF(R703=1,2,0)),3)</f>
        <v>3</v>
      </c>
      <c r="I703" s="8" cm="1">
        <f t="array" ref="I703">_xlfn.COUNTIFS('외운 것'!A2:A271,A703,'외운 것'!D2:D271,0)</f>
        <v>0</v>
      </c>
      <c r="J703" t="str" s="10" cm="1">
        <f t="array" ref="J703">IF(R703&lt;&gt;0,IF(H703&gt;=3,_xlfn.XLOOKUP(A703,'외운 것'!A2:A271,'외운 것'!C2:C271,0,1),0),"3차")</f>
        <v>3차</v>
      </c>
      <c r="K703" s="8" cm="1">
        <f t="array" ref="K703">IF(P703&lt;&gt;0,IF(N703&gt;=3,_xlfn.XLOOKUP(A703,'외운 것'!A2:A271,'외운 것'!C2:C271,0,1),0),"1차")</f>
        <v>0</v>
      </c>
      <c r="L703" s="8" cm="1">
        <f t="array" ref="L703">IF(Q703&lt;&gt;0,IF(N703&gt;=3,_xlfn.XLOOKUP(A703,'외운 것'!A2:A271,'외운 것'!C2:C271,0,1),0),"2차")</f>
        <v>0</v>
      </c>
      <c r="M703" t="str" s="11" cm="1">
        <f t="array" ref="M703">IF(R703&lt;&gt;0,IF(O703&gt;=3,_xlfn.XLOOKUP(B703,'외운 것'!B2:B271,'외운 것'!D2:D271,0,1),0),"3차")</f>
        <v>3차</v>
      </c>
      <c r="N703" s="8">
        <v>0</v>
      </c>
      <c r="O703" s="8">
        <v>3</v>
      </c>
      <c r="P703" s="8">
        <v>2</v>
      </c>
      <c r="Q703" s="8">
        <v>1</v>
      </c>
      <c r="R703" s="8">
        <v>0</v>
      </c>
    </row>
    <row r="704" ht="17.25" customHeight="1">
      <c r="A704" s="8">
        <v>703</v>
      </c>
      <c r="B704" s="8">
        <v>36</v>
      </c>
      <c r="C704" t="s" s="9">
        <v>236</v>
      </c>
      <c r="D704" t="s" s="9">
        <v>236</v>
      </c>
      <c r="E704" t="s" s="9">
        <v>2163</v>
      </c>
      <c r="F704" t="s" s="9">
        <v>2164</v>
      </c>
      <c r="G704" t="s" s="9">
        <v>2165</v>
      </c>
      <c r="H704" s="8" cm="1">
        <f t="array" ref="H704">MIN(SUMIF('외운 것'!A2:A271,A704,'외운 것'!D2:D271)+IF(R704=0,3,IF(R704=1,2,0)),3)</f>
        <v>3</v>
      </c>
      <c r="I704" s="8" cm="1">
        <f t="array" ref="I704">_xlfn.COUNTIFS('외운 것'!A2:A271,A704,'외운 것'!D2:D271,0)</f>
        <v>0</v>
      </c>
      <c r="J704" t="str" s="10" cm="1">
        <f t="array" ref="J704">IF(R704&lt;&gt;0,IF(H704&gt;=3,_xlfn.XLOOKUP(A704,'외운 것'!A2:A271,'외운 것'!C2:C271,0,1),0),"3차")</f>
        <v>3차</v>
      </c>
      <c r="K704" s="8" cm="1">
        <f t="array" ref="K704">IF(P704&lt;&gt;0,IF(N704&gt;=3,_xlfn.XLOOKUP(A704,'외운 것'!A2:A271,'외운 것'!C2:C271,0,1),0),"1차")</f>
        <v>0</v>
      </c>
      <c r="L704" s="8" cm="1">
        <f t="array" ref="L704">IF(Q704&lt;&gt;0,IF(N704&gt;=3,_xlfn.XLOOKUP(A704,'외운 것'!A2:A271,'외운 것'!C2:C271,0,1),0),"2차")</f>
        <v>0</v>
      </c>
      <c r="M704" t="str" s="11" cm="1">
        <f t="array" ref="M704">IF(R704&lt;&gt;0,IF(O704&gt;=3,_xlfn.XLOOKUP(B704,'외운 것'!B2:B271,'외운 것'!D2:D271,0,1),0),"3차")</f>
        <v>3차</v>
      </c>
      <c r="N704" s="8">
        <v>0</v>
      </c>
      <c r="O704" s="8">
        <v>3</v>
      </c>
      <c r="P704" s="8">
        <v>2</v>
      </c>
      <c r="Q704" s="8">
        <v>1</v>
      </c>
      <c r="R704" s="8">
        <v>0</v>
      </c>
    </row>
    <row r="705" ht="17.25" customHeight="1">
      <c r="A705" s="8">
        <v>704</v>
      </c>
      <c r="B705" s="8">
        <v>37</v>
      </c>
      <c r="C705" t="s" s="9">
        <v>236</v>
      </c>
      <c r="D705" t="s" s="9">
        <v>236</v>
      </c>
      <c r="E705" t="s" s="9">
        <v>2166</v>
      </c>
      <c r="F705" t="s" s="9">
        <v>2167</v>
      </c>
      <c r="G705" t="s" s="9">
        <v>2168</v>
      </c>
      <c r="H705" s="8" cm="1">
        <f t="array" ref="H705">MIN(SUMIF('외운 것'!A2:A271,A705,'외운 것'!D2:D271)+IF(R705=0,3,IF(R705=1,2,0)),3)</f>
        <v>3</v>
      </c>
      <c r="I705" s="8" cm="1">
        <f t="array" ref="I705">_xlfn.COUNTIFS('외운 것'!A2:A271,A705,'외운 것'!D2:D271,0)</f>
        <v>0</v>
      </c>
      <c r="J705" t="str" s="10" cm="1">
        <f t="array" ref="J705">IF(R705&lt;&gt;0,IF(H705&gt;=3,_xlfn.XLOOKUP(A705,'외운 것'!A2:A271,'외운 것'!C2:C271,0,1),0),"3차")</f>
        <v>3차</v>
      </c>
      <c r="K705" s="8" cm="1">
        <f t="array" ref="K705">IF(P705&lt;&gt;0,IF(N705&gt;=3,_xlfn.XLOOKUP(A705,'외운 것'!A2:A271,'외운 것'!C2:C271,0,1),0),"1차")</f>
        <v>0</v>
      </c>
      <c r="L705" t="str" s="11" cm="1">
        <f t="array" ref="L705">IF(Q705&lt;&gt;0,IF(N705&gt;=3,_xlfn.XLOOKUP(A705,'외운 것'!A2:A271,'외운 것'!C2:C271,0,1),0),"2차")</f>
        <v>2차</v>
      </c>
      <c r="M705" t="str" s="11" cm="1">
        <f t="array" ref="M705">IF(R705&lt;&gt;0,IF(O705&gt;=3,_xlfn.XLOOKUP(B705,'외운 것'!B2:B271,'외운 것'!D2:D271,0,1),0),"3차")</f>
        <v>3차</v>
      </c>
      <c r="N705" s="8">
        <v>2</v>
      </c>
      <c r="O705" s="8">
        <v>3</v>
      </c>
      <c r="P705" s="8">
        <v>1</v>
      </c>
      <c r="Q705" s="8">
        <v>0</v>
      </c>
      <c r="R705" s="8">
        <v>0</v>
      </c>
    </row>
    <row r="706" ht="17.25" customHeight="1">
      <c r="A706" s="8">
        <v>705</v>
      </c>
      <c r="B706" s="8">
        <v>38</v>
      </c>
      <c r="C706" t="s" s="9">
        <v>236</v>
      </c>
      <c r="D706" t="s" s="9">
        <v>236</v>
      </c>
      <c r="E706" t="s" s="9">
        <v>2169</v>
      </c>
      <c r="F706" t="s" s="9">
        <v>2170</v>
      </c>
      <c r="G706" t="s" s="9">
        <v>2171</v>
      </c>
      <c r="H706" s="8" cm="1">
        <f t="array" ref="H706">MIN(SUMIF('외운 것'!A2:A271,A706,'외운 것'!D2:D271)+IF(R706=0,3,IF(R706=1,2,0)),3)</f>
        <v>2</v>
      </c>
      <c r="I706" s="8" cm="1">
        <f t="array" ref="I706">_xlfn.COUNTIFS('외운 것'!A2:A271,A706,'외운 것'!D2:D271,0)</f>
        <v>0</v>
      </c>
      <c r="J706" s="19" cm="1">
        <f t="array" ref="J706">IF(R706&lt;&gt;0,IF(H706&gt;=3,_xlfn.XLOOKUP(A706,'외운 것'!A2:A271,'외운 것'!C2:C271,0,1),0),"3차")</f>
        <v>0</v>
      </c>
      <c r="K706" s="8" cm="1">
        <f t="array" ref="K706">IF(P706&lt;&gt;0,IF(N706&gt;=3,_xlfn.XLOOKUP(A706,'외운 것'!A2:A271,'외운 것'!C2:C271,0,1),0),"1차")</f>
        <v>0</v>
      </c>
      <c r="L706" s="8" cm="1">
        <f t="array" ref="L706">IF(Q706&lt;&gt;0,IF(N706&gt;=3,_xlfn.XLOOKUP(A706,'외운 것'!A2:A271,'외운 것'!C2:C271,0,1),0),"2차")</f>
        <v>0</v>
      </c>
      <c r="M706" s="8" cm="1">
        <f t="array" ref="M706">IF(R706&lt;&gt;0,IF(O706&gt;=3,_xlfn.XLOOKUP(B706,'외운 것'!B2:B271,'외운 것'!D2:D271,0,1),0),"3차")</f>
        <v>0</v>
      </c>
      <c r="N706" s="8">
        <v>2</v>
      </c>
      <c r="O706" s="8">
        <v>3</v>
      </c>
      <c r="P706" s="8">
        <v>1</v>
      </c>
      <c r="Q706" s="8">
        <v>2</v>
      </c>
      <c r="R706" s="8">
        <v>1</v>
      </c>
    </row>
    <row r="707" ht="17.25" customHeight="1">
      <c r="A707" s="8">
        <v>706</v>
      </c>
      <c r="B707" s="8">
        <v>39</v>
      </c>
      <c r="C707" t="s" s="9">
        <v>236</v>
      </c>
      <c r="D707" t="s" s="9">
        <v>236</v>
      </c>
      <c r="E707" t="s" s="9">
        <v>2172</v>
      </c>
      <c r="F707" t="s" s="9">
        <v>2173</v>
      </c>
      <c r="G707" t="s" s="9">
        <v>2174</v>
      </c>
      <c r="H707" s="8" cm="1">
        <f t="array" ref="H707">MIN(SUMIF('외운 것'!A2:A271,A707,'외운 것'!D2:D271)+IF(R707=0,3,IF(R707=1,2,0)),3)</f>
        <v>3</v>
      </c>
      <c r="I707" s="8" cm="1">
        <f t="array" ref="I707">_xlfn.COUNTIFS('외운 것'!A2:A271,A707,'외운 것'!D2:D271,0)</f>
        <v>0</v>
      </c>
      <c r="J707" t="str" s="10" cm="1">
        <f t="array" ref="J707">IF(R707&lt;&gt;0,IF(H707&gt;=3,_xlfn.XLOOKUP(A707,'외운 것'!A2:A271,'외운 것'!C2:C271,0,1),0),"3차")</f>
        <v>3차</v>
      </c>
      <c r="K707" t="str" s="11" cm="1">
        <f t="array" ref="K707">IF(P707&lt;&gt;0,IF(N707&gt;=3,_xlfn.XLOOKUP(A707,'외운 것'!A2:A271,'외운 것'!C2:C271,0,1),0),"1차")</f>
        <v>1차</v>
      </c>
      <c r="L707" t="str" s="11" cm="1">
        <f t="array" ref="L707">IF(Q707&lt;&gt;0,IF(N707&gt;=3,_xlfn.XLOOKUP(A707,'외운 것'!A2:A271,'외운 것'!C2:C271,0,1),0),"2차")</f>
        <v>2차</v>
      </c>
      <c r="M707" t="str" s="11" cm="1">
        <f t="array" ref="M707">IF(R707&lt;&gt;0,IF(O707&gt;=3,_xlfn.XLOOKUP(B707,'외운 것'!B2:B271,'외운 것'!D2:D271,0,1),0),"3차")</f>
        <v>3차</v>
      </c>
      <c r="N707" s="8">
        <v>3</v>
      </c>
      <c r="O707" s="8">
        <v>3</v>
      </c>
      <c r="P707" s="8">
        <v>0</v>
      </c>
      <c r="Q707" s="8">
        <v>0</v>
      </c>
      <c r="R707" s="8">
        <v>0</v>
      </c>
    </row>
    <row r="708" ht="17.25" customHeight="1">
      <c r="A708" s="8">
        <v>707</v>
      </c>
      <c r="B708" s="8">
        <v>40</v>
      </c>
      <c r="C708" t="s" s="9">
        <v>236</v>
      </c>
      <c r="D708" t="s" s="9">
        <v>236</v>
      </c>
      <c r="E708" t="s" s="9">
        <v>2175</v>
      </c>
      <c r="F708" t="s" s="9">
        <v>2176</v>
      </c>
      <c r="G708" t="s" s="9">
        <v>2177</v>
      </c>
      <c r="H708" s="8" cm="1">
        <f t="array" ref="H708">MIN(SUMIF('외운 것'!A2:A271,A708,'외운 것'!D2:D271)+IF(R708=0,3,IF(R708=1,2,0)),3)</f>
        <v>3</v>
      </c>
      <c r="I708" s="8" cm="1">
        <f t="array" ref="I708">_xlfn.COUNTIFS('외운 것'!A2:A271,A708,'외운 것'!D2:D271,0)</f>
        <v>0</v>
      </c>
      <c r="J708" t="str" s="10" cm="1">
        <f t="array" ref="J708">IF(R708&lt;&gt;0,IF(H708&gt;=3,_xlfn.XLOOKUP(A708,'외운 것'!A2:A271,'외운 것'!C2:C271,0,1),0),"3차")</f>
        <v>3차</v>
      </c>
      <c r="K708" t="str" s="11" cm="1">
        <f t="array" ref="K708">IF(P708&lt;&gt;0,IF(N708&gt;=3,_xlfn.XLOOKUP(A708,'외운 것'!A2:A271,'외운 것'!C2:C271,0,1),0),"1차")</f>
        <v>1차</v>
      </c>
      <c r="L708" t="str" s="11" cm="1">
        <f t="array" ref="L708">IF(Q708&lt;&gt;0,IF(N708&gt;=3,_xlfn.XLOOKUP(A708,'외운 것'!A2:A271,'외운 것'!C2:C271,0,1),0),"2차")</f>
        <v>2차</v>
      </c>
      <c r="M708" t="str" s="11" cm="1">
        <f t="array" ref="M708">IF(R708&lt;&gt;0,IF(O708&gt;=3,_xlfn.XLOOKUP(B708,'외운 것'!B2:B271,'외운 것'!D2:D271,0,1),0),"3차")</f>
        <v>3차</v>
      </c>
      <c r="N708" s="8">
        <v>3</v>
      </c>
      <c r="O708" s="8">
        <v>3</v>
      </c>
      <c r="P708" s="8">
        <v>0</v>
      </c>
      <c r="Q708" s="8">
        <v>0</v>
      </c>
      <c r="R708" s="8">
        <v>0</v>
      </c>
    </row>
    <row r="709" ht="17.25" customHeight="1">
      <c r="A709" s="8">
        <v>708</v>
      </c>
      <c r="B709" s="8">
        <v>41</v>
      </c>
      <c r="C709" t="s" s="9">
        <v>236</v>
      </c>
      <c r="D709" t="s" s="9">
        <v>236</v>
      </c>
      <c r="E709" t="s" s="9">
        <v>2178</v>
      </c>
      <c r="F709" t="s" s="9">
        <v>2179</v>
      </c>
      <c r="G709" t="s" s="9">
        <v>2180</v>
      </c>
      <c r="H709" s="8" cm="1">
        <f t="array" ref="H709">MIN(SUMIF('외운 것'!A2:A271,A709,'외운 것'!D2:D271)+IF(R709=0,3,IF(R709=1,2,0)),3)</f>
        <v>2</v>
      </c>
      <c r="I709" s="8" cm="1">
        <f t="array" ref="I709">_xlfn.COUNTIFS('외운 것'!A2:A271,A709,'외운 것'!D2:D271,0)</f>
        <v>0</v>
      </c>
      <c r="J709" s="19" cm="1">
        <f t="array" ref="J709">IF(R709&lt;&gt;0,IF(H709&gt;=3,_xlfn.XLOOKUP(A709,'외운 것'!A2:A271,'외운 것'!C2:C271,0,1),0),"3차")</f>
        <v>0</v>
      </c>
      <c r="K709" s="8" cm="1">
        <f t="array" ref="K709">IF(P709&lt;&gt;0,IF(N709&gt;=3,_xlfn.XLOOKUP(A709,'외운 것'!A2:A271,'외운 것'!C2:C271,0,1),0),"1차")</f>
        <v>0</v>
      </c>
      <c r="L709" s="8" cm="1">
        <f t="array" ref="L709">IF(Q709&lt;&gt;0,IF(N709&gt;=3,_xlfn.XLOOKUP(A709,'외운 것'!A2:A271,'외운 것'!C2:C271,0,1),0),"2차")</f>
        <v>0</v>
      </c>
      <c r="M709" s="8" cm="1">
        <f t="array" ref="M709">IF(R709&lt;&gt;0,IF(O709&gt;=3,_xlfn.XLOOKUP(B709,'외운 것'!B2:B271,'외운 것'!D2:D271,0,1),0),"3차")</f>
        <v>0</v>
      </c>
      <c r="N709" s="8">
        <v>2</v>
      </c>
      <c r="O709" s="8">
        <v>3</v>
      </c>
      <c r="P709" s="8">
        <v>1</v>
      </c>
      <c r="Q709" s="8">
        <v>2</v>
      </c>
      <c r="R709" s="8">
        <v>1</v>
      </c>
    </row>
    <row r="710" ht="17.25" customHeight="1">
      <c r="A710" s="8">
        <v>709</v>
      </c>
      <c r="B710" s="8">
        <v>42</v>
      </c>
      <c r="C710" t="s" s="9">
        <v>236</v>
      </c>
      <c r="D710" t="s" s="9">
        <v>236</v>
      </c>
      <c r="E710" t="s" s="9">
        <v>2181</v>
      </c>
      <c r="F710" t="s" s="9">
        <v>2182</v>
      </c>
      <c r="G710" t="s" s="9">
        <v>2183</v>
      </c>
      <c r="H710" s="8" cm="1">
        <f t="array" ref="H710">MIN(SUMIF('외운 것'!A2:A271,A710,'외운 것'!D2:D271)+IF(R710=0,3,IF(R710=1,2,0)),3)</f>
        <v>3</v>
      </c>
      <c r="I710" s="8" cm="1">
        <f t="array" ref="I710">_xlfn.COUNTIFS('외운 것'!A2:A271,A710,'외운 것'!D2:D271,0)</f>
        <v>0</v>
      </c>
      <c r="J710" t="str" s="10" cm="1">
        <f t="array" ref="J710">IF(R710&lt;&gt;0,IF(H710&gt;=3,_xlfn.XLOOKUP(A710,'외운 것'!A2:A271,'외운 것'!C2:C271,0,1),0),"3차")</f>
        <v>3차</v>
      </c>
      <c r="K710" s="8" cm="1">
        <f t="array" ref="K710">IF(P710&lt;&gt;0,IF(N710&gt;=3,_xlfn.XLOOKUP(A710,'외운 것'!A2:A271,'외운 것'!C2:C271,0,1),0),"1차")</f>
        <v>0</v>
      </c>
      <c r="L710" t="str" s="11" cm="1">
        <f t="array" ref="L710">IF(Q710&lt;&gt;0,IF(N710&gt;=3,_xlfn.XLOOKUP(A710,'외운 것'!A2:A271,'외운 것'!C2:C271,0,1),0),"2차")</f>
        <v>2차</v>
      </c>
      <c r="M710" t="str" s="11" cm="1">
        <f t="array" ref="M710">IF(R710&lt;&gt;0,IF(O710&gt;=3,_xlfn.XLOOKUP(B710,'외운 것'!B2:B271,'외운 것'!D2:D271,0,1),0),"3차")</f>
        <v>3차</v>
      </c>
      <c r="N710" s="8">
        <v>2</v>
      </c>
      <c r="O710" s="8">
        <v>3</v>
      </c>
      <c r="P710" s="8">
        <v>1</v>
      </c>
      <c r="Q710" s="8">
        <v>0</v>
      </c>
      <c r="R710" s="8">
        <v>0</v>
      </c>
    </row>
    <row r="711" ht="17.25" customHeight="1">
      <c r="A711" s="8">
        <v>710</v>
      </c>
      <c r="B711" s="8">
        <v>43</v>
      </c>
      <c r="C711" t="s" s="9">
        <v>236</v>
      </c>
      <c r="D711" t="s" s="9">
        <v>236</v>
      </c>
      <c r="E711" t="s" s="9">
        <v>2184</v>
      </c>
      <c r="F711" t="s" s="9">
        <v>2185</v>
      </c>
      <c r="G711" t="s" s="9">
        <v>2186</v>
      </c>
      <c r="H711" s="8" cm="1">
        <f t="array" ref="H711">MIN(SUMIF('외운 것'!A2:A271,A711,'외운 것'!D2:D271)+IF(R711=0,3,IF(R711=1,2,0)),3)</f>
        <v>3</v>
      </c>
      <c r="I711" s="8" cm="1">
        <f t="array" ref="I711">_xlfn.COUNTIFS('외운 것'!A2:A271,A711,'외운 것'!D2:D271,0)</f>
        <v>0</v>
      </c>
      <c r="J711" t="str" s="10" cm="1">
        <f t="array" ref="J711">IF(R711&lt;&gt;0,IF(H711&gt;=3,_xlfn.XLOOKUP(A711,'외운 것'!A2:A271,'외운 것'!C2:C271,0,1),0),"3차")</f>
        <v>3차</v>
      </c>
      <c r="K711" s="8" cm="1">
        <f t="array" ref="K711">IF(P711&lt;&gt;0,IF(N711&gt;=3,_xlfn.XLOOKUP(A711,'외운 것'!A2:A271,'외운 것'!C2:C271,0,1),0),"1차")</f>
        <v>0</v>
      </c>
      <c r="L711" t="str" s="11" cm="1">
        <f t="array" ref="L711">IF(Q711&lt;&gt;0,IF(N711&gt;=3,_xlfn.XLOOKUP(A711,'외운 것'!A2:A271,'외운 것'!C2:C271,0,1),0),"2차")</f>
        <v>2차</v>
      </c>
      <c r="M711" t="str" s="11" cm="1">
        <f t="array" ref="M711">IF(R711&lt;&gt;0,IF(O711&gt;=3,_xlfn.XLOOKUP(B711,'외운 것'!B2:B271,'외운 것'!D2:D271,0,1),0),"3차")</f>
        <v>3차</v>
      </c>
      <c r="N711" s="8">
        <v>2</v>
      </c>
      <c r="O711" s="8">
        <v>3</v>
      </c>
      <c r="P711" s="8">
        <v>1</v>
      </c>
      <c r="Q711" s="8">
        <v>0</v>
      </c>
      <c r="R711" s="8">
        <v>0</v>
      </c>
    </row>
    <row r="712" ht="17.25" customHeight="1">
      <c r="A712" s="8">
        <v>711</v>
      </c>
      <c r="B712" s="8">
        <v>44</v>
      </c>
      <c r="C712" t="s" s="9">
        <v>236</v>
      </c>
      <c r="D712" t="s" s="9">
        <v>236</v>
      </c>
      <c r="E712" t="s" s="9">
        <v>2187</v>
      </c>
      <c r="F712" t="s" s="9">
        <v>2188</v>
      </c>
      <c r="G712" t="s" s="9">
        <v>2189</v>
      </c>
      <c r="H712" s="8" cm="1">
        <f t="array" ref="H712">MIN(SUMIF('외운 것'!A2:A271,A712,'외운 것'!D2:D271)+IF(R712=0,3,IF(R712=1,2,0)),3)</f>
        <v>3</v>
      </c>
      <c r="I712" s="8" cm="1">
        <f t="array" ref="I712">_xlfn.COUNTIFS('외운 것'!A2:A271,A712,'외운 것'!D2:D271,0)</f>
        <v>0</v>
      </c>
      <c r="J712" t="str" s="10" cm="1">
        <f t="array" ref="J712">IF(R712&lt;&gt;0,IF(H712&gt;=3,_xlfn.XLOOKUP(A712,'외운 것'!A2:A271,'외운 것'!C2:C271,0,1),0),"3차")</f>
        <v>3차</v>
      </c>
      <c r="K712" s="8" cm="1">
        <f t="array" ref="K712">IF(P712&lt;&gt;0,IF(N712&gt;=3,_xlfn.XLOOKUP(A712,'외운 것'!A2:A271,'외운 것'!C2:C271,0,1),0),"1차")</f>
        <v>0</v>
      </c>
      <c r="L712" t="str" s="11" cm="1">
        <f t="array" ref="L712">IF(Q712&lt;&gt;0,IF(N712&gt;=3,_xlfn.XLOOKUP(A712,'외운 것'!A2:A271,'외운 것'!C2:C271,0,1),0),"2차")</f>
        <v>2차</v>
      </c>
      <c r="M712" t="str" s="11" cm="1">
        <f t="array" ref="M712">IF(R712&lt;&gt;0,IF(O712&gt;=3,_xlfn.XLOOKUP(B712,'외운 것'!B2:B271,'외운 것'!D2:D271,0,1),0),"3차")</f>
        <v>3차</v>
      </c>
      <c r="N712" s="8">
        <v>0</v>
      </c>
      <c r="O712" s="8">
        <v>3</v>
      </c>
      <c r="P712" s="8">
        <v>2</v>
      </c>
      <c r="Q712" s="8">
        <v>0</v>
      </c>
      <c r="R712" s="8">
        <v>0</v>
      </c>
    </row>
    <row r="713" ht="17.25" customHeight="1">
      <c r="A713" s="8">
        <v>712</v>
      </c>
      <c r="B713" s="8">
        <v>45</v>
      </c>
      <c r="C713" t="s" s="9">
        <v>236</v>
      </c>
      <c r="D713" t="s" s="9">
        <v>236</v>
      </c>
      <c r="E713" t="s" s="9">
        <v>2190</v>
      </c>
      <c r="F713" t="s" s="9">
        <v>2191</v>
      </c>
      <c r="G713" t="s" s="9">
        <v>2192</v>
      </c>
      <c r="H713" s="8" cm="1">
        <f t="array" ref="H713">MIN(SUMIF('외운 것'!A2:A271,A713,'외운 것'!D2:D271)+IF(R713=0,3,IF(R713=1,2,0)),3)</f>
        <v>3</v>
      </c>
      <c r="I713" s="8" cm="1">
        <f t="array" ref="I713">_xlfn.COUNTIFS('외운 것'!A2:A271,A713,'외운 것'!D2:D271,0)</f>
        <v>0</v>
      </c>
      <c r="J713" t="str" s="10" cm="1">
        <f t="array" ref="J713">IF(R713&lt;&gt;0,IF(H713&gt;=3,_xlfn.XLOOKUP(A713,'외운 것'!A2:A271,'외운 것'!C2:C271,0,1),0),"3차")</f>
        <v>3차</v>
      </c>
      <c r="K713" s="8" cm="1">
        <f t="array" ref="K713">IF(P713&lt;&gt;0,IF(N713&gt;=3,_xlfn.XLOOKUP(A713,'외운 것'!A2:A271,'외운 것'!C2:C271,0,1),0),"1차")</f>
        <v>0</v>
      </c>
      <c r="L713" t="str" s="11" cm="1">
        <f t="array" ref="L713">IF(Q713&lt;&gt;0,IF(N713&gt;=3,_xlfn.XLOOKUP(A713,'외운 것'!A2:A271,'외운 것'!C2:C271,0,1),0),"2차")</f>
        <v>2차</v>
      </c>
      <c r="M713" t="str" s="11" cm="1">
        <f t="array" ref="M713">IF(R713&lt;&gt;0,IF(O713&gt;=3,_xlfn.XLOOKUP(B713,'외운 것'!B2:B271,'외운 것'!D2:D271,0,1),0),"3차")</f>
        <v>3차</v>
      </c>
      <c r="N713" s="8">
        <v>2</v>
      </c>
      <c r="O713" s="8">
        <v>3</v>
      </c>
      <c r="P713" s="8">
        <v>1</v>
      </c>
      <c r="Q713" s="8">
        <v>0</v>
      </c>
      <c r="R713" s="8">
        <v>0</v>
      </c>
    </row>
    <row r="714" ht="17.25" customHeight="1">
      <c r="A714" s="8">
        <v>713</v>
      </c>
      <c r="B714" s="8">
        <v>46</v>
      </c>
      <c r="C714" t="s" s="9">
        <v>236</v>
      </c>
      <c r="D714" t="s" s="9">
        <v>236</v>
      </c>
      <c r="E714" t="s" s="9">
        <v>2193</v>
      </c>
      <c r="F714" t="s" s="9">
        <v>2194</v>
      </c>
      <c r="G714" t="s" s="9">
        <v>2195</v>
      </c>
      <c r="H714" s="8" cm="1">
        <f t="array" ref="H714">MIN(SUMIF('외운 것'!A2:A271,A714,'외운 것'!D2:D271)+IF(R714=0,3,IF(R714=1,2,0)),3)</f>
        <v>2</v>
      </c>
      <c r="I714" s="8" cm="1">
        <f t="array" ref="I714">_xlfn.COUNTIFS('외운 것'!A2:A271,A714,'외운 것'!D2:D271,0)</f>
        <v>0</v>
      </c>
      <c r="J714" s="19" cm="1">
        <f t="array" ref="J714">IF(R714&lt;&gt;0,IF(H714&gt;=3,_xlfn.XLOOKUP(A714,'외운 것'!A2:A271,'외운 것'!C2:C271,0,1),0),"3차")</f>
        <v>0</v>
      </c>
      <c r="K714" s="8" cm="1">
        <f t="array" ref="K714">IF(P714&lt;&gt;0,IF(N714&gt;=3,_xlfn.XLOOKUP(A714,'외운 것'!A2:A271,'외운 것'!C2:C271,0,1),0),"1차")</f>
        <v>0</v>
      </c>
      <c r="L714" s="8" cm="1">
        <f t="array" ref="L714">IF(Q714&lt;&gt;0,IF(N714&gt;=3,_xlfn.XLOOKUP(A714,'외운 것'!A2:A271,'외운 것'!C2:C271,0,1),0),"2차")</f>
        <v>0</v>
      </c>
      <c r="M714" s="8" cm="1">
        <f t="array" ref="M714">IF(R714&lt;&gt;0,IF(O714&gt;=3,_xlfn.XLOOKUP(B714,'외운 것'!B2:B271,'외운 것'!D2:D271,0,1),0),"3차")</f>
        <v>0</v>
      </c>
      <c r="N714" s="8">
        <v>2</v>
      </c>
      <c r="O714" s="8">
        <v>3</v>
      </c>
      <c r="P714" s="8">
        <v>1</v>
      </c>
      <c r="Q714" s="8">
        <v>1</v>
      </c>
      <c r="R714" s="8">
        <v>1</v>
      </c>
    </row>
    <row r="715" ht="17.25" customHeight="1">
      <c r="A715" s="8">
        <v>714</v>
      </c>
      <c r="B715" s="8">
        <v>47</v>
      </c>
      <c r="C715" t="s" s="9">
        <v>236</v>
      </c>
      <c r="D715" t="s" s="9">
        <v>236</v>
      </c>
      <c r="E715" t="s" s="9">
        <v>2196</v>
      </c>
      <c r="F715" t="s" s="9">
        <v>2197</v>
      </c>
      <c r="G715" t="s" s="9">
        <v>2198</v>
      </c>
      <c r="H715" s="8" cm="1">
        <f t="array" ref="H715">MIN(SUMIF('외운 것'!A2:A271,A715,'외운 것'!D2:D271)+IF(R715=0,3,IF(R715=1,2,0)),3)</f>
        <v>3</v>
      </c>
      <c r="I715" s="8" cm="1">
        <f t="array" ref="I715">_xlfn.COUNTIFS('외운 것'!A2:A271,A715,'외운 것'!D2:D271,0)</f>
        <v>0</v>
      </c>
      <c r="J715" t="str" s="10" cm="1">
        <f t="array" ref="J715">IF(R715&lt;&gt;0,IF(H715&gt;=3,_xlfn.XLOOKUP(A715,'외운 것'!A2:A271,'외운 것'!C2:C271,0,1),0),"3차")</f>
        <v>3차</v>
      </c>
      <c r="K715" s="8" cm="1">
        <f t="array" ref="K715">IF(P715&lt;&gt;0,IF(N715&gt;=3,_xlfn.XLOOKUP(A715,'외운 것'!A2:A271,'외운 것'!C2:C271,0,1),0),"1차")</f>
        <v>0</v>
      </c>
      <c r="L715" s="8" cm="1">
        <f t="array" ref="L715">IF(Q715&lt;&gt;0,IF(N715&gt;=3,_xlfn.XLOOKUP(A715,'외운 것'!A2:A271,'외운 것'!C2:C271,0,1),0),"2차")</f>
        <v>0</v>
      </c>
      <c r="M715" t="str" s="11" cm="1">
        <f t="array" ref="M715">IF(R715&lt;&gt;0,IF(O715&gt;=3,_xlfn.XLOOKUP(B715,'외운 것'!B2:B271,'외운 것'!D2:D271,0,1),0),"3차")</f>
        <v>3차</v>
      </c>
      <c r="N715" s="8">
        <v>2</v>
      </c>
      <c r="O715" s="8">
        <v>3</v>
      </c>
      <c r="P715" s="8">
        <v>1</v>
      </c>
      <c r="Q715" s="8">
        <v>1</v>
      </c>
      <c r="R715" s="8">
        <v>0</v>
      </c>
    </row>
    <row r="716" ht="17.25" customHeight="1">
      <c r="A716" s="8">
        <v>715</v>
      </c>
      <c r="B716" s="8">
        <v>48</v>
      </c>
      <c r="C716" t="s" s="9">
        <v>236</v>
      </c>
      <c r="D716" t="s" s="9">
        <v>236</v>
      </c>
      <c r="E716" t="s" s="9">
        <v>2199</v>
      </c>
      <c r="F716" t="s" s="9">
        <v>2200</v>
      </c>
      <c r="G716" t="s" s="9">
        <v>416</v>
      </c>
      <c r="H716" s="8" cm="1">
        <f t="array" ref="H716">MIN(SUMIF('외운 것'!A2:A271,A716,'외운 것'!D2:D271)+IF(R716=0,3,IF(R716=1,2,0)),3)</f>
        <v>3</v>
      </c>
      <c r="I716" s="8" cm="1">
        <f t="array" ref="I716">_xlfn.COUNTIFS('외운 것'!A2:A271,A716,'외운 것'!D2:D271,0)</f>
        <v>0</v>
      </c>
      <c r="J716" t="str" s="10" cm="1">
        <f t="array" ref="J716">IF(R716&lt;&gt;0,IF(H716&gt;=3,_xlfn.XLOOKUP(A716,'외운 것'!A2:A271,'외운 것'!C2:C271,0,1),0),"3차")</f>
        <v>3차</v>
      </c>
      <c r="K716" s="8" cm="1">
        <f t="array" ref="K716">IF(P716&lt;&gt;0,IF(N716&gt;=3,_xlfn.XLOOKUP(A716,'외운 것'!A2:A271,'외운 것'!C2:C271,0,1),0),"1차")</f>
        <v>0</v>
      </c>
      <c r="L716" t="str" s="11" cm="1">
        <f t="array" ref="L716">IF(Q716&lt;&gt;0,IF(N716&gt;=3,_xlfn.XLOOKUP(A716,'외운 것'!A2:A271,'외운 것'!C2:C271,0,1),0),"2차")</f>
        <v>2차</v>
      </c>
      <c r="M716" t="str" s="11" cm="1">
        <f t="array" ref="M716">IF(R716&lt;&gt;0,IF(O716&gt;=3,_xlfn.XLOOKUP(B716,'외운 것'!B2:B271,'외운 것'!D2:D271,0,1),0),"3차")</f>
        <v>3차</v>
      </c>
      <c r="N716" s="8">
        <v>2</v>
      </c>
      <c r="O716" s="8">
        <v>3</v>
      </c>
      <c r="P716" s="8">
        <v>1</v>
      </c>
      <c r="Q716" s="8">
        <v>0</v>
      </c>
      <c r="R716" s="8">
        <v>0</v>
      </c>
    </row>
    <row r="717" ht="17.25" customHeight="1">
      <c r="A717" s="8">
        <v>716</v>
      </c>
      <c r="B717" s="8">
        <v>49</v>
      </c>
      <c r="C717" t="s" s="9">
        <v>236</v>
      </c>
      <c r="D717" t="s" s="9">
        <v>236</v>
      </c>
      <c r="E717" t="s" s="9">
        <v>2201</v>
      </c>
      <c r="F717" t="s" s="9">
        <v>2202</v>
      </c>
      <c r="G717" t="s" s="9">
        <v>2203</v>
      </c>
      <c r="H717" s="8" cm="1">
        <f t="array" ref="H717">MIN(SUMIF('외운 것'!A2:A271,A717,'외운 것'!D2:D271)+IF(R717=0,3,IF(R717=1,2,0)),3)</f>
        <v>2</v>
      </c>
      <c r="I717" s="8" cm="1">
        <f t="array" ref="I717">_xlfn.COUNTIFS('외운 것'!A2:A271,A717,'외운 것'!D2:D271,0)</f>
        <v>0</v>
      </c>
      <c r="J717" s="19" cm="1">
        <f t="array" ref="J717">IF(R717&lt;&gt;0,IF(H717&gt;=3,_xlfn.XLOOKUP(A717,'외운 것'!A2:A271,'외운 것'!C2:C271,0,1),0),"3차")</f>
        <v>0</v>
      </c>
      <c r="K717" s="8" cm="1">
        <f t="array" ref="K717">IF(P717&lt;&gt;0,IF(N717&gt;=3,_xlfn.XLOOKUP(A717,'외운 것'!A2:A271,'외운 것'!C2:C271,0,1),0),"1차")</f>
        <v>0</v>
      </c>
      <c r="L717" s="8" cm="1">
        <f t="array" ref="L717">IF(Q717&lt;&gt;0,IF(N717&gt;=3,_xlfn.XLOOKUP(A717,'외운 것'!A2:A271,'외운 것'!C2:C271,0,1),0),"2차")</f>
        <v>0</v>
      </c>
      <c r="M717" s="8" cm="1">
        <f t="array" ref="M717">IF(R717&lt;&gt;0,IF(O717&gt;=3,_xlfn.XLOOKUP(B717,'외운 것'!B2:B271,'외운 것'!D2:D271,0,1),0),"3차")</f>
        <v>0</v>
      </c>
      <c r="N717" s="8">
        <v>2</v>
      </c>
      <c r="O717" s="8">
        <v>3</v>
      </c>
      <c r="P717" s="8">
        <v>1</v>
      </c>
      <c r="Q717" s="8">
        <v>1</v>
      </c>
      <c r="R717" s="8">
        <v>1</v>
      </c>
    </row>
    <row r="718" ht="17.25" customHeight="1">
      <c r="A718" s="8">
        <v>717</v>
      </c>
      <c r="B718" s="8">
        <v>50</v>
      </c>
      <c r="C718" t="s" s="9">
        <v>236</v>
      </c>
      <c r="D718" t="s" s="9">
        <v>236</v>
      </c>
      <c r="E718" t="s" s="9">
        <v>2204</v>
      </c>
      <c r="F718" t="s" s="9">
        <v>2205</v>
      </c>
      <c r="G718" t="s" s="9">
        <v>2206</v>
      </c>
      <c r="H718" s="8" cm="1">
        <f t="array" ref="H718">MIN(SUMIF('외운 것'!A2:A271,A718,'외운 것'!D2:D271)+IF(R718=0,3,IF(R718=1,2,0)),3)</f>
        <v>2</v>
      </c>
      <c r="I718" s="8" cm="1">
        <f t="array" ref="I718">_xlfn.COUNTIFS('외운 것'!A2:A271,A718,'외운 것'!D2:D271,0)</f>
        <v>0</v>
      </c>
      <c r="J718" s="19" cm="1">
        <f t="array" ref="J718">IF(R718&lt;&gt;0,IF(H718&gt;=3,_xlfn.XLOOKUP(A718,'외운 것'!A2:A271,'외운 것'!C2:C271,0,1),0),"3차")</f>
        <v>0</v>
      </c>
      <c r="K718" s="8" cm="1">
        <f t="array" ref="K718">IF(P718&lt;&gt;0,IF(N718&gt;=3,_xlfn.XLOOKUP(A718,'외운 것'!A2:A271,'외운 것'!C2:C271,0,1),0),"1차")</f>
        <v>0</v>
      </c>
      <c r="L718" s="8" cm="1">
        <f t="array" ref="L718">IF(Q718&lt;&gt;0,IF(N718&gt;=3,_xlfn.XLOOKUP(A718,'외운 것'!A2:A271,'외운 것'!C2:C271,0,1),0),"2차")</f>
        <v>0</v>
      </c>
      <c r="M718" s="8" cm="1">
        <f t="array" ref="M718">IF(R718&lt;&gt;0,IF(O718&gt;=3,_xlfn.XLOOKUP(B718,'외운 것'!B2:B271,'외운 것'!D2:D271,0,1),0),"3차")</f>
        <v>0</v>
      </c>
      <c r="N718" s="8">
        <v>2</v>
      </c>
      <c r="O718" s="8">
        <v>3</v>
      </c>
      <c r="P718" s="8">
        <v>1</v>
      </c>
      <c r="Q718" s="8">
        <v>1</v>
      </c>
      <c r="R718" s="8">
        <v>1</v>
      </c>
    </row>
    <row r="719" ht="17.25" customHeight="1">
      <c r="A719" s="8">
        <v>718</v>
      </c>
      <c r="B719" s="8">
        <v>51</v>
      </c>
      <c r="C719" t="s" s="9">
        <v>236</v>
      </c>
      <c r="D719" t="s" s="9">
        <v>236</v>
      </c>
      <c r="E719" t="s" s="9">
        <v>2207</v>
      </c>
      <c r="F719" t="s" s="9">
        <v>2208</v>
      </c>
      <c r="G719" t="s" s="9">
        <v>2209</v>
      </c>
      <c r="H719" s="8" cm="1">
        <f t="array" ref="H719">MIN(SUMIF('외운 것'!A2:A271,A719,'외운 것'!D2:D271)+IF(R719=0,3,IF(R719=1,2,0)),3)</f>
        <v>3</v>
      </c>
      <c r="I719" s="8" cm="1">
        <f t="array" ref="I719">_xlfn.COUNTIFS('외운 것'!A2:A271,A719,'외운 것'!D2:D271,0)</f>
        <v>0</v>
      </c>
      <c r="J719" t="str" s="10" cm="1">
        <f t="array" ref="J719">IF(R719&lt;&gt;0,IF(H719&gt;=3,_xlfn.XLOOKUP(A719,'외운 것'!A2:A271,'외운 것'!C2:C271,0,1),0),"3차")</f>
        <v>3차</v>
      </c>
      <c r="K719" t="str" s="11" cm="1">
        <f t="array" ref="K719">IF(P719&lt;&gt;0,IF(N719&gt;=3,_xlfn.XLOOKUP(A719,'외운 것'!A2:A271,'외운 것'!C2:C271,0,1),0),"1차")</f>
        <v>1차</v>
      </c>
      <c r="L719" t="str" s="11" cm="1">
        <f t="array" ref="L719">IF(Q719&lt;&gt;0,IF(N719&gt;=3,_xlfn.XLOOKUP(A719,'외운 것'!A2:A271,'외운 것'!C2:C271,0,1),0),"2차")</f>
        <v>2차</v>
      </c>
      <c r="M719" t="str" s="11" cm="1">
        <f t="array" ref="M719">IF(R719&lt;&gt;0,IF(O719&gt;=3,_xlfn.XLOOKUP(B719,'외운 것'!B2:B271,'외운 것'!D2:D271,0,1),0),"3차")</f>
        <v>3차</v>
      </c>
      <c r="N719" s="8">
        <v>3</v>
      </c>
      <c r="O719" s="8">
        <v>3</v>
      </c>
      <c r="P719" s="8">
        <v>0</v>
      </c>
      <c r="Q719" s="8">
        <v>0</v>
      </c>
      <c r="R719" s="8">
        <v>0</v>
      </c>
    </row>
    <row r="720" ht="17.25" customHeight="1">
      <c r="A720" s="8">
        <v>719</v>
      </c>
      <c r="B720" s="8">
        <v>52</v>
      </c>
      <c r="C720" t="s" s="9">
        <v>236</v>
      </c>
      <c r="D720" t="s" s="9">
        <v>236</v>
      </c>
      <c r="E720" t="s" s="9">
        <v>2210</v>
      </c>
      <c r="F720" t="s" s="9">
        <v>2211</v>
      </c>
      <c r="G720" t="s" s="9">
        <v>2212</v>
      </c>
      <c r="H720" s="8" cm="1">
        <f t="array" ref="H720">MIN(SUMIF('외운 것'!A2:A271,A720,'외운 것'!D2:D271)+IF(R720=0,3,IF(R720=1,2,0)),3)</f>
        <v>3</v>
      </c>
      <c r="I720" s="8" cm="1">
        <f t="array" ref="I720">_xlfn.COUNTIFS('외운 것'!A2:A271,A720,'외운 것'!D2:D271,0)</f>
        <v>0</v>
      </c>
      <c r="J720" t="str" s="10" cm="1">
        <f t="array" ref="J720">IF(R720&lt;&gt;0,IF(H720&gt;=3,_xlfn.XLOOKUP(A720,'외운 것'!A2:A271,'외운 것'!C2:C271,0,1),0),"3차")</f>
        <v>3차</v>
      </c>
      <c r="K720" t="str" s="11" cm="1">
        <f t="array" ref="K720">IF(P720&lt;&gt;0,IF(N720&gt;=3,_xlfn.XLOOKUP(A720,'외운 것'!A2:A271,'외운 것'!C2:C271,0,1),0),"1차")</f>
        <v>1차</v>
      </c>
      <c r="L720" t="str" s="11" cm="1">
        <f t="array" ref="L720">IF(Q720&lt;&gt;0,IF(N720&gt;=3,_xlfn.XLOOKUP(A720,'외운 것'!A2:A271,'외운 것'!C2:C271,0,1),0),"2차")</f>
        <v>2차</v>
      </c>
      <c r="M720" t="str" s="11" cm="1">
        <f t="array" ref="M720">IF(R720&lt;&gt;0,IF(O720&gt;=3,_xlfn.XLOOKUP(B720,'외운 것'!B2:B271,'외운 것'!D2:D271,0,1),0),"3차")</f>
        <v>3차</v>
      </c>
      <c r="N720" s="8">
        <v>3</v>
      </c>
      <c r="O720" s="8">
        <v>3</v>
      </c>
      <c r="P720" s="8">
        <v>0</v>
      </c>
      <c r="Q720" s="8">
        <v>0</v>
      </c>
      <c r="R720" s="8">
        <v>0</v>
      </c>
    </row>
    <row r="721" ht="17.25" customHeight="1">
      <c r="A721" s="8">
        <v>720</v>
      </c>
      <c r="B721" s="8">
        <v>53</v>
      </c>
      <c r="C721" t="s" s="9">
        <v>236</v>
      </c>
      <c r="D721" t="s" s="9">
        <v>236</v>
      </c>
      <c r="E721" t="s" s="9">
        <v>2213</v>
      </c>
      <c r="F721" t="s" s="9">
        <v>2214</v>
      </c>
      <c r="G721" t="s" s="9">
        <v>2215</v>
      </c>
      <c r="H721" s="8" cm="1">
        <f t="array" ref="H721">MIN(SUMIF('외운 것'!A2:A271,A721,'외운 것'!D2:D271)+IF(R721=0,3,IF(R721=1,2,0)),3)</f>
        <v>0</v>
      </c>
      <c r="I721" s="8" cm="1">
        <f t="array" ref="I721">_xlfn.COUNTIFS('외운 것'!A2:A271,A721,'외운 것'!D2:D271,0)</f>
        <v>0</v>
      </c>
      <c r="J721" s="19" cm="1">
        <f t="array" ref="J721">IF(R721&lt;&gt;0,IF(H721&gt;=3,_xlfn.XLOOKUP(A721,'외운 것'!A2:A271,'외운 것'!C2:C271,0,1),0),"3차")</f>
        <v>0</v>
      </c>
      <c r="K721" s="8" cm="1">
        <f t="array" ref="K721">IF(P721&lt;&gt;0,IF(N721&gt;=3,_xlfn.XLOOKUP(A721,'외운 것'!A2:A271,'외운 것'!C2:C271,0,1),0),"1차")</f>
        <v>0</v>
      </c>
      <c r="L721" s="8" cm="1">
        <f t="array" ref="L721">IF(Q721&lt;&gt;0,IF(N721&gt;=3,_xlfn.XLOOKUP(A721,'외운 것'!A2:A271,'외운 것'!C2:C271,0,1),0),"2차")</f>
        <v>0</v>
      </c>
      <c r="M721" s="8" cm="1">
        <f t="array" ref="M721">IF(R721&lt;&gt;0,IF(O721&gt;=3,_xlfn.XLOOKUP(B721,'외운 것'!B2:B271,'외운 것'!D2:D271,0,1),0),"3차")</f>
        <v>0</v>
      </c>
      <c r="N721" s="8">
        <v>2</v>
      </c>
      <c r="O721" s="8">
        <v>3</v>
      </c>
      <c r="P721" s="8">
        <v>1</v>
      </c>
      <c r="Q721" s="8">
        <v>1</v>
      </c>
      <c r="R721" s="8">
        <v>2</v>
      </c>
    </row>
    <row r="722" ht="17.25" customHeight="1">
      <c r="A722" s="8">
        <v>721</v>
      </c>
      <c r="B722" s="8">
        <v>54</v>
      </c>
      <c r="C722" t="s" s="9">
        <v>236</v>
      </c>
      <c r="D722" t="s" s="9">
        <v>236</v>
      </c>
      <c r="E722" t="s" s="9">
        <v>2216</v>
      </c>
      <c r="F722" t="s" s="9">
        <v>2217</v>
      </c>
      <c r="G722" t="s" s="9">
        <v>2218</v>
      </c>
      <c r="H722" s="8" cm="1">
        <f t="array" ref="H722">MIN(SUMIF('외운 것'!A2:A271,A722,'외운 것'!D2:D271)+IF(R722=0,3,IF(R722=1,2,0)),3)</f>
        <v>3</v>
      </c>
      <c r="I722" s="8" cm="1">
        <f t="array" ref="I722">_xlfn.COUNTIFS('외운 것'!A2:A271,A722,'외운 것'!D2:D271,0)</f>
        <v>0</v>
      </c>
      <c r="J722" t="str" s="10" cm="1">
        <f t="array" ref="J722">IF(R722&lt;&gt;0,IF(H722&gt;=3,_xlfn.XLOOKUP(A722,'외운 것'!A2:A271,'외운 것'!C2:C271,0,1),0),"3차")</f>
        <v>3차</v>
      </c>
      <c r="K722" t="str" s="11" cm="1">
        <f t="array" ref="K722">IF(P722&lt;&gt;0,IF(N722&gt;=3,_xlfn.XLOOKUP(A722,'외운 것'!A2:A271,'외운 것'!C2:C271,0,1),0),"1차")</f>
        <v>1차</v>
      </c>
      <c r="L722" t="str" s="11" cm="1">
        <f t="array" ref="L722">IF(Q722&lt;&gt;0,IF(N722&gt;=3,_xlfn.XLOOKUP(A722,'외운 것'!A2:A271,'외운 것'!C2:C271,0,1),0),"2차")</f>
        <v>2차</v>
      </c>
      <c r="M722" t="str" s="11" cm="1">
        <f t="array" ref="M722">IF(R722&lt;&gt;0,IF(O722&gt;=3,_xlfn.XLOOKUP(B722,'외운 것'!B2:B271,'외운 것'!D2:D271,0,1),0),"3차")</f>
        <v>3차</v>
      </c>
      <c r="N722" s="8">
        <v>3</v>
      </c>
      <c r="O722" s="8">
        <v>3</v>
      </c>
      <c r="P722" s="8">
        <v>0</v>
      </c>
      <c r="Q722" s="8">
        <v>0</v>
      </c>
      <c r="R722" s="8">
        <v>0</v>
      </c>
    </row>
    <row r="723" ht="17.25" customHeight="1">
      <c r="A723" s="8">
        <v>722</v>
      </c>
      <c r="B723" s="8">
        <v>55</v>
      </c>
      <c r="C723" t="s" s="9">
        <v>236</v>
      </c>
      <c r="D723" t="s" s="9">
        <v>236</v>
      </c>
      <c r="E723" t="s" s="9">
        <v>2219</v>
      </c>
      <c r="F723" t="s" s="9">
        <v>2220</v>
      </c>
      <c r="G723" t="s" s="9">
        <v>2221</v>
      </c>
      <c r="H723" s="8" cm="1">
        <f t="array" ref="H723">MIN(SUMIF('외운 것'!A2:A271,A723,'외운 것'!D2:D271)+IF(R723=0,3,IF(R723=1,2,0)),3)</f>
        <v>3</v>
      </c>
      <c r="I723" s="8" cm="1">
        <f t="array" ref="I723">_xlfn.COUNTIFS('외운 것'!A2:A271,A723,'외운 것'!D2:D271,0)</f>
        <v>0</v>
      </c>
      <c r="J723" t="str" s="10" cm="1">
        <f t="array" ref="J723">IF(R723&lt;&gt;0,IF(H723&gt;=3,_xlfn.XLOOKUP(A723,'외운 것'!A2:A271,'외운 것'!C2:C271,0,1),0),"3차")</f>
        <v>3차</v>
      </c>
      <c r="K723" t="str" s="11" cm="1">
        <f t="array" ref="K723">IF(P723&lt;&gt;0,IF(N723&gt;=3,_xlfn.XLOOKUP(A723,'외운 것'!A2:A271,'외운 것'!C2:C271,0,1),0),"1차")</f>
        <v>1차</v>
      </c>
      <c r="L723" t="str" s="11" cm="1">
        <f t="array" ref="L723">IF(Q723&lt;&gt;0,IF(N723&gt;=3,_xlfn.XLOOKUP(A723,'외운 것'!A2:A271,'외운 것'!C2:C271,0,1),0),"2차")</f>
        <v>2차</v>
      </c>
      <c r="M723" t="str" s="11" cm="1">
        <f t="array" ref="M723">IF(R723&lt;&gt;0,IF(O723&gt;=3,_xlfn.XLOOKUP(B723,'외운 것'!B2:B271,'외운 것'!D2:D271,0,1),0),"3차")</f>
        <v>3차</v>
      </c>
      <c r="N723" s="8">
        <v>3</v>
      </c>
      <c r="O723" s="8">
        <v>3</v>
      </c>
      <c r="P723" s="8">
        <v>0</v>
      </c>
      <c r="Q723" s="8">
        <v>0</v>
      </c>
      <c r="R723" s="8">
        <v>0</v>
      </c>
    </row>
    <row r="724" ht="17.25" customHeight="1">
      <c r="A724" s="8">
        <v>723</v>
      </c>
      <c r="B724" s="8">
        <v>56</v>
      </c>
      <c r="C724" t="s" s="9">
        <v>236</v>
      </c>
      <c r="D724" t="s" s="9">
        <v>236</v>
      </c>
      <c r="E724" t="s" s="9">
        <v>2222</v>
      </c>
      <c r="F724" t="s" s="9">
        <v>2223</v>
      </c>
      <c r="G724" t="s" s="9">
        <v>2224</v>
      </c>
      <c r="H724" s="8" cm="1">
        <f t="array" ref="H724">MIN(SUMIF('외운 것'!A2:A271,A724,'외운 것'!D2:D271)+IF(R724=0,3,IF(R724=1,2,0)),3)</f>
        <v>3</v>
      </c>
      <c r="I724" s="8" cm="1">
        <f t="array" ref="I724">_xlfn.COUNTIFS('외운 것'!A2:A271,A724,'외운 것'!D2:D271,0)</f>
        <v>0</v>
      </c>
      <c r="J724" t="str" s="10" cm="1">
        <f t="array" ref="J724">IF(R724&lt;&gt;0,IF(H724&gt;=3,_xlfn.XLOOKUP(A724,'외운 것'!A2:A271,'외운 것'!C2:C271,0,1),0),"3차")</f>
        <v>3차</v>
      </c>
      <c r="K724" t="str" s="11" cm="1">
        <f t="array" ref="K724">IF(P724&lt;&gt;0,IF(N724&gt;=3,_xlfn.XLOOKUP(A724,'외운 것'!A2:A271,'외운 것'!C2:C271,0,1),0),"1차")</f>
        <v>1차</v>
      </c>
      <c r="L724" t="str" s="11" cm="1">
        <f t="array" ref="L724">IF(Q724&lt;&gt;0,IF(N724&gt;=3,_xlfn.XLOOKUP(A724,'외운 것'!A2:A271,'외운 것'!C2:C271,0,1),0),"2차")</f>
        <v>2차</v>
      </c>
      <c r="M724" t="str" s="11" cm="1">
        <f t="array" ref="M724">IF(R724&lt;&gt;0,IF(O724&gt;=3,_xlfn.XLOOKUP(B724,'외운 것'!B2:B271,'외운 것'!D2:D271,0,1),0),"3차")</f>
        <v>3차</v>
      </c>
      <c r="N724" s="8">
        <v>3</v>
      </c>
      <c r="O724" s="8">
        <v>3</v>
      </c>
      <c r="P724" s="8">
        <v>0</v>
      </c>
      <c r="Q724" s="8">
        <v>0</v>
      </c>
      <c r="R724" s="8">
        <v>0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&amp;C&amp;"Arial,Regular"&amp;12&amp;K000000&amp;P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271"/>
  <sheetViews>
    <sheetView workbookViewId="0" showGridLines="0" defaultGridColor="1">
      <pane topLeftCell="A2" xSplit="0" ySplit="1" activePane="bottomLeft" state="frozen"/>
    </sheetView>
  </sheetViews>
  <sheetFormatPr defaultColWidth="8" defaultRowHeight="16.6" customHeight="1" outlineLevelRow="0" outlineLevelCol="0"/>
  <cols>
    <col min="1" max="1" width="8" style="20" customWidth="1"/>
    <col min="2" max="2" width="73" style="20" customWidth="1"/>
    <col min="3" max="3" width="11.1719" style="20" customWidth="1"/>
    <col min="4" max="5" width="8" style="20" customWidth="1"/>
    <col min="6" max="6" width="14.5312" style="20" customWidth="1"/>
    <col min="7" max="16384" width="8" style="20" customWidth="1"/>
  </cols>
  <sheetData>
    <row r="1" ht="16.6" customHeight="1">
      <c r="A1" t="s" s="21">
        <v>2225</v>
      </c>
      <c r="B1" t="s" s="21">
        <v>2226</v>
      </c>
      <c r="C1" t="s" s="21">
        <v>2227</v>
      </c>
      <c r="D1" t="s" s="21">
        <v>2228</v>
      </c>
      <c r="E1" t="s" s="21">
        <v>2229</v>
      </c>
      <c r="F1" t="s" s="21">
        <v>2230</v>
      </c>
    </row>
    <row r="2" ht="16.6" customHeight="1">
      <c r="A2" s="22">
        <v>464</v>
      </c>
      <c r="B2" t="s" s="23">
        <v>1433</v>
      </c>
      <c r="C2" t="s" s="23">
        <v>496</v>
      </c>
      <c r="D2" s="22">
        <v>0</v>
      </c>
      <c r="E2" s="22" cm="1">
        <f t="array" ref="E2">_xlfn.COUNTIFS(D2:D271,1,A2:A271,A2)</f>
        <v>0</v>
      </c>
      <c r="F2" s="22" cm="1">
        <f t="array" ref="F2">(YEAR(C2)-2025)*1000+MONTH(C2)*31+DAY(C2)+A2</f>
        <v>1618</v>
      </c>
    </row>
    <row r="3" ht="16.6" customHeight="1">
      <c r="A3" s="22">
        <v>462</v>
      </c>
      <c r="B3" t="s" s="23">
        <v>1427</v>
      </c>
      <c r="C3" t="s" s="23">
        <v>496</v>
      </c>
      <c r="D3" s="22">
        <v>1</v>
      </c>
      <c r="E3" s="22" cm="1">
        <f t="array" ref="E3">_xlfn.COUNTIFS(D2:D271,1,A2:A271,A3)</f>
        <v>1</v>
      </c>
      <c r="F3" s="22" cm="1">
        <f t="array" ref="F3">(YEAR(C3)-2025)*1000+MONTH(C3)*31+DAY(C3)+A3</f>
        <v>1616</v>
      </c>
    </row>
    <row r="4" ht="16.6" customHeight="1">
      <c r="A4" s="22">
        <v>460</v>
      </c>
      <c r="B4" t="s" s="23">
        <v>1421</v>
      </c>
      <c r="C4" t="s" s="23">
        <v>496</v>
      </c>
      <c r="D4" s="22">
        <v>1</v>
      </c>
      <c r="E4" s="22" cm="1">
        <f t="array" ref="E4">_xlfn.COUNTIFS(D2:D271,1,A2:A271,A4)</f>
        <v>1</v>
      </c>
      <c r="F4" s="22" cm="1">
        <f t="array" ref="F4">(YEAR(C4)-2025)*1000+MONTH(C4)*31+DAY(C4)+A4</f>
        <v>1614</v>
      </c>
    </row>
    <row r="5" ht="16.6" customHeight="1">
      <c r="A5" s="22">
        <v>457</v>
      </c>
      <c r="B5" t="s" s="23">
        <v>1412</v>
      </c>
      <c r="C5" t="s" s="23">
        <v>496</v>
      </c>
      <c r="D5" s="22">
        <v>0</v>
      </c>
      <c r="E5" s="22" cm="1">
        <f t="array" ref="E5">_xlfn.COUNTIFS(D2:D271,1,A2:A271,A5)</f>
        <v>0</v>
      </c>
      <c r="F5" s="22" cm="1">
        <f t="array" ref="F5">(YEAR(C5)-2025)*1000+MONTH(C5)*31+DAY(C5)+A5</f>
        <v>1611</v>
      </c>
    </row>
    <row r="6" ht="16.6" customHeight="1">
      <c r="A6" s="22">
        <v>455</v>
      </c>
      <c r="B6" t="s" s="23">
        <v>1405</v>
      </c>
      <c r="C6" t="s" s="23">
        <v>496</v>
      </c>
      <c r="D6" s="22">
        <v>0</v>
      </c>
      <c r="E6" s="22" cm="1">
        <f t="array" ref="E6">_xlfn.COUNTIFS(D2:D271,1,A2:A271,A6)</f>
        <v>0</v>
      </c>
      <c r="F6" s="22" cm="1">
        <f t="array" ref="F6">(YEAR(C6)-2025)*1000+MONTH(C6)*31+DAY(C6)+A6</f>
        <v>1609</v>
      </c>
    </row>
    <row r="7" ht="16.6" customHeight="1">
      <c r="A7" s="22">
        <v>431</v>
      </c>
      <c r="B7" t="s" s="23">
        <v>1332</v>
      </c>
      <c r="C7" t="s" s="23">
        <v>496</v>
      </c>
      <c r="D7" s="22">
        <v>0</v>
      </c>
      <c r="E7" s="22" cm="1">
        <f t="array" ref="E7">_xlfn.COUNTIFS(D2:D271,1,A2:A271,A7)</f>
        <v>0</v>
      </c>
      <c r="F7" s="22" cm="1">
        <f t="array" ref="F7">(YEAR(C7)-2025)*1000+MONTH(C7)*31+DAY(C7)+A7</f>
        <v>1585</v>
      </c>
    </row>
    <row r="8" ht="16.6" customHeight="1">
      <c r="A8" s="22">
        <v>424</v>
      </c>
      <c r="B8" t="s" s="23">
        <v>1310</v>
      </c>
      <c r="C8" t="s" s="23">
        <v>496</v>
      </c>
      <c r="D8" s="22">
        <v>0</v>
      </c>
      <c r="E8" s="22" cm="1">
        <f t="array" ref="E8">_xlfn.COUNTIFS(D2:D271,1,A2:A271,A8)</f>
        <v>0</v>
      </c>
      <c r="F8" s="22" cm="1">
        <f t="array" ref="F8">(YEAR(C8)-2025)*1000+MONTH(C8)*31+DAY(C8)+A8</f>
        <v>1578</v>
      </c>
    </row>
    <row r="9" ht="16.6" customHeight="1">
      <c r="A9" s="22">
        <v>422</v>
      </c>
      <c r="B9" t="s" s="23">
        <v>1304</v>
      </c>
      <c r="C9" t="s" s="23">
        <v>496</v>
      </c>
      <c r="D9" s="22">
        <v>1</v>
      </c>
      <c r="E9" s="22" cm="1">
        <f t="array" ref="E9">_xlfn.COUNTIFS(D2:D271,1,A2:A271,A9)</f>
        <v>1</v>
      </c>
      <c r="F9" s="22" cm="1">
        <f t="array" ref="F9">(YEAR(C9)-2025)*1000+MONTH(C9)*31+DAY(C9)+A9</f>
        <v>1576</v>
      </c>
    </row>
    <row r="10" ht="16.6" customHeight="1">
      <c r="A10" s="22">
        <v>418</v>
      </c>
      <c r="B10" t="s" s="23">
        <v>1292</v>
      </c>
      <c r="C10" t="s" s="23">
        <v>496</v>
      </c>
      <c r="D10" s="22">
        <v>0</v>
      </c>
      <c r="E10" s="22" cm="1">
        <f t="array" ref="E10">_xlfn.COUNTIFS(D2:D271,1,A2:A271,A10)</f>
        <v>0</v>
      </c>
      <c r="F10" s="22" cm="1">
        <f t="array" ref="F10">(YEAR(C10)-2025)*1000+MONTH(C10)*31+DAY(C10)+A10</f>
        <v>1572</v>
      </c>
    </row>
    <row r="11" ht="16.6" customHeight="1">
      <c r="A11" s="22">
        <v>414</v>
      </c>
      <c r="B11" t="s" s="23">
        <v>1280</v>
      </c>
      <c r="C11" t="s" s="23">
        <v>496</v>
      </c>
      <c r="D11" s="22">
        <v>0</v>
      </c>
      <c r="E11" s="22" cm="1">
        <f t="array" ref="E11">_xlfn.COUNTIFS(D2:D271,1,A2:A271,A11)</f>
        <v>1</v>
      </c>
      <c r="F11" s="22" cm="1">
        <f t="array" ref="F11">(YEAR(C11)-2025)*1000+MONTH(C11)*31+DAY(C11)+A11</f>
        <v>1568</v>
      </c>
    </row>
    <row r="12" ht="16.6" customHeight="1">
      <c r="A12" s="22">
        <v>414</v>
      </c>
      <c r="B12" t="s" s="23">
        <v>1280</v>
      </c>
      <c r="C12" t="s" s="23">
        <v>496</v>
      </c>
      <c r="D12" s="22">
        <v>1</v>
      </c>
      <c r="E12" s="22" cm="1">
        <f t="array" ref="E12">_xlfn.COUNTIFS(D2:D271,1,A2:A271,A12)</f>
        <v>1</v>
      </c>
      <c r="F12" s="22" cm="1">
        <f t="array" ref="F12">(YEAR(C12)-2025)*1000+MONTH(C12)*31+DAY(C12)+A12</f>
        <v>1568</v>
      </c>
    </row>
    <row r="13" ht="16.6" customHeight="1">
      <c r="A13" s="22">
        <v>407</v>
      </c>
      <c r="B13" t="s" s="23">
        <v>1259</v>
      </c>
      <c r="C13" t="s" s="23">
        <v>496</v>
      </c>
      <c r="D13" s="22">
        <v>1</v>
      </c>
      <c r="E13" s="22" cm="1">
        <f t="array" ref="E13">_xlfn.COUNTIFS(D2:D271,1,A2:A271,A13)</f>
        <v>1</v>
      </c>
      <c r="F13" s="22" cm="1">
        <f t="array" ref="F13">(YEAR(C13)-2025)*1000+MONTH(C13)*31+DAY(C13)+A13</f>
        <v>1561</v>
      </c>
    </row>
    <row r="14" ht="16.6" customHeight="1">
      <c r="A14" s="22">
        <v>401</v>
      </c>
      <c r="B14" t="s" s="23">
        <v>1240</v>
      </c>
      <c r="C14" t="s" s="23">
        <v>496</v>
      </c>
      <c r="D14" s="22">
        <v>0</v>
      </c>
      <c r="E14" s="22" cm="1">
        <f t="array" ref="E14">_xlfn.COUNTIFS(D2:D271,1,A2:A271,A14)</f>
        <v>1</v>
      </c>
      <c r="F14" s="22" cm="1">
        <f t="array" ref="F14">(YEAR(C14)-2025)*1000+MONTH(C14)*31+DAY(C14)+A14</f>
        <v>1555</v>
      </c>
    </row>
    <row r="15" ht="16.6" customHeight="1">
      <c r="A15" s="22">
        <v>401</v>
      </c>
      <c r="B15" t="s" s="23">
        <v>1240</v>
      </c>
      <c r="C15" t="s" s="23">
        <v>496</v>
      </c>
      <c r="D15" s="22">
        <v>1</v>
      </c>
      <c r="E15" s="22" cm="1">
        <f t="array" ref="E15">_xlfn.COUNTIFS(D2:D271,1,A2:A271,A15)</f>
        <v>1</v>
      </c>
      <c r="F15" s="22" cm="1">
        <f t="array" ref="F15">(YEAR(C15)-2025)*1000+MONTH(C15)*31+DAY(C15)+A15</f>
        <v>1555</v>
      </c>
    </row>
    <row r="16" ht="16.6" customHeight="1">
      <c r="A16" s="22">
        <v>398</v>
      </c>
      <c r="B16" t="s" s="23">
        <v>1231</v>
      </c>
      <c r="C16" t="s" s="23">
        <v>496</v>
      </c>
      <c r="D16" s="22">
        <v>1</v>
      </c>
      <c r="E16" s="22" cm="1">
        <f t="array" ref="E16">_xlfn.COUNTIFS(D2:D271,1,A2:A271,A16)</f>
        <v>2</v>
      </c>
      <c r="F16" s="22" cm="1">
        <f t="array" ref="F16">(YEAR(C16)-2025)*1000+MONTH(C16)*31+DAY(C16)+A16</f>
        <v>1552</v>
      </c>
    </row>
    <row r="17" ht="16.6" customHeight="1">
      <c r="A17" s="22">
        <v>398</v>
      </c>
      <c r="B17" t="s" s="23">
        <v>1231</v>
      </c>
      <c r="C17" t="s" s="23">
        <v>496</v>
      </c>
      <c r="D17" s="22">
        <v>1</v>
      </c>
      <c r="E17" s="22" cm="1">
        <f t="array" ref="E17">_xlfn.COUNTIFS(D2:D271,1,A2:A271,A17)</f>
        <v>2</v>
      </c>
      <c r="F17" s="22" cm="1">
        <f t="array" ref="F17">(YEAR(C17)-2025)*1000+MONTH(C17)*31+DAY(C17)+A17</f>
        <v>1552</v>
      </c>
    </row>
    <row r="18" ht="16.6" customHeight="1">
      <c r="A18" s="22">
        <v>394</v>
      </c>
      <c r="B18" t="s" s="23">
        <v>1219</v>
      </c>
      <c r="C18" t="s" s="23">
        <v>496</v>
      </c>
      <c r="D18" s="22">
        <v>0</v>
      </c>
      <c r="E18" s="22" cm="1">
        <f t="array" ref="E18">_xlfn.COUNTIFS(D2:D271,1,A2:A271,A18)</f>
        <v>1</v>
      </c>
      <c r="F18" s="22" cm="1">
        <f t="array" ref="F18">(YEAR(C18)-2025)*1000+MONTH(C18)*31+DAY(C18)+A18</f>
        <v>1548</v>
      </c>
    </row>
    <row r="19" ht="16.6" customHeight="1">
      <c r="A19" s="22">
        <v>394</v>
      </c>
      <c r="B19" t="s" s="23">
        <v>1219</v>
      </c>
      <c r="C19" t="s" s="23">
        <v>496</v>
      </c>
      <c r="D19" s="22">
        <v>1</v>
      </c>
      <c r="E19" s="22" cm="1">
        <f t="array" ref="E19">_xlfn.COUNTIFS(D2:D271,1,A2:A271,A19)</f>
        <v>1</v>
      </c>
      <c r="F19" s="22" cm="1">
        <f t="array" ref="F19">(YEAR(C19)-2025)*1000+MONTH(C19)*31+DAY(C19)+A19</f>
        <v>1548</v>
      </c>
    </row>
    <row r="20" ht="16.6" customHeight="1">
      <c r="A20" s="22">
        <v>389</v>
      </c>
      <c r="B20" t="s" s="23">
        <v>1204</v>
      </c>
      <c r="C20" t="s" s="23">
        <v>496</v>
      </c>
      <c r="D20" s="22">
        <v>0</v>
      </c>
      <c r="E20" s="22" cm="1">
        <f t="array" ref="E20">_xlfn.COUNTIFS(D2:D271,1,A2:A271,A20)</f>
        <v>1</v>
      </c>
      <c r="F20" s="22" cm="1">
        <f t="array" ref="F20">(YEAR(C20)-2025)*1000+MONTH(C20)*31+DAY(C20)+A20</f>
        <v>1543</v>
      </c>
    </row>
    <row r="21" ht="16.6" customHeight="1">
      <c r="A21" s="22">
        <v>389</v>
      </c>
      <c r="B21" t="s" s="23">
        <v>1204</v>
      </c>
      <c r="C21" t="s" s="23">
        <v>496</v>
      </c>
      <c r="D21" s="22">
        <v>1</v>
      </c>
      <c r="E21" s="22" cm="1">
        <f t="array" ref="E21">_xlfn.COUNTIFS(D2:D271,1,A2:A271,A21)</f>
        <v>1</v>
      </c>
      <c r="F21" s="22" cm="1">
        <f t="array" ref="F21">(YEAR(C21)-2025)*1000+MONTH(C21)*31+DAY(C21)+A21</f>
        <v>1543</v>
      </c>
    </row>
    <row r="22" ht="16.6" customHeight="1">
      <c r="A22" s="22">
        <v>386</v>
      </c>
      <c r="B22" t="s" s="23">
        <v>1195</v>
      </c>
      <c r="C22" t="s" s="23">
        <v>496</v>
      </c>
      <c r="D22" s="22">
        <v>0</v>
      </c>
      <c r="E22" s="22" cm="1">
        <f t="array" ref="E22">_xlfn.COUNTIFS(D2:D271,1,A2:A271,A22)</f>
        <v>0</v>
      </c>
      <c r="F22" s="22" cm="1">
        <f t="array" ref="F22">(YEAR(C22)-2025)*1000+MONTH(C22)*31+DAY(C22)+A22</f>
        <v>1540</v>
      </c>
    </row>
    <row r="23" ht="16.6" customHeight="1">
      <c r="A23" s="22">
        <v>386</v>
      </c>
      <c r="B23" t="s" s="23">
        <v>1195</v>
      </c>
      <c r="C23" t="s" s="23">
        <v>496</v>
      </c>
      <c r="D23" s="22">
        <v>0</v>
      </c>
      <c r="E23" s="22" cm="1">
        <f t="array" ref="E23">_xlfn.COUNTIFS(D2:D271,1,A2:A271,A23)</f>
        <v>0</v>
      </c>
      <c r="F23" s="22" cm="1">
        <f t="array" ref="F23">(YEAR(C23)-2025)*1000+MONTH(C23)*31+DAY(C23)+A23</f>
        <v>1540</v>
      </c>
    </row>
    <row r="24" ht="16.6" customHeight="1">
      <c r="A24" s="22">
        <v>385</v>
      </c>
      <c r="B24" t="s" s="23">
        <v>1192</v>
      </c>
      <c r="C24" t="s" s="23">
        <v>496</v>
      </c>
      <c r="D24" s="22">
        <v>0</v>
      </c>
      <c r="E24" s="22" cm="1">
        <f t="array" ref="E24">_xlfn.COUNTIFS(D2:D271,1,A2:A271,A24)</f>
        <v>1</v>
      </c>
      <c r="F24" s="22" cm="1">
        <f t="array" ref="F24">(YEAR(C24)-2025)*1000+MONTH(C24)*31+DAY(C24)+A24</f>
        <v>1539</v>
      </c>
    </row>
    <row r="25" ht="16.6" customHeight="1">
      <c r="A25" s="22">
        <v>385</v>
      </c>
      <c r="B25" t="s" s="23">
        <v>1192</v>
      </c>
      <c r="C25" t="s" s="23">
        <v>496</v>
      </c>
      <c r="D25" s="22">
        <v>1</v>
      </c>
      <c r="E25" s="22" cm="1">
        <f t="array" ref="E25">_xlfn.COUNTIFS(D2:D271,1,A2:A271,A25)</f>
        <v>1</v>
      </c>
      <c r="F25" s="22" cm="1">
        <f t="array" ref="F25">(YEAR(C25)-2025)*1000+MONTH(C25)*31+DAY(C25)+A25</f>
        <v>1539</v>
      </c>
    </row>
    <row r="26" ht="16.6" customHeight="1">
      <c r="A26" s="22">
        <v>376</v>
      </c>
      <c r="B26" t="s" s="23">
        <v>1165</v>
      </c>
      <c r="C26" t="s" s="23">
        <v>496</v>
      </c>
      <c r="D26" s="22">
        <v>0</v>
      </c>
      <c r="E26" s="22" cm="1">
        <f t="array" ref="E26">_xlfn.COUNTIFS(D2:D271,1,A2:A271,A26)</f>
        <v>0</v>
      </c>
      <c r="F26" s="22" cm="1">
        <f t="array" ref="F26">(YEAR(C26)-2025)*1000+MONTH(C26)*31+DAY(C26)+A26</f>
        <v>1530</v>
      </c>
    </row>
    <row r="27" ht="16.6" customHeight="1">
      <c r="A27" s="22">
        <v>376</v>
      </c>
      <c r="B27" t="s" s="23">
        <v>1165</v>
      </c>
      <c r="C27" t="s" s="23">
        <v>496</v>
      </c>
      <c r="D27" s="22">
        <v>0</v>
      </c>
      <c r="E27" s="22" cm="1">
        <f t="array" ref="E27">_xlfn.COUNTIFS(D2:D271,1,A2:A271,A27)</f>
        <v>0</v>
      </c>
      <c r="F27" s="22" cm="1">
        <f t="array" ref="F27">(YEAR(C27)-2025)*1000+MONTH(C27)*31+DAY(C27)+A27</f>
        <v>1530</v>
      </c>
    </row>
    <row r="28" ht="16.6" customHeight="1">
      <c r="A28" s="22">
        <v>373</v>
      </c>
      <c r="B28" t="s" s="23">
        <v>1156</v>
      </c>
      <c r="C28" t="s" s="23">
        <v>496</v>
      </c>
      <c r="D28" s="22">
        <v>1</v>
      </c>
      <c r="E28" s="22" cm="1">
        <f t="array" ref="E28">_xlfn.COUNTIFS(D2:D271,1,A2:A271,A28)</f>
        <v>2</v>
      </c>
      <c r="F28" s="22" cm="1">
        <f t="array" ref="F28">(YEAR(C28)-2025)*1000+MONTH(C28)*31+DAY(C28)+A28</f>
        <v>1527</v>
      </c>
    </row>
    <row r="29" ht="16.6" customHeight="1">
      <c r="A29" s="22">
        <v>373</v>
      </c>
      <c r="B29" t="s" s="23">
        <v>1156</v>
      </c>
      <c r="C29" t="s" s="23">
        <v>496</v>
      </c>
      <c r="D29" s="22">
        <v>1</v>
      </c>
      <c r="E29" s="22" cm="1">
        <f t="array" ref="E29">_xlfn.COUNTIFS(D2:D271,1,A2:A271,A29)</f>
        <v>2</v>
      </c>
      <c r="F29" s="22" cm="1">
        <f t="array" ref="F29">(YEAR(C29)-2025)*1000+MONTH(C29)*31+DAY(C29)+A29</f>
        <v>1527</v>
      </c>
    </row>
    <row r="30" ht="16.6" customHeight="1">
      <c r="A30" s="22">
        <v>370</v>
      </c>
      <c r="B30" t="s" s="23">
        <v>1147</v>
      </c>
      <c r="C30" t="s" s="23">
        <v>496</v>
      </c>
      <c r="D30" s="22">
        <v>1</v>
      </c>
      <c r="E30" s="22" cm="1">
        <f t="array" ref="E30">_xlfn.COUNTIFS(D2:D271,1,A2:A271,A30)</f>
        <v>2</v>
      </c>
      <c r="F30" s="22" cm="1">
        <f t="array" ref="F30">(YEAR(C30)-2025)*1000+MONTH(C30)*31+DAY(C30)+A30</f>
        <v>1524</v>
      </c>
    </row>
    <row r="31" ht="16.6" customHeight="1">
      <c r="A31" s="22">
        <v>370</v>
      </c>
      <c r="B31" t="s" s="23">
        <v>1147</v>
      </c>
      <c r="C31" t="s" s="23">
        <v>496</v>
      </c>
      <c r="D31" s="22">
        <v>1</v>
      </c>
      <c r="E31" s="22" cm="1">
        <f t="array" ref="E31">_xlfn.COUNTIFS(D2:D271,1,A2:A271,A31)</f>
        <v>2</v>
      </c>
      <c r="F31" s="22" cm="1">
        <f t="array" ref="F31">(YEAR(C31)-2025)*1000+MONTH(C31)*31+DAY(C31)+A31</f>
        <v>1524</v>
      </c>
    </row>
    <row r="32" ht="16.6" customHeight="1">
      <c r="A32" s="22">
        <v>369</v>
      </c>
      <c r="B32" t="s" s="23">
        <v>1144</v>
      </c>
      <c r="C32" t="s" s="23">
        <v>496</v>
      </c>
      <c r="D32" s="22">
        <v>0</v>
      </c>
      <c r="E32" s="22" cm="1">
        <f t="array" ref="E32">_xlfn.COUNTIFS(D2:D271,1,A2:A271,A32)</f>
        <v>1</v>
      </c>
      <c r="F32" s="22" cm="1">
        <f t="array" ref="F32">(YEAR(C32)-2025)*1000+MONTH(C32)*31+DAY(C32)+A32</f>
        <v>1523</v>
      </c>
    </row>
    <row r="33" ht="16.6" customHeight="1">
      <c r="A33" s="22">
        <v>369</v>
      </c>
      <c r="B33" t="s" s="23">
        <v>1144</v>
      </c>
      <c r="C33" t="s" s="23">
        <v>496</v>
      </c>
      <c r="D33" s="22">
        <v>1</v>
      </c>
      <c r="E33" s="22" cm="1">
        <f t="array" ref="E33">_xlfn.COUNTIFS(D2:D271,1,A2:A271,A33)</f>
        <v>1</v>
      </c>
      <c r="F33" s="22" cm="1">
        <f t="array" ref="F33">(YEAR(C33)-2025)*1000+MONTH(C33)*31+DAY(C33)+A33</f>
        <v>1523</v>
      </c>
    </row>
    <row r="34" ht="16.6" customHeight="1">
      <c r="A34" s="22">
        <v>364</v>
      </c>
      <c r="B34" t="s" s="23">
        <v>1129</v>
      </c>
      <c r="C34" t="s" s="23">
        <v>496</v>
      </c>
      <c r="D34" s="22">
        <v>0</v>
      </c>
      <c r="E34" s="22" cm="1">
        <f t="array" ref="E34">_xlfn.COUNTIFS(D2:D271,1,A2:A271,A34)</f>
        <v>1</v>
      </c>
      <c r="F34" s="22" cm="1">
        <f t="array" ref="F34">(YEAR(C34)-2025)*1000+MONTH(C34)*31+DAY(C34)+A34</f>
        <v>1518</v>
      </c>
    </row>
    <row r="35" ht="16.6" customHeight="1">
      <c r="A35" s="22">
        <v>364</v>
      </c>
      <c r="B35" t="s" s="23">
        <v>1129</v>
      </c>
      <c r="C35" t="s" s="23">
        <v>496</v>
      </c>
      <c r="D35" s="22">
        <v>1</v>
      </c>
      <c r="E35" s="22" cm="1">
        <f t="array" ref="E35">_xlfn.COUNTIFS(D2:D271,1,A2:A271,A35)</f>
        <v>1</v>
      </c>
      <c r="F35" s="22" cm="1">
        <f t="array" ref="F35">(YEAR(C35)-2025)*1000+MONTH(C35)*31+DAY(C35)+A35</f>
        <v>1518</v>
      </c>
    </row>
    <row r="36" ht="16.6" customHeight="1">
      <c r="A36" s="22">
        <v>363</v>
      </c>
      <c r="B36" t="s" s="23">
        <v>1126</v>
      </c>
      <c r="C36" t="s" s="23">
        <v>496</v>
      </c>
      <c r="D36" s="22">
        <v>0</v>
      </c>
      <c r="E36" s="22" cm="1">
        <f t="array" ref="E36">_xlfn.COUNTIFS(D2:D271,1,A2:A271,A36)</f>
        <v>2</v>
      </c>
      <c r="F36" s="22" cm="1">
        <f t="array" ref="F36">(YEAR(C36)-2025)*1000+MONTH(C36)*31+DAY(C36)+A36</f>
        <v>1517</v>
      </c>
    </row>
    <row r="37" ht="16.6" customHeight="1">
      <c r="A37" s="22">
        <v>363</v>
      </c>
      <c r="B37" t="s" s="23">
        <v>1126</v>
      </c>
      <c r="C37" t="s" s="23">
        <v>496</v>
      </c>
      <c r="D37" s="22">
        <v>1</v>
      </c>
      <c r="E37" s="22" cm="1">
        <f t="array" ref="E37">_xlfn.COUNTIFS(D2:D271,1,A2:A271,A37)</f>
        <v>2</v>
      </c>
      <c r="F37" s="22" cm="1">
        <f t="array" ref="F37">(YEAR(C37)-2025)*1000+MONTH(C37)*31+DAY(C37)+A37</f>
        <v>1517</v>
      </c>
    </row>
    <row r="38" ht="16.6" customHeight="1">
      <c r="A38" s="22">
        <v>363</v>
      </c>
      <c r="B38" t="s" s="23">
        <v>1126</v>
      </c>
      <c r="C38" t="s" s="23">
        <v>496</v>
      </c>
      <c r="D38" s="22">
        <v>1</v>
      </c>
      <c r="E38" s="22" cm="1">
        <f t="array" ref="E38">_xlfn.COUNTIFS(D2:D271,1,A2:A271,A38)</f>
        <v>2</v>
      </c>
      <c r="F38" s="22" cm="1">
        <f t="array" ref="F38">(YEAR(C38)-2025)*1000+MONTH(C38)*31+DAY(C38)+A38</f>
        <v>1517</v>
      </c>
    </row>
    <row r="39" ht="16.6" customHeight="1">
      <c r="A39" s="22">
        <v>362</v>
      </c>
      <c r="B39" t="s" s="23">
        <v>1123</v>
      </c>
      <c r="C39" t="s" s="23">
        <v>496</v>
      </c>
      <c r="D39" s="22">
        <v>0</v>
      </c>
      <c r="E39" s="22" cm="1">
        <f t="array" ref="E39">_xlfn.COUNTIFS(D2:D271,1,A2:A271,A39)</f>
        <v>1</v>
      </c>
      <c r="F39" s="22" cm="1">
        <f t="array" ref="F39">(YEAR(C39)-2025)*1000+MONTH(C39)*31+DAY(C39)+A39</f>
        <v>1516</v>
      </c>
    </row>
    <row r="40" ht="16.6" customHeight="1">
      <c r="A40" s="22">
        <v>362</v>
      </c>
      <c r="B40" t="s" s="23">
        <v>1123</v>
      </c>
      <c r="C40" t="s" s="23">
        <v>496</v>
      </c>
      <c r="D40" s="22">
        <v>1</v>
      </c>
      <c r="E40" s="22" cm="1">
        <f t="array" ref="E40">_xlfn.COUNTIFS(D2:D271,1,A2:A271,A40)</f>
        <v>1</v>
      </c>
      <c r="F40" s="22" cm="1">
        <f t="array" ref="F40">(YEAR(C40)-2025)*1000+MONTH(C40)*31+DAY(C40)+A40</f>
        <v>1516</v>
      </c>
    </row>
    <row r="41" ht="16.6" customHeight="1">
      <c r="A41" s="22">
        <v>361</v>
      </c>
      <c r="B41" t="s" s="23">
        <v>1120</v>
      </c>
      <c r="C41" t="s" s="23">
        <v>496</v>
      </c>
      <c r="D41" s="22">
        <v>0</v>
      </c>
      <c r="E41" s="22" cm="1">
        <f t="array" ref="E41">_xlfn.COUNTIFS(D2:D271,1,A2:A271,A41)</f>
        <v>2</v>
      </c>
      <c r="F41" s="22" cm="1">
        <f t="array" ref="F41">(YEAR(C41)-2025)*1000+MONTH(C41)*31+DAY(C41)+A41</f>
        <v>1515</v>
      </c>
    </row>
    <row r="42" ht="16.6" customHeight="1">
      <c r="A42" s="22">
        <v>361</v>
      </c>
      <c r="B42" t="s" s="23">
        <v>1120</v>
      </c>
      <c r="C42" t="s" s="23">
        <v>496</v>
      </c>
      <c r="D42" s="22">
        <v>1</v>
      </c>
      <c r="E42" s="22" cm="1">
        <f t="array" ref="E42">_xlfn.COUNTIFS(D2:D271,1,A2:A271,A42)</f>
        <v>2</v>
      </c>
      <c r="F42" s="22" cm="1">
        <f t="array" ref="F42">(YEAR(C42)-2025)*1000+MONTH(C42)*31+DAY(C42)+A42</f>
        <v>1515</v>
      </c>
    </row>
    <row r="43" ht="16.6" customHeight="1">
      <c r="A43" s="22">
        <v>361</v>
      </c>
      <c r="B43" t="s" s="23">
        <v>1120</v>
      </c>
      <c r="C43" t="s" s="23">
        <v>496</v>
      </c>
      <c r="D43" s="22">
        <v>1</v>
      </c>
      <c r="E43" s="22" cm="1">
        <f t="array" ref="E43">_xlfn.COUNTIFS(D2:D271,1,A2:A271,A43)</f>
        <v>2</v>
      </c>
      <c r="F43" s="22" cm="1">
        <f t="array" ref="F43">(YEAR(C43)-2025)*1000+MONTH(C43)*31+DAY(C43)+A43</f>
        <v>1515</v>
      </c>
    </row>
    <row r="44" ht="16.6" customHeight="1">
      <c r="A44" s="22">
        <v>358</v>
      </c>
      <c r="B44" t="s" s="23">
        <v>1111</v>
      </c>
      <c r="C44" t="s" s="23">
        <v>496</v>
      </c>
      <c r="D44" s="22">
        <v>0</v>
      </c>
      <c r="E44" s="22" cm="1">
        <f t="array" ref="E44">_xlfn.COUNTIFS(D2:D271,1,A2:A271,A44)</f>
        <v>2</v>
      </c>
      <c r="F44" s="22" cm="1">
        <f t="array" ref="F44">(YEAR(C44)-2025)*1000+MONTH(C44)*31+DAY(C44)+A44</f>
        <v>1512</v>
      </c>
    </row>
    <row r="45" ht="16.6" customHeight="1">
      <c r="A45" s="22">
        <v>358</v>
      </c>
      <c r="B45" t="s" s="23">
        <v>1111</v>
      </c>
      <c r="C45" t="s" s="23">
        <v>496</v>
      </c>
      <c r="D45" s="22">
        <v>1</v>
      </c>
      <c r="E45" s="22" cm="1">
        <f t="array" ref="E45">_xlfn.COUNTIFS(D2:D271,1,A2:A271,A45)</f>
        <v>2</v>
      </c>
      <c r="F45" s="22" cm="1">
        <f t="array" ref="F45">(YEAR(C45)-2025)*1000+MONTH(C45)*31+DAY(C45)+A45</f>
        <v>1512</v>
      </c>
    </row>
    <row r="46" ht="16.6" customHeight="1">
      <c r="A46" s="22">
        <v>358</v>
      </c>
      <c r="B46" t="s" s="23">
        <v>1111</v>
      </c>
      <c r="C46" t="s" s="23">
        <v>496</v>
      </c>
      <c r="D46" s="22">
        <v>1</v>
      </c>
      <c r="E46" s="22" cm="1">
        <f t="array" ref="E46">_xlfn.COUNTIFS(D2:D271,1,A2:A271,A46)</f>
        <v>2</v>
      </c>
      <c r="F46" s="22" cm="1">
        <f t="array" ref="F46">(YEAR(C46)-2025)*1000+MONTH(C46)*31+DAY(C46)+A46</f>
        <v>1512</v>
      </c>
    </row>
    <row r="47" ht="16.6" customHeight="1">
      <c r="A47" s="22">
        <v>355</v>
      </c>
      <c r="B47" t="s" s="23">
        <v>1102</v>
      </c>
      <c r="C47" t="s" s="23">
        <v>496</v>
      </c>
      <c r="D47" s="22">
        <v>1</v>
      </c>
      <c r="E47" s="22" cm="1">
        <f t="array" ref="E47">_xlfn.COUNTIFS(D2:D271,1,A2:A271,A47)</f>
        <v>1</v>
      </c>
      <c r="F47" s="22" cm="1">
        <f t="array" ref="F47">(YEAR(C47)-2025)*1000+MONTH(C47)*31+DAY(C47)+A47</f>
        <v>1509</v>
      </c>
    </row>
    <row r="48" ht="16.6" customHeight="1">
      <c r="A48" s="22">
        <v>354</v>
      </c>
      <c r="B48" t="s" s="23">
        <v>1099</v>
      </c>
      <c r="C48" t="s" s="23">
        <v>496</v>
      </c>
      <c r="D48" s="22">
        <v>1</v>
      </c>
      <c r="E48" s="22" cm="1">
        <f t="array" ref="E48">_xlfn.COUNTIFS(D2:D271,1,A2:A271,A48)</f>
        <v>1</v>
      </c>
      <c r="F48" s="22" cm="1">
        <f t="array" ref="F48">(YEAR(C48)-2025)*1000+MONTH(C48)*31+DAY(C48)+A48</f>
        <v>1508</v>
      </c>
    </row>
    <row r="49" ht="16.6" customHeight="1">
      <c r="A49" s="22">
        <v>353</v>
      </c>
      <c r="B49" t="s" s="23">
        <v>1095</v>
      </c>
      <c r="C49" t="s" s="23">
        <v>496</v>
      </c>
      <c r="D49" s="22">
        <v>0</v>
      </c>
      <c r="E49" s="22" cm="1">
        <f t="array" ref="E49">_xlfn.COUNTIFS(D2:D271,1,A2:A271,A49)</f>
        <v>2</v>
      </c>
      <c r="F49" s="22" cm="1">
        <f t="array" ref="F49">(YEAR(C49)-2025)*1000+MONTH(C49)*31+DAY(C49)+A49</f>
        <v>1507</v>
      </c>
    </row>
    <row r="50" ht="16.6" customHeight="1">
      <c r="A50" s="22">
        <v>353</v>
      </c>
      <c r="B50" t="s" s="23">
        <v>1095</v>
      </c>
      <c r="C50" t="s" s="23">
        <v>496</v>
      </c>
      <c r="D50" s="22">
        <v>1</v>
      </c>
      <c r="E50" s="22" cm="1">
        <f t="array" ref="E50">_xlfn.COUNTIFS(D2:D271,1,A2:A271,A50)</f>
        <v>2</v>
      </c>
      <c r="F50" s="22" cm="1">
        <f t="array" ref="F50">(YEAR(C50)-2025)*1000+MONTH(C50)*31+DAY(C50)+A50</f>
        <v>1507</v>
      </c>
    </row>
    <row r="51" ht="16.6" customHeight="1">
      <c r="A51" s="22">
        <v>353</v>
      </c>
      <c r="B51" t="s" s="23">
        <v>1095</v>
      </c>
      <c r="C51" t="s" s="23">
        <v>496</v>
      </c>
      <c r="D51" s="22">
        <v>1</v>
      </c>
      <c r="E51" s="22" cm="1">
        <f t="array" ref="E51">_xlfn.COUNTIFS(D2:D271,1,A2:A271,A51)</f>
        <v>2</v>
      </c>
      <c r="F51" s="22" cm="1">
        <f t="array" ref="F51">(YEAR(C51)-2025)*1000+MONTH(C51)*31+DAY(C51)+A51</f>
        <v>1507</v>
      </c>
    </row>
    <row r="52" ht="16.6" customHeight="1">
      <c r="A52" s="22">
        <v>347</v>
      </c>
      <c r="B52" t="s" s="23">
        <v>1077</v>
      </c>
      <c r="C52" t="s" s="23">
        <v>496</v>
      </c>
      <c r="D52" s="22">
        <v>1</v>
      </c>
      <c r="E52" s="22" cm="1">
        <f t="array" ref="E52">_xlfn.COUNTIFS(D2:D271,1,A2:A271,A52)</f>
        <v>3</v>
      </c>
      <c r="F52" s="22" cm="1">
        <f t="array" ref="F52">(YEAR(C52)-2025)*1000+MONTH(C52)*31+DAY(C52)+A52</f>
        <v>1501</v>
      </c>
    </row>
    <row r="53" ht="16.6" customHeight="1">
      <c r="A53" s="22">
        <v>347</v>
      </c>
      <c r="B53" t="s" s="23">
        <v>1077</v>
      </c>
      <c r="C53" t="s" s="23">
        <v>496</v>
      </c>
      <c r="D53" s="22">
        <v>1</v>
      </c>
      <c r="E53" s="22" cm="1">
        <f t="array" ref="E53">_xlfn.COUNTIFS(D2:D271,1,A2:A271,A53)</f>
        <v>3</v>
      </c>
      <c r="F53" s="22" cm="1">
        <f t="array" ref="F53">(YEAR(C53)-2025)*1000+MONTH(C53)*31+DAY(C53)+A53</f>
        <v>1501</v>
      </c>
    </row>
    <row r="54" ht="16.6" customHeight="1">
      <c r="A54" s="22">
        <v>347</v>
      </c>
      <c r="B54" t="s" s="23">
        <v>1077</v>
      </c>
      <c r="C54" t="s" s="23">
        <v>496</v>
      </c>
      <c r="D54" s="22">
        <v>1</v>
      </c>
      <c r="E54" s="22" cm="1">
        <f t="array" ref="E54">_xlfn.COUNTIFS(D2:D271,1,A2:A271,A54)</f>
        <v>3</v>
      </c>
      <c r="F54" s="22" cm="1">
        <f t="array" ref="F54">(YEAR(C54)-2025)*1000+MONTH(C54)*31+DAY(C54)+A54</f>
        <v>1501</v>
      </c>
    </row>
    <row r="55" ht="16.6" customHeight="1">
      <c r="A55" s="22">
        <v>342</v>
      </c>
      <c r="B55" t="s" s="23">
        <v>1062</v>
      </c>
      <c r="C55" t="s" s="23">
        <v>496</v>
      </c>
      <c r="D55" s="22">
        <v>0</v>
      </c>
      <c r="E55" s="22" cm="1">
        <f t="array" ref="E55">_xlfn.COUNTIFS(D2:D271,1,A2:A271,A55)</f>
        <v>2</v>
      </c>
      <c r="F55" s="22" cm="1">
        <f t="array" ref="F55">(YEAR(C55)-2025)*1000+MONTH(C55)*31+DAY(C55)+A55</f>
        <v>1496</v>
      </c>
    </row>
    <row r="56" ht="16.6" customHeight="1">
      <c r="A56" s="22">
        <v>342</v>
      </c>
      <c r="B56" t="s" s="23">
        <v>1062</v>
      </c>
      <c r="C56" t="s" s="23">
        <v>496</v>
      </c>
      <c r="D56" s="22">
        <v>1</v>
      </c>
      <c r="E56" s="22" cm="1">
        <f t="array" ref="E56">_xlfn.COUNTIFS(D2:D271,1,A2:A271,A56)</f>
        <v>2</v>
      </c>
      <c r="F56" s="22" cm="1">
        <f t="array" ref="F56">(YEAR(C56)-2025)*1000+MONTH(C56)*31+DAY(C56)+A56</f>
        <v>1496</v>
      </c>
    </row>
    <row r="57" ht="16.6" customHeight="1">
      <c r="A57" s="22">
        <v>342</v>
      </c>
      <c r="B57" t="s" s="23">
        <v>1062</v>
      </c>
      <c r="C57" t="s" s="23">
        <v>496</v>
      </c>
      <c r="D57" s="22">
        <v>1</v>
      </c>
      <c r="E57" s="22" cm="1">
        <f t="array" ref="E57">_xlfn.COUNTIFS(D2:D271,1,A2:A271,A57)</f>
        <v>2</v>
      </c>
      <c r="F57" s="22" cm="1">
        <f t="array" ref="F57">(YEAR(C57)-2025)*1000+MONTH(C57)*31+DAY(C57)+A57</f>
        <v>1496</v>
      </c>
    </row>
    <row r="58" ht="16.6" customHeight="1">
      <c r="A58" s="22">
        <v>341</v>
      </c>
      <c r="B58" t="s" s="23">
        <v>1059</v>
      </c>
      <c r="C58" t="s" s="23">
        <v>496</v>
      </c>
      <c r="D58" s="22">
        <v>0</v>
      </c>
      <c r="E58" s="22" cm="1">
        <f t="array" ref="E58">_xlfn.COUNTIFS(D2:D271,1,A2:A271,A58)</f>
        <v>1</v>
      </c>
      <c r="F58" s="22" cm="1">
        <f t="array" ref="F58">(YEAR(C58)-2025)*1000+MONTH(C58)*31+DAY(C58)+A58</f>
        <v>1495</v>
      </c>
    </row>
    <row r="59" ht="16.6" customHeight="1">
      <c r="A59" s="22">
        <v>341</v>
      </c>
      <c r="B59" t="s" s="23">
        <v>1059</v>
      </c>
      <c r="C59" t="s" s="23">
        <v>496</v>
      </c>
      <c r="D59" s="22">
        <v>1</v>
      </c>
      <c r="E59" s="22" cm="1">
        <f t="array" ref="E59">_xlfn.COUNTIFS(D2:D271,1,A2:A271,A59)</f>
        <v>1</v>
      </c>
      <c r="F59" s="22" cm="1">
        <f t="array" ref="F59">(YEAR(C59)-2025)*1000+MONTH(C59)*31+DAY(C59)+A59</f>
        <v>1495</v>
      </c>
    </row>
    <row r="60" ht="16.6" customHeight="1">
      <c r="A60" s="22">
        <v>339</v>
      </c>
      <c r="B60" t="s" s="23">
        <v>1053</v>
      </c>
      <c r="C60" t="s" s="23">
        <v>496</v>
      </c>
      <c r="D60" s="22">
        <v>1</v>
      </c>
      <c r="E60" s="22" cm="1">
        <f t="array" ref="E60">_xlfn.COUNTIFS(D2:D271,1,A2:A271,A60)</f>
        <v>1</v>
      </c>
      <c r="F60" s="22" cm="1">
        <f t="array" ref="F60">(YEAR(C60)-2025)*1000+MONTH(C60)*31+DAY(C60)+A60</f>
        <v>1493</v>
      </c>
    </row>
    <row r="61" ht="16.6" customHeight="1">
      <c r="A61" s="22">
        <v>338</v>
      </c>
      <c r="B61" t="s" s="23">
        <v>1050</v>
      </c>
      <c r="C61" t="s" s="23">
        <v>496</v>
      </c>
      <c r="D61" s="22">
        <v>0</v>
      </c>
      <c r="E61" s="22" cm="1">
        <f t="array" ref="E61">_xlfn.COUNTIFS(D2:D271,1,A2:A271,A61)</f>
        <v>1</v>
      </c>
      <c r="F61" s="22" cm="1">
        <f t="array" ref="F61">(YEAR(C61)-2025)*1000+MONTH(C61)*31+DAY(C61)+A61</f>
        <v>1492</v>
      </c>
    </row>
    <row r="62" ht="16.6" customHeight="1">
      <c r="A62" s="22">
        <v>338</v>
      </c>
      <c r="B62" t="s" s="23">
        <v>1050</v>
      </c>
      <c r="C62" t="s" s="23">
        <v>496</v>
      </c>
      <c r="D62" s="22">
        <v>1</v>
      </c>
      <c r="E62" s="22" cm="1">
        <f t="array" ref="E62">_xlfn.COUNTIFS(D2:D271,1,A2:A271,A62)</f>
        <v>1</v>
      </c>
      <c r="F62" s="22" cm="1">
        <f t="array" ref="F62">(YEAR(C62)-2025)*1000+MONTH(C62)*31+DAY(C62)+A62</f>
        <v>1492</v>
      </c>
    </row>
    <row r="63" ht="16.6" customHeight="1">
      <c r="A63" s="22">
        <v>336</v>
      </c>
      <c r="B63" t="s" s="23">
        <v>1044</v>
      </c>
      <c r="C63" t="s" s="23">
        <v>496</v>
      </c>
      <c r="D63" s="22">
        <v>0</v>
      </c>
      <c r="E63" s="22" cm="1">
        <f t="array" ref="E63">_xlfn.COUNTIFS(D2:D271,1,A2:A271,A63)</f>
        <v>1</v>
      </c>
      <c r="F63" s="22" cm="1">
        <f t="array" ref="F63">(YEAR(C63)-2025)*1000+MONTH(C63)*31+DAY(C63)+A63</f>
        <v>1490</v>
      </c>
    </row>
    <row r="64" ht="16.6" customHeight="1">
      <c r="A64" s="22">
        <v>336</v>
      </c>
      <c r="B64" t="s" s="23">
        <v>1044</v>
      </c>
      <c r="C64" t="s" s="23">
        <v>496</v>
      </c>
      <c r="D64" s="22">
        <v>0</v>
      </c>
      <c r="E64" s="22" cm="1">
        <f t="array" ref="E64">_xlfn.COUNTIFS(D2:D271,1,A2:A271,A64)</f>
        <v>1</v>
      </c>
      <c r="F64" s="22" cm="1">
        <f t="array" ref="F64">(YEAR(C64)-2025)*1000+MONTH(C64)*31+DAY(C64)+A64</f>
        <v>1490</v>
      </c>
    </row>
    <row r="65" ht="16.6" customHeight="1">
      <c r="A65" s="22">
        <v>336</v>
      </c>
      <c r="B65" t="s" s="23">
        <v>1044</v>
      </c>
      <c r="C65" t="s" s="23">
        <v>496</v>
      </c>
      <c r="D65" s="22">
        <v>1</v>
      </c>
      <c r="E65" s="22" cm="1">
        <f t="array" ref="E65">_xlfn.COUNTIFS(D2:D271,1,A2:A271,A65)</f>
        <v>1</v>
      </c>
      <c r="F65" s="22" cm="1">
        <f t="array" ref="F65">(YEAR(C65)-2025)*1000+MONTH(C65)*31+DAY(C65)+A65</f>
        <v>1490</v>
      </c>
    </row>
    <row r="66" ht="16.6" customHeight="1">
      <c r="A66" s="22">
        <v>335</v>
      </c>
      <c r="B66" t="s" s="23">
        <v>1040</v>
      </c>
      <c r="C66" t="s" s="23">
        <v>496</v>
      </c>
      <c r="D66" s="22">
        <v>1</v>
      </c>
      <c r="E66" s="22" cm="1">
        <f t="array" ref="E66">_xlfn.COUNTIFS(D2:D271,1,A2:A271,A66)</f>
        <v>3</v>
      </c>
      <c r="F66" s="22" cm="1">
        <f t="array" ref="F66">(YEAR(C66)-2025)*1000+MONTH(C66)*31+DAY(C66)+A66</f>
        <v>1489</v>
      </c>
    </row>
    <row r="67" ht="16.6" customHeight="1">
      <c r="A67" s="22">
        <v>335</v>
      </c>
      <c r="B67" t="s" s="23">
        <v>1040</v>
      </c>
      <c r="C67" t="s" s="23">
        <v>496</v>
      </c>
      <c r="D67" s="22">
        <v>1</v>
      </c>
      <c r="E67" s="22" cm="1">
        <f t="array" ref="E67">_xlfn.COUNTIFS(D2:D271,1,A2:A271,A67)</f>
        <v>3</v>
      </c>
      <c r="F67" s="22" cm="1">
        <f t="array" ref="F67">(YEAR(C67)-2025)*1000+MONTH(C67)*31+DAY(C67)+A67</f>
        <v>1489</v>
      </c>
    </row>
    <row r="68" ht="16.6" customHeight="1">
      <c r="A68" s="22">
        <v>335</v>
      </c>
      <c r="B68" t="s" s="23">
        <v>1040</v>
      </c>
      <c r="C68" t="s" s="23">
        <v>496</v>
      </c>
      <c r="D68" s="22">
        <v>1</v>
      </c>
      <c r="E68" s="22" cm="1">
        <f t="array" ref="E68">_xlfn.COUNTIFS(D2:D271,1,A2:A271,A68)</f>
        <v>3</v>
      </c>
      <c r="F68" s="22" cm="1">
        <f t="array" ref="F68">(YEAR(C68)-2025)*1000+MONTH(C68)*31+DAY(C68)+A68</f>
        <v>1489</v>
      </c>
    </row>
    <row r="69" ht="16.6" customHeight="1">
      <c r="A69" s="22">
        <v>331</v>
      </c>
      <c r="B69" t="s" s="23">
        <v>1028</v>
      </c>
      <c r="C69" t="s" s="23">
        <v>156</v>
      </c>
      <c r="D69" s="22">
        <v>1</v>
      </c>
      <c r="E69" s="22" cm="1">
        <f t="array" ref="E69">_xlfn.COUNTIFS(D2:D271,1,A2:A271,A69)</f>
        <v>1</v>
      </c>
      <c r="F69" s="22" cm="1">
        <f t="array" ref="F69">(YEAR(C69)-2025)*1000+MONTH(C69)*31+DAY(C69)+A69</f>
        <v>1484</v>
      </c>
    </row>
    <row r="70" ht="16.6" customHeight="1">
      <c r="A70" s="22">
        <v>327</v>
      </c>
      <c r="B70" t="s" s="23">
        <v>1016</v>
      </c>
      <c r="C70" t="s" s="23">
        <v>496</v>
      </c>
      <c r="D70" s="22">
        <v>1</v>
      </c>
      <c r="E70" s="22" cm="1">
        <f t="array" ref="E70">_xlfn.COUNTIFS(D2:D271,1,A2:A271,A70)</f>
        <v>1</v>
      </c>
      <c r="F70" s="22" cm="1">
        <f t="array" ref="F70">(YEAR(C70)-2025)*1000+MONTH(C70)*31+DAY(C70)+A70</f>
        <v>1481</v>
      </c>
    </row>
    <row r="71" ht="16.6" customHeight="1">
      <c r="A71" s="22">
        <v>327</v>
      </c>
      <c r="B71" t="s" s="23">
        <v>1016</v>
      </c>
      <c r="C71" t="s" s="23">
        <v>156</v>
      </c>
      <c r="D71" s="22">
        <v>0</v>
      </c>
      <c r="E71" s="22" cm="1">
        <f t="array" ref="E71">_xlfn.COUNTIFS(D2:D271,1,A2:A271,A71)</f>
        <v>1</v>
      </c>
      <c r="F71" s="22" cm="1">
        <f t="array" ref="F71">(YEAR(C71)-2025)*1000+MONTH(C71)*31+DAY(C71)+A71</f>
        <v>1480</v>
      </c>
    </row>
    <row r="72" ht="16.6" customHeight="1">
      <c r="A72" s="22">
        <v>325</v>
      </c>
      <c r="B72" t="s" s="23">
        <v>1009</v>
      </c>
      <c r="C72" t="s" s="23">
        <v>156</v>
      </c>
      <c r="D72" s="22">
        <v>1</v>
      </c>
      <c r="E72" s="22" cm="1">
        <f t="array" ref="E72">_xlfn.COUNTIFS(D2:D271,1,A2:A271,A72)</f>
        <v>1</v>
      </c>
      <c r="F72" s="22" cm="1">
        <f t="array" ref="F72">(YEAR(C72)-2025)*1000+MONTH(C72)*31+DAY(C72)+A72</f>
        <v>1478</v>
      </c>
    </row>
    <row r="73" ht="16.6" customHeight="1">
      <c r="A73" s="22">
        <v>324</v>
      </c>
      <c r="B73" t="s" s="23">
        <v>1006</v>
      </c>
      <c r="C73" t="s" s="23">
        <v>496</v>
      </c>
      <c r="D73" s="22">
        <v>1</v>
      </c>
      <c r="E73" s="22" cm="1">
        <f t="array" ref="E73">_xlfn.COUNTIFS(D2:D271,1,A2:A271,A73)</f>
        <v>3</v>
      </c>
      <c r="F73" s="22" cm="1">
        <f t="array" ref="F73">(YEAR(C73)-2025)*1000+MONTH(C73)*31+DAY(C73)+A73</f>
        <v>1478</v>
      </c>
    </row>
    <row r="74" ht="16.6" customHeight="1">
      <c r="A74" s="22">
        <v>324</v>
      </c>
      <c r="B74" t="s" s="23">
        <v>1006</v>
      </c>
      <c r="C74" t="s" s="23">
        <v>496</v>
      </c>
      <c r="D74" s="22">
        <v>1</v>
      </c>
      <c r="E74" s="22" cm="1">
        <f t="array" ref="E74">_xlfn.COUNTIFS(D2:D271,1,A2:A271,A74)</f>
        <v>3</v>
      </c>
      <c r="F74" s="22" cm="1">
        <f t="array" ref="F74">(YEAR(C74)-2025)*1000+MONTH(C74)*31+DAY(C74)+A74</f>
        <v>1478</v>
      </c>
    </row>
    <row r="75" ht="16.6" customHeight="1">
      <c r="A75" s="22">
        <v>324</v>
      </c>
      <c r="B75" t="s" s="23">
        <v>1006</v>
      </c>
      <c r="C75" t="s" s="23">
        <v>496</v>
      </c>
      <c r="D75" s="22">
        <v>1</v>
      </c>
      <c r="E75" s="22" cm="1">
        <f t="array" ref="E75">_xlfn.COUNTIFS(D2:D271,1,A2:A271,A75)</f>
        <v>3</v>
      </c>
      <c r="F75" s="22" cm="1">
        <f t="array" ref="F75">(YEAR(C75)-2025)*1000+MONTH(C75)*31+DAY(C75)+A75</f>
        <v>1478</v>
      </c>
    </row>
    <row r="76" ht="16.6" customHeight="1">
      <c r="A76" s="22">
        <v>324</v>
      </c>
      <c r="B76" t="s" s="23">
        <v>1006</v>
      </c>
      <c r="C76" t="s" s="23">
        <v>156</v>
      </c>
      <c r="D76" s="22">
        <v>0</v>
      </c>
      <c r="E76" s="22" cm="1">
        <f t="array" ref="E76">_xlfn.COUNTIFS(D2:D271,1,A2:A271,A76)</f>
        <v>3</v>
      </c>
      <c r="F76" s="22" cm="1">
        <f t="array" ref="F76">(YEAR(C76)-2025)*1000+MONTH(C76)*31+DAY(C76)+A76</f>
        <v>1477</v>
      </c>
    </row>
    <row r="77" ht="16.6" customHeight="1">
      <c r="A77" s="22">
        <v>323</v>
      </c>
      <c r="B77" t="s" s="23">
        <v>1003</v>
      </c>
      <c r="C77" t="s" s="23">
        <v>156</v>
      </c>
      <c r="D77" s="22">
        <v>1</v>
      </c>
      <c r="E77" s="22" cm="1">
        <f t="array" ref="E77">_xlfn.COUNTIFS(D2:D271,1,A2:A271,A77)</f>
        <v>1</v>
      </c>
      <c r="F77" s="22" cm="1">
        <f t="array" ref="F77">(YEAR(C77)-2025)*1000+MONTH(C77)*31+DAY(C77)+A77</f>
        <v>1476</v>
      </c>
    </row>
    <row r="78" ht="16.6" customHeight="1">
      <c r="A78" s="22">
        <v>318</v>
      </c>
      <c r="B78" t="s" s="23">
        <v>990</v>
      </c>
      <c r="C78" t="s" s="23">
        <v>496</v>
      </c>
      <c r="D78" s="22">
        <v>0</v>
      </c>
      <c r="E78" s="22" cm="1">
        <f t="array" ref="E78">_xlfn.COUNTIFS(D2:D271,1,A2:A271,A78)</f>
        <v>1</v>
      </c>
      <c r="F78" s="22" cm="1">
        <f t="array" ref="F78">(YEAR(C78)-2025)*1000+MONTH(C78)*31+DAY(C78)+A78</f>
        <v>1472</v>
      </c>
    </row>
    <row r="79" ht="16.6" customHeight="1">
      <c r="A79" s="22">
        <v>318</v>
      </c>
      <c r="B79" t="s" s="23">
        <v>990</v>
      </c>
      <c r="C79" t="s" s="23">
        <v>496</v>
      </c>
      <c r="D79" s="22">
        <v>1</v>
      </c>
      <c r="E79" s="22" cm="1">
        <f t="array" ref="E79">_xlfn.COUNTIFS(D2:D271,1,A2:A271,A79)</f>
        <v>1</v>
      </c>
      <c r="F79" s="22" cm="1">
        <f t="array" ref="F79">(YEAR(C79)-2025)*1000+MONTH(C79)*31+DAY(C79)+A79</f>
        <v>1472</v>
      </c>
    </row>
    <row r="80" ht="16.6" customHeight="1">
      <c r="A80" s="22">
        <v>318</v>
      </c>
      <c r="B80" t="s" s="23">
        <v>990</v>
      </c>
      <c r="C80" t="s" s="23">
        <v>156</v>
      </c>
      <c r="D80" s="22">
        <v>0</v>
      </c>
      <c r="E80" s="22" cm="1">
        <f t="array" ref="E80">_xlfn.COUNTIFS(D2:D271,1,A2:A271,A80)</f>
        <v>1</v>
      </c>
      <c r="F80" s="22" cm="1">
        <f t="array" ref="F80">(YEAR(C80)-2025)*1000+MONTH(C80)*31+DAY(C80)+A80</f>
        <v>1471</v>
      </c>
    </row>
    <row r="81" ht="16.6" customHeight="1">
      <c r="A81" s="22">
        <v>316</v>
      </c>
      <c r="B81" t="s" s="23">
        <v>984</v>
      </c>
      <c r="C81" t="s" s="23">
        <v>496</v>
      </c>
      <c r="D81" s="22">
        <v>1</v>
      </c>
      <c r="E81" s="22" cm="1">
        <f t="array" ref="E81">_xlfn.COUNTIFS(D2:D271,1,A2:A271,A81)</f>
        <v>1</v>
      </c>
      <c r="F81" s="22" cm="1">
        <f t="array" ref="F81">(YEAR(C81)-2025)*1000+MONTH(C81)*31+DAY(C81)+A81</f>
        <v>1470</v>
      </c>
    </row>
    <row r="82" ht="16.6" customHeight="1">
      <c r="A82" s="22">
        <v>316</v>
      </c>
      <c r="B82" t="s" s="23">
        <v>984</v>
      </c>
      <c r="C82" t="s" s="23">
        <v>156</v>
      </c>
      <c r="D82" s="22">
        <v>0</v>
      </c>
      <c r="E82" s="22" cm="1">
        <f t="array" ref="E82">_xlfn.COUNTIFS(D2:D271,1,A2:A271,A82)</f>
        <v>1</v>
      </c>
      <c r="F82" s="22" cm="1">
        <f t="array" ref="F82">(YEAR(C82)-2025)*1000+MONTH(C82)*31+DAY(C82)+A82</f>
        <v>1469</v>
      </c>
    </row>
    <row r="83" ht="16.6" customHeight="1">
      <c r="A83" s="22">
        <v>315</v>
      </c>
      <c r="B83" t="s" s="23">
        <v>981</v>
      </c>
      <c r="C83" t="s" s="23">
        <v>156</v>
      </c>
      <c r="D83" s="22">
        <v>1</v>
      </c>
      <c r="E83" s="22" cm="1">
        <f t="array" ref="E83">_xlfn.COUNTIFS(D2:D271,1,A2:A271,A83)</f>
        <v>1</v>
      </c>
      <c r="F83" s="22" cm="1">
        <f t="array" ref="F83">(YEAR(C83)-2025)*1000+MONTH(C83)*31+DAY(C83)+A83</f>
        <v>1468</v>
      </c>
    </row>
    <row r="84" ht="16.6" customHeight="1">
      <c r="A84" s="22">
        <v>313</v>
      </c>
      <c r="B84" t="s" s="23">
        <v>975</v>
      </c>
      <c r="C84" t="s" s="23">
        <v>156</v>
      </c>
      <c r="D84" s="22">
        <v>1</v>
      </c>
      <c r="E84" s="22" cm="1">
        <f t="array" ref="E84">_xlfn.COUNTIFS(D2:D271,1,A2:A271,A84)</f>
        <v>1</v>
      </c>
      <c r="F84" s="22" cm="1">
        <f t="array" ref="F84">(YEAR(C84)-2025)*1000+MONTH(C84)*31+DAY(C84)+A84</f>
        <v>1466</v>
      </c>
    </row>
    <row r="85" ht="16.6" customHeight="1">
      <c r="A85" s="22">
        <v>309</v>
      </c>
      <c r="B85" t="s" s="23">
        <v>963</v>
      </c>
      <c r="C85" t="s" s="23">
        <v>496</v>
      </c>
      <c r="D85" s="22">
        <v>0</v>
      </c>
      <c r="E85" s="22" cm="1">
        <f t="array" ref="E85">_xlfn.COUNTIFS(D2:D271,1,A2:A271,A85)</f>
        <v>1</v>
      </c>
      <c r="F85" s="22" cm="1">
        <f t="array" ref="F85">(YEAR(C85)-2025)*1000+MONTH(C85)*31+DAY(C85)+A85</f>
        <v>1463</v>
      </c>
    </row>
    <row r="86" ht="16.6" customHeight="1">
      <c r="A86" s="22">
        <v>309</v>
      </c>
      <c r="B86" t="s" s="23">
        <v>963</v>
      </c>
      <c r="C86" t="s" s="23">
        <v>496</v>
      </c>
      <c r="D86" s="22">
        <v>1</v>
      </c>
      <c r="E86" s="22" cm="1">
        <f t="array" ref="E86">_xlfn.COUNTIFS(D2:D271,1,A2:A271,A86)</f>
        <v>1</v>
      </c>
      <c r="F86" s="22" cm="1">
        <f t="array" ref="F86">(YEAR(C86)-2025)*1000+MONTH(C86)*31+DAY(C86)+A86</f>
        <v>1463</v>
      </c>
    </row>
    <row r="87" ht="16.6" customHeight="1">
      <c r="A87" s="22">
        <v>309</v>
      </c>
      <c r="B87" t="s" s="23">
        <v>963</v>
      </c>
      <c r="C87" t="s" s="23">
        <v>156</v>
      </c>
      <c r="D87" s="22">
        <v>0</v>
      </c>
      <c r="E87" s="22" cm="1">
        <f t="array" ref="E87">_xlfn.COUNTIFS(D2:D271,1,A2:A271,A87)</f>
        <v>1</v>
      </c>
      <c r="F87" s="22" cm="1">
        <f t="array" ref="F87">(YEAR(C87)-2025)*1000+MONTH(C87)*31+DAY(C87)+A87</f>
        <v>1462</v>
      </c>
    </row>
    <row r="88" ht="16.6" customHeight="1">
      <c r="A88" s="22">
        <v>307</v>
      </c>
      <c r="B88" t="s" s="23">
        <v>957</v>
      </c>
      <c r="C88" t="s" s="23">
        <v>496</v>
      </c>
      <c r="D88" s="22">
        <v>1</v>
      </c>
      <c r="E88" s="22" cm="1">
        <f t="array" ref="E88">_xlfn.COUNTIFS(D2:D271,1,A2:A271,A88)</f>
        <v>1</v>
      </c>
      <c r="F88" s="22" cm="1">
        <f t="array" ref="F88">(YEAR(C88)-2025)*1000+MONTH(C88)*31+DAY(C88)+A88</f>
        <v>1461</v>
      </c>
    </row>
    <row r="89" ht="16.6" customHeight="1">
      <c r="A89" s="22">
        <v>307</v>
      </c>
      <c r="B89" t="s" s="23">
        <v>957</v>
      </c>
      <c r="C89" t="s" s="23">
        <v>156</v>
      </c>
      <c r="D89" s="22">
        <v>0</v>
      </c>
      <c r="E89" s="22" cm="1">
        <f t="array" ref="E89">_xlfn.COUNTIFS(D2:D271,1,A2:A271,A89)</f>
        <v>1</v>
      </c>
      <c r="F89" s="22" cm="1">
        <f t="array" ref="F89">(YEAR(C89)-2025)*1000+MONTH(C89)*31+DAY(C89)+A89</f>
        <v>1460</v>
      </c>
    </row>
    <row r="90" ht="16.6" customHeight="1">
      <c r="A90" s="22">
        <v>294</v>
      </c>
      <c r="B90" t="s" s="23">
        <v>918</v>
      </c>
      <c r="C90" t="s" s="23">
        <v>496</v>
      </c>
      <c r="D90" s="22">
        <v>1</v>
      </c>
      <c r="E90" s="22" cm="1">
        <f t="array" ref="E90">_xlfn.COUNTIFS(D2:D271,1,A2:A271,A90)</f>
        <v>1</v>
      </c>
      <c r="F90" s="22" cm="1">
        <f t="array" ref="F90">(YEAR(C90)-2025)*1000+MONTH(C90)*31+DAY(C90)+A90</f>
        <v>1448</v>
      </c>
    </row>
    <row r="91" ht="16.6" customHeight="1">
      <c r="A91" s="22">
        <v>294</v>
      </c>
      <c r="B91" t="s" s="23">
        <v>918</v>
      </c>
      <c r="C91" t="s" s="23">
        <v>156</v>
      </c>
      <c r="D91" s="22">
        <v>0</v>
      </c>
      <c r="E91" s="22" cm="1">
        <f t="array" ref="E91">_xlfn.COUNTIFS(D2:D271,1,A2:A271,A91)</f>
        <v>1</v>
      </c>
      <c r="F91" s="22" cm="1">
        <f t="array" ref="F91">(YEAR(C91)-2025)*1000+MONTH(C91)*31+DAY(C91)+A91</f>
        <v>1447</v>
      </c>
    </row>
    <row r="92" ht="16.6" customHeight="1">
      <c r="A92" s="22">
        <v>293</v>
      </c>
      <c r="B92" t="s" s="23">
        <v>915</v>
      </c>
      <c r="C92" t="s" s="23">
        <v>496</v>
      </c>
      <c r="D92" s="22">
        <v>1</v>
      </c>
      <c r="E92" s="22" cm="1">
        <f t="array" ref="E92">_xlfn.COUNTIFS(D2:D271,1,A2:A271,A92)</f>
        <v>1</v>
      </c>
      <c r="F92" s="22" cm="1">
        <f t="array" ref="F92">(YEAR(C92)-2025)*1000+MONTH(C92)*31+DAY(C92)+A92</f>
        <v>1447</v>
      </c>
    </row>
    <row r="93" ht="16.6" customHeight="1">
      <c r="A93" s="22">
        <v>293</v>
      </c>
      <c r="B93" t="s" s="23">
        <v>915</v>
      </c>
      <c r="C93" t="s" s="23">
        <v>156</v>
      </c>
      <c r="D93" s="22">
        <v>0</v>
      </c>
      <c r="E93" s="22" cm="1">
        <f t="array" ref="E93">_xlfn.COUNTIFS(D2:D271,1,A2:A271,A93)</f>
        <v>1</v>
      </c>
      <c r="F93" s="22" cm="1">
        <f t="array" ref="F93">(YEAR(C93)-2025)*1000+MONTH(C93)*31+DAY(C93)+A93</f>
        <v>1446</v>
      </c>
    </row>
    <row r="94" ht="16.6" customHeight="1">
      <c r="A94" s="22">
        <v>292</v>
      </c>
      <c r="B94" t="s" s="23">
        <v>912</v>
      </c>
      <c r="C94" t="s" s="23">
        <v>496</v>
      </c>
      <c r="D94" s="22">
        <v>1</v>
      </c>
      <c r="E94" s="22" cm="1">
        <f t="array" ref="E94">_xlfn.COUNTIFS(D2:D271,1,A2:A271,A94)</f>
        <v>1</v>
      </c>
      <c r="F94" s="22" cm="1">
        <f t="array" ref="F94">(YEAR(C94)-2025)*1000+MONTH(C94)*31+DAY(C94)+A94</f>
        <v>1446</v>
      </c>
    </row>
    <row r="95" ht="16.6" customHeight="1">
      <c r="A95" s="22">
        <v>292</v>
      </c>
      <c r="B95" t="s" s="23">
        <v>912</v>
      </c>
      <c r="C95" t="s" s="23">
        <v>156</v>
      </c>
      <c r="D95" s="22">
        <v>0</v>
      </c>
      <c r="E95" s="22" cm="1">
        <f t="array" ref="E95">_xlfn.COUNTIFS(D2:D271,1,A2:A271,A95)</f>
        <v>1</v>
      </c>
      <c r="F95" s="22" cm="1">
        <f t="array" ref="F95">(YEAR(C95)-2025)*1000+MONTH(C95)*31+DAY(C95)+A95</f>
        <v>1445</v>
      </c>
    </row>
    <row r="96" ht="16.6" customHeight="1">
      <c r="A96" s="22">
        <v>286</v>
      </c>
      <c r="B96" t="s" s="23">
        <v>894</v>
      </c>
      <c r="C96" t="s" s="23">
        <v>156</v>
      </c>
      <c r="D96" s="22">
        <v>1</v>
      </c>
      <c r="E96" s="22" cm="1">
        <f t="array" ref="E96">_xlfn.COUNTIFS(D2:D271,1,A2:A271,A96)</f>
        <v>1</v>
      </c>
      <c r="F96" s="22" cm="1">
        <f t="array" ref="F96">(YEAR(C96)-2025)*1000+MONTH(C96)*31+DAY(C96)+A96</f>
        <v>1439</v>
      </c>
    </row>
    <row r="97" ht="16.6" customHeight="1">
      <c r="A97" s="22">
        <v>276</v>
      </c>
      <c r="B97" t="s" s="23">
        <v>863</v>
      </c>
      <c r="C97" t="s" s="23">
        <v>156</v>
      </c>
      <c r="D97" s="22">
        <v>1</v>
      </c>
      <c r="E97" s="22" cm="1">
        <f t="array" ref="E97">_xlfn.COUNTIFS(D2:D271,1,A2:A271,A97)</f>
        <v>1</v>
      </c>
      <c r="F97" s="22" cm="1">
        <f t="array" ref="F97">(YEAR(C97)-2025)*1000+MONTH(C97)*31+DAY(C97)+A97</f>
        <v>1429</v>
      </c>
    </row>
    <row r="98" ht="16.6" customHeight="1">
      <c r="A98" s="22">
        <v>271</v>
      </c>
      <c r="B98" t="s" s="23">
        <v>847</v>
      </c>
      <c r="C98" t="s" s="23">
        <v>156</v>
      </c>
      <c r="D98" s="22">
        <v>1</v>
      </c>
      <c r="E98" s="22" cm="1">
        <f t="array" ref="E98">_xlfn.COUNTIFS(D2:D271,1,A2:A271,A98)</f>
        <v>1</v>
      </c>
      <c r="F98" s="22" cm="1">
        <f t="array" ref="F98">(YEAR(C98)-2025)*1000+MONTH(C98)*31+DAY(C98)+A98</f>
        <v>1424</v>
      </c>
    </row>
    <row r="99" ht="16.6" customHeight="1">
      <c r="A99" s="22">
        <v>268</v>
      </c>
      <c r="B99" t="s" s="23">
        <v>837</v>
      </c>
      <c r="C99" t="s" s="23">
        <v>496</v>
      </c>
      <c r="D99" s="22">
        <v>1</v>
      </c>
      <c r="E99" s="22" cm="1">
        <f t="array" ref="E99">_xlfn.COUNTIFS(D2:D271,1,A2:A271,A99)</f>
        <v>3</v>
      </c>
      <c r="F99" s="22" cm="1">
        <f t="array" ref="F99">(YEAR(C99)-2025)*1000+MONTH(C99)*31+DAY(C99)+A99</f>
        <v>1422</v>
      </c>
    </row>
    <row r="100" ht="16.6" customHeight="1">
      <c r="A100" s="22">
        <v>268</v>
      </c>
      <c r="B100" t="s" s="23">
        <v>837</v>
      </c>
      <c r="C100" t="s" s="23">
        <v>496</v>
      </c>
      <c r="D100" s="22">
        <v>1</v>
      </c>
      <c r="E100" s="22" cm="1">
        <f t="array" ref="E100">_xlfn.COUNTIFS(D2:D271,1,A2:A271,A100)</f>
        <v>3</v>
      </c>
      <c r="F100" s="22" cm="1">
        <f t="array" ref="F100">(YEAR(C100)-2025)*1000+MONTH(C100)*31+DAY(C100)+A100</f>
        <v>1422</v>
      </c>
    </row>
    <row r="101" ht="16.6" customHeight="1">
      <c r="A101" s="22">
        <v>268</v>
      </c>
      <c r="B101" t="s" s="23">
        <v>837</v>
      </c>
      <c r="C101" t="s" s="23">
        <v>156</v>
      </c>
      <c r="D101" s="22">
        <v>1</v>
      </c>
      <c r="E101" s="22" cm="1">
        <f t="array" ref="E101">_xlfn.COUNTIFS(D2:D271,1,A2:A271,A101)</f>
        <v>3</v>
      </c>
      <c r="F101" s="22" cm="1">
        <f t="array" ref="F101">(YEAR(C101)-2025)*1000+MONTH(C101)*31+DAY(C101)+A101</f>
        <v>1421</v>
      </c>
    </row>
    <row r="102" ht="16.6" customHeight="1">
      <c r="A102" s="22">
        <v>254</v>
      </c>
      <c r="B102" t="s" s="23">
        <v>795</v>
      </c>
      <c r="C102" t="s" s="23">
        <v>156</v>
      </c>
      <c r="D102" s="22">
        <v>1</v>
      </c>
      <c r="E102" s="22" cm="1">
        <f t="array" ref="E102">_xlfn.COUNTIFS(D2:D271,1,A2:A271,A102)</f>
        <v>1</v>
      </c>
      <c r="F102" s="22" cm="1">
        <f t="array" ref="F102">(YEAR(C102)-2025)*1000+MONTH(C102)*31+DAY(C102)+A102</f>
        <v>1407</v>
      </c>
    </row>
    <row r="103" ht="16.6" customHeight="1">
      <c r="A103" s="22">
        <v>250</v>
      </c>
      <c r="B103" t="s" s="23">
        <v>783</v>
      </c>
      <c r="C103" t="s" s="23">
        <v>156</v>
      </c>
      <c r="D103" s="22">
        <v>1</v>
      </c>
      <c r="E103" s="22" cm="1">
        <f t="array" ref="E103">_xlfn.COUNTIFS(D2:D271,1,A2:A271,A103)</f>
        <v>1</v>
      </c>
      <c r="F103" s="22" cm="1">
        <f t="array" ref="F103">(YEAR(C103)-2025)*1000+MONTH(C103)*31+DAY(C103)+A103</f>
        <v>1403</v>
      </c>
    </row>
    <row r="104" ht="16.6" customHeight="1">
      <c r="A104" s="22">
        <v>248</v>
      </c>
      <c r="B104" t="s" s="23">
        <v>777</v>
      </c>
      <c r="C104" t="s" s="23">
        <v>156</v>
      </c>
      <c r="D104" s="22">
        <v>1</v>
      </c>
      <c r="E104" s="22" cm="1">
        <f t="array" ref="E104">_xlfn.COUNTIFS(D2:D271,1,A2:A271,A104)</f>
        <v>1</v>
      </c>
      <c r="F104" s="22" cm="1">
        <f t="array" ref="F104">(YEAR(C104)-2025)*1000+MONTH(C104)*31+DAY(C104)+A104</f>
        <v>1401</v>
      </c>
    </row>
    <row r="105" ht="16.6" customHeight="1">
      <c r="A105" s="22">
        <v>244</v>
      </c>
      <c r="B105" t="s" s="23">
        <v>764</v>
      </c>
      <c r="C105" t="s" s="23">
        <v>156</v>
      </c>
      <c r="D105" s="22">
        <v>1</v>
      </c>
      <c r="E105" s="22" cm="1">
        <f t="array" ref="E105">_xlfn.COUNTIFS(D2:D271,1,A2:A271,A105)</f>
        <v>1</v>
      </c>
      <c r="F105" s="22" cm="1">
        <f t="array" ref="F105">(YEAR(C105)-2025)*1000+MONTH(C105)*31+DAY(C105)+A105</f>
        <v>1397</v>
      </c>
    </row>
    <row r="106" ht="16.6" customHeight="1">
      <c r="A106" s="22">
        <v>240</v>
      </c>
      <c r="B106" t="s" s="23">
        <v>752</v>
      </c>
      <c r="C106" t="s" s="23">
        <v>156</v>
      </c>
      <c r="D106" s="22">
        <v>1</v>
      </c>
      <c r="E106" s="22" cm="1">
        <f t="array" ref="E106">_xlfn.COUNTIFS(D2:D271,1,A2:A271,A106)</f>
        <v>1</v>
      </c>
      <c r="F106" s="22" cm="1">
        <f t="array" ref="F106">(YEAR(C106)-2025)*1000+MONTH(C106)*31+DAY(C106)+A106</f>
        <v>1393</v>
      </c>
    </row>
    <row r="107" ht="16.6" customHeight="1">
      <c r="A107" s="22">
        <v>231</v>
      </c>
      <c r="B107" t="s" s="23">
        <v>723</v>
      </c>
      <c r="C107" t="s" s="23">
        <v>496</v>
      </c>
      <c r="D107" s="22">
        <v>1</v>
      </c>
      <c r="E107" s="22" cm="1">
        <f t="array" ref="E107">_xlfn.COUNTIFS(D2:D271,1,A2:A271,A107)</f>
        <v>3</v>
      </c>
      <c r="F107" s="22" cm="1">
        <f t="array" ref="F107">(YEAR(C107)-2025)*1000+MONTH(C107)*31+DAY(C107)+A107</f>
        <v>1385</v>
      </c>
    </row>
    <row r="108" ht="16.6" customHeight="1">
      <c r="A108" s="22">
        <v>231</v>
      </c>
      <c r="B108" t="s" s="23">
        <v>723</v>
      </c>
      <c r="C108" t="s" s="23">
        <v>496</v>
      </c>
      <c r="D108" s="22">
        <v>1</v>
      </c>
      <c r="E108" s="22" cm="1">
        <f t="array" ref="E108">_xlfn.COUNTIFS(D2:D271,1,A2:A271,A108)</f>
        <v>3</v>
      </c>
      <c r="F108" s="22" cm="1">
        <f t="array" ref="F108">(YEAR(C108)-2025)*1000+MONTH(C108)*31+DAY(C108)+A108</f>
        <v>1385</v>
      </c>
    </row>
    <row r="109" ht="16.6" customHeight="1">
      <c r="A109" s="22">
        <v>231</v>
      </c>
      <c r="B109" t="s" s="23">
        <v>723</v>
      </c>
      <c r="C109" t="s" s="23">
        <v>156</v>
      </c>
      <c r="D109" s="22">
        <v>0</v>
      </c>
      <c r="E109" s="22" cm="1">
        <f t="array" ref="E109">_xlfn.COUNTIFS(D2:D271,1,A2:A271,A109)</f>
        <v>3</v>
      </c>
      <c r="F109" s="22" cm="1">
        <f t="array" ref="F109">(YEAR(C109)-2025)*1000+MONTH(C109)*31+DAY(C109)+A109</f>
        <v>1384</v>
      </c>
    </row>
    <row r="110" ht="16.6" customHeight="1">
      <c r="A110" s="22">
        <v>231</v>
      </c>
      <c r="B110" t="s" s="23">
        <v>723</v>
      </c>
      <c r="C110" t="s" s="23">
        <v>156</v>
      </c>
      <c r="D110" s="22">
        <v>1</v>
      </c>
      <c r="E110" s="22" cm="1">
        <f t="array" ref="E110">_xlfn.COUNTIFS(D2:D271,1,A2:A271,A110)</f>
        <v>3</v>
      </c>
      <c r="F110" s="22" cm="1">
        <f t="array" ref="F110">(YEAR(C110)-2025)*1000+MONTH(C110)*31+DAY(C110)+A110</f>
        <v>1384</v>
      </c>
    </row>
    <row r="111" ht="16.6" customHeight="1">
      <c r="A111" s="22">
        <v>229</v>
      </c>
      <c r="B111" t="s" s="23">
        <v>717</v>
      </c>
      <c r="C111" t="s" s="23">
        <v>156</v>
      </c>
      <c r="D111" s="22">
        <v>1</v>
      </c>
      <c r="E111" s="22" cm="1">
        <f t="array" ref="E111">_xlfn.COUNTIFS(D2:D271,1,A2:A271,A111)</f>
        <v>1</v>
      </c>
      <c r="F111" s="22" cm="1">
        <f t="array" ref="F111">(YEAR(C111)-2025)*1000+MONTH(C111)*31+DAY(C111)+A111</f>
        <v>1382</v>
      </c>
    </row>
    <row r="112" ht="16.6" customHeight="1">
      <c r="A112" s="22">
        <v>225</v>
      </c>
      <c r="B112" t="s" s="23">
        <v>705</v>
      </c>
      <c r="C112" t="s" s="23">
        <v>156</v>
      </c>
      <c r="D112" s="22">
        <v>1</v>
      </c>
      <c r="E112" s="22" cm="1">
        <f t="array" ref="E112">_xlfn.COUNTIFS(D2:D271,1,A2:A271,A112)</f>
        <v>1</v>
      </c>
      <c r="F112" s="22" cm="1">
        <f t="array" ref="F112">(YEAR(C112)-2025)*1000+MONTH(C112)*31+DAY(C112)+A112</f>
        <v>1378</v>
      </c>
    </row>
    <row r="113" ht="16.6" customHeight="1">
      <c r="A113" s="22">
        <v>222</v>
      </c>
      <c r="B113" t="s" s="23">
        <v>696</v>
      </c>
      <c r="C113" t="s" s="23">
        <v>156</v>
      </c>
      <c r="D113" s="22">
        <v>0</v>
      </c>
      <c r="E113" s="22" cm="1">
        <f t="array" ref="E113">_xlfn.COUNTIFS(D2:D271,1,A2:A271,A113)</f>
        <v>1</v>
      </c>
      <c r="F113" s="22" cm="1">
        <f t="array" ref="F113">(YEAR(C113)-2025)*1000+MONTH(C113)*31+DAY(C113)+A113</f>
        <v>1375</v>
      </c>
    </row>
    <row r="114" ht="16.6" customHeight="1">
      <c r="A114" s="22">
        <v>222</v>
      </c>
      <c r="B114" t="s" s="23">
        <v>696</v>
      </c>
      <c r="C114" t="s" s="23">
        <v>156</v>
      </c>
      <c r="D114" s="22">
        <v>1</v>
      </c>
      <c r="E114" s="22" cm="1">
        <f t="array" ref="E114">_xlfn.COUNTIFS(D2:D271,1,A2:A271,A114)</f>
        <v>1</v>
      </c>
      <c r="F114" s="22" cm="1">
        <f t="array" ref="F114">(YEAR(C114)-2025)*1000+MONTH(C114)*31+DAY(C114)+A114</f>
        <v>1375</v>
      </c>
    </row>
    <row r="115" ht="16.6" customHeight="1">
      <c r="A115" s="22">
        <v>219</v>
      </c>
      <c r="B115" t="s" s="23">
        <v>687</v>
      </c>
      <c r="C115" t="s" s="23">
        <v>156</v>
      </c>
      <c r="D115" s="22">
        <v>0</v>
      </c>
      <c r="E115" s="22" cm="1">
        <f t="array" ref="E115">_xlfn.COUNTIFS(D2:D271,1,A2:A271,A115)</f>
        <v>1</v>
      </c>
      <c r="F115" s="22" cm="1">
        <f t="array" ref="F115">(YEAR(C115)-2025)*1000+MONTH(C115)*31+DAY(C115)+A115</f>
        <v>1372</v>
      </c>
    </row>
    <row r="116" ht="16.6" customHeight="1">
      <c r="A116" s="22">
        <v>219</v>
      </c>
      <c r="B116" t="s" s="23">
        <v>687</v>
      </c>
      <c r="C116" t="s" s="23">
        <v>156</v>
      </c>
      <c r="D116" s="22">
        <v>1</v>
      </c>
      <c r="E116" s="22" cm="1">
        <f t="array" ref="E116">_xlfn.COUNTIFS(D2:D271,1,A2:A271,A116)</f>
        <v>1</v>
      </c>
      <c r="F116" s="22" cm="1">
        <f t="array" ref="F116">(YEAR(C116)-2025)*1000+MONTH(C116)*31+DAY(C116)+A116</f>
        <v>1372</v>
      </c>
    </row>
    <row r="117" ht="16.6" customHeight="1">
      <c r="A117" s="22">
        <v>217</v>
      </c>
      <c r="B117" t="s" s="23">
        <v>681</v>
      </c>
      <c r="C117" t="s" s="23">
        <v>496</v>
      </c>
      <c r="D117" s="22">
        <v>1</v>
      </c>
      <c r="E117" s="22" cm="1">
        <f t="array" ref="E117">_xlfn.COUNTIFS(D2:D271,1,A2:A271,A117)</f>
        <v>3</v>
      </c>
      <c r="F117" s="22" cm="1">
        <f t="array" ref="F117">(YEAR(C117)-2025)*1000+MONTH(C117)*31+DAY(C117)+A117</f>
        <v>1371</v>
      </c>
    </row>
    <row r="118" ht="16.6" customHeight="1">
      <c r="A118" s="22">
        <v>217</v>
      </c>
      <c r="B118" t="s" s="23">
        <v>681</v>
      </c>
      <c r="C118" t="s" s="23">
        <v>156</v>
      </c>
      <c r="D118" s="22">
        <v>0</v>
      </c>
      <c r="E118" s="22" cm="1">
        <f t="array" ref="E118">_xlfn.COUNTIFS(D2:D271,1,A2:A271,A118)</f>
        <v>3</v>
      </c>
      <c r="F118" s="22" cm="1">
        <f t="array" ref="F118">(YEAR(C118)-2025)*1000+MONTH(C118)*31+DAY(C118)+A118</f>
        <v>1370</v>
      </c>
    </row>
    <row r="119" ht="16.6" customHeight="1">
      <c r="A119" s="22">
        <v>217</v>
      </c>
      <c r="B119" t="s" s="23">
        <v>681</v>
      </c>
      <c r="C119" t="s" s="23">
        <v>156</v>
      </c>
      <c r="D119" s="22">
        <v>1</v>
      </c>
      <c r="E119" s="22" cm="1">
        <f t="array" ref="E119">_xlfn.COUNTIFS(D2:D271,1,A2:A271,A119)</f>
        <v>3</v>
      </c>
      <c r="F119" s="22" cm="1">
        <f t="array" ref="F119">(YEAR(C119)-2025)*1000+MONTH(C119)*31+DAY(C119)+A119</f>
        <v>1370</v>
      </c>
    </row>
    <row r="120" ht="16.6" customHeight="1">
      <c r="A120" s="22">
        <v>217</v>
      </c>
      <c r="B120" t="s" s="23">
        <v>681</v>
      </c>
      <c r="C120" t="s" s="23">
        <v>156</v>
      </c>
      <c r="D120" s="22">
        <v>1</v>
      </c>
      <c r="E120" s="22" cm="1">
        <f t="array" ref="E120">_xlfn.COUNTIFS(D2:D271,1,A2:A271,A120)</f>
        <v>3</v>
      </c>
      <c r="F120" s="22" cm="1">
        <f t="array" ref="F120">(YEAR(C120)-2025)*1000+MONTH(C120)*31+DAY(C120)+A120</f>
        <v>1370</v>
      </c>
    </row>
    <row r="121" ht="16.6" customHeight="1">
      <c r="A121" s="22">
        <v>214</v>
      </c>
      <c r="B121" t="s" s="23">
        <v>672</v>
      </c>
      <c r="C121" t="s" s="23">
        <v>156</v>
      </c>
      <c r="D121" s="22">
        <v>1</v>
      </c>
      <c r="E121" s="22" cm="1">
        <f t="array" ref="E121">_xlfn.COUNTIFS(D2:D271,1,A2:A271,A121)</f>
        <v>1</v>
      </c>
      <c r="F121" s="22" cm="1">
        <f t="array" ref="F121">(YEAR(C121)-2025)*1000+MONTH(C121)*31+DAY(C121)+A121</f>
        <v>1367</v>
      </c>
    </row>
    <row r="122" ht="16.6" customHeight="1">
      <c r="A122" s="22">
        <v>213</v>
      </c>
      <c r="B122" t="s" s="23">
        <v>669</v>
      </c>
      <c r="C122" t="s" s="23">
        <v>156</v>
      </c>
      <c r="D122" s="22">
        <v>1</v>
      </c>
      <c r="E122" s="22" cm="1">
        <f t="array" ref="E122">_xlfn.COUNTIFS(D2:D271,1,A2:A271,A122)</f>
        <v>3</v>
      </c>
      <c r="F122" s="22" cm="1">
        <f t="array" ref="F122">(YEAR(C122)-2025)*1000+MONTH(C122)*31+DAY(C122)+A122</f>
        <v>1366</v>
      </c>
    </row>
    <row r="123" ht="16.6" customHeight="1">
      <c r="A123" s="22">
        <v>213</v>
      </c>
      <c r="B123" t="s" s="23">
        <v>669</v>
      </c>
      <c r="C123" t="s" s="23">
        <v>156</v>
      </c>
      <c r="D123" s="22">
        <v>1</v>
      </c>
      <c r="E123" s="22" cm="1">
        <f t="array" ref="E123">_xlfn.COUNTIFS(D2:D271,1,A2:A271,A123)</f>
        <v>3</v>
      </c>
      <c r="F123" s="22" cm="1">
        <f t="array" ref="F123">(YEAR(C123)-2025)*1000+MONTH(C123)*31+DAY(C123)+A123</f>
        <v>1366</v>
      </c>
    </row>
    <row r="124" ht="16.6" customHeight="1">
      <c r="A124" s="22">
        <v>213</v>
      </c>
      <c r="B124" t="s" s="23">
        <v>669</v>
      </c>
      <c r="C124" t="s" s="23">
        <v>156</v>
      </c>
      <c r="D124" s="22">
        <v>1</v>
      </c>
      <c r="E124" s="22" cm="1">
        <f t="array" ref="E124">_xlfn.COUNTIFS(D2:D271,1,A2:A271,A124)</f>
        <v>3</v>
      </c>
      <c r="F124" s="22" cm="1">
        <f t="array" ref="F124">(YEAR(C124)-2025)*1000+MONTH(C124)*31+DAY(C124)+A124</f>
        <v>1366</v>
      </c>
    </row>
    <row r="125" ht="16.6" customHeight="1">
      <c r="A125" s="22">
        <v>208</v>
      </c>
      <c r="B125" t="s" s="23">
        <v>654</v>
      </c>
      <c r="C125" t="s" s="23">
        <v>156</v>
      </c>
      <c r="D125" s="22">
        <v>1</v>
      </c>
      <c r="E125" s="22" cm="1">
        <f t="array" ref="E125">_xlfn.COUNTIFS(D2:D271,1,A2:A271,A125)</f>
        <v>1</v>
      </c>
      <c r="F125" s="22" cm="1">
        <f t="array" ref="F125">(YEAR(C125)-2025)*1000+MONTH(C125)*31+DAY(C125)+A125</f>
        <v>1361</v>
      </c>
    </row>
    <row r="126" ht="16.6" customHeight="1">
      <c r="A126" s="22">
        <v>207</v>
      </c>
      <c r="B126" t="s" s="23">
        <v>651</v>
      </c>
      <c r="C126" t="s" s="23">
        <v>156</v>
      </c>
      <c r="D126" s="22">
        <v>1</v>
      </c>
      <c r="E126" s="22" cm="1">
        <f t="array" ref="E126">_xlfn.COUNTIFS(D2:D271,1,A2:A271,A126)</f>
        <v>3</v>
      </c>
      <c r="F126" s="22" cm="1">
        <f t="array" ref="F126">(YEAR(C126)-2025)*1000+MONTH(C126)*31+DAY(C126)+A126</f>
        <v>1360</v>
      </c>
    </row>
    <row r="127" ht="16.6" customHeight="1">
      <c r="A127" s="22">
        <v>207</v>
      </c>
      <c r="B127" t="s" s="23">
        <v>651</v>
      </c>
      <c r="C127" t="s" s="23">
        <v>156</v>
      </c>
      <c r="D127" s="22">
        <v>1</v>
      </c>
      <c r="E127" s="22" cm="1">
        <f t="array" ref="E127">_xlfn.COUNTIFS(D2:D271,1,A2:A271,A127)</f>
        <v>3</v>
      </c>
      <c r="F127" s="22" cm="1">
        <f t="array" ref="F127">(YEAR(C127)-2025)*1000+MONTH(C127)*31+DAY(C127)+A127</f>
        <v>1360</v>
      </c>
    </row>
    <row r="128" ht="16.6" customHeight="1">
      <c r="A128" s="22">
        <v>207</v>
      </c>
      <c r="B128" t="s" s="23">
        <v>651</v>
      </c>
      <c r="C128" t="s" s="23">
        <v>156</v>
      </c>
      <c r="D128" s="22">
        <v>1</v>
      </c>
      <c r="E128" s="22" cm="1">
        <f t="array" ref="E128">_xlfn.COUNTIFS(D2:D271,1,A2:A271,A128)</f>
        <v>3</v>
      </c>
      <c r="F128" s="22" cm="1">
        <f t="array" ref="F128">(YEAR(C128)-2025)*1000+MONTH(C128)*31+DAY(C128)+A128</f>
        <v>1360</v>
      </c>
    </row>
    <row r="129" ht="16.6" customHeight="1">
      <c r="A129" s="22">
        <v>205</v>
      </c>
      <c r="B129" t="s" s="23">
        <v>645</v>
      </c>
      <c r="C129" t="s" s="23">
        <v>156</v>
      </c>
      <c r="D129" s="22">
        <v>1</v>
      </c>
      <c r="E129" s="22" cm="1">
        <f t="array" ref="E129">_xlfn.COUNTIFS(D2:D271,1,A2:A271,A129)</f>
        <v>1</v>
      </c>
      <c r="F129" s="22" cm="1">
        <f t="array" ref="F129">(YEAR(C129)-2025)*1000+MONTH(C129)*31+DAY(C129)+A129</f>
        <v>1358</v>
      </c>
    </row>
    <row r="130" ht="16.6" customHeight="1">
      <c r="A130" s="22">
        <v>204</v>
      </c>
      <c r="B130" t="s" s="23">
        <v>642</v>
      </c>
      <c r="C130" t="s" s="23">
        <v>156</v>
      </c>
      <c r="D130" s="22">
        <v>1</v>
      </c>
      <c r="E130" s="22" cm="1">
        <f t="array" ref="E130">_xlfn.COUNTIFS(D2:D271,1,A2:A271,A130)</f>
        <v>1</v>
      </c>
      <c r="F130" s="22" cm="1">
        <f t="array" ref="F130">(YEAR(C130)-2025)*1000+MONTH(C130)*31+DAY(C130)+A130</f>
        <v>1357</v>
      </c>
    </row>
    <row r="131" ht="16.6" customHeight="1">
      <c r="A131" s="22">
        <v>203</v>
      </c>
      <c r="B131" t="s" s="23">
        <v>639</v>
      </c>
      <c r="C131" t="s" s="23">
        <v>156</v>
      </c>
      <c r="D131" s="22">
        <v>1</v>
      </c>
      <c r="E131" s="22" cm="1">
        <f t="array" ref="E131">_xlfn.COUNTIFS(D2:D271,1,A2:A271,A131)</f>
        <v>3</v>
      </c>
      <c r="F131" s="22" cm="1">
        <f t="array" ref="F131">(YEAR(C131)-2025)*1000+MONTH(C131)*31+DAY(C131)+A131</f>
        <v>1356</v>
      </c>
    </row>
    <row r="132" ht="16.6" customHeight="1">
      <c r="A132" s="22">
        <v>203</v>
      </c>
      <c r="B132" t="s" s="23">
        <v>639</v>
      </c>
      <c r="C132" t="s" s="23">
        <v>156</v>
      </c>
      <c r="D132" s="22">
        <v>1</v>
      </c>
      <c r="E132" s="22" cm="1">
        <f t="array" ref="E132">_xlfn.COUNTIFS(D2:D271,1,A2:A271,A132)</f>
        <v>3</v>
      </c>
      <c r="F132" s="22" cm="1">
        <f t="array" ref="F132">(YEAR(C132)-2025)*1000+MONTH(C132)*31+DAY(C132)+A132</f>
        <v>1356</v>
      </c>
    </row>
    <row r="133" ht="16.6" customHeight="1">
      <c r="A133" s="22">
        <v>203</v>
      </c>
      <c r="B133" t="s" s="23">
        <v>639</v>
      </c>
      <c r="C133" t="s" s="23">
        <v>156</v>
      </c>
      <c r="D133" s="22">
        <v>1</v>
      </c>
      <c r="E133" s="22" cm="1">
        <f t="array" ref="E133">_xlfn.COUNTIFS(D2:D271,1,A2:A271,A133)</f>
        <v>3</v>
      </c>
      <c r="F133" s="22" cm="1">
        <f t="array" ref="F133">(YEAR(C133)-2025)*1000+MONTH(C133)*31+DAY(C133)+A133</f>
        <v>1356</v>
      </c>
    </row>
    <row r="134" ht="16.6" customHeight="1">
      <c r="A134" s="22">
        <v>202</v>
      </c>
      <c r="B134" t="s" s="23">
        <v>636</v>
      </c>
      <c r="C134" t="s" s="23">
        <v>496</v>
      </c>
      <c r="D134" s="22">
        <v>1</v>
      </c>
      <c r="E134" s="22" cm="1">
        <f t="array" ref="E134">_xlfn.COUNTIFS(D2:D271,1,A2:A271,A134)</f>
        <v>3</v>
      </c>
      <c r="F134" s="22" cm="1">
        <f t="array" ref="F134">(YEAR(C134)-2025)*1000+MONTH(C134)*31+DAY(C134)+A134</f>
        <v>1356</v>
      </c>
    </row>
    <row r="135" ht="16.6" customHeight="1">
      <c r="A135" s="22">
        <v>202</v>
      </c>
      <c r="B135" t="s" s="23">
        <v>636</v>
      </c>
      <c r="C135" t="s" s="23">
        <v>156</v>
      </c>
      <c r="D135" s="22">
        <v>0</v>
      </c>
      <c r="E135" s="22" cm="1">
        <f t="array" ref="E135">_xlfn.COUNTIFS(D2:D271,1,A2:A271,A135)</f>
        <v>3</v>
      </c>
      <c r="F135" s="22" cm="1">
        <f t="array" ref="F135">(YEAR(C135)-2025)*1000+MONTH(C135)*31+DAY(C135)+A135</f>
        <v>1355</v>
      </c>
    </row>
    <row r="136" ht="16.6" customHeight="1">
      <c r="A136" s="22">
        <v>202</v>
      </c>
      <c r="B136" t="s" s="23">
        <v>636</v>
      </c>
      <c r="C136" t="s" s="23">
        <v>156</v>
      </c>
      <c r="D136" s="22">
        <v>1</v>
      </c>
      <c r="E136" s="22" cm="1">
        <f t="array" ref="E136">_xlfn.COUNTIFS(D2:D271,1,A2:A271,A136)</f>
        <v>3</v>
      </c>
      <c r="F136" s="22" cm="1">
        <f t="array" ref="F136">(YEAR(C136)-2025)*1000+MONTH(C136)*31+DAY(C136)+A136</f>
        <v>1355</v>
      </c>
    </row>
    <row r="137" ht="16.6" customHeight="1">
      <c r="A137" s="22">
        <v>202</v>
      </c>
      <c r="B137" t="s" s="23">
        <v>636</v>
      </c>
      <c r="C137" t="s" s="23">
        <v>156</v>
      </c>
      <c r="D137" s="22">
        <v>1</v>
      </c>
      <c r="E137" s="22" cm="1">
        <f t="array" ref="E137">_xlfn.COUNTIFS(D2:D271,1,A2:A271,A137)</f>
        <v>3</v>
      </c>
      <c r="F137" s="22" cm="1">
        <f t="array" ref="F137">(YEAR(C137)-2025)*1000+MONTH(C137)*31+DAY(C137)+A137</f>
        <v>1355</v>
      </c>
    </row>
    <row r="138" ht="16.6" customHeight="1">
      <c r="A138" s="22">
        <v>201</v>
      </c>
      <c r="B138" t="s" s="23">
        <v>633</v>
      </c>
      <c r="C138" t="s" s="23">
        <v>156</v>
      </c>
      <c r="D138" s="22">
        <v>0</v>
      </c>
      <c r="E138" s="22" cm="1">
        <f t="array" ref="E138">_xlfn.COUNTIFS(D2:D271,1,A2:A271,A138)</f>
        <v>1</v>
      </c>
      <c r="F138" s="22" cm="1">
        <f t="array" ref="F138">(YEAR(C138)-2025)*1000+MONTH(C138)*31+DAY(C138)+A138</f>
        <v>1354</v>
      </c>
    </row>
    <row r="139" ht="16.6" customHeight="1">
      <c r="A139" s="22">
        <v>201</v>
      </c>
      <c r="B139" t="s" s="23">
        <v>633</v>
      </c>
      <c r="C139" t="s" s="23">
        <v>156</v>
      </c>
      <c r="D139" s="22">
        <v>1</v>
      </c>
      <c r="E139" s="22" cm="1">
        <f t="array" ref="E139">_xlfn.COUNTIFS(D2:D271,1,A2:A271,A139)</f>
        <v>1</v>
      </c>
      <c r="F139" s="22" cm="1">
        <f t="array" ref="F139">(YEAR(C139)-2025)*1000+MONTH(C139)*31+DAY(C139)+A139</f>
        <v>1354</v>
      </c>
    </row>
    <row r="140" ht="16.6" customHeight="1">
      <c r="A140" s="22">
        <v>196</v>
      </c>
      <c r="B140" t="s" s="23">
        <v>618</v>
      </c>
      <c r="C140" t="s" s="23">
        <v>496</v>
      </c>
      <c r="D140" s="22">
        <v>0</v>
      </c>
      <c r="E140" s="22" cm="1">
        <f t="array" ref="E140">_xlfn.COUNTIFS(D2:D271,1,A2:A271,A140)</f>
        <v>3</v>
      </c>
      <c r="F140" s="22" cm="1">
        <f t="array" ref="F140">(YEAR(C140)-2025)*1000+MONTH(C140)*31+DAY(C140)+A140</f>
        <v>1350</v>
      </c>
    </row>
    <row r="141" ht="16.6" customHeight="1">
      <c r="A141" s="22">
        <v>196</v>
      </c>
      <c r="B141" t="s" s="23">
        <v>618</v>
      </c>
      <c r="C141" t="s" s="23">
        <v>496</v>
      </c>
      <c r="D141" s="22">
        <v>1</v>
      </c>
      <c r="E141" s="22" cm="1">
        <f t="array" ref="E141">_xlfn.COUNTIFS(D2:D271,1,A2:A271,A141)</f>
        <v>3</v>
      </c>
      <c r="F141" s="22" cm="1">
        <f t="array" ref="F141">(YEAR(C141)-2025)*1000+MONTH(C141)*31+DAY(C141)+A141</f>
        <v>1350</v>
      </c>
    </row>
    <row r="142" ht="16.6" customHeight="1">
      <c r="A142" s="22">
        <v>196</v>
      </c>
      <c r="B142" t="s" s="23">
        <v>618</v>
      </c>
      <c r="C142" t="s" s="23">
        <v>496</v>
      </c>
      <c r="D142" s="22">
        <v>1</v>
      </c>
      <c r="E142" s="22" cm="1">
        <f t="array" ref="E142">_xlfn.COUNTIFS(D2:D271,1,A2:A271,A142)</f>
        <v>3</v>
      </c>
      <c r="F142" s="22" cm="1">
        <f t="array" ref="F142">(YEAR(C142)-2025)*1000+MONTH(C142)*31+DAY(C142)+A142</f>
        <v>1350</v>
      </c>
    </row>
    <row r="143" ht="16.6" customHeight="1">
      <c r="A143" s="22">
        <v>196</v>
      </c>
      <c r="B143" t="s" s="23">
        <v>618</v>
      </c>
      <c r="C143" t="s" s="23">
        <v>156</v>
      </c>
      <c r="D143" s="22">
        <v>0</v>
      </c>
      <c r="E143" s="22" cm="1">
        <f t="array" ref="E143">_xlfn.COUNTIFS(D2:D271,1,A2:A271,A143)</f>
        <v>3</v>
      </c>
      <c r="F143" s="22" cm="1">
        <f t="array" ref="F143">(YEAR(C143)-2025)*1000+MONTH(C143)*31+DAY(C143)+A143</f>
        <v>1349</v>
      </c>
    </row>
    <row r="144" ht="16.6" customHeight="1">
      <c r="A144" s="22">
        <v>196</v>
      </c>
      <c r="B144" t="s" s="23">
        <v>618</v>
      </c>
      <c r="C144" t="s" s="23">
        <v>156</v>
      </c>
      <c r="D144" s="22">
        <v>0</v>
      </c>
      <c r="E144" s="22" cm="1">
        <f t="array" ref="E144">_xlfn.COUNTIFS(D2:D271,1,A2:A271,A144)</f>
        <v>3</v>
      </c>
      <c r="F144" s="22" cm="1">
        <f t="array" ref="F144">(YEAR(C144)-2025)*1000+MONTH(C144)*31+DAY(C144)+A144</f>
        <v>1349</v>
      </c>
    </row>
    <row r="145" ht="16.6" customHeight="1">
      <c r="A145" s="22">
        <v>196</v>
      </c>
      <c r="B145" t="s" s="23">
        <v>618</v>
      </c>
      <c r="C145" t="s" s="23">
        <v>156</v>
      </c>
      <c r="D145" s="22">
        <v>1</v>
      </c>
      <c r="E145" s="22" cm="1">
        <f t="array" ref="E145">_xlfn.COUNTIFS(D2:D271,1,A2:A271,A145)</f>
        <v>3</v>
      </c>
      <c r="F145" s="22" cm="1">
        <f t="array" ref="F145">(YEAR(C145)-2025)*1000+MONTH(C145)*31+DAY(C145)+A145</f>
        <v>1349</v>
      </c>
    </row>
    <row r="146" ht="16.6" customHeight="1">
      <c r="A146" s="22">
        <v>189</v>
      </c>
      <c r="B146" t="s" s="23">
        <v>597</v>
      </c>
      <c r="C146" t="s" s="23">
        <v>156</v>
      </c>
      <c r="D146" s="22">
        <v>0</v>
      </c>
      <c r="E146" s="22" cm="1">
        <f t="array" ref="E146">_xlfn.COUNTIFS(D2:D271,1,A2:A271,A146)</f>
        <v>1</v>
      </c>
      <c r="F146" s="22" cm="1">
        <f t="array" ref="F146">(YEAR(C146)-2025)*1000+MONTH(C146)*31+DAY(C146)+A146</f>
        <v>1342</v>
      </c>
    </row>
    <row r="147" ht="16.6" customHeight="1">
      <c r="A147" s="22">
        <v>189</v>
      </c>
      <c r="B147" t="s" s="23">
        <v>597</v>
      </c>
      <c r="C147" t="s" s="23">
        <v>156</v>
      </c>
      <c r="D147" s="22">
        <v>1</v>
      </c>
      <c r="E147" s="22" cm="1">
        <f t="array" ref="E147">_xlfn.COUNTIFS(D2:D271,1,A2:A271,A147)</f>
        <v>1</v>
      </c>
      <c r="F147" s="22" cm="1">
        <f t="array" ref="F147">(YEAR(C147)-2025)*1000+MONTH(C147)*31+DAY(C147)+A147</f>
        <v>1342</v>
      </c>
    </row>
    <row r="148" ht="16.6" customHeight="1">
      <c r="A148" s="22">
        <v>188</v>
      </c>
      <c r="B148" t="s" s="23">
        <v>594</v>
      </c>
      <c r="C148" t="s" s="23">
        <v>156</v>
      </c>
      <c r="D148" s="22">
        <v>0</v>
      </c>
      <c r="E148" s="22" cm="1">
        <f t="array" ref="E148">_xlfn.COUNTIFS(D2:D271,1,A2:A271,A148)</f>
        <v>1</v>
      </c>
      <c r="F148" s="22" cm="1">
        <f t="array" ref="F148">(YEAR(C148)-2025)*1000+MONTH(C148)*31+DAY(C148)+A148</f>
        <v>1341</v>
      </c>
    </row>
    <row r="149" ht="16.6" customHeight="1">
      <c r="A149" s="22">
        <v>188</v>
      </c>
      <c r="B149" t="s" s="23">
        <v>594</v>
      </c>
      <c r="C149" t="s" s="23">
        <v>156</v>
      </c>
      <c r="D149" s="22">
        <v>1</v>
      </c>
      <c r="E149" s="22" cm="1">
        <f t="array" ref="E149">_xlfn.COUNTIFS(D2:D271,1,A2:A271,A149)</f>
        <v>1</v>
      </c>
      <c r="F149" s="22" cm="1">
        <f t="array" ref="F149">(YEAR(C149)-2025)*1000+MONTH(C149)*31+DAY(C149)+A149</f>
        <v>1341</v>
      </c>
    </row>
    <row r="150" ht="16.6" customHeight="1">
      <c r="A150" s="22">
        <v>187</v>
      </c>
      <c r="B150" t="s" s="23">
        <v>590</v>
      </c>
      <c r="C150" t="s" s="23">
        <v>156</v>
      </c>
      <c r="D150" s="22">
        <v>0</v>
      </c>
      <c r="E150" s="22" cm="1">
        <f t="array" ref="E150">_xlfn.COUNTIFS(D2:D271,1,A2:A271,A150)</f>
        <v>1</v>
      </c>
      <c r="F150" s="22" cm="1">
        <f t="array" ref="F150">(YEAR(C150)-2025)*1000+MONTH(C150)*31+DAY(C150)+A150</f>
        <v>1340</v>
      </c>
    </row>
    <row r="151" ht="16.6" customHeight="1">
      <c r="A151" s="22">
        <v>187</v>
      </c>
      <c r="B151" t="s" s="23">
        <v>590</v>
      </c>
      <c r="C151" t="s" s="23">
        <v>156</v>
      </c>
      <c r="D151" s="22">
        <v>1</v>
      </c>
      <c r="E151" s="22" cm="1">
        <f t="array" ref="E151">_xlfn.COUNTIFS(D2:D271,1,A2:A271,A151)</f>
        <v>1</v>
      </c>
      <c r="F151" s="22" cm="1">
        <f t="array" ref="F151">(YEAR(C151)-2025)*1000+MONTH(C151)*31+DAY(C151)+A151</f>
        <v>1340</v>
      </c>
    </row>
    <row r="152" ht="16.6" customHeight="1">
      <c r="A152" s="22">
        <v>186</v>
      </c>
      <c r="B152" t="s" s="23">
        <v>587</v>
      </c>
      <c r="C152" t="s" s="23">
        <v>156</v>
      </c>
      <c r="D152" s="22">
        <v>0</v>
      </c>
      <c r="E152" s="22" cm="1">
        <f t="array" ref="E152">_xlfn.COUNTIFS(D2:D271,1,A2:A271,A152)</f>
        <v>1</v>
      </c>
      <c r="F152" s="22" cm="1">
        <f t="array" ref="F152">(YEAR(C152)-2025)*1000+MONTH(C152)*31+DAY(C152)+A152</f>
        <v>1339</v>
      </c>
    </row>
    <row r="153" ht="16.6" customHeight="1">
      <c r="A153" s="22">
        <v>186</v>
      </c>
      <c r="B153" t="s" s="23">
        <v>587</v>
      </c>
      <c r="C153" t="s" s="23">
        <v>156</v>
      </c>
      <c r="D153" s="22">
        <v>0</v>
      </c>
      <c r="E153" s="22" cm="1">
        <f t="array" ref="E153">_xlfn.COUNTIFS(D2:D271,1,A2:A271,A153)</f>
        <v>1</v>
      </c>
      <c r="F153" s="22" cm="1">
        <f t="array" ref="F153">(YEAR(C153)-2025)*1000+MONTH(C153)*31+DAY(C153)+A153</f>
        <v>1339</v>
      </c>
    </row>
    <row r="154" ht="16.6" customHeight="1">
      <c r="A154" s="22">
        <v>186</v>
      </c>
      <c r="B154" t="s" s="23">
        <v>587</v>
      </c>
      <c r="C154" t="s" s="23">
        <v>156</v>
      </c>
      <c r="D154" s="22">
        <v>1</v>
      </c>
      <c r="E154" s="22" cm="1">
        <f t="array" ref="E154">_xlfn.COUNTIFS(D2:D271,1,A2:A271,A154)</f>
        <v>1</v>
      </c>
      <c r="F154" s="22" cm="1">
        <f t="array" ref="F154">(YEAR(C154)-2025)*1000+MONTH(C154)*31+DAY(C154)+A154</f>
        <v>1339</v>
      </c>
    </row>
    <row r="155" ht="16.6" customHeight="1">
      <c r="A155" s="22">
        <v>184</v>
      </c>
      <c r="B155" t="s" s="23">
        <v>581</v>
      </c>
      <c r="C155" t="s" s="23">
        <v>156</v>
      </c>
      <c r="D155" s="22">
        <v>1</v>
      </c>
      <c r="E155" s="22" cm="1">
        <f t="array" ref="E155">_xlfn.COUNTIFS(D2:D271,1,A2:A271,A155)</f>
        <v>1</v>
      </c>
      <c r="F155" s="22" cm="1">
        <f t="array" ref="F155">(YEAR(C155)-2025)*1000+MONTH(C155)*31+DAY(C155)+A155</f>
        <v>1337</v>
      </c>
    </row>
    <row r="156" ht="16.6" customHeight="1">
      <c r="A156" s="22">
        <v>184</v>
      </c>
      <c r="B156" t="s" s="23">
        <v>581</v>
      </c>
      <c r="C156" t="s" s="23">
        <v>146</v>
      </c>
      <c r="D156" s="22">
        <v>0</v>
      </c>
      <c r="E156" s="22" cm="1">
        <f t="array" ref="E156">_xlfn.COUNTIFS(D2:D271,1,A2:A271,A156)</f>
        <v>1</v>
      </c>
      <c r="F156" s="22" cm="1">
        <f t="array" ref="F156">(YEAR(C156)-2025)*1000+MONTH(C156)*31+DAY(C156)+A156</f>
        <v>1336</v>
      </c>
    </row>
    <row r="157" ht="16.6" customHeight="1">
      <c r="A157" s="22">
        <v>182</v>
      </c>
      <c r="B157" t="s" s="23">
        <v>575</v>
      </c>
      <c r="C157" t="s" s="23">
        <v>146</v>
      </c>
      <c r="D157" s="22">
        <v>1</v>
      </c>
      <c r="E157" s="22" cm="1">
        <f t="array" ref="E157">_xlfn.COUNTIFS(D2:D271,1,A2:A271,A157)</f>
        <v>1</v>
      </c>
      <c r="F157" s="22" cm="1">
        <f t="array" ref="F157">(YEAR(C157)-2025)*1000+MONTH(C157)*31+DAY(C157)+A157</f>
        <v>1334</v>
      </c>
    </row>
    <row r="158" ht="16.6" customHeight="1">
      <c r="A158" s="22">
        <v>161</v>
      </c>
      <c r="B158" t="s" s="23">
        <v>511</v>
      </c>
      <c r="C158" t="s" s="23">
        <v>146</v>
      </c>
      <c r="D158" s="22">
        <v>1</v>
      </c>
      <c r="E158" s="22" cm="1">
        <f t="array" ref="E158">_xlfn.COUNTIFS(D2:D271,1,A2:A271,A158)</f>
        <v>1</v>
      </c>
      <c r="F158" s="22" cm="1">
        <f t="array" ref="F158">(YEAR(C158)-2025)*1000+MONTH(C158)*31+DAY(C158)+A158</f>
        <v>1313</v>
      </c>
    </row>
    <row r="159" ht="16.6" customHeight="1">
      <c r="A159" s="22">
        <v>158</v>
      </c>
      <c r="B159" t="s" s="23">
        <v>502</v>
      </c>
      <c r="C159" t="s" s="23">
        <v>156</v>
      </c>
      <c r="D159" s="22">
        <v>1</v>
      </c>
      <c r="E159" s="22" cm="1">
        <f t="array" ref="E159">_xlfn.COUNTIFS(D2:D271,1,A2:A271,A159)</f>
        <v>3</v>
      </c>
      <c r="F159" s="22" cm="1">
        <f t="array" ref="F159">(YEAR(C159)-2025)*1000+MONTH(C159)*31+DAY(C159)+A159</f>
        <v>1311</v>
      </c>
    </row>
    <row r="160" ht="16.6" customHeight="1">
      <c r="A160" s="22">
        <v>158</v>
      </c>
      <c r="B160" t="s" s="23">
        <v>502</v>
      </c>
      <c r="C160" t="s" s="23">
        <v>156</v>
      </c>
      <c r="D160" s="22">
        <v>1</v>
      </c>
      <c r="E160" s="22" cm="1">
        <f t="array" ref="E160">_xlfn.COUNTIFS(D2:D271,1,A2:A271,A160)</f>
        <v>3</v>
      </c>
      <c r="F160" s="22" cm="1">
        <f t="array" ref="F160">(YEAR(C160)-2025)*1000+MONTH(C160)*31+DAY(C160)+A160</f>
        <v>1311</v>
      </c>
    </row>
    <row r="161" ht="16.6" customHeight="1">
      <c r="A161" s="22">
        <v>158</v>
      </c>
      <c r="B161" t="s" s="23">
        <v>502</v>
      </c>
      <c r="C161" t="s" s="23">
        <v>156</v>
      </c>
      <c r="D161" s="22">
        <v>1</v>
      </c>
      <c r="E161" s="22" cm="1">
        <f t="array" ref="E161">_xlfn.COUNTIFS(D2:D271,1,A2:A271,A161)</f>
        <v>3</v>
      </c>
      <c r="F161" s="22" cm="1">
        <f t="array" ref="F161">(YEAR(C161)-2025)*1000+MONTH(C161)*31+DAY(C161)+A161</f>
        <v>1311</v>
      </c>
    </row>
    <row r="162" ht="16.6" customHeight="1">
      <c r="A162" s="22">
        <v>158</v>
      </c>
      <c r="B162" t="s" s="23">
        <v>502</v>
      </c>
      <c r="C162" t="s" s="23">
        <v>146</v>
      </c>
      <c r="D162" s="22">
        <v>0</v>
      </c>
      <c r="E162" s="22" cm="1">
        <f t="array" ref="E162">_xlfn.COUNTIFS(D2:D271,1,A2:A271,A162)</f>
        <v>3</v>
      </c>
      <c r="F162" s="22" cm="1">
        <f t="array" ref="F162">(YEAR(C162)-2025)*1000+MONTH(C162)*31+DAY(C162)+A162</f>
        <v>1310</v>
      </c>
    </row>
    <row r="163" ht="16.6" customHeight="1">
      <c r="A163" s="22">
        <v>156</v>
      </c>
      <c r="B163" t="s" s="23">
        <v>495</v>
      </c>
      <c r="C163" t="s" s="23">
        <v>496</v>
      </c>
      <c r="D163" s="22">
        <v>1</v>
      </c>
      <c r="E163" s="22" cm="1">
        <f t="array" ref="E163">_xlfn.COUNTIFS(D2:D271,1,A2:A271,A163)</f>
        <v>3</v>
      </c>
      <c r="F163" s="22" cm="1">
        <f t="array" ref="F163">(YEAR(C163)-2025)*1000+MONTH(C163)*31+DAY(C163)+A163</f>
        <v>1310</v>
      </c>
    </row>
    <row r="164" ht="16.6" customHeight="1">
      <c r="A164" s="22">
        <v>156</v>
      </c>
      <c r="B164" t="s" s="23">
        <v>495</v>
      </c>
      <c r="C164" t="s" s="23">
        <v>156</v>
      </c>
      <c r="D164" s="22">
        <v>0</v>
      </c>
      <c r="E164" s="22" cm="1">
        <f t="array" ref="E164">_xlfn.COUNTIFS(D2:D271,1,A2:A271,A164)</f>
        <v>3</v>
      </c>
      <c r="F164" s="22" cm="1">
        <f t="array" ref="F164">(YEAR(C164)-2025)*1000+MONTH(C164)*31+DAY(C164)+A164</f>
        <v>1309</v>
      </c>
    </row>
    <row r="165" ht="16.6" customHeight="1">
      <c r="A165" s="22">
        <v>156</v>
      </c>
      <c r="B165" t="s" s="23">
        <v>495</v>
      </c>
      <c r="C165" t="s" s="23">
        <v>156</v>
      </c>
      <c r="D165" s="22">
        <v>1</v>
      </c>
      <c r="E165" s="22" cm="1">
        <f t="array" ref="E165">_xlfn.COUNTIFS(D2:D271,1,A2:A271,A165)</f>
        <v>3</v>
      </c>
      <c r="F165" s="22" cm="1">
        <f t="array" ref="F165">(YEAR(C165)-2025)*1000+MONTH(C165)*31+DAY(C165)+A165</f>
        <v>1309</v>
      </c>
    </row>
    <row r="166" ht="16.6" customHeight="1">
      <c r="A166" s="22">
        <v>156</v>
      </c>
      <c r="B166" t="s" s="23">
        <v>495</v>
      </c>
      <c r="C166" t="s" s="23">
        <v>156</v>
      </c>
      <c r="D166" s="22">
        <v>1</v>
      </c>
      <c r="E166" s="22" cm="1">
        <f t="array" ref="E166">_xlfn.COUNTIFS(D2:D271,1,A2:A271,A166)</f>
        <v>3</v>
      </c>
      <c r="F166" s="22" cm="1">
        <f t="array" ref="F166">(YEAR(C166)-2025)*1000+MONTH(C166)*31+DAY(C166)+A166</f>
        <v>1309</v>
      </c>
    </row>
    <row r="167" ht="16.6" customHeight="1">
      <c r="A167" s="22">
        <v>156</v>
      </c>
      <c r="B167" t="s" s="23">
        <v>495</v>
      </c>
      <c r="C167" t="s" s="23">
        <v>146</v>
      </c>
      <c r="D167" s="22">
        <v>0</v>
      </c>
      <c r="E167" s="22" cm="1">
        <f t="array" ref="E167">_xlfn.COUNTIFS(D2:D271,1,A2:A271,A167)</f>
        <v>3</v>
      </c>
      <c r="F167" s="22" cm="1">
        <f t="array" ref="F167">(YEAR(C167)-2025)*1000+MONTH(C167)*31+DAY(C167)+A167</f>
        <v>1308</v>
      </c>
    </row>
    <row r="168" ht="16.6" customHeight="1">
      <c r="A168" s="22">
        <v>155</v>
      </c>
      <c r="B168" t="s" s="23">
        <v>492</v>
      </c>
      <c r="C168" t="s" s="23">
        <v>146</v>
      </c>
      <c r="D168" s="22">
        <v>1</v>
      </c>
      <c r="E168" s="22" cm="1">
        <f t="array" ref="E168">_xlfn.COUNTIFS(D2:D271,1,A2:A271,A168)</f>
        <v>1</v>
      </c>
      <c r="F168" s="22" cm="1">
        <f t="array" ref="F168">(YEAR(C168)-2025)*1000+MONTH(C168)*31+DAY(C168)+A168</f>
        <v>1307</v>
      </c>
    </row>
    <row r="169" ht="16.6" customHeight="1">
      <c r="A169" s="22">
        <v>154</v>
      </c>
      <c r="B169" t="s" s="23">
        <v>489</v>
      </c>
      <c r="C169" t="s" s="23">
        <v>146</v>
      </c>
      <c r="D169" s="22">
        <v>1</v>
      </c>
      <c r="E169" s="22" cm="1">
        <f t="array" ref="E169">_xlfn.COUNTIFS(D2:D271,1,A2:A271,A169)</f>
        <v>1</v>
      </c>
      <c r="F169" s="22" cm="1">
        <f t="array" ref="F169">(YEAR(C169)-2025)*1000+MONTH(C169)*31+DAY(C169)+A169</f>
        <v>1306</v>
      </c>
    </row>
    <row r="170" ht="16.6" customHeight="1">
      <c r="A170" s="22">
        <v>150</v>
      </c>
      <c r="B170" t="s" s="23">
        <v>477</v>
      </c>
      <c r="C170" t="s" s="23">
        <v>156</v>
      </c>
      <c r="D170" s="22">
        <v>1</v>
      </c>
      <c r="E170" s="22" cm="1">
        <f t="array" ref="E170">_xlfn.COUNTIFS(D2:D271,1,A2:A271,A170)</f>
        <v>1</v>
      </c>
      <c r="F170" s="22" cm="1">
        <f t="array" ref="F170">(YEAR(C170)-2025)*1000+MONTH(C170)*31+DAY(C170)+A170</f>
        <v>1303</v>
      </c>
    </row>
    <row r="171" ht="16.6" customHeight="1">
      <c r="A171" s="22">
        <v>150</v>
      </c>
      <c r="B171" t="s" s="23">
        <v>477</v>
      </c>
      <c r="C171" t="s" s="23">
        <v>146</v>
      </c>
      <c r="D171" s="22">
        <v>0</v>
      </c>
      <c r="E171" s="22" cm="1">
        <f t="array" ref="E171">_xlfn.COUNTIFS(D2:D271,1,A2:A271,A171)</f>
        <v>1</v>
      </c>
      <c r="F171" s="22" cm="1">
        <f t="array" ref="F171">(YEAR(C171)-2025)*1000+MONTH(C171)*31+DAY(C171)+A171</f>
        <v>1302</v>
      </c>
    </row>
    <row r="172" ht="16.6" customHeight="1">
      <c r="A172" s="22">
        <v>149</v>
      </c>
      <c r="B172" t="s" s="23">
        <v>474</v>
      </c>
      <c r="C172" t="s" s="23">
        <v>156</v>
      </c>
      <c r="D172" s="22">
        <v>0</v>
      </c>
      <c r="E172" s="22" cm="1">
        <f t="array" ref="E172">_xlfn.COUNTIFS(D2:D271,1,A2:A271,A172)</f>
        <v>1</v>
      </c>
      <c r="F172" s="22" cm="1">
        <f t="array" ref="F172">(YEAR(C172)-2025)*1000+MONTH(C172)*31+DAY(C172)+A172</f>
        <v>1302</v>
      </c>
    </row>
    <row r="173" ht="16.6" customHeight="1">
      <c r="A173" s="22">
        <v>149</v>
      </c>
      <c r="B173" t="s" s="23">
        <v>474</v>
      </c>
      <c r="C173" t="s" s="23">
        <v>156</v>
      </c>
      <c r="D173" s="22">
        <v>1</v>
      </c>
      <c r="E173" s="22" cm="1">
        <f t="array" ref="E173">_xlfn.COUNTIFS(D2:D271,1,A2:A271,A173)</f>
        <v>1</v>
      </c>
      <c r="F173" s="22" cm="1">
        <f t="array" ref="F173">(YEAR(C173)-2025)*1000+MONTH(C173)*31+DAY(C173)+A173</f>
        <v>1302</v>
      </c>
    </row>
    <row r="174" ht="16.6" customHeight="1">
      <c r="A174" s="22">
        <v>149</v>
      </c>
      <c r="B174" t="s" s="23">
        <v>474</v>
      </c>
      <c r="C174" t="s" s="23">
        <v>146</v>
      </c>
      <c r="D174" s="22">
        <v>0</v>
      </c>
      <c r="E174" s="22" cm="1">
        <f t="array" ref="E174">_xlfn.COUNTIFS(D2:D271,1,A2:A271,A174)</f>
        <v>1</v>
      </c>
      <c r="F174" s="22" cm="1">
        <f t="array" ref="F174">(YEAR(C174)-2025)*1000+MONTH(C174)*31+DAY(C174)+A174</f>
        <v>1301</v>
      </c>
    </row>
    <row r="175" ht="16.6" customHeight="1">
      <c r="A175" s="22">
        <v>147</v>
      </c>
      <c r="B175" t="s" s="23">
        <v>468</v>
      </c>
      <c r="C175" t="s" s="23">
        <v>156</v>
      </c>
      <c r="D175" s="22">
        <v>1</v>
      </c>
      <c r="E175" s="22" cm="1">
        <f t="array" ref="E175">_xlfn.COUNTIFS(D2:D271,1,A2:A271,A175)</f>
        <v>3</v>
      </c>
      <c r="F175" s="22" cm="1">
        <f t="array" ref="F175">(YEAR(C175)-2025)*1000+MONTH(C175)*31+DAY(C175)+A175</f>
        <v>1300</v>
      </c>
    </row>
    <row r="176" ht="16.6" customHeight="1">
      <c r="A176" s="22">
        <v>147</v>
      </c>
      <c r="B176" t="s" s="23">
        <v>468</v>
      </c>
      <c r="C176" t="s" s="23">
        <v>156</v>
      </c>
      <c r="D176" s="22">
        <v>1</v>
      </c>
      <c r="E176" s="22" cm="1">
        <f t="array" ref="E176">_xlfn.COUNTIFS(D2:D271,1,A2:A271,A176)</f>
        <v>3</v>
      </c>
      <c r="F176" s="22" cm="1">
        <f t="array" ref="F176">(YEAR(C176)-2025)*1000+MONTH(C176)*31+DAY(C176)+A176</f>
        <v>1300</v>
      </c>
    </row>
    <row r="177" ht="16.6" customHeight="1">
      <c r="A177" s="22">
        <v>147</v>
      </c>
      <c r="B177" t="s" s="23">
        <v>468</v>
      </c>
      <c r="C177" t="s" s="23">
        <v>146</v>
      </c>
      <c r="D177" s="22">
        <v>1</v>
      </c>
      <c r="E177" s="22" cm="1">
        <f t="array" ref="E177">_xlfn.COUNTIFS(D2:D271,1,A2:A271,A177)</f>
        <v>3</v>
      </c>
      <c r="F177" s="22" cm="1">
        <f t="array" ref="F177">(YEAR(C177)-2025)*1000+MONTH(C177)*31+DAY(C177)+A177</f>
        <v>1299</v>
      </c>
    </row>
    <row r="178" ht="16.6" customHeight="1">
      <c r="A178" s="22">
        <v>146</v>
      </c>
      <c r="B178" t="s" s="23">
        <v>465</v>
      </c>
      <c r="C178" t="s" s="23">
        <v>146</v>
      </c>
      <c r="D178" s="22">
        <v>0</v>
      </c>
      <c r="E178" s="22" cm="1">
        <f t="array" ref="E178">_xlfn.COUNTIFS(D2:D271,1,A2:A271,A178)</f>
        <v>1</v>
      </c>
      <c r="F178" s="22" cm="1">
        <f t="array" ref="F178">(YEAR(C178)-2025)*1000+MONTH(C178)*31+DAY(C178)+A178</f>
        <v>1298</v>
      </c>
    </row>
    <row r="179" ht="16.6" customHeight="1">
      <c r="A179" s="22">
        <v>146</v>
      </c>
      <c r="B179" t="s" s="23">
        <v>465</v>
      </c>
      <c r="C179" t="s" s="23">
        <v>146</v>
      </c>
      <c r="D179" s="22">
        <v>1</v>
      </c>
      <c r="E179" s="22" cm="1">
        <f t="array" ref="E179">_xlfn.COUNTIFS(D2:D271,1,A2:A271,A179)</f>
        <v>1</v>
      </c>
      <c r="F179" s="22" cm="1">
        <f t="array" ref="F179">(YEAR(C179)-2025)*1000+MONTH(C179)*31+DAY(C179)+A179</f>
        <v>1298</v>
      </c>
    </row>
    <row r="180" ht="16.6" customHeight="1">
      <c r="A180" s="22">
        <v>137</v>
      </c>
      <c r="B180" t="s" s="23">
        <v>438</v>
      </c>
      <c r="C180" t="s" s="23">
        <v>146</v>
      </c>
      <c r="D180" s="22">
        <v>0</v>
      </c>
      <c r="E180" s="22" cm="1">
        <f t="array" ref="E180">_xlfn.COUNTIFS(D2:D271,1,A2:A271,A180)</f>
        <v>1</v>
      </c>
      <c r="F180" s="22" cm="1">
        <f t="array" ref="F180">(YEAR(C180)-2025)*1000+MONTH(C180)*31+DAY(C180)+A180</f>
        <v>1289</v>
      </c>
    </row>
    <row r="181" ht="16.6" customHeight="1">
      <c r="A181" s="22">
        <v>137</v>
      </c>
      <c r="B181" t="s" s="23">
        <v>438</v>
      </c>
      <c r="C181" t="s" s="23">
        <v>146</v>
      </c>
      <c r="D181" s="22">
        <v>1</v>
      </c>
      <c r="E181" s="22" cm="1">
        <f t="array" ref="E181">_xlfn.COUNTIFS(D2:D271,1,A2:A271,A181)</f>
        <v>1</v>
      </c>
      <c r="F181" s="22" cm="1">
        <f t="array" ref="F181">(YEAR(C181)-2025)*1000+MONTH(C181)*31+DAY(C181)+A181</f>
        <v>1289</v>
      </c>
    </row>
    <row r="182" ht="16.6" customHeight="1">
      <c r="A182" s="22">
        <v>133</v>
      </c>
      <c r="B182" t="s" s="23">
        <v>426</v>
      </c>
      <c r="C182" t="s" s="23">
        <v>146</v>
      </c>
      <c r="D182" s="22">
        <v>0</v>
      </c>
      <c r="E182" s="22" cm="1">
        <f t="array" ref="E182">_xlfn.COUNTIFS(D2:D271,1,A2:A271,A182)</f>
        <v>1</v>
      </c>
      <c r="F182" s="22" cm="1">
        <f t="array" ref="F182">(YEAR(C182)-2025)*1000+MONTH(C182)*31+DAY(C182)+A182</f>
        <v>1285</v>
      </c>
    </row>
    <row r="183" ht="16.6" customHeight="1">
      <c r="A183" s="22">
        <v>133</v>
      </c>
      <c r="B183" t="s" s="23">
        <v>426</v>
      </c>
      <c r="C183" t="s" s="23">
        <v>146</v>
      </c>
      <c r="D183" s="22">
        <v>1</v>
      </c>
      <c r="E183" s="22" cm="1">
        <f t="array" ref="E183">_xlfn.COUNTIFS(D2:D271,1,A2:A271,A183)</f>
        <v>1</v>
      </c>
      <c r="F183" s="22" cm="1">
        <f t="array" ref="F183">(YEAR(C183)-2025)*1000+MONTH(C183)*31+DAY(C183)+A183</f>
        <v>1285</v>
      </c>
    </row>
    <row r="184" ht="16.6" customHeight="1">
      <c r="A184" s="22">
        <v>126</v>
      </c>
      <c r="B184" t="s" s="23">
        <v>404</v>
      </c>
      <c r="C184" t="s" s="23">
        <v>156</v>
      </c>
      <c r="D184" s="22">
        <v>1</v>
      </c>
      <c r="E184" s="22" cm="1">
        <f t="array" ref="E184">_xlfn.COUNTIFS(D2:D271,1,A2:A271,A184)</f>
        <v>3</v>
      </c>
      <c r="F184" s="22" cm="1">
        <f t="array" ref="F184">(YEAR(C184)-2025)*1000+MONTH(C184)*31+DAY(C184)+A184</f>
        <v>1279</v>
      </c>
    </row>
    <row r="185" ht="16.6" customHeight="1">
      <c r="A185" s="22">
        <v>126</v>
      </c>
      <c r="B185" t="s" s="23">
        <v>404</v>
      </c>
      <c r="C185" t="s" s="23">
        <v>156</v>
      </c>
      <c r="D185" s="22">
        <v>1</v>
      </c>
      <c r="E185" s="22" cm="1">
        <f t="array" ref="E185">_xlfn.COUNTIFS(D2:D271,1,A2:A271,A185)</f>
        <v>3</v>
      </c>
      <c r="F185" s="22" cm="1">
        <f t="array" ref="F185">(YEAR(C185)-2025)*1000+MONTH(C185)*31+DAY(C185)+A185</f>
        <v>1279</v>
      </c>
    </row>
    <row r="186" ht="16.6" customHeight="1">
      <c r="A186" s="22">
        <v>126</v>
      </c>
      <c r="B186" t="s" s="23">
        <v>404</v>
      </c>
      <c r="C186" t="s" s="23">
        <v>146</v>
      </c>
      <c r="D186" s="22">
        <v>0</v>
      </c>
      <c r="E186" s="22" cm="1">
        <f t="array" ref="E186">_xlfn.COUNTIFS(D2:D271,1,A2:A271,A186)</f>
        <v>3</v>
      </c>
      <c r="F186" s="22" cm="1">
        <f t="array" ref="F186">(YEAR(C186)-2025)*1000+MONTH(C186)*31+DAY(C186)+A186</f>
        <v>1278</v>
      </c>
    </row>
    <row r="187" ht="16.6" customHeight="1">
      <c r="A187" s="22">
        <v>126</v>
      </c>
      <c r="B187" t="s" s="23">
        <v>404</v>
      </c>
      <c r="C187" t="s" s="23">
        <v>146</v>
      </c>
      <c r="D187" s="22">
        <v>1</v>
      </c>
      <c r="E187" s="22" cm="1">
        <f t="array" ref="E187">_xlfn.COUNTIFS(D2:D271,1,A2:A271,A187)</f>
        <v>3</v>
      </c>
      <c r="F187" s="22" cm="1">
        <f t="array" ref="F187">(YEAR(C187)-2025)*1000+MONTH(C187)*31+DAY(C187)+A187</f>
        <v>1278</v>
      </c>
    </row>
    <row r="188" ht="16.6" customHeight="1">
      <c r="A188" s="22">
        <v>111</v>
      </c>
      <c r="B188" t="s" s="23">
        <v>359</v>
      </c>
      <c r="C188" t="s" s="23">
        <v>146</v>
      </c>
      <c r="D188" s="22">
        <v>0</v>
      </c>
      <c r="E188" s="22" cm="1">
        <f t="array" ref="E188">_xlfn.COUNTIFS(D2:D271,1,A2:A271,A188)</f>
        <v>1</v>
      </c>
      <c r="F188" s="22" cm="1">
        <f t="array" ref="F188">(YEAR(C188)-2025)*1000+MONTH(C188)*31+DAY(C188)+A188</f>
        <v>1263</v>
      </c>
    </row>
    <row r="189" ht="16.6" customHeight="1">
      <c r="A189" s="22">
        <v>111</v>
      </c>
      <c r="B189" t="s" s="23">
        <v>359</v>
      </c>
      <c r="C189" t="s" s="23">
        <v>146</v>
      </c>
      <c r="D189" s="22">
        <v>1</v>
      </c>
      <c r="E189" s="22" cm="1">
        <f t="array" ref="E189">_xlfn.COUNTIFS(D2:D271,1,A2:A271,A189)</f>
        <v>1</v>
      </c>
      <c r="F189" s="22" cm="1">
        <f t="array" ref="F189">(YEAR(C189)-2025)*1000+MONTH(C189)*31+DAY(C189)+A189</f>
        <v>1263</v>
      </c>
    </row>
    <row r="190" ht="16.6" customHeight="1">
      <c r="A190" s="22">
        <v>109</v>
      </c>
      <c r="B190" t="s" s="23">
        <v>353</v>
      </c>
      <c r="C190" t="s" s="23">
        <v>146</v>
      </c>
      <c r="D190" s="22">
        <v>0</v>
      </c>
      <c r="E190" s="22" cm="1">
        <f t="array" ref="E190">_xlfn.COUNTIFS(D2:D271,1,A2:A271,A190)</f>
        <v>1</v>
      </c>
      <c r="F190" s="22" cm="1">
        <f t="array" ref="F190">(YEAR(C190)-2025)*1000+MONTH(C190)*31+DAY(C190)+A190</f>
        <v>1261</v>
      </c>
    </row>
    <row r="191" ht="16.6" customHeight="1">
      <c r="A191" s="22">
        <v>109</v>
      </c>
      <c r="B191" t="s" s="23">
        <v>353</v>
      </c>
      <c r="C191" t="s" s="23">
        <v>146</v>
      </c>
      <c r="D191" s="22">
        <v>1</v>
      </c>
      <c r="E191" s="22" cm="1">
        <f t="array" ref="E191">_xlfn.COUNTIFS(D2:D271,1,A2:A271,A191)</f>
        <v>1</v>
      </c>
      <c r="F191" s="22" cm="1">
        <f t="array" ref="F191">(YEAR(C191)-2025)*1000+MONTH(C191)*31+DAY(C191)+A191</f>
        <v>1261</v>
      </c>
    </row>
    <row r="192" ht="16.6" customHeight="1">
      <c r="A192" s="22">
        <v>105</v>
      </c>
      <c r="B192" t="s" s="23">
        <v>341</v>
      </c>
      <c r="C192" t="s" s="23">
        <v>156</v>
      </c>
      <c r="D192" s="22">
        <v>1</v>
      </c>
      <c r="E192" s="22" cm="1">
        <f t="array" ref="E192">_xlfn.COUNTIFS(D2:D271,1,A2:A271,A192)</f>
        <v>1</v>
      </c>
      <c r="F192" s="22" cm="1">
        <f t="array" ref="F192">(YEAR(C192)-2025)*1000+MONTH(C192)*31+DAY(C192)+A192</f>
        <v>1258</v>
      </c>
    </row>
    <row r="193" ht="16.6" customHeight="1">
      <c r="A193" s="22">
        <v>105</v>
      </c>
      <c r="B193" t="s" s="23">
        <v>341</v>
      </c>
      <c r="C193" t="s" s="23">
        <v>146</v>
      </c>
      <c r="D193" s="22">
        <v>0</v>
      </c>
      <c r="E193" s="22" cm="1">
        <f t="array" ref="E193">_xlfn.COUNTIFS(D2:D271,1,A2:A271,A193)</f>
        <v>1</v>
      </c>
      <c r="F193" s="22" cm="1">
        <f t="array" ref="F193">(YEAR(C193)-2025)*1000+MONTH(C193)*31+DAY(C193)+A193</f>
        <v>1257</v>
      </c>
    </row>
    <row r="194" ht="16.6" customHeight="1">
      <c r="A194" s="22">
        <v>105</v>
      </c>
      <c r="B194" t="s" s="23">
        <v>341</v>
      </c>
      <c r="C194" t="s" s="23">
        <v>146</v>
      </c>
      <c r="D194" s="22">
        <v>0</v>
      </c>
      <c r="E194" s="22" cm="1">
        <f t="array" ref="E194">_xlfn.COUNTIFS(D2:D271,1,A2:A271,A194)</f>
        <v>1</v>
      </c>
      <c r="F194" s="22" cm="1">
        <f t="array" ref="F194">(YEAR(C194)-2025)*1000+MONTH(C194)*31+DAY(C194)+A194</f>
        <v>1257</v>
      </c>
    </row>
    <row r="195" ht="16.6" customHeight="1">
      <c r="A195" s="22">
        <v>104</v>
      </c>
      <c r="B195" t="s" s="23">
        <v>338</v>
      </c>
      <c r="C195" t="s" s="23">
        <v>146</v>
      </c>
      <c r="D195" s="22">
        <v>0</v>
      </c>
      <c r="E195" s="22" cm="1">
        <f t="array" ref="E195">_xlfn.COUNTIFS(D2:D271,1,A2:A271,A195)</f>
        <v>1</v>
      </c>
      <c r="F195" s="22" cm="1">
        <f t="array" ref="F195">(YEAR(C195)-2025)*1000+MONTH(C195)*31+DAY(C195)+A195</f>
        <v>1256</v>
      </c>
    </row>
    <row r="196" ht="16.6" customHeight="1">
      <c r="A196" s="22">
        <v>104</v>
      </c>
      <c r="B196" t="s" s="23">
        <v>338</v>
      </c>
      <c r="C196" t="s" s="23">
        <v>146</v>
      </c>
      <c r="D196" s="22">
        <v>1</v>
      </c>
      <c r="E196" s="22" cm="1">
        <f t="array" ref="E196">_xlfn.COUNTIFS(D2:D271,1,A2:A271,A196)</f>
        <v>1</v>
      </c>
      <c r="F196" s="22" cm="1">
        <f t="array" ref="F196">(YEAR(C196)-2025)*1000+MONTH(C196)*31+DAY(C196)+A196</f>
        <v>1256</v>
      </c>
    </row>
    <row r="197" ht="16.6" customHeight="1">
      <c r="A197" s="22">
        <v>101</v>
      </c>
      <c r="B197" t="s" s="23">
        <v>329</v>
      </c>
      <c r="C197" t="s" s="23">
        <v>156</v>
      </c>
      <c r="D197" s="22">
        <v>1</v>
      </c>
      <c r="E197" s="22" cm="1">
        <f t="array" ref="E197">_xlfn.COUNTIFS(D2:D271,1,A2:A271,A197)</f>
        <v>3</v>
      </c>
      <c r="F197" s="22" cm="1">
        <f t="array" ref="F197">(YEAR(C197)-2025)*1000+MONTH(C197)*31+DAY(C197)+A197</f>
        <v>1254</v>
      </c>
    </row>
    <row r="198" ht="16.6" customHeight="1">
      <c r="A198" s="22">
        <v>101</v>
      </c>
      <c r="B198" t="s" s="23">
        <v>329</v>
      </c>
      <c r="C198" t="s" s="23">
        <v>156</v>
      </c>
      <c r="D198" s="22">
        <v>1</v>
      </c>
      <c r="E198" s="22" cm="1">
        <f t="array" ref="E198">_xlfn.COUNTIFS(D2:D271,1,A2:A271,A198)</f>
        <v>3</v>
      </c>
      <c r="F198" s="22" cm="1">
        <f t="array" ref="F198">(YEAR(C198)-2025)*1000+MONTH(C198)*31+DAY(C198)+A198</f>
        <v>1254</v>
      </c>
    </row>
    <row r="199" ht="16.6" customHeight="1">
      <c r="A199" s="22">
        <v>101</v>
      </c>
      <c r="B199" t="s" s="23">
        <v>329</v>
      </c>
      <c r="C199" t="s" s="23">
        <v>146</v>
      </c>
      <c r="D199" s="22">
        <v>0</v>
      </c>
      <c r="E199" s="22" cm="1">
        <f t="array" ref="E199">_xlfn.COUNTIFS(D2:D271,1,A2:A271,A199)</f>
        <v>3</v>
      </c>
      <c r="F199" s="22" cm="1">
        <f t="array" ref="F199">(YEAR(C199)-2025)*1000+MONTH(C199)*31+DAY(C199)+A199</f>
        <v>1253</v>
      </c>
    </row>
    <row r="200" ht="16.6" customHeight="1">
      <c r="A200" s="22">
        <v>101</v>
      </c>
      <c r="B200" t="s" s="23">
        <v>329</v>
      </c>
      <c r="C200" t="s" s="23">
        <v>146</v>
      </c>
      <c r="D200" s="22">
        <v>1</v>
      </c>
      <c r="E200" s="22" cm="1">
        <f t="array" ref="E200">_xlfn.COUNTIFS(D2:D271,1,A2:A271,A200)</f>
        <v>3</v>
      </c>
      <c r="F200" s="22" cm="1">
        <f t="array" ref="F200">(YEAR(C200)-2025)*1000+MONTH(C200)*31+DAY(C200)+A200</f>
        <v>1253</v>
      </c>
    </row>
    <row r="201" ht="16.6" customHeight="1">
      <c r="A201" s="22">
        <v>100</v>
      </c>
      <c r="B201" t="s" s="23">
        <v>326</v>
      </c>
      <c r="C201" t="s" s="23">
        <v>156</v>
      </c>
      <c r="D201" s="22">
        <v>1</v>
      </c>
      <c r="E201" s="22" cm="1">
        <f t="array" ref="E201">_xlfn.COUNTIFS(D2:D271,1,A2:A271,A201)</f>
        <v>3</v>
      </c>
      <c r="F201" s="22" cm="1">
        <f t="array" ref="F201">(YEAR(C201)-2025)*1000+MONTH(C201)*31+DAY(C201)+A201</f>
        <v>1253</v>
      </c>
    </row>
    <row r="202" ht="16.6" customHeight="1">
      <c r="A202" s="22">
        <v>100</v>
      </c>
      <c r="B202" t="s" s="23">
        <v>326</v>
      </c>
      <c r="C202" t="s" s="23">
        <v>156</v>
      </c>
      <c r="D202" s="22">
        <v>1</v>
      </c>
      <c r="E202" s="22" cm="1">
        <f t="array" ref="E202">_xlfn.COUNTIFS(D2:D271,1,A2:A271,A202)</f>
        <v>3</v>
      </c>
      <c r="F202" s="22" cm="1">
        <f t="array" ref="F202">(YEAR(C202)-2025)*1000+MONTH(C202)*31+DAY(C202)+A202</f>
        <v>1253</v>
      </c>
    </row>
    <row r="203" ht="16.6" customHeight="1">
      <c r="A203" s="22">
        <v>100</v>
      </c>
      <c r="B203" t="s" s="23">
        <v>326</v>
      </c>
      <c r="C203" t="s" s="23">
        <v>146</v>
      </c>
      <c r="D203" s="22">
        <v>0</v>
      </c>
      <c r="E203" s="22" cm="1">
        <f t="array" ref="E203">_xlfn.COUNTIFS(D2:D271,1,A2:A271,A203)</f>
        <v>3</v>
      </c>
      <c r="F203" s="22" cm="1">
        <f t="array" ref="F203">(YEAR(C203)-2025)*1000+MONTH(C203)*31+DAY(C203)+A203</f>
        <v>1252</v>
      </c>
    </row>
    <row r="204" ht="16.6" customHeight="1">
      <c r="A204" s="22">
        <v>100</v>
      </c>
      <c r="B204" t="s" s="23">
        <v>326</v>
      </c>
      <c r="C204" t="s" s="23">
        <v>146</v>
      </c>
      <c r="D204" s="22">
        <v>0</v>
      </c>
      <c r="E204" s="22" cm="1">
        <f t="array" ref="E204">_xlfn.COUNTIFS(D2:D271,1,A2:A271,A204)</f>
        <v>3</v>
      </c>
      <c r="F204" s="22" cm="1">
        <f t="array" ref="F204">(YEAR(C204)-2025)*1000+MONTH(C204)*31+DAY(C204)+A204</f>
        <v>1252</v>
      </c>
    </row>
    <row r="205" ht="16.6" customHeight="1">
      <c r="A205" s="22">
        <v>100</v>
      </c>
      <c r="B205" t="s" s="23">
        <v>326</v>
      </c>
      <c r="C205" t="s" s="23">
        <v>146</v>
      </c>
      <c r="D205" s="22">
        <v>1</v>
      </c>
      <c r="E205" s="22" cm="1">
        <f t="array" ref="E205">_xlfn.COUNTIFS(D2:D271,1,A2:A271,A205)</f>
        <v>3</v>
      </c>
      <c r="F205" s="22" cm="1">
        <f t="array" ref="F205">(YEAR(C205)-2025)*1000+MONTH(C205)*31+DAY(C205)+A205</f>
        <v>1252</v>
      </c>
    </row>
    <row r="206" ht="16.6" customHeight="1">
      <c r="A206" s="22">
        <v>96</v>
      </c>
      <c r="B206" t="s" s="23">
        <v>314</v>
      </c>
      <c r="C206" t="s" s="23">
        <v>146</v>
      </c>
      <c r="D206" s="22">
        <v>0</v>
      </c>
      <c r="E206" s="22" cm="1">
        <f t="array" ref="E206">_xlfn.COUNTIFS(D2:D271,1,A2:A271,A206)</f>
        <v>1</v>
      </c>
      <c r="F206" s="22" cm="1">
        <f t="array" ref="F206">(YEAR(C206)-2025)*1000+MONTH(C206)*31+DAY(C206)+A206</f>
        <v>1248</v>
      </c>
    </row>
    <row r="207" ht="16.6" customHeight="1">
      <c r="A207" s="22">
        <v>96</v>
      </c>
      <c r="B207" t="s" s="23">
        <v>314</v>
      </c>
      <c r="C207" t="s" s="23">
        <v>146</v>
      </c>
      <c r="D207" s="22">
        <v>0</v>
      </c>
      <c r="E207" s="22" cm="1">
        <f t="array" ref="E207">_xlfn.COUNTIFS(D2:D271,1,A2:A271,A207)</f>
        <v>1</v>
      </c>
      <c r="F207" s="22" cm="1">
        <f t="array" ref="F207">(YEAR(C207)-2025)*1000+MONTH(C207)*31+DAY(C207)+A207</f>
        <v>1248</v>
      </c>
    </row>
    <row r="208" ht="16.6" customHeight="1">
      <c r="A208" s="22">
        <v>96</v>
      </c>
      <c r="B208" t="s" s="23">
        <v>314</v>
      </c>
      <c r="C208" t="s" s="23">
        <v>146</v>
      </c>
      <c r="D208" s="22">
        <v>1</v>
      </c>
      <c r="E208" s="22" cm="1">
        <f t="array" ref="E208">_xlfn.COUNTIFS(D2:D271,1,A2:A271,A208)</f>
        <v>1</v>
      </c>
      <c r="F208" s="22" cm="1">
        <f t="array" ref="F208">(YEAR(C208)-2025)*1000+MONTH(C208)*31+DAY(C208)+A208</f>
        <v>1248</v>
      </c>
    </row>
    <row r="209" ht="16.6" customHeight="1">
      <c r="A209" s="22">
        <v>93</v>
      </c>
      <c r="B209" t="s" s="23">
        <v>305</v>
      </c>
      <c r="C209" t="s" s="23">
        <v>146</v>
      </c>
      <c r="D209" s="22">
        <v>0</v>
      </c>
      <c r="E209" s="22" cm="1">
        <f t="array" ref="E209">_xlfn.COUNTIFS(D2:D271,1,A2:A271,A209)</f>
        <v>1</v>
      </c>
      <c r="F209" s="22" cm="1">
        <f t="array" ref="F209">(YEAR(C209)-2025)*1000+MONTH(C209)*31+DAY(C209)+A209</f>
        <v>1245</v>
      </c>
    </row>
    <row r="210" ht="16.6" customHeight="1">
      <c r="A210" s="22">
        <v>93</v>
      </c>
      <c r="B210" t="s" s="23">
        <v>305</v>
      </c>
      <c r="C210" t="s" s="23">
        <v>146</v>
      </c>
      <c r="D210" s="22">
        <v>1</v>
      </c>
      <c r="E210" s="22" cm="1">
        <f t="array" ref="E210">_xlfn.COUNTIFS(D2:D271,1,A2:A271,A210)</f>
        <v>1</v>
      </c>
      <c r="F210" s="22" cm="1">
        <f t="array" ref="F210">(YEAR(C210)-2025)*1000+MONTH(C210)*31+DAY(C210)+A210</f>
        <v>1245</v>
      </c>
    </row>
    <row r="211" ht="16.6" customHeight="1">
      <c r="A211" s="22">
        <v>91</v>
      </c>
      <c r="B211" t="s" s="23">
        <v>299</v>
      </c>
      <c r="C211" t="s" s="23">
        <v>146</v>
      </c>
      <c r="D211" s="22">
        <v>1</v>
      </c>
      <c r="E211" s="22" cm="1">
        <f t="array" ref="E211">_xlfn.COUNTIFS(D2:D271,1,A2:A271,A211)</f>
        <v>1</v>
      </c>
      <c r="F211" s="22" cm="1">
        <f t="array" ref="F211">(YEAR(C211)-2025)*1000+MONTH(C211)*31+DAY(C211)+A211</f>
        <v>1243</v>
      </c>
    </row>
    <row r="212" ht="16.6" customHeight="1">
      <c r="A212" s="22">
        <v>85</v>
      </c>
      <c r="B212" t="s" s="23">
        <v>281</v>
      </c>
      <c r="C212" t="s" s="23">
        <v>146</v>
      </c>
      <c r="D212" s="22">
        <v>1</v>
      </c>
      <c r="E212" s="22" cm="1">
        <f t="array" ref="E212">_xlfn.COUNTIFS(D2:D271,1,A2:A271,A212)</f>
        <v>1</v>
      </c>
      <c r="F212" s="22" cm="1">
        <f t="array" ref="F212">(YEAR(C212)-2025)*1000+MONTH(C212)*31+DAY(C212)+A212</f>
        <v>1237</v>
      </c>
    </row>
    <row r="213" ht="16.6" customHeight="1">
      <c r="A213" s="22">
        <v>84</v>
      </c>
      <c r="B213" t="s" s="23">
        <v>278</v>
      </c>
      <c r="C213" t="s" s="23">
        <v>146</v>
      </c>
      <c r="D213" s="22">
        <v>1</v>
      </c>
      <c r="E213" s="22" cm="1">
        <f t="array" ref="E213">_xlfn.COUNTIFS(D2:D271,1,A2:A271,A213)</f>
        <v>3</v>
      </c>
      <c r="F213" s="22" cm="1">
        <f t="array" ref="F213">(YEAR(C213)-2025)*1000+MONTH(C213)*31+DAY(C213)+A213</f>
        <v>1236</v>
      </c>
    </row>
    <row r="214" ht="16.6" customHeight="1">
      <c r="A214" s="22">
        <v>84</v>
      </c>
      <c r="B214" t="s" s="23">
        <v>278</v>
      </c>
      <c r="C214" t="s" s="23">
        <v>146</v>
      </c>
      <c r="D214" s="22">
        <v>1</v>
      </c>
      <c r="E214" s="22" cm="1">
        <f t="array" ref="E214">_xlfn.COUNTIFS(D2:D271,1,A2:A271,A214)</f>
        <v>3</v>
      </c>
      <c r="F214" s="22" cm="1">
        <f t="array" ref="F214">(YEAR(C214)-2025)*1000+MONTH(C214)*31+DAY(C214)+A214</f>
        <v>1236</v>
      </c>
    </row>
    <row r="215" ht="16.6" customHeight="1">
      <c r="A215" s="22">
        <v>84</v>
      </c>
      <c r="B215" t="s" s="23">
        <v>278</v>
      </c>
      <c r="C215" t="s" s="23">
        <v>146</v>
      </c>
      <c r="D215" s="22">
        <v>1</v>
      </c>
      <c r="E215" s="22" cm="1">
        <f t="array" ref="E215">_xlfn.COUNTIFS(D2:D271,1,A2:A271,A215)</f>
        <v>3</v>
      </c>
      <c r="F215" s="22" cm="1">
        <f t="array" ref="F215">(YEAR(C215)-2025)*1000+MONTH(C215)*31+DAY(C215)+A215</f>
        <v>1236</v>
      </c>
    </row>
    <row r="216" ht="16.6" customHeight="1">
      <c r="A216" s="22">
        <v>83</v>
      </c>
      <c r="B216" t="s" s="23">
        <v>275</v>
      </c>
      <c r="C216" t="s" s="23">
        <v>146</v>
      </c>
      <c r="D216" s="22">
        <v>1</v>
      </c>
      <c r="E216" s="22" cm="1">
        <f t="array" ref="E216">_xlfn.COUNTIFS(D2:D271,1,A2:A271,A216)</f>
        <v>3</v>
      </c>
      <c r="F216" s="22" cm="1">
        <f t="array" ref="F216">(YEAR(C216)-2025)*1000+MONTH(C216)*31+DAY(C216)+A216</f>
        <v>1235</v>
      </c>
    </row>
    <row r="217" ht="16.6" customHeight="1">
      <c r="A217" s="22">
        <v>83</v>
      </c>
      <c r="B217" t="s" s="23">
        <v>275</v>
      </c>
      <c r="C217" t="s" s="23">
        <v>146</v>
      </c>
      <c r="D217" s="22">
        <v>1</v>
      </c>
      <c r="E217" s="22" cm="1">
        <f t="array" ref="E217">_xlfn.COUNTIFS(D2:D271,1,A2:A271,A217)</f>
        <v>3</v>
      </c>
      <c r="F217" s="22" cm="1">
        <f t="array" ref="F217">(YEAR(C217)-2025)*1000+MONTH(C217)*31+DAY(C217)+A217</f>
        <v>1235</v>
      </c>
    </row>
    <row r="218" ht="16.6" customHeight="1">
      <c r="A218" s="22">
        <v>83</v>
      </c>
      <c r="B218" t="s" s="23">
        <v>275</v>
      </c>
      <c r="C218" t="s" s="23">
        <v>146</v>
      </c>
      <c r="D218" s="22">
        <v>1</v>
      </c>
      <c r="E218" s="22" cm="1">
        <f t="array" ref="E218">_xlfn.COUNTIFS(D2:D271,1,A2:A271,A218)</f>
        <v>3</v>
      </c>
      <c r="F218" s="22" cm="1">
        <f t="array" ref="F218">(YEAR(C218)-2025)*1000+MONTH(C218)*31+DAY(C218)+A218</f>
        <v>1235</v>
      </c>
    </row>
    <row r="219" ht="16.6" customHeight="1">
      <c r="A219" s="22">
        <v>82</v>
      </c>
      <c r="B219" t="s" s="23">
        <v>272</v>
      </c>
      <c r="C219" t="s" s="23">
        <v>146</v>
      </c>
      <c r="D219" s="22">
        <v>0</v>
      </c>
      <c r="E219" s="22" cm="1">
        <f t="array" ref="E219">_xlfn.COUNTIFS(D2:D271,1,A2:A271,A219)</f>
        <v>1</v>
      </c>
      <c r="F219" s="22" cm="1">
        <f t="array" ref="F219">(YEAR(C219)-2025)*1000+MONTH(C219)*31+DAY(C219)+A219</f>
        <v>1234</v>
      </c>
    </row>
    <row r="220" ht="16.6" customHeight="1">
      <c r="A220" s="22">
        <v>82</v>
      </c>
      <c r="B220" t="s" s="23">
        <v>272</v>
      </c>
      <c r="C220" t="s" s="23">
        <v>146</v>
      </c>
      <c r="D220" s="22">
        <v>0</v>
      </c>
      <c r="E220" s="22" cm="1">
        <f t="array" ref="E220">_xlfn.COUNTIFS(D2:D271,1,A2:A271,A220)</f>
        <v>1</v>
      </c>
      <c r="F220" s="22" cm="1">
        <f t="array" ref="F220">(YEAR(C220)-2025)*1000+MONTH(C220)*31+DAY(C220)+A220</f>
        <v>1234</v>
      </c>
    </row>
    <row r="221" ht="16.6" customHeight="1">
      <c r="A221" s="22">
        <v>82</v>
      </c>
      <c r="B221" t="s" s="23">
        <v>272</v>
      </c>
      <c r="C221" t="s" s="23">
        <v>146</v>
      </c>
      <c r="D221" s="22">
        <v>1</v>
      </c>
      <c r="E221" s="22" cm="1">
        <f t="array" ref="E221">_xlfn.COUNTIFS(D2:D271,1,A2:A271,A221)</f>
        <v>1</v>
      </c>
      <c r="F221" s="22" cm="1">
        <f t="array" ref="F221">(YEAR(C221)-2025)*1000+MONTH(C221)*31+DAY(C221)+A221</f>
        <v>1234</v>
      </c>
    </row>
    <row r="222" ht="16.6" customHeight="1">
      <c r="A222" s="22">
        <v>77</v>
      </c>
      <c r="B222" t="s" s="23">
        <v>257</v>
      </c>
      <c r="C222" t="s" s="23">
        <v>146</v>
      </c>
      <c r="D222" s="22">
        <v>1</v>
      </c>
      <c r="E222" s="22" cm="1">
        <f t="array" ref="E222">_xlfn.COUNTIFS(D2:D271,1,A2:A271,A222)</f>
        <v>1</v>
      </c>
      <c r="F222" s="22" cm="1">
        <f t="array" ref="F222">(YEAR(C222)-2025)*1000+MONTH(C222)*31+DAY(C222)+A222</f>
        <v>1229</v>
      </c>
    </row>
    <row r="223" ht="16.6" customHeight="1">
      <c r="A223" s="22">
        <v>74</v>
      </c>
      <c r="B223" t="s" s="23">
        <v>248</v>
      </c>
      <c r="C223" t="s" s="23">
        <v>146</v>
      </c>
      <c r="D223" s="22">
        <v>1</v>
      </c>
      <c r="E223" s="22" cm="1">
        <f t="array" ref="E223">_xlfn.COUNTIFS(D2:D271,1,A2:A271,A223)</f>
        <v>1</v>
      </c>
      <c r="F223" s="22" cm="1">
        <f t="array" ref="F223">(YEAR(C223)-2025)*1000+MONTH(C223)*31+DAY(C223)+A223</f>
        <v>1226</v>
      </c>
    </row>
    <row r="224" ht="16.6" customHeight="1">
      <c r="A224" s="22">
        <v>73</v>
      </c>
      <c r="B224" t="s" s="23">
        <v>245</v>
      </c>
      <c r="C224" t="s" s="23">
        <v>156</v>
      </c>
      <c r="D224" s="22">
        <v>1</v>
      </c>
      <c r="E224" s="22" cm="1">
        <f t="array" ref="E224">_xlfn.COUNTIFS(D2:D271,1,A2:A271,A224)</f>
        <v>3</v>
      </c>
      <c r="F224" s="22" cm="1">
        <f t="array" ref="F224">(YEAR(C224)-2025)*1000+MONTH(C224)*31+DAY(C224)+A224</f>
        <v>1226</v>
      </c>
    </row>
    <row r="225" ht="16.6" customHeight="1">
      <c r="A225" s="22">
        <v>73</v>
      </c>
      <c r="B225" t="s" s="23">
        <v>245</v>
      </c>
      <c r="C225" t="s" s="23">
        <v>146</v>
      </c>
      <c r="D225" s="22">
        <v>0</v>
      </c>
      <c r="E225" s="22" cm="1">
        <f t="array" ref="E225">_xlfn.COUNTIFS(D2:D271,1,A2:A271,A225)</f>
        <v>3</v>
      </c>
      <c r="F225" s="22" cm="1">
        <f t="array" ref="F225">(YEAR(C225)-2025)*1000+MONTH(C225)*31+DAY(C225)+A225</f>
        <v>1225</v>
      </c>
    </row>
    <row r="226" ht="16.6" customHeight="1">
      <c r="A226" s="22">
        <v>73</v>
      </c>
      <c r="B226" t="s" s="23">
        <v>245</v>
      </c>
      <c r="C226" t="s" s="23">
        <v>146</v>
      </c>
      <c r="D226" s="22">
        <v>1</v>
      </c>
      <c r="E226" s="22" cm="1">
        <f t="array" ref="E226">_xlfn.COUNTIFS(D2:D271,1,A2:A271,A226)</f>
        <v>3</v>
      </c>
      <c r="F226" s="22" cm="1">
        <f t="array" ref="F226">(YEAR(C226)-2025)*1000+MONTH(C226)*31+DAY(C226)+A226</f>
        <v>1225</v>
      </c>
    </row>
    <row r="227" ht="16.6" customHeight="1">
      <c r="A227" s="22">
        <v>73</v>
      </c>
      <c r="B227" t="s" s="23">
        <v>245</v>
      </c>
      <c r="C227" t="s" s="23">
        <v>146</v>
      </c>
      <c r="D227" s="22">
        <v>1</v>
      </c>
      <c r="E227" s="22" cm="1">
        <f t="array" ref="E227">_xlfn.COUNTIFS(D2:D271,1,A2:A271,A227)</f>
        <v>3</v>
      </c>
      <c r="F227" s="22" cm="1">
        <f t="array" ref="F227">(YEAR(C227)-2025)*1000+MONTH(C227)*31+DAY(C227)+A227</f>
        <v>1225</v>
      </c>
    </row>
    <row r="228" ht="16.6" customHeight="1">
      <c r="A228" s="22">
        <v>68</v>
      </c>
      <c r="B228" t="s" s="23">
        <v>229</v>
      </c>
      <c r="C228" t="s" s="23">
        <v>146</v>
      </c>
      <c r="D228" s="22">
        <v>1</v>
      </c>
      <c r="E228" s="22" cm="1">
        <f t="array" ref="E228">_xlfn.COUNTIFS(D2:D271,1,A2:A271,A228)</f>
        <v>1</v>
      </c>
      <c r="F228" s="22" cm="1">
        <f t="array" ref="F228">(YEAR(C228)-2025)*1000+MONTH(C228)*31+DAY(C228)+A228</f>
        <v>1220</v>
      </c>
    </row>
    <row r="229" ht="16.6" customHeight="1">
      <c r="A229" s="22">
        <v>66</v>
      </c>
      <c r="B229" t="s" s="23">
        <v>223</v>
      </c>
      <c r="C229" t="s" s="23">
        <v>156</v>
      </c>
      <c r="D229" s="22">
        <v>1</v>
      </c>
      <c r="E229" s="22" cm="1">
        <f t="array" ref="E229">_xlfn.COUNTIFS(D2:D271,1,A2:A271,A229)</f>
        <v>3</v>
      </c>
      <c r="F229" s="22" cm="1">
        <f t="array" ref="F229">(YEAR(C229)-2025)*1000+MONTH(C229)*31+DAY(C229)+A229</f>
        <v>1219</v>
      </c>
    </row>
    <row r="230" ht="16.6" customHeight="1">
      <c r="A230" s="22">
        <v>66</v>
      </c>
      <c r="B230" t="s" s="23">
        <v>223</v>
      </c>
      <c r="C230" t="s" s="23">
        <v>146</v>
      </c>
      <c r="D230" s="22">
        <v>0</v>
      </c>
      <c r="E230" s="22" cm="1">
        <f t="array" ref="E230">_xlfn.COUNTIFS(D2:D271,1,A2:A271,A230)</f>
        <v>3</v>
      </c>
      <c r="F230" s="22" cm="1">
        <f t="array" ref="F230">(YEAR(C230)-2025)*1000+MONTH(C230)*31+DAY(C230)+A230</f>
        <v>1218</v>
      </c>
    </row>
    <row r="231" ht="16.6" customHeight="1">
      <c r="A231" s="22">
        <v>66</v>
      </c>
      <c r="B231" t="s" s="23">
        <v>223</v>
      </c>
      <c r="C231" t="s" s="23">
        <v>146</v>
      </c>
      <c r="D231" s="22">
        <v>1</v>
      </c>
      <c r="E231" s="22" cm="1">
        <f t="array" ref="E231">_xlfn.COUNTIFS(D2:D271,1,A2:A271,A231)</f>
        <v>3</v>
      </c>
      <c r="F231" s="22" cm="1">
        <f t="array" ref="F231">(YEAR(C231)-2025)*1000+MONTH(C231)*31+DAY(C231)+A231</f>
        <v>1218</v>
      </c>
    </row>
    <row r="232" ht="16.6" customHeight="1">
      <c r="A232" s="22">
        <v>66</v>
      </c>
      <c r="B232" t="s" s="23">
        <v>223</v>
      </c>
      <c r="C232" t="s" s="23">
        <v>146</v>
      </c>
      <c r="D232" s="22">
        <v>1</v>
      </c>
      <c r="E232" s="22" cm="1">
        <f t="array" ref="E232">_xlfn.COUNTIFS(D2:D271,1,A2:A271,A232)</f>
        <v>3</v>
      </c>
      <c r="F232" s="22" cm="1">
        <f t="array" ref="F232">(YEAR(C232)-2025)*1000+MONTH(C232)*31+DAY(C232)+A232</f>
        <v>1218</v>
      </c>
    </row>
    <row r="233" ht="16.6" customHeight="1">
      <c r="A233" s="22">
        <v>64</v>
      </c>
      <c r="B233" t="s" s="23">
        <v>217</v>
      </c>
      <c r="C233" t="s" s="23">
        <v>146</v>
      </c>
      <c r="D233" s="22">
        <v>0</v>
      </c>
      <c r="E233" s="22" cm="1">
        <f t="array" ref="E233">_xlfn.COUNTIFS(D2:D271,1,A2:A271,A233)</f>
        <v>1</v>
      </c>
      <c r="F233" s="22" cm="1">
        <f t="array" ref="F233">(YEAR(C233)-2025)*1000+MONTH(C233)*31+DAY(C233)+A233</f>
        <v>1216</v>
      </c>
    </row>
    <row r="234" ht="16.6" customHeight="1">
      <c r="A234" s="22">
        <v>64</v>
      </c>
      <c r="B234" t="s" s="23">
        <v>217</v>
      </c>
      <c r="C234" t="s" s="23">
        <v>146</v>
      </c>
      <c r="D234" s="22">
        <v>1</v>
      </c>
      <c r="E234" s="22" cm="1">
        <f t="array" ref="E234">_xlfn.COUNTIFS(D2:D271,1,A2:A271,A234)</f>
        <v>1</v>
      </c>
      <c r="F234" s="22" cm="1">
        <f t="array" ref="F234">(YEAR(C234)-2025)*1000+MONTH(C234)*31+DAY(C234)+A234</f>
        <v>1216</v>
      </c>
    </row>
    <row r="235" ht="16.6" customHeight="1">
      <c r="A235" s="22">
        <v>62</v>
      </c>
      <c r="B235" t="s" s="23">
        <v>211</v>
      </c>
      <c r="C235" t="s" s="23">
        <v>146</v>
      </c>
      <c r="D235" s="22">
        <v>1</v>
      </c>
      <c r="E235" s="22" cm="1">
        <f t="array" ref="E235">_xlfn.COUNTIFS(D2:D271,1,A2:A271,A235)</f>
        <v>1</v>
      </c>
      <c r="F235" s="22" cm="1">
        <f t="array" ref="F235">(YEAR(C235)-2025)*1000+MONTH(C235)*31+DAY(C235)+A235</f>
        <v>1214</v>
      </c>
    </row>
    <row r="236" ht="16.6" customHeight="1">
      <c r="A236" s="22">
        <v>61</v>
      </c>
      <c r="B236" t="s" s="23">
        <v>208</v>
      </c>
      <c r="C236" t="s" s="23">
        <v>146</v>
      </c>
      <c r="D236" s="22">
        <v>0</v>
      </c>
      <c r="E236" s="22" cm="1">
        <f t="array" ref="E236">_xlfn.COUNTIFS(D2:D271,1,A2:A271,A236)</f>
        <v>1</v>
      </c>
      <c r="F236" s="22" cm="1">
        <f t="array" ref="F236">(YEAR(C236)-2025)*1000+MONTH(C236)*31+DAY(C236)+A236</f>
        <v>1213</v>
      </c>
    </row>
    <row r="237" ht="16.6" customHeight="1">
      <c r="A237" s="22">
        <v>61</v>
      </c>
      <c r="B237" t="s" s="23">
        <v>208</v>
      </c>
      <c r="C237" t="s" s="23">
        <v>146</v>
      </c>
      <c r="D237" s="22">
        <v>1</v>
      </c>
      <c r="E237" s="22" cm="1">
        <f t="array" ref="E237">_xlfn.COUNTIFS(D2:D271,1,A2:A271,A237)</f>
        <v>1</v>
      </c>
      <c r="F237" s="22" cm="1">
        <f t="array" ref="F237">(YEAR(C237)-2025)*1000+MONTH(C237)*31+DAY(C237)+A237</f>
        <v>1213</v>
      </c>
    </row>
    <row r="238" ht="16.6" customHeight="1">
      <c r="A238" s="22">
        <v>60</v>
      </c>
      <c r="B238" t="s" s="23">
        <v>205</v>
      </c>
      <c r="C238" t="s" s="23">
        <v>146</v>
      </c>
      <c r="D238" s="22">
        <v>0</v>
      </c>
      <c r="E238" s="22" cm="1">
        <f t="array" ref="E238">_xlfn.COUNTIFS(D2:D271,1,A2:A271,A238)</f>
        <v>1</v>
      </c>
      <c r="F238" s="22" cm="1">
        <f t="array" ref="F238">(YEAR(C238)-2025)*1000+MONTH(C238)*31+DAY(C238)+A238</f>
        <v>1212</v>
      </c>
    </row>
    <row r="239" ht="16.6" customHeight="1">
      <c r="A239" s="22">
        <v>60</v>
      </c>
      <c r="B239" t="s" s="23">
        <v>205</v>
      </c>
      <c r="C239" t="s" s="23">
        <v>146</v>
      </c>
      <c r="D239" s="22">
        <v>0</v>
      </c>
      <c r="E239" s="22" cm="1">
        <f t="array" ref="E239">_xlfn.COUNTIFS(D2:D271,1,A2:A271,A239)</f>
        <v>1</v>
      </c>
      <c r="F239" s="22" cm="1">
        <f t="array" ref="F239">(YEAR(C239)-2025)*1000+MONTH(C239)*31+DAY(C239)+A239</f>
        <v>1212</v>
      </c>
    </row>
    <row r="240" ht="16.6" customHeight="1">
      <c r="A240" s="22">
        <v>60</v>
      </c>
      <c r="B240" t="s" s="23">
        <v>205</v>
      </c>
      <c r="C240" t="s" s="23">
        <v>146</v>
      </c>
      <c r="D240" s="22">
        <v>1</v>
      </c>
      <c r="E240" s="22" cm="1">
        <f t="array" ref="E240">_xlfn.COUNTIFS(D2:D271,1,A2:A271,A240)</f>
        <v>1</v>
      </c>
      <c r="F240" s="22" cm="1">
        <f t="array" ref="F240">(YEAR(C240)-2025)*1000+MONTH(C240)*31+DAY(C240)+A240</f>
        <v>1212</v>
      </c>
    </row>
    <row r="241" ht="16.6" customHeight="1">
      <c r="A241" s="22">
        <v>58</v>
      </c>
      <c r="B241" t="s" s="23">
        <v>198</v>
      </c>
      <c r="C241" t="s" s="23">
        <v>146</v>
      </c>
      <c r="D241" s="22">
        <v>1</v>
      </c>
      <c r="E241" s="22" cm="1">
        <f t="array" ref="E241">_xlfn.COUNTIFS(D2:D271,1,A2:A271,A241)</f>
        <v>1</v>
      </c>
      <c r="F241" s="22" cm="1">
        <f t="array" ref="F241">(YEAR(C241)-2025)*1000+MONTH(C241)*31+DAY(C241)+A241</f>
        <v>1210</v>
      </c>
    </row>
    <row r="242" ht="16.6" customHeight="1">
      <c r="A242" s="22">
        <v>57</v>
      </c>
      <c r="B242" t="s" s="23">
        <v>195</v>
      </c>
      <c r="C242" t="s" s="23">
        <v>146</v>
      </c>
      <c r="D242" s="22">
        <v>0</v>
      </c>
      <c r="E242" s="22" cm="1">
        <f t="array" ref="E242">_xlfn.COUNTIFS(D2:D271,1,A2:A271,A242)</f>
        <v>1</v>
      </c>
      <c r="F242" s="22" cm="1">
        <f t="array" ref="F242">(YEAR(C242)-2025)*1000+MONTH(C242)*31+DAY(C242)+A242</f>
        <v>1209</v>
      </c>
    </row>
    <row r="243" ht="16.6" customHeight="1">
      <c r="A243" s="22">
        <v>57</v>
      </c>
      <c r="B243" t="s" s="23">
        <v>195</v>
      </c>
      <c r="C243" t="s" s="23">
        <v>146</v>
      </c>
      <c r="D243" s="22">
        <v>1</v>
      </c>
      <c r="E243" s="22" cm="1">
        <f t="array" ref="E243">_xlfn.COUNTIFS(D2:D271,1,A2:A271,A243)</f>
        <v>1</v>
      </c>
      <c r="F243" s="22" cm="1">
        <f t="array" ref="F243">(YEAR(C243)-2025)*1000+MONTH(C243)*31+DAY(C243)+A243</f>
        <v>1209</v>
      </c>
    </row>
    <row r="244" ht="16.6" customHeight="1">
      <c r="A244" s="22">
        <v>56</v>
      </c>
      <c r="B244" t="s" s="23">
        <v>192</v>
      </c>
      <c r="C244" t="s" s="23">
        <v>156</v>
      </c>
      <c r="D244" s="22">
        <v>1</v>
      </c>
      <c r="E244" s="22" cm="1">
        <f t="array" ref="E244">_xlfn.COUNTIFS(D2:D271,1,A2:A271,A244)</f>
        <v>3</v>
      </c>
      <c r="F244" s="22" cm="1">
        <f t="array" ref="F244">(YEAR(C244)-2025)*1000+MONTH(C244)*31+DAY(C244)+A244</f>
        <v>1209</v>
      </c>
    </row>
    <row r="245" ht="16.6" customHeight="1">
      <c r="A245" s="22">
        <v>56</v>
      </c>
      <c r="B245" t="s" s="23">
        <v>192</v>
      </c>
      <c r="C245" t="s" s="23">
        <v>146</v>
      </c>
      <c r="D245" s="22">
        <v>0</v>
      </c>
      <c r="E245" s="22" cm="1">
        <f t="array" ref="E245">_xlfn.COUNTIFS(D2:D271,1,A2:A271,A245)</f>
        <v>3</v>
      </c>
      <c r="F245" s="22" cm="1">
        <f t="array" ref="F245">(YEAR(C245)-2025)*1000+MONTH(C245)*31+DAY(C245)+A245</f>
        <v>1208</v>
      </c>
    </row>
    <row r="246" ht="16.6" customHeight="1">
      <c r="A246" s="22">
        <v>56</v>
      </c>
      <c r="B246" t="s" s="23">
        <v>192</v>
      </c>
      <c r="C246" t="s" s="23">
        <v>146</v>
      </c>
      <c r="D246" s="22">
        <v>1</v>
      </c>
      <c r="E246" s="22" cm="1">
        <f t="array" ref="E246">_xlfn.COUNTIFS(D2:D271,1,A2:A271,A246)</f>
        <v>3</v>
      </c>
      <c r="F246" s="22" cm="1">
        <f t="array" ref="F246">(YEAR(C246)-2025)*1000+MONTH(C246)*31+DAY(C246)+A246</f>
        <v>1208</v>
      </c>
    </row>
    <row r="247" ht="16.6" customHeight="1">
      <c r="A247" s="22">
        <v>56</v>
      </c>
      <c r="B247" t="s" s="23">
        <v>192</v>
      </c>
      <c r="C247" t="s" s="23">
        <v>146</v>
      </c>
      <c r="D247" s="22">
        <v>1</v>
      </c>
      <c r="E247" s="22" cm="1">
        <f t="array" ref="E247">_xlfn.COUNTIFS(D2:D271,1,A2:A271,A247)</f>
        <v>3</v>
      </c>
      <c r="F247" s="22" cm="1">
        <f t="array" ref="F247">(YEAR(C247)-2025)*1000+MONTH(C247)*31+DAY(C247)+A247</f>
        <v>1208</v>
      </c>
    </row>
    <row r="248" ht="16.6" customHeight="1">
      <c r="A248" s="22">
        <v>55</v>
      </c>
      <c r="B248" t="s" s="23">
        <v>189</v>
      </c>
      <c r="C248" t="s" s="23">
        <v>146</v>
      </c>
      <c r="D248" s="22">
        <v>1</v>
      </c>
      <c r="E248" s="22" cm="1">
        <f t="array" ref="E248">_xlfn.COUNTIFS(D2:D271,1,A2:A271,A248)</f>
        <v>1</v>
      </c>
      <c r="F248" s="22" cm="1">
        <f t="array" ref="F248">(YEAR(C248)-2025)*1000+MONTH(C248)*31+DAY(C248)+A248</f>
        <v>1207</v>
      </c>
    </row>
    <row r="249" ht="16.6" customHeight="1">
      <c r="A249" s="22">
        <v>52</v>
      </c>
      <c r="B249" t="s" s="23">
        <v>180</v>
      </c>
      <c r="C249" t="s" s="23">
        <v>146</v>
      </c>
      <c r="D249" s="22">
        <v>0</v>
      </c>
      <c r="E249" s="22" cm="1">
        <f t="array" ref="E249">_xlfn.COUNTIFS(D2:D271,1,A2:A271,A249)</f>
        <v>1</v>
      </c>
      <c r="F249" s="22" cm="1">
        <f t="array" ref="F249">(YEAR(C249)-2025)*1000+MONTH(C249)*31+DAY(C249)+A249</f>
        <v>1204</v>
      </c>
    </row>
    <row r="250" ht="16.6" customHeight="1">
      <c r="A250" s="22">
        <v>52</v>
      </c>
      <c r="B250" t="s" s="23">
        <v>180</v>
      </c>
      <c r="C250" t="s" s="23">
        <v>146</v>
      </c>
      <c r="D250" s="22">
        <v>1</v>
      </c>
      <c r="E250" s="22" cm="1">
        <f t="array" ref="E250">_xlfn.COUNTIFS(D2:D271,1,A2:A271,A250)</f>
        <v>1</v>
      </c>
      <c r="F250" s="22" cm="1">
        <f t="array" ref="F250">(YEAR(C250)-2025)*1000+MONTH(C250)*31+DAY(C250)+A250</f>
        <v>1204</v>
      </c>
    </row>
    <row r="251" ht="16.6" customHeight="1">
      <c r="A251" s="22">
        <v>51</v>
      </c>
      <c r="B251" t="s" s="23">
        <v>177</v>
      </c>
      <c r="C251" t="s" s="23">
        <v>156</v>
      </c>
      <c r="D251" s="22">
        <v>1</v>
      </c>
      <c r="E251" s="22" cm="1">
        <f t="array" ref="E251">_xlfn.COUNTIFS(D2:D271,1,A2:A271,A251)</f>
        <v>3</v>
      </c>
      <c r="F251" s="22" cm="1">
        <f t="array" ref="F251">(YEAR(C251)-2025)*1000+MONTH(C251)*31+DAY(C251)+A251</f>
        <v>1204</v>
      </c>
    </row>
    <row r="252" ht="16.6" customHeight="1">
      <c r="A252" s="22">
        <v>51</v>
      </c>
      <c r="B252" t="s" s="23">
        <v>177</v>
      </c>
      <c r="C252" t="s" s="23">
        <v>156</v>
      </c>
      <c r="D252" s="22">
        <v>1</v>
      </c>
      <c r="E252" s="22" cm="1">
        <f t="array" ref="E252">_xlfn.COUNTIFS(D2:D271,1,A2:A271,A252)</f>
        <v>3</v>
      </c>
      <c r="F252" s="22" cm="1">
        <f t="array" ref="F252">(YEAR(C252)-2025)*1000+MONTH(C252)*31+DAY(C252)+A252</f>
        <v>1204</v>
      </c>
    </row>
    <row r="253" ht="16.6" customHeight="1">
      <c r="A253" s="22">
        <v>51</v>
      </c>
      <c r="B253" t="s" s="23">
        <v>177</v>
      </c>
      <c r="C253" t="s" s="23">
        <v>146</v>
      </c>
      <c r="D253" s="22">
        <v>0</v>
      </c>
      <c r="E253" s="22" cm="1">
        <f t="array" ref="E253">_xlfn.COUNTIFS(D2:D271,1,A2:A271,A253)</f>
        <v>3</v>
      </c>
      <c r="F253" s="22" cm="1">
        <f t="array" ref="F253">(YEAR(C253)-2025)*1000+MONTH(C253)*31+DAY(C253)+A253</f>
        <v>1203</v>
      </c>
    </row>
    <row r="254" ht="16.6" customHeight="1">
      <c r="A254" s="22">
        <v>51</v>
      </c>
      <c r="B254" t="s" s="23">
        <v>177</v>
      </c>
      <c r="C254" t="s" s="23">
        <v>146</v>
      </c>
      <c r="D254" s="22">
        <v>1</v>
      </c>
      <c r="E254" s="22" cm="1">
        <f t="array" ref="E254">_xlfn.COUNTIFS(D2:D271,1,A2:A271,A254)</f>
        <v>3</v>
      </c>
      <c r="F254" s="22" cm="1">
        <f t="array" ref="F254">(YEAR(C254)-2025)*1000+MONTH(C254)*31+DAY(C254)+A254</f>
        <v>1203</v>
      </c>
    </row>
    <row r="255" ht="16.6" customHeight="1">
      <c r="A255" s="22">
        <v>51</v>
      </c>
      <c r="B255" t="s" s="23">
        <v>177</v>
      </c>
      <c r="C255" t="s" s="23">
        <v>146</v>
      </c>
      <c r="D255" s="22">
        <v>0</v>
      </c>
      <c r="E255" s="22" cm="1">
        <f t="array" ref="E255">_xlfn.COUNTIFS(D2:D271,1,A2:A271,A255)</f>
        <v>3</v>
      </c>
      <c r="F255" s="22" cm="1">
        <f t="array" ref="F255">(YEAR(C255)-2025)*1000+MONTH(C255)*31+DAY(C255)+A255</f>
        <v>1203</v>
      </c>
    </row>
    <row r="256" ht="16.6" customHeight="1">
      <c r="A256" s="22">
        <v>50</v>
      </c>
      <c r="B256" t="s" s="23">
        <v>174</v>
      </c>
      <c r="C256" t="s" s="23">
        <v>146</v>
      </c>
      <c r="D256" s="22">
        <v>0</v>
      </c>
      <c r="E256" s="22" cm="1">
        <f t="array" ref="E256">_xlfn.COUNTIFS(D2:D271,1,A2:A271,A256)</f>
        <v>1</v>
      </c>
      <c r="F256" s="22" cm="1">
        <f t="array" ref="F256">(YEAR(C256)-2025)*1000+MONTH(C256)*31+DAY(C256)+A256</f>
        <v>1202</v>
      </c>
    </row>
    <row r="257" ht="16.6" customHeight="1">
      <c r="A257" s="22">
        <v>50</v>
      </c>
      <c r="B257" t="s" s="23">
        <v>174</v>
      </c>
      <c r="C257" t="s" s="23">
        <v>146</v>
      </c>
      <c r="D257" s="22">
        <v>1</v>
      </c>
      <c r="E257" s="22" cm="1">
        <f t="array" ref="E257">_xlfn.COUNTIFS(D2:D271,1,A2:A271,A257)</f>
        <v>1</v>
      </c>
      <c r="F257" s="22" cm="1">
        <f t="array" ref="F257">(YEAR(C257)-2025)*1000+MONTH(C257)*31+DAY(C257)+A257</f>
        <v>1202</v>
      </c>
    </row>
    <row r="258" ht="16.6" customHeight="1">
      <c r="A258" s="22">
        <v>49</v>
      </c>
      <c r="B258" t="s" s="23">
        <v>171</v>
      </c>
      <c r="C258" t="s" s="23">
        <v>146</v>
      </c>
      <c r="D258" s="22">
        <v>0</v>
      </c>
      <c r="E258" s="22" cm="1">
        <f t="array" ref="E258">_xlfn.COUNTIFS(D2:D271,1,A2:A271,A258)</f>
        <v>1</v>
      </c>
      <c r="F258" s="22" cm="1">
        <f t="array" ref="F258">(YEAR(C258)-2025)*1000+MONTH(C258)*31+DAY(C258)+A258</f>
        <v>1201</v>
      </c>
    </row>
    <row r="259" ht="16.6" customHeight="1">
      <c r="A259" s="22">
        <v>49</v>
      </c>
      <c r="B259" t="s" s="23">
        <v>171</v>
      </c>
      <c r="C259" t="s" s="23">
        <v>146</v>
      </c>
      <c r="D259" s="22">
        <v>1</v>
      </c>
      <c r="E259" s="22" cm="1">
        <f t="array" ref="E259">_xlfn.COUNTIFS(D2:D271,1,A2:A271,A259)</f>
        <v>1</v>
      </c>
      <c r="F259" s="22" cm="1">
        <f t="array" ref="F259">(YEAR(C259)-2025)*1000+MONTH(C259)*31+DAY(C259)+A259</f>
        <v>1201</v>
      </c>
    </row>
    <row r="260" ht="16.6" customHeight="1">
      <c r="A260" s="22">
        <v>45</v>
      </c>
      <c r="B260" t="s" s="23">
        <v>159</v>
      </c>
      <c r="C260" t="s" s="23">
        <v>146</v>
      </c>
      <c r="D260" s="22">
        <v>0</v>
      </c>
      <c r="E260" s="22" cm="1">
        <f t="array" ref="E260">_xlfn.COUNTIFS(D2:D271,1,A2:A271,A260)</f>
        <v>1</v>
      </c>
      <c r="F260" s="22" cm="1">
        <f t="array" ref="F260">(YEAR(C260)-2025)*1000+MONTH(C260)*31+DAY(C260)+A260</f>
        <v>1197</v>
      </c>
    </row>
    <row r="261" ht="16.6" customHeight="1">
      <c r="A261" s="22">
        <v>45</v>
      </c>
      <c r="B261" t="s" s="23">
        <v>159</v>
      </c>
      <c r="C261" t="s" s="23">
        <v>146</v>
      </c>
      <c r="D261" s="22">
        <v>1</v>
      </c>
      <c r="E261" s="22" cm="1">
        <f t="array" ref="E261">_xlfn.COUNTIFS(D2:D271,1,A2:A271,A261)</f>
        <v>1</v>
      </c>
      <c r="F261" s="22" cm="1">
        <f t="array" ref="F261">(YEAR(C261)-2025)*1000+MONTH(C261)*31+DAY(C261)+A261</f>
        <v>1197</v>
      </c>
    </row>
    <row r="262" ht="16.6" customHeight="1">
      <c r="A262" s="22">
        <v>44</v>
      </c>
      <c r="B262" t="s" s="23">
        <v>155</v>
      </c>
      <c r="C262" t="s" s="23">
        <v>156</v>
      </c>
      <c r="D262" s="22">
        <v>1</v>
      </c>
      <c r="E262" s="22" cm="1">
        <f t="array" ref="E262">_xlfn.COUNTIFS(D2:D271,1,A2:A271,A262)</f>
        <v>3</v>
      </c>
      <c r="F262" s="22" cm="1">
        <f t="array" ref="F262">(YEAR(C262)-2025)*1000+MONTH(C262)*31+DAY(C262)+A262</f>
        <v>1197</v>
      </c>
    </row>
    <row r="263" ht="16.6" customHeight="1">
      <c r="A263" s="22">
        <v>44</v>
      </c>
      <c r="B263" t="s" s="23">
        <v>155</v>
      </c>
      <c r="C263" t="s" s="23">
        <v>156</v>
      </c>
      <c r="D263" s="22">
        <v>1</v>
      </c>
      <c r="E263" s="22" cm="1">
        <f t="array" ref="E263">_xlfn.COUNTIFS(D2:D271,1,A2:A271,A263)</f>
        <v>3</v>
      </c>
      <c r="F263" s="22" cm="1">
        <f t="array" ref="F263">(YEAR(C263)-2025)*1000+MONTH(C263)*31+DAY(C263)+A263</f>
        <v>1197</v>
      </c>
    </row>
    <row r="264" ht="16.6" customHeight="1">
      <c r="A264" s="22">
        <v>44</v>
      </c>
      <c r="B264" t="s" s="23">
        <v>155</v>
      </c>
      <c r="C264" t="s" s="23">
        <v>146</v>
      </c>
      <c r="D264" s="22">
        <v>0</v>
      </c>
      <c r="E264" s="22" cm="1">
        <f t="array" ref="E264">_xlfn.COUNTIFS(D2:D271,1,A2:A271,A264)</f>
        <v>3</v>
      </c>
      <c r="F264" s="22" cm="1">
        <f t="array" ref="F264">(YEAR(C264)-2025)*1000+MONTH(C264)*31+DAY(C264)+A264</f>
        <v>1196</v>
      </c>
    </row>
    <row r="265" ht="16.6" customHeight="1">
      <c r="A265" s="22">
        <v>44</v>
      </c>
      <c r="B265" t="s" s="23">
        <v>155</v>
      </c>
      <c r="C265" t="s" s="23">
        <v>146</v>
      </c>
      <c r="D265" s="22">
        <v>0</v>
      </c>
      <c r="E265" s="22" cm="1">
        <f t="array" ref="E265">_xlfn.COUNTIFS(D2:D271,1,A2:A271,A265)</f>
        <v>3</v>
      </c>
      <c r="F265" s="22" cm="1">
        <f t="array" ref="F265">(YEAR(C265)-2025)*1000+MONTH(C265)*31+DAY(C265)+A265</f>
        <v>1196</v>
      </c>
    </row>
    <row r="266" ht="16.6" customHeight="1">
      <c r="A266" s="22">
        <v>44</v>
      </c>
      <c r="B266" t="s" s="23">
        <v>155</v>
      </c>
      <c r="C266" t="s" s="23">
        <v>146</v>
      </c>
      <c r="D266" s="22">
        <v>1</v>
      </c>
      <c r="E266" s="22" cm="1">
        <f t="array" ref="E266">_xlfn.COUNTIFS(D2:D271,1,A2:A271,A266)</f>
        <v>3</v>
      </c>
      <c r="F266" s="22" cm="1">
        <f t="array" ref="F266">(YEAR(C266)-2025)*1000+MONTH(C266)*31+DAY(C266)+A266</f>
        <v>1196</v>
      </c>
    </row>
    <row r="267" ht="16.6" customHeight="1">
      <c r="A267" s="22">
        <v>43</v>
      </c>
      <c r="B267" t="s" s="23">
        <v>152</v>
      </c>
      <c r="C267" t="s" s="23">
        <v>146</v>
      </c>
      <c r="D267" s="22">
        <v>0</v>
      </c>
      <c r="E267" s="22" cm="1">
        <f t="array" ref="E267">_xlfn.COUNTIFS(D2:D271,1,A2:A271,A267)</f>
        <v>1</v>
      </c>
      <c r="F267" s="22" cm="1">
        <f t="array" ref="F267">(YEAR(C267)-2025)*1000+MONTH(C267)*31+DAY(C267)+A267</f>
        <v>1195</v>
      </c>
    </row>
    <row r="268" ht="16.6" customHeight="1">
      <c r="A268" s="22">
        <v>43</v>
      </c>
      <c r="B268" t="s" s="23">
        <v>152</v>
      </c>
      <c r="C268" t="s" s="23">
        <v>146</v>
      </c>
      <c r="D268" s="22">
        <v>1</v>
      </c>
      <c r="E268" s="22" cm="1">
        <f t="array" ref="E268">_xlfn.COUNTIFS(D2:D271,1,A2:A271,A268)</f>
        <v>1</v>
      </c>
      <c r="F268" s="22" cm="1">
        <f t="array" ref="F268">(YEAR(C268)-2025)*1000+MONTH(C268)*31+DAY(C268)+A268</f>
        <v>1195</v>
      </c>
    </row>
    <row r="269" ht="16.6" customHeight="1">
      <c r="A269" s="22">
        <v>42</v>
      </c>
      <c r="B269" t="s" s="23">
        <v>149</v>
      </c>
      <c r="C269" t="s" s="23">
        <v>146</v>
      </c>
      <c r="D269" s="22">
        <v>0</v>
      </c>
      <c r="E269" s="22" cm="1">
        <f t="array" ref="E269">_xlfn.COUNTIFS(D2:D271,1,A2:A271,A269)</f>
        <v>1</v>
      </c>
      <c r="F269" s="22" cm="1">
        <f t="array" ref="F269">(YEAR(C269)-2025)*1000+MONTH(C269)*31+DAY(C269)+A269</f>
        <v>1194</v>
      </c>
    </row>
    <row r="270" ht="16.6" customHeight="1">
      <c r="A270" s="22">
        <v>42</v>
      </c>
      <c r="B270" t="s" s="23">
        <v>149</v>
      </c>
      <c r="C270" t="s" s="23">
        <v>146</v>
      </c>
      <c r="D270" s="22">
        <v>1</v>
      </c>
      <c r="E270" s="22" cm="1">
        <f t="array" ref="E270">_xlfn.COUNTIFS(D2:D271,1,A2:A271,A270)</f>
        <v>1</v>
      </c>
      <c r="F270" s="22" cm="1">
        <f t="array" ref="F270">(YEAR(C270)-2025)*1000+MONTH(C270)*31+DAY(C270)+A270</f>
        <v>1194</v>
      </c>
    </row>
    <row r="271" ht="16.6" customHeight="1">
      <c r="A271" s="22">
        <v>41</v>
      </c>
      <c r="B271" t="s" s="23">
        <v>145</v>
      </c>
      <c r="C271" t="s" s="23">
        <v>146</v>
      </c>
      <c r="D271" s="22">
        <v>1</v>
      </c>
      <c r="E271" s="22" cm="1">
        <f t="array" ref="E271">_xlfn.COUNTIFS(D2:D271,1,A2:A271,A271)</f>
        <v>1</v>
      </c>
      <c r="F271" s="22" cm="1">
        <f t="array" ref="F271">(YEAR(C271)-2025)*1000+MONTH(C271)*31+DAY(C271)+A271</f>
        <v>1193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&amp;C&amp;"Arial,Regular"&amp;12&amp;K000000&amp;P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8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.9" customHeight="1" outlineLevelRow="0" outlineLevelCol="0"/>
  <cols>
    <col min="1" max="1" width="8.35156" style="24" customWidth="1"/>
    <col min="2" max="2" width="8.67188" style="24" customWidth="1"/>
    <col min="3" max="3" width="12.1719" style="24" customWidth="1"/>
    <col min="4" max="4" width="3.35156" style="24" customWidth="1"/>
    <col min="5" max="16384" width="16.3516" style="24" customWidth="1"/>
  </cols>
  <sheetData>
    <row r="1" ht="19" customHeight="1">
      <c r="A1" t="s" s="25">
        <v>2231</v>
      </c>
      <c r="B1" s="25"/>
      <c r="C1" s="25"/>
      <c r="D1" s="25"/>
    </row>
    <row r="2" ht="15.15" customHeight="1">
      <c r="A2" s="26"/>
      <c r="B2" t="s" s="27">
        <v>9</v>
      </c>
      <c r="C2" t="s" s="28">
        <v>2232</v>
      </c>
      <c r="D2" t="s" s="28">
        <v>2233</v>
      </c>
    </row>
    <row r="3" ht="18.6" customHeight="1">
      <c r="A3" t="s" s="29">
        <v>2234</v>
      </c>
      <c r="B3" s="30"/>
      <c r="C3" t="s" s="29">
        <v>2235</v>
      </c>
      <c r="D3" s="30"/>
    </row>
    <row r="4" ht="15.65" customHeight="1">
      <c r="A4" s="31">
        <v>46082</v>
      </c>
      <c r="B4" s="32"/>
      <c r="C4" s="33">
        <f>SUM(C5:C28)</f>
        <v>0</v>
      </c>
      <c r="D4" s="32"/>
    </row>
    <row r="5" ht="16.25" customHeight="1" hidden="1">
      <c r="A5" s="34"/>
      <c r="B5" s="35">
        <v>46089</v>
      </c>
      <c r="C5" s="36" cm="1">
        <f t="array" ref="C5">COUNTIF('문장'!J2:J724,B5)</f>
        <v>0</v>
      </c>
      <c r="D5" s="36" cm="1">
        <f t="array" ref="D5">COUNTIF('외운 것'!C2:C271,B5)/30</f>
        <v>0</v>
      </c>
    </row>
    <row r="6" ht="16.25" customHeight="1" hidden="1">
      <c r="A6" s="34"/>
      <c r="B6" s="35">
        <v>46090</v>
      </c>
      <c r="C6" s="36" cm="1">
        <f t="array" ref="C6">COUNTIF('문장'!J2:J724,B6)</f>
        <v>0</v>
      </c>
      <c r="D6" s="36" cm="1">
        <f t="array" ref="D6">COUNTIF('외운 것'!C2:C271,B6)/30</f>
        <v>0</v>
      </c>
    </row>
    <row r="7" ht="16.25" customHeight="1" hidden="1">
      <c r="A7" s="34"/>
      <c r="B7" s="35">
        <v>46091</v>
      </c>
      <c r="C7" s="36" cm="1">
        <f t="array" ref="C7">COUNTIF('문장'!J2:J724,B7)</f>
        <v>0</v>
      </c>
      <c r="D7" s="36" cm="1">
        <f t="array" ref="D7">COUNTIF('외운 것'!C2:C271,B7)/30</f>
        <v>0</v>
      </c>
    </row>
    <row r="8" ht="16.25" customHeight="1" hidden="1">
      <c r="A8" s="34"/>
      <c r="B8" s="35">
        <v>46092</v>
      </c>
      <c r="C8" s="36" cm="1">
        <f t="array" ref="C8">COUNTIF('문장'!J2:J724,B8)</f>
        <v>0</v>
      </c>
      <c r="D8" s="36" cm="1">
        <f t="array" ref="D8">COUNTIF('외운 것'!C2:C271,B8)/30</f>
        <v>0</v>
      </c>
    </row>
    <row r="9" ht="16.25" customHeight="1" hidden="1">
      <c r="A9" s="34"/>
      <c r="B9" s="35">
        <v>46093</v>
      </c>
      <c r="C9" s="36" cm="1">
        <f t="array" ref="C9">COUNTIF('문장'!J2:J724,B9)</f>
        <v>0</v>
      </c>
      <c r="D9" s="36" cm="1">
        <f t="array" ref="D9">COUNTIF('외운 것'!C2:C271,B9)/30</f>
        <v>0</v>
      </c>
    </row>
    <row r="10" ht="16.25" customHeight="1" hidden="1">
      <c r="A10" s="34"/>
      <c r="B10" s="35">
        <v>46094</v>
      </c>
      <c r="C10" s="36" cm="1">
        <f t="array" ref="C10">COUNTIF('문장'!J2:J724,B10)</f>
        <v>0</v>
      </c>
      <c r="D10" s="36" cm="1">
        <f t="array" ref="D10">COUNTIF('외운 것'!C2:C271,B10)/30</f>
        <v>0</v>
      </c>
    </row>
    <row r="11" ht="16.25" customHeight="1" hidden="1">
      <c r="A11" s="34"/>
      <c r="B11" s="35">
        <v>46095</v>
      </c>
      <c r="C11" s="36" cm="1">
        <f t="array" ref="C11">COUNTIF('문장'!J2:J724,B11)</f>
        <v>0</v>
      </c>
      <c r="D11" s="36" cm="1">
        <f t="array" ref="D11">COUNTIF('외운 것'!C2:C271,B11)/30</f>
        <v>0</v>
      </c>
    </row>
    <row r="12" ht="16.25" customHeight="1" hidden="1">
      <c r="A12" s="34"/>
      <c r="B12" s="35">
        <v>46096</v>
      </c>
      <c r="C12" s="36" cm="1">
        <f t="array" ref="C12">COUNTIF('문장'!J2:J724,B12)</f>
        <v>0</v>
      </c>
      <c r="D12" s="36" cm="1">
        <f t="array" ref="D12">COUNTIF('외운 것'!C2:C271,B12)/30</f>
        <v>0</v>
      </c>
    </row>
    <row r="13" ht="16.25" customHeight="1" hidden="1">
      <c r="A13" s="34"/>
      <c r="B13" s="35">
        <v>46097</v>
      </c>
      <c r="C13" s="36" cm="1">
        <f t="array" ref="C13">COUNTIF('문장'!J2:J724,B13)</f>
        <v>0</v>
      </c>
      <c r="D13" s="36" cm="1">
        <f t="array" ref="D13">COUNTIF('외운 것'!C2:C271,B13)/30</f>
        <v>0</v>
      </c>
    </row>
    <row r="14" ht="16.25" customHeight="1" hidden="1">
      <c r="A14" s="34"/>
      <c r="B14" s="35">
        <v>46098</v>
      </c>
      <c r="C14" s="36" cm="1">
        <f t="array" ref="C14">COUNTIF('문장'!J2:J724,B14)</f>
        <v>0</v>
      </c>
      <c r="D14" s="36" cm="1">
        <f t="array" ref="D14">COUNTIF('외운 것'!C2:C271,B14)/30</f>
        <v>0</v>
      </c>
    </row>
    <row r="15" ht="16.25" customHeight="1" hidden="1">
      <c r="A15" s="34"/>
      <c r="B15" s="35">
        <v>46099</v>
      </c>
      <c r="C15" s="36" cm="1">
        <f t="array" ref="C15">COUNTIF('문장'!J2:J724,B15)</f>
        <v>0</v>
      </c>
      <c r="D15" s="36" cm="1">
        <f t="array" ref="D15">COUNTIF('외운 것'!C2:C271,B15)/30</f>
        <v>0</v>
      </c>
    </row>
    <row r="16" ht="16.25" customHeight="1" hidden="1">
      <c r="A16" s="34"/>
      <c r="B16" s="35">
        <v>46100</v>
      </c>
      <c r="C16" s="36" cm="1">
        <f t="array" ref="C16">COUNTIF('문장'!J2:J724,B16)</f>
        <v>0</v>
      </c>
      <c r="D16" s="36" cm="1">
        <f t="array" ref="D16">COUNTIF('외운 것'!C2:C271,B16)/30</f>
        <v>0</v>
      </c>
    </row>
    <row r="17" ht="16.25" customHeight="1" hidden="1">
      <c r="A17" s="34"/>
      <c r="B17" s="35">
        <v>46101</v>
      </c>
      <c r="C17" s="36" cm="1">
        <f t="array" ref="C17">COUNTIF('문장'!J2:J724,B17)</f>
        <v>0</v>
      </c>
      <c r="D17" s="36" cm="1">
        <f t="array" ref="D17">COUNTIF('외운 것'!C2:C271,B17)/30</f>
        <v>0</v>
      </c>
    </row>
    <row r="18" ht="16.25" customHeight="1" hidden="1">
      <c r="A18" s="34"/>
      <c r="B18" s="35">
        <v>46102</v>
      </c>
      <c r="C18" s="36" cm="1">
        <f t="array" ref="C18">COUNTIF('문장'!J2:J724,B18)</f>
        <v>0</v>
      </c>
      <c r="D18" s="36" cm="1">
        <f t="array" ref="D18">COUNTIF('외운 것'!C2:C271,B18)/30</f>
        <v>0</v>
      </c>
    </row>
    <row r="19" ht="16.25" customHeight="1" hidden="1">
      <c r="A19" s="34"/>
      <c r="B19" s="35">
        <v>46103</v>
      </c>
      <c r="C19" s="36" cm="1">
        <f t="array" ref="C19">COUNTIF('문장'!J2:J724,B19)</f>
        <v>0</v>
      </c>
      <c r="D19" s="36" cm="1">
        <f t="array" ref="D19">COUNTIF('외운 것'!C2:C271,B19)/30</f>
        <v>0</v>
      </c>
    </row>
    <row r="20" ht="16.25" customHeight="1" hidden="1">
      <c r="A20" s="34"/>
      <c r="B20" s="35">
        <v>46104</v>
      </c>
      <c r="C20" s="36" cm="1">
        <f t="array" ref="C20">COUNTIF('문장'!J2:J724,B20)</f>
        <v>0</v>
      </c>
      <c r="D20" s="36" cm="1">
        <f t="array" ref="D20">COUNTIF('외운 것'!C2:C271,B20)/30</f>
        <v>0</v>
      </c>
    </row>
    <row r="21" ht="16.25" customHeight="1" hidden="1">
      <c r="A21" s="34"/>
      <c r="B21" s="35">
        <v>46105</v>
      </c>
      <c r="C21" s="36" cm="1">
        <f t="array" ref="C21">COUNTIF('문장'!J2:J724,B21)</f>
        <v>0</v>
      </c>
      <c r="D21" s="36" cm="1">
        <f t="array" ref="D21">COUNTIF('외운 것'!C2:C271,B21)/30</f>
        <v>0</v>
      </c>
    </row>
    <row r="22" ht="16.25" customHeight="1" hidden="1">
      <c r="A22" s="34"/>
      <c r="B22" s="35">
        <v>46106</v>
      </c>
      <c r="C22" s="36" cm="1">
        <f t="array" ref="C22">COUNTIF('문장'!J2:J724,B22)</f>
        <v>0</v>
      </c>
      <c r="D22" s="36" cm="1">
        <f t="array" ref="D22">COUNTIF('외운 것'!C2:C271,B22)/30</f>
        <v>0</v>
      </c>
    </row>
    <row r="23" ht="16.25" customHeight="1" hidden="1">
      <c r="A23" s="34"/>
      <c r="B23" s="35">
        <v>46107</v>
      </c>
      <c r="C23" s="36" cm="1">
        <f t="array" ref="C23">COUNTIF('문장'!J2:J724,B23)</f>
        <v>0</v>
      </c>
      <c r="D23" s="36" cm="1">
        <f t="array" ref="D23">COUNTIF('외운 것'!C2:C271,B23)/30</f>
        <v>0</v>
      </c>
    </row>
    <row r="24" ht="16.25" customHeight="1" hidden="1">
      <c r="A24" s="34"/>
      <c r="B24" s="35">
        <v>46108</v>
      </c>
      <c r="C24" s="36" cm="1">
        <f t="array" ref="C24">COUNTIF('문장'!J2:J724,B24)</f>
        <v>0</v>
      </c>
      <c r="D24" s="36" cm="1">
        <f t="array" ref="D24">COUNTIF('외운 것'!C2:C271,B24)/30</f>
        <v>0</v>
      </c>
    </row>
    <row r="25" ht="16.25" customHeight="1" hidden="1">
      <c r="A25" s="34"/>
      <c r="B25" s="35">
        <v>46109</v>
      </c>
      <c r="C25" s="36" cm="1">
        <f t="array" ref="C25">COUNTIF('문장'!J2:J724,B25)</f>
        <v>0</v>
      </c>
      <c r="D25" s="36" cm="1">
        <f t="array" ref="D25">COUNTIF('외운 것'!C2:C271,B25)/30</f>
        <v>0</v>
      </c>
    </row>
    <row r="26" ht="16.25" customHeight="1" hidden="1">
      <c r="A26" s="34"/>
      <c r="B26" s="35">
        <v>46110</v>
      </c>
      <c r="C26" s="36" cm="1">
        <f t="array" ref="C26">COUNTIF('문장'!J2:J724,B26)</f>
        <v>0</v>
      </c>
      <c r="D26" s="36" cm="1">
        <f t="array" ref="D26">COUNTIF('외운 것'!C2:C271,B26)/30</f>
        <v>0</v>
      </c>
    </row>
    <row r="27" ht="16.25" customHeight="1" hidden="1">
      <c r="A27" s="34"/>
      <c r="B27" s="35">
        <v>46111</v>
      </c>
      <c r="C27" s="36" cm="1">
        <f t="array" ref="C27">COUNTIF('문장'!J2:J724,B27)</f>
        <v>0</v>
      </c>
      <c r="D27" s="36" cm="1">
        <f t="array" ref="D27">COUNTIF('외운 것'!C2:C271,B27)/30</f>
        <v>0</v>
      </c>
    </row>
    <row r="28" ht="16.25" customHeight="1" hidden="1">
      <c r="A28" s="34"/>
      <c r="B28" s="35">
        <v>46112</v>
      </c>
      <c r="C28" s="36" cm="1">
        <f t="array" ref="C28">COUNTIF('문장'!J2:J724,B28)</f>
        <v>0</v>
      </c>
      <c r="D28" s="37" cm="1">
        <f t="array" ref="D28">COUNTIF('외운 것'!C2:C271,B28)/30</f>
        <v>0</v>
      </c>
    </row>
    <row r="29" ht="16" customHeight="1">
      <c r="A29" s="38">
        <v>46113</v>
      </c>
      <c r="B29" s="39"/>
      <c r="C29" s="40">
        <f>SUM(C30:C59)</f>
        <v>109</v>
      </c>
      <c r="D29" s="39"/>
    </row>
    <row r="30" ht="16.25" customHeight="1">
      <c r="A30" s="41"/>
      <c r="B30" s="42">
        <v>46113</v>
      </c>
      <c r="C30" s="4" cm="1">
        <f t="array" ref="C30">COUNTIF('문장'!J2:J724,B30)</f>
        <v>0</v>
      </c>
      <c r="D30" s="43" cm="1">
        <f t="array" ref="D30">COUNTIF('외운 것'!C2:C271,B30)/30</f>
        <v>0</v>
      </c>
    </row>
    <row r="31" ht="16.25" customHeight="1">
      <c r="A31" s="44"/>
      <c r="B31" s="45">
        <v>46114</v>
      </c>
      <c r="C31" s="8" cm="1">
        <f t="array" ref="C31">COUNTIF('문장'!J2:J724,B31)</f>
        <v>0</v>
      </c>
      <c r="D31" s="46" cm="1">
        <f t="array" ref="D31">COUNTIF('외운 것'!C2:C271,B31)/30</f>
        <v>0</v>
      </c>
    </row>
    <row r="32" ht="16.25" customHeight="1">
      <c r="A32" s="44"/>
      <c r="B32" s="45">
        <v>46115</v>
      </c>
      <c r="C32" s="8" cm="1">
        <f t="array" ref="C32">COUNTIF('문장'!J2:J724,B32)</f>
        <v>0</v>
      </c>
      <c r="D32" s="46" cm="1">
        <f t="array" ref="D32">COUNTIF('외운 것'!C2:C271,B32)/30</f>
        <v>0</v>
      </c>
    </row>
    <row r="33" ht="16.25" customHeight="1">
      <c r="A33" s="44"/>
      <c r="B33" s="45">
        <v>46116</v>
      </c>
      <c r="C33" s="8" cm="1">
        <f t="array" ref="C33">COUNTIF('문장'!J2:J724,B33)</f>
        <v>0</v>
      </c>
      <c r="D33" s="46" cm="1">
        <f t="array" ref="D33">COUNTIF('외운 것'!C2:C271,B33)/30</f>
        <v>0</v>
      </c>
    </row>
    <row r="34" ht="16.25" customHeight="1">
      <c r="A34" s="44"/>
      <c r="B34" s="45">
        <v>46117</v>
      </c>
      <c r="C34" s="8" cm="1">
        <f t="array" ref="C34">COUNTIF('문장'!J2:J724,B34)</f>
        <v>0</v>
      </c>
      <c r="D34" s="46" cm="1">
        <f t="array" ref="D34">COUNTIF('외운 것'!C2:C271,B34)/30</f>
        <v>0</v>
      </c>
    </row>
    <row r="35" ht="16.25" customHeight="1">
      <c r="A35" s="44"/>
      <c r="B35" s="45">
        <v>46118</v>
      </c>
      <c r="C35" s="8" cm="1">
        <f t="array" ref="C35">COUNTIF('문장'!J2:J724,B35)</f>
        <v>0</v>
      </c>
      <c r="D35" s="46" cm="1">
        <f t="array" ref="D35">COUNTIF('외운 것'!C2:C271,B35)/30</f>
        <v>0</v>
      </c>
    </row>
    <row r="36" ht="16.25" customHeight="1">
      <c r="A36" s="44"/>
      <c r="B36" s="45">
        <v>46119</v>
      </c>
      <c r="C36" s="8" cm="1">
        <f t="array" ref="C36">COUNTIF('문장'!J2:J724,B36)</f>
        <v>0</v>
      </c>
      <c r="D36" s="46" cm="1">
        <f t="array" ref="D36">COUNTIF('외운 것'!C2:C271,B36)/30</f>
        <v>0</v>
      </c>
    </row>
    <row r="37" ht="16.25" customHeight="1">
      <c r="A37" s="44"/>
      <c r="B37" s="45">
        <v>46120</v>
      </c>
      <c r="C37" s="8" cm="1">
        <f t="array" ref="C37">COUNTIF('문장'!J2:J724,B37)</f>
        <v>0</v>
      </c>
      <c r="D37" s="46" cm="1">
        <f t="array" ref="D37">COUNTIF('외운 것'!C2:C271,B37)/30</f>
        <v>0</v>
      </c>
    </row>
    <row r="38" ht="16.25" customHeight="1">
      <c r="A38" s="44"/>
      <c r="B38" s="45">
        <v>46121</v>
      </c>
      <c r="C38" s="8" cm="1">
        <f t="array" ref="C38">COUNTIF('문장'!J2:J724,B38)</f>
        <v>0</v>
      </c>
      <c r="D38" s="46" cm="1">
        <f t="array" ref="D38">COUNTIF('외운 것'!C2:C271,B38)/30</f>
        <v>0</v>
      </c>
    </row>
    <row r="39" ht="16.25" customHeight="1">
      <c r="A39" s="44"/>
      <c r="B39" s="45">
        <v>46122</v>
      </c>
      <c r="C39" s="8" cm="1">
        <f t="array" ref="C39">COUNTIF('문장'!J2:J724,B39)</f>
        <v>0</v>
      </c>
      <c r="D39" s="46" cm="1">
        <f t="array" ref="D39">COUNTIF('외운 것'!C2:C271,B39)/30</f>
        <v>0</v>
      </c>
    </row>
    <row r="40" ht="16.25" customHeight="1">
      <c r="A40" s="44"/>
      <c r="B40" s="45">
        <v>46123</v>
      </c>
      <c r="C40" s="8" cm="1">
        <f t="array" ref="C40">COUNTIF('문장'!J2:J724,B40)</f>
        <v>0</v>
      </c>
      <c r="D40" s="46" cm="1">
        <f t="array" ref="D40">COUNTIF('외운 것'!C2:C271,B40)/30</f>
        <v>0</v>
      </c>
    </row>
    <row r="41" ht="16.25" customHeight="1">
      <c r="A41" s="44"/>
      <c r="B41" s="45">
        <v>46124</v>
      </c>
      <c r="C41" s="8" cm="1">
        <f t="array" ref="C41">COUNTIF('문장'!J2:J724,B41)</f>
        <v>0</v>
      </c>
      <c r="D41" s="46" cm="1">
        <f t="array" ref="D41">COUNTIF('외운 것'!C2:C271,B41)/30</f>
        <v>0</v>
      </c>
    </row>
    <row r="42" ht="16.25" customHeight="1">
      <c r="A42" s="44"/>
      <c r="B42" s="45">
        <v>46125</v>
      </c>
      <c r="C42" s="8" cm="1">
        <f t="array" ref="C42">COUNTIF('문장'!J2:J724,B42)</f>
        <v>0</v>
      </c>
      <c r="D42" s="46" cm="1">
        <f t="array" ref="D42">COUNTIF('외운 것'!C2:C271,B42)/30</f>
        <v>0</v>
      </c>
    </row>
    <row r="43" ht="16.25" customHeight="1">
      <c r="A43" s="44"/>
      <c r="B43" s="45">
        <v>46126</v>
      </c>
      <c r="C43" s="8" cm="1">
        <f t="array" ref="C43">COUNTIF('문장'!J2:J724,B43)</f>
        <v>0</v>
      </c>
      <c r="D43" s="46" cm="1">
        <f t="array" ref="D43">COUNTIF('외운 것'!C2:C271,B43)/30</f>
        <v>0</v>
      </c>
    </row>
    <row r="44" ht="16.25" customHeight="1">
      <c r="A44" s="44"/>
      <c r="B44" s="45">
        <v>46127</v>
      </c>
      <c r="C44" s="8" cm="1">
        <f t="array" ref="C44">COUNTIF('문장'!J2:J724,B44)</f>
        <v>0</v>
      </c>
      <c r="D44" s="46" cm="1">
        <f t="array" ref="D44">COUNTIF('외운 것'!C2:C271,B44)/30</f>
        <v>0</v>
      </c>
    </row>
    <row r="45" ht="16.25" customHeight="1">
      <c r="A45" s="44"/>
      <c r="B45" s="45">
        <v>46128</v>
      </c>
      <c r="C45" s="8" cm="1">
        <f t="array" ref="C45">COUNTIF('문장'!J2:J724,B45)</f>
        <v>0</v>
      </c>
      <c r="D45" s="46" cm="1">
        <f t="array" ref="D45">COUNTIF('외운 것'!C2:C271,B45)/30</f>
        <v>0</v>
      </c>
    </row>
    <row r="46" ht="16.25" customHeight="1">
      <c r="A46" s="44"/>
      <c r="B46" s="45">
        <v>46129</v>
      </c>
      <c r="C46" s="8" cm="1">
        <f t="array" ref="C46">COUNTIF('문장'!J2:J724,B46)</f>
        <v>0</v>
      </c>
      <c r="D46" s="46" cm="1">
        <f t="array" ref="D46">COUNTIF('외운 것'!C2:C271,B46)/30</f>
        <v>0</v>
      </c>
    </row>
    <row r="47" ht="16.25" customHeight="1">
      <c r="A47" s="44"/>
      <c r="B47" s="45">
        <v>46130</v>
      </c>
      <c r="C47" s="8" cm="1">
        <f t="array" ref="C47">COUNTIF('문장'!J2:J724,B47)</f>
        <v>0</v>
      </c>
      <c r="D47" s="46" cm="1">
        <f t="array" ref="D47">COUNTIF('외운 것'!C2:C271,B47)/30</f>
        <v>0</v>
      </c>
    </row>
    <row r="48" ht="16.25" customHeight="1">
      <c r="A48" s="44"/>
      <c r="B48" s="45">
        <v>46131</v>
      </c>
      <c r="C48" s="8" cm="1">
        <f t="array" ref="C48">COUNTIF('문장'!J2:J724,B48)</f>
        <v>0</v>
      </c>
      <c r="D48" s="46" cm="1">
        <f t="array" ref="D48">COUNTIF('외운 것'!C2:C271,B48)/30</f>
        <v>0</v>
      </c>
    </row>
    <row r="49" ht="16.25" customHeight="1">
      <c r="A49" s="44"/>
      <c r="B49" s="45">
        <v>46132</v>
      </c>
      <c r="C49" s="8" cm="1">
        <f t="array" ref="C49">COUNTIF('문장'!J2:J724,B49)</f>
        <v>0</v>
      </c>
      <c r="D49" s="46" cm="1">
        <f t="array" ref="D49">COUNTIF('외운 것'!C2:C271,B49)/30</f>
        <v>0</v>
      </c>
    </row>
    <row r="50" ht="16.25" customHeight="1">
      <c r="A50" s="44"/>
      <c r="B50" s="45">
        <v>46133</v>
      </c>
      <c r="C50" s="8" cm="1">
        <f t="array" ref="C50">COUNTIF('문장'!J2:J724,B50)</f>
        <v>0</v>
      </c>
      <c r="D50" s="46" cm="1">
        <f t="array" ref="D50">COUNTIF('외운 것'!C2:C271,B50)/30</f>
        <v>0</v>
      </c>
    </row>
    <row r="51" ht="16.25" customHeight="1">
      <c r="A51" s="44"/>
      <c r="B51" s="45">
        <v>46134</v>
      </c>
      <c r="C51" s="8" cm="1">
        <f t="array" ref="C51">COUNTIF('문장'!J2:J724,B51)</f>
        <v>0</v>
      </c>
      <c r="D51" s="46" cm="1">
        <f t="array" ref="D51">COUNTIF('외운 것'!C2:C271,B51)/30</f>
        <v>0</v>
      </c>
    </row>
    <row r="52" ht="16.25" customHeight="1">
      <c r="A52" s="44"/>
      <c r="B52" s="45">
        <v>46135</v>
      </c>
      <c r="C52" s="8" cm="1">
        <f t="array" ref="C52">COUNTIF('문장'!J2:J724,B52)</f>
        <v>0</v>
      </c>
      <c r="D52" s="46" cm="1">
        <f t="array" ref="D52">COUNTIF('외운 것'!C2:C271,B52)/30</f>
        <v>0</v>
      </c>
    </row>
    <row r="53" ht="16.25" customHeight="1">
      <c r="A53" s="44"/>
      <c r="B53" s="45">
        <v>46136</v>
      </c>
      <c r="C53" s="8" cm="1">
        <f t="array" ref="C53">COUNTIF('문장'!J2:J724,B53)</f>
        <v>0</v>
      </c>
      <c r="D53" s="46" cm="1">
        <f t="array" ref="D53">COUNTIF('외운 것'!C2:C271,B53)/30</f>
        <v>0</v>
      </c>
    </row>
    <row r="54" ht="16.25" customHeight="1">
      <c r="A54" s="44"/>
      <c r="B54" s="45">
        <v>46137</v>
      </c>
      <c r="C54" s="8" cm="1">
        <f t="array" ref="C54">COUNTIF('문장'!J2:J724,B54)</f>
        <v>0</v>
      </c>
      <c r="D54" s="46" cm="1">
        <f t="array" ref="D54">COUNTIF('외운 것'!C2:C271,B54)/30</f>
        <v>0</v>
      </c>
    </row>
    <row r="55" ht="16.25" customHeight="1">
      <c r="A55" s="44"/>
      <c r="B55" s="45">
        <v>46138</v>
      </c>
      <c r="C55" s="8" cm="1">
        <f t="array" ref="C55">COUNTIF('문장'!J2:J724,B55)</f>
        <v>0</v>
      </c>
      <c r="D55" s="46" cm="1">
        <f t="array" ref="D55">COUNTIF('외운 것'!C2:C271,B55)/30</f>
        <v>0</v>
      </c>
    </row>
    <row r="56" ht="16.25" customHeight="1">
      <c r="A56" s="44"/>
      <c r="B56" s="45">
        <v>46139</v>
      </c>
      <c r="C56" s="8" cm="1">
        <f t="array" ref="C56">COUNTIF('문장'!J2:J724,B56)</f>
        <v>0</v>
      </c>
      <c r="D56" s="46" cm="1">
        <f t="array" ref="D56">COUNTIF('외운 것'!C2:C271,B56)/30</f>
        <v>0</v>
      </c>
    </row>
    <row r="57" ht="16.25" customHeight="1">
      <c r="A57" s="44"/>
      <c r="B57" s="45">
        <v>46140</v>
      </c>
      <c r="C57" s="8" cm="1">
        <f t="array" ref="C57">COUNTIF('문장'!J2:J724,B57)</f>
        <v>34</v>
      </c>
      <c r="D57" s="46" cm="1">
        <f t="array" ref="D57">COUNTIF('외운 것'!C2:C271,B57)/30</f>
        <v>3</v>
      </c>
    </row>
    <row r="58" ht="16.25" customHeight="1">
      <c r="A58" s="44"/>
      <c r="B58" s="45">
        <v>46141</v>
      </c>
      <c r="C58" s="8" cm="1">
        <f t="array" ref="C58">COUNTIF('문장'!J2:J724,B58)</f>
        <v>43</v>
      </c>
      <c r="D58" s="46" cm="1">
        <f t="array" ref="D58">COUNTIF('외운 것'!C2:C271,B58)/30</f>
        <v>3</v>
      </c>
    </row>
    <row r="59" ht="16.25" customHeight="1">
      <c r="A59" s="47"/>
      <c r="B59" s="48">
        <v>46142</v>
      </c>
      <c r="C59" s="49" cm="1">
        <f t="array" ref="C59">COUNTIF('문장'!J2:J724,B59)</f>
        <v>32</v>
      </c>
      <c r="D59" s="50" cm="1">
        <f t="array" ref="D59">COUNTIF('외운 것'!C2:C271,B59)/30</f>
        <v>3</v>
      </c>
    </row>
    <row r="60" ht="16.65" customHeight="1">
      <c r="A60" s="51">
        <v>46143</v>
      </c>
      <c r="B60" s="52"/>
      <c r="C60" s="53">
        <f>SUM(C61:C80)</f>
        <v>0</v>
      </c>
      <c r="D60" s="52"/>
    </row>
    <row r="61" ht="16.25" customHeight="1" hidden="1">
      <c r="A61" s="34"/>
      <c r="B61" s="35">
        <v>46143</v>
      </c>
      <c r="C61" s="36" cm="1">
        <f t="array" ref="C61">COUNTIF('문장'!J2:J724,B61)</f>
        <v>0</v>
      </c>
      <c r="D61" s="54"/>
    </row>
    <row r="62" ht="16.25" customHeight="1" hidden="1">
      <c r="A62" s="34"/>
      <c r="B62" s="35">
        <v>46144</v>
      </c>
      <c r="C62" s="36" cm="1">
        <f t="array" ref="C62">COUNTIF('문장'!J2:J724,B62)</f>
        <v>0</v>
      </c>
      <c r="D62" s="54"/>
    </row>
    <row r="63" ht="16.25" customHeight="1" hidden="1">
      <c r="A63" s="34"/>
      <c r="B63" s="35">
        <v>46145</v>
      </c>
      <c r="C63" s="36" cm="1">
        <f t="array" ref="C63">COUNTIF('문장'!J2:J724,B63)</f>
        <v>0</v>
      </c>
      <c r="D63" s="54"/>
    </row>
    <row r="64" ht="16.25" customHeight="1" hidden="1">
      <c r="A64" s="34"/>
      <c r="B64" s="35">
        <v>46146</v>
      </c>
      <c r="C64" s="36" cm="1">
        <f t="array" ref="C64">COUNTIF('문장'!J2:J724,B64)</f>
        <v>0</v>
      </c>
      <c r="D64" s="54"/>
    </row>
    <row r="65" ht="16.25" customHeight="1" hidden="1">
      <c r="A65" s="34"/>
      <c r="B65" s="35">
        <v>46147</v>
      </c>
      <c r="C65" s="36" cm="1">
        <f t="array" ref="C65">COUNTIF('문장'!J2:J724,B65)</f>
        <v>0</v>
      </c>
      <c r="D65" s="54"/>
    </row>
    <row r="66" ht="16.25" customHeight="1" hidden="1">
      <c r="A66" s="34"/>
      <c r="B66" s="35">
        <v>46148</v>
      </c>
      <c r="C66" s="36" cm="1">
        <f t="array" ref="C66">COUNTIF('문장'!J2:J724,B66)</f>
        <v>0</v>
      </c>
      <c r="D66" s="54"/>
    </row>
    <row r="67" ht="16.25" customHeight="1" hidden="1">
      <c r="A67" s="34"/>
      <c r="B67" s="35">
        <v>46149</v>
      </c>
      <c r="C67" s="36" cm="1">
        <f t="array" ref="C67">COUNTIF('문장'!J2:J724,B67)</f>
        <v>0</v>
      </c>
      <c r="D67" s="54"/>
    </row>
    <row r="68" ht="16.25" customHeight="1" hidden="1">
      <c r="A68" s="34"/>
      <c r="B68" s="35">
        <v>46150</v>
      </c>
      <c r="C68" s="36" cm="1">
        <f t="array" ref="C68">COUNTIF('문장'!J2:J724,B68)</f>
        <v>0</v>
      </c>
      <c r="D68" s="54"/>
    </row>
    <row r="69" ht="16.25" customHeight="1" hidden="1">
      <c r="A69" s="34"/>
      <c r="B69" s="35">
        <v>46151</v>
      </c>
      <c r="C69" s="36" cm="1">
        <f t="array" ref="C69">COUNTIF('문장'!J2:J724,B69)</f>
        <v>0</v>
      </c>
      <c r="D69" s="54"/>
    </row>
    <row r="70" ht="16.25" customHeight="1" hidden="1">
      <c r="A70" s="34"/>
      <c r="B70" s="35">
        <v>46152</v>
      </c>
      <c r="C70" s="36" cm="1">
        <f t="array" ref="C70">COUNTIF('문장'!J2:J724,B70)</f>
        <v>0</v>
      </c>
      <c r="D70" s="54"/>
    </row>
    <row r="71" ht="16.25" customHeight="1" hidden="1">
      <c r="A71" s="34"/>
      <c r="B71" s="35">
        <v>46153</v>
      </c>
      <c r="C71" s="36" cm="1">
        <f t="array" ref="C71">COUNTIF('문장'!J2:J724,B71)</f>
        <v>0</v>
      </c>
      <c r="D71" s="54"/>
    </row>
    <row r="72" ht="16.25" customHeight="1" hidden="1">
      <c r="A72" s="34"/>
      <c r="B72" s="35">
        <v>46154</v>
      </c>
      <c r="C72" s="36" cm="1">
        <f t="array" ref="C72">COUNTIF('문장'!J2:J724,B72)</f>
        <v>0</v>
      </c>
      <c r="D72" s="54"/>
    </row>
    <row r="73" ht="16.25" customHeight="1" hidden="1">
      <c r="A73" s="34"/>
      <c r="B73" s="35">
        <v>46155</v>
      </c>
      <c r="C73" s="36" cm="1">
        <f t="array" ref="C73">COUNTIF('문장'!J2:J724,B73)</f>
        <v>0</v>
      </c>
      <c r="D73" s="54"/>
    </row>
    <row r="74" ht="16.25" customHeight="1" hidden="1">
      <c r="A74" s="34"/>
      <c r="B74" s="35">
        <v>46156</v>
      </c>
      <c r="C74" s="36" cm="1">
        <f t="array" ref="C74">COUNTIF('문장'!J2:J724,B74)</f>
        <v>0</v>
      </c>
      <c r="D74" s="54"/>
    </row>
    <row r="75" ht="16.25" customHeight="1" hidden="1">
      <c r="A75" s="34"/>
      <c r="B75" s="35">
        <v>46157</v>
      </c>
      <c r="C75" s="36" cm="1">
        <f t="array" ref="C75">COUNTIF('문장'!J2:J724,B75)</f>
        <v>0</v>
      </c>
      <c r="D75" s="54"/>
    </row>
    <row r="76" ht="16.25" customHeight="1" hidden="1">
      <c r="A76" s="34"/>
      <c r="B76" s="35">
        <v>46158</v>
      </c>
      <c r="C76" s="36" cm="1">
        <f t="array" ref="C76">COUNTIF('문장'!J2:J724,B76)</f>
        <v>0</v>
      </c>
      <c r="D76" s="54"/>
    </row>
    <row r="77" ht="16.25" customHeight="1" hidden="1">
      <c r="A77" s="34"/>
      <c r="B77" s="35">
        <v>46159</v>
      </c>
      <c r="C77" s="36" cm="1">
        <f t="array" ref="C77">COUNTIF('문장'!J2:J724,B77)</f>
        <v>0</v>
      </c>
      <c r="D77" s="54"/>
    </row>
    <row r="78" ht="16.25" customHeight="1" hidden="1">
      <c r="A78" s="34"/>
      <c r="B78" s="35">
        <v>46160</v>
      </c>
      <c r="C78" s="36" cm="1">
        <f t="array" ref="C78">COUNTIF('문장'!J2:J724,B78)</f>
        <v>0</v>
      </c>
      <c r="D78" s="54"/>
    </row>
    <row r="79" ht="16.25" customHeight="1" hidden="1">
      <c r="A79" s="34"/>
      <c r="B79" s="35">
        <v>46161</v>
      </c>
      <c r="C79" s="36" cm="1">
        <f t="array" ref="C79">COUNTIF('문장'!J2:J724,B79)</f>
        <v>0</v>
      </c>
      <c r="D79" s="54"/>
    </row>
    <row r="80" ht="16.25" customHeight="1" hidden="1">
      <c r="A80" s="34"/>
      <c r="B80" s="35">
        <v>46162</v>
      </c>
      <c r="C80" s="36" cm="1">
        <f t="array" ref="C80">COUNTIF('문장'!J2:J724,B80)</f>
        <v>0</v>
      </c>
      <c r="D80" s="54"/>
    </row>
    <row r="81" ht="16" customHeight="1">
      <c r="A81" t="s" s="55"/>
      <c r="B81" s="39"/>
      <c r="C81" s="40">
        <f>SUM(C82)</f>
        <v>96</v>
      </c>
      <c r="D81" s="39"/>
    </row>
    <row r="82" ht="16.25" customHeight="1">
      <c r="A82" s="41"/>
      <c r="B82" s="56"/>
      <c r="C82" s="4" cm="1">
        <f t="array" ref="C82">COUNTIF('문장'!J2:J724,B82)</f>
        <v>96</v>
      </c>
      <c r="D82" s="7"/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&amp;C&amp;"Arial,Regular"&amp;12&amp;K000000&amp;P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.9" customHeight="1" outlineLevelRow="0" outlineLevelCol="0"/>
  <cols>
    <col min="1" max="4" width="6.5" style="57" customWidth="1"/>
    <col min="5" max="16384" width="16.3516" style="57" customWidth="1"/>
  </cols>
  <sheetData>
    <row r="1" ht="19" customHeight="1">
      <c r="A1" t="s" s="25">
        <v>2236</v>
      </c>
      <c r="B1" s="25"/>
      <c r="C1" s="25"/>
      <c r="D1" s="25"/>
    </row>
    <row r="2" ht="14.55" customHeight="1">
      <c r="A2" t="s" s="2">
        <v>3</v>
      </c>
      <c r="B2" t="s" s="2">
        <v>2237</v>
      </c>
      <c r="C2" t="s" s="2">
        <v>2238</v>
      </c>
      <c r="D2" t="s" s="2">
        <v>2239</v>
      </c>
    </row>
    <row r="3" ht="14.55" customHeight="1">
      <c r="A3" t="s" s="58">
        <v>23</v>
      </c>
      <c r="B3" s="59" cm="1">
        <f t="array" ref="B3">COUNTIF('문장'!N2:N724,"&gt;=3")-C3</f>
        <v>0</v>
      </c>
      <c r="C3" s="4" cm="1">
        <f t="array" ref="C3">COUNTIF('문장'!K2:K724,"1차")</f>
        <v>204</v>
      </c>
      <c r="D3" s="4" cm="1">
        <f t="array" ref="D3">COUNTA('문장'!A2:A724)-B3-C3</f>
        <v>519</v>
      </c>
    </row>
    <row r="4" ht="14.35" customHeight="1">
      <c r="A4" t="s" s="60">
        <v>24</v>
      </c>
      <c r="B4" s="61" cm="1">
        <f t="array" ref="B4">COUNTIF('문장'!O2:O724,"&gt;=3")-C4</f>
        <v>324</v>
      </c>
      <c r="C4" s="8" cm="1">
        <f t="array" ref="C4">COUNTIF('문장'!L2:L724,"2차")</f>
        <v>399</v>
      </c>
      <c r="D4" s="8" cm="1">
        <f t="array" ref="D4">COUNTA('문장'!A2:A724)-B4-C4</f>
        <v>0</v>
      </c>
    </row>
    <row r="5" ht="14.35" customHeight="1">
      <c r="A5" t="s" s="60">
        <v>22</v>
      </c>
      <c r="B5" s="61" cm="1">
        <f t="array" ref="B5">COUNTIF('문장'!H2:H724,"&gt;=3")-C5</f>
        <v>109</v>
      </c>
      <c r="C5" s="8" cm="1">
        <f t="array" ref="C5">COUNTIF('문장'!M2:M724,"3차")</f>
        <v>518</v>
      </c>
      <c r="D5" s="8" cm="1">
        <f t="array" ref="D5">COUNTA('문장'!A2:A724)-B5-C5</f>
        <v>96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&amp;C&amp;"Arial,Regular"&amp;12&amp;K000000&amp;P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1449"/>
  <sheetViews>
    <sheetView workbookViewId="0" showGridLines="0" defaultGridColor="1"/>
  </sheetViews>
  <sheetFormatPr defaultColWidth="13.3333" defaultRowHeight="13.9" customHeight="1" outlineLevelRow="0" outlineLevelCol="0"/>
  <cols>
    <col min="1" max="1" width="5.17188" style="62" customWidth="1"/>
    <col min="2" max="2" width="40.2891" style="62" customWidth="1"/>
    <col min="3" max="3" width="5.17188" style="62" customWidth="1"/>
    <col min="4" max="4" width="3.80469" style="62" customWidth="1"/>
    <col min="5" max="16384" width="13.3516" style="62" customWidth="1"/>
  </cols>
  <sheetData>
    <row r="1" ht="19" customHeight="1">
      <c r="A1" t="s" s="25">
        <v>2240</v>
      </c>
      <c r="B1" s="25"/>
      <c r="C1" s="25"/>
      <c r="D1" s="25"/>
    </row>
    <row r="2" ht="26.55" customHeight="1">
      <c r="A2" t="s" s="63">
        <v>8</v>
      </c>
      <c r="B2" t="s" s="64">
        <v>6</v>
      </c>
      <c r="C2" t="s" s="65">
        <v>13</v>
      </c>
      <c r="D2" t="s" s="66">
        <v>2241</v>
      </c>
    </row>
    <row r="3" ht="15.5" customHeight="1">
      <c r="A3" s="67">
        <v>2</v>
      </c>
      <c r="D3" s="68">
        <v>9</v>
      </c>
    </row>
    <row r="4" ht="15.3" customHeight="1">
      <c r="A4" s="69">
        <v>1</v>
      </c>
      <c r="D4" s="70">
        <v>32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&amp;C&amp;"Arial,Regular"&amp;12&amp;K000000&amp;P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40"/>
  <sheetViews>
    <sheetView workbookViewId="0" showGridLines="0" defaultGridColor="1"/>
  </sheetViews>
  <sheetFormatPr defaultColWidth="13.3333" defaultRowHeight="13.45" customHeight="1" outlineLevelRow="0" outlineLevelCol="0"/>
  <cols>
    <col min="1" max="1" width="7.29688" style="71" customWidth="1"/>
    <col min="2" max="2" width="13.3516" style="71" customWidth="1"/>
    <col min="3" max="3" width="15.8828" style="71" customWidth="1"/>
    <col min="4" max="16384" width="13.3516" style="71" customWidth="1"/>
  </cols>
  <sheetData>
    <row r="1" ht="19" customHeight="1">
      <c r="A1" t="s" s="25">
        <v>2242</v>
      </c>
      <c r="B1" s="25"/>
      <c r="C1" s="25"/>
    </row>
    <row r="2" ht="14.55" customHeight="1">
      <c r="A2" t="s" s="63">
        <v>8</v>
      </c>
      <c r="B2" t="s" s="65">
        <v>9</v>
      </c>
      <c r="C2" t="s" s="72">
        <v>2241</v>
      </c>
    </row>
    <row r="3" ht="15.2" customHeight="1">
      <c r="A3" s="67">
        <v>1</v>
      </c>
      <c r="C3" s="68">
        <v>39</v>
      </c>
    </row>
    <row r="4" ht="15" customHeight="1">
      <c r="A4" s="73">
        <v>2</v>
      </c>
      <c r="C4" s="74">
        <v>16</v>
      </c>
    </row>
    <row r="5" ht="15" customHeight="1">
      <c r="A5" s="73">
        <v>3</v>
      </c>
      <c r="C5" s="74">
        <v>7</v>
      </c>
    </row>
    <row r="6" ht="15" customHeight="1">
      <c r="A6" s="73">
        <v>4</v>
      </c>
      <c r="C6" s="74">
        <v>3</v>
      </c>
    </row>
    <row r="7" ht="15" customHeight="1">
      <c r="A7" s="73">
        <v>5</v>
      </c>
      <c r="C7" s="74">
        <v>1</v>
      </c>
    </row>
    <row r="8" ht="15" customHeight="1">
      <c r="A8" s="69">
        <v>6</v>
      </c>
      <c r="C8" s="70">
        <v>1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&amp;C&amp;"Arial,Regular"&amp;12&amp;K000000&amp;P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