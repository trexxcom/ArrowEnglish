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어휘 - 표 1 스냅샷" sheetId="1" r:id="rId5"/>
    <sheet name="외운 것 - 엑셀다운로드 파일(붙여넣기)" sheetId="2" r:id="rId6"/>
    <sheet name="총괄 - 틀린 것" sheetId="3" r:id="rId7"/>
    <sheet name="총괄 - 전체" sheetId="4" r:id="rId8"/>
    <sheet name="총괄 - 3번 맞춘단어" sheetId="5" r:id="rId9"/>
  </sheets>
  <pivotCaches>
    <pivotCache cacheId="0" r:id="rId10"/>
  </pivotCaches>
</workbook>
</file>

<file path=xl/comments1.xml><?xml version="1.0" encoding="utf-8"?>
<comments xmlns="http://schemas.openxmlformats.org/spreadsheetml/2006/main">
  <authors>
    <author>HAN JongHun</author>
  </authors>
  <commentList>
    <comment ref="G1" authorId="0">
      <text>
        <r>
          <rPr>
            <sz val="11"/>
            <color indexed="8"/>
            <rFont val="Arial"/>
          </rPr>
          <t>HAN JongHun:
A~C, E, H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<sst xmlns="http://schemas.openxmlformats.org/spreadsheetml/2006/main" uniqueCount="15714">
  <si>
    <t>No</t>
  </si>
  <si>
    <t>영어단어</t>
  </si>
  <si>
    <t>어원</t>
  </si>
  <si>
    <t>구분</t>
  </si>
  <si>
    <t>발음</t>
  </si>
  <si>
    <t>힌트</t>
  </si>
  <si>
    <t>뜻</t>
  </si>
  <si>
    <t>문장</t>
  </si>
  <si>
    <t>영어문장</t>
  </si>
  <si>
    <t>외운것</t>
  </si>
  <si>
    <t>틀린것</t>
  </si>
  <si>
    <t>날짜</t>
  </si>
  <si>
    <t>ball</t>
  </si>
  <si>
    <r>
      <rPr>
        <sz val="12"/>
        <color indexed="8"/>
        <rFont val="Apple SD 산돌고딕 Neo 일반체"/>
      </rPr>
      <t>ball</t>
    </r>
  </si>
  <si>
    <t>[bɔːl]</t>
  </si>
  <si>
    <t>부풀어 오르다(b) 모든(all) 면이 그렇게 생긴 것은 ‘공’</t>
  </si>
  <si>
    <t>공</t>
  </si>
  <si>
    <t>The children played with a colorful ball in the park.</t>
  </si>
  <si>
    <t>The children played with a colorful (          ) in the park.</t>
  </si>
  <si>
    <t>2026-03-14</t>
  </si>
  <si>
    <t>balloon</t>
  </si>
  <si>
    <t>[bəlúːn]</t>
  </si>
  <si>
    <t>부풀어 오른 공(ball)이 나중에 아래(oo-u)로 바람이 빠져 나오면 없어지는(n) 것 ‘풍선, 기구’</t>
  </si>
  <si>
    <t>풍선, 기구</t>
  </si>
  <si>
    <t>She bought a red balloon for her birthday party.</t>
  </si>
  <si>
    <t>She bought a red (          ) for her birthday party.</t>
  </si>
  <si>
    <t>2026-03-16</t>
  </si>
  <si>
    <t>bell</t>
  </si>
  <si>
    <r>
      <rPr>
        <sz val="12"/>
        <color indexed="8"/>
        <rFont val="Apple SD 산돌고딕 Neo 일반체"/>
      </rPr>
      <t>bell</t>
    </r>
  </si>
  <si>
    <t>[bel]</t>
  </si>
  <si>
    <t>공처럼 불룩한(b) 모양의 ‘종, 벨’</t>
  </si>
  <si>
    <t>종, 벨</t>
  </si>
  <si>
    <t>The school bell rang to signal the end of class.</t>
  </si>
  <si>
    <t>The school (          ) rang to signal the end of class.</t>
  </si>
  <si>
    <t>belly</t>
  </si>
  <si>
    <t>[béli]</t>
  </si>
  <si>
    <t>불룩한 bell에 확장을 의미하는 y가 더해저서 더욱더 불룩한 모습이 되는 ‘불룩한 배’</t>
  </si>
  <si>
    <t>불룩한 배</t>
  </si>
  <si>
    <t>The cat's belly was soft and warm.</t>
  </si>
  <si>
    <t>The cat's (          ) was soft and warm.</t>
  </si>
  <si>
    <t>bullet</t>
  </si>
  <si>
    <t>[búlit]</t>
  </si>
  <si>
    <t>처음에 공(ball)처럼 생긴 작은 덩어리(let)였던 ‘총알’</t>
  </si>
  <si>
    <t>총알</t>
  </si>
  <si>
    <t>The detective found a bullet at the crime scene.</t>
  </si>
  <si>
    <t>The detective found a (          ) at the crime scene.</t>
  </si>
  <si>
    <t>bulb</t>
  </si>
  <si>
    <t>[bʌlb]</t>
  </si>
  <si>
    <t>공(ball)처럼 부풀어 오르는(b) ‘둥근 뿌리, 전구’</t>
  </si>
  <si>
    <t>둥근 뿌리, 전구</t>
  </si>
  <si>
    <t>I need to replace the light bulb in the kitchen.</t>
  </si>
  <si>
    <t>I need to replace the light (          ) in the kitchen.</t>
  </si>
  <si>
    <t>bulk</t>
  </si>
  <si>
    <t>[bʌlk]</t>
  </si>
  <si>
    <t>공(ball)처럼 몸이 부풀어오르고 확장(k)되니 ‘큰 규모, 육중한 것’</t>
  </si>
  <si>
    <t>큰 규모, 육중한 것</t>
  </si>
  <si>
    <t>He bought rice in bulk to save money.</t>
  </si>
  <si>
    <t>He bought rice in (          ) to save money.</t>
  </si>
  <si>
    <t>base</t>
  </si>
  <si>
    <r>
      <rPr>
        <sz val="12"/>
        <color indexed="8"/>
        <rFont val="Apple SD 산돌고딕 Neo 일반체"/>
      </rPr>
      <t>base</t>
    </r>
  </si>
  <si>
    <t>[beis]</t>
  </si>
  <si>
    <t>불룩(b)한데 잘 보이지 않는(s) 곳에 있는 ‘바닥, 기초, 기지’</t>
  </si>
  <si>
    <t>바닥, 기초, 기지</t>
  </si>
  <si>
    <t>The military base is located near the mountain.</t>
  </si>
  <si>
    <t>The military (          ) is located near the mountain.</t>
  </si>
  <si>
    <t>basic</t>
  </si>
  <si>
    <t>[béisik]</t>
  </si>
  <si>
    <t>기초, 바닥(base)의 상태(~ic)이므로 ‘기초적인, 근본적인’</t>
  </si>
  <si>
    <t>기초적인, 근본적인</t>
  </si>
  <si>
    <t>You need to learn the basic principles of mathematics.</t>
  </si>
  <si>
    <t>You need to learn the (          ) principles of mathematics.</t>
  </si>
  <si>
    <t>basement</t>
  </si>
  <si>
    <t>[béismənt]</t>
  </si>
  <si>
    <t>건물의 기초(base)에 해당하는 ‘지하층, 지하실’</t>
  </si>
  <si>
    <t>지하층, 지하실</t>
  </si>
  <si>
    <t>We store old furniture in our basement.</t>
  </si>
  <si>
    <t>We store old furniture in our (          ).</t>
  </si>
  <si>
    <t>baseball</t>
  </si>
  <si>
    <t>[béisbɔ̀ːl]</t>
  </si>
  <si>
    <t>1루, 2루, 3루에 둔 base(바닥)을 밟으며 ball(공)로 하는 경기, ‘야구’</t>
  </si>
  <si>
    <t>야구</t>
  </si>
  <si>
    <t>My brother plays baseball every weekend.</t>
  </si>
  <si>
    <t>My brother plays (          ) every weekend.</t>
  </si>
  <si>
    <t>bass</t>
  </si>
  <si>
    <t>음악의 여러 파트 중에서 낮은(bass 바닥)음을 차지하는 ‘베이스, 저음’</t>
  </si>
  <si>
    <t>베이스, 저음</t>
  </si>
  <si>
    <t>The bass guitar creates deep, low sounds in the band.</t>
  </si>
  <si>
    <t>The (          ) guitar creates deep, low sounds in the band.</t>
  </si>
  <si>
    <t>blouse</t>
  </si>
  <si>
    <t>bl</t>
  </si>
  <si>
    <r>
      <rPr>
        <sz val="12"/>
        <color indexed="8"/>
        <rFont val="Apple SD 산돌고딕 Neo 일반체"/>
      </rPr>
      <t>bl</t>
    </r>
  </si>
  <si>
    <t>[blaus, blauz]</t>
  </si>
  <si>
    <t>(허리띠 윗 부분에서) 불룩해지고(b) 늘어진(l) 스타일의 옷, ‘블라우스’</t>
  </si>
  <si>
    <t>블라우스</t>
  </si>
  <si>
    <t>She wore a silk blouse to the interview.</t>
  </si>
  <si>
    <t>She wore a silk (          ) to the interview.</t>
  </si>
  <si>
    <t>bloat</t>
  </si>
  <si>
    <t>[blout]</t>
  </si>
  <si>
    <t>부풀어(bl) 둥근(o) 모양이 한점(at) 생기니 ‘부풀다(붓다)’</t>
  </si>
  <si>
    <t>부풀다(붓다)</t>
  </si>
  <si>
    <t>Eating too fast can cause your stomach to bloat.</t>
  </si>
  <si>
    <t>Eating too fast can cause your stomach to (          ).</t>
  </si>
  <si>
    <t>blow</t>
  </si>
  <si>
    <t>[blou]</t>
  </si>
  <si>
    <t>부풀려진(bl) 둥근(o) 입에서 바람(w)을 ‘불다’</t>
  </si>
  <si>
    <t>불다</t>
  </si>
  <si>
    <t>The wind will blow strongly tonight.</t>
  </si>
  <si>
    <t>The wind will (          ) strongly tonight.</t>
  </si>
  <si>
    <t>blowfish</t>
  </si>
  <si>
    <t>bl &gt; blow</t>
  </si>
  <si>
    <t>[blóufìꭍ]</t>
  </si>
  <si>
    <t>바람을 부는(blow) 것처럼 몸이 부푼 모습의 불고기(fish), ‘복어’</t>
  </si>
  <si>
    <t>복어</t>
  </si>
  <si>
    <t>The blowfish can expand to twice its normal size.</t>
  </si>
  <si>
    <t>The (          ) can expand to twice its normal size.</t>
  </si>
  <si>
    <t>blister</t>
  </si>
  <si>
    <t>[blístər]</t>
  </si>
  <si>
    <t>부풀고(bl) 안에(i) 물이 있어 피부가 서 있는(st) 것처럼 보이는 ‘물집’</t>
  </si>
  <si>
    <t>물집</t>
  </si>
  <si>
    <t>I got a blister on my heel from my new shoes.</t>
  </si>
  <si>
    <t>I got a (          ) on my heel from my new shoes.</t>
  </si>
  <si>
    <t>blur</t>
  </si>
  <si>
    <t>[bləːr]</t>
  </si>
  <si>
    <t>눈꺼풀이부풀어(bl) 올라 시력이 아래로(u) 바닥이 되고 보려면 눈에 힘(r)도 많이 들어가니, ‘흐릿해지다’</t>
  </si>
  <si>
    <t>흐릿해지다</t>
  </si>
  <si>
    <t>Her vision became a blur without her glasses.</t>
  </si>
  <si>
    <t>Her vision became a (          ) without her glasses.</t>
  </si>
  <si>
    <t>blind</t>
  </si>
  <si>
    <t>[blaind]</t>
  </si>
  <si>
    <t>눈꺼풀이 부풀어(bl) 올라 안에(i) 있는 시력을 없어지니(n) ‘눈이 먼’</t>
  </si>
  <si>
    <t>눈이 먼</t>
  </si>
  <si>
    <t>The blind man navigated with his white cane.</t>
  </si>
  <si>
    <t>The (          ) man navigated with his white cane.</t>
  </si>
  <si>
    <t>bluff</t>
  </si>
  <si>
    <t>[blʌf]</t>
  </si>
  <si>
    <t>사실을 부풀려(bl)서 수준이 낮고(u) 내용은 가벼운(ff) ‘허풍’</t>
  </si>
  <si>
    <t>허풍</t>
  </si>
  <si>
    <t>His bluff didn't work because everyone knew he was lying.</t>
  </si>
  <si>
    <t>His (          ) didn't work because everyone knew he was lying.</t>
  </si>
  <si>
    <t>bubble</t>
  </si>
  <si>
    <t>bu</t>
  </si>
  <si>
    <r>
      <rPr>
        <sz val="12"/>
        <color indexed="8"/>
        <rFont val="Apple SD 산돌고딕 Neo 일반체"/>
      </rPr>
      <t>bu</t>
    </r>
  </si>
  <si>
    <t>[bΛbl]</t>
  </si>
  <si>
    <t>부풀어(b) 아래에서(u) 올라오며 계속 부풀어(bb) 오르는 ‘거품’</t>
  </si>
  <si>
    <t>거품</t>
  </si>
  <si>
    <t>The child laughed as she blew a large soap bubble.</t>
  </si>
  <si>
    <t>The child laughed as she blew a large soap (          ).</t>
  </si>
  <si>
    <t>bud</t>
  </si>
  <si>
    <t>[bʌd]</t>
  </si>
  <si>
    <t>부풀어 오르지만(bu) 아직 성장이 저하된(d) ‘싹, 꽃봉오리’</t>
  </si>
  <si>
    <t>싹, 꽃봉오리</t>
  </si>
  <si>
    <t>The flower bud will soon bloom in spring.</t>
  </si>
  <si>
    <t>The flower (          ) will soon bloom in spring.</t>
  </si>
  <si>
    <t>budget</t>
  </si>
  <si>
    <t>bu &gt; bud</t>
  </si>
  <si>
    <t>[bΛdʒit]</t>
  </si>
  <si>
    <t>싹(bud)을 틔우기 위해 가지는(get) ‘예산’</t>
  </si>
  <si>
    <t>예산</t>
  </si>
  <si>
    <t>We need to create a budget for our vacation.</t>
  </si>
  <si>
    <t>We need to create a (          ) for our vacation.</t>
  </si>
  <si>
    <t>bun</t>
  </si>
  <si>
    <t>[bʌn]</t>
  </si>
  <si>
    <t>부풀어 오른(bu) 작은(n) 빵, ‘동그랗고 작은 빵’</t>
  </si>
  <si>
    <t>동그랗고 작은 빵</t>
  </si>
  <si>
    <t>She tied her hair in a neat bun for the dance recital.</t>
  </si>
  <si>
    <t>She tied her hair in a neat (          ) for the dance recital.</t>
  </si>
  <si>
    <t>bunch</t>
  </si>
  <si>
    <t>bu &gt; bun</t>
  </si>
  <si>
    <t>[bʌnʧ]</t>
  </si>
  <si>
    <t>동그랗고 작은 빵(bun) 같은 것들을 잡아서(ch) 만든 ‘다발, (포도 따위의) 송이’</t>
  </si>
  <si>
    <t>다발, (포도 따위의) 송이</t>
  </si>
  <si>
    <t>He brought a bunch of red roses for our anniversary.</t>
  </si>
  <si>
    <t>He brought a (          ) of red roses for our anniversary.</t>
  </si>
  <si>
    <t>buy</t>
  </si>
  <si>
    <t>[bai]</t>
  </si>
  <si>
    <t>자꾸 ‘사다’ 그래서 가방이 부풀어 오르고(bu) 안에 구입한 개수가 확장(y)되어 간다.</t>
  </si>
  <si>
    <t>사다</t>
  </si>
  <si>
    <t>I want to buy a new computer next month.</t>
  </si>
  <si>
    <t>I want to (          ) a new computer next month.</t>
  </si>
  <si>
    <t>bury</t>
  </si>
  <si>
    <t>bu &gt; buy</t>
  </si>
  <si>
    <t>[béri]</t>
  </si>
  <si>
    <t>사서(buy) 세게 힘을(r) 가해 ‘묻어 놓다’</t>
  </si>
  <si>
    <t>묻어 놓다</t>
  </si>
  <si>
    <t>They will bury the time capsule in the school yard.</t>
  </si>
  <si>
    <t>They will (          ) the time capsule in the school yard.</t>
  </si>
  <si>
    <t>burp</t>
  </si>
  <si>
    <t>[bəːrp]</t>
  </si>
  <si>
    <t>속에서 부풀어 올라오는(bu) 가스의 힘(r)이 밖으로 폭하고(p) 튀어 나오는 ‘트림, 트림소리’</t>
  </si>
  <si>
    <t>트림, 트림소리</t>
  </si>
  <si>
    <t>The baby needs to burp after drinking milk.</t>
  </si>
  <si>
    <t>The baby needs to (          ) after drinking milk.</t>
  </si>
  <si>
    <t>ban</t>
  </si>
  <si>
    <t>b</t>
  </si>
  <si>
    <t>[bæn]</t>
  </si>
  <si>
    <t>막고(b) 하나(an)도 못 나가게 하니 ‘막다, 금지하다, 금지’</t>
  </si>
  <si>
    <t>막다, 금지하다, 금지</t>
  </si>
  <si>
    <t>The school decided to ban mobile phones during class.</t>
  </si>
  <si>
    <t>The school decided to (          ) mobile phones during class.</t>
  </si>
  <si>
    <t>banish</t>
  </si>
  <si>
    <t>b &gt; ban</t>
  </si>
  <si>
    <t>[bǽniʃ]</t>
  </si>
  <si>
    <t>들어오는 걸 막고(ban) 보이지(sh) 않도록 ‘추방하다, 몰아내다’</t>
  </si>
  <si>
    <t>추방하다, 몰아내다</t>
  </si>
  <si>
    <t>The king will banish anyone who breaks the law.</t>
  </si>
  <si>
    <t>The king will (          ) anyone who breaks the law.</t>
  </si>
  <si>
    <t>band</t>
  </si>
  <si>
    <r>
      <rPr>
        <sz val="12"/>
        <color indexed="8"/>
        <rFont val="Apple SD 산돌고딕 Neo 일반체"/>
      </rPr>
      <t>ban</t>
    </r>
  </si>
  <si>
    <t>[bænd]</t>
  </si>
  <si>
    <t>터져 나가지 못하게 막으려고(b) 끈을 더하여(and) ‘묶다, 반창고, 띠, 무리’</t>
  </si>
  <si>
    <t>묶다, 반창고, 띠, 무리</t>
  </si>
  <si>
    <t>My favorite band is performing at the concert tonight.</t>
  </si>
  <si>
    <t>My favorite (          ) is performing at the concert tonight.</t>
  </si>
  <si>
    <t>bandit</t>
  </si>
  <si>
    <r>
      <rPr>
        <sz val="12"/>
        <color indexed="8"/>
        <rFont val="Apple SD 산돌고딕 Neo 일반체"/>
      </rPr>
      <t>band</t>
    </r>
  </si>
  <si>
    <t>[bǽndit]</t>
  </si>
  <si>
    <t>묶어 놓고(band) 그것(it)을 달라고 하는 ‘노상강도’</t>
  </si>
  <si>
    <t>노상강도</t>
  </si>
  <si>
    <t>The bandit stole money from the stagecoach.</t>
  </si>
  <si>
    <t>The (          ) stole money from the stagecoach.</t>
  </si>
  <si>
    <t>husband</t>
  </si>
  <si>
    <t>[hΛzbənd]</t>
  </si>
  <si>
    <t>집(house)을 끈(band)으로 둘러싸듯 보호하는 사람, ‘남편’</t>
  </si>
  <si>
    <t>남편</t>
  </si>
  <si>
    <t>Her husband cooks dinner every Friday night.</t>
  </si>
  <si>
    <t>Her (          ) cooks dinner every Friday night.</t>
  </si>
  <si>
    <t>2026-03-17</t>
  </si>
  <si>
    <t>abandon</t>
  </si>
  <si>
    <t>[əbǽndən]</t>
  </si>
  <si>
    <t>하나로(a) 묶어 놓은(band) 것을 없애니(n) ‘포기하다, 버리다’</t>
  </si>
  <si>
    <t>포기하다, 버리다</t>
  </si>
  <si>
    <t>The crew had to abandon the sinking ship.</t>
  </si>
  <si>
    <t>The crew had to (          ) the sinking ship.</t>
  </si>
  <si>
    <t>bandage</t>
  </si>
  <si>
    <t>[bǽndidʒ]</t>
  </si>
  <si>
    <t>반창고(band)를 오랫동안(age) 감아 놓으려고 만든 것, ‘붕대’</t>
  </si>
  <si>
    <t>붕대</t>
  </si>
  <si>
    <t>The nurse put a bandage on my cut.</t>
  </si>
  <si>
    <t>The nurse put a (          ) on my cut.</t>
  </si>
  <si>
    <t>bind</t>
  </si>
  <si>
    <t>[baind]</t>
  </si>
  <si>
    <t>(band ▶︎ bind) ‘묶다’</t>
  </si>
  <si>
    <t>묶다</t>
  </si>
  <si>
    <t>Strong rope will bind the packages together securely.</t>
  </si>
  <si>
    <t>Strong rope will (          ) the packages together securely.</t>
  </si>
  <si>
    <t>bond</t>
  </si>
  <si>
    <t>[band]</t>
  </si>
  <si>
    <t>묶어서(band ▶︎ bond) 하나되게 하는 ‘결속, 유대, 접찹제’</t>
  </si>
  <si>
    <t>결속, 유대, 접찹제</t>
  </si>
  <si>
    <t>The mother and child share a special bond.</t>
  </si>
  <si>
    <t>The mother and child share a special (          ).</t>
  </si>
  <si>
    <t>bound</t>
  </si>
  <si>
    <t>band &gt; bond</t>
  </si>
  <si>
    <t>[baund]</t>
  </si>
  <si>
    <t>아래쪽에(u) 넣어두고 묶으니(bond) 이동이 제한되어 생기는 ‘한계, 경계’</t>
  </si>
  <si>
    <t>한계, 경계</t>
  </si>
  <si>
    <t>The rabbit bound across the field quickly.</t>
  </si>
  <si>
    <t>The rabbit (          ) across the field quickly.</t>
  </si>
  <si>
    <t>boundary</t>
  </si>
  <si>
    <t>band &gt; bond &gt; bound</t>
  </si>
  <si>
    <t>[báundəri]</t>
  </si>
  <si>
    <t>국가 사이의 경계(bound)를 더 강화(r)하고 확장(y)하면 생기는 ‘국경, 경계’</t>
  </si>
  <si>
    <t>국경, 경계</t>
  </si>
  <si>
    <t>The fence marks the boundary between the two properties.</t>
  </si>
  <si>
    <t>The fence marks the (          ) between the two properties.</t>
  </si>
  <si>
    <t>bundle</t>
  </si>
  <si>
    <t>band &gt; bund</t>
  </si>
  <si>
    <t>[bΛndl]</t>
  </si>
  <si>
    <t>묶어서(bund) 긴(l) 끝으로 조이니 만들어지는 ‘다발, 꾸러미’</t>
  </si>
  <si>
    <t>다발, 꾸러미</t>
  </si>
  <si>
    <t>She wrapped the baby in a bundle of warm blankets.</t>
  </si>
  <si>
    <t>She wrapped the baby in a (          ) of warm blankets.</t>
  </si>
  <si>
    <t>bar</t>
  </si>
  <si>
    <r>
      <rPr>
        <sz val="12"/>
        <color indexed="8"/>
        <rFont val="Apple SD 산돌고딕 Neo 일반체"/>
      </rPr>
      <t>bar</t>
    </r>
  </si>
  <si>
    <t>[baːr]</t>
  </si>
  <si>
    <t>막는데(b) 막대기 같은 것을 더해(a) 힘을(r) 가하니 ‘가로막다, 빗장, 막대기’</t>
  </si>
  <si>
    <t>가로막다, 빗장, 막대기</t>
  </si>
  <si>
    <t>Let's meet at the coffee bar after work.</t>
  </si>
  <si>
    <t>Let's meet at the coffee (          ) after work.</t>
  </si>
  <si>
    <t>bartender</t>
  </si>
  <si>
    <t>[baˈrteˌndər]</t>
  </si>
  <si>
    <t>막대기(bar)를 뻗어 놓아(tend) 손님이 더 들어오지 못하게 막고 술을 제조하는 사람(er) ‘바텐더’(이에 bar가 술집이라는 의미가 생김)</t>
  </si>
  <si>
    <t>바텐더</t>
  </si>
  <si>
    <t>The bartender knew how to make all kinds of drinks.</t>
  </si>
  <si>
    <t>The (          ) knew how to make all kinds of drinks.</t>
  </si>
  <si>
    <t>bargain</t>
  </si>
  <si>
    <t>[bάːrgən]</t>
  </si>
  <si>
    <t>예전에는 술집(bar)에서 서로 원하는 바를 얻기(gain)위해 ‘흥정, 거래’하기도 했다.</t>
  </si>
  <si>
    <t>흥정, 거래</t>
  </si>
  <si>
    <t>She found a real bargain at the shoe sale.</t>
  </si>
  <si>
    <t>She found a real (          ) at the shoe sale.</t>
  </si>
  <si>
    <t>barn</t>
  </si>
  <si>
    <t>[baːrn]</t>
  </si>
  <si>
    <t>입구를 가로 막아서(bar) 없어지지(n) 않게 보관하는 ‘헛간’</t>
  </si>
  <si>
    <t>헛간</t>
  </si>
  <si>
    <t>The farmers keep their animals in the barn during winter.</t>
  </si>
  <si>
    <t>The farmers keep their animals in the (          ) during winter.</t>
  </si>
  <si>
    <t>barrel</t>
  </si>
  <si>
    <t>[bǽrəl]</t>
  </si>
  <si>
    <t>나가지 못하게 막아(bar) 놓은 입구(e)도 있고 흘러가는(l) 액체가 담겨 있는 ‘불룩한 통’</t>
  </si>
  <si>
    <t>불룩한 통</t>
  </si>
  <si>
    <t>We store rainwater in a large barrel outside.</t>
  </si>
  <si>
    <t>We store rainwater in a large (          ) outside.</t>
  </si>
  <si>
    <t>barrier</t>
  </si>
  <si>
    <t>[bǽriər]</t>
  </si>
  <si>
    <t>빗장, 막대기(bar)를 걸어 안에(i) 있도록 힘을(er) 가하는 것, ‘장애물, 울타리’</t>
  </si>
  <si>
    <t>장애물, 울타리</t>
  </si>
  <si>
    <t>Language can be a barrier when traveling abroad.</t>
  </si>
  <si>
    <t>Language can be a (          ) when traveling abroad.</t>
  </si>
  <si>
    <t>barricade</t>
  </si>
  <si>
    <t>[bǽrəkèid, -′--']</t>
  </si>
  <si>
    <t>빗장, 막대기(bar)를 설치하여 나오지 못하게 잡고(c) 힘을 저하(d)시키는 ‘방책, 장벽, 바리케이드’</t>
  </si>
  <si>
    <t>방책, 장벽, 바리케이드</t>
  </si>
  <si>
    <t>Police set up a barricade around the accident scene.</t>
  </si>
  <si>
    <t>Police set up a (          ) around the accident scene.</t>
  </si>
  <si>
    <t>embarrass</t>
  </si>
  <si>
    <t>[imbǽrəs]</t>
  </si>
  <si>
    <t>안에(em) 가두고 빗장(bar)을 걸어 나가지 못하게 해 ‘당황하게 하다’</t>
  </si>
  <si>
    <t>당황하게 하다</t>
  </si>
  <si>
    <t>Don't embarrass your sister by showing her baby photos.</t>
  </si>
  <si>
    <t>Don't (          ) your sister by showing her baby photos.</t>
  </si>
  <si>
    <t>embargo</t>
  </si>
  <si>
    <t>[imbάːrgou]</t>
  </si>
  <si>
    <t>안에(em) 가두고 빗장(bar)을 걸어 가지(go) 못하게 하니, ‘통상금지’</t>
  </si>
  <si>
    <t>통상금지</t>
  </si>
  <si>
    <t>The country faced an economic embargo for many years.</t>
  </si>
  <si>
    <t>The country faced an economic (          ) for many years.</t>
  </si>
  <si>
    <t>barren</t>
  </si>
  <si>
    <t>[bǽrən]</t>
  </si>
  <si>
    <t>막아(bar)버리니 자궁(생명의 탄생지) 안(en)을 ‘불임’의 상태, 땅의 생명을 막아 버리니 ‘불모의, 척박한’ 상태이다.</t>
  </si>
  <si>
    <t>불임, 불모의, 척박한</t>
  </si>
  <si>
    <t>The barren landscape had no trees or plants.</t>
  </si>
  <si>
    <t>The (          ) landscape had no trees or plants.</t>
  </si>
  <si>
    <t>bat</t>
  </si>
  <si>
    <r>
      <rPr>
        <sz val="12"/>
        <color indexed="8"/>
        <rFont val="Apple SD 산돌고딕 Neo 일반체"/>
      </rPr>
      <t>bat</t>
    </r>
  </si>
  <si>
    <t>[bæt]</t>
  </si>
  <si>
    <t>터져나가(b) 점(at)으로 접하니 하니, ‘때리다, (공을) 치다’</t>
  </si>
  <si>
    <t>때리다, (공을) 치다</t>
  </si>
  <si>
    <t>The baseball player swung the bat and hit a home run.</t>
  </si>
  <si>
    <t>The baseball player swung the (          ) and hit a home run.</t>
  </si>
  <si>
    <t>battle</t>
  </si>
  <si>
    <t>[bǽtl]</t>
  </si>
  <si>
    <t>서로 때리기(bat)를 오래하는(l) ‘전투, 싸움’</t>
  </si>
  <si>
    <t>전투, 싸움</t>
  </si>
  <si>
    <t>The ancient battle took place on this very field.</t>
  </si>
  <si>
    <t>The ancient (          ) took place on this very field.</t>
  </si>
  <si>
    <t>bate</t>
  </si>
  <si>
    <t>[beit]</t>
  </si>
  <si>
    <t>때려서(bat) 작게 만드니 ‘약하게 하다, 줄이다’</t>
  </si>
  <si>
    <t>약하게 하다, 줄이다</t>
  </si>
  <si>
    <t>The fisherman used worms to bate his hook.</t>
  </si>
  <si>
    <t>The fisherman used worms to (          ) his hook.</t>
  </si>
  <si>
    <t>abate</t>
  </si>
  <si>
    <t>bat &gt; bate</t>
  </si>
  <si>
    <t>[əbéit]</t>
  </si>
  <si>
    <t>하나씩(a) 줄이니(bate) ‘감소시키다, 줄이다, 완화하다’</t>
  </si>
  <si>
    <t>감소시키다, 줄이다, 완화하다</t>
  </si>
  <si>
    <t>The storm will abate by morning.</t>
  </si>
  <si>
    <t>The storm will (          ) by morning.</t>
  </si>
  <si>
    <t>debate</t>
  </si>
  <si>
    <t>[dibéit]</t>
  </si>
  <si>
    <t>말로 상대방의 사기를 저하시키고(d) 약하게(bate) 하는 논쟁, ‘논쟁하다, 토론하다’</t>
  </si>
  <si>
    <t>논쟁하다, 토론하다</t>
  </si>
  <si>
    <t>We had a lively debate about climate change.</t>
  </si>
  <si>
    <t>We had a lively (          ) about climate change.</t>
  </si>
  <si>
    <t>beat</t>
  </si>
  <si>
    <t>[biːt]</t>
  </si>
  <si>
    <t>때리다(bat)보다 좀 더 발음을 길어지게 발음하면 ‘(아주 세게 계속) 때리다’, 그 결과 상대방을 ‘이기다’</t>
  </si>
  <si>
    <t>때리다, 이기다</t>
  </si>
  <si>
    <t>My heart began to beat faster when I saw the test results.</t>
  </si>
  <si>
    <t>My heart began to (          ) faster when I saw the test results.</t>
  </si>
  <si>
    <t>bicycle</t>
  </si>
  <si>
    <t>bi</t>
  </si>
  <si>
    <r>
      <rPr>
        <sz val="12"/>
        <color indexed="8"/>
        <rFont val="Apple SD 산돌고딕 Neo 일반체"/>
      </rPr>
      <t>bi</t>
    </r>
  </si>
  <si>
    <t>[báisikl]</t>
  </si>
  <si>
    <t>두개(bi)의 바퀴(cycle) ‘자전거’</t>
  </si>
  <si>
    <t>자전거</t>
  </si>
  <si>
    <t>She rides her bicycle to school every day.</t>
  </si>
  <si>
    <t>She rides her (          ) to school every day.</t>
  </si>
  <si>
    <t>bias</t>
  </si>
  <si>
    <t>[báiəs]</t>
  </si>
  <si>
    <t>다른 두개(bi)를 같다고(as) 하는 ‘편견’</t>
  </si>
  <si>
    <t>편견</t>
  </si>
  <si>
    <t>Try not to show bias when judging the competition.</t>
  </si>
  <si>
    <t>Try not to show (          ) when judging the competition.</t>
  </si>
  <si>
    <t>alibi</t>
  </si>
  <si>
    <t>[ǽləbài]</t>
  </si>
  <si>
    <t>모두 다(ali-all) 범행 현장과 다른 각각의, 두개의(bi) 장소에 있었음을 증명하는, ‘알리바이, 변명’</t>
  </si>
  <si>
    <t>알리바이, 변명</t>
  </si>
  <si>
    <t>The suspect had a strong alibi for the night of the crime.</t>
  </si>
  <si>
    <t>The suspect had a strong (          ) for the night of the crime.</t>
  </si>
  <si>
    <t>bilingual</t>
  </si>
  <si>
    <t>[bailíŋgwəl]</t>
  </si>
  <si>
    <t>두개(bi)의 언어(language)를 사용하는, ‘2개 국어를 말하는’</t>
  </si>
  <si>
    <t>2개 국어를 말하는</t>
  </si>
  <si>
    <t>Being bilingual can help you find better job opportunities.</t>
  </si>
  <si>
    <t>Being (          ) can help you find better job opportunities.</t>
  </si>
  <si>
    <t>binoculars</t>
  </si>
  <si>
    <t>[bainάkjulər, bə-]</t>
  </si>
  <si>
    <t>두개(bi)의 렌즈(ocular)를 사용하는 ‘쌍안경’</t>
  </si>
  <si>
    <t>쌍안경</t>
  </si>
  <si>
    <t>We used binoculars to watch birds at the lake.</t>
  </si>
  <si>
    <t>We used (          ) to watch birds at the lake.</t>
  </si>
  <si>
    <t>bisect</t>
  </si>
  <si>
    <t>[baisékt, -'-]</t>
  </si>
  <si>
    <t>두개(bi)로 자르니(sect) ‘양분하다, 이등분하다’</t>
  </si>
  <si>
    <t>양분하다, 이등분하다</t>
  </si>
  <si>
    <t>The river bisects the city into north and south regions.</t>
  </si>
  <si>
    <t>The river (          )s the city into north and south regions.</t>
  </si>
  <si>
    <t>biology</t>
  </si>
  <si>
    <t>bio</t>
  </si>
  <si>
    <r>
      <rPr>
        <sz val="12"/>
        <color indexed="8"/>
        <rFont val="Apple SD 산돌고딕 Neo 일반체"/>
      </rPr>
      <t>bio</t>
    </r>
  </si>
  <si>
    <t>[baiάlədʒi]</t>
  </si>
  <si>
    <t>생명(bio)을 다루는 학문(log)인 ‘생물학’</t>
  </si>
  <si>
    <t>생물학</t>
  </si>
  <si>
    <t>She studies biology at the university.</t>
  </si>
  <si>
    <t>She studies (          ) at the university.</t>
  </si>
  <si>
    <t>antibiotic</t>
  </si>
  <si>
    <t>[ӕntibaiάtik, -tai-]</t>
  </si>
  <si>
    <t>반대(anti)로 생명(bio)에 작용하는 ‘항생 물질, 항생제’</t>
  </si>
  <si>
    <t>항생 물질, 항생제</t>
  </si>
  <si>
    <t>The doctor prescribed an antibiotic for my infection.</t>
  </si>
  <si>
    <t>The doctor prescribed an (          ) for my infection.</t>
  </si>
  <si>
    <t>biography</t>
  </si>
  <si>
    <t>[baiάgrəfi]</t>
  </si>
  <si>
    <t>생명(bio), 인생에 대해 그래프(graph)를 그리듯이 쓴 ‘전기, 일대기’</t>
  </si>
  <si>
    <t>전기, 일대기</t>
  </si>
  <si>
    <t>I'm reading a biography about Albert Einstein.</t>
  </si>
  <si>
    <t>I'm reading a (          ) about Albert Einstein.</t>
  </si>
  <si>
    <t>bloom</t>
  </si>
  <si>
    <t>[bluːm]</t>
  </si>
  <si>
    <t>꽃망울이 터져(bl) 향기가 아래쪽(oo)에서 부터 사방에 움직여(m) 나가니 ‘꽃이 피다’</t>
  </si>
  <si>
    <t>꽃이 피다</t>
  </si>
  <si>
    <t>The roses bloom beautifully in our garden each summer.</t>
  </si>
  <si>
    <t>The roses (          ) beautifully in our garden each summer.</t>
  </si>
  <si>
    <t>black</t>
  </si>
  <si>
    <t>[blæk]</t>
  </si>
  <si>
    <t>빛이 다 터져(bl) 나가고 빛이 부족(lack)해서 깜깜한 상태인 ‘검은, 검은색’</t>
  </si>
  <si>
    <t>검은, 검은색</t>
  </si>
  <si>
    <t>She wore a black dress to the formal dinner.</t>
  </si>
  <si>
    <t>She wore a (          ) dress to the formal dinner.</t>
  </si>
  <si>
    <t>blank</t>
  </si>
  <si>
    <t>[blæŋk]</t>
  </si>
  <si>
    <t>글자가 다 터져(bl) 나가 없어지면서(n) 확장(k)되어 날아가 버리니, ‘비어있는, 백지의, 빈칸’</t>
  </si>
  <si>
    <t>비어있는, 백지의, 빈칸</t>
  </si>
  <si>
    <t>Please don't leave any blank spaces on the application form.</t>
  </si>
  <si>
    <t>Please don't leave any (          ) spaces on the application form.</t>
  </si>
  <si>
    <t>blanket</t>
  </si>
  <si>
    <t>bl &gt; blank</t>
  </si>
  <si>
    <t>[blǽŋkit]</t>
  </si>
  <si>
    <t>흰색이고(blank) 접촉(t)해서 덮어주는 ‘담요’</t>
  </si>
  <si>
    <t>담요</t>
  </si>
  <si>
    <t>The child slept peacefully under a warm blanket.</t>
  </si>
  <si>
    <t>The child slept peacefully under a warm (          ).</t>
  </si>
  <si>
    <t>bleach</t>
  </si>
  <si>
    <t>[bliːʧ]</t>
  </si>
  <si>
    <t>색이 터져(bl) 나가게 잡아서(ch) 빼내니 ‘표백하다, 희게하다’</t>
  </si>
  <si>
    <t>표백하다, 희게하다</t>
  </si>
  <si>
    <t>Use bleach carefully when washing white clothes.</t>
  </si>
  <si>
    <t>Use (          ) carefully when washing white clothes.</t>
  </si>
  <si>
    <t>blade</t>
  </si>
  <si>
    <t>[bleid]</t>
  </si>
  <si>
    <t>욱하는 성질이 터져 나와(bl) 아래로(d) 칼을 내려치는 모습에서 연상되는, ‘칼날, 날’</t>
  </si>
  <si>
    <t>칼날, 날</t>
  </si>
  <si>
    <t>The knife blade needs to be sharpened.</t>
  </si>
  <si>
    <t>The knife (          ) needs to be sharpened.</t>
  </si>
  <si>
    <t>bleed</t>
  </si>
  <si>
    <t>[bliːd]</t>
  </si>
  <si>
    <t>상처가 터져서(bl) 벌어진 입구(ee)를 통해 아래로(d) ‘피를 흘리다’</t>
  </si>
  <si>
    <t>피를 흘리다</t>
  </si>
  <si>
    <t>His knee started to bleed after he fell off his bike.</t>
  </si>
  <si>
    <t>His knee started to (          ) after he fell off his bike.</t>
  </si>
  <si>
    <t>blaze</t>
  </si>
  <si>
    <t>[bleiz]</t>
  </si>
  <si>
    <t>터져서 멀리(bl) 불씨가 나가고 지익~(z) 소리를 내며 타다, ‘불타다’</t>
  </si>
  <si>
    <t>불타다</t>
  </si>
  <si>
    <t>The forest blaze destroyed thousands of acres.</t>
  </si>
  <si>
    <t>The forest (          ) destroyed thousands of acres.</t>
  </si>
  <si>
    <t>ablaze</t>
  </si>
  <si>
    <t>bl &gt; blaze</t>
  </si>
  <si>
    <t>[əbléiz]</t>
  </si>
  <si>
    <t>더하다(a) 불타오는(blaze) 것을 그 결과, ‘불길에 휩싸인’</t>
  </si>
  <si>
    <t>불길에 휩싸인</t>
  </si>
  <si>
    <t>The sky was ablaze with colorful fireworks.</t>
  </si>
  <si>
    <t>The sky was (          ) with colorful fireworks.</t>
  </si>
  <si>
    <t>blizzard</t>
  </si>
  <si>
    <t>[blízərd]</t>
  </si>
  <si>
    <t>불타는(blaze) 듯이 눈보라가 부니 ‘심한 눈보라, 폭설’</t>
  </si>
  <si>
    <t>심한 눈보라, 폭설</t>
  </si>
  <si>
    <t>A blizzard is forecast for this weekend.</t>
  </si>
  <si>
    <t>A (          ) is forecast for this weekend.</t>
  </si>
  <si>
    <t>bless</t>
  </si>
  <si>
    <t>[bles]</t>
  </si>
  <si>
    <t>행운이 터져서 멀리(bl) 나가길 바라니 ‘축복하다’</t>
  </si>
  <si>
    <t>축복하다</t>
  </si>
  <si>
    <t>May God bless you and your family.</t>
  </si>
  <si>
    <t>May God (          ) you and your family.</t>
  </si>
  <si>
    <t>blast</t>
  </si>
  <si>
    <t>[blæst]</t>
  </si>
  <si>
    <t>터져서 멀리(bl) 나가게 하니 ‘폭발하다, 폭파’</t>
  </si>
  <si>
    <t>폭발하다, 폭파</t>
  </si>
  <si>
    <t>The explosion blast could be heard for miles.</t>
  </si>
  <si>
    <t>The explosion (          ) could be heard for miles.</t>
  </si>
  <si>
    <t>bluster</t>
  </si>
  <si>
    <t>[blΛstər]</t>
  </si>
  <si>
    <t>파도가 터지듯이(bl) 아래쪽에서(u) 부터 세차져서 서서(st) 힘있게(r) 때리니 ‘(파도가) 거세게 몰아치다, 고함치다’</t>
  </si>
  <si>
    <t>(파도가) 거세게 몰아치다, 고함치다</t>
  </si>
  <si>
    <t>The politician's bluster didn't convince the voters.</t>
  </si>
  <si>
    <t>The politician's (          ) didn't convince the voters.</t>
  </si>
  <si>
    <t>burst</t>
  </si>
  <si>
    <r>
      <rPr>
        <sz val="12"/>
        <color indexed="8"/>
        <rFont val="Apple SD 산돌고딕 Neo 일반체"/>
      </rPr>
      <t>b</t>
    </r>
  </si>
  <si>
    <t>[bəːrst]</t>
  </si>
  <si>
    <t>터져서(b) 아래쪽에서(u) 있던 것이 세게(r) 다 나가 서(st) 버리니 ‘폭발하다, 폭발’</t>
  </si>
  <si>
    <t>폭발하다, 폭발</t>
  </si>
  <si>
    <t>The balloon will burst if you blow too much air into it.</t>
  </si>
  <si>
    <t>The balloon will (          ) if you blow too much air into it.</t>
  </si>
  <si>
    <t>blare</t>
  </si>
  <si>
    <t>[blεər]</t>
  </si>
  <si>
    <t>어떤 내용을 크게 터지듯이(bl) 힘있게(r) 말하니 ‘크게 울려 퍼지다’</t>
  </si>
  <si>
    <t>크게 울려 퍼지다</t>
  </si>
  <si>
    <t>The car alarms blare was annoying the neighbors.</t>
  </si>
  <si>
    <t>The car alarms (          ) was annoying the neighbors.</t>
  </si>
  <si>
    <t>blond</t>
  </si>
  <si>
    <t>[bland]</t>
  </si>
  <si>
    <t>빛이 터져 나가는(bl) 눈부신 금색이고 둥근 머리(o) 끝(end-nd)에 나 있는 ‘금발’</t>
  </si>
  <si>
    <t>금발</t>
  </si>
  <si>
    <t>Her blond hair shines in the sunlight.</t>
  </si>
  <si>
    <t>Her (          ) hair shines in the sunlight.</t>
  </si>
  <si>
    <t>break</t>
  </si>
  <si>
    <t>br</t>
  </si>
  <si>
    <r>
      <rPr>
        <sz val="12"/>
        <color indexed="8"/>
        <rFont val="Apple SD 산돌고딕 Neo 일반체"/>
      </rPr>
      <t>br</t>
    </r>
  </si>
  <si>
    <t>[breik]</t>
  </si>
  <si>
    <t>터져서(b) 깨진 그 조각들이 힘 차게(r) 확장(k)되어 나가니, ‘깨뜨리다, 부수다’</t>
  </si>
  <si>
    <t>깨뜨리다, 부수다</t>
  </si>
  <si>
    <t>Be careful not to break the glass vase.</t>
  </si>
  <si>
    <t>Be careful not to (          ) the glass vase.</t>
  </si>
  <si>
    <t>breakfast</t>
  </si>
  <si>
    <t>br &gt; break</t>
  </si>
  <si>
    <t>[brékfəst]</t>
  </si>
  <si>
    <t>깨다(break) 저녁 먹고 아침까지의 단식(fast), 즉 일어나서 처음 먹는 ‘아침식사’</t>
  </si>
  <si>
    <t>아침식사</t>
  </si>
  <si>
    <t>I usually eat breakfast at 7:30 every morning.</t>
  </si>
  <si>
    <t>I usually eat (          ) at 7:30 every morning.</t>
  </si>
  <si>
    <t>breakage</t>
  </si>
  <si>
    <t>[bréikidʒ]</t>
  </si>
  <si>
    <t>파괴(break)하여 오래 두니(age) ‘파손, 손상’</t>
  </si>
  <si>
    <t>파손, 손상</t>
  </si>
  <si>
    <t>The shipping company is responsible for any breakage during transit.</t>
  </si>
  <si>
    <t>The shipping company is responsible for any (          ) during transit.</t>
  </si>
  <si>
    <t>breakthrough</t>
  </si>
  <si>
    <t>[breiˈkθruˌ]</t>
  </si>
  <si>
    <t>문제를 부수고(break) 통과(through)하니, ‘(문제 해결의) 돌파구’</t>
  </si>
  <si>
    <t>(문제 해결의) 돌파구</t>
  </si>
  <si>
    <t>Scientists announced a breakthrough in cancer research.</t>
  </si>
  <si>
    <t>Scientists announced a (          ) in cancer research.</t>
  </si>
  <si>
    <t>broker</t>
  </si>
  <si>
    <t>[bróukər]</t>
  </si>
  <si>
    <t>와인 통을 따서(break) 거래를 시작하는 ‘중매인, 중개인’</t>
  </si>
  <si>
    <t>중매인, 중개인</t>
  </si>
  <si>
    <t>We hired a real estate broker to help sell our house.</t>
  </si>
  <si>
    <t>We hired a real estate (          ) to help sell our house.</t>
  </si>
  <si>
    <t>broach</t>
  </si>
  <si>
    <t>br &gt; break &gt; broker</t>
  </si>
  <si>
    <t>[brouʧ]</t>
  </si>
  <si>
    <t>통을 깨서(br) 구멍(o)을 내려고 잡는(ch) 기구 이자 중매인(broker)이 와인 통에 구멍을 내고자 쓰는 도구, ‘(통에 구멍내는) 송곳’</t>
  </si>
  <si>
    <t>(통에 구멍내는) 송곳</t>
  </si>
  <si>
    <t>It's difficult to broach such a sensitive topic.</t>
  </si>
  <si>
    <t>It's difficult to (          ) such a sensitive topic.</t>
  </si>
  <si>
    <t>breach</t>
  </si>
  <si>
    <t>br &gt; break &gt; broach</t>
  </si>
  <si>
    <t>[briːʧ]</t>
  </si>
  <si>
    <t>구멍을 내는 송곳(broach)으로 입구(e)를 내는 순간 생기는 ‘터진 구멍, 위반, 침해’</t>
  </si>
  <si>
    <t>터진 구멍, 위반, 침해</t>
  </si>
  <si>
    <t>Hackers caused a security breach in the system.</t>
  </si>
  <si>
    <t>Hackers caused a security (          ) in the system.</t>
  </si>
  <si>
    <t>brick</t>
  </si>
  <si>
    <t>[brik]</t>
  </si>
  <si>
    <t>깨지는(break) 성질이 있어 잘 잡아야(c) 하는 ‘벽돌’</t>
  </si>
  <si>
    <t>벽돌</t>
  </si>
  <si>
    <t>They built a brick wall around their garden.</t>
  </si>
  <si>
    <t>They built a (          ) wall around their garden.</t>
  </si>
  <si>
    <t>brisk</t>
  </si>
  <si>
    <t>[brisk]</t>
  </si>
  <si>
    <t>기운이 터져 나와(br) 표면(sk)에 활발한 기운이 보이니, ‘활발한, 기운찬’</t>
  </si>
  <si>
    <t>활발한, 기운찬</t>
  </si>
  <si>
    <t>We took a brisk walk in the cool morning air.</t>
  </si>
  <si>
    <t>We took a (          ) walk in the cool morning air.</t>
  </si>
  <si>
    <t>brittle</t>
  </si>
  <si>
    <t>[brítl]</t>
  </si>
  <si>
    <t>터져나가(br) 작은 조각(little &gt; ittle)이 되기 쉬운, ‘깨지기 쉬운, 부서지기 쉬운’</t>
  </si>
  <si>
    <t>깨지기 쉬운, 부서지기 쉬운</t>
  </si>
  <si>
    <t>The old paper was yellow and brittle with age.</t>
  </si>
  <si>
    <t>The old paper was yellow and (          ) with age.</t>
  </si>
  <si>
    <t>briquette</t>
  </si>
  <si>
    <t>[brikét]</t>
  </si>
  <si>
    <t>부서져서 터져 나온(br) 가루에 압력(qu)을 가해서 세워(tt) 놓은 것, ‘연탄, 조개탄’</t>
  </si>
  <si>
    <t>연탄, 조개탄</t>
  </si>
  <si>
    <t>We need more briquette for the barbecue.</t>
  </si>
  <si>
    <t>We need more (          ) for the barbecue.</t>
  </si>
  <si>
    <t>broad</t>
  </si>
  <si>
    <t>[brɔːd]</t>
  </si>
  <si>
    <t>터져서(br) 넓게 길(road)을 만드니 ‘넓은’</t>
  </si>
  <si>
    <t>넓은</t>
  </si>
  <si>
    <t>The report covers a broad range of topics.</t>
  </si>
  <si>
    <t>The report covers a (          ) range of topics.</t>
  </si>
  <si>
    <t>board</t>
  </si>
  <si>
    <t>br &gt; broad</t>
  </si>
  <si>
    <t>[bɔːrd]</t>
  </si>
  <si>
    <t>나무를 넓게(broad) 만든 것이 ‘널판지, 판자’</t>
  </si>
  <si>
    <t>널판지, 판자</t>
  </si>
  <si>
    <t>The executive board meets every Tuesday morning.</t>
  </si>
  <si>
    <t>The executive (          ) meets every Tuesday morning.</t>
  </si>
  <si>
    <t>aboard</t>
  </si>
  <si>
    <t>br &gt; broad &gt; board</t>
  </si>
  <si>
    <t>[əbɔ́ːrd]</t>
  </si>
  <si>
    <t>내 발에 더하는(a) 것이 물 위에 판자(board)이므로 ‘승선하여, (배, 비행기 등을) 타고’</t>
  </si>
  <si>
    <t>승선하여, (배, 비행기 등을) 타고</t>
  </si>
  <si>
    <t>All passengers must be aboard the ship by 5:00 PM.</t>
  </si>
  <si>
    <t>All passengers must be (          ) the ship by 5:00 PM.</t>
  </si>
  <si>
    <t>breadth</t>
  </si>
  <si>
    <t>[bredθ, bretθ]</t>
  </si>
  <si>
    <t>넓은(broad) 것을 나타내는 ‘너비, 폭, 폭넓음’</t>
  </si>
  <si>
    <t>너비, 폭, 폭넓음</t>
  </si>
  <si>
    <t>The breadth of his knowledge on history is impressive.</t>
  </si>
  <si>
    <t>The (          ) of his knowledge on history is impressive.</t>
  </si>
  <si>
    <t>breath</t>
  </si>
  <si>
    <t>[breθ]</t>
  </si>
  <si>
    <t>공기가 터져(br) 입과 코를 통과해(th) 나아가는 것, ‘호흡’</t>
  </si>
  <si>
    <t>호흡</t>
  </si>
  <si>
    <t>Hold your breath when you swim underwater.</t>
  </si>
  <si>
    <t>Hold your (          ) when you swim underwater.</t>
  </si>
  <si>
    <t>boil</t>
  </si>
  <si>
    <t>[bɔil]</t>
  </si>
  <si>
    <t>기포가 터져(b) 나가게 하고 기름(oil)을 이용하기도 하는 동작인 ‘끓이다’</t>
  </si>
  <si>
    <t>끓이다</t>
  </si>
  <si>
    <t>You need to boil the water before drinking it.</t>
  </si>
  <si>
    <t>You need to (          ) the water before drinking it.</t>
  </si>
  <si>
    <t>broil</t>
  </si>
  <si>
    <t>[brɔil]</t>
  </si>
  <si>
    <t>고기 등이 익어서 터질(br)듯이 기름(oil)으로 지글지글 ‘굽다’</t>
  </si>
  <si>
    <t>굽다</t>
  </si>
  <si>
    <t>Set the oven to broil when cooking the fish.</t>
  </si>
  <si>
    <t>Set the oven to (          ) when cooking the fish.</t>
  </si>
  <si>
    <t>brief</t>
  </si>
  <si>
    <t>[briːf]</t>
  </si>
  <si>
    <t>터질(br)듯이 안(i)에 있는 말을 빨리(f) 해버리니 줄여서 ‘간단한, 잠시 동안의’</t>
  </si>
  <si>
    <t>간단한, 잠시 동안의</t>
  </si>
  <si>
    <t>The meeting was brief, lasting only fifteen minutes.</t>
  </si>
  <si>
    <t>The meeting was (          ), lasting only fifteen minutes.</t>
  </si>
  <si>
    <t>abbreviate</t>
  </si>
  <si>
    <t>br &gt; brief</t>
  </si>
  <si>
    <t>[əbríːvièit]</t>
  </si>
  <si>
    <t>하나씩(a) 터져 나가게(b) 해서 짧게 간단히(brief) 만드니 ‘단축하다, 생략하다’</t>
  </si>
  <si>
    <t>단축하다, 생략하다</t>
  </si>
  <si>
    <t>Please abbreviate the month names in your report.</t>
  </si>
  <si>
    <t>Please (          ) the month names in your report.</t>
  </si>
  <si>
    <t>abroad</t>
  </si>
  <si>
    <t>ab</t>
  </si>
  <si>
    <r>
      <rPr>
        <sz val="12"/>
        <color indexed="8"/>
        <rFont val="Apple SD 산돌고딕 Neo 일반체"/>
      </rPr>
      <t>ab</t>
    </r>
  </si>
  <si>
    <t>[əbrɔ́ːd]</t>
  </si>
  <si>
    <t>이탈하다(ab) 가던 길(road)을 그래서 해외로 가다, ‘해외로, 외국에(으로)’</t>
  </si>
  <si>
    <t>해외로, 외국에(으로)</t>
  </si>
  <si>
    <t>My sister is studying abroad for a semester.</t>
  </si>
  <si>
    <t>My sister is studying (          ) for a semester.</t>
  </si>
  <si>
    <t>able</t>
  </si>
  <si>
    <t>[éibl]</t>
  </si>
  <si>
    <t>단체로부터 이탈(ab)해 오래(l) 지속되니 ‘할 수 있는, 능력 있는, 유능한’</t>
  </si>
  <si>
    <t>할 수 있는, 능력 있는, 유능한</t>
  </si>
  <si>
    <t>She is able to speak three languages fluently.</t>
  </si>
  <si>
    <t>She is (          ) to speak three languages fluently.</t>
  </si>
  <si>
    <t>ability</t>
  </si>
  <si>
    <t>ab &gt; able</t>
  </si>
  <si>
    <t>[əbíləti]</t>
  </si>
  <si>
    <t>할수 있는(able) 것을 딱 세우니(t) ‘능력, 역량’</t>
  </si>
  <si>
    <t>능력, 역량</t>
  </si>
  <si>
    <t>His ability to solve complex problems quickly is remarkable.</t>
  </si>
  <si>
    <t>His (          ) to solve complex problems quickly is remarkable.</t>
  </si>
  <si>
    <t>enable</t>
  </si>
  <si>
    <t>[inéibl]</t>
  </si>
  <si>
    <t>안에(en) 힘을 불어 넣어 할 수(able) 있게 만드니, ‘가능[용이]하게 하다’</t>
  </si>
  <si>
    <t>가능[용이]하게 하다</t>
  </si>
  <si>
    <t>This software will enable you to edit photos easily.</t>
  </si>
  <si>
    <t>This software will (          ) you to edit photos easily.</t>
  </si>
  <si>
    <t>abolish</t>
  </si>
  <si>
    <t>[əbάliʃ]</t>
  </si>
  <si>
    <t>이탈(ab) 시켜서 멀리(l) 날아가 슥 하고(sh) 사라지게 만드니, ‘없애다, 폐지하다’</t>
  </si>
  <si>
    <t>없애다, 폐지하다</t>
  </si>
  <si>
    <t>Some countries have decided to abolish the death penalty.</t>
  </si>
  <si>
    <t>Some countries have decided to (          ) the death penalty.</t>
  </si>
  <si>
    <t>abnormal</t>
  </si>
  <si>
    <t>[æbnɔ́ːrməl]</t>
  </si>
  <si>
    <t>이탈(ab)하니 정상(normal)적인 상태에서, ‘이상한, 보통과 다른’</t>
  </si>
  <si>
    <t>이상한, 보통과 다른</t>
  </si>
  <si>
    <t>The doctor noticed abnormal cells in the test results.</t>
  </si>
  <si>
    <t>The doctor noticed (          ) cells in the test results.</t>
  </si>
  <si>
    <t>abort</t>
  </si>
  <si>
    <t>[əbɔ́ːrt]</t>
  </si>
  <si>
    <t>이탈(ab)시키니 둥근(o) 자궁에 힘있게(r) 서있는(t) 생명을, ‘낙태하다, 유산시키다’</t>
  </si>
  <si>
    <t>낙태하다, 유산시키다</t>
  </si>
  <si>
    <t>We had to abort the mission due to bad weather.</t>
  </si>
  <si>
    <t>We had to (          ) the mission due to bad weather.</t>
  </si>
  <si>
    <t>abuse</t>
  </si>
  <si>
    <t>[əbjúːz]</t>
  </si>
  <si>
    <t>이탈(ab)시키니 올바른 사용법(use)에서, ‘남용하다’</t>
  </si>
  <si>
    <t>남용하다</t>
  </si>
  <si>
    <t>Drug abuse can lead to serious health problems.</t>
  </si>
  <si>
    <t>Drug (          ) can lead to serious health problems.</t>
  </si>
  <si>
    <t>absurd</t>
  </si>
  <si>
    <t>[æbsə́ːrd, æbzə́ːrd]</t>
  </si>
  <si>
    <t>이탈(ab)되다 분명한(sure)한 것에서 그리고 저하되니(d), ‘터무니 없는, 우수꽝스러운, 불합리한’</t>
  </si>
  <si>
    <t>터무니 없는, 우수꽝스러운, 불합리한</t>
  </si>
  <si>
    <t>His claim that he could fly was completely absurd.</t>
  </si>
  <si>
    <t>His claim that he could fly was completely (          ).</t>
  </si>
  <si>
    <t>absorb</t>
  </si>
  <si>
    <t>[æbsɔ́ːrb, æbzɔ́ːrb]</t>
  </si>
  <si>
    <t>이탈(ab)한 것을 흡수(sorb)하니, ‘빨아들이다, 흡수하다’</t>
  </si>
  <si>
    <t>빨아들이다, 흡수하다</t>
  </si>
  <si>
    <t>Plants absorb carbon dioxide from the air.</t>
  </si>
  <si>
    <t>Plants (          ) carbon dioxide from the air.</t>
  </si>
  <si>
    <t>absolute</t>
  </si>
  <si>
    <t>[ǽbsəlùːt]</t>
  </si>
  <si>
    <t>문제의 골치 아픔에서 이탈(ab)하여 해답(solution)을 찾으니 ‘완전한, 절대적인’ 상태가 된다</t>
  </si>
  <si>
    <t>완전한, 절대적인</t>
  </si>
  <si>
    <t>I have absolute confidence in her abilities.</t>
  </si>
  <si>
    <t>I have (          ) confidence in her abilities.</t>
  </si>
  <si>
    <t>absolve</t>
  </si>
  <si>
    <t>[æbzάlv, æbsάlv]</t>
  </si>
  <si>
    <t>책임과 죄에서 이탈(ab)시키고 부드럽게(s) 해주니 ‘풀어주다, 사면하다, (죄를) 용서하다’</t>
  </si>
  <si>
    <t>풀어주다, 사면하다, (죄를) 용서하다</t>
  </si>
  <si>
    <t>The evidence helped to absolve him of any blame.</t>
  </si>
  <si>
    <t>The evidence helped to (          ) him of any blame.</t>
  </si>
  <si>
    <t>absent</t>
  </si>
  <si>
    <t>[ǽbsənt]</t>
  </si>
  <si>
    <t>있어야 하는 곳에서 이탈(ab)시켜서 보내버린(sent) 상태라서 ‘부재의, 결석의, 없는’</t>
  </si>
  <si>
    <t>부재의, 결석의, 없는</t>
  </si>
  <si>
    <t>Three students were absent from class today.</t>
  </si>
  <si>
    <t>Three students were (          ) from class today.</t>
  </si>
  <si>
    <t>abrupt</t>
  </si>
  <si>
    <t>[əbrΛpt]</t>
  </si>
  <si>
    <t>평소 모습에서 이탈(ab)되고 터져 버리니(rupt) ‘갑잡스러운, 뜻밖의’</t>
  </si>
  <si>
    <t>갑잡스러운, 뜻밖의</t>
  </si>
  <si>
    <t>The conversation came to an abrupt end when she left.</t>
  </si>
  <si>
    <t>The conversation came to an (          ) end when she left.</t>
  </si>
  <si>
    <t>circle</t>
  </si>
  <si>
    <t>circ</t>
  </si>
  <si>
    <r>
      <rPr>
        <sz val="12"/>
        <color indexed="8"/>
        <rFont val="Apple SD 산돌고딕 Neo 일반체"/>
      </rPr>
      <t>circ</t>
    </r>
  </si>
  <si>
    <t>[sə́ːrkl]</t>
  </si>
  <si>
    <t>순환(circ)하며 길게(l) 돌아 만들어지는 ‘원, 원둘레’</t>
  </si>
  <si>
    <t>원, 원둘레</t>
  </si>
  <si>
    <t>Children sat in a circle during story time.</t>
  </si>
  <si>
    <t>Children sat in a (          ) during story time.</t>
  </si>
  <si>
    <t>encircle</t>
  </si>
  <si>
    <t>circ &gt; circle</t>
  </si>
  <si>
    <t>[insə́ːrkl]</t>
  </si>
  <si>
    <t>안(en)에 두고서 원(circle)을 만드니 ‘둘러싸다, 에워싸다’</t>
  </si>
  <si>
    <t>둘러싸다, 에워싸다</t>
  </si>
  <si>
    <t>The police will encircle the building to catch the thief.</t>
  </si>
  <si>
    <t>The police will (          ) the building to catch the thief.</t>
  </si>
  <si>
    <t>circulate</t>
  </si>
  <si>
    <t>[sə́ːrkjulèit]</t>
  </si>
  <si>
    <t>원(circle) 모양으로 길게(l) 움직이니 ‘순환하다’</t>
  </si>
  <si>
    <t>순환하다</t>
  </si>
  <si>
    <t>Good ventilation helps air circulate in the room.</t>
  </si>
  <si>
    <t>Good ventilation helps air (          ) in the room.</t>
  </si>
  <si>
    <t>circus</t>
  </si>
  <si>
    <t>[sə́ːrkəs]</t>
  </si>
  <si>
    <t>원(circle) 생긴 무대에서 벌어지는 쇼, ‘서커스’</t>
  </si>
  <si>
    <t>서커스</t>
  </si>
  <si>
    <t>The children were excited to visit the circus.</t>
  </si>
  <si>
    <t>The children were excited to visit the (          ).</t>
  </si>
  <si>
    <t>circumstance</t>
  </si>
  <si>
    <t>[sə́ːrkəmstӕns]</t>
  </si>
  <si>
    <t>원 모양(circ)의 둘러싼 범위에서 움직이거나(m), 서 있게(stance)되는 곳인 ‘(주변의) 상황, 환경’</t>
  </si>
  <si>
    <t>(주변의) 상황, 환경</t>
  </si>
  <si>
    <t>Under no circumstance should you open this door.</t>
  </si>
  <si>
    <t>Under no (          ) should you open this door.</t>
  </si>
  <si>
    <t>cycle</t>
  </si>
  <si>
    <t>[sáikl]</t>
  </si>
  <si>
    <t>원(circ)모양으로 순환하니 ‘순환, 반복, 주기’</t>
  </si>
  <si>
    <t>순환, 반복, 주기</t>
  </si>
  <si>
    <t>The water cycle is an important natural process.</t>
  </si>
  <si>
    <t>The water (          ) is an important natural process.</t>
  </si>
  <si>
    <t>circle &gt; cycle</t>
  </si>
  <si>
    <t>두개(bi)의 원(cycle)으로 가는 ‘자전거’</t>
  </si>
  <si>
    <t>recycle</t>
  </si>
  <si>
    <t>[riːsáikl]</t>
  </si>
  <si>
    <t>사용한 것을 다시(re) 순환시키니(cycle) ‘재활용하다’</t>
  </si>
  <si>
    <t>재활용하다</t>
  </si>
  <si>
    <t>We should recycle paper, glass, and plastic.</t>
  </si>
  <si>
    <t>We should (          ) paper, glass, and plastic.</t>
  </si>
  <si>
    <t>cyclone</t>
  </si>
  <si>
    <t>[sáikloun]</t>
  </si>
  <si>
    <t>순환(cycl-cycle)을 계속(on)해서 만들어내는 ‘큰 회오리 바람, 대폭풍’</t>
  </si>
  <si>
    <t>큰 회오리 바람, 대폭풍</t>
  </si>
  <si>
    <t>The coastal regions prepared for the approaching cyclone.</t>
  </si>
  <si>
    <t>The coastal regions prepared for the approaching (          ).</t>
  </si>
  <si>
    <t>cab</t>
  </si>
  <si>
    <r>
      <rPr>
        <sz val="12"/>
        <color indexed="8"/>
        <rFont val="Apple SD 산돌고딕 Neo 일반체"/>
      </rPr>
      <t>cab</t>
    </r>
  </si>
  <si>
    <t>[kæb]</t>
  </si>
  <si>
    <t>손님을 잡아서(c) 이동중에 터져(b) 나가지 못하게 한 공간(cab)인 ‘택시, 마차’</t>
  </si>
  <si>
    <t>택시, 마차</t>
  </si>
  <si>
    <t>I took a cab from the airport to my hotel.</t>
  </si>
  <si>
    <t>I took a (          ) from the airport to my hotel.</t>
  </si>
  <si>
    <t>cabin</t>
  </si>
  <si>
    <t>[kǽbin]</t>
  </si>
  <si>
    <t>택시처럼 작은 공간(cab)이고 안에(in) 들어가서 쉴 수 있는 ‘오두박집, 통나무집’</t>
  </si>
  <si>
    <t>오두박집, 통나무집</t>
  </si>
  <si>
    <t>We rented a cabin in the mountains for our vacation.</t>
  </si>
  <si>
    <t>We rented a (          ) in the mountains for our vacation.</t>
  </si>
  <si>
    <t>cabinet</t>
  </si>
  <si>
    <t>cab &gt; cabin</t>
  </si>
  <si>
    <t>[kǽbənit]</t>
  </si>
  <si>
    <t>오두막집(cabin) 같은 작은 공간 안에(in) 물건을 세워(t) 놓은 ‘수납장, 장식 선반’</t>
  </si>
  <si>
    <t>수납장, 장식 선반</t>
  </si>
  <si>
    <t>Store the dishes in the kitchen cabinet.</t>
  </si>
  <si>
    <t>Store the dishes in the kitchen (          ).</t>
  </si>
  <si>
    <t>cabana</t>
  </si>
  <si>
    <t>[kəbǽnjə]</t>
  </si>
  <si>
    <t>물가에서 오두막집(cabin-caban) 같은 것을 하나(a) 단독으로 사용하니, ‘오두막집, (해변 등의) 간이 탈의실’</t>
  </si>
  <si>
    <t>오두막집, (해변 등의) 간이 탈의실</t>
  </si>
  <si>
    <t>The beach resort has private cabanas for guests.</t>
  </si>
  <si>
    <t>The beach resort has private (          )s for guests.</t>
  </si>
  <si>
    <t>cubic</t>
  </si>
  <si>
    <t>[kjúːbik]</t>
  </si>
  <si>
    <t>공간(cab-cub)을 잘 잡아 놓은 것이니 ‘입체의, 정육면체의’</t>
  </si>
  <si>
    <t>입체의, 정육면체의</t>
  </si>
  <si>
    <t>We calculated the cubic volume of the room.</t>
  </si>
  <si>
    <t>We calculated the (          ) volume of the room.</t>
  </si>
  <si>
    <t>cubicle</t>
  </si>
  <si>
    <t>cab &gt; cubic</t>
  </si>
  <si>
    <t>[kjúːbikl]</t>
  </si>
  <si>
    <t>정문면체(cubic) 같은 작은 공간을 길게(l) 줄 세워 놓은 ‘(큰 방 한 쪽을 칸막이 해 만든) 좁은 방’</t>
  </si>
  <si>
    <t>(큰 방 한 쪽을 칸막이 해 만든) 좁은 방</t>
  </si>
  <si>
    <t>He works in a small cubicle in the office.</t>
  </si>
  <si>
    <t>He works in a small (          ) in the office.</t>
  </si>
  <si>
    <t>can</t>
  </si>
  <si>
    <r>
      <rPr>
        <sz val="12"/>
        <color indexed="8"/>
        <rFont val="Apple SD 산돌고딕 Neo 일반체"/>
      </rPr>
      <t>can</t>
    </r>
  </si>
  <si>
    <t>[kən; kǽn]</t>
  </si>
  <si>
    <t>잡고 보니(c) 하나도(a) 안에 아무것도(n) 없어, 비어 있는 ‘통, 용기, 관’</t>
  </si>
  <si>
    <t>통, 용기, 관</t>
  </si>
  <si>
    <t>I can swim across the lake easily.</t>
  </si>
  <si>
    <t>I (          ) swim across the lake easily.</t>
  </si>
  <si>
    <t>cane</t>
  </si>
  <si>
    <t>[kein]</t>
  </si>
  <si>
    <t>통, 관(can) 처럼 비어 있는 ‘(대나무﹒사탕수수 등의) 줄기’, 이 줄기로 만드는 ‘지팡이’</t>
  </si>
  <si>
    <t>(대나무﹒사탕수수 등의) 줄기, 지팡이</t>
  </si>
  <si>
    <t>The elderly man used a cane to help him walk.</t>
  </si>
  <si>
    <t>The elderly man used a (          ) to help him walk.</t>
  </si>
  <si>
    <t>candy</t>
  </si>
  <si>
    <t>can &gt; cane</t>
  </si>
  <si>
    <t>[kǽndi]</t>
  </si>
  <si>
    <t>(사탕수수의) 줄기(cane)에서 추출한 설탕으로 만드는 ‘사탕’</t>
  </si>
  <si>
    <t>사탕</t>
  </si>
  <si>
    <t>Children love to eat candy on Halloween.</t>
  </si>
  <si>
    <t>Children love to eat (          ) on Halloween.</t>
  </si>
  <si>
    <t>cannon</t>
  </si>
  <si>
    <t>[kǽnən]</t>
  </si>
  <si>
    <t>비어 있는 통, 관(can) 같은 대포 포신에 지속 적으로(on) 대포알을 넣어서 발사하는 ‘대포’</t>
  </si>
  <si>
    <t>대포</t>
  </si>
  <si>
    <t>The medieval castle had several cannon for defense.</t>
  </si>
  <si>
    <t>The medieval castle had several (          ) for defense.</t>
  </si>
  <si>
    <t>canyon</t>
  </si>
  <si>
    <t>[kǽnjən]</t>
  </si>
  <si>
    <t>관(can) 같은 계곡이 확장(y)되어 계속(on) 이어지는 ‘협곡’</t>
  </si>
  <si>
    <t>협곡</t>
  </si>
  <si>
    <t>The Grand Canyon is a famous natural wonder in Arizona.</t>
  </si>
  <si>
    <r>
      <rPr>
        <sz val="12"/>
        <color indexed="8"/>
        <rFont val="Arial"/>
      </rPr>
      <t>The Grand Canyon is a famous natural wonder in Arizona.</t>
    </r>
  </si>
  <si>
    <t>canal</t>
  </si>
  <si>
    <t>[kənǽl]</t>
  </si>
  <si>
    <t>관(can) 처럼 길게 파서 만들어 물이 흘러가게(l) 만든 ‘운하’</t>
  </si>
  <si>
    <t>운하</t>
  </si>
  <si>
    <t>Venice is known for its beautiful canals.</t>
  </si>
  <si>
    <t>Venice is known for its beautiful (          )s.</t>
  </si>
  <si>
    <t>channel</t>
  </si>
  <si>
    <t>[ʧǽnl]</t>
  </si>
  <si>
    <t>관(can-chan) 처럼 긴 수로를 통해 길게(l) 나갈 수 있는 ‘해협, 수로’, 이 수로를 통해서 무역이 가능했으므로 ‘경로, 루트’의 의미로 확장되었다.</t>
  </si>
  <si>
    <t>해협, 수로, 경로, 루트</t>
  </si>
  <si>
    <t>Switch to channel five to watch the news.</t>
  </si>
  <si>
    <t>Switch to (          ) five to watch the news.</t>
  </si>
  <si>
    <t>cap</t>
  </si>
  <si>
    <r>
      <rPr>
        <sz val="12"/>
        <color indexed="8"/>
        <rFont val="Apple SD 산돌고딕 Neo 일반체"/>
      </rPr>
      <t>cap</t>
    </r>
  </si>
  <si>
    <t>[kæp]</t>
  </si>
  <si>
    <t>머리를 잡는(cap)것처럼 보이는 ‘모자’</t>
  </si>
  <si>
    <t>모자</t>
  </si>
  <si>
    <t>He wore a baseball cap to protect himself from the sun.</t>
  </si>
  <si>
    <t>He wore a baseball (          ) to protect himself from the sun.</t>
  </si>
  <si>
    <t>capsule</t>
  </si>
  <si>
    <t>[kǽpsəl]</t>
  </si>
  <si>
    <t>약을 잡아서(cap) 부드럽게(s) 아래쪽으로(u) 물 흘러가듯이(l) 잘 넘어가라고 담는 ‘작은 통, 캡슐’</t>
  </si>
  <si>
    <t>작은 통, 캡슐</t>
  </si>
  <si>
    <t>The astronauts returned to Earth in a space capsule.</t>
  </si>
  <si>
    <t>The astronauts returned to Earth in a space (          ).</t>
  </si>
  <si>
    <t>capacity</t>
  </si>
  <si>
    <t>[kəpǽsəti]</t>
  </si>
  <si>
    <t>잡아서(cap) 도시(city)에 받아들일 수 있는 ‘수용 인원, 수용력’</t>
  </si>
  <si>
    <t>수용 인원, 수용력</t>
  </si>
  <si>
    <t>The theater has a capacity of 500 people.</t>
  </si>
  <si>
    <t>The theater has a (          ) of 500 people.</t>
  </si>
  <si>
    <t>capacious</t>
  </si>
  <si>
    <t>[kəpéiʃəs]</t>
  </si>
  <si>
    <t>잡고(cap) 또 잡을(c) 수 있으니 ‘널찍한, 큼직한’</t>
  </si>
  <si>
    <t>널찍한, 큼직한</t>
  </si>
  <si>
    <t>Her capacious bag held all her shopping purchases.</t>
  </si>
  <si>
    <t>Her (          ) bag held all her shopping purchases.</t>
  </si>
  <si>
    <t>capable</t>
  </si>
  <si>
    <t>[kéipəbl]</t>
  </si>
  <si>
    <t>잡을(cap) 수 있는 능력을 가진(able) ‘유능한, 할 수 있는’</t>
  </si>
  <si>
    <t>유능한, 할 수 있는</t>
  </si>
  <si>
    <t>She is capable of running a marathon.</t>
  </si>
  <si>
    <t>She is (          ) of running a marathon.</t>
  </si>
  <si>
    <t>captain</t>
  </si>
  <si>
    <t>[kǽptən]</t>
  </si>
  <si>
    <t>모자(cap)를 쓰고 서서(t) 지휘소 안(in)에 있어서 명령하는 ‘대장, 선장’</t>
  </si>
  <si>
    <t>대장, 선장</t>
  </si>
  <si>
    <t>The captain of the ship has years of experience.</t>
  </si>
  <si>
    <t>The (          ) of the ship has years of experience.</t>
  </si>
  <si>
    <t>capital</t>
  </si>
  <si>
    <t>cap &gt; captain</t>
  </si>
  <si>
    <t>[kǽpətl]</t>
  </si>
  <si>
    <t>대장처럼 모자(cap)를 쓰고 최고의 자리에 서서(t) 모두(al-all)를 다스리는 대장같은 도시, ‘수도’, 문자의 대장인 ‘대문자’, 사업에서 가장 필요한 으뜸인 ‘자본’</t>
  </si>
  <si>
    <t>수도, 대문자, 자본</t>
  </si>
  <si>
    <t>Tokyo is the capital city of Japan.</t>
  </si>
  <si>
    <t>Tokyo is the (          ) city of Japan.</t>
  </si>
  <si>
    <t>cape</t>
  </si>
  <si>
    <t>[keip]</t>
  </si>
  <si>
    <t>몸을 잡고(cap) 머리 부분만 입구(e)를 내 놓은 ‘망토’</t>
  </si>
  <si>
    <t>망토</t>
  </si>
  <si>
    <t>The superhero wore a flowing cape.</t>
  </si>
  <si>
    <t>The superhero wore a flowing (          ).</t>
  </si>
  <si>
    <t>escape</t>
  </si>
  <si>
    <t>cap &gt; cape</t>
  </si>
  <si>
    <t>[iskéip, es-]</t>
  </si>
  <si>
    <t>밖으로(ex-es) 망토(cape)를 입고 ‘달아나다, 도망가다’</t>
  </si>
  <si>
    <t>달아나다, 도망가다</t>
  </si>
  <si>
    <t>The prisoner planned his escape carefully.</t>
  </si>
  <si>
    <t>The prisoner planned his (          ) carefully.</t>
  </si>
  <si>
    <t>handicap</t>
  </si>
  <si>
    <t>[hǽndikӕp]</t>
  </si>
  <si>
    <t xml:space="preserve">손(hand)을 잡아(cap) 놓으니 불리한 ‘조건, 장애’ </t>
  </si>
  <si>
    <t>조건, 장애</t>
  </si>
  <si>
    <t>His visual impairment is not a handicap in his profession.</t>
  </si>
  <si>
    <t>His visual impairment is not a (          ) in his profession.</t>
  </si>
  <si>
    <t>capsize</t>
  </si>
  <si>
    <t>[kǽpsaiz]</t>
  </si>
  <si>
    <t>모자(cap)가 사이즈(size)를 보여주려고 뒤집는 것처럼 ‘뒤집히다’</t>
  </si>
  <si>
    <t>뒤집히다</t>
  </si>
  <si>
    <t>Strong winds could cause small boats to capsize.</t>
  </si>
  <si>
    <t>Strong winds could cause small boats to (          ).</t>
  </si>
  <si>
    <t>capture</t>
  </si>
  <si>
    <t>[kǽpʧər]</t>
  </si>
  <si>
    <t>잡아서(cap) 움직이지 못하게 세워(t)두니 ‘붙잡다, 포획하다’</t>
  </si>
  <si>
    <t>붙잡다, 포획하다</t>
  </si>
  <si>
    <t>The photographer managed to capture the perfect sunset.</t>
  </si>
  <si>
    <t>The photographer managed to (          ) the perfect sunset.</t>
  </si>
  <si>
    <t>captive</t>
  </si>
  <si>
    <t>[kǽptiv]</t>
  </si>
  <si>
    <t>잡아서(cap) 움직이지 못하게 세워(t)서 안쪽(i) 갈라진 틈(v) 공간에 집어 넣으니 ‘포로, 인질’</t>
  </si>
  <si>
    <t>포로, 인질</t>
  </si>
  <si>
    <t>The zoo kept the lion captive in a large enclosure.</t>
  </si>
  <si>
    <t>The zoo kept the lion (          ) in a large enclosure.</t>
  </si>
  <si>
    <t>caption</t>
  </si>
  <si>
    <t>cap &gt; cap</t>
  </si>
  <si>
    <t>[kǽpʃən]</t>
  </si>
  <si>
    <t>머리(앞)을 잡는 모자(cap)처럼 문서나 사진의 앞에 접해(on)있는 ‘표제, 제목’</t>
  </si>
  <si>
    <t>표제, 제목</t>
  </si>
  <si>
    <t>Read the caption under the photograph for more information.</t>
  </si>
  <si>
    <t>Read the (          ) under the photograph for more information.</t>
  </si>
  <si>
    <t>precept</t>
  </si>
  <si>
    <t>cept</t>
  </si>
  <si>
    <r>
      <rPr>
        <sz val="12"/>
        <color indexed="8"/>
        <rFont val="Apple SD 산돌고딕 Neo 일반체"/>
      </rPr>
      <t>cept</t>
    </r>
  </si>
  <si>
    <t>[príːsept]</t>
  </si>
  <si>
    <t>조상들이 앞서서(pre) 잡아 놓은(cept) 좋은 말, ‘격언, 계율, 교훈’</t>
  </si>
  <si>
    <t>격언, 계율, 교훈</t>
  </si>
  <si>
    <t>The religious precept guided her daily decisions.</t>
  </si>
  <si>
    <t>The religious (          ) guided her daily decisions.</t>
  </si>
  <si>
    <t>concept</t>
  </si>
  <si>
    <t>[kάnsept]</t>
  </si>
  <si>
    <t>함께(con) 여러 사람들이 잡아서 받아 들이는 (cept) ‘개념’</t>
  </si>
  <si>
    <t>개념</t>
  </si>
  <si>
    <t>It's a difficult concept to understand at first.</t>
  </si>
  <si>
    <t>It's a difficult (          ) to understand at first.</t>
  </si>
  <si>
    <t>misconception</t>
  </si>
  <si>
    <t>cept &gt; concept</t>
  </si>
  <si>
    <t>[miskənseˈpʃən]</t>
  </si>
  <si>
    <t>잘못되게(mis) 잡아서 받아들이는 개념 (concept)이니 ‘오해, 착각’</t>
  </si>
  <si>
    <t>오해, 착각</t>
  </si>
  <si>
    <t>There is a common misconception that bats are blind.</t>
  </si>
  <si>
    <t>There is a common (          ) that bats are blind.</t>
  </si>
  <si>
    <t>susceptible</t>
  </si>
  <si>
    <t>[səséptəbl]</t>
  </si>
  <si>
    <t>아래쪽(sus) 약한 단계에서도 바로 잡아(cept) 인식할 수 있는(able-ible) ‘민감한, 예민한’</t>
  </si>
  <si>
    <t>민감한, 예민한</t>
  </si>
  <si>
    <t>Young children are susceptible to many illnesses.</t>
  </si>
  <si>
    <t>Young children are (          ) to many illnesses.</t>
  </si>
  <si>
    <t>accept</t>
  </si>
  <si>
    <t>[æksépt]</t>
  </si>
  <si>
    <t>더하여(a) 잡고(c) 또 잡으니(cept) ‘받아들이다, 승낙하다’</t>
  </si>
  <si>
    <t>받아들이다, 승낙하다</t>
  </si>
  <si>
    <t>I accept your apology for being late.</t>
  </si>
  <si>
    <t>I (          ) your apology for being late.</t>
  </si>
  <si>
    <t>reception</t>
  </si>
  <si>
    <t>[risépʃən]</t>
  </si>
  <si>
    <t>힘을(re) 다해 잘 받아들임(cept), 물건이면 ‘수령’, 사람을 잘 받아들이면 ‘응접, 접수, 환영(회)’</t>
  </si>
  <si>
    <t>수령, 응접, 접수, 환영(회)</t>
  </si>
  <si>
    <t>The wedding reception was held at a beautiful hotel.</t>
  </si>
  <si>
    <t>The wedding (          ) was held at a beautiful hotel.</t>
  </si>
  <si>
    <t>receptionist</t>
  </si>
  <si>
    <t>cept &gt; reception</t>
  </si>
  <si>
    <t>[risépʃənist]</t>
  </si>
  <si>
    <t>사람을 접수(reception)하는 사람(~ist)이니 ‘(호텔•사무실• 병원 등의) 접수 담당자’</t>
  </si>
  <si>
    <t>(호텔•사무실• 병원 등의) 접수 담당자</t>
  </si>
  <si>
    <t>The receptionist greeted us warmly when we arrived.</t>
  </si>
  <si>
    <t>The (          ) greeted us warmly when we arrived.</t>
  </si>
  <si>
    <t>receipt</t>
  </si>
  <si>
    <t>cept &gt; ceipt</t>
  </si>
  <si>
    <t>[risíːt]</t>
  </si>
  <si>
    <t>지불한 후에 다시(re) 그 내역을 잡아서(ceipt) 알게 해주는 ‘영수증’</t>
  </si>
  <si>
    <t>영수증</t>
  </si>
  <si>
    <t>Keep your receipt in case you need to return the item.</t>
  </si>
  <si>
    <t>Keep your (          ) in case you need to return the item.</t>
  </si>
  <si>
    <t>except</t>
  </si>
  <si>
    <t>[iksépt]</t>
  </si>
  <si>
    <t>밖으로(ex) 잡아내니(cept) ‘제외하는 바는~’</t>
  </si>
  <si>
    <t>제외하는 바는~</t>
  </si>
  <si>
    <t>Everyone went to the party except John.</t>
  </si>
  <si>
    <t>Everyone went to the party (          ) John.</t>
  </si>
  <si>
    <t>exception</t>
  </si>
  <si>
    <t>[iksépʃən]</t>
  </si>
  <si>
    <t>밖으로(ex) 잡아내니(cept) ‘제외, 예외’
*~ion은 명사를 나타내는 말</t>
  </si>
  <si>
    <t>제외, 예외</t>
  </si>
  <si>
    <t>There are always exceptions to every rule.</t>
  </si>
  <si>
    <t>There are always (          )s to every rule.</t>
  </si>
  <si>
    <t>exceptional</t>
  </si>
  <si>
    <t>cept &gt; except</t>
  </si>
  <si>
    <t>[iksépʃənl]</t>
  </si>
  <si>
    <t>보통이 아니라서 제외(except)시켜야 하므로, ‘예외적인, 매우 뛰어난’</t>
  </si>
  <si>
    <t>예외적인, 매우 뛰어난</t>
  </si>
  <si>
    <t>Her performance in the competition was exceptional.</t>
  </si>
  <si>
    <t>Her performance in the competition was (          ).</t>
  </si>
  <si>
    <t>excerpt</t>
  </si>
  <si>
    <t>[éksəːrpt]</t>
  </si>
  <si>
    <t>필요한 부분을 밖으로(ex) 잡아 끄집어내 (cept) 힘있게(r) 사용하므로 ‘발췌, 인용구’</t>
  </si>
  <si>
    <t>발췌, 인용구</t>
  </si>
  <si>
    <t>The magazine published an excerpt from his new novel.</t>
  </si>
  <si>
    <t>The magazine published an (          ) from his new novel.</t>
  </si>
  <si>
    <t>deception</t>
  </si>
  <si>
    <t>[disépʃən]</t>
  </si>
  <si>
    <t>사람을 바보(저하, de)가 되도록 잡아(cept) 끄는 ‘속임수, 기만’</t>
  </si>
  <si>
    <t>속임수, 기만</t>
  </si>
  <si>
    <t>His deception was discovered when the truth came out.</t>
  </si>
  <si>
    <t>His (          ) was discovered when the truth came out.</t>
  </si>
  <si>
    <t>intercept</t>
  </si>
  <si>
    <t>[ìntərsépt]</t>
  </si>
  <si>
    <t>안으로 들어가 사이에서(inter) 잡으니(cept) ‘가로채다’</t>
  </si>
  <si>
    <t>가로채다</t>
  </si>
  <si>
    <t>The police will intercept the smugglers at the border.</t>
  </si>
  <si>
    <t>The police will (          ) the smugglers at the border.</t>
  </si>
  <si>
    <t>recipe</t>
  </si>
  <si>
    <t>cip</t>
  </si>
  <si>
    <r>
      <rPr>
        <sz val="12"/>
        <color indexed="8"/>
        <rFont val="Apple SD 산돌고딕 Neo 일반체"/>
      </rPr>
      <t>cip</t>
    </r>
  </si>
  <si>
    <t>[résəpi]</t>
  </si>
  <si>
    <t>다시(re) 요리를 해 먹을 수 있게 정보를 잡아(cip) 놓은 ‘조리법’</t>
  </si>
  <si>
    <t>조리법</t>
  </si>
  <si>
    <t>This recipe for chocolate cake is simple to follow.</t>
  </si>
  <si>
    <t>This (          ) for chocolate cake is simple to follow.</t>
  </si>
  <si>
    <t>anticipate</t>
  </si>
  <si>
    <t>[æntísəpèit]</t>
  </si>
  <si>
    <t>현재의 반대쪽(anti), 미래를 머리속에서 잡아 (cip)보니 ‘예상하다, 기대하다’</t>
  </si>
  <si>
    <t>예상하다, 기대하다</t>
  </si>
  <si>
    <t>We anticipate heavy traffic during the holiday season.</t>
  </si>
  <si>
    <t>We (          ) heavy traffic during the holiday season.</t>
  </si>
  <si>
    <t>disciple</t>
  </si>
  <si>
    <t>[disáipl]</t>
  </si>
  <si>
    <t>뽑아서 분리시켜(dis) 잡아(cip) 놓고서 훈련을 오랫동안(l) 시키는 대상인 ‘제자, 문하생’</t>
  </si>
  <si>
    <t>제자, 문하생</t>
  </si>
  <si>
    <t>Each disciple followed the teacher's instructions carefully.</t>
  </si>
  <si>
    <t>Each (          ) followed the teacher's instructions carefully.</t>
  </si>
  <si>
    <t>discipline</t>
  </si>
  <si>
    <t>cip &gt; disciple</t>
  </si>
  <si>
    <t>[dísəplin]</t>
  </si>
  <si>
    <t>제자(disciple)를 새롭게(n) 만드는 과정에 필요한 ‘훈련, 훈육, 규율, 학과목’</t>
  </si>
  <si>
    <t>훈련, 훈육, 규율, 학과목</t>
  </si>
  <si>
    <t>You need discipline to practice piano every day.</t>
  </si>
  <si>
    <t>You need (          ) to practice piano every day.</t>
  </si>
  <si>
    <t>precipitate</t>
  </si>
  <si>
    <t>[prisípitèit]</t>
  </si>
  <si>
    <t>앞서서(pre) 잡으려(cip) 나아가게(t)하니 ‘재촉하다, 촉진시키다’</t>
  </si>
  <si>
    <t>재촉하다, 촉진시키다</t>
  </si>
  <si>
    <t>His rude comments precipitate her decision to leave.</t>
  </si>
  <si>
    <t>His rude comments (          ) her decision to leave.</t>
  </si>
  <si>
    <t>principal</t>
  </si>
  <si>
    <t>[prínsəpəl]</t>
  </si>
  <si>
    <t>학교에서 왕자(prince)처럼 놓은 자리를 잡고 (cip) 학교의 모든(all-al) 일을 관장하는 ‘교장’</t>
  </si>
  <si>
    <t>교장</t>
  </si>
  <si>
    <t>The school principal spoke at the graduation ceremony.</t>
  </si>
  <si>
    <t>The school (          ) spoke at the graduation ceremony.</t>
  </si>
  <si>
    <t>reciprocal</t>
  </si>
  <si>
    <t>[risíprəkəl]</t>
  </si>
  <si>
    <t>내가 주면 상대방도 다시(re) 잡아서(cip) 돌려(ro)주는 ‘상호의, 서로의’</t>
  </si>
  <si>
    <t>상호의, 서로의</t>
  </si>
  <si>
    <t>The countries signed a reciprocal trade agreement.</t>
  </si>
  <si>
    <t>The countries signed a (          ) trade agreement.</t>
  </si>
  <si>
    <t>principle</t>
  </si>
  <si>
    <t>[prínsəpl]</t>
  </si>
  <si>
    <t>왕자(prince)처럼 중요하게 잡고(cip)서 오랫동안(l) 지켜야 할 ‘원칙, 법칙’</t>
  </si>
  <si>
    <t>원칙, 법칙</t>
  </si>
  <si>
    <t>Honesty is an important principle in journalism.</t>
  </si>
  <si>
    <t>Honesty is an important (          ) in journalism.</t>
  </si>
  <si>
    <t>participate</t>
  </si>
  <si>
    <t>[paːrtísəpèit]</t>
  </si>
  <si>
    <t>한 부분(part), 즉 역할을 잡아(cip) 안으로 들어가니 ‘참여하다, 참가하다’</t>
  </si>
  <si>
    <t>참여하다, 참가하다</t>
  </si>
  <si>
    <t>Students eagerly participate in the science fair.</t>
  </si>
  <si>
    <t>Students eagerly (          ) in the science fair.</t>
  </si>
  <si>
    <t>occupy</t>
  </si>
  <si>
    <t>cup</t>
  </si>
  <si>
    <r>
      <rPr>
        <sz val="12"/>
        <color indexed="8"/>
        <rFont val="Apple SD 산돌고딕 Neo 일반체"/>
      </rPr>
      <t>cup</t>
    </r>
  </si>
  <si>
    <t>[άkjupài]</t>
  </si>
  <si>
    <t>어떤 공간(o)을 잡고(c) 또 잡으니(cup) ‘차지하다, 점유하다’</t>
  </si>
  <si>
    <t>차지하다, 점유하다</t>
  </si>
  <si>
    <t>Soldiers occupy the abandoned building during the exercise.</t>
  </si>
  <si>
    <t>Soldiers (          ) the abandoned building during the exercise.</t>
  </si>
  <si>
    <t>preoccupy</t>
  </si>
  <si>
    <t>cup &gt; occupy</t>
  </si>
  <si>
    <t>[priaˈkjəpaiˌ]</t>
  </si>
  <si>
    <t>앞서(pre) 차지하니(occupy) ‘먼저 점유하다, 선취하다’, 생각을 먼저 점유하면 ‘마음을 빼앗다, 몰두하게 하다’</t>
  </si>
  <si>
    <t>먼저 점유하다, 선취하다, 마음을 빼앗다, 몰두하게 하다</t>
  </si>
  <si>
    <t>Thoughts of the upcoming exam preoccupy her mind.</t>
  </si>
  <si>
    <t>Thoughts of the upcoming exam (          ) her mind.</t>
  </si>
  <si>
    <t>preoccupied</t>
  </si>
  <si>
    <t>[priaˈkjəpaiˌd]</t>
  </si>
  <si>
    <t>다른 것보다 앞서(pre) 생각을 차지(occupy)한 것이니 ‘몰두한, 열중한, 정신이 팔린’</t>
  </si>
  <si>
    <t>몰두한, 열중한, 정신이 팔린</t>
  </si>
  <si>
    <t>He was too preoccupied with work to notice the time.</t>
  </si>
  <si>
    <t>He was too (          ) with work to notice the time.</t>
  </si>
  <si>
    <t>car</t>
  </si>
  <si>
    <r>
      <rPr>
        <sz val="12"/>
        <color indexed="8"/>
        <rFont val="Apple SD 산돌고딕 Neo 일반체"/>
      </rPr>
      <t>car</t>
    </r>
  </si>
  <si>
    <t>[kaːr]</t>
  </si>
  <si>
    <t>사람을 안에 잡아서(c) 힘있게(r) 굴러가는 것, ‘차, 마차, 자동차’</t>
  </si>
  <si>
    <t>차, 마차, 자동차</t>
  </si>
  <si>
    <t>My car needs new tires before winter.</t>
  </si>
  <si>
    <t>My (          ) needs new tires before winter.</t>
  </si>
  <si>
    <t>cargo</t>
  </si>
  <si>
    <t>[kάːrgou]</t>
  </si>
  <si>
    <t>차(car)나 배에 싣고 가는(go) 것, ‘화물’</t>
  </si>
  <si>
    <t>화물</t>
  </si>
  <si>
    <t>The ship carries cargo between international ports.</t>
  </si>
  <si>
    <t>The ship carries (          ) between international ports.</t>
  </si>
  <si>
    <t>carpenter</t>
  </si>
  <si>
    <t>[kάːrpəntər]</t>
  </si>
  <si>
    <t>마차(car)를 만들기 위해 펜(pen)으로 설계를 하는 사람(er), ‘목수’</t>
  </si>
  <si>
    <t>목수</t>
  </si>
  <si>
    <t>The carpenter built beautiful wooden furniture.</t>
  </si>
  <si>
    <t>The (          ) built beautiful wooden furniture.</t>
  </si>
  <si>
    <t>cart</t>
  </si>
  <si>
    <t>[kaːrt]</t>
  </si>
  <si>
    <t>구르면서(car) 물건을 세워(t)놓아 이동시키는 ‘손수레’</t>
  </si>
  <si>
    <t>손수레</t>
  </si>
  <si>
    <t>She pushed the shopping cart through the grocery store.</t>
  </si>
  <si>
    <t>She pushed the shopping (          ) through the grocery store.</t>
  </si>
  <si>
    <t>carton</t>
  </si>
  <si>
    <t>car &gt; cart</t>
  </si>
  <si>
    <t>[kάːrtn]</t>
  </si>
  <si>
    <t>손수레(cart)에 잘 신기(on) 위해 이용하는 것, ‘(운송용) 판지 상자, 종이 상자’</t>
  </si>
  <si>
    <t>(운송용) 판지 상자, 종이 상자</t>
  </si>
  <si>
    <t>I bought a carton of milk at the supermarket.</t>
  </si>
  <si>
    <t>I bought a (          ) of milk at the supermarket.</t>
  </si>
  <si>
    <t>carry</t>
  </si>
  <si>
    <t>[kǽri]</t>
  </si>
  <si>
    <t>물건 등을 차(car)에 싣고서 힘있게(r) 나아가게 하니 ‘운반하다’, 물건 등을 잡고서(c) 힘을 주어(r) 나아가게 하니 ‘가지고[들고] 가다’</t>
  </si>
  <si>
    <t>운반하다, 가지고[들고] 가다</t>
  </si>
  <si>
    <t>Can you help me carry these heavy boxes?</t>
  </si>
  <si>
    <t>Can you help me (          ) these heavy boxes?</t>
  </si>
  <si>
    <t>carrier</t>
  </si>
  <si>
    <t>car &gt; carry</t>
  </si>
  <si>
    <t>[kǽriər]</t>
  </si>
  <si>
    <t>물건 등을 운반하는(carry) 사람(er), ‘운송인, 수송[운송] 회사’</t>
  </si>
  <si>
    <t>운송인, 수송[운송] 회사</t>
  </si>
  <si>
    <t>The carrier delivered the package to the wrong address.</t>
  </si>
  <si>
    <t>The (          ) delivered the package to the wrong address.</t>
  </si>
  <si>
    <t>carriage</t>
  </si>
  <si>
    <t>[kǽridʒ]</t>
  </si>
  <si>
    <t>사람 등을 운반하는(carry) 것이 오랫동안(age) 가능 한 ‘마차, (기차의) 객차’, 그리고 이를 통한 ‘운송, 수송’</t>
  </si>
  <si>
    <t>마차, (기차의) 객차, 운송, 수송</t>
  </si>
  <si>
    <t>The horse-drawn carriage took the tourists around the old city.</t>
  </si>
  <si>
    <t>The horse-drawn (          ) took the tourists around the old city.</t>
  </si>
  <si>
    <t>career</t>
  </si>
  <si>
    <t>[kəríər]</t>
  </si>
  <si>
    <t>차가 굴러가듯(car) 오랫동안(ee) 내가 힘차게(r) 굴러온 길, ‘경력’</t>
  </si>
  <si>
    <t>경력</t>
  </si>
  <si>
    <t>She has had a successful career in medicine.</t>
  </si>
  <si>
    <t>She has had a successful (          ) in medicine.</t>
  </si>
  <si>
    <t>charisma</t>
  </si>
  <si>
    <t>[kərízmə]</t>
  </si>
  <si>
    <t>사람의 마음을 굴러가게(car-char)해 감복하게 하는 큰(m) 힘, ‘비범한 통솔력’</t>
  </si>
  <si>
    <t>비범한 통솔력</t>
  </si>
  <si>
    <t>His charisma made him popular among voters.</t>
  </si>
  <si>
    <t>His (          ) made him popular among voters.</t>
  </si>
  <si>
    <t>carve</t>
  </si>
  <si>
    <t>[kaːrv]</t>
  </si>
  <si>
    <t>마차(car)에 홈(v)을 파면서 멋진 문양을 만드니 ‘조각하다’</t>
  </si>
  <si>
    <t>조각하다</t>
  </si>
  <si>
    <t>The artist will carve a statue from the marble block.</t>
  </si>
  <si>
    <t>The artist will (          ) a statue from the marble block.</t>
  </si>
  <si>
    <t>charge</t>
  </si>
  <si>
    <t>[ʧaːrdʒ]</t>
  </si>
  <si>
    <t>차(car-char)가 축(g) 처지도록 짐을 실어 ‘채우다’, 휘발유 등으로 채우면 ‘충전하다’, 부담 등으로 채우면 ‘(책임을) 지우다’</t>
  </si>
  <si>
    <t>채우다, 충전하다, (책임을) 지우다</t>
  </si>
  <si>
    <t>The hotel will charge you for room service.</t>
  </si>
  <si>
    <t>The hotel will (          ) you for room service.</t>
  </si>
  <si>
    <t>discharge</t>
  </si>
  <si>
    <t>car &gt; charge</t>
  </si>
  <si>
    <t>[disʧάːrdʒ]</t>
  </si>
  <si>
    <t>아래쪽으로 분리(dis)해서 채웠던(charge) 것을 가게 하니 ‘짐을 내리다, 방출하다, 퇴원하다, 해고하다’</t>
  </si>
  <si>
    <t>짐을 내리다, 방출하다, 퇴원하다, 해고하다</t>
  </si>
  <si>
    <t>The doctor will discharge the patient tomorrow.</t>
  </si>
  <si>
    <t>The doctor will (          ) the patient tomorrow.</t>
  </si>
  <si>
    <t>curve</t>
  </si>
  <si>
    <t>cur</t>
  </si>
  <si>
    <r>
      <rPr>
        <sz val="12"/>
        <color indexed="8"/>
        <rFont val="Apple SD 산돌고딕 Neo 일반체"/>
      </rPr>
      <t>cur</t>
    </r>
  </si>
  <si>
    <t>[kəːrv]</t>
  </si>
  <si>
    <t>굴러가다가(cur) 갈라진 틈(v)으로 다시 들어 가게 만든 모양, ‘곡선’</t>
  </si>
  <si>
    <t>곡선</t>
  </si>
  <si>
    <t>The road has a dangerous curve ahead.</t>
  </si>
  <si>
    <t>The road has a dangerous (          ) ahead.</t>
  </si>
  <si>
    <t>curl</t>
  </si>
  <si>
    <t>[kəːrl]</t>
  </si>
  <si>
    <t>머리털이 둥글게 굴러가듯이(cur) 길게(l) 늘어져 있으니 ‘(형태가) 곱슬곱슬한 머리카락’</t>
  </si>
  <si>
    <t>(형태가) 곱슬곱슬한 머리카락</t>
  </si>
  <si>
    <t>Her hair tends to curl in humid weather.</t>
  </si>
  <si>
    <t>Her hair tends to (          ) in humid weather.</t>
  </si>
  <si>
    <t>current</t>
  </si>
  <si>
    <t>[kə́ːrənt]</t>
  </si>
  <si>
    <t>굴러다니지만(cur) 현재라는 시간 안(en)에서 나아가는(t) ‘현재의, 통용되는(유통되고 있는), 흐름’</t>
  </si>
  <si>
    <t>현재의, 통용되는(유통되고 있는), 흐름</t>
  </si>
  <si>
    <t>The river current is too strong for swimming.</t>
  </si>
  <si>
    <t>The river (          ) is too strong for swimming.</t>
  </si>
  <si>
    <t>currency</t>
  </si>
  <si>
    <t>cur &gt; current</t>
  </si>
  <si>
    <t>[kə́ːrənsi]</t>
  </si>
  <si>
    <t>널리 통용(유통)되고 있는(current) 것, ‘통화, 통용’</t>
  </si>
  <si>
    <t>통화, 통용</t>
  </si>
  <si>
    <t>You need to exchange your currency before traveling abroad.</t>
  </si>
  <si>
    <t>You need to exchange your (          ) before traveling abroad.</t>
  </si>
  <si>
    <t>concurrent</t>
  </si>
  <si>
    <t>[kənkə́ːrənt]</t>
  </si>
  <si>
    <t>함께(con) 현재 지금(current)에 있으니 ‘동시 발생의, 공존하는’</t>
  </si>
  <si>
    <t>동시 발생의, 공존하는</t>
  </si>
  <si>
    <t>He is serving two concurrent prison sentences.</t>
  </si>
  <si>
    <t>He is serving two (          ) prison sentences.</t>
  </si>
  <si>
    <t>course</t>
  </si>
  <si>
    <t>[kɔːrs]</t>
  </si>
  <si>
    <t>구르면서(cur) 둥근(o)것을 만나니 굽어 돌기도하고(cour) 때로는 부드럽게(s) 가기도 하는 ‘진로, 방향, 과정’</t>
  </si>
  <si>
    <t>진로, 방향, 과정</t>
  </si>
  <si>
    <t>The golf course has eighteen holes.</t>
  </si>
  <si>
    <t>The golf (          ) has eighteen holes.</t>
  </si>
  <si>
    <t>incur</t>
  </si>
  <si>
    <t>[inkə́ːr]</t>
  </si>
  <si>
    <t>좋지 못한 상황을 안으로(in) 굴러 오게(cur)하니 ‘초래하다’</t>
  </si>
  <si>
    <t>초래하다</t>
  </si>
  <si>
    <t>The company will incur expenses during the expansion.</t>
  </si>
  <si>
    <t>The company will (          ) expenses during the expansion.</t>
  </si>
  <si>
    <t>incursion</t>
  </si>
  <si>
    <t>[inkə́ːrʒən]</t>
  </si>
  <si>
    <t>갑작스럽게 안으로(in) 굴러 들어오니(cur) ‘침입, 급습’</t>
  </si>
  <si>
    <t>침입, 급습</t>
  </si>
  <si>
    <t>The border incursion created tension between the countries.</t>
  </si>
  <si>
    <t>The border (          ) created tension between the countries.</t>
  </si>
  <si>
    <t>occur</t>
  </si>
  <si>
    <t>[əkə́ːr]</t>
  </si>
  <si>
    <t>둥근(o) 돌이 갑작스럽게 굴러 들어오듯(cur) ‘(일이) 일어나다, 생기다’</t>
  </si>
  <si>
    <t>(일이) 일어나다, 생기다</t>
  </si>
  <si>
    <t>Earthquakes occur frequently in this region.</t>
  </si>
  <si>
    <t>Earthquakes (          ) frequently in this region.</t>
  </si>
  <si>
    <t>recur</t>
  </si>
  <si>
    <t>[rikə́ːr]</t>
  </si>
  <si>
    <t>다시(re) 굴러 들어오니(cur) ‘다시 일어나다, 되풀이 되다’</t>
  </si>
  <si>
    <t>다시 일어나다, 되풀이 되다</t>
  </si>
  <si>
    <t>His headaches tend to recur every month.</t>
  </si>
  <si>
    <t>His headaches tend to (          ) every month.</t>
  </si>
  <si>
    <t>curb</t>
  </si>
  <si>
    <t>[kəːrb]</t>
  </si>
  <si>
    <t>굴러(cur) 나가지 못하게 막으니(b) ‘억제[제한]하다’</t>
  </si>
  <si>
    <t>억제[제한]하다</t>
  </si>
  <si>
    <t>Please park your car next to the curb.</t>
  </si>
  <si>
    <t>Please park your car next to the (          ).</t>
  </si>
  <si>
    <t>curfew</t>
  </si>
  <si>
    <t>[kə́ːrfjuː]</t>
  </si>
  <si>
    <t>굴러가는 차(car-cur)가 거의 없게(few) 만드는 ‘통행금지령, 통행금지 시간, 귀가 시간’</t>
  </si>
  <si>
    <t>통행금지령, 통행금지 시간, 귀가 시간</t>
  </si>
  <si>
    <t>The teenager had to be home before curfew at 10:00 PM.</t>
  </si>
  <si>
    <t>The teenager had to be home before (          ) at 10:00 PM.</t>
  </si>
  <si>
    <t>curtain</t>
  </si>
  <si>
    <t>[kə́ːrtn]</t>
  </si>
  <si>
    <t>잘 굴러가듯이(cur) 움직이고 필요에 따라 붙잡아(tain) 묶어 두기도 하는 ‘커튼, 휘장’</t>
  </si>
  <si>
    <t>커튼, 휘장</t>
  </si>
  <si>
    <t>Draw the curtain to block the bright sunlight.</t>
  </si>
  <si>
    <t>Draw the (          ) to block the bright sunlight.</t>
  </si>
  <si>
    <t>excursion</t>
  </si>
  <si>
    <t>[ikskə́ːrʒən]</t>
  </si>
  <si>
    <t>밖으로(ex) 굴러가는 차(cur)를 타고 나가는 ‘나들이, 소풍, 견학’</t>
  </si>
  <si>
    <t>나들이, 소풍, 견학</t>
  </si>
  <si>
    <t>They went on a day excursion to the nearby island.</t>
  </si>
  <si>
    <t>They went on a day (          ) to the nearby island.</t>
  </si>
  <si>
    <t>concur</t>
  </si>
  <si>
    <t>[kənkə́ːr]</t>
  </si>
  <si>
    <t>함께(con) 굴러 가기(cur)로 ‘동의하다, 의견이 일치하다’</t>
  </si>
  <si>
    <t>동의하다, 의견이 일치하다</t>
  </si>
  <si>
    <t>I concur with your assessment of the situation.</t>
  </si>
  <si>
    <t>I (          ) with your assessment of the situation.</t>
  </si>
  <si>
    <t>care</t>
  </si>
  <si>
    <r>
      <rPr>
        <sz val="12"/>
        <color indexed="8"/>
        <rFont val="Apple SD 산돌고딕 Neo 일반체"/>
      </rPr>
      <t>care</t>
    </r>
  </si>
  <si>
    <t>[kεər]</t>
  </si>
  <si>
    <t>잡고서(c) 소중한 존재(are)를 ‘돌보다, 마음 [신경]을 쓰다, 주의, 걱정, 관심’</t>
  </si>
  <si>
    <t>돌보다, 마음 [신경]을 쓰다, 주의, 걱정, 관심</t>
  </si>
  <si>
    <t>You should take care of your health.</t>
  </si>
  <si>
    <t>You should take (          ) of your health.</t>
  </si>
  <si>
    <t>careful</t>
  </si>
  <si>
    <t>[kέərfəl]</t>
  </si>
  <si>
    <t>마음[신경]을 쓰는(care) 것이 가득(ful)하니 ‘주의 깊은, 조심스러운, 세심한’</t>
  </si>
  <si>
    <t>주의 깊은, 조심스러운, 세심한</t>
  </si>
  <si>
    <t>Be careful when crossing the street.</t>
  </si>
  <si>
    <t>Be (          ) when crossing the street.</t>
  </si>
  <si>
    <t>careless</t>
  </si>
  <si>
    <t>[kέərlis]</t>
  </si>
  <si>
    <t>마음[신경]을 쓰는(care) 것이 없으니(less) ‘부주의한, 신중하지 않은’</t>
  </si>
  <si>
    <t>부주의한, 신중하지 않은</t>
  </si>
  <si>
    <t>His careless mistake cost the team the game.</t>
  </si>
  <si>
    <t>His (          ) mistake cost the team the game.</t>
  </si>
  <si>
    <t>precarious</t>
  </si>
  <si>
    <t>[prikέəriəs]</t>
  </si>
  <si>
    <t>무엇보다 앞서(pre) 걱정(care)해야 하니 상황이 ‘위태로운, 불완전한’</t>
  </si>
  <si>
    <t>위태로운, 불완전한</t>
  </si>
  <si>
    <t>The climber was in a precarious position on the cliff.</t>
  </si>
  <si>
    <t>The climber was in a (          ) position on the cliff.</t>
  </si>
  <si>
    <t>charity</t>
  </si>
  <si>
    <t>[ʧǽrəti]</t>
  </si>
  <si>
    <t>마음을 쓰며 돌보는(care-char) 마음으로 주는 ‘기부, 자선, 구호’</t>
  </si>
  <si>
    <t>기부, 자선, 구호</t>
  </si>
  <si>
    <t>The charity raises money to help homeless people.</t>
  </si>
  <si>
    <t>The (          ) raises money to help homeless people.</t>
  </si>
  <si>
    <t>cherish</t>
  </si>
  <si>
    <t>[ʧériʃ]</t>
  </si>
  <si>
    <t>마음을 쓰며 돌보니(care-char-cher) ‘소중히 여기다’</t>
  </si>
  <si>
    <t>소중히 여기다</t>
  </si>
  <si>
    <t>I cherish the memories of my childhood.</t>
  </si>
  <si>
    <t>I (          ) the memories of my childhood.</t>
  </si>
  <si>
    <t>childish</t>
  </si>
  <si>
    <t>[ʧáildiʃ]</t>
  </si>
  <si>
    <t>신경을 쓰며 꽉 잡아(ch) 주어야 하고, 조금만 멀리(l) 가도 아래로(d) 잘 넘어지는 ‘어린 아이의’</t>
  </si>
  <si>
    <t>어린 아이의</t>
  </si>
  <si>
    <t>His childish behavior surprised everyone at the meeting.</t>
  </si>
  <si>
    <t>His (          ) behavior surprised everyone at the meeting.</t>
  </si>
  <si>
    <t>cure</t>
  </si>
  <si>
    <t>[kjuər]</t>
  </si>
  <si>
    <t>환자를 마음을 쓰며 돌보는(care-cure) ‘치료, 의료, 치료법’</t>
  </si>
  <si>
    <t>치료, 의료, 치료법</t>
  </si>
  <si>
    <t>Scientists are working to find a cure for cancer.</t>
  </si>
  <si>
    <t>Scientists are working to find a (          ) for cancer.</t>
  </si>
  <si>
    <t>curative</t>
  </si>
  <si>
    <t>care &gt; cure</t>
  </si>
  <si>
    <t>[kjúərətiv]</t>
  </si>
  <si>
    <t>돌보아 치료(cure-cur)하는 힘이 나아가(t) 환자 의 틈(v)으로 들어가니 ‘치료의, 치료 효험이 있는’</t>
  </si>
  <si>
    <t>치료의, 치료 효험이 있는</t>
  </si>
  <si>
    <t>The plant has curative properties for skin conditions.</t>
  </si>
  <si>
    <t>The plant has (          ) properties for skin conditions.</t>
  </si>
  <si>
    <t>curator</t>
  </si>
  <si>
    <t>cave &gt; cure</t>
  </si>
  <si>
    <t>cave</t>
  </si>
  <si>
    <t>[kjuəréitər]</t>
  </si>
  <si>
    <t>박물관 등을 돌보는(care-cure) ‘사람, 전시 기획자, (박물관 등의) 관리자’</t>
  </si>
  <si>
    <t>사람, 전시 기획자, (박물관 등의) 관리자</t>
  </si>
  <si>
    <t>The museum curator organized the new exhibition.</t>
  </si>
  <si>
    <t>The museum (          ) organized the new exhibition.</t>
  </si>
  <si>
    <t>manicure</t>
  </si>
  <si>
    <t>[mǽnəkjùər]</t>
  </si>
  <si>
    <t>사람의 손(man)을 잡아서 돌보는(care-cure) 사람, ‘(손톱에) 매니큐어를 하다, 다듬다’</t>
  </si>
  <si>
    <t>(손톱에) 매니큐어를 하다, 다듬다</t>
  </si>
  <si>
    <t>She gets a manicure every two weeks.</t>
  </si>
  <si>
    <t>She gets a (          ) every two weeks.</t>
  </si>
  <si>
    <t>secure</t>
  </si>
  <si>
    <t>[sikjúər]</t>
  </si>
  <si>
    <t>(위험으로부터) 분리시켜(se) 돌보니(cure) ‘안전한, 안전하게 하다’</t>
  </si>
  <si>
    <t>안전한, 안전하게 하다</t>
  </si>
  <si>
    <t>Lock all doors and windows to secure your home.</t>
  </si>
  <si>
    <t>Lock all doors and windows to (          ) your home.</t>
  </si>
  <si>
    <t>insecure</t>
  </si>
  <si>
    <t>cure &gt; secure</t>
  </si>
  <si>
    <t>[ìnsikjúər]</t>
  </si>
  <si>
    <t>반대(in)인 것이 안전한(secure) 상태이므로 ‘불안한, 자신이 없는’</t>
  </si>
  <si>
    <t>불안한, 자신이 없는</t>
  </si>
  <si>
    <t>He feels insecure about speaking in public.</t>
  </si>
  <si>
    <t>He feels (          ) about speaking in public.</t>
  </si>
  <si>
    <t>rescue</t>
  </si>
  <si>
    <t>[réskjuː]</t>
  </si>
  <si>
    <t>다시(re) 안전한(secure-scue) 상태로 만드니 ‘구조하다, 구출하다’</t>
  </si>
  <si>
    <t>구조하다, 구출하다</t>
  </si>
  <si>
    <t>Firefighters will rescue the cat from the tree.</t>
  </si>
  <si>
    <t>Firefighters will (          ) the cat from the tree.</t>
  </si>
  <si>
    <t>obscure</t>
  </si>
  <si>
    <t>[əbskjúər]</t>
  </si>
  <si>
    <t>어떤(o) 것이 터져(b) 사라지니(s) 분명히 잡아 마음을 쓸(cure) 수 없어 ‘애매한, 분명하지 않은’</t>
  </si>
  <si>
    <t>애매한, 분명하지 않은</t>
  </si>
  <si>
    <t>The meaning of the poem is obscure to many readers.</t>
  </si>
  <si>
    <t>The meaning of the poem is (          ) to many readers.</t>
  </si>
  <si>
    <t>accurate</t>
  </si>
  <si>
    <t>[ǽkjurət]</t>
  </si>
  <si>
    <t>더하여(ac) 마음을 쓰니(cure-cur) ‘정확한, 정밀한’</t>
  </si>
  <si>
    <t>정확한, 정밀한</t>
  </si>
  <si>
    <t>Your translation must be accurate and complete.</t>
  </si>
  <si>
    <t>Your translation must be (          ) and complete.</t>
  </si>
  <si>
    <t>inaccurate</t>
  </si>
  <si>
    <t>cure &gt; accurate</t>
  </si>
  <si>
    <t>[inǽkjərit]</t>
  </si>
  <si>
    <t>부정(in) + 정확한(accurate) = ‘부정확한’
* in은 나를(i) 없애니(n) 부정, 반대를 의미한다</t>
  </si>
  <si>
    <t>부정확한</t>
  </si>
  <si>
    <t>The news report contained inaccurate information.</t>
  </si>
  <si>
    <t>The news report contained (          ) information.</t>
  </si>
  <si>
    <t>cause</t>
  </si>
  <si>
    <r>
      <rPr>
        <sz val="12"/>
        <color indexed="8"/>
        <rFont val="Apple SD 산돌고딕 Neo 일반체"/>
      </rPr>
      <t>cause</t>
    </r>
  </si>
  <si>
    <t>[kɔːz]</t>
  </si>
  <si>
    <t>설명이 필요할 때 잡아서(c) 사용하는(use) ‘근거, 이유, 원인’</t>
  </si>
  <si>
    <t>근거, 이유, 원인</t>
  </si>
  <si>
    <t>Smoking can cause serious health problems.</t>
  </si>
  <si>
    <t>Smoking can (          ) serious health problems.</t>
  </si>
  <si>
    <t>caution</t>
  </si>
  <si>
    <t>[kɔ́ːʃən]</t>
  </si>
  <si>
    <t>이유(cause-cau)가 있으니 계속(on)적으로 ‘주의, 조심, 경계’</t>
  </si>
  <si>
    <t>주의, 조심, 경계</t>
  </si>
  <si>
    <t>Proceed with caution on the icy road.</t>
  </si>
  <si>
    <t>Proceed with (          ) on the icy road.</t>
  </si>
  <si>
    <t>cautious</t>
  </si>
  <si>
    <t>cause &gt; caution</t>
  </si>
  <si>
    <t>[kɔ́ːʃəs]</t>
  </si>
  <si>
    <t>조심(caution-cautio)스런 상태이니 ‘조심스러운, 신중한’</t>
  </si>
  <si>
    <t>조심스러운, 신중한</t>
  </si>
  <si>
    <t>Investors are cautious about the new stock market trend.</t>
  </si>
  <si>
    <t>Investors are (          ) about the new stock market trend.</t>
  </si>
  <si>
    <t>precaution</t>
  </si>
  <si>
    <t>[prikɔ́ːʃən]</t>
  </si>
  <si>
    <t>미리 앞서서(pre) 조심(caution)하니 ‘예방조치, 사전대책’</t>
  </si>
  <si>
    <t>예방조치, 사전대책</t>
  </si>
  <si>
    <t>Wearing sunscreen is a good precaution against sunburn.</t>
  </si>
  <si>
    <t>Wearing sunscreen is a good (          ) against sunburn.</t>
  </si>
  <si>
    <t>excuse</t>
  </si>
  <si>
    <t>[ikskjúːz]</t>
  </si>
  <si>
    <t>밖으로(ex) 이유(cause-cuse)를 대니 ‘변명하다, 변명, 핑계’</t>
  </si>
  <si>
    <t>변명하다, 변명, 핑계</t>
  </si>
  <si>
    <t>His illness was a valid excuse for missing class.</t>
  </si>
  <si>
    <t>His illness was a valid (          ) for missing class.</t>
  </si>
  <si>
    <t>accuse</t>
  </si>
  <si>
    <t>[əkjúːz]</t>
  </si>
  <si>
    <t>하나 하나(a) 잡아(c) 잘못의 이유(cause-cuse)들을 대니 ‘고발하다, 비난하다’</t>
  </si>
  <si>
    <t>고발하다, 비난하다</t>
  </si>
  <si>
    <t>Don't accuse someone without evidence.</t>
  </si>
  <si>
    <t>Don't (          ) someone without evidence.</t>
  </si>
  <si>
    <t>cover</t>
  </si>
  <si>
    <r>
      <rPr>
        <sz val="12"/>
        <color indexed="8"/>
        <rFont val="Apple SD 산돌고딕 Neo 일반체"/>
      </rPr>
      <t>cover</t>
    </r>
  </si>
  <si>
    <t>[kΛvər]</t>
  </si>
  <si>
    <t>C모양으로 위(over)에 덮으니 ‘덮다, 가리다, 보호하다’</t>
  </si>
  <si>
    <t>덮다, 가리다, 보호하다</t>
  </si>
  <si>
    <t>The book cover features a beautiful landscape.</t>
  </si>
  <si>
    <t>The book (          ) features a beautiful landscape.</t>
  </si>
  <si>
    <t>coverage</t>
  </si>
  <si>
    <t>[kΛvəridʒ]</t>
  </si>
  <si>
    <t>덮어서 보호(cover)하는 데 일정한 시기(age)동안 보호하는 ‘(보험의) 보호, 보상 범위’</t>
  </si>
  <si>
    <t>(보험의) 보호, 보상 범위</t>
  </si>
  <si>
    <t>The insurance policy provides coverage for flood damage.</t>
  </si>
  <si>
    <t>The insurance policy provides (          ) for flood damage.</t>
  </si>
  <si>
    <t>discover</t>
  </si>
  <si>
    <t>[diskΛvər]</t>
  </si>
  <si>
    <t>분리(dis)시키는 것이 덮고(cover) 있던 것이니 새로운 것을 ‘발견하다’</t>
  </si>
  <si>
    <t>발견하다</t>
  </si>
  <si>
    <t>Scientists discover new species in the rainforest every year.</t>
  </si>
  <si>
    <t>Scientists (          ) new species in the rainforest every year.</t>
  </si>
  <si>
    <t>recover</t>
  </si>
  <si>
    <t>[rikΛvər]</t>
  </si>
  <si>
    <t>다시(re) 보호하는 덮개(cover)가 놓이니 면역력이 생겨 점점 ‘회복하다, 되찾다’</t>
  </si>
  <si>
    <t>회복하다, 되찾다</t>
  </si>
  <si>
    <t>It took her months to recover from the accident.</t>
  </si>
  <si>
    <t>It took her months to (          ) from the accident.</t>
  </si>
  <si>
    <t>succeed</t>
  </si>
  <si>
    <t>ceed</t>
  </si>
  <si>
    <r>
      <rPr>
        <sz val="12"/>
        <color indexed="8"/>
        <rFont val="Apple SD 산돌고딕 Neo 일반체"/>
      </rPr>
      <t>ceed(cess)</t>
    </r>
  </si>
  <si>
    <t>[səksíːd]</t>
  </si>
  <si>
    <t>보이지도 않는(s) 아래쪽(u)에서 위쪽으로 나아가니(ceed) ‘성공하다’</t>
  </si>
  <si>
    <t>성공하다</t>
  </si>
  <si>
    <t>You will succeed if you work hard and stay focused.</t>
  </si>
  <si>
    <t>You will (          ) if you work hard and stay focused.</t>
  </si>
  <si>
    <t>success</t>
  </si>
  <si>
    <t>ceed(cess)</t>
  </si>
  <si>
    <t>[səksés]</t>
  </si>
  <si>
    <t>보이지도 않는(s) 아래쪽(u)에서 위쪽으로 나아가니(ceed-cess) ‘성공’</t>
  </si>
  <si>
    <t>성공</t>
  </si>
  <si>
    <t>Hard work was the key to his success.</t>
  </si>
  <si>
    <t>Hard work was the key to his (          ).</t>
  </si>
  <si>
    <t>succession</t>
  </si>
  <si>
    <t>[səkséʃən]</t>
  </si>
  <si>
    <t>부드럽게(s) 아래쪽(u)에서 위쪽으로 나아가니(ceed-cess) ‘연속하는’</t>
  </si>
  <si>
    <t>연속하는</t>
  </si>
  <si>
    <t>The events occurred in rapid succession.</t>
  </si>
  <si>
    <t>The events occurred in rapid (          ).</t>
  </si>
  <si>
    <t>proceed</t>
  </si>
  <si>
    <t>[prəsíːd]</t>
  </si>
  <si>
    <t>앞으로(pro) 가니(ceed) ‘나아가다, 진행하다’</t>
  </si>
  <si>
    <t>나아가다, 진행하다</t>
  </si>
  <si>
    <t>We can proceed with the project after getting approval.</t>
  </si>
  <si>
    <t>We can (          ) with the project after getting approval.</t>
  </si>
  <si>
    <t>process</t>
  </si>
  <si>
    <t>[prάses]</t>
  </si>
  <si>
    <t>앞으로(pro) 하나씩 나아가는(ceed-cess) ‘(일련의) 과정, 공정’</t>
  </si>
  <si>
    <t>(일련의) 과정, 공정</t>
  </si>
  <si>
    <t>The application process takes about two weeks.</t>
  </si>
  <si>
    <t>The application (          ) takes about two weeks.</t>
  </si>
  <si>
    <t>procedure</t>
  </si>
  <si>
    <t>ceed &gt; proceed</t>
  </si>
  <si>
    <t>[prəsíːdʒər]</t>
  </si>
  <si>
    <t>하나씩 진행해(proceed) 나가는 ‘절차’</t>
  </si>
  <si>
    <t>절차</t>
  </si>
  <si>
    <t>The doctor explained the surgical procedure in detail.</t>
  </si>
  <si>
    <t>The doctor explained the surgical (          ) in detail.</t>
  </si>
  <si>
    <t>precede</t>
  </si>
  <si>
    <t>ceed &gt; cede</t>
  </si>
  <si>
    <t>[prisíːd]</t>
  </si>
  <si>
    <t>다른 것보다 앞서(pre) 나아가니(cede-ceed) ‘선행하다’</t>
  </si>
  <si>
    <t>선행하다</t>
  </si>
  <si>
    <t>A moment of silence will precede the concert.</t>
  </si>
  <si>
    <t>A moment of silence will (          ) the concert.</t>
  </si>
  <si>
    <t>exceed</t>
  </si>
  <si>
    <t>[iksíːd]</t>
  </si>
  <si>
    <t>기준 밖으로(ex) 가니(ceed) ‘초과하다, 능가하다, 넘어서다’</t>
  </si>
  <si>
    <t>초과하다, 능가하다, 넘어서다</t>
  </si>
  <si>
    <t>Our sales this month exceed our expectations.</t>
  </si>
  <si>
    <t>Our sales this month (          ) our expectations.</t>
  </si>
  <si>
    <t>excess</t>
  </si>
  <si>
    <t>[iksés]</t>
  </si>
  <si>
    <t>기준 밖으로(ex) 가니(ceed-cess) ‘초과’</t>
  </si>
  <si>
    <t>초과</t>
  </si>
  <si>
    <t>Don't eat excess sugar if you want to stay healthy.</t>
  </si>
  <si>
    <t>Don't eat (          ) sugar if you want to stay healthy.</t>
  </si>
  <si>
    <t>excessive</t>
  </si>
  <si>
    <t>cess &gt; excess</t>
  </si>
  <si>
    <t>[iksésiv]</t>
  </si>
  <si>
    <t>초과(excess)인 상태(~ive)이므로 ‘지나 친, 과도한’</t>
  </si>
  <si>
    <t>지나 친, 과도한</t>
  </si>
  <si>
    <t>The coach criticized the team for excessive penalties.</t>
  </si>
  <si>
    <t>The coach criticized the team for (          ) penalties.</t>
  </si>
  <si>
    <t>recede</t>
  </si>
  <si>
    <t>[risíːd]</t>
  </si>
  <si>
    <t>왔던 길을 다시(re) 가니(ceed-cede) 돌아가다 ‘물러나다[가다], 철회하다’</t>
  </si>
  <si>
    <t>물러나다[가다], 철회하다</t>
  </si>
  <si>
    <t>The floodwaters began to recede after the rain stopped.</t>
  </si>
  <si>
    <t>The floodwaters began to (          ) after the rain stopped.</t>
  </si>
  <si>
    <t>recess</t>
  </si>
  <si>
    <t>[risés, ríːsəs]</t>
  </si>
  <si>
    <t>진행 중인 일을 잠시 다시(re) 뒤로 가게 하니 (ceed-cess) ‘휴회, 휴식시간’</t>
  </si>
  <si>
    <t>휴회, 휴식시간</t>
  </si>
  <si>
    <t>Children play outside during recess at school.</t>
  </si>
  <si>
    <t>Children play outside during (          ) at school.</t>
  </si>
  <si>
    <t>recession</t>
  </si>
  <si>
    <t>cess &gt; recess</t>
  </si>
  <si>
    <t>[riséʃən]</t>
  </si>
  <si>
    <t>경기가 뒤로 물러나니(recede-recess) ‘경기 후퇴, 불경기’</t>
  </si>
  <si>
    <t>경기 후퇴, 불경기</t>
  </si>
  <si>
    <t>The country is still recovering from the economic recession.</t>
  </si>
  <si>
    <t>The country is still recovering from the economic (          ).</t>
  </si>
  <si>
    <t>antecedent</t>
  </si>
  <si>
    <t>[ӕntəsíːdnt]</t>
  </si>
  <si>
    <t>혼자서(an) 서서(t) 먼저 갔던(cede) 선행사건, ‘선행하는, 선조’</t>
  </si>
  <si>
    <t>선행하는, 선조</t>
  </si>
  <si>
    <t>The pronoun should agree with its antecedent in a sentence.</t>
  </si>
  <si>
    <t>The pronoun should agree with its (          ) in a sentence.</t>
  </si>
  <si>
    <t>ancestor</t>
  </si>
  <si>
    <t>[ǽnsestər, -tris]</t>
  </si>
  <si>
    <t>처음 혼자 간(ces-cess) 사람(or) ‘선조, 조상’</t>
  </si>
  <si>
    <t>선조, 조상</t>
  </si>
  <si>
    <t>My ancestor came to America in the 1800s.</t>
  </si>
  <si>
    <t>My (          ) came to America in the 1800s.</t>
  </si>
  <si>
    <t>access</t>
  </si>
  <si>
    <t>[ǽkses]</t>
  </si>
  <si>
    <t>더하여 잡고서(ac) 가니(cess) ‘접근, 가까이 다가감’</t>
  </si>
  <si>
    <t>접근, 가까이 다가감</t>
  </si>
  <si>
    <t>You need a password to access the secure website.</t>
  </si>
  <si>
    <t>You need a password to (          ) the secure website.</t>
  </si>
  <si>
    <t>accessible</t>
  </si>
  <si>
    <t>cess &gt; access</t>
  </si>
  <si>
    <t>[æksésəbl, əksésəbl]</t>
  </si>
  <si>
    <t>접근(access) 가능한(able-ible) 상태, ‘접근할 수 있는, 이용 가능한’</t>
  </si>
  <si>
    <t>접근할 수 있는, 이용 가능한</t>
  </si>
  <si>
    <t>The new building is fully accessible for people with disabilities.</t>
  </si>
  <si>
    <t>The new building is fully (          ) for people with disabilities.</t>
  </si>
  <si>
    <t>inaccessible</t>
  </si>
  <si>
    <t>access &gt; accessible</t>
  </si>
  <si>
    <t>[ìnəksésəbl]</t>
  </si>
  <si>
    <t>반대(in)인 상태로 접근할 수 있는(accessible) 이므로 ‘접근하기 어려운’</t>
  </si>
  <si>
    <t>접근하기 어려운</t>
  </si>
  <si>
    <t>The remote village was inaccessible during the rainy season.</t>
  </si>
  <si>
    <t>The remote village was (          ) during the rainy season.</t>
  </si>
  <si>
    <t>accessory</t>
  </si>
  <si>
    <t>[æksésəri, əksésəri]</t>
  </si>
  <si>
    <t>더하여 잡고서(ac) 계속 가는(cess) ‘부속물, 액세서리’</t>
  </si>
  <si>
    <t>부속물, 액세서리</t>
  </si>
  <si>
    <t>She wore a colorful scarf as an accessory to her outfit.</t>
  </si>
  <si>
    <t>She wore a colorful scarf as an (          ) to her outfit.</t>
  </si>
  <si>
    <t>necessary</t>
  </si>
  <si>
    <t>[nésəsèri]</t>
  </si>
  <si>
    <t>없어서(n), 새롭게 있어야 하기에 가지러 가야(cess) 하는 ‘필요한’</t>
  </si>
  <si>
    <t>필요한</t>
  </si>
  <si>
    <t>It's necessary to have a passport for international travel.</t>
  </si>
  <si>
    <t>It's (          ) to have a passport for international travel.</t>
  </si>
  <si>
    <t>necessitate</t>
  </si>
  <si>
    <t>[nəsésətèit]</t>
  </si>
  <si>
    <t>없어서(n), 새롭게 있어야 하기에 가지러 가야(cess)하니 ‘필요로 하다’</t>
  </si>
  <si>
    <t>필요로 하다</t>
  </si>
  <si>
    <t>Your absence will necessitate a change in our plans.</t>
  </si>
  <si>
    <t>Your absence will (          ) a change in our plans.</t>
  </si>
  <si>
    <t>predecessor</t>
  </si>
  <si>
    <t>[prédəsèsər]</t>
  </si>
  <si>
    <t>앞서(pre) 아래로(de) 먼저 간(cess) ‘전임자, 선배’</t>
  </si>
  <si>
    <t>전임자, 선배</t>
  </si>
  <si>
    <t>The new manager is more efficient than his predecessor.</t>
  </si>
  <si>
    <t>The new manager is more efficient than his (          ).</t>
  </si>
  <si>
    <t>cease</t>
  </si>
  <si>
    <t>[siːs]</t>
  </si>
  <si>
    <t>가버리게(cess-cease) 하니 ‘끝내다, 중지하다’</t>
  </si>
  <si>
    <t>끝내다, 중지하다</t>
  </si>
  <si>
    <t>The fighting will cease once the peace agreement is signed.</t>
  </si>
  <si>
    <t>The fighting will (          ) once the peace agreement is signed.</t>
  </si>
  <si>
    <t>ceaseless</t>
  </si>
  <si>
    <t>cess &gt; cease</t>
  </si>
  <si>
    <t>[síːslis]</t>
  </si>
  <si>
    <t>중지함(cease)이 풀어져 없어지니(less) ‘중단없는, 끊임없는’</t>
  </si>
  <si>
    <t>중단없는, 끊임없는</t>
  </si>
  <si>
    <t>The baby's ceaseless crying kept everyone awake.</t>
  </si>
  <si>
    <t>The baby's (          ) crying kept everyone awake.</t>
  </si>
  <si>
    <t>decease</t>
  </si>
  <si>
    <t>[disíːs]</t>
  </si>
  <si>
    <t>땅 아래로(de) 내려가 삶을 중지(cease)하니 ‘사망하다’</t>
  </si>
  <si>
    <t>사망하다</t>
  </si>
  <si>
    <t>The family was notified of his decease while abroad.</t>
  </si>
  <si>
    <t>The family was notified of his (          ) while abroad.</t>
  </si>
  <si>
    <t>accident</t>
  </si>
  <si>
    <t>cess &gt; cid</t>
  </si>
  <si>
    <t>[ǽksidənt]</t>
  </si>
  <si>
    <t>어쩌다 내 인생에 하나 잡아 더해져(ac) 가며(cid) 벌어지는 일 ‘우연한 일, 사고’</t>
  </si>
  <si>
    <t>우연한 일, 사고</t>
  </si>
  <si>
    <t>The car accident happened on a rainy night.</t>
  </si>
  <si>
    <t>The car (          ) happened on a rainy night.</t>
  </si>
  <si>
    <t>accidental</t>
  </si>
  <si>
    <t>cid &gt; accident</t>
  </si>
  <si>
    <t>cid</t>
  </si>
  <si>
    <t>[ӕksədéntl]</t>
  </si>
  <si>
    <t>accident(우연한 일) + 상태(al) &gt; ‘우발적인, 뜻하지 않은’</t>
  </si>
  <si>
    <t>우발적인, 뜻하지 않은</t>
  </si>
  <si>
    <t>The discovery was accidental but very important.</t>
  </si>
  <si>
    <t>The discovery was (          ) but very important.</t>
  </si>
  <si>
    <t>incident</t>
  </si>
  <si>
    <r>
      <rPr>
        <sz val="12"/>
        <color indexed="8"/>
        <rFont val="Apple SD 산돌고딕 Neo 일반체"/>
      </rPr>
      <t>cid</t>
    </r>
  </si>
  <si>
    <t>[ínsədənt]</t>
  </si>
  <si>
    <t>외부에서 안으로(in) 가서 일어나는(cid) 일, ‘사건, 사고’</t>
  </si>
  <si>
    <t>사건, 사고</t>
  </si>
  <si>
    <t>He reported the incident to the police immediately.</t>
  </si>
  <si>
    <t>He reported the (          ) to the police immediately.</t>
  </si>
  <si>
    <t>incidental</t>
  </si>
  <si>
    <t>cid &gt; incident</t>
  </si>
  <si>
    <t>[ìnsədéntl]</t>
  </si>
  <si>
    <t>본론 외의 사건(incident)이 일어나니 ‘부수적으로 일어나는’</t>
  </si>
  <si>
    <t>부수적으로 일어나는</t>
  </si>
  <si>
    <t>The music is incidental to the main story in the film.</t>
  </si>
  <si>
    <t>The music is (          ) to the main story in the film.</t>
  </si>
  <si>
    <t>receive</t>
  </si>
  <si>
    <t>ceive</t>
  </si>
  <si>
    <r>
      <rPr>
        <sz val="12"/>
        <color indexed="8"/>
        <rFont val="Apple SD 산돌고딕 Neo 일반체"/>
      </rPr>
      <t>ceive</t>
    </r>
  </si>
  <si>
    <t>[risíːv]</t>
  </si>
  <si>
    <t>다시(cre) 제대로 잡으니(ceive) ‘받다, 수령하다’</t>
  </si>
  <si>
    <t>받다, 수령하다</t>
  </si>
  <si>
    <t>Did you receive the package I sent?</t>
  </si>
  <si>
    <t>Did you (          ) the package I sent?</t>
  </si>
  <si>
    <t>perceive</t>
  </si>
  <si>
    <t>[pərsíːv]</t>
  </si>
  <si>
    <t>완전히(per-perfect) 잡게(ceive)되니 ‘인지하다, 이해하다’</t>
  </si>
  <si>
    <t>인지하다, 이해하다</t>
  </si>
  <si>
    <t>People often perceive things differently based on their experiences.</t>
  </si>
  <si>
    <t>People often (          ) things differently based on their experiences.</t>
  </si>
  <si>
    <t>conceive</t>
  </si>
  <si>
    <t>[kənsíːv]</t>
  </si>
  <si>
    <t>부부가 함께(con) 같은 생각을 취하니(ceive) ‘임신하다, 상상하다’</t>
  </si>
  <si>
    <t>임신하다, 상상하다</t>
  </si>
  <si>
    <t>They were unable to conceive a child naturally.</t>
  </si>
  <si>
    <t>They were unable to (          ) a child naturally.</t>
  </si>
  <si>
    <t>deceive</t>
  </si>
  <si>
    <t>[disíːv]</t>
  </si>
  <si>
    <t>진정성이 저하(d)되어 남을 잡으니(ceive) ‘속이다’</t>
  </si>
  <si>
    <t>속이다</t>
  </si>
  <si>
    <t>Don't try to deceive me with false promises.</t>
  </si>
  <si>
    <t>Don't try to (          ) me with false promises.</t>
  </si>
  <si>
    <t>deceitful</t>
  </si>
  <si>
    <t>ceive &gt; deceive</t>
  </si>
  <si>
    <t>[disíːtfəl]</t>
  </si>
  <si>
    <t>속이는(deceive-deceit) 것이 가득(ful)하니 ‘기만하는, 속이는’</t>
  </si>
  <si>
    <t>기만하는, 속이는</t>
  </si>
  <si>
    <t>His deceitful behavior destroyed their trust.</t>
  </si>
  <si>
    <t>His (          ) behavior destroyed their trust.</t>
  </si>
  <si>
    <t>cell</t>
  </si>
  <si>
    <r>
      <rPr>
        <sz val="12"/>
        <color indexed="8"/>
        <rFont val="Apple SD 산돌고딕 Neo 일반체"/>
      </rPr>
      <t>cell</t>
    </r>
  </si>
  <si>
    <t>[sel]</t>
  </si>
  <si>
    <t>사람을 잡아(c)놓고 늘어지는(ll) 것을 막기 위한 곳 ‘독방, 작은 방, 세포’</t>
  </si>
  <si>
    <t>독방, 작은 방, 세포</t>
  </si>
  <si>
    <t>The prisoner was confined to his cell for 23 hours daily.</t>
  </si>
  <si>
    <t>The prisoner was confined to his (          ) for 23 hours daily.</t>
  </si>
  <si>
    <t>cellar</t>
  </si>
  <si>
    <t>[sélər]</t>
  </si>
  <si>
    <t>작은 방(cel)에 힘(r)을 가해 뭔가를 잡아 두는 곳, ‘지하 저장실’</t>
  </si>
  <si>
    <t>지하 저장실</t>
  </si>
  <si>
    <t>We store wine in the cool cellar beneath the house.</t>
  </si>
  <si>
    <t>We store wine in the cool (          ) beneath the house.</t>
  </si>
  <si>
    <t>conceal</t>
  </si>
  <si>
    <t>[kənsíːl]</t>
  </si>
  <si>
    <t>여러 가지를 함께(con) 작은 방(cell-ceal)에 넣어 두니 ‘감추다’</t>
  </si>
  <si>
    <t>감추다</t>
  </si>
  <si>
    <t>The magician will conceal the rabbit under his hat.</t>
  </si>
  <si>
    <t>The magician will (          ) the rabbit under his hat.</t>
  </si>
  <si>
    <t>ceiling</t>
  </si>
  <si>
    <t>[síːliŋ]</t>
  </si>
  <si>
    <t>하늘(cel-ceil)처럼 위에서 길게 펼쳐져 덮고 있는 중(~ing)인 것, ‘천장’</t>
  </si>
  <si>
    <t>천장</t>
  </si>
  <si>
    <t>The living room has a high ceiling with decorative molding.</t>
  </si>
  <si>
    <t>The living room has a high (          ) with decorative molding.</t>
  </si>
  <si>
    <t>celestial</t>
  </si>
  <si>
    <t>cel</t>
  </si>
  <si>
    <r>
      <rPr>
        <sz val="12"/>
        <color indexed="8"/>
        <rFont val="Apple SD 산돌고딕 Neo 일반체"/>
      </rPr>
      <t>cel</t>
    </r>
  </si>
  <si>
    <t>[səlésʧəl]</t>
  </si>
  <si>
    <t>하늘(cel)이 창공에 서(st) 있는 상태(~al), ‘하늘의, 천체의’</t>
  </si>
  <si>
    <t>하늘의, 천체의</t>
  </si>
  <si>
    <t>The telescope provides a clear view of celestial bodies.</t>
  </si>
  <si>
    <t>The telescope provides a clear view of (          ) bodies.</t>
  </si>
  <si>
    <t>celebrate</t>
  </si>
  <si>
    <t>[séləbrèit]</t>
  </si>
  <si>
    <t>불꽃이 하늘(cel) 높이 터지도록(b) 힘차게(r) 나아가니(t) ‘축하하다, 기념하다’</t>
  </si>
  <si>
    <t>축하하다, 기념하다</t>
  </si>
  <si>
    <t>We celebrate Independence Day on July 4th.</t>
  </si>
  <si>
    <t>We (          ) Independence Day on July 4th.</t>
  </si>
  <si>
    <t>celebrity</t>
  </si>
  <si>
    <t>cel &gt; celebrate</t>
  </si>
  <si>
    <t>[səlébrəti]</t>
  </si>
  <si>
    <t>늘 축하 받고(celebrate) 주목받는 ‘유명인사’</t>
  </si>
  <si>
    <t>유명인사</t>
  </si>
  <si>
    <t>The celebrity arrived surrounded by photographers.</t>
  </si>
  <si>
    <t>The (          ) arrived surrounded by photographers.</t>
  </si>
  <si>
    <t>excel</t>
  </si>
  <si>
    <t>[iksél]</t>
  </si>
  <si>
    <t>밖으로(ex) 나가 하늘(cel)을 뚫을 정도이니 ‘뛰어나다, 능가하다’</t>
  </si>
  <si>
    <t>뛰어나다, 능가하다</t>
  </si>
  <si>
    <t>She continues to excel in mathematics competitions.</t>
  </si>
  <si>
    <t>She continues to (          ) in mathematics competitions.</t>
  </si>
  <si>
    <t>excellent</t>
  </si>
  <si>
    <t>cel &gt; excel</t>
  </si>
  <si>
    <t>[éksələnt]</t>
  </si>
  <si>
    <t>뛰어나다(excel) + 형용사(~ent) &gt; ‘뛰어난, 우수한’</t>
  </si>
  <si>
    <t>뛰어난, 우수한</t>
  </si>
  <si>
    <t>The restaurant serves excellent food at reasonable prices.</t>
  </si>
  <si>
    <t>The restaurant serves (          ) food at reasonable prices.</t>
  </si>
  <si>
    <t>accelerate</t>
  </si>
  <si>
    <t>[æksélərèit, əksélərèit]</t>
  </si>
  <si>
    <t>속도를 더하여 잡고(ac) 하늘(cel)을 날 정도로 속도(rate)를 높이니 ‘가속하다’</t>
  </si>
  <si>
    <t>가속하다</t>
  </si>
  <si>
    <t>The car can accelerate from 0 to 60 mph in six seconds.</t>
  </si>
  <si>
    <t>The car can (          ) from 0 to 60 mph in six seconds.</t>
  </si>
  <si>
    <t>cent</t>
  </si>
  <si>
    <r>
      <rPr>
        <sz val="12"/>
        <color indexed="8"/>
        <rFont val="Apple SD 산돌고딕 Neo 일반체"/>
      </rPr>
      <t>cent</t>
    </r>
  </si>
  <si>
    <t>[sent]</t>
  </si>
  <si>
    <t>100(cent)분의 1달러에 해당하는 미국의 동전인 ‘1센트 동전’</t>
  </si>
  <si>
    <t>1센트 동전</t>
  </si>
  <si>
    <t>This old coin is worth more than one cent.</t>
  </si>
  <si>
    <t>This old coin is worth more than one (          ).</t>
  </si>
  <si>
    <t>centimeter</t>
  </si>
  <si>
    <t>[seˈntəmiˌtər]</t>
  </si>
  <si>
    <t>1 미터를 100개(cent)로 만드니 ‘센티미터’</t>
  </si>
  <si>
    <t>센티미터</t>
  </si>
  <si>
    <t>Measure the length in centimeter for more accuracy.</t>
  </si>
  <si>
    <t>Measure the length in (          ) for more accuracy.</t>
  </si>
  <si>
    <t>century</t>
  </si>
  <si>
    <t>[sénʧəri]</t>
  </si>
  <si>
    <t>100개(cent)에 해당하는 년, ‘100년, 1세기’</t>
  </si>
  <si>
    <t>100년, 1세기</t>
  </si>
  <si>
    <t>The castle was built in the 16th century.</t>
  </si>
  <si>
    <t>The castle was built in the 16th (          ).</t>
  </si>
  <si>
    <t>innocent</t>
  </si>
  <si>
    <t>[ínəsənt]</t>
  </si>
  <si>
    <t>안(in)에 없는 것이(no) 1센트(cent)의 잘못된 돈이므로 ‘무죄의, 순수한’</t>
  </si>
  <si>
    <t>무죄의, 순수한</t>
  </si>
  <si>
    <t>The jury found the defendant innocent of all charges.</t>
  </si>
  <si>
    <t>The jury found the defendant (          ) of all charges.</t>
  </si>
  <si>
    <t>innocence</t>
  </si>
  <si>
    <t>cent &gt; innocent</t>
  </si>
  <si>
    <t>[ínəsəns]</t>
  </si>
  <si>
    <t>안(in)에 없다(no) 죄라고 잡을(c)것이 따라서, 무죄의(innocent) ‘순수, 결백’</t>
  </si>
  <si>
    <t>순수, 결백</t>
  </si>
  <si>
    <t>Children have a natural innocence about the world.</t>
  </si>
  <si>
    <t>Children have a natural (          ) about the world.</t>
  </si>
  <si>
    <t>decent</t>
  </si>
  <si>
    <t>[díːsnt]</t>
  </si>
  <si>
    <t>아래로(de) 센트(cent) 즉, 돈을 주니 충분히 ‘좋은, 알맞은’</t>
  </si>
  <si>
    <t>좋은, 알맞은</t>
  </si>
  <si>
    <t>He is a decent man who always helps others.</t>
  </si>
  <si>
    <t>He is a (          ) man who always helps others.</t>
  </si>
  <si>
    <t>chief</t>
  </si>
  <si>
    <r>
      <rPr>
        <sz val="12"/>
        <color indexed="8"/>
        <rFont val="Apple SD 산돌고딕 Neo 일반체"/>
      </rPr>
      <t>chief</t>
    </r>
  </si>
  <si>
    <t>[tʃiːf]</t>
  </si>
  <si>
    <t>크게 잡아(ch) 혼자(i)서 빠르게(f) 전체를 통제하는 ‘우두머리’</t>
  </si>
  <si>
    <t>우두머리</t>
  </si>
  <si>
    <t>The chief of police announced new safety measures.</t>
  </si>
  <si>
    <t>The (          ) of police announced new safety measures.</t>
  </si>
  <si>
    <t>chef</t>
  </si>
  <si>
    <t>[ʃef]</t>
  </si>
  <si>
    <t>우두머리(chief)처럼 주방에서 모든 것을 통제(ch) 해서 빠르게(f) 요리를 해내는 요리사이니 ‘주방장’</t>
  </si>
  <si>
    <t>주방장</t>
  </si>
  <si>
    <t>The restaurant hired a French chef.</t>
  </si>
  <si>
    <t>The restaurant hired a French (          ).</t>
  </si>
  <si>
    <t>mischief</t>
  </si>
  <si>
    <t>[mísʧif]</t>
  </si>
  <si>
    <t>잘못된(mis) 우두머리(chief)는 ‘해악’이고 ‘못된 짓’을 일삼는다.</t>
  </si>
  <si>
    <t>해악, 못된 짓</t>
  </si>
  <si>
    <t>The children were full of mischief during the sleepover.</t>
  </si>
  <si>
    <t>The children were full of (          ) during the sleepover.</t>
  </si>
  <si>
    <t>achieve</t>
  </si>
  <si>
    <t>[əʧíːv]</t>
  </si>
  <si>
    <t>노력해서 하나의(a) 우두머리(chief-chieve)가 되니 ‘성취하다, 이루다’</t>
  </si>
  <si>
    <t>성취하다, 이루다</t>
  </si>
  <si>
    <t>You can achieve your goals with determination.</t>
  </si>
  <si>
    <t>You can (          ) your goals with determination.</t>
  </si>
  <si>
    <t>handkerchief</t>
  </si>
  <si>
    <t>[hǽŋkərʧif]</t>
  </si>
  <si>
    <t>손(hand)을 확장(k)해서 내밀때 가장 중요한 우두머리(chief) ‘소품, 손수건’</t>
  </si>
  <si>
    <t>소품, 손수건</t>
  </si>
  <si>
    <t>He offered her a handkerchief to dry her tears.</t>
  </si>
  <si>
    <t>He offered her a (          ) to dry her tears.</t>
  </si>
  <si>
    <t>decide</t>
  </si>
  <si>
    <t>cide</t>
  </si>
  <si>
    <r>
      <rPr>
        <sz val="12"/>
        <color indexed="8"/>
        <rFont val="Apple SD 산돌고딕 Neo 일반체"/>
      </rPr>
      <t>cide</t>
    </r>
  </si>
  <si>
    <t>[disáid]</t>
  </si>
  <si>
    <t>아래로(de) 시원하게 내려쳐 단호하게 자르니(cide) ‘결정하다’</t>
  </si>
  <si>
    <t>결정하다</t>
  </si>
  <si>
    <t>We need to decide on a location for the conference.</t>
  </si>
  <si>
    <t>We need to (          ) on a location for the conference.</t>
  </si>
  <si>
    <t>decided</t>
  </si>
  <si>
    <t>cide &gt; decide</t>
  </si>
  <si>
    <t>[disáidid]</t>
  </si>
  <si>
    <t>결정(decide)이 된 사항이니 ‘명확한, 분명한’</t>
  </si>
  <si>
    <t>명확한, 분명한</t>
  </si>
  <si>
    <t>She has a decided advantage in the competition.</t>
  </si>
  <si>
    <t>She has a (          ) advantage in the competition.</t>
  </si>
  <si>
    <t>decisive</t>
  </si>
  <si>
    <t>[disáisiv]</t>
  </si>
  <si>
    <t>운명을 결정하는(deci-decide) 행위이므로 ‘결정적인, 결단력 있는’</t>
  </si>
  <si>
    <t>결정적인, 결단력 있는</t>
  </si>
  <si>
    <t>His decisive leadership helped during the crisis.</t>
  </si>
  <si>
    <t>His (          ) leadership helped during the crisis.</t>
  </si>
  <si>
    <t>suicide</t>
  </si>
  <si>
    <t>[sjúːəsàid]</t>
  </si>
  <si>
    <t>보이지 않는(s) 곳에서 자기(i) 자신을 자르니(cide) ‘자살’</t>
  </si>
  <si>
    <t>자살</t>
  </si>
  <si>
    <t>The bridge has barriers to prevent suicide attempts.</t>
  </si>
  <si>
    <t>The bridge has barriers to prevent (          ) attempts.</t>
  </si>
  <si>
    <t>insecticide</t>
  </si>
  <si>
    <t>[inséktəsàid]</t>
  </si>
  <si>
    <t>곤충(insect)을 잘라내어(cide) 죽이는 것, ‘살충, 살충제’</t>
  </si>
  <si>
    <t>살충, 살충제</t>
  </si>
  <si>
    <t>Use insecticide carefully around pets and children.</t>
  </si>
  <si>
    <t>Use (          ) carefully around pets and children.</t>
  </si>
  <si>
    <t>pesticide</t>
  </si>
  <si>
    <t>[péstisàid]</t>
  </si>
  <si>
    <t>해충(pest)을 잘라내어(cide) 죽이는 것, ‘농약’</t>
  </si>
  <si>
    <t>농약</t>
  </si>
  <si>
    <t>Organic farmers avoid using chemical pesticide.</t>
  </si>
  <si>
    <t>Organic farmers avoid using chemical (          ).</t>
  </si>
  <si>
    <t>scissors</t>
  </si>
  <si>
    <t>cide(cise)</t>
  </si>
  <si>
    <t>[sízərz]</t>
  </si>
  <si>
    <t>부드럽게(s) 자르는(cis) 도구, ‘가위’</t>
  </si>
  <si>
    <t>가위</t>
  </si>
  <si>
    <t>Use scissors to cut along the dotted line.</t>
  </si>
  <si>
    <t>Use (          ) to cut along the dotted line.</t>
  </si>
  <si>
    <t>concise</t>
  </si>
  <si>
    <t>[kənsáis]</t>
  </si>
  <si>
    <t>함께(con) 여러 개를 잘라내니(cis) ‘간결한’</t>
  </si>
  <si>
    <t>간결한</t>
  </si>
  <si>
    <t>His concise explanation was easy to understand.</t>
  </si>
  <si>
    <t>His (          ) explanation was easy to understand.</t>
  </si>
  <si>
    <t>precise</t>
  </si>
  <si>
    <t>[prisáis]</t>
  </si>
  <si>
    <t>미리(pre) 정해 놓은 대로 자르니(cis) ‘정확한’</t>
  </si>
  <si>
    <t>정확한</t>
  </si>
  <si>
    <t>The experiment requires precise measurements.</t>
  </si>
  <si>
    <t>The experiment requires (          ) measurements.</t>
  </si>
  <si>
    <t>exercise</t>
  </si>
  <si>
    <t>[éksərsàiz]</t>
  </si>
  <si>
    <t>바깥(ex)쪽에서 힘을(er) 쓰고 시간과 노력을 잘라내서(cise) 사용하는 것, ‘운동, 연습’</t>
  </si>
  <si>
    <t>운동, 연습</t>
  </si>
  <si>
    <t>Regular exercise is important for good health.</t>
  </si>
  <si>
    <t>Regular (          ) is important for good health.</t>
  </si>
  <si>
    <t>cite</t>
  </si>
  <si>
    <r>
      <rPr>
        <sz val="12"/>
        <color indexed="8"/>
        <rFont val="Apple SD 산돌고딕 Neo 일반체"/>
      </rPr>
      <t>cite</t>
    </r>
  </si>
  <si>
    <t>[sait]</t>
  </si>
  <si>
    <t>잡아내어(c) 머리 안에 있던 그것(it)을 입구(e)를 통해 나오게 부르니(cite), ‘인용하다, 예로 들다.’</t>
  </si>
  <si>
    <t>인용하다, 예로 들다.</t>
  </si>
  <si>
    <t>Always cite your sources in a research paper.</t>
  </si>
  <si>
    <t>Always (          ) your sources in a research paper.</t>
  </si>
  <si>
    <t>recital</t>
  </si>
  <si>
    <t>[risáitl]</t>
  </si>
  <si>
    <t>머리 속에 있던 것을 다시(re) 불러내니(cite) ‘암송, 독주회’</t>
  </si>
  <si>
    <t>암송, 독주회</t>
  </si>
  <si>
    <t>My daughter has a piano recital next Saturday.</t>
  </si>
  <si>
    <t>My daughter has a piano (          ) next Saturday.</t>
  </si>
  <si>
    <t>incite</t>
  </si>
  <si>
    <t>[insáit]</t>
  </si>
  <si>
    <t>안(in)에 있는 동기를 불러내니(cite) ‘자극하다, 격려하다’</t>
  </si>
  <si>
    <t>자극하다, 격려하다</t>
  </si>
  <si>
    <t>His speech might incite violence among the protesters.</t>
  </si>
  <si>
    <t>His speech might (          ) violence among the protesters.</t>
  </si>
  <si>
    <t>excite</t>
  </si>
  <si>
    <t>[iksáit]</t>
  </si>
  <si>
    <t>안에 있는 감정을 밖(ex)으로 불러내니(cite) ‘흥분시키다’</t>
  </si>
  <si>
    <t>흥분시키다</t>
  </si>
  <si>
    <t>The news about the school trip will excite the children.</t>
  </si>
  <si>
    <t>The news about the school trip will (          ) the children.</t>
  </si>
  <si>
    <t>clay</t>
  </si>
  <si>
    <t>cla</t>
  </si>
  <si>
    <r>
      <rPr>
        <sz val="12"/>
        <color indexed="8"/>
        <rFont val="Apple SD 산돌고딕 Neo 일반체"/>
      </rPr>
      <t>cla</t>
    </r>
  </si>
  <si>
    <t>[klei]</t>
  </si>
  <si>
    <t>흙 입자가 결합(cla)하여 확장(y)되어 만들어진 ‘진흙, 점토’</t>
  </si>
  <si>
    <t>진흙, 점토</t>
  </si>
  <si>
    <t>The artist sculpted a beautiful vase from clay.</t>
  </si>
  <si>
    <t>The artist sculpted a beautiful vase from (          ).</t>
  </si>
  <si>
    <t>clan</t>
  </si>
  <si>
    <t>[klæn]</t>
  </si>
  <si>
    <t>결합(cla)하여 가까이(n)되어 만들어진 ‘씨족, 한패’</t>
  </si>
  <si>
    <t>씨족, 한패</t>
  </si>
  <si>
    <t>The Scottish clan has its own tartan pattern.</t>
  </si>
  <si>
    <t>The Scottish (          ) has its own tartan pattern.</t>
  </si>
  <si>
    <t>claw</t>
  </si>
  <si>
    <t>[klɔː]</t>
  </si>
  <si>
    <t>서로 결합하여(cla) 붙어 싸울 때 물결(w) 같은 자국을 남기는 ‘갈고리 발톱’</t>
  </si>
  <si>
    <t>갈고리 발톱</t>
  </si>
  <si>
    <t>The cat used its sharp claw to catch the mouse.</t>
  </si>
  <si>
    <t>The cat used its sharp (          ) to catch the mouse.</t>
  </si>
  <si>
    <t>clash</t>
  </si>
  <si>
    <t>[klæʃ]</t>
  </si>
  <si>
    <t>서로 붙으며(cla) 쉬(sh) ~ 하는 소리를 내며 빠르게 칼을 휘두르면서 맞부딪히는 ‘충돌’</t>
  </si>
  <si>
    <t>충돌</t>
  </si>
  <si>
    <t>There was a clash between protesters and police.</t>
  </si>
  <si>
    <t>There was a (          ) between protesters and police.</t>
  </si>
  <si>
    <t>crash</t>
  </si>
  <si>
    <t>cla &gt; clash</t>
  </si>
  <si>
    <t>[kræʃ]</t>
  </si>
  <si>
    <t>충돌(clash)와 비슷한 글자로 서로 잡고(c) 급하게(rash) 돌진하니 ‘충돌하다, 때려부수다’</t>
  </si>
  <si>
    <t>충돌하다, 때려부수다</t>
  </si>
  <si>
    <t>The loud crash woke everyone up.</t>
  </si>
  <si>
    <t>The loud (          ) woke everyone up.</t>
  </si>
  <si>
    <t>clean</t>
  </si>
  <si>
    <t>cla(clea)</t>
  </si>
  <si>
    <t>[kliːn]</t>
  </si>
  <si>
    <t>흩어져 있는 것들을 결합시켜(cla-clea) 깔끔하게 하고 더러운 것들을 없애(n)니 ‘청결한, 깨끗한’</t>
  </si>
  <si>
    <t>청결한, 깨끗한</t>
  </si>
  <si>
    <t>Please clean your room before guests arrive.</t>
  </si>
  <si>
    <t>Please (          ) your room before guests arrive.</t>
  </si>
  <si>
    <t>cleanse</t>
  </si>
  <si>
    <t>cla(clear) &gt; clean</t>
  </si>
  <si>
    <t>[klenz]</t>
  </si>
  <si>
    <t>청결한(clean) 상태로 부드럽게(s) 만드니 ‘청결하게 하다’</t>
  </si>
  <si>
    <t>청결하게 하다</t>
  </si>
  <si>
    <t>This soap will cleanse and moisturize your skin.</t>
  </si>
  <si>
    <t>This soap will (          ) and moisturize your skin.</t>
  </si>
  <si>
    <t>clarify</t>
  </si>
  <si>
    <t>cla &gt; clar</t>
  </si>
  <si>
    <t>[klǽrəfài]</t>
  </si>
  <si>
    <t>깨끗하게 분명하게(clar) 만들니(y) ‘명백히 하다’</t>
  </si>
  <si>
    <t>명백히 하다</t>
  </si>
  <si>
    <t>Let me clarify what I meant in my previous email.</t>
  </si>
  <si>
    <t>Let me (          ) what I meant in my previous email.</t>
  </si>
  <si>
    <t>declare</t>
  </si>
  <si>
    <t>[diklέər]</t>
  </si>
  <si>
    <t>아래쪽(de)으로 내용을 발표하여 분명(clare-dear)하게하니 ‘표명하다, 발표하다’</t>
  </si>
  <si>
    <t>표명하다, 발표하다</t>
  </si>
  <si>
    <t>You must declare all items when going through customs.</t>
  </si>
  <si>
    <t>You must (          ) all items when going through customs.</t>
  </si>
  <si>
    <t>declaration</t>
  </si>
  <si>
    <t>clar &gt; declare</t>
  </si>
  <si>
    <t>clar</t>
  </si>
  <si>
    <t>[dèkləréiʃən]</t>
  </si>
  <si>
    <t>발표하다(declare) + 명사형(~tion) = ‘발표, 선언’</t>
  </si>
  <si>
    <t>발표, 선언</t>
  </si>
  <si>
    <t>The Declaration of Independence was signed in 1776.</t>
  </si>
  <si>
    <r>
      <rPr>
        <sz val="12"/>
        <color indexed="8"/>
        <rFont val="Arial"/>
      </rPr>
      <t>The Declaration of Independence was signed in 1776.</t>
    </r>
  </si>
  <si>
    <t>clip</t>
  </si>
  <si>
    <t>clar(cl)</t>
  </si>
  <si>
    <t>[klip]</t>
  </si>
  <si>
    <t>종이 따위를 잡아(c) 길게(l) 척 붙게 만드는 ‘클립’</t>
  </si>
  <si>
    <t>클립</t>
  </si>
  <si>
    <t>Use a clip to keep the papers together.</t>
  </si>
  <si>
    <t>Use a (          ) to keep the papers together.</t>
  </si>
  <si>
    <t>cling</t>
  </si>
  <si>
    <t>[kliŋ]</t>
  </si>
  <si>
    <t>잡고서(c) 길게(l) 붙어서 매달려 쳐져(g) 있으므로, ‘매달리다’</t>
  </si>
  <si>
    <t>매달리다</t>
  </si>
  <si>
    <t>The wet shirt will cling to your body.</t>
  </si>
  <si>
    <t>The wet shirt will (          ) to your body.</t>
  </si>
  <si>
    <t>clutch</t>
  </si>
  <si>
    <t>[klʌʧ]</t>
  </si>
  <si>
    <t>잡고(c) 길게(l) 척 붙어 잡으니(catch-tch) ‘꽉 잡다, 붙들다’</t>
  </si>
  <si>
    <t>꽉 잡다, 붙들다</t>
  </si>
  <si>
    <t>She had to clutch the railing during the earthquake.</t>
  </si>
  <si>
    <t>She had to (          ) the railing during the earthquake.</t>
  </si>
  <si>
    <t>clinic</t>
  </si>
  <si>
    <t>clin</t>
  </si>
  <si>
    <r>
      <rPr>
        <sz val="12"/>
        <color indexed="8"/>
        <rFont val="Apple SD 산돌고딕 Neo 일반체"/>
      </rPr>
      <t>clin(cli)</t>
    </r>
  </si>
  <si>
    <t>[klínik]</t>
  </si>
  <si>
    <t>누워있는(clin) 나(i)를 누군가가 잡아(c)서 돌보는 ‘진료소, 클리닉’</t>
  </si>
  <si>
    <t>진료소, 클리닉</t>
  </si>
  <si>
    <t>The medical clinic offers free vaccinations.</t>
  </si>
  <si>
    <t>The medical (          ) offers free vaccinations.</t>
  </si>
  <si>
    <t>client</t>
  </si>
  <si>
    <t>clin(cli)</t>
  </si>
  <si>
    <t>[kláiənt]</t>
  </si>
  <si>
    <t>회사에 기대고(clin-cli) 의지하여 뭔가를 의뢰 하는 사람(ent) ‘고객’</t>
  </si>
  <si>
    <t>고객</t>
  </si>
  <si>
    <t>The lawyer met with her client to discuss the case.</t>
  </si>
  <si>
    <t>The lawyer met with her (          ) to discuss the case.</t>
  </si>
  <si>
    <t>clinch</t>
  </si>
  <si>
    <t>[klinʧ]</t>
  </si>
  <si>
    <t>서로 기대서(clin) 잡게(ch)하니 ‘단단히 고정시키다’</t>
  </si>
  <si>
    <t>단단히 고정시키다</t>
  </si>
  <si>
    <t>His final argument helped clinch the debate.</t>
  </si>
  <si>
    <t>His final argument helped (          ) the debate.</t>
  </si>
  <si>
    <t>incline</t>
  </si>
  <si>
    <t>[inkláin]</t>
  </si>
  <si>
    <t>안에서(in) 마음이 특정방향으로 기대어 기울어지니(clin), ‘마음이 기울다, 경향[성향]이 있다’</t>
  </si>
  <si>
    <t>마음이 기울다, 경향[성향]이 있다</t>
  </si>
  <si>
    <t>The road has a steep incline that's difficult to climb.</t>
  </si>
  <si>
    <t>The road has a steep (          ) that's difficult to climb.</t>
  </si>
  <si>
    <t>inclined</t>
  </si>
  <si>
    <t>clin &gt; incline</t>
  </si>
  <si>
    <t>[inkláind]</t>
  </si>
  <si>
    <t>마음이 기울어(incline) 졌으니 ‘~할 생각이 있는, 경향이 있는’</t>
  </si>
  <si>
    <t>~할 생각이 있는, 경향이 있는</t>
  </si>
  <si>
    <t>I'm not inclined to accept his offer right now.</t>
  </si>
  <si>
    <t>I'm not (          ) to accept his offer right now.</t>
  </si>
  <si>
    <t>decline</t>
  </si>
  <si>
    <t>[dikláin]</t>
  </si>
  <si>
    <t>마음과 수치가 아래로(de) 누워 기우니(clin) ‘거절하다, 감소하다'</t>
  </si>
  <si>
    <t>거절하다, 감소하다</t>
  </si>
  <si>
    <t>He had to decline the invitation due to prior commitments.</t>
  </si>
  <si>
    <t>He had to (          ) the invitation due to prior commitments.</t>
  </si>
  <si>
    <t>close</t>
  </si>
  <si>
    <r>
      <rPr>
        <sz val="12"/>
        <color indexed="8"/>
        <rFont val="Apple SD 산돌고딕 Neo 일반체"/>
      </rPr>
      <t>close</t>
    </r>
  </si>
  <si>
    <t>[klouz]</t>
  </si>
  <si>
    <t>문 두짝을 잡아서(c) 길게(l) 서로 만나게 하고 안이 보이지(s) 않게 ‘1) 가까이’ 두니 ‘2)닫다’</t>
  </si>
  <si>
    <t>가까이, 닫다</t>
  </si>
  <si>
    <t>Please close the door when you leave.</t>
  </si>
  <si>
    <t>Please (          ) the door when you leave.</t>
  </si>
  <si>
    <t>closet</t>
  </si>
  <si>
    <t>[klάzit]</t>
  </si>
  <si>
    <t>벽에 가까이(close) 세워 놓은(t) 장, ‘벽장, 찬장’</t>
  </si>
  <si>
    <t>벽장, 찬장</t>
  </si>
  <si>
    <t>Her closet is full of shoes and dresses.</t>
  </si>
  <si>
    <t>Her (          ) is full of shoes and dresses.</t>
  </si>
  <si>
    <t>disclose</t>
  </si>
  <si>
    <t>[disklóuz]</t>
  </si>
  <si>
    <t>분리(dis) 시키는 것이 닫아(close) 감추고 있는 것이므로, ‘폭로하다, 들추어내다’</t>
  </si>
  <si>
    <t>폭로하다, 들추어내다</t>
  </si>
  <si>
    <t>The company must disclose financial information to investors.</t>
  </si>
  <si>
    <t>The company must (          ) financial information to investors.</t>
  </si>
  <si>
    <t>enclose</t>
  </si>
  <si>
    <t>[inklóuz]</t>
  </si>
  <si>
    <t>안(en)에 넣고 밖을 닫으니(close) ‘둘러싸다, 에워싸다’</t>
  </si>
  <si>
    <t>I will enclose a check with my application form.</t>
  </si>
  <si>
    <t>I will (          ) a check with my application form.</t>
  </si>
  <si>
    <t>enclosure</t>
  </si>
  <si>
    <t>[inklóuʒər]</t>
  </si>
  <si>
    <t>안(en)에 넣고 밖을 닫으니(close-clos) ‘둘러쌈, 포위’</t>
  </si>
  <si>
    <t>둘러쌈, 포위</t>
  </si>
  <si>
    <t>The zoo built a new enclosure for the elephants.</t>
  </si>
  <si>
    <t>The zoo built a new (          ) for the elephants.</t>
  </si>
  <si>
    <t>include</t>
  </si>
  <si>
    <t>close &gt; clude</t>
  </si>
  <si>
    <t>[inklúːd]</t>
  </si>
  <si>
    <t>안에(in) 담아 두니(clude) ‘포함하다’</t>
  </si>
  <si>
    <t>포함하다</t>
  </si>
  <si>
    <t>The price includes breakfast and dinner.</t>
  </si>
  <si>
    <t>The price (          )s breakfast and dinner.</t>
  </si>
  <si>
    <t>conclude</t>
  </si>
  <si>
    <t>clude</t>
  </si>
  <si>
    <r>
      <rPr>
        <sz val="12"/>
        <color indexed="8"/>
        <rFont val="Apple SD 산돌고딕 Neo 일반체"/>
      </rPr>
      <t>clude</t>
    </r>
  </si>
  <si>
    <t>[kənklúːd]</t>
  </si>
  <si>
    <t>자료들을 함께(co-con) 모아 조사한 후 담아 두니(clude), ‘결론 내리다, 끝내다’</t>
  </si>
  <si>
    <t>결론 내리다, 끝내다</t>
  </si>
  <si>
    <t>We can conclude from the evidence that he is innocent.</t>
  </si>
  <si>
    <t>We can (          ) from the evidence that he is innocent.</t>
  </si>
  <si>
    <t>conclusive</t>
  </si>
  <si>
    <t>clude &gt; conclude</t>
  </si>
  <si>
    <t>[kənklúːsiv]</t>
  </si>
  <si>
    <t>모든 걸 끝낼(conclude) 수 있는, ‘결정적인’</t>
  </si>
  <si>
    <t>결정적인</t>
  </si>
  <si>
    <t>The DNA test provided conclusive proof of his identity.</t>
  </si>
  <si>
    <t>The DNA test provided (          ) proof of his identity.</t>
  </si>
  <si>
    <t>preclude</t>
  </si>
  <si>
    <t>[priklúːd]</t>
  </si>
  <si>
    <t>먼저 앞서서(pre) 담아 두어(clude) 챙기니 다른 사람이 ‘못하게 하다’</t>
  </si>
  <si>
    <t>못하게 하다</t>
  </si>
  <si>
    <t>Bad weather might preclude our trip to the beach.</t>
  </si>
  <si>
    <t>Bad weather might (          ) our trip to the beach.</t>
  </si>
  <si>
    <t>exclude</t>
  </si>
  <si>
    <t>[iksklúːd]</t>
  </si>
  <si>
    <t>밖(ex)으로 보내고 나머지를 담아 두니(clude) ‘제외시키다’</t>
  </si>
  <si>
    <t>제외시키다</t>
  </si>
  <si>
    <t>The club decided to exclude members who break the rules.</t>
  </si>
  <si>
    <t>The club decided to (          ) members who break the rules.</t>
  </si>
  <si>
    <t>exclusion</t>
  </si>
  <si>
    <t>clude &gt; exclude</t>
  </si>
  <si>
    <t>[iksklúːʒən]</t>
  </si>
  <si>
    <t>제외시키는(exclude-exclu) 행위, ‘추방, 제외’</t>
  </si>
  <si>
    <t>추방, 제외</t>
  </si>
  <si>
    <t>His exclusion from the team was due to poor performance.</t>
  </si>
  <si>
    <t>His (          ) from the team was due to poor performance.</t>
  </si>
  <si>
    <t>exclusive</t>
  </si>
  <si>
    <t>[iksklúːsiv]</t>
  </si>
  <si>
    <t>다 제외시키고(exclude-exclu) 나만 사용하니 ‘배타적인’</t>
  </si>
  <si>
    <t>배타적인</t>
  </si>
  <si>
    <t>The hotel offers exclusive access to a private beach.</t>
  </si>
  <si>
    <t>The hotel offers (          ) access to a private beach.</t>
  </si>
  <si>
    <t>exclusively</t>
  </si>
  <si>
    <t>[iksklúːsivli]</t>
  </si>
  <si>
    <t>다 제외시키고(exclude-exclu) 나만 사용해 ‘배타적으로’</t>
  </si>
  <si>
    <t>배타적으로</t>
  </si>
  <si>
    <t>This product is sold exclusively in our stores.</t>
  </si>
  <si>
    <t>This product is sold (          ) in our stores.</t>
  </si>
  <si>
    <t>secluded</t>
  </si>
  <si>
    <t>[siklúːdid]</t>
  </si>
  <si>
    <t>보이지 않는(se) 곳에 담아 두니(clude) ‘외딴, 한적한’</t>
  </si>
  <si>
    <t>외딴, 한적한</t>
  </si>
  <si>
    <t>They spent their honeymoon in a secluded beach cottage.</t>
  </si>
  <si>
    <t>They spent their honeymoon in a (          ) beach cottage.</t>
  </si>
  <si>
    <t>cloud</t>
  </si>
  <si>
    <t>[klaud]</t>
  </si>
  <si>
    <t>물을 담아 두고(clude-cloud) 있다가 비를 뿌리는 것, ‘구름'</t>
  </si>
  <si>
    <t>구름</t>
  </si>
  <si>
    <t>Dark cloud gathered before the storm.</t>
  </si>
  <si>
    <t>Dark (          ) gathered before the storm.</t>
  </si>
  <si>
    <t>culture</t>
  </si>
  <si>
    <t>cult</t>
  </si>
  <si>
    <r>
      <rPr>
        <sz val="12"/>
        <color indexed="8"/>
        <rFont val="Apple SD 산돌고딕 Neo 일반체"/>
      </rPr>
      <t>cult</t>
    </r>
  </si>
  <si>
    <t>[kΛlʧər]</t>
  </si>
  <si>
    <t>그 나라, 사회에서 고유하게 계발(cult)한 것이 ‘문화’</t>
  </si>
  <si>
    <t>문화</t>
  </si>
  <si>
    <t>Japanese culture has a rich history and traditions.</t>
  </si>
  <si>
    <t>Japanese (          ) has a rich history and traditions.</t>
  </si>
  <si>
    <t>cultivate</t>
  </si>
  <si>
    <t>[kΛltəvèit]</t>
  </si>
  <si>
    <t>땅을 경작(cult)하여 틈(v)에서 나온 산출물을 먹었으니(ate), ‘개간하다, 경작하다’</t>
  </si>
  <si>
    <t>개간하다, 경작하다</t>
  </si>
  <si>
    <t>Farmers cultivate rice in the fertile valley.</t>
  </si>
  <si>
    <t>Farmers (          ) rice in the fertile valley.</t>
  </si>
  <si>
    <t>agriculture</t>
  </si>
  <si>
    <t>[ǽgrəkΛlʧər]</t>
  </si>
  <si>
    <t>하나의(a) 씨앗이 깊은 땅(g)에서 힘있게(r) 자 라나오도록 경작(cut) 하는 것, ‘농업’</t>
  </si>
  <si>
    <t>농업</t>
  </si>
  <si>
    <t>Sustainable agriculture aims to protect the environment.</t>
  </si>
  <si>
    <t>Sustainable (          ) aims to protect the environment.</t>
  </si>
  <si>
    <t>coeducation</t>
  </si>
  <si>
    <t>co</t>
  </si>
  <si>
    <r>
      <rPr>
        <sz val="12"/>
        <color indexed="8"/>
        <rFont val="Apple SD 산돌고딕 Neo 일반체"/>
      </rPr>
      <t>co</t>
    </r>
  </si>
  <si>
    <t>[kòuedʒəkéiʃən]</t>
  </si>
  <si>
    <t>함께(co) 교육(education)하는 ‘남녀공학’</t>
  </si>
  <si>
    <t>남녀공학</t>
  </si>
  <si>
    <t>The school switched to coeducation in the 1970s.</t>
  </si>
  <si>
    <t>The school switched to (          ) in the 1970s.</t>
  </si>
  <si>
    <t>coach</t>
  </si>
  <si>
    <t>[kouʧ]</t>
  </si>
  <si>
    <t>함께(co) 보살피면서 꼭 잡고(ch) 이끌어 주는 사람, ‘코치, 지도하다’</t>
  </si>
  <si>
    <t>코치, 지도하다</t>
  </si>
  <si>
    <t>The basketball coach gives advice to the players.</t>
  </si>
  <si>
    <t>The basketball (          ) gives advice to the players.</t>
  </si>
  <si>
    <t>college</t>
  </si>
  <si>
    <t>[kάlidʒ]</t>
  </si>
  <si>
    <t>여러 곳의 학생들이 함께(co) 보내져서(leg) 모인 곳, ‘대학’</t>
  </si>
  <si>
    <t>대학</t>
  </si>
  <si>
    <t>She graduated from college with a degree in engineering.</t>
  </si>
  <si>
    <t>She graduated from (          ) with a degree in engineering.</t>
  </si>
  <si>
    <t>coworker</t>
  </si>
  <si>
    <t>[kóuwə̀ːrkər]</t>
  </si>
  <si>
    <t>함께(co) 일하는 사람(worker), ‘동료, 협력자’</t>
  </si>
  <si>
    <t>동료, 협력자</t>
  </si>
  <si>
    <t>My coworker helped me finish the project on time.</t>
  </si>
  <si>
    <t>My (          ) helped me finish the project on time.</t>
  </si>
  <si>
    <t>cousin</t>
  </si>
  <si>
    <t>[kΛzn]</t>
  </si>
  <si>
    <t>함께(co) 우리(us)라고 말할 수 있고 안쪽에(in) 속하는 ‘사촌’</t>
  </si>
  <si>
    <t>사촌</t>
  </si>
  <si>
    <t>My cousin from Canada is visiting us next month.</t>
  </si>
  <si>
    <t>My (          ) from Canada is visiting us next month.</t>
  </si>
  <si>
    <t>cohere</t>
  </si>
  <si>
    <t>[kouhíər]</t>
  </si>
  <si>
    <t>함께(co) 여기에(here) 잘 두니 ‘결합하다’</t>
  </si>
  <si>
    <t>결합하다</t>
  </si>
  <si>
    <t>The team's strategy needs to cohere with company goals.</t>
  </si>
  <si>
    <t>The team's strategy needs to (          ) with company goals.</t>
  </si>
  <si>
    <t>coherent</t>
  </si>
  <si>
    <t>co &gt; cohere</t>
  </si>
  <si>
    <t>[kouhíərənt]</t>
  </si>
  <si>
    <t>결합하니(cohere) 서로 같아져서 ‘일관성이 있는’</t>
  </si>
  <si>
    <t>일관성이 있는</t>
  </si>
  <si>
    <t>His explanation was logical and coherent.</t>
  </si>
  <si>
    <t>His explanation was logical and (          ).</t>
  </si>
  <si>
    <t>incoherent</t>
  </si>
  <si>
    <t>[ìnkouhíərənt]</t>
  </si>
  <si>
    <t>반대(in)인 것이 결합하여(cohere) 서로 같아 져서 일관성이 있는(coherent)것이므로, ‘일관성이 없는, 앞뒤가 안 맞는 말을 하는’</t>
  </si>
  <si>
    <t>일관성이 없는, 앞뒤가 안 맞는 말을 하는</t>
  </si>
  <si>
    <t>The patient was incoherent after taking the medication.</t>
  </si>
  <si>
    <t>The patient was (          ) after taking the medication.</t>
  </si>
  <si>
    <t>cohesion</t>
  </si>
  <si>
    <t>[kouhíːʒən]</t>
  </si>
  <si>
    <t>함께 결합(cohere-cohe)하는 것, ‘화합, 결합’</t>
  </si>
  <si>
    <t>화합, 결합</t>
  </si>
  <si>
    <t>Team cohesion is important for successful projects.</t>
  </si>
  <si>
    <t>Team (          ) is important for successful projects.</t>
  </si>
  <si>
    <t>code</t>
  </si>
  <si>
    <t>[koud]</t>
  </si>
  <si>
    <t>함께(co) 합의하여 아랫사람들(d)에게 알리는 것, ‘신호법, 암호, 코드’</t>
  </si>
  <si>
    <t>신호법, 암호, 코드</t>
  </si>
  <si>
    <t>Programmers write code to create software applications.</t>
  </si>
  <si>
    <t>Programmers write (          ) to create software applications.</t>
  </si>
  <si>
    <t>codify</t>
  </si>
  <si>
    <t>co &gt; code</t>
  </si>
  <si>
    <t>[kάdəfài]</t>
  </si>
  <si>
    <t>법률을 일정한 신호(code)체계로 만드니, ‘법전으로 편찬하다’</t>
  </si>
  <si>
    <t>법전으로 편찬하다</t>
  </si>
  <si>
    <t>The laws were codify in the new constitution.</t>
  </si>
  <si>
    <t>The laws were (          ) in the new constitution.</t>
  </si>
  <si>
    <t>coil</t>
  </si>
  <si>
    <t>[kɔil]</t>
  </si>
  <si>
    <t>함께(co) 모으니 안쪽으로(i) 길게(l) 말려, ‘돌돌감다, 코일’</t>
  </si>
  <si>
    <t>돌돌감다, 코일</t>
  </si>
  <si>
    <t>The snake will coil around the branch.</t>
  </si>
  <si>
    <t>The snake will (          ) around the branch.</t>
  </si>
  <si>
    <t>covet</t>
  </si>
  <si>
    <t>[kΛvit]</t>
  </si>
  <si>
    <t>다른 사람이 가진 것을 함께(co) 가지고 싶은 마음이 갈라진 틈(v)에서 나아가니(t) ‘탐내다, 갈망하다’</t>
  </si>
  <si>
    <t>탐내다, 갈망하다</t>
  </si>
  <si>
    <t>Many people covet fame and fortune.</t>
  </si>
  <si>
    <t>Many people (          ) fame and fortune.</t>
  </si>
  <si>
    <t>common</t>
  </si>
  <si>
    <t>com</t>
  </si>
  <si>
    <r>
      <rPr>
        <sz val="12"/>
        <color indexed="8"/>
        <rFont val="Apple SD 산돌고딕 Neo 일반체"/>
      </rPr>
      <t>com</t>
    </r>
  </si>
  <si>
    <t>[kάmən]</t>
  </si>
  <si>
    <t>함께 움직이며(com) 접하고(on) 사는 ‘공통의, 보통의, 흔한’</t>
  </si>
  <si>
    <t>공통의, 보통의, 흔한</t>
  </si>
  <si>
    <t>It's common to feel nervous before a presentation.</t>
  </si>
  <si>
    <t>It's (          ) to feel nervous before a presentation.</t>
  </si>
  <si>
    <t>communicate</t>
  </si>
  <si>
    <t>com &gt; common(commun)</t>
  </si>
  <si>
    <t>[kəmjúːnəkèit]</t>
  </si>
  <si>
    <t>공통적인(common) 안에(i) 있던 이야기를 잡아서(c) 나아가(t) 서로 얘기를 나누니 ‘의사소통하다’</t>
  </si>
  <si>
    <t>의사소통하다</t>
  </si>
  <si>
    <t>We communicate primarily by email at work.</t>
  </si>
  <si>
    <t>We (          ) primarily by email at work.</t>
  </si>
  <si>
    <t>community</t>
  </si>
  <si>
    <t>[kəmjúːnəti]</t>
  </si>
  <si>
    <t>많은 것이 공통적인(common &gt; commun) ‘공동체, 지역사회’</t>
  </si>
  <si>
    <t>공동체, 지역사회</t>
  </si>
  <si>
    <t>The community organized a cleanup day at the local park.</t>
  </si>
  <si>
    <t>The (          ) organized a cleanup day at the local park.</t>
  </si>
  <si>
    <t>company</t>
  </si>
  <si>
    <t>[kΛmpəni]</t>
  </si>
  <si>
    <t>함께(com) 빵(pan)을 먹기 위해 일하는 곳, ‘회사’</t>
  </si>
  <si>
    <t>회사</t>
  </si>
  <si>
    <t>The company employs over 500 people.</t>
  </si>
  <si>
    <t>The (          ) employs over 500 people.</t>
  </si>
  <si>
    <t>computer</t>
  </si>
  <si>
    <t>[kəmpjúːtər]</t>
  </si>
  <si>
    <t>숫자를 여러 개를 함께(com) 두어(put)서 복합적으로 계산하는 기기, ‘컴퓨터’</t>
  </si>
  <si>
    <t>컴퓨터</t>
  </si>
  <si>
    <t>I need a new computer for my graphic design work.</t>
  </si>
  <si>
    <t>I need a new (          ) for my graphic design work.</t>
  </si>
  <si>
    <t>combine</t>
  </si>
  <si>
    <t>[kəmbáin]</t>
  </si>
  <si>
    <t xml:space="preserve">함께(com) 모아 두(bi) 가지를 하나로 ‘결합시키다’ </t>
  </si>
  <si>
    <t>결합시키다</t>
  </si>
  <si>
    <t>Combine flour and butter to make the pastry dough.</t>
  </si>
  <si>
    <r>
      <rPr>
        <sz val="12"/>
        <color indexed="8"/>
        <rFont val="Arial"/>
      </rPr>
      <t>Combine flour and butter to make the pastry dough.</t>
    </r>
  </si>
  <si>
    <t>commence</t>
  </si>
  <si>
    <t>[kəméns]</t>
  </si>
  <si>
    <t>함께(com) 다 준비가 되어 움직여(m) 행사장 안으로(en) 들어가니 일을 ‘시작하다, 개시하다’</t>
  </si>
  <si>
    <t>시작하다, 개시하다</t>
  </si>
  <si>
    <t>The concert will commence at 8:00 PM.</t>
  </si>
  <si>
    <t>The concert will (          ) at 8:00 PM.</t>
  </si>
  <si>
    <t>compete</t>
  </si>
  <si>
    <t>[kəmpíːt]</t>
  </si>
  <si>
    <t>함께(com) 애완동물(pet)을 차지하려고, ‘경쟁하다’</t>
  </si>
  <si>
    <t>경쟁하다</t>
  </si>
  <si>
    <t>Athletes from many countries compete in the Olympics.</t>
  </si>
  <si>
    <t>Athletes from many countries (          ) in the Olympics.</t>
  </si>
  <si>
    <t>commerce</t>
  </si>
  <si>
    <t>[kάməːrs]</t>
  </si>
  <si>
    <t>파는 사람, 사는 사람이 함께(com) 거래하니 (merce-merchandise) ‘상업, 통상, 무역’</t>
  </si>
  <si>
    <t>상업, 통상, 무역</t>
  </si>
  <si>
    <t>International commerce has increased with globalization.</t>
  </si>
  <si>
    <t>International (          ) has increased with globalization.</t>
  </si>
  <si>
    <t>compare</t>
  </si>
  <si>
    <t>[kəmpέər]</t>
  </si>
  <si>
    <t>함께(com) 나타나게(pare) 해서 ‘비교하다’</t>
  </si>
  <si>
    <t>비교하다</t>
  </si>
  <si>
    <t>Let's compare prices before making a decision.</t>
  </si>
  <si>
    <t>Let's (          ) prices before making a decision.</t>
  </si>
  <si>
    <t>compensate</t>
  </si>
  <si>
    <t>[kάmpənsèit]</t>
  </si>
  <si>
    <t>함께(com) 살아가도록 연금(pens &lt; pension) 같은 것을 주니 ‘보상하다, 변상하다’</t>
  </si>
  <si>
    <t>보상하다, 변상하다</t>
  </si>
  <si>
    <t>The company will compensate employees for overtime work.</t>
  </si>
  <si>
    <t>The company will (          ) employees for overtime work.</t>
  </si>
  <si>
    <t>commodity</t>
  </si>
  <si>
    <t>[kəmάdəti]</t>
  </si>
  <si>
    <t>함께(com) 다른 사람들처럼 살아가는 방식(mode)에 따르기 위한 필요한 물건, ‘일용품, 필수품’</t>
  </si>
  <si>
    <t>일용품, 필수품</t>
  </si>
  <si>
    <t>Coffee is an important commodity for many countries.</t>
  </si>
  <si>
    <t>Coffee is an important (          ) for many countries.</t>
  </si>
  <si>
    <t>concert</t>
  </si>
  <si>
    <t>con</t>
  </si>
  <si>
    <r>
      <rPr>
        <sz val="12"/>
        <color indexed="8"/>
        <rFont val="Apple SD 산돌고딕 Neo 일반체"/>
      </rPr>
      <t>con</t>
    </r>
  </si>
  <si>
    <t>[kάnsəːrt｜kɔ́nsət]</t>
  </si>
  <si>
    <t>여러 악기를 연주하는 사람들을 함께(con) 모아 놓고 하는 ‘콘서트, 음악회’</t>
  </si>
  <si>
    <t>콘서트, 음악회</t>
  </si>
  <si>
    <t>We have tickets for the rock concert next weekend.</t>
  </si>
  <si>
    <t>We have tickets for the rock (          ) next weekend.</t>
  </si>
  <si>
    <t>concern</t>
  </si>
  <si>
    <t>[kənsə́ːrn]</t>
  </si>
  <si>
    <t>함께(con) 잡고서(c) 힘있게(r) 가깝게(n)두면 ‘관계하다’, 그러면 생기는 ‘걱정, 관심’</t>
  </si>
  <si>
    <t>관계하다, 걱정, 관심</t>
  </si>
  <si>
    <t>Environmental pollution is a major concern worldwide.</t>
  </si>
  <si>
    <t>Environmental pollution is a major (          ) worldwide.</t>
  </si>
  <si>
    <t>control</t>
  </si>
  <si>
    <t>[kəntróul]</t>
  </si>
  <si>
    <t>함께(con) 여행하는(tr-travel) 사람들을 ‘통제하다, 지배하다, 감독하다’</t>
  </si>
  <si>
    <t>통제하다, 지배하다, 감독하다</t>
  </si>
  <si>
    <t>The pilot must maintain control of the aircraft at all times.</t>
  </si>
  <si>
    <t>The pilot must maintain (          ) of the aircraft at all times.</t>
  </si>
  <si>
    <t>concrete</t>
  </si>
  <si>
    <t>[kάnkriːt, --']</t>
  </si>
  <si>
    <t>자갈, 모래, 시멘트를 함께(con) 혼합하여 창조(crete-create)한 ‘콘크리트’, 이것은 눈에 분명히 보여 ‘구체적인’ 것이다.</t>
  </si>
  <si>
    <t>콘크리트, 구체적인</t>
  </si>
  <si>
    <t>The foundation of the building is made of concrete.</t>
  </si>
  <si>
    <t>The foundation of the building is made of (          ).</t>
  </si>
  <si>
    <t>content</t>
  </si>
  <si>
    <t>[kάntent]</t>
  </si>
  <si>
    <t>함께(con)모아 텐트(tent) 같은 공간에 채워 넣은 것, ‘내용물’, 이것이 가득하면 ‘만족하는’ 상태</t>
  </si>
  <si>
    <t>내용물, 만족하는</t>
  </si>
  <si>
    <t>Are you content with your current job?</t>
  </si>
  <si>
    <t>Are you (          ) with your current job?</t>
  </si>
  <si>
    <t>consolidate</t>
  </si>
  <si>
    <t>[kənsάlədèit]</t>
  </si>
  <si>
    <t>서로 다른 회사를 함께(con) 고체(solid)처럼 단단하게 하니 ‘합병하다’</t>
  </si>
  <si>
    <t>합병하다</t>
  </si>
  <si>
    <t>The company plans to consolidate its operations in one location.</t>
  </si>
  <si>
    <t>The company plans to (          ) its operations in one location.</t>
  </si>
  <si>
    <t>core</t>
  </si>
  <si>
    <t>cor</t>
  </si>
  <si>
    <r>
      <rPr>
        <sz val="12"/>
        <color indexed="8"/>
        <rFont val="Apple SD 산돌고딕 Neo 일반체"/>
      </rPr>
      <t>cor</t>
    </r>
  </si>
  <si>
    <t>[kɔːr]</t>
  </si>
  <si>
    <t>함께(co)하는 전체에서 가장 강한(r) 부분인 ‘중심, 핵심’</t>
  </si>
  <si>
    <t>중심, 핵심</t>
  </si>
  <si>
    <t>The core of the apple contains seeds.</t>
  </si>
  <si>
    <t>The (          ) of the apple contains seeds.</t>
  </si>
  <si>
    <t>cordial</t>
  </si>
  <si>
    <t>[kɔ́ːrdʒəl]</t>
  </si>
  <si>
    <t>마음의 중심(cor-core)에서 아래로(d) 죽~ 흘러(l) 나오는, ‘진심에서 우러나는’</t>
  </si>
  <si>
    <t>진심에서 우러나는</t>
  </si>
  <si>
    <t>The host gave us a cordial welcome.</t>
  </si>
  <si>
    <t>The host gave us a (          ) welcome.</t>
  </si>
  <si>
    <t>cordially</t>
  </si>
  <si>
    <t>cor &gt; cordial</t>
  </si>
  <si>
    <t>[kɔ́ːrdʒəli]</t>
  </si>
  <si>
    <t>진심에서 우러나는(cordial) + ly(부사) = ‘진심으로’</t>
  </si>
  <si>
    <t>진심으로</t>
  </si>
  <si>
    <t>You are cordially invited to attend the wedding ceremony.</t>
  </si>
  <si>
    <t>You are (          ) invited to attend the wedding ceremony.</t>
  </si>
  <si>
    <t>courage</t>
  </si>
  <si>
    <t>cor(cour)</t>
  </si>
  <si>
    <t>[kə́ːridʒ]</t>
  </si>
  <si>
    <t>마음의 중심(cour) 깊은(g) 곳에서 나오는 것, ‘용기’</t>
  </si>
  <si>
    <t>용기</t>
  </si>
  <si>
    <t>It takes courage to stand up for what you believe in.</t>
  </si>
  <si>
    <t>It takes (          ) to stand up for what you believe in.</t>
  </si>
  <si>
    <t>encourage</t>
  </si>
  <si>
    <t>[inkə́ːridʒ]</t>
  </si>
  <si>
    <t>안(en)에다 용기(courage)를 주니, ‘격려하다’</t>
  </si>
  <si>
    <t>격려하다</t>
  </si>
  <si>
    <t>Parents should encourage their children to read.</t>
  </si>
  <si>
    <t>Parents should (          ) their children to read.</t>
  </si>
  <si>
    <t>discourage</t>
  </si>
  <si>
    <t>[diskə́ːridʒ]</t>
  </si>
  <si>
    <t>반대(dis)로 용기(courage)를 주니, ‘용기를 잃게 하다, 낙담시키다’</t>
  </si>
  <si>
    <t>용기를 잃게 하다, 낙담시키다</t>
  </si>
  <si>
    <t>High prices discourage many potential buyers.</t>
  </si>
  <si>
    <t>High prices (          ) many potential buyers.</t>
  </si>
  <si>
    <t>cord</t>
  </si>
  <si>
    <t>[kɔːrd]</t>
  </si>
  <si>
    <t>실타래 중심(cor)에서 부터 아래로(d) 늘여져 나오는 ‘줄, 끈’</t>
  </si>
  <si>
    <t>줄, 끈</t>
  </si>
  <si>
    <t>The electrical cord is too short to reach the outlet.</t>
  </si>
  <si>
    <t>The electrical (          ) is too short to reach the outlet.</t>
  </si>
  <si>
    <t>chord</t>
  </si>
  <si>
    <r>
      <rPr>
        <sz val="12"/>
        <color indexed="8"/>
        <rFont val="Apple SD 산돌고딕 Neo 일반체"/>
      </rPr>
      <t>cord</t>
    </r>
  </si>
  <si>
    <t>같은 줄(cord-chord)로 소리를 내는 ‘코드, 화음’</t>
  </si>
  <si>
    <t>코드, 화음</t>
  </si>
  <si>
    <t>He played a G major chord on the guitar.</t>
  </si>
  <si>
    <t>He played a G major (          ) on the guitar.</t>
  </si>
  <si>
    <t>concord</t>
  </si>
  <si>
    <t>[kάnkɔːrd]</t>
  </si>
  <si>
    <t>함께(con) 끈(cord)으로 잇고, 묶어 놓으니 생기니, ‘화합, 조화, 일치’</t>
  </si>
  <si>
    <t>화합, 조화, 일치</t>
  </si>
  <si>
    <t>The treaty established concord between the two nations.</t>
  </si>
  <si>
    <t>The treaty established (          ) between the two nations.</t>
  </si>
  <si>
    <t>accord</t>
  </si>
  <si>
    <t>[əkɔ́ːrd]</t>
  </si>
  <si>
    <t>하나의(a) 끈(cord)으로 묶어 놓으니 ‘서로 일치하다, 조화하다’</t>
  </si>
  <si>
    <t>서로 일치하다, 조화하다</t>
  </si>
  <si>
    <t>Their views are in accord with our policies.</t>
  </si>
  <si>
    <t>Their views are in (          ) with our policies.</t>
  </si>
  <si>
    <t>record</t>
  </si>
  <si>
    <t>[rikɔ́ːrd]</t>
  </si>
  <si>
    <t>힘을(re) 줘서 다시 악보처럼 코드(cord)화 하니 ‘기록하다, 적어두다’</t>
  </si>
  <si>
    <t>기록하다, 적어두다</t>
  </si>
  <si>
    <t>She holds the world record for the marathon.</t>
  </si>
  <si>
    <t>She holds the world (          ) for the marathon.</t>
  </si>
  <si>
    <t>count</t>
  </si>
  <si>
    <r>
      <rPr>
        <sz val="12"/>
        <color indexed="8"/>
        <rFont val="Apple SD 산돌고딕 Neo 일반체"/>
      </rPr>
      <t>count</t>
    </r>
  </si>
  <si>
    <t>[kaunt]</t>
  </si>
  <si>
    <t>함께 모아서(co) 아래쪽에서(u) 새롭게(n) 쌓여서 점점높이 서는(t) 것을 ‘세다, 계산하다’</t>
  </si>
  <si>
    <t>세다, 계산하다</t>
  </si>
  <si>
    <t>Can you count the number of stars in the sky?</t>
  </si>
  <si>
    <t>Can you (          ) the number of stars in the sky?</t>
  </si>
  <si>
    <t>account</t>
  </si>
  <si>
    <t>[əkáunt]</t>
  </si>
  <si>
    <t>더하여(a) 하나씩 잡아(c) 세니(count) ‘계산하다’, 계산해 놓은 ‘계좌’</t>
  </si>
  <si>
    <t>계산하다, 계좌</t>
  </si>
  <si>
    <t>I need to open a bank account.</t>
  </si>
  <si>
    <t>I need to open a bank (          ).</t>
  </si>
  <si>
    <t>accountant</t>
  </si>
  <si>
    <t>[əkáuntənt]</t>
  </si>
  <si>
    <t>돈을 하나하나(ac) 세는(count) 사람(~ant)이니, ‘회계사’</t>
  </si>
  <si>
    <t>회계사</t>
  </si>
  <si>
    <t>An accountant helps with tax preparation and financial planning.</t>
  </si>
  <si>
    <t>An (          ) helps with tax preparation and financial planning.</t>
  </si>
  <si>
    <t>discount</t>
  </si>
  <si>
    <t>[dískaunt, --´]</t>
  </si>
  <si>
    <t>일부를 분리(dis)시켜서 세니(count), ‘할인하다, 할인’</t>
  </si>
  <si>
    <t>할인하다, 할인</t>
  </si>
  <si>
    <t>The store offers a 20% discount on all shoes.</t>
  </si>
  <si>
    <t>The store offers a 20% (          ) on all shoes.</t>
  </si>
  <si>
    <t>country</t>
  </si>
  <si>
    <t>[kΛntri]</t>
  </si>
  <si>
    <t>지구에서 세어(count)보면 확장해 나가서(y) 숫자가 많은 ‘나라, 국가’</t>
  </si>
  <si>
    <t>나라, 국가</t>
  </si>
  <si>
    <t>Japan is a beautiful country with rich traditions.</t>
  </si>
  <si>
    <t>Japan is a beautiful (          ) with rich traditions.</t>
  </si>
  <si>
    <t>counter</t>
  </si>
  <si>
    <t>[káuntər]</t>
  </si>
  <si>
    <t>돈을 세고(count) 그만큼 반대로 물건을 내 주는 곳, ‘계산대, 판매대, 반대로’</t>
  </si>
  <si>
    <t>계산대, 판매대, 반대로</t>
  </si>
  <si>
    <t>Order your coffee at the counter over there.</t>
  </si>
  <si>
    <t>Order your coffee at the (          ) over there.</t>
  </si>
  <si>
    <t>counterblow</t>
  </si>
  <si>
    <t>count &gt; counter</t>
  </si>
  <si>
    <t>[káuntərblou]</t>
  </si>
  <si>
    <t>반대로(counter) 한 방(blow)치는 ‘반격, 역습’</t>
  </si>
  <si>
    <t>반격, 역습</t>
  </si>
  <si>
    <t>His strong counterblow surprised his opponent.</t>
  </si>
  <si>
    <t>His strong (          ) surprised his opponent.</t>
  </si>
  <si>
    <t>counterpart</t>
  </si>
  <si>
    <r>
      <rPr>
        <sz val="12"/>
        <color indexed="8"/>
        <rFont val="Apple SD 산돌고딕 Neo 일반체"/>
      </rPr>
      <t>counter</t>
    </r>
  </si>
  <si>
    <t>[káuntərpὰːrt]</t>
  </si>
  <si>
    <t>반대(counter)로 맞교환할 수 있는 부분(part)인 ‘상대방, 사본’</t>
  </si>
  <si>
    <t>상대방, 사본</t>
  </si>
  <si>
    <t>She met with her counterpart from the French company.</t>
  </si>
  <si>
    <t>She met with her (          ) from the French company.</t>
  </si>
  <si>
    <t>encounter</t>
  </si>
  <si>
    <t>[inkáuntər]</t>
  </si>
  <si>
    <t>안(en)으로 들어 갔다가 반대로(counter) 오는 사람을 ‘우연히 만나다’</t>
  </si>
  <si>
    <t>우연히 만나다</t>
  </si>
  <si>
    <t>We had a chance encounter with an old friend at the airport.</t>
  </si>
  <si>
    <t>We had a chance (          ) with an old friend at the airport.</t>
  </si>
  <si>
    <t>contrary</t>
  </si>
  <si>
    <t>counter(contra)</t>
  </si>
  <si>
    <t>[kάntreri]</t>
  </si>
  <si>
    <t>반대로(counter-contra) 가니 ‘정반대의’</t>
  </si>
  <si>
    <t>정반대의</t>
  </si>
  <si>
    <t>Contrary to popular belief, bats are not blind.</t>
  </si>
  <si>
    <r>
      <rPr>
        <sz val="12"/>
        <color indexed="8"/>
        <rFont val="Arial"/>
      </rPr>
      <t>Contrary to popular belief, bats are not blind.</t>
    </r>
  </si>
  <si>
    <t>contradict</t>
  </si>
  <si>
    <t>[kὰntrədíkt]</t>
  </si>
  <si>
    <t>반대로(contra) 말하니(dict) ‘반박하다, 항변하다’</t>
  </si>
  <si>
    <t>반박하다, 항변하다</t>
  </si>
  <si>
    <t>New evidence seems to contradict his earlier statement.</t>
  </si>
  <si>
    <t>New evidence seems to (          ) his earlier statement.</t>
  </si>
  <si>
    <t>create</t>
  </si>
  <si>
    <t>cre</t>
  </si>
  <si>
    <r>
      <rPr>
        <sz val="12"/>
        <color indexed="8"/>
        <rFont val="Apple SD 산돌고딕 Neo 일반체"/>
      </rPr>
      <t>cre</t>
    </r>
  </si>
  <si>
    <t>[kriéit]</t>
  </si>
  <si>
    <t>만들어서(cre) 어떤 새로운 존재로 세워(t) 나가니 ‘창조하다’</t>
  </si>
  <si>
    <t>창조하다</t>
  </si>
  <si>
    <t>Artists create beautiful works from simple materials.</t>
  </si>
  <si>
    <t>Artists (          ) beautiful works from simple materials.</t>
  </si>
  <si>
    <t>creator</t>
  </si>
  <si>
    <t>cre &gt; create</t>
  </si>
  <si>
    <t>[kriéitər]</t>
  </si>
  <si>
    <t>창조(create)하는 사람(or), ‘창조주’</t>
  </si>
  <si>
    <t>창조주</t>
  </si>
  <si>
    <t>The creator of this painting is unknown.</t>
  </si>
  <si>
    <t>The (          ) of this painting is unknown.</t>
  </si>
  <si>
    <t>creative</t>
  </si>
  <si>
    <t>[kriéitiv]</t>
  </si>
  <si>
    <t>창조하는(create) 상태(~ive), ‘창조적인’</t>
  </si>
  <si>
    <t>창조적인</t>
  </si>
  <si>
    <t>Children have creative minds full of imagination.</t>
  </si>
  <si>
    <t>Children have (          ) minds full of imagination.</t>
  </si>
  <si>
    <t>recreation</t>
  </si>
  <si>
    <t>[rèkriéiʃən]</t>
  </si>
  <si>
    <t>지루한 상황을 다시(re) 창조(creation)하는 것 이니 ‘기분전환, 오락’</t>
  </si>
  <si>
    <t>기분전환, 오락</t>
  </si>
  <si>
    <t>Swimming is a popular recreation activity in summer.</t>
  </si>
  <si>
    <t>Swimming is a popular (          ) activity in summer.</t>
  </si>
  <si>
    <t>함께(con) 모래, 자갈, 시멘트를 넣고 새로운 것을 만들어(create-crete)낸 ‘콘크리트’</t>
  </si>
  <si>
    <t>콘크리트</t>
  </si>
  <si>
    <t>discreet</t>
  </si>
  <si>
    <t>cre &gt; create(creet)</t>
  </si>
  <si>
    <t>[diskríːt]</t>
  </si>
  <si>
    <t>다른 것들과 분리(dis)하여 새롭게 만드니 (creet-create) ‘분별 있는, 신중한’</t>
  </si>
  <si>
    <t>분별 있는, 신중한</t>
  </si>
  <si>
    <t>Be discreet when discussing confidential information.</t>
  </si>
  <si>
    <t>Be (          ) when discussing confidential information.</t>
  </si>
  <si>
    <t>discrete</t>
  </si>
  <si>
    <t>cre &gt; create(crete)</t>
  </si>
  <si>
    <t>분리(dis)하여 새롭게 만드니(create-crete), ‘별개의, 분리된’</t>
  </si>
  <si>
    <t>별개의, 분리된</t>
  </si>
  <si>
    <t>The course is divided into five discrete sections.</t>
  </si>
  <si>
    <t>The course is divided into five (          ) sections.</t>
  </si>
  <si>
    <t>increase</t>
  </si>
  <si>
    <t>[inkríːs]</t>
  </si>
  <si>
    <t>안(in)에다 만들어(cre) 부어 넣으니 ‘증가하다, 증가시키다’</t>
  </si>
  <si>
    <t>증가하다, 증가시키다</t>
  </si>
  <si>
    <t>House prices increase every year in this neighborhood.</t>
  </si>
  <si>
    <t>House prices (          ) every year in this neighborhood.</t>
  </si>
  <si>
    <t>increment</t>
  </si>
  <si>
    <t>cre &gt; increase</t>
  </si>
  <si>
    <t>[ínkrəmənt]</t>
  </si>
  <si>
    <t>증가하다(increase-incre) + 명사형(~ment) = ‘증대, 증가’</t>
  </si>
  <si>
    <t>증대, 증가</t>
  </si>
  <si>
    <t>The salary increment was less than expected.</t>
  </si>
  <si>
    <t>The salary (          ) was less than expected.</t>
  </si>
  <si>
    <t>decrease</t>
  </si>
  <si>
    <t>[dikríːs]</t>
  </si>
  <si>
    <t>아래로(de) 저하되게 만드니(ore) ‘감소하다, 감소시키다’</t>
  </si>
  <si>
    <t>감소하다, 감소시키다</t>
  </si>
  <si>
    <t>The population of the village continues to decrease.</t>
  </si>
  <si>
    <t>The population of the village continues to (          ).</t>
  </si>
  <si>
    <t>excrete</t>
  </si>
  <si>
    <t>[ikskríːt]</t>
  </si>
  <si>
    <t>먹고나서 밖(ex)으로 창조해(create-crete) 나아가게 하니 ‘배설하다’</t>
  </si>
  <si>
    <t>배설하다</t>
  </si>
  <si>
    <t>Kidneys excrete waste products from the body.</t>
  </si>
  <si>
    <t>Kidneys (          ) waste products from the body.</t>
  </si>
  <si>
    <t>crew</t>
  </si>
  <si>
    <t>[kruː]</t>
  </si>
  <si>
    <t>새로 만들다(cre) 물(w)에 타고 다니는 배에 탈 사람들, ‘선원, 승무원, 팀원’</t>
  </si>
  <si>
    <t>선원, 승무원, 팀원</t>
  </si>
  <si>
    <t>The airplane crew includes pilots and flight attendants.</t>
  </si>
  <si>
    <t>The airplane (          ) includes pilots and flight attendants.</t>
  </si>
  <si>
    <t>recruit</t>
  </si>
  <si>
    <t>cre &gt; crew(cru)</t>
  </si>
  <si>
    <t>[rikrúːt]</t>
  </si>
  <si>
    <t>다시(re) 팀원(crew-cru)을 모으니 ‘모집하다’</t>
  </si>
  <si>
    <t>모집하다</t>
  </si>
  <si>
    <t>The army will recruit new soldiers this month.</t>
  </si>
  <si>
    <t>The army will (          ) new soldiers this month.</t>
  </si>
  <si>
    <t>crescent</t>
  </si>
  <si>
    <t>[krésnt]</t>
  </si>
  <si>
    <t>달 모양이 만들어(cre) 지는데, 부드럽게(s) 굽은(c) 모양의 ‘초승달’</t>
  </si>
  <si>
    <t>초승달</t>
  </si>
  <si>
    <t>The crescent moon was visible in the night sky.</t>
  </si>
  <si>
    <t>The (          ) moon was visible in the night sky.</t>
  </si>
  <si>
    <t>craft</t>
  </si>
  <si>
    <t>[kræft]</t>
  </si>
  <si>
    <t>만들다(cre-cra) 가볍게(ft), ‘공예, 선박, 비행기’</t>
  </si>
  <si>
    <t>공예, 선박, 비행기</t>
  </si>
  <si>
    <t>Knitting is a traditional craft that remains popular.</t>
  </si>
  <si>
    <t>Knitting is a traditional (          ) that remains popular.</t>
  </si>
  <si>
    <t>craftsman</t>
  </si>
  <si>
    <t>cre &gt; craft</t>
  </si>
  <si>
    <t>[krǽftsmən]</t>
  </si>
  <si>
    <t>craf(공예)를 하는 사람(man), ‘장인, 명장, 예술가’</t>
  </si>
  <si>
    <t>장인, 명장, 예술가</t>
  </si>
  <si>
    <t>The wooden cabinet was made by a skilled craftsman.</t>
  </si>
  <si>
    <t>The wooden cabinet was made by a skilled (          ).</t>
  </si>
  <si>
    <t>aircraft</t>
  </si>
  <si>
    <t>[eˈrkræˌft]</t>
  </si>
  <si>
    <t>공중(air)에 있는 비행기(cratf), ‘항공기’</t>
  </si>
  <si>
    <t>항공기</t>
  </si>
  <si>
    <t>The aircraft landed safely despite the storm.</t>
  </si>
  <si>
    <t>The (          ) landed safely despite the storm.</t>
  </si>
  <si>
    <t>screen</t>
  </si>
  <si>
    <t>sc</t>
  </si>
  <si>
    <r>
      <rPr>
        <sz val="12"/>
        <color indexed="8"/>
        <rFont val="Apple SD 산돌고딕 Neo 일반체"/>
      </rPr>
      <t>sc</t>
    </r>
  </si>
  <si>
    <t>[skriːn]</t>
  </si>
  <si>
    <t>표면(sc)에 영상을 나오게 하는 ‘화면, 스크린’</t>
  </si>
  <si>
    <t>화면, 스크린</t>
  </si>
  <si>
    <t>The movie will screen at the local theater next week.</t>
  </si>
  <si>
    <t>The movie will (          ) at the local theater next week.</t>
  </si>
  <si>
    <t>scene</t>
  </si>
  <si>
    <t>[siːn]</t>
  </si>
  <si>
    <t>표면(sc)에 새로운(n) 모습을 담은 ‘장면’</t>
  </si>
  <si>
    <t>장면</t>
  </si>
  <si>
    <t>The accident scene was cordoned off by police.</t>
  </si>
  <si>
    <t>The accident (          ) was cordoned off by police.</t>
  </si>
  <si>
    <t>score</t>
  </si>
  <si>
    <t>[skɔːr]</t>
  </si>
  <si>
    <t>표면(sc)에 새겨 놓은 ‘점수, 득점하다’</t>
  </si>
  <si>
    <t>점수, 득점하다</t>
  </si>
  <si>
    <t>Our team needs one more goal to tie the score.</t>
  </si>
  <si>
    <t>Our team needs one more goal to tie the (          ).</t>
  </si>
  <si>
    <t>schedule</t>
  </si>
  <si>
    <t>[skédʒuːl]</t>
  </si>
  <si>
    <t>표면(sc)에 아래 방향으로(du) 순서대로 일정을 길게(l) 적어 놓은 ‘예정표, 시각표’</t>
  </si>
  <si>
    <t>예정표, 시각표</t>
  </si>
  <si>
    <t>The train schedule shows arrival and departure times.</t>
  </si>
  <si>
    <t>The train (          ) shows arrival and departure times.</t>
  </si>
  <si>
    <t>scratch</t>
  </si>
  <si>
    <t>[skræʧ]</t>
  </si>
  <si>
    <t>표면(sc)를 힘(r)있게 잡으니(atch-catch) ‘긁다, 할퀴다’</t>
  </si>
  <si>
    <t>긁다, 할퀴다</t>
  </si>
  <si>
    <t>The cat left a deep scratch on the wooden table.</t>
  </si>
  <si>
    <t>The cat left a deep (          ) on the wooden table.</t>
  </si>
  <si>
    <t>scream</t>
  </si>
  <si>
    <t>[skriːm]</t>
  </si>
  <si>
    <t>표면(sc)에 힘을(r) 가해 움직일(m)때 나는 소리와 같은 소리를 지르다, ‘소리치다, 비명, 절규’</t>
  </si>
  <si>
    <t>소리치다, 비명, 절규</t>
  </si>
  <si>
    <t>The children scream with delight on the roller coaster.</t>
  </si>
  <si>
    <t>The children (          ) with delight on the roller coaster.</t>
  </si>
  <si>
    <t>scrap</t>
  </si>
  <si>
    <t>[skræp]</t>
  </si>
  <si>
    <t>표면(sc)에 힘(r)을 가해 폭하고(p) 튀어 나오게 된 ‘조각, 파편, 자투리’</t>
  </si>
  <si>
    <t>조각, 파편, 자투리</t>
  </si>
  <si>
    <t>Don't throw away that scrap of paper with the phone number.</t>
  </si>
  <si>
    <t>Don't throw away that (          ) of paper with the phone number.</t>
  </si>
  <si>
    <t>scrape</t>
  </si>
  <si>
    <t>[skreip]</t>
  </si>
  <si>
    <t>표면(sc)에 힘을(r) 가해 폭(p)하고 파편(scrap)이 나오도록 ‘긁다, 스쳐 긁히다’</t>
  </si>
  <si>
    <t>긁다, 스쳐 긁히다</t>
  </si>
  <si>
    <t>I scrape my knee when I fell off the bicycle.</t>
  </si>
  <si>
    <t>I (          ) my knee when I fell off the bicycle.</t>
  </si>
  <si>
    <t>skyscraper</t>
  </si>
  <si>
    <t>sc &gt; scrape</t>
  </si>
  <si>
    <t>[skáiskrèipər]</t>
  </si>
  <si>
    <t>하늘(sky)을 긁을(scrape) 정도로 높은 ‘초고층 빌딩, 마천루’</t>
  </si>
  <si>
    <t>초고층 빌딩, 마천루</t>
  </si>
  <si>
    <t>The skyscraper dominates the city skyline.</t>
  </si>
  <si>
    <t>The (          ) dominates the city skyline.</t>
  </si>
  <si>
    <t>scrawl</t>
  </si>
  <si>
    <t>[skrɔːl]</t>
  </si>
  <si>
    <t>표면(sc)에 힘을(r) 주어 물결(w) 모양으로 길게(l) 쓰니, ‘마구 쓰다, 낙서하다’</t>
  </si>
  <si>
    <t>마구 쓰다, 낙서하다</t>
  </si>
  <si>
    <t>His scrawl was almost impossible to read.</t>
  </si>
  <si>
    <t>His (          ) was almost impossible to read.</t>
  </si>
  <si>
    <t>scar</t>
  </si>
  <si>
    <t>[skaːr]</t>
  </si>
  <si>
    <t>피부 표면(sc)에 힘(r)을 가해 만들어진 ‘상처’</t>
  </si>
  <si>
    <t>상처</t>
  </si>
  <si>
    <t>The surgery left a small scar on his arm.</t>
  </si>
  <si>
    <t>The surgery left a small (          ) on his arm.</t>
  </si>
  <si>
    <t>scarlet</t>
  </si>
  <si>
    <t>sc &gt; scar</t>
  </si>
  <si>
    <t>[skάːrlit]</t>
  </si>
  <si>
    <t>상처(scar)를 내면 그곳에서 흘러(Iet) 나오는 피 색깔, ‘주홍의’</t>
  </si>
  <si>
    <t>주홍의</t>
  </si>
  <si>
    <t>She wore a scarlet dress to the holiday party.</t>
  </si>
  <si>
    <t>She wore a (          ) dress to the holiday party.</t>
  </si>
  <si>
    <t>scan</t>
  </si>
  <si>
    <t>[skæn]</t>
  </si>
  <si>
    <t>표면(sc)을 한 번(an)에 죽 살펴보니 ‘훑어보다, 자세히 살피다’</t>
  </si>
  <si>
    <t>훑어보다, 자세히 살피다</t>
  </si>
  <si>
    <t>The doctor will scan her brain to check for abnormalities.</t>
  </si>
  <si>
    <t>The doctor will (          ) her brain to check for abnormalities.</t>
  </si>
  <si>
    <t>scatter</t>
  </si>
  <si>
    <t>[skǽtər]</t>
  </si>
  <si>
    <t>표면(sc)에 여러 번 접촉(tt)하게 끔 힘있게(r) ‘뿌리다’</t>
  </si>
  <si>
    <t>뿌리다</t>
  </si>
  <si>
    <t>Wind will scatter leaves across the yard.</t>
  </si>
  <si>
    <t>Wind will (          ) leaves across the yard.</t>
  </si>
  <si>
    <t>scrutiny</t>
  </si>
  <si>
    <t>scr(screen)</t>
  </si>
  <si>
    <t>[skrúːtəni]</t>
  </si>
  <si>
    <t>표면(scr-screen)을 아래쪽까지(u) 아주 작은 (tiny) 것까지 보는 ‘정밀 조사’</t>
  </si>
  <si>
    <t>정밀 조사</t>
  </si>
  <si>
    <t>The financial records are under close scrutiny.</t>
  </si>
  <si>
    <t>The financial records are under close (          ).</t>
  </si>
  <si>
    <t>scrutinize</t>
  </si>
  <si>
    <t>[skrúːtənàiz]</t>
  </si>
  <si>
    <t>표면(scr-screen)을 아래쪽까지(u) 아주 작은 (tiny-tini) 것까지 보니 ‘면밀히 조사하다’</t>
  </si>
  <si>
    <t>면밀히 조사하다</t>
  </si>
  <si>
    <t>Experts scrutinize the painting to determine if it's authentic.</t>
  </si>
  <si>
    <t>Experts (          ) the painting to determine if it's authentic.</t>
  </si>
  <si>
    <t>scrub</t>
  </si>
  <si>
    <t>[skrʌb]</t>
  </si>
  <si>
    <t>표면(sc)을 문지르니(rub) ‘문질러 씻다’</t>
  </si>
  <si>
    <t>문질러 씻다</t>
  </si>
  <si>
    <t>You need to scrub the floor to remove the stain.</t>
  </si>
  <si>
    <t>You need to (          ) the floor to remove the stain.</t>
  </si>
  <si>
    <t>rub</t>
  </si>
  <si>
    <r>
      <rPr>
        <sz val="12"/>
        <color indexed="8"/>
        <rFont val="Apple SD 산돌고딕 Neo 일반체"/>
      </rPr>
      <t>rub</t>
    </r>
  </si>
  <si>
    <t>[rʌb]</t>
  </si>
  <si>
    <t>힘(r)을 줘서 아래쪽(u)에 접촉해서 터지도록(b) 하니 ‘문지르다’</t>
  </si>
  <si>
    <t>문지르다</t>
  </si>
  <si>
    <t>Rub some lotion on your sunburned skin.</t>
  </si>
  <si>
    <r>
      <rPr>
        <sz val="12"/>
        <color indexed="8"/>
        <rFont val="Arial"/>
      </rPr>
      <t>Rub some lotion on your sunburned skin.</t>
    </r>
  </si>
  <si>
    <t>rubber</t>
  </si>
  <si>
    <t>[rΛbər]</t>
  </si>
  <si>
    <t>접촉하는 곳을 문지르는(rub) 주체(-er), ‘고무’
*고무의 첫 사용은 지우개의 역할이었다.</t>
  </si>
  <si>
    <t>고무</t>
  </si>
  <si>
    <t>The tires are made of durable rubber.</t>
  </si>
  <si>
    <t>The tires are made of durable (          ).</t>
  </si>
  <si>
    <t>rubbish</t>
  </si>
  <si>
    <t>[rΛbiʃ]</t>
  </si>
  <si>
    <t>바닥 같은 것을 문질러서(rub) 쓰레기통 안(i)에 쉭(sh) 하고 던져두는 ‘쓰레기’</t>
  </si>
  <si>
    <t>쓰레기</t>
  </si>
  <si>
    <t>Please put your rubbish in the bin.</t>
  </si>
  <si>
    <t>Please put your (          ) in the bin.</t>
  </si>
  <si>
    <t>scorch</t>
  </si>
  <si>
    <t>[skɔːrʧ]</t>
  </si>
  <si>
    <t>표면(sc)을 횃불(torch)로 태우니, ‘표면을 태우다’</t>
  </si>
  <si>
    <t>표면을 태우다</t>
  </si>
  <si>
    <t>The hot pan will scorch the tablecloth.</t>
  </si>
  <si>
    <t>The hot pan will (          ) the tablecloth.</t>
  </si>
  <si>
    <t>scale</t>
  </si>
  <si>
    <t>[skeil]</t>
  </si>
  <si>
    <t>표면(sc)을 모두(all) 다 덮고 있는 비늘처럼 눈금 이 촥촥 단계별로 있는 것, ‘비늘, 눈금, 등급, 규모’</t>
  </si>
  <si>
    <t>비늘, 눈금, 등급, 규모</t>
  </si>
  <si>
    <t>Use the bathroom scale to check your weight.</t>
  </si>
  <si>
    <t>Use the bathroom (          ) to check your weight.</t>
  </si>
  <si>
    <t>escalate</t>
  </si>
  <si>
    <t>sc &gt; scale</t>
  </si>
  <si>
    <t>[éskəlèit]</t>
  </si>
  <si>
    <t>타는 입구(e)가 있고 비늘(scale)로 덮인 것처럼 단계별로 서서 올라가니 ‘상승하다’</t>
  </si>
  <si>
    <t>상승하다</t>
  </si>
  <si>
    <t>The conflict could escalate into a serious war.</t>
  </si>
  <si>
    <t>The conflict could (          ) into a serious war.</t>
  </si>
  <si>
    <t>scroll</t>
  </si>
  <si>
    <t>[skroul]</t>
  </si>
  <si>
    <t>표면(sc)에 내용을 적어 롤(rol)로 말아 놓은 ‘두루마기’</t>
  </si>
  <si>
    <t>두루마기</t>
  </si>
  <si>
    <t>Scroll down the page to read more information.</t>
  </si>
  <si>
    <r>
      <rPr>
        <sz val="12"/>
        <color indexed="8"/>
        <rFont val="Arial"/>
      </rPr>
      <t>Scroll down the page to read more information.</t>
    </r>
  </si>
  <si>
    <t>sculpture</t>
  </si>
  <si>
    <t>[skΛlpʧər]</t>
  </si>
  <si>
    <t>조각할 재료 표면(sc)을 아래쪽(u)에서부터 길게(l) 폭(p)하고 힘을 줘서 파내고 나중에 세우는(t) ‘조각, 조각술’</t>
  </si>
  <si>
    <t>조각, 조각술</t>
  </si>
  <si>
    <t>The marble sculpture depicts a Greek goddess.</t>
  </si>
  <si>
    <t>The marble (          ) depicts a Greek goddess.</t>
  </si>
  <si>
    <t>ascend</t>
  </si>
  <si>
    <t>scend</t>
  </si>
  <si>
    <r>
      <rPr>
        <sz val="12"/>
        <color indexed="8"/>
        <rFont val="Apple SD 산돌고딕 Neo 일반체"/>
      </rPr>
      <t>scend</t>
    </r>
  </si>
  <si>
    <t>[əsénd]</t>
  </si>
  <si>
    <t>높이를 더하다(a) 가니(scend) 올라가다, ‘상승하다’</t>
  </si>
  <si>
    <t>The hikers will ascend the mountain tomorrow.</t>
  </si>
  <si>
    <t>The hikers will (          ) the mountain tomorrow.</t>
  </si>
  <si>
    <t>descend</t>
  </si>
  <si>
    <t>[disénd]</t>
  </si>
  <si>
    <t>아래로(de) 가니(scend) ‘내려가다, 하강하다’</t>
  </si>
  <si>
    <t>내려가다, 하강하다</t>
  </si>
  <si>
    <t>The plane began to descend toward the airport.</t>
  </si>
  <si>
    <t>The plane began to (          ) toward the airport.</t>
  </si>
  <si>
    <t>descent</t>
  </si>
  <si>
    <t>[disént]</t>
  </si>
  <si>
    <t>아래로(de) 가니(scend-scent) ‘하강’</t>
  </si>
  <si>
    <t>하강</t>
  </si>
  <si>
    <t>The roller coaster's steep descent terrified the children.</t>
  </si>
  <si>
    <t>The roller coaster's steep (          ) terrified the children.</t>
  </si>
  <si>
    <t>descendant</t>
  </si>
  <si>
    <t>scend &gt; descend</t>
  </si>
  <si>
    <t>[diséndənt]</t>
  </si>
  <si>
    <t>내려가서(descend)한 단계(an) 나아간(t) 세대 ‘자손, 후예’</t>
  </si>
  <si>
    <t>자손, 후예</t>
  </si>
  <si>
    <t>He is a direct descendant of the royal family.</t>
  </si>
  <si>
    <t>He is a direct (          ) of the royal family.</t>
  </si>
  <si>
    <t>script</t>
  </si>
  <si>
    <r>
      <rPr>
        <sz val="12"/>
        <color indexed="8"/>
        <rFont val="Apple SD 산돌고딕 Neo 일반체"/>
      </rPr>
      <t>script</t>
    </r>
  </si>
  <si>
    <t>[skript]</t>
  </si>
  <si>
    <t>종이 표면이(sc) 찢어지도록(rip) 접촉하여(t) 글을 쓴, ‘대본, 글로 쓰다’</t>
  </si>
  <si>
    <t>대본, 글로 쓰다</t>
  </si>
  <si>
    <t>The actress memorized her script before filming.</t>
  </si>
  <si>
    <t>The actress memorized her (          ) before filming.</t>
  </si>
  <si>
    <t>scripture</t>
  </si>
  <si>
    <t>[skrípʧər]</t>
  </si>
  <si>
    <t>글로 쓴 것(script) ‘성서, 경전’</t>
  </si>
  <si>
    <t>성서, 경전</t>
  </si>
  <si>
    <t>Many people find guidance in religious scripture.</t>
  </si>
  <si>
    <t>Many people find guidance in religious (          ).</t>
  </si>
  <si>
    <t>manuscript</t>
  </si>
  <si>
    <t>[mǽnjuskrìpt]</t>
  </si>
  <si>
    <t>사람의 손(man)으로 글로 쓴 글(scrip) ‘필사본, 원고’</t>
  </si>
  <si>
    <t>필사본, 원고</t>
  </si>
  <si>
    <t>The ancient manuscript was discovered in a monastery.</t>
  </si>
  <si>
    <t>The ancient (          ) was discovered in a monastery.</t>
  </si>
  <si>
    <t>postscript</t>
  </si>
  <si>
    <t>[póustskrìpt]</t>
  </si>
  <si>
    <t>뒤에(post) 할 말을 쓰는(script) ‘추신, 후기’</t>
  </si>
  <si>
    <t>추신, 후기</t>
  </si>
  <si>
    <t>She added a postscript at the end of her letter.</t>
  </si>
  <si>
    <t>She added a (          ) at the end of her letter.</t>
  </si>
  <si>
    <t>encrypt</t>
  </si>
  <si>
    <t>[inkrípt]</t>
  </si>
  <si>
    <t>안에(en) 감추어 써 놓으니(script-crypt) ‘암호화하다’</t>
  </si>
  <si>
    <t>암호화하다</t>
  </si>
  <si>
    <t>It's important to encrypt sensitive data for security.</t>
  </si>
  <si>
    <t>It's important to (          ) sensitive data for security.</t>
  </si>
  <si>
    <t>scribe</t>
  </si>
  <si>
    <t>script(scrib)</t>
  </si>
  <si>
    <t>[skraib]</t>
  </si>
  <si>
    <t>글로 쓰는(script-scrib) 사람, ‘서기, 필경사’</t>
  </si>
  <si>
    <t>서기, 필경사</t>
  </si>
  <si>
    <t>The medieval scribe copied religious texts by hand.</t>
  </si>
  <si>
    <t>The medieval (          ) copied religious texts by hand.</t>
  </si>
  <si>
    <t>scribble</t>
  </si>
  <si>
    <t>[skríbl]</t>
  </si>
  <si>
    <t>글로 쓰는데(script-scrib) 터지듯이(b) 길게(l)쓰니 ‘휘갈겨 쓰다, 낙서하다’</t>
  </si>
  <si>
    <t>휘갈겨 쓰다, 낙서하다</t>
  </si>
  <si>
    <t>The child's scribble looked like a face to his parents.</t>
  </si>
  <si>
    <t>The child's (          ) looked like a face to his parents.</t>
  </si>
  <si>
    <t>prescribe</t>
  </si>
  <si>
    <t>[priskráib]</t>
  </si>
  <si>
    <t>먼저 앞서서(pre) 내용을 써서(scribe) 알려주니 ‘지시하다’</t>
  </si>
  <si>
    <t>지시하다</t>
  </si>
  <si>
    <t>The doctor will prescribe antibiotics for your infection.</t>
  </si>
  <si>
    <t>The doctor will (          ) antibiotics for your infection.</t>
  </si>
  <si>
    <t>describe</t>
  </si>
  <si>
    <t>[diskráib]</t>
  </si>
  <si>
    <t>아래로(de) 길게 종이에 글로 쓰니(script-scribe) ‘기술하다, 묘사하다’</t>
  </si>
  <si>
    <t>기술하다, 묘사하다</t>
  </si>
  <si>
    <t>Can you describe the person who took your bag?</t>
  </si>
  <si>
    <t>Can you (          ) the person who took your bag?</t>
  </si>
  <si>
    <t>subscribe</t>
  </si>
  <si>
    <t>[səbskráib]</t>
  </si>
  <si>
    <t>문서 아래쪽(sub)에 써서(script-scrib) 서명 하여 약속하니 ‘구독하다, 가입하다’</t>
  </si>
  <si>
    <t>구독하다, 가입하다</t>
  </si>
  <si>
    <t>I subscribe to several digital news services.</t>
  </si>
  <si>
    <t>I (          ) to several digital news services.</t>
  </si>
  <si>
    <t>inscribe</t>
  </si>
  <si>
    <t>[inskráib]</t>
  </si>
  <si>
    <t>안쪽(m)에 쓰니(soript-sorib) ‘새기다, 기입하다’</t>
  </si>
  <si>
    <t>새기다, 기입하다</t>
  </si>
  <si>
    <t>The author will inscribe your book with a personal message.</t>
  </si>
  <si>
    <t>The author will (          ) your book with a personal message.</t>
  </si>
  <si>
    <t>ascribe</t>
  </si>
  <si>
    <t>[əskráib]</t>
  </si>
  <si>
    <t>더하여(a) 여러 비난 거리들을 문서에 쓰니 (script-scrib) ‘탓으로 돌리다’</t>
  </si>
  <si>
    <t>탓으로 돌리다</t>
  </si>
  <si>
    <t>Critics ascribe the painting's success to its unique use of color.</t>
  </si>
  <si>
    <t>Critics (          ) the painting's success to its unique use of color.</t>
  </si>
  <si>
    <t>date</t>
  </si>
  <si>
    <r>
      <rPr>
        <sz val="12"/>
        <color indexed="8"/>
        <rFont val="Apple SD 산돌고딕 Neo 일반체"/>
      </rPr>
      <t>date</t>
    </r>
  </si>
  <si>
    <t>[deit]</t>
  </si>
  <si>
    <t>해가 아래로(d) 가서 밤이 되었다가 다시 서서(t) 새로운 날이 되는 ‘날짜’</t>
  </si>
  <si>
    <t>They went on their first date to a nice restaurant.</t>
  </si>
  <si>
    <t>They went on their first (          ) to a nice restaurant.</t>
  </si>
  <si>
    <t>outdated</t>
  </si>
  <si>
    <t>[àutdéitid]</t>
  </si>
  <si>
    <t>밖에(out) 있다 현 날짜(date)보다, ‘시대에 뒤진’</t>
  </si>
  <si>
    <t>시대에 뒤진</t>
  </si>
  <si>
    <t>This computer manual is outdated and no longer useful.</t>
  </si>
  <si>
    <t>This computer manual is (          ) and no longer useful.</t>
  </si>
  <si>
    <t>up-to-date</t>
  </si>
  <si>
    <t>위로 올려(up) 나아가서 도착(to)이 현 날짜 (date)이니 ‘최신의, 최신정보’</t>
  </si>
  <si>
    <t>최신의, 최신정보</t>
  </si>
  <si>
    <t>Keep your software up-to-date to protect against viruses.</t>
  </si>
  <si>
    <t>Keep your software (          ) to protect against viruses.</t>
  </si>
  <si>
    <t>day</t>
  </si>
  <si>
    <r>
      <rPr>
        <sz val="12"/>
        <color indexed="8"/>
        <rFont val="Apple SD 산돌고딕 Neo 일반체"/>
      </rPr>
      <t>day</t>
    </r>
  </si>
  <si>
    <t>[dei]</t>
  </si>
  <si>
    <t>아래로 내려 갔던(d) 해가 확장해서(y) 올라오니 새로 생기는 ‘낮, 날, 하루’</t>
  </si>
  <si>
    <t>낮, 날, 하루</t>
  </si>
  <si>
    <t>The sun shines brightly during the day.</t>
  </si>
  <si>
    <t>The sun shines brightly during the (          ).</t>
  </si>
  <si>
    <t>diary</t>
  </si>
  <si>
    <t>[dáiəri]</t>
  </si>
  <si>
    <t>매일(day), 가운데 일어난 나 자신의(i)일에 대해 쓰는 것, ‘일기’</t>
  </si>
  <si>
    <t>일기</t>
  </si>
  <si>
    <t>She writes in her diary every night before bed.</t>
  </si>
  <si>
    <t>She writes in her (          ) every night before bed.</t>
  </si>
  <si>
    <t>dairy</t>
  </si>
  <si>
    <t>[dέəri]</t>
  </si>
  <si>
    <t>매일(day) 우유를 짜는 ‘낙농업’</t>
  </si>
  <si>
    <t>낙농업</t>
  </si>
  <si>
    <t>The dairy farm produces milk, cheese, and yogurt.</t>
  </si>
  <si>
    <t>The (          ) farm produces milk, cheese, and yogurt.</t>
  </si>
  <si>
    <t>dawn</t>
  </si>
  <si>
    <t>[dɔːn]</t>
  </si>
  <si>
    <t>하루(day)를 시작하는 빛이 물결(w)처럼 새롭게(n) 비추는 ‘새벽, 동틀녘’</t>
  </si>
  <si>
    <t>새벽, 동틀녘</t>
  </si>
  <si>
    <t>Birds begin singing at dawn.</t>
  </si>
  <si>
    <t>Birds begin singing at (          ).</t>
  </si>
  <si>
    <t>daze</t>
  </si>
  <si>
    <t>[deiz]</t>
  </si>
  <si>
    <t>하루, 낮(day)의 빛이 너무 빛나 어지럽게(z)하니 ‘눈부시게 하다’</t>
  </si>
  <si>
    <t>눈부시게 하다</t>
  </si>
  <si>
    <t>The boxer was in a daze after being hit.</t>
  </si>
  <si>
    <t>The boxer was in a (          ) after being hit.</t>
  </si>
  <si>
    <t>dizzy</t>
  </si>
  <si>
    <t>day &gt; daze</t>
  </si>
  <si>
    <t>[dízi]</t>
  </si>
  <si>
    <t>자꾸 아래로(d) 쓰러질 것 같고 머리가 진동(zz)이 일어나는 상태, ‘어지러운’</t>
  </si>
  <si>
    <t>어지러운</t>
  </si>
  <si>
    <t>Standing up too quickly made me feel dizzy.</t>
  </si>
  <si>
    <t>Standing up too quickly made me feel (          ).</t>
  </si>
  <si>
    <t>deep</t>
  </si>
  <si>
    <r>
      <rPr>
        <sz val="12"/>
        <color indexed="8"/>
        <rFont val="Apple SD 산돌고딕 Neo 일반체"/>
      </rPr>
      <t>deep</t>
    </r>
  </si>
  <si>
    <t>[diːp]</t>
  </si>
  <si>
    <t>아래로 내려가기(d)를 한참(ee) 하면 폭하고 튀어(p) 나온 바닥을 만난다, ‘깊은’</t>
  </si>
  <si>
    <t>깊은</t>
  </si>
  <si>
    <t>The ocean is very deep in this area.</t>
  </si>
  <si>
    <t>The ocean is very (          ) in this area.</t>
  </si>
  <si>
    <t>depth</t>
  </si>
  <si>
    <t>[depθ]</t>
  </si>
  <si>
    <t>깊이(deep) 들어가 바닥을 통과할(th) 정도 &gt; ‘깊숙함’</t>
  </si>
  <si>
    <t>깊숙함</t>
  </si>
  <si>
    <t>The depth of the swimming pool increases gradually.</t>
  </si>
  <si>
    <t>The (          ) of the swimming pool increases gradually.</t>
  </si>
  <si>
    <t>dip</t>
  </si>
  <si>
    <t>[dip]</t>
  </si>
  <si>
    <t>깊이(deep)가 줄어듬(ee ▶︎ i) ▶︎ ‘살짝 담그다, 적시다’</t>
  </si>
  <si>
    <t>살짝 담그다, 적시다</t>
  </si>
  <si>
    <t>Don't dip your fingers in the chocolate fountain.</t>
  </si>
  <si>
    <t>Don't (          ) your fingers in the chocolate fountain.</t>
  </si>
  <si>
    <t>demonstrate</t>
  </si>
  <si>
    <t>demo</t>
  </si>
  <si>
    <r>
      <rPr>
        <sz val="12"/>
        <color indexed="8"/>
        <rFont val="Apple SD 산돌고딕 Neo 일반체"/>
      </rPr>
      <t>demo</t>
    </r>
  </si>
  <si>
    <t>[démənstrèit]</t>
  </si>
  <si>
    <t>사람들(demo)이 있는 거리(strate &lt; street)로 나와 보란듯이 ‘증명하다, 설명하다’</t>
  </si>
  <si>
    <t>증명하다, 설명하다</t>
  </si>
  <si>
    <t>The teacher will demonstrate how to solve the equation.</t>
  </si>
  <si>
    <t>The teacher will (          ) how to solve the equation.</t>
  </si>
  <si>
    <t>democracy</t>
  </si>
  <si>
    <t>[dimάkrəsi]</t>
  </si>
  <si>
    <t>사람들(demo)의 힘으로 다스리는(cracy) ‘민주주의’</t>
  </si>
  <si>
    <t>민주주의</t>
  </si>
  <si>
    <t>Japan has been a democracy since after World War II.</t>
  </si>
  <si>
    <t>Japan has been a (          ) since after World War II.</t>
  </si>
  <si>
    <t>endemic</t>
  </si>
  <si>
    <t>demo(demi)</t>
  </si>
  <si>
    <t>[endémik]</t>
  </si>
  <si>
    <t>어떤 지역 안(en)에서 사람들이(demo-demi) 함께 모여 하는, ‘지방 특유의, 고유의’</t>
  </si>
  <si>
    <t>지방 특유의, 고유의</t>
  </si>
  <si>
    <t>That bird species is endemic to the Hawaiian islands.</t>
  </si>
  <si>
    <t>That bird species is (          ) to the Hawaiian islands.</t>
  </si>
  <si>
    <t>epidemic</t>
  </si>
  <si>
    <t>[èpədémik]</t>
  </si>
  <si>
    <t>입구(e)에서 폭(p)하고 튀어 나와 사람들에게(demi) 죽 널리 퍼져 나가는, ‘유행성의’</t>
  </si>
  <si>
    <t>유행성의</t>
  </si>
  <si>
    <t>The flu epidemic affected thousands of people.</t>
  </si>
  <si>
    <t>The flu (          ) affected thousands of people.</t>
  </si>
  <si>
    <t>den</t>
  </si>
  <si>
    <r>
      <rPr>
        <sz val="12"/>
        <color indexed="8"/>
        <rFont val="Apple SD 산돌고딕 Neo 일반체"/>
      </rPr>
      <t>den</t>
    </r>
  </si>
  <si>
    <t>[den]</t>
  </si>
  <si>
    <t>아래로(d) 내려가 안으로(en) 들어가는 ‘굴, 우리’</t>
  </si>
  <si>
    <t>굴, 우리</t>
  </si>
  <si>
    <t>The bear hibernates in its den during winter.</t>
  </si>
  <si>
    <t>The bear hibernates in its (          ) during winter.</t>
  </si>
  <si>
    <t>dent</t>
  </si>
  <si>
    <t>[dent]</t>
  </si>
  <si>
    <t>굴(den)과 같이 깊은 공간을 접촉(+)해서 만들어내니 ‘움푹 들어간 곳’</t>
  </si>
  <si>
    <t>움푹 들어간 곳</t>
  </si>
  <si>
    <t>The accident left a small dent in my car door.</t>
  </si>
  <si>
    <t>The acci(          ) left a small (          ) in my car door.</t>
  </si>
  <si>
    <t>dentist</t>
  </si>
  <si>
    <t>den &gt; dent</t>
  </si>
  <si>
    <t>[déntist]</t>
  </si>
  <si>
    <t>충치로 움푹 들어간 곳(dent)을 손보는 사람 (~ist), ‘치과 의사’</t>
  </si>
  <si>
    <t>치과 의사</t>
  </si>
  <si>
    <t>I have an appointment with my dentist next Tuesday.</t>
  </si>
  <si>
    <t>I have an appointment with my (          ) next Tuesday.</t>
  </si>
  <si>
    <t>dense</t>
  </si>
  <si>
    <t>[dens]</t>
  </si>
  <si>
    <t>굴(den)과 같이 깊이 보이지 않는(s) 곳에 많이 있으니 ‘빽빽한, 짙은’</t>
  </si>
  <si>
    <t>빽빽한, 짙은</t>
  </si>
  <si>
    <t>The forest is too dense to walk through easily.</t>
  </si>
  <si>
    <t>The forest is too (          ) to walk through easily.</t>
  </si>
  <si>
    <t>densely</t>
  </si>
  <si>
    <t>den &gt; dense</t>
  </si>
  <si>
    <t>[dénsli]</t>
  </si>
  <si>
    <t>빽빽한(dense) + 부사(~y) = ‘빽빽하게’</t>
  </si>
  <si>
    <t>빽빽하게</t>
  </si>
  <si>
    <t>The area is densely populated with high-rise apartments.</t>
  </si>
  <si>
    <t>The area is (          ) populated with high-rise apartments.</t>
  </si>
  <si>
    <t>density</t>
  </si>
  <si>
    <t>[dénsəti]</t>
  </si>
  <si>
    <t>빽빽한(dense) 정도를 나타내는 말, ‘밀도’</t>
  </si>
  <si>
    <t>밀도</t>
  </si>
  <si>
    <t>The density of water is one gram per cubic centimeter.</t>
  </si>
  <si>
    <t>The (          ) of water is one gram per cubic centimeter.</t>
  </si>
  <si>
    <t>condense</t>
  </si>
  <si>
    <t>[kəndéns]</t>
  </si>
  <si>
    <t>함께(con) 빽빽(dense)하게 하니 ‘압축시키다’</t>
  </si>
  <si>
    <t>압축시키다</t>
  </si>
  <si>
    <t>You need to condense your essay to 500 words.</t>
  </si>
  <si>
    <t>You need to (          ) your essay to 500 words.</t>
  </si>
  <si>
    <t>diamond</t>
  </si>
  <si>
    <t>dia</t>
  </si>
  <si>
    <r>
      <rPr>
        <sz val="12"/>
        <color indexed="8"/>
        <rFont val="Apple SD 산돌고딕 Neo 일반체"/>
      </rPr>
      <t>dia</t>
    </r>
  </si>
  <si>
    <t>[dáiəmənd]</t>
  </si>
  <si>
    <t>파면서 관통(dia)하는 대상이 산(mond-mountain)인데, 그렇게 파고 들어가서 발견하는 ‘다이아몬드’</t>
  </si>
  <si>
    <t>다이아몬드</t>
  </si>
  <si>
    <t>She wears a beautiful diamond ring on her finger.</t>
  </si>
  <si>
    <t>She wears a beautiful (          ) ring on her finger.</t>
  </si>
  <si>
    <t>dial</t>
  </si>
  <si>
    <t>[dáiəl]</t>
  </si>
  <si>
    <t>0에서부터 모든 숫자를 관통(dia) 하며 사용할 수 있는 ‘다이얼’</t>
  </si>
  <si>
    <t>다이얼</t>
  </si>
  <si>
    <t>Dial 911 in case of emergency.</t>
  </si>
  <si>
    <r>
      <rPr>
        <sz val="12"/>
        <color indexed="8"/>
        <rFont val="Arial"/>
      </rPr>
      <t>Dial 911 in case of emergency.</t>
    </r>
  </si>
  <si>
    <t>diameter</t>
  </si>
  <si>
    <t>[daiǽmətər]</t>
  </si>
  <si>
    <t>중심을 관통해서(dia) 미터(meter)를 잰 ‘직경, 지름’</t>
  </si>
  <si>
    <t>직경, 지름</t>
  </si>
  <si>
    <t>The diameter of the circle is twice its radius.</t>
  </si>
  <si>
    <t>The (          ) of the circle is twice its radius.</t>
  </si>
  <si>
    <t>diabetes</t>
  </si>
  <si>
    <t>[dàiəbíːtis, -tiːz]</t>
  </si>
  <si>
    <t>몸에 흡수되어야 할 당이 그냥 몸을 관통하여(dia) 터질(b)듯이 방출되어 나가(t) 버리는 ‘당뇨병’</t>
  </si>
  <si>
    <t>당뇨병</t>
  </si>
  <si>
    <t>People with diabetes need to monitor their blood sugar levels.</t>
  </si>
  <si>
    <t>People with (          ) need to monitor their blood sugar levels.</t>
  </si>
  <si>
    <t>dialect</t>
  </si>
  <si>
    <t>[dáiəlèkt]</t>
  </si>
  <si>
    <t>어떤 지역을 관통할때 (dia), 수집(ect)하게 되는 말들, ‘방언, 사투리’</t>
  </si>
  <si>
    <t>방언, 사투리</t>
  </si>
  <si>
    <t>She speaks a regional dialect that I find difficult to understand.</t>
  </si>
  <si>
    <t>She speaks a regional (          ) that I find difficult to understand.</t>
  </si>
  <si>
    <t>diagnose</t>
  </si>
  <si>
    <t>[dáiəgnòus -nòuz]</t>
  </si>
  <si>
    <t>몸을 관통(dia)하여 깊은 곳(g)으로, 코로 냄새 맡듯이(nose) 샅샅이 다 보니 ‘진단하다’</t>
  </si>
  <si>
    <t>진단하다</t>
  </si>
  <si>
    <t>The doctor will diagnose the cause of your symptoms.</t>
  </si>
  <si>
    <t>The doctor will (          ) the cause of your symptoms.</t>
  </si>
  <si>
    <t>diction</t>
  </si>
  <si>
    <t>dict</t>
  </si>
  <si>
    <r>
      <rPr>
        <sz val="12"/>
        <color indexed="8"/>
        <rFont val="Apple SD 산돌고딕 Neo 일반체"/>
      </rPr>
      <t>dict</t>
    </r>
  </si>
  <si>
    <t>[díkʃən]</t>
  </si>
  <si>
    <t>말(dic)을 지속적으로(on) 하면 만들어지는 ‘말투, 말씨, 문체’</t>
  </si>
  <si>
    <t>말투, 말씨, 문체</t>
  </si>
  <si>
    <t>Actors must have clear diction to be understood on stage.</t>
  </si>
  <si>
    <t>Actors must have clear (          ) to be understood on stage.</t>
  </si>
  <si>
    <t>dictionary</t>
  </si>
  <si>
    <t>dict &gt; diction</t>
  </si>
  <si>
    <t>[díkʃənèri]</t>
  </si>
  <si>
    <t>말투(diction), 용어들을 확장(y)시켜 모아 놓은 ‘사전’</t>
  </si>
  <si>
    <t>사전</t>
  </si>
  <si>
    <t>Use a dictionary to look up words you don't know.</t>
  </si>
  <si>
    <t>Use a (          ) to look up words you don't know.</t>
  </si>
  <si>
    <t>dictate</t>
  </si>
  <si>
    <t>[díkteit, --´｜-´-]</t>
  </si>
  <si>
    <t>상관이 말한(dict) 것을 사람들이 먹어(ate) 받 아들이니, ‘명령하다, 받아쓰게 하다’</t>
  </si>
  <si>
    <t>명령하다, 받아쓰게 하다</t>
  </si>
  <si>
    <t>The manager will dictate a letter to his secretary.</t>
  </si>
  <si>
    <t>The manager will (          ) a letter to his secretary.</t>
  </si>
  <si>
    <t>dictator</t>
  </si>
  <si>
    <t>[díkteitər]</t>
  </si>
  <si>
    <t>말하는데(dict) 혼자서(a)만 옳다고 주장하는 사람(~or)이므로 ‘독재자’</t>
  </si>
  <si>
    <t>독재자</t>
  </si>
  <si>
    <t>The dictator ruled the country with an iron fist.</t>
  </si>
  <si>
    <t>The (          ) ruled the country with an iron fist.</t>
  </si>
  <si>
    <t>addict</t>
  </si>
  <si>
    <t>[ǽdikt]</t>
  </si>
  <si>
    <t>계속 더하는(add) 것이 말하는(dict) 것이므로 말 많은 것도 ‘중독되다, 빠지다’</t>
  </si>
  <si>
    <t>중독되다, 빠지다</t>
  </si>
  <si>
    <t>A drug addict needs professional help to recover.</t>
  </si>
  <si>
    <t>A drug (          ) needs professional help to recover.</t>
  </si>
  <si>
    <t>indication</t>
  </si>
  <si>
    <t>[ìndikéiʃən]</t>
  </si>
  <si>
    <t>안(in)에 있는 생각을 말하는 것(dic-dict)이므로 ‘암시’</t>
  </si>
  <si>
    <t>암시</t>
  </si>
  <si>
    <t>Fever is often an indication of infection.</t>
  </si>
  <si>
    <t>Fever is often an (          ) of infection.</t>
  </si>
  <si>
    <t>indicative</t>
  </si>
  <si>
    <t>[indíkətiv]</t>
  </si>
  <si>
    <t>안(in)에 있는 생각을 말하는 것(dic-dict)이므로 ‘암시하는, 지시하는’</t>
  </si>
  <si>
    <t>암시하는, 지시하는</t>
  </si>
  <si>
    <t>His nervous behavior was indicative of guilt.</t>
  </si>
  <si>
    <t>His nervous behavior was (          ) of guilt.</t>
  </si>
  <si>
    <t>반대로(contra) 말하니(dict) ‘반박하다’</t>
  </si>
  <si>
    <t>반박하다</t>
  </si>
  <si>
    <t>contradiction</t>
  </si>
  <si>
    <t>[kὰntrədíkʃən]</t>
  </si>
  <si>
    <t>서로 반대로(contra) 말하는 것(dict) ‘모순, 반박’</t>
  </si>
  <si>
    <t>모순, 반박</t>
  </si>
  <si>
    <t>There is a contradiction between his statement and the evidence.</t>
  </si>
  <si>
    <t>There is a (          ) between his statement and the evidence.</t>
  </si>
  <si>
    <t>contradictory</t>
  </si>
  <si>
    <t>[kὰntrədíktəri]</t>
  </si>
  <si>
    <t>서로 반대로(contra) 말하는(dict) ‘모순된’</t>
  </si>
  <si>
    <t>모순된</t>
  </si>
  <si>
    <t>The witnesses gave contradictory accounts of the accident.</t>
  </si>
  <si>
    <t>The witnesses gave (          ) accounts of the accident.</t>
  </si>
  <si>
    <t>indict</t>
  </si>
  <si>
    <t>[indáit]</t>
  </si>
  <si>
    <t>법원 안(in)에다 죄가 있다고 말하니(dict) ‘기소하다, 고발하다’</t>
  </si>
  <si>
    <t>기소하다, 고발하다</t>
  </si>
  <si>
    <t>The grand jury voted to indict the suspect on multiple charges.</t>
  </si>
  <si>
    <t>The grand jury voted to (          ) the suspect on multiple charges.</t>
  </si>
  <si>
    <t>paradox</t>
  </si>
  <si>
    <t>[pǽrədὰks]</t>
  </si>
  <si>
    <t>나란히(par) 평행선을 그리며 말하니(dict-dox) ‘역설, 앞뒤가 맞지 않는 일’</t>
  </si>
  <si>
    <t>역설, 앞뒤가 맞지 않는 일</t>
  </si>
  <si>
    <t>It's a paradox that the more choices we have, the harder it is to choose.</t>
  </si>
  <si>
    <t>It's a (          ) that the more choices we have, the harder it is to choose.</t>
  </si>
  <si>
    <t>verdict</t>
  </si>
  <si>
    <t>[və́ːrdikt]</t>
  </si>
  <si>
    <t>진실한(ver) 말(dic)로 하는 ‘판결, 평결’</t>
  </si>
  <si>
    <t>판결, 평결</t>
  </si>
  <si>
    <t>The jury reached a verdict after three days of deliberation.</t>
  </si>
  <si>
    <t>The jury reached a (          ) after three days of deliberation.</t>
  </si>
  <si>
    <t>dedicate</t>
  </si>
  <si>
    <t>[dédikèit]</t>
  </si>
  <si>
    <t>신에게서 아래(de) 인간에게 내려진 말(dic-dict), 명령대로 ‘바치다, 헌신하다’</t>
  </si>
  <si>
    <t>바치다, 헌신하다</t>
  </si>
  <si>
    <t>She decided to dedicate her life to helping others.</t>
  </si>
  <si>
    <t>She decided to (          ) her life to helping others.</t>
  </si>
  <si>
    <t>dedication</t>
  </si>
  <si>
    <t>[dèdikéiʃən]</t>
  </si>
  <si>
    <t>신에게서 아래(de) 인간에게 내려진 말(dic-dict), 명령대로 ‘헌신, 헌납’</t>
  </si>
  <si>
    <t>헌신, 헌납</t>
  </si>
  <si>
    <t>His dedication to the project impressed everyone.</t>
  </si>
  <si>
    <t>His (          ) to the project impressed everyone.</t>
  </si>
  <si>
    <t>predict</t>
  </si>
  <si>
    <t>[pridíkt]</t>
  </si>
  <si>
    <t>사건보다 먼저(pre) 말하니(dict) ‘예언하다’</t>
  </si>
  <si>
    <t>예언하다</t>
  </si>
  <si>
    <t>Meteorologists try to predict weather patterns accurately.</t>
  </si>
  <si>
    <t>Meteorologists try to (          ) weather patterns accurately.</t>
  </si>
  <si>
    <t>condition</t>
  </si>
  <si>
    <t>[kəndíʃən]</t>
  </si>
  <si>
    <t>본론과 함께(con) 말해지는(dict-di) ‘조건, 상태, 환경’</t>
  </si>
  <si>
    <t>조건, 상태, 환경</t>
  </si>
  <si>
    <t>The car is in excellent condition despite its age.</t>
  </si>
  <si>
    <t>The car is in excellent (          ) despite its age.</t>
  </si>
  <si>
    <t>doctor</t>
  </si>
  <si>
    <t>[dάktər]</t>
  </si>
  <si>
    <t>말할 때(doct-dict) 둥근 입에서 힘(or)이 실리는 사람, ‘박사, 의사’</t>
  </si>
  <si>
    <t>박사, 의사</t>
  </si>
  <si>
    <t>Make an appointment with your doctor if symptoms persist.</t>
  </si>
  <si>
    <t>Make an appointment with your (          ) if symptoms persist.</t>
  </si>
  <si>
    <t>doctrine</t>
  </si>
  <si>
    <t>dict(doct)</t>
  </si>
  <si>
    <t>[dάktrin]</t>
  </si>
  <si>
    <t>말한 내용(doct-dict) 안(in)에만 머물러 있어야 하는, 지켜야 하는 ‘교리, 원칙’</t>
  </si>
  <si>
    <t>교리, 원칙</t>
  </si>
  <si>
    <t>The religious doctrine provides guidance for believers.</t>
  </si>
  <si>
    <t>The religious (          ) provides guidance for believers.</t>
  </si>
  <si>
    <t>document</t>
  </si>
  <si>
    <t>dict(doc)</t>
  </si>
  <si>
    <t>[dάkjumənt｜dɔ́k-]</t>
  </si>
  <si>
    <t>중요하게 말해진(doc-dict) 내용을 시멘트처럼(ment &lt; cement) 단단하게 만든 것 ‘문서, 서류’</t>
  </si>
  <si>
    <t>문서, 서류</t>
  </si>
  <si>
    <t>Please sign this document and return it to us.</t>
  </si>
  <si>
    <t>Please sign this (          ) and return it to us.</t>
  </si>
  <si>
    <t>documented</t>
  </si>
  <si>
    <t>dict(doc) &gt; document</t>
  </si>
  <si>
    <t>[dάkjuməntid]</t>
  </si>
  <si>
    <t>문서(document)가 되게 하니 ‘기록된’</t>
  </si>
  <si>
    <t>기록된</t>
  </si>
  <si>
    <t>The researcher documented all his findings carefully.</t>
  </si>
  <si>
    <t>The researcher (          ) all his findings carefully.</t>
  </si>
  <si>
    <t>documentary</t>
  </si>
  <si>
    <t>[dὰkjuméntəri]</t>
  </si>
  <si>
    <t>문서(document) 중심으로 정확히 만드니 ‘기록에 의한, 문서의’</t>
  </si>
  <si>
    <t>기록에 의한, 문서의</t>
  </si>
  <si>
    <t>We watched an interesting documentary about ocean life.</t>
  </si>
  <si>
    <t>We watched an interesting (          ) about ocean life.</t>
  </si>
  <si>
    <t>dome</t>
  </si>
  <si>
    <t>dom</t>
  </si>
  <si>
    <r>
      <rPr>
        <sz val="12"/>
        <color indexed="8"/>
        <rFont val="Apple SD 산돌고딕 Neo 일반체"/>
      </rPr>
      <t>dom</t>
    </r>
  </si>
  <si>
    <t>[doum]</t>
  </si>
  <si>
    <t>집(dom)처럼 생겼는데 입구(e) 천장이 열리는 ‘둥근 천장이 있는 장소, 돔’</t>
  </si>
  <si>
    <t>둥근 천장이 있는 장소, 돔</t>
  </si>
  <si>
    <t>The cathedral has a magnificent dome.</t>
  </si>
  <si>
    <t>The cathedral has a magnificent (          ).</t>
  </si>
  <si>
    <t>domain</t>
  </si>
  <si>
    <t>[douméin]</t>
  </si>
  <si>
    <t>자기 집(dom)처럼 주로(main) 움직이는 ‘영토, 영역’</t>
  </si>
  <si>
    <t>영토, 영역</t>
  </si>
  <si>
    <t>Expertise in mathematics is not my domain.</t>
  </si>
  <si>
    <t>Expertise in mathematics is not my (          ).</t>
  </si>
  <si>
    <t>dominate</t>
  </si>
  <si>
    <t>[dάmənèit]</t>
  </si>
  <si>
    <t>자기 집(dom), 자기 영역 안(in)에서 ‘지배하다, 억누르다’</t>
  </si>
  <si>
    <t>지배하다, 억누르다</t>
  </si>
  <si>
    <t>The tall buildings dominate the city skyline.</t>
  </si>
  <si>
    <t>The tall buildings (          ) the city skyline.</t>
  </si>
  <si>
    <t>dominance</t>
  </si>
  <si>
    <t>[dάmənəns]</t>
  </si>
  <si>
    <t>자기 집(dom), 자기 영역 안(in)이니 남보다 ‘우세, 지배’</t>
  </si>
  <si>
    <t>우세, 지배</t>
  </si>
  <si>
    <t>The team's dominance in the league is impressive.</t>
  </si>
  <si>
    <t>The team's (          ) in the league is impressive.</t>
  </si>
  <si>
    <t>domestic</t>
  </si>
  <si>
    <t>dom &gt; dome</t>
  </si>
  <si>
    <t>[dəméstik]</t>
  </si>
  <si>
    <t>둥근 천장(dome) 아래 하나의 영역 아래 서(st) 있으니 ‘국내의, 가정 내의’</t>
  </si>
  <si>
    <t>국내의, 가정 내의</t>
  </si>
  <si>
    <t>Cats make wonderful domestic pets.</t>
  </si>
  <si>
    <t>Cats make wonderful (          ) pets.</t>
  </si>
  <si>
    <t>abdomen</t>
  </si>
  <si>
    <t>[ǽbdəmən, æbdóumən]</t>
  </si>
  <si>
    <t>살이 더하여(a) 부풀어서(b) 집의 둥근 천장 (dome) 처럼 생긴 ‘복부, 배’</t>
  </si>
  <si>
    <t>복부, 배</t>
  </si>
  <si>
    <t>The patient complained of pain in the lower abdomen.</t>
  </si>
  <si>
    <t>The patient complained of pain in the lower (          ).</t>
  </si>
  <si>
    <t>dormant</t>
  </si>
  <si>
    <t>dom(dorm)</t>
  </si>
  <si>
    <t>[dɔ́ːrmənt]</t>
  </si>
  <si>
    <t>집(dorm-dom)에 있으니 편하고 차분해져 ‘잠자는 있는, 휴지의’ 상태가 된다</t>
  </si>
  <si>
    <t>잠자는 있는, 휴지의</t>
  </si>
  <si>
    <t>The volcano has been dormant for centuries.</t>
  </si>
  <si>
    <t>The volcano has been (          ) for centuries.</t>
  </si>
  <si>
    <t>dormitory</t>
  </si>
  <si>
    <t>[dɔ́ːrmətɔ̀ːri]</t>
  </si>
  <si>
    <t>잠을 자기 위한 집(dorm-dom)을 학교 안(i)에 세워(t) 놓은 것, ‘기숙사’</t>
  </si>
  <si>
    <t>기숙사</t>
  </si>
  <si>
    <t>Most first-year students live in the university dormitory.</t>
  </si>
  <si>
    <t>Most first-year students live in the university (          ).</t>
  </si>
  <si>
    <t>donate</t>
  </si>
  <si>
    <t>don</t>
  </si>
  <si>
    <r>
      <rPr>
        <sz val="12"/>
        <color indexed="8"/>
        <rFont val="Apple SD 산돌고딕 Neo 일반체"/>
      </rPr>
      <t>don</t>
    </r>
  </si>
  <si>
    <t>[dóuneit]</t>
  </si>
  <si>
    <t>아래로 주는(don) 동작이니 ‘기부하다’</t>
  </si>
  <si>
    <t>기부하다</t>
  </si>
  <si>
    <t>She decided to donate money to the children's hospital.</t>
  </si>
  <si>
    <t>She decided to (          ) money to the children's hospital.</t>
  </si>
  <si>
    <t>donation</t>
  </si>
  <si>
    <t>don &gt; donate</t>
  </si>
  <si>
    <t>[dounéiʃən]</t>
  </si>
  <si>
    <t>기부(donate)하다 + 명사(~ion) = ‘기증, 기부’</t>
  </si>
  <si>
    <t>기증, 기부</t>
  </si>
  <si>
    <t>Your donation will help feed homeless families.</t>
  </si>
  <si>
    <t>Your (          ) will help feed homeless families.</t>
  </si>
  <si>
    <t>donor</t>
  </si>
  <si>
    <t>[dóunər]</t>
  </si>
  <si>
    <t>don(주다) + 사람(~or) = ‘기부자’</t>
  </si>
  <si>
    <t>기부자</t>
  </si>
  <si>
    <t>Blood donors save many lives every year.</t>
  </si>
  <si>
    <t>Blood (          )s save many lives every year.</t>
  </si>
  <si>
    <t>condone</t>
  </si>
  <si>
    <t>[kəndóun]</t>
  </si>
  <si>
    <t>죄 지은 사람도 제외시키지 않고 함께(con) 돈을 부여해 주니(don) ‘용서하다’</t>
  </si>
  <si>
    <t>용서하다</t>
  </si>
  <si>
    <t>I cannot condone such inappropriate behavior.</t>
  </si>
  <si>
    <t>I cannot (          ) such inappropriate behavior.</t>
  </si>
  <si>
    <t>pardon</t>
  </si>
  <si>
    <t>[pάːrdn]</t>
  </si>
  <si>
    <t>뒤따르던 죄인이 다른 이들과 나란히(par) 갈 수 있게 주는 것(don), ‘용서, 사면’</t>
  </si>
  <si>
    <t>용서, 사면</t>
  </si>
  <si>
    <t>Pardon me, but could you repeat the question?</t>
  </si>
  <si>
    <r>
      <rPr>
        <sz val="12"/>
        <color indexed="8"/>
        <rFont val="Arial"/>
      </rPr>
      <t>Pardon me, but could you repeat the question?</t>
    </r>
  </si>
  <si>
    <t>endow</t>
  </si>
  <si>
    <t>don(dow)</t>
  </si>
  <si>
    <t>[indáu]</t>
  </si>
  <si>
    <t>확실히 안으로(en) 주어(dow-don) 가지게 하니 ‘부여하다, 기부하다’</t>
  </si>
  <si>
    <t>부여하다, 기부하다</t>
  </si>
  <si>
    <t>The wealthy alumni will endow a new scholarship fund.</t>
  </si>
  <si>
    <t>The wealthy alumni will (          ) a new scholarship fund.</t>
  </si>
  <si>
    <t>duck</t>
  </si>
  <si>
    <t>du</t>
  </si>
  <si>
    <r>
      <rPr>
        <sz val="12"/>
        <color indexed="8"/>
        <rFont val="Apple SD 산돌고딕 Neo 일반체"/>
      </rPr>
      <t>du</t>
    </r>
  </si>
  <si>
    <t>[dʌk]</t>
  </si>
  <si>
    <t>오리가 물 아래쪽(du)으로 들어가 물고기를 잡는(c) 습성의 ‘오리’</t>
  </si>
  <si>
    <t>오리</t>
  </si>
  <si>
    <t>The duck swam gracefully across the pond.</t>
  </si>
  <si>
    <t>The (          ) swam gracefully across the pond.</t>
  </si>
  <si>
    <t>dunk shot</t>
  </si>
  <si>
    <t>[dʌŋk ʃat]</t>
  </si>
  <si>
    <t>아래로(du) 내려가 없어지게(n) 해 빠뜨리는(dunk) 슛(shot) ‘덩크슛’</t>
  </si>
  <si>
    <t>덩크슛</t>
  </si>
  <si>
    <t>The basketball player made an impressive dunk shot.</t>
  </si>
  <si>
    <t>The basketball player made an impressive (          ).</t>
  </si>
  <si>
    <t>dump</t>
  </si>
  <si>
    <t>[dʌmp]</t>
  </si>
  <si>
    <t>내용물을 아래쪽(du)으로 움직여서(m) 폭하고(p) 다 털어 버리니 ‘털썩 내려놓다, 버리다’</t>
  </si>
  <si>
    <t>털썩 내려놓다, 버리다</t>
  </si>
  <si>
    <t>Please don't dump trash in the park.</t>
  </si>
  <si>
    <t>Please don't (          ) trash in the park.</t>
  </si>
  <si>
    <t>dumped</t>
  </si>
  <si>
    <t>[dʌmpd]</t>
  </si>
  <si>
    <t>내용물을 아래쪽(du)으로 움직여서(m) 폭하고(p) 다 털어 버리니 ‘버려진’</t>
  </si>
  <si>
    <t>버려진</t>
  </si>
  <si>
    <t>She dumped all her old clothes in the donation bin.</t>
  </si>
  <si>
    <t>She (          ) all her old clothes in the donation bin.</t>
  </si>
  <si>
    <t>dung</t>
  </si>
  <si>
    <t>[dʌŋ]</t>
  </si>
  <si>
    <t>똥이 아래쪽(du) 떨어져 내려가고 때론 길게(g) 매달려 있는 ‘똥’</t>
  </si>
  <si>
    <t>똥</t>
  </si>
  <si>
    <t>Farmers use animal dung as fertilizer.</t>
  </si>
  <si>
    <t>Farmers use animal (          ) as fertilizer.</t>
  </si>
  <si>
    <t>dungeon</t>
  </si>
  <si>
    <t>du &gt; dung</t>
  </si>
  <si>
    <t>[dΛndʒən]</t>
  </si>
  <si>
    <t>똥(dung) 같이 더러운 것들이 그냥 있는 곳에 사람을 지속적으로(on) 가둬두는 ‘지하감옥’</t>
  </si>
  <si>
    <t>지하감옥</t>
  </si>
  <si>
    <t>The medieval castle had a dark dungeon for prisoners.</t>
  </si>
  <si>
    <t>The medieval castle had a dark (          ) for prisoners.</t>
  </si>
  <si>
    <t>dub</t>
  </si>
  <si>
    <t>[dʌb]</t>
  </si>
  <si>
    <t>아래로(du) 어깨에 검으로 두드려 (b) ‘작위를 주다, 호칭을 붙이다’</t>
  </si>
  <si>
    <t>작위를 주다, 호칭을 붙이다</t>
  </si>
  <si>
    <t>They will dub the movie into several languages.</t>
  </si>
  <si>
    <t>They will (          ) the movie into several languages.</t>
  </si>
  <si>
    <t>duke</t>
  </si>
  <si>
    <t>[djuːk]</t>
  </si>
  <si>
    <t>아래쪽으로(du) 피 지배층들에게 힘을 확장(k) 하는 사람, ‘공작’</t>
  </si>
  <si>
    <t>공작</t>
  </si>
  <si>
    <t>The duke owned large estates in the countryside.</t>
  </si>
  <si>
    <t>The (          ) owned large estates in the countryside.</t>
  </si>
  <si>
    <t>due</t>
  </si>
  <si>
    <t>[djuː]</t>
  </si>
  <si>
    <t>의무, 책임은 위에서 아래(du)로 내려오고 그것으로 인해 주머니 입구(e)로부터 돈이 나와야 하는 ‘부과금, 세금’</t>
  </si>
  <si>
    <t>부과금, 세금</t>
  </si>
  <si>
    <t>Your assignment is due next Monday.</t>
  </si>
  <si>
    <t>Your assignment is (          ) next Monday.</t>
  </si>
  <si>
    <t>duty</t>
  </si>
  <si>
    <t>[djúːti]</t>
  </si>
  <si>
    <t>위에서 아래(du)로 내려와 책임자에게 접촉하고(t) 일이 점점 확장(y)해 나가는 ‘의무, 책임’</t>
  </si>
  <si>
    <t>의무, 책임</t>
  </si>
  <si>
    <t>It's my duty to report any safety violations.</t>
  </si>
  <si>
    <t>It's my (          ) to report any safety violations.</t>
  </si>
  <si>
    <t>dusk</t>
  </si>
  <si>
    <t>[dʌsk]</t>
  </si>
  <si>
    <t>해가 아래(du)로 가서 하늘이(Sk-sky) 어두 침침한 ‘해질녘, 황혼’</t>
  </si>
  <si>
    <t>해질녘, 황혼</t>
  </si>
  <si>
    <t>The birds return to their nests at dusk.</t>
  </si>
  <si>
    <t>The birds return to their nests at (          ).</t>
  </si>
  <si>
    <t>dust</t>
  </si>
  <si>
    <t>[dʌst]</t>
  </si>
  <si>
    <t>아래쪽(du)에 내려와서 정지(st)해 있는 ‘흙, 먼지’</t>
  </si>
  <si>
    <t>흙, 먼지</t>
  </si>
  <si>
    <t>Please dust the furniture before guests arrive.</t>
  </si>
  <si>
    <t>Please (          ) the furniture before guests arrive.</t>
  </si>
  <si>
    <t>duct</t>
  </si>
  <si>
    <t>duc</t>
  </si>
  <si>
    <r>
      <rPr>
        <sz val="12"/>
        <color indexed="8"/>
        <rFont val="Apple SD 산돌고딕 Neo 일반체"/>
      </rPr>
      <t>duc</t>
    </r>
  </si>
  <si>
    <t>[dʌkt]</t>
  </si>
  <si>
    <t>이끌어(duc) 나아가게(t) 하는 ‘배관’</t>
  </si>
  <si>
    <t>배관</t>
  </si>
  <si>
    <t>The air conditioning duct needs cleaning.</t>
  </si>
  <si>
    <t>The air conditioning (          ) needs cleaning.</t>
  </si>
  <si>
    <t>conduct</t>
  </si>
  <si>
    <t>[kάndʌkt｜kɔ́n-]</t>
  </si>
  <si>
    <t>여러 연주자들을 함께(con) 이끌어내니(duct) ‘지휘하다, 이끌다', 이끌어낸 ‘행동’</t>
  </si>
  <si>
    <t>지휘하다, 이끌다', 이끌어낸 ‘행동, 행동</t>
  </si>
  <si>
    <t>The professor will conduct research during the summer.</t>
  </si>
  <si>
    <t>The professor will (          ) research during the summer.</t>
  </si>
  <si>
    <t>misconduct</t>
  </si>
  <si>
    <t>duc &gt; conduct</t>
  </si>
  <si>
    <t>[miskaˈndəkt]</t>
  </si>
  <si>
    <t>빗나간(miss) 행동(conduct)이니 ‘위법행위’</t>
  </si>
  <si>
    <t>위법행위</t>
  </si>
  <si>
    <t>The athlete was suspended for misconduct.</t>
  </si>
  <si>
    <t>The athlete was suspended for (          ).</t>
  </si>
  <si>
    <t>induct</t>
  </si>
  <si>
    <t>duc(duct)</t>
  </si>
  <si>
    <t>[indΛkt]</t>
  </si>
  <si>
    <t>안으로(in) 이끌어(duct-duc) ‘들이다, 안내하다’</t>
  </si>
  <si>
    <t>들이다, 안내하다</t>
  </si>
  <si>
    <t>They will induct new members into the club next month.</t>
  </si>
  <si>
    <t>They will (          ) new members into the club next month.</t>
  </si>
  <si>
    <t>deduct</t>
  </si>
  <si>
    <t>duct(duct)</t>
  </si>
  <si>
    <t>[didΛkt]</t>
  </si>
  <si>
    <t>위 숫자에서 아래쪽(de)으로 끌어내어(duct-duc) ‘빼다, 공제하다’</t>
  </si>
  <si>
    <t>빼다, 공제하다</t>
  </si>
  <si>
    <t>The company will deduct taxes from your paycheck.</t>
  </si>
  <si>
    <t>The company will (          ) taxes from your paycheck.</t>
  </si>
  <si>
    <t>abduct</t>
  </si>
  <si>
    <t>[æbdΛkt]</t>
  </si>
  <si>
    <t>이탈시켜(ab) 끌어내니(duct-duc) ‘유괴하다, 납치하다’</t>
  </si>
  <si>
    <t>유괴하다, 납치하다</t>
  </si>
  <si>
    <t>The kidnappers tried to abduct the wealthy businessman.</t>
  </si>
  <si>
    <t>The kidnappers tried to (          ) the wealthy businessman.</t>
  </si>
  <si>
    <t>produce</t>
  </si>
  <si>
    <t>duc(duce)</t>
  </si>
  <si>
    <t>[prədjúːs｜-djúːs]</t>
  </si>
  <si>
    <t>앞으로(pro) 이끌어내니(duce-duc) ‘생산하다’</t>
  </si>
  <si>
    <t>생산하다</t>
  </si>
  <si>
    <t>This farm produces organic vegetables year-round.</t>
  </si>
  <si>
    <t>This farm (          )s organic vegetables year-round.</t>
  </si>
  <si>
    <t>reproduce</t>
  </si>
  <si>
    <t>duc &gt; produce</t>
  </si>
  <si>
    <t>[riˌprəduˈs]</t>
  </si>
  <si>
    <t>다시(cre) 만들어(produce)내니 ‘재생하다, 재현하다’</t>
  </si>
  <si>
    <t>재생하다, 재현하다</t>
  </si>
  <si>
    <t>Scientists were able to reproduce the experimental results.</t>
  </si>
  <si>
    <t>Scientists were able to (          ) the experimental results.</t>
  </si>
  <si>
    <t>induce</t>
  </si>
  <si>
    <t>[indjúːs]</t>
  </si>
  <si>
    <t>안에서(in) 이끌어내니(duce-duc) ‘유발하다’</t>
  </si>
  <si>
    <t>유발하다</t>
  </si>
  <si>
    <t>Stress can induce headaches in many people.</t>
  </si>
  <si>
    <t>Stress can (          ) headaches in many people.</t>
  </si>
  <si>
    <t>introduce</t>
  </si>
  <si>
    <t>[ìntrədjúːs]</t>
  </si>
  <si>
    <t>상호간에(intro) 만나게 이끌어주니(duc-duce) ‘소개하다, 도입하다’</t>
  </si>
  <si>
    <t>소개하다, 도입하다</t>
  </si>
  <si>
    <t>Let me introduce you to my colleague.</t>
  </si>
  <si>
    <t>Let me (          ) you to my colleague.</t>
  </si>
  <si>
    <t>educe</t>
  </si>
  <si>
    <t>[idjúːs]</t>
  </si>
  <si>
    <t>입구를(e) 통해 이끌어내니(duc-duce) ‘(잠재능력 등을) 끌어내다’</t>
  </si>
  <si>
    <t>(잠재능력 등을) 끌어내다</t>
  </si>
  <si>
    <t>The teacher will educe correct answers from the students.</t>
  </si>
  <si>
    <t>The teacher will (          ) correct answers from the students.</t>
  </si>
  <si>
    <t>educate</t>
  </si>
  <si>
    <t>[édʒukèit]</t>
  </si>
  <si>
    <t>학생의 재능을 입구를(e) 통해 밖으로 이끌어 (duc) 내는 것이니 ‘교육하다, 훈육하다’</t>
  </si>
  <si>
    <t>교육하다, 훈육하다</t>
  </si>
  <si>
    <t>Parents and teachers work together to educate children.</t>
  </si>
  <si>
    <t>Parents and teachers work together to (          ) children.</t>
  </si>
  <si>
    <t>deduce</t>
  </si>
  <si>
    <t>[didjúːs]</t>
  </si>
  <si>
    <t>어떤 전제에서 아래로(de) 이끌어 내니(duce-duc) ‘추론하다’</t>
  </si>
  <si>
    <t>추론하다</t>
  </si>
  <si>
    <t>The detective could deduce who committed the crime.</t>
  </si>
  <si>
    <t>The detective could (          ) who committed the crime.</t>
  </si>
  <si>
    <t>reduce</t>
  </si>
  <si>
    <t>[ridjúːs]</t>
  </si>
  <si>
    <t>다시(re) 반대로 이끌어(duce-duc) ‘감소 시키다, 축소하다’</t>
  </si>
  <si>
    <t>감소 시키다, 축소하다</t>
  </si>
  <si>
    <t>We need to reduce our energy consumption.</t>
  </si>
  <si>
    <t>We need to (          ) our energy consumption.</t>
  </si>
  <si>
    <t>reduction</t>
  </si>
  <si>
    <t>duc(duce) &gt; reduce</t>
  </si>
  <si>
    <t>[ridΛkʃən]</t>
  </si>
  <si>
    <t>reduce(축소시키다) +명사(~tion) = ‘축소, 감소, 삭감’</t>
  </si>
  <si>
    <t>축소, 감소, 삭감</t>
  </si>
  <si>
    <t>The store is offering a reduction in prices this weekend.</t>
  </si>
  <si>
    <t>The store is offering a (          ) in prices this weekend.</t>
  </si>
  <si>
    <t>durable</t>
  </si>
  <si>
    <t>dur</t>
  </si>
  <si>
    <r>
      <rPr>
        <sz val="12"/>
        <color indexed="8"/>
        <rFont val="Apple SD 산돌고딕 Neo 일반체"/>
      </rPr>
      <t>dur</t>
    </r>
  </si>
  <si>
    <t>[djúərəbl]</t>
  </si>
  <si>
    <t>지속(dur) 할 수 있는 능력(able)이 있으니 ‘내구성 있는’</t>
  </si>
  <si>
    <t>내구성 있는</t>
  </si>
  <si>
    <t>These hiking boots are made of durable materials.</t>
  </si>
  <si>
    <t>These hiking boots are made of (          ) materials.</t>
  </si>
  <si>
    <t>endure</t>
  </si>
  <si>
    <t>[indjúər]</t>
  </si>
  <si>
    <t>안에서(en) 버티며 지속(dur)하니 ‘견디다,  지탱하다’</t>
  </si>
  <si>
    <t>견디다,  지탱하다</t>
  </si>
  <si>
    <t>The hikers had to endure freezing temperatures on the mountain.</t>
  </si>
  <si>
    <t>The hikers had to (          ) freezing temperatures on the mountain.</t>
  </si>
  <si>
    <t>damn</t>
  </si>
  <si>
    <r>
      <rPr>
        <sz val="12"/>
        <color indexed="8"/>
        <rFont val="Apple SD 산돌고딕 Neo 일반체"/>
      </rPr>
      <t>damn</t>
    </r>
  </si>
  <si>
    <t>[dæm]</t>
  </si>
  <si>
    <t>아래로(d) 남을 내리고 좋은 것들을 다 없애니(n) ‘저주, 악담 저주하다’</t>
  </si>
  <si>
    <t>저주, 악담 저주하다</t>
  </si>
  <si>
    <t>The broken dam caused flooding in the valley.</t>
  </si>
  <si>
    <r>
      <rPr>
        <sz val="12"/>
        <color indexed="8"/>
        <rFont val="Arial"/>
      </rPr>
      <t>The broken dam caused flooding in the valley.</t>
    </r>
  </si>
  <si>
    <t>damage</t>
  </si>
  <si>
    <t>damn(dam)</t>
  </si>
  <si>
    <t>[dǽmidʒ]</t>
  </si>
  <si>
    <t>저주(dam-damn)가 오랫동안(age) 지속된 것 처럼 입은 ‘손해, 피해’</t>
  </si>
  <si>
    <t>손해, 피해</t>
  </si>
  <si>
    <t>The storm caused significant damage to the roof.</t>
  </si>
  <si>
    <t>The storm caused significant (          ) to the roof.</t>
  </si>
  <si>
    <t>condemn</t>
  </si>
  <si>
    <t>damn(demn)</t>
  </si>
  <si>
    <t>[kəndém]</t>
  </si>
  <si>
    <t>함께(con) 여러사람이 저주(demn-damn)처럼 뭐라고 하니 ‘비난하다, 규탄하다’</t>
  </si>
  <si>
    <t>비난하다, 규탄하다</t>
  </si>
  <si>
    <t>The judge will condemn the unsafe building.</t>
  </si>
  <si>
    <t>The judge will (          ) the unsafe building.</t>
  </si>
  <si>
    <t>depress</t>
  </si>
  <si>
    <t>de</t>
  </si>
  <si>
    <r>
      <rPr>
        <sz val="12"/>
        <color indexed="8"/>
        <rFont val="Apple SD 산돌고딕 Neo 일반체"/>
      </rPr>
      <t>de</t>
    </r>
  </si>
  <si>
    <t>[diprés]</t>
  </si>
  <si>
    <t>아래로(de) 마음을 누르니(press) ‘낙담시키다’</t>
  </si>
  <si>
    <t>낙담시키다</t>
  </si>
  <si>
    <t>Bad news can depress your mood.</t>
  </si>
  <si>
    <t>Bad news can (          ) your mood.</t>
  </si>
  <si>
    <t>depression</t>
  </si>
  <si>
    <t>de &gt; depress</t>
  </si>
  <si>
    <t>[dipréʃən]</t>
  </si>
  <si>
    <t>마음을 계속 낙담시키(depress)는 것 ‘우울증’</t>
  </si>
  <si>
    <t>우울증</t>
  </si>
  <si>
    <t>Economic depression led to high unemployment rates.</t>
  </si>
  <si>
    <t>Economic (          ) led to high unemployment rates.</t>
  </si>
  <si>
    <t>dew</t>
  </si>
  <si>
    <t>하늘에서 아래로(de) 떨어져 내리는 물(w-water) ‘이슬’</t>
  </si>
  <si>
    <t>이슬</t>
  </si>
  <si>
    <t>Morning dew covered the grass.</t>
  </si>
  <si>
    <t>Morning (          ) covered the grass.</t>
  </si>
  <si>
    <t>deer</t>
  </si>
  <si>
    <t>[diər]</t>
  </si>
  <si>
    <t>싸울 때 뿔을 아래로(de) 숙이고 힘차게(r) 돌진하는 ‘사슴’</t>
  </si>
  <si>
    <t>사슴</t>
  </si>
  <si>
    <t>The deer ran swiftly through the forest.</t>
  </si>
  <si>
    <t>The (          ) ran swiftly through the forest.</t>
  </si>
  <si>
    <t>delicate</t>
  </si>
  <si>
    <t>[délikət]</t>
  </si>
  <si>
    <t>실크 옷이 아래로(de) 흐느적 풀어지듯(l) 하늘거리고 잡아보면(c) ‘섬세한, 미묘한’</t>
  </si>
  <si>
    <t>섬세한, 미묘한</t>
  </si>
  <si>
    <t>Handle that delicate glass vase with care.</t>
  </si>
  <si>
    <t>Handle that (          ) glass vase with care.</t>
  </si>
  <si>
    <t>desire</t>
  </si>
  <si>
    <t>[dizáiər]</t>
  </si>
  <si>
    <t>아래쪽(de)으로 가보면 보이지 않는(s) 안쪽(i) 에 있는 아주 강한(r) ‘욕구, 갈망, 원하다’</t>
  </si>
  <si>
    <t>욕구, 갈망, 원하다</t>
  </si>
  <si>
    <t>My greatest desire is to travel around the world.</t>
  </si>
  <si>
    <t>My greatest (          ) is to travel around the world.</t>
  </si>
  <si>
    <t>devour</t>
  </si>
  <si>
    <t>[diváuər]</t>
  </si>
  <si>
    <t>아래로(de) 입을 벌리고(v) 우리(내) 것이라고 (our) ‘게걸스레 먹다’</t>
  </si>
  <si>
    <t>게걸스레 먹다</t>
  </si>
  <si>
    <t>The hungry lions devour their prey quickly.</t>
  </si>
  <si>
    <t>The hungry lions (          ) their prey quickly.</t>
  </si>
  <si>
    <t>deter</t>
  </si>
  <si>
    <t>[ditə́ːr]</t>
  </si>
  <si>
    <t>하려는 마음을 아래로(de) 나아가게(t) 하니 ‘단념시키다, 그만두게 하다’</t>
  </si>
  <si>
    <t>단념시키다, 그만두게 하다</t>
  </si>
  <si>
    <t>High prices deter many potential customers.</t>
  </si>
  <si>
    <t>High prices (          ) many potential customers.</t>
  </si>
  <si>
    <t>deterrent</t>
  </si>
  <si>
    <t>de &gt; deter</t>
  </si>
  <si>
    <t>[ditə́ːrənt]</t>
  </si>
  <si>
    <t>단념시키다(deter) + 형용사(~ent) = ‘단념시키는’</t>
  </si>
  <si>
    <t>단념시키는</t>
  </si>
  <si>
    <t>The security camera serves as a deterrent to thieves.</t>
  </si>
  <si>
    <t>The security camera serves as a (          ) to thieves.</t>
  </si>
  <si>
    <t>desk</t>
  </si>
  <si>
    <t>[desk]</t>
  </si>
  <si>
    <t>아래로(de) 내려가 앉아서 표면(sk)에서 뭔가를 하는 ‘책상’</t>
  </si>
  <si>
    <t>책상</t>
  </si>
  <si>
    <t>I need to clean my desk before starting work.</t>
  </si>
  <si>
    <t>I need to clean my (          ) before starting work.</t>
  </si>
  <si>
    <t>deck</t>
  </si>
  <si>
    <t>[dek]</t>
  </si>
  <si>
    <t>아래로(de) 사람이 떨어지는 것을 잡아(c)주는 역할을 하며 옆으로 확장(A)되어 있는 장소, ‘갑판’</t>
  </si>
  <si>
    <t>갑판</t>
  </si>
  <si>
    <t>We sat on the deck enjoying the ocean view.</t>
  </si>
  <si>
    <t>We sat on the (          ) enjoying the ocean view.</t>
  </si>
  <si>
    <t>deaf</t>
  </si>
  <si>
    <t>de(d)</t>
  </si>
  <si>
    <t>[def]</t>
  </si>
  <si>
    <t>기능이 저하되어(d) 귀에(ea-ear) 가벼운(f) 소리도 안 들리는 ‘귀먹은’</t>
  </si>
  <si>
    <t>귀먹은</t>
  </si>
  <si>
    <t>The deaf student communicates using sign language.</t>
  </si>
  <si>
    <t>The (          ) student communicates using sign language.</t>
  </si>
  <si>
    <t>deny</t>
  </si>
  <si>
    <t>[dinái]</t>
  </si>
  <si>
    <t>마음이 아래로(de) 내려가고 그런 일 없다고 하니(ny-nay) ‘부정하다, 부인하다’</t>
  </si>
  <si>
    <t>부정하다, 부인하다</t>
  </si>
  <si>
    <t>He continued to deny any involvement in the crime.</t>
  </si>
  <si>
    <t>He continued to (          ) any involvement in the crime.</t>
  </si>
  <si>
    <t>defy</t>
  </si>
  <si>
    <t>[difái]</t>
  </si>
  <si>
    <t>순종심을 아래로 저하되게(de) 만들니(y) ‘반항하다, 거역하다’</t>
  </si>
  <si>
    <t>반항하다, 거역하다</t>
  </si>
  <si>
    <t>The climber will defy gravity by scaling the vertical cliff.</t>
  </si>
  <si>
    <t>The climber will (          ) gravity by scaling the vertical cliff.</t>
  </si>
  <si>
    <t>deprave</t>
  </si>
  <si>
    <t>[dipréiv]</t>
  </si>
  <si>
    <t>신선도 수준이 낮아져서(de) 폭하고,(p) 힘있게(r) 썩은 가스가 갈라진 틈으로(v) 분출되니 ‘타락시키다, 부패시키다’</t>
  </si>
  <si>
    <t>타락시키다, 부패시키다</t>
  </si>
  <si>
    <t>Violent movies might deprave young minds.</t>
  </si>
  <si>
    <t>Violent movies might (          ) young minds.</t>
  </si>
  <si>
    <t>destroy</t>
  </si>
  <si>
    <t>[distrɔ́i]</t>
  </si>
  <si>
    <t>아래쪽(de)으로 쓰러지게 하는 것이 서(story)있는 건물이므로 ‘파괴하다’</t>
  </si>
  <si>
    <t>파괴하다</t>
  </si>
  <si>
    <t>The flood will destroy many homes in the area.</t>
  </si>
  <si>
    <t>The flood will (          ) many homes in the area.</t>
  </si>
  <si>
    <t>demolish</t>
  </si>
  <si>
    <t>[dimάliʃ]</t>
  </si>
  <si>
    <t>크기를 저하시켜(de) 큰 둥근 덩어리(mo)를 가루 같이 풀어져서(l) 안보이게(sh) 하니 ‘분쇄하다, 파괴하다’</t>
  </si>
  <si>
    <t>분쇄하다, 파괴하다</t>
  </si>
  <si>
    <t>They plan to demolish the old building next month.</t>
  </si>
  <si>
    <t>They plan to (          ) the old building next month.</t>
  </si>
  <si>
    <t>debris</t>
  </si>
  <si>
    <t>[dəbríː]</t>
  </si>
  <si>
    <t>아래쪽(de)으로 터져서(b) 힘있게(r) 나아가 생기는(is) ‘파편, 잔해’</t>
  </si>
  <si>
    <t>파편, 잔해</t>
  </si>
  <si>
    <t>Workers cleared debris from the construction site.</t>
  </si>
  <si>
    <t>Workers cleared (          ) from the construction site.</t>
  </si>
  <si>
    <t>deem</t>
  </si>
  <si>
    <t>[diːm]</t>
  </si>
  <si>
    <t>생각을 깊숙이 아래쪽(de)으로 계속(ee) 움직여(m) 가니 ‘생각하다, 간주하다’</t>
  </si>
  <si>
    <t>생각하다, 간주하다</t>
  </si>
  <si>
    <t>The court deemed the evidence inadmissible.</t>
  </si>
  <si>
    <t>The court (          )ed the evidence inadmissible.</t>
  </si>
  <si>
    <t>redeem</t>
  </si>
  <si>
    <t>ded(d) &gt; deem</t>
  </si>
  <si>
    <t>[ridíːm]</t>
  </si>
  <si>
    <t>다시(re) 생각해보고(deem) ‘되찾다, 되사다’</t>
  </si>
  <si>
    <t>되찾다, 되사다</t>
  </si>
  <si>
    <t>You can redeem your points for free merchandise.</t>
  </si>
  <si>
    <t>You can (          ) your points for free merchandise.</t>
  </si>
  <si>
    <t>redemption</t>
  </si>
  <si>
    <t>deem &gt; redeem</t>
  </si>
  <si>
    <t>[ridémpʃən]</t>
  </si>
  <si>
    <t>되찾다(redem-redeem) + 명사(~tion) = ‘상환, 되찾기’</t>
  </si>
  <si>
    <t>상환, 되찾기</t>
  </si>
  <si>
    <t>The movie tells a powerful story of redemption.</t>
  </si>
  <si>
    <t>The movie tells a powerful story of (          ).</t>
  </si>
  <si>
    <t>devout</t>
  </si>
  <si>
    <t>[diváut]</t>
  </si>
  <si>
    <t>아래로(de) 엎드려서 마음의 갈라진 틈(v)으로 온 마음을 밖(out)으로 쏟아내어 ‘독실한’</t>
  </si>
  <si>
    <t>독실한</t>
  </si>
  <si>
    <t>The devout worshippers attend services every week.</t>
  </si>
  <si>
    <t>The (          ) worshippers attend services every week.</t>
  </si>
  <si>
    <t>delve</t>
  </si>
  <si>
    <t>[delv]</t>
  </si>
  <si>
    <t>아래로(de) 내려가면서 시간을 길게(l), 계속해서 틈을(v) 보니 ‘깊이 탐구하다’</t>
  </si>
  <si>
    <t>깊이 탐구하다</t>
  </si>
  <si>
    <t>Researchers delve into the mysteries of the universe.</t>
  </si>
  <si>
    <t>Researchers (          ) into the mysteries of the universe.</t>
  </si>
  <si>
    <t>depart</t>
  </si>
  <si>
    <t>[dipάːrt]</t>
  </si>
  <si>
    <t>아래로 분리되어(de) 부분이(part) 되니 떨어져 나가는 것으로 ‘떠나다, 출발하다’</t>
  </si>
  <si>
    <t>떠나다, 출발하다</t>
  </si>
  <si>
    <t>The train will depart from platform 3.</t>
  </si>
  <si>
    <t>The train will (          ) from platform 3.</t>
  </si>
  <si>
    <t>delay</t>
  </si>
  <si>
    <t>[diléi]</t>
  </si>
  <si>
    <t xml:space="preserve">일정이 점점 아래로(de) 쳐지게 놓아(lay) 두니 ‘지연시키다’ </t>
  </si>
  <si>
    <t>지연시키다</t>
  </si>
  <si>
    <t>Bad weather may delay our flight.</t>
  </si>
  <si>
    <t>Bad weather may (          ) our flight.</t>
  </si>
  <si>
    <t>dialogue</t>
  </si>
  <si>
    <t>di</t>
  </si>
  <si>
    <r>
      <rPr>
        <sz val="12"/>
        <color indexed="8"/>
        <rFont val="Apple SD 산돌고딕 Neo 일반체"/>
      </rPr>
      <t>di</t>
    </r>
  </si>
  <si>
    <t>[dáiəlɔ̀ːg, dáiəlὰg]</t>
  </si>
  <si>
    <t>둘(di)이서 하는 말(log) ‘대화, 문답’</t>
  </si>
  <si>
    <t>대화, 문답</t>
  </si>
  <si>
    <t>The dialogue between the characters reveals their relationship.</t>
  </si>
  <si>
    <t>The (          ) between the characters reveals their relationship.</t>
  </si>
  <si>
    <t>divide</t>
  </si>
  <si>
    <t>[diváid]</t>
  </si>
  <si>
    <t>둘(di)로 되게 갈라진 틈(v)에 칼집을 내며 아래로(d) 내려쳐 ‘나누다, 분할하다’</t>
  </si>
  <si>
    <t>나누다, 분할하다</t>
  </si>
  <si>
    <t>A mountain range divides the two countries.</t>
  </si>
  <si>
    <t>A mountain range (          )s the two countries.</t>
  </si>
  <si>
    <t>division</t>
  </si>
  <si>
    <t>di &gt; divide</t>
  </si>
  <si>
    <t>[divíʒən]</t>
  </si>
  <si>
    <t>나누다(divide) + 명사(~sion) = ‘나누기, 분할’</t>
  </si>
  <si>
    <t>나누기, 분할</t>
  </si>
  <si>
    <t>The division of labor made the work more efficient.</t>
  </si>
  <si>
    <t>The (          ) of labor made the work more efficient.</t>
  </si>
  <si>
    <t>dividend</t>
  </si>
  <si>
    <t>[dívədènd]</t>
  </si>
  <si>
    <t>나누어서(divide) 결산 후 끝(end)에 주는 ‘배당(금)’</t>
  </si>
  <si>
    <t>배당(금)</t>
  </si>
  <si>
    <t>The company pays a dividend to shareholders quarterly.</t>
  </si>
  <si>
    <t>The company pays a (          ) to shareholders quarterly.</t>
  </si>
  <si>
    <t>device</t>
  </si>
  <si>
    <t>[diváis]</t>
  </si>
  <si>
    <t>문제를 나누어(divide-devi) 잡아서(c) 해결해 나가기 위한 도구 ‘장치, 기기’</t>
  </si>
  <si>
    <t>장치, 기기</t>
  </si>
  <si>
    <t>This electronic device can translate 50 languages.</t>
  </si>
  <si>
    <t>This electronic (          ) can translate 50 languages.</t>
  </si>
  <si>
    <t>individual</t>
  </si>
  <si>
    <t>[ìndəvídʒuəl]</t>
  </si>
  <si>
    <t>혼자(i) 다른 사람들 없이(n) 나누어(divide-divi) 놓으니 ‘개별적인, 개개의’</t>
  </si>
  <si>
    <t>개별적인, 개개의</t>
  </si>
  <si>
    <t>Each individual has unique talents and abilities.</t>
  </si>
  <si>
    <t>Each (          ) has unique talents and abilities.</t>
  </si>
  <si>
    <t>dilemma</t>
  </si>
  <si>
    <t>[dilémə]</t>
  </si>
  <si>
    <t>두(di) 갈래가 되어 어디로 길게(l) 움직여(m) 나가야 할 지를 모르니 ‘진퇴양난, 딜레마’</t>
  </si>
  <si>
    <t>진퇴양난, 딜레마</t>
  </si>
  <si>
    <t>She faced a dilemma when offered two jobs simultaneously.</t>
  </si>
  <si>
    <t>She faced a (          ) when offered two jobs simultaneously.</t>
  </si>
  <si>
    <t>dilate</t>
  </si>
  <si>
    <t>[dailéit]</t>
  </si>
  <si>
    <t>하나가 둘로(di) 확장하여 길게(l) 늘어나 나아가니(t) ‘넓어지다, 팽창시키다’</t>
  </si>
  <si>
    <t>넓어지다, 팽창시키다</t>
  </si>
  <si>
    <t>Your pupils dilate in dim light.</t>
  </si>
  <si>
    <t>Your pupils (          ) in dim light.</t>
  </si>
  <si>
    <t>divorce</t>
  </si>
  <si>
    <t>[divɔ́ːrs]</t>
  </si>
  <si>
    <t>한 몸처럼 살다가 둘로(di) 각각이 되어 틈(v)이 벌어지는 것이니 ‘이혼’</t>
  </si>
  <si>
    <t>이혼</t>
  </si>
  <si>
    <t>The couple decided to divorce after ten years of marriage.</t>
  </si>
  <si>
    <t>The couple decided to (          ) after ten years of marriage.</t>
  </si>
  <si>
    <t>display</t>
  </si>
  <si>
    <t>dis</t>
  </si>
  <si>
    <r>
      <rPr>
        <sz val="12"/>
        <color indexed="8"/>
        <rFont val="Apple SD 산돌고딕 Neo 일반체"/>
      </rPr>
      <t>dis</t>
    </r>
  </si>
  <si>
    <t>[displéi]</t>
  </si>
  <si>
    <t>다른 제품들과 분리(dis)시켜 눈 앞에 실행 (play)하니 ‘전시하다, 진열하다’</t>
  </si>
  <si>
    <t>전시하다, 진열하다</t>
  </si>
  <si>
    <t>The museum will display ancient artifacts from Egypt.</t>
  </si>
  <si>
    <t>The museum will (          ) ancient artifacts from Egypt.</t>
  </si>
  <si>
    <t>discrepancy</t>
  </si>
  <si>
    <t>[diskrépənsi]</t>
  </si>
  <si>
    <t>반대(dis) 만들어(cre) 빵을(pan) 가져다 놓으니 ‘불일치, 모순’</t>
  </si>
  <si>
    <t>불일치, 모순</t>
  </si>
  <si>
    <t>There is a discrepancy between the two financial reports.</t>
  </si>
  <si>
    <t>There is a (          ) between the two financial reports.</t>
  </si>
  <si>
    <t>discernible</t>
  </si>
  <si>
    <t>[disə́ːrnəbl, -zə́ːrn-]</t>
  </si>
  <si>
    <t>분리(dis)시켜 차이를 잡아(c) 낼 수 있으니 (ible-able) ‘구별할 수 있는, 인식할 수 있는’</t>
  </si>
  <si>
    <t>구별할 수 있는, 인식할 수 있는</t>
  </si>
  <si>
    <t>The outline of the mountains was barely discernible through the fog.</t>
  </si>
  <si>
    <t>The outline of the mountains was barely (          ) through the fog.</t>
  </si>
  <si>
    <t>discontent</t>
  </si>
  <si>
    <t>[dìskəntént]</t>
  </si>
  <si>
    <t>반대(dis)로 만족한 상태(content)이므로 ‘불평, 불만’</t>
  </si>
  <si>
    <t>불평, 불만</t>
  </si>
  <si>
    <t>Economic hardship leads to discontent among citizens.</t>
  </si>
  <si>
    <t>Economic hardship leads to (          ) among citizens.</t>
  </si>
  <si>
    <t>dislike</t>
  </si>
  <si>
    <t>[disláik]</t>
  </si>
  <si>
    <t>반대(dis)로 좋아하니(ike) ‘싫어하다’</t>
  </si>
  <si>
    <t>싫어하다</t>
  </si>
  <si>
    <t>I dislike waiting in long lines.</t>
  </si>
  <si>
    <t>I (          ) waiting in long lines.</t>
  </si>
  <si>
    <t>disable</t>
  </si>
  <si>
    <t>[diséibl]</t>
  </si>
  <si>
    <t>반대(dis)로 가능하게(able) 하니 ‘무능[무력]하게 하다’</t>
  </si>
  <si>
    <t>무능[무력]하게 하다</t>
  </si>
  <si>
    <t>The virus can disable important computer functions.</t>
  </si>
  <si>
    <t>The virus can (          ) important computer functions.</t>
  </si>
  <si>
    <t>disperse</t>
  </si>
  <si>
    <t>[dispə́ːrs]</t>
  </si>
  <si>
    <t>분리(dis)시켜 폭(p)하고 튀어 나가 사라지게(s) 하니 ‘흩어지게 하다, 분산시키다’</t>
  </si>
  <si>
    <t>흩어지게 하다, 분산시키다</t>
  </si>
  <si>
    <t>Police ordered the crowd to disperse.</t>
  </si>
  <si>
    <t>Police ordered the crowd to (          ).</t>
  </si>
  <si>
    <t>dispersion</t>
  </si>
  <si>
    <t>dis &gt; disperse</t>
  </si>
  <si>
    <t>[dispə́ːrʒən]</t>
  </si>
  <si>
    <t>분산시키다(disperse) + 명사(~ion) = ‘분산, 분리’</t>
  </si>
  <si>
    <t>분산, 분리</t>
  </si>
  <si>
    <t>The dispersion of seeds ensures plant survival.</t>
  </si>
  <si>
    <t>The (          ) of seeds ensures plant survival.</t>
  </si>
  <si>
    <t>dismay</t>
  </si>
  <si>
    <t>[disméi]</t>
  </si>
  <si>
    <t>분리(dis)시켜 아마도(may) 하는 좋은 가능성 조차도 ‘경악하게 만들다, 경악, 실망’</t>
  </si>
  <si>
    <t>경악하게 만들다, 경악, 실망</t>
  </si>
  <si>
    <t>To our dismay, the concert was canceled.</t>
  </si>
  <si>
    <t>To our (          ), the concert was canceled.</t>
  </si>
  <si>
    <t>dumb</t>
  </si>
  <si>
    <t>[dʌm]</t>
  </si>
  <si>
    <t>기능이 낮은 수준(du)이 된 상태이니 ‘말을 못 하는, 바보 같은’</t>
  </si>
  <si>
    <t>말을 못 하는, 바보 같은</t>
  </si>
  <si>
    <t>It would be dumb to swim in such dangerous waters.</t>
  </si>
  <si>
    <t>It would be (          ) to swim in such dangerous waters.</t>
  </si>
  <si>
    <t>dummy</t>
  </si>
  <si>
    <t>[dΛmi]</t>
  </si>
  <si>
    <t>낮은 수준으로(du) 만들다 움직임을(m) ‘견본, 모형, 모조품’</t>
  </si>
  <si>
    <t>견본, 모형, 모조품</t>
  </si>
  <si>
    <t>The crash test dummy helps evaluate vehicle safety.</t>
  </si>
  <si>
    <t>The crash test (          ) helps evaluate vehicle safety.</t>
  </si>
  <si>
    <t>dumdum</t>
  </si>
  <si>
    <t>[dΛmdΛm]</t>
  </si>
  <si>
    <t>낮은 수준의(du) 움직임을(m) 보여주는 반복 해서 보여주니 ‘바보, 멍청이’</t>
  </si>
  <si>
    <t>바보, 멍청이</t>
  </si>
  <si>
    <t>The detective found a dumdum bullet at the crime scene.</t>
  </si>
  <si>
    <t>The detective found a (          ) bullet at the crime scene.</t>
  </si>
  <si>
    <t>dull</t>
  </si>
  <si>
    <t>[dʌl]</t>
  </si>
  <si>
    <t>기능이 저하(du)되고 단단함과 날카로움이 풀어지니(ll) ‘둔한, 머리가 둔한’</t>
  </si>
  <si>
    <t>둔한, 머리가 둔한</t>
  </si>
  <si>
    <t>The knife has become dull and needs sharpening.</t>
  </si>
  <si>
    <t>The knife has become (          ) and needs sharpening.</t>
  </si>
  <si>
    <t>dubious</t>
  </si>
  <si>
    <t>[djúːbiəs]</t>
  </si>
  <si>
    <t>신뢰가 낮은 수준(du)이 되어 터져 나가니(b) 안에서(i) 일어나는 ‘의심하는’</t>
  </si>
  <si>
    <t>의심하는</t>
  </si>
  <si>
    <t>I am dubious about his ability to finish on time.</t>
  </si>
  <si>
    <t>I am (          ) about his ability to finish on time.</t>
  </si>
  <si>
    <t>doubt</t>
  </si>
  <si>
    <t>du(dou)</t>
  </si>
  <si>
    <t>[daut]</t>
  </si>
  <si>
    <t>신뢰가 낮은 수준(dou-du)이 되어 터져(b) 나가고 새롭게 서게(t)된 생각이니 ‘의심하다’</t>
  </si>
  <si>
    <t>의심하다</t>
  </si>
  <si>
    <t>I doubt that it will rain tomorrow.</t>
  </si>
  <si>
    <t>I (          ) that it will rain tomorrow.</t>
  </si>
  <si>
    <t>ear</t>
  </si>
  <si>
    <t>e</t>
  </si>
  <si>
    <r>
      <rPr>
        <sz val="12"/>
        <color indexed="8"/>
        <rFont val="Apple SD 산돌고딕 Neo 일반체"/>
      </rPr>
      <t>ear</t>
    </r>
  </si>
  <si>
    <t>[iər]</t>
  </si>
  <si>
    <t>뚫린 입구(e)를 통해 힘을(r) 다해 듣는 것, ‘귀’</t>
  </si>
  <si>
    <t>귀</t>
  </si>
  <si>
    <t>The human ear can detect a wide range of sounds.</t>
  </si>
  <si>
    <t>The human (          ) can detect a wide range of sounds.</t>
  </si>
  <si>
    <t>early</t>
  </si>
  <si>
    <t>e &gt; ear</t>
  </si>
  <si>
    <t>[ə́ːrli]</t>
  </si>
  <si>
    <t>귀(ear)를 통해 닭의 긴(l) 소리가 잘 들리는 이른 시간이니 ‘일찍이, 일찍부터’</t>
  </si>
  <si>
    <t>일찍이, 일찍부터</t>
  </si>
  <si>
    <t>Please arrive early for the interview.</t>
  </si>
  <si>
    <t>Please arrive (          ) for the interview.</t>
  </si>
  <si>
    <t>hear</t>
  </si>
  <si>
    <t>[hiər]</t>
  </si>
  <si>
    <t>소리를 크게 잡으니(h) 귀로(ear) ‘듣다’</t>
  </si>
  <si>
    <t>듣다</t>
  </si>
  <si>
    <t>Can you hear the birds singing?</t>
  </si>
  <si>
    <t>Can you (          ) the birds singing?</t>
  </si>
  <si>
    <t>enter</t>
  </si>
  <si>
    <t>en</t>
  </si>
  <si>
    <r>
      <rPr>
        <sz val="12"/>
        <color indexed="8"/>
        <rFont val="Apple SD 산돌고딕 Neo 일반체"/>
      </rPr>
      <t>en</t>
    </r>
  </si>
  <si>
    <t>[éntər]</t>
  </si>
  <si>
    <t>안(en)으로 나아가니(t) ‘들어가다, 입장하다’</t>
  </si>
  <si>
    <t>들어가다, 입장하다</t>
  </si>
  <si>
    <t>Please enter your password to access the system.</t>
  </si>
  <si>
    <t>Please (          ) your password to access the system.</t>
  </si>
  <si>
    <t>entry</t>
  </si>
  <si>
    <t>en &gt; enter</t>
  </si>
  <si>
    <t>[éntri]</t>
  </si>
  <si>
    <t>안으로 들어가면서(ent-enter) 입장하는 사람 들이 점점 확장되니(y) ‘들어감, 진출, 참가’</t>
  </si>
  <si>
    <t>들어감, 진출, 참가</t>
  </si>
  <si>
    <t>Your diary entry from last year is quite interesting.</t>
  </si>
  <si>
    <t>Your diary (          ) from last year is quite interesting.</t>
  </si>
  <si>
    <t>entrance</t>
  </si>
  <si>
    <t>[éntrəns]</t>
  </si>
  <si>
    <t>안으로 들어가니(entr-enter) 입구 &gt; ‘들어가기, 입구, 현관’</t>
  </si>
  <si>
    <t>들어가기, 입구, 현관</t>
  </si>
  <si>
    <t>The entrance to the cave was hidden behind rocks.</t>
  </si>
  <si>
    <t>The (          ) to the cave was hidden behind rocks.</t>
  </si>
  <si>
    <t>entity</t>
  </si>
  <si>
    <t>[éntəti]</t>
  </si>
  <si>
    <t>안으로 들어가 보니(ent-enter) 혼자서(i) 서 있는(t)
-독립체 y 확장해 나갈 수도 있음 &gt; ‘개체, 독립체’</t>
  </si>
  <si>
    <t>개체, 독립체</t>
  </si>
  <si>
    <t>The corporation is a legal entity separate from its owners.</t>
  </si>
  <si>
    <t>The corporation is a legal (          ) separate from its owners.</t>
  </si>
  <si>
    <t>entice</t>
  </si>
  <si>
    <t>[intáis]</t>
  </si>
  <si>
    <t>안(en)으로 들어와 나아가자고(t) 잡아(c) 끄니 ‘유혹하다, 꼬드기다’</t>
  </si>
  <si>
    <t>유혹하다, 꼬드기다</t>
  </si>
  <si>
    <t>Fresh cookies entice customers into the bakery.</t>
  </si>
  <si>
    <t>Fresh cookies (          ) customers into the bakery.</t>
  </si>
  <si>
    <t>engage</t>
  </si>
  <si>
    <t>[ingéidʒ]</t>
  </si>
  <si>
    <t>안(en)으로 들어와 함께 일하자고 깊은 곳(g)으로 끌어당기니 ‘관계를 맺다, 종사시키다’</t>
  </si>
  <si>
    <t>관계를 맺다, 종사시키다</t>
  </si>
  <si>
    <t>The speaker was able to engage the audience throughout the lecture.</t>
  </si>
  <si>
    <t>The speaker was able to (          ) the audience throughout the lecture.</t>
  </si>
  <si>
    <t>engagement</t>
  </si>
  <si>
    <t>en &gt; engage</t>
  </si>
  <si>
    <t>[ingéidʒmənt]</t>
  </si>
  <si>
    <t>관계를 맺다(engage) + 명사(~ment) = ‘참여, 약혼’</t>
  </si>
  <si>
    <t>참여, 약혼</t>
  </si>
  <si>
    <t>Their engagement was announced in the local newspaper.</t>
  </si>
  <si>
    <t>Their (          ) was announced in the local newspaper.</t>
  </si>
  <si>
    <t>entitle</t>
  </si>
  <si>
    <t>[intáitl]</t>
  </si>
  <si>
    <t>안(en)에 호칭(title)을 달아 주니 ‘자격을 주다, 제목을 붙이다’</t>
  </si>
  <si>
    <t>자격을 주다, 제목을 붙이다</t>
  </si>
  <si>
    <t>Completing the course will entitle you to a certificate.</t>
  </si>
  <si>
    <t>Completing the course will (          ) you to a certificate.</t>
  </si>
  <si>
    <t>environ</t>
  </si>
  <si>
    <t>[inváiərən]</t>
  </si>
  <si>
    <t>뭔가를 안(en)쪽에 두고서 갈라진 틈(v)을 통해 나 와서는 회전(ro) 하면서 밖에서 ‘둘러싸다, 에워싸다’</t>
  </si>
  <si>
    <t>The city environs include several small villages.</t>
  </si>
  <si>
    <t>The city (          )s include several small villages.</t>
  </si>
  <si>
    <t>environment</t>
  </si>
  <si>
    <t>en &gt; environ</t>
  </si>
  <si>
    <t>[inváiərənmənt]</t>
  </si>
  <si>
    <t>둘러싸다(environ) +명사(~ment) = ‘둘러싸기, 환경’</t>
  </si>
  <si>
    <t>둘러싸기, 환경</t>
  </si>
  <si>
    <t>We must protect the environment for future generations.</t>
  </si>
  <si>
    <t>We must protect the (          ) for future generations.</t>
  </si>
  <si>
    <t>endeavor</t>
  </si>
  <si>
    <t>[indévər]</t>
  </si>
  <si>
    <t>두더지가 안으로(en) 숨기 위해 아래로(de) 갈라 진 틈(v)으로 들어가려고 힘을(r) 쓰는 것처럼 ‘노력하다, 애쓰다’</t>
  </si>
  <si>
    <t>노력하다, 애쓰다</t>
  </si>
  <si>
    <t>Scientific research is a worthy endeavor.</t>
  </si>
  <si>
    <t>Scientific research is a worthy (          ).</t>
  </si>
  <si>
    <t>enthusiasm</t>
  </si>
  <si>
    <t>[inθúːziӕzm]</t>
  </si>
  <si>
    <t>안(an)에서 통과하여(th) 아래쪽에(u) 있던 보이지 않던(s) ‘열정’이 나온다</t>
  </si>
  <si>
    <t>열정</t>
  </si>
  <si>
    <t>Her enthusiasm for the project inspired the whole team.</t>
  </si>
  <si>
    <t>Her (          ) for the project inspired the whole team.</t>
  </si>
  <si>
    <t>enthusiastic</t>
  </si>
  <si>
    <t>en &gt; enthusiasm</t>
  </si>
  <si>
    <t>[inθùːziǽstik]</t>
  </si>
  <si>
    <t>열정(enthusiasm) + 형용사(~tic) = ‘열광적인, 열렬한’</t>
  </si>
  <si>
    <t>열광적인, 열렬한</t>
  </si>
  <si>
    <t>The children were enthusiastic about the field trip.</t>
  </si>
  <si>
    <t>The children were (          ) about the field trip.</t>
  </si>
  <si>
    <t>essential</t>
  </si>
  <si>
    <t>[isénʃəl]</t>
  </si>
  <si>
    <t>입구를(e) 통해 들어가 보면 보이지 않지만(ss) 안(en)에서 꽉 잡고 있는(c) ‘본질적인, 필수적인’</t>
  </si>
  <si>
    <t>본질적인, 필수적인</t>
  </si>
  <si>
    <t>Oxygen is essential for human survival.</t>
  </si>
  <si>
    <t>Oxygen is (          ) for human survival.</t>
  </si>
  <si>
    <t>essentially</t>
  </si>
  <si>
    <t>en &gt; essential</t>
  </si>
  <si>
    <t>[isénʃəli]</t>
  </si>
  <si>
    <t>본질적인(essential) + 부사(ly) = ‘본질적으로, 근본적으로’</t>
  </si>
  <si>
    <t>본질적으로, 근본적으로</t>
  </si>
  <si>
    <t>The two proposals are essentially the same.</t>
  </si>
  <si>
    <t>The two proposals are (          ) the same.</t>
  </si>
  <si>
    <t>enhance</t>
  </si>
  <si>
    <t>[inhǽns]</t>
  </si>
  <si>
    <t>안(en)으로 들어가 높이(h) 만들려고 한가지(an) 재능을 잡아내니(c) ‘향상시키다’</t>
  </si>
  <si>
    <t>향상시키다</t>
  </si>
  <si>
    <t>Good lighting can enhance the appearance of a room.</t>
  </si>
  <si>
    <t>Good lighting can (          ) the appearance of a room.</t>
  </si>
  <si>
    <t>enough</t>
  </si>
  <si>
    <t>[inΛf]</t>
  </si>
  <si>
    <t>안쪽(en) 둥근(o) 장소 아래쪽(u) 깊은 곳(g)에 크게(h) 모아 놓으니 ‘충분한’</t>
  </si>
  <si>
    <t>충분한</t>
  </si>
  <si>
    <t>Do we have enough food for everyone?</t>
  </si>
  <si>
    <t>Do we have (          ) food for everyone?</t>
  </si>
  <si>
    <t>endanger</t>
  </si>
  <si>
    <t>[indéindʒər]</t>
  </si>
  <si>
    <t>안(en)으로 끌어들여 위험(danger)에 이르게 하니 ‘위험에 빠뜨리다’</t>
  </si>
  <si>
    <t>위험에 빠뜨리다</t>
  </si>
  <si>
    <t>Pollution continues to endanger many species.</t>
  </si>
  <si>
    <t>Pollution continues to (          ) many species.</t>
  </si>
  <si>
    <t>enroll</t>
  </si>
  <si>
    <t>[inróul]</t>
  </si>
  <si>
    <t>안(en)의 목록(roll)에 써 놓으니 '등록시키다, 입학시키다’</t>
  </si>
  <si>
    <t>등록시키다, 입학시키다</t>
  </si>
  <si>
    <t>You can enroll in the course online.</t>
  </si>
  <si>
    <t>You can (          ) in the course online.</t>
  </si>
  <si>
    <t>enrollment</t>
  </si>
  <si>
    <t>en &gt; enroll</t>
  </si>
  <si>
    <t>[enrouˈlmənt]</t>
  </si>
  <si>
    <t>등록시키다(enroll) +명사(~ment) = ‘등록, 입회’</t>
  </si>
  <si>
    <t>등록, 입회</t>
  </si>
  <si>
    <t>University enrollment increased significantly this year.</t>
  </si>
  <si>
    <t>University (          ) increased significantly this year.</t>
  </si>
  <si>
    <t>see</t>
  </si>
  <si>
    <t>ee</t>
  </si>
  <si>
    <r>
      <rPr>
        <sz val="12"/>
        <color indexed="8"/>
        <rFont val="Apple SD 산돌고딕 Neo 일반체"/>
      </rPr>
      <t>ee</t>
    </r>
  </si>
  <si>
    <t>[siː]</t>
  </si>
  <si>
    <t>부드럽게(s) 두 눈(입구)을 통해 시선이 멀리멀리 계속(ee) 나아가니 ‘보다’</t>
  </si>
  <si>
    <t>보다</t>
  </si>
  <si>
    <t>Can you see the ship on the horizon?</t>
  </si>
  <si>
    <t>Can you (          ) the ship on the horizon?</t>
  </si>
  <si>
    <t>seek</t>
  </si>
  <si>
    <t>[siːk]</t>
  </si>
  <si>
    <t>살펴 보면서(see) 영역을 점점 확대(K)해 나가니 ‘찾다, 구하다’</t>
  </si>
  <si>
    <t>찾다, 구하다</t>
  </si>
  <si>
    <t>Police seek witnesses to the accident.</t>
  </si>
  <si>
    <t>Police (          ) witnesses to the accident.</t>
  </si>
  <si>
    <t>peek</t>
  </si>
  <si>
    <t>[piːk]</t>
  </si>
  <si>
    <t>폭하고(p) 뚫고서 시선이 계속(ee) 확장해(k) 나가는 ‘엿보다’</t>
  </si>
  <si>
    <t>엿보다</t>
  </si>
  <si>
    <t>The child took a peek at his birthday presents.</t>
  </si>
  <si>
    <t>The child took a (          ) at his birthday presents.</t>
  </si>
  <si>
    <t>sleep</t>
  </si>
  <si>
    <t>[sliːp]</t>
  </si>
  <si>
    <t>부드럽게(s) 길게(l) 계속(ee) 자다가 폭(p)하고 깨기도 하는 ‘잠자다’</t>
  </si>
  <si>
    <t>잠자다</t>
  </si>
  <si>
    <t>Most people need eight hours of sleep each night.</t>
  </si>
  <si>
    <t>Most people need eight hours of (          ) each night.</t>
  </si>
  <si>
    <t>sleepy</t>
  </si>
  <si>
    <t>ee &gt; sleep</t>
  </si>
  <si>
    <t>[slíːpi]</t>
  </si>
  <si>
    <t>잠자다(sleep) + 형용사(y) = ‘졸려운’</t>
  </si>
  <si>
    <t>졸려운</t>
  </si>
  <si>
    <t>The long drive made me feel sleepy.</t>
  </si>
  <si>
    <t>The long drive made me feel (          ).</t>
  </si>
  <si>
    <t>seep</t>
  </si>
  <si>
    <t>[siːp]</t>
  </si>
  <si>
    <t>부드럽게(s) 계속해서(ee) 폭(p) 하고 ‘(액체가)스며 나오다’</t>
  </si>
  <si>
    <t>(액체가)스며 나오다</t>
  </si>
  <si>
    <t>Water began to seep through the crack in the ceiling.</t>
  </si>
  <si>
    <t>Water began to (          ) through the crack in the ceiling.</t>
  </si>
  <si>
    <t>아래로(d) 멀리멀리(ce) 들어가니 ‘깊은’</t>
  </si>
  <si>
    <t>keep</t>
  </si>
  <si>
    <t>[kiːp]</t>
  </si>
  <si>
    <t>힘이 확장(k)해서 계속(ee) 폭(p) 튀어 나가는 정도의 힘으로 ‘유지하다, 계속하다, 보호하다’</t>
  </si>
  <si>
    <t>유지하다, 계속하다, 보호하다</t>
  </si>
  <si>
    <t>Keep your ticket until the end of the journey.</t>
  </si>
  <si>
    <r>
      <rPr>
        <sz val="12"/>
        <color indexed="8"/>
        <rFont val="Arial"/>
      </rPr>
      <t>Keep your ticket until the end of the journey.</t>
    </r>
  </si>
  <si>
    <t>weep</t>
  </si>
  <si>
    <t>[wiːp]</t>
  </si>
  <si>
    <t>눈물이(w) 흘러 계속(ee) 폭하고(p) 나오니 ‘슬퍼하다, 울다’</t>
  </si>
  <si>
    <t>슬퍼하다, 울다</t>
  </si>
  <si>
    <t>The mourners weep quietly at the funeral.</t>
  </si>
  <si>
    <t>The mourners (          ) quietly at the funeral.</t>
  </si>
  <si>
    <t>week</t>
  </si>
  <si>
    <t>[wiːk]</t>
  </si>
  <si>
    <t>시간이 물결(w) 바람결처럼 계속(ee) 확장(k)해 간 ‘1주’</t>
  </si>
  <si>
    <t>1주</t>
  </si>
  <si>
    <t>I work five days per week.</t>
  </si>
  <si>
    <t>I work five days per (          ).</t>
  </si>
  <si>
    <t>feel</t>
  </si>
  <si>
    <t>[fiːl]</t>
  </si>
  <si>
    <t>가벼운(f) 감각이 오랫동안 계속(ee) 길게((l) 유지되니 ‘느끼다’</t>
  </si>
  <si>
    <t>느끼다</t>
  </si>
  <si>
    <t>I feel happy when I listen to this song.</t>
  </si>
  <si>
    <t>I (          ) happy when I listen to this song.</t>
  </si>
  <si>
    <t>heel</t>
  </si>
  <si>
    <t>[hiːl]</t>
  </si>
  <si>
    <t>높이(h) 계속해서(ee) 길게(l) 몸을 들고 갈 수 있게 하는 ‘발 뒤꿈치’</t>
  </si>
  <si>
    <t>발 뒤꿈치</t>
  </si>
  <si>
    <t>She broke the heel of her shoe while running.</t>
  </si>
  <si>
    <t>She broke the (          ) of her shoe while running.</t>
  </si>
  <si>
    <t>heed</t>
  </si>
  <si>
    <t>[hiːd]</t>
  </si>
  <si>
    <t>일어날 일을 크게(h) 마음에 잡아 두고 오랫동안 계속(ee) 들뜬 마음을 아래로(d) 낮추니 ‘조심하다, 주의하다’</t>
  </si>
  <si>
    <t>조심하다, 주의하다</t>
  </si>
  <si>
    <t>You should heed the weather warning and stay inside.</t>
  </si>
  <si>
    <t>You should (          ) the weather warning and stay inside.</t>
  </si>
  <si>
    <t>피가 터져나와(b) 길게(l) 계속(ee) 아래로(d) 흐르니 ‘피가 나다, 출혈하다’</t>
  </si>
  <si>
    <t>피가 나다, 출혈하다</t>
  </si>
  <si>
    <t>greed</t>
  </si>
  <si>
    <t>[griːd]</t>
  </si>
  <si>
    <t>깊은 곳으로(g) 힘있게(r) 계속(ee) 아래로(d) 끌어 당기는 ‘탐욕’</t>
  </si>
  <si>
    <t>탐욕</t>
  </si>
  <si>
    <t>His greed for power led to his downfall.</t>
  </si>
  <si>
    <t>His (          ) for power led to his downfall.</t>
  </si>
  <si>
    <t>keen</t>
  </si>
  <si>
    <t>[kiːn]</t>
  </si>
  <si>
    <t>확장(k)되어 나가서 계속(ee) 무딘 부분을 없애니(n) ‘날카로운, 예리한’</t>
  </si>
  <si>
    <t>날카로운, 예리한</t>
  </si>
  <si>
    <t>She has a keen interest in modern art.</t>
  </si>
  <si>
    <t>She has a (          ) interest in modern art.</t>
  </si>
  <si>
    <t>essay</t>
  </si>
  <si>
    <t>es</t>
  </si>
  <si>
    <r>
      <rPr>
        <sz val="12"/>
        <color indexed="8"/>
        <rFont val="Apple SD 산돌고딕 Neo 일반체"/>
      </rPr>
      <t>es</t>
    </r>
  </si>
  <si>
    <t>[ései]</t>
  </si>
  <si>
    <t>자기의 의견을 밖으로(es) 표현하여 말하듯이(say) 편하게 쓴 글, ‘수필, 에세이’</t>
  </si>
  <si>
    <t>수필, 에세이</t>
  </si>
  <si>
    <t>I need to write an essay about climate change.</t>
  </si>
  <si>
    <t>I need to write an (          ) about climate change.</t>
  </si>
  <si>
    <t>say</t>
  </si>
  <si>
    <r>
      <rPr>
        <sz val="12"/>
        <color indexed="8"/>
        <rFont val="Apple SD 산돌고딕 Neo 일반체"/>
      </rPr>
      <t>say</t>
    </r>
  </si>
  <si>
    <t>[sei]</t>
  </si>
  <si>
    <t>말이 부드럽게(s) 확장(y)되어 나오니 ‘말하다’</t>
  </si>
  <si>
    <t>말하다</t>
  </si>
  <si>
    <t>What did the doctor say about your test results?</t>
  </si>
  <si>
    <t>What did the doctor (          ) about your test results?</t>
  </si>
  <si>
    <t>escort</t>
  </si>
  <si>
    <t>[éskɔːrt]</t>
  </si>
  <si>
    <t>왕이 왕궁 밖으로(es) 나갈 때 ‘호위하다’</t>
  </si>
  <si>
    <t>호위하다</t>
  </si>
  <si>
    <t>Security guards will escort the VIP to the hotel.</t>
  </si>
  <si>
    <t>Security guards will (          ) the VIP to the hotel.</t>
  </si>
  <si>
    <t>establish</t>
  </si>
  <si>
    <t>es(e)</t>
  </si>
  <si>
    <t>[istǽbliʃ]</t>
  </si>
  <si>
    <t>밖으로(e-es) 안정되게(stable-stabl) 서 있게 건물을 ‘세우다, 설립하다’</t>
  </si>
  <si>
    <t>세우다, 설립하다</t>
  </si>
  <si>
    <t>The company wants to establish a new branch in Asia.</t>
  </si>
  <si>
    <t>The company wants to (          ) a new branch in Asia.</t>
  </si>
  <si>
    <t>ever</t>
  </si>
  <si>
    <t>ev</t>
  </si>
  <si>
    <r>
      <rPr>
        <sz val="12"/>
        <color indexed="8"/>
        <rFont val="Apple SD 산돌고딕 Neo 일반체"/>
      </rPr>
      <t>ev</t>
    </r>
  </si>
  <si>
    <t>[évər]</t>
  </si>
  <si>
    <t>나가니(ev) 힘있게(r) ‘늘, 항상, 언제나’</t>
  </si>
  <si>
    <t>늘, 항상, 언제나</t>
  </si>
  <si>
    <t>Have you ever visited London?</t>
  </si>
  <si>
    <t>Have you (          ) visited London?</t>
  </si>
  <si>
    <t>forever</t>
  </si>
  <si>
    <t>ev &gt; ever</t>
  </si>
  <si>
    <t>[fəreˈvər]</t>
  </si>
  <si>
    <t>앞을(for) 향해서 항상(ever) 있으니 ‘영원히’</t>
  </si>
  <si>
    <t>영원히</t>
  </si>
  <si>
    <t>True friendship lasts forever.</t>
  </si>
  <si>
    <t>True friendship lasts (          ).</t>
  </si>
  <si>
    <t>every</t>
  </si>
  <si>
    <t>[évri]</t>
  </si>
  <si>
    <t>나가서(ev) 힘을(r) 가해 확장해서(y) 모으니 ‘모든, 모두의’</t>
  </si>
  <si>
    <t>모든, 모두의</t>
  </si>
  <si>
    <t>Every child deserves quality education.</t>
  </si>
  <si>
    <r>
      <rPr>
        <sz val="12"/>
        <color indexed="8"/>
        <rFont val="Arial"/>
      </rPr>
      <t>Every child deserves quality education.</t>
    </r>
  </si>
  <si>
    <t>even</t>
  </si>
  <si>
    <t>[íːvən]</t>
  </si>
  <si>
    <t>나가기(ev)도 하고 안으로(en) 들어오기도 하니 서로 ‘균등한, 짝수의’</t>
  </si>
  <si>
    <t>균등한, 짝수의</t>
  </si>
  <si>
    <t>She didn't even call to explain why she was late.</t>
  </si>
  <si>
    <t>She didn't (          ) call to explain why she was late.</t>
  </si>
  <si>
    <t>evenly</t>
  </si>
  <si>
    <t>ev &gt; even</t>
  </si>
  <si>
    <t>[íːvənli]</t>
  </si>
  <si>
    <t>균등한(even) + 부사(ly) = ‘균등하게, 평평하게’</t>
  </si>
  <si>
    <t>균등하게, 평평하게</t>
  </si>
  <si>
    <t>Distribute the workload evenly among team members.</t>
  </si>
  <si>
    <t>Distribute the workload (          ) among team members.</t>
  </si>
  <si>
    <t>uneven</t>
  </si>
  <si>
    <t>[əniˈvən]</t>
  </si>
  <si>
    <t>부정(un) + 균등한(even) = ‘평평하지 않은, 불규칙한’</t>
  </si>
  <si>
    <t>평평하지 않은, 불규칙한</t>
  </si>
  <si>
    <t>The table wobbles because the legs are uneven.</t>
  </si>
  <si>
    <t>The table wobbles because the legs are (          ).</t>
  </si>
  <si>
    <t>evening</t>
  </si>
  <si>
    <t>[íːvniŋ]</t>
  </si>
  <si>
    <t>낮과 밤이 균형(even)을 이루는 지점 ‘저녁’</t>
  </si>
  <si>
    <t>저녁</t>
  </si>
  <si>
    <t>We're having dinner guests this evening.</t>
  </si>
  <si>
    <t>We're having dinner guests this (          ).</t>
  </si>
  <si>
    <t>evil</t>
  </si>
  <si>
    <t>[íːvəl]</t>
  </si>
  <si>
    <t>나가는 것이(ev) 질병같은 나쁜(ill) 성질의 것이므로 ‘나쁜, 악질의’</t>
  </si>
  <si>
    <t>나쁜, 악질의</t>
  </si>
  <si>
    <t>The villain in the movie represents evil.</t>
  </si>
  <si>
    <t>The villain in the movie represents (          ).</t>
  </si>
  <si>
    <t>devil</t>
  </si>
  <si>
    <t>ev &gt; evil</t>
  </si>
  <si>
    <t>[dévl]</t>
  </si>
  <si>
    <t>타락하여(d) 사악한(evil) ‘악마’</t>
  </si>
  <si>
    <t>악마</t>
  </si>
  <si>
    <t>The devil's advocate argues against popular opinion.</t>
  </si>
  <si>
    <t>The (          )'s advocate argues against popular opinion.</t>
  </si>
  <si>
    <t>inevitable</t>
  </si>
  <si>
    <t>evil &gt; evit</t>
  </si>
  <si>
    <t>[inévətəbl]</t>
  </si>
  <si>
    <t>반대(in) + 피하다(evit) + 할 수 있는(able) = ‘피할 수 없는’</t>
  </si>
  <si>
    <t>피할 수 없는</t>
  </si>
  <si>
    <t>Change is inevitable in any organization.</t>
  </si>
  <si>
    <t>Change is (          ) in any organization.</t>
  </si>
  <si>
    <t>fair</t>
  </si>
  <si>
    <t>f</t>
  </si>
  <si>
    <t>[fεər]</t>
  </si>
  <si>
    <r>
      <rPr>
        <sz val="12"/>
        <color indexed="8"/>
        <rFont val="Arial"/>
      </rPr>
      <t xml:space="preserve">먼지 없이 가벼운(f) ▶︎‘(날씨가) 맑은’ ▶︎ ‘괜찮은’ ▶︎ ‘공평한, 공정한, 박람회’
</t>
    </r>
    <r>
      <rPr>
        <sz val="12"/>
        <color indexed="8"/>
        <rFont val="Arial"/>
      </rPr>
      <t>*박람회에서 심사할 때는 공평해야 한다.</t>
    </r>
  </si>
  <si>
    <t>(날씨가) 맑은, 괜찮은, 공평한, 공정한, 박람회</t>
  </si>
  <si>
    <t>The annual county fair attracts thousands of visitors.</t>
  </si>
  <si>
    <t>The annual county (          ) attracts thousands of visitors.</t>
  </si>
  <si>
    <t>job fair</t>
  </si>
  <si>
    <t>[dʒab fεər]</t>
  </si>
  <si>
    <t>일자리(job) + 박람회(fair) = ‘공개 취직 설명회’</t>
  </si>
  <si>
    <t>공개 취직 설명회</t>
  </si>
  <si>
    <t>Many companies recruit at the university job fair.</t>
  </si>
  <si>
    <t>Many companies recruit at the university (          ).</t>
  </si>
  <si>
    <t>affair</t>
  </si>
  <si>
    <t>[əfέər]</t>
  </si>
  <si>
    <t>하나하나(a) 공평하게(fair) 처리해야 할 일, ‘사건, 문제’</t>
  </si>
  <si>
    <t>사건, 문제</t>
  </si>
  <si>
    <t>The business affair required careful negotiation.</t>
  </si>
  <si>
    <t>The business (          ) required careful negotiation.</t>
  </si>
  <si>
    <t>fairy</t>
  </si>
  <si>
    <t>[fέəri]</t>
  </si>
  <si>
    <t>가볍고(f) 빠르게 공중(air)에 확장하여(y) 여기 저기 날아 다니는 존재 ‘요정, 공상의, 가공의’</t>
  </si>
  <si>
    <t>요정, 공상의, 가공의</t>
  </si>
  <si>
    <t>Children love stories about fairies and magic.</t>
  </si>
  <si>
    <r>
      <rPr>
        <sz val="12"/>
        <color indexed="8"/>
        <rFont val="Arial"/>
      </rPr>
      <t>Children love stories about fairies and magic.</t>
    </r>
  </si>
  <si>
    <t>fairy tale</t>
  </si>
  <si>
    <t>f &gt; fairy</t>
  </si>
  <si>
    <t>[fέəri teil]</t>
  </si>
  <si>
    <t>요정(fairy) + 이야기(tale) = ‘동화, 옛날이야기’</t>
  </si>
  <si>
    <t>동화, 옛날이야기</t>
  </si>
  <si>
    <t>Cinderella is a classic fairy tale.</t>
  </si>
  <si>
    <t>Cinderella is a classic (          ).</t>
  </si>
  <si>
    <t>fame</t>
  </si>
  <si>
    <r>
      <rPr>
        <sz val="12"/>
        <color indexed="8"/>
        <rFont val="Apple SD 산돌고딕 Neo 일반체"/>
      </rPr>
      <t>fame</t>
    </r>
  </si>
  <si>
    <t>[feim]</t>
  </si>
  <si>
    <t>빠르게(f) 커지는(m) ‘명성’</t>
  </si>
  <si>
    <t>명성</t>
  </si>
  <si>
    <t>The actor achieved international fame after the movie.</t>
  </si>
  <si>
    <t>The actor achieved international (          ) after the movie.</t>
  </si>
  <si>
    <t>famous</t>
  </si>
  <si>
    <t>f &gt; fame</t>
  </si>
  <si>
    <t>[féiməs]</t>
  </si>
  <si>
    <t>명성(fame-fam)이 있는 상태(~ous) ‘유명한’</t>
  </si>
  <si>
    <t>유명한</t>
  </si>
  <si>
    <t>Paris is famous for its beautiful architecture.</t>
  </si>
  <si>
    <t>Paris is (          ) for its beautiful architecture.</t>
  </si>
  <si>
    <t>fan</t>
  </si>
  <si>
    <r>
      <rPr>
        <sz val="12"/>
        <color indexed="8"/>
        <rFont val="Apple SD 산돌고딕 Neo 일반체"/>
      </rPr>
      <t>fan</t>
    </r>
  </si>
  <si>
    <t>[fæn]</t>
  </si>
  <si>
    <t>가볍게(f) 새로운(n) 바람을 만들어 보내는 ‘선풍기, 부채, [바람을] 일으키다’</t>
  </si>
  <si>
    <t>선풍기, 부채, [바람을] 일으키다</t>
  </si>
  <si>
    <t>He is a big fan of jazz music.</t>
  </si>
  <si>
    <t>He is a big (          ) of jazz music.</t>
  </si>
  <si>
    <t>fancy</t>
  </si>
  <si>
    <t>f &gt; fan</t>
  </si>
  <si>
    <t>[fǽnsi]</t>
  </si>
  <si>
    <t>마음속에 바람을 일으켜(fan) 그것을 잡아 둔(c) ‘공상, 화려한, 근사한’</t>
  </si>
  <si>
    <t>공상, 화려한, 근사한</t>
  </si>
  <si>
    <t>Her fancy dress impressed everyone at the party.</t>
  </si>
  <si>
    <t>Her (          ) dress impressed everyone at the party.</t>
  </si>
  <si>
    <t>fantasy</t>
  </si>
  <si>
    <t>[fǽntəsi]</t>
  </si>
  <si>
    <t>바람을 일으킨(fan) 것 같이 접촉(t)하려고 하면 사라지는(s) ‘공상, 환상’</t>
  </si>
  <si>
    <t>공상, 환상</t>
  </si>
  <si>
    <t>His fantasy is to become an astronaut.</t>
  </si>
  <si>
    <t>His (          ) is to become an astronaut.</t>
  </si>
  <si>
    <t>infancy</t>
  </si>
  <si>
    <t>fan &gt; fancy</t>
  </si>
  <si>
    <t>[ínfənsi]</t>
  </si>
  <si>
    <t>주로 집 안에(in) 머물고 공상(tancy)을 많이 하는 시기, ‘유아기’</t>
  </si>
  <si>
    <t>유아기</t>
  </si>
  <si>
    <t>The project is still in its infancy.</t>
  </si>
  <si>
    <t>The project is still in its (          ).</t>
  </si>
  <si>
    <t>fend</t>
  </si>
  <si>
    <r>
      <rPr>
        <sz val="12"/>
        <color indexed="8"/>
        <rFont val="Apple SD 산돌고딕 Neo 일반체"/>
      </rPr>
      <t>fend</t>
    </r>
  </si>
  <si>
    <t>[fend]</t>
  </si>
  <si>
    <t>상대방의 공격을 빠르게(f) 끝내니(end) ‘막다, 받아[막아] 넘기다’</t>
  </si>
  <si>
    <t>막다, 받아[막아] 넘기다</t>
  </si>
  <si>
    <t>The boxer had to fend off a series of punches.</t>
  </si>
  <si>
    <t>The boxer had to (          ) off a series of punches.</t>
  </si>
  <si>
    <t>fence</t>
  </si>
  <si>
    <t>f &gt; fend</t>
  </si>
  <si>
    <t>[fens]</t>
  </si>
  <si>
    <t>들어오는 것을 막기(fend-fen)위해서 잡아(c) 세운 ‘담장’</t>
  </si>
  <si>
    <t>담장</t>
  </si>
  <si>
    <t>The wooden fence surrounds the garden.</t>
  </si>
  <si>
    <t>The wooden (          ) surrounds the garden.</t>
  </si>
  <si>
    <t>defend</t>
  </si>
  <si>
    <t>[difénd]</t>
  </si>
  <si>
    <t>공격을 아래로(de) 저하시켜 막으니(fend) ‘막다, 지키다, 방어하다’</t>
  </si>
  <si>
    <t>막다, 지키다, 방어하다</t>
  </si>
  <si>
    <t>The lawyer will defend his client in court.</t>
  </si>
  <si>
    <t>The lawyer will (          ) his client in court.</t>
  </si>
  <si>
    <t>offend</t>
  </si>
  <si>
    <t>[əfénd]</t>
  </si>
  <si>
    <t>강제로 분리시키는(off) 것이 막기(fend) 위한 남의 담장이니 ‘화나게 하다, 위반하다’</t>
  </si>
  <si>
    <t>화나게 하다, 위반하다</t>
  </si>
  <si>
    <t>I didn't mean to offend you with my comment.</t>
  </si>
  <si>
    <t>I didn't mean to (          ) you with my comment.</t>
  </si>
  <si>
    <t>offensive</t>
  </si>
  <si>
    <t>fend &gt; offend</t>
  </si>
  <si>
    <t>[əfénsiv]</t>
  </si>
  <si>
    <t>화나게 하다(offend) + 상태(~ive) = ‘화나게 하는’</t>
  </si>
  <si>
    <t>화나게 하는</t>
  </si>
  <si>
    <t>His remarks were considered offensive by many people.</t>
  </si>
  <si>
    <t>His remarks were considered (          ) by many people.</t>
  </si>
  <si>
    <t>ferry</t>
  </si>
  <si>
    <t>fer</t>
  </si>
  <si>
    <r>
      <rPr>
        <sz val="12"/>
        <color indexed="8"/>
        <rFont val="Apple SD 산돌고딕 Neo 일반체"/>
      </rPr>
      <t>fer</t>
    </r>
  </si>
  <si>
    <t>[féri]</t>
  </si>
  <si>
    <t>나르는(fer) 것이 힘있게(r) 확장되는(v) 여러 명 이니 ‘나룻배, 수송하다’</t>
  </si>
  <si>
    <t>나룻배, 수송하다</t>
  </si>
  <si>
    <t>We took the ferry across the river.</t>
  </si>
  <si>
    <t>We took the (          ) across the river.</t>
  </si>
  <si>
    <t>suffer</t>
  </si>
  <si>
    <t>[sΛfər]</t>
  </si>
  <si>
    <t>보이지않는 아래쪽에서(su) 짐을 나르니(fer) ‘고생하다, 괴로워하다’</t>
  </si>
  <si>
    <t>고생하다, 괴로워하다</t>
  </si>
  <si>
    <t>Many people suffer from back pain.</t>
  </si>
  <si>
    <t>Many people (          ) from back pain.</t>
  </si>
  <si>
    <t>fertile</t>
  </si>
  <si>
    <t>[fə́ːrtl]</t>
  </si>
  <si>
    <t>영양분을 나르고(fer) 전달해 작물을 세워주고(t) 오랫동안(l) 잘 자라게 하는 땅, ‘기름진, 비옥한’</t>
  </si>
  <si>
    <t>기름진, 비옥한</t>
  </si>
  <si>
    <t>The Nile Valley has fertile soil for agriculture.</t>
  </si>
  <si>
    <t>The Nile Valley has (          ) soil for agriculture.</t>
  </si>
  <si>
    <t>fertilize</t>
  </si>
  <si>
    <t>fer &gt; fertile</t>
  </si>
  <si>
    <t>[fə́ːrtəlàiz]</t>
  </si>
  <si>
    <t>기름진(fertile-fertil) 상태로 만드는 동작(~ize)이니 ‘비료를 주다, 기름지게 하다’</t>
  </si>
  <si>
    <t>비료를 주다, 기름지게 하다</t>
  </si>
  <si>
    <t>Farmers fertilize crops to increase yields.</t>
  </si>
  <si>
    <t>Farmers (          ) crops to increase yields.</t>
  </si>
  <si>
    <t>offer</t>
  </si>
  <si>
    <t>[ɔ́ːfər]</t>
  </si>
  <si>
    <t>돈 뭉치 같은 둥근(o) 물건을 가지고 와 나르고 전달해주니(fer) ‘제공하다, 제안하다’</t>
  </si>
  <si>
    <t>제공하다, 제안하다</t>
  </si>
  <si>
    <t>The company will offer you a competitive salary.</t>
  </si>
  <si>
    <t>The company will (          ) you a competitive salary.</t>
  </si>
  <si>
    <t>confer</t>
  </si>
  <si>
    <t>[kənfə́ːr]</t>
  </si>
  <si>
    <t>함께(con) 의견을 서로 나르니(fer) ‘의논하다’, 그 결과 상 주기로 결정해 ‘수여하다’</t>
  </si>
  <si>
    <t>의논하다, 수여하다</t>
  </si>
  <si>
    <t>The doctors confer about the patient's treatment.</t>
  </si>
  <si>
    <t>The doctors (          ) about the patient's treatment.</t>
  </si>
  <si>
    <t>conference</t>
  </si>
  <si>
    <t>fer &gt; confer</t>
  </si>
  <si>
    <t>[kάnfərəns]</t>
  </si>
  <si>
    <t>의논하는(confer) 곳 ‘회의, 회견’</t>
  </si>
  <si>
    <t>회의, 회견</t>
  </si>
  <si>
    <t>The scientific conference attracts researchers from around the world.</t>
  </si>
  <si>
    <t>The scientific (          ) attracts researchers from around the world.</t>
  </si>
  <si>
    <t>differ</t>
  </si>
  <si>
    <t>[dífər]</t>
  </si>
  <si>
    <t>둘이(di) 갈라서며 각자 의견을 나르니(fer) ‘다르다, 의견이 다르다’</t>
  </si>
  <si>
    <t>다르다, 의견이 다르다</t>
  </si>
  <si>
    <t>Our opinions differ on this issue.</t>
  </si>
  <si>
    <t>Our opinions (          ) on this issue.</t>
  </si>
  <si>
    <t>different</t>
  </si>
  <si>
    <t>fer &gt; differ</t>
  </si>
  <si>
    <t>[dífərənt]</t>
  </si>
  <si>
    <t>다르다(differ) + 형용사(ent) = ‘다른, 상이한’</t>
  </si>
  <si>
    <t>다른, 상이한</t>
  </si>
  <si>
    <t>Each snowflake has a different pattern.</t>
  </si>
  <si>
    <t>Each snowflake has a (          ) pattern.</t>
  </si>
  <si>
    <t>differentiate</t>
  </si>
  <si>
    <t>differ &gt; different</t>
  </si>
  <si>
    <t>[dìfərénʃièit]</t>
  </si>
  <si>
    <t>다른(diferent) + 동사화(alte)= ‘차별화하다, 구별하다’</t>
  </si>
  <si>
    <t>차별화하다, 구별하다</t>
  </si>
  <si>
    <t>Can you differentiate between the twins?</t>
  </si>
  <si>
    <t>Can you (          ) between the twins?</t>
  </si>
  <si>
    <t>defer</t>
  </si>
  <si>
    <t>[difə́ːr]</t>
  </si>
  <si>
    <t>우선순위에서 아래로(de) 옮기니(fer) ‘연기하다, 미루다, 양보하다’</t>
  </si>
  <si>
    <t>연기하다, 미루다, 양보하다</t>
  </si>
  <si>
    <t>We should defer the decision until next week.</t>
  </si>
  <si>
    <t>We should (          ) the decision until next week.</t>
  </si>
  <si>
    <t>deference</t>
  </si>
  <si>
    <t>fer &gt; defer</t>
  </si>
  <si>
    <t>[défərəns]</t>
  </si>
  <si>
    <t>양보하다(defer) + 명사(~ence) = 나의 의견을 양보하니 ‘복종, 존경’</t>
  </si>
  <si>
    <t>복종, 존경</t>
  </si>
  <si>
    <t>He spoke with deference to the elderly professor.</t>
  </si>
  <si>
    <t>He spoke with (          ) to the elderly professor.</t>
  </si>
  <si>
    <t>reference</t>
  </si>
  <si>
    <t>fer &gt; refer</t>
  </si>
  <si>
    <t>[réfərəns]</t>
  </si>
  <si>
    <t>다시(re) 그러한가 알아보기 위해 그 정보를 나르니(fer) 참조하다(refer) + 명사(ence) = ‘참조, 참고, 조회’</t>
  </si>
  <si>
    <t>참조, 참고, 조회</t>
  </si>
  <si>
    <t>The article includes several references to previous studies.</t>
  </si>
  <si>
    <t>The article includes several (          )s to previous studies.</t>
  </si>
  <si>
    <t>infer</t>
  </si>
  <si>
    <t>[infə́ːr]</t>
  </si>
  <si>
    <t>안에서(in) 생각을 나르면(fer) ‘추론하다’</t>
  </si>
  <si>
    <t>From his smile, I could infer that he had good news.</t>
  </si>
  <si>
    <t>From his smile, I could (          ) that he had good news.</t>
  </si>
  <si>
    <t>inference</t>
  </si>
  <si>
    <t>fer &gt; infer</t>
  </si>
  <si>
    <t>[ínfərəns]</t>
  </si>
  <si>
    <t>추론하다(infer) + 명사(ence) = ‘추리, 추론’</t>
  </si>
  <si>
    <t>추리, 추론</t>
  </si>
  <si>
    <t>The detective made an inference based on the evidence.</t>
  </si>
  <si>
    <t>The detective made an (          ) based on the evidence.</t>
  </si>
  <si>
    <t>prefer</t>
  </si>
  <si>
    <t>[prifə́ːr]</t>
  </si>
  <si>
    <t>뷔페에서 먼저 앞서(pre) 뭔가를 나르면(fer) ‘더 좋아하다, 선호하다’</t>
  </si>
  <si>
    <t>더 좋아하다, 선호하다</t>
  </si>
  <si>
    <t>I prefer tea to coffee in the morning.</t>
  </si>
  <si>
    <t>I (          ) tea to coffee in the morning.</t>
  </si>
  <si>
    <t>transfer</t>
  </si>
  <si>
    <t>[trænsfə́ːr, -´-｜trænsfə́ː]</t>
  </si>
  <si>
    <t>옮기어(trans) 나르니(fer) ‘바꿔타다, 옮기다’</t>
  </si>
  <si>
    <t>바꿔타다, 옮기다</t>
  </si>
  <si>
    <t>You need to transfer to the blue line at the next station.</t>
  </si>
  <si>
    <t>You need to (          ) to the blue line at the next station.</t>
  </si>
  <si>
    <t>fly</t>
  </si>
  <si>
    <t>fl</t>
  </si>
  <si>
    <r>
      <rPr>
        <sz val="12"/>
        <color indexed="8"/>
        <rFont val="Apple SD 산돌고딕 Neo 일반체"/>
      </rPr>
      <t>fl</t>
    </r>
  </si>
  <si>
    <t>[flai]</t>
  </si>
  <si>
    <t>가볍게(f) 길게 멀리(l) 확장(y)되어서 가니 ‘날다’</t>
  </si>
  <si>
    <t>날다</t>
  </si>
  <si>
    <t>Birds fly south for the winter.</t>
  </si>
  <si>
    <t>Birds (          ) south for the winter.</t>
  </si>
  <si>
    <t>flight</t>
  </si>
  <si>
    <t>[flait]</t>
  </si>
  <si>
    <t>날아가는데(fl) 빛처럼(light) 가는 ‘비행, 비상’</t>
  </si>
  <si>
    <t>비행, 비상</t>
  </si>
  <si>
    <t>Our flight to Tokyo was delayed by two hours.</t>
  </si>
  <si>
    <t>Our (          ) to Tokyo was delayed by two hours.</t>
  </si>
  <si>
    <t>flag</t>
  </si>
  <si>
    <t>[flæg]</t>
  </si>
  <si>
    <t>날아가듯이(fl) 펄럭일 때도 있고 축(g) 늘어져 있을 때도 있는 ‘깃발, 기’</t>
  </si>
  <si>
    <t>깃발, 기</t>
  </si>
  <si>
    <t>The Olympic flag has five colored rings.</t>
  </si>
  <si>
    <t>The Olympic (          ) has five colored rings.</t>
  </si>
  <si>
    <t>flake</t>
  </si>
  <si>
    <t>[fleik]</t>
  </si>
  <si>
    <t>날아가면서(fl) 한 조각, 한 조각(a) 확장하듯이(k) 하는 ‘얇고 작은 조각, 파편’</t>
  </si>
  <si>
    <t>얇고 작은 조각, 파편</t>
  </si>
  <si>
    <t>A snowflake fell on her outstretched hand.</t>
  </si>
  <si>
    <t>A snow(          ) fell on her outstretched hand.</t>
  </si>
  <si>
    <t>flimsy</t>
  </si>
  <si>
    <t>[flímzi]</t>
  </si>
  <si>
    <t>날아가듯이(fl) 조각들이 움직여 가서(m) 보이지 않게 되니(s) ‘부서지기 쉬운’</t>
  </si>
  <si>
    <t>부서지기 쉬운</t>
  </si>
  <si>
    <t>The flimsy chair broke under his weight.</t>
  </si>
  <si>
    <t>The (          ) chair broke under his weight.</t>
  </si>
  <si>
    <t>flute</t>
  </si>
  <si>
    <t>[fluːt]</t>
  </si>
  <si>
    <t>공기가 흘러가면서(fl) 악기 아래쪽(u)으로 가고 손으로 접촉(t)하여 소리를 내는 악기 ‘플루트’</t>
  </si>
  <si>
    <t>플루트</t>
  </si>
  <si>
    <t>She plays the flute in the school orchestra.</t>
  </si>
  <si>
    <t>She plays the (          ) in the school orchestra.</t>
  </si>
  <si>
    <t>flutter</t>
  </si>
  <si>
    <t>[flΛtər]</t>
  </si>
  <si>
    <t>날아가듯이(fl) 나부끼다가 아래쪽에(u) 쳐져 있기도 하고 다시 서기(t)도 하니 ‘펄럭이다, 휘날리다’</t>
  </si>
  <si>
    <t>펄럭이다, 휘날리다</t>
  </si>
  <si>
    <t>Butterflies flutter among the flowers.</t>
  </si>
  <si>
    <t>Butterflies (          ) among the flowers.</t>
  </si>
  <si>
    <t>fluff</t>
  </si>
  <si>
    <t>[flʌf]</t>
  </si>
  <si>
    <t>날아가다가(fl) 아래쪽에 가라 앉기도 하고(u) 또 가볍게(ff) 날아가는 ‘보풀, 솜 부스러기’</t>
  </si>
  <si>
    <t>보풀, 솜 부스러기</t>
  </si>
  <si>
    <t>The cat's tail is covered with soft fluff.</t>
  </si>
  <si>
    <t>The cat's tail is covered with soft (          ).</t>
  </si>
  <si>
    <t>flee</t>
  </si>
  <si>
    <t>[fliː]</t>
  </si>
  <si>
    <t>날아가듯이(fl) 계속(ee) 나아가니 ‘달아나다’</t>
  </si>
  <si>
    <t>달아나다</t>
  </si>
  <si>
    <t>Refugees flee their country to escape danger.</t>
  </si>
  <si>
    <t>Refugees (          ) their country to escape danger.</t>
  </si>
  <si>
    <t>fleet</t>
  </si>
  <si>
    <t>fl &gt; flee</t>
  </si>
  <si>
    <t>[fliːt]</t>
  </si>
  <si>
    <t>적이 무서워 달아나게(flee) 굳건히 바다에 서 있는(t) ‘함대’</t>
  </si>
  <si>
    <t>함대</t>
  </si>
  <si>
    <t>The navy's fleet includes several aircraft carriers.</t>
  </si>
  <si>
    <t>The navy's (          ) includes several aircraft carriers.</t>
  </si>
  <si>
    <t>flea</t>
  </si>
  <si>
    <t>잡으려면 달아나는(flee-fle) 한 마리(a) ‘벼룩’</t>
  </si>
  <si>
    <t>벼룩</t>
  </si>
  <si>
    <t>The dog scratched because it had fleas.</t>
  </si>
  <si>
    <t>The dog scratched because it had (          )s.</t>
  </si>
  <si>
    <t>fling</t>
  </si>
  <si>
    <t>[fliŋ]</t>
  </si>
  <si>
    <t>날아가게(fl) 계속하니(ing) ‘내던지다’</t>
  </si>
  <si>
    <t>내던지다</t>
  </si>
  <si>
    <t>She would fling open the windows on sunny mornings.</t>
  </si>
  <si>
    <t>She would (          ) open the windows on sunny mornings.</t>
  </si>
  <si>
    <t>flip</t>
  </si>
  <si>
    <t>[flip]</t>
  </si>
  <si>
    <t>날아 가듯이(fl) 가볍게 안쪽에서(i) 폭하고(p) 튀겨 나가니 ‘톡 튀기다’</t>
  </si>
  <si>
    <t>톡 튀기다</t>
  </si>
  <si>
    <t>Flip the pancake when bubbles appear on the surface.</t>
  </si>
  <si>
    <r>
      <rPr>
        <sz val="12"/>
        <color indexed="8"/>
        <rFont val="Arial"/>
      </rPr>
      <t>Flip the pancake when bubbles appear on the surface.</t>
    </r>
  </si>
  <si>
    <t>flap</t>
  </si>
  <si>
    <t>fl &gt; flip</t>
  </si>
  <si>
    <t>[flæp]</t>
  </si>
  <si>
    <t>날개를 톡 튀기면(flip-flap) ‘퍼덕거리다’
*i를 좀더 강하게 발음하면 a가 된다</t>
  </si>
  <si>
    <t>퍼덕거리다</t>
  </si>
  <si>
    <t>The bird's wings flap rapidly during flight.</t>
  </si>
  <si>
    <t>The bird's wings (          ) rapidly during flight.</t>
  </si>
  <si>
    <t>flick</t>
  </si>
  <si>
    <t>[flik]</t>
  </si>
  <si>
    <t>날아가듯이(fl) 손가락을 모았다가(c) 확장(k)하니 ‘가볍게 치다, 털다’</t>
  </si>
  <si>
    <t>가볍게 치다, 털다</t>
  </si>
  <si>
    <t>With a flick of his wrist, the magician made the coin disappear.</t>
  </si>
  <si>
    <t>With a (          ) of his wrist, the magician made the coin disappear.</t>
  </si>
  <si>
    <t>fluctuate</t>
  </si>
  <si>
    <t>[flΛkʧuèit]</t>
  </si>
  <si>
    <t>흘러가면서(fl) 아래쪽(u)에 있기도 하고 굽어(c)치기도 하고 다시 서(t)기도 하니 ‘오르내리다’</t>
  </si>
  <si>
    <t>오르내리다</t>
  </si>
  <si>
    <t>Stock prices fluctuate throughout the trading day.</t>
  </si>
  <si>
    <t>Stock prices (          ) throughout the trading day.</t>
  </si>
  <si>
    <t>fluctuation</t>
  </si>
  <si>
    <t>fl &gt; fluctuate</t>
  </si>
  <si>
    <t>[flΛkʧuéiʃən]</t>
  </si>
  <si>
    <t>오르내리다(fluctuate) + 명사(tion) = ‘변동’</t>
  </si>
  <si>
    <t>변동</t>
  </si>
  <si>
    <t>Temperature fluctuation can damage sensitive equipment.</t>
  </si>
  <si>
    <t>Temperature (          ) can damage sensitive equipment.</t>
  </si>
  <si>
    <t>flump</t>
  </si>
  <si>
    <t>[flʌmp]</t>
  </si>
  <si>
    <t>무거운 것이 날아가다가(fl) 아래쪽을(u) 향해 움직여(m) 폭하고(p) 지점을 만나니 ‘쿵하고 떨어지다’</t>
  </si>
  <si>
    <t>쿵하고 떨어지다</t>
  </si>
  <si>
    <t>He heard a flump as the heavy book fell to the floor.</t>
  </si>
  <si>
    <t>He heard a (          ) as the heavy book fell to the floor.</t>
  </si>
  <si>
    <t>flunk</t>
  </si>
  <si>
    <t>[flʌŋk]</t>
  </si>
  <si>
    <t>성적이 날아가듯이 빠르게(fl) 아래바닥(u)을 향해 가까이(n) 확장해(k) 나아가니 ‘낙제하다’</t>
  </si>
  <si>
    <t>낙제하다</t>
  </si>
  <si>
    <t>If you don't study, you might flunk the exam.</t>
  </si>
  <si>
    <t>If you don't study, you might (          ) the exam.</t>
  </si>
  <si>
    <t>floor</t>
  </si>
  <si>
    <t>[flɔːr]</t>
  </si>
  <si>
    <t>날아가듯이(fl) 둥근(0) 발 두개가 막 다닐 수 있는 ‘바닥’</t>
  </si>
  <si>
    <t>바닥</t>
  </si>
  <si>
    <t>The cat is sleeping on the floor.</t>
  </si>
  <si>
    <t>The cat is sleeping on the (          ).</t>
  </si>
  <si>
    <t>flood</t>
  </si>
  <si>
    <t>[flʌd]</t>
  </si>
  <si>
    <t>물이 날아가듯이(fl) 빠른 속도로 바퀴 두개가(oo) 굴러가듯이 아래로(d) 내려 가는 ‘홍수, 잠기게 하다’</t>
  </si>
  <si>
    <t>홍수, 잠기게 하다</t>
  </si>
  <si>
    <t>Heavy rain caused the river to flood.</t>
  </si>
  <si>
    <t>Heavy rain caused the river to (          ).</t>
  </si>
  <si>
    <t>fluid</t>
  </si>
  <si>
    <t>[flúːid]</t>
  </si>
  <si>
    <t>흘러가서(fl) 아래쪽(u)을 향해 아래로(d) 흘러 가는 ‘유체, 유동성의’</t>
  </si>
  <si>
    <t>유체, 유동성의</t>
  </si>
  <si>
    <t>Water is the most common fluid on Earth.</t>
  </si>
  <si>
    <t>Water is the most common (          ) on Earth.</t>
  </si>
  <si>
    <t>flux</t>
  </si>
  <si>
    <t>[flʌks]</t>
  </si>
  <si>
    <t>흘러가서(fl) 아래쪽을(u) 향해 가며 새로운 흐름과 교차되기도(x) 하는 ‘흐름, 유동’</t>
  </si>
  <si>
    <t>흐름, 유동</t>
  </si>
  <si>
    <t>The organization is in a state of flux during the transition.</t>
  </si>
  <si>
    <t>The organization is in a state of (          ) during the transition.</t>
  </si>
  <si>
    <t>influx</t>
  </si>
  <si>
    <t>fl &gt; flux</t>
  </si>
  <si>
    <t>[ínflΛks]</t>
  </si>
  <si>
    <t>안(in)으로의 흐름(flux)이니 ‘유입’</t>
  </si>
  <si>
    <t>유입</t>
  </si>
  <si>
    <t>The city experienced an influx of tourists during the festival.</t>
  </si>
  <si>
    <t>The city experienced an (          ) of tourists during the festival.</t>
  </si>
  <si>
    <t>flex</t>
  </si>
  <si>
    <t>[fleks]</t>
  </si>
  <si>
    <t>가볍게 날아가듯 움직이다가(fl) 입구에서(e) 교차하니(x) ‘굽히다’</t>
  </si>
  <si>
    <t>굽히다</t>
  </si>
  <si>
    <t>Athletes flex their muscles before competition.</t>
  </si>
  <si>
    <t>Athletes (          ) their muscles before competition.</t>
  </si>
  <si>
    <t>flexible</t>
  </si>
  <si>
    <t>fl &gt; flex</t>
  </si>
  <si>
    <t>[fléksəbl]</t>
  </si>
  <si>
    <t>굽히다(flex) + 할 수 있는(ible-able) = ‘구부리기 쉬운, 유연한’</t>
  </si>
  <si>
    <t>구부리기 쉬운, 유연한</t>
  </si>
  <si>
    <t>Having a flexible schedule allows me to balance work and family.</t>
  </si>
  <si>
    <t>Having a (          ) schedule allows me to balance work and family.</t>
  </si>
  <si>
    <t>flush</t>
  </si>
  <si>
    <t>[flʌʃ]</t>
  </si>
  <si>
    <t>물이 흘러가(fl) 아래쪽(u)을 향해 나가 부드럽게(sh) 다 빠져 나가는 ‘배수, 씻어 내다’</t>
  </si>
  <si>
    <t>배수, 씻어 내다</t>
  </si>
  <si>
    <t>Her cheeks flush red when she's embarrassed.</t>
  </si>
  <si>
    <t>Her cheeks (          ) red when she's embarrassed.</t>
  </si>
  <si>
    <t>fluent</t>
  </si>
  <si>
    <t>[flúːənt]</t>
  </si>
  <si>
    <t>물이 흘러(fl) 아래쪽을(u) 향해 들어가니 (ent-enter) ‘거침없이 흐르는, 유창한’</t>
  </si>
  <si>
    <t>거침없이 흐르는, 유창한</t>
  </si>
  <si>
    <t>After living in France for five years, she became fluent in French.</t>
  </si>
  <si>
    <t>After living in France for five years, she became (          ) in French.</t>
  </si>
  <si>
    <t>influence</t>
  </si>
  <si>
    <t>fl &gt; fluent</t>
  </si>
  <si>
    <t>[ínfluəns]</t>
  </si>
  <si>
    <t>안으로(in) 거침없이 흘러가니(fluence) ‘영향을 주다, 영향’</t>
  </si>
  <si>
    <t>영향을 주다, 영향</t>
  </si>
  <si>
    <t>Parents have a strong influence on their children.</t>
  </si>
  <si>
    <t>Parents have a strong (          ) on their children.</t>
  </si>
  <si>
    <t>influential</t>
  </si>
  <si>
    <t>fluent &gt; influence</t>
  </si>
  <si>
    <t>[ìnfluénʃəl]</t>
  </si>
  <si>
    <t>영향(influence-influen) + 형용사(ial) = ‘영향력 있는’</t>
  </si>
  <si>
    <t>영향력 있는</t>
  </si>
  <si>
    <t>She is an influential leader in the community.</t>
  </si>
  <si>
    <t>She is an (          ) leader in the community.</t>
  </si>
  <si>
    <t>influenza</t>
  </si>
  <si>
    <t>[ìnfluénzə]</t>
  </si>
  <si>
    <t>사람 몸 안에서(in) 콧물이 거침없이 흐르고(fluent) 몸에 진동(몸살)을(z) 일으키는 ‘독감’</t>
  </si>
  <si>
    <t>독감</t>
  </si>
  <si>
    <t>Influenza spreads rapidly during winter months.</t>
  </si>
  <si>
    <r>
      <rPr>
        <sz val="12"/>
        <color indexed="8"/>
        <rFont val="Arial"/>
      </rPr>
      <t>Influenza spreads rapidly during winter months.</t>
    </r>
  </si>
  <si>
    <t>float</t>
  </si>
  <si>
    <t>[flout]</t>
  </si>
  <si>
    <t>물에 흘러가는(fl) 보트처럼(boat-oat) ‘떠다니다’</t>
  </si>
  <si>
    <t>떠다니다</t>
  </si>
  <si>
    <t>Wood will float on water.</t>
  </si>
  <si>
    <t>Wood will (          ) on water.</t>
  </si>
  <si>
    <t>flesh</t>
  </si>
  <si>
    <t>[fleʃ]</t>
  </si>
  <si>
    <t>사람들이 워낙 빨리 먹어서 날아가듯이(fl) 빠르게 입속으로(e) 사라지는(sh) ‘고기, 살’</t>
  </si>
  <si>
    <t>고기, 살</t>
  </si>
  <si>
    <t>The thorn pierced the flesh of his finger.</t>
  </si>
  <si>
    <t>The thorn pierced the (          ) of his finger.</t>
  </si>
  <si>
    <t>flavor</t>
  </si>
  <si>
    <t>[fléivər]</t>
  </si>
  <si>
    <t>날아가듯이(fl) 음식의 갈라진 틈(v)에서 나와 둥근 입 속으로(이) 강하게(r) 들어가게 하는 ‘맛, 풍미’</t>
  </si>
  <si>
    <t>맛, 풍미</t>
  </si>
  <si>
    <t>Vanilla is my favorite ice cream flavor.</t>
  </si>
  <si>
    <t>Vanilla is my favorite ice cream (          ).</t>
  </si>
  <si>
    <t>flat</t>
  </si>
  <si>
    <r>
      <rPr>
        <sz val="12"/>
        <color indexed="8"/>
        <rFont val="Apple SD 산돌고딕 Neo 일반체"/>
      </rPr>
      <t>flat</t>
    </r>
  </si>
  <si>
    <t>[flæt]</t>
  </si>
  <si>
    <t>가볍게 약해지고(f) 길게 늘어져(l) 어떤 지점에(at) 있으니 ‘납작한, 평면, 아파트’
* 납작한 평면으로 만들어진 아파트</t>
  </si>
  <si>
    <t>납작한, 평면, 아파트</t>
  </si>
  <si>
    <t>I live in a flat on the third floor.</t>
  </si>
  <si>
    <t>I live in a (          ) on the third floor.</t>
  </si>
  <si>
    <t>flat tire</t>
  </si>
  <si>
    <t>[flæt taiər]</t>
  </si>
  <si>
    <t>납작한(flat) 타이어, ‘펑크난 타이어’</t>
  </si>
  <si>
    <t>펑크난 타이어</t>
  </si>
  <si>
    <t>We had a flat tire on the highway.</t>
  </si>
  <si>
    <t>We had a (          ) on the highway.</t>
  </si>
  <si>
    <t>flatter</t>
  </si>
  <si>
    <t>[flǽtər]</t>
  </si>
  <si>
    <t>납작 엎드려서(lat) 말을 하니 ‘아첨하다, 아부하다’</t>
  </si>
  <si>
    <t>아첨하다, 아부하다</t>
  </si>
  <si>
    <t>His compliments flatter her.</t>
  </si>
  <si>
    <t>His compliments (          ) her.</t>
  </si>
  <si>
    <t>deflate</t>
  </si>
  <si>
    <t>[difléit]</t>
  </si>
  <si>
    <t>아래로 저하시켜(de) 납작해지도록(flat) 하니 ‘수축시키다, 공기를 빼다’</t>
  </si>
  <si>
    <t>수축시키다, 공기를 빼다</t>
  </si>
  <si>
    <t>You need to deflate the balloon slightly.</t>
  </si>
  <si>
    <t>You need to (          ) the balloon slightly.</t>
  </si>
  <si>
    <t>inflate</t>
  </si>
  <si>
    <t>[infléit]</t>
  </si>
  <si>
    <t>안(in)으로 공기를 넣으니 납작한(flat)것이 ‘팽창하다, 부풀리다’</t>
  </si>
  <si>
    <t>팽창하다, 부풀리다</t>
  </si>
  <si>
    <t>Inflate your tires to the recommended pressure.</t>
  </si>
  <si>
    <r>
      <rPr>
        <sz val="12"/>
        <color indexed="8"/>
        <rFont val="Arial"/>
      </rPr>
      <t>Inflate your tires to the recommended pressure.</t>
    </r>
  </si>
  <si>
    <t>inflation</t>
  </si>
  <si>
    <t>[infléiʃən]</t>
  </si>
  <si>
    <t>시장 안에(in) 바람을 넣으면 납작한(flat) 통화가치가 팽창하는 ‘인플레이션, 팽창’</t>
  </si>
  <si>
    <t>인플레이션, 팽창</t>
  </si>
  <si>
    <t>Inflation causes prices to rise over time.</t>
  </si>
  <si>
    <r>
      <rPr>
        <sz val="12"/>
        <color indexed="8"/>
        <rFont val="Arial"/>
      </rPr>
      <t>Inflation causes prices to rise over time.</t>
    </r>
  </si>
  <si>
    <t>reflect</t>
  </si>
  <si>
    <t>flect</t>
  </si>
  <si>
    <r>
      <rPr>
        <sz val="12"/>
        <color indexed="8"/>
        <rFont val="Apple SD 산돌고딕 Neo 일반체"/>
      </rPr>
      <t>flect</t>
    </r>
  </si>
  <si>
    <t>[riflékt]</t>
  </si>
  <si>
    <t>다시(re) 휘게(flect)하니 ‘반사하다’</t>
  </si>
  <si>
    <t>반사하다</t>
  </si>
  <si>
    <t>The still lake reflects the mountains perfectly.</t>
  </si>
  <si>
    <t>The still lake (          )s the mountains perfectly.</t>
  </si>
  <si>
    <t>conflict</t>
  </si>
  <si>
    <t>flect(flict)</t>
  </si>
  <si>
    <t>[kənflíkt]</t>
  </si>
  <si>
    <t>함께(con) 서로 상대방을 굽히려고(flect-flict) 애쓰니 ‘대립하다, 충돌하다’</t>
  </si>
  <si>
    <t>대립하다, 충돌하다</t>
  </si>
  <si>
    <t>The conflict between the two countries lasted for years.</t>
  </si>
  <si>
    <t>The (          ) between the two countries lasted for years.</t>
  </si>
  <si>
    <t>inflict</t>
  </si>
  <si>
    <t>[inflíkt]</t>
  </si>
  <si>
    <t>안으로(in) 몸이 휘어지도록(flict) 힘을 가하다 ‘고통을 가하다’</t>
  </si>
  <si>
    <t>고통을 가하다</t>
  </si>
  <si>
    <t>Don't inflict your bad mood on others.</t>
  </si>
  <si>
    <t>Don't (          ) your bad mood on others.</t>
  </si>
  <si>
    <t>afflict</t>
  </si>
  <si>
    <t>[əflíkt]</t>
  </si>
  <si>
    <t>더하다(a) 몸이 휘어지는(tict) 고통을 가하니 ‘괴롭히다’</t>
  </si>
  <si>
    <t>괴롭히다</t>
  </si>
  <si>
    <t>Malaria continues to afflict millions of people worldwide.</t>
  </si>
  <si>
    <t>Malaria continues to (          ) millions of people worldwide.</t>
  </si>
  <si>
    <t>affliction</t>
  </si>
  <si>
    <t>flect(flict) &gt; afflict</t>
  </si>
  <si>
    <t>[əflíkʃən]</t>
  </si>
  <si>
    <t>괴롭히다(afflict) + 명사(tion) = ‘고통, 고뇌’</t>
  </si>
  <si>
    <t>고통, 고뇌</t>
  </si>
  <si>
    <t>Poverty is an affliction that affects many communities.</t>
  </si>
  <si>
    <t>Poverty is an (          ) that affects many communities.</t>
  </si>
  <si>
    <t>flower</t>
  </si>
  <si>
    <t>flor(flow)</t>
  </si>
  <si>
    <r>
      <rPr>
        <sz val="12"/>
        <color indexed="8"/>
        <rFont val="Apple SD 산돌고딕 Neo 일반체"/>
      </rPr>
      <t>flor</t>
    </r>
  </si>
  <si>
    <t>[fláuər]</t>
  </si>
  <si>
    <t>꽃(flor-flow) + 행위자(er) = ‘꽃’</t>
  </si>
  <si>
    <t>꽃</t>
  </si>
  <si>
    <t>The flower blooms in early spring.</t>
  </si>
  <si>
    <t>The (          ) blooms in early spring.</t>
  </si>
  <si>
    <t>flour</t>
  </si>
  <si>
    <t>flor</t>
  </si>
  <si>
    <t>밀 꽃(flor-flour)에서 나온 ‘밀가루’
* flower와 발음이 같다</t>
  </si>
  <si>
    <t>밀가루</t>
  </si>
  <si>
    <t>You need two cups of flour for this recipe.</t>
  </si>
  <si>
    <t>You need two cups of (          ) for this recipe.</t>
  </si>
  <si>
    <t>flora</t>
  </si>
  <si>
    <t>[flɔ́ːrə]</t>
  </si>
  <si>
    <t>꽃(flor)에 꽃을 하나(a) 더하여 이룬 ‘식물군’</t>
  </si>
  <si>
    <t>식물군</t>
  </si>
  <si>
    <t>The Amazon rainforest has diverse flora.</t>
  </si>
  <si>
    <t>The Amazon rainforest has diverse (          ).</t>
  </si>
  <si>
    <t>florist</t>
  </si>
  <si>
    <t>[flɔ́ːrist]</t>
  </si>
  <si>
    <t>꽃(flor) + 사람(~ist) = ‘꽃집 주인, 꽃집’</t>
  </si>
  <si>
    <t>꽃집 주인, 꽃집</t>
  </si>
  <si>
    <t>The florist created a beautiful wedding bouquet.</t>
  </si>
  <si>
    <t>The (          ) created a beautiful wedding bouquet.</t>
  </si>
  <si>
    <t>flourish</t>
  </si>
  <si>
    <t>flor(flour)</t>
  </si>
  <si>
    <t>[flə́ːriʃ]</t>
  </si>
  <si>
    <t>꽃(flor-flour)이 만개한 것처럼 부드럽게 크게(sh) ‘번영하다’</t>
  </si>
  <si>
    <t>번영하다</t>
  </si>
  <si>
    <t>Plants flourish with the right amount of water and sunlight.</t>
  </si>
  <si>
    <t>Plants (          ) with the right amount of water and sunlight.</t>
  </si>
  <si>
    <t>forward</t>
  </si>
  <si>
    <t>for</t>
  </si>
  <si>
    <r>
      <rPr>
        <sz val="12"/>
        <color indexed="8"/>
        <rFont val="Apple SD 산돌고딕 Neo 일반체"/>
      </rPr>
      <t>for</t>
    </r>
  </si>
  <si>
    <t>[fɔ́ːrwərd]</t>
  </si>
  <si>
    <t>앞(for) 쪽으로(ward) ‘앞으로, 앞쪽에’</t>
  </si>
  <si>
    <t>앞으로, 앞쪽에</t>
  </si>
  <si>
    <t>Please forward my mail to my new address.</t>
  </si>
  <si>
    <t>Please (          ) my mail to my new address.</t>
  </si>
  <si>
    <t>forth</t>
  </si>
  <si>
    <t>[fɔːrθ]</t>
  </si>
  <si>
    <t>앞으로(tor) 통과해(th) 나아가니 ‘앞으로’</t>
  </si>
  <si>
    <t>앞으로</t>
  </si>
  <si>
    <t>The speaker put forth several interesting ideas.</t>
  </si>
  <si>
    <t>The speaker put (          ) several interesting ideas.</t>
  </si>
  <si>
    <t>afford</t>
  </si>
  <si>
    <t>[əfɔ́ːrd]</t>
  </si>
  <si>
    <t>뭔가를 더하려고(a), 즉 새로 구입하려고 앞으로(for) 나갈 수 있으니 ‘여유가 있다, 할 수 있다’</t>
  </si>
  <si>
    <t>여유가 있다, 할 수 있다</t>
  </si>
  <si>
    <t>Can you afford to buy a new car this year?</t>
  </si>
  <si>
    <t>Can you (          ) to buy a new car this year?</t>
  </si>
  <si>
    <t>affordable</t>
  </si>
  <si>
    <t>for &gt; afford</t>
  </si>
  <si>
    <t>[əfɔ́ːrdəbl]</t>
  </si>
  <si>
    <t>여유가 있다(afford) + 할 능력이 있는(able)= ‘(가격 등이)알맞은, 적당한’</t>
  </si>
  <si>
    <t>(가격 등이)알맞은, 적당한</t>
  </si>
  <si>
    <t>The government aims to provide affordable housing.</t>
  </si>
  <si>
    <t>The government aims to provide (          ) housing.</t>
  </si>
  <si>
    <t>forgive</t>
  </si>
  <si>
    <t>[fərgív]</t>
  </si>
  <si>
    <t>처벌보다 앞서(tor) 주는 것이니(give) ‘용서하다’</t>
  </si>
  <si>
    <t>It's important to forgive others for their mistakes.</t>
  </si>
  <si>
    <t>It's important to (          ) others for their mistakes.</t>
  </si>
  <si>
    <t>forget</t>
  </si>
  <si>
    <t>[fərgét]</t>
  </si>
  <si>
    <t>앞으로만(for) 나아 가려고(get) 하니 ‘과거를 잊다, 잊어버리다’</t>
  </si>
  <si>
    <t>과거를 잊다, 잊어버리다</t>
  </si>
  <si>
    <t>Don't forget to lock the door when you leave.</t>
  </si>
  <si>
    <t>Don't (          ) to lock the door when you leave.</t>
  </si>
  <si>
    <t>forge</t>
  </si>
  <si>
    <t>[fɔːrdʒ]</t>
  </si>
  <si>
    <t>앞으로(for) 나가 깊숙한(g) 곳에서 새로운 것을 만드니 ‘위조하다, 만들다’</t>
  </si>
  <si>
    <t>위조하다, 만들다</t>
  </si>
  <si>
    <t>The blacksmith will forge a new sword.</t>
  </si>
  <si>
    <t>The blacksmith will (          ) a new sword.</t>
  </si>
  <si>
    <t>fork</t>
  </si>
  <si>
    <t>[fɔːrk]</t>
  </si>
  <si>
    <t>어떤 대상을 향해서 앞으로(tor) 나아가 찌르는 힘을 확장(k)해 가는 것, ‘포크'</t>
  </si>
  <si>
    <t>포크</t>
  </si>
  <si>
    <t>Use your fork to eat the pasta.</t>
  </si>
  <si>
    <t>Use your (          ) to eat the pasta.</t>
  </si>
  <si>
    <t>folk</t>
  </si>
  <si>
    <t>for &gt; fork</t>
  </si>
  <si>
    <t>[fouk]</t>
  </si>
  <si>
    <t>포크(fork)를 오랫동안(l) 사용해온 시골 사람들, ‘민속(의), 민간의, 사람들’</t>
  </si>
  <si>
    <t>민속(의), 민간의, 사람들</t>
  </si>
  <si>
    <t>Folk music reflects the traditions of a culture.</t>
  </si>
  <si>
    <r>
      <rPr>
        <sz val="12"/>
        <color indexed="8"/>
        <rFont val="Arial"/>
      </rPr>
      <t>Folk music reflects the traditions of a culture.</t>
    </r>
  </si>
  <si>
    <t>forefather</t>
  </si>
  <si>
    <t>for &gt; fore</t>
  </si>
  <si>
    <t>[fɔˈrfaˌðər]</t>
  </si>
  <si>
    <t>앞서(fore) 있었던 아버지(father) ‘선조, 조상’</t>
  </si>
  <si>
    <t>Our forefathers established this community 200 years ago.</t>
  </si>
  <si>
    <t>Our (          )s established this community 200 years ago.</t>
  </si>
  <si>
    <t>foresee</t>
  </si>
  <si>
    <t>fore</t>
  </si>
  <si>
    <t>[fɔrsiˈ]</t>
  </si>
  <si>
    <t xml:space="preserve">앞쪽(fore)을 먼저 보니(see) ‘예견하다, 내다보다’ </t>
  </si>
  <si>
    <t>예견하다, 내다보다</t>
  </si>
  <si>
    <t>No one could foresee the economic crisis.</t>
  </si>
  <si>
    <t>No one could (          ) the economic crisis.</t>
  </si>
  <si>
    <t>foreseeable</t>
  </si>
  <si>
    <t>forre &gt; foresee</t>
  </si>
  <si>
    <t>[fɔːrsíːəbl]</t>
  </si>
  <si>
    <t>예견하다(foresee)+ 가능한(able)= ‘미리 알 수 있는’</t>
  </si>
  <si>
    <t>미리 알 수 있는</t>
  </si>
  <si>
    <t>The project should be completed in the foreseeable future.</t>
  </si>
  <si>
    <t>The project should be completed in the (          ) future.</t>
  </si>
  <si>
    <t>unforeseen</t>
  </si>
  <si>
    <t>fore &gt; foresee</t>
  </si>
  <si>
    <t>[əˌnfɔrsiˈn]</t>
  </si>
  <si>
    <t>부정(un) + 예견하다(foresee) = ‘예측하지 못한’</t>
  </si>
  <si>
    <t>예측하지 못한</t>
  </si>
  <si>
    <t>The expedition faced unforeseen difficulties.</t>
  </si>
  <si>
    <t>The expedition faced (          ) difficulties.</t>
  </si>
  <si>
    <t>forecast</t>
  </si>
  <si>
    <r>
      <rPr>
        <sz val="12"/>
        <color indexed="8"/>
        <rFont val="Apple SD 산돌고딕 Neo 일반체"/>
      </rPr>
      <t>fore</t>
    </r>
  </si>
  <si>
    <t>[fɔˈrkæˌst]</t>
  </si>
  <si>
    <t>미리 앞서 나가(fore) 의견을 던지니(cast) ‘예측하다, 예보하다’</t>
  </si>
  <si>
    <t>예측하다, 예보하다</t>
  </si>
  <si>
    <t>The weather forecast predicts rain tomorrow.</t>
  </si>
  <si>
    <t>The weather (          ) predicts rain tomorrow.</t>
  </si>
  <si>
    <t>forest</t>
  </si>
  <si>
    <t>[fɔ́ːrist]</t>
  </si>
  <si>
    <t>앞쪽에 있는(fore) 쉬기(rest)위해 가는 곳, ‘숲’</t>
  </si>
  <si>
    <t>숲</t>
  </si>
  <si>
    <t>Many animals live in the forest.</t>
  </si>
  <si>
    <t>Many animals live in the (          ).</t>
  </si>
  <si>
    <t>foremost</t>
  </si>
  <si>
    <t>[fɔˈrmouˌst]</t>
  </si>
  <si>
    <t>항상 앞쪽(fore)에 있는 가장 최고(most)인 ‘맨 앞의, 일류의’</t>
  </si>
  <si>
    <t>맨 앞의, 일류의</t>
  </si>
  <si>
    <t>Safety is the foremost concern in this operation.</t>
  </si>
  <si>
    <t>Safety is the (          ) concern in this operation.</t>
  </si>
  <si>
    <t>foreman</t>
  </si>
  <si>
    <t>[fɔ́ːrmən]</t>
  </si>
  <si>
    <t>앞(fore)에 있는 사람(man), ‘우두머리’</t>
  </si>
  <si>
    <t>The construction foreman supervises the workers.</t>
  </si>
  <si>
    <t>The construction (          ) supervises the workers.</t>
  </si>
  <si>
    <t>forearm</t>
  </si>
  <si>
    <t>[fɔːrάːrm]</t>
  </si>
  <si>
    <t>앞쪽(fore)에 튀어나온 팔(arm), ‘팔뚝’</t>
  </si>
  <si>
    <t>팔뚝</t>
  </si>
  <si>
    <t>He injured his forearm during the tennis match.</t>
  </si>
  <si>
    <t>He injured his (          ) during the tennis match.</t>
  </si>
  <si>
    <t>forefinger</t>
  </si>
  <si>
    <t>[fɔˈrfiˌŋgər]</t>
  </si>
  <si>
    <t>순서상 엄지 다음에 바로 앞(fore)에 있는 손가락(finger), ‘집게 손가락’</t>
  </si>
  <si>
    <t>집게 손가락</t>
  </si>
  <si>
    <t>Use your forefinger to press the button.</t>
  </si>
  <si>
    <t>Use your (          ) to press the button.</t>
  </si>
  <si>
    <t>forehead</t>
  </si>
  <si>
    <t>[fɔ́ːrid, fɔ́ːrhèd]</t>
  </si>
  <si>
    <t>앞쪽(fore)에 튀어나온 머리(head) 부분, ‘이마’</t>
  </si>
  <si>
    <t>이마</t>
  </si>
  <si>
    <t>She felt his forehead to check for fever.</t>
  </si>
  <si>
    <t>She felt his (          ) to check for fever.</t>
  </si>
  <si>
    <t>fort</t>
  </si>
  <si>
    <t>[fɔːrt]</t>
  </si>
  <si>
    <t>앞으로(tor) 나가 굳건히 세워(t) 놓은 건물 ‘요새’</t>
  </si>
  <si>
    <t>요새</t>
  </si>
  <si>
    <t>Children built a snow fort in the yard.</t>
  </si>
  <si>
    <t>Children built a snow (          ) in the yard.</t>
  </si>
  <si>
    <t>fortify</t>
  </si>
  <si>
    <r>
      <rPr>
        <sz val="12"/>
        <color indexed="8"/>
        <rFont val="Apple SD 산돌고딕 Neo 일반체"/>
      </rPr>
      <t>fort</t>
    </r>
  </si>
  <si>
    <t>[fɔ́ːrtəfài]</t>
  </si>
  <si>
    <t>요새(fort) + 만들다(y) = ‘요새화하다, 강화하다’</t>
  </si>
  <si>
    <t>요새화하다, 강화하다</t>
  </si>
  <si>
    <t>Calcium helps to fortify your bones.</t>
  </si>
  <si>
    <t>Calcium helps to (          ) your bones.</t>
  </si>
  <si>
    <t>fortress</t>
  </si>
  <si>
    <t>[fɔ́ːrtris]</t>
  </si>
  <si>
    <t>요새를(fort) 만들어 힘이(r) 닥쳐와도 무기력 하게(ss) 만듬 &gt; ‘요새, 요새지’</t>
  </si>
  <si>
    <t>요새, 요새지</t>
  </si>
  <si>
    <t>The ancient fortress stood on top of the hill.</t>
  </si>
  <si>
    <t>The ancient (          ) stood on top of the hill.</t>
  </si>
  <si>
    <t>fortune</t>
  </si>
  <si>
    <t>[fɔ́ːrʧən]</t>
  </si>
  <si>
    <t>요새(fort)처럼 단단하게 아래쪽에서(u) 쌓아 올리면 새롭게(n) 수익이 생기는 ‘재산, 행운’</t>
  </si>
  <si>
    <t>재산, 행운</t>
  </si>
  <si>
    <t>He made a fortune in real estate.</t>
  </si>
  <si>
    <t>He made a (          ) in real estate.</t>
  </si>
  <si>
    <t>misfortune</t>
  </si>
  <si>
    <t>fort &gt; fortune</t>
  </si>
  <si>
    <t>[misfɔˈrʧən]</t>
  </si>
  <si>
    <t>잘못된(mis) + 행운(fortune) = ‘불운, 불행, 역경’</t>
  </si>
  <si>
    <t>불운, 불행, 역경</t>
  </si>
  <si>
    <t>Losing his job was a misfortune, but he found a better one.</t>
  </si>
  <si>
    <t>Losing his job was a (          ), but he found a better one.</t>
  </si>
  <si>
    <t>fortunate</t>
  </si>
  <si>
    <t>[fɔ́ːrʧənət]</t>
  </si>
  <si>
    <t>행운(fortune-fortun) + 형용사(ate) = ‘운이 좋은’</t>
  </si>
  <si>
    <t>운이 좋은</t>
  </si>
  <si>
    <t>We were fortunate to find tickets for the sold-out concert.</t>
  </si>
  <si>
    <t>We were (          ) to find tickets for the sold-out concert.</t>
  </si>
  <si>
    <t>comfort</t>
  </si>
  <si>
    <t>[kΛmfərt]</t>
  </si>
  <si>
    <t>함께(com) 요새(fort)처럼 보호하고 감싸주니 ‘위로하다, 격려하다’</t>
  </si>
  <si>
    <t>위로하다, 격려하다</t>
  </si>
  <si>
    <t>The new sofa provides comfort for the whole family.</t>
  </si>
  <si>
    <t>The new sofa provides (          ) for the whole family.</t>
  </si>
  <si>
    <t>effort</t>
  </si>
  <si>
    <t>[éfərt]</t>
  </si>
  <si>
    <t>입구(e)로 들어가 성채를(fort) 만든다고 애쓰니 ‘노력, 수고’</t>
  </si>
  <si>
    <t>노력, 수고</t>
  </si>
  <si>
    <t>It takes effort to learn a new language.</t>
  </si>
  <si>
    <t>It takes (          ) to learn a new language.</t>
  </si>
  <si>
    <t>force</t>
  </si>
  <si>
    <t>[fɔːrs]</t>
  </si>
  <si>
    <t>앞으로(for) 나가서 잡으니(c) 느껴지는 ‘힘’</t>
  </si>
  <si>
    <t>힘</t>
  </si>
  <si>
    <t>The wind force bent the trees.</t>
  </si>
  <si>
    <t>The wind (          ) bent the trees.</t>
  </si>
  <si>
    <t>airforce</t>
  </si>
  <si>
    <r>
      <rPr>
        <sz val="12"/>
        <color indexed="8"/>
        <rFont val="Apple SD 산돌고딕 Neo 일반체"/>
      </rPr>
      <t>force</t>
    </r>
  </si>
  <si>
    <t>[ɛər fɔːrs]</t>
  </si>
  <si>
    <t>공중에서(air) 힘을 쓸 수 있는 존재(force) ‘공군’</t>
  </si>
  <si>
    <t>공군</t>
  </si>
  <si>
    <t>My brother serves in the airforce.</t>
  </si>
  <si>
    <t>My brother serves in the (          ).</t>
  </si>
  <si>
    <t>enforce</t>
  </si>
  <si>
    <t>[infɔ́ːrs]</t>
  </si>
  <si>
    <t>안(en)으로 힘(force)를 행사하니 ‘시행하다, 실시하다’</t>
  </si>
  <si>
    <t>시행하다, 실시하다</t>
  </si>
  <si>
    <t>Police enforce traffic laws on the highway.</t>
  </si>
  <si>
    <t>Police (          ) traffic laws on the highway.</t>
  </si>
  <si>
    <t>reinforce</t>
  </si>
  <si>
    <t>[rìːinfɔ́ːrs]</t>
  </si>
  <si>
    <t>다시(re) 안(in)으로 힘을 가하니(force) ‘강화하다, 증강하다’</t>
  </si>
  <si>
    <t>강화하다, 증강하다</t>
  </si>
  <si>
    <t>Steel rods reinforce the concrete structure.</t>
  </si>
  <si>
    <t>Steel rods (          ) the concrete structure.</t>
  </si>
  <si>
    <t>reinforcement</t>
  </si>
  <si>
    <t>force &gt; reinforce</t>
  </si>
  <si>
    <t>[rìːinfɔ́ːrsmənt]</t>
  </si>
  <si>
    <t>강화하다(reinforce) + 명사(ment) = ‘강화, 증강, 보강’</t>
  </si>
  <si>
    <t>강화, 증강, 보강</t>
  </si>
  <si>
    <t>The bridge needs reinforcement to support heavy trucks.</t>
  </si>
  <si>
    <t>The bridge needs (          ) to support heavy trucks.</t>
  </si>
  <si>
    <t>form</t>
  </si>
  <si>
    <t>[fɔːrm]</t>
  </si>
  <si>
    <t>앞으로 목표로(for)하는 형태로 움직여(m) 만들어진 ‘모양, 형태, 형성시키다’</t>
  </si>
  <si>
    <t>모양, 형태, 형성시키다</t>
  </si>
  <si>
    <t>Fill out this form with your personal information.</t>
  </si>
  <si>
    <t>Fill out this (          ) with your personal in(          )ation.</t>
  </si>
  <si>
    <t>foam</t>
  </si>
  <si>
    <r>
      <rPr>
        <sz val="12"/>
        <color indexed="8"/>
        <rFont val="Apple SD 산돌고딕 Neo 일반체"/>
      </rPr>
      <t>f</t>
    </r>
  </si>
  <si>
    <t>[foum]</t>
  </si>
  <si>
    <t>가볍고(f) 둥근 모양(0)이며 움직여(m) 다니는 것 ‘거품’</t>
  </si>
  <si>
    <t>Sea waves create white foam on the beach.</t>
  </si>
  <si>
    <t>Sea waves create white (          ) on the beach.</t>
  </si>
  <si>
    <t>formal</t>
  </si>
  <si>
    <r>
      <rPr>
        <sz val="12"/>
        <color indexed="8"/>
        <rFont val="Apple SD 산돌고딕 Neo 일반체"/>
      </rPr>
      <t>form</t>
    </r>
  </si>
  <si>
    <t>[fɔ́ːrməl]</t>
  </si>
  <si>
    <t>모양, 형태(form)를 갖추고 모든 일을(all-a) 하니 ‘공식적인, 격식을 차린’</t>
  </si>
  <si>
    <t>공식적인, 격식을 차린</t>
  </si>
  <si>
    <t>You should wear formal attire to the wedding.</t>
  </si>
  <si>
    <t>You should wear (          ) attire to the wedding.</t>
  </si>
  <si>
    <t>formation</t>
  </si>
  <si>
    <t>[fɔːrméiʃən]</t>
  </si>
  <si>
    <t>모양, 형태(form)를 만들다 + 명사(ion) = ‘구조, 조립’</t>
  </si>
  <si>
    <t>구조, 조립</t>
  </si>
  <si>
    <t>Cloud formation indicates changing weather patterns.</t>
  </si>
  <si>
    <t>Cloud (          ) indicates changing weather patterns.</t>
  </si>
  <si>
    <t>formula</t>
  </si>
  <si>
    <t>[fɔ́ːrmjulə]</t>
  </si>
  <si>
    <t>정해진 형태(form)를 오랫동안(l) 만들어내는 ‘공식’</t>
  </si>
  <si>
    <t>공식</t>
  </si>
  <si>
    <t>The formula for water is H2O.</t>
  </si>
  <si>
    <t>The (          ) for water is H2O.</t>
  </si>
  <si>
    <t>deform</t>
  </si>
  <si>
    <t>[difɔ́ːrm]</t>
  </si>
  <si>
    <t>저하시키는(de) 것이 원래의 모양(form)이므로 ‘(모양 등을)변형하다’</t>
  </si>
  <si>
    <t>(모양 등을)변형하다</t>
  </si>
  <si>
    <t>Heat can deform plastic containers.</t>
  </si>
  <si>
    <t>Heat can (          ) plastic containers.</t>
  </si>
  <si>
    <t>inform</t>
  </si>
  <si>
    <t>[infɔ́ːrm]</t>
  </si>
  <si>
    <t>머리 안(in)에다가 정보를 형성(form)해 주니 ‘알리다, 통지하다’</t>
  </si>
  <si>
    <t>알리다, 통지하다</t>
  </si>
  <si>
    <t>Please inform me if there are any changes to the plan.</t>
  </si>
  <si>
    <t>Please (          ) me if there are any changes to the plan.</t>
  </si>
  <si>
    <t>information</t>
  </si>
  <si>
    <t>form &gt; inform</t>
  </si>
  <si>
    <t>[ìnfərméiʃən]</t>
  </si>
  <si>
    <t>알려주다(inform) +명사(ion) = ‘정보, 자료, 지식’</t>
  </si>
  <si>
    <t>정보, 자료, 지식</t>
  </si>
  <si>
    <t>The website provides useful information about the city.</t>
  </si>
  <si>
    <t>The website provides useful (          ) about the city.</t>
  </si>
  <si>
    <t>informative</t>
  </si>
  <si>
    <t>[infɔ́ːrmətiv]</t>
  </si>
  <si>
    <t>알리다(inform) + 상태(ive) = ‘정보를 주는, 유익한’</t>
  </si>
  <si>
    <t>정보를 주는, 유익한</t>
  </si>
  <si>
    <t>The documentary was both entertaining and informative.</t>
  </si>
  <si>
    <t>The documentary was both entertaining and (          ).</t>
  </si>
  <si>
    <t>conform</t>
  </si>
  <si>
    <t>[kənfɔ́ːrm]</t>
  </si>
  <si>
    <t>함께(con) 형태를(form) 맞추니 ‘순응하다, 따르다’</t>
  </si>
  <si>
    <t>순응하다, 따르다</t>
  </si>
  <si>
    <t>Students must conform to school dress code.</t>
  </si>
  <si>
    <t>Students must (          ) to school dress code.</t>
  </si>
  <si>
    <t>conformity</t>
  </si>
  <si>
    <t>form &gt; conform</t>
  </si>
  <si>
    <t>[kənfɔ́ːrməti]</t>
  </si>
  <si>
    <t>순응하다(conform) + 명사(ity) = ‘순종, 일치, 적합’</t>
  </si>
  <si>
    <t>순종, 일치, 적합</t>
  </si>
  <si>
    <t>Conformity to social norms is expected in many situations.</t>
  </si>
  <si>
    <r>
      <rPr>
        <sz val="12"/>
        <color indexed="8"/>
        <rFont val="Arial"/>
      </rPr>
      <t>Conformity to social norms is expected in many situations.</t>
    </r>
  </si>
  <si>
    <t>reform</t>
  </si>
  <si>
    <t>[rifɔ́ːrm]</t>
  </si>
  <si>
    <t>다시(re) 형성하니(form) ‘고치다, 개혁하다, 개정하다’</t>
  </si>
  <si>
    <t>고치다, 개혁하다, 개정하다</t>
  </si>
  <si>
    <t>The government introduced education reform last year.</t>
  </si>
  <si>
    <t>The government introduced education (          ) last year.</t>
  </si>
  <si>
    <t>perform</t>
  </si>
  <si>
    <t>[pərfɔ́ːrm]</t>
  </si>
  <si>
    <t>완전한(per-perfect) 모양(form)을 만드니 어떤 일을 ‘행하다, 수행하다’</t>
  </si>
  <si>
    <t>행하다, 수행하다</t>
  </si>
  <si>
    <t>The band will perform at the festival this weekend.</t>
  </si>
  <si>
    <t>The band will (          ) at the festival this weekend.</t>
  </si>
  <si>
    <t>performance</t>
  </si>
  <si>
    <t>form &gt; perform</t>
  </si>
  <si>
    <t>[pərfɔ́ːrməns]</t>
  </si>
  <si>
    <t>관련된 일을 수행하다(perform) + 명사(~ance) = ‘연주, 연기, 공연’</t>
  </si>
  <si>
    <t>연주, 연기, 공연</t>
  </si>
  <si>
    <t>Her performance in the play received excellent reviews.</t>
  </si>
  <si>
    <t>Her (          ) in the play received excellent reviews.</t>
  </si>
  <si>
    <t>uniform</t>
  </si>
  <si>
    <t>[júːnəfɔ̀ːrm]</t>
  </si>
  <si>
    <t>하나의(uni) 형태(form)로 만드는 ‘제복, 군복, 유니폼’</t>
  </si>
  <si>
    <t>제복, 군복, 유니폼</t>
  </si>
  <si>
    <t>Police officers wear a blue uniform.</t>
  </si>
  <si>
    <t>Police officers wear a blue (          ).</t>
  </si>
  <si>
    <t>firm</t>
  </si>
  <si>
    <t>f(fac)</t>
  </si>
  <si>
    <r>
      <rPr>
        <sz val="12"/>
        <color indexed="8"/>
        <rFont val="Apple SD 산돌고딕 Neo 일반체"/>
      </rPr>
      <t>fac</t>
    </r>
  </si>
  <si>
    <t>[fəːrm]</t>
  </si>
  <si>
    <t>만들어(f) 안에서(i) 강하고(r) 커지도록(m)하니 ‘강한, 굳은, 확고한, 기업’</t>
  </si>
  <si>
    <t>강한, 굳은, 확고한, 기업</t>
  </si>
  <si>
    <t>The mattress is too firm for me.</t>
  </si>
  <si>
    <t>The mattress is too (          ) for me.</t>
  </si>
  <si>
    <t>affirm</t>
  </si>
  <si>
    <r>
      <rPr>
        <sz val="12"/>
        <color indexed="8"/>
        <rFont val="Apple SD 산돌고딕 Neo 일반체"/>
      </rPr>
      <t>firm</t>
    </r>
  </si>
  <si>
    <t>[əfə́ːrm]</t>
  </si>
  <si>
    <t>더하는(a) 것이 확고한(firm) 사실이니 ‘단언하다, 확언하다’</t>
  </si>
  <si>
    <t>단언하다, 확언하다</t>
  </si>
  <si>
    <t>The court will affirm the previous ruling.</t>
  </si>
  <si>
    <t>The court will (          ) the previous ruling.</t>
  </si>
  <si>
    <t>confirm</t>
  </si>
  <si>
    <t>[kənfə́ːrm]</t>
  </si>
  <si>
    <t>함께(con) 다 굳고 확실한(firm) 상태로 만드니 ‘확실하게 하다’</t>
  </si>
  <si>
    <t>확실하게 하다</t>
  </si>
  <si>
    <t>Please confirm your appointment by email.</t>
  </si>
  <si>
    <t>Please (          ) your appointment by email.</t>
  </si>
  <si>
    <t>reconfirm</t>
  </si>
  <si>
    <t>firm &gt; confirm</t>
  </si>
  <si>
    <t>[rìːkənfə́ːrm]</t>
  </si>
  <si>
    <t>다시(re) 확실하게(confirm)하니 ‘재확인하다’</t>
  </si>
  <si>
    <t>재확인하다</t>
  </si>
  <si>
    <t>You should reconfirm your flight 24 hours before departure.</t>
  </si>
  <si>
    <t>You should (          ) your flight 24 hours before departure.</t>
  </si>
  <si>
    <t>infirm</t>
  </si>
  <si>
    <t>[infə́ːrm]</t>
  </si>
  <si>
    <t>반대(in) + 굳고 강한(firm) 것 = ‘약한, 허약한’</t>
  </si>
  <si>
    <t>약한, 허약한</t>
  </si>
  <si>
    <t>The infirm elderly man needed assistance walking.</t>
  </si>
  <si>
    <t>The (          ) elderly man needed assistance walking.</t>
  </si>
  <si>
    <t>fragile</t>
  </si>
  <si>
    <t>frag</t>
  </si>
  <si>
    <r>
      <rPr>
        <sz val="12"/>
        <color indexed="8"/>
        <rFont val="Apple SD 산돌고딕 Neo 일반체"/>
      </rPr>
      <t>frag</t>
    </r>
  </si>
  <si>
    <t>[frǽdʒəl]</t>
  </si>
  <si>
    <t>부수어(frag) 흐느적(l) 거리니 ‘깨지기 쉬운, 망가지기 쉬운’</t>
  </si>
  <si>
    <t>깨지기 쉬운, 망가지기 쉬운</t>
  </si>
  <si>
    <t>Handle the fragile glass with care.</t>
  </si>
  <si>
    <t>Handle the (          ) glass with care.</t>
  </si>
  <si>
    <t>fragment</t>
  </si>
  <si>
    <t>[frǽgmənt]</t>
  </si>
  <si>
    <t>부수어(frag) 만들어진 + 명사(ment) = ‘조각, 파편’</t>
  </si>
  <si>
    <t>조각, 파편</t>
  </si>
  <si>
    <t>Archaeologists found a fragment of ancient pottery.</t>
  </si>
  <si>
    <t>Archaeologists found a (          ) of ancient pottery.</t>
  </si>
  <si>
    <t>fragmentary</t>
  </si>
  <si>
    <t>frag &gt; fragment</t>
  </si>
  <si>
    <t>[frǽgməntèri]</t>
  </si>
  <si>
    <t>조각, 파편(fragment) + 형용사(ary) = ‘단편적인’</t>
  </si>
  <si>
    <t>단편적인</t>
  </si>
  <si>
    <t>Only fragmentary evidence of the civilization remains.</t>
  </si>
  <si>
    <t>Only (          ) evidence of the civilization remains.</t>
  </si>
  <si>
    <t>fragrance</t>
  </si>
  <si>
    <t>[fréigrəns]</t>
  </si>
  <si>
    <t>향수병을 부수니(frag) 힘(r)있게 새로이(n) 퍼져나가는 것(~ance) ‘방향, 향기’</t>
  </si>
  <si>
    <t>방향, 향기</t>
  </si>
  <si>
    <t>The fragrance of fresh flowers filled the room.</t>
  </si>
  <si>
    <t>The (          ) of fresh flowers filled the room.</t>
  </si>
  <si>
    <t>front</t>
  </si>
  <si>
    <r>
      <rPr>
        <sz val="12"/>
        <color indexed="8"/>
        <rFont val="Apple SD 산돌고딕 Neo 일반체"/>
      </rPr>
      <t>front</t>
    </r>
  </si>
  <si>
    <t>[frʌnt]</t>
  </si>
  <si>
    <t>빠르고(f) 힘있게(r) 나가서 아무도 없는 곳에(n) 딱 서서(t) 있으니 ‘맨 앞 부분, 앞면’</t>
  </si>
  <si>
    <t>맨 앞 부분, 앞면</t>
  </si>
  <si>
    <t>There's a beautiful garden in front of the house.</t>
  </si>
  <si>
    <t>There's a beautiful garden in (          ) of the house.</t>
  </si>
  <si>
    <t>frontier</t>
  </si>
  <si>
    <t>[frʌntíər]</t>
  </si>
  <si>
    <t>맨 앞으로(ront) 나가 있는 것(er), ‘국경, 경계, 개척자’</t>
  </si>
  <si>
    <t>국경, 경계, 개척자</t>
  </si>
  <si>
    <t>Space is the final frontier for human exploration.</t>
  </si>
  <si>
    <t>Space is the final (          ) for human exploration.</t>
  </si>
  <si>
    <t>forefront</t>
  </si>
  <si>
    <t>[fɔˈrfrəˌnt]</t>
  </si>
  <si>
    <t>앞쪽(fore) + 맨 앞부분(front) = ‘선봉, 최전선’</t>
  </si>
  <si>
    <t>선봉, 최전선</t>
  </si>
  <si>
    <t>Her research puts her at the forefront of medical science.</t>
  </si>
  <si>
    <t>Her research puts her at the (          ) of medical science.</t>
  </si>
  <si>
    <t>confront</t>
  </si>
  <si>
    <t>[kənfrΛnt]</t>
  </si>
  <si>
    <t>함께(con) 다 서로 맨 앞부분(iront)을 내미니 ‘직면하다’</t>
  </si>
  <si>
    <t>직면하다</t>
  </si>
  <si>
    <t>We must confront the problem directly.</t>
  </si>
  <si>
    <t>We must (          ) the problem directly.</t>
  </si>
  <si>
    <t>affront</t>
  </si>
  <si>
    <t>[əfrΛnt]</t>
  </si>
  <si>
    <t>더하다(a) 심한 말을 맨 앞 면전에서(front) 하니 ‘모욕하다’</t>
  </si>
  <si>
    <t>모욕하다</t>
  </si>
  <si>
    <t>His rude behavior was an affront to everyone present.</t>
  </si>
  <si>
    <t>His rude behavior was an (          ) to everyone present.</t>
  </si>
  <si>
    <t>fact</t>
  </si>
  <si>
    <t>fac</t>
  </si>
  <si>
    <r>
      <rPr>
        <sz val="12"/>
        <color indexed="8"/>
        <rFont val="Apple SD 산돌고딕 Neo 일반체"/>
      </rPr>
      <t>fac(fact)</t>
    </r>
  </si>
  <si>
    <t>[fækt]</t>
  </si>
  <si>
    <t>만들어(fac) 내어 세운(t) ‘사실, 진실’</t>
  </si>
  <si>
    <t>사실, 진실</t>
  </si>
  <si>
    <t>It's a fact that water freezes at zero degrees Celsius.</t>
  </si>
  <si>
    <t>It's a (          ) that water freezes at zero degrees Celsius.</t>
  </si>
  <si>
    <t>factor</t>
  </si>
  <si>
    <t>fac(fact)</t>
  </si>
  <si>
    <t>[fǽktər]</t>
  </si>
  <si>
    <t>분명히 만들어(fact-fac)져서 영향을 힘 있게(r) 주는 ‘요소, 요인’</t>
  </si>
  <si>
    <t>요소, 요인</t>
  </si>
  <si>
    <t>Cost is an important factor in my decision.</t>
  </si>
  <si>
    <t>Cost is an important (          ) in my decision.</t>
  </si>
  <si>
    <t>factory</t>
  </si>
  <si>
    <t>[fǽktəri]</t>
  </si>
  <si>
    <t>만드는(fact-fac) 사람이(or) 물건을 만들어 확장(y)해 나가는 곳 ‘공장’</t>
  </si>
  <si>
    <t>공장</t>
  </si>
  <si>
    <t>The chocolate factory produces thousands of bars daily.</t>
  </si>
  <si>
    <t>The chocolate (          ) produces thousands of bars daily.</t>
  </si>
  <si>
    <t>manufacture</t>
  </si>
  <si>
    <t>[mӕnjufǽkʧər]</t>
  </si>
  <si>
    <t>사람(man)들이 뭔가를 만들어(fact-fac)내니 ‘생산하다, 제조하다’</t>
  </si>
  <si>
    <t>생산하다, 제조하다</t>
  </si>
  <si>
    <t>They manufacture cars in this plant.</t>
  </si>
  <si>
    <t>They (          ) cars in this plant.</t>
  </si>
  <si>
    <t>manufacturer</t>
  </si>
  <si>
    <t>fac(fact) &gt; manufacture</t>
  </si>
  <si>
    <t>[mӕnjufǽkʧərər]</t>
  </si>
  <si>
    <t>생산하다(manufacture) + 사람(er) = ‘제조회사’</t>
  </si>
  <si>
    <t>제조회사</t>
  </si>
  <si>
    <t>The manufacturer offers a two-year warranty.</t>
  </si>
  <si>
    <t>The (          ) offers a two-year warranty.</t>
  </si>
  <si>
    <t>facility</t>
  </si>
  <si>
    <t>[fəsíləti]</t>
  </si>
  <si>
    <t>제품을 만들어(fac)내고 오랫(l)동안 서 있어(t) 유지되는 ‘시설, 설비’</t>
  </si>
  <si>
    <t>시설, 설비</t>
  </si>
  <si>
    <t>The sports facility includes a swimming pool and tennis courts.</t>
  </si>
  <si>
    <t>The sports (          ) includes a swimming pool and tennis courts.</t>
  </si>
  <si>
    <t>facilitate</t>
  </si>
  <si>
    <t>fac &gt; facility</t>
  </si>
  <si>
    <t>[fəsílətèit]</t>
  </si>
  <si>
    <t>시설과 설비(facility)가 이미 있어 쉽게 만드니(ate) ‘가능(용이)하게 하다’</t>
  </si>
  <si>
    <t>가능(용이)하게 하다</t>
  </si>
  <si>
    <t>Good translation services facilitate international communication.</t>
  </si>
  <si>
    <t>Good translation services (          ) international communication.</t>
  </si>
  <si>
    <t>facsimile</t>
  </si>
  <si>
    <t>[fæksíməli]</t>
  </si>
  <si>
    <t>만들어서(fac) 같은 것을(simille-same) 보내는 ‘팩스’</t>
  </si>
  <si>
    <t>팩스</t>
  </si>
  <si>
    <t>Before email, people sent documents by facsimile (fax).</t>
  </si>
  <si>
    <t>Before email, people sent documents by (          ) (fax).</t>
  </si>
  <si>
    <t>faculty</t>
  </si>
  <si>
    <t>[fǽkəlti]</t>
  </si>
  <si>
    <t>뭔가를 만들어(fac) 낼 수 있는, 계발해야(cult) 하는 ‘능력, 재능’</t>
  </si>
  <si>
    <t>능력, 재능</t>
  </si>
  <si>
    <t>The university faculty includes renowned researchers.</t>
  </si>
  <si>
    <t>The university (          ) includes renowned researchers.</t>
  </si>
  <si>
    <t>perfect</t>
  </si>
  <si>
    <t>fac(fect)</t>
  </si>
  <si>
    <r>
      <rPr>
        <sz val="12"/>
        <color indexed="8"/>
        <rFont val="Apple SD 산돌고딕 Neo 일반체"/>
      </rPr>
      <t>fect</t>
    </r>
  </si>
  <si>
    <t>[pə́ːrfikt]</t>
  </si>
  <si>
    <t>완전하게(per) 만드니(fect-fac) ‘완벽한’</t>
  </si>
  <si>
    <t>완벽한</t>
  </si>
  <si>
    <t>No one is perfect; everyone makes mistakes.</t>
  </si>
  <si>
    <t>No one is (          ); everyone makes mistakes.</t>
  </si>
  <si>
    <t>infect</t>
  </si>
  <si>
    <t>[infékt]</t>
  </si>
  <si>
    <t>몸 안으로(in) 들어가 병을 만들어내니(fect-fac) ‘감염시키다’</t>
  </si>
  <si>
    <t>감염시키다</t>
  </si>
  <si>
    <t>Bacteria can infect a wound if it's not cleaned properly.</t>
  </si>
  <si>
    <t>Bacteria can (          ) a wound if it's not cleaned properly.</t>
  </si>
  <si>
    <t>infectious</t>
  </si>
  <si>
    <t>fac(fect) &gt; infect</t>
  </si>
  <si>
    <t>[infékʃəs]</t>
  </si>
  <si>
    <t>감염시키다(infect) + 형용사(ous) = ‘전염성의’</t>
  </si>
  <si>
    <t>전염성의</t>
  </si>
  <si>
    <t>Laughter is infectious; it spreads quickly through a group.</t>
  </si>
  <si>
    <t>Laughter is (          ); it spreads quickly through a group.</t>
  </si>
  <si>
    <t>defect</t>
  </si>
  <si>
    <t>[díːfekt , difékt]</t>
  </si>
  <si>
    <t>아래쪽(de)으로 수준이 낮게 만들어(fect-fac)진 부분 ‘결점, 단점, 약점’</t>
  </si>
  <si>
    <t>결점, 단점, 약점</t>
  </si>
  <si>
    <t>The product had a minor defect in its design.</t>
  </si>
  <si>
    <t>The product had a minor (          ) in its design.</t>
  </si>
  <si>
    <t>defective</t>
  </si>
  <si>
    <t>fac(fect) &gt; defect</t>
  </si>
  <si>
    <t>[diféktiv]</t>
  </si>
  <si>
    <t>결점(defect) + 형용사(ive) = ‘결점이 있는’</t>
  </si>
  <si>
    <t>결점이 있는</t>
  </si>
  <si>
    <t>Return defective merchandise for a full refund.</t>
  </si>
  <si>
    <t>Return (          ) merchandise for a full refund.</t>
  </si>
  <si>
    <t>affect</t>
  </si>
  <si>
    <t>[əfékt]</t>
  </si>
  <si>
    <t>뭔가를 더하여(a) 만들어주니(fect-fac) ‘영향을 미치다’</t>
  </si>
  <si>
    <t>영향을 미치다</t>
  </si>
  <si>
    <t>Cold weather can affect crop yields.</t>
  </si>
  <si>
    <t>Cold weather can (          ) crop yields.</t>
  </si>
  <si>
    <t>affection</t>
  </si>
  <si>
    <t>fac(fect) &gt; affect</t>
  </si>
  <si>
    <t>[əfékʃən]</t>
  </si>
  <si>
    <t>좋은 영향을(affect) 지속적으로(on) 미치는 ‘애정, 애착’</t>
  </si>
  <si>
    <t>애정, 애착</t>
  </si>
  <si>
    <t>She showed affection by hugging her grandmother.</t>
  </si>
  <si>
    <t>She showed (          ) by hugging her grandmother.</t>
  </si>
  <si>
    <t>effect</t>
  </si>
  <si>
    <t>[ifékt]</t>
  </si>
  <si>
    <t>입구(e)를 통해 밖으로 만들어(fect-fac)낸 ‘결과, 효과’</t>
  </si>
  <si>
    <t>결과, 효과</t>
  </si>
  <si>
    <t>The medicine had an immediate effect on the pain.</t>
  </si>
  <si>
    <t>The medicine had an immediate (          ) on the pain.</t>
  </si>
  <si>
    <t>effectively</t>
  </si>
  <si>
    <t>fac(fect) &gt; effect</t>
  </si>
  <si>
    <t>[iféktivli]</t>
  </si>
  <si>
    <t>효과적인(effect) 성질이 길게(l) 확장하니(y) ‘효과적으로’</t>
  </si>
  <si>
    <t>효과적으로</t>
  </si>
  <si>
    <t>She manages her time effectively to complete all tasks.</t>
  </si>
  <si>
    <t>She manages her time (          ) to complete all tasks.</t>
  </si>
  <si>
    <t>ineffective</t>
  </si>
  <si>
    <t>effect &gt; effective</t>
  </si>
  <si>
    <t>[ìniféktiv]</t>
  </si>
  <si>
    <t>부정(in) + 효과적인(effective) = ‘효과가 없는’</t>
  </si>
  <si>
    <t>효과가 없는</t>
  </si>
  <si>
    <t>The old treatment proved ineffective against the new strain.</t>
  </si>
  <si>
    <t>The old treatment proved (          ) against the new strain.</t>
  </si>
  <si>
    <t>efficient</t>
  </si>
  <si>
    <t>[ifíʃənt]</t>
  </si>
  <si>
    <t>효과(efic-effect)가 있는 곳 안에(en) 서(t) 있으니 ‘능률적인, 효율적인’</t>
  </si>
  <si>
    <t>능률적인, 효율적인</t>
  </si>
  <si>
    <t>LED bulbs are more efficient than traditional incandescent bulbs.</t>
  </si>
  <si>
    <t>LED bulbs are more (          ) than traditional incandescent bulbs.</t>
  </si>
  <si>
    <t>face</t>
  </si>
  <si>
    <r>
      <rPr>
        <sz val="12"/>
        <color indexed="8"/>
        <rFont val="Apple SD 산돌고딕 Neo 일반체"/>
      </rPr>
      <t>face</t>
    </r>
  </si>
  <si>
    <t>[feis]</t>
  </si>
  <si>
    <t>신이 만들었는데(fac) 입구가(e) 많은 것 (눈,코,입) ‘얼굴, 면’</t>
  </si>
  <si>
    <t>얼굴, 면</t>
  </si>
  <si>
    <t>Wash your face before going to bed.</t>
  </si>
  <si>
    <t>Wash your (          ) before going to bed.</t>
  </si>
  <si>
    <t>facet</t>
  </si>
  <si>
    <t>[fǽsit]</t>
  </si>
  <si>
    <t>자르면 잘린 면(face)이 딱 서 있는(t) 것 같은 자른 ‘단면’</t>
  </si>
  <si>
    <t>단면</t>
  </si>
  <si>
    <t>The diamond has many facets that reflect light.</t>
  </si>
  <si>
    <t>The diamond has many (          )s that reflect light.</t>
  </si>
  <si>
    <t>surface</t>
  </si>
  <si>
    <t>[sə́ːrfis]</t>
  </si>
  <si>
    <t>아래쪽을(sur) 넘어서서 만나는 얼굴(face) ‘표면, 외면’</t>
  </si>
  <si>
    <t>표면, 외면</t>
  </si>
  <si>
    <t>The surface of the lake was perfectly calm.</t>
  </si>
  <si>
    <t>The (          ) of the lake was perfectly calm.</t>
  </si>
  <si>
    <t>preface</t>
  </si>
  <si>
    <t>[préfis]</t>
  </si>
  <si>
    <t>책 전체에 앞서 있는(pre) 얼굴(iace)과 같은 부분 ‘서문’</t>
  </si>
  <si>
    <t>서문</t>
  </si>
  <si>
    <t>The author wrote a preface explaining his motivation.</t>
  </si>
  <si>
    <t>The author wrote a (          ) explaining his motivation.</t>
  </si>
  <si>
    <t>interface</t>
  </si>
  <si>
    <t>[iˈntərfeiˌs]</t>
  </si>
  <si>
    <t>상호간에(inter) 얼굴(face)을 마주하며 영향을 미치는 ‘상호작용 영역, 접속기’</t>
  </si>
  <si>
    <t>상호작용 영역, 접속기</t>
  </si>
  <si>
    <t>The software has a user-friendly interface.</t>
  </si>
  <si>
    <t>The software has a user-friendly (          ).</t>
  </si>
  <si>
    <t>efface</t>
  </si>
  <si>
    <t>[iféis]</t>
  </si>
  <si>
    <t>입구(e)를 통해 가볍게(f) 얼굴(face)이 나가게 하니 ‘사라지게 하다, 지우다’</t>
  </si>
  <si>
    <t>사라지게 하다, 지우다</t>
  </si>
  <si>
    <t>Time will efface the writing on the stone.</t>
  </si>
  <si>
    <t>Time will (          ) the writing on the stone.</t>
  </si>
  <si>
    <t>fiction</t>
  </si>
  <si>
    <t>fic(fac)</t>
  </si>
  <si>
    <r>
      <rPr>
        <sz val="12"/>
        <color indexed="8"/>
        <rFont val="Apple SD 산돌고딕 Neo 일반체"/>
      </rPr>
      <t>fic</t>
    </r>
  </si>
  <si>
    <t>[fíkʃən]</t>
  </si>
  <si>
    <t>만들어 낸(fic-fac) 이야기 ‘소설, 꾸며낸 이야기’</t>
  </si>
  <si>
    <t>소설, 꾸며낸 이야기</t>
  </si>
  <si>
    <t>She enjoys reading science fiction novels.</t>
  </si>
  <si>
    <t>She enjoys reading science (          ) novels.</t>
  </si>
  <si>
    <t>office</t>
  </si>
  <si>
    <t>fic</t>
  </si>
  <si>
    <t>[ɔ́ːfis]</t>
  </si>
  <si>
    <t>둥근(o) 돈을 만들어(fic) 내는 장소 ‘사무실’</t>
  </si>
  <si>
    <t>사무실</t>
  </si>
  <si>
    <t>My office is on the tenth floor.</t>
  </si>
  <si>
    <t>My (          ) is on the tenth floor.</t>
  </si>
  <si>
    <t>officer</t>
  </si>
  <si>
    <t>fic &gt; office</t>
  </si>
  <si>
    <t>[ɔ́ːfisər]</t>
  </si>
  <si>
    <t>병사들과 달리 사무실(office)에서 근무하는 ‘장교, 경찰관’</t>
  </si>
  <si>
    <t>장교, 경찰관</t>
  </si>
  <si>
    <t>The police officer directed traffic after the accident.</t>
  </si>
  <si>
    <t>The police (          ) directed traffic after the accident.</t>
  </si>
  <si>
    <t>deficit</t>
  </si>
  <si>
    <t>[défəsit]</t>
  </si>
  <si>
    <t>수준이 저하(de)되게 만들어진(fic) ‘적자, 부족액’</t>
  </si>
  <si>
    <t>적자, 부족액</t>
  </si>
  <si>
    <t>The company reported a budget deficit last year.</t>
  </si>
  <si>
    <t>The company reported a budget (          ) last year.</t>
  </si>
  <si>
    <t>deficient</t>
  </si>
  <si>
    <t>fic &gt; deficit</t>
  </si>
  <si>
    <t>[difíʃənt]</t>
  </si>
  <si>
    <t>적자(deficit-defici) + 형용사(ent) = ‘부족한, 결핍되어 있는’</t>
  </si>
  <si>
    <t>부족한, 결핍되어 있는</t>
  </si>
  <si>
    <t>The soil is deficient in essential nutrients.</t>
  </si>
  <si>
    <t>The soil is (          ) in essential nutrients.</t>
  </si>
  <si>
    <t>artificial</t>
  </si>
  <si>
    <t>[ὰːrtəfíʃəl]</t>
  </si>
  <si>
    <t>예술작품(art)처럼 만들어낸(fic) &gt; ‘인공의’</t>
  </si>
  <si>
    <t>인공의</t>
  </si>
  <si>
    <t>The flower looked so artificial that no one believed it was real.</t>
  </si>
  <si>
    <t>The flower looked so (          ) that no one believed it was real.</t>
  </si>
  <si>
    <t>superficial</t>
  </si>
  <si>
    <t>[sùːpərfíʃəl]</t>
  </si>
  <si>
    <t>겉으로만 뛰어나게(super) 만들어(fic) 놓은 부분이니 ‘피상적인’</t>
  </si>
  <si>
    <t>피상적인</t>
  </si>
  <si>
    <t>He has only superficial knowledge about the topic.</t>
  </si>
  <si>
    <t>He has only (          ) knowledge about the topic.</t>
  </si>
  <si>
    <t>sufficient</t>
  </si>
  <si>
    <t>[səfíʃənt]</t>
  </si>
  <si>
    <t>보이지 않는(s) 아래쪽까지(u) 만들어서(fic) 채우니 ‘충분한’</t>
  </si>
  <si>
    <t>Do we have sufficient supplies for the project?</t>
  </si>
  <si>
    <t>Do we have (          ) supplies for the project?</t>
  </si>
  <si>
    <t>proficient</t>
  </si>
  <si>
    <t>[prəfíʃənt]</t>
  </si>
  <si>
    <t>앞으로(pro) 나가서 먼저 만드니(fic) ‘숙달된, 능숙한’</t>
  </si>
  <si>
    <t>숙달된, 능숙한</t>
  </si>
  <si>
    <t>She is proficient in three languages.</t>
  </si>
  <si>
    <t>She is (          ) in three languages.</t>
  </si>
  <si>
    <t>효과(effic-effect)가 안에(en) 늘 서(t) 있어서 ‘능률적인, 효율적인’</t>
  </si>
  <si>
    <t>difficult</t>
  </si>
  <si>
    <t>[dífikΛlt]</t>
  </si>
  <si>
    <t>두가지를(di) 한꺼번에 만들어야(fic) 하니 ‘어려운’</t>
  </si>
  <si>
    <t>어려운</t>
  </si>
  <si>
    <t>Learning Chinese can be difficult for English speakers.</t>
  </si>
  <si>
    <t>Learning Chinese can be (          ) for English speakers.</t>
  </si>
  <si>
    <t>traffic</t>
  </si>
  <si>
    <t>[trǽfik]</t>
  </si>
  <si>
    <t>차를 타고 움직여(travel-tra) 가면서 만들어 내는(fic) ‘교통(흐름), 통행’</t>
  </si>
  <si>
    <t>교통(흐름), 통행</t>
  </si>
  <si>
    <t>Morning traffic is always heavy in the city center.</t>
  </si>
  <si>
    <t>Morning (          ) is always heavy in the city center.</t>
  </si>
  <si>
    <t>certificate</t>
  </si>
  <si>
    <t>[sərtífikeɪt]</t>
  </si>
  <si>
    <t>확실하게(certain-certi) 만들어 주는(fic) ‘증명서’</t>
  </si>
  <si>
    <t>증명서</t>
  </si>
  <si>
    <t>You will receive a certificate upon completion of the course.</t>
  </si>
  <si>
    <t>You will receive a (          ) upon completion of the course.</t>
  </si>
  <si>
    <t>qualify</t>
  </si>
  <si>
    <t>fy</t>
  </si>
  <si>
    <r>
      <rPr>
        <sz val="12"/>
        <color indexed="8"/>
        <rFont val="Apple SD 산돌고딕 Neo 일반체"/>
      </rPr>
      <t>fy</t>
    </r>
  </si>
  <si>
    <t>[kwάləfài]</t>
  </si>
  <si>
    <t>자질(quality-quali)을 만들어주니(fy) ‘자격을 주다’</t>
  </si>
  <si>
    <t>자격을 주다</t>
  </si>
  <si>
    <t>You need three years of experience to qualify for this position.</t>
  </si>
  <si>
    <t>You need three years of experience to (          ) for this position.</t>
  </si>
  <si>
    <t>disqualified</t>
  </si>
  <si>
    <t>fy &gt; qualify</t>
  </si>
  <si>
    <t>[diskwάləfàid]</t>
  </si>
  <si>
    <t>분리(dis)시키는 것이 자격(qualified)이 주어진 상태이므로 ‘자격을 잃은’</t>
  </si>
  <si>
    <t>자격을 잃은</t>
  </si>
  <si>
    <t>The athlete was disqualified for breaking the rules.</t>
  </si>
  <si>
    <t>The athlete was (          ) for breaking the rules.</t>
  </si>
  <si>
    <t>satisfy</t>
  </si>
  <si>
    <t>[sǽtisfài]</t>
  </si>
  <si>
    <t>상대방을 앉혀지도록(sit-sat) 만드니(fy) ‘만족시키다’</t>
  </si>
  <si>
    <t>만족시키다</t>
  </si>
  <si>
    <t>The explanation did not satisfy the curious child.</t>
  </si>
  <si>
    <t>The explanation did not (          ) the curious child.</t>
  </si>
  <si>
    <t>satisfaction</t>
  </si>
  <si>
    <t>fy &gt; satisfy</t>
  </si>
  <si>
    <t>[sӕtisfǽkʃən]</t>
  </si>
  <si>
    <t>만족시키다(satisfac-satisfy) + 명사(tion) = ‘만족, 흡족’</t>
  </si>
  <si>
    <t>만족, 흡족</t>
  </si>
  <si>
    <t>Customer satisfaction is our primary goal.</t>
  </si>
  <si>
    <t>Customer (          ) is our primary goal.</t>
  </si>
  <si>
    <t>dissatisfaction</t>
  </si>
  <si>
    <t>satisfy &gt; satisfaction</t>
  </si>
  <si>
    <t>[dìssætisfǽkʃən]</t>
  </si>
  <si>
    <t>분리(dis)시키다 + 만족(satisfaction) = ‘불만, 불평’</t>
  </si>
  <si>
    <t>불만, 불평</t>
  </si>
  <si>
    <t>Employee dissatisfaction led to high turnover rates.</t>
  </si>
  <si>
    <t>Employee (          ) led to high turnover rates.</t>
  </si>
  <si>
    <t>magnify</t>
  </si>
  <si>
    <t>[mǽgnəfài]</t>
  </si>
  <si>
    <t>크게(mag-mega) 보이도록 만드니(fy) ‘확대하다’</t>
  </si>
  <si>
    <t>확대하다</t>
  </si>
  <si>
    <t>Use a microscope to magnify tiny organisms.</t>
  </si>
  <si>
    <t>Use a microscope to (          ) tiny organisms.</t>
  </si>
  <si>
    <t>fit</t>
  </si>
  <si>
    <t>f(fy)</t>
  </si>
  <si>
    <r>
      <rPr>
        <sz val="12"/>
        <color indexed="8"/>
        <rFont val="Apple SD 산돌고딕 Neo 일반체"/>
      </rPr>
      <t>fit</t>
    </r>
  </si>
  <si>
    <t>[fit]</t>
  </si>
  <si>
    <t>만들고(f-y) 보니 딱 그것(it)이라서 ‘적당한, 알맞은’</t>
  </si>
  <si>
    <t>적당한, 알맞은</t>
  </si>
  <si>
    <t>These shoes fit me perfectly.</t>
  </si>
  <si>
    <t>These shoes (          ) me perfectly.</t>
  </si>
  <si>
    <t>outfit</t>
  </si>
  <si>
    <t>[auˈtfiˌt]</t>
  </si>
  <si>
    <t>밖(out)에 나갈 때 필요에 따라 알맞게(fit) 준비하는 ‘외출 옷’</t>
  </si>
  <si>
    <t>외출 옷</t>
  </si>
  <si>
    <t>She bought a new outfit for the party.</t>
  </si>
  <si>
    <t>She bought a new (          ) for the party.</t>
  </si>
  <si>
    <t>benefit</t>
  </si>
  <si>
    <t>[bénəfit]</t>
  </si>
  <si>
    <t>나에게 좋고(bene) 알맞은(it) ‘이득, 혜택’</t>
  </si>
  <si>
    <t>이득, 혜택</t>
  </si>
  <si>
    <t>Regular exercise has many health benefits.</t>
  </si>
  <si>
    <t>Regular exercise has many health (          )s.</t>
  </si>
  <si>
    <t>profit</t>
  </si>
  <si>
    <t>[prάfit]</t>
  </si>
  <si>
    <t>앞서(pro)나가 차지해야하는 알맞은(fit)것 ‘이익, 수익’</t>
  </si>
  <si>
    <t>이익, 수익</t>
  </si>
  <si>
    <t>The company reported higher profits this year.</t>
  </si>
  <si>
    <t>The company reported higher (          )s this year.</t>
  </si>
  <si>
    <t>fund</t>
  </si>
  <si>
    <t>[fʌnd]</t>
  </si>
  <si>
    <t>먼저 만들어야 하는(f-fy) 아래쪽(under-und)이 되는 부분 ‘바닥, 기초, 자금’</t>
  </si>
  <si>
    <t>바닥, 기초, 자금</t>
  </si>
  <si>
    <t>The charity fund supports medical research.</t>
  </si>
  <si>
    <t>The charity (          ) supports medical research.</t>
  </si>
  <si>
    <t>fundraiser</t>
  </si>
  <si>
    <r>
      <rPr>
        <sz val="12"/>
        <color indexed="8"/>
        <rFont val="Apple SD 산돌고딕 Neo 일반체"/>
      </rPr>
      <t>fund</t>
    </r>
  </si>
  <si>
    <t>[fΛndrèizər]</t>
  </si>
  <si>
    <t>자금(fund)을 들어올려 지원해주는 사람(raiser) ‘자금 조달자’</t>
  </si>
  <si>
    <t>자금 조달자</t>
  </si>
  <si>
    <t>The school organized a fundraiser to buy new computers.</t>
  </si>
  <si>
    <t>The school organized a (          ) to buy new computers.</t>
  </si>
  <si>
    <t>refund</t>
  </si>
  <si>
    <t>[rifΛnd]</t>
  </si>
  <si>
    <t>반대로(re) 자금(fund)을 돌려주니 ‘환불하다, 상환하다’</t>
  </si>
  <si>
    <t>환불하다, 상환하다</t>
  </si>
  <si>
    <t>The store offers a full refund if you're not satisfied.</t>
  </si>
  <si>
    <t>The store offers a full (          ) if you're not satisfied.</t>
  </si>
  <si>
    <t>fundamental</t>
  </si>
  <si>
    <t>[fΛndəméntl]</t>
  </si>
  <si>
    <t>기초(fund) 중에 정신(mental)이 가장 ‘기본적인, 근본적인’ 것이다</t>
  </si>
  <si>
    <t>기본적인, 근본적인</t>
  </si>
  <si>
    <t>Understanding gravity is fundamental to physics.</t>
  </si>
  <si>
    <t>Understanding gravity is (          ) to physics.</t>
  </si>
  <si>
    <t>founder</t>
  </si>
  <si>
    <t>[fáundər]</t>
  </si>
  <si>
    <t>기초(found-fund)를 만든 사람(er)은 ‘설립자’</t>
  </si>
  <si>
    <t>설립자</t>
  </si>
  <si>
    <t>The founder of the company started with just one small shop.</t>
  </si>
  <si>
    <t>The (          ) of the company started with just one small shop.</t>
  </si>
  <si>
    <t>foundation</t>
  </si>
  <si>
    <t>fund(found)</t>
  </si>
  <si>
    <t>[faundéiʃən]</t>
  </si>
  <si>
    <t>바닥, 기초(found-fund) + 명사(tion) = ‘(건물의) 토대, 기반, 근거, 재단, (화장품) 파운데이션’</t>
  </si>
  <si>
    <t>(건물의) 토대, 기반, 근거, 재단, (화장품) 파운데이션</t>
  </si>
  <si>
    <t>The house has a solid foundation of concrete.</t>
  </si>
  <si>
    <t>The house has a solid (          ) of concrete.</t>
  </si>
  <si>
    <t>profound</t>
  </si>
  <si>
    <t>[prəfáund]</t>
  </si>
  <si>
    <t>앞으로(pro) 나아가는 깊은 바닥, 기반(found) 이니 ‘깊은, 심오한’</t>
  </si>
  <si>
    <t>깊은, 심오한</t>
  </si>
  <si>
    <t>The experience had a profound effect on his life.</t>
  </si>
  <si>
    <t>The experience had a (          ) effect on his life.</t>
  </si>
  <si>
    <t>fountain</t>
  </si>
  <si>
    <t>[fáuntən]</t>
  </si>
  <si>
    <t>바닥에서(foun-found) 위로 나아가는(t) 안(in)에 물이 있는 ‘분수’</t>
  </si>
  <si>
    <t>분수</t>
  </si>
  <si>
    <t>Children play near the fountain in the park.</t>
  </si>
  <si>
    <t>Children play near the (          ) in the park.</t>
  </si>
  <si>
    <t>fuse</t>
  </si>
  <si>
    <r>
      <rPr>
        <sz val="12"/>
        <color indexed="8"/>
        <rFont val="Apple SD 산돌고딕 Neo 일반체"/>
      </rPr>
      <t>fuse</t>
    </r>
  </si>
  <si>
    <t>[fjuːz]</t>
  </si>
  <si>
    <t>연약하게 만들어(f-fy) 사용하니(use) ‘녹이다’</t>
  </si>
  <si>
    <t>녹이다</t>
  </si>
  <si>
    <t>The electrician had to replace the fuse after the power surge.</t>
  </si>
  <si>
    <t>The electrician had to replace the (          ) after the power surge.</t>
  </si>
  <si>
    <t>fusion</t>
  </si>
  <si>
    <t>[fjúːʒən]</t>
  </si>
  <si>
    <t>녹이다(fuse) + 명사(ion) = ‘융해, 융합’</t>
  </si>
  <si>
    <t>융해, 융합</t>
  </si>
  <si>
    <t>Nuclear fusion could provide clean energy in the future.</t>
  </si>
  <si>
    <t>Nuclear (          ) could provide clean energy in the future.</t>
  </si>
  <si>
    <t>infuse</t>
  </si>
  <si>
    <t>[infjúːz]</t>
  </si>
  <si>
    <t>여러가지를 안에(in) 넣고서 녹이니(fuse) ‘주입하다’</t>
  </si>
  <si>
    <t>주입하다</t>
  </si>
  <si>
    <t>Mint leaves infuse the tea with fresh flavor.</t>
  </si>
  <si>
    <t>Mint leaves (          ) the tea with fresh flavor.</t>
  </si>
  <si>
    <t>diffuse</t>
  </si>
  <si>
    <t>[difjúːz]</t>
  </si>
  <si>
    <t>원래 덩어리에서부터 각각으로(di) 나뉘어져 녹아드니(fuse) ‘분산시키다, 발산하다’</t>
  </si>
  <si>
    <t>분산시키다, 발산하다</t>
  </si>
  <si>
    <t>The lampshade helps diffuse the bright light.</t>
  </si>
  <si>
    <t>The lampshade helps (          ) the bright light.</t>
  </si>
  <si>
    <t>confuse</t>
  </si>
  <si>
    <t>[kənfjúːz]</t>
  </si>
  <si>
    <t>함께(con) 녹아버리니(fuse) ‘혼동하다’</t>
  </si>
  <si>
    <t>혼동하다</t>
  </si>
  <si>
    <t>Don't confuse the twins - Tom has a scar on his chin.</t>
  </si>
  <si>
    <t>Don't (          ) the twins - Tom has a scar on his chin.</t>
  </si>
  <si>
    <t>refuse</t>
  </si>
  <si>
    <t>[rifjúːz]</t>
  </si>
  <si>
    <t>다시(re) 물어보아도 그 제안을 녹여버리니(fuse) ‘거절하다’</t>
  </si>
  <si>
    <t>거절하다</t>
  </si>
  <si>
    <t>I refuse to believe that he would lie to me.</t>
  </si>
  <si>
    <t>I (          ) to believe that he would lie to me.</t>
  </si>
  <si>
    <t>gene</t>
  </si>
  <si>
    <t>gen</t>
  </si>
  <si>
    <r>
      <rPr>
        <sz val="12"/>
        <color indexed="8"/>
        <rFont val="Apple SD 산돌고딕 Neo 일반체"/>
      </rPr>
      <t>gen</t>
    </r>
  </si>
  <si>
    <t>[dʒiːn]</t>
  </si>
  <si>
    <t>발생(gen)시 세포의 입구(e)를 통해 발현되는 ‘유전자’</t>
  </si>
  <si>
    <t>유전자</t>
  </si>
  <si>
    <t>The gene for blue eyes is recessive.</t>
  </si>
  <si>
    <t>The (          ) for blue eyes is recessive.</t>
  </si>
  <si>
    <t>genome</t>
  </si>
  <si>
    <t>gen &gt; gene(gen)</t>
  </si>
  <si>
    <t>[dʒíːnoum｜-nam｜-nɔm]</t>
  </si>
  <si>
    <t>유전자(gen-gene)를 움직이게(m) 하는 ‘유전체’</t>
  </si>
  <si>
    <t>유전체</t>
  </si>
  <si>
    <t>Scientists mapped the human genome in 2003.</t>
  </si>
  <si>
    <t>Scientists mapped the human (          ) in 2003.</t>
  </si>
  <si>
    <t>genetic</t>
  </si>
  <si>
    <t>[dʒənétik, -ikəl]</t>
  </si>
  <si>
    <t>유전자(gene) + 형용사(id) = ‘유전의, 발생의’</t>
  </si>
  <si>
    <t>유전의, 발생의</t>
  </si>
  <si>
    <t>Some diseases have a genetic basis.</t>
  </si>
  <si>
    <t>Some diseases have a (          ) basis.</t>
  </si>
  <si>
    <t>generate</t>
  </si>
  <si>
    <t>[dʒénərèit]</t>
  </si>
  <si>
    <t>발생시켜(gen) 힘있게(r) 나와 서게(t)하니 ‘발생시키다’</t>
  </si>
  <si>
    <t>발생시키다</t>
  </si>
  <si>
    <t>Wind turbines generate electricity.</t>
  </si>
  <si>
    <t>Wind turbines (          ) electricity.</t>
  </si>
  <si>
    <t>degenerate</t>
  </si>
  <si>
    <t>[didʒénərèit]</t>
  </si>
  <si>
    <t>아래로(de) 저하되어 발생(generate)하니 ‘퇴보하다, 타락하다’</t>
  </si>
  <si>
    <t>퇴보하다, 타락하다</t>
  </si>
  <si>
    <t>Without proper care, the situation will degenerate quickly.</t>
  </si>
  <si>
    <t>Without proper care, the situation will (          ) quickly.</t>
  </si>
  <si>
    <t>generator</t>
  </si>
  <si>
    <t>gen &gt; generate</t>
  </si>
  <si>
    <t>[dʒénərèitər]</t>
  </si>
  <si>
    <t>발생시켜(generate) 전기를 만드는 행위자(or) ‘발전기’</t>
  </si>
  <si>
    <t>발전기</t>
  </si>
  <si>
    <t>The hospital has a backup generator for power outages.</t>
  </si>
  <si>
    <t>The hospital has a backup (          ) for power outages.</t>
  </si>
  <si>
    <t>generation</t>
  </si>
  <si>
    <t>[dʒènəréiʃən]</t>
  </si>
  <si>
    <t>출생이(gen) 비슷한 시기의 무리, ‘세대’</t>
  </si>
  <si>
    <t>세대</t>
  </si>
  <si>
    <t>Each generation faces unique challenges.</t>
  </si>
  <si>
    <t>Each (          ) faces unique challenges.</t>
  </si>
  <si>
    <t>genre</t>
  </si>
  <si>
    <t>[ʒάːnrə; F. ʒαːr]</t>
  </si>
  <si>
    <t>출생(gen) 별로 힘있게(r) 묶어놓은 ‘종류, 유형, 장르’</t>
  </si>
  <si>
    <t>종류, 유형, 장르</t>
  </si>
  <si>
    <t>Jazz is my favorite music genre.</t>
  </si>
  <si>
    <t>Jazz is my favorite music (          ).</t>
  </si>
  <si>
    <t>general</t>
  </si>
  <si>
    <t>[dʒénərəl]</t>
  </si>
  <si>
    <t>생겨난(gen) 것들을 모두(a-al) 아우르니 ‘포괄적인, 일반적인, 장군’</t>
  </si>
  <si>
    <t>포괄적인, 일반적인, 장군</t>
  </si>
  <si>
    <t>The general information session is open to everyone.</t>
  </si>
  <si>
    <t>The (          ) information session is open to everyone.</t>
  </si>
  <si>
    <t>generous</t>
  </si>
  <si>
    <t>gen &gt; general</t>
  </si>
  <si>
    <t>[dʒénərəs]</t>
  </si>
  <si>
    <t>포괄적으로(gener-general) 다 아우르며 우리(us)라고 말하니 ‘관대한, 너그러운’</t>
  </si>
  <si>
    <t>관대한, 너그러운</t>
  </si>
  <si>
    <t>My grandmother is always generous with her time.</t>
  </si>
  <si>
    <t>My grandmother is always (          ) with her time.</t>
  </si>
  <si>
    <t>gentle</t>
  </si>
  <si>
    <t>[dʒéntl]</t>
  </si>
  <si>
    <t>출생이(gen) 좋아 서서(t)있어 오래(l) 버티니 ‘온화한, 부드러운’</t>
  </si>
  <si>
    <t>온화한, 부드러운</t>
  </si>
  <si>
    <t>Be gentle when handling the baby.</t>
  </si>
  <si>
    <t>Be (          ) when handling the baby.</t>
  </si>
  <si>
    <t>gentleman</t>
  </si>
  <si>
    <t>gen &gt; gentle</t>
  </si>
  <si>
    <t>[dʒéntlmən]</t>
  </si>
  <si>
    <t>온화한(gentle) 남자(man) ‘신사’</t>
  </si>
  <si>
    <t>신사</t>
  </si>
  <si>
    <t>The elderly gentleman offered his seat to the pregnant woman.</t>
  </si>
  <si>
    <t>The elderly (          ) offered his seat to the pregnant woman.</t>
  </si>
  <si>
    <t>genial</t>
  </si>
  <si>
    <t>[dʒíːnjəl]</t>
  </si>
  <si>
    <t>발생할 때(gen) 안에(i) 모든 사람을(all) 배려 하는 성품을 가졌으니 ‘상냥한, 온화한’</t>
  </si>
  <si>
    <t>상냥한, 온화한</t>
  </si>
  <si>
    <t>The host's genial manner made everyone feel welcome.</t>
  </si>
  <si>
    <t>The host's (          ) manner made everyone feel welcome.</t>
  </si>
  <si>
    <t>congenial</t>
  </si>
  <si>
    <t>gen &gt; genial</t>
  </si>
  <si>
    <t>[kəndʒíːnjəl]</t>
  </si>
  <si>
    <t>함께(con) 서로 상냥하게(genial) 대하니 ‘마음이 맞은’</t>
  </si>
  <si>
    <t>마음이 맞은</t>
  </si>
  <si>
    <t>They work well together in a congenial atmosphere.</t>
  </si>
  <si>
    <t>They work well together in a (          ) atmosphere.</t>
  </si>
  <si>
    <t>genesis</t>
  </si>
  <si>
    <t>gen &gt; gene</t>
  </si>
  <si>
    <t>[dʒénəsis]</t>
  </si>
  <si>
    <t>유전자가(gene) 존재하게(is) 된 ‘기원, 발생, 창시’</t>
  </si>
  <si>
    <t>기원, 발생, 창시</t>
  </si>
  <si>
    <t>The genesis of the project was a conversation at lunch.</t>
  </si>
  <si>
    <t>The (          ) of the project was a conversation at lunch.</t>
  </si>
  <si>
    <t>genius</t>
  </si>
  <si>
    <t>[dʒíːnjəs]</t>
  </si>
  <si>
    <t>생겨난 출생(gen)부터 안에(i) 아래쪽(u)에 보이지 않는(s) 곳에 숨겨진 ‘천재성, 천재’</t>
  </si>
  <si>
    <t>천재성, 천재</t>
  </si>
  <si>
    <t>Einstein was a scientific genius.</t>
  </si>
  <si>
    <t>Einstein was a scientific (          ).</t>
  </si>
  <si>
    <t>ingenious</t>
  </si>
  <si>
    <t>gen &gt; genius</t>
  </si>
  <si>
    <t>[indʒíːnjəs]</t>
  </si>
  <si>
    <t>자기 안(in)에서 발현된 천재성(genious-genius)이니 ‘독창적인, 기발한’</t>
  </si>
  <si>
    <t>독창적인, 기발한</t>
  </si>
  <si>
    <t>The engineer found an ingenious solution to the problem.</t>
  </si>
  <si>
    <t>The engineer found an (          ) solution to the problem.</t>
  </si>
  <si>
    <t>genuine</t>
  </si>
  <si>
    <t>[dʒénjuin]</t>
  </si>
  <si>
    <t>최초 생겨난(gen) 모습 그대로 아래쪽에(u) 안에(in) 잘 보관 되어 있는 ‘진품의, 진짜의’</t>
  </si>
  <si>
    <t>진품의, 진짜의</t>
  </si>
  <si>
    <t>Her smile was genuine and warm.</t>
  </si>
  <si>
    <t>Her smile was (          ) and warm.</t>
  </si>
  <si>
    <t>congenital</t>
  </si>
  <si>
    <t>[kəndʒénətl]</t>
  </si>
  <si>
    <t>함께(con) 가지고 태어나니(gen) ‘타고난’</t>
  </si>
  <si>
    <t>타고난</t>
  </si>
  <si>
    <t>He was born with a congenital heart defect.</t>
  </si>
  <si>
    <t>He was born with a (          ) heart defect.</t>
  </si>
  <si>
    <t>gender</t>
  </si>
  <si>
    <t>[dʒéndər]</t>
  </si>
  <si>
    <t>출생(gen)시 하늘에서 아래로(d) 정해진다고 생각하는 ‘성별’</t>
  </si>
  <si>
    <t>성별</t>
  </si>
  <si>
    <t>Some languages assign gender to nouns.</t>
  </si>
  <si>
    <t>Some languages assign (          ) to nouns.</t>
  </si>
  <si>
    <t>agenda</t>
  </si>
  <si>
    <t>[ədʒéndə]</t>
  </si>
  <si>
    <t>하나하나(a) 생겨나(gen) 협의해야 할 사항이 되니 ‘의제, 협의사항’</t>
  </si>
  <si>
    <t>의제, 협의사항</t>
  </si>
  <si>
    <t>The meeting agenda includes five main topics.</t>
  </si>
  <si>
    <t>The meeting (          ) includes five main topics.</t>
  </si>
  <si>
    <t>engine</t>
  </si>
  <si>
    <t>gen(gin)</t>
  </si>
  <si>
    <t>[éndʒin]</t>
  </si>
  <si>
    <t>안(en)에서 새 힘이 발생하게(gin-gen) 만드는 ‘엔진’</t>
  </si>
  <si>
    <t>엔진</t>
  </si>
  <si>
    <t>The car engine started with a roar.</t>
  </si>
  <si>
    <t>The car (          ) started with a roar.</t>
  </si>
  <si>
    <t>engineer</t>
  </si>
  <si>
    <t>gen &gt; engine</t>
  </si>
  <si>
    <t>[èndʒiníər]</t>
  </si>
  <si>
    <t>엔진(engine) 같은 것들을 다루는 + 사람(er) = ‘엔지니어, 기술자’</t>
  </si>
  <si>
    <t>엔지니어, 기술자</t>
  </si>
  <si>
    <t>The civil engineer designed the new bridge.</t>
  </si>
  <si>
    <t>The civil (          ) designed the new bridge.</t>
  </si>
  <si>
    <t>gesture</t>
  </si>
  <si>
    <t>gest</t>
  </si>
  <si>
    <r>
      <rPr>
        <sz val="12"/>
        <color indexed="8"/>
        <rFont val="Apple SD 산돌고딕 Neo 일반체"/>
      </rPr>
      <t>gest</t>
    </r>
  </si>
  <si>
    <t>[dʒésʧər]</t>
  </si>
  <si>
    <t>머리 속 생각을 나르는(gest) ‘몸짓, 손짓, 동작’</t>
  </si>
  <si>
    <t>몸짓, 손짓, 동작</t>
  </si>
  <si>
    <t>He made a gesture of welcome with his hand.</t>
  </si>
  <si>
    <t>He made a (          ) of welcome with his hand.</t>
  </si>
  <si>
    <t>suggest</t>
  </si>
  <si>
    <t>[səgdʒést]</t>
  </si>
  <si>
    <t>아래쪽에(su) 있던 생각을 나르니(gest) ‘제안하다’</t>
  </si>
  <si>
    <t>제안하다</t>
  </si>
  <si>
    <t>Can you suggest a good restaurant nearby?</t>
  </si>
  <si>
    <t>Can you (          ) a good restaurant nearby?</t>
  </si>
  <si>
    <t>congest</t>
  </si>
  <si>
    <t>[kəndʒést]</t>
  </si>
  <si>
    <t>모두 함께(con) 날라 놓으니(gest) ‘혼잡하다’</t>
  </si>
  <si>
    <t>혼잡하다</t>
  </si>
  <si>
    <t>Too many vehicles congest the roads during rush hour.</t>
  </si>
  <si>
    <t>Too many vehicles (          ) the roads during rush hour.</t>
  </si>
  <si>
    <t>congestion</t>
  </si>
  <si>
    <t>gest &gt; congest</t>
  </si>
  <si>
    <t>[kəndʒésʧən]</t>
  </si>
  <si>
    <t>혼잡하다(congest) + 명사(ion) = ‘혼잡’</t>
  </si>
  <si>
    <t>혼잡</t>
  </si>
  <si>
    <t>Traffic congestion is worst on Friday afternoons.</t>
  </si>
  <si>
    <t>Traffic (          ) is worst on Friday afternoons.</t>
  </si>
  <si>
    <t>digest</t>
  </si>
  <si>
    <t>[didʒést, dai-]</t>
  </si>
  <si>
    <t>각각으로(di) 되게 해서 몸의 여러 곳으로 영양소를 나르니(gest) ‘소화하다’</t>
  </si>
  <si>
    <t>소화하다</t>
  </si>
  <si>
    <t>It takes time to digest heavy meals.</t>
  </si>
  <si>
    <t>It takes time to (          ) heavy meals.</t>
  </si>
  <si>
    <t>register</t>
  </si>
  <si>
    <t>gest(gist)</t>
  </si>
  <si>
    <t>[rédʒistər]</t>
  </si>
  <si>
    <t>나중에 다시(re) 보기 위해 정보를 나르니(gist-gest) ‘기록하다, 등록하다’</t>
  </si>
  <si>
    <t>기록하다, 등록하다</t>
  </si>
  <si>
    <t>Please register online before the conference.</t>
  </si>
  <si>
    <t>Please (          ) online before the conference.</t>
  </si>
  <si>
    <t>glass</t>
  </si>
  <si>
    <t>gl</t>
  </si>
  <si>
    <r>
      <rPr>
        <sz val="12"/>
        <color indexed="8"/>
        <rFont val="Apple SD 산돌고딕 Neo 일반체"/>
      </rPr>
      <t>gl</t>
    </r>
  </si>
  <si>
    <t>[glæs]</t>
  </si>
  <si>
    <t>빛나는(g) 빛이 부드럽게(ss) 나아가는 ‘유리’</t>
  </si>
  <si>
    <t>유리</t>
  </si>
  <si>
    <t>The glass of water fell and shattered on the floor.</t>
  </si>
  <si>
    <t>The (          ) of water fell and shattered on the floor.</t>
  </si>
  <si>
    <t>gloss</t>
  </si>
  <si>
    <t>[glas]</t>
  </si>
  <si>
    <t>빛나는 빛이(gl) 둥글게(o) 부드럽게(ss) 나아 가게 하니 ‘광택을 내다’</t>
  </si>
  <si>
    <t>광택을 내다</t>
  </si>
  <si>
    <t>The magazine provides a gloss of current fashion trends.</t>
  </si>
  <si>
    <t>The magazine provides a (          ) of current fashion trends.</t>
  </si>
  <si>
    <t>glitter</t>
  </si>
  <si>
    <t>[glítər]</t>
  </si>
  <si>
    <t>빛나는 것이(gl) 나아가고(t) 또 나아가니(t) ‘반짝이다’</t>
  </si>
  <si>
    <t>반짝이다</t>
  </si>
  <si>
    <t>Children love crafts with glitter.</t>
  </si>
  <si>
    <t>Children love crafts with (          ).</t>
  </si>
  <si>
    <t>glow</t>
  </si>
  <si>
    <t>[glou]</t>
  </si>
  <si>
    <t>빛나는 빛이(gl) 물결(w)처럼 나아가니 ‘빛나다’</t>
  </si>
  <si>
    <t>빛나다</t>
  </si>
  <si>
    <t>The fireflies glow in the dark forest.</t>
  </si>
  <si>
    <t>The fireflies (          ) in the dark forest.</t>
  </si>
  <si>
    <t>glory</t>
  </si>
  <si>
    <t>[glɔ́ːri]</t>
  </si>
  <si>
    <t>빛나는 빛이(gl) 나서 힘있게(r) 확장 되어(y) 나가는 ‘영광’</t>
  </si>
  <si>
    <t>영광</t>
  </si>
  <si>
    <t>The team returned home in glory after winning the championship.</t>
  </si>
  <si>
    <t>The team returned home in (          ) after winning the championship.</t>
  </si>
  <si>
    <t>glad</t>
  </si>
  <si>
    <t>[glæd]</t>
  </si>
  <si>
    <t>하늘에서 빛나는 빛이(gl) 아래로(d) 비치는 듯하니 ‘밝은, 즐거운’</t>
  </si>
  <si>
    <t>밝은, 즐거운</t>
  </si>
  <si>
    <t>I'm glad you could come to the party.</t>
  </si>
  <si>
    <t>I'm (          ) you could come to the party.</t>
  </si>
  <si>
    <t>gleam</t>
  </si>
  <si>
    <t>[gliːm]</t>
  </si>
  <si>
    <t>빛이(g) 하나(a) 움직여(m) 가니 ‘희미하게 빛나다’</t>
  </si>
  <si>
    <t>희미하게 빛나다</t>
  </si>
  <si>
    <t>Her eyes gleam with excitement.</t>
  </si>
  <si>
    <t>Her eyes (          ) with excitement.</t>
  </si>
  <si>
    <t>glance</t>
  </si>
  <si>
    <t>[glæns]</t>
  </si>
  <si>
    <t>눈빛이(gl) 창처럼(lance) 나가다, ‘흘낏보다’</t>
  </si>
  <si>
    <t>흘낏보다</t>
  </si>
  <si>
    <t>She took a quick glance at her watch.</t>
  </si>
  <si>
    <t>She took a quick (          ) at her watch.</t>
  </si>
  <si>
    <t>glare</t>
  </si>
  <si>
    <t>[glεər]</t>
  </si>
  <si>
    <t>눈에서 빛이(gl) 존재하니(are) ‘노려보다’</t>
  </si>
  <si>
    <t>노려보다</t>
  </si>
  <si>
    <t>The sun's glare made it difficult to see.</t>
  </si>
  <si>
    <t>The sun's (          ) made it difficult to see.</t>
  </si>
  <si>
    <t>gn</t>
  </si>
  <si>
    <r>
      <rPr>
        <sz val="12"/>
        <color indexed="8"/>
        <rFont val="Apple SD 산돌고딕 Neo 일반체"/>
      </rPr>
      <t>gn</t>
    </r>
  </si>
  <si>
    <t>몸을 관통하여(dia) 깊은 곳까지 알아가는(gn)데 코로(nose) 냄새 맡듯이 샅샅이 다 보니 ‘진단하다’</t>
  </si>
  <si>
    <t>diagnosis</t>
  </si>
  <si>
    <t>gn &gt; diagnose</t>
  </si>
  <si>
    <t>[dàiəgnóusis]</t>
  </si>
  <si>
    <t>진단하다(diagnose) + 명사(is) = ‘진찰, 진단’</t>
  </si>
  <si>
    <t>진찰, 진단</t>
  </si>
  <si>
    <t>The doctor made a diagnosis based on the test results.</t>
  </si>
  <si>
    <t>The doctor made a (          ) based on the test results.</t>
  </si>
  <si>
    <t>cognitive</t>
  </si>
  <si>
    <t>[kάgnitiv]</t>
  </si>
  <si>
    <t>함께(co) 여러 정보들을 모아서 머리 속 깊숙한(g)곳에서 새롭게(n) 알게(gn)되니 ‘인식’</t>
  </si>
  <si>
    <t>인식</t>
  </si>
  <si>
    <t>Children develop cognitive skills through play.</t>
  </si>
  <si>
    <t>Children develop (          ) skills through play.</t>
  </si>
  <si>
    <t>pregnant</t>
  </si>
  <si>
    <t>[prégnənt]</t>
  </si>
  <si>
    <t>태어나기 앞서(pre) 미리 알 수 있으니(gn) ‘임신한’</t>
  </si>
  <si>
    <t>임신한</t>
  </si>
  <si>
    <t>The pregnant woman is due next month.</t>
  </si>
  <si>
    <t>The (          ) woman is due next month.</t>
  </si>
  <si>
    <t>recognize</t>
  </si>
  <si>
    <t>[rékəgnàiz]</t>
  </si>
  <si>
    <t>다시(re) 함께(co) 알아주니(gn) ‘인정하다, 알아보다’</t>
  </si>
  <si>
    <t>인정하다, 알아보다</t>
  </si>
  <si>
    <t>Did you recognize the actor in that old movie?</t>
  </si>
  <si>
    <t>Did you (          ) the actor in that old movie?</t>
  </si>
  <si>
    <t>ignore</t>
  </si>
  <si>
    <t>[ignɔ́ːr]</t>
  </si>
  <si>
    <t>혼자서만(i) 안다고(gn) 생각하고 다른 사람을 ‘무시하다’</t>
  </si>
  <si>
    <t>무시하다</t>
  </si>
  <si>
    <t>Don't ignore the warning signs of illness.</t>
  </si>
  <si>
    <t>Don't (          ) the warning signs of illness.</t>
  </si>
  <si>
    <t>grin</t>
  </si>
  <si>
    <t>gr</t>
  </si>
  <si>
    <r>
      <rPr>
        <sz val="12"/>
        <color indexed="8"/>
        <rFont val="Apple SD 산돌고딕 Neo 일반체"/>
      </rPr>
      <t>gr</t>
    </r>
  </si>
  <si>
    <t>[grin]</t>
  </si>
  <si>
    <t>마음 깊은 곳(g)으로부터 힘있게(r) 죽 나아가 웃으니 ‘방긋 웃다’</t>
  </si>
  <si>
    <t>방긋 웃다</t>
  </si>
  <si>
    <t>The child's face lit up with a wide grin.</t>
  </si>
  <si>
    <t>The child's face lit up with a wide (          ).</t>
  </si>
  <si>
    <t>grow</t>
  </si>
  <si>
    <t>[grou]</t>
  </si>
  <si>
    <t>몸의 길이와 크기가 죽 나아가는데(gr) 줄(row) 지어 나오는 것처럼 계속 나아가니 ‘성장하다, 자라다’</t>
  </si>
  <si>
    <t>성장하다, 자라다</t>
  </si>
  <si>
    <t>Plants grow faster in warm weather.</t>
  </si>
  <si>
    <t>Plants (          ) faster in warm weather.</t>
  </si>
  <si>
    <t>growth</t>
  </si>
  <si>
    <t>gr &gt; grow</t>
  </si>
  <si>
    <t>[grouθ]</t>
  </si>
  <si>
    <t>성장하다(grow) + 명사(th) = ‘성장, 발육’</t>
  </si>
  <si>
    <t>성장, 발육</t>
  </si>
  <si>
    <t>Economic growth has slowed in recent months.</t>
  </si>
  <si>
    <t>Economic (          ) has slowed in recent months.</t>
  </si>
  <si>
    <t>grain</t>
  </si>
  <si>
    <t>[grein]</t>
  </si>
  <si>
    <t>땅 속 깊은 곳에서(g) 힘있게(r) 나아가 자라고(gr) 비가(rain) 잘 내려야 잘 크는 ‘곡물’</t>
  </si>
  <si>
    <t>곡물</t>
  </si>
  <si>
    <t>Rice is an important grain in many diets.</t>
  </si>
  <si>
    <t>Rice is an important (          ) in many diets.</t>
  </si>
  <si>
    <t>grind</t>
  </si>
  <si>
    <t>[graind]</t>
  </si>
  <si>
    <t>깊은 곳에서 나오는 센 힘으로 죽 나아가(gr) 안에(in) 넣은 재료의 사이즈가 작아지도록(d) 만드니 ‘갈다’</t>
  </si>
  <si>
    <t>갈다</t>
  </si>
  <si>
    <t>You need to grind the coffee beans before brewing.</t>
  </si>
  <si>
    <t>You need to (          ) the coffee beans before brewing.</t>
  </si>
  <si>
    <t>grass</t>
  </si>
  <si>
    <t>[græs]</t>
  </si>
  <si>
    <t>깊은 곳(g)에서부터 힘있게(c) 죽 나아가(gr) 자라면서 부드러운(ss) ‘풀, 잔디’</t>
  </si>
  <si>
    <t>풀, 잔디</t>
  </si>
  <si>
    <t>The grass needs cutting after the rain.</t>
  </si>
  <si>
    <t>The (          ) needs cutting after the rain.</t>
  </si>
  <si>
    <t>grazing</t>
  </si>
  <si>
    <t>gr &gt; grass</t>
  </si>
  <si>
    <t>[gréiziŋ]</t>
  </si>
  <si>
    <t>소가 풀을(grass-gr) 지우개로(raze) 지우듯이 먹어 없애는 곳은 ‘방목, 목초지’</t>
  </si>
  <si>
    <t>방목, 목초지</t>
  </si>
  <si>
    <t>Cattle were grazing peacefully in the meadow.</t>
  </si>
  <si>
    <t>Cattle were (          ) peacefully in the meadow.</t>
  </si>
  <si>
    <t>group</t>
  </si>
  <si>
    <t>[gruːp]</t>
  </si>
  <si>
    <t>깊은 곳에서 죽 나아가(gr) 함께 둥글게(o) 아래쪽(u)에 모이면 만들어지는 ‘모임, 그룹’</t>
  </si>
  <si>
    <t>모임, 그룹</t>
  </si>
  <si>
    <t>The study group meets every Wednesday.</t>
  </si>
  <si>
    <t>The study (          ) meets every Wednesday.</t>
  </si>
  <si>
    <t>greet</t>
  </si>
  <si>
    <t>[griːt]</t>
  </si>
  <si>
    <t>반가운 감정이 마음 속 깊은(g) 곳에서 힘차게(r) 죽 나아가(gr) 계속(ee) 서서(t)하는 ‘인사, 인사하다’</t>
  </si>
  <si>
    <t>인사, 인사하다</t>
  </si>
  <si>
    <t>The host will greet guests at the door.</t>
  </si>
  <si>
    <t>The host will (          ) guests at the door.</t>
  </si>
  <si>
    <t>grumble</t>
  </si>
  <si>
    <t>[grΛmbl]</t>
  </si>
  <si>
    <t>마음 깊은 곳에서 죽 나아가(gr) 우르르 울리는(rumble) 소리를 내니 ‘불평하다, 투덜거리다’</t>
  </si>
  <si>
    <t>불평하다, 투덜거리다</t>
  </si>
  <si>
    <t>People grumble about the higher taxes.</t>
  </si>
  <si>
    <t>People (          ) about the higher taxes.</t>
  </si>
  <si>
    <t>growl</t>
  </si>
  <si>
    <t>[graul]</t>
  </si>
  <si>
    <t>깊은 곳에서 힘있게 죽 나아가(gr) 올빼미(owl) 같은 소리를 내니 ‘으르렁거리다’</t>
  </si>
  <si>
    <t>으르렁거리다</t>
  </si>
  <si>
    <t>The dog began to growl at the stranger.</t>
  </si>
  <si>
    <t>The dog began to (          ) at the stranger.</t>
  </si>
  <si>
    <t>groan</t>
  </si>
  <si>
    <t>[groun]</t>
  </si>
  <si>
    <t>깊은 곳(g)에서부터 아주 강하게(r) 죽 나아가(gr) 둥근(o) 목 구멍에서부터 혼자(an) 있으면서 내는 소리 ‘신음, 신음하다’</t>
  </si>
  <si>
    <t>신음, 신음하다</t>
  </si>
  <si>
    <t>The audience let out a collective groan at the bad joke.</t>
  </si>
  <si>
    <t>The audience let out a collective (          ) at the bad joke.</t>
  </si>
  <si>
    <t>grief</t>
  </si>
  <si>
    <t>[griːf]</t>
  </si>
  <si>
    <t>마음 속 깊은 (g) 곳에서 세게(r) 죽 나가면서(gr) 나오는 감정인데 혼자서(i) 약할 때(f) 느끼는 깊 은 ‘고뇌, 슬픔’</t>
  </si>
  <si>
    <t>고뇌, 슬픔</t>
  </si>
  <si>
    <t>The family experienced profound grief after their loss.</t>
  </si>
  <si>
    <t>The family experienced profound (          ) after their loss.</t>
  </si>
  <si>
    <t>grieve</t>
  </si>
  <si>
    <t>gr &gt; grief</t>
  </si>
  <si>
    <t>[griːv]</t>
  </si>
  <si>
    <t>큰 슬픔(grief-griev)이 있어 ‘몹시 슬퍼하다, 마음 아파하다’</t>
  </si>
  <si>
    <t>몹시 슬퍼하다, 마음 아파하다</t>
  </si>
  <si>
    <t>It takes time to grieve after losing someone you love.</t>
  </si>
  <si>
    <t>It takes time to (          ) after losing someone you love.</t>
  </si>
  <si>
    <t>grade</t>
  </si>
  <si>
    <t>grad</t>
  </si>
  <si>
    <r>
      <rPr>
        <sz val="12"/>
        <color indexed="8"/>
        <rFont val="Apple SD 산돌고딕 Neo 일반체"/>
      </rPr>
      <t>grad</t>
    </r>
  </si>
  <si>
    <t>[greid]</t>
  </si>
  <si>
    <t>다음 단계로 나아가니(grad) 생기는 ‘등급, 단계’</t>
  </si>
  <si>
    <t>등급, 단계</t>
  </si>
  <si>
    <t>The teacher will grade the exams this weekend.</t>
  </si>
  <si>
    <t>The teacher will (          ) the exams this weekend.</t>
  </si>
  <si>
    <t>gradual</t>
  </si>
  <si>
    <t>grad &gt; grade</t>
  </si>
  <si>
    <t>[grǽdʒuəl]</t>
  </si>
  <si>
    <t>등급(grade-grad) 모두(all-al) 다 밟아 가니 ‘단계적인, 점차적인’</t>
  </si>
  <si>
    <t>단계적인, 점차적인</t>
  </si>
  <si>
    <t>There was a gradual improvement in her condition.</t>
  </si>
  <si>
    <t>There was a (          ) improvement in her condition.</t>
  </si>
  <si>
    <t>gradually</t>
  </si>
  <si>
    <t>grade &gt; gradual</t>
  </si>
  <si>
    <t>[grǽdʒuəli]</t>
  </si>
  <si>
    <t>점차적인(gradual) + 부사(y) = ‘차츰, 서서히’</t>
  </si>
  <si>
    <t>차츰, 서서히</t>
  </si>
  <si>
    <t>The pain gradually subsided as the medicine took effect.</t>
  </si>
  <si>
    <t>The pain (          ) subsided as the medicine took effect.</t>
  </si>
  <si>
    <t>graduate</t>
  </si>
  <si>
    <t>[grǽdʒuət]</t>
  </si>
  <si>
    <t>다음 등급(grade-grad)으로 나아가려고 아래쪽(u)단계 학년을 다 먹었다(ate) 그러니 ‘졸업하다’</t>
  </si>
  <si>
    <t>졸업하다</t>
  </si>
  <si>
    <t>My sister will graduate from university next month.</t>
  </si>
  <si>
    <t>My sister will (          ) from university next month.</t>
  </si>
  <si>
    <t>undergraduate</t>
  </si>
  <si>
    <t>grade &gt; graduate</t>
  </si>
  <si>
    <t>[əˌndərgræˈʤəwət]</t>
  </si>
  <si>
    <t>아래(under)단계에서 졸업(graduate)을 위해 열심히 공부하는 ‘대학생’</t>
  </si>
  <si>
    <t>대학생</t>
  </si>
  <si>
    <t>He is an undergraduate student in chemistry.</t>
  </si>
  <si>
    <t>He is an (          ) student in chemistry.</t>
  </si>
  <si>
    <t>ingredient</t>
  </si>
  <si>
    <t>grad(grad)</t>
  </si>
  <si>
    <t>[ingríːdiənt]</t>
  </si>
  <si>
    <t>냄비 안으로(in) 단계별로 나아가(gred-grad) 넣는 ‘재료, 성분, 구성요소’</t>
  </si>
  <si>
    <t>재료, 성분, 구성요소</t>
  </si>
  <si>
    <t>Flour is the main ingredient in bread.</t>
  </si>
  <si>
    <t>Flour is the main (          ) in bread.</t>
  </si>
  <si>
    <t>great</t>
  </si>
  <si>
    <t>grat</t>
  </si>
  <si>
    <r>
      <rPr>
        <sz val="12"/>
        <color indexed="8"/>
        <rFont val="Apple SD 산돌고딕 Neo 일반체"/>
      </rPr>
      <t>grat</t>
    </r>
  </si>
  <si>
    <t>[greit]</t>
  </si>
  <si>
    <t>죽 나아가서(gr) 서(t)니 큰(grat-great), ‘거대한, 큰’</t>
  </si>
  <si>
    <t>거대한, 큰</t>
  </si>
  <si>
    <t>The movie received great reviews from critics.</t>
  </si>
  <si>
    <t>The movie received (          ) reviews from critics.</t>
  </si>
  <si>
    <t>congratulate</t>
  </si>
  <si>
    <t>[kəngrǽʧulèit]</t>
  </si>
  <si>
    <t>함께(con) 크게(grat) 서로 좋아하니 ‘축하하다’</t>
  </si>
  <si>
    <t>축하하다</t>
  </si>
  <si>
    <t>Everyone gathered to congratulate the bride and groom.</t>
  </si>
  <si>
    <t>Everyone gathered to (          ) the bride and groom.</t>
  </si>
  <si>
    <t>grateful</t>
  </si>
  <si>
    <t>grat(grate)</t>
  </si>
  <si>
    <t>[gréitfəl]</t>
  </si>
  <si>
    <t>대단하고 크게(grate-grat) 여기는 마음이 가득차니(tul-full) ‘고맙게 생각하는’</t>
  </si>
  <si>
    <t>고맙게 생각하는</t>
  </si>
  <si>
    <t>I'm grateful for your help during this difficult time.</t>
  </si>
  <si>
    <t>I'm (          ) for your help during this difficult time.</t>
  </si>
  <si>
    <t>gratify</t>
  </si>
  <si>
    <t>[grǽtəfài]</t>
  </si>
  <si>
    <t>크고 대단하게(grat) 느끼도록 만드니(ty) ‘만족 시키다, 기쁘게 하다’</t>
  </si>
  <si>
    <t>만족 시키다, 기쁘게 하다</t>
  </si>
  <si>
    <t>It would gratify me to see you succeed.</t>
  </si>
  <si>
    <t>It would (          ) me to see you succeed.</t>
  </si>
  <si>
    <t>gratitude</t>
  </si>
  <si>
    <t>[grǽtətjùːd]</t>
  </si>
  <si>
    <t>뭔가를 대단하고 크게(grat) 여기는 태도(attitude-titude) ‘감사’</t>
  </si>
  <si>
    <t>감사</t>
  </si>
  <si>
    <t>She expressed her gratitude for the thoughtful gift.</t>
  </si>
  <si>
    <t>She expressed her (          ) for the thoughtful gift.</t>
  </si>
  <si>
    <t>agree</t>
  </si>
  <si>
    <t>gree</t>
  </si>
  <si>
    <r>
      <rPr>
        <sz val="12"/>
        <color indexed="8"/>
        <rFont val="Apple SD 산돌고딕 Neo 일반체"/>
      </rPr>
      <t>gree</t>
    </r>
  </si>
  <si>
    <t>[əgríː]</t>
  </si>
  <si>
    <t>하나가(a) 되어 나아가니(gree) ‘일치하다, 동의하다’</t>
  </si>
  <si>
    <t>일치하다, 동의하다</t>
  </si>
  <si>
    <t>Do you agree with the decision?</t>
  </si>
  <si>
    <t>Do you (          ) with the decision?</t>
  </si>
  <si>
    <t>agreement</t>
  </si>
  <si>
    <t>gree &gt; agree</t>
  </si>
  <si>
    <t>[əgríːmənt]</t>
  </si>
  <si>
    <t>동의하다(agree) + 명사(ment) = ‘약속, 협정, 일치’</t>
  </si>
  <si>
    <t>약속, 협정, 일치</t>
  </si>
  <si>
    <t>The two companies signed an agreement yesterday.</t>
  </si>
  <si>
    <t>The two companies signed an (          ) yesterday.</t>
  </si>
  <si>
    <t>disagreement</t>
  </si>
  <si>
    <t>[dìsəgríːmənt]</t>
  </si>
  <si>
    <t>반대(dis) + 동의(agreement) = ‘불일치, 불화’</t>
  </si>
  <si>
    <t>불일치, 불화</t>
  </si>
  <si>
    <t>There was a disagreement about how to proceed.</t>
  </si>
  <si>
    <t>There was a (          ) about how to proceed.</t>
  </si>
  <si>
    <t>degree</t>
  </si>
  <si>
    <t>[digríː]</t>
  </si>
  <si>
    <t>아래쪽으로(de) 한 단계 한 단계 나아가는 (gree) 것은 ‘학위, 정도, 도’</t>
  </si>
  <si>
    <t>학위, 정도, 도</t>
  </si>
  <si>
    <t>She earned a degree in psychology.</t>
  </si>
  <si>
    <t>She earned a (          ) in psychology.</t>
  </si>
  <si>
    <t>계속 나아가면(gree) 결국 아래로(d) 떨어지는 ‘끝없는 욕망, 탐욕’</t>
  </si>
  <si>
    <t>끝없는 욕망, 탐욕</t>
  </si>
  <si>
    <t>aggregate</t>
  </si>
  <si>
    <t>[ǽgrigət]</t>
  </si>
  <si>
    <t>더하여(a) 나아가서(gre-gree) 문(gate) 앞에 모이니 ‘총액, 합계, 종합하다’</t>
  </si>
  <si>
    <t>총액, 합계, 종합하다</t>
  </si>
  <si>
    <t>The aggregate score determines the winner of the competition.</t>
  </si>
  <si>
    <t>The (          ) score determines the winner of the competition.</t>
  </si>
  <si>
    <t>segregate</t>
  </si>
  <si>
    <t>gree &gt; aggregate</t>
  </si>
  <si>
    <t>[ségrigèit]</t>
  </si>
  <si>
    <t>잘라버리는(se) 것이 종합한 것(gregate-aggregate)이니 ‘나누다, 분리시키다’</t>
  </si>
  <si>
    <t>나누다, 분리시키다</t>
  </si>
  <si>
    <t>Some schools used to segregate students by gender.</t>
  </si>
  <si>
    <t>Some schools used to (          ) students by gender.</t>
  </si>
  <si>
    <t>congregate</t>
  </si>
  <si>
    <t>gree &gt; aggregate(gregate)</t>
  </si>
  <si>
    <t>[kάŋgrigèit｜kɔ́ŋ-]</t>
  </si>
  <si>
    <t>함께(con) 종합하니(gregate-aggregate) ‘모이다, 집합하다’</t>
  </si>
  <si>
    <t>모이다, 집합하다</t>
  </si>
  <si>
    <t>Teenagers often congregate at the mall after school.</t>
  </si>
  <si>
    <t>Teenagers often (          ) at the mall after school.</t>
  </si>
  <si>
    <t>congress</t>
  </si>
  <si>
    <t>gree(gress)</t>
  </si>
  <si>
    <t>[kάŋgris｜kɔ́ŋgres]</t>
  </si>
  <si>
    <t>함께(con) 대표들이 나아가는 곳(gress-gree) ‘국회’</t>
  </si>
  <si>
    <t>국회</t>
  </si>
  <si>
    <t>The congress meets to debate new laws.</t>
  </si>
  <si>
    <t>The (          ) meets to debate new laws.</t>
  </si>
  <si>
    <t>progress</t>
  </si>
  <si>
    <t>[prάgres｜próu-]</t>
  </si>
  <si>
    <t>앞으로(pro) 나아가니(gress-gree) ‘진보, 전진 하다’</t>
  </si>
  <si>
    <t>진보, 전진 하다</t>
  </si>
  <si>
    <t>The patient is making progress in her recovery.</t>
  </si>
  <si>
    <t>The patient is making (          ) in her recovery.</t>
  </si>
  <si>
    <t>progressive</t>
  </si>
  <si>
    <t>gree(gress) &gt; progress</t>
  </si>
  <si>
    <t>[prəgrésiv]</t>
  </si>
  <si>
    <t>전진하다(progress) + 형용사(ive) = ‘진보적인, 혁신적인’</t>
  </si>
  <si>
    <t>진보적인, 혁신적인</t>
  </si>
  <si>
    <t>The school adopts progressive teaching methods.</t>
  </si>
  <si>
    <t>The school adopts (          ) teaching methods.</t>
  </si>
  <si>
    <t>aggressive</t>
  </si>
  <si>
    <t>[əgrésiv]</t>
  </si>
  <si>
    <t>혼자서(a) 가니(gress-gree) 공격을 시작하다 + 형용사(ive) = ‘공격적인, 침략적인’</t>
  </si>
  <si>
    <t>공격적인, 침략적인</t>
  </si>
  <si>
    <t>The dog became aggressive when protecting its food.</t>
  </si>
  <si>
    <t>The dog became (          ) when protecting its food.</t>
  </si>
  <si>
    <t>grave</t>
  </si>
  <si>
    <t>grav</t>
  </si>
  <si>
    <r>
      <rPr>
        <sz val="12"/>
        <color indexed="8"/>
        <rFont val="Apple SD 산돌고딕 Neo 일반체"/>
      </rPr>
      <t>grav</t>
    </r>
  </si>
  <si>
    <t>[greiv]</t>
  </si>
  <si>
    <t>사람을 묻어둔(grav) 곳 ‘무덤, 엄숙한, 진지한’
* 무덤에서의 분위기는 엄숙한, 진지한 상태이다.</t>
  </si>
  <si>
    <t>무덤, 엄숙한, 진지한</t>
  </si>
  <si>
    <t>They visited their grandfather's grave on Memorial Day.</t>
  </si>
  <si>
    <t>They visited their grandfather's (          ) on Memorial Day.</t>
  </si>
  <si>
    <t>gravely</t>
  </si>
  <si>
    <t>[gréivli]</t>
  </si>
  <si>
    <t>엄숙한(grave) + 부사(ly) = ‘엄숙하게, 진지하게’</t>
  </si>
  <si>
    <t>엄숙하게, 진지하게</t>
  </si>
  <si>
    <t>The doctor looked gravely at the test results.</t>
  </si>
  <si>
    <t>The doctor looked (          ) at the test results.</t>
  </si>
  <si>
    <t>gravel</t>
  </si>
  <si>
    <t>grav &gt; grave</t>
  </si>
  <si>
    <t>[grǽvəl]</t>
  </si>
  <si>
    <t>무덤(grave)을 파다 보면 길게(l) 계속 나오는 것 ‘자갈’</t>
  </si>
  <si>
    <t>자갈</t>
  </si>
  <si>
    <t>The driveway is covered with gravel.</t>
  </si>
  <si>
    <t>The driveway is covered with (          ).</t>
  </si>
  <si>
    <t>engrave</t>
  </si>
  <si>
    <t>[ingréiv]</t>
  </si>
  <si>
    <t>안(en)으로 무덤(grave) 같이 파내니 ‘새겨 넣다, 조각하다’</t>
  </si>
  <si>
    <t>새겨 넣다, 조각하다</t>
  </si>
  <si>
    <t>The jeweler will engrave your initials on the ring.</t>
  </si>
  <si>
    <t>The jeweler will (          ) your initials on the ring.</t>
  </si>
  <si>
    <t>aggravate</t>
  </si>
  <si>
    <t>[ǽgrəvèit]</t>
  </si>
  <si>
    <t>더하여(a) 무덤(grave)같은 상황으로 치닫게 하니 ‘악화시키다, 화나게 하다’</t>
  </si>
  <si>
    <t>악화시키다, 화나게 하다</t>
  </si>
  <si>
    <t>Stress can aggravate health problems.</t>
  </si>
  <si>
    <t>Stress can (          ) health problems.</t>
  </si>
  <si>
    <t>guide</t>
  </si>
  <si>
    <t>gu</t>
  </si>
  <si>
    <r>
      <rPr>
        <sz val="12"/>
        <color indexed="8"/>
        <rFont val="Apple SD 산돌고딕 Neo 일반체"/>
      </rPr>
      <t>gu</t>
    </r>
  </si>
  <si>
    <t>[gaid]</t>
  </si>
  <si>
    <t>동굴 깊숙한(g) 아래쪽(u) 깊은 속(gu) 안(i)으로 아래로(d) 내려가게 안내하니 ‘길 안내를 하다’</t>
  </si>
  <si>
    <t>길 안내를 하다</t>
  </si>
  <si>
    <t>The tour guide explained the history of the castle.</t>
  </si>
  <si>
    <t>The tour (          ) explained the history of the castle.</t>
  </si>
  <si>
    <t>guideline</t>
  </si>
  <si>
    <t>gu &gt; guide</t>
  </si>
  <si>
    <t>[gáidlàin]</t>
  </si>
  <si>
    <t>길 안내(guide)를 하는 선(line)은 ‘지침, 가이드라인’</t>
  </si>
  <si>
    <t>지침, 가이드라인</t>
  </si>
  <si>
    <t>Follow these guidelines when applying for the grant.</t>
  </si>
  <si>
    <t>Follow these (          )s when applying for the grant.</t>
  </si>
  <si>
    <t>guidance</t>
  </si>
  <si>
    <t>[gáidns]</t>
  </si>
  <si>
    <t>길 안내를 하다(guide) + 명사(ance) = ‘지도, 지휘’</t>
  </si>
  <si>
    <t>지도, 지휘</t>
  </si>
  <si>
    <t>Students receive guidance from school counselors.</t>
  </si>
  <si>
    <t>Students receive (          ) from school counselors.</t>
  </si>
  <si>
    <t>guard</t>
  </si>
  <si>
    <t>[gaːrd]</t>
  </si>
  <si>
    <t>깊은 속(gu)에서 갑자기 뭔가 나오면 힘(r)으로 저하(d)시키는 사람, ‘경비요원, 보호하다’</t>
  </si>
  <si>
    <t>경비요원, 보호하다</t>
  </si>
  <si>
    <t>The security guard patrols the building at night.</t>
  </si>
  <si>
    <t>The security (          ) patrols the building at night.</t>
  </si>
  <si>
    <t>guarantee</t>
  </si>
  <si>
    <t>gu &gt; guard</t>
  </si>
  <si>
    <t>[gӕrəntíː]</t>
  </si>
  <si>
    <t>보호하는데(guard) 서서(t) 계속(ee)하면 ‘보증, 보증하다’</t>
  </si>
  <si>
    <t>보증, 보증하다</t>
  </si>
  <si>
    <t>The manufacturer offers a three-year guarantee on this product.</t>
  </si>
  <si>
    <t>The manufacturer offers a three-year (          ) on this product.</t>
  </si>
  <si>
    <t>gut</t>
  </si>
  <si>
    <t>[gʌt]</t>
  </si>
  <si>
    <t>몸의 안쪽 깊은 속(gu)에 서(t)있는 ‘창자, 내장, 용기’</t>
  </si>
  <si>
    <t>창자, 내장, 용기</t>
  </si>
  <si>
    <t>Trust your gut feeling when making important decisions.</t>
  </si>
  <si>
    <t>Trust your (          ) feeling when making important decisions.</t>
  </si>
  <si>
    <t>gutter</t>
  </si>
  <si>
    <t>gu &gt; gut</t>
  </si>
  <si>
    <t>[gΛtər]</t>
  </si>
  <si>
    <t>내장(gut)처럼 아래쪽으로 나아가(t) 물이 흘러 가게 하는 ‘도랑, 시궁창, 배수로’</t>
  </si>
  <si>
    <t>도랑, 시궁창, 배수로</t>
  </si>
  <si>
    <t>The gutter collects rainwater from the roof.</t>
  </si>
  <si>
    <t>The (          ) collects rainwater from the roof.</t>
  </si>
  <si>
    <t>gust</t>
  </si>
  <si>
    <t>[gʌst]</t>
  </si>
  <si>
    <t>깊숙한 아래쪽, 깊은 속(gu)에서 안 보이다가 갑자기 나와서 서는(st) ‘돌풍’</t>
  </si>
  <si>
    <t>돌풍</t>
  </si>
  <si>
    <t>A gust of wind blew my hat off.</t>
  </si>
  <si>
    <t>A (          ) of wind blew my hat off.</t>
  </si>
  <si>
    <t>disgust</t>
  </si>
  <si>
    <t>gu &gt; gust</t>
  </si>
  <si>
    <t>[disgΛst]</t>
  </si>
  <si>
    <t>분리(dis)시켜 돌풍처럼(gust) 갑작스럽게 깊은 속에서 분출물을 뿜어내니 ‘메스꺼움, 혐오’</t>
  </si>
  <si>
    <t>메스꺼움, 혐오</t>
  </si>
  <si>
    <t>The moldy food in the refrigerator filled her with disgust.</t>
  </si>
  <si>
    <t>The moldy food in the refrigerator filled her with (          ).</t>
  </si>
  <si>
    <t>gush</t>
  </si>
  <si>
    <t>[gʌʃ]</t>
  </si>
  <si>
    <t>깊은 속(gu)에서 쉬 하면서(sh) ‘세차게 흘러나 오다, 분출하다’</t>
  </si>
  <si>
    <t>세차게 흘러나 오다, 분출하다</t>
  </si>
  <si>
    <t>Oil began to gush from the broken pipe.</t>
  </si>
  <si>
    <t>Oil began to (          ) from the broken pipe.</t>
  </si>
  <si>
    <t>gulp</t>
  </si>
  <si>
    <t>[gʌlp]</t>
  </si>
  <si>
    <t>깊은 속으로(gu) 길게(l) 폭 폭(p) 소리를 내면서 ‘꿀꺽꿀꺽 마시다’</t>
  </si>
  <si>
    <t>꿀꺽꿀꺽 마시다</t>
  </si>
  <si>
    <t>He took a gulp of water after the long run.</t>
  </si>
  <si>
    <t>He took a (          ) of water after the long run.</t>
  </si>
  <si>
    <t>gull</t>
  </si>
  <si>
    <t>[gʌl]</t>
  </si>
  <si>
    <t>깊은 속(gu)에서 길게 길게(ll) 끼룩끼룩 소리를 내는 ‘갈매기’</t>
  </si>
  <si>
    <t>갈매기</t>
  </si>
  <si>
    <t>The seagull flew over the beach looking for food.</t>
  </si>
  <si>
    <t>The sea(          ) flew over the beach looking for food.</t>
  </si>
  <si>
    <t>guess</t>
  </si>
  <si>
    <t>gu(gue)</t>
  </si>
  <si>
    <t>[ges]</t>
  </si>
  <si>
    <t>사람의 마음 깊은 속(gu)에서 분명히 보이지 않는(ss) 생각을 하니 ‘추측하다, 짐작하다’</t>
  </si>
  <si>
    <t>추측하다, 짐작하다</t>
  </si>
  <si>
    <t>Can you guess what I'm thinking?</t>
  </si>
  <si>
    <t>Can you (          ) what I'm thinking?</t>
  </si>
  <si>
    <t>vague</t>
  </si>
  <si>
    <t>[veig]</t>
  </si>
  <si>
    <t>갈라진 틈(v)의 깊은 속(gu)에 있어 ‘막연한, 애매한’</t>
  </si>
  <si>
    <t>막연한, 애매한</t>
  </si>
  <si>
    <t>Her explanation was too vague to be helpful.</t>
  </si>
  <si>
    <t>Her explanation was too (          ) to be helpful.</t>
  </si>
  <si>
    <t>vogue</t>
  </si>
  <si>
    <t>[voug]</t>
  </si>
  <si>
    <t>화산(vo) 같이 폭발적이고 깊은 속(gu-gue)으로 사람들을 끌고 들어가는 흡인력이 있는 ‘유행, 인기, 유행하는’</t>
  </si>
  <si>
    <t>유행, 인기, 유행하는</t>
  </si>
  <si>
    <t>Bell-bottom pants were in vogue during the 1970s.</t>
  </si>
  <si>
    <t>Bell-bottom pants were in (          ) during the 1970s.</t>
  </si>
  <si>
    <t>argue</t>
  </si>
  <si>
    <t>[άːrgjuː]</t>
  </si>
  <si>
    <t>하나하나(a) 짚으면서 힘있게(r) 깊은 속(gu)에 있던 생각을 ‘논하다, 논의하다’</t>
  </si>
  <si>
    <t>논하다, 논의하다</t>
  </si>
  <si>
    <t>The siblings argue about which movie to watch.</t>
  </si>
  <si>
    <t>The siblings (          ) about which movie to watch.</t>
  </si>
  <si>
    <t>argument</t>
  </si>
  <si>
    <t>gu &gt; argue</t>
  </si>
  <si>
    <t>[άːrgjumənt]</t>
  </si>
  <si>
    <t>논의하다(argue) + 명사(ment) = ‘논의, 논쟁’</t>
  </si>
  <si>
    <t>논의, 논쟁</t>
  </si>
  <si>
    <t>The lawyer presented a convincing argument to the jury.</t>
  </si>
  <si>
    <t>The lawyer presented a convincing (          ) to the jury.</t>
  </si>
  <si>
    <t>gun</t>
  </si>
  <si>
    <t>[gʌn]</t>
  </si>
  <si>
    <t>깊은 속(gu) 탄창에서부터 새롭게(n) 총알이 장전되어 나가는 ‘총’</t>
  </si>
  <si>
    <t>총</t>
  </si>
  <si>
    <t>The starting gun signals the beginning of the race.</t>
  </si>
  <si>
    <t>The starting (          ) signals the beginning of the race.</t>
  </si>
  <si>
    <t>guest</t>
  </si>
  <si>
    <t>[gest]</t>
  </si>
  <si>
    <t>마음 속 깊은 속(gu)에 있는 진심으로 문 앞에 서서(st) 맞이하는 ‘손님’</t>
  </si>
  <si>
    <t>손님</t>
  </si>
  <si>
    <t>We have invited twenty guests to the wedding.</t>
  </si>
  <si>
    <t>We have invited twenty (          )s to the wedding.</t>
  </si>
  <si>
    <t>guitar</t>
  </si>
  <si>
    <t>[gitάːr]</t>
  </si>
  <si>
    <t>깊은 통 속에서(gu) 나오는 소리를 세워서(t) 내는 ‘기타’</t>
  </si>
  <si>
    <t>기타</t>
  </si>
  <si>
    <t>He plays the guitar in a rock band.</t>
  </si>
  <si>
    <t>He plays the (          ) in a rock band.</t>
  </si>
  <si>
    <t>have</t>
  </si>
  <si>
    <t>h</t>
  </si>
  <si>
    <r>
      <rPr>
        <sz val="12"/>
        <color indexed="8"/>
        <rFont val="Apple SD 산돌고딕 Neo 일반체"/>
      </rPr>
      <t>have</t>
    </r>
  </si>
  <si>
    <t>[həv, əv, ; hǽv]</t>
  </si>
  <si>
    <t>크게 잡아서(h) 더하여(a) 갈라진 틈(v) 안으로 들어오게 하니 ‘가지고 있다’</t>
  </si>
  <si>
    <t>가지고 있다</t>
  </si>
  <si>
    <t>I have two brothers and one sister.</t>
  </si>
  <si>
    <t>I (          ) two brothers and one sister.</t>
  </si>
  <si>
    <t>behavior</t>
  </si>
  <si>
    <t>[bihéivjər]</t>
  </si>
  <si>
    <t>존재(be)하면서 가지게(have) 되는 것은 ‘행동, 행위, 처신’</t>
  </si>
  <si>
    <t>행동, 행위, 처신</t>
  </si>
  <si>
    <t>The teacher rewards good behavior in the classroom.</t>
  </si>
  <si>
    <t>The teacher rewards good (          ) in the classroom.</t>
  </si>
  <si>
    <t>misbehavior</t>
  </si>
  <si>
    <t>have &gt; behavior</t>
  </si>
  <si>
    <t>[miˌsbəheiˈvjər]</t>
  </si>
  <si>
    <t>잘못된(mis) + 행동(behavior) = ‘나쁜 행동, 못된 짓’</t>
  </si>
  <si>
    <t>나쁜 행동, 못된 짓</t>
  </si>
  <si>
    <t>The student received detention for his misbehavior.</t>
  </si>
  <si>
    <t>The student received detention for his (          ).</t>
  </si>
  <si>
    <t>habit</t>
  </si>
  <si>
    <r>
      <rPr>
        <sz val="12"/>
        <color indexed="8"/>
        <rFont val="Apple SD 산돌고딕 Neo 일반체"/>
      </rPr>
      <t>habit</t>
    </r>
  </si>
  <si>
    <t>[hǽbit]</t>
  </si>
  <si>
    <t>여러 번 하다가 결국 소유(habit)하게 되는 행동, ‘버릇, 관습’</t>
  </si>
  <si>
    <t>버릇, 관습</t>
  </si>
  <si>
    <t>Reading before bed is a good habit.</t>
  </si>
  <si>
    <t>Reading before bed is a good (          ).</t>
  </si>
  <si>
    <t>habitual</t>
  </si>
  <si>
    <t>[həbíʧuəl]</t>
  </si>
  <si>
    <t>버롯, 관습(habit) + 형용사(al) = ‘습관적인, 평소의’</t>
  </si>
  <si>
    <t>습관적인, 평소의</t>
  </si>
  <si>
    <t>His habitual lateness annoyed his colleagues.</t>
  </si>
  <si>
    <t>His (          ) lateness annoyed his colleagues.</t>
  </si>
  <si>
    <t>inhabit</t>
  </si>
  <si>
    <t>[inhǽbit]</t>
  </si>
  <si>
    <t>안에(in) 습관적(habit)으로 있어 ‘거주하다, 살다’</t>
  </si>
  <si>
    <t>거주하다, 살다</t>
  </si>
  <si>
    <t>Indigenous tribes inhabit the Amazon rainforest.</t>
  </si>
  <si>
    <t>Indigenous tribes (          ) the Amazon rainforest.</t>
  </si>
  <si>
    <t>inhabitant</t>
  </si>
  <si>
    <t>habit &gt; inhabit</t>
  </si>
  <si>
    <t>[inhǽbətənt]</t>
  </si>
  <si>
    <t>거주하다(inhabit) + 사람(ant) = ‘거주자, 주민’</t>
  </si>
  <si>
    <t>거주자, 주민</t>
  </si>
  <si>
    <t>The small island has about 500 inhabitants.</t>
  </si>
  <si>
    <t>The small island has about 500 (          )s.</t>
  </si>
  <si>
    <t>habitat</t>
  </si>
  <si>
    <t>[hǽbitӕt]</t>
  </si>
  <si>
    <t>습관적으로(habit) 그 지점에(at) 사니 ‘서식지, 거주환경’</t>
  </si>
  <si>
    <t>서식지, 거주환경</t>
  </si>
  <si>
    <t>The zoo recreates the natural habitat of each animal.</t>
  </si>
  <si>
    <t>The zoo recreates the natural (          ) of each animal.</t>
  </si>
  <si>
    <t>exhibit</t>
  </si>
  <si>
    <t>habit(hibit)</t>
  </si>
  <si>
    <t>[igzíbit]</t>
  </si>
  <si>
    <t>밖에(ex) 가지고 있으니(hibit-habit) ‘전시하다, 공개하다’</t>
  </si>
  <si>
    <t>전시하다, 공개하다</t>
  </si>
  <si>
    <t>The museum will exhibit paintings by local artists.</t>
  </si>
  <si>
    <t>The museum will (          ) paintings by local artists.</t>
  </si>
  <si>
    <t>inhibit</t>
  </si>
  <si>
    <t>[inhíbit]</t>
  </si>
  <si>
    <t>안에만(in) 가지고(hibit-habit) 있도록 밖으로 못 나가게 ‘억제하다, 방해하다’</t>
  </si>
  <si>
    <t>억제하다, 방해하다</t>
  </si>
  <si>
    <t>Fear can inhibit creativity.</t>
  </si>
  <si>
    <t>Fear can (          ) creativity.</t>
  </si>
  <si>
    <t>prohibit</t>
  </si>
  <si>
    <t>[prouhíbit]</t>
  </si>
  <si>
    <t>앞으로(pro) 나아가 먼저 소유하니(hibit-habit) 다른 사람이 못하게 ‘금지하다’</t>
  </si>
  <si>
    <t>금지하다</t>
  </si>
  <si>
    <t>The rules prohibit smoking inside the building.</t>
  </si>
  <si>
    <t>The rules (          ) smoking inside the building.</t>
  </si>
  <si>
    <t>hand</t>
  </si>
  <si>
    <r>
      <rPr>
        <sz val="12"/>
        <color indexed="8"/>
        <rFont val="Apple SD 산돌고딕 Neo 일반체"/>
      </rPr>
      <t>hand</t>
    </r>
  </si>
  <si>
    <t>[hænd]</t>
  </si>
  <si>
    <t>크게 잡아서(h) 뭔가를 더하고(and) 더하는 기능을 하는 ‘손’</t>
  </si>
  <si>
    <t>손</t>
  </si>
  <si>
    <t>Raise your hand if you know the answer.</t>
  </si>
  <si>
    <t>Raise your (          ) if you know the answer.</t>
  </si>
  <si>
    <t>handle</t>
  </si>
  <si>
    <t>[hǽndl]</t>
  </si>
  <si>
    <t>손(hand)으로 잡도록 길게(l) 되어 있는 것은 ‘손잡이, 핸들, 다루다’</t>
  </si>
  <si>
    <t>손잡이, 핸들, 다루다</t>
  </si>
  <si>
    <t>The suitcase has a broken handle.</t>
  </si>
  <si>
    <t>The suitcase has a broken (          ).</t>
  </si>
  <si>
    <t>handful</t>
  </si>
  <si>
    <t>[hǽndfùl]</t>
  </si>
  <si>
    <t>손(hand)에 가득하니(full) ‘한 움큼’</t>
  </si>
  <si>
    <t>한 움큼</t>
  </si>
  <si>
    <t>He grabbed a handful of popcorn from the bowl.</t>
  </si>
  <si>
    <t>He grabbed a (          ) of popcorn from the bowl.</t>
  </si>
  <si>
    <t>handbook</t>
  </si>
  <si>
    <t>[hæˈndbʊˌk]</t>
  </si>
  <si>
    <t>손(hand)에 늘 들고 다니면서 참고하는 책(book)은 ‘안내서, 참고서’</t>
  </si>
  <si>
    <t>안내서, 참고서</t>
  </si>
  <si>
    <t>The employee handbook explains company policies.</t>
  </si>
  <si>
    <t>The employee (          ) explains company policies.</t>
  </si>
  <si>
    <t>handbag</t>
  </si>
  <si>
    <t>[hǽndbӕg]</t>
  </si>
  <si>
    <t>손(hand)에 드는 가방(bag)은 ‘핸드백’</t>
  </si>
  <si>
    <t>핸드백</t>
  </si>
  <si>
    <t>She kept her wallet in her handbag.</t>
  </si>
  <si>
    <t>She kept her wallet in her (          ).</t>
  </si>
  <si>
    <t>handsome</t>
  </si>
  <si>
    <t>[hǽnsəm]</t>
  </si>
  <si>
    <t>창조주의 손으로(hand) 좀(some) 만졌으니 ‘미남의, 풍채가 좋은’</t>
  </si>
  <si>
    <t>미남의, 풍채가 좋은</t>
  </si>
  <si>
    <t>The actor is known for his handsome features.</t>
  </si>
  <si>
    <t>The actor is known for his (          ) features.</t>
  </si>
  <si>
    <t>prehend</t>
  </si>
  <si>
    <t>[prihend]</t>
  </si>
  <si>
    <t>미리(pre) 손을(hand-hend) 뻗으니 ‘잡다’</t>
  </si>
  <si>
    <t>잡다</t>
  </si>
  <si>
    <t>The thief was prehend by security guards.</t>
  </si>
  <si>
    <t>The thief was (          ) by security guards.</t>
  </si>
  <si>
    <t>apprehend</t>
  </si>
  <si>
    <t>hand &gt; prehend</t>
  </si>
  <si>
    <t>[ӕprihénd]</t>
  </si>
  <si>
    <t>범죄자를 확실히 더하여(ap) 잡으니(prehend) ‘체포하다’</t>
  </si>
  <si>
    <t>체포하다</t>
  </si>
  <si>
    <t>Police apprehend the suspect after a brief chase.</t>
  </si>
  <si>
    <t>Police (          ) the suspect after a brief chase.</t>
  </si>
  <si>
    <t>comprehend</t>
  </si>
  <si>
    <t>[kὰmprihénd]</t>
  </si>
  <si>
    <t>모든 내용을 함께(com) 다 잡으니(prehend) ‘이해하다’</t>
  </si>
  <si>
    <t>이해하다</t>
  </si>
  <si>
    <t>It's difficult to comprehend the vastness of the universe.</t>
  </si>
  <si>
    <t>It's difficult to (          ) the vastness of the universe.</t>
  </si>
  <si>
    <t>comprehensible</t>
  </si>
  <si>
    <t>hand &gt; prehend &gt; comprehend</t>
  </si>
  <si>
    <t>[kὰmprihénsəbl]</t>
  </si>
  <si>
    <t>이해하다(comprehend) + 할 수 있는(able-ible) = ‘알기 쉬운, 이해할 수 있는’</t>
  </si>
  <si>
    <t>알기 쉬운, 이해할 수 있는</t>
  </si>
  <si>
    <t>Make your instructions comprehensible for beginners.</t>
  </si>
  <si>
    <t>Make your instructions (          ) for beginners.</t>
  </si>
  <si>
    <t>comprehensive</t>
  </si>
  <si>
    <t>[kὰmprihénsiv]</t>
  </si>
  <si>
    <t>모든 내용을 함께(com) 다 잡다(prehend-prehen) + 형용사(sive) = ‘포괄적인’</t>
  </si>
  <si>
    <t>포괄적인</t>
  </si>
  <si>
    <t>The report provides a comprehensive analysis of the situation.</t>
  </si>
  <si>
    <t>The report provides a (          ) analysis of the situation.</t>
  </si>
  <si>
    <t>harmony</t>
  </si>
  <si>
    <t>har</t>
  </si>
  <si>
    <r>
      <rPr>
        <sz val="12"/>
        <color indexed="8"/>
        <rFont val="Apple SD 산돌고딕 Neo 일반체"/>
      </rPr>
      <t>har</t>
    </r>
  </si>
  <si>
    <t>[hάːrməni]</t>
  </si>
  <si>
    <t>조직이 크게 세게 잡고(har) 있으려는 것이 돈 이면(mony-money) 먼저 ‘조화, , 화합, 일치’가 있어야 한다</t>
  </si>
  <si>
    <t>조화, , 화합, 일치</t>
  </si>
  <si>
    <t>The choir sang in perfect harmony.</t>
  </si>
  <si>
    <t>The choir sang in perfect (          ).</t>
  </si>
  <si>
    <t>harmonica</t>
  </si>
  <si>
    <t>har &gt; harmony</t>
  </si>
  <si>
    <t>[haːrmάnikə]</t>
  </si>
  <si>
    <t>나오는 소리가 조화(harmony-harmoni)로운 악기 ‘하모니카’</t>
  </si>
  <si>
    <t>하모니카</t>
  </si>
  <si>
    <t>He played a blues tune on his harmonica.</t>
  </si>
  <si>
    <t>He played a blues tune on his (          ).</t>
  </si>
  <si>
    <t>harp</t>
  </si>
  <si>
    <t>[haːrp]</t>
  </si>
  <si>
    <t>서로 크게 세게 잡고(harp-har) 폭폭(p) 튕기면서 연주하는 악기 ‘하프’</t>
  </si>
  <si>
    <t>하프</t>
  </si>
  <si>
    <t>The angel is often depicted playing a harp.</t>
  </si>
  <si>
    <t>The angel is often depicted playing a (          ).</t>
  </si>
  <si>
    <t>hard</t>
  </si>
  <si>
    <t>[haːrd]</t>
  </si>
  <si>
    <t>가루를 크게 세게(har) 잡아서 아래로(d) 두니 ‘단단한, 다루기 어려운, 힘든’
* 음식, 재료 등이 단단하면 먹기 힘들고 다루기 힘들다.</t>
  </si>
  <si>
    <t>단단한, 다루기 어려운, 힘든</t>
  </si>
  <si>
    <t>Diamonds are the hardest natural material.</t>
  </si>
  <si>
    <t>Diamonds are the (          )est natural material.</t>
  </si>
  <si>
    <t>hardly</t>
  </si>
  <si>
    <t>har &gt; hard</t>
  </si>
  <si>
    <t>[hάːrdli]</t>
  </si>
  <si>
    <t>그렇게 되기가 힘들고 어려우니(hard) ‘거의 아니다’</t>
  </si>
  <si>
    <t>거의 아니다</t>
  </si>
  <si>
    <t>I could hardly hear his whisper.</t>
  </si>
  <si>
    <t>I could (          ) hear his whisper.</t>
  </si>
  <si>
    <t>harsh</t>
  </si>
  <si>
    <t>[haːrʃ]</t>
  </si>
  <si>
    <t>상대방을 크게 세게 잡으려고(har) 즉, 통제하려 고 쉬~ 하는 소리(sh)의 채찍질을 가하는 것은 ‘가혹한, 엄격한’</t>
  </si>
  <si>
    <t>가혹한, 엄격한</t>
  </si>
  <si>
    <t>The desert climate is harsh and unforgiving.</t>
  </si>
  <si>
    <t>The desert climate is (          ) and unforgiving.</t>
  </si>
  <si>
    <t>harness</t>
  </si>
  <si>
    <t>[hάːrnis]</t>
  </si>
  <si>
    <t>크게 세게(har) 잡아서 말의 몸에 가까이에(n) 붙이는 ‘끄는 장비, 마구’</t>
  </si>
  <si>
    <t>끄는 장비, 마구</t>
  </si>
  <si>
    <t>Farmers use a harness to control work horses.</t>
  </si>
  <si>
    <t>Farmers use a (          ) to control work horses.</t>
  </si>
  <si>
    <t>harvest</t>
  </si>
  <si>
    <t>[hάːrvist]</t>
  </si>
  <si>
    <t>크게 세게(har) 잡아서 조끼에(vest) 다 담는 것은 ‘수확, 추수’</t>
  </si>
  <si>
    <t>수확, 추수</t>
  </si>
  <si>
    <t>Farmers harvest wheat in late summer.</t>
  </si>
  <si>
    <t>Farmers (          ) wheat in late summer.</t>
  </si>
  <si>
    <t>heir</t>
  </si>
  <si>
    <t>heri</t>
  </si>
  <si>
    <r>
      <rPr>
        <sz val="12"/>
        <color indexed="8"/>
        <rFont val="Apple SD 산돌고딕 Neo 일반체"/>
      </rPr>
      <t>heri</t>
    </r>
  </si>
  <si>
    <t>[εər]</t>
  </si>
  <si>
    <t>상속(heri-heir) 받는 사람 ‘상속인’</t>
  </si>
  <si>
    <t>상속인</t>
  </si>
  <si>
    <t>The prince is heir to the throne.</t>
  </si>
  <si>
    <t>The prince is (          ) to the throne.</t>
  </si>
  <si>
    <t>inherit</t>
  </si>
  <si>
    <t>heri(herit)</t>
  </si>
  <si>
    <t>[inhérit]</t>
  </si>
  <si>
    <t>집안에서(in) 유산으로 상속(herit-heri) 받으니 ‘상속받다, 물려받다’</t>
  </si>
  <si>
    <t>상속받다, 물려받다</t>
  </si>
  <si>
    <t>She will inherit the family business.</t>
  </si>
  <si>
    <t>She will (          ) the family business.</t>
  </si>
  <si>
    <t>heritage</t>
  </si>
  <si>
    <t>[héritidʒ]</t>
  </si>
  <si>
    <t>상속된 것으로(heri) 서서(t) 버티도록 오랜 세월(age) 지켜온 ‘유산, 문화유산’</t>
  </si>
  <si>
    <t>유산, 문화유산</t>
  </si>
  <si>
    <t>The festival celebrates the cultural heritage of the region.</t>
  </si>
  <si>
    <t>The festival celebrates the cultural (          ) of the region.</t>
  </si>
  <si>
    <t>heredity</t>
  </si>
  <si>
    <t>heri(here)</t>
  </si>
  <si>
    <t>[hərédəti]</t>
  </si>
  <si>
    <t>상속되어(here-heri) 아래(d) 세대까지 전달되는 것은 ‘유전’</t>
  </si>
  <si>
    <t>유전</t>
  </si>
  <si>
    <t>Some traits are determined by heredity rather than environment.</t>
  </si>
  <si>
    <t>Some traits are determined by (          ) rather than environment.</t>
  </si>
  <si>
    <t>inherent</t>
  </si>
  <si>
    <t>[inhíərənt]</t>
  </si>
  <si>
    <t>안에(in) 상속받아(here-heri) 들어온(enter-ent) ‘타고난, 고유의’</t>
  </si>
  <si>
    <t>타고난, 고유의</t>
  </si>
  <si>
    <t>There is an inherent risk in any surgical procedure.</t>
  </si>
  <si>
    <t>There is an (          ) risk in any surgical procedure.</t>
  </si>
  <si>
    <t>shut</t>
  </si>
  <si>
    <t>sh</t>
  </si>
  <si>
    <r>
      <rPr>
        <sz val="12"/>
        <color indexed="8"/>
        <rFont val="Apple SD 산돌고딕 Neo 일반체"/>
      </rPr>
      <t>sh</t>
    </r>
  </si>
  <si>
    <t>[ʃʌt]</t>
  </si>
  <si>
    <t>슈~(sh)하는 소리를 내며 아래쪽으로(u) 문이 나아가게(t) 하니 ‘닫다, 뚜껑을 덮다’
* 위에서 아래로 내리는 셔터(shutter)를 생각하자.</t>
  </si>
  <si>
    <t>닫다, 뚜껑을 덮다</t>
  </si>
  <si>
    <t>Please shut the door when you leave.</t>
  </si>
  <si>
    <t>shop</t>
  </si>
  <si>
    <t>[ʃap]</t>
  </si>
  <si>
    <t>부드럽게 크게 상품을 잡아 놓고(sh) 폭하고(p) 잘 나가게 판매하는 ‘가게, 상점’</t>
  </si>
  <si>
    <t>가게, 상점</t>
  </si>
  <si>
    <t>I need to shop for groceries this afternoon.</t>
  </si>
  <si>
    <t>I need to (          ) for groceries this afternoon.</t>
  </si>
  <si>
    <t>shoe</t>
  </si>
  <si>
    <t>[ʃuː]</t>
  </si>
  <si>
    <t>부드럽게 크게 감싸며(sh) 둥근(o) 공간 입구(e)로 발이 들어가는 ‘구두, 신’</t>
  </si>
  <si>
    <t>구두, 신</t>
  </si>
  <si>
    <t>My new shoe gives me a blister.</t>
  </si>
  <si>
    <t>My new (          ) gives me a blister.</t>
  </si>
  <si>
    <t>shirt</t>
  </si>
  <si>
    <t>[ʃəːrt]</t>
  </si>
  <si>
    <t>부드럽게 목을 감싸지만(sh) 힘있게(r) 서(t)있는 잘 다려진 칼라가 있는 ‘셔츠’</t>
  </si>
  <si>
    <t>셔츠</t>
  </si>
  <si>
    <t>He wore a blue shirt to the interview.</t>
  </si>
  <si>
    <t>He wore a blue (          ) to the interview.</t>
  </si>
  <si>
    <t>sheet</t>
  </si>
  <si>
    <t>[ʃiːt]</t>
  </si>
  <si>
    <t>부드럽게 몸 전체를 감싸고(sh) 오랫동안(ee) 접촉하는(t) ‘시트, 홑이불’</t>
  </si>
  <si>
    <t>시트, 홑이불</t>
  </si>
  <si>
    <t>Change the sheets on the bed weekly.</t>
  </si>
  <si>
    <t>Change the (          )s on the bed weekly.</t>
  </si>
  <si>
    <t>shell</t>
  </si>
  <si>
    <t>[ʃel]</t>
  </si>
  <si>
    <t>부드럽게(s) 크게(h) 감싸 보호하고 길게(l) 길게(l) 오랫동안 존재하게 하는 ‘껍질, 외피’</t>
  </si>
  <si>
    <t>껍질, 외피</t>
  </si>
  <si>
    <t>She collected seashells on the beach.</t>
  </si>
  <si>
    <t>She collected sea(          )s on the beach.</t>
  </si>
  <si>
    <t>shelter</t>
  </si>
  <si>
    <t>[ʃéltər]</t>
  </si>
  <si>
    <t>부드럽게 크게 잡아(sh) 보호하는 역할을 하면서 길게(l) 오랫동안 머물 수 있게 세워(t) 놓은 ‘피난처’</t>
  </si>
  <si>
    <t>피난처</t>
  </si>
  <si>
    <t>The hikers found shelter from the storm in a cave.</t>
  </si>
  <si>
    <t>The hikers found (          ) from the storm in a cave.</t>
  </si>
  <si>
    <t>shield</t>
  </si>
  <si>
    <t>[ʃiːld]</t>
  </si>
  <si>
    <t>크게 잡아(sh) 보호하며 자신을(i) 멀리서(l) 날아오는 화살이나 창을 아래로(d) 떨어지게 하는 ‘방패’</t>
  </si>
  <si>
    <t>방패</t>
  </si>
  <si>
    <t>The police officer used his shield for protection.</t>
  </si>
  <si>
    <t>The police officer used his (          ) for protection.</t>
  </si>
  <si>
    <t>sheriff</t>
  </si>
  <si>
    <t>[ʃérif]</t>
  </si>
  <si>
    <t>어떤 지역을 크게 잡아 보호하며(sh) 강하면서 도(r) 재빠르게(ff) 움직이는 ‘보안관’</t>
  </si>
  <si>
    <t>보안관</t>
  </si>
  <si>
    <t>The sheriff is responsible for law enforcement in the county.</t>
  </si>
  <si>
    <t>The (          ) is responsible for law enforcement in the county.</t>
  </si>
  <si>
    <t>shackle</t>
  </si>
  <si>
    <t>[ʃǽkl]</t>
  </si>
  <si>
    <t>부드러우면서도 크게(sh) 잡아버리는 ‘수갑, 족쇄’</t>
  </si>
  <si>
    <t>수갑, 족쇄</t>
  </si>
  <si>
    <t>The prisoner's hands were bound with shackles.</t>
  </si>
  <si>
    <t>The prisoner's hands were bound with (          )s.</t>
  </si>
  <si>
    <t>shoulder</t>
  </si>
  <si>
    <t>[ʃóuldər]</t>
  </si>
  <si>
    <t>크게 잡아(sh) 주는 것이 아래쪽(u)에 길게(l) 아래로(d) 늘어진 몸인 ‘어깨’</t>
  </si>
  <si>
    <t>어깨</t>
  </si>
  <si>
    <t>He carried the heavy backpack on his shoulder.</t>
  </si>
  <si>
    <t>He carried the heavy backpack on his (          ).</t>
  </si>
  <si>
    <t>shroud</t>
  </si>
  <si>
    <t>[ʃraud]</t>
  </si>
  <si>
    <t>부드럽게 크게 감싸주는 것이(sh) 힘차게 굴러 가던(ro) 생명이 아래쪽에(u) 힘이 저하된(d) 죽은 몸이니 ‘수의, 가리다’</t>
  </si>
  <si>
    <t>수의, 가리다</t>
  </si>
  <si>
    <t>A shroud of mist covered the valley.</t>
  </si>
  <si>
    <t>A (          ) of mist covered the valley.</t>
  </si>
  <si>
    <t>shallow</t>
  </si>
  <si>
    <t>[ʃǽlou]</t>
  </si>
  <si>
    <t>부드러운 물 전체를 덮고(sh) 있는데 낮은(Iow) 수위이니 ‘얕은, 표면적인’</t>
  </si>
  <si>
    <t>얕은, 표면적인</t>
  </si>
  <si>
    <t>Children should play in the shallow end of the pool.</t>
  </si>
  <si>
    <t>Children should play in the (          ) end of the pool.</t>
  </si>
  <si>
    <t>shore</t>
  </si>
  <si>
    <t>[ʃɔːr]</t>
  </si>
  <si>
    <t>육지를 크게 잡고 있어서(sh) 둥근 바다(o) 호수 가 힘차게(r) 파도가 쳐도 그대로인 ‘해안, 물가’</t>
  </si>
  <si>
    <t>해안, 물가</t>
  </si>
  <si>
    <t>We walked along the shore collecting shells.</t>
  </si>
  <si>
    <t>We walked along the (          ) collecting shells.</t>
  </si>
  <si>
    <t>sheep</t>
  </si>
  <si>
    <t>[ʃiːp]</t>
  </si>
  <si>
    <t>부드러운 몸 전체를 크게 잡아 덮고 있는(sh) 길게(ee) 자라는 털이 폭하고(p) 튀어 나와있는 ‘양’</t>
  </si>
  <si>
    <t>양</t>
  </si>
  <si>
    <t>The farmer keeps a flock of sheep.</t>
  </si>
  <si>
    <t>The farmer keeps a flock of (          ).</t>
  </si>
  <si>
    <t>shepherd</t>
  </si>
  <si>
    <t>sh &gt; sheep</t>
  </si>
  <si>
    <t>[ʃépərd]</t>
  </si>
  <si>
    <t>양(sheep-shep) 떼(herd)를 치는 ‘양치기’</t>
  </si>
  <si>
    <t>양치기</t>
  </si>
  <si>
    <t>The shepherd watched over his flock of sheep.</t>
  </si>
  <si>
    <t>The (          ) watched over his flock of sheep.</t>
  </si>
  <si>
    <t>shape</t>
  </si>
  <si>
    <t>[ʃeip]</t>
  </si>
  <si>
    <t>전체를 부드럽게 감싸며(sh) 힘보여주면서 어떤 부분은 폭 하고(p) 특징적으로 튀어 나와 있는 ‘모습, 모양’</t>
  </si>
  <si>
    <t>모습, 모양</t>
  </si>
  <si>
    <t>The cookie is in the shape of a star.</t>
  </si>
  <si>
    <t>The cookie is in the (          ) of a star.</t>
  </si>
  <si>
    <t>shade</t>
  </si>
  <si>
    <t>[ʃeid]</t>
  </si>
  <si>
    <t>부드럽게 크게 덮고(sh) 있으면서 아래로(d) 드리워지는 ‘그늘’</t>
  </si>
  <si>
    <t>그늘</t>
  </si>
  <si>
    <t>We sat in the shade of a large oak tree.</t>
  </si>
  <si>
    <t>We sat in the (          ) of a large oak tree.</t>
  </si>
  <si>
    <t>shadow</t>
  </si>
  <si>
    <t>[ʃǽdou]</t>
  </si>
  <si>
    <t>그늘이(shade) 물결처럼(w) 드리우면 생기는 ‘그림자’</t>
  </si>
  <si>
    <t>그림자</t>
  </si>
  <si>
    <t>The tall buildings cast long shadows in the evening sun.</t>
  </si>
  <si>
    <t>The tall buildings cast long (          )s in the evening sun.</t>
  </si>
  <si>
    <t>share</t>
  </si>
  <si>
    <t>[ʃεər]</t>
  </si>
  <si>
    <t>부드럽게 크게 잡아(sh) 존재(are)에 따라 각각나누는 것 ‘몫, 할당’</t>
  </si>
  <si>
    <t>몫, 할당</t>
  </si>
  <si>
    <t>I will share my lunch with you.</t>
  </si>
  <si>
    <t>I will (          ) my lunch with you.</t>
  </si>
  <si>
    <t>shareholder</t>
  </si>
  <si>
    <t>sh &gt; share</t>
  </si>
  <si>
    <t>[ʃέərhòuldər]</t>
  </si>
  <si>
    <t>자기 몫(share)을 소유(holder)한 사람, ‘주주’</t>
  </si>
  <si>
    <t>주주</t>
  </si>
  <si>
    <t>Each shareholder receives dividends based on their investment.</t>
  </si>
  <si>
    <t>Each (          ) receives dividends based on their investment.</t>
  </si>
  <si>
    <t>shabby</t>
  </si>
  <si>
    <t>[ʃǽbi]</t>
  </si>
  <si>
    <t>전체적으로 크게 잡으니(sh) 바로 터져(b) 나가 버려 ‘닳아 해진, 누더기의’</t>
  </si>
  <si>
    <t>닳아 해진, 누더기의</t>
  </si>
  <si>
    <t>His shabby clothes suggested he had fallen on hard times.</t>
  </si>
  <si>
    <t>His (          ) clothes suggested he had fallen on hard times.</t>
  </si>
  <si>
    <t>shame</t>
  </si>
  <si>
    <t>[ʃeim]</t>
  </si>
  <si>
    <t>부드럽게 크게 잡으려고(sh) 하면 움직여(m) 도망가고 싶은 마음, ‘부끄럼’</t>
  </si>
  <si>
    <t>부끄럼</t>
  </si>
  <si>
    <t>He felt shame for his dishonest actions.</t>
  </si>
  <si>
    <t>He felt (          ) for his dishonest actions.</t>
  </si>
  <si>
    <t>shampoo</t>
  </si>
  <si>
    <t>[ʃæmpúː]</t>
  </si>
  <si>
    <t>부드럽게 머리 결을 보호(sh)하면서 손으로 움직이면(m) 폭하고(p) 둥근(oo) 거품이 많이 생기는 ‘샴푸’</t>
  </si>
  <si>
    <t>샴푸</t>
  </si>
  <si>
    <t>Use this shampoo for dry hair.</t>
  </si>
  <si>
    <t>Use this (          ) for dry hair.</t>
  </si>
  <si>
    <t>white</t>
  </si>
  <si>
    <t>wh</t>
  </si>
  <si>
    <r>
      <rPr>
        <sz val="12"/>
        <color indexed="8"/>
        <rFont val="Apple SD 산돌고딕 Neo 일반체"/>
      </rPr>
      <t>wh</t>
    </r>
  </si>
  <si>
    <t>[hwait]</t>
  </si>
  <si>
    <t>전체적으로(wh) 안으로(i) 접촉하는(t) 모든 색깔과 섞일 수 있는 색, ‘흰색’</t>
  </si>
  <si>
    <t>흰색</t>
  </si>
  <si>
    <t>Snow is white.</t>
  </si>
  <si>
    <t>Snow is (          ).</t>
  </si>
  <si>
    <t>whole</t>
  </si>
  <si>
    <t>[houl]</t>
  </si>
  <si>
    <t>크게 잡아 전체(wh)적으로 공을(o) 길게(l) 둘러싸면 ‘전체의, 모든, 온전한’</t>
  </si>
  <si>
    <t>전체의, 모든, 온전한</t>
  </si>
  <si>
    <t>I ate the whole pizza by myself.</t>
  </si>
  <si>
    <t>I ate the (          ) pizza by myself.</t>
  </si>
  <si>
    <t>whale</t>
  </si>
  <si>
    <t>[hweil]</t>
  </si>
  <si>
    <t>바다 전체를(wh) 다 길게(l) 헤엄쳐 다니는 ‘고래’</t>
  </si>
  <si>
    <t>고래</t>
  </si>
  <si>
    <t>The blue whale is the largest animal on Earth.</t>
  </si>
  <si>
    <t>The blue (          ) is the largest animal on Earth.</t>
  </si>
  <si>
    <t>wheel</t>
  </si>
  <si>
    <t>[hwiːl]</t>
  </si>
  <si>
    <t>전체 방향으로(wh) 계속(ee) 길게(l) 굴러가게 만들어 놓은 ‘바퀴’</t>
  </si>
  <si>
    <t>바퀴</t>
  </si>
  <si>
    <t>The car has a flat wheel that needs changing.</t>
  </si>
  <si>
    <t>The car has a flat (          ) that needs changing.</t>
  </si>
  <si>
    <t>wheelchair</t>
  </si>
  <si>
    <t>wh &gt; wheel</t>
  </si>
  <si>
    <t>[wiˈlʧeˌr]</t>
  </si>
  <si>
    <t>바퀴가(wheel) 달린 의자(chair) ‘휠체어’</t>
  </si>
  <si>
    <t>휠체어</t>
  </si>
  <si>
    <t>After her surgery, she had to use a wheelchair temporarily.</t>
  </si>
  <si>
    <t>After her surgery, she had to use a (          ) temporarily.</t>
  </si>
  <si>
    <t>wheelbarrow</t>
  </si>
  <si>
    <t>[wiˈlbeˌrou]</t>
  </si>
  <si>
    <t>하나의 바퀴(wheel)로 이루어진 손수레(barrow)이니 ‘외바퀴 손수레’</t>
  </si>
  <si>
    <t>외바퀴 손수레</t>
  </si>
  <si>
    <t>The gardener used a wheelbarrow to move the heavy soil.</t>
  </si>
  <si>
    <t>The gardener used a (          ) to move the heavy soil.</t>
  </si>
  <si>
    <t>high</t>
  </si>
  <si>
    <t>hi</t>
  </si>
  <si>
    <r>
      <rPr>
        <sz val="12"/>
        <color indexed="8"/>
        <rFont val="Apple SD 산돌고딕 Neo 일반체"/>
      </rPr>
      <t>hi</t>
    </r>
  </si>
  <si>
    <t>[hai]</t>
  </si>
  <si>
    <t>높은 곳에서는(hi) 아래로 축(g) 늘어진 부분도 보이니 ‘높은’</t>
  </si>
  <si>
    <t>높은</t>
  </si>
  <si>
    <t>The airplane flies at a high altitude.</t>
  </si>
  <si>
    <t>The airplane flies at a (          ) altitude.</t>
  </si>
  <si>
    <t>height</t>
  </si>
  <si>
    <t>hi(high)</t>
  </si>
  <si>
    <t>[hait]</t>
  </si>
  <si>
    <t>높은(high) 지점에 서(t) 있어 측정해본 ‘높이’</t>
  </si>
  <si>
    <t>높이</t>
  </si>
  <si>
    <t>His height is six feet two inches.</t>
  </si>
  <si>
    <t>His (          ) is six feet two inches.</t>
  </si>
  <si>
    <t>highlight</t>
  </si>
  <si>
    <t>[haiˈlaiˌt]</t>
  </si>
  <si>
    <t>높이(high) 두드러져 빛(ight)나게 해야하는 ‘중요부분’</t>
  </si>
  <si>
    <t>중요부분</t>
  </si>
  <si>
    <t>The documentary highlights the problem of pollution.</t>
  </si>
  <si>
    <t>The documentary (          )s the problem of pollution.</t>
  </si>
  <si>
    <t>highway</t>
  </si>
  <si>
    <t>[háiwèi]</t>
  </si>
  <si>
    <t>높은(high) 속도로 달릴 수 있는 길(way)이니 ‘고속도로’</t>
  </si>
  <si>
    <t>고속도로</t>
  </si>
  <si>
    <t>We drove along the coastal highway.</t>
  </si>
  <si>
    <t>We drove along the coastal (          ).</t>
  </si>
  <si>
    <t>hierarchy</t>
  </si>
  <si>
    <t>[háiərὰːrki]</t>
  </si>
  <si>
    <t>높은 곳에서(hier-high) 아치처럼(arch) 덮고 다스리는 ‘계급제, 서열’</t>
  </si>
  <si>
    <t>계급제, 서열</t>
  </si>
  <si>
    <t>There is a clear hierarchy in most organizations.</t>
  </si>
  <si>
    <t>There is a clear (          ) in most organizations.</t>
  </si>
  <si>
    <t>hill</t>
  </si>
  <si>
    <t>[hil]</t>
  </si>
  <si>
    <t>높고(hi) 아래로는 경사면이 미끄러지듯 길게(ll) 되어있는 ‘언덕’</t>
  </si>
  <si>
    <t>언덕</t>
  </si>
  <si>
    <t>They hiked up the hill to get a better view.</t>
  </si>
  <si>
    <t>They hiked up the (          ) to get a better view.</t>
  </si>
  <si>
    <t>hike</t>
  </si>
  <si>
    <t>[haik]</t>
  </si>
  <si>
    <t>높은(hi) 언덕을 오르기도 하면서 점점 거리를 확장(k)시켜 나아가는 ‘도보 여행’</t>
  </si>
  <si>
    <t>도보 여행</t>
  </si>
  <si>
    <t>We plan to hike to the summit tomorrow.</t>
  </si>
  <si>
    <t>We plan to (          ) to the summit tomorrow.</t>
  </si>
  <si>
    <t>initial</t>
  </si>
  <si>
    <t>in</t>
  </si>
  <si>
    <r>
      <rPr>
        <sz val="12"/>
        <color indexed="8"/>
        <rFont val="Apple SD 산돌고딕 Neo 일반체"/>
      </rPr>
      <t>in</t>
    </r>
  </si>
  <si>
    <t>[iníʃəl]</t>
  </si>
  <si>
    <t>안(in)에 있는 바로 그것(t)이니 ‘처음의’</t>
  </si>
  <si>
    <t>처음의</t>
  </si>
  <si>
    <t>Write your initial on each page of the document.</t>
  </si>
  <si>
    <t>Write your (          ) on each page of the document.</t>
  </si>
  <si>
    <t>initiate</t>
  </si>
  <si>
    <t>in &gt; initial</t>
  </si>
  <si>
    <t>[iníʃièit]</t>
  </si>
  <si>
    <t>처음의(initial-initia) 것이 서서(t) 나타나니 ‘시작하다’</t>
  </si>
  <si>
    <t>시작하다</t>
  </si>
  <si>
    <t>The company will initiate the new project next month.</t>
  </si>
  <si>
    <t>The company will (          ) the new project next month.</t>
  </si>
  <si>
    <t>input</t>
  </si>
  <si>
    <t>[ínpùt]</t>
  </si>
  <si>
    <t>안으로(in) 집어 넣는(put) ‘투입(량)’</t>
  </si>
  <si>
    <t>투입(량)</t>
  </si>
  <si>
    <t>Your input on this decision is valuable.</t>
  </si>
  <si>
    <t>Your (          ) on this decision is valuable.</t>
  </si>
  <si>
    <t>indulge</t>
  </si>
  <si>
    <t>[indΛldʒ]</t>
  </si>
  <si>
    <t>안(in)으로 아래쪽(du)으로 길게(l) 깊숙히(g) 들어가니 ‘빠지다, 탐닉하다’</t>
  </si>
  <si>
    <t>빠지다, 탐닉하다</t>
  </si>
  <si>
    <t>Occasionally, I indulge in chocolate cake.</t>
  </si>
  <si>
    <t>Occasionally, I (          ) in chocolate cake.</t>
  </si>
  <si>
    <t>injure</t>
  </si>
  <si>
    <t>[índʒər]</t>
  </si>
  <si>
    <t>안(in)으로 쫙(j)하고 아래쪽에서(u) 튀어 나오 는 힘(r)이 가해지니 ‘부상을 입다[입히다]’</t>
  </si>
  <si>
    <t>부상을 입다[입히다]</t>
  </si>
  <si>
    <t>Be careful not to injure yourself with the knife.</t>
  </si>
  <si>
    <t>Be careful not to (          ) yourself with the knife.</t>
  </si>
  <si>
    <t>indoor</t>
  </si>
  <si>
    <t>[iˈndɔˌr]</t>
  </si>
  <si>
    <t>안(in)으로 문(door)을 열고 들어가면 ‘실내의’</t>
  </si>
  <si>
    <t>실내의</t>
  </si>
  <si>
    <t>The indoor swimming pool is open year-round.</t>
  </si>
  <si>
    <t>The (          ) swimming pool is open year-round.</t>
  </si>
  <si>
    <t>intake</t>
  </si>
  <si>
    <t>[iˈnteiˌk]</t>
  </si>
  <si>
    <t>안(in)으로 취하니(take) ‘섭취’</t>
  </si>
  <si>
    <t>섭취</t>
  </si>
  <si>
    <t>Reduce your salt intake for better health.</t>
  </si>
  <si>
    <t>Reduce your salt (          ) for better health.</t>
  </si>
  <si>
    <t>intimate</t>
  </si>
  <si>
    <t>[íntəmət]</t>
  </si>
  <si>
    <t>집 안(in)으로까지 나아갈(t) 수 있는 친구(mate) 사이는 ‘친밀한’</t>
  </si>
  <si>
    <t>친밀한</t>
  </si>
  <si>
    <t>They had an intimate dinner for their anniversary.</t>
  </si>
  <si>
    <t>They had an (          ) dinner for their anniversary.</t>
  </si>
  <si>
    <t>industry</t>
  </si>
  <si>
    <t>[índəstri]</t>
  </si>
  <si>
    <t>안에서(in) 먼지를(dust) 날리며 힘차게(r) 만들 어내는 ‘산업, 제조업’</t>
  </si>
  <si>
    <t>산업, 제조업</t>
  </si>
  <si>
    <t>The automobile industry employs thousands of workers.</t>
  </si>
  <si>
    <t>The automobile (          ) employs thousands of workers.</t>
  </si>
  <si>
    <t>income</t>
  </si>
  <si>
    <t>[ínkʌm]</t>
  </si>
  <si>
    <t>안으로(in) 들어오는(come)것은 ‘수입’</t>
  </si>
  <si>
    <t>수입</t>
  </si>
  <si>
    <t>Her income increased after the promotion.</t>
  </si>
  <si>
    <t>Her (          ) increased after the promotion.</t>
  </si>
  <si>
    <t>index</t>
  </si>
  <si>
    <t>[índeks]</t>
  </si>
  <si>
    <t>안(in)의 내용을 아래로(d) 순차적으로 만들어 밖으로(ex) 쉽게 내용을 꺼낼 수 있게 만든 ‘색인, 지표’</t>
  </si>
  <si>
    <t>색인, 지표</t>
  </si>
  <si>
    <t>Look up the word in the index at the back of the book.</t>
  </si>
  <si>
    <t>Look up the word in the (          ) at the back of the book.</t>
  </si>
  <si>
    <t>ink</t>
  </si>
  <si>
    <t>[iŋk]</t>
  </si>
  <si>
    <t>펜 안(in)에서 확장(k)하여 나아가는 ‘잉크’</t>
  </si>
  <si>
    <t>잉크</t>
  </si>
  <si>
    <t>The blue ink stained my shirt.</t>
  </si>
  <si>
    <t>The blue (          ) stained my shirt.</t>
  </si>
  <si>
    <t>internet</t>
  </si>
  <si>
    <t>inter</t>
  </si>
  <si>
    <r>
      <rPr>
        <sz val="12"/>
        <color indexed="8"/>
        <rFont val="Apple SD 산돌고딕 Neo 일반체"/>
      </rPr>
      <t>inter</t>
    </r>
  </si>
  <si>
    <t>[iˈntərneˌt]</t>
  </si>
  <si>
    <t>상호간에(inter) 그물(net)처럼 엮어주는 ‘인터넷’</t>
  </si>
  <si>
    <t>인터넷</t>
  </si>
  <si>
    <t>Most people access the internet daily.</t>
  </si>
  <si>
    <t>Most people access the (          ) daily.</t>
  </si>
  <si>
    <t>interval</t>
  </si>
  <si>
    <t>[íntərvəl]</t>
  </si>
  <si>
    <t>상호간에(inter) 갈라진 시간적 틈(v)이니 ‘(시간적) 간격’</t>
  </si>
  <si>
    <t>(시간적) 간격</t>
  </si>
  <si>
    <t>There will be a short interval between the acts.</t>
  </si>
  <si>
    <t>There will be a short (          ) between the acts.</t>
  </si>
  <si>
    <t>integrate</t>
  </si>
  <si>
    <t>inter(inte)</t>
  </si>
  <si>
    <t>[íntəgrèit]</t>
  </si>
  <si>
    <t>상호간에(inter-inte) 큰(grate-great) 일을 위해 ‘통합하다’</t>
  </si>
  <si>
    <t>통합하다</t>
  </si>
  <si>
    <t>The school works to integrate students from diverse backgrounds.</t>
  </si>
  <si>
    <t>The school works to (          ) students from diverse backgrounds.</t>
  </si>
  <si>
    <t>disintegrate</t>
  </si>
  <si>
    <t>inter(inte) &gt; integrate</t>
  </si>
  <si>
    <t>[disíntəgrèit]</t>
  </si>
  <si>
    <t>반대(dis) + 통합하다(integrate) = ‘해체 하다, 붕괴시키다’</t>
  </si>
  <si>
    <t>해체 하다, 붕괴시키다</t>
  </si>
  <si>
    <t>The old book began to disintegrate when touched.</t>
  </si>
  <si>
    <t>The old book began to (          ) when touched.</t>
  </si>
  <si>
    <t>integral</t>
  </si>
  <si>
    <t>[íntigrəl]</t>
  </si>
  <si>
    <t>전체를 통합하기(integrate-integr)위해 필요한 모든 것(all-al)이니 ‘(전체의 일부로서) 필수적인’</t>
  </si>
  <si>
    <t>(전체의 일부로서) 필수적인</t>
  </si>
  <si>
    <t>Trust is an integral part of any relationship.</t>
  </si>
  <si>
    <t>Trust is an (          ) part of any relationship.</t>
  </si>
  <si>
    <t>integrity</t>
  </si>
  <si>
    <t>[intégrəti]</t>
  </si>
  <si>
    <t>법정 앞에서 필수적인(integral-integr) ‘진실성, 고결’</t>
  </si>
  <si>
    <t>진실성, 고결</t>
  </si>
  <si>
    <t>She is known for her honesty and integrity.</t>
  </si>
  <si>
    <t>She is known for her honesty and (          ).</t>
  </si>
  <si>
    <t>intrinsic</t>
  </si>
  <si>
    <t>inter(intr)</t>
  </si>
  <si>
    <t>[intrínsik, -zik, -sikəl, -zik-]</t>
  </si>
  <si>
    <t>상호간에(intr-inter) 안에(in) 보이지 않지만(s) 고유의 자연스런 뭔가는 ‘본질적인’</t>
  </si>
  <si>
    <t>본질적인</t>
  </si>
  <si>
    <t>The diamond has intrinsic value due to its rarity.</t>
  </si>
  <si>
    <t>The diamond has (          ) value due to its rarity.</t>
  </si>
  <si>
    <t>interest</t>
  </si>
  <si>
    <t>[íntərəst, -tərèst]</t>
  </si>
  <si>
    <t>(좋아하는) 둘 사이에(inter) 서서 존재하는 것은(st) ‘관심’</t>
  </si>
  <si>
    <t>관심</t>
  </si>
  <si>
    <t>I have a strong interest in photography.</t>
  </si>
  <si>
    <t>I have a strong (          ) in photography.</t>
  </si>
  <si>
    <t>intrude</t>
  </si>
  <si>
    <t>[intrúːd]</t>
  </si>
  <si>
    <t>안의(intr-inter) 공간을 무례하게(rude) ‘침범하다’</t>
  </si>
  <si>
    <t>침범하다</t>
  </si>
  <si>
    <t>Sorry to intrude on your conversation.</t>
  </si>
  <si>
    <t>Sorry to (          ) on your conversation.</t>
  </si>
  <si>
    <t>intestine</t>
  </si>
  <si>
    <t>[intéstin]</t>
  </si>
  <si>
    <t>서로 상호간(inte-inter)에 관계를 맺으면서 서(st) 있는 ‘내장’</t>
  </si>
  <si>
    <t>내장</t>
  </si>
  <si>
    <t>The small intestine absorbs nutrients from food.</t>
  </si>
  <si>
    <t>The small (          ) absorbs nutrients from food.</t>
  </si>
  <si>
    <t>intricate</t>
  </si>
  <si>
    <t>[íntrikət]</t>
  </si>
  <si>
    <t>상호간에(intr-inter) 나를(i) 내세우며 고양이 처럼(cat) 싸우며 뒤얽히니 ‘복잡한’</t>
  </si>
  <si>
    <t>복잡한</t>
  </si>
  <si>
    <t>The watch has an intricate mechanism.</t>
  </si>
  <si>
    <t>The watch has an (          ) mechanism.</t>
  </si>
  <si>
    <t>interpret</t>
  </si>
  <si>
    <t>[intə́ːrprit]</t>
  </si>
  <si>
    <t>사이에서(inter) 앞으로(pre) 나아가(t) 중간에서 말하니 ‘통역하다’</t>
  </si>
  <si>
    <t>통역하다</t>
  </si>
  <si>
    <t>The translator will interpret the speech for foreign visitors.</t>
  </si>
  <si>
    <t>The translator will (          ) the speech for foreign visitors.</t>
  </si>
  <si>
    <t>interior</t>
  </si>
  <si>
    <t>[intíəriər]</t>
  </si>
  <si>
    <t>안의(inter) 있는 모습을 나타내니 ‘안쪽의, 내부의, 인테리어’</t>
  </si>
  <si>
    <t>안쪽의, 내부의, 인테리어</t>
  </si>
  <si>
    <t>The interior of the cave was dark and damp.</t>
  </si>
  <si>
    <t>The (          ) of the cave was dark and damp.</t>
  </si>
  <si>
    <t>deteriorate</t>
  </si>
  <si>
    <t>inter &gt; interior(terior)</t>
  </si>
  <si>
    <t>[ditíəriərèit]</t>
  </si>
  <si>
    <t>저하시키는 것이(de) 인테리어(interior)니 ‘악화되다, 더 나빠지다’</t>
  </si>
  <si>
    <t>악화되다, 더 나빠지다</t>
  </si>
  <si>
    <t>His health began to deteriorate rapidly.</t>
  </si>
  <si>
    <t>His health began to (          ) rapidly.</t>
  </si>
  <si>
    <t>jet</t>
  </si>
  <si>
    <t>j</t>
  </si>
  <si>
    <r>
      <rPr>
        <sz val="12"/>
        <color indexed="8"/>
        <rFont val="Apple SD 산돌고딕 Neo 일반체"/>
      </rPr>
      <t>jet</t>
    </r>
  </si>
  <si>
    <t>[dʒet]</t>
  </si>
  <si>
    <t>쫙(j)하고 힘있게 나아가게 하니(t) ‘분출, 분출하다’</t>
  </si>
  <si>
    <t>분출, 분출하다</t>
  </si>
  <si>
    <t>The jet flew across the Atlantic in six hours.</t>
  </si>
  <si>
    <t>The (          ) flew across the Atlantic in six hours.</t>
  </si>
  <si>
    <t>jet plane</t>
  </si>
  <si>
    <t>[dʒet plein]</t>
  </si>
  <si>
    <t>쫙하고 분출하는(jet) 엔진을 가진 비행기(plane)는 ‘제트기’</t>
  </si>
  <si>
    <t>제트기</t>
  </si>
  <si>
    <t>The jet plane reached speeds of 500 miles per hour.</t>
  </si>
  <si>
    <t>The (          ) reached speeds of 500 miles per hour.</t>
  </si>
  <si>
    <t>jet lag</t>
  </si>
  <si>
    <t>[dʒet læg]</t>
  </si>
  <si>
    <t>제트기(iat)를 타고 여행시 시차로 시간 이 늦어져서(lag) 생기는 ‘시차증’</t>
  </si>
  <si>
    <t>시차증</t>
  </si>
  <si>
    <t>Travelers often experience jet lag after long flights.</t>
  </si>
  <si>
    <t>Travelers often experience (          ) after long flights.</t>
  </si>
  <si>
    <t>jetty</t>
  </si>
  <si>
    <t>[dʒéti]</t>
  </si>
  <si>
    <t>해변으로부터 분출하듯이(jet) 좍 나가 확장 하여(y) 만든 ‘둑, 부두’</t>
  </si>
  <si>
    <t>둑, 부두</t>
  </si>
  <si>
    <t>Fishermen gathered on the jetty to cast their lines.</t>
  </si>
  <si>
    <t>Fishermen gathered on the (          ) to cast their lines.</t>
  </si>
  <si>
    <t>project</t>
  </si>
  <si>
    <t>ject</t>
  </si>
  <si>
    <r>
      <rPr>
        <sz val="12"/>
        <color indexed="8"/>
        <rFont val="Apple SD 산돌고딕 Neo 일반체"/>
      </rPr>
      <t>ject</t>
    </r>
  </si>
  <si>
    <t>[prάdʒekt｜prɔ́dʒ-]</t>
  </si>
  <si>
    <t>앞으로(pro) 하려고 던져진(ject) ‘계획, 설계’</t>
  </si>
  <si>
    <t>계획, 설계</t>
  </si>
  <si>
    <t>Our team will complete the project by Friday.</t>
  </si>
  <si>
    <t>Our team will complete the (          ) by Friday.</t>
  </si>
  <si>
    <t>projector</t>
  </si>
  <si>
    <t>ject &gt; project</t>
  </si>
  <si>
    <t>[prədʒéktər]</t>
  </si>
  <si>
    <t>계획(project) + 사람(or) = ‘기획자, 설계자, 영사기’
* 영사기는 앞으로(pro) 영상을 던지는(ject) 행위자(or)에서 나
왔습니다.</t>
  </si>
  <si>
    <t>기획자, 설계자, 영사기</t>
  </si>
  <si>
    <t>The teacher used a projector to show the slides.</t>
  </si>
  <si>
    <t>The teacher used a (          ) to show the slides.</t>
  </si>
  <si>
    <t>subject</t>
  </si>
  <si>
    <t>[sΛbdʒikt]</t>
  </si>
  <si>
    <t>아래에서(sub) 뭔가를 던져(iect) 바치는 ‘신하, 부하’</t>
  </si>
  <si>
    <t>신하, 부하</t>
  </si>
  <si>
    <t>Mathematics was always my favorite subject in school.</t>
  </si>
  <si>
    <t>Mathematics was always my favorite (          ) in school.</t>
  </si>
  <si>
    <t>subjective</t>
  </si>
  <si>
    <t>ject &gt; subject</t>
  </si>
  <si>
    <t>[səbdʒéktiv]</t>
  </si>
  <si>
    <t>부하들(subject)은 다 자기만 생각하니 ‘주관적인’</t>
  </si>
  <si>
    <t>주관적인</t>
  </si>
  <si>
    <t>Art appreciation is highly subjective.</t>
  </si>
  <si>
    <t>Art appreciation is highly (          ).</t>
  </si>
  <si>
    <t>reject</t>
  </si>
  <si>
    <t>[ridʒékt]</t>
  </si>
  <si>
    <t>반대로(re) 던지니(ject) ‘거절하다’</t>
  </si>
  <si>
    <t>The committee may reject your proposal.</t>
  </si>
  <si>
    <t>The committee may (          ) your proposal.</t>
  </si>
  <si>
    <t>rejection</t>
  </si>
  <si>
    <t>ject &gt; reject</t>
  </si>
  <si>
    <t>[ridʒékʃən]</t>
  </si>
  <si>
    <t>거절하다(reject) + 명사(tion) = ‘거절’</t>
  </si>
  <si>
    <t>거절</t>
  </si>
  <si>
    <t>Job rejection is disappointing but often leads to better opportunities.</t>
  </si>
  <si>
    <t>Job (          ) is disappointing but often leads to better opportunities.</t>
  </si>
  <si>
    <t>eject</t>
  </si>
  <si>
    <t>[idʒékt]</t>
  </si>
  <si>
    <t>입구를(e) 통해 던지니(ject) ‘탈출하다, 쫓아내다’</t>
  </si>
  <si>
    <t>탈출하다, 쫓아내다</t>
  </si>
  <si>
    <t>Press this button to eject the DVD.</t>
  </si>
  <si>
    <t>Press this button to (          ) the DVD.</t>
  </si>
  <si>
    <t>object</t>
  </si>
  <si>
    <t>[άbdʒikt｜ɔ́b-]</t>
  </si>
  <si>
    <t>서로 다른 둥글고(o) 불룩(b)하게 생긴 물체를 던지니(ject) ‘반대하다, 사물, 물건’</t>
  </si>
  <si>
    <t>반대하다, 사물, 물건</t>
  </si>
  <si>
    <t>There is a strange object in the sky.</t>
  </si>
  <si>
    <t>There is a strange (          ) in the sky.</t>
  </si>
  <si>
    <t>injection</t>
  </si>
  <si>
    <t>[indʒékʃən]</t>
  </si>
  <si>
    <t>안(in)으로 던지는(ject) 것(ion)은 ‘주입, 주사’</t>
  </si>
  <si>
    <t>주입, 주사</t>
  </si>
  <si>
    <t>The doctor gave me an injection of antibiotics.</t>
  </si>
  <si>
    <t>The doctor gave me an (          ) of antibiotics.</t>
  </si>
  <si>
    <t>join</t>
  </si>
  <si>
    <r>
      <rPr>
        <sz val="12"/>
        <color indexed="8"/>
        <rFont val="Apple SD 산돌고딕 Neo 일반체"/>
      </rPr>
      <t>join</t>
    </r>
  </si>
  <si>
    <t>[dʒɔin]</t>
  </si>
  <si>
    <t>갑자기 좍(j) 하고 어떤 공간(o) 안(in)으로 들어 가니 ‘합류하다, 결합하다’</t>
  </si>
  <si>
    <t>합류하다, 결합하다</t>
  </si>
  <si>
    <t>Would you like to join us for dinner?</t>
  </si>
  <si>
    <t>Would you like to (          ) us for dinner?</t>
  </si>
  <si>
    <t>adjoin</t>
  </si>
  <si>
    <t>[ədʒɔ́in]</t>
  </si>
  <si>
    <t>더하여(ad) 결합하니 (join) ‘결합하다, 인접하다’</t>
  </si>
  <si>
    <t>결합하다, 인접하다</t>
  </si>
  <si>
    <t>Our garden adjoins the park.</t>
  </si>
  <si>
    <t>Our garden (          )s the park.</t>
  </si>
  <si>
    <t>enjoin</t>
  </si>
  <si>
    <t>[indʒɔ́in]</t>
  </si>
  <si>
    <t>안(en)으로 결합(ioin)하도록 ‘명하다’</t>
  </si>
  <si>
    <t>명하다</t>
  </si>
  <si>
    <t>The court will enjoin the company from polluting the river.</t>
  </si>
  <si>
    <t>The court will (          ) the company from polluting the river.</t>
  </si>
  <si>
    <t>joint</t>
  </si>
  <si>
    <t>[dʒɔint]</t>
  </si>
  <si>
    <t>결합하려고(join) 접촉하는(t) 곳은 ‘접합 부분, 이음매’</t>
  </si>
  <si>
    <t>접합 부분, 이음매</t>
  </si>
  <si>
    <t>The knee joint can be easily injured during sports.</t>
  </si>
  <si>
    <t>The knee (          ) can be easily injured during sports.</t>
  </si>
  <si>
    <t>junction</t>
  </si>
  <si>
    <t>junct</t>
  </si>
  <si>
    <r>
      <rPr>
        <sz val="12"/>
        <color indexed="8"/>
        <rFont val="Apple SD 산돌고딕 Neo 일반체"/>
      </rPr>
      <t>junct</t>
    </r>
  </si>
  <si>
    <t>[dʒΛŋkʃən]</t>
  </si>
  <si>
    <t>결합하다(junct-join) +명사(ion) = ‘접합, 결합’</t>
  </si>
  <si>
    <t>접합, 결합</t>
  </si>
  <si>
    <t>Turn left at the junction of Main Street and Oak Avenue.</t>
  </si>
  <si>
    <t>Turn left at the (          ) of Main Street and Oak Avenue.</t>
  </si>
  <si>
    <t>conjunction</t>
  </si>
  <si>
    <t>junct &gt; junction</t>
  </si>
  <si>
    <t>[kəndʒΛŋkʃən]</t>
  </si>
  <si>
    <t>함께(con) 결합(junction) 하니 ‘연합, 연대, 접속사’</t>
  </si>
  <si>
    <t>연합, 연대, 접속사</t>
  </si>
  <si>
    <t>The conjunction "and" connects the two parts of the sentence.</t>
  </si>
  <si>
    <t>The (          ) "and" connects the two parts of the sentence.</t>
  </si>
  <si>
    <t>jump</t>
  </si>
  <si>
    <t>ju</t>
  </si>
  <si>
    <r>
      <rPr>
        <sz val="12"/>
        <color indexed="8"/>
        <rFont val="Apple SD 산돌고딕 Neo 일반체"/>
      </rPr>
      <t>ju</t>
    </r>
  </si>
  <si>
    <t>[dʒʌmp]</t>
  </si>
  <si>
    <t>갑자기 좍하고 위로 올라가면서(ju) 움직여(m) 폭하고(p) 나아가니 ‘뛰다, 뛰어오르다’</t>
  </si>
  <si>
    <t>뛰다, 뛰어오르다</t>
  </si>
  <si>
    <t>Children love to jump in puddles after rain.</t>
  </si>
  <si>
    <t>Children love to (          ) in puddles after rain.</t>
  </si>
  <si>
    <t>junior</t>
  </si>
  <si>
    <t>[dʒúːnjər]</t>
  </si>
  <si>
    <t>생기가 넘쳐 늘 쫙 위로 올라가는(ju) ‘나이가 어린, 연하의 사람’</t>
  </si>
  <si>
    <t>나이가 어린, 연하의 사람</t>
  </si>
  <si>
    <t>My junior colleague is learning quickly.</t>
  </si>
  <si>
    <t>My (          ) colleague is learning quickly.</t>
  </si>
  <si>
    <t>juvenile</t>
  </si>
  <si>
    <t>[dʒúːvənl]</t>
  </si>
  <si>
    <t>기운이 넘쳐 좍하고 위로 올라가며(ju) 자라고 마음의 갈라진 틈(v) 안에서부터(en) 갈등과 고민이 생기는 ‘청소년’</t>
  </si>
  <si>
    <t>청소년</t>
  </si>
  <si>
    <t>Juvenile delinquency is a concern in many communities.</t>
  </si>
  <si>
    <r>
      <rPr>
        <sz val="12"/>
        <color indexed="8"/>
        <rFont val="Arial"/>
      </rPr>
      <t>Juvenile delinquency is a concern in many communities.</t>
    </r>
  </si>
  <si>
    <t>jubilant</t>
  </si>
  <si>
    <t>[dʒúːbələnt]</t>
  </si>
  <si>
    <t>갑자기 좍하고 위로 올라가는(iu) 터질듯이(b) 기쁜 마음이 오래(l)가니 ‘환성을 지르는’</t>
  </si>
  <si>
    <t>환성을 지르는</t>
  </si>
  <si>
    <t>The fans were jubilant when their team won.</t>
  </si>
  <si>
    <t>The fans were (          ) when their team won.</t>
  </si>
  <si>
    <t>juice</t>
  </si>
  <si>
    <t>[dʒuːs]</t>
  </si>
  <si>
    <t>과일을 압착하여 좍하고(j) 튀어나오는 것을 아래쪽에서(u) 잡아서(c) 모아 만든 ‘주스’</t>
  </si>
  <si>
    <t>주스</t>
  </si>
  <si>
    <t>Orange juice contains a lot of vitamin C.</t>
  </si>
  <si>
    <t>Orange (          ) contains a lot of vitamin C.</t>
  </si>
  <si>
    <t>juicy</t>
  </si>
  <si>
    <t>[dʒúːsi]</t>
  </si>
  <si>
    <t>주스(juice)가 확장(y)해 많아지니 ‘즙이 많은’</t>
  </si>
  <si>
    <t>즙이 많은</t>
  </si>
  <si>
    <t>The peach was ripe and juicy.</t>
  </si>
  <si>
    <t>The peach was ripe and (          ).</t>
  </si>
  <si>
    <t>junk</t>
  </si>
  <si>
    <t>[dʒʌŋk]</t>
  </si>
  <si>
    <t>이젠 못 쓰게 되어 갑자기 쫙(j) 하고 아래쪽(u) 가까이(n) 연결되어 있던 부속품들이 확장되어(k) 튕겨 나오는 ‘폐물’</t>
  </si>
  <si>
    <t>폐물</t>
  </si>
  <si>
    <t>Please don't leave your junk in the hallway.</t>
  </si>
  <si>
    <t>Please don't leave your (          ) in the hallway.</t>
  </si>
  <si>
    <t>jumble</t>
  </si>
  <si>
    <t>ju &gt; jump</t>
  </si>
  <si>
    <t>[dʒΛmbl]</t>
  </si>
  <si>
    <t>점프하듯이(jump-jum) 튀어올라 터져 버리고(b) 여기저기 길게 나아가니(l) ‘마구 뒤섞이다’</t>
  </si>
  <si>
    <t>마구 뒤섞이다</t>
  </si>
  <si>
    <t>His closet was a jumble of clothes and shoes.</t>
  </si>
  <si>
    <t>His closet was a (          ) of clothes and shoes.</t>
  </si>
  <si>
    <t>jungle</t>
  </si>
  <si>
    <t>[dʒΛŋgl]</t>
  </si>
  <si>
    <t>나무들이 좍 위로 올라가며(ju) 새롭게(n) 자라서 길게(l) 축 늘어지기도 하는 ‘정글’</t>
  </si>
  <si>
    <t>정글</t>
  </si>
  <si>
    <t>Many endangered species live in the tropical jungle.</t>
  </si>
  <si>
    <t>Many endangered species live in the tropical (          ).</t>
  </si>
  <si>
    <t>juggle</t>
  </si>
  <si>
    <t>[dʒΛgl]</t>
  </si>
  <si>
    <t>공이 쫙하고 아래쪽에서(ju) 위로 던지고 죽~아래로 쳐져(gg) 떨어지니 ‘저글링하다’</t>
  </si>
  <si>
    <t>저글링하다</t>
  </si>
  <si>
    <t>She can juggle five balls at once.</t>
  </si>
  <si>
    <t>She can (          ) five balls at once.</t>
  </si>
  <si>
    <t>judge</t>
  </si>
  <si>
    <t>jud</t>
  </si>
  <si>
    <r>
      <rPr>
        <sz val="12"/>
        <color indexed="8"/>
        <rFont val="Apple SD 산돌고딕 Neo 일반체"/>
      </rPr>
      <t>jud</t>
    </r>
  </si>
  <si>
    <t>[dʒʌdʒ]</t>
  </si>
  <si>
    <t>판결(jud)을 판사가 축 쳐진(g) 가발을 쓰고 하니 ‘판결을 내리다’
*영국에서는 아직도 흰 가발을 쓰고 판사가 판결을 한다</t>
  </si>
  <si>
    <t>판결을 내리다</t>
  </si>
  <si>
    <t>The judge will announce the verdict tomorrow.</t>
  </si>
  <si>
    <t>The (          ) will announce the verdict tomorrow.</t>
  </si>
  <si>
    <t>judgement</t>
  </si>
  <si>
    <t>jud &gt; judge</t>
  </si>
  <si>
    <t>[ʤəˈʤmənt]</t>
  </si>
  <si>
    <t>판결을 내리다(judge) + 명사(ment) = ‘재판’</t>
  </si>
  <si>
    <t>재판</t>
  </si>
  <si>
    <t>Use good judgement when making important decisions.</t>
  </si>
  <si>
    <t>Use good (          ) when making important decisions.</t>
  </si>
  <si>
    <t>adjudge</t>
  </si>
  <si>
    <t>[ədʒΛdʒ]</t>
  </si>
  <si>
    <t>더하는 것이(ad) 판결하는(judge) 것이니 ‘결정하다, 선고하다’</t>
  </si>
  <si>
    <t>결정하다, 선고하다</t>
  </si>
  <si>
    <t>The panel will adjudge the entries in the competition.</t>
  </si>
  <si>
    <t>The panel will (          ) the entries in the competition.</t>
  </si>
  <si>
    <t>judicial</t>
  </si>
  <si>
    <t>[dʒuːdíʃəl]</t>
  </si>
  <si>
    <t>판결(jud) + 형용사(~cial) = ‘사법의, 재판의’</t>
  </si>
  <si>
    <t>사법의, 재판의</t>
  </si>
  <si>
    <t>The judicial system ensures laws are applied fairly.</t>
  </si>
  <si>
    <t>The (          ) system ensures laws are applied fairly.</t>
  </si>
  <si>
    <t>judicious</t>
  </si>
  <si>
    <t>[dʒuːdíʃəs]</t>
  </si>
  <si>
    <t>판결(jud)을 내릴때는 ‘사려 깊은, 현명한’</t>
  </si>
  <si>
    <t>사려 깊은, 현명한</t>
  </si>
  <si>
    <t>Make judicious use of your limited resources.</t>
  </si>
  <si>
    <t>Make (          ) use of your limited resources.</t>
  </si>
  <si>
    <t>prejudice</t>
  </si>
  <si>
    <t>[prédʒudis]</t>
  </si>
  <si>
    <t>사실보다 앞서(pre) 판단(jud)을 하니 ‘편견, 선입관’</t>
  </si>
  <si>
    <t>편견, 선입관</t>
  </si>
  <si>
    <t>We must fight against prejudice in all its forms.</t>
  </si>
  <si>
    <t>We must fight against (          ) in all its forms.</t>
  </si>
  <si>
    <t>jury</t>
  </si>
  <si>
    <t>jud(jur)</t>
  </si>
  <si>
    <t>[dʒúəri]</t>
  </si>
  <si>
    <t>법적(jur)인 결정을 내리는데 도움이 되기 위해 확장해서(y) 모여 있는 ‘배심원’</t>
  </si>
  <si>
    <t>배심원</t>
  </si>
  <si>
    <t>The jury reached a unanimous decision.</t>
  </si>
  <si>
    <t>The (          ) reached a unanimous decision.</t>
  </si>
  <si>
    <t>jurisdiction</t>
  </si>
  <si>
    <t>[dʒùərisdíkʃən]</t>
  </si>
  <si>
    <t>법적(jur)인 권한이 있다고 말하는(dic) ‘사법, 사법권’</t>
  </si>
  <si>
    <t>사법, 사법권</t>
  </si>
  <si>
    <t>This case falls under federal jurisdiction.</t>
  </si>
  <si>
    <t>This case falls under federal (          ).</t>
  </si>
  <si>
    <t>perjury</t>
  </si>
  <si>
    <t>jud(jur) &gt; jury</t>
  </si>
  <si>
    <t>[pə́ːrdʒəri]</t>
  </si>
  <si>
    <t>완전히(per) 통과해버리는 것이 배심원이면(jury) ‘위증’</t>
  </si>
  <si>
    <t>위증</t>
  </si>
  <si>
    <t>Lying under oath is perjury and can result in jail time.</t>
  </si>
  <si>
    <t>Lying under oath is (          ) and can result in jail time.</t>
  </si>
  <si>
    <t>just</t>
  </si>
  <si>
    <r>
      <rPr>
        <sz val="12"/>
        <color indexed="8"/>
        <rFont val="Apple SD 산돌고딕 Neo 일반체"/>
      </rPr>
      <t>just</t>
    </r>
  </si>
  <si>
    <t>[dʒʌst]</t>
  </si>
  <si>
    <t>갑자기 단호하게 좍 하고(j) 아래쪽에서(u) 튀어 나와 문란함을 바로 세우는(st) ‘정의, 올바른, 꼭, 바로’</t>
  </si>
  <si>
    <t>정의, 올바른, 꼭, 바로</t>
  </si>
  <si>
    <t>The verdict was just and fair.</t>
  </si>
  <si>
    <t>The verdict was (          ) and fair.</t>
  </si>
  <si>
    <t>justice</t>
  </si>
  <si>
    <t>[dʒΛstis]</t>
  </si>
  <si>
    <t>올바른(just) 것을 잡았으니(d) ‘정의, 공정’</t>
  </si>
  <si>
    <t>정의, 공정</t>
  </si>
  <si>
    <t>Everyone deserves equal justice under the law.</t>
  </si>
  <si>
    <t>Everyone deserves equal (          ) under the law.</t>
  </si>
  <si>
    <t>justify</t>
  </si>
  <si>
    <t>[dʒΛstəfài]</t>
  </si>
  <si>
    <t>올바르게(just) + 만들다(y) = ‘정당화하다’</t>
  </si>
  <si>
    <t>정당화하다</t>
  </si>
  <si>
    <t>How can you justify such expensive purchases?</t>
  </si>
  <si>
    <t>How can you (          ) such expensive purchases?</t>
  </si>
  <si>
    <t>justified</t>
  </si>
  <si>
    <t>just &gt; justify</t>
  </si>
  <si>
    <t>[dʒΛstəfàid]</t>
  </si>
  <si>
    <t>정당화하다 (justify) + 된(ed) = ‘정당화 된’</t>
  </si>
  <si>
    <t>정당화 된</t>
  </si>
  <si>
    <t>The high price is justified by the exceptional quality.</t>
  </si>
  <si>
    <t>The high price is (          ) by the exceptional quality.</t>
  </si>
  <si>
    <t>injustice</t>
  </si>
  <si>
    <t>just &gt; justice</t>
  </si>
  <si>
    <t>[indʒΛstis]</t>
  </si>
  <si>
    <t>반대(in)하는 것이 정의(justice)이니 ‘불공정’</t>
  </si>
  <si>
    <t>불공정</t>
  </si>
  <si>
    <t>Fighting injustice requires courage and perseverance.</t>
  </si>
  <si>
    <t>Fighting (          ) requires courage and perseverance.</t>
  </si>
  <si>
    <t>adjust</t>
  </si>
  <si>
    <t>[ədʒΛst]</t>
  </si>
  <si>
    <t>힘을 더하여(ad-add) 올바르게(just) 하니 ‘맞추다, 정비하다’</t>
  </si>
  <si>
    <t>맞추다, 정비하다</t>
  </si>
  <si>
    <t>You need to adjust the seat height for proper posture.</t>
  </si>
  <si>
    <t>You need to (          ) the seat height for proper posture.</t>
  </si>
  <si>
    <t>kid</t>
  </si>
  <si>
    <t>ki</t>
  </si>
  <si>
    <r>
      <rPr>
        <sz val="12"/>
        <color indexed="8"/>
        <rFont val="Apple SD 산돌고딕 Neo 일반체"/>
      </rPr>
      <t>ki</t>
    </r>
  </si>
  <si>
    <t>[kid]</t>
  </si>
  <si>
    <t>부모와 한 종류(ki)로 아래(d) 세대로 내려간 ‘아이’</t>
  </si>
  <si>
    <t>아이</t>
  </si>
  <si>
    <t>The kid played happily in the sandbox.</t>
  </si>
  <si>
    <t>The (          ) played happily in the sandbox.</t>
  </si>
  <si>
    <t>kidnap</t>
  </si>
  <si>
    <t>ki &gt; kid</t>
  </si>
  <si>
    <t>[kídnæp]</t>
  </si>
  <si>
    <t>아이가(kid) 낮잠(nap)을 자듯이 방심할 때 ‘유괴하다’</t>
  </si>
  <si>
    <t>유괴하다</t>
  </si>
  <si>
    <t>The movie is about a plot to kidnap the president.</t>
  </si>
  <si>
    <t>The movie is about a plot to (          ) the president.</t>
  </si>
  <si>
    <t>kidney</t>
  </si>
  <si>
    <t>[kídni]</t>
  </si>
  <si>
    <t>아이(kid)처럼 작은 장기는 ‘콩팥, 신장’</t>
  </si>
  <si>
    <t>콩팥, 신장</t>
  </si>
  <si>
    <t>Healthy kidneys filter waste from your blood.</t>
  </si>
  <si>
    <t>Healthy (          )s filter waste from your blood.</t>
  </si>
  <si>
    <t>kit</t>
  </si>
  <si>
    <t>[kit]</t>
  </si>
  <si>
    <t>한 종류(ki)로 모아서 세워(t)놓은 ‘한 세트, 한 벌’</t>
  </si>
  <si>
    <t>한 세트, 한 벌</t>
  </si>
  <si>
    <t>The first aid kit contains bandages and antiseptic.</t>
  </si>
  <si>
    <t>The first aid (          ) contains bandages and antiseptic.</t>
  </si>
  <si>
    <t>kitten</t>
  </si>
  <si>
    <t>ki &gt; kit</t>
  </si>
  <si>
    <t>[kítn]</t>
  </si>
  <si>
    <t>어미와 한 세트(kit)로 안에서(en) 보호해야 하는 ‘새끼 고양이’</t>
  </si>
  <si>
    <t>새끼 고양이</t>
  </si>
  <si>
    <t>The kitten played with a ball of yarn.</t>
  </si>
  <si>
    <t>The (          ) played with a ball of yarn.</t>
  </si>
  <si>
    <t>kite</t>
  </si>
  <si>
    <t>[kait]</t>
  </si>
  <si>
    <t>종이와 대나무 등으로 한 세트(kit)를 잘 조립해서 뚫어 놓은 통로(e)로 바람을 받으면서 날리는 ‘연’</t>
  </si>
  <si>
    <t>연</t>
  </si>
  <si>
    <t>The children flew kites on the windy beach.</t>
  </si>
  <si>
    <t>The children flew (          )s on the windy beach.</t>
  </si>
  <si>
    <t>kin</t>
  </si>
  <si>
    <t>[kin]</t>
  </si>
  <si>
    <t>한 조상에게서(ki) 나아가 서로 가까운(n) ‘친족, 친척’</t>
  </si>
  <si>
    <t>친족, 친척</t>
  </si>
  <si>
    <t>She invited all her kin to the family reunion.</t>
  </si>
  <si>
    <t>She invited all her (          ) to the family reunion.</t>
  </si>
  <si>
    <t>kinship</t>
  </si>
  <si>
    <t>ki &gt; kin</t>
  </si>
  <si>
    <t>[kínʃip]</t>
  </si>
  <si>
    <t>한 종류, 한 가족으로써(kin) 배에(ship) 같이 타는 ‘친척 관계’</t>
  </si>
  <si>
    <t>친척 관계</t>
  </si>
  <si>
    <t>There is a strong kinship among members of the community.</t>
  </si>
  <si>
    <t>There is a strong (          ) among members of the community.</t>
  </si>
  <si>
    <t>akin</t>
  </si>
  <si>
    <t>[əkín]</t>
  </si>
  <si>
    <t>더하는(a) 것이 친족으로서(kin) 관계이니 ‘동족의, 혈족의’</t>
  </si>
  <si>
    <t>동족의, 혈족의</t>
  </si>
  <si>
    <t>His feelings were akin to jealousy.</t>
  </si>
  <si>
    <t>His feelings were (          ) to jealousy.</t>
  </si>
  <si>
    <t>kind</t>
  </si>
  <si>
    <t>[kaind]</t>
  </si>
  <si>
    <t>친족(kin) 아래(d) 세대로 내려가면서 같은 ‘종류’에게는 ‘친절’</t>
  </si>
  <si>
    <t>종류, 친절</t>
  </si>
  <si>
    <t>Thank you for your kind help.</t>
  </si>
  <si>
    <t>Thank you for your (          ) help.</t>
  </si>
  <si>
    <t>kindergarten</t>
  </si>
  <si>
    <t>ki &gt; kid(kinder)</t>
  </si>
  <si>
    <t>[kíndərgὰːrtn]</t>
  </si>
  <si>
    <t>아이들이(kinder-kid) 뛰어노는 정원(garten-garden)과 같은 ‘유치원’</t>
  </si>
  <si>
    <t>유치원</t>
  </si>
  <si>
    <t>My son starts kindergarten next fall.</t>
  </si>
  <si>
    <t>My son starts (          ) next fall.</t>
  </si>
  <si>
    <t>king</t>
  </si>
  <si>
    <t>[kiŋ]</t>
  </si>
  <si>
    <t>한 종족을(kin) 이끌고 가는(go) ‘왕’</t>
  </si>
  <si>
    <t>왕</t>
  </si>
  <si>
    <t>The king ruled the country for forty years.</t>
  </si>
  <si>
    <t>The (          ) ruled the country for forty years.</t>
  </si>
  <si>
    <t>knit</t>
  </si>
  <si>
    <t>kn</t>
  </si>
  <si>
    <r>
      <rPr>
        <sz val="12"/>
        <color indexed="8"/>
        <rFont val="Apple SD 산돌고딕 Neo 일반체"/>
      </rPr>
      <t>kn</t>
    </r>
  </si>
  <si>
    <t>[nit]</t>
  </si>
  <si>
    <t>실을 확장(k)시켜 나가면서 가까워지니(n) 실을 엮어서 뭔가를(it) 만들어 ‘짜다’</t>
  </si>
  <si>
    <t>짜다</t>
  </si>
  <si>
    <t>My grandmother taught me how to knit sweaters.</t>
  </si>
  <si>
    <t>My grandmother taught me how to (          ) sweaters.</t>
  </si>
  <si>
    <t>knot</t>
  </si>
  <si>
    <t>[nat]</t>
  </si>
  <si>
    <t>실을 확장해 나가서, 가깝게 엮어서(kn) 둥근(o) 매듭을 만들며 나아간 것(t)이니 ‘매듭, 결합’</t>
  </si>
  <si>
    <t>매듭, 결합</t>
  </si>
  <si>
    <t>Tie a knot at the end of the thread.</t>
  </si>
  <si>
    <t>Tie a (          ) at the end of the thread.</t>
  </si>
  <si>
    <t>knob</t>
  </si>
  <si>
    <t>[nab]</t>
  </si>
  <si>
    <t>손을 확장해 나아가 가까워지면(kn) 둥글고(o) 불룩하게(b) 나와 있는 ‘손잡이’</t>
  </si>
  <si>
    <t>손잡이</t>
  </si>
  <si>
    <t>Turn the door knob to open the door.</t>
  </si>
  <si>
    <t>Turn the door (          ) to open the door.</t>
  </si>
  <si>
    <t>knock</t>
  </si>
  <si>
    <t>[nak]</t>
  </si>
  <si>
    <t>손을 확장해 가깝게 다가가서(kn) 잠겨져(lock-ock) 있는 문에 하는 것은 ‘두드리다’</t>
  </si>
  <si>
    <t>두드리다</t>
  </si>
  <si>
    <t>Someone is knock on the door.</t>
  </si>
  <si>
    <t>Someone is (          ) on the door.</t>
  </si>
  <si>
    <t>knack</t>
  </si>
  <si>
    <t>kn &gt; knock(knack)</t>
  </si>
  <si>
    <t>[næk]</t>
  </si>
  <si>
    <t>두드려(knack-knock) 한방에 녹 다운시켜 버리는 ‘솜씨, 묘기’</t>
  </si>
  <si>
    <t>솜씨, 묘기</t>
  </si>
  <si>
    <t>She has a knack for learning languages quickly.</t>
  </si>
  <si>
    <t>She has a (          ) for learning languages quickly.</t>
  </si>
  <si>
    <t>knuckle</t>
  </si>
  <si>
    <t>kn &gt; knock</t>
  </si>
  <si>
    <t>[nΛkl]</t>
  </si>
  <si>
    <t>두드릴 때(knuck-knock) 사용하는 긴(l)손가락에 있는 ‘손가락 관절’</t>
  </si>
  <si>
    <t>손가락 관절</t>
  </si>
  <si>
    <t>He rapped his knuckle on the table for attention.</t>
  </si>
  <si>
    <t>He rapped his (          ) on the table for attention.</t>
  </si>
  <si>
    <t>knee</t>
  </si>
  <si>
    <t>[niː]</t>
  </si>
  <si>
    <t>허벅지와 정강이가 나가서 가까이 결합되는 부분(kn) ‘무릎 관절’</t>
  </si>
  <si>
    <t>무릎 관절</t>
  </si>
  <si>
    <t>She injured her knee playing basketball.</t>
  </si>
  <si>
    <t>She injured her (          ) playing basketball.</t>
  </si>
  <si>
    <t>kneel</t>
  </si>
  <si>
    <t>kn &gt; knee</t>
  </si>
  <si>
    <t>[niːl]</t>
  </si>
  <si>
    <t>무릎(knee)을 길게(l) 만들어 ‘무릎을 끓다, 굴복하다’</t>
  </si>
  <si>
    <t>무릎을 끓다, 굴복하다</t>
  </si>
  <si>
    <t>The gardener will kneel to plant the flowers.</t>
  </si>
  <si>
    <t>The gardener will (          ) to plant the flowers.</t>
  </si>
  <si>
    <t>know</t>
  </si>
  <si>
    <t>[nou]</t>
  </si>
  <si>
    <t>생각을 확장(k)해 나가서 가까워지니(n) 지금(now) ‘알다, 이해하다’</t>
  </si>
  <si>
    <t>알다, 이해하다</t>
  </si>
  <si>
    <t>I know the answer to your question.</t>
  </si>
  <si>
    <t>I (          ) the answer to your question.</t>
  </si>
  <si>
    <t>knowledge</t>
  </si>
  <si>
    <t>kn &gt; know</t>
  </si>
  <si>
    <t>[nάlidʒ]</t>
  </si>
  <si>
    <t>앎이(know) 길어지면(l) ‘지식’</t>
  </si>
  <si>
    <t>지식</t>
  </si>
  <si>
    <t>He has extensive knowledge of ancient history.</t>
  </si>
  <si>
    <t>He has extensive (          ) of ancient history.</t>
  </si>
  <si>
    <t>acknowledge</t>
  </si>
  <si>
    <t>[æknάlidʒ, əknάlidʒ]</t>
  </si>
  <si>
    <t>더하여 잡아 모으는(ac) 것이 지식(knowledge)이니 잘 알아 사실을 ‘인정하다, 승인하다’</t>
  </si>
  <si>
    <t>인정하다, 승인하다</t>
  </si>
  <si>
    <t>The company should acknowledge its mistakes.</t>
  </si>
  <si>
    <t>The company should (          ) its mistakes.</t>
  </si>
  <si>
    <t>noble</t>
  </si>
  <si>
    <t>[nóubl]</t>
  </si>
  <si>
    <t>모든 것을 알(know-no) 능력이(able) 있는 ‘귀족의, 고귀한’</t>
  </si>
  <si>
    <t>귀족의, 고귀한</t>
  </si>
  <si>
    <t>The noble knight saved the village from the dragon.</t>
  </si>
  <si>
    <t>The (          ) knight saved the village from the dragon.</t>
  </si>
  <si>
    <t>knife</t>
  </si>
  <si>
    <t>[naif]</t>
  </si>
  <si>
    <t>나아가 가까운(kn) 거리에서 가볍게(f) 휘두르는 ‘칼’</t>
  </si>
  <si>
    <t>칼</t>
  </si>
  <si>
    <t>Use a sharp knife to cut the vegetables.</t>
  </si>
  <si>
    <t>Use a sharp (          ) to cut the vegetables.</t>
  </si>
  <si>
    <t>skin</t>
  </si>
  <si>
    <t>sk</t>
  </si>
  <si>
    <r>
      <rPr>
        <sz val="12"/>
        <color indexed="8"/>
        <rFont val="Apple SD 산돌고딕 Neo 일반체"/>
      </rPr>
      <t>sk</t>
    </r>
  </si>
  <si>
    <t>[skin]</t>
  </si>
  <si>
    <t>표면(sk)에 해당해 안쪽(in) 살 부분으로 보호 하는 ‘피부, 살갗, 가죽’</t>
  </si>
  <si>
    <t>피부, 살갗, 가죽</t>
  </si>
  <si>
    <t>Human skin is the largest organ of the body.</t>
  </si>
  <si>
    <t>Human (          ) is the largest organ of the body.</t>
  </si>
  <si>
    <t>ski</t>
  </si>
  <si>
    <t>[skiː]</t>
  </si>
  <si>
    <t>눈으로 덮힌 표면(sk)을 달리는 ‘스키’</t>
  </si>
  <si>
    <t>스키</t>
  </si>
  <si>
    <t>They plan to ski in the Alps this winter.</t>
  </si>
  <si>
    <t>They plan to (          ) in the Alps this winter.</t>
  </si>
  <si>
    <t>skill</t>
  </si>
  <si>
    <t>sk &gt; ski</t>
  </si>
  <si>
    <t>[skil]</t>
  </si>
  <si>
    <t>스키(ski)를 타고 길게(l) 죽 ~ 나아가는 것과 같은 ‘솜씨, 기술’</t>
  </si>
  <si>
    <t>솜씨, 기술</t>
  </si>
  <si>
    <t>Playing the piano requires skill and practice.</t>
  </si>
  <si>
    <t>Playing the piano requires (          ) and practice.</t>
  </si>
  <si>
    <t>skillful</t>
  </si>
  <si>
    <t>sk &gt; skill</t>
  </si>
  <si>
    <t>[skílfəl]</t>
  </si>
  <si>
    <t>기술(skill)이 가득이면(full) ‘숙련된’</t>
  </si>
  <si>
    <t>숙련된</t>
  </si>
  <si>
    <t>The skillful surgeon performed the complex operation.</t>
  </si>
  <si>
    <t>The (          ) surgeon performed the complex operation.</t>
  </si>
  <si>
    <t>sky</t>
  </si>
  <si>
    <t>[skai]</t>
  </si>
  <si>
    <t>하늘의 표면(sk)이 확장해(y) 나가는 광활한 ‘하늘’</t>
  </si>
  <si>
    <t>하늘</t>
  </si>
  <si>
    <t>The sky was clear and blue on the summer day.</t>
  </si>
  <si>
    <t>The (          ) was clear and blue on the summer day.</t>
  </si>
  <si>
    <t>skitter</t>
  </si>
  <si>
    <t>[skítər]</t>
  </si>
  <si>
    <t>스키(ski)를 타듯이 재빠르게 앞으로 죽죽나아 가는(t) 힘(r)으로 ‘(수면을) 스쳐 날다’</t>
  </si>
  <si>
    <t>(수면을) 스쳐 날다</t>
  </si>
  <si>
    <t>The stone will skitter across the surface of the lake.</t>
  </si>
  <si>
    <t>The stone will (          ) across the surface of the lake.</t>
  </si>
  <si>
    <t>skip</t>
  </si>
  <si>
    <t>[skip]</t>
  </si>
  <si>
    <t>스키(ski)를 타고 폭폭(p) 튀듯이 가니 ‘가볍게 건너뛰다, 거르다’</t>
  </si>
  <si>
    <t>가볍게 건너뛰다, 거르다</t>
  </si>
  <si>
    <t>Children skip down the sidewalk.</t>
  </si>
  <si>
    <t>Children (          ) down the sidewalk.</t>
  </si>
  <si>
    <t>skid</t>
  </si>
  <si>
    <t>[skid]</t>
  </si>
  <si>
    <t>스키(ski)를 타듯이 아래로(d) 넘어지니 ‘미끄러지다’</t>
  </si>
  <si>
    <t>미끄러지다</t>
  </si>
  <si>
    <t>The car began to skid on the icy road.</t>
  </si>
  <si>
    <t>The car began to (          ) on the icy road.</t>
  </si>
  <si>
    <t>skim</t>
  </si>
  <si>
    <t>[skim]</t>
  </si>
  <si>
    <t>스키(ski)를 타고 움직여(m) 나아가니 ‘스치듯 지나가다’</t>
  </si>
  <si>
    <t>스치듯 지나가다</t>
  </si>
  <si>
    <t>Skim the cream off the top of the milk.</t>
  </si>
  <si>
    <r>
      <rPr>
        <sz val="12"/>
        <color indexed="8"/>
        <rFont val="Arial"/>
      </rPr>
      <t>Skim the cream off the top of the milk.</t>
    </r>
  </si>
  <si>
    <t>skate</t>
  </si>
  <si>
    <t>[skeit]</t>
  </si>
  <si>
    <t>표면(sk)을 접촉(t)하며 타는 ‘스케이트’</t>
  </si>
  <si>
    <t>스케이트</t>
  </si>
  <si>
    <t>Children skate on the frozen pond in winter.</t>
  </si>
  <si>
    <t>Children (          ) on the frozen pond in winter.</t>
  </si>
  <si>
    <t>sketch</t>
  </si>
  <si>
    <t>[skeʧ]</t>
  </si>
  <si>
    <t>도화지 표면(sk)에 눈으로 잡아낸(catch-etch) 장면을 그리는 ‘스케치’</t>
  </si>
  <si>
    <t>스케치</t>
  </si>
  <si>
    <t>The artist made a quick sketch of the landscape.</t>
  </si>
  <si>
    <t>The artist made a quick (          ) of the landscape.</t>
  </si>
  <si>
    <t>skirt</t>
  </si>
  <si>
    <t>[skəːrt]</t>
  </si>
  <si>
    <t>표면(sk)에 해당하며 중심에서 힘있게(r) 펄럭 이며 나아가는(t) ‘밖으로 퍼진 가장자리, 치마’</t>
  </si>
  <si>
    <t>밖으로 퍼진 가장자리, 치마</t>
  </si>
  <si>
    <t>She wore a long skirt to the formal dinner.</t>
  </si>
  <si>
    <t>She wore a long (          ) to the formal dinner.</t>
  </si>
  <si>
    <t>outskirt</t>
  </si>
  <si>
    <t>sk &gt; skirt</t>
  </si>
  <si>
    <t>[auˈtskərˌt]</t>
  </si>
  <si>
    <t>도시 밖(out)의 중심에서 퍼진 스커트(skirt)처 럼 가장 자리에 해당하는 지역인 ‘변두리, 교외’</t>
  </si>
  <si>
    <t>변두리, 교외</t>
  </si>
  <si>
    <t>They live in the outskirts of the city.</t>
  </si>
  <si>
    <t>They live in the (          )s of the city.</t>
  </si>
  <si>
    <t>skeleton</t>
  </si>
  <si>
    <t>sk &gt; skin</t>
  </si>
  <si>
    <t>[skélətn]</t>
  </si>
  <si>
    <t>피부가(sk-skin) 다 가버려(let) 몸에 붙어 있는 (on) ‘해골’</t>
  </si>
  <si>
    <t>해골</t>
  </si>
  <si>
    <t>The archaeologists discovered a dinosaur skeleton.</t>
  </si>
  <si>
    <t>The archaeologists discovered a dinosaur (          ).</t>
  </si>
  <si>
    <t>sk(sc)</t>
  </si>
  <si>
    <t>조각할 재료 표면을(sc-sk) 아래쪽에서부터(u) 길게(l) 폭하고(p) 힘을 줘 파내고 나중에 세우는(t) ‘조각, 조각술’</t>
  </si>
  <si>
    <t>skeptical</t>
  </si>
  <si>
    <t>[sképtikəl]</t>
  </si>
  <si>
    <t>표면(sk)적으로만 받아들이고 의심이 많아 일이 생기면 통로를(e) 통해 폭하고(p) 튀어 나가버리 니(t) ‘의심 많은, 회의적인’</t>
  </si>
  <si>
    <t>의심 많은, 회의적인</t>
  </si>
  <si>
    <t>I'm skeptical about claims without evidence.</t>
  </si>
  <si>
    <t>I'm (          ) about claims without evidence.</t>
  </si>
  <si>
    <t>labor</t>
  </si>
  <si>
    <t>l</t>
  </si>
  <si>
    <r>
      <rPr>
        <sz val="12"/>
        <color indexed="8"/>
        <rFont val="Apple SD 산돌고딕 Neo 일반체"/>
      </rPr>
      <t>labor</t>
    </r>
  </si>
  <si>
    <t>[léibər]</t>
  </si>
  <si>
    <t>길게(l) 근육이 터지고(b) 동그랗게 뭉치도록(o) 힘을(r) 다하니 ‘일하다, 노동, 근로’</t>
  </si>
  <si>
    <t>일하다, 노동, 근로</t>
  </si>
  <si>
    <t>Hard labor built the ancient pyramids.</t>
  </si>
  <si>
    <t>Hard (          ) built the ancient pyramids.</t>
  </si>
  <si>
    <t>laboratory</t>
  </si>
  <si>
    <t>[lǽbərətɔ̀ːri]</t>
  </si>
  <si>
    <t>연구자들이 일하는(Iabor) 곳은 ‘실험실, 연구소’</t>
  </si>
  <si>
    <t>실험실, 연구소</t>
  </si>
  <si>
    <t>Scientists conduct experiments in the laboratory.</t>
  </si>
  <si>
    <t>Scientists conduct experiments in the (          ).</t>
  </si>
  <si>
    <t>laborious</t>
  </si>
  <si>
    <t>[ləbɔ́ːriəs]</t>
  </si>
  <si>
    <t>일하다([abor) + 형용사(~ious) = ‘열심히 일하는, 근면한’</t>
  </si>
  <si>
    <t>열심히 일하는, 근면한</t>
  </si>
  <si>
    <t>Translating the ancient text was laborious work.</t>
  </si>
  <si>
    <t>Translating the ancient text was (          ) work.</t>
  </si>
  <si>
    <t>elaborate</t>
  </si>
  <si>
    <t>[ilǽbərət]</t>
  </si>
  <si>
    <t>입구e)를 통해 들어가 노동(labor)의 비율을 (rate) 높이니 ‘공들이다, 정교한’</t>
  </si>
  <si>
    <t>공들이다, 정교한</t>
  </si>
  <si>
    <t>She gave an elaborate explanation of the process.</t>
  </si>
  <si>
    <t>She gave an (          ) explanation of the process.</t>
  </si>
  <si>
    <t>collaborate</t>
  </si>
  <si>
    <t>[kəlǽbərèit]</t>
  </si>
  <si>
    <t>함께(co) 노동(labor)하니 ‘공동으로 작업하다, 협력하다’</t>
  </si>
  <si>
    <t>공동으로 작업하다, 협력하다</t>
  </si>
  <si>
    <t>The two companies collaborate on environmental projects.</t>
  </si>
  <si>
    <t>The two companies (          ) on environmental projects.</t>
  </si>
  <si>
    <t>collaboration</t>
  </si>
  <si>
    <t>labor &gt; collaborate</t>
  </si>
  <si>
    <t>[kəlӕbəréiʃən]</t>
  </si>
  <si>
    <t>협력하다(collaborate) + 명사(ion) = ‘협력, 협동’</t>
  </si>
  <si>
    <t>협력, 협동</t>
  </si>
  <si>
    <t>Their collaboration resulted in an innovative product.</t>
  </si>
  <si>
    <t>Their (          ) resulted in an innovative product.</t>
  </si>
  <si>
    <t>logo</t>
  </si>
  <si>
    <t>log</t>
  </si>
  <si>
    <r>
      <rPr>
        <sz val="12"/>
        <color indexed="8"/>
        <rFont val="Apple SD 산돌고딕 Neo 일반체"/>
      </rPr>
      <t>log</t>
    </r>
  </si>
  <si>
    <t>[lóugou]</t>
  </si>
  <si>
    <t>회사를 표시하는 말, 언어(og) ‘상표’</t>
  </si>
  <si>
    <t>상표</t>
  </si>
  <si>
    <t>Apple's logo is recognized worldwide.</t>
  </si>
  <si>
    <t>Apple's (          ) is recognized worldwide.</t>
  </si>
  <si>
    <t>logic</t>
  </si>
  <si>
    <t>[lάdʒik]</t>
  </si>
  <si>
    <t>말(log)로 상대방을 잡아(c) 나가는데 이용하는 ‘논리’</t>
  </si>
  <si>
    <t>논리</t>
  </si>
  <si>
    <t>His argument lacked logic and evidence.</t>
  </si>
  <si>
    <t>His argument lacked (          ) and evidence.</t>
  </si>
  <si>
    <t>apology</t>
  </si>
  <si>
    <t>[əpάlədʒi]</t>
  </si>
  <si>
    <t>잘못하면 빨리 앞으로 폭하고(apo) 나아가야 하는 말(log), ‘사과’</t>
  </si>
  <si>
    <t>사과</t>
  </si>
  <si>
    <t>He offered an apology for his rude behavior.</t>
  </si>
  <si>
    <t>He offered an (          ) for his rude behavior.</t>
  </si>
  <si>
    <t>monologue</t>
  </si>
  <si>
    <t>[mάnəlɔ̀ːg]</t>
  </si>
  <si>
    <t>혼자(mono) 하는 말(log)하는 ‘독백, 1인극’</t>
  </si>
  <si>
    <t>독백, 1인극</t>
  </si>
  <si>
    <t>The actor performed a dramatic monologue.</t>
  </si>
  <si>
    <t>The actor performed a dramatic (          ).</t>
  </si>
  <si>
    <t>log(logue)</t>
  </si>
  <si>
    <t>두 사람 사이를 관통해서(dia) 오가는 말 (logue-log), ‘대화’</t>
  </si>
  <si>
    <t>대화</t>
  </si>
  <si>
    <t>catalogue</t>
  </si>
  <si>
    <t>[kæˈtəlɔˌg]</t>
  </si>
  <si>
    <t>고양이가(cat) 이것저것 잡아서 모아 놓은 것처럼 항목들을 모아 놓은 말(log) ‘목록, 카탈로그’</t>
  </si>
  <si>
    <t>목록, 카탈로그</t>
  </si>
  <si>
    <t>The library catalogue lists all available books.</t>
  </si>
  <si>
    <t>The library (          ) lists all available books.</t>
  </si>
  <si>
    <t>epilogue</t>
  </si>
  <si>
    <t>[épəlɔ̀ːg]</t>
  </si>
  <si>
    <t>통로로(e) 폭하고(p) 튀어 나가면서 마지막으로 하는 말(log-logue) ‘맺음말’</t>
  </si>
  <si>
    <t>맺음말</t>
  </si>
  <si>
    <t>The epilogue reveals what happened to the characters later.</t>
  </si>
  <si>
    <t>The (          ) reveals what happened to the characters later.</t>
  </si>
  <si>
    <t>logy</t>
  </si>
  <si>
    <r>
      <rPr>
        <sz val="12"/>
        <color indexed="8"/>
        <rFont val="Apple SD 산돌고딕 Neo 일반체"/>
      </rPr>
      <t>logy</t>
    </r>
  </si>
  <si>
    <t>생명(bio) + 학(logy) = ‘생물학’</t>
  </si>
  <si>
    <t>ecology</t>
  </si>
  <si>
    <t>[ikάlədʒi]</t>
  </si>
  <si>
    <t>생태, 환경, 자연(eco) + 학(logy) = ‘생태학’</t>
  </si>
  <si>
    <t>생태학</t>
  </si>
  <si>
    <t>Ecology studies how organisms interact with their environment.</t>
  </si>
  <si>
    <r>
      <rPr>
        <sz val="12"/>
        <color indexed="8"/>
        <rFont val="Arial"/>
      </rPr>
      <t>Ecology studies how organisms interact with their environment.</t>
    </r>
  </si>
  <si>
    <t>zoology</t>
  </si>
  <si>
    <t>[zouάlədʒi]</t>
  </si>
  <si>
    <t>동물원(zoo) + 학(logy) = ‘동물학’</t>
  </si>
  <si>
    <t>동물학</t>
  </si>
  <si>
    <t>Zoology is the scientific study of animals.</t>
  </si>
  <si>
    <r>
      <rPr>
        <sz val="12"/>
        <color indexed="8"/>
        <rFont val="Arial"/>
      </rPr>
      <t>Zoology is the scientific study of animals.</t>
    </r>
  </si>
  <si>
    <t>psychology</t>
  </si>
  <si>
    <t>[saikάlədʒi]</t>
  </si>
  <si>
    <t>정신(phycho) + 학(logy) = ‘심리학’</t>
  </si>
  <si>
    <t>심리학</t>
  </si>
  <si>
    <t>Psychology helps us understand human behavior.</t>
  </si>
  <si>
    <r>
      <rPr>
        <sz val="12"/>
        <color indexed="8"/>
        <rFont val="Arial"/>
      </rPr>
      <t>Psychology helps us understand human behavior.</t>
    </r>
  </si>
  <si>
    <t>language</t>
  </si>
  <si>
    <t>langu</t>
  </si>
  <si>
    <r>
      <rPr>
        <sz val="12"/>
        <color indexed="8"/>
        <rFont val="Apple SD 산돌고딕 Neo 일반체"/>
      </rPr>
      <t>langu</t>
    </r>
  </si>
  <si>
    <t>[lǽŋgwidʒ]</t>
  </si>
  <si>
    <t>혀(langu)를 오랫동안(age) 사용해 만들어진 ‘언어’</t>
  </si>
  <si>
    <t>언어</t>
  </si>
  <si>
    <t>English is an international language.</t>
  </si>
  <si>
    <t>English is an international (          ).</t>
  </si>
  <si>
    <t>slang</t>
  </si>
  <si>
    <t>langu &gt; language(lang)</t>
  </si>
  <si>
    <t>[slæŋ]</t>
  </si>
  <si>
    <t>보이지 않게(s) 사용하는 언어(lang-language) ‘속어, 슬랭’</t>
  </si>
  <si>
    <t>속어, 슬랭</t>
  </si>
  <si>
    <t>Teenagers often use slang that adults don't understand.</t>
  </si>
  <si>
    <t>Teenagers often use (          ) that adults don't understand.</t>
  </si>
  <si>
    <t>lingua</t>
  </si>
  <si>
    <t>langu(lingu)</t>
  </si>
  <si>
    <t>[líŋgwə]</t>
  </si>
  <si>
    <t>혀(ingu-langu)가 하나(a) = ‘혀’</t>
  </si>
  <si>
    <t>혀</t>
  </si>
  <si>
    <t>Latin was once the lingua franca of Western scholarship.</t>
  </si>
  <si>
    <t>Latin was once the (          ) franca of Western scholarship.</t>
  </si>
  <si>
    <t>lingual</t>
  </si>
  <si>
    <t>[líŋgwəl]</t>
  </si>
  <si>
    <t>혀(lingu) + 형용사(al) = ‘혀의, 언어의’</t>
  </si>
  <si>
    <t>혀의, 언어의</t>
  </si>
  <si>
    <t>The lingual nerve provides sensation to the tongue.</t>
  </si>
  <si>
    <t>The (          ) nerve provides sensation to the tongue.</t>
  </si>
  <si>
    <t>langu(lingu) &gt; lingual</t>
  </si>
  <si>
    <t>둘(bi) + 언어의(lingual) = ‘2개 국어를 말하는’</t>
  </si>
  <si>
    <t>linguistics</t>
  </si>
  <si>
    <t>[liŋgwístiks]</t>
  </si>
  <si>
    <t>언어(ingu-language)를 연구하는 ‘학문, 언어학’</t>
  </si>
  <si>
    <t>학문, 언어학</t>
  </si>
  <si>
    <t>Linguistics is the scientific study of language.</t>
  </si>
  <si>
    <r>
      <rPr>
        <sz val="12"/>
        <color indexed="8"/>
        <rFont val="Arial"/>
      </rPr>
      <t>Linguistics is the scientific study of language.</t>
    </r>
  </si>
  <si>
    <t>legend</t>
  </si>
  <si>
    <t>leg</t>
  </si>
  <si>
    <r>
      <rPr>
        <sz val="12"/>
        <color indexed="8"/>
        <rFont val="Apple SD 산돌고딕 Neo 일반체"/>
      </rPr>
      <t>leg</t>
    </r>
  </si>
  <si>
    <t>[lédʒənd]</t>
  </si>
  <si>
    <t>보내다(leg) 세상 끝까지(end)가는 ‘전설, 레전드’</t>
  </si>
  <si>
    <t>전설, 레전드</t>
  </si>
  <si>
    <t>There's an old legend about a monster in the lake.</t>
  </si>
  <si>
    <t>There's an old (          ) about a monster in the lake.</t>
  </si>
  <si>
    <t>legacy</t>
  </si>
  <si>
    <t>[légəsi]</t>
  </si>
  <si>
    <t>후손들에게 보내려고(leg) 잡아서(c) 확장시키는(y) ‘유산’</t>
  </si>
  <si>
    <t>유산</t>
  </si>
  <si>
    <t>Her charitable foundation is her legacy to the community.</t>
  </si>
  <si>
    <t>Her charitable foundation is her (          ) to the community.</t>
  </si>
  <si>
    <t>colleague</t>
  </si>
  <si>
    <t>leg &gt; league</t>
  </si>
  <si>
    <t>[kάliːg]</t>
  </si>
  <si>
    <t>함께(co) 동맹을(league) 맺은 ‘동료’</t>
  </si>
  <si>
    <t>동료</t>
  </si>
  <si>
    <t>My colleague helped me finish the project on time.</t>
  </si>
  <si>
    <t>legion</t>
  </si>
  <si>
    <t>[líːdʒən]</t>
  </si>
  <si>
    <t>보내서(leg) 지속적으로(on) 주둔하게 하는 ‘군단, 부대’</t>
  </si>
  <si>
    <t>군단, 부대</t>
  </si>
  <si>
    <t>A legion of fans waited for the celebrity's autograph.</t>
  </si>
  <si>
    <t>A (          ) of fans waited for the celebrity's autograph.</t>
  </si>
  <si>
    <t>diligent</t>
  </si>
  <si>
    <t>leg(lig)</t>
  </si>
  <si>
    <t>[dílədʒənt]</t>
  </si>
  <si>
    <t>양쪽(di)으로, 이쪽 저쪽으로 보내어(leg-lig) 열심히 하게 하니 ‘부지런한, 근면한’</t>
  </si>
  <si>
    <t>부지런한, 근면한</t>
  </si>
  <si>
    <t>The diligent student studied every night.</t>
  </si>
  <si>
    <t>The (          ) student studied every night.</t>
  </si>
  <si>
    <t>intelligent</t>
  </si>
  <si>
    <t>leg(lig) &gt; diligent</t>
  </si>
  <si>
    <t>[intélədʒənt]</t>
  </si>
  <si>
    <t>이런 저런 문제 사이에서(inter-inte) 열심 이니 (diligent-ligent) ‘지성을 가진, 영리한’</t>
  </si>
  <si>
    <t>지성을 가진, 영리한</t>
  </si>
  <si>
    <t>Dolphins are highly intelligent animals.</t>
  </si>
  <si>
    <t>Dolphins are highly (          ) animals.</t>
  </si>
  <si>
    <t>negligent</t>
  </si>
  <si>
    <t>[néglidʒənt]</t>
  </si>
  <si>
    <t>반대(neg)로 + 열심인(diligent-ligent) = ‘태만한, , 부주의한, 게으른’</t>
  </si>
  <si>
    <t>태만한, , 부주의한, 게으른</t>
  </si>
  <si>
    <t>The driver was negligent in checking his mirrors.</t>
  </si>
  <si>
    <t>The driver was (          ) in checking his mirrors.</t>
  </si>
  <si>
    <t>eligible</t>
  </si>
  <si>
    <t>[élidʒəbl]</t>
  </si>
  <si>
    <t>입구(e)를 통해 믿고 밖으로 보내기에(lig) 능력이 되니(ible) ‘자격이 있는’</t>
  </si>
  <si>
    <t>자격이 있는</t>
  </si>
  <si>
    <t>You're eligible for the discount if you're over 65.</t>
  </si>
  <si>
    <t>You're (          ) for the discount if you're over 65.</t>
  </si>
  <si>
    <t>legal</t>
  </si>
  <si>
    <t>[líːgəl]</t>
  </si>
  <si>
    <t>법과(leg) 관련된 모든 것이니(a) ‘법률의, 합법적인’</t>
  </si>
  <si>
    <t>법률의, 합법적인</t>
  </si>
  <si>
    <t>Is it legal to park here?</t>
  </si>
  <si>
    <t>Is it (          ) to park here?</t>
  </si>
  <si>
    <t>illegal</t>
  </si>
  <si>
    <t>leg &gt; legal</t>
  </si>
  <si>
    <t>[ilíːgəl]</t>
  </si>
  <si>
    <t>나에게(i) 유리하게만 법을 적용하니(legal) ‘불법적인’</t>
  </si>
  <si>
    <t>불법적인</t>
  </si>
  <si>
    <t>Hunting in this area is illegal during breeding season.</t>
  </si>
  <si>
    <t>Hunting in this area is (          ) during breeding season.</t>
  </si>
  <si>
    <t>legislate</t>
  </si>
  <si>
    <t>[lédʒislèit]</t>
  </si>
  <si>
    <t>법을(leg) 석판에(slate) 새기니 ‘법률을 제정하다, 입법하다’</t>
  </si>
  <si>
    <t>법률을 제정하다, 입법하다</t>
  </si>
  <si>
    <t>Congress will legislate new environmental protections.</t>
  </si>
  <si>
    <t>Congress will (          ) new environmental protections.</t>
  </si>
  <si>
    <t>legislation</t>
  </si>
  <si>
    <t>leg &gt; legislate</t>
  </si>
  <si>
    <t>[lèdʒisléiʃən]</t>
  </si>
  <si>
    <t>입법하다(legislate) + 명사(tion) = ‘법률 제정’</t>
  </si>
  <si>
    <t>법률 제정</t>
  </si>
  <si>
    <t>The new legislation aims to reduce carbon emissions.</t>
  </si>
  <si>
    <t>The new (          ) aims to reduce carbon emissions.</t>
  </si>
  <si>
    <t>legislature</t>
  </si>
  <si>
    <t>[lédʒislèitʃər]</t>
  </si>
  <si>
    <t>입법하는(legislate) + 곳(ture) = ‘입법부’</t>
  </si>
  <si>
    <t>입법부</t>
  </si>
  <si>
    <t>The state legislature meets annually to pass laws.</t>
  </si>
  <si>
    <t>The state (          ) meets annually to pass laws.</t>
  </si>
  <si>
    <t>privilege</t>
  </si>
  <si>
    <t>[prívəlidʒ]</t>
  </si>
  <si>
    <t>개인적(private)으로 법을(Ieg) 적용하면 ‘특권’</t>
  </si>
  <si>
    <t>특권</t>
  </si>
  <si>
    <t>It's a privilege to work with such talented colleagues.</t>
  </si>
  <si>
    <t>It's a (          ) to work with such talented colleagues.</t>
  </si>
  <si>
    <t>allege</t>
  </si>
  <si>
    <t>[əlédʒ]</t>
  </si>
  <si>
    <t>모든 것을(all) 내세워 법적으로(leg) 하자고 ‘주장하다’</t>
  </si>
  <si>
    <t>주장하다</t>
  </si>
  <si>
    <t>The newspaper alleged that the politician took bribes.</t>
  </si>
  <si>
    <t>The newspaper (          )d that the politician took bribes.</t>
  </si>
  <si>
    <t>delegate</t>
  </si>
  <si>
    <t>[déligət , -gèit]</t>
  </si>
  <si>
    <t>아래쪽(de) 사람에게 법적(leg-legal)으로 권한을 ‘위임하다’, 그래서 된 ‘대리인, 대표자’</t>
  </si>
  <si>
    <t>위임하다, 대리인, 대표자</t>
  </si>
  <si>
    <t>Each country will delegate representatives to the conference.</t>
  </si>
  <si>
    <t>Each country will (          ) representatives to the conference.</t>
  </si>
  <si>
    <t>delegation</t>
  </si>
  <si>
    <t>leg &gt; delegate</t>
  </si>
  <si>
    <t>[dèligéiʃən]</t>
  </si>
  <si>
    <t>위임하다(delegate) + 명사(tion) = ‘대표로 임명, 대표단’</t>
  </si>
  <si>
    <t>대표로 임명, 대표단</t>
  </si>
  <si>
    <t>The delegation from Japan arrived yesterday.</t>
  </si>
  <si>
    <t>The (          ) from Japan arrived yesterday.</t>
  </si>
  <si>
    <t>lever</t>
  </si>
  <si>
    <t>lev</t>
  </si>
  <si>
    <r>
      <rPr>
        <sz val="12"/>
        <color indexed="8"/>
        <rFont val="Apple SD 산돌고딕 Neo 일반체"/>
      </rPr>
      <t>lev</t>
    </r>
  </si>
  <si>
    <t>[lévər]</t>
  </si>
  <si>
    <t>올리기 위해(lev) + 힘을 주는 것(er) = ‘지렛대, 지레’</t>
  </si>
  <si>
    <t>지렛대, 지레</t>
  </si>
  <si>
    <t>Use the lever to lift the heavy stone.</t>
  </si>
  <si>
    <t>Use the (          ) to lift the heavy stone.</t>
  </si>
  <si>
    <t>leverage</t>
  </si>
  <si>
    <t>lev &gt; lever</t>
  </si>
  <si>
    <t>[lévəridʒ]</t>
  </si>
  <si>
    <t>지렛대(lever)가 오래되니(age) 생기는 ‘지레의 작용, 영향력’</t>
  </si>
  <si>
    <t>지레의 작용, 영향력</t>
  </si>
  <si>
    <t>The company used its financial leverage to acquire competitors.</t>
  </si>
  <si>
    <t>The company used its financial (          ) to acquire competitors.</t>
  </si>
  <si>
    <t>elevate</t>
  </si>
  <si>
    <t>[éləvèit]</t>
  </si>
  <si>
    <t>입구를(e) 통해 사람을 태우고 올리니(lev) ‘올리다, 향상시키다’</t>
  </si>
  <si>
    <t>올리다, 향상시키다</t>
  </si>
  <si>
    <t>Education can elevate people from poverty.</t>
  </si>
  <si>
    <t>Education can (          ) people from poverty.</t>
  </si>
  <si>
    <t>elevator</t>
  </si>
  <si>
    <t>lev &gt; elevate</t>
  </si>
  <si>
    <t>[éləvèitər]</t>
  </si>
  <si>
    <t>올리다(elevate) + 힘을 주는 존재(or) = ‘엘리베이터, 승강기’</t>
  </si>
  <si>
    <t>엘리베이터, 승강기</t>
  </si>
  <si>
    <t>Take the elevator to the tenth floor.</t>
  </si>
  <si>
    <t>Take the (          ) to the tenth floor.</t>
  </si>
  <si>
    <t>elevation</t>
  </si>
  <si>
    <t>[èləvéiʃən]</t>
  </si>
  <si>
    <t>올라가다(elevate) + 명사 (ion) = ‘높이, 고도’</t>
  </si>
  <si>
    <t>높이, 고도</t>
  </si>
  <si>
    <t>The town's high elevation gives it a cool climate.</t>
  </si>
  <si>
    <t>The town's high (          ) gives it a cool climate.</t>
  </si>
  <si>
    <t>level</t>
  </si>
  <si>
    <t>[lévəl]</t>
  </si>
  <si>
    <t>기운 한 쪽을 올려서(lev) 길게(l) 평평하게 만드니 ‘평평한, 평탄한’</t>
  </si>
  <si>
    <t>평평한, 평탄한</t>
  </si>
  <si>
    <t>Make sure the picture is level before hanging it.</t>
  </si>
  <si>
    <t>Make sure the picture is (          ) before hanging it.</t>
  </si>
  <si>
    <t>relieve</t>
  </si>
  <si>
    <t>[rilíːv]</t>
  </si>
  <si>
    <t>힘이 없는데 다시(re) 들어올려주니(liev-lev) ‘부담을 덜어주다, 경감하다’</t>
  </si>
  <si>
    <t>부담을 덜어주다, 경감하다</t>
  </si>
  <si>
    <t>The medication should relieve your headache.</t>
  </si>
  <si>
    <t>The medication should (          ) your headache.</t>
  </si>
  <si>
    <t>relevant</t>
  </si>
  <si>
    <t>[réləvənt]</t>
  </si>
  <si>
    <t>다시(re) 들어 올려(lev) 도와 줄 때는 ‘관계가 있는’</t>
  </si>
  <si>
    <t>관계가 있는</t>
  </si>
  <si>
    <t>Please provide only relevant information in your report.</t>
  </si>
  <si>
    <t>Please provide only (          ) information in your report.</t>
  </si>
  <si>
    <t>irrelevant</t>
  </si>
  <si>
    <t>lev &gt; relevant</t>
  </si>
  <si>
    <t>[iréləvənt]</t>
  </si>
  <si>
    <t>반대(ir) + 관련이 있는(relevant) = ‘관계가 없는, 부적절한’</t>
  </si>
  <si>
    <t>관계가 없는, 부적절한</t>
  </si>
  <si>
    <t>The witness's personal opinion is irrelevant to the case.</t>
  </si>
  <si>
    <t>The witness's personal opinion is (          ) to the case.</t>
  </si>
  <si>
    <t>light</t>
  </si>
  <si>
    <r>
      <rPr>
        <sz val="12"/>
        <color indexed="8"/>
        <rFont val="Apple SD 산돌고딕 Neo 일반체"/>
      </rPr>
      <t>light</t>
    </r>
  </si>
  <si>
    <t>[lait]</t>
  </si>
  <si>
    <t>길게(l) 안쪽(i) 깊숙한(g) 곳에서 높은(h) 곳으로 좍 나아가는(t) ‘빛, 가벼운’</t>
  </si>
  <si>
    <t>빛, 가벼운</t>
  </si>
  <si>
    <t>Turn on the light; it's too dark to read.</t>
  </si>
  <si>
    <t>Turn on the (          ); it's too dark to read.</t>
  </si>
  <si>
    <t>lightning</t>
  </si>
  <si>
    <t>[láitniŋ]</t>
  </si>
  <si>
    <t>하늘에 빛(light)이 진행중(ing)이니 생기는 ‘번개’</t>
  </si>
  <si>
    <t>번개</t>
  </si>
  <si>
    <t>Lightning struck the tree during the storm.</t>
  </si>
  <si>
    <r>
      <rPr>
        <sz val="12"/>
        <color indexed="8"/>
        <rFont val="Arial"/>
      </rPr>
      <t>Lightning struck the tree during the storm.</t>
    </r>
  </si>
  <si>
    <t>enlighten</t>
  </si>
  <si>
    <t>[inláitn]</t>
  </si>
  <si>
    <t>안(en)에 빛(ight)을 밝혀주면 ‘계몽하다, 가르치다’</t>
  </si>
  <si>
    <t>계몽하다, 가르치다</t>
  </si>
  <si>
    <t>The professor tried to enlighten students about complex theories.</t>
  </si>
  <si>
    <t>The professor tried to (          ) students about complex theories.</t>
  </si>
  <si>
    <t>가볍고 빠르게(f) 빛처럼(light)하는 ‘비행’</t>
  </si>
  <si>
    <t>비행</t>
  </si>
  <si>
    <t>twilight</t>
  </si>
  <si>
    <t>[twáilàit]</t>
  </si>
  <si>
    <t>두개의(two) 빛(light - 햇빛, 달빛)이 엇갈리는 시간대이니 ‘해질녘, 석양, 황혼’</t>
  </si>
  <si>
    <t>해질녘, 석양, 황혼</t>
  </si>
  <si>
    <t>We watched the sunset during twilight.</t>
  </si>
  <si>
    <t>We watched the sunset during (          ).</t>
  </si>
  <si>
    <t>ignite</t>
  </si>
  <si>
    <t>light(ite) &gt; night(nite)</t>
  </si>
  <si>
    <t>[ignáit]</t>
  </si>
  <si>
    <t>안쪽(i) 깊숙한 곳(g)의 불빛이 없는 곳(nifte-night)에 접촉하여 ‘점화하다, 불을 붙이다’</t>
  </si>
  <si>
    <t>점화하다, 불을 붙이다</t>
  </si>
  <si>
    <t>A small spark can ignite a forest fire.</t>
  </si>
  <si>
    <t>A small spark can (          ) a forest fire.</t>
  </si>
  <si>
    <t>slight</t>
  </si>
  <si>
    <t>[slait]</t>
  </si>
  <si>
    <t>안보이면서(s) 가벼우니(light) ‘약간의, 조금의, 경미한’</t>
  </si>
  <si>
    <t>약간의, 조금의, 경미한</t>
  </si>
  <si>
    <t>There was a slight improvement in her condition.</t>
  </si>
  <si>
    <t>bright</t>
  </si>
  <si>
    <t>light(ight)</t>
  </si>
  <si>
    <t>[brait]</t>
  </si>
  <si>
    <t>터져 나가(br)는 것이 빛(ight)이니 ‘빛나는’</t>
  </si>
  <si>
    <t>빛나는</t>
  </si>
  <si>
    <t>The room was bright with sunshine.</t>
  </si>
  <si>
    <t>The room was (          ) with sunshine.</t>
  </si>
  <si>
    <t>brilliant</t>
  </si>
  <si>
    <t>light &gt; bright</t>
  </si>
  <si>
    <t>[bríljənt]</t>
  </si>
  <si>
    <t>빛나는(bright-bri) 빛이 터져 길게 길게(ll) 나아가 개미(ant) 한 마리도 다 보이게 하니 ‘눈부신, 찬란한’</t>
  </si>
  <si>
    <t>눈부신, 찬란한</t>
  </si>
  <si>
    <t>She had a brilliant idea to solve the problem.</t>
  </si>
  <si>
    <t>She had a (          ) idea to solve the problem.</t>
  </si>
  <si>
    <t>delight</t>
  </si>
  <si>
    <t>[diláit]</t>
  </si>
  <si>
    <t>하늘에서 아래로(de) 빛이(light) 비친 듯 하니 ‘기쁘게 하다, 기쁨, 즐거움’</t>
  </si>
  <si>
    <t>기쁘게 하다, 기쁨, 즐거움</t>
  </si>
  <si>
    <t>Children take delight in simple pleasures.</t>
  </si>
  <si>
    <t>Children take (          ) in simple pleasures.</t>
  </si>
  <si>
    <t>local</t>
  </si>
  <si>
    <t>loc</t>
  </si>
  <si>
    <r>
      <rPr>
        <sz val="12"/>
        <color indexed="8"/>
        <rFont val="Apple SD 산돌고딕 Neo 일반체"/>
      </rPr>
      <t>loc</t>
    </r>
  </si>
  <si>
    <t>[lóukəl]</t>
  </si>
  <si>
    <t>그 장소(loc)와 관련된 모든 일(all)이니 ‘현지의’</t>
  </si>
  <si>
    <t>현지의</t>
  </si>
  <si>
    <t>Support local businesses in your community.</t>
  </si>
  <si>
    <t>Support (          ) businesses in your community.</t>
  </si>
  <si>
    <t>locate</t>
  </si>
  <si>
    <t>[lóukeit]</t>
  </si>
  <si>
    <t>장소(loc)를 찾기 위해 나아가니(t) ‘장소를 알아내다, 자리잡다’</t>
  </si>
  <si>
    <t>장소를 알아내다, 자리잡다</t>
  </si>
  <si>
    <t>Can you help me locate my missing keys?</t>
  </si>
  <si>
    <t>Can you help me (          ) my missing keys?</t>
  </si>
  <si>
    <t>location</t>
  </si>
  <si>
    <t>loc &gt; locate</t>
  </si>
  <si>
    <t>[loukéiʃən]</t>
  </si>
  <si>
    <t>장소를 알아내다(Iocate) +명사(tion) = ‘위치, 장소’</t>
  </si>
  <si>
    <t>위치, 장소</t>
  </si>
  <si>
    <t>The location of the conference is still undecided.</t>
  </si>
  <si>
    <t>The (          ) of the conference is still undecided.</t>
  </si>
  <si>
    <t>allocation</t>
  </si>
  <si>
    <t>[ӕləkéiʃən]</t>
  </si>
  <si>
    <t>모두에게(all) 자리(위치)를 잡아준 것은(locate) ‘할당, 배분’</t>
  </si>
  <si>
    <t>할당, 배분</t>
  </si>
  <si>
    <t>The fair allocation of resources is a challenge.</t>
  </si>
  <si>
    <t>The fair (          ) of resources is a challenge.</t>
  </si>
  <si>
    <t>dislocate</t>
  </si>
  <si>
    <t>[dísloukèit]</t>
  </si>
  <si>
    <t>분리시키니(dis) 잡은 자리(위치)를(Iocate), ‘위치를 바꾸다’</t>
  </si>
  <si>
    <t>위치를 바꾸다</t>
  </si>
  <si>
    <t>The fall caused him to dislocate his shoulder.</t>
  </si>
  <si>
    <t>The fall caused him to (          ) his shoulder.</t>
  </si>
  <si>
    <t>relocate</t>
  </si>
  <si>
    <t>[rilouˈkeit]</t>
  </si>
  <si>
    <t>다시(re) 장소를 잡으니(Iocate) ‘재배치하다’</t>
  </si>
  <si>
    <t>재배치하다</t>
  </si>
  <si>
    <t>The company plans to relocate to a larger office.</t>
  </si>
  <si>
    <t>The company plans to (          ) to a larger office.</t>
  </si>
  <si>
    <t>lock</t>
  </si>
  <si>
    <t>[lak]</t>
  </si>
  <si>
    <t>어떤 장소에 위치하게(Ioc) 놓고 키로(k) ‘잠그다, 자물쇠’</t>
  </si>
  <si>
    <t>잠그다, 자물쇠</t>
  </si>
  <si>
    <t>Don't forget to (          ) the door when you leave.</t>
  </si>
  <si>
    <t>unlock</t>
  </si>
  <si>
    <t>loc &gt; lock</t>
  </si>
  <si>
    <t>[ənlaˈk]</t>
  </si>
  <si>
    <t>반대(un) + 잠그다(lock) = ‘자물쇠를 풀다’</t>
  </si>
  <si>
    <t>자물쇠를 풀다</t>
  </si>
  <si>
    <t>Use this key to unlock the cabinet.</t>
  </si>
  <si>
    <t>Use this key to (          ) the cabinet.</t>
  </si>
  <si>
    <t>locker</t>
  </si>
  <si>
    <t>[lάkər]</t>
  </si>
  <si>
    <t>자물쇠(lock)로 관리하는 ‘사물함’</t>
  </si>
  <si>
    <t>사물함</t>
  </si>
  <si>
    <t>Store your valuables in the locker at the gym.</t>
  </si>
  <si>
    <t>Store your valuables in the (          ) at the gym.</t>
  </si>
  <si>
    <t>interlock</t>
  </si>
  <si>
    <t>[ìntərlάk｜-lɔ́k]</t>
  </si>
  <si>
    <t>상호간에(inter) 자물쇠(Iock)처럼 ‘서로 맞물리게 하다’</t>
  </si>
  <si>
    <t>서로 맞물리게 하다</t>
  </si>
  <si>
    <t>The pieces interlock to form a sturdy structure.</t>
  </si>
  <si>
    <t>The pieces (          ) to form a sturdy structure.</t>
  </si>
  <si>
    <t>flock</t>
  </si>
  <si>
    <t>[flak]</t>
  </si>
  <si>
    <t>빠르게(f) 움직이는데 자물쇠(lock)로 서로를 채우듯이 서로 모여서 하는 ‘떼, 떼를 이루다’</t>
  </si>
  <si>
    <t>떼, 떼를 이루다</t>
  </si>
  <si>
    <t>A flock of geese flew overhead.</t>
  </si>
  <si>
    <t>A (          ) of geese flew overhead.</t>
  </si>
  <si>
    <t>block</t>
  </si>
  <si>
    <t>[blak]</t>
  </si>
  <si>
    <t>터지려는(b) 것을 자물쇠로(Iock) 채우듯이 ‘막다’</t>
  </si>
  <si>
    <t>막다</t>
  </si>
  <si>
    <t>The child built a tower with wooden blocks.</t>
  </si>
  <si>
    <t>The child built a tower with wooden (          )s.</t>
  </si>
  <si>
    <t>blocking</t>
  </si>
  <si>
    <t>loc &gt; lock &gt; block</t>
  </si>
  <si>
    <t>[blάkiŋ]</t>
  </si>
  <si>
    <t>막다(block) + 명사(ing)= ‘방해[저지]하는 것’</t>
  </si>
  <si>
    <t>방해[저지]하는 것</t>
  </si>
  <si>
    <t>Poor parking was blocking the entrance.</t>
  </si>
  <si>
    <t>Poor parking was (          ) the entrance.</t>
  </si>
  <si>
    <t>long</t>
  </si>
  <si>
    <r>
      <rPr>
        <sz val="12"/>
        <color indexed="8"/>
        <rFont val="Apple SD 산돌고딕 Neo 일반체"/>
      </rPr>
      <t>long</t>
    </r>
  </si>
  <si>
    <t>[lɔːŋ]</t>
  </si>
  <si>
    <t>길게(l) 새롭게(n) 축 늘어지니(g) ‘긴’</t>
  </si>
  <si>
    <t>긴</t>
  </si>
  <si>
    <t>The giraffe has a long neck.</t>
  </si>
  <si>
    <t>The giraffe has a (          ) neck.</t>
  </si>
  <si>
    <t>belong</t>
  </si>
  <si>
    <t>[bilɔ́ːŋ, bilάŋ]</t>
  </si>
  <si>
    <t>존재하여(be) 길게(long) 같이 있으면 ‘속하다’</t>
  </si>
  <si>
    <t>속하다</t>
  </si>
  <si>
    <t>These books belong on the top shelf.</t>
  </si>
  <si>
    <t>These books (          ) on the top shelf.</t>
  </si>
  <si>
    <t>prolong</t>
  </si>
  <si>
    <t>[prəlɔ́ːŋ, prəlάŋ]</t>
  </si>
  <si>
    <t>앞으로(pro) 길게(Iong) 나가니 ‘길어지다, 지속되다’</t>
  </si>
  <si>
    <t>길어지다, 지속되다</t>
  </si>
  <si>
    <t>The medication will prolong the effectiveness of the treatment.</t>
  </si>
  <si>
    <t>The medication will (          ) the effectiveness of the treatment.</t>
  </si>
  <si>
    <t>longstanding</t>
  </si>
  <si>
    <t>[lɔˈŋstæˌndiŋ]</t>
  </si>
  <si>
    <t>오랫동안(Iong) 서 있으니(standing) ‘다년간의, 오랫동안에 걸친’</t>
  </si>
  <si>
    <t>다년간의, 오랫동안에 걸친</t>
  </si>
  <si>
    <t>They have a longstanding tradition of family dinners on Sunday.</t>
  </si>
  <si>
    <t>They have a (          ) tradition of family dinners on Sunday.</t>
  </si>
  <si>
    <t>longevity</t>
  </si>
  <si>
    <t>[landʒévəti]</t>
  </si>
  <si>
    <t>길게(long) 오랫동안 갈라진 틈에서(v) 나오는(t) 생명이니 ‘장수’</t>
  </si>
  <si>
    <t>장수</t>
  </si>
  <si>
    <t>Regular exercise contributes to longevity.</t>
  </si>
  <si>
    <t>Regular exercise contributes to (          ).</t>
  </si>
  <si>
    <t>length</t>
  </si>
  <si>
    <t>long(leng)</t>
  </si>
  <si>
    <t>[leŋkθ]</t>
  </si>
  <si>
    <t>긴(long-leng) 정도를 재니 ‘길이, 기간’</t>
  </si>
  <si>
    <t>길이, 기간</t>
  </si>
  <si>
    <t>The length of the pool is 25 meters.</t>
  </si>
  <si>
    <t>The (          ) of the pool is 25 meters.</t>
  </si>
  <si>
    <t>lengthen</t>
  </si>
  <si>
    <t>long(leng) &gt; length</t>
  </si>
  <si>
    <t>[léŋkθən]</t>
  </si>
  <si>
    <t>길이(length) + 동사(en) = ‘길게 하다’</t>
  </si>
  <si>
    <t>길게 하다</t>
  </si>
  <si>
    <t>You can lengthen the dress by adding a ruffle at the bottom.</t>
  </si>
  <si>
    <t>You can (          ) the dress by adding a ruffle at the bottom.</t>
  </si>
  <si>
    <t>longitude</t>
  </si>
  <si>
    <t>[lάndʒətjùːd]</t>
  </si>
  <si>
    <t>위아래로 길게(long) 나아가며(t) 만들어진 선은 ‘경도’</t>
  </si>
  <si>
    <t>경도</t>
  </si>
  <si>
    <t>Lines of longitude run from north to south on a map.</t>
  </si>
  <si>
    <t>Lines of (          ) run from north to south on a map.</t>
  </si>
  <si>
    <t>latitude</t>
  </si>
  <si>
    <t>lay</t>
  </si>
  <si>
    <r>
      <rPr>
        <sz val="12"/>
        <color indexed="8"/>
        <rFont val="Apple SD 산돌고딕 Neo 일반체"/>
      </rPr>
      <t>lay</t>
    </r>
  </si>
  <si>
    <t>[lǽtətjùːd]</t>
  </si>
  <si>
    <t>눕혀(lay-la) 놓아 옆으로 나아가며(t) 그은 선, ‘위도’</t>
  </si>
  <si>
    <t>위도</t>
  </si>
  <si>
    <t>The equator is at zero degrees latitude.</t>
  </si>
  <si>
    <t>The equator is at zero degrees (          ).</t>
  </si>
  <si>
    <t>lot</t>
  </si>
  <si>
    <r>
      <rPr>
        <sz val="12"/>
        <color indexed="8"/>
        <rFont val="Apple SD 산돌고딕 Neo 일반체"/>
      </rPr>
      <t>lot</t>
    </r>
  </si>
  <si>
    <t>[lat]</t>
  </si>
  <si>
    <t>길게(l) 둥근(o) 곳에 세워(t) 놓고 뽑는 ‘제비, 할당된 몫’</t>
  </si>
  <si>
    <t>제비, 할당된 몫</t>
  </si>
  <si>
    <t>They bought a lot of land to build their house.</t>
  </si>
  <si>
    <t>They bought a (          ) of land to build their house.</t>
  </si>
  <si>
    <t>lottery</t>
  </si>
  <si>
    <t>[lάtəri]</t>
  </si>
  <si>
    <t>자기 몫(lot)을 여러 개(y) 번호 중에 뽑는 것은 ‘복권, 추첨, 제비 뽑기’</t>
  </si>
  <si>
    <t>복권, 추첨, 제비 뽑기</t>
  </si>
  <si>
    <t>She won the lottery and became a millionaire overnight.</t>
  </si>
  <si>
    <t>She won the (          ) and became a millionaire overnight.</t>
  </si>
  <si>
    <t>allot</t>
  </si>
  <si>
    <t>[əlάt]</t>
  </si>
  <si>
    <t>모든(all) 사람에게 자기 몫(Iot)을 주는 것은 ‘배당하다, 할당하다’</t>
  </si>
  <si>
    <t>배당하다, 할당하다</t>
  </si>
  <si>
    <t>The teacher will allot fifteen minutes for questions.</t>
  </si>
  <si>
    <t>The teacher will (          ) fifteen minutes for questions.</t>
  </si>
  <si>
    <t>slot</t>
  </si>
  <si>
    <t>[slat]</t>
  </si>
  <si>
    <t>부드럽게 안 보일(s) 정도로 가늘게 생긴 동전 한 몫(lot)을 집어 넣는 ‘가늘고 길쭉한 구멍’</t>
  </si>
  <si>
    <t>가늘고 길쭉한 구멍</t>
  </si>
  <si>
    <t>Insert the card into the slot to activate the machine.</t>
  </si>
  <si>
    <t>Insert the card into the (          ) to activate the machine.</t>
  </si>
  <si>
    <t>plot</t>
  </si>
  <si>
    <t>[plat]</t>
  </si>
  <si>
    <t>폭하고(p) 머리 속에서 튀어나온 이야기의 한 몫(lot)은 ‘줄거리, 음모’</t>
  </si>
  <si>
    <t>줄거리, 음모</t>
  </si>
  <si>
    <t>The plot of the novel involves a murder mystery.</t>
  </si>
  <si>
    <t>The (          ) of the novel involves a murder mystery.</t>
  </si>
  <si>
    <t>blot</t>
  </si>
  <si>
    <t>[blat]</t>
  </si>
  <si>
    <t>갑자기 터져(b) 나온 몫(lot)이니 ‘얼룩, 더러움, 흠’</t>
  </si>
  <si>
    <t>얼룩, 더러움, 흠</t>
  </si>
  <si>
    <t>There was an ink blot on his white shirt.</t>
  </si>
  <si>
    <t>There was an ink (          ) on his white shirt.</t>
  </si>
  <si>
    <t>clot</t>
  </si>
  <si>
    <t>[klat]</t>
  </si>
  <si>
    <t>잡아버리다(c) + 흘러가야 하는 자기 몫(of) = ‘응고하다, 엉긴 덩어리’</t>
  </si>
  <si>
    <t>응고하다, 엉긴 덩어리</t>
  </si>
  <si>
    <t>A blood clot can be dangerous if it reaches the lungs.</t>
  </si>
  <si>
    <t>A blood (          ) can be dangerous if it reaches the lungs.</t>
  </si>
  <si>
    <t>split</t>
  </si>
  <si>
    <t>lot &gt; slit(slot)</t>
  </si>
  <si>
    <t>[split]</t>
  </si>
  <si>
    <t>가느다랗게 베는데(slit-slot) 폭하고(p) 터져버 리니 ‘쪼개다, 나누다’</t>
  </si>
  <si>
    <t>쪼개다, 나누다</t>
  </si>
  <si>
    <t>They decided to split the cost of dinner.</t>
  </si>
  <si>
    <t>They decided to (          ) the cost of dinner.</t>
  </si>
  <si>
    <t>slice</t>
  </si>
  <si>
    <t>[slais]</t>
  </si>
  <si>
    <t>칼로 가느다랗게 베어 썰어서(sli-slit) 손으로 잡을 수(c) 있는 ‘얇은 조각, 자르다’</t>
  </si>
  <si>
    <t>얇은 조각, 자르다</t>
  </si>
  <si>
    <t>Cut a thin slice of bread for the sandwich.</t>
  </si>
  <si>
    <t>Cut a thin (          ) of bread for the sandwich.</t>
  </si>
  <si>
    <t>late</t>
  </si>
  <si>
    <r>
      <rPr>
        <sz val="12"/>
        <color indexed="8"/>
        <rFont val="Apple SD 산돌고딕 Neo 일반체"/>
      </rPr>
      <t>late</t>
    </r>
  </si>
  <si>
    <t>[leit]</t>
  </si>
  <si>
    <t>긴장이 풀어져서(l) 나아가니(t) ‘늦은’</t>
  </si>
  <si>
    <t>늦은</t>
  </si>
  <si>
    <t>Don't be late for the important meeting.</t>
  </si>
  <si>
    <t>Don't be (          ) for the important meeting.</t>
  </si>
  <si>
    <t>lately</t>
  </si>
  <si>
    <t>[léitli]</t>
  </si>
  <si>
    <t>시간적으로 늦게(late) 오래(l) 더 시간이 걸려 오는 것이니 ‘최근에’</t>
  </si>
  <si>
    <t>최근에</t>
  </si>
  <si>
    <t>I haven't seen him lately.</t>
  </si>
  <si>
    <t>I haven't seen him (          ).</t>
  </si>
  <si>
    <t>translate</t>
  </si>
  <si>
    <t>[trænsléit, trænz-]</t>
  </si>
  <si>
    <t>변화시켜서(trans) 원문보다 늦게(late) 오는 것은 ‘번역하다’</t>
  </si>
  <si>
    <t>번역하다</t>
  </si>
  <si>
    <t>Can you translate this document from Spanish to English?</t>
  </si>
  <si>
    <t>Can you (          ) this document from Spanish to English?</t>
  </si>
  <si>
    <t>relate</t>
  </si>
  <si>
    <t>[riléit]</t>
  </si>
  <si>
    <t>다시(re) 늦게까지(Iate) 어울리면 '이야기하다, 관계시키다’</t>
  </si>
  <si>
    <t>이야기하다, 관계시키다</t>
  </si>
  <si>
    <t>The teacher tried to relate complex concepts to everyday examples.</t>
  </si>
  <si>
    <t>The teacher tried to (          ) complex concepts to everyday examples.</t>
  </si>
  <si>
    <t>related</t>
  </si>
  <si>
    <t>late &gt; relate</t>
  </si>
  <si>
    <t>[riléitid]</t>
  </si>
  <si>
    <t>관계시키다(relate) + 과거분사(ed) = ‘관계 있는, 연관된’</t>
  </si>
  <si>
    <t>관계 있는, 연관된</t>
  </si>
  <si>
    <t>Physics and chemistry are closely related sciences.</t>
  </si>
  <si>
    <t>Physics and chemistry are closely (          ) sciences.</t>
  </si>
  <si>
    <t>relative</t>
  </si>
  <si>
    <t>[rélətiv]</t>
  </si>
  <si>
    <t>관계시키다(relate) + 형용사(ive) = ‘관계가 있 는, 상대적인, 친척’</t>
  </si>
  <si>
    <t>관계가 있 는, 상대적인, 친척</t>
  </si>
  <si>
    <t>Many relatives attended the family reunion.</t>
  </si>
  <si>
    <t>Many (          )s attended the family reunion.</t>
  </si>
  <si>
    <t>collect</t>
  </si>
  <si>
    <t>lect</t>
  </si>
  <si>
    <r>
      <rPr>
        <sz val="12"/>
        <color indexed="8"/>
        <rFont val="Apple SD 산돌고딕 Neo 일반체"/>
      </rPr>
      <t>lect</t>
    </r>
  </si>
  <si>
    <t>[kəlékt]</t>
  </si>
  <si>
    <t>여러가지를 함께(co) 모으니(ect) ‘수집하다, 모으다’</t>
  </si>
  <si>
    <t>수집하다, 모으다</t>
  </si>
  <si>
    <t>Children collect colorful autumn leaves.</t>
  </si>
  <si>
    <t>Children (          ) colorful autumn leaves.</t>
  </si>
  <si>
    <t>collective</t>
  </si>
  <si>
    <t>lect &gt; collect</t>
  </si>
  <si>
    <t>[kəléktiv]</t>
  </si>
  <si>
    <t>수집하다, 모으다(collect) + 형용사(ive) = ‘모인, 집합적인’</t>
  </si>
  <si>
    <t>모인, 집합적인</t>
  </si>
  <si>
    <t>Farming cooperatives make collective decisions.</t>
  </si>
  <si>
    <t>Farming cooperatives make (          ) decisions.</t>
  </si>
  <si>
    <t>recollect</t>
  </si>
  <si>
    <t>[rèkəlékt]</t>
  </si>
  <si>
    <t>다시(re) 기억을 수집해 모으니(collect) ‘회상하다’</t>
  </si>
  <si>
    <t>회상하다</t>
  </si>
  <si>
    <t>I can't recollect where I put my keys.</t>
  </si>
  <si>
    <t>I can't (          ) where I put my keys.</t>
  </si>
  <si>
    <t>select</t>
  </si>
  <si>
    <t>[silékt]</t>
  </si>
  <si>
    <t>잘라서(se) 모으니(lect) ‘고르다, 선발하다’</t>
  </si>
  <si>
    <t>고르다, 선발하다</t>
  </si>
  <si>
    <t>Select the best candidate for the position.</t>
  </si>
  <si>
    <r>
      <rPr>
        <sz val="12"/>
        <color indexed="8"/>
        <rFont val="Arial"/>
      </rPr>
      <t>Select the best candidate for the position.</t>
    </r>
  </si>
  <si>
    <t>intellect</t>
  </si>
  <si>
    <t>[íntəlèkt]</t>
  </si>
  <si>
    <t>사이로(inter) 들어가 제대로 정보를 모으는(lect) 능력은 ‘지성, 지력’</t>
  </si>
  <si>
    <t>지성, 지력</t>
  </si>
  <si>
    <t>He was admired for his keen intellect.</t>
  </si>
  <si>
    <t>He was admired for his keen (          ).</t>
  </si>
  <si>
    <t>lecture</t>
  </si>
  <si>
    <t>[lékʧər]</t>
  </si>
  <si>
    <t>내용들을 모아서(lect) 수준이 아래쪽인(u) 학생들에게 힘있게(r) 전달하는 ‘강의’</t>
  </si>
  <si>
    <t>강의</t>
  </si>
  <si>
    <t>The professor gave an interesting lecture on climate change.</t>
  </si>
  <si>
    <t>The professor gave an interesting (          ) on climate change.</t>
  </si>
  <si>
    <t>neglect</t>
  </si>
  <si>
    <t>[niglékt]</t>
  </si>
  <si>
    <t>반대(neg) + 모으다(lect) = ‘등한시하다, 무시하다’</t>
  </si>
  <si>
    <t>등한시하다, 무시하다</t>
  </si>
  <si>
    <t>Don't neglect your health during busy times.</t>
  </si>
  <si>
    <t>Don't (          ) your health during busy times.</t>
  </si>
  <si>
    <t>elect</t>
  </si>
  <si>
    <t>[ilékt]</t>
  </si>
  <si>
    <t>밖으로(e) 골라내니(lect) ‘선출하다’</t>
  </si>
  <si>
    <t>선출하다</t>
  </si>
  <si>
    <t>The people will elect a new president in November.</t>
  </si>
  <si>
    <t>The people will (          ) a new president in November.</t>
  </si>
  <si>
    <t>liberal</t>
  </si>
  <si>
    <t>lib</t>
  </si>
  <si>
    <r>
      <rPr>
        <sz val="12"/>
        <color indexed="8"/>
        <rFont val="Apple SD 산돌고딕 Neo 일반체"/>
      </rPr>
      <t>lib</t>
    </r>
  </si>
  <si>
    <t>[líbərəl]</t>
  </si>
  <si>
    <t>자유로운(lib) 사람의(er) 모든(all) 성향은 ‘자유주의의, 진보적인, 개혁적인’</t>
  </si>
  <si>
    <t>자유주의의, 진보적인, 개혁적인</t>
  </si>
  <si>
    <t>The college has a liberal arts curriculum.</t>
  </si>
  <si>
    <t>The college has a (          ) arts curriculum.</t>
  </si>
  <si>
    <t>liberate</t>
  </si>
  <si>
    <t>lib(liber)</t>
  </si>
  <si>
    <t>[líbərèit]</t>
  </si>
  <si>
    <t>자유롭게(liber) 나아가게(t)하니 ‘자유롭게 하다’</t>
  </si>
  <si>
    <t>자유롭게 하다</t>
  </si>
  <si>
    <t>The army helped liberate the occupied town.</t>
  </si>
  <si>
    <t>The army helped (          ) the occupied town.</t>
  </si>
  <si>
    <t>library</t>
  </si>
  <si>
    <t>[láibrèri]</t>
  </si>
  <si>
    <t>자유롭게(lib) 희귀한(rary-rare) 책을 빌려보는 ‘도서관’</t>
  </si>
  <si>
    <t>도서관</t>
  </si>
  <si>
    <t>The public library offers free internet access.</t>
  </si>
  <si>
    <t>The public (          ) offers free internet access.</t>
  </si>
  <si>
    <t>deliberate</t>
  </si>
  <si>
    <t>[dilíbərət]</t>
  </si>
  <si>
    <t>저하시키는(de) 것이 자유롭게(liber) 생각하던 것이므로 ‘신중히 생각하다’</t>
  </si>
  <si>
    <t>신중히 생각하다</t>
  </si>
  <si>
    <t>The jury's deliberate consideration led to a fair verdict.</t>
  </si>
  <si>
    <t>The jury's (          ) consideration led to a fair verdict.</t>
  </si>
  <si>
    <t>deliver</t>
  </si>
  <si>
    <t>[dilívər]</t>
  </si>
  <si>
    <t>잡고 있던 화물을 아래로(de) 자유롭게(liber)하니 ‘배달하다, 전달하다’</t>
  </si>
  <si>
    <t>배달하다, 전달하다</t>
  </si>
  <si>
    <t>The postal service delivers mail six days a week.</t>
  </si>
  <si>
    <t>The postal service (          )s mail six days a week.</t>
  </si>
  <si>
    <t>slide</t>
  </si>
  <si>
    <t>lide</t>
  </si>
  <si>
    <r>
      <rPr>
        <sz val="12"/>
        <color indexed="8"/>
        <rFont val="Apple SD 산돌고딕 Neo 일반체"/>
      </rPr>
      <t>lide</t>
    </r>
  </si>
  <si>
    <t>[slaid]</t>
  </si>
  <si>
    <t>부드럽게(s) 미끄러지니(lide) ‘미끄러지다’</t>
  </si>
  <si>
    <t>Children enjoy sliding down the playground slide.</t>
  </si>
  <si>
    <t>Children enjoy sliding down the playground (          ).</t>
  </si>
  <si>
    <t>sled</t>
  </si>
  <si>
    <t>lide(led)</t>
  </si>
  <si>
    <t>[sled]</t>
  </si>
  <si>
    <t>부드럽게(s) 미끄러지는(led-lide) ‘썰매, 썰매를 타다’</t>
  </si>
  <si>
    <t>썰매, 썰매를 타다</t>
  </si>
  <si>
    <t>In winter, they use a sled to travel across the snow.</t>
  </si>
  <si>
    <t>In winter, they use a (          ) to travel across the snow.</t>
  </si>
  <si>
    <t>glide</t>
  </si>
  <si>
    <t>[glaid]</t>
  </si>
  <si>
    <t>깊은 곳으로(g) 당기듯이 미끄러지니(lid) ‘활주하다’</t>
  </si>
  <si>
    <t>활주하다</t>
  </si>
  <si>
    <t>The swan glides gracefully across the lake.</t>
  </si>
  <si>
    <t>The swan (          )s gracefully across the lake.</t>
  </si>
  <si>
    <t>collide</t>
  </si>
  <si>
    <t>[kəláid]</t>
  </si>
  <si>
    <t>함께(co) 미끄러져서(lide) ‘충돌하다’</t>
  </si>
  <si>
    <t>충돌하다</t>
  </si>
  <si>
    <t>The two cars collide at the intersection.</t>
  </si>
  <si>
    <t>The two cars (          ) at the intersection.</t>
  </si>
  <si>
    <t>low</t>
  </si>
  <si>
    <r>
      <rPr>
        <sz val="12"/>
        <color indexed="8"/>
        <rFont val="Apple SD 산돌고딕 Neo 일반체"/>
      </rPr>
      <t>low</t>
    </r>
  </si>
  <si>
    <t>[lou]</t>
  </si>
  <si>
    <t>길게(l) 공(o)이 굴러가듯이 물결처럼 흘러(w)가는 ‘아래쪽, 낮은’</t>
  </si>
  <si>
    <t>아래쪽, 낮은</t>
  </si>
  <si>
    <t>Keep your voice low in the library.</t>
  </si>
  <si>
    <t>Keep your voice (          ) in the library.</t>
  </si>
  <si>
    <t>lower</t>
  </si>
  <si>
    <t>[lóuər]</t>
  </si>
  <si>
    <t>낮은(low) + 동사화(er) = ‘낮추다’</t>
  </si>
  <si>
    <t>낮추다</t>
  </si>
  <si>
    <t>Lower the volume of the music, please.</t>
  </si>
  <si>
    <r>
      <rPr>
        <sz val="12"/>
        <color indexed="8"/>
        <rFont val="Arial"/>
      </rPr>
      <t>Lower the volume of the music, please.</t>
    </r>
  </si>
  <si>
    <t>flow</t>
  </si>
  <si>
    <t>[flou]</t>
  </si>
  <si>
    <t>가볍게(f) 낮은(Iow) 곳으로 ‘흐르다’</t>
  </si>
  <si>
    <t>흐르다</t>
  </si>
  <si>
    <t>The river flows from the mountains to the sea.</t>
  </si>
  <si>
    <t>The river (          )s from the mountains to the sea.</t>
  </si>
  <si>
    <t>slow</t>
  </si>
  <si>
    <t>[slou]</t>
  </si>
  <si>
    <t>움직임이 보이지 않고(s) 낮은(low) 속도로 가니 ‘느린, 더딘’</t>
  </si>
  <si>
    <t>느린, 더딘</t>
  </si>
  <si>
    <t>Drive slow in school zones.</t>
  </si>
  <si>
    <t>Drive (          ) in school zones.</t>
  </si>
  <si>
    <t>plow</t>
  </si>
  <si>
    <t>[plau]</t>
  </si>
  <si>
    <t>폭하는(p) 힘으로 땅 아래를(low) 파는 ‘쟁기’</t>
  </si>
  <si>
    <t>쟁기</t>
  </si>
  <si>
    <t>Farmers use a plow to prepare fields for planting.</t>
  </si>
  <si>
    <t>Farmers use a (          ) to prepare fields for planting.</t>
  </si>
  <si>
    <t>allow</t>
  </si>
  <si>
    <t>[əláu]</t>
  </si>
  <si>
    <t>모든(all) 것을 아래(low) 사람에게 하도록 ‘허락하다, 허가하다’</t>
  </si>
  <si>
    <t>허락하다, 허가하다</t>
  </si>
  <si>
    <t>The rules allow for some flexibility.</t>
  </si>
  <si>
    <t>The rules (          ) for some flexibility.</t>
  </si>
  <si>
    <t>disallow</t>
  </si>
  <si>
    <t>low &gt; allow</t>
  </si>
  <si>
    <t>[dìsəláu]</t>
  </si>
  <si>
    <t>반대(dis)로 허락하니(allow) ‘금하다’</t>
  </si>
  <si>
    <t>금하다</t>
  </si>
  <si>
    <t>The referee will disallow the goal due to a foul.</t>
  </si>
  <si>
    <t>The referee will (          ) the goal due to a foul.</t>
  </si>
  <si>
    <t>slip</t>
  </si>
  <si>
    <t>sl</t>
  </si>
  <si>
    <r>
      <rPr>
        <sz val="12"/>
        <color indexed="8"/>
        <rFont val="Apple SD 산돌고딕 Neo 일반체"/>
      </rPr>
      <t>sl</t>
    </r>
  </si>
  <si>
    <t>[slip]</t>
  </si>
  <si>
    <t>미끄러져서(sI) 폭하고(p) 어떤 지점에 부딪히는 동작 ‘미끄러지다’</t>
  </si>
  <si>
    <t>Be careful not to slip on the icy sidewalk.</t>
  </si>
  <si>
    <t>Be careful not to (          ) on the icy sidewalk.</t>
  </si>
  <si>
    <t>slipper</t>
  </si>
  <si>
    <t>sl &gt; slip</t>
  </si>
  <si>
    <t>[slípər]</t>
  </si>
  <si>
    <t>미끄러지듯이(slip) 발을 들여 놓는 것은(er) ‘실내화, 슬리퍼’</t>
  </si>
  <si>
    <t>실내화, 슬리퍼</t>
  </si>
  <si>
    <t>She put on comfortable slippers after work.</t>
  </si>
  <si>
    <t>She put on comfortable (          )s after work.</t>
  </si>
  <si>
    <t>slope</t>
  </si>
  <si>
    <t>[sloup]</t>
  </si>
  <si>
    <t>미끄러져(sI) 가지만 가끔 가다 폭(p) 하고 튀어 나온 부분도 있는 ‘경사, 비탈’</t>
  </si>
  <si>
    <t>경사, 비탈</t>
  </si>
  <si>
    <t>Skiers enjoy the gentle slope of this mountain.</t>
  </si>
  <si>
    <t>Skiers enjoy the gentle (          ) of this mountain.</t>
  </si>
  <si>
    <t>스르륵 미끄러지듯(sI) 오래(ee) 자다가 나중에 폭하고(p) 깨기도 하니 ‘잠을 자다’</t>
  </si>
  <si>
    <t>잠을 자다</t>
  </si>
  <si>
    <t>sleeve</t>
  </si>
  <si>
    <t>[sliːv]</t>
  </si>
  <si>
    <t>옷을 벗을 때 미끄러지듯이(sI) 죽죽(ee) 갈라진 틈(v)으로 팔을 빼 내는 ‘소매’</t>
  </si>
  <si>
    <t>소매</t>
  </si>
  <si>
    <t>His shirt has long sleeves for cold weather.</t>
  </si>
  <si>
    <t>His shirt has long (          )s for cold weather.</t>
  </si>
  <si>
    <t>slim</t>
  </si>
  <si>
    <t>[slim]</t>
  </si>
  <si>
    <t>미끄러지듯이(sl) 몸매의 움직임이(m) 나타나면 ‘호리호리한’</t>
  </si>
  <si>
    <t>호리호리한</t>
  </si>
  <si>
    <t>Regular exercise helps maintain a slim figure.</t>
  </si>
  <si>
    <t>Regular exercise helps maintain a (          ) figure.</t>
  </si>
  <si>
    <t>slime</t>
  </si>
  <si>
    <t>sl &gt; slim</t>
  </si>
  <si>
    <t>[slaim]</t>
  </si>
  <si>
    <t>호리호리한(slim) 몸으로 입구를(e) 빠져 나가니 ‘슬쩍 빠져 나가다’</t>
  </si>
  <si>
    <t>슬쩍 빠져 나가다</t>
  </si>
  <si>
    <t>Children enjoy playing with colorful slime.</t>
  </si>
  <si>
    <t>Children enjoy playing with colorful (          ).</t>
  </si>
  <si>
    <t>slender</t>
  </si>
  <si>
    <t>[sléndər]</t>
  </si>
  <si>
    <t>미끄러지듯이(s) 몸 라인이 끝까지(end) 쫙 빠졌으니 ‘가날픈, 가느다란’</t>
  </si>
  <si>
    <t>가날픈, 가느다란</t>
  </si>
  <si>
    <t>The vase has a slender neck and wide base.</t>
  </si>
  <si>
    <t>The vase has a (          ) neck and wide base.</t>
  </si>
  <si>
    <t>slam</t>
  </si>
  <si>
    <t>[slæm]</t>
  </si>
  <si>
    <t>문이 미끄러지듯(sl) 움직이면(m) 끝에 가서 ‘쾅 닫힌다, 쾅 닫다’</t>
  </si>
  <si>
    <t>쾅 닫힌다, 쾅 닫다</t>
  </si>
  <si>
    <t>Don't slam the door when you leave.</t>
  </si>
  <si>
    <t>Don't (          ) the door when you leave.</t>
  </si>
  <si>
    <t>slate</t>
  </si>
  <si>
    <t>[sleit]</t>
  </si>
  <si>
    <t>미끄러운(sl) 표면을 가지고 있고 세워(t) 놓은 면은 ‘슬레이트’</t>
  </si>
  <si>
    <t>슬레이트</t>
  </si>
  <si>
    <t>The house has a slate roof that lasts for decades.</t>
  </si>
  <si>
    <t>The house has a (          ) roof that lasts for decades.</t>
  </si>
  <si>
    <t>mankind</t>
  </si>
  <si>
    <t>man</t>
  </si>
  <si>
    <r>
      <rPr>
        <sz val="12"/>
        <color indexed="8"/>
        <rFont val="Apple SD 산돌고딕 Neo 일반체"/>
      </rPr>
      <t>man</t>
    </r>
  </si>
  <si>
    <t>[mæˈnkaiˈnd]</t>
  </si>
  <si>
    <t>한 사람(man)에서 확장해 간 종류(kind)이니 ‘인류’</t>
  </si>
  <si>
    <t>인류</t>
  </si>
  <si>
    <t>The discovery changed mankind's understanding of the universe.</t>
  </si>
  <si>
    <t>The discovery changed (          )'s understanding of the universe.</t>
  </si>
  <si>
    <t>manager</t>
  </si>
  <si>
    <t>[mǽnidʒər]</t>
  </si>
  <si>
    <t>사람의 손(man)으로 오랫동안(age) 관리하는 사람이니(er) ‘경영자, 관리인’</t>
  </si>
  <si>
    <t>경영자, 관리인</t>
  </si>
  <si>
    <t>The store manager resolved the customer's complaint.</t>
  </si>
  <si>
    <t>The store (          ) resolved the customer's complaint.</t>
  </si>
  <si>
    <t>managerial</t>
  </si>
  <si>
    <t>man &gt; manage</t>
  </si>
  <si>
    <t>[mӕnidʒíəriəl]</t>
  </si>
  <si>
    <t>관리하는(manage) 모든(al) 것과 관련되니 ‘관리의, 경영의’</t>
  </si>
  <si>
    <t>관리의, 경영의</t>
  </si>
  <si>
    <t>She has strong managerial skills from years of experience.</t>
  </si>
  <si>
    <t>She has strong (          ) skills from years of experience.</t>
  </si>
  <si>
    <t>손(man)을 돌보니(cure) ‘매니큐어’</t>
  </si>
  <si>
    <t>매니큐어</t>
  </si>
  <si>
    <t>manner</t>
  </si>
  <si>
    <t>[mǽnər]</t>
  </si>
  <si>
    <t>사람의 손(man)으로 힘있게(r) 해 내는 ‘방법, 태도’</t>
  </si>
  <si>
    <t>방법, 태도</t>
  </si>
  <si>
    <t>His polite manner impressed the interviewers.</t>
  </si>
  <si>
    <t>His polite (          ) impressed the interviewers.</t>
  </si>
  <si>
    <t>manual</t>
  </si>
  <si>
    <t>[mǽnjuəl]</t>
  </si>
  <si>
    <t>손에(man) 모든 것을(all) 쥐게 하니 ‘교본, 손을 쓰는’</t>
  </si>
  <si>
    <t>교본, 손을 쓰는</t>
  </si>
  <si>
    <t>Read the manual before operating the machinery.</t>
  </si>
  <si>
    <t>Read the (          ) before operating the machinery.</t>
  </si>
  <si>
    <t>manifest</t>
  </si>
  <si>
    <t>[mǽnəfèst]</t>
  </si>
  <si>
    <t>손으로(man) 축제, 파티(fest-festval)를 잘 조직하니 ‘일목요연한, 분명한’</t>
  </si>
  <si>
    <t>일목요연한, 분명한</t>
  </si>
  <si>
    <t>The ship's manifest lists all cargo and passengers.</t>
  </si>
  <si>
    <t>The ship's (          ) lists all cargo and passengers.</t>
  </si>
  <si>
    <t>manipulate</t>
  </si>
  <si>
    <t>[mənípjulèit]</t>
  </si>
  <si>
    <t>사람의 손(man)으로 폭(p) 튀어 나온 긴(l) 핸 들을 잡고 ‘잘 다루다, 조작하다’</t>
  </si>
  <si>
    <t>잘 다루다, 조작하다</t>
  </si>
  <si>
    <t>Don't let others manipulate your decisions.</t>
  </si>
  <si>
    <t>Don't let others (          ) your decisions.</t>
  </si>
  <si>
    <t>mantle</t>
  </si>
  <si>
    <t>[mǽntl]</t>
  </si>
  <si>
    <t>사람(man)에게 접촉(t)해서 길게(l) 덮어 주는 옷, ‘덮개, 망토’</t>
  </si>
  <si>
    <t>덮개, 망토</t>
  </si>
  <si>
    <t>The Earth's mantle lies between the crust and the core.</t>
  </si>
  <si>
    <t>The Earth's (          ) lies between the crust and the core.</t>
  </si>
  <si>
    <t>dismantle</t>
  </si>
  <si>
    <t>man &gt; mantle</t>
  </si>
  <si>
    <t>[dismǽntl]</t>
  </si>
  <si>
    <t>분리(dis)시키는 것이 덮개(mantle)이니 ‘제거하다, 철거하다’</t>
  </si>
  <si>
    <t>제거하다, 철거하다</t>
  </si>
  <si>
    <t>Workers will dismantle the old bridge.</t>
  </si>
  <si>
    <t>Workers will (          ) the old bridge.</t>
  </si>
  <si>
    <t>command</t>
  </si>
  <si>
    <t>mand</t>
  </si>
  <si>
    <r>
      <rPr>
        <sz val="12"/>
        <color indexed="8"/>
        <rFont val="Apple SD 산돌고딕 Neo 일반체"/>
      </rPr>
      <t>mand</t>
    </r>
  </si>
  <si>
    <t>[kəmǽnd]</t>
  </si>
  <si>
    <t>상관과 부하가 함께(com) 있으면서 명령하게(mand) 되니 ‘명령하다’</t>
  </si>
  <si>
    <t>명령하다</t>
  </si>
  <si>
    <t>The captain gave the command to abandon ship.</t>
  </si>
  <si>
    <t>The captain gave the (          ) to abandon ship.</t>
  </si>
  <si>
    <t>mandate</t>
  </si>
  <si>
    <t>[mǽndeit]</t>
  </si>
  <si>
    <t>명령하여(mand) 권한의 날짜도(date) 정하여 ‘위임하다’</t>
  </si>
  <si>
    <t>위임하다</t>
  </si>
  <si>
    <t>The company has a mandate to reduce carbon emissions.</t>
  </si>
  <si>
    <t>The company has a (          ) to reduce carbon emissions.</t>
  </si>
  <si>
    <t>mandatory</t>
  </si>
  <si>
    <t>mand &gt; mandate</t>
  </si>
  <si>
    <t>[mǽndətɔ̀ːri]</t>
  </si>
  <si>
    <t>위에서 위임한(mandate-mandat) 일이어서 ‘의무적인’</t>
  </si>
  <si>
    <t>의무적인</t>
  </si>
  <si>
    <t>Attendance at the safety training is mandatory.</t>
  </si>
  <si>
    <t>Attendance at the safety training is (          ).</t>
  </si>
  <si>
    <t>demand</t>
  </si>
  <si>
    <t>[dimǽnd]</t>
  </si>
  <si>
    <t>아래로(de) 명령하니(mand) ‘요구하다’</t>
  </si>
  <si>
    <t>요구하다</t>
  </si>
  <si>
    <t>Consumer demand for organic products is increasing.</t>
  </si>
  <si>
    <t>Consumer (          ) for organic products is increasing.</t>
  </si>
  <si>
    <t>demanding</t>
  </si>
  <si>
    <t>mand &gt; demand</t>
  </si>
  <si>
    <t>[dimǽndiŋ]</t>
  </si>
  <si>
    <t>요구가(demand) 진행 중(ing)이니 ‘요구가 지나친’</t>
  </si>
  <si>
    <t>요구가 지나친</t>
  </si>
  <si>
    <t>Nursing is physically and emotionally demanding work.</t>
  </si>
  <si>
    <t>Nursing is physically and emotionally (          ) work.</t>
  </si>
  <si>
    <t>middle</t>
  </si>
  <si>
    <t>m</t>
  </si>
  <si>
    <r>
      <rPr>
        <sz val="12"/>
        <color indexed="8"/>
        <rFont val="Apple SD 산돌고딕 Neo 일반체"/>
      </rPr>
      <t>med</t>
    </r>
  </si>
  <si>
    <t>[mídl]</t>
  </si>
  <si>
    <t>움직여(m) 가다가 안쪽(i) 아래로(d) 쑥 들어가 게 되는 지점이니 ‘한가운데의, 중간의’</t>
  </si>
  <si>
    <t>한가운데의, 중간의</t>
  </si>
  <si>
    <t>She sat in the middle of the classroom.</t>
  </si>
  <si>
    <t>She sat in the (          ) of the classroom.</t>
  </si>
  <si>
    <t>medium</t>
  </si>
  <si>
    <t>med</t>
  </si>
  <si>
    <t>[míːdiəm]</t>
  </si>
  <si>
    <t>중간(med) 부분이니 ‘중간의, 보통의’</t>
  </si>
  <si>
    <t>중간의, 보통의</t>
  </si>
  <si>
    <t>The artist prefers oil paints as a medium.</t>
  </si>
  <si>
    <t>The artist prefers oil paints as a (          ).</t>
  </si>
  <si>
    <t>media</t>
  </si>
  <si>
    <t>[míːdiə]</t>
  </si>
  <si>
    <t>중간(med) 역할을 하는 ‘대중매체’</t>
  </si>
  <si>
    <t>대중매체</t>
  </si>
  <si>
    <t>Social media influences public opinion.</t>
  </si>
  <si>
    <t>Social (          ) influences public opinion.</t>
  </si>
  <si>
    <t>mediate</t>
  </si>
  <si>
    <t>med &gt; media</t>
  </si>
  <si>
    <t>[míːdièit]</t>
  </si>
  <si>
    <t>대중매체(media)가 중간에서 소식을 전해 주듯이 중간에 서서(t) ‘중재하다, 조정하다’</t>
  </si>
  <si>
    <t>중재하다, 조정하다</t>
  </si>
  <si>
    <t>A professional will mediate the negotiations.</t>
  </si>
  <si>
    <t>A professional will (          ) the negotiations.</t>
  </si>
  <si>
    <t>intermediate</t>
  </si>
  <si>
    <t>med &gt; mediate</t>
  </si>
  <si>
    <t>[ìntərmíːdiət]</t>
  </si>
  <si>
    <t>상호간에(inter) 중재하려면(mediate) ‘중간의’ 입장이 되어야 한다</t>
  </si>
  <si>
    <t>중간의</t>
  </si>
  <si>
    <t>She has intermediate knowledge of Spanish.</t>
  </si>
  <si>
    <t>She has (          ) knowledge of Spanish.</t>
  </si>
  <si>
    <t>meditate</t>
  </si>
  <si>
    <t>[médətèit]</t>
  </si>
  <si>
    <t>치우치지 않고 중간(med)에 서서(t) 생각하니 ‘숙고하다, 계획하다’</t>
  </si>
  <si>
    <t>숙고하다, 계획하다</t>
  </si>
  <si>
    <t>Many people meditate to reduce stress.</t>
  </si>
  <si>
    <t>Many people (          ) to reduce stress.</t>
  </si>
  <si>
    <t>medicine</t>
  </si>
  <si>
    <t>[médəsin]</t>
  </si>
  <si>
    <t>독을 중화(med) 시키기 위해 잡아서(c) 안(in)으로 먹는 ‘약’</t>
  </si>
  <si>
    <t>약</t>
  </si>
  <si>
    <t>Take your medicine according to the doctor's instructions.</t>
  </si>
  <si>
    <t>Take your (          ) according to the doctor's instructions.</t>
  </si>
  <si>
    <t>medical</t>
  </si>
  <si>
    <t>med &gt; medicine</t>
  </si>
  <si>
    <t>[médikəl]</t>
  </si>
  <si>
    <t>약(medicine) + 형용사(al) = ‘의학의, 의료의’</t>
  </si>
  <si>
    <t>의학의, 의료의</t>
  </si>
  <si>
    <t>The hospital provides excellent medical care.</t>
  </si>
  <si>
    <t>The hospital provides excellent (          ) care.</t>
  </si>
  <si>
    <t>remedy</t>
  </si>
  <si>
    <t>[rémədi]</t>
  </si>
  <si>
    <t>다시(re) 독을 중화시켜(med) 치료하는 ‘치료(약)’</t>
  </si>
  <si>
    <t>치료(약)</t>
  </si>
  <si>
    <t>Sleep is the best remedy for fatigue.</t>
  </si>
  <si>
    <t>Sleep is the best (          ) for fatigue.</t>
  </si>
  <si>
    <t>immediate</t>
  </si>
  <si>
    <t>[imíːdiət]</t>
  </si>
  <si>
    <t>안 거치는 것이(im-in-not) 중간이니(med) ‘즉시의’</t>
  </si>
  <si>
    <t>즉시의</t>
  </si>
  <si>
    <t>The situation requires immediate attention.</t>
  </si>
  <si>
    <t>The situation requires (          ) attention.</t>
  </si>
  <si>
    <t>medieval</t>
  </si>
  <si>
    <t>[mìːdiíːvəl, mè-]</t>
  </si>
  <si>
    <t>중간(med)에 있는 밤(eve) 같은 시대이니 ‘중세의’</t>
  </si>
  <si>
    <t>중세의</t>
  </si>
  <si>
    <t>The museum displays medieval armor and weapons.</t>
  </si>
  <si>
    <t>The museum displays (          ) armor and weapons.</t>
  </si>
  <si>
    <t>Mediterranean</t>
  </si>
  <si>
    <t>[mèdətəréiniən]</t>
  </si>
  <si>
    <t>중간에(med) 있고, 주위에 육지가(territory) 둘러싼 ‘지중해의’</t>
  </si>
  <si>
    <t>지중해의</t>
  </si>
  <si>
    <t>Olive oil is a staple in Mediterranean cuisine.</t>
  </si>
  <si>
    <t>Olive oil is a staple in (          ) cuisine.</t>
  </si>
  <si>
    <t>model</t>
  </si>
  <si>
    <t>mod(mid)</t>
  </si>
  <si>
    <r>
      <rPr>
        <sz val="12"/>
        <color indexed="8"/>
        <rFont val="Apple SD 산돌고딕 Neo 일반체"/>
      </rPr>
      <t>mod(mid)</t>
    </r>
  </si>
  <si>
    <t>[mάdl]</t>
  </si>
  <si>
    <t>중간이(mod) 되는 ‘표준, 기준’</t>
  </si>
  <si>
    <t>표준, 기준</t>
  </si>
  <si>
    <t>She works as a fashion model in Paris.</t>
  </si>
  <si>
    <t>She works as a fashion (          ) in Paris.</t>
  </si>
  <si>
    <t>modern</t>
  </si>
  <si>
    <t>[mάdərn]</t>
  </si>
  <si>
    <t>과거와 미래의 중간(mod)이니 ‘현대의, 요즈음의’</t>
  </si>
  <si>
    <t>현대의, 요즈음의</t>
  </si>
  <si>
    <t>The house has a modern design with clean lines.</t>
  </si>
  <si>
    <t>The house has a (          ) design with clean lines.</t>
  </si>
  <si>
    <t>commode</t>
  </si>
  <si>
    <t>mod(mid) &gt; mode</t>
  </si>
  <si>
    <t>[kəmóud]</t>
  </si>
  <si>
    <t>함께(com) 여러 형태를(mode) 모아놓은 ‘서랍장’</t>
  </si>
  <si>
    <t>서랍장</t>
  </si>
  <si>
    <t>The antique commode was sold at auction.</t>
  </si>
  <si>
    <t>The antique (          ) was sold at auction.</t>
  </si>
  <si>
    <t>mod(mid) &gt; commode</t>
  </si>
  <si>
    <t>서랍장(commode) 같은 생활에 꼭 필요한 물품들을 세워서(t) 갖춰야하는 여러가지이니 ‘일용품, 필수품’</t>
  </si>
  <si>
    <t>accommodate</t>
  </si>
  <si>
    <t>[əkάmədèit]</t>
  </si>
  <si>
    <t>잡다(ac) 서랍장이(commode) 있는 방을, 지낼 ‘공간을 제공하다, 수용하다’</t>
  </si>
  <si>
    <t>공간을 제공하다, 수용하다</t>
  </si>
  <si>
    <t>The hotel can accommodate up to 500 guests.</t>
  </si>
  <si>
    <t>The hotel can (          ) up to 500 guests.</t>
  </si>
  <si>
    <t>modify</t>
  </si>
  <si>
    <t>[mάdəfài]</t>
  </si>
  <si>
    <t>중간, 표준에(mod) 맞춰 만드니(fy) ‘수정하다, 변경하다’</t>
  </si>
  <si>
    <t>수정하다, 변경하다</t>
  </si>
  <si>
    <t>You may need to modify the recipe for high altitude.</t>
  </si>
  <si>
    <t>You may need to (          ) the recipe for high altitude.</t>
  </si>
  <si>
    <t>moderate</t>
  </si>
  <si>
    <t>[mάdərət]</t>
  </si>
  <si>
    <t>중간의(mod) 비율(rate)을 가졌으니 ‘온건한, 보통의, 적절한’</t>
  </si>
  <si>
    <t>온건한, 보통의, 적절한</t>
  </si>
  <si>
    <t>Exercise at a moderate pace to avoid injury.</t>
  </si>
  <si>
    <t>Exercise at a (          ) pace to avoid injury.</t>
  </si>
  <si>
    <t>modest</t>
  </si>
  <si>
    <t>[mάdist]</t>
  </si>
  <si>
    <t>중간(mod) 상태로 서니(st) ‘알맞은, 겸손한’</t>
  </si>
  <si>
    <t>알맞은, 겸손한</t>
  </si>
  <si>
    <t>Despite her success, she remains modest about her achievements.</t>
  </si>
  <si>
    <t>Despite her success, she remains (          ) about her achievements.</t>
  </si>
  <si>
    <t>memorandum</t>
  </si>
  <si>
    <t>memo</t>
  </si>
  <si>
    <r>
      <rPr>
        <sz val="12"/>
        <color indexed="8"/>
        <rFont val="Apple SD 산돌고딕 Neo 일반체"/>
      </rPr>
      <t>memo</t>
    </r>
  </si>
  <si>
    <t>[mèmərǽndəm]</t>
  </si>
  <si>
    <t>생각이 움직여(memo) 나가며 임의로(random) 쓴 ‘메모, (사건 따위의) 기록’</t>
  </si>
  <si>
    <t>메모, (사건 따위의) 기록</t>
  </si>
  <si>
    <t>The CEO sent a memorandum to all employees.</t>
  </si>
  <si>
    <t>The CEO sent a (          ) to all employees.</t>
  </si>
  <si>
    <t>memoir</t>
  </si>
  <si>
    <t>[mémwaːr]</t>
  </si>
  <si>
    <t>메모(memo)를 통해 나 자신의(i) 얘기를 쓴 ‘회고록’</t>
  </si>
  <si>
    <t>회고록</t>
  </si>
  <si>
    <t>The actor published a memoir about his career.</t>
  </si>
  <si>
    <t>The actor published a (          ) about his career.</t>
  </si>
  <si>
    <t>memory</t>
  </si>
  <si>
    <t>[méməri]</t>
  </si>
  <si>
    <t>메모(memo)가 확장(y)되면 ‘메모리, 기억, 회상이 된다’</t>
  </si>
  <si>
    <t>메모리, 기억, 회상이 된다</t>
  </si>
  <si>
    <t>I have fond memories of my childhood summers.</t>
  </si>
  <si>
    <r>
      <rPr>
        <sz val="12"/>
        <color indexed="8"/>
        <rFont val="Arial"/>
      </rPr>
      <t>I have fond memories of my childhood summers.</t>
    </r>
  </si>
  <si>
    <t>memorable</t>
  </si>
  <si>
    <t>[mémərəbl]</t>
  </si>
  <si>
    <t>메모(memo)를 통해 기억을 할 수 있으니(able) ‘기억할 만한’</t>
  </si>
  <si>
    <t>기억할 만한</t>
  </si>
  <si>
    <t>The wedding was a truly memorable occasion.</t>
  </si>
  <si>
    <t>The wedding was a truly (          ) occasion.</t>
  </si>
  <si>
    <t>memorial</t>
  </si>
  <si>
    <t>memo &gt; memory</t>
  </si>
  <si>
    <t>[məmɔ́ːriəl]</t>
  </si>
  <si>
    <t>기억(memory-memor)하도록 모든(all) 사람 들이 보도록 만든 ‘기념물, 추모비, 추모의’</t>
  </si>
  <si>
    <t>기념물, 추모비, 추모의</t>
  </si>
  <si>
    <t>The memorial honors soldiers who died in the war.</t>
  </si>
  <si>
    <t>The (          ) honors soldiers who died in the war.</t>
  </si>
  <si>
    <t>commemorate</t>
  </si>
  <si>
    <t>[kəmémərèit]</t>
  </si>
  <si>
    <t>함께(com) 기억(memory)이 되도록 하니(ate) ‘기념하다’</t>
  </si>
  <si>
    <t>기념하다</t>
  </si>
  <si>
    <t>The ceremony will commemorate the 100th anniversary.</t>
  </si>
  <si>
    <t>The ceremony will (          ) the 100th anniversary.</t>
  </si>
  <si>
    <t>remember</t>
  </si>
  <si>
    <t>[rimémbər]</t>
  </si>
  <si>
    <t>다시(re)금 생각나게(memo-mem) 하니 ‘생각해내다, 상기하다’</t>
  </si>
  <si>
    <t>생각해내다, 상기하다</t>
  </si>
  <si>
    <t>I'll always remember our trip to Paris.</t>
  </si>
  <si>
    <t>I'll always (          ) our trip to Paris.</t>
  </si>
  <si>
    <t>member</t>
  </si>
  <si>
    <t>[mémbər]</t>
  </si>
  <si>
    <t>한 팀원이라고 생각나게(memo-mem) 해 놓는 대상이니 ‘구성원’</t>
  </si>
  <si>
    <t>구성원</t>
  </si>
  <si>
    <t>He has been a member of the club for twenty years.</t>
  </si>
  <si>
    <t>He has been a (          ) of the club for twenty years.</t>
  </si>
  <si>
    <t>amend</t>
  </si>
  <si>
    <t>mend</t>
  </si>
  <si>
    <r>
      <rPr>
        <sz val="12"/>
        <color indexed="8"/>
        <rFont val="Apple SD 산돌고딕 Neo 일반체"/>
      </rPr>
      <t>mend</t>
    </r>
  </si>
  <si>
    <t>[əménd]</t>
  </si>
  <si>
    <t>하나(a) 씩 고치니(mend) ‘개정하다, 개선하다’</t>
  </si>
  <si>
    <t>개정하다, 개선하다</t>
  </si>
  <si>
    <t>Congress may amend the constitution.</t>
  </si>
  <si>
    <t>Congress may (          ) the constitution.</t>
  </si>
  <si>
    <t>commend</t>
  </si>
  <si>
    <t>[kəménd]</t>
  </si>
  <si>
    <t>함께(com) 여러 잘못된 점을 고치면(mend) ‘칭찬하다’</t>
  </si>
  <si>
    <t>칭찬하다</t>
  </si>
  <si>
    <t>The principal will commend students for academic excellence.</t>
  </si>
  <si>
    <t>The principal will (          ) students for academic excellence.</t>
  </si>
  <si>
    <t>recommend</t>
  </si>
  <si>
    <t>mend &gt; commend</t>
  </si>
  <si>
    <t>[rèkəménd]</t>
  </si>
  <si>
    <t>다시(re) 칭찬하니(commend) ‘추천하다’</t>
  </si>
  <si>
    <t>추천하다</t>
  </si>
  <si>
    <t>I recommend the seafood at this restaurant.</t>
  </si>
  <si>
    <t>I (          ) the seafood at this restaurant.</t>
  </si>
  <si>
    <t>mini</t>
  </si>
  <si>
    <r>
      <rPr>
        <sz val="12"/>
        <color indexed="8"/>
        <rFont val="Apple SD 산돌고딕 Neo 일반체"/>
      </rPr>
      <t>mini</t>
    </r>
  </si>
  <si>
    <t>[míni]</t>
  </si>
  <si>
    <t>움직일 수록(m) 안으로(in) 수축하며 안으로(i) 들어오니 ‘작은, 소형의’</t>
  </si>
  <si>
    <t>작은, 소형의</t>
  </si>
  <si>
    <t>She drives a mini car that's easy to park.</t>
  </si>
  <si>
    <t>She drives a (          ) car that's easy to park.</t>
  </si>
  <si>
    <t>minimal</t>
  </si>
  <si>
    <t>[mínəməl]</t>
  </si>
  <si>
    <t>작은(mini)+ 형용사(al) = ‘최소한의’</t>
  </si>
  <si>
    <t>최소한의</t>
  </si>
  <si>
    <t>The surgery leaves minimal scarring.</t>
  </si>
  <si>
    <t>The surgery leaves (          ) scarring.</t>
  </si>
  <si>
    <t>minimum</t>
  </si>
  <si>
    <t>[mínəməm]</t>
  </si>
  <si>
    <t>작아져서(mini) 움직이는데(m) 아래쪽에(u) 도달하니 ‘최소한도, 최소량’</t>
  </si>
  <si>
    <t>최소한도, 최소량</t>
  </si>
  <si>
    <t>The minimum wage increased last year.</t>
  </si>
  <si>
    <t>The (          ) wage increased last year.</t>
  </si>
  <si>
    <t>minimize</t>
  </si>
  <si>
    <t>[mínəmàiz]</t>
  </si>
  <si>
    <t>작은(mini) + 동사화(ize) = ‘최소한도로 하다’</t>
  </si>
  <si>
    <t>최소한도로 하다</t>
  </si>
  <si>
    <t>Good insulation helps minimize heating costs.</t>
  </si>
  <si>
    <t>Good insulation helps (          ) heating costs.</t>
  </si>
  <si>
    <t>minify</t>
  </si>
  <si>
    <t>[mínifài]</t>
  </si>
  <si>
    <t>작은(mini) + 만들다(y) = ‘작게 하다, 최소로 만들다’</t>
  </si>
  <si>
    <t>작게 하다, 최소로 만들다</t>
  </si>
  <si>
    <t>Developers minify code to improve website performance.</t>
  </si>
  <si>
    <t>Developers (          ) code to improve website performance.</t>
  </si>
  <si>
    <t>minister</t>
  </si>
  <si>
    <t>[mínəstər]</t>
  </si>
  <si>
    <t>작아져서(minl) 서서(st) 섬기니 봉사하는 ‘장관, 각료, 성직자, 봉사하다’</t>
  </si>
  <si>
    <t>장관, 각료, 성직자, 봉사하다</t>
  </si>
  <si>
    <t>The prime minister addressed the nation about the crisis.</t>
  </si>
  <si>
    <t>The prime (          ) addressed the nation about the crisis.</t>
  </si>
  <si>
    <t>administer</t>
  </si>
  <si>
    <t>[ədmínistər]</t>
  </si>
  <si>
    <t>더하다(ad) 섬기는, 봉사하는(minister) 업무를, ‘집행하다, 관리하다’</t>
  </si>
  <si>
    <t>집행하다, 관리하다</t>
  </si>
  <si>
    <t>The nurse will administer the medication.</t>
  </si>
  <si>
    <t>The nurse will (          ) the medication.</t>
  </si>
  <si>
    <t>diminish</t>
  </si>
  <si>
    <t>[dimíniʃ]</t>
  </si>
  <si>
    <t>두개로(d) 나누어 작아 (mini)지게 하니 ‘줄이다, 작게 하다’</t>
  </si>
  <si>
    <t>줄이다, 작게 하다</t>
  </si>
  <si>
    <t>His influence began to diminish over time.</t>
  </si>
  <si>
    <t>His influence began to (          ) over time.</t>
  </si>
  <si>
    <t>permit</t>
  </si>
  <si>
    <t>mit</t>
  </si>
  <si>
    <r>
      <rPr>
        <sz val="12"/>
        <color indexed="8"/>
        <rFont val="Apple SD 산돌고딕 Neo 일반체"/>
      </rPr>
      <t>mit</t>
    </r>
  </si>
  <si>
    <t>[pərmít]</t>
  </si>
  <si>
    <t>완전히(per-perfect) 보내기로(mit) 하니 ‘허락하다’</t>
  </si>
  <si>
    <t>허락하다</t>
  </si>
  <si>
    <t>The construction permit was approved yesterday.</t>
  </si>
  <si>
    <t>The construction (          ) was approved yesterday.</t>
  </si>
  <si>
    <t>commit</t>
  </si>
  <si>
    <t>[kəmít]</t>
  </si>
  <si>
    <t>함께(com) 서로 얘기가 되어서 보내니(mit) ‘위임하다, 맡기다, 약속하다’</t>
  </si>
  <si>
    <t>위임하다, 맡기다, 약속하다</t>
  </si>
  <si>
    <t>He will commit three hours daily to studying.</t>
  </si>
  <si>
    <t>He will (          ) three hours daily to studying.</t>
  </si>
  <si>
    <t>commitment</t>
  </si>
  <si>
    <t>mit &gt; commit</t>
  </si>
  <si>
    <t>[kəmítmənt]</t>
  </si>
  <si>
    <t>약속한(commit) 내용, ‘공약, 서약, 책임’</t>
  </si>
  <si>
    <t>공약, 서약, 책임</t>
  </si>
  <si>
    <t>Marriage requires commitment from both partners.</t>
  </si>
  <si>
    <t>Marriage requires (          ) from both partners.</t>
  </si>
  <si>
    <t>committee</t>
  </si>
  <si>
    <t>[kəmíti]</t>
  </si>
  <si>
    <t>함께(com) 서로 얘기가 되어서 보내는(mit) 사람(ee)은 ‘위원회’</t>
  </si>
  <si>
    <t>위원회</t>
  </si>
  <si>
    <t>The committee meets every month to review progress.</t>
  </si>
  <si>
    <t>The (          ) meets every month to review progress.</t>
  </si>
  <si>
    <t>transmit</t>
  </si>
  <si>
    <t>[trænsmít]</t>
  </si>
  <si>
    <t>옮겨(trans) 보내니(mit) ‘전송하다’</t>
  </si>
  <si>
    <t>전송하다</t>
  </si>
  <si>
    <t>Radio waves transmit signals through the air.</t>
  </si>
  <si>
    <t>Radio waves (          ) signals through the air.</t>
  </si>
  <si>
    <t>remit</t>
  </si>
  <si>
    <t>[rimít]</t>
  </si>
  <si>
    <t>힘있게(re) 보내니(mit) ‘보내다, 부치다’</t>
  </si>
  <si>
    <t>보내다, 부치다</t>
  </si>
  <si>
    <t>Please remit payment by the due date.</t>
  </si>
  <si>
    <t>Please (          ) payment by the due date.</t>
  </si>
  <si>
    <t>submit</t>
  </si>
  <si>
    <t>[səbmít]</t>
  </si>
  <si>
    <t>자신이 아래쪽(sub)에 위치해서 위로 보내니 (mit) ‘상납하다, 복종하다, 제출하다’</t>
  </si>
  <si>
    <t>상납하다, 복종하다, 제출하다</t>
  </si>
  <si>
    <t>Submit your application before the deadline.</t>
  </si>
  <si>
    <r>
      <rPr>
        <sz val="12"/>
        <color indexed="8"/>
        <rFont val="Arial"/>
      </rPr>
      <t>Submit your application before the deadline.</t>
    </r>
  </si>
  <si>
    <t>submission</t>
  </si>
  <si>
    <t>[səbmíʃən]</t>
  </si>
  <si>
    <t>복종하다, 제출하다(submit) + 명사화(sion)= ‘굴복, 순종, 제출’</t>
  </si>
  <si>
    <t>굴복, 순종, 제출</t>
  </si>
  <si>
    <t>The journal accepts submissions from independent researchers.</t>
  </si>
  <si>
    <t>The journal accepts (          )s from independent researchers.</t>
  </si>
  <si>
    <t>omit</t>
  </si>
  <si>
    <t>[oumít]</t>
  </si>
  <si>
    <t>둥글게(o) 비도록 속에 것을 보내버리니(mit) ‘생략하다’</t>
  </si>
  <si>
    <t>생략하다</t>
  </si>
  <si>
    <t>Don't omit any important details from your report.</t>
  </si>
  <si>
    <t>Don't (          ) any important details from your report.</t>
  </si>
  <si>
    <t>emit</t>
  </si>
  <si>
    <t>[imít]</t>
  </si>
  <si>
    <t>입구(e)를 통해 내 보내니(mit) ‘발산하다, 배출하다’</t>
  </si>
  <si>
    <t>발산하다, 배출하다</t>
  </si>
  <si>
    <t>Factories emit pollution into the air.</t>
  </si>
  <si>
    <t>Factories (          ) pollution into the air.</t>
  </si>
  <si>
    <t>emission</t>
  </si>
  <si>
    <t>mit &gt; emit</t>
  </si>
  <si>
    <t>[imíʃən]</t>
  </si>
  <si>
    <t>발산하다(emit) + 명사화(sion) = ‘발산, 방사’</t>
  </si>
  <si>
    <t>발산, 방사</t>
  </si>
  <si>
    <t>The government seeks to reduce carbon emissions.</t>
  </si>
  <si>
    <t>The government seeks to reduce carbon (          )s.</t>
  </si>
  <si>
    <t>admit</t>
  </si>
  <si>
    <t>[ædmít]</t>
  </si>
  <si>
    <t>회원으로 더해지게(add) 안으로 보내니(mit) ‘들어오게 하다, 인정하다’</t>
  </si>
  <si>
    <t>들어오게 하다, 인정하다</t>
  </si>
  <si>
    <t>The theater admits children under 12 for half price.</t>
  </si>
  <si>
    <t>The theater (          )s children under 12 for half price.</t>
  </si>
  <si>
    <t>admission</t>
  </si>
  <si>
    <t>mit &gt; admit</t>
  </si>
  <si>
    <t>[ædmíʃən]</t>
  </si>
  <si>
    <t>들어가게 하다, 인정하다(admit) + 명사화(sion)= ‘들어가기, 입장, 입학, 인정하기’</t>
  </si>
  <si>
    <t>들어가기, 입장, 입학, 인정하기</t>
  </si>
  <si>
    <t>College admission requires good test scores and grades.</t>
  </si>
  <si>
    <t>College (          ) requires good test scores and grades.</t>
  </si>
  <si>
    <t>missile</t>
  </si>
  <si>
    <t>miss(mit)</t>
  </si>
  <si>
    <r>
      <rPr>
        <sz val="12"/>
        <color indexed="8"/>
        <rFont val="Apple SD 산돌고딕 Neo 일반체"/>
      </rPr>
      <t>miss</t>
    </r>
  </si>
  <si>
    <t>[mísəl]</t>
  </si>
  <si>
    <t>발사하여 보내(miss-mit) 멀리(l) 가버리는 ‘미사일’</t>
  </si>
  <si>
    <t>미사일</t>
  </si>
  <si>
    <t>The missile was launched from a submarine.</t>
  </si>
  <si>
    <t>The (          ) was launched from a submarine.</t>
  </si>
  <si>
    <t>mission</t>
  </si>
  <si>
    <t>[míʃən]</t>
  </si>
  <si>
    <t>보내고(miss) 지속적으로(on) 하게 하는 ‘임무’</t>
  </si>
  <si>
    <t>임무</t>
  </si>
  <si>
    <t>The astronauts completed their mission successfully.</t>
  </si>
  <si>
    <t>The astronauts completed their (          ) successfully.</t>
  </si>
  <si>
    <t>intermission</t>
  </si>
  <si>
    <t>miss(mit) &gt; mission</t>
  </si>
  <si>
    <t>[iˌntərmiˈʃən]</t>
  </si>
  <si>
    <t>시간 사이에(inter) 있는 특별 임무(mission)는 화장실도 갔다 오고 쉬는 ‘휴게시간’</t>
  </si>
  <si>
    <t>휴게시간</t>
  </si>
  <si>
    <t>There will be a 15-minute intermission between acts.</t>
  </si>
  <si>
    <t>There will be a 15-minute (          ) between acts.</t>
  </si>
  <si>
    <t>dismiss</t>
  </si>
  <si>
    <t>[dismís]</t>
  </si>
  <si>
    <t>분리(dis)시켜 보내니(miss) ‘해산시키다, 해고하다’</t>
  </si>
  <si>
    <t>해산시키다, 해고하다</t>
  </si>
  <si>
    <t>The judge dismissed the case due to lack of evidence.</t>
  </si>
  <si>
    <t>The judge (          )ed the case due to lack of evidence.</t>
  </si>
  <si>
    <t>message</t>
  </si>
  <si>
    <t>miss(mess)</t>
  </si>
  <si>
    <t>[mésidʒ]</t>
  </si>
  <si>
    <t>보내서(mess-miss) 알려주는 ‘메시지, 알림’</t>
  </si>
  <si>
    <t>메시지, 알림</t>
  </si>
  <si>
    <t>I left a message on your answering machine.</t>
  </si>
  <si>
    <t>I left a (          ) on your answering machine.</t>
  </si>
  <si>
    <t>promise</t>
  </si>
  <si>
    <t>mise(mit)</t>
  </si>
  <si>
    <r>
      <rPr>
        <sz val="12"/>
        <color indexed="8"/>
        <rFont val="Apple SD 산돌고딕 Neo 일반체"/>
      </rPr>
      <t>mise</t>
    </r>
  </si>
  <si>
    <t>[prάmis]</t>
  </si>
  <si>
    <t>앞서(pro) 보내는(mise) ‘약속, 약속하다’</t>
  </si>
  <si>
    <t>약속, 약속하다</t>
  </si>
  <si>
    <t>I promise to return the book tomorrow.</t>
  </si>
  <si>
    <t>I (          ) to return the book tomorrow.</t>
  </si>
  <si>
    <t>compromise</t>
  </si>
  <si>
    <t>mise(mit) &gt; promise</t>
  </si>
  <si>
    <t>[kάmprəmàiz]</t>
  </si>
  <si>
    <t>함께(com) 약속(promise)을 하는 것은 ‘타협하다’</t>
  </si>
  <si>
    <t>타협하다</t>
  </si>
  <si>
    <t>Both sides made a compromise to end the dispute.</t>
  </si>
  <si>
    <t>Both sides made a (          ) to end the dispute.</t>
  </si>
  <si>
    <t>promising</t>
  </si>
  <si>
    <t>[prάmisiŋ]</t>
  </si>
  <si>
    <t>장래를 약속하는(promise) 중이니(ing) ‘유망한’</t>
  </si>
  <si>
    <t>유망한</t>
  </si>
  <si>
    <t>The young athlete shows promising talent.</t>
  </si>
  <si>
    <t>The young athlete shows (          ) talent.</t>
  </si>
  <si>
    <t>premise</t>
  </si>
  <si>
    <t>[prémis]</t>
  </si>
  <si>
    <t>앞서(pre) 보내는(mise) 것은 ‘전제, 가정’</t>
  </si>
  <si>
    <t>전제, 가정</t>
  </si>
  <si>
    <t>The argument is based on a false premise.</t>
  </si>
  <si>
    <t>The argument is based on a false (          ).</t>
  </si>
  <si>
    <t>premises</t>
  </si>
  <si>
    <t>mise(mit) &gt; premise</t>
  </si>
  <si>
    <t>[preˈməsəz]</t>
  </si>
  <si>
    <t>건물을 지으려면 전제(premise)가 ‘부지’다</t>
  </si>
  <si>
    <t>부지</t>
  </si>
  <si>
    <t>Smoking is not allowed on these premises.</t>
  </si>
  <si>
    <t>Smoking is not allowed on these (          ).</t>
  </si>
  <si>
    <t>motor</t>
  </si>
  <si>
    <t>mot</t>
  </si>
  <si>
    <r>
      <rPr>
        <sz val="12"/>
        <color indexed="8"/>
        <rFont val="Apple SD 산돌고딕 Neo 일반체"/>
      </rPr>
      <t>mot</t>
    </r>
  </si>
  <si>
    <t>[móutər]</t>
  </si>
  <si>
    <t>움직이게(mot) 하는 주체(or)이니 ‘모터’</t>
  </si>
  <si>
    <t>모터</t>
  </si>
  <si>
    <t>The boat motor needs repair.</t>
  </si>
  <si>
    <t>The boat (          ) needs repair.</t>
  </si>
  <si>
    <t>motorcycle</t>
  </si>
  <si>
    <t>mot &gt; motor</t>
  </si>
  <si>
    <t>[móutərsàikl]</t>
  </si>
  <si>
    <t>움직이게 하는 모터(motor)를 단 자전거 (cycle)이니 ‘오토바이’</t>
  </si>
  <si>
    <t>오토바이</t>
  </si>
  <si>
    <t>He rides a motorcycle to work every day.</t>
  </si>
  <si>
    <t>He rides a (          ) to work every day.</t>
  </si>
  <si>
    <t>motion</t>
  </si>
  <si>
    <t>[móuʃən]</t>
  </si>
  <si>
    <t>움직이는(mot) + 명사(ion) = ‘움직임, 운동, 운행’</t>
  </si>
  <si>
    <t>움직임, 운동, 운행</t>
  </si>
  <si>
    <t>The planet's motion around the sun creates seasons.</t>
  </si>
  <si>
    <t>The planet's (          ) around the sun creates seasons.</t>
  </si>
  <si>
    <t>motionless</t>
  </si>
  <si>
    <t>mot &gt; motion</t>
  </si>
  <si>
    <t>[móuʃənlis]</t>
  </si>
  <si>
    <t>운동(motion)이 흐느적 거리고 풀어져(less) ‘정지하고 있는’</t>
  </si>
  <si>
    <t>정지하고 있는</t>
  </si>
  <si>
    <t>The hunter stood motionless to avoid scaring the deer.</t>
  </si>
  <si>
    <t>The hunter stood (          ) to avoid scaring the deer.</t>
  </si>
  <si>
    <t>emotion</t>
  </si>
  <si>
    <t>[imóuʃən]</t>
  </si>
  <si>
    <t>안에 있는 것인데 밖으로(e) 움직여(motion) 나오는 것은 ‘감정’</t>
  </si>
  <si>
    <t>감정</t>
  </si>
  <si>
    <t>Fear is a powerful emotion.</t>
  </si>
  <si>
    <t>Fear is a powerful (          ).</t>
  </si>
  <si>
    <t>motive</t>
  </si>
  <si>
    <t>[móutiv]</t>
  </si>
  <si>
    <t>움직여(mot-motion) 나가도록 갈라진 마음의 틈(v)에 집어 넣은 (행동의) ‘동기’</t>
  </si>
  <si>
    <t>동기</t>
  </si>
  <si>
    <t>Police are investigating the motive for the crime.</t>
  </si>
  <si>
    <t>Police are investigating the (          ) for the crime.</t>
  </si>
  <si>
    <t>motivate</t>
  </si>
  <si>
    <t>mot &gt; motive</t>
  </si>
  <si>
    <t>[móutəvèit]</t>
  </si>
  <si>
    <t>동기(motive)가 나도록 하니(ate) ‘동기를 부여하다, 자극하다’</t>
  </si>
  <si>
    <t>동기를 부여하다, 자극하다</t>
  </si>
  <si>
    <t>Good leaders motivate their team members.</t>
  </si>
  <si>
    <t>Good leaders (          ) their team members.</t>
  </si>
  <si>
    <t>promote</t>
  </si>
  <si>
    <t>[prəmóut]</t>
  </si>
  <si>
    <t>앞으로(pro) 움직여(mot) 나아가게 하니 ‘촉진하다, 장려하다, 승진시키다’</t>
  </si>
  <si>
    <t>촉진하다, 장려하다, 승진시키다</t>
  </si>
  <si>
    <t>The company will promote three employees to management.</t>
  </si>
  <si>
    <t>The company will (          ) three employees to management.</t>
  </si>
  <si>
    <t>remote</t>
  </si>
  <si>
    <t>[rimóut]</t>
  </si>
  <si>
    <t>힘있게(r) 움직여(mot) 나갔으니 ‘먼, 멀리 떨어진’</t>
  </si>
  <si>
    <t>먼, 멀리 떨어진</t>
  </si>
  <si>
    <t>They live in a remote village in the mountains.</t>
  </si>
  <si>
    <t>They live in a (          ) village in the mountains.</t>
  </si>
  <si>
    <t>mainstream</t>
  </si>
  <si>
    <t>main</t>
  </si>
  <si>
    <r>
      <rPr>
        <sz val="12"/>
        <color indexed="8"/>
        <rFont val="Apple SD 산돌고딕 Neo 일반체"/>
      </rPr>
      <t>main</t>
    </r>
  </si>
  <si>
    <t>[méinstrìːm]</t>
  </si>
  <si>
    <t>주된(main) 강(stream)이니 ‘주류, 본류’</t>
  </si>
  <si>
    <t>주류, 본류</t>
  </si>
  <si>
    <t>His ideas have become mainstream in recent years.</t>
  </si>
  <si>
    <t>His ideas have become (          ) in recent years.</t>
  </si>
  <si>
    <t>mainframe</t>
  </si>
  <si>
    <t>[meiˈnfreiˌm]</t>
  </si>
  <si>
    <t>주된(main) 골조(frame)는 ‘본체’</t>
  </si>
  <si>
    <t>본체</t>
  </si>
  <si>
    <t>Large companies use mainframe computers for critical operations.</t>
  </si>
  <si>
    <t>Large companies use (          ) computers for critical operations.</t>
  </si>
  <si>
    <t>maintain</t>
  </si>
  <si>
    <t>[meintéin]</t>
  </si>
  <si>
    <t>주된(main) 것을 붙잡아(tain) 두니 ‘유지하다’</t>
  </si>
  <si>
    <t>유지하다</t>
  </si>
  <si>
    <t>Regular exercise helps maintain good health.</t>
  </si>
  <si>
    <t>Regular exercise helps (          ) good health.</t>
  </si>
  <si>
    <t>maintenance</t>
  </si>
  <si>
    <t>main &gt; maintain</t>
  </si>
  <si>
    <t>[méintənəns]</t>
  </si>
  <si>
    <t>유지하다(maintain) + 명사(ance) = ‘유지, 지속’</t>
  </si>
  <si>
    <t>유지, 지속</t>
  </si>
  <si>
    <t>The building requires regular maintenance.</t>
  </si>
  <si>
    <t>The building requires regular (          ).</t>
  </si>
  <si>
    <t>remain</t>
  </si>
  <si>
    <t>[riméin]</t>
  </si>
  <si>
    <t>다시금(re) 주된 존재로서(main) ‘살아남다, 남다’</t>
  </si>
  <si>
    <t>살아남다, 남다</t>
  </si>
  <si>
    <t>Please remain seated until the plane stops completely.</t>
  </si>
  <si>
    <t>Please (          ) seated until the plane stops completely.</t>
  </si>
  <si>
    <t>major</t>
  </si>
  <si>
    <t>maj</t>
  </si>
  <si>
    <r>
      <rPr>
        <sz val="12"/>
        <color indexed="8"/>
        <rFont val="Apple SD 산돌고딕 Neo 일반체"/>
      </rPr>
      <t>maj</t>
    </r>
  </si>
  <si>
    <t>[méidʒər]</t>
  </si>
  <si>
    <t>주요한(maj) + 형용사(or) = ‘주요한, 중요한, 큰, 대다수의’</t>
  </si>
  <si>
    <t>주요한, 중요한, 큰, 대다수의</t>
  </si>
  <si>
    <t>Mathematics is her major in college.</t>
  </si>
  <si>
    <t>Mathematics is her (          ) in college.</t>
  </si>
  <si>
    <t>majority</t>
  </si>
  <si>
    <t>maj(major)</t>
  </si>
  <si>
    <t>[mədʒɔ́ːrəti]</t>
  </si>
  <si>
    <t>주요한, 대다수의(major) + 명사(ity) = ‘대다수, 대부분’</t>
  </si>
  <si>
    <t>대다수, 대부분</t>
  </si>
  <si>
    <t>The majority of students passed the exam.</t>
  </si>
  <si>
    <t>The (          ) of students passed the exam.</t>
  </si>
  <si>
    <t>majesty</t>
  </si>
  <si>
    <t>[mǽdʒəsti]</t>
  </si>
  <si>
    <t>주요한, 대다수의(maj) 권력을 장악하고 서(st) 있는 ‘위엄, 존엄, 장대함’</t>
  </si>
  <si>
    <t>위엄, 존엄, 장대함</t>
  </si>
  <si>
    <t>The queen's majesty impressed all who met her.</t>
  </si>
  <si>
    <t>The queen's (          ) impressed all who met her.</t>
  </si>
  <si>
    <t>mayor</t>
  </si>
  <si>
    <t>maj(may)</t>
  </si>
  <si>
    <t>[méiər]</t>
  </si>
  <si>
    <t>시에서 주요한, 대다수의(may-maj) 권력을 장 악한 사람(or)이니 ‘시장’</t>
  </si>
  <si>
    <t>시장</t>
  </si>
  <si>
    <t>The mayor announced a new city park project.</t>
  </si>
  <si>
    <t>The (          ) announced a new city park project.</t>
  </si>
  <si>
    <t>mag</t>
  </si>
  <si>
    <r>
      <rPr>
        <sz val="12"/>
        <color indexed="8"/>
        <rFont val="Apple SD 산돌고딕 Neo 일반체"/>
      </rPr>
      <t>mag</t>
    </r>
  </si>
  <si>
    <t>큰 것으로(mag) 만드는 것이니(y) ‘확대하다, 크게 보이게 하다’</t>
  </si>
  <si>
    <t>확대하다, 크게 보이게 하다</t>
  </si>
  <si>
    <t>magnificent</t>
  </si>
  <si>
    <t>mag &gt; magnify</t>
  </si>
  <si>
    <t>[mægnífəsnt]</t>
  </si>
  <si>
    <t>확대한(magnity) 것처럼 크니 ‘장대한, 화려한’</t>
  </si>
  <si>
    <t>장대한, 화려한</t>
  </si>
  <si>
    <t>The Grand Canyon is a magnificent natural wonder.</t>
  </si>
  <si>
    <t>The Grand Canyon is a (          ) natural wonder.</t>
  </si>
  <si>
    <t>magnitude</t>
  </si>
  <si>
    <t>[mǽgnətjùːd]</t>
  </si>
  <si>
    <t>확대한(magnify) 것처럼 큰 ‘대량, 방대, 큼’</t>
  </si>
  <si>
    <t>대량, 방대, 큼</t>
  </si>
  <si>
    <t>Scientists measure earthquake magnitude on the Richter scale.</t>
  </si>
  <si>
    <t>Scientists measure earthquake (          ) on the Richter scale.</t>
  </si>
  <si>
    <t>maxim</t>
  </si>
  <si>
    <t>[mǽksim]</t>
  </si>
  <si>
    <t>커서(mag-ma) 한계를(x) 넘을 정도로 크니(m) 가장 큰(maxim), 그러한 가장 큰(위대한) 말들은 ‘격언, 금언’</t>
  </si>
  <si>
    <t>격언, 금언</t>
  </si>
  <si>
    <t>Look before you leap is a common maxim.</t>
  </si>
  <si>
    <t>Look before you leap is a common (          ).</t>
  </si>
  <si>
    <t>maximum</t>
  </si>
  <si>
    <t>mag &gt; maxim</t>
  </si>
  <si>
    <t>[mǽksəməm]</t>
  </si>
  <si>
    <t>가장 크게(maxim) 아래쪽에서(um) 움직여 커졌으니 ‘최대한, 최대량’</t>
  </si>
  <si>
    <t>최대한, 최대량</t>
  </si>
  <si>
    <t>The maximum capacity of the elevator is eight people.</t>
  </si>
  <si>
    <t>The (          ) capacity of the elevator is eight people.</t>
  </si>
  <si>
    <t>megaphone</t>
  </si>
  <si>
    <t>mag(meg)</t>
  </si>
  <si>
    <t>[meˈgəfouˌn]</t>
  </si>
  <si>
    <t>움직이는 매우 큰(meg) 수화기(phone)이니 ‘확성기, 메가폰’</t>
  </si>
  <si>
    <t>확성기, 메가폰</t>
  </si>
  <si>
    <t>The coach used a megaphone to address the team.</t>
  </si>
  <si>
    <t>The coach used a (          ) to address the team.</t>
  </si>
  <si>
    <t>megabox</t>
  </si>
  <si>
    <t>[megəbaks]</t>
  </si>
  <si>
    <t>움직여 매우 큰(meg) 극장 매표소(box)를 가진 ‘매우 큰 극장’</t>
  </si>
  <si>
    <t>매우 큰 극장</t>
  </si>
  <si>
    <t>The new megabox store offers thousands of products.</t>
  </si>
  <si>
    <t>The new (          ) store offers thousands of products.</t>
  </si>
  <si>
    <t>imminent</t>
  </si>
  <si>
    <t>minent</t>
  </si>
  <si>
    <r>
      <rPr>
        <sz val="12"/>
        <color indexed="8"/>
        <rFont val="Apple SD 산돌고딕 Neo 일반체"/>
      </rPr>
      <t>minent</t>
    </r>
  </si>
  <si>
    <t>[ímənənt]</t>
  </si>
  <si>
    <t>안으로(im) 돌출하니(minent) ‘임박한, 곧 일어 날 것 같은’</t>
  </si>
  <si>
    <t>임박한, 곧 일어 날 것 같은</t>
  </si>
  <si>
    <t>The storm's arrival is imminent; take shelter now.</t>
  </si>
  <si>
    <t>The storm's arrival is (          ); take shelter now.</t>
  </si>
  <si>
    <t>eminent</t>
  </si>
  <si>
    <t>[émənənt]</t>
  </si>
  <si>
    <t>입구를(e) 통해 돌출해(minent) 나왔으니 ‘저명한, 탁월한’</t>
  </si>
  <si>
    <t>저명한, 탁월한</t>
  </si>
  <si>
    <t>The university invited an eminent scientist to speak.</t>
  </si>
  <si>
    <t>The university invited an (          ) scientist to speak.</t>
  </si>
  <si>
    <t>preeminent</t>
  </si>
  <si>
    <t>[priémənənt]</t>
  </si>
  <si>
    <t>앞으로(pre) 돌출해(minent) 나가니 ‘뛰어난’</t>
  </si>
  <si>
    <t>뛰어난</t>
  </si>
  <si>
    <t>She is the preeminent authority in her field.</t>
  </si>
  <si>
    <t>She is the (          ) authority in her field.</t>
  </si>
  <si>
    <t>prominent</t>
  </si>
  <si>
    <t>[prάmənənt]</t>
  </si>
  <si>
    <t>앞으로(pro) 나가 돌출하니(minent) ‘두드러진, 눈에 띄는’</t>
  </si>
  <si>
    <t>두드러진, 눈에 띄는</t>
  </si>
  <si>
    <t>He has a prominent role in the new movie.</t>
  </si>
  <si>
    <t>He has a (          ) role in the new movie.</t>
  </si>
  <si>
    <t>mount</t>
  </si>
  <si>
    <r>
      <rPr>
        <sz val="12"/>
        <color indexed="8"/>
        <rFont val="Apple SD 산돌고딕 Neo 일반체"/>
      </rPr>
      <t>mount</t>
    </r>
  </si>
  <si>
    <t>[maunt]</t>
  </si>
  <si>
    <t>큰(m) 지형으로서 둥근(o) 지구 아래쪽에서 부터(u) 새롭게(n) 융기되어 올라와 서서(t) 만들어진 ‘산, 오르다, 타다’</t>
  </si>
  <si>
    <t>산, 오르다, 타다</t>
  </si>
  <si>
    <t>Climbers plan to mount an expedition to Everest.</t>
  </si>
  <si>
    <t>Climbers plan to (          ) an expedition to Everest.</t>
  </si>
  <si>
    <t>mountain</t>
  </si>
  <si>
    <t>[máuntən]</t>
  </si>
  <si>
    <t>산(mount) 혼자(i) 하나(an) 우뚝 솟은 모습 강조하니 ‘산’</t>
  </si>
  <si>
    <t>산</t>
  </si>
  <si>
    <t>Snow covered the mountain peaks.</t>
  </si>
  <si>
    <t>Snow covered the (          ) peaks.</t>
  </si>
  <si>
    <t>amount</t>
  </si>
  <si>
    <t>[əmáunt]</t>
  </si>
  <si>
    <t>더해서(a) 산(mount)처럼 많아진 ‘총계’</t>
  </si>
  <si>
    <t>총계</t>
  </si>
  <si>
    <t>A large amount of money was donated to charity.</t>
  </si>
  <si>
    <t>A large (          ) of money was donated to charity.</t>
  </si>
  <si>
    <t>surmount</t>
  </si>
  <si>
    <t>[sərmáunt]</t>
  </si>
  <si>
    <t>넘는게(sur) 산이니(mount) ‘극복하다’</t>
  </si>
  <si>
    <t>극복하다</t>
  </si>
  <si>
    <t>With determination, you can surmount many obstacles.</t>
  </si>
  <si>
    <t>With determination, you can (          ) many obstacles.</t>
  </si>
  <si>
    <t>mound</t>
  </si>
  <si>
    <t>[maund]</t>
  </si>
  <si>
    <t>산(mountain)과 비슷하나 아래로(d) 내려와 낮아진 높이의 ‘둔덕, 언덕’</t>
  </si>
  <si>
    <t>둔덕, 언덕</t>
  </si>
  <si>
    <t>The children built a mound of sand at the beach.</t>
  </si>
  <si>
    <t>The children built a (          ) of sand at the beach.</t>
  </si>
  <si>
    <t>neck</t>
  </si>
  <si>
    <t>nec</t>
  </si>
  <si>
    <r>
      <rPr>
        <sz val="12"/>
        <color indexed="8"/>
        <rFont val="Apple SD 산돌고딕 Neo 일반체"/>
      </rPr>
      <t>nec</t>
    </r>
  </si>
  <si>
    <t>[nek]</t>
  </si>
  <si>
    <t>머리와 몸을 연결하는(nec) ‘목’</t>
  </si>
  <si>
    <t>목</t>
  </si>
  <si>
    <t>The giraffe has an extremely long neck.</t>
  </si>
  <si>
    <t>The giraffe has an extremely long (          ).</t>
  </si>
  <si>
    <t>connect</t>
  </si>
  <si>
    <t>[kənékt]</t>
  </si>
  <si>
    <t xml:space="preserve">함께(con) 연결하니(nect) ‘결합시키다, 접속시키다’ </t>
  </si>
  <si>
    <t>결합시키다, 접속시키다</t>
  </si>
  <si>
    <t>The bridge connects the island to the mainland.</t>
  </si>
  <si>
    <t>The bridge (          )s the island to the mainland.</t>
  </si>
  <si>
    <t>connection</t>
  </si>
  <si>
    <t>nec &gt; connect</t>
  </si>
  <si>
    <t>[kənékʃən]</t>
  </si>
  <si>
    <t>연결시키다(connect) + 명사(ion) = ‘결합, 관련, 관계’</t>
  </si>
  <si>
    <t>결합, 관련, 관계</t>
  </si>
  <si>
    <t>There is a strong connection between diet and health.</t>
  </si>
  <si>
    <t>There is a strong (          ) between diet and health.</t>
  </si>
  <si>
    <t>disconnect</t>
  </si>
  <si>
    <t>[dìskənékt]</t>
  </si>
  <si>
    <t>분리(dis) + 연결시키다(connect) = ‘접속을 끊다, 차단하다’</t>
  </si>
  <si>
    <t>접속을 끊다, 차단하다</t>
  </si>
  <si>
    <t>There's a disconnect between what he says and what he does.</t>
  </si>
  <si>
    <t>There's a (          ) between what he says and what he does.</t>
  </si>
  <si>
    <t>next</t>
  </si>
  <si>
    <t>nec(nex)</t>
  </si>
  <si>
    <t>[nekst]</t>
  </si>
  <si>
    <t>연결해서(nex-nec) 나아가니(t) ‘다음의’</t>
  </si>
  <si>
    <t>다음의</t>
  </si>
  <si>
    <t>What's the next step in the process?</t>
  </si>
  <si>
    <t>What's the (          ) step in the process?</t>
  </si>
  <si>
    <t>nexus</t>
  </si>
  <si>
    <t>[néksəs]</t>
  </si>
  <si>
    <t>사람을 연결(nex)하는데 부드럽게(s)하는 ‘유대, 관계’</t>
  </si>
  <si>
    <t>유대, 관계</t>
  </si>
  <si>
    <t>The city serves as a nexus for international trade.</t>
  </si>
  <si>
    <t>The city serves as a (          ) for international trade.</t>
  </si>
  <si>
    <t>annex</t>
  </si>
  <si>
    <t>[ənéks ǽneks｜ənéks]</t>
  </si>
  <si>
    <t>하나(an)를 더 연결(nex) 시키니 ‘병합하다, 부과하다’</t>
  </si>
  <si>
    <t>병합하다, 부과하다</t>
  </si>
  <si>
    <t>The school built an annex to accommodate more students.</t>
  </si>
  <si>
    <t>The school built an (          ) to accommodate more students.</t>
  </si>
  <si>
    <t>nothing</t>
  </si>
  <si>
    <t>no</t>
  </si>
  <si>
    <r>
      <rPr>
        <sz val="12"/>
        <color indexed="8"/>
        <rFont val="Apple SD 산돌고딕 Neo 일반체"/>
      </rPr>
      <t>no</t>
    </r>
  </si>
  <si>
    <t>[nΛθiŋ]</t>
  </si>
  <si>
    <t>없어요(no) 어떤 것(thing) 조차도 즉, ‘아무것도 없음’</t>
  </si>
  <si>
    <t>아무것도 없음</t>
  </si>
  <si>
    <t>Nothing could prepare me for the stunning view.</t>
  </si>
  <si>
    <r>
      <rPr>
        <sz val="12"/>
        <color indexed="8"/>
        <rFont val="Arial"/>
      </rPr>
      <t>Nothing could prepare me for the stunning view.</t>
    </r>
  </si>
  <si>
    <t>noon</t>
  </si>
  <si>
    <t>[nuːn]</t>
  </si>
  <si>
    <t>아침시간이 아닌(no)바가 지속적이므로(on) 오후로 변화하는 ‘정오, 한낮’</t>
  </si>
  <si>
    <t>정오, 한낮</t>
  </si>
  <si>
    <t>We usually eat lunch at noon.</t>
  </si>
  <si>
    <t>We usually eat lunch at (          ).</t>
  </si>
  <si>
    <t>noxious</t>
  </si>
  <si>
    <t>[nάkʃəs]</t>
  </si>
  <si>
    <t>좋은 것이 아닌(no) 나쁜 것이 밖(x)으로 나오니 ‘유독한’</t>
  </si>
  <si>
    <t>유독한</t>
  </si>
  <si>
    <t>The factory releases noxious gases into the air.</t>
  </si>
  <si>
    <t>The factory releases (          ) gases into the air.</t>
  </si>
  <si>
    <t>nod</t>
  </si>
  <si>
    <t>[nad]</t>
  </si>
  <si>
    <t>반대가 없으므로(no) 고개를 아래로(d) 내려서 표현하니 ‘끄덕이다’</t>
  </si>
  <si>
    <t>끄덕이다</t>
  </si>
  <si>
    <t>He gave a quick nod of agreement.</t>
  </si>
  <si>
    <t>He gave a quick (          ) of agreement.</t>
  </si>
  <si>
    <t>nonfiction</t>
  </si>
  <si>
    <t>no(non)</t>
  </si>
  <si>
    <t>[nanfiˈkʃən]</t>
  </si>
  <si>
    <t>아니다(non-no) + 허구(fiction) = ‘전기, 실화, 역사기록’</t>
  </si>
  <si>
    <t>전기, 실화, 역사기록</t>
  </si>
  <si>
    <t>I prefer reading nonfiction books about history.</t>
  </si>
  <si>
    <t>I prefer reading (          ) books about history.</t>
  </si>
  <si>
    <t>nonsense</t>
  </si>
  <si>
    <t>[nάnsens]</t>
  </si>
  <si>
    <t>아니다(non-no) + 제정신(sense) = ‘넌센스, 허튼소리’</t>
  </si>
  <si>
    <t>넌센스, 허튼소리</t>
  </si>
  <si>
    <t>Don't believe that nonsense about miracle weight loss pills.</t>
  </si>
  <si>
    <t>Don't believe that (          ) about miracle weight loss pills.</t>
  </si>
  <si>
    <t>negro</t>
  </si>
  <si>
    <t>no(ne) &gt; neg</t>
  </si>
  <si>
    <t>[níːgrou]</t>
  </si>
  <si>
    <t>색을 부정(neg)한 검정색이니 ‘흑인’</t>
  </si>
  <si>
    <t>흑인</t>
  </si>
  <si>
    <t>The Negro spirituals reflect the history of enslaved African Americans.</t>
  </si>
  <si>
    <r>
      <rPr>
        <sz val="12"/>
        <color indexed="8"/>
        <rFont val="Arial"/>
      </rPr>
      <t>The Negro spirituals reflect the history of enslaved African Americans.</t>
    </r>
  </si>
  <si>
    <t>negative</t>
  </si>
  <si>
    <t>[négətiv]</t>
  </si>
  <si>
    <t>부정하는(neg) 쪽으로 나아가는(t) ‘부정적인, 반대의’</t>
  </si>
  <si>
    <t>부정적인, 반대의</t>
  </si>
  <si>
    <t>The test results came back negative, which is good news.</t>
  </si>
  <si>
    <t>The test results came back (          ), which is good news.</t>
  </si>
  <si>
    <t>negotiate</t>
  </si>
  <si>
    <t>[nigóuʃièit]</t>
  </si>
  <si>
    <t>부정적으로(neg) 말할 마음도 가지고 나아가니(t) ‘협상하다, 협의하다’</t>
  </si>
  <si>
    <t>협상하다, 협의하다</t>
  </si>
  <si>
    <t>The countries will negotiate a new trade agreement.</t>
  </si>
  <si>
    <t>The countries will (          ) a new trade agreement.</t>
  </si>
  <si>
    <t>부정적(neg)으로 모으니(lect) ‘방치하다, 무시하다’</t>
  </si>
  <si>
    <t>방치하다, 무시하다</t>
  </si>
  <si>
    <t>negligible</t>
  </si>
  <si>
    <t>[néglidʒəbl]</t>
  </si>
  <si>
    <t>등한시(neg) + 할 수 있는(ible-able) = ‘무시할 수 있는, 사소한’</t>
  </si>
  <si>
    <t>무시할 수 있는, 사소한</t>
  </si>
  <si>
    <t>The cost difference between the two options is negligible.</t>
  </si>
  <si>
    <t>The cost difference between the two options is (          ).</t>
  </si>
  <si>
    <t>negligence</t>
  </si>
  <si>
    <t>no(ne) &gt; neg &gt; negligible</t>
  </si>
  <si>
    <t>[néglidʒəns]</t>
  </si>
  <si>
    <t>무시할 수 있는(negligible) + 명사(ence) = ‘태만, 등한’</t>
  </si>
  <si>
    <t>태만, 등한</t>
  </si>
  <si>
    <t>The accident occurred due to negligence by the driver.</t>
  </si>
  <si>
    <t>The accident occurred due to (          ) by the driver.</t>
  </si>
  <si>
    <t>never</t>
  </si>
  <si>
    <t>no(ne)</t>
  </si>
  <si>
    <t>[névər]</t>
  </si>
  <si>
    <t>아니다(ne-no) 결코(ever) ‘절대로 아니다’</t>
  </si>
  <si>
    <t>절대로 아니다</t>
  </si>
  <si>
    <t>I have never visited Australia.</t>
  </si>
  <si>
    <t>I have (          ) visited Australia.</t>
  </si>
  <si>
    <t>nevertheless</t>
  </si>
  <si>
    <t>no(ne) &gt; never</t>
  </si>
  <si>
    <t>[nèvərðəlés]</t>
  </si>
  <si>
    <t>절대로(never) 그것이(the) 풀어져 사라지지 않으니(less) ‘그럼에도 불구하고’</t>
  </si>
  <si>
    <t>그럼에도 불구하고</t>
  </si>
  <si>
    <t>The climb was difficult; nevertheless, they reached the summit.</t>
  </si>
  <si>
    <t>The climb was difficult; (          ), they reached the summit.</t>
  </si>
  <si>
    <t>neutral</t>
  </si>
  <si>
    <t>[njúːtrəl]</t>
  </si>
  <si>
    <t>어느 쪽으로 기울어 짐이 없이(ne) 아래쪽(u)으로 중심잡고 딱 서(t)있으니 ‘중립적인’</t>
  </si>
  <si>
    <t>중립적인</t>
  </si>
  <si>
    <t>Switzerland remained neutral during World War II.</t>
  </si>
  <si>
    <t>Switzerland remained (          ) during World War II.</t>
  </si>
  <si>
    <t>need</t>
  </si>
  <si>
    <t>[niːd]</t>
  </si>
  <si>
    <t>없는(ne) 상태가 더 악화되니(d) ‘필요하다’</t>
  </si>
  <si>
    <t>필요하다</t>
  </si>
  <si>
    <t>Plants need sunlight and water to grow.</t>
  </si>
  <si>
    <t>Plants (          ) sunlight and water to grow.</t>
  </si>
  <si>
    <t>needle</t>
  </si>
  <si>
    <t>no(ne) &gt; need</t>
  </si>
  <si>
    <t>[níːdl]</t>
  </si>
  <si>
    <t>필요(need)에 따라 가늘고 길게(l) 만든 ‘바늘’</t>
  </si>
  <si>
    <t>바늘</t>
  </si>
  <si>
    <t>The nurse used a sterile needle for the injection.</t>
  </si>
  <si>
    <t>The nurse used a sterile (          ) for the injection.</t>
  </si>
  <si>
    <t>nude</t>
  </si>
  <si>
    <t>no(nu)</t>
  </si>
  <si>
    <t>[njuːd]</t>
  </si>
  <si>
    <t>옷이 없는(nu) 상태 ‘벗은’</t>
  </si>
  <si>
    <t>벗은</t>
  </si>
  <si>
    <t>The artist painted nude figures in classical style.</t>
  </si>
  <si>
    <t>The artist painted (          ) figures in classical style.</t>
  </si>
  <si>
    <t>nut</t>
  </si>
  <si>
    <t>[nʌt]</t>
  </si>
  <si>
    <t>껍데기가 없으면 즉, 벗기면(nu) 그 안에 알맹 이가 서(t) 있는 ‘견과류’</t>
  </si>
  <si>
    <t>견과류</t>
  </si>
  <si>
    <t>The squirrel collected nuts for winter.</t>
  </si>
  <si>
    <t>The squirrel collected (          )s for winter.</t>
  </si>
  <si>
    <t>nuclear</t>
  </si>
  <si>
    <t>[njúːkliər]</t>
  </si>
  <si>
    <t>다 없애 버리는데(nu) 깨끗이(clear) 모든 것을 파괴시킬 ‘핵의, 원자력의’</t>
  </si>
  <si>
    <t>핵의, 원자력의</t>
  </si>
  <si>
    <t>Nuclear power plants generate electricity.</t>
  </si>
  <si>
    <r>
      <rPr>
        <sz val="12"/>
        <color indexed="8"/>
        <rFont val="Arial"/>
      </rPr>
      <t>Nuclear power plants generate electricity.</t>
    </r>
  </si>
  <si>
    <t>norm</t>
  </si>
  <si>
    <t>[nɔːrm]</t>
  </si>
  <si>
    <t>아무것도(no) 없는 상황에서 힘있게(r) 움직여(m) 뭔가를 만드는 ‘기준, 표준’</t>
  </si>
  <si>
    <t>기준, 표준</t>
  </si>
  <si>
    <t>Wearing a suit to interviews is the norm in conservative industries.</t>
  </si>
  <si>
    <t>Wearing a suit to interviews is the (          ) in conservative industries.</t>
  </si>
  <si>
    <t>normal</t>
  </si>
  <si>
    <t>no(nu) &gt; norm</t>
  </si>
  <si>
    <t>[nɔ́ːrməl]</t>
  </si>
  <si>
    <t>기준, 표준(norm) + 형용사(al) = ‘표준적인, 보통의, 정상적인’</t>
  </si>
  <si>
    <t>표준적인, 보통의, 정상적인</t>
  </si>
  <si>
    <t>It's normal to feel nervous before a presentation.</t>
  </si>
  <si>
    <t>normalize</t>
  </si>
  <si>
    <t>[nɔ́ːrməlàiz]</t>
  </si>
  <si>
    <t>표준적인(normal) + 동사(ize) = ‘표준화 시키다, 기준에 맞추다’</t>
  </si>
  <si>
    <t>표준화 시키다, 기준에 맞추다</t>
  </si>
  <si>
    <t>The company works to normalize flexible work schedules.</t>
  </si>
  <si>
    <t>The company works to (          ) flexible work schedules.</t>
  </si>
  <si>
    <t>subnormal</t>
  </si>
  <si>
    <t>[sʌbnɔ́ːrməl]</t>
  </si>
  <si>
    <t>아래의(sub) + 표준적인(normal) = ‘보통 이하의, 정신 박약의’</t>
  </si>
  <si>
    <t>보통 이하의, 정신 박약의</t>
  </si>
  <si>
    <t>The patient's body temperature was subnormal.</t>
  </si>
  <si>
    <t>The patient's body temperature was (          ).</t>
  </si>
  <si>
    <t>이탈(ab) + 정상의, 평범한(normal) = ‘이상한, 정신 이상의’</t>
  </si>
  <si>
    <t>이상한, 정신 이상의</t>
  </si>
  <si>
    <t>enormous</t>
  </si>
  <si>
    <t>[inɔ́ːrməs]</t>
  </si>
  <si>
    <t>입구(e)를 통해 나가 표준을(norm) 벗어나 버렸으니 ‘거대한, 엄청난’</t>
  </si>
  <si>
    <t>거대한, 엄청난</t>
  </si>
  <si>
    <t>The whale is an enormous sea creature.</t>
  </si>
  <si>
    <t>The whale is an (          ) sea creature.</t>
  </si>
  <si>
    <t>snow</t>
  </si>
  <si>
    <t>sn</t>
  </si>
  <si>
    <r>
      <rPr>
        <sz val="12"/>
        <color indexed="8"/>
        <rFont val="Apple SD 산돌고딕 Neo 일반체"/>
      </rPr>
      <t>sn</t>
    </r>
  </si>
  <si>
    <t>[snou]</t>
  </si>
  <si>
    <t>만물을 다 덮어서 형체가 보이지 않는데(sn) 내릴 때 바람결(w)에 날리는 ‘눈’</t>
  </si>
  <si>
    <t>눈</t>
  </si>
  <si>
    <t>Children love to play in the snow.</t>
  </si>
  <si>
    <t>Children love to play in the (          ).</t>
  </si>
  <si>
    <t>snake</t>
  </si>
  <si>
    <t>[sneik]</t>
  </si>
  <si>
    <t>부드럽게 보이지 않게(sn) 움직여 확장해(k) 나가는 ‘뱀’</t>
  </si>
  <si>
    <t>뱀</t>
  </si>
  <si>
    <t>The snake slithered across the garden path.</t>
  </si>
  <si>
    <t>The (          ) slithered across the garden path.</t>
  </si>
  <si>
    <t>snatch</t>
  </si>
  <si>
    <t>[snæʧ]</t>
  </si>
  <si>
    <t>보이지 않게(sn) 접근해서 잡으니(catch) ‘잡아채다’</t>
  </si>
  <si>
    <t>잡아채다</t>
  </si>
  <si>
    <t>The thief tried to snatch her purse.</t>
  </si>
  <si>
    <t>The thief tried to (          ) her purse.</t>
  </si>
  <si>
    <t>snare</t>
  </si>
  <si>
    <t>[snεər]</t>
  </si>
  <si>
    <t>보이지 않도록(sn) 존재를(are) 잘 숨겨 놓는 ‘덫’</t>
  </si>
  <si>
    <t>덫</t>
  </si>
  <si>
    <t>Hunters set a snare to catch rabbits.</t>
  </si>
  <si>
    <t>Hunters set a (          ) to catch rabbits.</t>
  </si>
  <si>
    <t>snag</t>
  </si>
  <si>
    <t>[snæg]</t>
  </si>
  <si>
    <t>위로는 보이지 않지만(sn) 아래로는 깊이(g) 박혀 있는 ‘그루터기’</t>
  </si>
  <si>
    <t>그루터기</t>
  </si>
  <si>
    <t>His sweater had a snag from catching on a nail.</t>
  </si>
  <si>
    <t>His sweater had a (          ) from catching on a nail.</t>
  </si>
  <si>
    <t>snap</t>
  </si>
  <si>
    <t>[snæp]</t>
  </si>
  <si>
    <t>두 손가락을 붙여서 공간이 보이지 않게(sn)하고서, 폭하게(p) 터지면서 ‘딱 소리내다’</t>
  </si>
  <si>
    <t>딱 소리내다</t>
  </si>
  <si>
    <t>The twig will snap if you bend it too far.</t>
  </si>
  <si>
    <t>The twig will (          ) if you bend it too far.</t>
  </si>
  <si>
    <t>nation</t>
  </si>
  <si>
    <t>nat</t>
  </si>
  <si>
    <r>
      <rPr>
        <sz val="12"/>
        <color indexed="8"/>
        <rFont val="Apple SD 산돌고딕 Neo 일반체"/>
      </rPr>
      <t>nat</t>
    </r>
  </si>
  <si>
    <t>[néiʃən]</t>
  </si>
  <si>
    <t>태어나서(nat) 지속적으로(on) 사는 ‘나라, 국가’</t>
  </si>
  <si>
    <t>Japan is an island nation in East Asia.</t>
  </si>
  <si>
    <t>Japan is an island (          ) in East Asia.</t>
  </si>
  <si>
    <t>international</t>
  </si>
  <si>
    <t>nat &gt; nation</t>
  </si>
  <si>
    <t>[ìntərnǽʃənəl]</t>
  </si>
  <si>
    <t>상호관계(inter)가 나라들(nation)이니 ‘국제적인’</t>
  </si>
  <si>
    <t>국제적인</t>
  </si>
  <si>
    <t>The airport handles both domestic and international flights.</t>
  </si>
  <si>
    <t>The airport handles both domestic and (          ) flights.</t>
  </si>
  <si>
    <t>native</t>
  </si>
  <si>
    <t>[néitiv]</t>
  </si>
  <si>
    <t>태어나고(nat) 자란, 갈라진(v) 계곡이니 ‘태어난 땅의, 모국의’</t>
  </si>
  <si>
    <t>태어난 땅의, 모국의</t>
  </si>
  <si>
    <t>She is a native of Brazil but now lives in Canada.</t>
  </si>
  <si>
    <t>She is a (          ) of Brazil but now lives in Canada.</t>
  </si>
  <si>
    <t>nature</t>
  </si>
  <si>
    <t>[néiʧər]</t>
  </si>
  <si>
    <t>태어난(nat) 그대로 힘있게(r) 자라도록 하는 ‘자연’</t>
  </si>
  <si>
    <t>자연</t>
  </si>
  <si>
    <t>I love spending time in nature, especially forests.</t>
  </si>
  <si>
    <t>I love spending time in (          ), especially forests.</t>
  </si>
  <si>
    <t>natural</t>
  </si>
  <si>
    <t>nat &gt; nature</t>
  </si>
  <si>
    <t>[nǽʧərəl]</t>
  </si>
  <si>
    <t>자연(nature) + 형용사(al) = ‘자연의’</t>
  </si>
  <si>
    <t>자연의</t>
  </si>
  <si>
    <t>The yogurt contains only natural ingredients.</t>
  </si>
  <si>
    <t>The yogurt contains only (          ) ingredients.</t>
  </si>
  <si>
    <t>supernatural</t>
  </si>
  <si>
    <t>nat &gt; nature &gt; natural</t>
  </si>
  <si>
    <t>[suˌpərnæˈʧərəl]</t>
  </si>
  <si>
    <t>초월하다(super) 타고난 자연의(natural) 것을 즉, ‘초자연의, 불가사의한’</t>
  </si>
  <si>
    <t>초자연의, 불가사의한</t>
  </si>
  <si>
    <t>The movie explores supernatural phenomena.</t>
  </si>
  <si>
    <t>The movie explores (          ) phenomena.</t>
  </si>
  <si>
    <t>innate</t>
  </si>
  <si>
    <t>[inéit]</t>
  </si>
  <si>
    <t>안(in)에 태어날(nat) 때부터 가지고 있었으니 ‘타고난, 천부적인’</t>
  </si>
  <si>
    <t>타고난, 천부적인</t>
  </si>
  <si>
    <t>She has an innate talent for music.</t>
  </si>
  <si>
    <t>She has an (          ) talent for music.</t>
  </si>
  <si>
    <t>connate</t>
  </si>
  <si>
    <t>[kάneit]</t>
  </si>
  <si>
    <t>태어날 때 함께(con) 가지고 새롭게(n) 태어났으니(nat) ‘타고난, 선천적인’</t>
  </si>
  <si>
    <t>타고난, 선천적인</t>
  </si>
  <si>
    <t>Oil and connate water are often found together.</t>
  </si>
  <si>
    <t>Oil and (          ) water are often found together.</t>
  </si>
  <si>
    <t>novel</t>
  </si>
  <si>
    <t>nov</t>
  </si>
  <si>
    <r>
      <rPr>
        <sz val="12"/>
        <color indexed="8"/>
        <rFont val="Apple SD 산돌고딕 Neo 일반체"/>
      </rPr>
      <t>nov</t>
    </r>
  </si>
  <si>
    <t>[nάvəl]</t>
  </si>
  <si>
    <t>새로운(nov) 이야기를 길게(l) 풀어내는 ‘소설’</t>
  </si>
  <si>
    <t>소설</t>
  </si>
  <si>
    <t>Her novel won several literary awards.</t>
  </si>
  <si>
    <t>Her (          ) won several literary awards.</t>
  </si>
  <si>
    <t>novelty</t>
  </si>
  <si>
    <t>nov &gt; novel</t>
  </si>
  <si>
    <t>[nάvəlti]</t>
  </si>
  <si>
    <t>소설이(novel) 티나게(ty) 참신하니 ‘참신함, 새로움, 신기함’</t>
  </si>
  <si>
    <t>참신함, 새로움, 신기함</t>
  </si>
  <si>
    <t>The novelty of the new toy quickly wore off.</t>
  </si>
  <si>
    <t>The (          ) of the new toy quickly wore off.</t>
  </si>
  <si>
    <t>novice</t>
  </si>
  <si>
    <t>[nάvis]</t>
  </si>
  <si>
    <t>새롭게(nov) 처음 시작하는 ‘풋나기’</t>
  </si>
  <si>
    <t>풋나기</t>
  </si>
  <si>
    <t>He is still a novice at chess.</t>
  </si>
  <si>
    <t>He is still a (          ) at chess.</t>
  </si>
  <si>
    <t>renovate</t>
  </si>
  <si>
    <t>[rénəvèit]</t>
  </si>
  <si>
    <t xml:space="preserve">다시(re) 새롭게(nov) 하니(ate) ‘혁신하다, 수리하다’ </t>
  </si>
  <si>
    <t>혁신하다, 수리하다</t>
  </si>
  <si>
    <t>They plan to renovate their kitchen next year.</t>
  </si>
  <si>
    <t>They plan to (          ) their kitchen next year.</t>
  </si>
  <si>
    <t>innovate</t>
  </si>
  <si>
    <t>[ínəvèit]</t>
  </si>
  <si>
    <t>안(in)에서 새롭게(nov) 하니 ‘쇄신하다, 혁신하다’</t>
  </si>
  <si>
    <t>쇄신하다, 혁신하다</t>
  </si>
  <si>
    <t>Companies must innovate to stay competitive.</t>
  </si>
  <si>
    <t>Companies must (          ) to stay competitive.</t>
  </si>
  <si>
    <t>nova</t>
  </si>
  <si>
    <t>[nóuvə]</t>
  </si>
  <si>
    <t>새롭게(nov) 하나 하나(a) 만들어지는 ‘별’</t>
  </si>
  <si>
    <t>별</t>
  </si>
  <si>
    <t>Astronomers observed a nova in a distant galaxy.</t>
  </si>
  <si>
    <t>Astronomers observed a (          ) in a distant galaxy.</t>
  </si>
  <si>
    <t>note</t>
  </si>
  <si>
    <t>n</t>
  </si>
  <si>
    <r>
      <rPr>
        <sz val="12"/>
        <color indexed="8"/>
        <rFont val="Apple SD 산돌고딕 Neo 일반체"/>
      </rPr>
      <t>note</t>
    </r>
  </si>
  <si>
    <t>[nout]</t>
  </si>
  <si>
    <t>새롭게(n) 뭔가를 작성하여 나아가니(t) ‘기록, 수기, 노트’</t>
  </si>
  <si>
    <t>기록, 수기, 노트</t>
  </si>
  <si>
    <t>Leave a note on the door if you're going out.</t>
  </si>
  <si>
    <t>Leave a (          ) on the door if you're going out.</t>
  </si>
  <si>
    <t>notion</t>
  </si>
  <si>
    <t>[nóuʃən]</t>
  </si>
  <si>
    <t>기록해서(note) 지속적으로(on) 가지게 되는 ‘개념, 관념’</t>
  </si>
  <si>
    <t>개념, 관념</t>
  </si>
  <si>
    <t>I have no notion of what you're talking about.</t>
  </si>
  <si>
    <t>I have no (          ) of what you're talking about.</t>
  </si>
  <si>
    <t>notify</t>
  </si>
  <si>
    <t>[nóutəfài]</t>
  </si>
  <si>
    <t>기록(note)해서 만들어(vy) 알리니 ‘통지하다, 알리다’</t>
  </si>
  <si>
    <t>통지하다, 알리다</t>
  </si>
  <si>
    <t>Please notify us of any changes to your address.</t>
  </si>
  <si>
    <t>Please (          ) us of any changes to your address.</t>
  </si>
  <si>
    <t>notebook</t>
  </si>
  <si>
    <t>[nouˈtbʊˌk]</t>
  </si>
  <si>
    <t>기록(note)하기 위한 책(book)이니 ‘공책’</t>
  </si>
  <si>
    <t>공책</t>
  </si>
  <si>
    <t>The student wrote the assignment in her notebook.</t>
  </si>
  <si>
    <t>The student wrote the assignment in her (          ).</t>
  </si>
  <si>
    <t>notation</t>
  </si>
  <si>
    <t>[noutéiʃən]</t>
  </si>
  <si>
    <t>기록(note)하는 방법이니 ‘표기법, 표시법’</t>
  </si>
  <si>
    <t>표기법, 표시법</t>
  </si>
  <si>
    <t>Musical notation allows composers to record their ideas.</t>
  </si>
  <si>
    <t>Musical (          ) allows composers to record their ideas.</t>
  </si>
  <si>
    <t>annotation</t>
  </si>
  <si>
    <t>[ӕnətéiʃən]</t>
  </si>
  <si>
    <t>더하는게(a) 기록이니(note) 주석을 달다 + 명사(ion) = ‘주석, 주해’</t>
  </si>
  <si>
    <t>주석, 주해</t>
  </si>
  <si>
    <t>The professor added annotations to the manuscript.</t>
  </si>
  <si>
    <t>The professor added (          )s to the manuscript.</t>
  </si>
  <si>
    <t>notable</t>
  </si>
  <si>
    <t>[nóutəbl]</t>
  </si>
  <si>
    <t>기록(note) 해서 할(able) 정도니 ‘주목할 만한, 중요한’</t>
  </si>
  <si>
    <t>주목할 만한, 중요한</t>
  </si>
  <si>
    <t>Her contribution to the project was particularly notable.</t>
  </si>
  <si>
    <t>Her contribution to the project was particularly (          ).</t>
  </si>
  <si>
    <t>notice</t>
  </si>
  <si>
    <t>[nóutis]</t>
  </si>
  <si>
    <t>노트로 기록하기(note) 위해 오감으로 잡으니(c) ‘알아차리다, 주목’</t>
  </si>
  <si>
    <t>알아차리다, 주목</t>
  </si>
  <si>
    <t>Did you notice the new painting in the lobby?</t>
  </si>
  <si>
    <t>Did you (          ) the new painting in the lobby?</t>
  </si>
  <si>
    <t>notorious</t>
  </si>
  <si>
    <t>note &gt; notice</t>
  </si>
  <si>
    <t>[noutɔ́ːriəs]</t>
  </si>
  <si>
    <t>주목할(notice) 정도로 세게(r) 악명 높은 상태(ous)이니 ‘악명 높은’</t>
  </si>
  <si>
    <t>악명 높은</t>
  </si>
  <si>
    <t>The area is notorious for heavy traffic.</t>
  </si>
  <si>
    <t>The area is (          ) for heavy traffic.</t>
  </si>
  <si>
    <t>announce</t>
  </si>
  <si>
    <t>nounce</t>
  </si>
  <si>
    <r>
      <rPr>
        <sz val="12"/>
        <color indexed="8"/>
        <rFont val="Apple SD 산돌고딕 Neo 일반체"/>
      </rPr>
      <t>nounce</t>
    </r>
  </si>
  <si>
    <t>[ənáuns]</t>
  </si>
  <si>
    <t>하나(an) 하나를 또박 또박 말하니(nounce) ‘알리다, 발표하다’</t>
  </si>
  <si>
    <t>알리다, 발표하다</t>
  </si>
  <si>
    <t>The company will announce the new product next week.</t>
  </si>
  <si>
    <t>The company will (          ) the new product next week.</t>
  </si>
  <si>
    <t>announcer</t>
  </si>
  <si>
    <t>nounce &gt; announce</t>
  </si>
  <si>
    <t>[ənáunsər]</t>
  </si>
  <si>
    <t>발표하는(announce) 사람(er)이니 ‘아나운서’</t>
  </si>
  <si>
    <t>아나운서</t>
  </si>
  <si>
    <t>The sports announcer described the exciting play.</t>
  </si>
  <si>
    <t>The sports (          ) described the exciting play.</t>
  </si>
  <si>
    <t>pronounce</t>
  </si>
  <si>
    <t>[prənáuns]</t>
  </si>
  <si>
    <t>앞으로(pro) 말하니(nounce) ‘발음하다’</t>
  </si>
  <si>
    <t>발음하다</t>
  </si>
  <si>
    <t>It's difficult to pronounce certain sounds in foreign languages.</t>
  </si>
  <si>
    <t>It's difficult to (          ) certain sounds in foreign languages.</t>
  </si>
  <si>
    <t>denounce</t>
  </si>
  <si>
    <t>[dináuns]</t>
  </si>
  <si>
    <t>수준이 저하(de)되는 말을 하니(nounce) ‘비난하다’</t>
  </si>
  <si>
    <t>비난하다</t>
  </si>
  <si>
    <t>The politician denounced corruption in government.</t>
  </si>
  <si>
    <t>The politician (          )d corruption in government.</t>
  </si>
  <si>
    <t>nurse</t>
  </si>
  <si>
    <t>nur</t>
  </si>
  <si>
    <r>
      <rPr>
        <sz val="12"/>
        <color indexed="8"/>
        <rFont val="Apple SD 산돌고딕 Neo 일반체"/>
      </rPr>
      <t>nur</t>
    </r>
  </si>
  <si>
    <t>[nəːrs]</t>
  </si>
  <si>
    <t>영양을(nur) 부드럽게(s) 채워주는 ‘간호사’</t>
  </si>
  <si>
    <t>간호사</t>
  </si>
  <si>
    <t>The nurse checked the patient's vital signs.</t>
  </si>
  <si>
    <t>The (          ) checked the patient's vital signs.</t>
  </si>
  <si>
    <t>nursery</t>
  </si>
  <si>
    <t>nur &gt; nurse</t>
  </si>
  <si>
    <t>[nə́ːrsəri]</t>
  </si>
  <si>
    <t>간호원(nurse)이 환자를 돌보듯 아이를 돌보는 ‘탁아소, 아이방’</t>
  </si>
  <si>
    <t>탁아소, 아이방</t>
  </si>
  <si>
    <t>The nursery is decorated with colorful animal pictures.</t>
  </si>
  <si>
    <t>The (          ) is decorated with colorful animal pictures.</t>
  </si>
  <si>
    <t>nurture</t>
  </si>
  <si>
    <t>[nə́ːrʧər]</t>
  </si>
  <si>
    <t>영양상태를(nur) 세워주니(t) ‘양육하다’</t>
  </si>
  <si>
    <t>양육하다</t>
  </si>
  <si>
    <t>Parents nurture their children's talents and interests.</t>
  </si>
  <si>
    <t>Parents (          ) their children's talents and interests.</t>
  </si>
  <si>
    <t>nutrition</t>
  </si>
  <si>
    <t>nur(nutr)</t>
  </si>
  <si>
    <t>[njuːtríʃən]</t>
  </si>
  <si>
    <t>영양(nutr-nur) + 명사형(tion) = ‘영양, 영양공급’</t>
  </si>
  <si>
    <t>영양, 영양공급</t>
  </si>
  <si>
    <t>Good nutrition is essential for healthy development.</t>
  </si>
  <si>
    <t>Good (          ) is essential for healthy development.</t>
  </si>
  <si>
    <t>nourish</t>
  </si>
  <si>
    <t>nur(nour)</t>
  </si>
  <si>
    <t>[nə́ːriʃ]</t>
  </si>
  <si>
    <t>영양(nur-nour)을 주니 ‘영양분을 주다, 기르다’</t>
  </si>
  <si>
    <t>영양분을 주다, 기르다</t>
  </si>
  <si>
    <t>Healthy food nourishes both body and mind.</t>
  </si>
  <si>
    <t>Healthy food (          )es both body and mind.</t>
  </si>
  <si>
    <t>ob</t>
  </si>
  <si>
    <r>
      <rPr>
        <sz val="12"/>
        <color indexed="8"/>
        <rFont val="Apple SD 산돌고딕 Neo 일반체"/>
      </rPr>
      <t>ob</t>
    </r>
  </si>
  <si>
    <t>반대(ob)하면서 던지니(ject) ‘반대하다, 목표, 대상’</t>
  </si>
  <si>
    <t>반대하다, 목표, 대상</t>
  </si>
  <si>
    <t>obstacle</t>
  </si>
  <si>
    <t>[άbstəkl]</t>
  </si>
  <si>
    <t>반대하며(ob) 서있는(st) ‘장애물’</t>
  </si>
  <si>
    <t>장애물</t>
  </si>
  <si>
    <t>The athlete jumped over each obstacle in the race.</t>
  </si>
  <si>
    <t>The athlete jumped over each (          ) in the race.</t>
  </si>
  <si>
    <t>반대(ob) + 확보한(secure) = ‘분명하지 않은, 애매한’</t>
  </si>
  <si>
    <t>분명하지 않은, 애매한</t>
  </si>
  <si>
    <t>obesity</t>
  </si>
  <si>
    <t>[oubíːsəti]</t>
  </si>
  <si>
    <t>반대해야(ob) 할 정도로 입구멍으로(e) 음식이 사라져(s) 몸이 확장(y) 되니 ‘비만, 과체중’</t>
  </si>
  <si>
    <t>비만, 과체중</t>
  </si>
  <si>
    <t>Childhood obesity is a growing health concern.</t>
  </si>
  <si>
    <t>Childhood (          ) is a growing health concern.</t>
  </si>
  <si>
    <t>obey</t>
  </si>
  <si>
    <t>[oubéi]</t>
  </si>
  <si>
    <t>반대하는(ob) 마음이 입구를(e) 통해 다 나가니 ‘복종하다’</t>
  </si>
  <si>
    <t>복종하다</t>
  </si>
  <si>
    <t>Citizens must obey the law.</t>
  </si>
  <si>
    <t>Citizens must (          ) the law.</t>
  </si>
  <si>
    <t>disobedient</t>
  </si>
  <si>
    <t>ob &gt; obedient</t>
  </si>
  <si>
    <t>[dìsəbíːdiənt]</t>
  </si>
  <si>
    <t>분리(dis)시키다 순종하는(obedient) 마음을 그 결과 ‘반항적인’</t>
  </si>
  <si>
    <t>반항적인</t>
  </si>
  <si>
    <t>The disobedient child refused to go to bed.</t>
  </si>
  <si>
    <t>The (          ) child refused to go to bed.</t>
  </si>
  <si>
    <t>opera</t>
  </si>
  <si>
    <t>oper</t>
  </si>
  <si>
    <r>
      <rPr>
        <sz val="12"/>
        <color indexed="8"/>
        <rFont val="Apple SD 산돌고딕 Neo 일반체"/>
      </rPr>
      <t>oper</t>
    </r>
  </si>
  <si>
    <t>[άpərə]</t>
  </si>
  <si>
    <t>배우들이 일을 해서(oper) 만드는 작품은 ‘오페라’</t>
  </si>
  <si>
    <t>오페라</t>
  </si>
  <si>
    <t>We attended an opera at the famous Sydney Opera House.</t>
  </si>
  <si>
    <t>We attended an (          ) at the famous Sydney Opera House.</t>
  </si>
  <si>
    <t>operate</t>
  </si>
  <si>
    <t>[άpərèit]</t>
  </si>
  <si>
    <t>일하기(oper) 위해 준비해서 나아가니(t) ‘움직이다, 작동하다’</t>
  </si>
  <si>
    <t>움직이다, 작동하다</t>
  </si>
  <si>
    <t>The surgeon will operate on the patient tomorrow.</t>
  </si>
  <si>
    <t>The surgeon will (          ) on the patient tomorrow.</t>
  </si>
  <si>
    <t>operative</t>
  </si>
  <si>
    <t>oper &gt; operate</t>
  </si>
  <si>
    <t>[άpərətiv]</t>
  </si>
  <si>
    <t>작동하다(operate) + 형용사(ive) = ‘효력이 있는’</t>
  </si>
  <si>
    <t>효력이 있는</t>
  </si>
  <si>
    <t>The operative word in this contract is "immediately."</t>
  </si>
  <si>
    <t>The (          ) word in this contract is "immediately."</t>
  </si>
  <si>
    <t>inoperative</t>
  </si>
  <si>
    <t>oper &gt; operate &gt; operative</t>
  </si>
  <si>
    <t>[inάpərətiv]</t>
  </si>
  <si>
    <t>반대(in) + 효력이 있는(operative) = ‘효력이 없는’</t>
  </si>
  <si>
    <t>효력이 없는</t>
  </si>
  <si>
    <t>The elevator is inoperative due to maintenance.</t>
  </si>
  <si>
    <t>The elevator is (          ) due to maintenance.</t>
  </si>
  <si>
    <t>cooperate</t>
  </si>
  <si>
    <t>[kouάpərèit]</t>
  </si>
  <si>
    <t>함께(co) 작동시키니(operate) ‘협력하다, 협동하다’</t>
  </si>
  <si>
    <t>협력하다, 협동하다</t>
  </si>
  <si>
    <t>The two teams cooperate on environmental projects.</t>
  </si>
  <si>
    <t>The two teams (          ) on environmental projects.</t>
  </si>
  <si>
    <t>optic</t>
  </si>
  <si>
    <t>opt</t>
  </si>
  <si>
    <r>
      <rPr>
        <sz val="12"/>
        <color indexed="8"/>
        <rFont val="Apple SD 산돌고딕 Neo 일반체"/>
      </rPr>
      <t>opt</t>
    </r>
  </si>
  <si>
    <t>[άptik]</t>
  </si>
  <si>
    <t>눈(opti) + 형용사(ic) = ‘눈의, 시력의’</t>
  </si>
  <si>
    <t>눈의, 시력의</t>
  </si>
  <si>
    <t>The optic nerve connects the eye to the brain.</t>
  </si>
  <si>
    <t>The (          ) nerve connects the eye to the brain.</t>
  </si>
  <si>
    <t>optics</t>
  </si>
  <si>
    <t>opt &gt; optic</t>
  </si>
  <si>
    <t>[άptiks]</t>
  </si>
  <si>
    <t>눈(optic)과 관련한 여러 개가(s) 모여 학문을 이루니 ‘광학’</t>
  </si>
  <si>
    <t>광학</t>
  </si>
  <si>
    <t>The political optics of the decision were problematic.</t>
  </si>
  <si>
    <t>The political (          ) of the decision were problematic.</t>
  </si>
  <si>
    <t>optical</t>
  </si>
  <si>
    <t>[άptikəl]</t>
  </si>
  <si>
    <t>눈의, 시력의(optic) + 형용사(al) = ‘시력을 돕는, 눈에 의한’</t>
  </si>
  <si>
    <t>시력을 돕는, 눈에 의한</t>
  </si>
  <si>
    <t>He needed optical lenses to correct his vision.</t>
  </si>
  <si>
    <t>He needed (          ) lenses to correct his vision.</t>
  </si>
  <si>
    <t>opportunity</t>
  </si>
  <si>
    <t>opt(op)</t>
  </si>
  <si>
    <t>[ὰpərtjúːnəti]</t>
  </si>
  <si>
    <t>눈으로 보는(opt-op) 것이 항구에서(port) 단결하여(unity) 할 사업이니 ‘기회’</t>
  </si>
  <si>
    <t>기회</t>
  </si>
  <si>
    <t>Education provides opportunities for a better future.</t>
  </si>
  <si>
    <r>
      <rPr>
        <sz val="12"/>
        <color indexed="8"/>
        <rFont val="Arial"/>
      </rPr>
      <t>Education provides opportunities for a better future.</t>
    </r>
  </si>
  <si>
    <t>option</t>
  </si>
  <si>
    <t>[άpʃən]</t>
  </si>
  <si>
    <t>눈으로(opt) 지속적으로(on) 보고 ‘선택하다’
*선택하는 행위는 눈으로(opt) 보고 하는 것이다</t>
  </si>
  <si>
    <t>선택하다</t>
  </si>
  <si>
    <t>The restaurant offers a vegetarian option on the menu.</t>
  </si>
  <si>
    <t>The restaurant offers a vegetarian (          ) on the menu.</t>
  </si>
  <si>
    <t>adopt</t>
  </si>
  <si>
    <t>[ədάpt]</t>
  </si>
  <si>
    <t>더하다(ad) 선택해서(opt) 새롭게 아이를 즉, ‘입양하다, 채택하다’</t>
  </si>
  <si>
    <t>입양하다, 채택하다</t>
  </si>
  <si>
    <t>The family decided to adopt a rescue dog.</t>
  </si>
  <si>
    <t>The family decided to (          ) a rescue dog.</t>
  </si>
  <si>
    <t>adoption</t>
  </si>
  <si>
    <t>opt &gt; adopt</t>
  </si>
  <si>
    <t>[ədάpʃən]</t>
  </si>
  <si>
    <t>입양하다, 채택하다(adopt) + 명사(ion) = ‘입양, 채용, 채택’</t>
  </si>
  <si>
    <t>입양, 채용, 채택</t>
  </si>
  <si>
    <t>The adoption process can take several months.</t>
  </si>
  <si>
    <t>The (          ) process can take several months.</t>
  </si>
  <si>
    <t>opinion</t>
  </si>
  <si>
    <t>[əpínjən]</t>
  </si>
  <si>
    <t>선택해서(op-opt) 안에(in), 지속적으로(on) 있는 ‘의견’</t>
  </si>
  <si>
    <t>의견</t>
  </si>
  <si>
    <t>Everyone has an opinion about the controversial law.</t>
  </si>
  <si>
    <t>Everyone has an (          ) about the controversial law.</t>
  </si>
  <si>
    <t>optimum</t>
  </si>
  <si>
    <t>[άptəməm]</t>
  </si>
  <si>
    <t>선택하는(opt) 것이 나에게 최고로(mum-maximum) 맞는 조건이니 ‘최적조건’</t>
  </si>
  <si>
    <t>최적조건</t>
  </si>
  <si>
    <t>The optimum temperature for plant growth is around 70°F.</t>
  </si>
  <si>
    <t>The (          ) temperature for plant growth is around 70°F.</t>
  </si>
  <si>
    <t>optimism</t>
  </si>
  <si>
    <t>opt(op) &gt; optimum</t>
  </si>
  <si>
    <t>[άptəmìzm]</t>
  </si>
  <si>
    <t>최적조건(optimum) + 주의(ism)= ‘낙천주의, 낙관’</t>
  </si>
  <si>
    <t>낙천주의, 낙관</t>
  </si>
  <si>
    <t>Her optimism helped her through difficult times.</t>
  </si>
  <si>
    <t>Her (          ) helped her through difficult times.</t>
  </si>
  <si>
    <t>optimistic</t>
  </si>
  <si>
    <t>opt(op) &gt; optimum &gt; optimism</t>
  </si>
  <si>
    <t>[ὰptəmístik]</t>
  </si>
  <si>
    <t>낙관(optimism) + 형용사(ic) = ‘낙관적인’</t>
  </si>
  <si>
    <t>낙관적인</t>
  </si>
  <si>
    <t>Despite challenges, I remain optimistic about the future.</t>
  </si>
  <si>
    <t>Despite challenges, I remain (          ) about the future.</t>
  </si>
  <si>
    <t>optimize</t>
  </si>
  <si>
    <t>[άptəmàiz]</t>
  </si>
  <si>
    <t>최적조건(optimum)화 시키니(ize) = ‘최대한 활용하다’</t>
  </si>
  <si>
    <t>최대한 활용하다</t>
  </si>
  <si>
    <t>We need to optimize the website for mobile devices.</t>
  </si>
  <si>
    <t>We need to (          ) the website for mobile devices.</t>
  </si>
  <si>
    <t>oral</t>
  </si>
  <si>
    <t>ora</t>
  </si>
  <si>
    <r>
      <rPr>
        <sz val="12"/>
        <color indexed="8"/>
        <rFont val="Apple SD 산돌고딕 Neo 일반체"/>
      </rPr>
      <t>ora</t>
    </r>
  </si>
  <si>
    <t>[ɔ́ːrəl]</t>
  </si>
  <si>
    <t>입으로(ora) 길게(l) 말하니 ‘구두의, 입의’</t>
  </si>
  <si>
    <t>구두의, 입의</t>
  </si>
  <si>
    <t>The student gave an excellent oral presentation.</t>
  </si>
  <si>
    <t>The student gave an excellent (          ) presentation.</t>
  </si>
  <si>
    <t>moral</t>
  </si>
  <si>
    <r>
      <rPr>
        <sz val="12"/>
        <color indexed="8"/>
        <rFont val="Apple SD 산돌고딕 Neo 일반체"/>
      </rPr>
      <t>oral</t>
    </r>
  </si>
  <si>
    <t>[mɔ́ːrəl]</t>
  </si>
  <si>
    <t>움직이는(m) 행동과 말(oral)을 제대로 해야 하니 ‘도덕의, 윤리상의’</t>
  </si>
  <si>
    <t>도덕의, 윤리상의</t>
  </si>
  <si>
    <t>The story teaches children important moral lessons.</t>
  </si>
  <si>
    <t>The story teaches children important (          ) lessons.</t>
  </si>
  <si>
    <t>immoral</t>
  </si>
  <si>
    <t>oral &gt; moral</t>
  </si>
  <si>
    <t>[imɔ́ːrəl]</t>
  </si>
  <si>
    <t>반대(im) + 도덕의(moral) = ‘부도덕한’</t>
  </si>
  <si>
    <t>부도덕한</t>
  </si>
  <si>
    <t>Many people consider lying immoral.</t>
  </si>
  <si>
    <t>Many people consider lying (          ).</t>
  </si>
  <si>
    <t>morale</t>
  </si>
  <si>
    <t>[mərǽl]</t>
  </si>
  <si>
    <t>집단의 도덕심이(moral) 입구를(e) 통해 나가면 만들어지는 ‘사기’</t>
  </si>
  <si>
    <t>사기</t>
  </si>
  <si>
    <t>Good leadership improves team morale.</t>
  </si>
  <si>
    <t>Good leadership improves team (          ).</t>
  </si>
  <si>
    <t>demoralize</t>
  </si>
  <si>
    <t>oral &gt; moral &gt; morale</t>
  </si>
  <si>
    <t>[dimɔ́ːrəlàiz]</t>
  </si>
  <si>
    <t>아래로(de) 사기를(morale-moral) 내려가게 하니(ize) ‘사기를 꺾다, 의기소침하게 하다’</t>
  </si>
  <si>
    <t>사기를 꺾다, 의기소침하게 하다</t>
  </si>
  <si>
    <t>Constant criticism can demoralize employees.</t>
  </si>
  <si>
    <t>Constant criticism can (          ) employees.</t>
  </si>
  <si>
    <t>order</t>
  </si>
  <si>
    <t>ord</t>
  </si>
  <si>
    <r>
      <rPr>
        <sz val="12"/>
        <color indexed="8"/>
        <rFont val="Apple SD 산돌고딕 Neo 일반체"/>
      </rPr>
      <t>ord</t>
    </r>
  </si>
  <si>
    <t>[ɔ́ːrdər]</t>
  </si>
  <si>
    <t>둥근(o) 입으로 힘을(r) 가지고 아래에(d) 있는 사람에게 말하는 것이니 ‘명령, 규칙, 순서’</t>
  </si>
  <si>
    <t>명령, 규칙, 순서</t>
  </si>
  <si>
    <t>Please put these files in alphabetical order.</t>
  </si>
  <si>
    <t>Please put these files in alphabetical (          ).</t>
  </si>
  <si>
    <t>ordinary</t>
  </si>
  <si>
    <t>[ɔ́ːrdənèri]</t>
  </si>
  <si>
    <t>통상적 규칙, 순서(order)이니 ‘보통의, 통상적인’</t>
  </si>
  <si>
    <t>보통의, 통상적인</t>
  </si>
  <si>
    <t>It was just an ordinary day until the surprise party.</t>
  </si>
  <si>
    <t>It was just an (          ) day until the surprise party.</t>
  </si>
  <si>
    <t>extraordinary</t>
  </si>
  <si>
    <t>ord &gt; ordinary</t>
  </si>
  <si>
    <t>[ikstrɔ́ːrdənèri]</t>
  </si>
  <si>
    <t>밖의, 이외의(extra) + 보통의(ordinany) = ‘비상한, 비범한’</t>
  </si>
  <si>
    <t>비상한, 비범한</t>
  </si>
  <si>
    <t>Her musical talent is truly extraordinary.</t>
  </si>
  <si>
    <t>Her musical talent is truly (          ).</t>
  </si>
  <si>
    <t>disorder</t>
  </si>
  <si>
    <t>[disɔ́ːrdər]</t>
  </si>
  <si>
    <t>반대, 분리(dis) + 질서(order) = ‘무질서’</t>
  </si>
  <si>
    <t>무질서</t>
  </si>
  <si>
    <t>Autism is a neurodevelopmental disorder.</t>
  </si>
  <si>
    <t>Autism is a neurodevelopmental (          ).</t>
  </si>
  <si>
    <t>coordinate</t>
  </si>
  <si>
    <t>[kouɔ́ːrdənət]</t>
  </si>
  <si>
    <t>함께(co) 순서(order)있게 정리하니 ‘조정하다, 조직화하다’</t>
  </si>
  <si>
    <t>조정하다, 조직화하다</t>
  </si>
  <si>
    <t>The event planner will coordinate all aspects of the wedding.</t>
  </si>
  <si>
    <t>The event planner will (          ) all aspects of the wedding.</t>
  </si>
  <si>
    <t>coordinator</t>
  </si>
  <si>
    <t>ord &gt; coordinate</t>
  </si>
  <si>
    <t>[kouɔ́ːrdənèitər]</t>
  </si>
  <si>
    <t>조정하다(coordinate) + 사람(or) = ‘조정자’</t>
  </si>
  <si>
    <t>조정자</t>
  </si>
  <si>
    <t>The project coordinator ensures all tasks are completed on time.</t>
  </si>
  <si>
    <t>The project (          ) ensures all tasks are completed on time.</t>
  </si>
  <si>
    <t>coordination</t>
  </si>
  <si>
    <t>[kouɔ̀ːrdənéiʃən]</t>
  </si>
  <si>
    <t>조정하다(coordinate) + 명사(ion) = ‘통일, 조화’</t>
  </si>
  <si>
    <t>통일, 조화</t>
  </si>
  <si>
    <t>Good hand-eye coordination is important in many sports.</t>
  </si>
  <si>
    <t>Good hand-eye (          ) is important in many sports.</t>
  </si>
  <si>
    <t>subordinate</t>
  </si>
  <si>
    <t>[səbɔ́ːrdənət]</t>
  </si>
  <si>
    <t>아래쪽(sub)에서 명령(order)을 기다리는데 계급이 거의 없는(n) 부하, 하급자이니 ‘종속하는, 하위의’</t>
  </si>
  <si>
    <t>종속하는, 하위의</t>
  </si>
  <si>
    <t>The manager delegates tasks to his subordinates.</t>
  </si>
  <si>
    <t>The manager delegates tasks to his (          )s.</t>
  </si>
  <si>
    <t>orient</t>
  </si>
  <si>
    <t>ori</t>
  </si>
  <si>
    <r>
      <rPr>
        <sz val="12"/>
        <color indexed="8"/>
        <rFont val="Apple SD 산돌고딕 Neo 일반체"/>
      </rPr>
      <t>ori</t>
    </r>
  </si>
  <si>
    <t>[ɔ́ːriənt]</t>
  </si>
  <si>
    <t>떠 오르는(ori) 해가 떠오르기 전에 안에(en)있는 ‘동쪽’</t>
  </si>
  <si>
    <t>동쪽</t>
  </si>
  <si>
    <t>New employees need time to orient themselves to company procedures.</t>
  </si>
  <si>
    <t>New employees need time to (          ) themselves to company procedures.</t>
  </si>
  <si>
    <t>origin</t>
  </si>
  <si>
    <t>[ɔ́ːrədʒin, άrədʒin]</t>
  </si>
  <si>
    <t>해가 떠 오르는(ori) 것처럼 새로 생기니(gin) ‘기원, 유래’</t>
  </si>
  <si>
    <t>기원, 유래</t>
  </si>
  <si>
    <t>The origin of the custom dates back to ancient times.</t>
  </si>
  <si>
    <t>The (          ) of the custom dates back to ancient times.</t>
  </si>
  <si>
    <t>original</t>
  </si>
  <si>
    <t>ori &gt; origin</t>
  </si>
  <si>
    <t>[ərídʒənl]</t>
  </si>
  <si>
    <t>기원, 유래(origin) + 형용사(al) = ‘원래의, 최초의’</t>
  </si>
  <si>
    <t>원래의, 최초의</t>
  </si>
  <si>
    <t>She had an original idea for solving the problem.</t>
  </si>
  <si>
    <t>She had an (          ) idea for solving the problem.</t>
  </si>
  <si>
    <t>originate</t>
  </si>
  <si>
    <t>[ərídʒənèit]</t>
  </si>
  <si>
    <t>기원, 유래(origin) + 동사(ate) = ‘일어나다, 발원하다, 시작되다’</t>
  </si>
  <si>
    <t>일어나다, 발원하다, 시작되다</t>
  </si>
  <si>
    <t>The dance originated in West Africa.</t>
  </si>
  <si>
    <t>The dance (          )d in West Africa.</t>
  </si>
  <si>
    <t>outline</t>
  </si>
  <si>
    <t>out</t>
  </si>
  <si>
    <r>
      <rPr>
        <sz val="12"/>
        <color indexed="8"/>
        <rFont val="Apple SD 산돌고딕 Neo 일반체"/>
      </rPr>
      <t>out</t>
    </r>
  </si>
  <si>
    <t>[auˈtlaiˌn]</t>
  </si>
  <si>
    <t>밖(out)의 선(ine)이니 ‘윤곽, 외형선’</t>
  </si>
  <si>
    <t>윤곽, 외형선</t>
  </si>
  <si>
    <t>Create an outline before writing your essay.</t>
  </si>
  <si>
    <t>Create an (          ) before writing your essay.</t>
  </si>
  <si>
    <t>outlook</t>
  </si>
  <si>
    <t>[auˈtlʊˌk]</t>
  </si>
  <si>
    <t>밖으로(out) 보는(look) ‘조망, 경치’</t>
  </si>
  <si>
    <t>조망, 경치</t>
  </si>
  <si>
    <t>He maintains a positive outlook despite challenges.</t>
  </si>
  <si>
    <t>He maintains a positive (          ) despite challenges.</t>
  </si>
  <si>
    <t>outbreak</t>
  </si>
  <si>
    <t>[auˈtbreiˌk]</t>
  </si>
  <si>
    <t>바깥쪽으로(out) 터져서 나오니(break) ‘발생, 발발’</t>
  </si>
  <si>
    <t>발생, 발발</t>
  </si>
  <si>
    <t>The outbreak of the disease caused widespread concern.</t>
  </si>
  <si>
    <t>The (          ) of the disease caused widespread concern.</t>
  </si>
  <si>
    <t>outage</t>
  </si>
  <si>
    <t>[áutidʒ]</t>
  </si>
  <si>
    <t>전기, 물 등이 밖(out)에 오랜시간(age)동안 있으니 ‘정전, 단수’</t>
  </si>
  <si>
    <t>정전, 단수</t>
  </si>
  <si>
    <t>The power outage lasted for three hours.</t>
  </si>
  <si>
    <t>The power (          ) lasted for three hours.</t>
  </si>
  <si>
    <t>output</t>
  </si>
  <si>
    <t>[auˈtpʊˌt]</t>
  </si>
  <si>
    <t>바깥으로(out) 나와서 놓게(put)된 ‘생산, 산출물’</t>
  </si>
  <si>
    <t>생산, 산출물</t>
  </si>
  <si>
    <t>The factory increased its output by 20% this year.</t>
  </si>
  <si>
    <t>The factory increased its (          ) by 20% this year.</t>
  </si>
  <si>
    <t>outlet</t>
  </si>
  <si>
    <t>[áutlet, -lit]</t>
  </si>
  <si>
    <t>밖으로(out) 나가게(let)끔 하는 곳 ‘배출구, 판로, 직판장’</t>
  </si>
  <si>
    <t>배출구, 판로, 직판장</t>
  </si>
  <si>
    <t>The electrical outlet needs to be repaired.</t>
  </si>
  <si>
    <t>The electrical (          ) needs to be repaired.</t>
  </si>
  <si>
    <t>outdo</t>
  </si>
  <si>
    <t>[auˌtduˈ]</t>
  </si>
  <si>
    <t>범위 밖으로(out) 넘어서서 하니(do) ‘뛰어나다’</t>
  </si>
  <si>
    <t>뛰어나다</t>
  </si>
  <si>
    <t>She always tries to outdo her previous performance.</t>
  </si>
  <si>
    <t>She always tries to (          ) her previous performance.</t>
  </si>
  <si>
    <t>outlive</t>
  </si>
  <si>
    <t>[auˌtliˈv]</t>
  </si>
  <si>
    <t>어떤 정해진 기간 밖으로(out) 살아가니(live) ‘오래 살다’</t>
  </si>
  <si>
    <t>오래 살다</t>
  </si>
  <si>
    <t>Modern buildings are designed to outlive their creators.</t>
  </si>
  <si>
    <t>Modern buildings are designed to (          ) their creators.</t>
  </si>
  <si>
    <t>overhead</t>
  </si>
  <si>
    <t>over</t>
  </si>
  <si>
    <r>
      <rPr>
        <sz val="12"/>
        <color indexed="8"/>
        <rFont val="Apple SD 산돌고딕 Neo 일반체"/>
      </rPr>
      <t>over</t>
    </r>
  </si>
  <si>
    <t>[ouˈvərheˈd]</t>
  </si>
  <si>
    <t>위에서(over) 덮고 지나가는 것이 머리(head) 이니 ‘머리 위에, 하늘 높이’</t>
  </si>
  <si>
    <t>머리 위에, 하늘 높이</t>
  </si>
  <si>
    <t>Airplane flew overhead on their way to the airport.</t>
  </si>
  <si>
    <t>Airplane flew (          ) on their way to the airport.</t>
  </si>
  <si>
    <t>overpower</t>
  </si>
  <si>
    <t>[ouˌvərpauˈər]</t>
  </si>
  <si>
    <t>상대방을 위에서 덮어(over) 힘(power)으로 가해 ‘압도하다’</t>
  </si>
  <si>
    <t>압도하다</t>
  </si>
  <si>
    <t>The stronger team will overpower their opponents.</t>
  </si>
  <si>
    <t>The stronger team will (          ) their opponents.</t>
  </si>
  <si>
    <t>overtax</t>
  </si>
  <si>
    <t>[ouˈvərtæˌks]</t>
  </si>
  <si>
    <t>정해진 정도를 위에서 덮고 넘어가(over) 과세하니(tax) ‘지나치게 과세하다’</t>
  </si>
  <si>
    <t>지나치게 과세하다</t>
  </si>
  <si>
    <t>Don't overtax yourself by working too many hours.</t>
  </si>
  <si>
    <t>Don't (          ) yourself by working too many hours.</t>
  </si>
  <si>
    <t>overcoat</t>
  </si>
  <si>
    <t>[ouˈvərkouˌt]</t>
  </si>
  <si>
    <t>온 몸을 위에서(over) 덮는 코트(coat)이니 ‘외투, 오버코트’</t>
  </si>
  <si>
    <t>외투, 오버코트</t>
  </si>
  <si>
    <t>Wear a warm overcoat in cold weather.</t>
  </si>
  <si>
    <t>Wear a warm (          ) in cold weather.</t>
  </si>
  <si>
    <t>overlap</t>
  </si>
  <si>
    <t>[ouˈvərlæˌp]</t>
  </si>
  <si>
    <t>위에서 덮어(over) 포개니(lap) ‘겹치다’</t>
  </si>
  <si>
    <t>겹치다</t>
  </si>
  <si>
    <t>There is some overlap between the two courses.</t>
  </si>
  <si>
    <t>There is some (          ) between the two courses.</t>
  </si>
  <si>
    <t>oversee</t>
  </si>
  <si>
    <t>[ouˈvərsiˌ]</t>
  </si>
  <si>
    <t>위에서 덮듯이(over) 보니(see) ‘감독하다’</t>
  </si>
  <si>
    <t>감독하다</t>
  </si>
  <si>
    <t>The manager will oversee the entire project.</t>
  </si>
  <si>
    <t>The manager will (          ) the entire project.</t>
  </si>
  <si>
    <t>overdue</t>
  </si>
  <si>
    <t>[ouˈvərduˈ]</t>
  </si>
  <si>
    <t>위에서 덮고 지나가는 것이(over) 지급되어야 할(due) 시간이니 ‘기한이 지난’</t>
  </si>
  <si>
    <t>기한이 지난</t>
  </si>
  <si>
    <t>The library book is overdue by one week.</t>
  </si>
  <si>
    <t>The library book is (          ) by one week.</t>
  </si>
  <si>
    <t>overlook</t>
  </si>
  <si>
    <t>[ouˈvərlʊˌk]</t>
  </si>
  <si>
    <t>위에서 덮고 지나가는 것처럼(over) 보니(look) ‘못보고 넘어가다, 눈감아 주다’</t>
  </si>
  <si>
    <t>못보고 넘어가다, 눈감아 주다</t>
  </si>
  <si>
    <t>Don't overlook the details in the contract.</t>
  </si>
  <si>
    <t>Don't (          ) the details in the contract.</t>
  </si>
  <si>
    <t>overshadow</t>
  </si>
  <si>
    <t>[ouˈvərʃæˈdou]</t>
  </si>
  <si>
    <t>위에서(over) 덮어 그늘(shadow)이 있게 해 ‘가리다’</t>
  </si>
  <si>
    <t>가리다</t>
  </si>
  <si>
    <t>Don't let past failures overshadow your current success.</t>
  </si>
  <si>
    <t>Don't let past failures (          ) your current success.</t>
  </si>
  <si>
    <t>overall</t>
  </si>
  <si>
    <t>[ouˈvərɔˌl]</t>
  </si>
  <si>
    <t>위에서(over) 덮고 있는 것이 모든 것(al)이니 ‘전부, 전체의’</t>
  </si>
  <si>
    <t>전부, 전체의</t>
  </si>
  <si>
    <t>The overall design of the building is impressive.</t>
  </si>
  <si>
    <t>The (          ) design of the building is impressive.</t>
  </si>
  <si>
    <t>pan</t>
  </si>
  <si>
    <r>
      <rPr>
        <sz val="12"/>
        <color indexed="8"/>
        <rFont val="Apple SD 산돌고딕 Neo 일반체"/>
      </rPr>
      <t>pan</t>
    </r>
  </si>
  <si>
    <t>[pæn]</t>
  </si>
  <si>
    <t>폭하고(p) 튀어 나가다 끝도 없이(n) 넓은(pan) ‘손잡이가 달린 얇은 냄비(팬)’</t>
  </si>
  <si>
    <t>손잡이가 달린 얇은 냄비(팬)</t>
  </si>
  <si>
    <t>Use a large pan to cook the paella.</t>
  </si>
  <si>
    <t>Use a large (          ) to cook the paella.</t>
  </si>
  <si>
    <t>pancake</t>
  </si>
  <si>
    <t>[pæˈnkeiˌk]</t>
  </si>
  <si>
    <t>넓게(pan) 펴서 구운 빵이니(cake) ‘팬케이크’</t>
  </si>
  <si>
    <t>팬케이크</t>
  </si>
  <si>
    <t>We eat pancakes with maple syrup for breakfast.</t>
  </si>
  <si>
    <t>We eat (          )s with maple syrup for breakfast.</t>
  </si>
  <si>
    <t>함께(com) 넓은 빵(pan)을 먹기 위해 일하는 곳 이니 ‘회사, 일행, 중대’
* pan 라틴어로 빵을 의미하기도 한다</t>
  </si>
  <si>
    <t>회사, 일행, 중대</t>
  </si>
  <si>
    <t>panorama</t>
  </si>
  <si>
    <t>[pӕnərǽmə]</t>
  </si>
  <si>
    <t>넓은(pan) 드라마(drama) 같은 ‘전경, 광대한 조망’</t>
  </si>
  <si>
    <t>전경, 광대한 조망</t>
  </si>
  <si>
    <t>The hotel room offers a panorama of the city skyline.</t>
  </si>
  <si>
    <t>The hotel room offers a (          ) of the city skyline.</t>
  </si>
  <si>
    <t>span</t>
  </si>
  <si>
    <t>[spæn]</t>
  </si>
  <si>
    <t>부드럽게(s) 넓게(pan) 펼친 ‘한 뼘, 범위’</t>
  </si>
  <si>
    <t>한 뼘, 범위</t>
  </si>
  <si>
    <t>The bridge spans the wide river.</t>
  </si>
  <si>
    <t>The bridge (          )s the wide river.</t>
  </si>
  <si>
    <t>expand</t>
  </si>
  <si>
    <t>[ikspǽnd]</t>
  </si>
  <si>
    <t>밖으로(ex) 넓게(pan) 하니 ‘확장하다’</t>
  </si>
  <si>
    <t>확장하다</t>
  </si>
  <si>
    <t>The company plans to expand its operations abroad.</t>
  </si>
  <si>
    <t>The company plans to (          ) its operations abroad.</t>
  </si>
  <si>
    <t>expansive</t>
  </si>
  <si>
    <t>pan &gt; expand</t>
  </si>
  <si>
    <t>[ikspǽnsiv]</t>
  </si>
  <si>
    <t>확장하다(expand) + 형용사(sive) = ‘팽창력이 있는, 넓은, 광대한’</t>
  </si>
  <si>
    <t>팽창력이 있는, 넓은, 광대한</t>
  </si>
  <si>
    <t>The house has an expansive garden with many trees.</t>
  </si>
  <si>
    <t>The house has an (          ) garden with many trees.</t>
  </si>
  <si>
    <t>expansion</t>
  </si>
  <si>
    <t>[ikspǽnʃən]</t>
  </si>
  <si>
    <t>확장하다(expand) + 명사(sion) = ‘확장, 팽창’</t>
  </si>
  <si>
    <t>확장, 팽창</t>
  </si>
  <si>
    <t>Business expansion requires careful planning.</t>
  </si>
  <si>
    <t>Business (          ) requires careful planning.</t>
  </si>
  <si>
    <t>parade</t>
  </si>
  <si>
    <t>par</t>
  </si>
  <si>
    <r>
      <rPr>
        <sz val="12"/>
        <color indexed="8"/>
        <rFont val="Apple SD 산돌고딕 Neo 일반체"/>
      </rPr>
      <t>par</t>
    </r>
  </si>
  <si>
    <t>[pəréid]</t>
  </si>
  <si>
    <t>나란히(par) ‘나란히 걸어가다, 가두 행진’</t>
  </si>
  <si>
    <t>나란히 걸어가다, 가두 행진</t>
  </si>
  <si>
    <t>The holiday parade features colorful floats.</t>
  </si>
  <si>
    <t>The holiday (          ) features colorful floats.</t>
  </si>
  <si>
    <t>parent</t>
  </si>
  <si>
    <t>[pέərənt]</t>
  </si>
  <si>
    <t>나란히(par) 수고해서 세상 안으로 들어오게(enter) 해 준 ‘부모’</t>
  </si>
  <si>
    <t>부모</t>
  </si>
  <si>
    <t>Being a parent involves responsibility and joy.</t>
  </si>
  <si>
    <t>Being a (          ) involves responsibility and joy.</t>
  </si>
  <si>
    <t>apparent</t>
  </si>
  <si>
    <t>par &gt; parent</t>
  </si>
  <si>
    <t>[əpǽrənt, əpέər-]</t>
  </si>
  <si>
    <t>아이가 늘 붙어서(ap) 부모에게(parent) 있는 것처럼 ‘명백한’</t>
  </si>
  <si>
    <t>명백한</t>
  </si>
  <si>
    <t>It was apparent that something was wrong.</t>
  </si>
  <si>
    <t>It was (          ) that something was wrong.</t>
  </si>
  <si>
    <t>appear</t>
  </si>
  <si>
    <t>[əpíər]</t>
  </si>
  <si>
    <t>지금의 상황과 붙어서(ap) 폭하고 나란히(par-pear) 나오니 ‘나타나다’</t>
  </si>
  <si>
    <t>나타나다</t>
  </si>
  <si>
    <t>The sun will appear on the horizon at dawn.</t>
  </si>
  <si>
    <t>The sun will (          ) on the horizon at dawn.</t>
  </si>
  <si>
    <t>disappear</t>
  </si>
  <si>
    <t>par &gt; appear</t>
  </si>
  <si>
    <t>[dìsəpíər]</t>
  </si>
  <si>
    <t>반대(dis) 나타나는(appear) 것이니 ‘사라지다, 모습을 감추다’</t>
  </si>
  <si>
    <t>사라지다, 모습을 감추다</t>
  </si>
  <si>
    <t>The magician made the rabbit disappear.</t>
  </si>
  <si>
    <t>The magician made the rabbit (          ).</t>
  </si>
  <si>
    <t>transparent</t>
  </si>
  <si>
    <t>[trænspέərənt]</t>
  </si>
  <si>
    <t>빛이 통과해서(trans) 나타나니(pare-appear) ‘투명한’</t>
  </si>
  <si>
    <t>투명한</t>
  </si>
  <si>
    <t>The transparent glass allowed us to see inside.</t>
  </si>
  <si>
    <t>The (          ) glass allowed us to see inside.</t>
  </si>
  <si>
    <t>함께(com) 나란히(par) 두고 ‘비교하다’</t>
  </si>
  <si>
    <t>comparable</t>
  </si>
  <si>
    <t>par &gt; compare</t>
  </si>
  <si>
    <t>[kάmpərəbl]</t>
  </si>
  <si>
    <t>비교하다(compare) + 할 수 있는(able) = ‘비교할 수 있는’</t>
  </si>
  <si>
    <t>비교할 수 있는</t>
  </si>
  <si>
    <t>The two products are comparable in quality and price.</t>
  </si>
  <si>
    <t>The two products are (          ) in quality and price.</t>
  </si>
  <si>
    <t>prepare</t>
  </si>
  <si>
    <t>[pripέər]</t>
  </si>
  <si>
    <t>앞서(pre) 나란히(par) 입구에(e) 두니 ‘준비하다’</t>
  </si>
  <si>
    <t>준비하다</t>
  </si>
  <si>
    <t>I need to prepare dinner for the guests.</t>
  </si>
  <si>
    <t>I need to (          ) dinner for the guests.</t>
  </si>
  <si>
    <t>apparel</t>
  </si>
  <si>
    <t>par &gt; prepare</t>
  </si>
  <si>
    <t>[əpǽrəl]</t>
  </si>
  <si>
    <t>몸에 붙이고(ap) 준비하는데(pare-prepare) 길게(l) 걸치는 ‘옷’</t>
  </si>
  <si>
    <t>옷</t>
  </si>
  <si>
    <t>The store sells sports apparel and equipment.</t>
  </si>
  <si>
    <t>The store sells sports (          ) and equipment.</t>
  </si>
  <si>
    <t>parliament</t>
  </si>
  <si>
    <t>[pάːrləmənt]</t>
  </si>
  <si>
    <t>각 지역구를 대표하여 나란히(par) 여러 국회 의원들이 길게(l) 나아와 법을 굳히듯이(ment-cement) 공고히 입법하는 ‘의회, 국회’</t>
  </si>
  <si>
    <t>의회, 국회</t>
  </si>
  <si>
    <t>The parliament passed the new legislation yesterday.</t>
  </si>
  <si>
    <t>The (          ) passed the new legislation yesterday.</t>
  </si>
  <si>
    <t>parrot</t>
  </si>
  <si>
    <t>[pǽrət]</t>
  </si>
  <si>
    <t>사람하고 나란히(par) 둥근(o) 입으로 말이 나아가는(t) ‘앵무새’</t>
  </si>
  <si>
    <t>앵무새</t>
  </si>
  <si>
    <t>The colorful parrot can mimic human speech.</t>
  </si>
  <si>
    <t>The colorful (          ) can mimic human speech.</t>
  </si>
  <si>
    <t>parody</t>
  </si>
  <si>
    <t>[pǽrədi]</t>
  </si>
  <si>
    <t>평행선(par)을 만들듯이 옆에서 빗대어서 입을(o) 통해 아래로(d) 품격을 떨어뜨리는 말을 하는 ‘패러디’</t>
  </si>
  <si>
    <t>패러디</t>
  </si>
  <si>
    <t>The comedian performed a parody of the famous actor.</t>
  </si>
  <si>
    <t>The comedian performed a (          ) of the famous actor.</t>
  </si>
  <si>
    <t>par(para)</t>
  </si>
  <si>
    <t>일치하고 않고 서로 나란히 평행선(para)을 이루며 말하는(dox-doc) 것이니 ‘역설, 모순’</t>
  </si>
  <si>
    <t>역설, 모순</t>
  </si>
  <si>
    <t>parallel</t>
  </si>
  <si>
    <t>[pǽrəlèl]</t>
  </si>
  <si>
    <t>서로 나란히(para) 길게(l) 길게(l) 나가는 ‘평행선’</t>
  </si>
  <si>
    <t>평행선</t>
  </si>
  <si>
    <t>The two streets run parallel to each other.</t>
  </si>
  <si>
    <t>The two streets run (          ) to each other.</t>
  </si>
  <si>
    <t>parachute</t>
  </si>
  <si>
    <t>[pǽrəʃùːt]</t>
  </si>
  <si>
    <t>낙하하는 사람과 나란히(para) 함께 잡아(ch)주며 아래쪽으로(u) 향하는 ‘낙하산’</t>
  </si>
  <si>
    <t>낙하산</t>
  </si>
  <si>
    <t>The skydiver deployed his parachute at 5,000 feet.</t>
  </si>
  <si>
    <t>The skydiver deployed his (          ) at 5,000 feet.</t>
  </si>
  <si>
    <t>apparatus</t>
  </si>
  <si>
    <t>[ӕpərǽtəs, ӕpəréitəs]</t>
  </si>
  <si>
    <t>서로 붙어 있고(ap) 나란히(para) 정돈이 되어 서(t) 있는 ‘장치, 기구’</t>
  </si>
  <si>
    <t>장치, 기구</t>
  </si>
  <si>
    <t>Firefighters use specialized apparatus to rescue people.</t>
  </si>
  <si>
    <t>Firefighters use specialized (          ) to rescue people.</t>
  </si>
  <si>
    <t>separate</t>
  </si>
  <si>
    <t>[sépərèit]</t>
  </si>
  <si>
    <t>분리시켜(se) 나란하게(para) 놓으니 ‘분리하다, 떼어 놓다’</t>
  </si>
  <si>
    <t>분리하다, 떼어 놓다</t>
  </si>
  <si>
    <t>Keep the chemicals separate to prevent reaction.</t>
  </si>
  <si>
    <t>Keep the chemicals (          ) to prevent reaction.</t>
  </si>
  <si>
    <t>paradise</t>
  </si>
  <si>
    <t>[pǽrədàis]</t>
  </si>
  <si>
    <t>좋은 사람들과 나란히(para) 같이 사는 ‘낙원’</t>
  </si>
  <si>
    <t>낙원</t>
  </si>
  <si>
    <t>The tropical island was like a paradise for tourists.</t>
  </si>
  <si>
    <t>The tropical island was like a (          ) for tourists.</t>
  </si>
  <si>
    <t>pair</t>
  </si>
  <si>
    <t>[pεər]</t>
  </si>
  <si>
    <t>나란히(par) 있어 혼자처럼(i) 한 몸이 되어가는 ‘한 쌍’</t>
  </si>
  <si>
    <t>한 쌍</t>
  </si>
  <si>
    <t>I bought a pair of shoes yesterday.</t>
  </si>
  <si>
    <t>I bought a (          ) of shoes yesterday.</t>
  </si>
  <si>
    <t>impair</t>
  </si>
  <si>
    <t>par(para) &gt; pair</t>
  </si>
  <si>
    <t>[impέər]</t>
  </si>
  <si>
    <t>반대(im)하다 한 쌍(pair)이 되는 것을 즉, ‘손상 시키다’</t>
  </si>
  <si>
    <t>손상 시키다</t>
  </si>
  <si>
    <t>Alcohol can impair your judgment and coordination.</t>
  </si>
  <si>
    <t>Alcohol can (          ) your judgment and coordination.</t>
  </si>
  <si>
    <t>repair</t>
  </si>
  <si>
    <t>[ripέər]</t>
  </si>
  <si>
    <t>다시(re) 한 쌍으로(pair) 만드니 ‘수리하다, 고치다’</t>
  </si>
  <si>
    <t>수리하다, 고치다</t>
  </si>
  <si>
    <t>The mechanic will repair your car by tomorrow.</t>
  </si>
  <si>
    <t>The mechanic will (          ) your car by tomorrow.</t>
  </si>
  <si>
    <t>repairman</t>
  </si>
  <si>
    <t>par(para) &gt; pair &gt; repair</t>
  </si>
  <si>
    <t>[-mӕn, -mən]</t>
  </si>
  <si>
    <t>수리하는(repair) 남자이니(man) ‘수리공’</t>
  </si>
  <si>
    <t>수리공</t>
  </si>
  <si>
    <t>The repairman fixed our refrigerator.</t>
  </si>
  <si>
    <t>The (          ) fixed our refrigerator.</t>
  </si>
  <si>
    <t>irreparable</t>
  </si>
  <si>
    <t>[irépərəbl]</t>
  </si>
  <si>
    <t>반대의(ir) + 고치다(repar-repair) + 할 수 있는(able) = ‘회복할 수 없는’</t>
  </si>
  <si>
    <t>회복할 수 없는</t>
  </si>
  <si>
    <t>The accident caused irreparable damage to the artwork.</t>
  </si>
  <si>
    <t>The accident caused (          ) damage to the artwork.</t>
  </si>
  <si>
    <t>despair</t>
  </si>
  <si>
    <t>[dispέər]</t>
  </si>
  <si>
    <t>저하시켜(de) 보이지않게(s) 하는게 한 쌍(pair)이니 이별, 절교 즉, 마음이 ‘절망, 실망, 낙담’</t>
  </si>
  <si>
    <t>절망, 실망, 낙담</t>
  </si>
  <si>
    <t>Don't give in to despair during difficult times.</t>
  </si>
  <si>
    <t>Don't give in to (          ) during difficult times.</t>
  </si>
  <si>
    <t>desperate</t>
  </si>
  <si>
    <t>par(para) &gt; pair &gt; despair</t>
  </si>
  <si>
    <t>[déspərət]</t>
  </si>
  <si>
    <t>절망, 실망(despair) + 형용사(ate) = ‘절망적인, 필사적인’</t>
  </si>
  <si>
    <t>절망적인, 필사적인</t>
  </si>
  <si>
    <t>They made a desperate attempt to save the drowning child.</t>
  </si>
  <si>
    <t>They made a (          ) attempt to save the drowning child.</t>
  </si>
  <si>
    <t>part</t>
  </si>
  <si>
    <r>
      <rPr>
        <sz val="12"/>
        <color indexed="8"/>
        <rFont val="Apple SD 산돌고딕 Neo 일반체"/>
      </rPr>
      <t>part</t>
    </r>
  </si>
  <si>
    <t>[paːrt]</t>
  </si>
  <si>
    <t>나란히(par) 서(t) 있는 각 ‘부분’</t>
  </si>
  <si>
    <t>부분</t>
  </si>
  <si>
    <t>Which part of the book did you enjoy most?</t>
  </si>
  <si>
    <t>Which (          ) of the book did you enjoy most?</t>
  </si>
  <si>
    <t>apart</t>
  </si>
  <si>
    <t>[əpάːrt]</t>
  </si>
  <si>
    <t>하나였던 것이(a) 부분(part)이 되니 ‘떨어져, 따로따로’</t>
  </si>
  <si>
    <t>떨어져, 따로따로</t>
  </si>
  <si>
    <t>The old building is falling apart.</t>
  </si>
  <si>
    <t>The old building is falling (          ).</t>
  </si>
  <si>
    <t>partner</t>
  </si>
  <si>
    <t>[pάːrtnər]</t>
  </si>
  <si>
    <t>한 팀을 이루는 일부분(part)이 되는 사람이니 ‘파트너’</t>
  </si>
  <si>
    <t>파트너</t>
  </si>
  <si>
    <t>She and her business partner started the company together.</t>
  </si>
  <si>
    <t>She and her business (          ) started the company together.</t>
  </si>
  <si>
    <t>party</t>
  </si>
  <si>
    <t>[pάːrti]</t>
  </si>
  <si>
    <t>부분(part)끼리 모인 것이니 ‘파티, 모임’</t>
  </si>
  <si>
    <t>파티, 모임</t>
  </si>
  <si>
    <t>We're having a birthday party on Saturday.</t>
  </si>
  <si>
    <t>We're having a birthday (          ) on Saturday.</t>
  </si>
  <si>
    <t xml:space="preserve">자기 부분, 역할(part)을 잡아서(cip) 나아가니 ‘참가하다’ </t>
  </si>
  <si>
    <t>참가하다</t>
  </si>
  <si>
    <t>particular</t>
  </si>
  <si>
    <t>[pərtíkjulər]</t>
  </si>
  <si>
    <t>부분(part) 부분을 각자가 잡아서(c) 오랫동안(l) 지내니 ‘개별적인, 특별한’</t>
  </si>
  <si>
    <t>개별적인, 특별한</t>
  </si>
  <si>
    <t>He is very particular about how his coffee is made.</t>
  </si>
  <si>
    <t>He is very (          ) about how his coffee is made.</t>
  </si>
  <si>
    <t>particularly</t>
  </si>
  <si>
    <t>part &gt; particular</t>
  </si>
  <si>
    <t>[pərtíkjulərli]</t>
  </si>
  <si>
    <t>개별적인, 특별한(particular) + 부사(y) = ‘두드러지게, 특히’</t>
  </si>
  <si>
    <t>두드러지게, 특히</t>
  </si>
  <si>
    <t>I particularly enjoy hiking in autumn.</t>
  </si>
  <si>
    <t>I (          ) enjoy hiking in autumn.</t>
  </si>
  <si>
    <t>반대(counter)로 맞 교환할 수 있는 부분(part)이니 ‘복사, 사본’</t>
  </si>
  <si>
    <t>복사, 사본</t>
  </si>
  <si>
    <t>분리해서(de) 부분이(part) 되니 ‘출발하다’</t>
  </si>
  <si>
    <t>출발하다</t>
  </si>
  <si>
    <t>particle</t>
  </si>
  <si>
    <t>[pάːrtikl]</t>
  </si>
  <si>
    <t>부분을(part) 잡아서(c) 긴(l) 끈으로 묶어 놓은 ‘미량, 작은 조각’</t>
  </si>
  <si>
    <t>미량, 작은 조각</t>
  </si>
  <si>
    <t>Scientists study subatomic particles.</t>
  </si>
  <si>
    <t>Scientists study subatomic (          )s.</t>
  </si>
  <si>
    <t>parcel</t>
  </si>
  <si>
    <t>[pάːrsəl]</t>
  </si>
  <si>
    <t>나란히(par) 물건들을 잡아서(c) 긴(l) 끈으로 묶어 늘여 놓은 ‘소포, 꾸러미’</t>
  </si>
  <si>
    <t>소포, 꾸러미</t>
  </si>
  <si>
    <t>The delivery service will bring your parcel tomorrow.</t>
  </si>
  <si>
    <t>The delivery service will bring your (          ) tomorrow.</t>
  </si>
  <si>
    <t>partial</t>
  </si>
  <si>
    <t>[pάːrʃəl]</t>
  </si>
  <si>
    <t>부분(part) + 형용사(al) = ‘일부분의, 부분적인’</t>
  </si>
  <si>
    <t>일부분의, 부분적인</t>
  </si>
  <si>
    <t>I have a partial view of the mountains from my window.</t>
  </si>
  <si>
    <t>I have a (          ) view of the mountains from my window.</t>
  </si>
  <si>
    <t>impartial</t>
  </si>
  <si>
    <t>part &gt; partial</t>
  </si>
  <si>
    <t>[impάːrʃəl]</t>
  </si>
  <si>
    <t>반대(im) + 부분적으로(partial) 기울다 = ‘공정한, 공평한’</t>
  </si>
  <si>
    <t>공정한, 공평한</t>
  </si>
  <si>
    <t>The judge must remain impartial during the trial.</t>
  </si>
  <si>
    <t>The judge must remain (          ) during the trial.</t>
  </si>
  <si>
    <t>pass</t>
  </si>
  <si>
    <t>p</t>
  </si>
  <si>
    <r>
      <rPr>
        <sz val="12"/>
        <color indexed="8"/>
        <rFont val="Apple SD 산돌고딕 Neo 일반체"/>
      </rPr>
      <t>pass</t>
    </r>
  </si>
  <si>
    <t>[pæs]</t>
  </si>
  <si>
    <t>폭하고(p) 튀어 나와서 보이지 않게(ss) 되니 ‘지나가다, 통과하다’</t>
  </si>
  <si>
    <t>지나가다, 통과하다</t>
  </si>
  <si>
    <t>The train will pass through several small towns.</t>
  </si>
  <si>
    <t>The train will (          ) through several small towns.</t>
  </si>
  <si>
    <t>passive</t>
  </si>
  <si>
    <t>[pǽsiv]</t>
  </si>
  <si>
    <t>기회가 와도 그냥 지나가게(pass) 하고 안쪽(i) 갈라진 틈(v)으로 숨으니 ‘수동적인, 소극적인’</t>
  </si>
  <si>
    <t>수동적인, 소극적인</t>
  </si>
  <si>
    <t>He took a passive role in the project.</t>
  </si>
  <si>
    <t>He took a (          ) role in the project.</t>
  </si>
  <si>
    <t>passenger</t>
  </si>
  <si>
    <t>[pǽsəndʒər]</t>
  </si>
  <si>
    <t>통로를 지나서(pass) 탈 것 안으로(en) 들어가는 사람(er)이니 ‘승객’</t>
  </si>
  <si>
    <t>승객</t>
  </si>
  <si>
    <t>Each passenger is allowed two carry-on bags.</t>
  </si>
  <si>
    <t>Each (          ) is allowed two carry-on bags.</t>
  </si>
  <si>
    <t>compass</t>
  </si>
  <si>
    <t>[kΛmpəs]</t>
  </si>
  <si>
    <t>함께(com) 모든 방향을 다 지나가니(pass) ‘순회하다’</t>
  </si>
  <si>
    <t>순회하다</t>
  </si>
  <si>
    <t>Hikers should carry a compass for navigation.</t>
  </si>
  <si>
    <t>Hikers should carry a (          ) for navigation.</t>
  </si>
  <si>
    <t>bypass</t>
  </si>
  <si>
    <t>[baiˈpæˌs]</t>
  </si>
  <si>
    <t>영향권 옆(by)으로 지나갈 수 있는(pass) ‘우회로’</t>
  </si>
  <si>
    <t>우회로</t>
  </si>
  <si>
    <t>The new highway will bypass the congested town center.</t>
  </si>
  <si>
    <t>The new highway will (          ) the congested town center.</t>
  </si>
  <si>
    <t>underpass</t>
  </si>
  <si>
    <t>[əˈndərpæˌs]</t>
  </si>
  <si>
    <t>아래로(under) 지나가게(pass) 만든 통로이니 ‘지하도’</t>
  </si>
  <si>
    <t>지하도</t>
  </si>
  <si>
    <t>The train travels through an underpass beneath the road.</t>
  </si>
  <si>
    <t>The train travels through an (          ) beneath the road.</t>
  </si>
  <si>
    <t>overpass</t>
  </si>
  <si>
    <t>[ouˈvərpæˌs]</t>
  </si>
  <si>
    <t>위로(over) 지나가게(pass) 만든 ‘육교’</t>
  </si>
  <si>
    <t>육교</t>
  </si>
  <si>
    <t>The overpass provides a safe crossing for pedestrians.</t>
  </si>
  <si>
    <t>The (          ) provides a safe crossing for pedestrians.</t>
  </si>
  <si>
    <t>surpass</t>
  </si>
  <si>
    <t>[sərpǽs]</t>
  </si>
  <si>
    <t>초과(sur)하여 지나가니(pass) ‘초월하다, 넘다’</t>
  </si>
  <si>
    <t>초월하다, 넘다</t>
  </si>
  <si>
    <t>Her sales surpass all previous records.</t>
  </si>
  <si>
    <t>Her sales (          ) all previous records.</t>
  </si>
  <si>
    <t>passion</t>
  </si>
  <si>
    <t>[pǽʃən]</t>
  </si>
  <si>
    <t>한계치를 지나쳐서(pass) 지속(on)되는 격렬한 ‘감정, 열정’</t>
  </si>
  <si>
    <t>감정, 열정</t>
  </si>
  <si>
    <t>Music is his greatest passion.</t>
  </si>
  <si>
    <t>Music is his greatest (          ).</t>
  </si>
  <si>
    <t>compassion</t>
  </si>
  <si>
    <t>pass &gt; passion</t>
  </si>
  <si>
    <t>[kəmpǽʃən]</t>
  </si>
  <si>
    <t>함께(com) 감정을(passion) 나누니 ‘연민’</t>
  </si>
  <si>
    <t>연민</t>
  </si>
  <si>
    <t>Nurses need compassion as well as medical knowledge.</t>
  </si>
  <si>
    <t>Nurses need (          ) as well as medical knowledge.</t>
  </si>
  <si>
    <t>pathetic</t>
  </si>
  <si>
    <t>path</t>
  </si>
  <si>
    <r>
      <rPr>
        <sz val="12"/>
        <color indexed="8"/>
        <rFont val="Apple SD 산돌고딕 Neo 일반체"/>
      </rPr>
      <t>path</t>
    </r>
  </si>
  <si>
    <t>[pəθétik, -ikəl]</t>
  </si>
  <si>
    <t>느낌(path) + 형용사(tid) = ‘불쌍한, 측은한, 감상적인’</t>
  </si>
  <si>
    <t>불쌍한, 측은한, 감상적인</t>
  </si>
  <si>
    <t>His attempt to fix the car was pathetic.</t>
  </si>
  <si>
    <t>His attempt to fix the car was (          ).</t>
  </si>
  <si>
    <t>telepathy</t>
  </si>
  <si>
    <t>[təlépəθi]</t>
  </si>
  <si>
    <t>멀리까지(tele) 느낌을(path) 전달하는 ‘텔레파시’</t>
  </si>
  <si>
    <t>텔레파시</t>
  </si>
  <si>
    <t>Some people believe in telepathy, or mind-reading.</t>
  </si>
  <si>
    <t>Some people believe in (          ), or mind-reading.</t>
  </si>
  <si>
    <t>sympathy</t>
  </si>
  <si>
    <t>[símpəθi]</t>
  </si>
  <si>
    <t>함께(sym) 공유하는 느낌(path)이니 ‘공감’</t>
  </si>
  <si>
    <t>공감</t>
  </si>
  <si>
    <t>She sent a sympathy card after her friend's mother died.</t>
  </si>
  <si>
    <t>She sent a (          ) card after her friend's mother died.</t>
  </si>
  <si>
    <t>propel</t>
  </si>
  <si>
    <t>pel</t>
  </si>
  <si>
    <r>
      <rPr>
        <sz val="12"/>
        <color indexed="8"/>
        <rFont val="Apple SD 산돌고딕 Neo 일반체"/>
      </rPr>
      <t>pel</t>
    </r>
  </si>
  <si>
    <t>[prəpél]</t>
  </si>
  <si>
    <t>앞으로(pro) 미는 것이니(pel) ‘추진하다, 나아가게 하다’</t>
  </si>
  <si>
    <t>추진하다, 나아가게 하다</t>
  </si>
  <si>
    <t>Wind will propel the sailboat across the lake.</t>
  </si>
  <si>
    <t>Wind will (          ) the sailboat across the lake.</t>
  </si>
  <si>
    <t>propeller</t>
  </si>
  <si>
    <t>pel &gt; propel</t>
  </si>
  <si>
    <t>[prəpélər]</t>
  </si>
  <si>
    <t>앞으로(pro) 밀어서(pel) 나아가게 하는 추진기(propel)이니 ‘프로펠러’</t>
  </si>
  <si>
    <t>프로펠러</t>
  </si>
  <si>
    <t>The propeller of the small plane was damaged.</t>
  </si>
  <si>
    <t>The (          ) of the small plane was damaged.</t>
  </si>
  <si>
    <t>compel</t>
  </si>
  <si>
    <t>[kəmpél]</t>
  </si>
  <si>
    <t>함께(com) 밀어버리니(pel) ‘억지로 시키다, 무리하게 시키다’</t>
  </si>
  <si>
    <t>억지로 시키다, 무리하게 시키다</t>
  </si>
  <si>
    <t>Necessity compels us to make difficult choices.</t>
  </si>
  <si>
    <t>Necessity (          )s us to make difficult choices.</t>
  </si>
  <si>
    <t>repel</t>
  </si>
  <si>
    <t>[ripél]</t>
  </si>
  <si>
    <t>반대로(re) 밀어내니(pel) ‘거절하다’</t>
  </si>
  <si>
    <t>The insect repellent will repel mosquitoes.</t>
  </si>
  <si>
    <t>The insect (          )lent will (          ) mosquitoes.</t>
  </si>
  <si>
    <t>expel</t>
  </si>
  <si>
    <t>[ikspél]</t>
  </si>
  <si>
    <t>밖으로(ex) 밀어내니(pal) ‘내쫓다, 쫓아버리다’</t>
  </si>
  <si>
    <t>내쫓다, 쫓아버리다</t>
  </si>
  <si>
    <t>The school will expel students who cheat on exams.</t>
  </si>
  <si>
    <t>The school will (          ) students who cheat on exams.</t>
  </si>
  <si>
    <t>dispel</t>
  </si>
  <si>
    <t>[dispél]</t>
  </si>
  <si>
    <t>분리시켜(dis) 밀어내니(pel) ‘없애다’</t>
  </si>
  <si>
    <t>없애다</t>
  </si>
  <si>
    <t>The report helps dispel rumors about the company.</t>
  </si>
  <si>
    <t>The report helps (          ) rumors about the company.</t>
  </si>
  <si>
    <t>pulse</t>
  </si>
  <si>
    <t>pel(pul)</t>
  </si>
  <si>
    <t>[pʌls]</t>
  </si>
  <si>
    <t>피를 밀어 내며(pul) 부드럽게(s) 뛰는 ‘맥박’</t>
  </si>
  <si>
    <t>맥박</t>
  </si>
  <si>
    <t>The doctor checked the patient's pulse.</t>
  </si>
  <si>
    <t>The doctor checked the patient's (          ).</t>
  </si>
  <si>
    <t>impulse</t>
  </si>
  <si>
    <t>[ímpʌls]</t>
  </si>
  <si>
    <t>마음 속에서(im) 하도록 밀어내는(pul) 것, ‘충동’</t>
  </si>
  <si>
    <t>충동</t>
  </si>
  <si>
    <t>He bought the expensive watch on impulse.</t>
  </si>
  <si>
    <t>He bought the expensive watch on (          ).</t>
  </si>
  <si>
    <t>compulsory</t>
  </si>
  <si>
    <t>pel(pul) &gt; pulse</t>
  </si>
  <si>
    <t>[kəmpΛlsəri]</t>
  </si>
  <si>
    <t>함께(com) 맥박이(puls-pulse) 세게 뛰는 일은 ‘의무적인, 강제적인’ 일이다</t>
  </si>
  <si>
    <t>의무적인, 강제적인</t>
  </si>
  <si>
    <t>Wearing a helmet is compulsory for motorcycle riders.</t>
  </si>
  <si>
    <t>Wearing a helmet is (          ) for motorcycle riders.</t>
  </si>
  <si>
    <t>appeal</t>
  </si>
  <si>
    <t>[əpíːl]</t>
  </si>
  <si>
    <t>더하여(a) 미는 것(peal-pel)이니 ‘간청, 애원’</t>
  </si>
  <si>
    <t>간청, 애원</t>
  </si>
  <si>
    <t>The defendant will appeal the court's decision.</t>
  </si>
  <si>
    <t>The defendant will (          ) the court's decision.</t>
  </si>
  <si>
    <t>pendant</t>
  </si>
  <si>
    <t>pend</t>
  </si>
  <si>
    <r>
      <rPr>
        <sz val="12"/>
        <color indexed="8"/>
        <rFont val="Apple SD 산돌고딕 Neo 일반체"/>
      </rPr>
      <t>pend</t>
    </r>
  </si>
  <si>
    <t>[péndənt]</t>
  </si>
  <si>
    <t>매달려(pend) 있는 하나의(an) ‘부속물, 늘어 뜨린 장식’</t>
  </si>
  <si>
    <t>부속물, 늘어 뜨린 장식</t>
  </si>
  <si>
    <t>She wore a gold pendant on a delicate chain.</t>
  </si>
  <si>
    <t>She wore a gold (          ) on a delicate chain.</t>
  </si>
  <si>
    <t>depend</t>
  </si>
  <si>
    <t>[dipénd]</t>
  </si>
  <si>
    <t>아래쪽(de)으로 매달려(pend) 있으니 ‘의지하다’</t>
  </si>
  <si>
    <t>의지하다</t>
  </si>
  <si>
    <t>The success of the project depends on teamwork.</t>
  </si>
  <si>
    <t>The success of the project (          )s on teamwork.</t>
  </si>
  <si>
    <t>independence</t>
  </si>
  <si>
    <t>pend &gt; depend</t>
  </si>
  <si>
    <t>[ìndipéndəns]</t>
  </si>
  <si>
    <t>반대(in) + 의지하다(depend) + 명사(ence) = ‘독립’</t>
  </si>
  <si>
    <t>독립</t>
  </si>
  <si>
    <t>The country celebrated its independence day.</t>
  </si>
  <si>
    <t>The country celebrated its (          ) day.</t>
  </si>
  <si>
    <t>appendix</t>
  </si>
  <si>
    <t>pend &gt; append</t>
  </si>
  <si>
    <t>[əpéndiks]</t>
  </si>
  <si>
    <t>덧붙여진, 부가적인(append) 신체기관으로 인식 되던 ‘맹장, 부록’
*더하여(a) 매달아 놓으니(pend) 덧붙이다(append)</t>
  </si>
  <si>
    <t>맹장, 부록</t>
  </si>
  <si>
    <t>The appendix is located in the lower right abdomen.</t>
  </si>
  <si>
    <t>The (          ) is located in the lower right abdomen.</t>
  </si>
  <si>
    <t>suspend</t>
  </si>
  <si>
    <t>[səspénd]</t>
  </si>
  <si>
    <t>아래쪽에(Su) 매달아(pend) 놓으니 ‘보류하다’</t>
  </si>
  <si>
    <t>보류하다</t>
  </si>
  <si>
    <t>The school may suspend students for serious violations.</t>
  </si>
  <si>
    <t>The school may (          ) students for serious violations.</t>
  </si>
  <si>
    <t>impend</t>
  </si>
  <si>
    <t>[impénd]</t>
  </si>
  <si>
    <t>안을(im) 향해 매달려(pend) 있으니 곧 떨어질 것 같이 ‘임박하다’</t>
  </si>
  <si>
    <t>임박하다</t>
  </si>
  <si>
    <t>The dark clouds suggested impending rain.</t>
  </si>
  <si>
    <t>The dark clouds suggested (          )ing rain.</t>
  </si>
  <si>
    <t>spend</t>
  </si>
  <si>
    <t>[spend]</t>
  </si>
  <si>
    <t>보이지 않게(s) 되는 것이 매달아(pend) 저장해 놓은 돈이므로 ‘쓰다, 소비하다’</t>
  </si>
  <si>
    <t>쓰다, 소비하다</t>
  </si>
  <si>
    <t>How do you spend your free time?</t>
  </si>
  <si>
    <t>How do you (          ) your free time?</t>
  </si>
  <si>
    <t>dispensable</t>
  </si>
  <si>
    <t>[dispénsəbl]</t>
  </si>
  <si>
    <t>분리(dis)시킬 필요가 있는 매달린(pend) 부분이니 ‘불필요한’</t>
  </si>
  <si>
    <t>불필요한</t>
  </si>
  <si>
    <t>These plastic utensils are dispensable after one use.</t>
  </si>
  <si>
    <t>These plastic utensils are (          ) after one use.</t>
  </si>
  <si>
    <t>indispensable</t>
  </si>
  <si>
    <t>pend &gt; dispensable</t>
  </si>
  <si>
    <t>[ìndispénsəbl]</t>
  </si>
  <si>
    <t>반대(in) 불필요한(dispensable) = ‘필수의’</t>
  </si>
  <si>
    <t>필수의</t>
  </si>
  <si>
    <t>Clean water is indispensable for human survival.</t>
  </si>
  <si>
    <t>Clean water is (          ) for human survival.</t>
  </si>
  <si>
    <t>expend</t>
  </si>
  <si>
    <t>pend &gt; spend</t>
  </si>
  <si>
    <t>[ikspénd]</t>
  </si>
  <si>
    <t>밖으로(ex) 쓰니(pend-spend) ‘소비하다, 소모하다’</t>
  </si>
  <si>
    <t>소비하다, 소모하다</t>
  </si>
  <si>
    <t>Athletes expend a lot of energy during competition.</t>
  </si>
  <si>
    <t>Athletes (          ) a lot of energy during competition.</t>
  </si>
  <si>
    <t>함께(com) 살아가도록 매달아놓은(pend) 연금 같은 것을 주니 ‘보상하다’</t>
  </si>
  <si>
    <t>보상하다</t>
  </si>
  <si>
    <t>per</t>
  </si>
  <si>
    <r>
      <rPr>
        <sz val="12"/>
        <color indexed="8"/>
        <rFont val="Apple SD 산돌고딕 Neo 일반체"/>
      </rPr>
      <t>per</t>
    </r>
  </si>
  <si>
    <t>완벽히(per) 만들어서(f) 잡으니(c) ‘완벽한’</t>
  </si>
  <si>
    <t>percent</t>
  </si>
  <si>
    <t>[pərsént]</t>
  </si>
  <si>
    <t>완전히(per) 100개로 나눈 것이니 ‘퍼센트, 100분’</t>
  </si>
  <si>
    <t>퍼센트, 100분</t>
  </si>
  <si>
    <t>Twenty percent of the students are international.</t>
  </si>
  <si>
    <t>Twenty (          ) of the students are international.</t>
  </si>
  <si>
    <t>perfume</t>
  </si>
  <si>
    <t>[pə́ːrfjuːm]</t>
  </si>
  <si>
    <t>완벽하게(per) 연기처럼(fume) 날아다니며 향기를 전달하는 ‘향수’</t>
  </si>
  <si>
    <t>향수</t>
  </si>
  <si>
    <t>The perfume has a subtle floral fragrance.</t>
  </si>
  <si>
    <t>The (          ) has a subtle floral fragrance.</t>
  </si>
  <si>
    <t>fume</t>
  </si>
  <si>
    <t>[fjuːm]</t>
  </si>
  <si>
    <t>가볍고, 빠르게(f) 나가는 ‘연기, 가스’</t>
  </si>
  <si>
    <t>연기, 가스</t>
  </si>
  <si>
    <t>Toxic fumes from the factory pollute the air.</t>
  </si>
  <si>
    <t>Toxic (          )s from the factory pollute the air.</t>
  </si>
  <si>
    <t>person</t>
  </si>
  <si>
    <t>[pə́ːrsn]</t>
  </si>
  <si>
    <t>완전한(per) 아들(son)로서의 ‘사람됨, 사람, 인품’</t>
  </si>
  <si>
    <t>사람됨, 사람, 인품</t>
  </si>
  <si>
    <t>Each person has unique talents and abilities.</t>
  </si>
  <si>
    <t>personnel</t>
  </si>
  <si>
    <t>per &gt; person</t>
  </si>
  <si>
    <t>[pə̀ːrsənél]</t>
  </si>
  <si>
    <t>한 사람 한 사람(person)을 가까이(n) 모아 길게(l) 늘여 놓으니 ‘전체 직원’</t>
  </si>
  <si>
    <t>전체 직원</t>
  </si>
  <si>
    <t>The company needs additional personnel for the holiday season.</t>
  </si>
  <si>
    <t>The company needs additional (          ) for the holiday season.</t>
  </si>
  <si>
    <t>personal</t>
  </si>
  <si>
    <t>[pə́rsənl]</t>
  </si>
  <si>
    <t>사람(person) + 형용사(al) = ‘개인적인’</t>
  </si>
  <si>
    <t>개인적인</t>
  </si>
  <si>
    <t>This is my personal opinion, not an official statement.</t>
  </si>
  <si>
    <t>This is my (          ) opinion, not an official statement.</t>
  </si>
  <si>
    <t>perish</t>
  </si>
  <si>
    <t>[périʃ]</t>
  </si>
  <si>
    <t>완전히(per) 자신(i)이 사라지니(sh) ‘소멸하다, 사라지다’</t>
  </si>
  <si>
    <t>소멸하다, 사라지다</t>
  </si>
  <si>
    <t>Many species will perish if their habitat is destroyed.</t>
  </si>
  <si>
    <t>Many species will (          ) if their habitat is destroyed.</t>
  </si>
  <si>
    <t>permanent</t>
  </si>
  <si>
    <t>[pə́ːrmənənt]</t>
  </si>
  <si>
    <t>완전히(per) 움직이며(m) 시간 제한이 없는(m) ‘영원한, 오래가는’</t>
  </si>
  <si>
    <t>영원한, 오래가는</t>
  </si>
  <si>
    <t>This tattoo is permanent and cannot be easily removed.</t>
  </si>
  <si>
    <t>This tattoo is (          ) and cannot be easily removed.</t>
  </si>
  <si>
    <t>persuade</t>
  </si>
  <si>
    <t>[pərswéid]</t>
  </si>
  <si>
    <t>완전히(per) 부드럽게(s) 마음 아래쪽까지(u) 내려가니(d) ‘설득하다’</t>
  </si>
  <si>
    <t>설득하다</t>
  </si>
  <si>
    <t>She tried to persuade her parents to let her go to the party.</t>
  </si>
  <si>
    <t>She tried to (          ) her parents to let her go to the party.</t>
  </si>
  <si>
    <t>plaza</t>
  </si>
  <si>
    <t>pla</t>
  </si>
  <si>
    <r>
      <rPr>
        <sz val="12"/>
        <color indexed="8"/>
        <rFont val="Apple SD 산돌고딕 Neo 일반체"/>
      </rPr>
      <t>pla</t>
    </r>
  </si>
  <si>
    <t>[plάːzə, plǽzə]</t>
  </si>
  <si>
    <t>평평하고(pla) 사람들이 많이 모여 진동이(z) 일어나는 ‘광장’</t>
  </si>
  <si>
    <t>광장</t>
  </si>
  <si>
    <t>The central plaza is surrounded by shops and restaurants.</t>
  </si>
  <si>
    <t>The central (          ) is surrounded by shops and restaurants.</t>
  </si>
  <si>
    <t>plat</t>
  </si>
  <si>
    <t>[plæt]</t>
  </si>
  <si>
    <t>평평한(pla) 지점이니(at) ‘땅 한 뙈기’</t>
  </si>
  <si>
    <t>땅 한 뙈기</t>
  </si>
  <si>
    <t>The developer submitted a plat for the new subdivision.</t>
  </si>
  <si>
    <t>The developer submitted a (          ) for the new subdivision.</t>
  </si>
  <si>
    <t>platform</t>
  </si>
  <si>
    <t>pla &gt; plat</t>
  </si>
  <si>
    <t>[plǽtfɔːrm]</t>
  </si>
  <si>
    <t>땅 한 뙈기(plat)에 만들어(form) 놓은 곳은 ‘승강장, 플랫폼’</t>
  </si>
  <si>
    <t>승강장, 플랫폼</t>
  </si>
  <si>
    <t>The speaker stood on a platform so everyone could see.</t>
  </si>
  <si>
    <t>The speaker stood on a (          ) so everyone could see.</t>
  </si>
  <si>
    <t>plaster</t>
  </si>
  <si>
    <t>[plǽstər]</t>
  </si>
  <si>
    <t>평평하게(pla) 늘려 펴져서 면에 붙어 서게(st)만드는 ‘회반죽’</t>
  </si>
  <si>
    <t>회반죽</t>
  </si>
  <si>
    <t>The workers applied fresh plaster to the damaged wall.</t>
  </si>
  <si>
    <t>The workers applied fresh (          ) to the damaged wall.</t>
  </si>
  <si>
    <t>plate</t>
  </si>
  <si>
    <t>[pleit]</t>
  </si>
  <si>
    <t>평평한(pla) 것인데 먹었던(ate) ‘접시’</t>
  </si>
  <si>
    <t>접시</t>
  </si>
  <si>
    <t>Put your dirty plate in the dishwasher.</t>
  </si>
  <si>
    <t>Put your dirty (          ) in the dishwasher.</t>
  </si>
  <si>
    <t>place</t>
  </si>
  <si>
    <t>[pleis]</t>
  </si>
  <si>
    <t>평평한(pla) 곳에 잡아(c) 두는 ‘장소, 놓아두다’</t>
  </si>
  <si>
    <t>장소, 놓아두다</t>
  </si>
  <si>
    <t>The hotel is in a convenient place near the station.</t>
  </si>
  <si>
    <t>The hotel is in a convenient (          ) near the station.</t>
  </si>
  <si>
    <t>misplace</t>
  </si>
  <si>
    <t>pla &gt; place</t>
  </si>
  <si>
    <t>[mispleiˈs]</t>
  </si>
  <si>
    <t>잘못(mis) 놓아두니(place) ‘잘못 놓다’</t>
  </si>
  <si>
    <t>잘못 놓다</t>
  </si>
  <si>
    <t>I always misplace my keys and spend time looking for them.</t>
  </si>
  <si>
    <t>I always (          ) my keys and spend time looking for them.</t>
  </si>
  <si>
    <t>replace</t>
  </si>
  <si>
    <t>[ripléis]</t>
  </si>
  <si>
    <t>다시(re) 놓아(place) ‘대신하다, 교체하다’</t>
  </si>
  <si>
    <t>대신하다, 교체하다</t>
  </si>
  <si>
    <t>We need to replace the broken window.</t>
  </si>
  <si>
    <t>We need to (          ) the broken window.</t>
  </si>
  <si>
    <t>displace</t>
  </si>
  <si>
    <t>[displéis]</t>
  </si>
  <si>
    <t>아래쪽으로 스윽 분리(dis)시켜 어떤 장소(place)에 놓으니 ‘옮기다, 대신하다’</t>
  </si>
  <si>
    <t>옮기다, 대신하다</t>
  </si>
  <si>
    <t>The flood displaced thousands of people from their homes.</t>
  </si>
  <si>
    <t>The flood (          )d thousands of people from their homes.</t>
  </si>
  <si>
    <t>plan</t>
  </si>
  <si>
    <t>[plæn]</t>
  </si>
  <si>
    <t>평평하게(pla) 울퉁불퉁한 우발상황이 없게(n) 만든 ‘계획’</t>
  </si>
  <si>
    <t>계획</t>
  </si>
  <si>
    <t>What's your plan for the weekend?</t>
  </si>
  <si>
    <t>What's your (          ) for the weekend?</t>
  </si>
  <si>
    <t>airplane</t>
  </si>
  <si>
    <t>pla(plan)</t>
  </si>
  <si>
    <t>[eˈrpleiˌn]</t>
  </si>
  <si>
    <t>공기(air)중에 평평한(plan) 날개를 이용해 나르는 ‘비행기’</t>
  </si>
  <si>
    <t>비행기</t>
  </si>
  <si>
    <t>The airplane flew high above the clouds.</t>
  </si>
  <si>
    <t>The (          ) flew high above the clouds.</t>
  </si>
  <si>
    <t>planet</t>
  </si>
  <si>
    <t>[plǽnit]</t>
  </si>
  <si>
    <t>평평한(plan) 땅이 있고 우주에 서(t) 있는 ‘행성’</t>
  </si>
  <si>
    <t>행성</t>
  </si>
  <si>
    <t>Mars is the fourth planet from the sun.</t>
  </si>
  <si>
    <t>Mars is the fourth (          ) from the sun.</t>
  </si>
  <si>
    <t>plain</t>
  </si>
  <si>
    <t>[plein]</t>
  </si>
  <si>
    <t>평평한(plan) ‘평야, 단순한, 분명한, 쉬운’</t>
  </si>
  <si>
    <t>평야, 단순한, 분명한, 쉬운</t>
  </si>
  <si>
    <t>The dress is plain but elegant.</t>
  </si>
  <si>
    <t>The dress is (          ) but elegant.</t>
  </si>
  <si>
    <t>explain</t>
  </si>
  <si>
    <t>pla(plan) &gt; plain</t>
  </si>
  <si>
    <t>[ikspléin]</t>
  </si>
  <si>
    <t>밖으로(ex) 분명하게(plain) 보이도록 ‘상세히 설명하다’</t>
  </si>
  <si>
    <t>상세히 설명하다</t>
  </si>
  <si>
    <t>Let me explain how the machine works.</t>
  </si>
  <si>
    <t>Let me (          ) how the machine works.</t>
  </si>
  <si>
    <t>complain</t>
  </si>
  <si>
    <t>[kəmpléin]</t>
  </si>
  <si>
    <t>함께(com) 모든 부분에 있어서 분명하게(plain) 속 마음을 다 드러내니 ‘불평하다, 투덜대다’</t>
  </si>
  <si>
    <t>불평하다, 투덜대다</t>
  </si>
  <si>
    <t>Customers complain about the poor service.</t>
  </si>
  <si>
    <t>Customers (          ) about the poor service.</t>
  </si>
  <si>
    <t>plant</t>
  </si>
  <si>
    <t>[plænt]</t>
  </si>
  <si>
    <t>평평한(plan) 곳에 세워서(t) ‘심다, 식물’</t>
  </si>
  <si>
    <t>심다, 식물</t>
  </si>
  <si>
    <t>Water the plant twice a week.</t>
  </si>
  <si>
    <t>Water the (          ) twice a week.</t>
  </si>
  <si>
    <t>implant</t>
  </si>
  <si>
    <t>pla(plan) &gt; plant</t>
  </si>
  <si>
    <t>[implǽnt｜-plάːnt]</t>
  </si>
  <si>
    <t>안에(im) 심으니(plant) ‘깊이 새기다, 심다’</t>
  </si>
  <si>
    <t>깊이 새기다, 심다</t>
  </si>
  <si>
    <t>The surgeon will implant the artificial hip next week.</t>
  </si>
  <si>
    <t>The surgeon will (          ) the artificial hip next week.</t>
  </si>
  <si>
    <t>supplant</t>
  </si>
  <si>
    <t>[səplǽnt]</t>
  </si>
  <si>
    <t>다른 사람 대신에 아래쪽(su)에 심으니(plant) ‘대신하다’</t>
  </si>
  <si>
    <t>대신하다</t>
  </si>
  <si>
    <t>New technology supplants older methods over time.</t>
  </si>
  <si>
    <t>New technology (          )s older methods over time.</t>
  </si>
  <si>
    <t>plenty</t>
  </si>
  <si>
    <t>ple</t>
  </si>
  <si>
    <r>
      <rPr>
        <sz val="12"/>
        <color indexed="8"/>
        <rFont val="Apple SD 산돌고딕 Neo 일반체"/>
      </rPr>
      <t>ple</t>
    </r>
  </si>
  <si>
    <t>[plénti]</t>
  </si>
  <si>
    <t>여러 개(ple)를 안(en)에 넣으니 ‘많음, 다량’</t>
  </si>
  <si>
    <t>많음, 다량</t>
  </si>
  <si>
    <t>We have plenty of time before the concert starts.</t>
  </si>
  <si>
    <t>We have (          ) of time before the concert starts.</t>
  </si>
  <si>
    <t>multiple</t>
  </si>
  <si>
    <t>[mΛltəpl]</t>
  </si>
  <si>
    <t>다수(multi) 여러 개(ple)이니 ‘다수의, 복합의’</t>
  </si>
  <si>
    <t>다수의, 복합의</t>
  </si>
  <si>
    <t>The accident caused multiple injuries.</t>
  </si>
  <si>
    <t>The accident caused (          ) injuries.</t>
  </si>
  <si>
    <t>multiply</t>
  </si>
  <si>
    <t>ple(ply)</t>
  </si>
  <si>
    <t>[mΛltəplài]</t>
  </si>
  <si>
    <t>여러 개(multi)에 여러 개(ply-ple)를 붙이니 ‘곱하다, 증가시키다’</t>
  </si>
  <si>
    <t>곱하다, 증가시키다</t>
  </si>
  <si>
    <t>Two multiply by three equals six.</t>
  </si>
  <si>
    <t>Two (          ) by three equals six.</t>
  </si>
  <si>
    <t>deplete</t>
  </si>
  <si>
    <t>[diplíːt]</t>
  </si>
  <si>
    <t>아래로(de) 저하시키다 여러 개(ple)를 즉, ‘고갈시키다’</t>
  </si>
  <si>
    <t>고갈시키다</t>
  </si>
  <si>
    <t>Overfishing depletes ocean resources.</t>
  </si>
  <si>
    <t>Overfishing (          )s ocean resources.</t>
  </si>
  <si>
    <t>complete</t>
  </si>
  <si>
    <t>[kəmplíːt]</t>
  </si>
  <si>
    <t>함께(com) 여러 개(ple)를 묶으니 ‘전부의, 완전한’</t>
  </si>
  <si>
    <t>전부의, 완전한</t>
  </si>
  <si>
    <t>Please complete the form and return it by Friday.</t>
  </si>
  <si>
    <t>Please (          ) the form and return it by Friday.</t>
  </si>
  <si>
    <t>incomplete</t>
  </si>
  <si>
    <t>ple &gt; complete</t>
  </si>
  <si>
    <t>[ìnkəmplíːt]</t>
  </si>
  <si>
    <t>반대의(in) + 완전한(complete) = ‘불완전한, 불충분한’</t>
  </si>
  <si>
    <t>불완전한, 불충분한</t>
  </si>
  <si>
    <t>The application was rejected because it was incomplete.</t>
  </si>
  <si>
    <t>The application was rejected because it was (          ).</t>
  </si>
  <si>
    <t>complement</t>
  </si>
  <si>
    <t>ple &gt; complete(comple)</t>
  </si>
  <si>
    <t>[kάmpləmənt｜kɔ́m-]</t>
  </si>
  <si>
    <t>완전하게(comple-complete) 되도록 하는 것 (ment)이니 ‘보충물, 보완물’</t>
  </si>
  <si>
    <t>보충물, 보완물</t>
  </si>
  <si>
    <t>Her skills complement his in the business partnership.</t>
  </si>
  <si>
    <t>Her skills (          ) his in the business partnership.</t>
  </si>
  <si>
    <t>compliment</t>
  </si>
  <si>
    <t>ple(pli)</t>
  </si>
  <si>
    <t>함께(com) 여러 가지로(pli-ple) 굳건히 하니(ment) ‘칭찬하다’</t>
  </si>
  <si>
    <t>He gave her a compliment on her new haircut.</t>
  </si>
  <si>
    <t>He gave her a (          ) on her new haircut.</t>
  </si>
  <si>
    <t>supplement</t>
  </si>
  <si>
    <t>[sΛpləmənt]</t>
  </si>
  <si>
    <t>아래쪽(sup-sub)에서부터 여러(ple)가지로 채 워서 보충하는 것(ment)이니 ‘보충물, 추가물’</t>
  </si>
  <si>
    <t>보충물, 추가물</t>
  </si>
  <si>
    <t>Take a vitamin supplement if your diet lacks nutrients.</t>
  </si>
  <si>
    <t>Take a vitamin (          ) if your diet lacks nutrients.</t>
  </si>
  <si>
    <t>implement</t>
  </si>
  <si>
    <t>[ímpləmənt]</t>
  </si>
  <si>
    <t>현장 안에서(im) 여러(ple) 종류가 있어 사용 하는 ‘도구, 연장’</t>
  </si>
  <si>
    <t>도구, 연장</t>
  </si>
  <si>
    <t>The company will implement the new policy next month.</t>
  </si>
  <si>
    <t>The company will (          ) the new policy next month.</t>
  </si>
  <si>
    <t>complex</t>
  </si>
  <si>
    <t>[kəmpléks, kάmpleks｜kɔ́mpleks]</t>
  </si>
  <si>
    <t>함께(com) 여러개(ple)가 교차하니(x) ‘컴플렉스’</t>
  </si>
  <si>
    <t>컴플렉스</t>
  </si>
  <si>
    <t>Quantum physics is a complex subject.</t>
  </si>
  <si>
    <t>Quantum physics is a (          ) subject.</t>
  </si>
  <si>
    <t>complicate</t>
  </si>
  <si>
    <t>[kάmpləkèit｜kɔ́m-]</t>
  </si>
  <si>
    <t>함께(com) 여러개(pli-ple)를 잡으니(c) ‘복잡하게 하다, 뒤얽히게 하다’</t>
  </si>
  <si>
    <t>복잡하게 하다, 뒤얽히게 하다</t>
  </si>
  <si>
    <t>Don't complicate things with unnecessary details.</t>
  </si>
  <si>
    <t>Don't (          ) things with unnecessary details.</t>
  </si>
  <si>
    <t>implicate</t>
  </si>
  <si>
    <t>[ímplikèit]</t>
  </si>
  <si>
    <t>안에(im) 여러가지를(pli-ple) 잡아 놓으니(c) ‘암시하다, 포함하다, 내포하다’</t>
  </si>
  <si>
    <t>암시하다, 포함하다, 내포하다</t>
  </si>
  <si>
    <t>The evidence implicates him in the fraud.</t>
  </si>
  <si>
    <t>The evidence (          )s him in the fraud.</t>
  </si>
  <si>
    <t>duplicate</t>
  </si>
  <si>
    <t>[djúːplikət｜djúː-]</t>
  </si>
  <si>
    <t>두개(du-double) 여러 개(pli-ple)를 잡아서(c) 만드니 ‘복제하다’</t>
  </si>
  <si>
    <t>복제하다</t>
  </si>
  <si>
    <t>Make a duplicate copy of important documents.</t>
  </si>
  <si>
    <t>Make a (          ) copy of important documents.</t>
  </si>
  <si>
    <t>accomplish</t>
  </si>
  <si>
    <t>[əkάmpliʃ, əkΛmpliʃ]</t>
  </si>
  <si>
    <t>모으는데(ac) 함께(com) 여러 개(pli-ple)를 부드럽게(sh) 조화시키니 ‘성취하다’</t>
  </si>
  <si>
    <t>성취하다</t>
  </si>
  <si>
    <t>She accomplished her goal of running a marathon.</t>
  </si>
  <si>
    <t>She (          )ed her goal of running a marathon.</t>
  </si>
  <si>
    <t>comply</t>
  </si>
  <si>
    <t>[kəmplái]</t>
  </si>
  <si>
    <t>함께(com) 여러(ply-ple)명이 ‘따르다’</t>
  </si>
  <si>
    <t>따르다</t>
  </si>
  <si>
    <t>All citizens must comply with the law.</t>
  </si>
  <si>
    <t>All citizens must (          ) with the law.</t>
  </si>
  <si>
    <t>reply</t>
  </si>
  <si>
    <t>[riplái]</t>
  </si>
  <si>
    <t>다시(re) 여러(ply-ple) 말로 ‘대답하다’</t>
  </si>
  <si>
    <t>대답하다</t>
  </si>
  <si>
    <t>I'm still waiting for her reply to my email.</t>
  </si>
  <si>
    <t>I'm still waiting for her (          ) to my email.</t>
  </si>
  <si>
    <t>apply</t>
  </si>
  <si>
    <t>[əplái]</t>
  </si>
  <si>
    <t>어떤 이론을 응용하여 더하여(a) 여러(ply-ple)개를 만들어내니 ‘적용하다’</t>
  </si>
  <si>
    <t>적용하다</t>
  </si>
  <si>
    <t>You should apply for the job before the deadline.</t>
  </si>
  <si>
    <t>You should (          ) for the job before the deadline.</t>
  </si>
  <si>
    <t>applicant</t>
  </si>
  <si>
    <t>ple(ply) &gt; apply</t>
  </si>
  <si>
    <t>[ǽplikənt]</t>
  </si>
  <si>
    <t>배운 바를 적용(appy) 할 수 있는(can) 사람은 ‘응모자, 신청자’</t>
  </si>
  <si>
    <t>응모자, 신청자</t>
  </si>
  <si>
    <t>Each applicant must complete an interview.</t>
  </si>
  <si>
    <t>Each (          ) must complete an interview.</t>
  </si>
  <si>
    <t>employ</t>
  </si>
  <si>
    <t>ple(ply, ploy)</t>
  </si>
  <si>
    <t>[implɔ́i]</t>
  </si>
  <si>
    <t>안으로(em) 입사시켜서 여러 명으로(ploy-ply) 만드니 ‘고용하다’</t>
  </si>
  <si>
    <t>고용하다</t>
  </si>
  <si>
    <t>The factory employs 500 workers.</t>
  </si>
  <si>
    <t>The factory (          )s 500 workers.</t>
  </si>
  <si>
    <t>employer</t>
  </si>
  <si>
    <t>ple(ply, ploy) &gt; employ</t>
  </si>
  <si>
    <t>[implɔ́iər]</t>
  </si>
  <si>
    <t>고용하는(employ) 사람(er)이니 ‘고용주’</t>
  </si>
  <si>
    <t>고용주</t>
  </si>
  <si>
    <t>The employer provides health insurance benefits.</t>
  </si>
  <si>
    <t>The (          ) provides health insurance benefits.</t>
  </si>
  <si>
    <t>employee</t>
  </si>
  <si>
    <t>[implɔ́iiː, èmplɔíː]</t>
  </si>
  <si>
    <t>고용되어(employ) 길게(ee) 일하는 ‘종업원’</t>
  </si>
  <si>
    <t>종업원</t>
  </si>
  <si>
    <t>The company recognizes its employees with annual awards.</t>
  </si>
  <si>
    <t>The company recognizes its (          )s with annual awards.</t>
  </si>
  <si>
    <t>monopoly</t>
  </si>
  <si>
    <t>ple(ploy, poly)</t>
  </si>
  <si>
    <t>[mənάpəli]</t>
  </si>
  <si>
    <t>혼자서(mono) 여러가지를(poly) 다 가지는 ‘독점, 전매’</t>
  </si>
  <si>
    <t>독점, 전매</t>
  </si>
  <si>
    <t>The company has a monopoly on smartphone production in that country.</t>
  </si>
  <si>
    <t>The company has a (          ) on smartphone production in that country.</t>
  </si>
  <si>
    <t>plus</t>
  </si>
  <si>
    <t>ple(plu)</t>
  </si>
  <si>
    <t>[plʌs]</t>
  </si>
  <si>
    <t>여러 개의 많은(plu) 상태로 만드는 ‘더하여’</t>
  </si>
  <si>
    <t>더하여</t>
  </si>
  <si>
    <t>Five plus three equals eight.</t>
  </si>
  <si>
    <t>Five (          ) three equals eight.</t>
  </si>
  <si>
    <t>2026-03-15</t>
  </si>
  <si>
    <t>surplus</t>
  </si>
  <si>
    <t>[sə́ːrplʌs]</t>
  </si>
  <si>
    <t>초과(sur)하여 여러 개가(plu) 있는 것은 ‘여분, 나머지’</t>
  </si>
  <si>
    <t>여분, 나머지</t>
  </si>
  <si>
    <t>The budget surplus will be invested in education.</t>
  </si>
  <si>
    <t>The budget (          ) will be invested in education.</t>
  </si>
  <si>
    <t>popcorn</t>
  </si>
  <si>
    <t>pop</t>
  </si>
  <si>
    <r>
      <rPr>
        <sz val="12"/>
        <color indexed="8"/>
        <rFont val="Apple SD 산돌고딕 Neo 일반체"/>
      </rPr>
      <t>pop</t>
    </r>
  </si>
  <si>
    <t>[pάpkɔ̀ːrn]</t>
  </si>
  <si>
    <t>펑하는(pop) 소리가 나면서 옥수수(corn)로 만들어지는 ‘팝콘’</t>
  </si>
  <si>
    <t>팝콘</t>
  </si>
  <si>
    <t>We ate popcorn while watching the movie.</t>
  </si>
  <si>
    <t>We ate (          ) while watching the movie.</t>
  </si>
  <si>
    <t>popsong</t>
  </si>
  <si>
    <t>[papsɔ́ːŋ]</t>
  </si>
  <si>
    <t>사람들이(pop) 좋아하는 노래(song)는 ‘팝송, 대중가요’</t>
  </si>
  <si>
    <t>팝송, 대중가요</t>
  </si>
  <si>
    <t>The catchy popsong played constantly on the radio.</t>
  </si>
  <si>
    <t>The catchy (          ) played constantly on the radio.</t>
  </si>
  <si>
    <t>popular</t>
  </si>
  <si>
    <t>[pάpjulər]</t>
  </si>
  <si>
    <t>사람들이(pop) 좋아하니 ‘인기있는’</t>
  </si>
  <si>
    <t>인기있는</t>
  </si>
  <si>
    <t>Basketball is a popular sport worldwide.</t>
  </si>
  <si>
    <t>Basketball is a (          ) sport worldwide.</t>
  </si>
  <si>
    <t>popularity</t>
  </si>
  <si>
    <t>pop &gt; popular</t>
  </si>
  <si>
    <t>[pὰpjulǽrəti]</t>
  </si>
  <si>
    <t>인기있는(popular) + 명사(ity) = ‘인기, 유행’</t>
  </si>
  <si>
    <t>인기, 유행</t>
  </si>
  <si>
    <t>The politician's popularity increased after the successful project.</t>
  </si>
  <si>
    <t>The politician's (          ) increased after the successful project.</t>
  </si>
  <si>
    <t>population</t>
  </si>
  <si>
    <t>[pὰpjuléiʃən]</t>
  </si>
  <si>
    <t>사람들이(pop) 평하고 터지듯이 불어나 이루어진 ‘인구’</t>
  </si>
  <si>
    <t>인구</t>
  </si>
  <si>
    <t>The population of Tokyo exceeds 13 million people.</t>
  </si>
  <si>
    <t>The (          ) of Tokyo exceeds 13 million people.</t>
  </si>
  <si>
    <t>pub</t>
  </si>
  <si>
    <r>
      <rPr>
        <sz val="12"/>
        <color indexed="8"/>
        <rFont val="Apple SD 산돌고딕 Neo 일반체"/>
      </rPr>
      <t>pub</t>
    </r>
  </si>
  <si>
    <t>[pʌb]</t>
  </si>
  <si>
    <t>폭하고(p) 아래쪽(u) 신분의 사람들이 터질(b) 듯이 모여 흥이 돋는 많은 사람들이 가는 ‘선술집’</t>
  </si>
  <si>
    <t>선술집</t>
  </si>
  <si>
    <t>We met friends at the local pub for dinner.</t>
  </si>
  <si>
    <t>We met friends at the local (          ) for dinner.</t>
  </si>
  <si>
    <t>public</t>
  </si>
  <si>
    <t>[pΛblik]</t>
  </si>
  <si>
    <t>많은 사람들(pub) + 형용사(ic) = ‘공중인, 대중의’</t>
  </si>
  <si>
    <t>공중인, 대중의</t>
  </si>
  <si>
    <t>The public library is open to everyone.</t>
  </si>
  <si>
    <t>The (          ) library is open to everyone.</t>
  </si>
  <si>
    <t>publish</t>
  </si>
  <si>
    <t>[pΛbliʃ]</t>
  </si>
  <si>
    <t>여러 사람들이(pub) 알게 길게(l) 나가게 하니 ‘발행하다, 발표하다’</t>
  </si>
  <si>
    <t>발행하다, 발표하다</t>
  </si>
  <si>
    <t>She hopes to publish her novel next year.</t>
  </si>
  <si>
    <t>She hopes to (          ) her novel next year.</t>
  </si>
  <si>
    <t>port</t>
  </si>
  <si>
    <r>
      <rPr>
        <sz val="12"/>
        <color indexed="8"/>
        <rFont val="Apple SD 산돌고딕 Neo 일반체"/>
      </rPr>
      <t>port</t>
    </r>
  </si>
  <si>
    <t>[pɔːrt]</t>
  </si>
  <si>
    <t>나르는(port) 곳이니 ‘항구’</t>
  </si>
  <si>
    <t>항구</t>
  </si>
  <si>
    <t>The ship will dock at the port tomorrow morning.</t>
  </si>
  <si>
    <t>The ship will dock at the (          ) tomorrow morning.</t>
  </si>
  <si>
    <t>portable</t>
  </si>
  <si>
    <t>[pɔ́ːrtəbl]</t>
  </si>
  <si>
    <t>운반해(port) 갈 수 있는(able) ‘휴대용의’</t>
  </si>
  <si>
    <t>휴대용의</t>
  </si>
  <si>
    <t>I bought a portable speaker for outdoor parties.</t>
  </si>
  <si>
    <t>I bought a (          ) speaker for outdoor parties.</t>
  </si>
  <si>
    <t>porter</t>
  </si>
  <si>
    <t>[pɔ́ːrtər]</t>
  </si>
  <si>
    <t>항구(port)에서 짐을 나르는 사람(er) ‘짐꾼’</t>
  </si>
  <si>
    <t>짐꾼</t>
  </si>
  <si>
    <t>The porter carried our bags to the hotel room.</t>
  </si>
  <si>
    <t>The (          ) carried our bags to the hotel room.</t>
  </si>
  <si>
    <t>portal</t>
  </si>
  <si>
    <t>[pɔ́ːrtl]</t>
  </si>
  <si>
    <t>뭔가를 날라주는(port) 기능을 하니 ‘대문, 통로, 포털’</t>
  </si>
  <si>
    <t>대문, 통로, 포털</t>
  </si>
  <si>
    <t>The website serves as a portal to various educational resources.</t>
  </si>
  <si>
    <t>The website serves as a (          ) to various educational resources.</t>
  </si>
  <si>
    <t>porch</t>
  </si>
  <si>
    <t>[pɔːrʧ]</t>
  </si>
  <si>
    <t>짐을 나르기(por-port) 위해 들어가는 입구가 되 고, 위에 덮어서(ch) 비를 막아주기도 하는 ‘현관’</t>
  </si>
  <si>
    <t>현관</t>
  </si>
  <si>
    <t>We sat on the porch enjoying the cool evening breeze.</t>
  </si>
  <si>
    <t>We sat on the (          ) enjoying the cool evening breeze.</t>
  </si>
  <si>
    <t>portfolio</t>
  </si>
  <si>
    <t>[pɔːrtfóuliòu]</t>
  </si>
  <si>
    <t>운반해(port) 가도록 서류(folio)를 넣어 가지고 다니는 ‘휴대용 서류가방’</t>
  </si>
  <si>
    <t>휴대용 서류가방</t>
  </si>
  <si>
    <t>The artist showed us her portfolio of recent work.</t>
  </si>
  <si>
    <t>The artist showed us her (          ) of recent work.</t>
  </si>
  <si>
    <t>portrait</t>
  </si>
  <si>
    <t>[pɔ́ːrtrit]</t>
  </si>
  <si>
    <t>사람의 얼굴 모습을 운반해(port) 주는 그림이니 ‘초상화’</t>
  </si>
  <si>
    <t>초상화</t>
  </si>
  <si>
    <t>The museum displays portraits of historical figures.</t>
  </si>
  <si>
    <t>The museum displays (          )s of historical figures.</t>
  </si>
  <si>
    <t>portion</t>
  </si>
  <si>
    <t>[pɔ́ːrʃən]</t>
  </si>
  <si>
    <t>나르면서(port) 내 것(i)이라고 지속적으로(on)하니 ‘몫, 부분’</t>
  </si>
  <si>
    <t>몫, 부분</t>
  </si>
  <si>
    <t>He ate only a small portion of his dinner.</t>
  </si>
  <si>
    <t>He ate only a small (          ) of his dinner.</t>
  </si>
  <si>
    <t>proportion</t>
  </si>
  <si>
    <t>port &gt; portion</t>
  </si>
  <si>
    <t>[prəpɔ́ːrʃən]</t>
  </si>
  <si>
    <t>앞으로(pro) 몫(portion)으로 할당해 줄 ‘비율’</t>
  </si>
  <si>
    <t>비율</t>
  </si>
  <si>
    <t>The painting maintains perfect proportion between all elements.</t>
  </si>
  <si>
    <t>The painting maintains perfect (          ) between all elements.</t>
  </si>
  <si>
    <t>airport</t>
  </si>
  <si>
    <t>[eˈrpɔˌrt]</t>
  </si>
  <si>
    <t>공중(air)에 떠 다니는 비행기가 머무는 항구(port)는 ‘공항’</t>
  </si>
  <si>
    <t>공항</t>
  </si>
  <si>
    <t>We arrived at the airport two hours before our flight.</t>
  </si>
  <si>
    <t>We arrived at the (          ) two hours before our flight.</t>
  </si>
  <si>
    <t>passport</t>
  </si>
  <si>
    <t>[pǽspɔːrt]</t>
  </si>
  <si>
    <t>지나가다(pass) 공항을(port) 그 때 보여주는 ‘여권’</t>
  </si>
  <si>
    <t>여권</t>
  </si>
  <si>
    <t>You need a valid passport for international travel.</t>
  </si>
  <si>
    <t>You need a valid (          ) for international travel.</t>
  </si>
  <si>
    <t>transport</t>
  </si>
  <si>
    <t>[trænspɔ́ːrt]</t>
  </si>
  <si>
    <t>옮기다(trans) 항구로부터(port)이니 ‘수송하다, 옮기다’</t>
  </si>
  <si>
    <t>수송하다, 옮기다</t>
  </si>
  <si>
    <t>The company provides transport for its employees.</t>
  </si>
  <si>
    <t>The company provides (          ) for its employees.</t>
  </si>
  <si>
    <t>import</t>
  </si>
  <si>
    <t>[impɔ́ːrt]</t>
  </si>
  <si>
    <t>안으로(im) 운반하니(port) ‘수입하다’</t>
  </si>
  <si>
    <t>수입하다</t>
  </si>
  <si>
    <t>Japan must import most of its oil.</t>
  </si>
  <si>
    <t>Japan must (          ) most of its oil.</t>
  </si>
  <si>
    <t>important</t>
  </si>
  <si>
    <t>[impɔ́ːrtənt]</t>
  </si>
  <si>
    <t>안으로(im) 날라(port) 놓아야 하는 한 가지(an)는 ‘중요한’</t>
  </si>
  <si>
    <t>중요한</t>
  </si>
  <si>
    <t>It's important to exercise regularly.</t>
  </si>
  <si>
    <t>It's (          ) to exercise regularly.</t>
  </si>
  <si>
    <t>export</t>
  </si>
  <si>
    <t>[ikspɔ́ːrt]</t>
  </si>
  <si>
    <t>밖으로(ex) 항구에서(port) 나르니 ‘수출하다’</t>
  </si>
  <si>
    <t>수출하다</t>
  </si>
  <si>
    <t>Thailand exports rice to many countries.</t>
  </si>
  <si>
    <t>Thailand (          )s rice to many countries.</t>
  </si>
  <si>
    <t>deport</t>
  </si>
  <si>
    <t>[dipɔ́ːrt]</t>
  </si>
  <si>
    <t>아래로(de) 나르다(port) ‘추방하다, 강제로 이송하다’</t>
  </si>
  <si>
    <t>추방하다, 강제로 이송하다</t>
  </si>
  <si>
    <t>The country may deport illegal immigrants.</t>
  </si>
  <si>
    <t>The country may (          ) illegal immigrants.</t>
  </si>
  <si>
    <t>report</t>
  </si>
  <si>
    <t>[ripɔ́ːrt]</t>
  </si>
  <si>
    <t>준비한 내용을 다시(re) 여기 저기로 운반해(port) 주는 ‘보고서’</t>
  </si>
  <si>
    <t>보고서</t>
  </si>
  <si>
    <t>The scientists published a report on climate change.</t>
  </si>
  <si>
    <t>The scientists published a (          ) on climate change.</t>
  </si>
  <si>
    <t>reporter</t>
  </si>
  <si>
    <t>port &gt; report</t>
  </si>
  <si>
    <t>[ripɔ́ːrtər]</t>
  </si>
  <si>
    <t>보고하는(report) 사람(er)이니 ‘신문기자, 보고자’</t>
  </si>
  <si>
    <t>신문기자, 보고자</t>
  </si>
  <si>
    <t>The reporter interviewed survivors of the disaster.</t>
  </si>
  <si>
    <t>The (          ) interviewed survivors of the disaster.</t>
  </si>
  <si>
    <t>support</t>
  </si>
  <si>
    <t>[səpɔ́ːrt]</t>
  </si>
  <si>
    <t>아래서(sub) 지고서 나르니(port) ‘버티다, 지탱하다’</t>
  </si>
  <si>
    <t>버티다, 지탱하다</t>
  </si>
  <si>
    <t>Parents support their children both emotionally and financially.</t>
  </si>
  <si>
    <t>Parents (          ) their children both emotionally and financially.</t>
  </si>
  <si>
    <t>눈으로 보는(opt) 것이 항구에서(port) 단결하여(unity) 할 사업이니 ‘기회’</t>
  </si>
  <si>
    <t>print</t>
  </si>
  <si>
    <t>pr</t>
  </si>
  <si>
    <r>
      <rPr>
        <sz val="12"/>
        <color indexed="8"/>
        <rFont val="Apple SD 산돌고딕 Neo 일반체"/>
      </rPr>
      <t>pr</t>
    </r>
  </si>
  <si>
    <t>[print]</t>
  </si>
  <si>
    <t>글자가 판에서 튀어나가(pr) 종이 안에(in) 접촉(t)해서 ‘인쇄하다’</t>
  </si>
  <si>
    <t>인쇄하다</t>
  </si>
  <si>
    <t>Please print your name clearly on the form.</t>
  </si>
  <si>
    <t>Please (          ) your name clearly on the form.</t>
  </si>
  <si>
    <t>pride</t>
  </si>
  <si>
    <t>[praid]</t>
  </si>
  <si>
    <t>마음에서 튀어(pr) 나오는 것인데 뭘 타고(ride)가면 나오는 ‘긍지, 자부심’</t>
  </si>
  <si>
    <t>긍지, 자부심</t>
  </si>
  <si>
    <t>The parents felt pride in their child's accomplishments.</t>
  </si>
  <si>
    <t>The parents felt (          ) in their child's accomplishments.</t>
  </si>
  <si>
    <t>proud</t>
  </si>
  <si>
    <t>[praud]</t>
  </si>
  <si>
    <t>튀어나갈 듯이(pr) 보여주고 싶은 둥근 마음이(o) 아래(d)에 있으니 ‘자랑으로 여기는, 자신에 찬’</t>
  </si>
  <si>
    <t>자랑으로 여기는, 자신에 찬</t>
  </si>
  <si>
    <t>She was proud of completing the marathon.</t>
  </si>
  <si>
    <t>She was (          ) of completing the marathon.</t>
  </si>
  <si>
    <t>spring</t>
  </si>
  <si>
    <t>pr &gt; spr</t>
  </si>
  <si>
    <t>[spriŋ]</t>
  </si>
  <si>
    <t>만물이 스프링처럼 부드럽게(s) 튀어(pr) 나오 는 계절은 ‘봄, 뛰어 오름’</t>
  </si>
  <si>
    <t>봄, 뛰어 오름</t>
  </si>
  <si>
    <t>Flowers bloom in spring.</t>
  </si>
  <si>
    <t>Flowers bloom in (          ).</t>
  </si>
  <si>
    <t>sprout</t>
  </si>
  <si>
    <t>[spraut]</t>
  </si>
  <si>
    <t>튀어(spr) 나오듯이 밖으로(out) 나오니 ‘자라기 시작하다, 발아하다, 새싹’</t>
  </si>
  <si>
    <t>자라기 시작하다, 발아하다, 새싹</t>
  </si>
  <si>
    <t>Bean seeds sprout quickly with proper care.</t>
  </si>
  <si>
    <t>Bean seeds (          ) quickly with proper care.</t>
  </si>
  <si>
    <t>sprite</t>
  </si>
  <si>
    <t>[sprait]</t>
  </si>
  <si>
    <t>순식간에 튀어서(spr) 죽 나가는(t) ‘요정’</t>
  </si>
  <si>
    <t>요정</t>
  </si>
  <si>
    <t>The sprite danced through the magical forest.</t>
  </si>
  <si>
    <t>The (          ) danced through the magical forest.</t>
  </si>
  <si>
    <t>sprint</t>
  </si>
  <si>
    <t>[sprint]</t>
  </si>
  <si>
    <t>스프링처럼 부드럽게 튀어나가(spr) 달리는 경기는 ‘단거리 경주, 전력질주, 전속력으로 달리다’</t>
  </si>
  <si>
    <t>단거리 경주, 전력질주, 전속력으로 달리다</t>
  </si>
  <si>
    <t>The athlete can sprint 100 meters in under 10 seconds.</t>
  </si>
  <si>
    <t>The athlete can (          ) 100 meters in under 10 seconds.</t>
  </si>
  <si>
    <t>sprinkle</t>
  </si>
  <si>
    <t>[spríŋkl]</t>
  </si>
  <si>
    <t>튀어나오게 하다(spr) + 안에 있는 것을(in) + 확장(k)시켜서 = ‘뿌리다’</t>
  </si>
  <si>
    <t>Sprinkle some salt on the food to enhance the flavor.</t>
  </si>
  <si>
    <r>
      <rPr>
        <sz val="12"/>
        <color indexed="8"/>
        <rFont val="Arial"/>
      </rPr>
      <t>Sprinkle some salt on the food to enhance the flavor.</t>
    </r>
  </si>
  <si>
    <t>spray</t>
  </si>
  <si>
    <t>[sprei]</t>
  </si>
  <si>
    <t>튀어서(spr) 확장(y)되어 나가는 ‘물보라, 분사 하다’</t>
  </si>
  <si>
    <t>물보라, 분사 하다</t>
  </si>
  <si>
    <t>The gardener will spray the plants to control pests.</t>
  </si>
  <si>
    <t>The gardener will (          ) the plants to control pests.</t>
  </si>
  <si>
    <t>spread</t>
  </si>
  <si>
    <t>[spred]</t>
  </si>
  <si>
    <t>튀어 나가서(spr) 아래로(d) 가니 ‘펴다’</t>
  </si>
  <si>
    <t>펴다</t>
  </si>
  <si>
    <t>The disease can spread through physical contact.</t>
  </si>
  <si>
    <t>The disease can (          ) through physical contact.</t>
  </si>
  <si>
    <t>widespread</t>
  </si>
  <si>
    <t>pr &gt; spr &gt; spread</t>
  </si>
  <si>
    <t>[waiˈdspreˈd]</t>
  </si>
  <si>
    <t>멀리 넓게(wide) 펼쳐졌으니(spread) ‘넓게 편’</t>
  </si>
  <si>
    <t>넓게 편</t>
  </si>
  <si>
    <t>The flu became widespread during winter months.</t>
  </si>
  <si>
    <t>The flu became (          ) during winter months.</t>
  </si>
  <si>
    <t>prevalence</t>
  </si>
  <si>
    <t>pre</t>
  </si>
  <si>
    <r>
      <rPr>
        <sz val="12"/>
        <color indexed="8"/>
        <rFont val="Apple SD 산돌고딕 Neo 일반체"/>
      </rPr>
      <t>pre</t>
    </r>
  </si>
  <si>
    <t>[prévələns｜-si]</t>
  </si>
  <si>
    <t>앞서(pre) 가치(val-value)가 퍼졌으니 ‘널리퍼짐, 유행’</t>
  </si>
  <si>
    <t>널리퍼짐, 유행</t>
  </si>
  <si>
    <t>The prevalence of diabetes is increasing worldwide.</t>
  </si>
  <si>
    <t>The (          ) of diabetes is increasing worldwide.</t>
  </si>
  <si>
    <t>preach</t>
  </si>
  <si>
    <t>[priːʧ]</t>
  </si>
  <si>
    <t>앞서(pre) 나가 마음을(ch) 잡아 주는 말을 하니 ‘설교하다’</t>
  </si>
  <si>
    <t>설교하다</t>
  </si>
  <si>
    <t>The minister preaches every Sunday morning.</t>
  </si>
  <si>
    <t>The minister (          )es every Sunday morning.</t>
  </si>
  <si>
    <t>premium</t>
  </si>
  <si>
    <t>[príːmiəm]</t>
  </si>
  <si>
    <t>순위가 앞서고(pre) 크니(m) ‘상급의, 상질의’</t>
  </si>
  <si>
    <t>상급의, 상질의</t>
  </si>
  <si>
    <t>The insurance premium increased this year.</t>
  </si>
  <si>
    <t>The insurance (          ) increased this year.</t>
  </si>
  <si>
    <t>premier</t>
  </si>
  <si>
    <t>[primjíərpríːmiər]</t>
  </si>
  <si>
    <t>앞서 있는(pre) 큰(m) 존재의 혼자(i) 있는 사람(er)이니 ‘국무총리, 수상, 최고의’</t>
  </si>
  <si>
    <t>국무총리, 수상, 최고의</t>
  </si>
  <si>
    <t>The premier of the province announced new economic policies.</t>
  </si>
  <si>
    <t>The (          ) of the province announced new economic policies.</t>
  </si>
  <si>
    <t>preliminary</t>
  </si>
  <si>
    <t>[prilímənèri]</t>
  </si>
  <si>
    <t>앞서서(pre) 풀어져(l) 움직여(m) 나아가니 ‘예비의, 준비의’</t>
  </si>
  <si>
    <t>예비의, 준비의</t>
  </si>
  <si>
    <t>These are preliminary results; the final data will come later.</t>
  </si>
  <si>
    <t>These are (          ) results; the final data will come later.</t>
  </si>
  <si>
    <t>previous</t>
  </si>
  <si>
    <t>[príːviəs]</t>
  </si>
  <si>
    <t>앞서(pre) 갈라진 틈(v)으로부터 나갔으니 ‘앞의, 앞선, 사전의’</t>
  </si>
  <si>
    <t>앞의, 앞선, 사전의</t>
  </si>
  <si>
    <t>His previous job was in a hospital.</t>
  </si>
  <si>
    <t>His (          ) job was in a hospital.</t>
  </si>
  <si>
    <t>priority</t>
  </si>
  <si>
    <t>pre &gt; prior</t>
  </si>
  <si>
    <t>[praiɔ́ːrəti]</t>
  </si>
  <si>
    <t>앞서(prior) 세워(t) 놓은 ‘우선순위’</t>
  </si>
  <si>
    <t>우선순위</t>
  </si>
  <si>
    <t>Safety is our top priority.</t>
  </si>
  <si>
    <t>Safety is our top (          ).</t>
  </si>
  <si>
    <t>problem</t>
  </si>
  <si>
    <t>pre(pro)</t>
  </si>
  <si>
    <t>[prάbləm]</t>
  </si>
  <si>
    <t>앞으로(pro) 부풀어 길게(bl) 안에서(em)부터 나오는 ‘문제’</t>
  </si>
  <si>
    <t>문제</t>
  </si>
  <si>
    <t>We need to solve this problem quickly.</t>
  </si>
  <si>
    <t>We need to solve this (          ) quickly.</t>
  </si>
  <si>
    <t>앞으로(pro) 돌출했으니(minent) 눈에 띄는, ‘탁월한’</t>
  </si>
  <si>
    <t>탁월한</t>
  </si>
  <si>
    <t>protrude</t>
  </si>
  <si>
    <t>[proutrúːd]</t>
  </si>
  <si>
    <t>앞으로(pro) 나아오다(t) 무례하게(rude) 즉, ‘튀어나오다’</t>
  </si>
  <si>
    <t>튀어나오다</t>
  </si>
  <si>
    <t>The nail protrudes from the wall and could be dangerous.</t>
  </si>
  <si>
    <t>The nail (          )s from the wall and could be dangerous.</t>
  </si>
  <si>
    <t>prompt</t>
  </si>
  <si>
    <t>[prampt]</t>
  </si>
  <si>
    <t>앞으로(pro) 움직여(m) 폭 튀어나와(p) 서니(t) ‘즉각적인’</t>
  </si>
  <si>
    <t>즉각적인</t>
  </si>
  <si>
    <t>The teacher's question prompted an interesting discussion.</t>
  </si>
  <si>
    <t>The teacher's question (          )ed an interesting discussion.</t>
  </si>
  <si>
    <t>protocol</t>
  </si>
  <si>
    <t>[próutəkɔ̀ːl]</t>
  </si>
  <si>
    <t>앞으로(pro) 나아가(to) 함께(co) 약속하는 ‘규약’</t>
  </si>
  <si>
    <t>규약</t>
  </si>
  <si>
    <t>Diplomats must follow strict protocols at official events.</t>
  </si>
  <si>
    <t>Diplomats must follow strict (          )s at official events.</t>
  </si>
  <si>
    <t>prophecy</t>
  </si>
  <si>
    <t>[prάfəsi]</t>
  </si>
  <si>
    <t>앞으로(pro) 일어날 일을 다 안다는 듯이 가볍게(ph-f) 말하는 ‘예언’</t>
  </si>
  <si>
    <t>예언</t>
  </si>
  <si>
    <t>The ancient prophecy predicted a time of great change.</t>
  </si>
  <si>
    <t>The ancient (          ) predicted a time of great change.</t>
  </si>
  <si>
    <t>proximity</t>
  </si>
  <si>
    <t>[praksíməti]</t>
  </si>
  <si>
    <t>앞으로(pro) 나아가 교차(x)할 정도로 움직여(m) 가니 ‘가까움’</t>
  </si>
  <si>
    <t>가까움</t>
  </si>
  <si>
    <t>The hotel's proximity to the beach makes it popular.</t>
  </si>
  <si>
    <t>The hotel's (          ) to the beach makes it popular.</t>
  </si>
  <si>
    <t>prosper</t>
  </si>
  <si>
    <t>[prάspər]</t>
  </si>
  <si>
    <t>앞으로(pro) 폭(sp)하고 튀어 힘있게(r) 나가니 ‘번영하는’</t>
  </si>
  <si>
    <t>번영하는</t>
  </si>
  <si>
    <t>Hard work helped the business prosper despite economic challenges.</t>
  </si>
  <si>
    <t>Hard work helped the business (          ) despite economic challenges.</t>
  </si>
  <si>
    <t>province</t>
  </si>
  <si>
    <t>[prάvins]</t>
  </si>
  <si>
    <t>앞으로(pro) 나아가 번성하여, 갈라진(v) 틈에 안에(in) 많이 모여 살 ‘도, 주’</t>
  </si>
  <si>
    <t>도, 주</t>
  </si>
  <si>
    <t>Quebec is the largest province in Canada.</t>
  </si>
  <si>
    <t>Quebec is the largest (          ) in Canada.</t>
  </si>
  <si>
    <t>prosecute</t>
  </si>
  <si>
    <t>[prάsikjùːt]</t>
  </si>
  <si>
    <t>재판에 앞서서(pro) 어떤 사람의 신병을 확보하여(secu-secure) ‘기소하다’</t>
  </si>
  <si>
    <t>기소하다</t>
  </si>
  <si>
    <t>The district attorney will prosecute the case.</t>
  </si>
  <si>
    <t>The district attorney will (          ) the case.</t>
  </si>
  <si>
    <t>prove</t>
  </si>
  <si>
    <t>[pruːv]</t>
  </si>
  <si>
    <t>앞으로(pro) 펄쳐 보여(v) 입증하다, ‘증명하다’</t>
  </si>
  <si>
    <t>증명하다</t>
  </si>
  <si>
    <t>The experiment will prove or disprove the theory.</t>
  </si>
  <si>
    <t>The experiment will (          ) or dis(          ) the theory.</t>
  </si>
  <si>
    <t>improve</t>
  </si>
  <si>
    <t>pre(pro) &gt; prove</t>
  </si>
  <si>
    <t>[imprúːv]</t>
  </si>
  <si>
    <t>안에(im) 증명할(prove) 것들을 더 만드니 ‘개량하다, 개선하다’</t>
  </si>
  <si>
    <t>개량하다, 개선하다</t>
  </si>
  <si>
    <t>Regular practice will improve your piano playing.</t>
  </si>
  <si>
    <t>Regular practice will (          ) your piano playing.</t>
  </si>
  <si>
    <t>approve</t>
  </si>
  <si>
    <t>[əprúːv]</t>
  </si>
  <si>
    <t>더하다(a) 서명을 증명한(prove) 자료를 보고서 즉, ‘승인하다’</t>
  </si>
  <si>
    <t>승인하다</t>
  </si>
  <si>
    <t>The board should approve the budget next week.</t>
  </si>
  <si>
    <t>The board should (          ) the budget next week.</t>
  </si>
  <si>
    <t>disapproval</t>
  </si>
  <si>
    <t>pre(pro) &gt; prove &gt; approve &gt; approval</t>
  </si>
  <si>
    <t>[dìsəprúːvəl]</t>
  </si>
  <si>
    <t>반대(dis) + 승인(approval) = ‘불찬성, 불만’</t>
  </si>
  <si>
    <t>불찬성, 불만</t>
  </si>
  <si>
    <t>Her disapproval was evident from her frown.</t>
  </si>
  <si>
    <t>Her (          ) was evident from her frown.</t>
  </si>
  <si>
    <t>prime</t>
  </si>
  <si>
    <t>prim</t>
  </si>
  <si>
    <r>
      <rPr>
        <sz val="12"/>
        <color indexed="8"/>
        <rFont val="Apple SD 산돌고딕 Neo 일반체"/>
      </rPr>
      <t>prim</t>
    </r>
  </si>
  <si>
    <t>[praim]</t>
  </si>
  <si>
    <t>가장 중요한(prim) 위치로 입구를(e) 통해 등장 하니 ‘가장 중요한, 주된, 제 1의’</t>
  </si>
  <si>
    <t>가장 중요한, 주된, 제 1의</t>
  </si>
  <si>
    <t>The athlete is in his prime at age 25.</t>
  </si>
  <si>
    <t>The athlete is in his (          ) at age 25.</t>
  </si>
  <si>
    <t>primary</t>
  </si>
  <si>
    <t>[práimeri]</t>
  </si>
  <si>
    <t xml:space="preserve">먼저 움직여 나온(prim) + 형용사(ary) = ‘주요한, 기본적인’ </t>
  </si>
  <si>
    <t>주요한, 기본적인</t>
  </si>
  <si>
    <t>Reading is a primary skill taught in early education.</t>
  </si>
  <si>
    <t>Reading is a (          ) skill taught in early education.</t>
  </si>
  <si>
    <t>primitive</t>
  </si>
  <si>
    <t>[prímətiv]</t>
  </si>
  <si>
    <t>먼저(prim) 나아왔는데(t) 갈라진 틈(v)이 있는 굴로부터 즉, ‘본원의, 근본의, 원시의’</t>
  </si>
  <si>
    <t>본원의, 근본의, 원시의</t>
  </si>
  <si>
    <t>Archaeologists discovered primitive tools from ancient civilizations.</t>
  </si>
  <si>
    <t>Archaeologists discovered (          ) tools from ancient civilizations.</t>
  </si>
  <si>
    <t>prince</t>
  </si>
  <si>
    <t>prim(prin)</t>
  </si>
  <si>
    <t>[prins]</t>
  </si>
  <si>
    <t>가장 중요한(prin) 자리를 잡는(c) 사람이니 ‘왕자, 왕손’</t>
  </si>
  <si>
    <t>왕자, 왕손</t>
  </si>
  <si>
    <t>The prince will someday become king.</t>
  </si>
  <si>
    <t>The (          ) will someday become king.</t>
  </si>
  <si>
    <t>princess</t>
  </si>
  <si>
    <t>prim(prin) &gt; prince</t>
  </si>
  <si>
    <t>[prínsis, prínses]</t>
  </si>
  <si>
    <t>왕자(prince)와 지위를 함께 하지만 더 부드러운(ss) ‘공주’</t>
  </si>
  <si>
    <t>공주</t>
  </si>
  <si>
    <t>The princess visited children at the hospital.</t>
  </si>
  <si>
    <t>The (          ) visited children at the hospital.</t>
  </si>
  <si>
    <t>학교에서 왕자처럼(prince) 가장 중요한(prin) 높은 자리를 잡고(cip) 모든(all) 일을 관장하는 ‘교장’</t>
  </si>
  <si>
    <t>왕자처럼(prince) 중요하게 잡고서(cip) 오랫동안(l) 지켜야 할 ‘원칙’</t>
  </si>
  <si>
    <t>원칙</t>
  </si>
  <si>
    <t>price</t>
  </si>
  <si>
    <t>pric</t>
  </si>
  <si>
    <r>
      <rPr>
        <sz val="12"/>
        <color indexed="8"/>
        <rFont val="Apple SD 산돌고딕 Neo 일반체"/>
      </rPr>
      <t>pric</t>
    </r>
  </si>
  <si>
    <t>[prais]</t>
  </si>
  <si>
    <t>가치를(pric) 입구를(e) 통해 보여 주는 ‘값, 가격’</t>
  </si>
  <si>
    <t>값, 가격</t>
  </si>
  <si>
    <t>The price of the concert tickets seemed reasonable.</t>
  </si>
  <si>
    <t>The (          ) of the concert tickets seemed reasonable.</t>
  </si>
  <si>
    <t>prize</t>
  </si>
  <si>
    <t>pric(pri)</t>
  </si>
  <si>
    <t>[praiz]</t>
  </si>
  <si>
    <t>가치(pri-pric)가 있어 흥분하게(z) 되는 ‘상, 상품’</t>
  </si>
  <si>
    <t>상, 상품</t>
  </si>
  <si>
    <t>She won first prize in the science competition.</t>
  </si>
  <si>
    <t>She won first (          ) in the science competition.</t>
  </si>
  <si>
    <t>precious</t>
  </si>
  <si>
    <t>pric(prec)</t>
  </si>
  <si>
    <t>[préʃəs]</t>
  </si>
  <si>
    <t>가치가 있는(prec-pric) + 형용사(ous) = ‘값비싼, 귀중한’</t>
  </si>
  <si>
    <t>값비싼, 귀중한</t>
  </si>
  <si>
    <t>Gold is a precious metal.</t>
  </si>
  <si>
    <t>Gold is a (          ) metal.</t>
  </si>
  <si>
    <t>appreciate</t>
  </si>
  <si>
    <t>[əpríːʃièit]</t>
  </si>
  <si>
    <t>더하다 어떤 지점(ap)에 붙이는 것이 가치이니(prec-pric) ‘진가를 인정하다, 감사하다’</t>
  </si>
  <si>
    <t>진가를 인정하다, 감사하다</t>
  </si>
  <si>
    <t>I appreciate your help with this difficult project.</t>
  </si>
  <si>
    <t>I (          ) your help with this difficult project.</t>
  </si>
  <si>
    <t>appreciable</t>
  </si>
  <si>
    <t>pric &gt; appreciate</t>
  </si>
  <si>
    <t>[əpríːʃiəbl, -ʃə-]</t>
  </si>
  <si>
    <t>진가를 인정하다(appreciate) + 할 수 있는(able) = ‘주목할 만한’</t>
  </si>
  <si>
    <t>주목할 만한</t>
  </si>
  <si>
    <t>The investment showed appreciable growth over five years.</t>
  </si>
  <si>
    <t>The investment showed (          ) growth over five years.</t>
  </si>
  <si>
    <t>depreciate</t>
  </si>
  <si>
    <t>[dipríːʃièit]</t>
  </si>
  <si>
    <t>저하(de)시키는 것이 가치(prec)이니 ‘가치를 떨어뜨리다, 멸시하다’</t>
  </si>
  <si>
    <t>가치를 떨어뜨리다, 멸시하다</t>
  </si>
  <si>
    <t>Cars depreciate quickly in the first few years.</t>
  </si>
  <si>
    <t>Cars (          ) quickly in the first few years.</t>
  </si>
  <si>
    <t>private</t>
  </si>
  <si>
    <t>priv</t>
  </si>
  <si>
    <r>
      <rPr>
        <sz val="12"/>
        <color indexed="8"/>
        <rFont val="Apple SD 산돌고딕 Neo 일반체"/>
      </rPr>
      <t>priv</t>
    </r>
  </si>
  <si>
    <t>[práivət]</t>
  </si>
  <si>
    <t>개인(priv) + 상태(ate) = ‘사적인, 개인적인’</t>
  </si>
  <si>
    <t>사적인, 개인적인</t>
  </si>
  <si>
    <t>The meeting is private; only team members may attend.</t>
  </si>
  <si>
    <t>The meeting is (          ); only team members may attend.</t>
  </si>
  <si>
    <t>deprive</t>
  </si>
  <si>
    <t>[dipráiv]</t>
  </si>
  <si>
    <t>아래로(de) 감소시키는 것이 개인(priv)적인 자격이니 ‘박탈하다’</t>
  </si>
  <si>
    <t>박탈하다</t>
  </si>
  <si>
    <t>Don't deprive yourself of adequate sleep.</t>
  </si>
  <si>
    <t>Don't (          ) yourself of adequate sleep.</t>
  </si>
  <si>
    <t>개인적으로(priv) 가게(leg) 하는 ‘특권’</t>
  </si>
  <si>
    <t>press</t>
  </si>
  <si>
    <r>
      <rPr>
        <sz val="12"/>
        <color indexed="8"/>
        <rFont val="Apple SD 산돌고딕 Neo 일반체"/>
      </rPr>
      <t>press</t>
    </r>
  </si>
  <si>
    <t>[pres]</t>
  </si>
  <si>
    <t>폭하고(p) 튀어나오는 것을 힘을(r) 가해 부드러운(ss) 가루가 되기까지 ‘누르다’</t>
  </si>
  <si>
    <t>누르다</t>
  </si>
  <si>
    <t>The reporter works for the local press.</t>
  </si>
  <si>
    <t>The reporter works for the local (          ).</t>
  </si>
  <si>
    <t>pressure</t>
  </si>
  <si>
    <t>[préʃər]</t>
  </si>
  <si>
    <t>누르다(press) + 아래로(u) + 힘있게(r) = ‘압력, 압박, 부담’</t>
  </si>
  <si>
    <t>압력, 압박, 부담</t>
  </si>
  <si>
    <t>High blood pressure can cause health problems.</t>
  </si>
  <si>
    <t>High blood (          ) can cause health problems.</t>
  </si>
  <si>
    <t>compress</t>
  </si>
  <si>
    <t>[kəmprés]</t>
  </si>
  <si>
    <t>함께(com) 누르니(press) ‘압축하다, 압착하다’</t>
  </si>
  <si>
    <t>압축하다, 압착하다</t>
  </si>
  <si>
    <t>The nurse applied a cold compress to reduce swelling.</t>
  </si>
  <si>
    <t>The nurse applied a cold (          ) to reduce swelling.</t>
  </si>
  <si>
    <t>oppress</t>
  </si>
  <si>
    <t>[əprés]</t>
  </si>
  <si>
    <t>둥근 입으로(o) 명령을 내려 누르니(press) ‘억압하다, 탄압하다’</t>
  </si>
  <si>
    <t>억압하다, 탄압하다</t>
  </si>
  <si>
    <t>Dictators often oppress people who disagree with them.</t>
  </si>
  <si>
    <t>Dictators often (          ) people who disagree with them.</t>
  </si>
  <si>
    <t>suppress</t>
  </si>
  <si>
    <t>[səprés]</t>
  </si>
  <si>
    <t>아래에(sup) 두고 누르니(press) ‘억제하다, 진압하다’</t>
  </si>
  <si>
    <t>억제하다, 진압하다</t>
  </si>
  <si>
    <t>The medication helps suppress the symptoms of the disease.</t>
  </si>
  <si>
    <t>The medication helps (          ) the symptoms of the disease.</t>
  </si>
  <si>
    <t>아래로(de) 누르니(press) ‘낙담시키다, 약하게하다’</t>
  </si>
  <si>
    <t>낙담시키다, 약하게하다</t>
  </si>
  <si>
    <t>express</t>
  </si>
  <si>
    <t>[iksprés]</t>
  </si>
  <si>
    <t xml:space="preserve">밖으로(ex) 밀어내는데(press)
</t>
  </si>
  <si>
    <t>표현하다, 고속의</t>
  </si>
  <si>
    <t>She expressed her concerns about the new policy.</t>
  </si>
  <si>
    <t>She (          )ed her concerns about the new policy.</t>
  </si>
  <si>
    <t>impression</t>
  </si>
  <si>
    <t>[impréʃən]</t>
  </si>
  <si>
    <t>마음 안으로(im) 눌러서(press) 만들어 내는 ‘인상’</t>
  </si>
  <si>
    <t>인상</t>
  </si>
  <si>
    <t>The interview left a positive impression on the hiring manager.</t>
  </si>
  <si>
    <t>The interview left a positive (          ) on the hiring manager.</t>
  </si>
  <si>
    <t>prison</t>
  </si>
  <si>
    <t>prise(pris)</t>
  </si>
  <si>
    <r>
      <rPr>
        <sz val="12"/>
        <color indexed="8"/>
        <rFont val="Apple SD 산돌고딕 Neo 일반체"/>
      </rPr>
      <t>prise(pris)</t>
    </r>
  </si>
  <si>
    <t>[prízn]</t>
  </si>
  <si>
    <t>잡아서(pris-prise) 지속적으로(on) 가둬놓는 ‘교도소’</t>
  </si>
  <si>
    <t>교도소</t>
  </si>
  <si>
    <t>He served five years in prison for the crime.</t>
  </si>
  <si>
    <t>He served five years in (          ) for the crime.</t>
  </si>
  <si>
    <t>prisoner</t>
  </si>
  <si>
    <t>prise(pris) &gt; prison</t>
  </si>
  <si>
    <t>[prízənər]</t>
  </si>
  <si>
    <t>감옥(prison)에 있는 사람(er)이니 ‘죄수’</t>
  </si>
  <si>
    <t>죄수</t>
  </si>
  <si>
    <t>The prisoner was released after serving his sentence.</t>
  </si>
  <si>
    <t>The (          ) was released after serving his sentence.</t>
  </si>
  <si>
    <t>surprise</t>
  </si>
  <si>
    <t>[sərpráiz]</t>
  </si>
  <si>
    <t>위에서(sur) 잡아(prise) 기습하니 ‘놀라게 하다’</t>
  </si>
  <si>
    <t>놀라게 하다</t>
  </si>
  <si>
    <t>The party was a complete surprise for her birthday.</t>
  </si>
  <si>
    <t>The party was a complete (          ) for her birthday.</t>
  </si>
  <si>
    <t>enterprise</t>
  </si>
  <si>
    <t>[éntərpràiz]</t>
  </si>
  <si>
    <t>업계 안으로 들어가(enter) 잡은 것은(prise) ‘기업, 회사’</t>
  </si>
  <si>
    <t>기업, 회사</t>
  </si>
  <si>
    <t>Starting a new enterprise requires courage and planning.</t>
  </si>
  <si>
    <t>Starting a new (          ) requires courage and planning.</t>
  </si>
  <si>
    <t>comprise</t>
  </si>
  <si>
    <t>[kəmpráiz]</t>
  </si>
  <si>
    <t>함께(com) 다 모으다 튀어 오르는(prise) 것들을 즉, ‘포함하다’</t>
  </si>
  <si>
    <t>The committee comprises members from various departments.</t>
  </si>
  <si>
    <t>The committee (          )s members from various departments.</t>
  </si>
  <si>
    <t>special</t>
  </si>
  <si>
    <t>spec</t>
  </si>
  <si>
    <r>
      <rPr>
        <sz val="12"/>
        <color indexed="8"/>
        <rFont val="Apple SD 산돌고딕 Neo 일반체"/>
      </rPr>
      <t>spec</t>
    </r>
  </si>
  <si>
    <t>[spéʃəl]</t>
  </si>
  <si>
    <t>튀어 보이는(spec) ‘특수한, 특별한’</t>
  </si>
  <si>
    <t>특수한, 특별한</t>
  </si>
  <si>
    <t>Today is a special occasion worth celebrating.</t>
  </si>
  <si>
    <t>Today is a (          ) occasion worth celebrating.</t>
  </si>
  <si>
    <t>specialist</t>
  </si>
  <si>
    <t>spec &gt; special</t>
  </si>
  <si>
    <t>[spéʃəlist]</t>
  </si>
  <si>
    <t>전문(special)적인 분야의 사람(ist)이니 ‘전문가, 전공자’</t>
  </si>
  <si>
    <t>전문가, 전공자</t>
  </si>
  <si>
    <t>She consulted a specialist about her knee injury.</t>
  </si>
  <si>
    <t>She consulted a (          ) about her knee injury.</t>
  </si>
  <si>
    <t>species</t>
  </si>
  <si>
    <t>[spíːʃiːz]</t>
  </si>
  <si>
    <t>보이는(spec) 모습에 따라 여러 개로(es) 나눈 ‘종’</t>
  </si>
  <si>
    <t>종</t>
  </si>
  <si>
    <t>Scientists discover new (          ) in the rainforest every year.</t>
  </si>
  <si>
    <t>specimen</t>
  </si>
  <si>
    <t>[spésəmən]</t>
  </si>
  <si>
    <t>보라고(spec) 사람들을(men) 위해 만들어 놓은 ‘견본, 표본’</t>
  </si>
  <si>
    <t>견본, 표본</t>
  </si>
  <si>
    <t>The doctor collected a blood specimen for testing.</t>
  </si>
  <si>
    <t>The doctor collected a blood (          ) for testing.</t>
  </si>
  <si>
    <t>spectacle</t>
  </si>
  <si>
    <t>[spéktəkl]</t>
  </si>
  <si>
    <t>보는데(spec) 딱 서(t)있는 ‘광경, 장관’</t>
  </si>
  <si>
    <t>광경, 장관</t>
  </si>
  <si>
    <t>The circus performance was quite a spectacle.</t>
  </si>
  <si>
    <t>The circus performance was quite a (          ).</t>
  </si>
  <si>
    <t>spectator</t>
  </si>
  <si>
    <t>[spékteitər]</t>
  </si>
  <si>
    <t>바라보는(spec) + 사람들(or) = ‘구경꾼, 관람객, 목격자’</t>
  </si>
  <si>
    <t>구경꾼, 관람객, 목격자</t>
  </si>
  <si>
    <t>The spectator cheered loudly for his favorite team.</t>
  </si>
  <si>
    <t>The (          ) cheered loudly for his favorite team.</t>
  </si>
  <si>
    <t>speculate</t>
  </si>
  <si>
    <t>[spékjulèit]</t>
  </si>
  <si>
    <t>보고 있다(spec) 늦게까지(late) 즉, ‘깊이 생각 하다’</t>
  </si>
  <si>
    <t>깊이 생각 하다</t>
  </si>
  <si>
    <t>Economists speculate about future market trends.</t>
  </si>
  <si>
    <t>Economists (          ) about future market trends.</t>
  </si>
  <si>
    <t>specific</t>
  </si>
  <si>
    <t>[spisífik]</t>
  </si>
  <si>
    <t>보이게(spec) 만드니(fic) ‘특별한, 명확한, 분명한’</t>
  </si>
  <si>
    <t>특별한, 명확한, 분명한</t>
  </si>
  <si>
    <t>Please be more specific about what you need.</t>
  </si>
  <si>
    <t>Please be more (          ) about what you need.</t>
  </si>
  <si>
    <t>aspect</t>
  </si>
  <si>
    <t>[ǽspekt]</t>
  </si>
  <si>
    <t>하나의(a) 보이는(spec) 면이니 ‘측면, 국면’</t>
  </si>
  <si>
    <t>측면, 국면</t>
  </si>
  <si>
    <t>We need to consider every aspect of the problem.</t>
  </si>
  <si>
    <t>We need to consider every (          ) of the problem.</t>
  </si>
  <si>
    <t>suspect</t>
  </si>
  <si>
    <t>[səspékt]</t>
  </si>
  <si>
    <t>아래에(su) 숨긴 것이 없나 보니(spec) ‘의심하다'</t>
  </si>
  <si>
    <t>Police suspect the neighbor of stealing the package.</t>
  </si>
  <si>
    <t>Police (          ) the neighbor of stealing the package.</t>
  </si>
  <si>
    <t>inspect</t>
  </si>
  <si>
    <t>[inspékt]</t>
  </si>
  <si>
    <t>안(in)으로 들여다 보니(spec) ‘조사하다, 점검하다’</t>
  </si>
  <si>
    <t>조사하다, 점검하다</t>
  </si>
  <si>
    <t>The mechanic will inspect your car for problems.</t>
  </si>
  <si>
    <t>The mechanic will (          ) your car for problems.</t>
  </si>
  <si>
    <t>prospect</t>
  </si>
  <si>
    <t>[prάspekt｜prɔ́s-]</t>
  </si>
  <si>
    <t>앞을(pro) 미리 볼 수 있는(spec) ‘가능성, 전망’</t>
  </si>
  <si>
    <t>가능성, 전망</t>
  </si>
  <si>
    <t>The prospect of traveling abroad excites me.</t>
  </si>
  <si>
    <t>The (          ) of traveling abroad excites me.</t>
  </si>
  <si>
    <t>expect</t>
  </si>
  <si>
    <t>[ikspékt]</t>
  </si>
  <si>
    <t>밖으로(ex) 보니(pec-spec) ‘기대하다’</t>
  </si>
  <si>
    <t>기대하다</t>
  </si>
  <si>
    <t>We expect the package to arrive tomorrow.</t>
  </si>
  <si>
    <t>We (          ) the package to arrive tomorrow.</t>
  </si>
  <si>
    <t>respect</t>
  </si>
  <si>
    <t>[rispékt]</t>
  </si>
  <si>
    <t>다시금(re) 바라보게(spec) 되니 ‘존경하다’</t>
  </si>
  <si>
    <t>존경하다</t>
  </si>
  <si>
    <t>Children should respect their elders.</t>
  </si>
  <si>
    <t>Children should (          ) their elders.</t>
  </si>
  <si>
    <t>respective</t>
  </si>
  <si>
    <t>spec &gt; respect</t>
  </si>
  <si>
    <t>[rispéktiv]</t>
  </si>
  <si>
    <t>존중(respect)으로 모두를 대하면 한 사람 한 사람에게 신경 쓰니 ‘각자의, 각각의’</t>
  </si>
  <si>
    <t>각자의, 각각의</t>
  </si>
  <si>
    <t>The students returned to their respective homes for the holiday.</t>
  </si>
  <si>
    <t>The students returned to their (          ) homes for the holiday.</t>
  </si>
  <si>
    <t>irrespective</t>
  </si>
  <si>
    <t>spec &gt; respect &gt; respective</t>
  </si>
  <si>
    <t>[ìrispéktiv]</t>
  </si>
  <si>
    <t>반대(ir) + 각각을 살피는(respective) = ‘돌아보지 않는, 개의치 않는’</t>
  </si>
  <si>
    <t>돌아보지 않는, 개의치 않는</t>
  </si>
  <si>
    <t>All citizens have certain rights, irrespective of their background.</t>
  </si>
  <si>
    <t>All citizens have certain rights, (          ) of their background.</t>
  </si>
  <si>
    <t>spirit</t>
  </si>
  <si>
    <t>spir</t>
  </si>
  <si>
    <r>
      <rPr>
        <sz val="12"/>
        <color indexed="8"/>
        <rFont val="Apple SD 산돌고딕 Neo 일반체"/>
      </rPr>
      <t>spir</t>
    </r>
  </si>
  <si>
    <t>[spírit]</t>
  </si>
  <si>
    <t>호흡을(spir) 하여 서(t) 있는 존재이니 ‘정신, 마음, 영혼’</t>
  </si>
  <si>
    <t>정신, 마음, 영혼</t>
  </si>
  <si>
    <t>The team played with great spirit despite losing.</t>
  </si>
  <si>
    <t>The team played with great (          ) despite losing.</t>
  </si>
  <si>
    <t>inspire</t>
  </si>
  <si>
    <t>[inspáiər]</t>
  </si>
  <si>
    <t>안으로(in) 호흡을(spir) 불어 넣으니 ‘감동시키다, 영감을 주다’</t>
  </si>
  <si>
    <t>감동시키다, 영감을 주다</t>
  </si>
  <si>
    <t>Good teachers inspire their students to excel.</t>
  </si>
  <si>
    <t>Good teachers (          ) their students to excel.</t>
  </si>
  <si>
    <t>inspiration</t>
  </si>
  <si>
    <t>spir &gt; inspire</t>
  </si>
  <si>
    <t>[ìnspəréiʃən]</t>
  </si>
  <si>
    <t>영감을 주다(inspire) + 명사(tion) = ‘영감’</t>
  </si>
  <si>
    <t>영감</t>
  </si>
  <si>
    <t>Nature provides inspiration for many artists.</t>
  </si>
  <si>
    <t>Nature provides (          ) for many artists.</t>
  </si>
  <si>
    <t>aspire</t>
  </si>
  <si>
    <t>[əspáiər]</t>
  </si>
  <si>
    <t>더하다(a) 호흡을(spir) 헉 ~ 헉~ 하면서 관심을 보이니 ‘열망하다’</t>
  </si>
  <si>
    <t>열망하다</t>
  </si>
  <si>
    <t>Many young athletes aspire to compete in the Olympics.</t>
  </si>
  <si>
    <t>Many young athletes (          ) to compete in the Olympics.</t>
  </si>
  <si>
    <t>conspire</t>
  </si>
  <si>
    <t>[kənspáiər]</t>
  </si>
  <si>
    <t>함께(con) 호흡하니(spir) ‘공모하다, 음모를 꾸미다’</t>
  </si>
  <si>
    <t>공모하다, 음모를 꾸미다</t>
  </si>
  <si>
    <t>The criminals conspired to rob the bank.</t>
  </si>
  <si>
    <t>The criminals (          )d to rob the bank.</t>
  </si>
  <si>
    <t>expire</t>
  </si>
  <si>
    <t>spir(pir)</t>
  </si>
  <si>
    <t>[ikspáiər]</t>
  </si>
  <si>
    <t>밖으로(ex) 나가다 호흡(pir-spir)이 즉 생명이 나가니, ‘죽다, 꺼지다, 만료하다’</t>
  </si>
  <si>
    <t>죽다, 꺼지다, 만료하다</t>
  </si>
  <si>
    <t>The milk will expire next week.</t>
  </si>
  <si>
    <t>The milk will (          ) next week.</t>
  </si>
  <si>
    <t>pin</t>
  </si>
  <si>
    <r>
      <rPr>
        <sz val="12"/>
        <color indexed="8"/>
        <rFont val="Apple SD 산돌고딕 Neo 일반체"/>
      </rPr>
      <t>pin</t>
    </r>
  </si>
  <si>
    <t>[pin]</t>
  </si>
  <si>
    <t>끝의 점으로(p) 안(in)으로 찌르는 ‘핀’</t>
  </si>
  <si>
    <t>핀</t>
  </si>
  <si>
    <t>Use a pin to secure the fabric before sewing.</t>
  </si>
  <si>
    <t>Use a (          ) to secure the fabric before sewing.</t>
  </si>
  <si>
    <t>pinnacle</t>
  </si>
  <si>
    <t>[pínəkl]</t>
  </si>
  <si>
    <t>핀(pin)과 같이 ‘뾰족한 탑, 봉우리’</t>
  </si>
  <si>
    <t>뾰족한 탑, 봉우리</t>
  </si>
  <si>
    <t>Reaching the summit represents the pinnacle of the climber's career.</t>
  </si>
  <si>
    <t>Reaching the summit represents the (          ) of the climber's career.</t>
  </si>
  <si>
    <t>pine</t>
  </si>
  <si>
    <t>[pain]</t>
  </si>
  <si>
    <t>잎사귀가 핀(pin)처럼 찌르게 생긴 ‘소나무’</t>
  </si>
  <si>
    <t>소나무</t>
  </si>
  <si>
    <t>The furniture is made of solid pine wood.</t>
  </si>
  <si>
    <t>The furniture is made of solid (          ) wood.</t>
  </si>
  <si>
    <t>pineapple</t>
  </si>
  <si>
    <t>[paiˈnæˌpəl]</t>
  </si>
  <si>
    <t>바늘(pin)과 같은 게 밖에 나와있는 사과(apple)이니 ‘파인애플’</t>
  </si>
  <si>
    <t>파인애플</t>
  </si>
  <si>
    <t>Pineapple is a sweet tropical fruit.</t>
  </si>
  <si>
    <r>
      <rPr>
        <sz val="12"/>
        <color indexed="8"/>
        <rFont val="Arial"/>
      </rPr>
      <t>Pineapple is a sweet tropical fruit.</t>
    </r>
  </si>
  <si>
    <t>spine</t>
  </si>
  <si>
    <t>[spain]</t>
  </si>
  <si>
    <t>S 라인을 이루는데 핀처럼(pin) 튀어나온 ‘척추, 등뼈’</t>
  </si>
  <si>
    <t>척추, 등뼈</t>
  </si>
  <si>
    <t>The doctor examined the patient's spine for injury.</t>
  </si>
  <si>
    <t>The doctor examined the patient's (          ) for injury.</t>
  </si>
  <si>
    <t>pinch</t>
  </si>
  <si>
    <t>[pinʧ]</t>
  </si>
  <si>
    <t>핀으로(pin) 찌르는 것 같고 잡아(ch) 뜯는 것 같기도 하는 행동이니 ‘꼬집다’</t>
  </si>
  <si>
    <t>꼬집다</t>
  </si>
  <si>
    <t>Add a pinch of salt to the recipe.</t>
  </si>
  <si>
    <t>Add a (          ) of salt to the recipe.</t>
  </si>
  <si>
    <t>spin</t>
  </si>
  <si>
    <t>[spin]</t>
  </si>
  <si>
    <t>부드럽게(s) 움직이는데 핀으로(pin) 꼭 중심을 찍고서 ‘돌다, 빙글빙글’</t>
  </si>
  <si>
    <t>돌다, 빙글빙글</t>
  </si>
  <si>
    <t>The Earth spins on its axis once every 24 hours.</t>
  </si>
  <si>
    <t>The Earth (          )s on its axis once every 24 hours.</t>
  </si>
  <si>
    <t>pose</t>
  </si>
  <si>
    <r>
      <rPr>
        <sz val="12"/>
        <color indexed="8"/>
        <rFont val="Apple SD 산돌고딕 Neo 일반체"/>
      </rPr>
      <t>pose</t>
    </r>
  </si>
  <si>
    <t>[pouz]</t>
  </si>
  <si>
    <t>어떤 지점의(p) 둥근(o) 공간에 부드럽게(s) 놓아두는(pose) ‘자세, 태도, 자세를 취하다’</t>
  </si>
  <si>
    <t>자세, 태도, 자세를 취하다</t>
  </si>
  <si>
    <t>The model will pose for the artist.</t>
  </si>
  <si>
    <t>The model will (          ) for the artist.</t>
  </si>
  <si>
    <t>position</t>
  </si>
  <si>
    <t>[pəzíʃən]</t>
  </si>
  <si>
    <t>놓아두는(posi-pose) ‘위치, 장소’</t>
  </si>
  <si>
    <t>The company offers a management position with good benefits.</t>
  </si>
  <si>
    <t>The company offers a management (          ) with good benefits.</t>
  </si>
  <si>
    <t>poise</t>
  </si>
  <si>
    <t>[pɔiz]</t>
  </si>
  <si>
    <t>놓아두었는데(pose) 가운데 나 자신(i)이 있으니 어느 쪽에도 치우치지 않은 ‘평형, 균형, 침착, 냉정’</t>
  </si>
  <si>
    <t>평형, 균형, 침착, 냉정</t>
  </si>
  <si>
    <t>She handled the difficult question with poise and confidence.</t>
  </si>
  <si>
    <t>She handled the difficult question with (          ) and confidence.</t>
  </si>
  <si>
    <t>pause</t>
  </si>
  <si>
    <t>[pɔːz]</t>
  </si>
  <si>
    <t>어떤 지점(p) 아래쪽(u)에 보이지(s) 않게 있으니 ‘멈춤, 휴식, 중단’</t>
  </si>
  <si>
    <t>멈춤, 휴식, 중단</t>
  </si>
  <si>
    <t>There was a brief pause in the conversation.</t>
  </si>
  <si>
    <t>There was a brief (          ) in the conversation.</t>
  </si>
  <si>
    <t>postpone</t>
  </si>
  <si>
    <t>pose(pone)</t>
  </si>
  <si>
    <t>[poustpóun]</t>
  </si>
  <si>
    <t>뒤의(post) 지점에 놓으니(pone-pose) ‘연기하다’</t>
  </si>
  <si>
    <t>연기하다</t>
  </si>
  <si>
    <t>Let's postpone the meeting until next week.</t>
  </si>
  <si>
    <t>Let's (          ) the meeting until next week.</t>
  </si>
  <si>
    <t>propose</t>
  </si>
  <si>
    <t>[prəpóuz]</t>
  </si>
  <si>
    <t>앞으로(pro) 두니(pose) ‘제안하다’</t>
  </si>
  <si>
    <t>He plans to propose marriage during their vacation.</t>
  </si>
  <si>
    <t>He plans to (          ) marriage during their vacation.</t>
  </si>
  <si>
    <t>purpose</t>
  </si>
  <si>
    <t>[pə́ːrpəs]</t>
  </si>
  <si>
    <t>완전하게(pur-per) 두고자(pose) 할 때는 ‘의도’나 ‘목적’이 있다</t>
  </si>
  <si>
    <t>의도, 목적</t>
  </si>
  <si>
    <t>The purpose of the study is to evaluate new treatments.</t>
  </si>
  <si>
    <t>The (          ) of the study is to evaluate new treatments.</t>
  </si>
  <si>
    <t>compose</t>
  </si>
  <si>
    <t>[kəmpóuz]</t>
  </si>
  <si>
    <t>함께(com) 두니(pose) ‘구성하다, 작곡하다’</t>
  </si>
  <si>
    <t>구성하다, 작곡하다</t>
  </si>
  <si>
    <t>Mozart began to compose music at a very young age.</t>
  </si>
  <si>
    <t>Mozart began to (          ) music at a very young age.</t>
  </si>
  <si>
    <t>suppose</t>
  </si>
  <si>
    <t>[səpóuz]</t>
  </si>
  <si>
    <t>현실 아래쪽에(su) 놓으니(pose) ‘가정하다’</t>
  </si>
  <si>
    <t>가정하다</t>
  </si>
  <si>
    <t>I suppose we could try your suggestion.</t>
  </si>
  <si>
    <t>I (          ) we could try your suggestion.</t>
  </si>
  <si>
    <t>oppose</t>
  </si>
  <si>
    <t>[əpóuz]</t>
  </si>
  <si>
    <t>어떤 공간(o)에서 폭(p) 튀어 나오는 자세(pose)를 취하니 ‘반대하다’</t>
  </si>
  <si>
    <t>반대하다</t>
  </si>
  <si>
    <t>Many citizens oppose the new tax increase.</t>
  </si>
  <si>
    <t>Many citizens (          ) the new tax increase.</t>
  </si>
  <si>
    <t>opposite</t>
  </si>
  <si>
    <t>pose &gt; oppose</t>
  </si>
  <si>
    <t>[άpəzit, άpəsit]</t>
  </si>
  <si>
    <t>반대하는(oppose) 장소(site)에 있으니 ‘반대쪽의’</t>
  </si>
  <si>
    <t>반대쪽의</t>
  </si>
  <si>
    <t>The library is on the opposite side of the street.</t>
  </si>
  <si>
    <t>The library is on the (          ) side of the street.</t>
  </si>
  <si>
    <t>deposit</t>
  </si>
  <si>
    <t>pose(pos)</t>
  </si>
  <si>
    <t>[dipάzit]</t>
  </si>
  <si>
    <t>창구에서 아래로(d) 돈을 내려 놓으니(pos-pose) ‘예금, 예금하다’</t>
  </si>
  <si>
    <t>예금, 예금하다</t>
  </si>
  <si>
    <t>You must pay a deposit when renting an apartment.</t>
  </si>
  <si>
    <t>You must pay a (          ) when renting an apartment.</t>
  </si>
  <si>
    <t>dispose</t>
  </si>
  <si>
    <t>[dispóuz]</t>
  </si>
  <si>
    <t>분리(dis)시켜 어떤 장소에 위치(pose)하게 하니 ‘배치하다, 정리하다’</t>
  </si>
  <si>
    <t>배치하다, 정리하다</t>
  </si>
  <si>
    <t>Please dispose of trash properly.</t>
  </si>
  <si>
    <t>Please (          ) of trash properly.</t>
  </si>
  <si>
    <t>expose</t>
  </si>
  <si>
    <t>[ikspóuz]</t>
  </si>
  <si>
    <t>밖에(ex) 두니(pose) ‘드러내다, 노출시키다’</t>
  </si>
  <si>
    <t>드러내다, 노출시키다</t>
  </si>
  <si>
    <t>The photograph was exposed to light and ruined.</t>
  </si>
  <si>
    <t>The photograph was (          )d to light and ruined.</t>
  </si>
  <si>
    <t>exposure</t>
  </si>
  <si>
    <t>[ikspóuʒər]</t>
  </si>
  <si>
    <t>밖으로(ex) 위치하게 두니(pose) ‘폭로, 노출’</t>
  </si>
  <si>
    <t>폭로, 노출</t>
  </si>
  <si>
    <t>Limit your exposure to the sun to prevent sunburn.</t>
  </si>
  <si>
    <t>Limit your (          ) to the sun to prevent sunburn.</t>
  </si>
  <si>
    <t>exposition</t>
  </si>
  <si>
    <t>pose &gt; expose</t>
  </si>
  <si>
    <t>[èkspəzíʃən]</t>
  </si>
  <si>
    <t>드러내다(expose) + 명사(tion) = ‘박람회, 전시회’</t>
  </si>
  <si>
    <t>박람회, 전시회</t>
  </si>
  <si>
    <t>The art exposition features works by local artists.</t>
  </si>
  <si>
    <t>The art (          ) features works by local artists.</t>
  </si>
  <si>
    <t>impose</t>
  </si>
  <si>
    <t>[impóuz]</t>
  </si>
  <si>
    <t>안에(im) 두니(pose) ‘강요하다, 부과하다’</t>
  </si>
  <si>
    <t>강요하다, 부과하다</t>
  </si>
  <si>
    <t>The court imposed a heavy fine for the violation.</t>
  </si>
  <si>
    <t>The court (          )d a heavy fine for the violation.</t>
  </si>
  <si>
    <t>put</t>
  </si>
  <si>
    <r>
      <rPr>
        <sz val="12"/>
        <color indexed="8"/>
        <rFont val="Apple SD 산돌고딕 Neo 일반체"/>
      </rPr>
      <t>put</t>
    </r>
  </si>
  <si>
    <t>함께(com) 여러 정보를 놓아서(put) 한꺼번에 처리하는 능력을 가진 ‘컴퓨터, 계산기’</t>
  </si>
  <si>
    <t>컴퓨터, 계산기</t>
  </si>
  <si>
    <t>reputation</t>
  </si>
  <si>
    <t>[rèpjutéiʃən]</t>
  </si>
  <si>
    <t xml:space="preserve">여러 사람들이 다시금(re) 놓아둔(put) ‘평가, 평판’ </t>
  </si>
  <si>
    <t>평가, 평판</t>
  </si>
  <si>
    <t>The restaurant has an excellent reputation for quality food.</t>
  </si>
  <si>
    <t>The restaurant has an excellent (          ) for quality food.</t>
  </si>
  <si>
    <t>dispute</t>
  </si>
  <si>
    <t>[dispjúːt]</t>
  </si>
  <si>
    <t>반대로(dis) 놓다(put) 즉, 서로 반대하는 의견 을 내 놓으니 ‘논쟁, 분쟁’</t>
  </si>
  <si>
    <t>논쟁, 분쟁</t>
  </si>
  <si>
    <t>The neighbors have a dispute about the property line.</t>
  </si>
  <si>
    <t>The neighbors have a (          ) about the property line.</t>
  </si>
  <si>
    <t>quest</t>
  </si>
  <si>
    <t>qu</t>
  </si>
  <si>
    <r>
      <rPr>
        <sz val="12"/>
        <color indexed="8"/>
        <rFont val="Apple SD 산돌고딕 Neo 일반체"/>
      </rPr>
      <t>qu</t>
    </r>
  </si>
  <si>
    <t>[kwest]</t>
  </si>
  <si>
    <t>아래로 압력(qu)을 가해 입에서(e) 답이 나오게(t) 하니 ‘물어보다, 요구하다, 탐색, 탐구’</t>
  </si>
  <si>
    <t>물어보다, 요구하다, 탐색, 탐구</t>
  </si>
  <si>
    <t>The knight embarked on a quest to rescue the princess.</t>
  </si>
  <si>
    <t>The knight embarked on a (          ) to rescue the princess.</t>
  </si>
  <si>
    <t>question</t>
  </si>
  <si>
    <t>qu &gt; quest</t>
  </si>
  <si>
    <t>[kwésʧən]</t>
  </si>
  <si>
    <t>물어보는데(quest) 지속적으로(on) 하니 ‘질문하다, 질문’</t>
  </si>
  <si>
    <t>질문하다, 질문</t>
  </si>
  <si>
    <t>The teacher asked a difficult question on the exam.</t>
  </si>
  <si>
    <t>The teacher asked a difficult (          ) on the exam.</t>
  </si>
  <si>
    <t>conquest</t>
  </si>
  <si>
    <t>[kάnkwest, kάŋkwest]</t>
  </si>
  <si>
    <t>모든 것을 함께(con) 다 요구(quest)할 수 있는 ‘정복’</t>
  </si>
  <si>
    <t>정복</t>
  </si>
  <si>
    <t>The conquest of space began with the first satellite launch.</t>
  </si>
  <si>
    <t>The (          ) of space began with the first satellite launch.</t>
  </si>
  <si>
    <t>request</t>
  </si>
  <si>
    <t>[rikwést]</t>
  </si>
  <si>
    <t>힘있게(re) 질문하는(quest) 것이니 ‘요구하다’</t>
  </si>
  <si>
    <t>I would like to request additional information about the program.</t>
  </si>
  <si>
    <t>I would like to (          ) additional information about the program.</t>
  </si>
  <si>
    <t>inquire</t>
  </si>
  <si>
    <t>quire</t>
  </si>
  <si>
    <r>
      <rPr>
        <sz val="12"/>
        <color indexed="8"/>
        <rFont val="Apple SD 산돌고딕 Neo 일반체"/>
      </rPr>
      <t>quire</t>
    </r>
  </si>
  <si>
    <t>[inkwáiər]</t>
  </si>
  <si>
    <t>자료를 가져오라고 안(in)으로 요청하니(quire) ‘조사하다’</t>
  </si>
  <si>
    <t>조사하다</t>
  </si>
  <si>
    <t>Please inquire at the front desk for directions.</t>
  </si>
  <si>
    <t>Please (          ) at the front desk for directions.</t>
  </si>
  <si>
    <t>enquire</t>
  </si>
  <si>
    <t>안(in-en)으로 이것 저것을 요청하니(quire) ‘묻다, 알아보다, 조사하다’</t>
  </si>
  <si>
    <t>묻다, 알아보다, 조사하다</t>
  </si>
  <si>
    <t>I called to enquire about the job opening.</t>
  </si>
  <si>
    <t>I called to (          ) about the job opening.</t>
  </si>
  <si>
    <t>require</t>
  </si>
  <si>
    <t>[rikwáiər]</t>
  </si>
  <si>
    <t>힘있게(re) 요구하니(quire) ‘요청하다’</t>
  </si>
  <si>
    <t>요청하다</t>
  </si>
  <si>
    <t>This position requires experience in marketing.</t>
  </si>
  <si>
    <t>This position (          )s experience in marketing.</t>
  </si>
  <si>
    <t>acquire</t>
  </si>
  <si>
    <t>[əkwáiər]</t>
  </si>
  <si>
    <t>더해서 잡은(ac) 것이 요청한(quire) 바이니 ‘손에 넣다, 얻다, 취득하다’</t>
  </si>
  <si>
    <t>손에 넣다, 얻다, 취득하다</t>
  </si>
  <si>
    <t>The company plans to acquire its smaller competitor.</t>
  </si>
  <si>
    <t>The company plans to (          ) its smaller competitor.</t>
  </si>
  <si>
    <t>squeeze</t>
  </si>
  <si>
    <t>squ</t>
  </si>
  <si>
    <r>
      <rPr>
        <sz val="12"/>
        <color indexed="8"/>
        <rFont val="Apple SD 산돌고딕 Neo 일반체"/>
      </rPr>
      <t>squ</t>
    </r>
  </si>
  <si>
    <t>[skwiːz]</t>
  </si>
  <si>
    <t>슥하고(s) 압력(qu)을 가해 입구를(e) 통해 뭔가가 진동하며(z) 나오게 하니 ‘짜내다’</t>
  </si>
  <si>
    <t>짜내다</t>
  </si>
  <si>
    <t>Squeeze the lemon to extract the juice.</t>
  </si>
  <si>
    <r>
      <rPr>
        <sz val="12"/>
        <color indexed="8"/>
        <rFont val="Arial"/>
      </rPr>
      <t>Squeeze the lemon to extract the juice.</t>
    </r>
  </si>
  <si>
    <t>square</t>
  </si>
  <si>
    <t>[skwεər]</t>
  </si>
  <si>
    <t>둥근 공을 사면에서 압력(squ)을 가해서 존재하게(are) 만든 ‘정사각형’</t>
  </si>
  <si>
    <t>정사각형</t>
  </si>
  <si>
    <t>The town square is surrounded by historic buildings.</t>
  </si>
  <si>
    <t>The town (          ) is surrounded by historic buildings.</t>
  </si>
  <si>
    <t>squad</t>
  </si>
  <si>
    <t>[skwad]</t>
  </si>
  <si>
    <t>압력을(sau) 가해 아래로(d) 규모가 줄어든 ‘분대’</t>
  </si>
  <si>
    <t>분대</t>
  </si>
  <si>
    <t>The police squad arrived quickly after the call.</t>
  </si>
  <si>
    <t>The police (          ) arrived quickly after the call.</t>
  </si>
  <si>
    <t>squash</t>
  </si>
  <si>
    <t>[skwaʃ]</t>
  </si>
  <si>
    <t>압력을(squ) 가해 부드러운(sh) 가루처럼 만드니 ‘눌러 으깨다, 짓이기다’</t>
  </si>
  <si>
    <t>눌러 으깨다, 짓이기다</t>
  </si>
  <si>
    <t>The large box will squash the delicate items beneath it.</t>
  </si>
  <si>
    <t>The large box will (          ) the delicate items beneath it.</t>
  </si>
  <si>
    <t>equal</t>
  </si>
  <si>
    <t>equ</t>
  </si>
  <si>
    <r>
      <rPr>
        <sz val="12"/>
        <color indexed="8"/>
        <rFont val="Apple SD 산돌고딕 Neo 일반체"/>
      </rPr>
      <t>equ</t>
    </r>
  </si>
  <si>
    <t>[íːkwəl]</t>
  </si>
  <si>
    <t>같게(equ) 모두(al-all) 만드니 ‘똑같은’</t>
  </si>
  <si>
    <t>똑같은</t>
  </si>
  <si>
    <t>All citizens deserve equal treatment under the law.</t>
  </si>
  <si>
    <t>All citizens deserve (          ) treatment under the law.</t>
  </si>
  <si>
    <t>equation</t>
  </si>
  <si>
    <t>[ikwéiʒən, -ʃən]</t>
  </si>
  <si>
    <t>같게 하다(equate) + 명사(tion) = ‘방정식’</t>
  </si>
  <si>
    <t>방정식</t>
  </si>
  <si>
    <t>The mathematical equation is complex but solvable.</t>
  </si>
  <si>
    <t>The mathematical (          ) is complex but solvable.</t>
  </si>
  <si>
    <t>adequate</t>
  </si>
  <si>
    <t>[ǽdikwət]</t>
  </si>
  <si>
    <t>좀 더하여(ad) 기준과 똑같이(equ) 만드니 ‘적당한, 알맞은’</t>
  </si>
  <si>
    <t>The room is adequate for our small family.</t>
  </si>
  <si>
    <t>The room is (          ) for our small family.</t>
  </si>
  <si>
    <t>inadequate</t>
  </si>
  <si>
    <t>equ &gt; adequate</t>
  </si>
  <si>
    <t>[inǽdikwət]</t>
  </si>
  <si>
    <t>반대(in) + 알맞은(adequate) = ‘부적당한’</t>
  </si>
  <si>
    <t>부적당한</t>
  </si>
  <si>
    <t>The current staff is inadequate for the increased workload.</t>
  </si>
  <si>
    <t>The current staff is (          ) for the increased workload.</t>
  </si>
  <si>
    <t>equity</t>
  </si>
  <si>
    <t>[ékwəti]</t>
  </si>
  <si>
    <t>같게 만들어(equ) 세우니(t) ‘공평, 공정’</t>
  </si>
  <si>
    <t>공평, 공정</t>
  </si>
  <si>
    <t>Homeowners build equity as they pay their mortgage.</t>
  </si>
  <si>
    <t>Homeowners build (          ) as they pay their mortgage.</t>
  </si>
  <si>
    <t>equivalence</t>
  </si>
  <si>
    <t>[ikwívələns]</t>
  </si>
  <si>
    <t>같은(equ-equal) 가치(val-value)의 것이니 ‘동등의 것’</t>
  </si>
  <si>
    <t>동등의 것</t>
  </si>
  <si>
    <t>There is no equivalence between the two situations.</t>
  </si>
  <si>
    <t>There is no (          ) between the two situations.</t>
  </si>
  <si>
    <t>equilibrium</t>
  </si>
  <si>
    <t>[ìːkwəlíbriəm]</t>
  </si>
  <si>
    <t>양쪽을 똑같이(equ) 부풀어(br) 오르게 해 ‘평형’을 맞춤</t>
  </si>
  <si>
    <t>평형</t>
  </si>
  <si>
    <t>The ecosystem maintains a delicate equilibrium.</t>
  </si>
  <si>
    <t>The ecosystem maintains a delicate (          ).</t>
  </si>
  <si>
    <t>equip</t>
  </si>
  <si>
    <t>[ikwíp]</t>
  </si>
  <si>
    <t>같아지게(equ) 폭(p) 하고 집어 넣으니 ‘갖추게하다’</t>
  </si>
  <si>
    <t>갖추게하다</t>
  </si>
  <si>
    <t>The school will equip all classrooms with computers.</t>
  </si>
  <si>
    <t>The school will (          ) all classrooms with computers.</t>
  </si>
  <si>
    <t>equator</t>
  </si>
  <si>
    <t>[ikwéitər]</t>
  </si>
  <si>
    <t>위, 아래가 같은(equ) ‘적도’</t>
  </si>
  <si>
    <t>적도</t>
  </si>
  <si>
    <t>Countries near the equator have tropical climates.</t>
  </si>
  <si>
    <t>Countries near the (          ) have tropical climates.</t>
  </si>
  <si>
    <t>radar</t>
  </si>
  <si>
    <t>rad</t>
  </si>
  <si>
    <r>
      <rPr>
        <sz val="12"/>
        <color indexed="8"/>
        <rFont val="Apple SD 산돌고딕 Neo 일반체"/>
      </rPr>
      <t>rad</t>
    </r>
  </si>
  <si>
    <t>[réidaːr]</t>
  </si>
  <si>
    <t>뿌리(rad) 같이 죽 힘차게(r) 뻗어가는 ‘레이더’</t>
  </si>
  <si>
    <t>레이더</t>
  </si>
  <si>
    <t>The airport radar detects approaching aircraft.</t>
  </si>
  <si>
    <t>The airport (          ) detects approaching aircraft.</t>
  </si>
  <si>
    <t>radio</t>
  </si>
  <si>
    <t>[réidiòu]</t>
  </si>
  <si>
    <t>뿌리로부터(rad) 나오듯이, 방송국에서 둥근(o) 판을 이용해 전파를 쏘는 ‘라디오, 무선 방송’</t>
  </si>
  <si>
    <t>라디오, 무선 방송</t>
  </si>
  <si>
    <t>We listen to the radio during our morning commute.</t>
  </si>
  <si>
    <t>We listen to the (          ) during our morning commute.</t>
  </si>
  <si>
    <t>radioactivity</t>
  </si>
  <si>
    <t>rad &gt; radio</t>
  </si>
  <si>
    <t>[reiˈdiouæktiˈvəti]</t>
  </si>
  <si>
    <t>무선 방송(radio)같은 에너지파 + 활동(activity) = ‘방사능, 방사성’</t>
  </si>
  <si>
    <t>방사능, 방사성</t>
  </si>
  <si>
    <t>Scientists measure radioactivity with special instruments.</t>
  </si>
  <si>
    <t>Scientists measure (          ) with special instruments.</t>
  </si>
  <si>
    <t>radiate</t>
  </si>
  <si>
    <t>rad &gt; radar(rad)</t>
  </si>
  <si>
    <t>[réidièit]</t>
  </si>
  <si>
    <t>레이다(radar-rad)처럼 빛이 나가니 ‘발산하다’</t>
  </si>
  <si>
    <t>발산하다</t>
  </si>
  <si>
    <t>The sun radiates heat and light.</t>
  </si>
  <si>
    <t>The sun (          )s heat and light.</t>
  </si>
  <si>
    <t>radical</t>
  </si>
  <si>
    <t>[rǽdikəl]</t>
  </si>
  <si>
    <t>뿌리(rad) 같이 깊숙한 상태(cal)이니 ‘근본적인, 기초의, 극단적인’</t>
  </si>
  <si>
    <t>근본적인, 기초의, 극단적인</t>
  </si>
  <si>
    <t>The new treatment represents a radical approach to the disease.</t>
  </si>
  <si>
    <t>The new treatment represents a (          ) approach to the disease.</t>
  </si>
  <si>
    <t>radish</t>
  </si>
  <si>
    <t>[rǽdiʃ]</t>
  </si>
  <si>
    <t>뿌리(rad) 채소이고 부드러운(sh) ‘무’</t>
  </si>
  <si>
    <t>무</t>
  </si>
  <si>
    <t>The radish adds a spicy crunch to the salad.</t>
  </si>
  <si>
    <t>The (          ) adds a spicy crunch to the salad.</t>
  </si>
  <si>
    <t>eradicate</t>
  </si>
  <si>
    <t>[irǽdəkèit]</t>
  </si>
  <si>
    <t>입구(e)를 통해 뿌리를(rad) 잡아서(c) 뽑아내니 ‘뿌리뽑다, 근절하다’</t>
  </si>
  <si>
    <t>뿌리뽑다, 근절하다</t>
  </si>
  <si>
    <t>The goal is to eradicate the disease worldwide.</t>
  </si>
  <si>
    <t>The goal is to (          ) the disease worldwide.</t>
  </si>
  <si>
    <t>revenge</t>
  </si>
  <si>
    <t>re</t>
  </si>
  <si>
    <r>
      <rPr>
        <sz val="12"/>
        <color indexed="8"/>
        <rFont val="Apple SD 산돌고딕 Neo 일반체"/>
      </rPr>
      <t>re</t>
    </r>
  </si>
  <si>
    <t>[rivéndʒ]</t>
  </si>
  <si>
    <t>반대로(re) 되갚아 주는 것이고 마음의 틈(v) 안 (en) 깊숙한(g) 곳에 있는 원한으로 비롯한 ‘복수’</t>
  </si>
  <si>
    <t>복수</t>
  </si>
  <si>
    <t>He sought revenge for the wrong done to his family.</t>
  </si>
  <si>
    <t>He sought (          ) for the wrong done to his family.</t>
  </si>
  <si>
    <t>reveal</t>
  </si>
  <si>
    <t>[rivíːl]</t>
  </si>
  <si>
    <t>덮었다가 반대로(re) 베일(veal-veil)을 ‘벗기다’</t>
  </si>
  <si>
    <t>벗기다</t>
  </si>
  <si>
    <t>The company will reveal the new product at the conference.</t>
  </si>
  <si>
    <t>The company will (          ) the new product at the conference.</t>
  </si>
  <si>
    <t>rebuke</t>
  </si>
  <si>
    <t>[ribjúːk]</t>
  </si>
  <si>
    <t>반대하는(re) 생각이 부풀어(bu) 올라서 확장(k)되어 말로 나가니 ‘책망하다’</t>
  </si>
  <si>
    <t>책망하다</t>
  </si>
  <si>
    <t>The teacher gave a gentle rebuke for the student's behavior.</t>
  </si>
  <si>
    <t>The teacher gave a gentle (          ) for the student's behavior.</t>
  </si>
  <si>
    <t>refrain</t>
  </si>
  <si>
    <t>[rifréin]</t>
  </si>
  <si>
    <t>반대로(re) 빠르게(f) 비(rain) 온다고 ‘자제하다’</t>
  </si>
  <si>
    <t>자제하다</t>
  </si>
  <si>
    <t>Please refrain from using your phone during the concert.</t>
  </si>
  <si>
    <t>Please (          ) from using your phone during the concert.</t>
  </si>
  <si>
    <t>recent</t>
  </si>
  <si>
    <t>[ríːsnt]</t>
  </si>
  <si>
    <t>다시(re) 잡아서(c) 안으로(en) 가지고 들어온 ‘최근’의 일</t>
  </si>
  <si>
    <t>최근</t>
  </si>
  <si>
    <t>Have you seen any good movies recent?</t>
  </si>
  <si>
    <t>Have you seen any good movies (          )?</t>
  </si>
  <si>
    <t>religion</t>
  </si>
  <si>
    <t>[rilídʒən]</t>
  </si>
  <si>
    <t>다시(re) 죄에서 풀어져서(lig) 깊은 곳에서 나아와 지속적으로(on) 그 삶을 살게 하는 ‘종교’</t>
  </si>
  <si>
    <t>종교</t>
  </si>
  <si>
    <t>Freedom of religion is protected by the constitution.</t>
  </si>
  <si>
    <t>Freedom of (          ) is protected by the constitution.</t>
  </si>
  <si>
    <t>rely</t>
  </si>
  <si>
    <t>[rilái]</t>
  </si>
  <si>
    <t>다시(re) 가서 누울(lie) 수 있으니 ‘기댈 수 있는’</t>
  </si>
  <si>
    <t>기댈 수 있는</t>
  </si>
  <si>
    <t>You can rely on me to keep your secret.</t>
  </si>
  <si>
    <t>You can (          ) on me to keep your secret.</t>
  </si>
  <si>
    <t>regret</t>
  </si>
  <si>
    <t>[rigrét]</t>
  </si>
  <si>
    <t>반대로(re) 깊은(g) 마음 속으로 세게(r) 끌어 당기는 마음이니 ‘후회하다’</t>
  </si>
  <si>
    <t>후회하다</t>
  </si>
  <si>
    <t>I regret not learning to play a musical instrument as a child.</t>
  </si>
  <si>
    <t>I (          ) not learning to play a musical instrument as a child.</t>
  </si>
  <si>
    <t>reimburse</t>
  </si>
  <si>
    <t>[rìːimbə́ːrs]</t>
  </si>
  <si>
    <t>반대로(re) 안으로(im) 지갑에(burse-purse) 넣어주니 ‘변상하다’</t>
  </si>
  <si>
    <t>변상하다</t>
  </si>
  <si>
    <t>The company will reimburse employees for travel expenses.</t>
  </si>
  <si>
    <t>The company will (          ) employees for travel expenses.</t>
  </si>
  <si>
    <t>direct</t>
  </si>
  <si>
    <t>rect</t>
  </si>
  <si>
    <r>
      <rPr>
        <sz val="12"/>
        <color indexed="8"/>
        <rFont val="Apple SD 산돌고딕 Neo 일반체"/>
      </rPr>
      <t>rect</t>
    </r>
  </si>
  <si>
    <t>[dirékt, dai-]</t>
  </si>
  <si>
    <t>아래로(d) 내려 갈 때 곧게(rect) 가도록 ‘인도하다, 감독하다, 직행의, 직접적인’</t>
  </si>
  <si>
    <t>인도하다, 감독하다, 직행의, 직접적인</t>
  </si>
  <si>
    <t>The tour guide will direct us to the famous landmarks.</t>
  </si>
  <si>
    <t>The tour guide will (          ) us to the famous landmarks.</t>
  </si>
  <si>
    <t>director</t>
  </si>
  <si>
    <t>rect &gt; direct</t>
  </si>
  <si>
    <t>[diréktər, dai-]</t>
  </si>
  <si>
    <t>감독하는(direct) 사람(or)이니 ‘영화감독, 관리자’</t>
  </si>
  <si>
    <t>영화감독, 관리자</t>
  </si>
  <si>
    <t>The director is responsible for the artistic vision of the film.</t>
  </si>
  <si>
    <t>The (          ) is responsible for the artistic vision of the film.</t>
  </si>
  <si>
    <t>direction</t>
  </si>
  <si>
    <t>[dirékʃən, dai-]</t>
  </si>
  <si>
    <t>인도하는(direct) 곳, ‘방향’</t>
  </si>
  <si>
    <t>방향</t>
  </si>
  <si>
    <t>Could you give me directions to the nearest hotel?</t>
  </si>
  <si>
    <t>Could you give me (          )s to the nearest hotel?</t>
  </si>
  <si>
    <t>erect</t>
  </si>
  <si>
    <t>[irékt]</t>
  </si>
  <si>
    <t>입구로(e) 들어가 곧게(rect) 하니 ‘세우다, 건설하다, 직립한’</t>
  </si>
  <si>
    <t>세우다, 건설하다, 직립한</t>
  </si>
  <si>
    <t>Workers will erect a statue in the town square.</t>
  </si>
  <si>
    <t>Workers will (          ) a statue in the town square.</t>
  </si>
  <si>
    <t>correct</t>
  </si>
  <si>
    <t>[kərékt]</t>
  </si>
  <si>
    <t>함께(co) 다 곧게(rect) 하니 ‘수정하다, 올바른’</t>
  </si>
  <si>
    <t>수정하다, 올바른</t>
  </si>
  <si>
    <t>The teacher will correct the exam papers this weekend.</t>
  </si>
  <si>
    <t>The teacher will (          ) the exam papers this weekend.</t>
  </si>
  <si>
    <t>roll</t>
  </si>
  <si>
    <t>ro</t>
  </si>
  <si>
    <r>
      <rPr>
        <sz val="12"/>
        <color indexed="8"/>
        <rFont val="Apple SD 산돌고딕 Neo 일반체"/>
      </rPr>
      <t>ro</t>
    </r>
  </si>
  <si>
    <t>[roul]</t>
  </si>
  <si>
    <t>회전(ro)하여 길게 길게(ll) 가니 ‘구르다, 회전 하다, 말다’</t>
  </si>
  <si>
    <t>구르다, 회전 하다, 말다</t>
  </si>
  <si>
    <t>The ball will roll down the hill.</t>
  </si>
  <si>
    <t>The ball will (          ) down the hill.</t>
  </si>
  <si>
    <t>ro &gt; roll</t>
  </si>
  <si>
    <t>표면에(sc) 내용을 기록하고 굴려 롤(roll)로 말아두는 ‘두루마리, 족자’</t>
  </si>
  <si>
    <t>두루마리, 족자</t>
  </si>
  <si>
    <t>안에(en) 기록해서 굴려 롤(roll)로 말아 두니 ‘명부에 올리다’</t>
  </si>
  <si>
    <t>명부에 올리다</t>
  </si>
  <si>
    <t>round</t>
  </si>
  <si>
    <t>[raund]</t>
  </si>
  <si>
    <t>회전(ro)해서 아래쪽으로(ud) 타고 도니 ‘둥근’</t>
  </si>
  <si>
    <t>둥근</t>
  </si>
  <si>
    <t>The Earth is round, not flat.</t>
  </si>
  <si>
    <t>The Earth is (          ), not flat.</t>
  </si>
  <si>
    <t>surround</t>
  </si>
  <si>
    <t>ro &gt; round</t>
  </si>
  <si>
    <t>[səráund]</t>
  </si>
  <si>
    <t>아래쪽에서 힘있게 나와(sur) 주변을 도니(round) ‘둘러싸다’</t>
  </si>
  <si>
    <t>둘러싸다</t>
  </si>
  <si>
    <t>Mountains surround the peaceful valley.</t>
  </si>
  <si>
    <t>Mountains (          ) the peaceful valley.</t>
  </si>
  <si>
    <t>ground</t>
  </si>
  <si>
    <t>[graund]</t>
  </si>
  <si>
    <t>깊은 곳(g)에서 힘있게(r) 식물이 자라 둥글게(round) 차지하고 있는 땅이니 ‘운동장’</t>
  </si>
  <si>
    <t>운동장</t>
  </si>
  <si>
    <t>The coffee grounds can be used as garden fertilizer.</t>
  </si>
  <si>
    <t>The coffee (          )s can be used as garden fertilizer.</t>
  </si>
  <si>
    <t>rotate</t>
  </si>
  <si>
    <t>[róuteit]</t>
  </si>
  <si>
    <t>회전(ro)해서 나아가니(t) ‘회전하다, 선회하다’</t>
  </si>
  <si>
    <t>회전하다, 선회하다</t>
  </si>
  <si>
    <t>The Earth rotates on its axis once every 24 hours.</t>
  </si>
  <si>
    <t>road</t>
  </si>
  <si>
    <t>[roud]</t>
  </si>
  <si>
    <t>바퀴가 회전하며(ro) 아래로(d) 내려가는 ‘길’</t>
  </si>
  <si>
    <t>길</t>
  </si>
  <si>
    <t>The road to the mountain is narrow and winding.</t>
  </si>
  <si>
    <t>The (          ) to the mountain is narrow and winding.</t>
  </si>
  <si>
    <t>roam</t>
  </si>
  <si>
    <t>[roum]</t>
  </si>
  <si>
    <t>회전(ro)하며 여기 저기 움직여(m) 다니니 정처없이 ‘돌아다니다’</t>
  </si>
  <si>
    <t>돌아다니다</t>
  </si>
  <si>
    <t>Wild horses roam freely across the plains.</t>
  </si>
  <si>
    <t>Wild horses (          ) freely across the plains.</t>
  </si>
  <si>
    <t>rock</t>
  </si>
  <si>
    <t>[rak]</t>
  </si>
  <si>
    <t>회전하여(ro) 굴러가고, 땅 바닥을 잡고(c) 있듯 이 박혀 있는 ‘바위, 암석’</t>
  </si>
  <si>
    <t>바위, 암석</t>
  </si>
  <si>
    <t>The large rock blocked the path.</t>
  </si>
  <si>
    <t>The large (          ) blocked the path.</t>
  </si>
  <si>
    <t>route</t>
  </si>
  <si>
    <t>[ruːt, raut]</t>
  </si>
  <si>
    <t>회전하듯이(ro) 나아가는(t) 늘 다니는 ‘길’</t>
  </si>
  <si>
    <t>The bus route includes stops at the museum and library.</t>
  </si>
  <si>
    <t>The bus (          ) includes stops at the museum and library.</t>
  </si>
  <si>
    <t>row</t>
  </si>
  <si>
    <t>[rou]</t>
  </si>
  <si>
    <t>노를 회전(ro)하면서 물(w)에서 나아가니 ‘노를 저어 가다’</t>
  </si>
  <si>
    <t>노를 저어 가다</t>
  </si>
  <si>
    <t>The students sat in the front row during the lecture.</t>
  </si>
  <si>
    <t>The students sat in the front (          ) during the lecture.</t>
  </si>
  <si>
    <t>rope</t>
  </si>
  <si>
    <t>[roup]</t>
  </si>
  <si>
    <t>가닥들을 회전시켜(ro) 꼬아서, 폭하고(p) 힘을 줘도 될 만큼 만든 ‘로프’</t>
  </si>
  <si>
    <t>로프</t>
  </si>
  <si>
    <t>The climber secured himself with a strong rope.</t>
  </si>
  <si>
    <t>The climber secured himself with a strong (          ).</t>
  </si>
  <si>
    <t>rot</t>
  </si>
  <si>
    <t>[rat]</t>
  </si>
  <si>
    <t>돌고 돌면(ro)서 접촉(t)하면 결국 다 낡고 ‘썩다’</t>
  </si>
  <si>
    <t>썩다</t>
  </si>
  <si>
    <t>Fruit will rot if left in warm temperatures too long.</t>
  </si>
  <si>
    <t>Fruit will (          ) if left in warm temperatures too long.</t>
  </si>
  <si>
    <t>rupture</t>
  </si>
  <si>
    <t>rupt</t>
  </si>
  <si>
    <r>
      <rPr>
        <sz val="12"/>
        <color indexed="8"/>
        <rFont val="Apple SD 산돌고딕 Neo 일반체"/>
      </rPr>
      <t>rupt</t>
    </r>
  </si>
  <si>
    <t>[rΛpʧər]</t>
  </si>
  <si>
    <t>터지다(rupt) 아래쪽에서 세게(ur) 즉, ‘파열, 균열’</t>
  </si>
  <si>
    <t>파열, 균열</t>
  </si>
  <si>
    <t>The old pipe might rupture during the winter freeze.</t>
  </si>
  <si>
    <t>The old pipe might (          ) during the winter freeze.</t>
  </si>
  <si>
    <t>정상상태에서 갑자기 이탈되고(ab) 터져(rupt) 버리니 ‘갑작스러운, 뜻밖의’</t>
  </si>
  <si>
    <t>갑작스러운, 뜻밖의</t>
  </si>
  <si>
    <t>interrupt</t>
  </si>
  <si>
    <t>[ìntərΛpt]</t>
  </si>
  <si>
    <t>사이에서(inter) 관계를 터지게(rupt) 하니 ‘방해하다’</t>
  </si>
  <si>
    <t>방해하다</t>
  </si>
  <si>
    <t>Please don't interrupt while someone else is speaking.</t>
  </si>
  <si>
    <t>Please don't (          ) while someone else is speaking.</t>
  </si>
  <si>
    <t>interruption</t>
  </si>
  <si>
    <t>rupt &gt; interrupt</t>
  </si>
  <si>
    <t>[ìntərΛpʃən]</t>
  </si>
  <si>
    <t>방해하다(interrupt) + 명시(ion) = ‘방해, 훼방, 중단’</t>
  </si>
  <si>
    <t>방해, 훼방, 중단</t>
  </si>
  <si>
    <t>The power interruption lasted about two hours.</t>
  </si>
  <si>
    <t>The power (          ) lasted about two hours.</t>
  </si>
  <si>
    <t>corrupt</t>
  </si>
  <si>
    <t>[kərΛpt]</t>
  </si>
  <si>
    <t>함께(co) 다 터져버리니(rupt) ‘부정한, 부패한’</t>
  </si>
  <si>
    <t>부정한, 부패한</t>
  </si>
  <si>
    <t>Corrupt officials accepted bribes for government contracts.</t>
  </si>
  <si>
    <r>
      <rPr>
        <sz val="12"/>
        <color indexed="8"/>
        <rFont val="Arial"/>
      </rPr>
      <t>Corrupt officials accepted bribes for government contracts.</t>
    </r>
  </si>
  <si>
    <t>disrupt</t>
  </si>
  <si>
    <t>[disrΛpt]</t>
  </si>
  <si>
    <t>분리(dis)시키고 터지게(rupt) 하니 ‘혼란에 빠뜨리다, 중단시키다’</t>
  </si>
  <si>
    <t>혼란에 빠뜨리다, 중단시키다</t>
  </si>
  <si>
    <t>The storm will disrupt travel plans across the region.</t>
  </si>
  <si>
    <t>The storm will (          ) travel plans across the region.</t>
  </si>
  <si>
    <t>erupt</t>
  </si>
  <si>
    <t>[irΛpt]</t>
  </si>
  <si>
    <t>입구(e)를 통해 터져 나오니(rupt) ‘폭발하다, 분화하다’</t>
  </si>
  <si>
    <t>폭발하다, 분화하다</t>
  </si>
  <si>
    <t>The volcano could erupt at any moment.</t>
  </si>
  <si>
    <t>The volcano could (          ) at any moment.</t>
  </si>
  <si>
    <t>bankrupt</t>
  </si>
  <si>
    <t>[bǽŋkrʌpt, -rəpt]</t>
  </si>
  <si>
    <t>은행에(bank) 저축한 돈이 다 터져나가 버리니(rupt) ‘파산한, 파산의’</t>
  </si>
  <si>
    <t>파산한, 파산의</t>
  </si>
  <si>
    <t>The company went bankrupt during the economic crisis.</t>
  </si>
  <si>
    <t>The company went (          ) during the economic crisis.</t>
  </si>
  <si>
    <t>arm</t>
  </si>
  <si>
    <r>
      <rPr>
        <sz val="12"/>
        <color indexed="8"/>
        <rFont val="Apple SD 산돌고딕 Neo 일반체"/>
      </rPr>
      <t>arm</t>
    </r>
  </si>
  <si>
    <t>[aːrm]</t>
  </si>
  <si>
    <t>팔은(arm) 무술에서 무기로 쓰이니 ‘팔, 무기, 무장시키다’</t>
  </si>
  <si>
    <t>팔, 무기, 무장시키다</t>
  </si>
  <si>
    <t>He broke his arm playing football.</t>
  </si>
  <si>
    <t>He broke his (          ) playing football.</t>
  </si>
  <si>
    <t>disarm</t>
  </si>
  <si>
    <t>[disάːrm]</t>
  </si>
  <si>
    <t>분리시키다(dis) 무기를(arm) 즉, ‘무장을 해제하다’</t>
  </si>
  <si>
    <t>무장을 해제하다</t>
  </si>
  <si>
    <t>Police worked to disarm the dangerous suspect.</t>
  </si>
  <si>
    <t>Police worked to (          ) the dangerous suspect.</t>
  </si>
  <si>
    <t>army</t>
  </si>
  <si>
    <t>[άːrmi]</t>
  </si>
  <si>
    <t>무기를(arm) 가지고, 규모가 확장된(y) ‘육군’</t>
  </si>
  <si>
    <t>육군</t>
  </si>
  <si>
    <t>The army defended the borders of the country.</t>
  </si>
  <si>
    <t>The (          ) defended the borders of the country.</t>
  </si>
  <si>
    <t>armour</t>
  </si>
  <si>
    <t>[άːrmər]</t>
  </si>
  <si>
    <t>무기를(arm) 막아내고 둥글게(o) 머리에 쓰는 투구도 있는 강한(r) ‘갑옷’</t>
  </si>
  <si>
    <t>갑옷</t>
  </si>
  <si>
    <t>Medieval knights wore heavy armour in battle.</t>
  </si>
  <si>
    <t>Medieval knights wore heavy (          ) in battle.</t>
  </si>
  <si>
    <t>harm</t>
  </si>
  <si>
    <t>[haːrm]</t>
  </si>
  <si>
    <t>크게(h) 잡아 무기를(arm) 이용해서 ‘해를 끼치다’</t>
  </si>
  <si>
    <t>해를 끼치다</t>
  </si>
  <si>
    <t>Smoking can harm your health.</t>
  </si>
  <si>
    <t>Smoking can (          ) your health.</t>
  </si>
  <si>
    <t>harmful</t>
  </si>
  <si>
    <t>arm &gt; harm</t>
  </si>
  <si>
    <t>[hάːrmfəl]</t>
  </si>
  <si>
    <t>해(harm)가 가득하니(full) ‘해로운’</t>
  </si>
  <si>
    <t>해로운</t>
  </si>
  <si>
    <t>Some chemicals are harmful to the environment.</t>
  </si>
  <si>
    <t>Some chemicals are (          ) to the environment.</t>
  </si>
  <si>
    <t>alarm</t>
  </si>
  <si>
    <t>[əlάːrm]</t>
  </si>
  <si>
    <t>모두(all) 무기를(arm) 들어라!라고 ‘경보, 놀라게하다’</t>
  </si>
  <si>
    <t>경보, 놀라게하다</t>
  </si>
  <si>
    <t>The fire alarm sounded and everyone evacuated the building.</t>
  </si>
  <si>
    <t>The fire (          ) sounded and everyone evacuated the building.</t>
  </si>
  <si>
    <t>se</t>
  </si>
  <si>
    <r>
      <rPr>
        <sz val="12"/>
        <color indexed="8"/>
        <rFont val="Apple SD 산돌고딕 Neo 일반체"/>
      </rPr>
      <t>se</t>
    </r>
  </si>
  <si>
    <t>잘라서(se) 모으니(lect) ‘고르다, 선택하다’</t>
  </si>
  <si>
    <t>고르다, 선택하다</t>
  </si>
  <si>
    <t>분리시켜(se) 나란히(para) 놓으니 ‘분리하다, 떼어 놓다’</t>
  </si>
  <si>
    <t>segment</t>
  </si>
  <si>
    <t>[ségmənt]</t>
  </si>
  <si>
    <t>분리(se)시켜 놓은 ‘단편, 조각, 부분’</t>
  </si>
  <si>
    <t>단편, 조각, 부분</t>
  </si>
  <si>
    <t>This segment of the program focuses on international news.</t>
  </si>
  <si>
    <t>This (          ) of the program focuses on international news.</t>
  </si>
  <si>
    <t>serious</t>
  </si>
  <si>
    <t>[síəriəs]</t>
  </si>
  <si>
    <t>평상시 상황과 분리된(se) 강한(r) 분위기이니 ‘진지한, 엄숙한, 심각한’</t>
  </si>
  <si>
    <t>진지한, 엄숙한, 심각한</t>
  </si>
  <si>
    <t>Cancer is a serious disease requiring prompt treatment.</t>
  </si>
  <si>
    <t>Cancer is a (          ) disease requiring prompt treatment.</t>
  </si>
  <si>
    <t>sequence</t>
  </si>
  <si>
    <t>[síːkwəns]</t>
  </si>
  <si>
    <t>각각분리(se)시켜서 줄을(que) 서서 순서대로 여왕을(quen-queen) 만나니 ‘연속, 순서, 차례’
* 형용사형태로 바꾸면 sequent 연속하는</t>
  </si>
  <si>
    <t>연속, 순서, 차례</t>
  </si>
  <si>
    <t>The teacher explained the correct sequence of steps.</t>
  </si>
  <si>
    <t>The teacher explained the correct (          ) of steps.</t>
  </si>
  <si>
    <t>frequent</t>
  </si>
  <si>
    <t>se &gt; sequent</t>
  </si>
  <si>
    <t>[fríːkwənt]</t>
  </si>
  <si>
    <t>연속하는(sequent) 단어에서 se를 fre(가볍고 빠르게)로 바꾸면 ‘자주 일어나는, 빈번한’</t>
  </si>
  <si>
    <t>자주 일어나는, 빈번한</t>
  </si>
  <si>
    <t>She makes frequent trips to visit her grandmother.</t>
  </si>
  <si>
    <t>She makes (          ) trips to visit her grandmother.</t>
  </si>
  <si>
    <t>security</t>
  </si>
  <si>
    <t>se(sec)</t>
  </si>
  <si>
    <t>[sikjúərəti]</t>
  </si>
  <si>
    <t>위험으로부터 분리(se)시켜 돌보다(cure-care) + 명사(ity) = ‘안전, 안보, 보안’</t>
  </si>
  <si>
    <t>안전, 안보, 보안</t>
  </si>
  <si>
    <t>The airport increased security after the incident.</t>
  </si>
  <si>
    <t>The airport increased (          ) after the incident.</t>
  </si>
  <si>
    <t>se(sec) &gt; secure</t>
  </si>
  <si>
    <t>consecutive</t>
  </si>
  <si>
    <t>[kənsékjutiv]</t>
  </si>
  <si>
    <t>함께(con) 모두 자른(sec) 것들을 연결하니 ‘연속적인’</t>
  </si>
  <si>
    <t>연속적인</t>
  </si>
  <si>
    <t>The team won five consecutive games.</t>
  </si>
  <si>
    <t>The team won five (          ) games.</t>
  </si>
  <si>
    <t>section</t>
  </si>
  <si>
    <t>se(sect)</t>
  </si>
  <si>
    <t>[sékʃən]</t>
  </si>
  <si>
    <t xml:space="preserve">자르다(sect-se) + 명사(ion) = ‘잘라낸 부분, 조각’ </t>
  </si>
  <si>
    <t>잘라낸 부분, 조각</t>
  </si>
  <si>
    <t>This section of the forest is protected.</t>
  </si>
  <si>
    <t>This (          ) of the forest is protected.</t>
  </si>
  <si>
    <t>insect</t>
  </si>
  <si>
    <t>[ínsekt]</t>
  </si>
  <si>
    <t>몸 안이(in) 마디 마디로 나누어져(sect) 있는 ‘곤충’</t>
  </si>
  <si>
    <t>곤충</t>
  </si>
  <si>
    <t>The insect has six legs and two antennae.</t>
  </si>
  <si>
    <t>The (          ) has six legs and two antennae.</t>
  </si>
  <si>
    <t>두개로(bi) 자르니(sect) ‘양분하다, 이등분하다’</t>
  </si>
  <si>
    <t>several</t>
  </si>
  <si>
    <t>[sévərəl]</t>
  </si>
  <si>
    <t>자르다(sever) 모두(all) 그러면 ‘여럿의, 몇 사람의’</t>
  </si>
  <si>
    <t>여럿의, 몇 사람의</t>
  </si>
  <si>
    <t>Several students raised their hands to answer.</t>
  </si>
  <si>
    <r>
      <rPr>
        <sz val="12"/>
        <color indexed="8"/>
        <rFont val="Arial"/>
      </rPr>
      <t>Several students raised their hands to answer.</t>
    </r>
  </si>
  <si>
    <t>dissever</t>
  </si>
  <si>
    <t>se(sever)</t>
  </si>
  <si>
    <t>[disévər]</t>
  </si>
  <si>
    <t>분리(dis)시키려고 자르니(sever) ‘분리시키다, 분할하다’</t>
  </si>
  <si>
    <t>분리시키다, 분할하다</t>
  </si>
  <si>
    <t>War can dissever families for many years.</t>
  </si>
  <si>
    <t>War can (          ) families for many years.</t>
  </si>
  <si>
    <t>severe</t>
  </si>
  <si>
    <t>[sivíər]</t>
  </si>
  <si>
    <t>분리할(sever) 것은 분리해서 입구를(e) 통해 내 버리니 ‘엄격한’</t>
  </si>
  <si>
    <t>엄격한</t>
  </si>
  <si>
    <t>The accident caused severe damage to the vehicle.</t>
  </si>
  <si>
    <t>The accident caused (          ) damage to the vehicle.</t>
  </si>
  <si>
    <t>persevere</t>
  </si>
  <si>
    <t>se(sever) &gt; severe</t>
  </si>
  <si>
    <t>[pə̀ːrsəvíər]</t>
  </si>
  <si>
    <t>완전히(per) 엄격하게(severe) 하니 ‘인내하다’</t>
  </si>
  <si>
    <t>인내하다</t>
  </si>
  <si>
    <t>If you persevere, you will eventually succeed.</t>
  </si>
  <si>
    <t>If you (          ), you will eventually succeed.</t>
  </si>
  <si>
    <t>secret</t>
  </si>
  <si>
    <t>secr</t>
  </si>
  <si>
    <r>
      <rPr>
        <sz val="12"/>
        <color indexed="8"/>
        <rFont val="Apple SD 산돌고딕 Neo 일반체"/>
      </rPr>
      <t>secr</t>
    </r>
  </si>
  <si>
    <t>[síːkrit]</t>
  </si>
  <si>
    <t>비밀의(secr) 상태인 ‘비밀, 비밀의, 기밀의’</t>
  </si>
  <si>
    <t>비밀, 비밀의, 기밀의</t>
  </si>
  <si>
    <t>Can you keep a secret?</t>
  </si>
  <si>
    <t>Can you keep a (          )?</t>
  </si>
  <si>
    <t>secretary</t>
  </si>
  <si>
    <t>secr &gt; secret</t>
  </si>
  <si>
    <t>[sékrətèri]</t>
  </si>
  <si>
    <t>비밀(secret)를 알고 있는 사람은 ‘비서, 서기’</t>
  </si>
  <si>
    <t>비서, 서기</t>
  </si>
  <si>
    <t>The secretary scheduled appointments for the executive.</t>
  </si>
  <si>
    <t>The (          ) scheduled appointments for the executive.</t>
  </si>
  <si>
    <t>sacred</t>
  </si>
  <si>
    <t>secr(sacr)</t>
  </si>
  <si>
    <t>[séikrid]</t>
  </si>
  <si>
    <t>신성한, 성스러운</t>
  </si>
  <si>
    <t>The temple is considered sacred by many religions.</t>
  </si>
  <si>
    <t>The temple is considered (          ) by many religions.</t>
  </si>
  <si>
    <t>sacrifice</t>
  </si>
  <si>
    <t>[sǽkrəfàis]</t>
  </si>
  <si>
    <t xml:space="preserve">신성한(sacr) 것을 만들어(ic-fac) 바치니 ‘희생시키다’ </t>
  </si>
  <si>
    <t>희생시키다</t>
  </si>
  <si>
    <t>Parents often sacrifice their own comfort for their children.</t>
  </si>
  <si>
    <t>Parents often (          ) their own comfort for their children.</t>
  </si>
  <si>
    <t>sit</t>
  </si>
  <si>
    <t>s</t>
  </si>
  <si>
    <r>
      <rPr>
        <sz val="12"/>
        <color indexed="8"/>
        <rFont val="Apple SD 산돌고딕 Neo 일반체"/>
      </rPr>
      <t>sit</t>
    </r>
  </si>
  <si>
    <t>[sit]</t>
  </si>
  <si>
    <t>부드럽게(s) 정해진 그곳에(it) ‘앉다’</t>
  </si>
  <si>
    <t>앉다</t>
  </si>
  <si>
    <t>Please sit in this chair while you wait.</t>
  </si>
  <si>
    <t>Please (          ) in this chair while you wait.</t>
  </si>
  <si>
    <t>site</t>
  </si>
  <si>
    <t>앉을 수 있고(sit) 입구가(e) 있어 나갈 수 있는 ‘장소, 위치, 사이트’</t>
  </si>
  <si>
    <t>장소, 위치, 사이트</t>
  </si>
  <si>
    <t>The archaeological site contains ancient ruins.</t>
  </si>
  <si>
    <t>The archaeological (          ) contains ancient ruins.</t>
  </si>
  <si>
    <t>situation</t>
  </si>
  <si>
    <t>[sìʧuéiʃən]</t>
  </si>
  <si>
    <t>내가 앉아(sit) 있는 곳의 ‘상황’</t>
  </si>
  <si>
    <t>상황</t>
  </si>
  <si>
    <t>We need to evaluate the situation carefully.</t>
  </si>
  <si>
    <t>We need to evaluate the (          ) carefully.</t>
  </si>
  <si>
    <t>set</t>
  </si>
  <si>
    <t>[set]</t>
  </si>
  <si>
    <t>위치에 잘 앉도록(sit) ‘놓다, 두다’</t>
  </si>
  <si>
    <t>놓다, 두다</t>
  </si>
  <si>
    <t>The sun sets in the west.</t>
  </si>
  <si>
    <t>The sun (          )s in the west.</t>
  </si>
  <si>
    <t>seat</t>
  </si>
  <si>
    <t>[siːt]</t>
  </si>
  <si>
    <t>앉도록(sit) 하는 ‘좌석, 자리, 착석시키다, 앉히다’</t>
  </si>
  <si>
    <t>좌석, 자리, 착석시키다, 앉히다</t>
  </si>
  <si>
    <t>All passengers must remain in their seats during takeoff.</t>
  </si>
  <si>
    <t>All passengers must remain in their (          )s during takeoff.</t>
  </si>
  <si>
    <t>settlement</t>
  </si>
  <si>
    <t>sit &gt; set</t>
  </si>
  <si>
    <t>[sétlmənt]</t>
  </si>
  <si>
    <t>놓아두어(sel) 오래(l)가는 것(ment)이니 ‘정착, 확정’</t>
  </si>
  <si>
    <t>정착, 확정</t>
  </si>
  <si>
    <t>The legal settlement included compensation for damages.</t>
  </si>
  <si>
    <t>The legal (          ) included compensation for damages.</t>
  </si>
  <si>
    <t>asset</t>
  </si>
  <si>
    <t>[ǽset]</t>
  </si>
  <si>
    <t>돈과 같은(as) 것이며 잘 놓아두어야(set) 하는 ‘자산’</t>
  </si>
  <si>
    <t>자산</t>
  </si>
  <si>
    <t>The company's most valuable asset is its skilled workforce.</t>
  </si>
  <si>
    <t>The company's most valuable (          ) is its skilled workforce.</t>
  </si>
  <si>
    <t>onset</t>
  </si>
  <si>
    <t>[aˈnseˌt]</t>
  </si>
  <si>
    <t>접해서(on) 놓아두는 것이니(set) ‘시작’</t>
  </si>
  <si>
    <t>시작</t>
  </si>
  <si>
    <t>The onset of winter brings colder temperatures.</t>
  </si>
  <si>
    <t>The (          ) of winter brings colder temperatures.</t>
  </si>
  <si>
    <t>outset</t>
  </si>
  <si>
    <t>[auˈtseˌt]</t>
  </si>
  <si>
    <t>바깥에(out) 놓았으니(set) ‘착수, 시작’</t>
  </si>
  <si>
    <t>착수, 시작</t>
  </si>
  <si>
    <t>From the outset, it was clear the project would be challenging.</t>
  </si>
  <si>
    <t>From the (          ), it was clear the project would be challenging.</t>
  </si>
  <si>
    <t>upset</t>
  </si>
  <si>
    <t>[ʌpset]</t>
  </si>
  <si>
    <t>아래쪽이 위쪽에(up) 놓이게(set) 하니 ‘뒤집어 엎다’</t>
  </si>
  <si>
    <t>뒤집어 엎다</t>
  </si>
  <si>
    <t>The bad news upset her greatly.</t>
  </si>
  <si>
    <t>The bad news (          ) her greatly.</t>
  </si>
  <si>
    <t>desert</t>
  </si>
  <si>
    <t>sert</t>
  </si>
  <si>
    <r>
      <rPr>
        <sz val="12"/>
        <color indexed="8"/>
        <rFont val="Apple SD 산돌고딕 Neo 일반체"/>
      </rPr>
      <t>sert</t>
    </r>
  </si>
  <si>
    <t>[dézərt]</t>
  </si>
  <si>
    <t>저하시키니(de) 결합력을(sert) 즉, ‘버리다, 사막’</t>
  </si>
  <si>
    <t>버리다, 사막</t>
  </si>
  <si>
    <t>Few plants can survive in the hot desert.</t>
  </si>
  <si>
    <t>Few plants can survive in the hot (          ).</t>
  </si>
  <si>
    <t>assert</t>
  </si>
  <si>
    <t>[əsə́ːrt]</t>
  </si>
  <si>
    <t>같다고(as) 자기 의견을 결합시키니(sert) ‘주장하다’</t>
  </si>
  <si>
    <t>He asserted his innocence throughout the trial.</t>
  </si>
  <si>
    <t>He (          )ed his innocence throughout the trial.</t>
  </si>
  <si>
    <t>assertion</t>
  </si>
  <si>
    <t>sert &gt; assert</t>
  </si>
  <si>
    <t>[əsə́ːrʃən]</t>
  </si>
  <si>
    <t>주장하다(assert) + 명사(ion) = ‘단언, 주장’</t>
  </si>
  <si>
    <t>단언, 주장</t>
  </si>
  <si>
    <t>Her assertion about the facts proved correct.</t>
  </si>
  <si>
    <t>Her (          ) about the facts proved correct.</t>
  </si>
  <si>
    <t>insert</t>
  </si>
  <si>
    <t>[insə́ːrt]</t>
  </si>
  <si>
    <t>안(in)으로 결합(sert) 하니 ‘끼워놓다, 끼우다’</t>
  </si>
  <si>
    <t>끼워놓다, 끼우다</t>
  </si>
  <si>
    <t>Insert the key and turn it clockwise.</t>
  </si>
  <si>
    <r>
      <rPr>
        <sz val="12"/>
        <color indexed="8"/>
        <rFont val="Arial"/>
      </rPr>
      <t>Insert the key and turn it clockwise.</t>
    </r>
  </si>
  <si>
    <t>exert</t>
  </si>
  <si>
    <t>[igzə́ːrt]</t>
  </si>
  <si>
    <t>마음과 노력을 밖으로(ex) 결합하여(sert) 내미니 ‘애쓰다’</t>
  </si>
  <si>
    <t>애쓰다</t>
  </si>
  <si>
    <t>You need to exert pressure on the lever.</t>
  </si>
  <si>
    <t>You need to (          ) pressure on the lever.</t>
  </si>
  <si>
    <t>sent</t>
  </si>
  <si>
    <r>
      <rPr>
        <sz val="12"/>
        <color indexed="8"/>
        <rFont val="Apple SD 산돌고딕 Neo 일반체"/>
      </rPr>
      <t>sent</t>
    </r>
  </si>
  <si>
    <t>터져버리게(ab) 하는 것이 존재이니(sent) ‘없는, 결여된’</t>
  </si>
  <si>
    <t>없는, 결여된</t>
  </si>
  <si>
    <t>present</t>
  </si>
  <si>
    <t>[préznt]</t>
  </si>
  <si>
    <t>앞으로(pre) 나아가 있는 존재(sent)하니 ‘있는, 현재, 선물, 제출하다, 내놓다’</t>
  </si>
  <si>
    <t>있는, 현재, 선물, 제출하다, 내놓다</t>
  </si>
  <si>
    <t>She will present her research at the conference.</t>
  </si>
  <si>
    <t>She will (          ) her research at the conference.</t>
  </si>
  <si>
    <t>presence</t>
  </si>
  <si>
    <t>sent &gt; present</t>
  </si>
  <si>
    <t>[prézns]</t>
  </si>
  <si>
    <t>있는, 참석한(present) + 명사(ence) = ‘존재, 참석’</t>
  </si>
  <si>
    <t>존재, 참석</t>
  </si>
  <si>
    <t>His presence at the meeting was required.</t>
  </si>
  <si>
    <t>His (          ) at the meeting was required.</t>
  </si>
  <si>
    <t>presentation</t>
  </si>
  <si>
    <t>[prèzəntéiʃən, prìːzentéiʃən]</t>
  </si>
  <si>
    <t>제출하다, 내놓다(present) + 명사(tion) = ‘발표’</t>
  </si>
  <si>
    <t>발표</t>
  </si>
  <si>
    <t>The presentation included colorful graphs and charts.</t>
  </si>
  <si>
    <t>The (          ) included colorful graphs and charts.</t>
  </si>
  <si>
    <t>represent</t>
  </si>
  <si>
    <t>[rèprizént]</t>
  </si>
  <si>
    <t>강하게(re) 제시하니(present) ‘나타내다, 의미하다’</t>
  </si>
  <si>
    <t>나타내다, 의미하다</t>
  </si>
  <si>
    <t>The attorney will represent you in court.</t>
  </si>
  <si>
    <t>The attorney will (          ) you in court.</t>
  </si>
  <si>
    <t>serve</t>
  </si>
  <si>
    <t>serv</t>
  </si>
  <si>
    <r>
      <rPr>
        <sz val="12"/>
        <color indexed="8"/>
        <rFont val="Apple SD 산돌고딕 Neo 일반체"/>
      </rPr>
      <t>serv</t>
    </r>
  </si>
  <si>
    <t>[səːrv]</t>
  </si>
  <si>
    <t>섬기는(serv) 것은 곧 ‘봉사하다, 일하다, 시중들다, 복무하다’</t>
  </si>
  <si>
    <t>봉사하다, 일하다, 시중들다, 복무하다</t>
  </si>
  <si>
    <t>The restaurant serves lunch from noon until 3:00 PM.</t>
  </si>
  <si>
    <t>The restaurant (          )s lunch from noon until 3:00 PM.</t>
  </si>
  <si>
    <t>service</t>
  </si>
  <si>
    <t>[sə́ːrvis]</t>
  </si>
  <si>
    <t>섬기다(serv) 자신을(i) 잡아(c) 억제해야하는 ‘봉사, 업무’</t>
  </si>
  <si>
    <t>봉사, 업무</t>
  </si>
  <si>
    <t>The company provides excellent customer service.</t>
  </si>
  <si>
    <t>The company provides excellent customer (          ).</t>
  </si>
  <si>
    <t>servant</t>
  </si>
  <si>
    <t>serv &gt; serve</t>
  </si>
  <si>
    <t>[sə́ːrvənt]</t>
  </si>
  <si>
    <t>봉사하는(serve) + 사람(ant) = ‘하인, 종’</t>
  </si>
  <si>
    <t>하인, 종</t>
  </si>
  <si>
    <t>The royal family employed many servants.</t>
  </si>
  <si>
    <t>The royal family employed many (          )s.</t>
  </si>
  <si>
    <t>observe</t>
  </si>
  <si>
    <t>serv(serve)</t>
  </si>
  <si>
    <t>[əbzə́ːrv]</t>
  </si>
  <si>
    <t>둥근(o) 눈이 터지라고(b) 섬기니(serve-serv) ‘관찰하다, 관측하다’</t>
  </si>
  <si>
    <t>관찰하다, 관측하다</t>
  </si>
  <si>
    <t>Scientists observe animal behavior in the wild.</t>
  </si>
  <si>
    <t>Scientists (          ) animal behavior in the wild.</t>
  </si>
  <si>
    <t>deserve</t>
  </si>
  <si>
    <t>[dizə́ːrv]</t>
  </si>
  <si>
    <t>아래로(de) 섬기는(serve-ser) 서비스를 ‘받을 자격이 있다’</t>
  </si>
  <si>
    <t>받을 자격이 있다</t>
  </si>
  <si>
    <t>Hard-working students deserve recognition.</t>
  </si>
  <si>
    <t>Hard-working students (          ) recognition.</t>
  </si>
  <si>
    <t>preserve</t>
  </si>
  <si>
    <t>[prizə́ːrv]</t>
  </si>
  <si>
    <t>앞으로(pre) 미래에 섬기려고(serve) ‘보존하다’</t>
  </si>
  <si>
    <t>보존하다</t>
  </si>
  <si>
    <t>We must preserve endangered species from extinction.</t>
  </si>
  <si>
    <t>We must (          ) endangered species from extinction.</t>
  </si>
  <si>
    <t>conserve</t>
  </si>
  <si>
    <t>[kənsə́ːrv]</t>
  </si>
  <si>
    <t>다른 사람과 함께(con) 섬기고 일하니(serve) ‘보수적인, 온화한’</t>
  </si>
  <si>
    <t>보수적인, 온화한</t>
  </si>
  <si>
    <t>Turn off lights to conserve energy.</t>
  </si>
  <si>
    <t>Turn off lights to (          ) energy.</t>
  </si>
  <si>
    <t>reserve</t>
  </si>
  <si>
    <t>[rizə́ːrv]</t>
  </si>
  <si>
    <t>뒤에(re) 섬기게(serve) ‘떼어 두다, 비축하다’</t>
  </si>
  <si>
    <t>떼어 두다, 비축하다</t>
  </si>
  <si>
    <t>Please reserve a table for dinner tonight.</t>
  </si>
  <si>
    <t>Please (          ) a table for dinner tonight.</t>
  </si>
  <si>
    <t>reservoir</t>
  </si>
  <si>
    <t>serv(serve) &gt; reserve</t>
  </si>
  <si>
    <t>[rézərvwὰːr]</t>
  </si>
  <si>
    <t>유사시를 대비해 뒤에 따로 떼어놓은(reserve) ‘저수지’</t>
  </si>
  <si>
    <t>저수지</t>
  </si>
  <si>
    <t>The reservoir provides water for the entire city.</t>
  </si>
  <si>
    <t>The (          ) provides water for the entire city.</t>
  </si>
  <si>
    <t>side</t>
  </si>
  <si>
    <r>
      <rPr>
        <sz val="12"/>
        <color indexed="8"/>
        <rFont val="Apple SD 산돌고딕 Neo 일반체"/>
      </rPr>
      <t>side</t>
    </r>
  </si>
  <si>
    <t>[said]</t>
  </si>
  <si>
    <t>부드럽게(s) 자신의(i) 몸을 끓어 아래로(d) 내려가는 ‘측면’</t>
  </si>
  <si>
    <t>측면</t>
  </si>
  <si>
    <t>Which side of the road do they drive on in Japan?</t>
  </si>
  <si>
    <t>Which (          ) of the road do they drive on in Japan?</t>
  </si>
  <si>
    <t>subsidiary</t>
  </si>
  <si>
    <t>side(sid)</t>
  </si>
  <si>
    <t>[səbsídièri]</t>
  </si>
  <si>
    <t>아래쪽(sub) 측면에(sid-side) 위치하고 보고서, 일지(diary)를 매일 적어 제출해야 하는 ‘자회사, 보조’</t>
  </si>
  <si>
    <t>자회사, 보조</t>
  </si>
  <si>
    <t>The corporation has subsidiary companies in several countries.</t>
  </si>
  <si>
    <t>The corporation has (          ) companies in several countries.</t>
  </si>
  <si>
    <t>reside</t>
  </si>
  <si>
    <t>[rizáid]</t>
  </si>
  <si>
    <t>다시(re) 찾는 면을(side) 가지고 있으니 ‘살다, 거주하다’</t>
  </si>
  <si>
    <t>살다, 거주하다</t>
  </si>
  <si>
    <t>The family resides in a small apartment downtown.</t>
  </si>
  <si>
    <t>The family (          )s in a small apartment downtown.</t>
  </si>
  <si>
    <t>residence</t>
  </si>
  <si>
    <t>side &gt; reside</t>
  </si>
  <si>
    <t>[rézədəns]</t>
  </si>
  <si>
    <t>거주하는(reside) + 명사(ence) = ‘주택, 주거, 거주’</t>
  </si>
  <si>
    <t>주택, 주거, 거주</t>
  </si>
  <si>
    <t>The university provides residence halls for students.</t>
  </si>
  <si>
    <t>The university provides (          ) halls for students.</t>
  </si>
  <si>
    <t>preside</t>
  </si>
  <si>
    <t>[prizáid]</t>
  </si>
  <si>
    <t>시작하기에 앞서(pre) 한 면을(side) 차지하니 ‘사회를 보다’</t>
  </si>
  <si>
    <t>사회를 보다</t>
  </si>
  <si>
    <t>The chairperson will preside over the meeting.</t>
  </si>
  <si>
    <t>The chairperson will (          ) over the meeting.</t>
  </si>
  <si>
    <t>president</t>
  </si>
  <si>
    <t>side &gt; preside</t>
  </si>
  <si>
    <t>[prézədənt]</t>
  </si>
  <si>
    <t>나라, 국가, 의회를 대표해서 사회를 보는 (preside) 사람이니 ‘대통령, 의장, 회장’</t>
  </si>
  <si>
    <t>대통령, 의장, 회장</t>
  </si>
  <si>
    <t>The president of the company announced new initiatives.</t>
  </si>
  <si>
    <t>The (          ) of the company announced new initiatives.</t>
  </si>
  <si>
    <t>consider</t>
  </si>
  <si>
    <t>[kənsídər]</t>
  </si>
  <si>
    <t>함께(con) 모든 면들을(side) 다 생각하니 ‘고려하다’</t>
  </si>
  <si>
    <t>고려하다</t>
  </si>
  <si>
    <t>Please consider all options before making a decision.</t>
  </si>
  <si>
    <t>Please (          ) all options before making a decision.</t>
  </si>
  <si>
    <t>considerate</t>
  </si>
  <si>
    <t>side &gt; consider</t>
  </si>
  <si>
    <t>[kənsídərət]</t>
  </si>
  <si>
    <t>여러가지를 고려하는(consider) 비율이(rate) 높다는 것은 ‘이해심이 많은’</t>
  </si>
  <si>
    <t>이해심이 많은</t>
  </si>
  <si>
    <t>It was considerate of you to help with the cleaning.</t>
  </si>
  <si>
    <t>It was (          ) of you to help with the cleaning.</t>
  </si>
  <si>
    <t>considerable</t>
  </si>
  <si>
    <t>[kənsídərəbl]</t>
  </si>
  <si>
    <t>고려(consider) 할 만한(able) 정도이니 ‘상당한’</t>
  </si>
  <si>
    <t>상당한</t>
  </si>
  <si>
    <t>The project requires considerable time and effort.</t>
  </si>
  <si>
    <t>The project requires (          ) time and effort.</t>
  </si>
  <si>
    <t>similar</t>
  </si>
  <si>
    <t>sim</t>
  </si>
  <si>
    <r>
      <rPr>
        <sz val="12"/>
        <color indexed="8"/>
        <rFont val="Apple SD 산돌고딕 Neo 일반체"/>
      </rPr>
      <t>sim</t>
    </r>
  </si>
  <si>
    <t>[símələr]</t>
  </si>
  <si>
    <t>같이(sim) 길게(l) 늘여져서 하나(a)처럼 보이니 ‘유사한, 비슷한’</t>
  </si>
  <si>
    <t>유사한, 비슷한</t>
  </si>
  <si>
    <t>The twins look very similar but have different personalities.</t>
  </si>
  <si>
    <t>The twins look very (          ) but have different personalities.</t>
  </si>
  <si>
    <t>dissimilar</t>
  </si>
  <si>
    <t>sim &gt; similar</t>
  </si>
  <si>
    <t>[dissímələr]</t>
  </si>
  <si>
    <t>분리(dis)시키다 유사한(similar) 성질을 즉, ‘같지 않은’</t>
  </si>
  <si>
    <t>같지 않은</t>
  </si>
  <si>
    <t>Their approaches to the problem were completely dissimilar.</t>
  </si>
  <si>
    <t>Their approaches to the problem were completely (          ).</t>
  </si>
  <si>
    <t>simultaneous</t>
  </si>
  <si>
    <t>[sàiməltéiniəs]</t>
  </si>
  <si>
    <t>같이(sim) 길게(l) 나아가니(t) ‘동시의’</t>
  </si>
  <si>
    <t>동시의</t>
  </si>
  <si>
    <t>Simultaneous translation was provided at the international conference.</t>
  </si>
  <si>
    <r>
      <rPr>
        <sz val="12"/>
        <color indexed="8"/>
        <rFont val="Arial"/>
      </rPr>
      <t>Simultaneous translation was provided at the international conference.</t>
    </r>
  </si>
  <si>
    <t>simulate</t>
  </si>
  <si>
    <t>sim &gt; simil(simul)</t>
  </si>
  <si>
    <t>[símjulèit]</t>
  </si>
  <si>
    <t>같게(simul-simil) 행동하니 ‘흉내내다’</t>
  </si>
  <si>
    <t>흉내내다</t>
  </si>
  <si>
    <t>The computer program can simulate weather patterns.</t>
  </si>
  <si>
    <t>The computer program can (          ) weather patterns.</t>
  </si>
  <si>
    <t>simple</t>
  </si>
  <si>
    <t>[símpl]</t>
  </si>
  <si>
    <t>같은(sim) 것이 폭하고(p) 튀어나와 술술(l) 잘 풀리니 ‘간단한, 쉬운, 용이한’</t>
  </si>
  <si>
    <t>간단한, 쉬운, 용이한</t>
  </si>
  <si>
    <t>The recipe is simple enough for beginners.</t>
  </si>
  <si>
    <t>The recipe is (          ) enough for beginners.</t>
  </si>
  <si>
    <t>assemble</t>
  </si>
  <si>
    <t>selmbl</t>
  </si>
  <si>
    <r>
      <rPr>
        <sz val="12"/>
        <color indexed="8"/>
        <rFont val="Apple SD 산돌고딕 Neo 일반체"/>
      </rPr>
      <t>selmbl</t>
    </r>
  </si>
  <si>
    <t>[əsémbl]</t>
  </si>
  <si>
    <t>같은(as) 것들을 조립하니(sembl) ‘조립하다, 모이다’</t>
  </si>
  <si>
    <t>조립하다, 모이다</t>
  </si>
  <si>
    <t>Workers assemble the cars at this factory.</t>
  </si>
  <si>
    <t>Workers (          ) the cars at this factory.</t>
  </si>
  <si>
    <t>assembly</t>
  </si>
  <si>
    <t>selmbl &gt; assemble</t>
  </si>
  <si>
    <t>[əsémbli]</t>
  </si>
  <si>
    <t>모이는 것이(assemble) 확장되었으니(y) ‘모임, 집합, 집회’</t>
  </si>
  <si>
    <t>모임, 집합, 집회</t>
  </si>
  <si>
    <t>The student assembly meets every Friday morning.</t>
  </si>
  <si>
    <t>The student (          ) meets every Friday morning.</t>
  </si>
  <si>
    <t>disassemble</t>
  </si>
  <si>
    <t>[dìsəsémbl]</t>
  </si>
  <si>
    <t>분리하다(dis) 조립한 것을(assemble) 즉, ‘분해하다’</t>
  </si>
  <si>
    <t>분해하다</t>
  </si>
  <si>
    <t>I had to disassemble the clock to repair it.</t>
  </si>
  <si>
    <t>I had to (          ) the clock to repair it.</t>
  </si>
  <si>
    <t>resemble</t>
  </si>
  <si>
    <t>[rizémbl]</t>
  </si>
  <si>
    <t>부모가 유전자를 다시(re) 조립하니(semble) ‘닮다’</t>
  </si>
  <si>
    <t>닮다</t>
  </si>
  <si>
    <t>The child resembles her grandmother.</t>
  </si>
  <si>
    <t>The child (          )s her grandmother.</t>
  </si>
  <si>
    <t>social</t>
  </si>
  <si>
    <t>soci</t>
  </si>
  <si>
    <r>
      <rPr>
        <sz val="12"/>
        <color indexed="8"/>
        <rFont val="Apple SD 산돌고딕 Neo 일반체"/>
      </rPr>
      <t>soci</t>
    </r>
  </si>
  <si>
    <t>[sóuʃəl]</t>
  </si>
  <si>
    <t>사회(soc) + 형용사(al) = ‘사회의, 사회에 관한’</t>
  </si>
  <si>
    <t>사회의, 사회에 관한</t>
  </si>
  <si>
    <t>Humans are social creatures who live in communities.</t>
  </si>
  <si>
    <t>Humans are (          ) creatures who live in communities.</t>
  </si>
  <si>
    <t>sociable</t>
  </si>
  <si>
    <t>[sóuʃəbl]</t>
  </si>
  <si>
    <t>사회(soci)에서 살아갈 능력이 있으니(able) ‘사교적인, 붙임성 있는’</t>
  </si>
  <si>
    <t>사교적인, 붙임성 있는</t>
  </si>
  <si>
    <t>Dogs are naturally sociable animals.</t>
  </si>
  <si>
    <t>Dogs are naturally (          ) animals.</t>
  </si>
  <si>
    <t>society</t>
  </si>
  <si>
    <t>[səsáiəti]</t>
  </si>
  <si>
    <t>사회가(soci) 서고(t) 확장(y)된 ‘사회’</t>
  </si>
  <si>
    <t>사회</t>
  </si>
  <si>
    <t>Education shapes the future of society.</t>
  </si>
  <si>
    <t>Education shapes the future of (          ).</t>
  </si>
  <si>
    <t>associate</t>
  </si>
  <si>
    <t>[əsóuʃièit, əsóusièit]</t>
  </si>
  <si>
    <t>같은(as) 성향끼리 사회의(soci) 일원으로 간주 하여 밥을 먹었으니(ate) ‘동료로 참가시키다, 연합시키다’</t>
  </si>
  <si>
    <t>동료로 참가시키다, 연합시키다</t>
  </si>
  <si>
    <t>I associate the smell of cinnamon with Christmas.</t>
  </si>
  <si>
    <t>I (          ) the smell of cinnamon with Christmas.</t>
  </si>
  <si>
    <t>solve</t>
  </si>
  <si>
    <t>solv</t>
  </si>
  <si>
    <r>
      <rPr>
        <sz val="12"/>
        <color indexed="8"/>
        <rFont val="Apple SD 산돌고딕 Neo 일반체"/>
      </rPr>
      <t>solv</t>
    </r>
  </si>
  <si>
    <t>[salv]</t>
  </si>
  <si>
    <t>풀어서(solv) 입구(e)로 나왔으니 ‘풀다, 해명하다, 해결하다’</t>
  </si>
  <si>
    <t>풀다, 해명하다, 해결하다</t>
  </si>
  <si>
    <t>The detective worked to solve the mystery.</t>
  </si>
  <si>
    <t>The detective worked to (          ) the mystery.</t>
  </si>
  <si>
    <t>solvent</t>
  </si>
  <si>
    <t>[sάlvənt]</t>
  </si>
  <si>
    <t>풀다(solv) + 형용사(ent) = 안에 들어가 다 풀어지는 ‘용매 능력이 있는’</t>
  </si>
  <si>
    <t>용매 능력이 있는</t>
  </si>
  <si>
    <t>The company remained solvent despite economic challenges.</t>
  </si>
  <si>
    <t>The company remained (          ) despite economic challenges.</t>
  </si>
  <si>
    <t>solution</t>
  </si>
  <si>
    <t>solv(solute)</t>
  </si>
  <si>
    <t>[səlúːʃən]</t>
  </si>
  <si>
    <t>풀다(solute-solv) + 명사(ion) = ‘해답’</t>
  </si>
  <si>
    <t>해답</t>
  </si>
  <si>
    <t>Finding a solution requires creative thinking.</t>
  </si>
  <si>
    <t>Finding a (          ) requires creative thinking.</t>
  </si>
  <si>
    <t>dissolve</t>
  </si>
  <si>
    <t>[dizάlv]</t>
  </si>
  <si>
    <t>덩어리로 되어 있는 것을 분리(dis)시켜 풀리게 하니(solve) ‘용해시키다, 분리시키다’</t>
  </si>
  <si>
    <t>용해시키다, 분리시키다</t>
  </si>
  <si>
    <t>Sugar dissolves in hot water.</t>
  </si>
  <si>
    <t>Sugar (          )s in hot water.</t>
  </si>
  <si>
    <t>이탈(ab)시키고 풀어버리니(solv) ‘면제하다, 풀어주다’</t>
  </si>
  <si>
    <t>면제하다, 풀어주다</t>
  </si>
  <si>
    <t>다 터뜨려서(ab) 풀어버리니(solute-solv) ‘완전무결한, 절대의, 절대적인’</t>
  </si>
  <si>
    <t>완전무결한, 절대의, 절대적인</t>
  </si>
  <si>
    <t>resolve</t>
  </si>
  <si>
    <t>[rizάlv]</t>
  </si>
  <si>
    <t>힘있게(re) 문제되는 부분들을 다 풀어내고 (solve) 문제가 해소되도록 ‘결심하다’</t>
  </si>
  <si>
    <t>결심하다</t>
  </si>
  <si>
    <t>They resolved to exercise more in the new year.</t>
  </si>
  <si>
    <t>They (          )d to exercise more in the new year.</t>
  </si>
  <si>
    <t>sense</t>
  </si>
  <si>
    <t>sens</t>
  </si>
  <si>
    <r>
      <rPr>
        <sz val="12"/>
        <color indexed="8"/>
        <rFont val="Apple SD 산돌고딕 Neo 일반체"/>
      </rPr>
      <t>sens(sent)</t>
    </r>
  </si>
  <si>
    <t>[sens]</t>
  </si>
  <si>
    <t>느끼는(sens) 것이 통로로 나오면 ‘감각, 느낌, 지각’</t>
  </si>
  <si>
    <t>감각, 느낌, 지각</t>
  </si>
  <si>
    <t>Dogs have a keen sense of smell.</t>
  </si>
  <si>
    <t>Dogs have a keen (          ) of smell.</t>
  </si>
  <si>
    <t>sensitive</t>
  </si>
  <si>
    <t>[sénsətiv]</t>
  </si>
  <si>
    <t>느끼다(sens) + 형용사(tive) = ‘민감한, 예민한’</t>
  </si>
  <si>
    <t>Some people have sensitive skin that burns easily in the sun.</t>
  </si>
  <si>
    <t>Some people have (          ) skin that burns easily in the sun.</t>
  </si>
  <si>
    <t>sensible</t>
  </si>
  <si>
    <t>[sénsəbl]</t>
  </si>
  <si>
    <t>느끼다(sens) + 가능한(ible-able) = ‘분별이 있는, 이해가 빠른’</t>
  </si>
  <si>
    <t>분별이 있는, 이해가 빠른</t>
  </si>
  <si>
    <t>Wearing a coat in cold weather is sensible.</t>
  </si>
  <si>
    <t>Wearing a coat in cold weather is (          ).</t>
  </si>
  <si>
    <t>sensuous</t>
  </si>
  <si>
    <t>[sénʃuəs]</t>
  </si>
  <si>
    <t>느끼다(sens) + 형용사(ous) = ‘감각에 호소하는, 감각적인’</t>
  </si>
  <si>
    <t>감각에 호소하는, 감각적인</t>
  </si>
  <si>
    <t>The perfume has a rich, sensuous fragrance.</t>
  </si>
  <si>
    <t>The perfume has a rich, (          ) fragrance.</t>
  </si>
  <si>
    <t>sentimental</t>
  </si>
  <si>
    <t>sens(sent)</t>
  </si>
  <si>
    <t>[sèntəméntl]</t>
  </si>
  <si>
    <t>느끼게 하고(sent-sens) 마음에(mental) 일어 나게 하니 ‘감상적인, 정에 약한’</t>
  </si>
  <si>
    <t>감상적인, 정에 약한</t>
  </si>
  <si>
    <t>The old photograph has sentimental value to me.</t>
  </si>
  <si>
    <t>The old photograph has (          ) value to me.</t>
  </si>
  <si>
    <t>sentence</t>
  </si>
  <si>
    <t>[séntəns]</t>
  </si>
  <si>
    <t>느낌(sent)을 안에(en) 담은 ‘문장, 판결하다’</t>
  </si>
  <si>
    <t>문장, 판결하다</t>
  </si>
  <si>
    <t>The judge will sentence the convicted criminal tomorrow.</t>
  </si>
  <si>
    <t>The judge will (          ) the convicted criminal tomorrow.</t>
  </si>
  <si>
    <t>assent</t>
  </si>
  <si>
    <t>[əsént]</t>
  </si>
  <si>
    <t>같이(as) 느끼니(sent) ‘동의하다’</t>
  </si>
  <si>
    <t>동의하다</t>
  </si>
  <si>
    <t>The committee gave its assent to the proposal.</t>
  </si>
  <si>
    <t>The committee gave its (          ) to the proposal.</t>
  </si>
  <si>
    <t>consent</t>
  </si>
  <si>
    <t>[kənsént]</t>
  </si>
  <si>
    <t>함께(con) 느끼니(sent) ‘동의하다’</t>
  </si>
  <si>
    <t>Parents must give consent for children's medical treatment.</t>
  </si>
  <si>
    <t>Parents must give (          ) for children's medical treatment.</t>
  </si>
  <si>
    <t>consensus</t>
  </si>
  <si>
    <t>[kənsénsəs]</t>
  </si>
  <si>
    <t>함께 동의해(consent) 부드럽게(s) 우리(us)를 만드니 ‘일치, 합의, 대다수의 의견’</t>
  </si>
  <si>
    <t>일치, 합의, 대다수의 의견</t>
  </si>
  <si>
    <t>The group reached a consensus after hours of discussion.</t>
  </si>
  <si>
    <t>The group reached a (          ) after hours of discussion.</t>
  </si>
  <si>
    <t>dissent</t>
  </si>
  <si>
    <t>분리(dis)된 느낌(sent-sens)이니 ‘의견을 달리하다’</t>
  </si>
  <si>
    <t>의견을 달리하다</t>
  </si>
  <si>
    <t>The court allows judges to express dissent from majority opinions.</t>
  </si>
  <si>
    <t>The court allows judges to express (          ) from majority opinions.</t>
  </si>
  <si>
    <t>resent</t>
  </si>
  <si>
    <t>[rizént]</t>
  </si>
  <si>
    <t>다시(re) 느끼게(sent) 되면 ‘원망하다, 분개하다’</t>
  </si>
  <si>
    <t>원망하다, 분개하다</t>
  </si>
  <si>
    <t>Don't resent others for their success.</t>
  </si>
  <si>
    <t>Don't (          ) others for their success.</t>
  </si>
  <si>
    <t>sign</t>
  </si>
  <si>
    <r>
      <rPr>
        <sz val="12"/>
        <color indexed="8"/>
        <rFont val="Apple SD 산돌고딕 Neo 일반체"/>
      </rPr>
      <t>sign</t>
    </r>
  </si>
  <si>
    <t>[sain]</t>
  </si>
  <si>
    <t>보이지 않는(s) 안에(i) 깊숙이(g) 있는 것을 새롭게(n) 기호로 나타내는 ‘표시, 기호’</t>
  </si>
  <si>
    <t>표시, 기호</t>
  </si>
  <si>
    <t>Please sign your name on the dotted line.</t>
  </si>
  <si>
    <t>Please (          ) your name on the dotted line.</t>
  </si>
  <si>
    <t>signal</t>
  </si>
  <si>
    <t>[sígnəl]</t>
  </si>
  <si>
    <t>표시하여(sign) 모두가(al-all) 알 수 있도록 해주는 ‘신호’</t>
  </si>
  <si>
    <t>신호</t>
  </si>
  <si>
    <t>The traffic signal changed from red to green.</t>
  </si>
  <si>
    <t>The traffic (          ) changed from red to green.</t>
  </si>
  <si>
    <t>signature</t>
  </si>
  <si>
    <t>[sígnətʃər]</t>
  </si>
  <si>
    <t>표시하여(sign) 만들어 주는 것은 ‘서명, 사인’</t>
  </si>
  <si>
    <t>서명, 사인</t>
  </si>
  <si>
    <t>Your signature is required on all official documents.</t>
  </si>
  <si>
    <t>Your (          ) is required on all official documents.</t>
  </si>
  <si>
    <t>significant</t>
  </si>
  <si>
    <t>[signífikənt]</t>
  </si>
  <si>
    <t>표시를(sign) 만들어(fic) 내니 ‘주목할 만한, 중요한’</t>
  </si>
  <si>
    <t>The discovery represents a significant advance in cancer treatment.</t>
  </si>
  <si>
    <t>The discovery represents a (          ) advance in cancer treatment.</t>
  </si>
  <si>
    <t>insignificant</t>
  </si>
  <si>
    <t>sign &gt; significant</t>
  </si>
  <si>
    <t>[ìnsignífikənt]</t>
  </si>
  <si>
    <t>반대(in) + 중요한(significant) = ‘중요하지 않은’</t>
  </si>
  <si>
    <t>중요하지 않은</t>
  </si>
  <si>
    <t>The error was insignificant and did not affect the outcome.</t>
  </si>
  <si>
    <t>The error was (          ) and did not affect the outcome.</t>
  </si>
  <si>
    <t>design</t>
  </si>
  <si>
    <t>[dizáin]</t>
  </si>
  <si>
    <t>머리에서 아래로(de) 빼내서 표시하니(sign) ‘구상하다, 계획하다, 설계하다’</t>
  </si>
  <si>
    <t>구상하다, 계획하다, 설계하다</t>
  </si>
  <si>
    <t>The architect will design the new library.</t>
  </si>
  <si>
    <t>The architect will (          ) the new library.</t>
  </si>
  <si>
    <t>designate</t>
  </si>
  <si>
    <t>sign &gt; design</t>
  </si>
  <si>
    <t>[dézignèit]</t>
  </si>
  <si>
    <t>구상해서(design) 접촉하니(t) ‘지명하다’</t>
  </si>
  <si>
    <t>지명하다</t>
  </si>
  <si>
    <t>The company designated a special area for employee breaks.</t>
  </si>
  <si>
    <t>The company (          )d a special area for employee breaks.</t>
  </si>
  <si>
    <t>assign</t>
  </si>
  <si>
    <t>[əsáin]</t>
  </si>
  <si>
    <t>한 사람 한 사람(a)에게 사인(sign)해서 ‘할당하다’</t>
  </si>
  <si>
    <t>할당하다</t>
  </si>
  <si>
    <t>The teacher will assign homework for the weekend.</t>
  </si>
  <si>
    <t>The teacher will (          ) homework for the weekend.</t>
  </si>
  <si>
    <t>resign</t>
  </si>
  <si>
    <t>[rizáin]</t>
  </si>
  <si>
    <t>다시(re) 사인(sign)을 하니 ‘사직하다’</t>
  </si>
  <si>
    <t>사직하다</t>
  </si>
  <si>
    <t>He decided to resign from his position after ten years.</t>
  </si>
  <si>
    <t>He decided to (          ) from his position after ten years.</t>
  </si>
  <si>
    <t>test</t>
  </si>
  <si>
    <t>t</t>
  </si>
  <si>
    <r>
      <rPr>
        <sz val="12"/>
        <color indexed="8"/>
        <rFont val="Apple SD 산돌고딕 Neo 일반체"/>
      </rPr>
      <t>test</t>
    </r>
  </si>
  <si>
    <t>[test]</t>
  </si>
  <si>
    <t>서고(t)또 서서(st) 겪어야 하는 ‘시험’</t>
  </si>
  <si>
    <t>시험</t>
  </si>
  <si>
    <t>Students must pass a final test to complete the course.</t>
  </si>
  <si>
    <t>Students must pass a final (          ) to complete the course.</t>
  </si>
  <si>
    <t>attest</t>
  </si>
  <si>
    <t>[ətést]</t>
  </si>
  <si>
    <t>계속 더해가는(a) 테스트(test)를 통해 ‘증명하다, 입증하다’</t>
  </si>
  <si>
    <t>증명하다, 입증하다</t>
  </si>
  <si>
    <t>I can attest to her excellent character and work ethic.</t>
  </si>
  <si>
    <t>I can (          ) to her excellent character and work ethic.</t>
  </si>
  <si>
    <t>testimony</t>
  </si>
  <si>
    <t>[téstəmòuni]</t>
  </si>
  <si>
    <t>법정에서 진실인지 시험, 테스트(test) 받고 잘못하면 벌금도(money) 내야하는 ‘선서 증언’</t>
  </si>
  <si>
    <t>선서 증언</t>
  </si>
  <si>
    <t>His testimony helped convict the criminal.</t>
  </si>
  <si>
    <t>His (          ) helped convict the criminal.</t>
  </si>
  <si>
    <t>contest</t>
  </si>
  <si>
    <t>[kάntest｜kɔ́n-]</t>
  </si>
  <si>
    <t>함께(con) 누가 더 나은지 시험(test)하기 위해 하는 ‘경쟁, 시합’</t>
  </si>
  <si>
    <t>경쟁, 시합</t>
  </si>
  <si>
    <t>The winner of the contest receives a cash prize.</t>
  </si>
  <si>
    <t>The winner of the (          ) receives a cash prize.</t>
  </si>
  <si>
    <t>protest</t>
  </si>
  <si>
    <t>[próutest]</t>
  </si>
  <si>
    <t>앞으로(pro) 나아가 시험(test)해 봐야 한다고 하는 ‘항의, 이의’</t>
  </si>
  <si>
    <t>항의, 이의</t>
  </si>
  <si>
    <t>Citizens protest against the unfair law.</t>
  </si>
  <si>
    <t>Citizens (          ) against the unfair law.</t>
  </si>
  <si>
    <t>detest</t>
  </si>
  <si>
    <t>[ditést]</t>
  </si>
  <si>
    <t>수준이 아주 저하(de)된 것을 시험(test)을 해보고 ‘혐오하다’</t>
  </si>
  <si>
    <t>혐오하다</t>
  </si>
  <si>
    <t>I detest waiting in long lines.</t>
  </si>
  <si>
    <t>stand</t>
  </si>
  <si>
    <t>st</t>
  </si>
  <si>
    <r>
      <rPr>
        <sz val="12"/>
        <color indexed="8"/>
        <rFont val="Apple SD 산돌고딕 Neo 일반체"/>
      </rPr>
      <t>st</t>
    </r>
  </si>
  <si>
    <t>[stænd]</t>
  </si>
  <si>
    <t>세워서(st) 더하니(and) ‘서다, 서있다, 세워져 있다’</t>
  </si>
  <si>
    <t>서다, 서있다, 세워져 있다</t>
  </si>
  <si>
    <t>Please stand when the judge enters the courtroom.</t>
  </si>
  <si>
    <t>Please (          ) when the judge enters the courtroom.</t>
  </si>
  <si>
    <t>standard</t>
  </si>
  <si>
    <t>st &gt; stand</t>
  </si>
  <si>
    <t>[stǽndərd]</t>
  </si>
  <si>
    <t>서(stand) 있는 규범이 힘있게 아래로(rd) 내려가 만든 ‘표준, 기준’</t>
  </si>
  <si>
    <t>The school maintains high academic standards.</t>
  </si>
  <si>
    <t>The school maintains high academic (          )s.</t>
  </si>
  <si>
    <t>standstill</t>
  </si>
  <si>
    <t>[stæˈndstiˌl]</t>
  </si>
  <si>
    <t>서서(stand) 가만히 있으니(stil) ‘정지, 멈춤’</t>
  </si>
  <si>
    <t>정지, 멈춤</t>
  </si>
  <si>
    <t>Traffic came to a standstill during the snowstorm.</t>
  </si>
  <si>
    <t>Traffic came to a (          ) during the snowstorm.</t>
  </si>
  <si>
    <t>standpoint</t>
  </si>
  <si>
    <t>[stæˈndpɔiˌnt]</t>
  </si>
  <si>
    <t>서서(stand) 바라 보는 시점(point)이니 ‘관점’</t>
  </si>
  <si>
    <t>관점</t>
  </si>
  <si>
    <t>From a legal standpoint, the contract is valid.</t>
  </si>
  <si>
    <t>From a legal (          ), the contract is valid.</t>
  </si>
  <si>
    <t>understand</t>
  </si>
  <si>
    <t>[Λndərstǽnd]</t>
  </si>
  <si>
    <t>다른 사람 입장 아래(under)에 서 있으면(stand) ‘이해하다, 알아듣다’</t>
  </si>
  <si>
    <t>이해하다, 알아듣다</t>
  </si>
  <si>
    <t>I don't understand how the machine works.</t>
  </si>
  <si>
    <t>I don't (          ) how the machine works.</t>
  </si>
  <si>
    <t>misunderstand</t>
  </si>
  <si>
    <t>[miˌsəndərstæˈnd]</t>
  </si>
  <si>
    <t>잘못된(mis) 방향으로 이해하니(understand) ‘오해하다’</t>
  </si>
  <si>
    <t>오해하다</t>
  </si>
  <si>
    <t>He misunderstood the directions and got lost.</t>
  </si>
  <si>
    <r>
      <rPr>
        <sz val="12"/>
        <color indexed="8"/>
        <rFont val="Arial"/>
      </rPr>
      <t>He misunderstood the directions and got lost.</t>
    </r>
  </si>
  <si>
    <t>withstand</t>
  </si>
  <si>
    <t>[wiðstǽnd, wiθ-]</t>
  </si>
  <si>
    <t>지지않고 함께(with) 서 있으니(stand) ‘견디다’</t>
  </si>
  <si>
    <t>견디다</t>
  </si>
  <si>
    <t>The building was designed to withstand strong earthquakes.</t>
  </si>
  <si>
    <t>The building was designed to (          ) strong earthquakes.</t>
  </si>
  <si>
    <t>notwithstanding</t>
  </si>
  <si>
    <t>st &gt; stand &gt; withstand</t>
  </si>
  <si>
    <t>[nὰtwiðstǽndiŋ]</t>
  </si>
  <si>
    <t>없는데도(not) 견디는 중이니(withstanding) ‘그럼에도 불구하고’</t>
  </si>
  <si>
    <t>Notwithstanding his injury, he completed the marathon.</t>
  </si>
  <si>
    <r>
      <rPr>
        <sz val="12"/>
        <color indexed="8"/>
        <rFont val="Arial"/>
      </rPr>
      <t>Notwithstanding his injury, he completed the marathon.</t>
    </r>
  </si>
  <si>
    <t>outstanding</t>
  </si>
  <si>
    <t>[auˌtstæˈndiŋ]</t>
  </si>
  <si>
    <t>밖으로(out) 두드러지게 서있는 중(standing)이니 ‘눈에 띄는, 우수한’</t>
  </si>
  <si>
    <t>눈에 띄는, 우수한</t>
  </si>
  <si>
    <t>She received an award for her outstanding achievement.</t>
  </si>
  <si>
    <t>She received an award for her (          ) achievement.</t>
  </si>
  <si>
    <t>steady</t>
  </si>
  <si>
    <t>[stédi]</t>
  </si>
  <si>
    <t>딱 서서(st) 아래로(d) 뿌리를 확장(y)하니 ‘확고한’</t>
  </si>
  <si>
    <t>확고한</t>
  </si>
  <si>
    <t>Hold the camera steady to avoid blurry photos.</t>
  </si>
  <si>
    <t>Hold the camera (          ) to avoid blurry photos.</t>
  </si>
  <si>
    <t>st &gt; stance</t>
  </si>
  <si>
    <t>둘러싸고(circum) 있는 장소(stance)이니 주위 ‘환경’</t>
  </si>
  <si>
    <t>환경</t>
  </si>
  <si>
    <t>substance</t>
  </si>
  <si>
    <t>[sΛbstəns]</t>
  </si>
  <si>
    <t>아래(sub) 쪽에 위치(stance)하고 있으니 ‘본질 적인 것, 핵심, 요지’</t>
  </si>
  <si>
    <t>본질 적인 것, 핵심, 요지</t>
  </si>
  <si>
    <t>Water is a substance essential for life.</t>
  </si>
  <si>
    <t>Water is a (          ) essential for life.</t>
  </si>
  <si>
    <t>substantial</t>
  </si>
  <si>
    <t>st &gt; stance &gt; substance</t>
  </si>
  <si>
    <t>[səbstǽnʃəl]</t>
  </si>
  <si>
    <t>본질, 핵심(substance) + 형용사(fial) = ‘실제적인, 상당한’</t>
  </si>
  <si>
    <t>실제적인, 상당한</t>
  </si>
  <si>
    <t>He inherited a substantial amount of money.</t>
  </si>
  <si>
    <t>He inherited a (          ) amount of money.</t>
  </si>
  <si>
    <t>unsubstantial</t>
  </si>
  <si>
    <t>st &gt; stance &gt; substance &gt; substantial</t>
  </si>
  <si>
    <t>[ʌnsəbstǽnʃəl]</t>
  </si>
  <si>
    <t>부정(un) + 실제적인(substantial) = ‘비현실적인’</t>
  </si>
  <si>
    <t>비현실적인</t>
  </si>
  <si>
    <t>The evidence supporting the claim was unsubstantial.</t>
  </si>
  <si>
    <t>The evidence supporting the claim was (          ).</t>
  </si>
  <si>
    <t>instance</t>
  </si>
  <si>
    <t>[ínstəns]</t>
  </si>
  <si>
    <t>안에(in) 서 있는(stance-stand) ‘보기, 예’</t>
  </si>
  <si>
    <t>보기, 예</t>
  </si>
  <si>
    <t>This is a rare instance of that butterfly species.</t>
  </si>
  <si>
    <t>This is a rare (          ) of that butterfly species.</t>
  </si>
  <si>
    <t>instant</t>
  </si>
  <si>
    <t>st &gt; stand(stan)</t>
  </si>
  <si>
    <t>[ínstənt]</t>
  </si>
  <si>
    <t>안(in)에 들어가 서자(stan-stand) 마자 일이 벌어지니 ‘순간, 즉시’</t>
  </si>
  <si>
    <t>순간, 즉시</t>
  </si>
  <si>
    <t>Instant coffee dissolves quickly in hot water.</t>
  </si>
  <si>
    <r>
      <rPr>
        <sz val="12"/>
        <color indexed="8"/>
        <rFont val="Arial"/>
      </rPr>
      <t>Instant coffee dissolves quickly in hot water.</t>
    </r>
  </si>
  <si>
    <t>distant</t>
  </si>
  <si>
    <t>[dístənt]</t>
  </si>
  <si>
    <t>분리(dis)되어 서(stan-stand) 있으니 ‘떨어진’</t>
  </si>
  <si>
    <t>떨어진</t>
  </si>
  <si>
    <t>We could see the distant mountains on the horizon.</t>
  </si>
  <si>
    <t>We could see the (          ) mountains on the horizon.</t>
  </si>
  <si>
    <t>constant</t>
  </si>
  <si>
    <t>[kάnstənt]</t>
  </si>
  <si>
    <t>세월과 함께(con) 서(stan-stand) 있으니 ‘불변의, 일정한’</t>
  </si>
  <si>
    <t>불변의, 일정한</t>
  </si>
  <si>
    <t>The constant noise from construction made it hard to concentrate.</t>
  </si>
  <si>
    <t>The (          ) noise from construction made it hard to concentrate.</t>
  </si>
  <si>
    <t>station</t>
  </si>
  <si>
    <t>[stéiʃən]</t>
  </si>
  <si>
    <t>서서(st) 한 지점에(at) 계속(on) 존재하는 ‘역, 정거장’</t>
  </si>
  <si>
    <t>역, 정거장</t>
  </si>
  <si>
    <t>The fire station responds quickly to emergencies.</t>
  </si>
  <si>
    <t>The fire (          ) responds quickly to emergencies.</t>
  </si>
  <si>
    <t>stationary</t>
  </si>
  <si>
    <t>st &gt; station</t>
  </si>
  <si>
    <t>[stéiʃənèri]</t>
  </si>
  <si>
    <t>정거장(station) 같이 자리를 잡고 있어 힘을(r)줘도 ‘움직이지 않는’</t>
  </si>
  <si>
    <t>움직이지 않는</t>
  </si>
  <si>
    <t>The stationary bicycle provides good exercise indoors.</t>
  </si>
  <si>
    <t>The (          ) bicycle provides good exercise indoors.</t>
  </si>
  <si>
    <t>state</t>
  </si>
  <si>
    <t>[steit]</t>
  </si>
  <si>
    <t>서(st) 있고 입구, 통로(e)가 되는 국경이 있는 ‘나라, 국가, 상태, 모양’</t>
  </si>
  <si>
    <t>나라, 국가, 상태, 모양</t>
  </si>
  <si>
    <t>What state do you live in?</t>
  </si>
  <si>
    <t>What (          ) do you live in?</t>
  </si>
  <si>
    <t>statue</t>
  </si>
  <si>
    <t>[stǽʧuː]</t>
  </si>
  <si>
    <t>서 있는데(st) 한 지점(at) 아래쪽에(u) 굳건히 바닥을 세운 ‘동상, 조각상’</t>
  </si>
  <si>
    <t>동상, 조각상</t>
  </si>
  <si>
    <t>The bronze statue commemorates the town's founder.</t>
  </si>
  <si>
    <t>The bronze (          ) commemorates the town's founder.</t>
  </si>
  <si>
    <t>estate</t>
  </si>
  <si>
    <t>st &gt; state</t>
  </si>
  <si>
    <t>[istéit]</t>
  </si>
  <si>
    <t>입구(e)를 통해 가지고 들어와 뭔가를 막 쌓아 놓은 상태(state)로 나타나는 ‘재산’</t>
  </si>
  <si>
    <t>재산</t>
  </si>
  <si>
    <t>They inherited a large estate in the countryside.</t>
  </si>
  <si>
    <t>They inherited a large (          ) in the countryside.</t>
  </si>
  <si>
    <t>stable</t>
  </si>
  <si>
    <t>[stéibl]</t>
  </si>
  <si>
    <t>서(st) 있을 수(able) 있으니 ‘안정된’</t>
  </si>
  <si>
    <t>안정된</t>
  </si>
  <si>
    <t>The patient's condition is stable after surgery.</t>
  </si>
  <si>
    <t>The patient's condition is (          ) after surgery.</t>
  </si>
  <si>
    <t>instability</t>
  </si>
  <si>
    <t>st &gt; stable &gt; stability</t>
  </si>
  <si>
    <t>[ìnstəbíləti]</t>
  </si>
  <si>
    <t>반대(in) + 안정됨(stability)= ‘불안정’</t>
  </si>
  <si>
    <t>불안정</t>
  </si>
  <si>
    <t>Political instability deterred foreign investors.</t>
  </si>
  <si>
    <t>Political (          ) deterred foreign investors.</t>
  </si>
  <si>
    <t>st &gt; stable</t>
  </si>
  <si>
    <t>입구(e)도 만들고 안정(stable)되게 서 있게 건물을 ‘설립하다’</t>
  </si>
  <si>
    <t>설립하다</t>
  </si>
  <si>
    <t>stage</t>
  </si>
  <si>
    <t>[steidʒ]</t>
  </si>
  <si>
    <t>서 있는(st) 오랫동안의(age) 시간이니 ‘단계, 국면, 시대’</t>
  </si>
  <si>
    <t>단계, 국면, 시대</t>
  </si>
  <si>
    <t>The actor performed brilliantly on stage.</t>
  </si>
  <si>
    <t>The actor performed brilliantly on (          ).</t>
  </si>
  <si>
    <t>prestige</t>
  </si>
  <si>
    <t>st &gt; stable(stige)</t>
  </si>
  <si>
    <t>[prestíːʒ]</t>
  </si>
  <si>
    <t>앞서(pre) 무대에(stige-stage) 서니 ‘명성이 있는, 유명한’</t>
  </si>
  <si>
    <t>명성이 있는, 유명한</t>
  </si>
  <si>
    <t>The university enjoys great prestige in academic circles.</t>
  </si>
  <si>
    <t>The university enjoys great (          ) in academic circles.</t>
  </si>
  <si>
    <t>stalk</t>
  </si>
  <si>
    <t>st(sta)</t>
  </si>
  <si>
    <t>[stɔːk]</t>
  </si>
  <si>
    <t>서서(sta-st) 길게(l) 확장(k)하는 ‘줄기’</t>
  </si>
  <si>
    <t>줄기</t>
  </si>
  <si>
    <t>The corn stalk grew over six feet tall.</t>
  </si>
  <si>
    <t>The corn (          ) grew over six feet tall.</t>
  </si>
  <si>
    <t>staff</t>
  </si>
  <si>
    <t>[stæf]</t>
  </si>
  <si>
    <t>서 있는데(sta-st) 가볍게(ff) 사용할 수 있는 ‘막대기, 지팡이, 직원, 사원’</t>
  </si>
  <si>
    <t>막대기, 지팡이, 직원, 사원</t>
  </si>
  <si>
    <t>The hospital staff works around the clock.</t>
  </si>
  <si>
    <t>The hospital (          ) works around the clock.</t>
  </si>
  <si>
    <t>stain</t>
  </si>
  <si>
    <t>[stein]</t>
  </si>
  <si>
    <t>서(st) 있던 것처럼 도드라지게 보이고 안쪽까지(in) 스며들어 있는 ‘얼룩’</t>
  </si>
  <si>
    <t>얼룩</t>
  </si>
  <si>
    <t>The wine left a red stain on the tablecloth.</t>
  </si>
  <si>
    <t>The wine left a red (          ) on the tablecloth.</t>
  </si>
  <si>
    <t>start</t>
  </si>
  <si>
    <t>[staːrt]</t>
  </si>
  <si>
    <t>서서(st) 힘있게(r) 나아가니(t) ‘출발하다, 시작하다’</t>
  </si>
  <si>
    <t>출발하다, 시작하다</t>
  </si>
  <si>
    <t>The race will start at noon.</t>
  </si>
  <si>
    <t>The race will (          ) at noon.</t>
  </si>
  <si>
    <t>startle</t>
  </si>
  <si>
    <t>st &gt; start</t>
  </si>
  <si>
    <t>[stάːrtl]</t>
  </si>
  <si>
    <t>시작(start)하자 마자 정신이 풀어지게(l) 하니 ‘깜짝 놀라게 하다’</t>
  </si>
  <si>
    <t>깜짝 놀라게 하다</t>
  </si>
  <si>
    <t>The sudden noise startled the sleeping baby.</t>
  </si>
  <si>
    <t>The sudden noise (          )d the sleeping baby.</t>
  </si>
  <si>
    <t>stamina</t>
  </si>
  <si>
    <t>[stǽmənə]</t>
  </si>
  <si>
    <t>서(sta) 있는 큰(m) 안에(in) 있는 에너지는 ‘체력’</t>
  </si>
  <si>
    <t>체력</t>
  </si>
  <si>
    <t>Marathon runners need great stamina.</t>
  </si>
  <si>
    <t>Marathon runners need great (          ).</t>
  </si>
  <si>
    <t>stadium</t>
  </si>
  <si>
    <t>[stéidiəm]</t>
  </si>
  <si>
    <t>우뚝 서(sta) 있고 들어가 보면 아래로(d) 내려 가 서 아래쪽(u)에서 움직이면서(m) 경기하게 되어있는 ‘경기장’</t>
  </si>
  <si>
    <t>경기장</t>
  </si>
  <si>
    <t>Thousands of fans filled the stadium for the championship game.</t>
  </si>
  <si>
    <t>Thousands of fans filled the (          ) for the championship game.</t>
  </si>
  <si>
    <t>stay</t>
  </si>
  <si>
    <t>[stei]</t>
  </si>
  <si>
    <t>멈추어 서서(sta) 기간을 확장(y)하여 ‘머무르다’</t>
  </si>
  <si>
    <t>머무르다</t>
  </si>
  <si>
    <t>We plan to stay at a hotel near the beach.</t>
  </si>
  <si>
    <t>We plan to (          ) at a hotel near the beach.</t>
  </si>
  <si>
    <t>stamp</t>
  </si>
  <si>
    <t>[stæmp]</t>
  </si>
  <si>
    <t>딱 세워서(sta-st) 크게(m) 폭하고(p) 찍어 주는 ‘도장’, 도장처럼 봉투에 표시하는 ‘우표’</t>
  </si>
  <si>
    <t>도장, 우표</t>
  </si>
  <si>
    <t>Put a stamp on the envelope before mailing it.</t>
  </si>
  <si>
    <t>Put a (          ) on the envelope before mailing it.</t>
  </si>
  <si>
    <t>stair</t>
  </si>
  <si>
    <t>[stεər]</t>
  </si>
  <si>
    <t>구조물을 세워(st) 놓았다 공중에(air) 올라가려고 사용하는 ‘계단’</t>
  </si>
  <si>
    <t>계단</t>
  </si>
  <si>
    <t>Be careful going down the stairs in the dark.</t>
  </si>
  <si>
    <t>Be careful going down the (          )s in the dark.</t>
  </si>
  <si>
    <t>steel</t>
  </si>
  <si>
    <t>[stiːl]</t>
  </si>
  <si>
    <t>서서(st) 단단한 성질이 있고 오랫동안(ee) 길게(l) 잘 견디는 ‘강철’</t>
  </si>
  <si>
    <t>강철</t>
  </si>
  <si>
    <t>Modern skyscrapers are built with steel frames.</t>
  </si>
  <si>
    <t>Modern skyscrapers are built with (          ) frames.</t>
  </si>
  <si>
    <t>stem</t>
  </si>
  <si>
    <t>[stem]</t>
  </si>
  <si>
    <t>서서(st) 크게(m) 움직여 자라 나가는 ‘줄기’</t>
  </si>
  <si>
    <t>The rose has a long stem with thorns.</t>
  </si>
  <si>
    <t>The rose has a long (          ) with thorns.</t>
  </si>
  <si>
    <t>steam</t>
  </si>
  <si>
    <t>st(sta) &gt; stem</t>
  </si>
  <si>
    <t>[stiːm]</t>
  </si>
  <si>
    <t>줄기(stem)처럼 더하여(a) 죽 나가는 ‘수증기’</t>
  </si>
  <si>
    <t>수증기</t>
  </si>
  <si>
    <t>Steam rises from the boiling water.</t>
  </si>
  <si>
    <r>
      <rPr>
        <sz val="12"/>
        <color indexed="8"/>
        <rFont val="Arial"/>
      </rPr>
      <t>Steam rises from the boiling water.</t>
    </r>
  </si>
  <si>
    <t>systematic</t>
  </si>
  <si>
    <t>st(sta) &gt; system</t>
  </si>
  <si>
    <t>[sìstəmǽtik, -ikəl]</t>
  </si>
  <si>
    <t>시스템, 체계(system) + 형용사(fic) = ‘체계적인, 조직적인’</t>
  </si>
  <si>
    <t>체계적인, 조직적인</t>
  </si>
  <si>
    <t>The detective conducted a systematic search for clues.</t>
  </si>
  <si>
    <t>The detective conducted a (          ) search for clues.</t>
  </si>
  <si>
    <t>step</t>
  </si>
  <si>
    <t>[step]</t>
  </si>
  <si>
    <t>서서(st) 앞으로 폭(p)하고 튀어나가니 ‘걷다, 걸음을 옮기다, 걸음’</t>
  </si>
  <si>
    <t>걷다, 걸음을 옮기다, 걸음</t>
  </si>
  <si>
    <t>Take one step at a time down the steep path.</t>
  </si>
  <si>
    <t>Take one (          ) at a time down the steep path.</t>
  </si>
  <si>
    <t>stone</t>
  </si>
  <si>
    <t>st(sto)</t>
  </si>
  <si>
    <t>[stoun]</t>
  </si>
  <si>
    <t>떡하니 서 있는(st) 하나의(one) ‘돌’</t>
  </si>
  <si>
    <t>돌</t>
  </si>
  <si>
    <t>The ancient temple was built of stone.</t>
  </si>
  <si>
    <t>The ancient temple was built of (          ).</t>
  </si>
  <si>
    <t>stun</t>
  </si>
  <si>
    <t>st(sto) &gt; stone(st)</t>
  </si>
  <si>
    <t>[stʌn]</t>
  </si>
  <si>
    <t>돌에(st-stone) 맞아 아래쪽으로(u) 눕도록 ‘기절시키다’</t>
  </si>
  <si>
    <t>기절시키다</t>
  </si>
  <si>
    <t>The news of his sudden death stunned everyone.</t>
  </si>
  <si>
    <t>The news of his sudden death (          )ned everyone.</t>
  </si>
  <si>
    <t>astonish</t>
  </si>
  <si>
    <t>st(sto) &gt; stone(ston)</t>
  </si>
  <si>
    <t>[əstάniʃ]</t>
  </si>
  <si>
    <t>하나의(a) 돌처럼(stone) 만들었으니 ‘놀라게 하다’</t>
  </si>
  <si>
    <t>The magician's tricks astonish the audience.</t>
  </si>
  <si>
    <t>The magician's tricks (          ) the audience.</t>
  </si>
  <si>
    <t>store</t>
  </si>
  <si>
    <t>[stɔːr]</t>
  </si>
  <si>
    <t>물건을 세워 놓고(sto) 힘있게(r) 파는 ‘가게, 상점, 비축하다, 저장하다’</t>
  </si>
  <si>
    <t>가게, 상점, 비축하다, 저장하다</t>
  </si>
  <si>
    <t>I need to go to the grocery store today.</t>
  </si>
  <si>
    <t>I need to go to the grocery (          ) today.</t>
  </si>
  <si>
    <t>story</t>
  </si>
  <si>
    <t>st(sto) &gt; store</t>
  </si>
  <si>
    <t>[stɔ́ːri]</t>
  </si>
  <si>
    <t>가게(store)에 물건을 위로 쌓아가듯이 기승전결 이야기를 쌓아가는(y) ‘이야기’</t>
  </si>
  <si>
    <t>이야기</t>
  </si>
  <si>
    <t>The children enjoyed the bedtime story.</t>
  </si>
  <si>
    <t>The children enjoyed the bedtime (          ).</t>
  </si>
  <si>
    <t>restore</t>
  </si>
  <si>
    <t>[ristɔ́ːr]</t>
  </si>
  <si>
    <t>다시(re) 비축하니(store) ‘회복하다’</t>
  </si>
  <si>
    <t>회복하다</t>
  </si>
  <si>
    <t>The museum worked to restore the damaged painting.</t>
  </si>
  <si>
    <t>The museum worked to (          ) the damaged painting.</t>
  </si>
  <si>
    <t>install</t>
  </si>
  <si>
    <t>st &gt; stall</t>
  </si>
  <si>
    <t>[instɔ́ːl]</t>
  </si>
  <si>
    <t>안에(in) 진열대에(stall) ‘설치하다, 설비하다’</t>
  </si>
  <si>
    <t>설치하다, 설비하다</t>
  </si>
  <si>
    <t>The technician will install the new software tomorrow.</t>
  </si>
  <si>
    <t>The technician will (          ) the new software tomorrow.</t>
  </si>
  <si>
    <t>stool</t>
  </si>
  <si>
    <t>[stuːl]</t>
  </si>
  <si>
    <t>세워(st) 놓고, 둥글게(oo) 앉는 곳만 만들어 놓은 ‘(등받이가 없는) 의자’</t>
  </si>
  <si>
    <t>(등받이가 없는) 의자</t>
  </si>
  <si>
    <t>The bartender sat on a high stool behind the counter.</t>
  </si>
  <si>
    <t>The bartender sat on a high (          ) behind the counter.</t>
  </si>
  <si>
    <t>stack</t>
  </si>
  <si>
    <t>[stæk]</t>
  </si>
  <si>
    <t>세워(st) 잡아서(c) 모아 놓아 부피가 점점 확장된(k) ‘더미’</t>
  </si>
  <si>
    <t>더미</t>
  </si>
  <si>
    <t>She has a stack of books to read during vacation.</t>
  </si>
  <si>
    <t>She has a (          ) of books to read during vacation.</t>
  </si>
  <si>
    <t>storm</t>
  </si>
  <si>
    <t>[stɔːrm]</t>
  </si>
  <si>
    <t>서서(sto) 힘차게(r) 움직여(m) 오는 ‘폭풍’</t>
  </si>
  <si>
    <t>폭풍</t>
  </si>
  <si>
    <t>The storm caused power outages across the city.</t>
  </si>
  <si>
    <t>The (          ) caused power outages across the city.</t>
  </si>
  <si>
    <t>stove</t>
  </si>
  <si>
    <t>[stouv]</t>
  </si>
  <si>
    <t>세워(st) 놓은 것이고 갈라진 틈(v)에서 열기가 나오는 ‘난로’</t>
  </si>
  <si>
    <t>난로</t>
  </si>
  <si>
    <t>Cook the soup on the stove over low heat.</t>
  </si>
  <si>
    <t>Cook the soup on the (          ) over low heat.</t>
  </si>
  <si>
    <t>stop</t>
  </si>
  <si>
    <t>[stap]</t>
  </si>
  <si>
    <t>서게(st) 폭하는(p) 힘으로 ‘멈추다’</t>
  </si>
  <si>
    <t>멈추다</t>
  </si>
  <si>
    <t>The bus will stop at the corner.</t>
  </si>
  <si>
    <t>The bus will (          ) at the corner.</t>
  </si>
  <si>
    <t>still</t>
  </si>
  <si>
    <t>[stil]</t>
  </si>
  <si>
    <t>서서(st) 길게(l) 있으니 ‘여전히, 가만히 있는, 고요한’</t>
  </si>
  <si>
    <t>여전히, 가만히 있는, 고요한</t>
  </si>
  <si>
    <t>The water in the lake is still and clear.</t>
  </si>
  <si>
    <t>The water in the lake is (          ) and clear.</t>
  </si>
  <si>
    <t>distill</t>
  </si>
  <si>
    <t>st(sto) &gt; still</t>
  </si>
  <si>
    <t>[distíl]</t>
  </si>
  <si>
    <t>분리(dis)시켜 기체로 만들었다가 다시 정지(still)상태의 액체로 ‘증류하다’</t>
  </si>
  <si>
    <t>증류하다</t>
  </si>
  <si>
    <t>They distill whiskey using traditional methods.</t>
  </si>
  <si>
    <t>They (          ) whiskey using traditional methods.</t>
  </si>
  <si>
    <t>destiny</t>
  </si>
  <si>
    <t>[déstəni]</t>
  </si>
  <si>
    <t>하늘에서 아래로(de) 내려오는 서있는(st) 것이니 ‘운명’</t>
  </si>
  <si>
    <t>운명</t>
  </si>
  <si>
    <t>Some people believe destiny determines their path in life.</t>
  </si>
  <si>
    <t>Some people believe (          ) determines their path in life.</t>
  </si>
  <si>
    <t>destination</t>
  </si>
  <si>
    <t>st(sto) &gt; destiny</t>
  </si>
  <si>
    <t>[dèstənéiʃən]</t>
  </si>
  <si>
    <t>운명(destine)의 끝이 바로 ‘목적지’</t>
  </si>
  <si>
    <t>목적지</t>
  </si>
  <si>
    <t>Paris is a popular tourist destination.</t>
  </si>
  <si>
    <t>Paris is a popular tourist (          ).</t>
  </si>
  <si>
    <t>assist</t>
  </si>
  <si>
    <t>sist</t>
  </si>
  <si>
    <r>
      <rPr>
        <sz val="12"/>
        <color indexed="8"/>
        <rFont val="Apple SD 산돌고딕 Neo 일반체"/>
      </rPr>
      <t>sist</t>
    </r>
  </si>
  <si>
    <t>[əsíst]</t>
  </si>
  <si>
    <t>같은(as) 한 몸 처럼 서서(sist) ‘도와주다’</t>
  </si>
  <si>
    <t>도와주다</t>
  </si>
  <si>
    <t>The nurse will assist the doctor during surgery.</t>
  </si>
  <si>
    <t>The nurse will (          ) the doctor during surgery.</t>
  </si>
  <si>
    <t>consist</t>
  </si>
  <si>
    <t>[kənsíst]</t>
  </si>
  <si>
    <t>함께(con) 서 있으니(sist) ‘구성되다’</t>
  </si>
  <si>
    <t>구성되다</t>
  </si>
  <si>
    <t>The committee consists of five members.</t>
  </si>
  <si>
    <t>The committee (          )s of five members.</t>
  </si>
  <si>
    <t>consistent</t>
  </si>
  <si>
    <t>sist &gt; consist</t>
  </si>
  <si>
    <t>[kənsístənt]</t>
  </si>
  <si>
    <t>구성(consist)되어 안에 서 있으니(ent) ‘지속되는, 일관된’</t>
  </si>
  <si>
    <t>지속되는, 일관된</t>
  </si>
  <si>
    <t>Her work is of consistent high quality.</t>
  </si>
  <si>
    <t>Her work is of (          ) high quality.</t>
  </si>
  <si>
    <t>exist</t>
  </si>
  <si>
    <t>sist(ist)</t>
  </si>
  <si>
    <t>[igzíst]</t>
  </si>
  <si>
    <t>밖에(ex) + 서 있다(ist-sist) = ‘존재하다’</t>
  </si>
  <si>
    <t>존재하다</t>
  </si>
  <si>
    <t>Does life exist on other planets?</t>
  </si>
  <si>
    <t>Does life (          ) on other planets?</t>
  </si>
  <si>
    <t>insist</t>
  </si>
  <si>
    <t>[insíst]</t>
  </si>
  <si>
    <t>어떤 입장 속에(in) 서 있으니(sist) ‘주장하다’</t>
  </si>
  <si>
    <t>She insisted on paying for dinner.</t>
  </si>
  <si>
    <t>She (          )ed on paying for dinner.</t>
  </si>
  <si>
    <t>persist</t>
  </si>
  <si>
    <t>[pərsíst]</t>
  </si>
  <si>
    <t>완전하고 철저하게(per-perfect) 서 있으니(sist) 끝까지 ‘주장하다, 고집하다’</t>
  </si>
  <si>
    <t>주장하다, 고집하다</t>
  </si>
  <si>
    <t>The problem persists despite our efforts to solve it.</t>
  </si>
  <si>
    <t>The problem (          )s despite our efforts to solve it.</t>
  </si>
  <si>
    <t>resist</t>
  </si>
  <si>
    <t>[rizíst]</t>
  </si>
  <si>
    <t>반대해서(re) 서서(sist) ‘저항하다’</t>
  </si>
  <si>
    <t>저항하다</t>
  </si>
  <si>
    <t>It's difficult to resist chocolate when you're on a diet.</t>
  </si>
  <si>
    <t>It's difficult to (          ) chocolate when you're on a diet.</t>
  </si>
  <si>
    <t>resistance</t>
  </si>
  <si>
    <t>sist &gt; resist</t>
  </si>
  <si>
    <t>[rizístəns]</t>
  </si>
  <si>
    <t>저항하다(resist) + 명사(ance) = ‘저항’</t>
  </si>
  <si>
    <t>저항</t>
  </si>
  <si>
    <t>The bacteria developed resistance to antibiotics.</t>
  </si>
  <si>
    <t>The bacteria developed (          ) to antibiotics.</t>
  </si>
  <si>
    <t>irresistible</t>
  </si>
  <si>
    <t>sist &gt; resist &gt; resistible</t>
  </si>
  <si>
    <t>[ìrizístəbl]</t>
  </si>
  <si>
    <t>반대의(ir) + 저항 할 수 있는(resistible) = ‘저항할 수 없는’</t>
  </si>
  <si>
    <t>저항할 수 없는</t>
  </si>
  <si>
    <t>The smell of freshly baked bread is irresistible.</t>
  </si>
  <si>
    <t>The smell of freshly baked bread is (          ).</t>
  </si>
  <si>
    <t>institute</t>
  </si>
  <si>
    <t>stitute</t>
  </si>
  <si>
    <r>
      <rPr>
        <sz val="12"/>
        <color indexed="8"/>
        <rFont val="Apple SD 산돌고딕 Neo 일반체"/>
      </rPr>
      <t>stitute</t>
    </r>
  </si>
  <si>
    <t>[ínstətjùːt]</t>
  </si>
  <si>
    <t>안에(in) 설치하니(stitute) ‘설치하다, 제정하다, 설립하다, 연구소’</t>
  </si>
  <si>
    <t>설치하다, 제정하다, 설립하다, 연구소</t>
  </si>
  <si>
    <t>The research institute studies climate change.</t>
  </si>
  <si>
    <t>The research (          ) studies climate change.</t>
  </si>
  <si>
    <t>constitute</t>
  </si>
  <si>
    <t>[kάnstətjùːt]</t>
  </si>
  <si>
    <t>함께(con) 설치하니(stitute) ‘구성하다’</t>
  </si>
  <si>
    <t>구성하다</t>
  </si>
  <si>
    <t>These three states constitute the tri-state area.</t>
  </si>
  <si>
    <t>These three states (          ) the tri-state area.</t>
  </si>
  <si>
    <t>substitute</t>
  </si>
  <si>
    <t>[sΛbstətjùːt]</t>
  </si>
  <si>
    <t>아래쪽(sub)에 예비로 설치된(stitute) 것을 사용하니 ‘대체하다, 대용품’</t>
  </si>
  <si>
    <t>대체하다, 대용품</t>
  </si>
  <si>
    <t>The teacher found a substitute to cover her class.</t>
  </si>
  <si>
    <t>The teacher found a (          ) to cover her class.</t>
  </si>
  <si>
    <t>structure</t>
  </si>
  <si>
    <t>struct</t>
  </si>
  <si>
    <r>
      <rPr>
        <sz val="12"/>
        <color indexed="8"/>
        <rFont val="Apple SD 산돌고딕 Neo 일반체"/>
      </rPr>
      <t>struct</t>
    </r>
  </si>
  <si>
    <t>[strΛkʧər]</t>
  </si>
  <si>
    <t>구조(struct)를 세우는데 더 아래쪽을(u) 힘있게(r) 해야하는 ‘구조, 구성, 구조물’</t>
  </si>
  <si>
    <t>구조, 구성, 구조물</t>
  </si>
  <si>
    <t>The internal structure of the building is very strong.</t>
  </si>
  <si>
    <t>The internal (          ) of the building is very strong.</t>
  </si>
  <si>
    <t>instruct</t>
  </si>
  <si>
    <t>[instrΛkt]</t>
  </si>
  <si>
    <t>머리 속에서(in) 구조적(struct-structure)으로 생각해 ‘지시하다, 교육하다’</t>
  </si>
  <si>
    <t>지시하다, 교육하다</t>
  </si>
  <si>
    <t>The professor will instruct students in advanced calculus.</t>
  </si>
  <si>
    <t>The professor will (          ) students in advanced calculus.</t>
  </si>
  <si>
    <t>obstruct</t>
  </si>
  <si>
    <t>[əbstrΛkt]</t>
  </si>
  <si>
    <t>반대하는(ob) 것이 앞에 세워지는 구조물 (struct-structure)이니 ‘막다, 방해하다’</t>
  </si>
  <si>
    <t>막다, 방해하다</t>
  </si>
  <si>
    <t>Fallen trees obstruct the road after the storm.</t>
  </si>
  <si>
    <t>Fallen trees (          ) the road after the storm.</t>
  </si>
  <si>
    <t>destructive</t>
  </si>
  <si>
    <t>[distrΛktiv]</t>
  </si>
  <si>
    <t>아래로(de) 부수는 것이 구조(struct)이니 ‘파괴적인’</t>
  </si>
  <si>
    <t>파괴적인</t>
  </si>
  <si>
    <t>The hurricane was highly destructive to coastal areas.</t>
  </si>
  <si>
    <t>The hurricane was highly (          ) to coastal areas.</t>
  </si>
  <si>
    <t>construct</t>
  </si>
  <si>
    <t>[kənstrΛkt]</t>
  </si>
  <si>
    <t>함께(con) 자료들을 가지고 구조를(struct) 만드니 ‘조립하다, 건설하다’</t>
  </si>
  <si>
    <t>조립하다, 건설하다</t>
  </si>
  <si>
    <t>The company will construct a new office building.</t>
  </si>
  <si>
    <t>The company will (          ) a new office building.</t>
  </si>
  <si>
    <t>exalt</t>
  </si>
  <si>
    <t>alt</t>
  </si>
  <si>
    <r>
      <rPr>
        <sz val="12"/>
        <color indexed="8"/>
        <rFont val="Apple SD 산돌고딕 Neo 일반체"/>
      </rPr>
      <t>alt</t>
    </r>
  </si>
  <si>
    <t>[igzɔ́ːlt]</t>
  </si>
  <si>
    <t>밖으로(ex)까지 높이니(alt) ‘높이다, 칭송하다, 찬미하다’</t>
  </si>
  <si>
    <t>높이다, 칭송하다, 찬미하다</t>
  </si>
  <si>
    <t>The poem exalts the beauty of nature.</t>
  </si>
  <si>
    <t>The poem (          )s the beauty of nature.</t>
  </si>
  <si>
    <t>exalted</t>
  </si>
  <si>
    <t>alt &gt; exalt</t>
  </si>
  <si>
    <t>[igzɔ́ːltid]</t>
  </si>
  <si>
    <t>높이다, 찬미하다(exalt) + 되어진(ed) = ‘고귀한, 신분이 높은’</t>
  </si>
  <si>
    <t>고귀한, 신분이 높은</t>
  </si>
  <si>
    <t>The king holds an exalted position in society.</t>
  </si>
  <si>
    <t>The king holds an (          ) position in society.</t>
  </si>
  <si>
    <t>altar</t>
  </si>
  <si>
    <t>[ɔ́ːltər]</t>
  </si>
  <si>
    <t>높이(alf) 권위와 힘을(r) 상징하게 세워 놓은 ‘제단’</t>
  </si>
  <si>
    <t>제단</t>
  </si>
  <si>
    <t>The bride and groom stood before the altar.</t>
  </si>
  <si>
    <t>The bride and groom stood before the (          ).</t>
  </si>
  <si>
    <t>altitude</t>
  </si>
  <si>
    <t>[ǽltətjùːd]</t>
  </si>
  <si>
    <t>높은 곳에(alt) 서면(t) 아래가(ud) 내려다 보이는 ‘고도’</t>
  </si>
  <si>
    <t>고도</t>
  </si>
  <si>
    <t>Pilots must monitor their altitude during flight.</t>
  </si>
  <si>
    <t>Pilots must monitor their (          ) during flight.</t>
  </si>
  <si>
    <t>alter</t>
  </si>
  <si>
    <t>달라지게(alt) 힘을(er) 가하니 ‘바꾸다, 변경하다’</t>
  </si>
  <si>
    <t>바꾸다, 변경하다</t>
  </si>
  <si>
    <t>Climate change will alter weather patterns worldwide.</t>
  </si>
  <si>
    <t>Climate change will (          ) weather patterns worldwide.</t>
  </si>
  <si>
    <t>alternate</t>
  </si>
  <si>
    <t>alt &gt; alter</t>
  </si>
  <si>
    <t>[ɔ́ːltərnèit, ǽl-｜ɔ́ːl-]</t>
  </si>
  <si>
    <t>바꾸는(alter) 성질을(nate-nature) 가졌으니 ‘번갈아 일어나다, 교체하다’</t>
  </si>
  <si>
    <t>번갈아 일어나다, 교체하다</t>
  </si>
  <si>
    <t>Take alternate routes to avoid traffic congestion.</t>
  </si>
  <si>
    <t>Take (          ) routes to avoid traffic congestion.</t>
  </si>
  <si>
    <t>alternative</t>
  </si>
  <si>
    <t>alt &gt; alter &gt; alternate</t>
  </si>
  <si>
    <t>[ɔːltə́ːrnətiv, æltə́ːrnətiv]</t>
  </si>
  <si>
    <t>교체(alternate)가 가능한 ‘대안, 대체의, 양자 택일의’</t>
  </si>
  <si>
    <t>대안, 대체의, 양자 택일의</t>
  </si>
  <si>
    <t>Consider alternative sources of energy such as solar power.</t>
  </si>
  <si>
    <t>Consider (          ) sources of energy such as solar power.</t>
  </si>
  <si>
    <t>altruism</t>
  </si>
  <si>
    <t>[ǽltruːìzm]</t>
  </si>
  <si>
    <t>다른(alt) 이를 위한 주의(ism)이니 ‘이타주의’</t>
  </si>
  <si>
    <t>이타주의</t>
  </si>
  <si>
    <t>Her altruism led her to volunteer at the homeless shelter.</t>
  </si>
  <si>
    <t>Her (          ) led her to volunteer at the homeless shelter.</t>
  </si>
  <si>
    <t>artisan</t>
  </si>
  <si>
    <t>art</t>
  </si>
  <si>
    <r>
      <rPr>
        <sz val="12"/>
        <color indexed="8"/>
        <rFont val="Apple SD 산돌고딕 Neo 일반체"/>
      </rPr>
      <t>art</t>
    </r>
  </si>
  <si>
    <t>[άːrtizən]</t>
  </si>
  <si>
    <t>예술(art) 작품을 만드는 사람(an)이니 ‘장인, 기능공’</t>
  </si>
  <si>
    <t>장인, 기능공</t>
  </si>
  <si>
    <t>The artisan crafts beautiful pottery by hand.</t>
  </si>
  <si>
    <t>The (          ) crafts beautiful pottery by hand.</t>
  </si>
  <si>
    <t>사람이 예술(art)작품을 만들려고(fic) 하니 ‘인공적인, 인조의’</t>
  </si>
  <si>
    <t>인공적인, 인조의</t>
  </si>
  <si>
    <t>article</t>
  </si>
  <si>
    <t>[άːrtikl]</t>
  </si>
  <si>
    <t>멋지게(art) 잡아서(c) 글로 쓴 ‘기사’</t>
  </si>
  <si>
    <t>기사</t>
  </si>
  <si>
    <t>I read an interesting article about space exploration.</t>
  </si>
  <si>
    <t>I read an interesting (          ) about space exploration.</t>
  </si>
  <si>
    <t>artery</t>
  </si>
  <si>
    <t>[άːrtəri]</t>
  </si>
  <si>
    <t>창조주가 멋지게 만들었는데(art) 힘있게(r) 확장(y)되어 나아가는 ‘동맥’</t>
  </si>
  <si>
    <t>동맥</t>
  </si>
  <si>
    <t>The main artery into the city is congested during rush hour.</t>
  </si>
  <si>
    <t>The main (          ) into the city is congested during rush hour.</t>
  </si>
  <si>
    <t>vein</t>
  </si>
  <si>
    <t>v</t>
  </si>
  <si>
    <r>
      <rPr>
        <sz val="12"/>
        <color indexed="8"/>
        <rFont val="Apple SD 산돌고딕 Neo 일반체"/>
      </rPr>
      <t>v</t>
    </r>
  </si>
  <si>
    <t>[vein]</t>
  </si>
  <si>
    <t>갈라진 틈(v) 안(in)으로 피가 흐르는 ‘정맥’</t>
  </si>
  <si>
    <t>정맥</t>
  </si>
  <si>
    <t>The nurse had difficulty finding a vein for the injection.</t>
  </si>
  <si>
    <t>The nurse had difficulty finding a (          ) for the injection.</t>
  </si>
  <si>
    <t>tail</t>
  </si>
  <si>
    <r>
      <rPr>
        <sz val="12"/>
        <color indexed="8"/>
        <rFont val="Apple SD 산돌고딕 Neo 일반체"/>
      </rPr>
      <t>tail</t>
    </r>
  </si>
  <si>
    <t>[teil]</t>
  </si>
  <si>
    <t>나아가는데(t) 하나의(a) 뭔가가 몸 안에서(i) 부터 길게(l) 나오는 ‘꼬리’</t>
  </si>
  <si>
    <t>꼬리</t>
  </si>
  <si>
    <t>The dog wagged its tail happily.</t>
  </si>
  <si>
    <t>The dog wagged its (          ) happily.</t>
  </si>
  <si>
    <t>tailor</t>
  </si>
  <si>
    <t>[téilər]</t>
  </si>
  <si>
    <t>제비 꼬리(tail) 같은 긴 양복을 만드는 사람(or)은 ‘재봉사’</t>
  </si>
  <si>
    <t>재봉사</t>
  </si>
  <si>
    <t>The tailor altered the suit to fit perfectly.</t>
  </si>
  <si>
    <t>The (          ) altered the suit to fit perfectly.</t>
  </si>
  <si>
    <t>detail</t>
  </si>
  <si>
    <t>[ditéil, díːteil]</t>
  </si>
  <si>
    <t>아래로(de) 내려가 자세히 꼬리(tail) 부분까지 ‘상술하다, 열거하다, 세부, 항목’</t>
  </si>
  <si>
    <t>상술하다, 열거하다, 세부, 항목</t>
  </si>
  <si>
    <t>Pay attention to every detail in the contract.</t>
  </si>
  <si>
    <t>Pay attention to every (          ) in the contract.</t>
  </si>
  <si>
    <t>curtail</t>
  </si>
  <si>
    <t>[kəːrtéil]</t>
  </si>
  <si>
    <t>자르다(cur-cut) + 꼬리(tail) = ‘짧게 줄이다’</t>
  </si>
  <si>
    <t>짧게 줄이다</t>
  </si>
  <si>
    <t>Budget cuts forced the school to curtail some programs.</t>
  </si>
  <si>
    <t>Budget cuts forced the school to (          ) some programs.</t>
  </si>
  <si>
    <t>retail</t>
  </si>
  <si>
    <t>[ríːteil]</t>
  </si>
  <si>
    <t>도매에서 다시(re) 판매를 통해 꼬리(tail) 단계 (마지막 단계)의 판매형태인 ‘소매의’</t>
  </si>
  <si>
    <t>소매의</t>
  </si>
  <si>
    <t>The shoes are available at retail stores nationwide.</t>
  </si>
  <si>
    <t>The shoes are available at (          ) stores nationwide.</t>
  </si>
  <si>
    <t>wholesale</t>
  </si>
  <si>
    <t>sale</t>
  </si>
  <si>
    <r>
      <rPr>
        <sz val="12"/>
        <color indexed="8"/>
        <rFont val="Apple SD 산돌고딕 Neo 일반체"/>
      </rPr>
      <t>sale</t>
    </r>
  </si>
  <si>
    <t>[houˈlseiˌl]</t>
  </si>
  <si>
    <t>크게 잡아 전체(whole)적으로 한꺼번에 많이 파는(sale) 대규모이니 ‘도매의’</t>
  </si>
  <si>
    <t>도매의</t>
  </si>
  <si>
    <t>Restaurants buy food at wholesale prices.</t>
  </si>
  <si>
    <t>Restaurants buy food at (          ) prices.</t>
  </si>
  <si>
    <t>architect</t>
  </si>
  <si>
    <t>tect</t>
  </si>
  <si>
    <r>
      <rPr>
        <sz val="12"/>
        <color indexed="8"/>
        <rFont val="Apple SD 산돌고딕 Neo 일반체"/>
      </rPr>
      <t>tect</t>
    </r>
  </si>
  <si>
    <t>[άːrkətèkt]</t>
  </si>
  <si>
    <t>위에서 덮는(arch) 지붕과 건물 안(i)과 둘레를 덮는(tect) 벽으로 이루어지도록 ‘건축하다’</t>
  </si>
  <si>
    <t>건축하다</t>
  </si>
  <si>
    <t>The architect designed the award-winning museum.</t>
  </si>
  <si>
    <t>The (          ) designed the award-winning museum.</t>
  </si>
  <si>
    <t>protect</t>
  </si>
  <si>
    <t>[prətékt]</t>
  </si>
  <si>
    <t>앞으로(pro) 나아가 덮어주니(tect) ‘보호하다’</t>
  </si>
  <si>
    <t>보호하다</t>
  </si>
  <si>
    <t>Sunscreen helps protect your skin from damage.</t>
  </si>
  <si>
    <t>Sunscreen helps (          ) your skin from damage.</t>
  </si>
  <si>
    <t>tend</t>
  </si>
  <si>
    <r>
      <rPr>
        <sz val="12"/>
        <color indexed="8"/>
        <rFont val="Apple SD 산돌고딕 Neo 일반체"/>
      </rPr>
      <t>tend</t>
    </r>
  </si>
  <si>
    <t>[tend]</t>
  </si>
  <si>
    <t>나아가서(t) 끝까지(end) ‘뻗다, 경향이 있다’</t>
  </si>
  <si>
    <t>뻗다, 경향이 있다</t>
  </si>
  <si>
    <t>Nurses tend to patients in the hospital.</t>
  </si>
  <si>
    <t>Nurses (          ) to patients in the hospital.</t>
  </si>
  <si>
    <t>trend</t>
  </si>
  <si>
    <t>[trend]</t>
  </si>
  <si>
    <t>하는 경향이 있는데(tend) 힘이(r) 가해져 생긴 ‘경향, 추세, 유행’</t>
  </si>
  <si>
    <t>경향, 추세, 유행</t>
  </si>
  <si>
    <t>The current trend in fashion is eco-friendly clothing.</t>
  </si>
  <si>
    <t>The current (          ) in fashion is eco-friendly clothing.</t>
  </si>
  <si>
    <t>intend</t>
  </si>
  <si>
    <t>[inténd]</t>
  </si>
  <si>
    <t>안에(in) 할려는 경향(tend-trend)이 있으니 ‘할 작정이다, 의도하다’</t>
  </si>
  <si>
    <t>할 작정이다, 의도하다</t>
  </si>
  <si>
    <t>I intend to finish this project by Friday.</t>
  </si>
  <si>
    <t>I (          ) to finish this project by Friday.</t>
  </si>
  <si>
    <t>pretend</t>
  </si>
  <si>
    <t>[priténd]</t>
  </si>
  <si>
    <t>먼저(pre) 거짓으로 무언가를 하려는 경향이(tend) 있으니 ‘인체하다’</t>
  </si>
  <si>
    <t>인체하다</t>
  </si>
  <si>
    <t>Children often pretend to be their favorite superheroes.</t>
  </si>
  <si>
    <t>Children often (          ) to be their favorite superheroes.</t>
  </si>
  <si>
    <t>attend</t>
  </si>
  <si>
    <t>[əténd]</t>
  </si>
  <si>
    <t>지정한(at) 장소로 몸을 뻗어(tend) 나가니 ‘출석하다’</t>
  </si>
  <si>
    <t>출석하다</t>
  </si>
  <si>
    <t>Will you attend the conference next week?</t>
  </si>
  <si>
    <t>Will you (          ) the conference next week?</t>
  </si>
  <si>
    <t>attention</t>
  </si>
  <si>
    <t>tend &gt; attend</t>
  </si>
  <si>
    <t>[əténʃən]</t>
  </si>
  <si>
    <t>수업에 출석(attend)하면 있어야 하는 ‘주의, 집중’</t>
  </si>
  <si>
    <t>주의, 집중</t>
  </si>
  <si>
    <t>The teacher called for the students' attention.</t>
  </si>
  <si>
    <t>The teacher called for the students' (          ).</t>
  </si>
  <si>
    <t>contend</t>
  </si>
  <si>
    <t>[kənténd]</t>
  </si>
  <si>
    <t>서로 함께(con) 손을 뻗어(tend) 가지려 하니 ‘경쟁하다, 싸우다’</t>
  </si>
  <si>
    <t>경쟁하다, 싸우다</t>
  </si>
  <si>
    <t>Several teams contend for the championship each year.</t>
  </si>
  <si>
    <t>Several teams (          ) for the championship each year.</t>
  </si>
  <si>
    <t>extend</t>
  </si>
  <si>
    <t>[iksténd]</t>
  </si>
  <si>
    <t>밖(ex)으로 뻗게(tend) 하니 ‘연장하다, 늘리다’</t>
  </si>
  <si>
    <t>연장하다, 늘리다</t>
  </si>
  <si>
    <t>The company will extend its hours during the holiday season.</t>
  </si>
  <si>
    <t>The company will (          ) its hours during the holiday season.</t>
  </si>
  <si>
    <t>extent</t>
  </si>
  <si>
    <t>tend &gt; extend</t>
  </si>
  <si>
    <t>[ikstént]</t>
  </si>
  <si>
    <t>연장하다, 늘리다(extend) + 명사(t) = ‘넓이, 크기, 범위, 정도’</t>
  </si>
  <si>
    <t>넓이, 크기, 범위, 정도</t>
  </si>
  <si>
    <t>I was surprised by the extent of the damage after the storm.</t>
  </si>
  <si>
    <t>I was surprised by the (          ) of the damage after the storm.</t>
  </si>
  <si>
    <t>extension</t>
  </si>
  <si>
    <t>[iksténʃən]</t>
  </si>
  <si>
    <t>연장하다, 늘리다(extend) + 명사(sion) = ‘연장, 확대, 확장’</t>
  </si>
  <si>
    <t>연장, 확대, 확장</t>
  </si>
  <si>
    <t>The library granted an extension on the due date.</t>
  </si>
  <si>
    <t>The library granted an (          ) on the due date.</t>
  </si>
  <si>
    <t>extensive</t>
  </si>
  <si>
    <t>[iksténsiv]</t>
  </si>
  <si>
    <t>연장하다, 늘리다(extend) + 형용사(sive) = ‘광범위한, 광대한’</t>
  </si>
  <si>
    <t>광범위한, 광대한</t>
  </si>
  <si>
    <t>The museum has an extensive collection of ancient artifacts.</t>
  </si>
  <si>
    <t>The museum has an (          ) collection of ancient artifacts.</t>
  </si>
  <si>
    <t>tension</t>
  </si>
  <si>
    <t>tend &gt; tense</t>
  </si>
  <si>
    <t>[ténʃən]</t>
  </si>
  <si>
    <t>팽팽하게(tense) 당겨진 것(ion)이니 ‘긴장, 팽팽 하게 하기’</t>
  </si>
  <si>
    <t>긴장, 팽팽 하게 하기</t>
  </si>
  <si>
    <t>There is tension between the two competing teams.</t>
  </si>
  <si>
    <t>There is (          ) between the two competing teams.</t>
  </si>
  <si>
    <t>intensify</t>
  </si>
  <si>
    <t>[inténsəfài]</t>
  </si>
  <si>
    <t>안을(in) 팽팽하게(tense) 만드니(fy) ‘강화시키다'</t>
  </si>
  <si>
    <t>The storm will intensify before reaching land.</t>
  </si>
  <si>
    <t>The storm will (          ) before reaching land.</t>
  </si>
  <si>
    <t>intensive</t>
  </si>
  <si>
    <t>tend &gt; tense &gt; intensify</t>
  </si>
  <si>
    <t>[inténsiv]</t>
  </si>
  <si>
    <t>강화시키다(intensify) + 형용사(ive) = ‘집중적인, 강한’</t>
  </si>
  <si>
    <t>집중적인, 강한</t>
  </si>
  <si>
    <t>Learning a language requires intensive study.</t>
  </si>
  <si>
    <t>Learning a language requires (          ) study.</t>
  </si>
  <si>
    <t>tour</t>
  </si>
  <si>
    <r>
      <rPr>
        <sz val="12"/>
        <color indexed="8"/>
        <rFont val="Apple SD 산돌고딕 Neo 일반체"/>
      </rPr>
      <t>tour</t>
    </r>
  </si>
  <si>
    <t>[tuər]</t>
  </si>
  <si>
    <t>나아가서(t) 둥근(o) 원을 따라 아래쪽으로(u) 세게(r) 돌게 되는 ‘여행, 관광, 투어’</t>
  </si>
  <si>
    <t>여행, 관광, 투어</t>
  </si>
  <si>
    <t>We took a guided tour of the historic castle.</t>
  </si>
  <si>
    <t>We took a guided (          ) of the historic castle.</t>
  </si>
  <si>
    <t>tourist</t>
  </si>
  <si>
    <t>[túərist]</t>
  </si>
  <si>
    <t>여행하는(tour) 사람(ist)이니 ‘관광객’</t>
  </si>
  <si>
    <t>관광객</t>
  </si>
  <si>
    <t>Many tourists visit Paris to see the Eiffel Tower.</t>
  </si>
  <si>
    <t>Many (          )s visit Paris to see the Eiffel Tower.</t>
  </si>
  <si>
    <t>detour</t>
  </si>
  <si>
    <t>[díːtuər]</t>
  </si>
  <si>
    <t>아래로(de) 내려가 돌아서(tour) 가니 ‘우회하다’</t>
  </si>
  <si>
    <t>우회하다</t>
  </si>
  <si>
    <t>The construction requires drivers to take a detour.</t>
  </si>
  <si>
    <t>The construction requires drivers to take a (          ).</t>
  </si>
  <si>
    <t>contour</t>
  </si>
  <si>
    <t>[kάntuər]</t>
  </si>
  <si>
    <t>어떤 물체의 전체(co) 둘레를(tour) 그리니 ‘윤곽, 외형’</t>
  </si>
  <si>
    <t>윤곽, 외형</t>
  </si>
  <si>
    <t>The contour of the land changes from flat plains to rolling hills.</t>
  </si>
  <si>
    <t>The (          ) of the land changes from flat plains to rolling hills.</t>
  </si>
  <si>
    <t>torch</t>
  </si>
  <si>
    <t>tour &gt; tor</t>
  </si>
  <si>
    <t>[tɔːrʧ]</t>
  </si>
  <si>
    <t>횃불 머리가 짚과 같은 재료들로 비틀어져(tor) 있고 손으로 잡을 수도(ch) 있는 ‘횃불’</t>
  </si>
  <si>
    <t>횃불</t>
  </si>
  <si>
    <t>The Olympic torch travels around the host country before the games.</t>
  </si>
  <si>
    <t>The Olympic (          ) travels around the host country before the games.</t>
  </si>
  <si>
    <t>torture</t>
  </si>
  <si>
    <t>[tɔ́ːrʧər]</t>
  </si>
  <si>
    <t>몸을 비틀어(tor) 고통스럽게 하니 ‘고문하다, 고문’</t>
  </si>
  <si>
    <t>고문하다, 고문</t>
  </si>
  <si>
    <t>The prisoner was subjected to torture during interrogation.</t>
  </si>
  <si>
    <t>The prisoner was subjected to (          ) during interrogation.</t>
  </si>
  <si>
    <t>distort</t>
  </si>
  <si>
    <t>tour &gt; tor(tort)</t>
  </si>
  <si>
    <t>[distɔ́ːrt]</t>
  </si>
  <si>
    <t>반대(diS)로 비트니(tort) ‘일그러지게 하다, 뒤틀다’</t>
  </si>
  <si>
    <t>일그러지게 하다, 뒤틀다</t>
  </si>
  <si>
    <t>The mirror can distort your reflection.</t>
  </si>
  <si>
    <t>The mirror can (          ) your reflection.</t>
  </si>
  <si>
    <t>distortion</t>
  </si>
  <si>
    <t>tour &gt; tor(tort) &gt; distort</t>
  </si>
  <si>
    <t>[distɔ́ːrʃən]</t>
  </si>
  <si>
    <t>일그러지게 하다(distort) + 명사(ion) = ‘왜곡’</t>
  </si>
  <si>
    <t>왜곡</t>
  </si>
  <si>
    <t>The old radio produces sound distortion.</t>
  </si>
  <si>
    <t>The old radio produces sound (          ).</t>
  </si>
  <si>
    <t>train</t>
  </si>
  <si>
    <t>tr</t>
  </si>
  <si>
    <r>
      <rPr>
        <sz val="12"/>
        <color indexed="8"/>
        <rFont val="Apple SD 산돌고딕 Neo 일반체"/>
      </rPr>
      <t>tr</t>
    </r>
  </si>
  <si>
    <t>[trein]</t>
  </si>
  <si>
    <t>이동(tr) 하는데 안(in)에 사람을 태우는 ‘열차, 기차’</t>
  </si>
  <si>
    <t>열차, 기차</t>
  </si>
  <si>
    <t>The train arrives at the station at 9:00 AM.</t>
  </si>
  <si>
    <t>The (          ) arrives at the station at 9:00 AM.</t>
  </si>
  <si>
    <t>tram</t>
  </si>
  <si>
    <t>[træm]</t>
  </si>
  <si>
    <t>서서(t) 힘있게(r) 움직여(m) 나가는 ‘시가 전차’</t>
  </si>
  <si>
    <t>시가 전차</t>
  </si>
  <si>
    <t>The tram provides convenient transportation in the city center.</t>
  </si>
  <si>
    <t>The (          ) provides convenient transportation in the city center.</t>
  </si>
  <si>
    <t>track</t>
  </si>
  <si>
    <t>[træk]</t>
  </si>
  <si>
    <t>이동할(tr)때 기차를 잡아주는(c) 역할을 하는 ‘궤도’</t>
  </si>
  <si>
    <t>궤도</t>
  </si>
  <si>
    <t>Athletes compete on the running track.</t>
  </si>
  <si>
    <t>Athletes compete on the running (          ).</t>
  </si>
  <si>
    <t>trail</t>
  </si>
  <si>
    <t>[treil]</t>
  </si>
  <si>
    <t>이동할(t)때 길게(l) 남기는 ‘자국, 흔적’</t>
  </si>
  <si>
    <t>자국, 흔적</t>
  </si>
  <si>
    <t>Hikers follow the trail through the forest.</t>
  </si>
  <si>
    <t>Hikers follow the (          ) through the forest.</t>
  </si>
  <si>
    <t>trailer</t>
  </si>
  <si>
    <t>tr &gt; trail</t>
  </si>
  <si>
    <t>[tréilər]</t>
  </si>
  <si>
    <t>발자국을(trail) 따라가는 존재(er)이니 ‘트레일러, 추적자, 사냥꾼’</t>
  </si>
  <si>
    <t>트레일러, 추적자, 사냥꾼</t>
  </si>
  <si>
    <t>The movie trailer made me want to see the film.</t>
  </si>
  <si>
    <t>The movie (          ) made me want to see the film.</t>
  </si>
  <si>
    <t>travel</t>
  </si>
  <si>
    <t>[trǽvəl]</t>
  </si>
  <si>
    <t>이동(t)하며 여행해 가며 갈라진 틈(v)의 계곡도 보고 멀리 멀리(l) 가보니 ‘여행하다’</t>
  </si>
  <si>
    <t>여행하다</t>
  </si>
  <si>
    <t>We travel to new countries whenever possible.</t>
  </si>
  <si>
    <t>We (          ) to new countries whenever possible.</t>
  </si>
  <si>
    <t>이동(t)을 만드는(fic) ‘교통, 교통흐름’</t>
  </si>
  <si>
    <t>교통, 교통흐름</t>
  </si>
  <si>
    <t>tradition</t>
  </si>
  <si>
    <t>[trədíʃən]</t>
  </si>
  <si>
    <t>이동(t)하는데 아래(d)세대로 지속적(on)으로 오는 것은 ‘전통’</t>
  </si>
  <si>
    <t>전통</t>
  </si>
  <si>
    <t>The family maintains the tradition of Sunday dinner together.</t>
  </si>
  <si>
    <t>The family maintains the (          ) of Sunday dinner together.</t>
  </si>
  <si>
    <t>tray</t>
  </si>
  <si>
    <t>[trei]</t>
  </si>
  <si>
    <t>이동(t)하는데 사용하는 ‘쟁반, 접시’</t>
  </si>
  <si>
    <t>쟁반, 접시</t>
  </si>
  <si>
    <t>The waiter carried drinks on a tray.</t>
  </si>
  <si>
    <t>The waiter carried drinks on a (          ).</t>
  </si>
  <si>
    <t>betray</t>
  </si>
  <si>
    <t>tr &gt; tray</t>
  </si>
  <si>
    <t>[bitréi]</t>
  </si>
  <si>
    <t>아군의 존재(be)를 접시(tray)에 담아서 배달하듯이 적군에게 넘기니 ‘배반하다’</t>
  </si>
  <si>
    <t>배반하다</t>
  </si>
  <si>
    <t>He would never betray a friend's confidence.</t>
  </si>
  <si>
    <t>He would never (          ) a friend's confidence.</t>
  </si>
  <si>
    <t>trac</t>
  </si>
  <si>
    <r>
      <rPr>
        <sz val="12"/>
        <color indexed="8"/>
        <rFont val="Apple SD 산돌고딕 Neo 일반체"/>
      </rPr>
      <t>trac</t>
    </r>
  </si>
  <si>
    <t>끌고(trac) 확장(k)해 생긴 ‘자국, 통로, 오솔길’</t>
  </si>
  <si>
    <t>자국, 통로, 오솔길</t>
  </si>
  <si>
    <t>trace</t>
  </si>
  <si>
    <t>[treis]</t>
  </si>
  <si>
    <t>끌고(trac) 지나간 자리이니 ‘발자국, 자취, 추적하다’</t>
  </si>
  <si>
    <t>발자국, 자취, 추적하다</t>
  </si>
  <si>
    <t>The detective found no trace of the missing jewels.</t>
  </si>
  <si>
    <t>The detective found no (          ) of the missing jewels.</t>
  </si>
  <si>
    <t>tractor</t>
  </si>
  <si>
    <t>trac &gt; tract</t>
  </si>
  <si>
    <t>[trǽktər]</t>
  </si>
  <si>
    <t>잡아끄는(tract) + 사람(or) = ‘트랙터, 끄는 것’</t>
  </si>
  <si>
    <t>트랙터, 끄는 것</t>
  </si>
  <si>
    <t>The farmer uses a tractor to plow the fields.</t>
  </si>
  <si>
    <t>The farmer uses a (          ) to plow the fields.</t>
  </si>
  <si>
    <t>attract</t>
  </si>
  <si>
    <t>[ətrǽkt]</t>
  </si>
  <si>
    <t>어떤 대상을 정확히 찍어서(at) 끌어당기니 (tract) ‘유혹하다, 유인하다’</t>
  </si>
  <si>
    <t>유혹하다, 유인하다</t>
  </si>
  <si>
    <t>Flowers attract bees with bright colors and sweet nectar.</t>
  </si>
  <si>
    <t>Flowers (          ) bees with bright colors and sweet nectar.</t>
  </si>
  <si>
    <t>extract</t>
  </si>
  <si>
    <t>[ikstrǽkt]</t>
  </si>
  <si>
    <t>밖(ex)으로 잡아 당기니(tract) ‘빼내다, 끌어내다’</t>
  </si>
  <si>
    <t>빼내다, 끌어내다</t>
  </si>
  <si>
    <t>Vanilla extract adds flavor to baked goods.</t>
  </si>
  <si>
    <t>Vanilla (          ) adds flavor to baked goods.</t>
  </si>
  <si>
    <t>subtract</t>
  </si>
  <si>
    <t>[səbtrǽkt]</t>
  </si>
  <si>
    <t>아래로(sub) 잡아끄니(tract) ‘빼다’</t>
  </si>
  <si>
    <t>빼다</t>
  </si>
  <si>
    <t>Subtract three from ten and you get seven.</t>
  </si>
  <si>
    <r>
      <rPr>
        <sz val="12"/>
        <color indexed="8"/>
        <rFont val="Arial"/>
      </rPr>
      <t>Subtract three from ten and you get seven.</t>
    </r>
  </si>
  <si>
    <t>contract</t>
  </si>
  <si>
    <t>[kάntrækt｜kɔ́n-]</t>
  </si>
  <si>
    <t>서로 함께(con) 자기에게 유리한 조건을 가져가 려고 끌어 당기는(tract) 것이니 ‘계약하다, 계약’</t>
  </si>
  <si>
    <t>계약하다, 계약</t>
  </si>
  <si>
    <t>The builder signed a contract for the new project.</t>
  </si>
  <si>
    <t>The builder signed a (          ) for the new project.</t>
  </si>
  <si>
    <t>abstract</t>
  </si>
  <si>
    <t>[æbstrǽkt]</t>
  </si>
  <si>
    <t>현실에서 떨어져(abs) 나오도록 끌어당기니(tact) ‘추상적인’</t>
  </si>
  <si>
    <t>추상적인</t>
  </si>
  <si>
    <t>The painting features abstract shapes and bold colors.</t>
  </si>
  <si>
    <t>The painting features (          ) shapes and bold colors.</t>
  </si>
  <si>
    <t>distract</t>
  </si>
  <si>
    <t>[distrǽkt]</t>
  </si>
  <si>
    <t>붙어 있던 것을 분리(dis)시켜서 끌어 당겨(tract) 분산시키니 ‘주의를 빼앗다, 산만하게 하다’</t>
  </si>
  <si>
    <t>주의를 빼앗다, 산만하게 하다</t>
  </si>
  <si>
    <t>Don't let your phone distract you while driving.</t>
  </si>
  <si>
    <t>Don't let your phone (          ) you while driving.</t>
  </si>
  <si>
    <t>distraction</t>
  </si>
  <si>
    <t>trac &gt; tract &gt; distract</t>
  </si>
  <si>
    <t>[distrǽkʃən]</t>
  </si>
  <si>
    <t>주의를 빼앗다(distract) + 명사(ion) = ‘기분전환, 주의 산만’</t>
  </si>
  <si>
    <t>기분전환, 주의 산만</t>
  </si>
  <si>
    <t>Social media can be a major distraction when studying.</t>
  </si>
  <si>
    <t>Social media can be a major (          ) when studying.</t>
  </si>
  <si>
    <t>transform</t>
  </si>
  <si>
    <t>trans</t>
  </si>
  <si>
    <r>
      <rPr>
        <sz val="12"/>
        <color indexed="8"/>
        <rFont val="Apple SD 산돌고딕 Neo 일반체"/>
      </rPr>
      <t>trans</t>
    </r>
  </si>
  <si>
    <t>[trænsfɔˈrm]</t>
  </si>
  <si>
    <t>옮기는(trans)것이 형태(form)이니 ‘변형시키다’</t>
  </si>
  <si>
    <t>변형시키다</t>
  </si>
  <si>
    <t>The company plans to transform its business model.</t>
  </si>
  <si>
    <t>The company plans to (          ) its business model.</t>
  </si>
  <si>
    <t>옮겨서(trans) 다른 곳으로 나르니(fer) ‘이동시 키다, 바꿔 타다’</t>
  </si>
  <si>
    <t>이동시 키다, 바꿔 타다</t>
  </si>
  <si>
    <t>해외로 옮기기(trans) 위해 항구로(port) 가져 가니 ‘수송하다, 옮기다’</t>
  </si>
  <si>
    <t>transplant</t>
  </si>
  <si>
    <t>[trænsplæˈnt]</t>
  </si>
  <si>
    <t>옮겨서(trans) 심으니(plant) ‘이식하다, 옮겨 심다’</t>
  </si>
  <si>
    <t>이식하다, 옮겨 심다</t>
  </si>
  <si>
    <t>The patient received a kidney transplant last year.</t>
  </si>
  <si>
    <t>The patient received a kidney (          ) last year.</t>
  </si>
  <si>
    <t>옮길 때(trans) 조금 늦어지는(Iate) 것이니 ‘번역하다’</t>
  </si>
  <si>
    <t>이동해서(trans) 부모가(parent) 되는 것(근원, 바탕)을 보게 하니 ‘투명한, 비쳐 보이는’</t>
  </si>
  <si>
    <t>투명한, 비쳐 보이는</t>
  </si>
  <si>
    <t>turn</t>
  </si>
  <si>
    <r>
      <rPr>
        <sz val="12"/>
        <color indexed="8"/>
        <rFont val="Apple SD 산돌고딕 Neo 일반체"/>
      </rPr>
      <t>turn</t>
    </r>
  </si>
  <si>
    <t>[təːrn]</t>
  </si>
  <si>
    <t>나아가는데(t) 아래쪽을(u) 향해 아래쪽에서 또 힘있게(r) 새롭게(n) 나오게 하니 ‘회전시키다, 돌리다, 틀다’</t>
  </si>
  <si>
    <t>회전시키다, 돌리다, 틀다</t>
  </si>
  <si>
    <t>Turn left at the next intersection.</t>
  </si>
  <si>
    <r>
      <rPr>
        <sz val="12"/>
        <color indexed="8"/>
        <rFont val="Arial"/>
      </rPr>
      <t>Turn left at the next intersection.</t>
    </r>
  </si>
  <si>
    <t>intern</t>
  </si>
  <si>
    <t>turn(tern)</t>
  </si>
  <si>
    <t>[intə́ːrn]</t>
  </si>
  <si>
    <t>안에서만(in) 회전하니(tern-turn) ‘인턴으로 근무하다’</t>
  </si>
  <si>
    <t>인턴으로 근무하다</t>
  </si>
  <si>
    <t>The medical intern works long hours at the hospital.</t>
  </si>
  <si>
    <t>The medical (          ) works long hours at the hospital.</t>
  </si>
  <si>
    <t>internal</t>
  </si>
  <si>
    <t>turn(tern) &gt; intern</t>
  </si>
  <si>
    <t>[intə́ːrnl]</t>
  </si>
  <si>
    <t>안에서 회전하다(inter) + 형용사(al) = ‘안의, 내부의’</t>
  </si>
  <si>
    <t>안의, 내부의</t>
  </si>
  <si>
    <t>The company conducted an internal review of its policies.</t>
  </si>
  <si>
    <t>The company conducted an (          ) review of its policies.</t>
  </si>
  <si>
    <t>internship</t>
  </si>
  <si>
    <t>[íntəːrnʃìp]</t>
  </si>
  <si>
    <t>인턴(intern)해야 하는 기간(ship)이니 ‘인턴, 인턴 연수 기간’
* 배를(ship) 타면 일정 기간 항해를 해야하니 기간의 뜻을 가진다</t>
  </si>
  <si>
    <t>인턴, 인턴 연수 기간</t>
  </si>
  <si>
    <t>The summer internship provides valuable work experience.</t>
  </si>
  <si>
    <t>The summer (          ) provides valuable work experience.</t>
  </si>
  <si>
    <t>eternal</t>
  </si>
  <si>
    <t>[itə́ːrnəl]</t>
  </si>
  <si>
    <t>입구를(e) 통해 들어가고 나가면 회전(tern-turn)하니 ‘영원의’</t>
  </si>
  <si>
    <t>영원의</t>
  </si>
  <si>
    <t>Some religions believe in eternal life after death.</t>
  </si>
  <si>
    <t>Some religions believe in (          ) life after death.</t>
  </si>
  <si>
    <t>return</t>
  </si>
  <si>
    <t>[ritə́ːrn]</t>
  </si>
  <si>
    <t>반대로(re) 회전(turn) 시키니 ‘돌아가다, 되돌아가다’</t>
  </si>
  <si>
    <t>돌아가다, 되돌아가다</t>
  </si>
  <si>
    <t>When do you plan to return from your trip?</t>
  </si>
  <si>
    <t>When do you plan to (          ) from your trip?</t>
  </si>
  <si>
    <t>trio</t>
  </si>
  <si>
    <t>tri</t>
  </si>
  <si>
    <r>
      <rPr>
        <sz val="12"/>
        <color indexed="8"/>
        <rFont val="Apple SD 산돌고딕 Neo 일반체"/>
      </rPr>
      <t>tri</t>
    </r>
  </si>
  <si>
    <t>[tríːou]</t>
  </si>
  <si>
    <t>세 명이(tri) 둥근(o) 입으로 노래하면 ‘3중주, 3인조’</t>
  </si>
  <si>
    <t>3중주, 3인조</t>
  </si>
  <si>
    <t>The musical trio performs jazz standards.</t>
  </si>
  <si>
    <t>The musical (          ) performs jazz standards.</t>
  </si>
  <si>
    <t>triangle</t>
  </si>
  <si>
    <t>[tráiӕŋgl]</t>
  </si>
  <si>
    <t>세 개의(tri) 각도(angle)로 이루어져 있는 ‘삼각형’</t>
  </si>
  <si>
    <t>삼각형</t>
  </si>
  <si>
    <t>A triangle has three sides and three angles.</t>
  </si>
  <si>
    <t>A (          ) has three sides and three angles.</t>
  </si>
  <si>
    <t>triple</t>
  </si>
  <si>
    <t>[trípl]</t>
  </si>
  <si>
    <t>세 개의(tri) 면을 더하니(pl-plus) ‘3중의, 세 겹의’</t>
  </si>
  <si>
    <t>3중의, 세 겹의</t>
  </si>
  <si>
    <t>The company tripled its profits last year.</t>
  </si>
  <si>
    <t>The company (          )d its profits last year.</t>
  </si>
  <si>
    <t>tribe</t>
  </si>
  <si>
    <t>[traib]</t>
  </si>
  <si>
    <t>이동해가서(tr) 한 사람(i)으로부터 자손들이 터져(b) 나온 ‘부족’</t>
  </si>
  <si>
    <t>부족</t>
  </si>
  <si>
    <t>The indigenous tribe has lived in this region for centuries.</t>
  </si>
  <si>
    <t>The indigenous (          ) has lived in this region for centuries.</t>
  </si>
  <si>
    <t>tribute</t>
  </si>
  <si>
    <t>[tríbjuːt]</t>
  </si>
  <si>
    <t>이동해가서(tr) 터트려서(b) 아래쪽에(u) 있는 사람들에게 ‘나누어 주다, 공물, 조공’</t>
  </si>
  <si>
    <t>나누어 주다, 공물, 조공</t>
  </si>
  <si>
    <t>The concert was a tribute to the legendary musician.</t>
  </si>
  <si>
    <t>The concert was a (          ) to the legendary musician.</t>
  </si>
  <si>
    <t>attribute</t>
  </si>
  <si>
    <t>tr &gt; tribute</t>
  </si>
  <si>
    <t>[ətríbjuːt]</t>
  </si>
  <si>
    <t>한 지점(at)을 향해 탓을 나누어 주니(tribute) ‘탓으로 돌리다, 덕분이라고 생각하다’</t>
  </si>
  <si>
    <t>탓으로 돌리다, 덕분이라고 생각하다</t>
  </si>
  <si>
    <t>We attribute our success to hard work and perseverance.</t>
  </si>
  <si>
    <t>We (          ) our success to hard work and perseverance.</t>
  </si>
  <si>
    <t>contribute</t>
  </si>
  <si>
    <t>[kəntríbjuːt]</t>
  </si>
  <si>
    <t>가진 것들을 함께(con) 모아서 나누어 주니(tribute) ‘기부하다’</t>
  </si>
  <si>
    <t>Please contribute to the fundraising campaign if possible.</t>
  </si>
  <si>
    <t>Please (          ) to the fundraising campaign if possible.</t>
  </si>
  <si>
    <t>distribute</t>
  </si>
  <si>
    <t>[distríbjuːt]</t>
  </si>
  <si>
    <t>분리(dis)시켜 나누어 주니(tribute) ‘분배하다’</t>
  </si>
  <si>
    <t>분배하다</t>
  </si>
  <si>
    <t>Volunteers distribute food to homeless people.</t>
  </si>
  <si>
    <t>Volunteers (          ) food to homeless people.</t>
  </si>
  <si>
    <t>distribution</t>
  </si>
  <si>
    <t>tr &gt; tribute &gt; distribute</t>
  </si>
  <si>
    <t>[dìstrəbjúːʃən]</t>
  </si>
  <si>
    <t>분배하다(distribute) + 명사(ion) = ‘분배, 배급, 배급품’</t>
  </si>
  <si>
    <t>분배, 배급, 배급품</t>
  </si>
  <si>
    <t>The book distribution spans over 50 countries.</t>
  </si>
  <si>
    <t>The book (          ) spans over 50 countries.</t>
  </si>
  <si>
    <t>chatter</t>
  </si>
  <si>
    <t>tter</t>
  </si>
  <si>
    <r>
      <rPr>
        <sz val="12"/>
        <color indexed="8"/>
        <rFont val="Apple SD 산돌고딕 Neo 일반체"/>
      </rPr>
      <t>tter</t>
    </r>
  </si>
  <si>
    <t>[ʧǽtər]</t>
  </si>
  <si>
    <t>잡고(ch) 있던 말이 흩어져(ter) 나가니 ‘재잘거리다’</t>
  </si>
  <si>
    <t>재잘거리다</t>
  </si>
  <si>
    <t>The chatter of excited children filled the playground.</t>
  </si>
  <si>
    <t>The (          ) of excited children filled the playground.</t>
  </si>
  <si>
    <t>가볍고(f) 빠르고 길게(l) 아부하는 말이 흩어져(tter) 튀어 나가니 ‘아부하다, 아첨하다’</t>
  </si>
  <si>
    <t>아부하다, 아첨하다</t>
  </si>
  <si>
    <t>빛(g)이 사방으로 흩어지니(tter) ‘반짝이다’</t>
  </si>
  <si>
    <t>shatter</t>
  </si>
  <si>
    <t>[ʃǽtər]</t>
  </si>
  <si>
    <t>부드럽게(sh) 흩어지게(tter) 하니 ‘분쇄하다, 산산이 부서지다’</t>
  </si>
  <si>
    <t>분쇄하다, 산산이 부서지다</t>
  </si>
  <si>
    <t>The glass vase will shatter if dropped on the floor.</t>
  </si>
  <si>
    <t>The glass vase will (          ) if dropped on the floor.</t>
  </si>
  <si>
    <t>부드럽게 잡는 표면(sc)에 흩어지게(tter) ‘뿌리다’</t>
  </si>
  <si>
    <t>litter</t>
  </si>
  <si>
    <t>[lítər]</t>
  </si>
  <si>
    <t>풀어져서(l) 흩어져(tter) 있는 것이니 ‘쓰레기’</t>
  </si>
  <si>
    <t>Please don't litter; use the trash cans provided.</t>
  </si>
  <si>
    <t>Please don't (          ); use the trash cans provided.</t>
  </si>
  <si>
    <t>utter</t>
  </si>
  <si>
    <t>[Λtər]</t>
  </si>
  <si>
    <t>아래쪽(u) 마음에 있는 말이 흩어져(tter) 나가니 ‘입 밖에 내다, 발언하다’</t>
  </si>
  <si>
    <t>입 밖에 내다, 발언하다</t>
  </si>
  <si>
    <t>She didn't utter a single word during the entire meeting.</t>
  </si>
  <si>
    <t>She didn't (          ) a single word during the entire meeting.</t>
  </si>
  <si>
    <t>mutter</t>
  </si>
  <si>
    <t>[mΛtər]</t>
  </si>
  <si>
    <t>움직이는 입(m-mouth)에서 흩어져(tter) 나가는 말이니 ‘투덜거리다’</t>
  </si>
  <si>
    <t>투덜거리다</t>
  </si>
  <si>
    <t>He began to mutter complaints under his breath.</t>
  </si>
  <si>
    <t>He began to (          ) complaints under his breath.</t>
  </si>
  <si>
    <t>stick</t>
  </si>
  <si>
    <t>sti</t>
  </si>
  <si>
    <r>
      <rPr>
        <sz val="12"/>
        <color indexed="8"/>
        <rFont val="Apple SD 산돌고딕 Neo 일반체"/>
      </rPr>
      <t>sti</t>
    </r>
  </si>
  <si>
    <t>[stik]</t>
  </si>
  <si>
    <t>찌르려고(sti) 잡고(c) 있는 것이니 ‘막대기, 찌르다’</t>
  </si>
  <si>
    <t>막대기, 찌르다</t>
  </si>
  <si>
    <t>Use a stick to support the young tree.</t>
  </si>
  <si>
    <t>Use a (          ) to support the young tree.</t>
  </si>
  <si>
    <t>sting</t>
  </si>
  <si>
    <t>[stiŋ]</t>
  </si>
  <si>
    <t>찌르는데(sti) 아픔이 진행(ing) 중이니 ‘쏘다’</t>
  </si>
  <si>
    <t>쏘다</t>
  </si>
  <si>
    <t>Be careful of bees that might sting when disturbed.</t>
  </si>
  <si>
    <t>Be careful of bees that might (          ) when disturbed.</t>
  </si>
  <si>
    <t>distinguish</t>
  </si>
  <si>
    <t>sti &gt; sting</t>
  </si>
  <si>
    <t>[distíŋgwiʃ]</t>
  </si>
  <si>
    <t>나누고(dis) 찔러서(sting) 표시해 ‘구분하다, 구별하다’</t>
  </si>
  <si>
    <t>구분하다, 구별하다</t>
  </si>
  <si>
    <t>It's difficult to distinguish between the identical twins.</t>
  </si>
  <si>
    <t>It's difficult to (          ) between the identical twins.</t>
  </si>
  <si>
    <t>distinguishable</t>
  </si>
  <si>
    <t>sti &gt; sting &gt; distinguish</t>
  </si>
  <si>
    <t>[distíŋgwiʃəbl]</t>
  </si>
  <si>
    <t>구별하다(distinguish) + 할 수 있는(able) = ‘구별할 수 있는’</t>
  </si>
  <si>
    <t>구별할 수 있는</t>
  </si>
  <si>
    <t>The fake painting was easily distinguishable from the original.</t>
  </si>
  <si>
    <t>The fake painting was easily (          ) from the original.</t>
  </si>
  <si>
    <t>distinguished</t>
  </si>
  <si>
    <t>[distíŋgwiʃt]</t>
  </si>
  <si>
    <t>구별하다(distinguish) + 형용사(p.p) = ‘구별된, 두드러진’</t>
  </si>
  <si>
    <t>구별된, 두드러진</t>
  </si>
  <si>
    <t>The distinguished professor received many academic awards.</t>
  </si>
  <si>
    <t>The (          ) professor received many academic awards.</t>
  </si>
  <si>
    <t>extinguish</t>
  </si>
  <si>
    <t>[ikstíŋgwiʃ]</t>
  </si>
  <si>
    <t>밖으로(ex) 찔러서(sting) 없어지게(s) 만드니 ‘불을 끄다, 소멸시키다’</t>
  </si>
  <si>
    <t>불을 끄다, 소멸시키다</t>
  </si>
  <si>
    <t>Firefighters worked to extinguish the forest fire.</t>
  </si>
  <si>
    <t>Firefighters worked to (          ) the forest fire.</t>
  </si>
  <si>
    <t>extinct</t>
  </si>
  <si>
    <t>sti &gt; sting &gt; extinguish</t>
  </si>
  <si>
    <t>[ikstíŋkt]</t>
  </si>
  <si>
    <t>밖(ex)으로 세워(t) 놓았더니 생명력이 없어져(n) ‘멸종한, 사라진’</t>
  </si>
  <si>
    <t>멸종한, 사라진</t>
  </si>
  <si>
    <t>Dinosaurs have been extinct for millions of years.</t>
  </si>
  <si>
    <t>Dinosaurs have been (          ) for millions of years.</t>
  </si>
  <si>
    <t>distinct</t>
  </si>
  <si>
    <t>sti &gt; sting &gt; extinct</t>
  </si>
  <si>
    <t>[distíŋkt]</t>
  </si>
  <si>
    <t>멸종(extinct)하기 전에 먼저 분리하니(dis) ‘구분되는, 뚜렷한’</t>
  </si>
  <si>
    <t>구분되는, 뚜렷한</t>
  </si>
  <si>
    <t>The two proposals are quite distinct in their approach.</t>
  </si>
  <si>
    <t>The two proposals are quite (          ) in their approach.</t>
  </si>
  <si>
    <t>instinct</t>
  </si>
  <si>
    <t>[ínstiŋkt]</t>
  </si>
  <si>
    <t>안(in)에 찌르면(stin-sting) 반응하는 ‘본능, 충동’</t>
  </si>
  <si>
    <t>본능, 충동</t>
  </si>
  <si>
    <t>A mother's instinct to protect her child is very strong.</t>
  </si>
  <si>
    <t>A mother's (          ) to protect her child is very strong.</t>
  </si>
  <si>
    <t>stir</t>
  </si>
  <si>
    <t>[stəːr]</t>
  </si>
  <si>
    <t>막대기 같은 것을 찔러(sti) 넣어서 힘있게(r) ‘뒤섞다, 휘젓다’</t>
  </si>
  <si>
    <t>뒤섞다, 휘젓다</t>
  </si>
  <si>
    <t>Stir the soup occasionally while it cooks.</t>
  </si>
  <si>
    <r>
      <rPr>
        <sz val="12"/>
        <color indexed="8"/>
        <rFont val="Arial"/>
      </rPr>
      <t>Stir the soup occasionally while it cooks.</t>
    </r>
  </si>
  <si>
    <t>stimulate</t>
  </si>
  <si>
    <t>[stímjulèit]</t>
  </si>
  <si>
    <t>찔러서(st) 움직이게(m) 하다 늦어서(late) 뒤쳐진 사람을 즉, ‘자극하다’</t>
  </si>
  <si>
    <t>자극하다</t>
  </si>
  <si>
    <t>Coffee can stimulate your brain and increase alertness.</t>
  </si>
  <si>
    <t>Coffee can (          ) your brain and increase alertness.</t>
  </si>
  <si>
    <t>stink</t>
  </si>
  <si>
    <t>[stiŋk]</t>
  </si>
  <si>
    <t>코를 찌르며(sti) 잉크(ink) 같은 ‘냄새가 나다’</t>
  </si>
  <si>
    <t>냄새가 나다</t>
  </si>
  <si>
    <t>Rotten eggs stink terribly.</t>
  </si>
  <si>
    <t>Rotten eggs (          ) terribly.</t>
  </si>
  <si>
    <t>estimate</t>
  </si>
  <si>
    <t>[éstəmèit]</t>
  </si>
  <si>
    <t>입구에서(e) 막대기로(sti) 크기를(m) ‘어림잡다, 평가하다’</t>
  </si>
  <si>
    <t>어림잡다, 평가하다</t>
  </si>
  <si>
    <t>The plumber will estimate the cost of repairs.</t>
  </si>
  <si>
    <t>The plumber will (          ) the cost of repairs.</t>
  </si>
  <si>
    <t>esteem</t>
  </si>
  <si>
    <t>sti(ste)</t>
  </si>
  <si>
    <t>[istíːm]</t>
  </si>
  <si>
    <t>입구에서(e) 막대기로(ste-sti) 크기를(m) 어림 잡아 ‘큰 사람을 존중하다, 존경하다’</t>
  </si>
  <si>
    <t>큰 사람을 존중하다, 존경하다</t>
  </si>
  <si>
    <t>The teacher holds her students in high esteem.</t>
  </si>
  <si>
    <t>The teacher holds her students in high (          ).</t>
  </si>
  <si>
    <t>stitch</t>
  </si>
  <si>
    <t>[stiʧ]</t>
  </si>
  <si>
    <t>바늘로 찔러서(st) 옷감을 실로 잡아두니(catch) ‘바느질하다’</t>
  </si>
  <si>
    <t>바느질하다</t>
  </si>
  <si>
    <t>The surgeon used small stitches to close the wound.</t>
  </si>
  <si>
    <t>The surgeon used small (          )es to close the wound.</t>
  </si>
  <si>
    <t>straight</t>
  </si>
  <si>
    <t>str(stra)</t>
  </si>
  <si>
    <r>
      <rPr>
        <sz val="12"/>
        <color indexed="8"/>
        <rFont val="Apple SD 산돌고딕 Neo 일반체"/>
      </rPr>
      <t>str</t>
    </r>
  </si>
  <si>
    <t>[streit]</t>
  </si>
  <si>
    <t>서서(st) 힘있게(r) 쭉 뻗으니 ‘곧은, 똑바른, 일직선의’</t>
  </si>
  <si>
    <t>곧은, 똑바른, 일직선의</t>
  </si>
  <si>
    <t>Draw a straight line between the two points.</t>
  </si>
  <si>
    <t>Draw a (          ) line between the two points.</t>
  </si>
  <si>
    <t>strait</t>
  </si>
  <si>
    <t>str(stra) &gt; strait(strate)</t>
  </si>
  <si>
    <t>길게 쭉 당기니(stra) 간격이 좁아지는 ‘해협, (특히 경제적인) 궁핍[곤경]’</t>
  </si>
  <si>
    <t>해협, (특히 경제적인) 궁핍[곤경]</t>
  </si>
  <si>
    <t>Ships navigate through the narrow strait between the islands.</t>
  </si>
  <si>
    <t>Ships navigate through the narrow (          ) between the islands.</t>
  </si>
  <si>
    <t>strategy</t>
  </si>
  <si>
    <t>[strǽtədʒi]</t>
  </si>
  <si>
    <t>해협을(strate-strait) 건너 싸우러 갈 때는 깊이(g) 세워야 할 ‘전략’</t>
  </si>
  <si>
    <t>전략</t>
  </si>
  <si>
    <t>The company developed a strategy to increase sales.</t>
  </si>
  <si>
    <t>The company developed a (          ) to increase sales.</t>
  </si>
  <si>
    <t>strap</t>
  </si>
  <si>
    <t>[stræp]</t>
  </si>
  <si>
    <t>길게 쭉 뻗은(stra) 줄로 폭(p) 튀어 나오는 것을 묶는 ‘가죽끈, 혁대’</t>
  </si>
  <si>
    <t>가죽끈, 혁대</t>
  </si>
  <si>
    <t>Fasten the strap on your helmet for safety.</t>
  </si>
  <si>
    <t>Fasten the (          ) on your helmet for safety.</t>
  </si>
  <si>
    <t>strain</t>
  </si>
  <si>
    <t>[strein]</t>
  </si>
  <si>
    <t>길게 쭉(stra) 안으로(in) ‘잡아당기다’</t>
  </si>
  <si>
    <t>잡아당기다</t>
  </si>
  <si>
    <t>The heavy lifting put strain on his back.</t>
  </si>
  <si>
    <t>The heavy lifting put (          ) on his back.</t>
  </si>
  <si>
    <t>constrain</t>
  </si>
  <si>
    <t>str(stra) &gt; strain</t>
  </si>
  <si>
    <t>[kənstréin]</t>
  </si>
  <si>
    <t>함께(con) 잡아당기니(strain) ‘강요하다, 억제하다’</t>
  </si>
  <si>
    <t>강요하다, 억제하다</t>
  </si>
  <si>
    <t>Budget limitations constrain our options.</t>
  </si>
  <si>
    <t>Budget limitations (          ) our options.</t>
  </si>
  <si>
    <t>restrain</t>
  </si>
  <si>
    <t>[ristréin]</t>
  </si>
  <si>
    <t>반대로(re) 잡아 당기니(strain) ‘제지하다’</t>
  </si>
  <si>
    <t>제지하다</t>
  </si>
  <si>
    <t>The security guards had to restrain the angry customer.</t>
  </si>
  <si>
    <t>The security guards had to (          ) the angry customer.</t>
  </si>
  <si>
    <t>straw</t>
  </si>
  <si>
    <t>[strɔː]</t>
  </si>
  <si>
    <t>길게 쭉 뻗어(stra) 있는데 안에 물, 바람과(w) 같은 것이 통과할 수 있는 ‘빨대, 짚’</t>
  </si>
  <si>
    <t>빨대, 짚</t>
  </si>
  <si>
    <t>She sipped her drink through a straw.</t>
  </si>
  <si>
    <t>She sipped her drink through a (          ).</t>
  </si>
  <si>
    <t>street</t>
  </si>
  <si>
    <t>str</t>
  </si>
  <si>
    <t>[striːt]</t>
  </si>
  <si>
    <t>가로수가 길게 쭉쭉 뻗어(str) 있고 계속(ee) 이어지는 ‘거리’</t>
  </si>
  <si>
    <t>거리</t>
  </si>
  <si>
    <t>Our house is on a quiet street with little traffic.</t>
  </si>
  <si>
    <t>Our house is on a quiet (          ) with little traffic.</t>
  </si>
  <si>
    <t>stream</t>
  </si>
  <si>
    <t>[striːm]</t>
  </si>
  <si>
    <t>쭉 뻗어나가면서(str) 움직이는(m) ‘시내, 흐름’</t>
  </si>
  <si>
    <t>시내, 흐름</t>
  </si>
  <si>
    <t>The stream flows down from the mountain.</t>
  </si>
  <si>
    <t>The (          ) flows down from the mountain.</t>
  </si>
  <si>
    <t>streak</t>
  </si>
  <si>
    <t>str(stre)</t>
  </si>
  <si>
    <t>[striːk]</t>
  </si>
  <si>
    <t>줄이(stre) 죽 확장(k)해서 나가는 ‘줄무늬’</t>
  </si>
  <si>
    <t>줄무늬</t>
  </si>
  <si>
    <t>The team has a winning streak of five games.</t>
  </si>
  <si>
    <t>The team has a winning (          ) of five games.</t>
  </si>
  <si>
    <t>stray</t>
  </si>
  <si>
    <t>[strei]</t>
  </si>
  <si>
    <t>긴 쭉 뻗은(stra-str) 줄 같이 확장(y)되어 여러 갈래로 있으니 ‘길을 잃다, 길을 잃은’</t>
  </si>
  <si>
    <t>길을 잃다, 길을 잃은</t>
  </si>
  <si>
    <t>The animal shelter takes care of stray dogs and cats.</t>
  </si>
  <si>
    <t>The animal shelter takes care of (          ) dogs and cats.</t>
  </si>
  <si>
    <t>stress</t>
  </si>
  <si>
    <t>[stres]</t>
  </si>
  <si>
    <t>길게 죽 뻗어서(stre) 보이지 않을(s) 정도의 길을 보면 느끼는 ‘압박, 긴장, 압력’</t>
  </si>
  <si>
    <t>압박, 긴장, 압력</t>
  </si>
  <si>
    <t>Job stress affects many people's health.</t>
  </si>
  <si>
    <t>Job (          ) affects many people's health.</t>
  </si>
  <si>
    <t>distress</t>
  </si>
  <si>
    <t>str(stre) &gt; stress</t>
  </si>
  <si>
    <t>[distrés]</t>
  </si>
  <si>
    <t>두개로(di) 늘어나는 스트레스(stress)이니 ‘고통, 괴로움’</t>
  </si>
  <si>
    <t>고통, 괴로움</t>
  </si>
  <si>
    <t>The ship sent a distress signal after hitting rocks.</t>
  </si>
  <si>
    <t>The ship sent a (          ) signal after hitting rocks.</t>
  </si>
  <si>
    <t>stretch</t>
  </si>
  <si>
    <t>[streʧ]</t>
  </si>
  <si>
    <t>길게 뻗어(stre) 나가도록 잡아서(ch) 늘이니 ‘펴다, 뻗다’</t>
  </si>
  <si>
    <t>펴다, 뻗다</t>
  </si>
  <si>
    <t>Remember to stretch before exercising.</t>
  </si>
  <si>
    <t>Remember to (          ) before exercising.</t>
  </si>
  <si>
    <t>stripe</t>
  </si>
  <si>
    <t>str(stri)</t>
  </si>
  <si>
    <t>[straip]</t>
  </si>
  <si>
    <t>길게 쭉 뻗은(stri) 무늬가 폭폭(p) 튀어나와 있 으니 ‘줄무늬, 스트라이프’</t>
  </si>
  <si>
    <t>줄무늬, 스트라이프</t>
  </si>
  <si>
    <t>The tiger's coat has distinctive black stripes.</t>
  </si>
  <si>
    <t>The tiger's coat has distinctive black (          )s.</t>
  </si>
  <si>
    <t>strip</t>
  </si>
  <si>
    <t>[strip]</t>
  </si>
  <si>
    <t>길게 쭉(stri) 당겨서 폭하고(p) 찢어지게 하니 ‘벗기다’</t>
  </si>
  <si>
    <t>They removed a strip of wallpaper along the edge.</t>
  </si>
  <si>
    <t>They removed a (          ) of wallpaper along the edge.</t>
  </si>
  <si>
    <t>stride</t>
  </si>
  <si>
    <t>[straid]</t>
  </si>
  <si>
    <t>쭉 뻗어(stri) 나가듯이 발을 뻗쳤다가 아래로(d) 발을 내려 가니 ‘성큼성큼 걷다’</t>
  </si>
  <si>
    <t>성큼성큼 걷다</t>
  </si>
  <si>
    <t>She walked with confident strides across the stage.</t>
  </si>
  <si>
    <t>She walked with confident (          )s across the stage.</t>
  </si>
  <si>
    <t>strike</t>
  </si>
  <si>
    <t>[straik]</t>
  </si>
  <si>
    <t>줄이나 채찍(stri) 같은 것을 길게 쭉 뻗어가며 확장(k)해 나가 ‘때리다’</t>
  </si>
  <si>
    <t>때리다</t>
  </si>
  <si>
    <t>The workers will strike for better wages.</t>
  </si>
  <si>
    <t>The workers will (          ) for better wages.</t>
  </si>
  <si>
    <t>stroke</t>
  </si>
  <si>
    <t>str(stri) &gt; strike</t>
  </si>
  <si>
    <t>[strouk]</t>
  </si>
  <si>
    <t>때리다(strike)의 명사형태로 ‘타격, 일격, 뇌졸중’</t>
  </si>
  <si>
    <t>타격, 일격, 뇌졸중</t>
  </si>
  <si>
    <t>The artist made a careful stroke with the brush.</t>
  </si>
  <si>
    <t>The artist made a careful (          ) with the brush.</t>
  </si>
  <si>
    <t>strict</t>
  </si>
  <si>
    <t>[strikt]</t>
  </si>
  <si>
    <t>쭉 뻗쳐서(stri) 잡아(c) 당기니 ‘엄격한, 엄한, 가혹한’</t>
  </si>
  <si>
    <t>엄격한, 엄한, 가혹한</t>
  </si>
  <si>
    <t>The school has strict rules about attendance.</t>
  </si>
  <si>
    <t>The school has (          ) rules about attendance.</t>
  </si>
  <si>
    <t>district</t>
  </si>
  <si>
    <t>str(stri) &gt; street(stri)</t>
  </si>
  <si>
    <t>[dístrikt]</t>
  </si>
  <si>
    <t>아래로 스윽 분리(dis)하여 각각거리(stri-street)별로 나눈 ‘지역, 지구’</t>
  </si>
  <si>
    <t>지역, 지구</t>
  </si>
  <si>
    <t>The city is divided into several school districts.</t>
  </si>
  <si>
    <t>The city is divided into several school (          )s.</t>
  </si>
  <si>
    <t>restrict</t>
  </si>
  <si>
    <t>str(stri) &gt; strict</t>
  </si>
  <si>
    <t>[ristríkt]</t>
  </si>
  <si>
    <t>반대로(re) 팽팽히 당기니(strict) ‘제한하다, 한정하다’</t>
  </si>
  <si>
    <t>제한하다, 한정하다</t>
  </si>
  <si>
    <t>The doctor advised me to restrict my sugar intake.</t>
  </si>
  <si>
    <t>The doctor advised me to (          ) my sugar intake.</t>
  </si>
  <si>
    <t>tack</t>
  </si>
  <si>
    <t>tac</t>
  </si>
  <si>
    <r>
      <rPr>
        <sz val="12"/>
        <color indexed="8"/>
        <rFont val="Apple SD 산돌고딕 Neo 일반체"/>
      </rPr>
      <t>tac</t>
    </r>
  </si>
  <si>
    <t>[tæk]</t>
  </si>
  <si>
    <t>접촉해서(tac) 붙는 힘을 확장(k)시켜주는 ‘납작한 못, 압정’</t>
  </si>
  <si>
    <t>납작한 못, 압정</t>
  </si>
  <si>
    <t>Use a tack to attach the notice to the bulletin board.</t>
  </si>
  <si>
    <t>Use a (          ) to attach the notice to the bulletin board.</t>
  </si>
  <si>
    <t>attack</t>
  </si>
  <si>
    <t>tac(tack)</t>
  </si>
  <si>
    <t>[ətǽk]</t>
  </si>
  <si>
    <t>한 지점에(at) 접촉(tack-tac)하여 ‘공격하다’</t>
  </si>
  <si>
    <t>공격하다</t>
  </si>
  <si>
    <t>The army will attack at dawn.</t>
  </si>
  <si>
    <t>The army will (          ) at dawn.</t>
  </si>
  <si>
    <t>attach</t>
  </si>
  <si>
    <t>[ətǽʧ]</t>
  </si>
  <si>
    <t>한 장소에(at) 접촉시켜(tac) 크게 잡히도록(h)하니 ‘붙이다, 첨부하다’</t>
  </si>
  <si>
    <t>붙이다, 첨부하다</t>
  </si>
  <si>
    <t>Attach the document to your email.</t>
  </si>
  <si>
    <r>
      <rPr>
        <sz val="12"/>
        <color indexed="8"/>
        <rFont val="Arial"/>
      </rPr>
      <t>Attach the document to your email.</t>
    </r>
  </si>
  <si>
    <t>detach</t>
  </si>
  <si>
    <t>[ditǽʧ]</t>
  </si>
  <si>
    <t>저하시키다(de) + 접촉된 상태(tach) = ‘떼어놓다, 분리시키다’</t>
  </si>
  <si>
    <t>떼어놓다, 분리시키다</t>
  </si>
  <si>
    <t>You can detach the cover for cleaning.</t>
  </si>
  <si>
    <t>You can (          ) the cover for cleaning.</t>
  </si>
  <si>
    <t>contact</t>
  </si>
  <si>
    <t>[kάntækt]</t>
  </si>
  <si>
    <t>함께(con) 접촉하기(tact) 위해 하는 ‘연락, 접촉’</t>
  </si>
  <si>
    <t>연락, 접촉</t>
  </si>
  <si>
    <t>I'll contact you as soon as I get more information.</t>
  </si>
  <si>
    <t>I'll (          ) you as soon as I get more information.</t>
  </si>
  <si>
    <t>tac &gt; tain</t>
  </si>
  <si>
    <t>주요한(main) 것을 붙잡아(tain)두니 ‘유지하다’</t>
  </si>
  <si>
    <t>continent</t>
  </si>
  <si>
    <t>tac &gt; tain(tin)</t>
  </si>
  <si>
    <t>[kάntənənt]</t>
  </si>
  <si>
    <t>땅들이 서로 함께(con) 잡고있으니(tin-tain) ‘땅들’</t>
  </si>
  <si>
    <t>땅들</t>
  </si>
  <si>
    <t>Africa is the second-largest continent by land area.</t>
  </si>
  <si>
    <t>Africa is the second-largest (          ) by land area.</t>
  </si>
  <si>
    <t>intangible</t>
  </si>
  <si>
    <t>tac &gt; tang</t>
  </si>
  <si>
    <t>[intǽndʒəbl]</t>
  </si>
  <si>
    <t>반대(in) + 만져서 알 수 있는(tangible) = ‘무형의, 만질 수 없는’</t>
  </si>
  <si>
    <t>무형의, 만질 수 없는</t>
  </si>
  <si>
    <t>Goodwill is an intangible asset for a business.</t>
  </si>
  <si>
    <t>Goodwill is an (          ) asset for a business.</t>
  </si>
  <si>
    <t>contain</t>
  </si>
  <si>
    <t>tain</t>
  </si>
  <si>
    <r>
      <rPr>
        <sz val="12"/>
        <color indexed="8"/>
        <rFont val="Apple SD 산돌고딕 Neo 일반체"/>
      </rPr>
      <t>tain</t>
    </r>
  </si>
  <si>
    <t>[kəntéin]</t>
  </si>
  <si>
    <t>함께(con) 다 잡아 두니(tain) ‘포함하다, 담고 있다’</t>
  </si>
  <si>
    <t>포함하다, 담고 있다</t>
  </si>
  <si>
    <t>This box contains fragile items.</t>
  </si>
  <si>
    <t>This box (          )s fragile items.</t>
  </si>
  <si>
    <t>obtain</t>
  </si>
  <si>
    <t>[əbtéin]</t>
  </si>
  <si>
    <t>둥근 곳에(o) 터져(b) 나가지 못하게 잡아 두니(tain) ‘손에 넣다, 획득하다’</t>
  </si>
  <si>
    <t>손에 넣다, 획득하다</t>
  </si>
  <si>
    <t>You can obtain a permit from the city office.</t>
  </si>
  <si>
    <t>You can (          ) a permit from the city office.</t>
  </si>
  <si>
    <t>detain</t>
  </si>
  <si>
    <t>[ditéin]</t>
  </si>
  <si>
    <t>행동을 저하(de)시키려고 잡아 두는(tain) 것은 ‘감금하다’</t>
  </si>
  <si>
    <t>감금하다</t>
  </si>
  <si>
    <t>Police detain suspects for questioning.</t>
  </si>
  <si>
    <t>Police (          ) suspects for questioning.</t>
  </si>
  <si>
    <t>retain</t>
  </si>
  <si>
    <t>[ritéin]</t>
  </si>
  <si>
    <t>쎄게(re) 잡아 두니(tain) ‘보유하다, 간직하다’</t>
  </si>
  <si>
    <t>보유하다, 간직하다</t>
  </si>
  <si>
    <t>The company works hard to retain talented employees.</t>
  </si>
  <si>
    <t>The company works hard to (          ) talented employees.</t>
  </si>
  <si>
    <t>sustain</t>
  </si>
  <si>
    <t>[səstéin]</t>
  </si>
  <si>
    <t>아래쪽(sus)에서 잡아주니(tain) ‘떠받치다, 지하다’</t>
  </si>
  <si>
    <t>떠받치다, 지하다</t>
  </si>
  <si>
    <t>These practices will help sustain natural resources.</t>
  </si>
  <si>
    <t>These practices will help (          ) natural resources.</t>
  </si>
  <si>
    <t>attain</t>
  </si>
  <si>
    <t>[ətéin]</t>
  </si>
  <si>
    <t>어떤 지점(at)을 잡으니(tain) ‘도달하다’</t>
  </si>
  <si>
    <t>도달하다</t>
  </si>
  <si>
    <t>It takes years of practice to attain mastery.</t>
  </si>
  <si>
    <t>It takes years of practice to (          ) mastery.</t>
  </si>
  <si>
    <t>abstain</t>
  </si>
  <si>
    <t>[æbstéin, əbstéin]</t>
  </si>
  <si>
    <t>터져(ab) 나가지 못하게 잡아두니(tain) ‘삼가하다, 억제하다’</t>
  </si>
  <si>
    <t>삼가하다, 억제하다</t>
  </si>
  <si>
    <t>Some people abstain from eating meat.</t>
  </si>
  <si>
    <t>Some people (          ) from eating meat.</t>
  </si>
  <si>
    <t>entertain</t>
  </si>
  <si>
    <t>[èntərtéin]</t>
  </si>
  <si>
    <t>안으로 들어오게(enter) 해서 잡아(tain) 두고 ‘즐겁게 하다’</t>
  </si>
  <si>
    <t>즐겁게 하다</t>
  </si>
  <si>
    <t>The comedian will entertain guests at the party.</t>
  </si>
  <si>
    <t>The comedian will (          ) guests at the party.</t>
  </si>
  <si>
    <t>continue</t>
  </si>
  <si>
    <t>tain(tin)</t>
  </si>
  <si>
    <t>[kəntínjuː]</t>
  </si>
  <si>
    <t>함께(con) 붙잡고(tin-tain) 있으니 ‘계속하다’</t>
  </si>
  <si>
    <t>계속하다</t>
  </si>
  <si>
    <t>The movie will continue after a short intermission.</t>
  </si>
  <si>
    <t>The movie will (          ) after a short intermission.</t>
  </si>
  <si>
    <t>discontinue</t>
  </si>
  <si>
    <t>tain(tin) &gt; continue</t>
  </si>
  <si>
    <t>[dìskəntínjuː]</t>
  </si>
  <si>
    <t>분리(dis) + 계속하다(continue) = ‘그만두다’</t>
  </si>
  <si>
    <t>그만두다</t>
  </si>
  <si>
    <t>The manufacturer decided to discontinue this model.</t>
  </si>
  <si>
    <t>The manufacturer decided to (          ) this model.</t>
  </si>
  <si>
    <t>tango</t>
  </si>
  <si>
    <t>tang</t>
  </si>
  <si>
    <r>
      <rPr>
        <sz val="12"/>
        <color indexed="8"/>
        <rFont val="Apple SD 산돌고딕 Neo 일반체"/>
      </rPr>
      <t>tang</t>
    </r>
  </si>
  <si>
    <t>[tǽŋgou]</t>
  </si>
  <si>
    <t>파트너끼리 서로 접촉(tang) 하면서 추는 ‘탱고’</t>
  </si>
  <si>
    <t>탱고</t>
  </si>
  <si>
    <t>They danced the tango at the competition.</t>
  </si>
  <si>
    <t>They danced the (          ) at the competition.</t>
  </si>
  <si>
    <t>tangle</t>
  </si>
  <si>
    <t>[tǽŋgl]</t>
  </si>
  <si>
    <t>접촉하는데(tang) 긴(l) 줄과 같이 ‘엉키게 하다, 엉킨 것’</t>
  </si>
  <si>
    <t>엉키게 하다, 엉킨 것</t>
  </si>
  <si>
    <t>Don't let the cord tangle around the furniture.</t>
  </si>
  <si>
    <t>Don't let the cord (          ) around the furniture.</t>
  </si>
  <si>
    <t>entangle</t>
  </si>
  <si>
    <t>tang &gt; tangle</t>
  </si>
  <si>
    <t>[intǽŋgl]</t>
  </si>
  <si>
    <t>안(en)에 엉키게 하니(tangle) ‘얽히게 하다, 걸리게 하다’</t>
  </si>
  <si>
    <t>얽히게 하다, 걸리게 하다</t>
  </si>
  <si>
    <t>The fish became entangled in the net.</t>
  </si>
  <si>
    <t>The fish became (          )d in the net.</t>
  </si>
  <si>
    <t>tangible</t>
  </si>
  <si>
    <t>[tǽndʒəbl]</t>
  </si>
  <si>
    <t>접촉(tang)하는데 + 할 수 있는(ible-able) = ‘만져 알 수 있는’</t>
  </si>
  <si>
    <t>만져 알 수 있는</t>
  </si>
  <si>
    <t>Buying a house provides tangible benefits over renting.</t>
  </si>
  <si>
    <t>Buying a house provides (          ) benefits over renting.</t>
  </si>
  <si>
    <t>contagious</t>
  </si>
  <si>
    <t>tang(tag)</t>
  </si>
  <si>
    <t>[kəntéidʒəs]</t>
  </si>
  <si>
    <t>함께(con) 접촉하니(tag-tang) ‘전염의, 감염성의’</t>
  </si>
  <si>
    <t>전염의, 감염성의</t>
  </si>
  <si>
    <t>The flu is highly contagious in winter months.</t>
  </si>
  <si>
    <t>The flu is highly (          ) in winter months.</t>
  </si>
  <si>
    <t>contaminate</t>
  </si>
  <si>
    <t>tang(tam)</t>
  </si>
  <si>
    <t>[kəntǽmənèit]</t>
  </si>
  <si>
    <t>함께(con) 접촉(tam-tang)한 결과 ‘오염시키다’</t>
  </si>
  <si>
    <t>오염시키다</t>
  </si>
  <si>
    <t>Chemicals contaminate the river water.</t>
  </si>
  <si>
    <t>Chemicals (          ) the river water.</t>
  </si>
  <si>
    <t>underground</t>
  </si>
  <si>
    <t>under</t>
  </si>
  <si>
    <r>
      <rPr>
        <sz val="12"/>
        <color indexed="8"/>
        <rFont val="Apple SD 산돌고딕 Neo 일반체"/>
      </rPr>
      <t>under</t>
    </r>
  </si>
  <si>
    <t>[əˈndərgrauˌnd]</t>
  </si>
  <si>
    <t>내가 아래쪽(under)에 있고 위에 있는 것이 땅(ground)이니 ‘지하의’</t>
  </si>
  <si>
    <t>지하의</t>
  </si>
  <si>
    <t>The subway system runs underground throughout the city.</t>
  </si>
  <si>
    <t>The subway system runs (          ) throughout the city.</t>
  </si>
  <si>
    <t>undercover</t>
  </si>
  <si>
    <t>[əˌndərkəˈvər]</t>
  </si>
  <si>
    <t>아래쪽에(under) 있는데 위에서 덮어버렸으니(cover) ‘은밀한, 비밀의’</t>
  </si>
  <si>
    <t>은밀한, 비밀의</t>
  </si>
  <si>
    <t>The detective worked undercover for six months.</t>
  </si>
  <si>
    <t>The detective worked (          ) for six months.</t>
  </si>
  <si>
    <t>underlying</t>
  </si>
  <si>
    <t>[Λndərlàiiŋ]</t>
  </si>
  <si>
    <t>아래쪽에(under)에 누워(lie) 있으니 ‘밑에 있는, 기초적인’</t>
  </si>
  <si>
    <t>밑에 있는, 기초적인</t>
  </si>
  <si>
    <t>We need to address the underlying causes of the problem.</t>
  </si>
  <si>
    <t>We need to address the (          ) causes of the problem.</t>
  </si>
  <si>
    <t>undermine</t>
  </si>
  <si>
    <t>[əˈndərmaiˌn]</t>
  </si>
  <si>
    <t>아래(under)에서 광산(mine)처럼 파니 ‘약화시키다’</t>
  </si>
  <si>
    <t>약화시키다</t>
  </si>
  <si>
    <t>Don't undermine your colleague's authority.</t>
  </si>
  <si>
    <t>Don't (          ) your colleague's authority.</t>
  </si>
  <si>
    <t>underway</t>
  </si>
  <si>
    <t>[əˌndərweiˈ]</t>
  </si>
  <si>
    <t>아래에서(under) 길(way)이 만들어지고 있으니 계획 등이 ‘진행 중인’</t>
  </si>
  <si>
    <t>진행 중인</t>
  </si>
  <si>
    <t>Construction on the new bridge is already underway.</t>
  </si>
  <si>
    <t>Construction on the new bridge is already (          ).</t>
  </si>
  <si>
    <t>undergo</t>
  </si>
  <si>
    <t>[əˌndərgouˈ]</t>
  </si>
  <si>
    <t>아래쪽에서(under) 압력을 받으면서도 계속 가니(go) ‘겪다, 경험하다, 견디다’</t>
  </si>
  <si>
    <t>겪다, 경험하다, 견디다</t>
  </si>
  <si>
    <t>The patient will undergo surgery tomorrow.</t>
  </si>
  <si>
    <t>The patient will (          ) surgery tomorrow.</t>
  </si>
  <si>
    <t>underwear</t>
  </si>
  <si>
    <t>[əˈndərweˌr]</t>
  </si>
  <si>
    <t>아래에(under) 입는 것이니(wear) ‘속옷’</t>
  </si>
  <si>
    <t>속옷</t>
  </si>
  <si>
    <t>Pack enough underwear for a week.</t>
  </si>
  <si>
    <t>Pack enough (          ) for a week.</t>
  </si>
  <si>
    <t>undertake</t>
  </si>
  <si>
    <t>[əˈndərteiˌk]</t>
  </si>
  <si>
    <t>아래쪽(under)에서 일을 잡으니(take) ‘떠맡다’</t>
  </si>
  <si>
    <t>떠맡다</t>
  </si>
  <si>
    <t>The company will undertake a major expansion project.</t>
  </si>
  <si>
    <t>The company will (          ) a major expansion project.</t>
  </si>
  <si>
    <t>upgrade</t>
  </si>
  <si>
    <t>up</t>
  </si>
  <si>
    <r>
      <rPr>
        <sz val="12"/>
        <color indexed="8"/>
        <rFont val="Apple SD 산돌고딕 Neo 일반체"/>
      </rPr>
      <t>up</t>
    </r>
  </si>
  <si>
    <t>[əpgreiˈd]</t>
  </si>
  <si>
    <t>위로(up) 올리는게 등급이니(grade) ‘개선하다, 수준을 올리다’</t>
  </si>
  <si>
    <t>개선하다, 수준을 올리다</t>
  </si>
  <si>
    <t>We need to upgrade our computer systems.</t>
  </si>
  <si>
    <t>We need to (          ) our computer systems.</t>
  </si>
  <si>
    <t>upstairs</t>
  </si>
  <si>
    <t>[Λpstέərz]</t>
  </si>
  <si>
    <t>위로(up) 계단을(stairs) 밟고 가면 ‘위층, 위층으로, 2층’</t>
  </si>
  <si>
    <t>위층, 위층으로, 2층</t>
  </si>
  <si>
    <t>My bedroom is upstairs on the second floor.</t>
  </si>
  <si>
    <t>My bedroom is (          ) on the second floor.</t>
  </si>
  <si>
    <t>upsurge</t>
  </si>
  <si>
    <t>[əˈpsərˌʤ]</t>
  </si>
  <si>
    <t>위로(up) 큰 파도(surge)이니 ‘파도가 일다, 급증하다’</t>
  </si>
  <si>
    <t>파도가 일다, 급증하다</t>
  </si>
  <si>
    <t>There has been an upsurge in tourism this year.</t>
  </si>
  <si>
    <t>There has been an (          ) in tourism this year.</t>
  </si>
  <si>
    <t>uproot</t>
  </si>
  <si>
    <t>[əpruˈt]</t>
  </si>
  <si>
    <t>위로(up) 뿌리(root)를 들어올리니 ‘뿌리째 뽑다’</t>
  </si>
  <si>
    <t>뿌리째 뽑다</t>
  </si>
  <si>
    <t>The storm was strong enough to uproot large trees.</t>
  </si>
  <si>
    <t>The storm was strong enough to (          ) large trees.</t>
  </si>
  <si>
    <t>tumble</t>
  </si>
  <si>
    <t>umble</t>
  </si>
  <si>
    <r>
      <rPr>
        <sz val="12"/>
        <color indexed="8"/>
        <rFont val="Apple SD 산돌고딕 Neo 일반체"/>
      </rPr>
      <t>umble</t>
    </r>
  </si>
  <si>
    <t>[tΛmbl]</t>
  </si>
  <si>
    <t>서있다(t) 구르니(umble) ‘구르다, 뒹굴다’</t>
  </si>
  <si>
    <t>구르다, 뒹굴다</t>
  </si>
  <si>
    <t>The child took a tumble but wasn't hurt.</t>
  </si>
  <si>
    <t>The child took a (          ) but wasn't hurt.</t>
  </si>
  <si>
    <t>stumble</t>
  </si>
  <si>
    <t>[stΛmbl]</t>
  </si>
  <si>
    <t>서있다가(st) 갑자기 구르니(umble) ‘발이 걸리다, 비틀거리다, 더듬거리다’</t>
  </si>
  <si>
    <t>발이 걸리다, 비틀거리다, 더듬거리다</t>
  </si>
  <si>
    <t>Be careful not to stumble on the uneven sidewalk.</t>
  </si>
  <si>
    <t>Be careful not to (          ) on the uneven sidewalk.</t>
  </si>
  <si>
    <t>rumble</t>
  </si>
  <si>
    <t>[rΛmbl]</t>
  </si>
  <si>
    <t>세게(r) 구르니(umble) ‘우르르 소리 내다, 덜커덕거리며 가다’</t>
  </si>
  <si>
    <t>우르르 소리 내다, 덜커덕거리며 가다</t>
  </si>
  <si>
    <t>We heard the rumble of thunder in the distance.</t>
  </si>
  <si>
    <t>We heard the (          ) of thunder in the distance.</t>
  </si>
  <si>
    <t>crumble</t>
  </si>
  <si>
    <t>umble &gt; rumble</t>
  </si>
  <si>
    <t>[krΛmbl]</t>
  </si>
  <si>
    <t>잡고서(c) 우르르 울리는(rumble) 소리가 나게끔 하니 ‘산산조각이 되다, 부서지다’</t>
  </si>
  <si>
    <t>산산조각이 되다, 부서지다</t>
  </si>
  <si>
    <t>The old wall began to crumble after years of neglect.</t>
  </si>
  <si>
    <t>The old wall began to (          ) after years of neglect.</t>
  </si>
  <si>
    <t>깊숙한(g) 곳에서 구르는(umble) 소리를 내는 것은 ‘불평하다, 투덜거리다’</t>
  </si>
  <si>
    <t>humble</t>
  </si>
  <si>
    <t>[hΛmbl]</t>
  </si>
  <si>
    <t>높은(h) 위치의 사람이 구르니(umble) 낮추게 되어 ‘겸손한’</t>
  </si>
  <si>
    <t>겸손한</t>
  </si>
  <si>
    <t>Despite his success, he remains humble.</t>
  </si>
  <si>
    <t>Despite his success, he remains (          ).</t>
  </si>
  <si>
    <t>uni</t>
  </si>
  <si>
    <r>
      <rPr>
        <sz val="12"/>
        <color indexed="8"/>
        <rFont val="Apple SD 산돌고딕 Neo 일반체"/>
      </rPr>
      <t>uni</t>
    </r>
  </si>
  <si>
    <t>하나의(uni) 형태(form)로 입는 ‘유니폼, 제복, 군복, 동일한’</t>
  </si>
  <si>
    <t>유니폼, 제복, 군복, 동일한</t>
  </si>
  <si>
    <t>uniformly</t>
  </si>
  <si>
    <t>uni &gt; uniform</t>
  </si>
  <si>
    <t>[júːnəfɔ̀ːrmli]</t>
  </si>
  <si>
    <t>동일한(uniform) + 부사(y) = ‘균일하게’</t>
  </si>
  <si>
    <t>균일하게</t>
  </si>
  <si>
    <t>The field was uniformly covered with snow.</t>
  </si>
  <si>
    <t>The field was (          ) covered with snow.</t>
  </si>
  <si>
    <t>unit</t>
  </si>
  <si>
    <t>[júːnit]</t>
  </si>
  <si>
    <t>단 하나로(uni) 서 있는(t) 개체는 ‘한 사람, 한 개’</t>
  </si>
  <si>
    <t>한 사람, 한 개</t>
  </si>
  <si>
    <t>The hospital has a special unit for treating burns.</t>
  </si>
  <si>
    <t>The hospital has a special (          ) for treating burns.</t>
  </si>
  <si>
    <t>unity</t>
  </si>
  <si>
    <t>[júːnəti]</t>
  </si>
  <si>
    <t>단 하나로(uni) 확장된 성질(y)이니 ‘단일성, 통일성’</t>
  </si>
  <si>
    <t>단일성, 통일성</t>
  </si>
  <si>
    <t>The crisis created a sense of unity among the citizens.</t>
  </si>
  <si>
    <t>The crisis created a sense of (          ) among the citizens.</t>
  </si>
  <si>
    <t>union</t>
  </si>
  <si>
    <t>[júːnjən]</t>
  </si>
  <si>
    <t>하나됨으로(uni) 지속된(on) ‘결합, 합동’</t>
  </si>
  <si>
    <t>결합, 합동</t>
  </si>
  <si>
    <t>The labor union represents all factory workers.</t>
  </si>
  <si>
    <t>The labor (          ) represents all factory workers.</t>
  </si>
  <si>
    <t>universe</t>
  </si>
  <si>
    <t>[júːnəvə̀ːrs]</t>
  </si>
  <si>
    <t>하나가(uni) 되어 돌아가는(verse) ‘우주’</t>
  </si>
  <si>
    <t>우주</t>
  </si>
  <si>
    <t>Scientists believe the universe is still expanding.</t>
  </si>
  <si>
    <t>Scientists believe the (          ) is still expanding.</t>
  </si>
  <si>
    <t>university</t>
  </si>
  <si>
    <t>[jùːnəvə́ːrsəti]</t>
  </si>
  <si>
    <t>여러 단과 대학이 하나로(uni) 뭉쳐진 ‘종합대학교’</t>
  </si>
  <si>
    <t>종합대학교</t>
  </si>
  <si>
    <t>She studies economics at the university.</t>
  </si>
  <si>
    <t>She studies economics at the (          ).</t>
  </si>
  <si>
    <t>subway</t>
  </si>
  <si>
    <t>sub</t>
  </si>
  <si>
    <r>
      <rPr>
        <sz val="12"/>
        <color indexed="8"/>
        <rFont val="Apple SD 산돌고딕 Neo 일반체"/>
      </rPr>
      <t>sub</t>
    </r>
  </si>
  <si>
    <t>[sΛbwèi]</t>
  </si>
  <si>
    <t>아래쪽에(sub) 길을(way) 만들어 놓고 다니는 ‘지하철’</t>
  </si>
  <si>
    <t>지하철</t>
  </si>
  <si>
    <t>Take the subway to avoid traffic congestion.</t>
  </si>
  <si>
    <t>Take the (          ) to avoid traffic congestion.</t>
  </si>
  <si>
    <t>submarine</t>
  </si>
  <si>
    <t>[sΛbməríːn]</t>
  </si>
  <si>
    <t>수면 아래쪽(sub) 바다(marine)로 다니는 ‘잠수함’</t>
  </si>
  <si>
    <t>잠수함</t>
  </si>
  <si>
    <t>The submarine can stay underwater for months.</t>
  </si>
  <si>
    <t>The (          ) can stay underwater for months.</t>
  </si>
  <si>
    <t>subtle</t>
  </si>
  <si>
    <t>[sΛtl]</t>
  </si>
  <si>
    <t>아래쪽(sub)에서 나아가서(t) 풀어져(l) 흐느적거 리며 포착하기 어려우니 ‘미묘한, 교묘한, 섬세한’</t>
  </si>
  <si>
    <t>미묘한, 교묘한, 섬세한</t>
  </si>
  <si>
    <t>The flavor difference between the two wines is very subtle.</t>
  </si>
  <si>
    <t>The flavor difference between the two wines is very (          ).</t>
  </si>
  <si>
    <t>suit</t>
  </si>
  <si>
    <r>
      <rPr>
        <sz val="12"/>
        <color indexed="8"/>
        <rFont val="Apple SD 산돌고딕 Neo 일반체"/>
      </rPr>
      <t>suit</t>
    </r>
  </si>
  <si>
    <t>[suːt]</t>
  </si>
  <si>
    <t>(의복) 한 벌(suit)처럼 법적 요건을 다 맞춘 ‘소송’</t>
  </si>
  <si>
    <t>소송</t>
  </si>
  <si>
    <t>He wore his best suit to the interview.</t>
  </si>
  <si>
    <t>He wore his best (          ) to the interview.</t>
  </si>
  <si>
    <t>suitable</t>
  </si>
  <si>
    <t>[súːtəbl]</t>
  </si>
  <si>
    <t xml:space="preserve"> 한 벌(suit)이라고 할 수(able) 있을 정도로 ‘적절한’</t>
  </si>
  <si>
    <t>적절한</t>
  </si>
  <si>
    <t>This venue is suitable for large gatherings.</t>
  </si>
  <si>
    <t>This venue is (          ) for large gatherings.</t>
  </si>
  <si>
    <t>unsuitable</t>
  </si>
  <si>
    <t>suit &gt; suitable</t>
  </si>
  <si>
    <t>[ənsuˈtəbəl]</t>
  </si>
  <si>
    <t>부정, 반대(un) + 적절한(suitable) = ‘부적당한’</t>
  </si>
  <si>
    <t>The movie contains material unsuitable for young children.</t>
  </si>
  <si>
    <t>The movie contains material (          ) for young children.</t>
  </si>
  <si>
    <t>suite</t>
  </si>
  <si>
    <t>[swiːt]</t>
  </si>
  <si>
    <t>한 벌로(suit) 여러 방을 함께 연결한 ‘스위트 룸’</t>
  </si>
  <si>
    <t>스위트 룸</t>
  </si>
  <si>
    <t>The presidential suite occupies the top floor of the hotel.</t>
  </si>
  <si>
    <t>The presidential (          ) occupies the top floor of the hotel.</t>
  </si>
  <si>
    <t>lawsuit</t>
  </si>
  <si>
    <t>[lɔˈsuˌt]</t>
  </si>
  <si>
    <t>법률(law) 소송(suit)이니 ‘소송’</t>
  </si>
  <si>
    <t>The company faces a lawsuit from former employees.</t>
  </si>
  <si>
    <t>The company faces a (          ) from former employees.</t>
  </si>
  <si>
    <t>pursuit</t>
  </si>
  <si>
    <t>[pərsúːt]</t>
  </si>
  <si>
    <t>철저히(pur-per) 따라가다 고소(suit)를 하려고 하는 ‘추적, 추격’</t>
  </si>
  <si>
    <t>추적, 추격</t>
  </si>
  <si>
    <t>The pursuit of happiness is a basic human right.</t>
  </si>
  <si>
    <t>The (          ) of happiness is a basic human right.</t>
  </si>
  <si>
    <t>pursue</t>
  </si>
  <si>
    <t>[pərsúː]</t>
  </si>
  <si>
    <t>철저히(pur-per) 따라가다 고소(sue-suit)를 하려고 ‘뒤쫓다, 추적하다, 추구하다’</t>
  </si>
  <si>
    <t>뒤쫓다, 추적하다, 추구하다</t>
  </si>
  <si>
    <t>She decided to pursue a career in medicine.</t>
  </si>
  <si>
    <t>She decided to (          ) a career in medicine.</t>
  </si>
  <si>
    <t>result</t>
  </si>
  <si>
    <t>sult</t>
  </si>
  <si>
    <r>
      <rPr>
        <sz val="12"/>
        <color indexed="8"/>
        <rFont val="Apple SD 산돌고딕 Neo 일반체"/>
      </rPr>
      <t>sult</t>
    </r>
  </si>
  <si>
    <t>[rizΛlt]</t>
  </si>
  <si>
    <t>힘차게(re) 뛰어 오르듯이(sult) 나온 ‘결과’</t>
  </si>
  <si>
    <t>결과</t>
  </si>
  <si>
    <t>We're still waiting for the test results.</t>
  </si>
  <si>
    <t>We're still waiting for the test (          )s.</t>
  </si>
  <si>
    <t>assault</t>
  </si>
  <si>
    <t>sult(sault)</t>
  </si>
  <si>
    <t>[əsɔ́ːlt]</t>
  </si>
  <si>
    <t>마치(as) 뛰어 오르듯이(sault-sult) 성벽을 올라가 ‘공격하다, 공격’</t>
  </si>
  <si>
    <t>공격하다, 공격</t>
  </si>
  <si>
    <t>The suspect was charged with assault.</t>
  </si>
  <si>
    <t>The suspect was charged with (          ).</t>
  </si>
  <si>
    <t>insult</t>
  </si>
  <si>
    <t>[insΛlt]</t>
  </si>
  <si>
    <t>안에 있는(in) 감정이 뛰어(sult) 오를 정도로 ‘모욕을 주다’</t>
  </si>
  <si>
    <t>모욕을 주다</t>
  </si>
  <si>
    <t>His rude comments were an insult to everyone present.</t>
  </si>
  <si>
    <t>His rude comments were an (          ) to everyone present.</t>
  </si>
  <si>
    <t>sultry</t>
  </si>
  <si>
    <t>[sΛltri]</t>
  </si>
  <si>
    <t>온도가 막 뛰어 오르니(sult) ‘찌는 듯한’</t>
  </si>
  <si>
    <t>찌는 듯한</t>
  </si>
  <si>
    <t>The singer has a sultry voice that captivates audiences.</t>
  </si>
  <si>
    <t>The singer has a (          ) voice that captivates audiences.</t>
  </si>
  <si>
    <t>consult</t>
  </si>
  <si>
    <t>[kənsΛlt]</t>
  </si>
  <si>
    <t>함께(con) 다 뛰어(sult) 올라와(나서서) ‘조언하다’</t>
  </si>
  <si>
    <t>조언하다</t>
  </si>
  <si>
    <t>Consult your doctor before starting any new medication.</t>
  </si>
  <si>
    <r>
      <rPr>
        <sz val="12"/>
        <color indexed="8"/>
        <rFont val="Arial"/>
      </rPr>
      <t>Consult your doctor before starting any new medication.</t>
    </r>
  </si>
  <si>
    <t>summer</t>
  </si>
  <si>
    <t>sum</t>
  </si>
  <si>
    <r>
      <rPr>
        <sz val="12"/>
        <color indexed="8"/>
        <rFont val="Apple SD 산돌고딕 Neo 일반체"/>
      </rPr>
      <t>sum</t>
    </r>
  </si>
  <si>
    <t>[sΛmər]</t>
  </si>
  <si>
    <t>태양이 가장 높은 위치(sum)에 있는 ‘여름’</t>
  </si>
  <si>
    <t>여름</t>
  </si>
  <si>
    <t>Many families take vacations during the summer.</t>
  </si>
  <si>
    <t>Many families take vacations during the (          ).</t>
  </si>
  <si>
    <t>summit</t>
  </si>
  <si>
    <t>[sΛmit]</t>
  </si>
  <si>
    <t>가장 높은(sum) 그곳(t)은 ‘정상, 최고점’</t>
  </si>
  <si>
    <t>정상, 최고점</t>
  </si>
  <si>
    <t>The mountain summit offers spectacular views.</t>
  </si>
  <si>
    <t>The mountain (          ) offers spectacular views.</t>
  </si>
  <si>
    <t>[sʌm]</t>
  </si>
  <si>
    <t>가장 높은 숫자(sum)는 ‘합계’</t>
  </si>
  <si>
    <t>합계</t>
  </si>
  <si>
    <t>The sum of two and three is five.</t>
  </si>
  <si>
    <t>The (          ) of two and three is five.</t>
  </si>
  <si>
    <t>summary</t>
  </si>
  <si>
    <t>[sΛməri]</t>
  </si>
  <si>
    <t>내용을 합하여(sum) 놓은 ‘요약, 개요’</t>
  </si>
  <si>
    <t>요약, 개요</t>
  </si>
  <si>
    <t>The executive summary provides an overview of the report.</t>
  </si>
  <si>
    <t>The executive (          ) provides an overview of the report.</t>
  </si>
  <si>
    <t>summarize</t>
  </si>
  <si>
    <t>sum &gt; summary</t>
  </si>
  <si>
    <t>[sΛməràiz]</t>
  </si>
  <si>
    <t>요약(summary) + 동사(ize) = ‘요약하다, 간추려 말하다’</t>
  </si>
  <si>
    <t>요약하다, 간추려 말하다</t>
  </si>
  <si>
    <t>Can you summarize the main points of the meeting?</t>
  </si>
  <si>
    <t>Can you (          ) the main points of the meeting?</t>
  </si>
  <si>
    <t>consume</t>
  </si>
  <si>
    <t>sume</t>
  </si>
  <si>
    <r>
      <rPr>
        <sz val="12"/>
        <color indexed="8"/>
        <rFont val="Apple SD 산돌고딕 Neo 일반체"/>
      </rPr>
      <t>sume</t>
    </r>
  </si>
  <si>
    <t>[kənsúːm]</t>
  </si>
  <si>
    <t>여러 사람들이 다 함께(con) 취하니(sume) ‘소비하다, 다 써버리다’</t>
  </si>
  <si>
    <t>소비하다, 다 써버리다</t>
  </si>
  <si>
    <t>Americans consume large amounts of fast food.</t>
  </si>
  <si>
    <t>Americans (          ) large amounts of fast food.</t>
  </si>
  <si>
    <t>presume</t>
  </si>
  <si>
    <t>[prizúːm]</t>
  </si>
  <si>
    <t>앞서(pre) 내용을 취하니(sume) ‘상상하다, 추정하다’</t>
  </si>
  <si>
    <t>상상하다, 추정하다</t>
  </si>
  <si>
    <t>I presume you'll be attending the conference next week.</t>
  </si>
  <si>
    <t>I (          ) you'll be attending the conference next week.</t>
  </si>
  <si>
    <t>presumable</t>
  </si>
  <si>
    <t>[prizúːməbl]</t>
  </si>
  <si>
    <t>상상하다(presume) + 할 수 있는(able) = ‘가정할 수 있는’</t>
  </si>
  <si>
    <t>가정할 수 있는</t>
  </si>
  <si>
    <t>The presumable cause of the fire was an electrical fault.</t>
  </si>
  <si>
    <t>The (          ) cause of the fire was an electrical fault.</t>
  </si>
  <si>
    <t>assume</t>
  </si>
  <si>
    <t>[əsúːm]</t>
  </si>
  <si>
    <t>같다고(as) 생각하고 취하니(sume) ‘추측하다’</t>
  </si>
  <si>
    <t>추측하다</t>
  </si>
  <si>
    <t>Don't assume that everyone agrees with your opinion.</t>
  </si>
  <si>
    <t>Don't (          ) that everyone agrees with your opinion.</t>
  </si>
  <si>
    <t>assumption</t>
  </si>
  <si>
    <t>sume &gt; assume</t>
  </si>
  <si>
    <t>[əsΛmpʃən]</t>
  </si>
  <si>
    <t>추측하다(assume) + 명사(tion) = ‘추정, 가정’</t>
  </si>
  <si>
    <t>추정, 가정</t>
  </si>
  <si>
    <t>His argument is based on false assumptions.</t>
  </si>
  <si>
    <t>His argument is based on false (          )s.</t>
  </si>
  <si>
    <t>resume</t>
  </si>
  <si>
    <t>[rizúːm]</t>
  </si>
  <si>
    <t>다시(re) 취하니(sume) ‘재개하다, 다시 시작하다’</t>
  </si>
  <si>
    <t>재개하다, 다시 시작하다</t>
  </si>
  <si>
    <t>After the break, we will resume our discussion.</t>
  </si>
  <si>
    <t>After the break, we will (          ) our discussion.</t>
  </si>
  <si>
    <t>supreme</t>
  </si>
  <si>
    <t>super(supre)</t>
  </si>
  <si>
    <r>
      <rPr>
        <sz val="12"/>
        <color indexed="8"/>
        <rFont val="Apple SD 산돌고딕 Neo 일반체"/>
      </rPr>
      <t>super</t>
    </r>
  </si>
  <si>
    <t>[səpríːm]</t>
  </si>
  <si>
    <t>뛰어나게(supre-super) 크니(m) ‘최고의’</t>
  </si>
  <si>
    <t>최고의</t>
  </si>
  <si>
    <t>The Supreme Court is the highest court in the country.</t>
  </si>
  <si>
    <r>
      <rPr>
        <sz val="12"/>
        <color indexed="8"/>
        <rFont val="Arial"/>
      </rPr>
      <t>The Supreme Court is the highest court in the country.</t>
    </r>
  </si>
  <si>
    <t>super</t>
  </si>
  <si>
    <t>뛰어난 부분이(super) 얼굴만(fic-face) 그러니 ‘표면의, 외견상의, 피상적인’</t>
  </si>
  <si>
    <t>표면의, 외견상의, 피상적인</t>
  </si>
  <si>
    <t>superior</t>
  </si>
  <si>
    <t>[səpíəriər]</t>
  </si>
  <si>
    <t>뛰어난(super) + 비교(or) = ‘더 뛰어난, 상위의, 우위의’</t>
  </si>
  <si>
    <t>더 뛰어난, 상위의, 우위의</t>
  </si>
  <si>
    <t>The new model is superior to the older version.</t>
  </si>
  <si>
    <t>The new model is (          ) to the older version.</t>
  </si>
  <si>
    <t>superb</t>
  </si>
  <si>
    <t>[supə́ːrb]</t>
  </si>
  <si>
    <t>뛰어난데(super) 폭발(b)할 정도이니 ‘최고의, 아주 훌륭한’</t>
  </si>
  <si>
    <t>최고의, 아주 훌륭한</t>
  </si>
  <si>
    <t>The chef prepared a superb meal for the special occasion.</t>
  </si>
  <si>
    <t>The chef prepared a (          ) meal for the special occasion.</t>
  </si>
  <si>
    <t>sur</t>
  </si>
  <si>
    <r>
      <rPr>
        <sz val="12"/>
        <color indexed="8"/>
        <rFont val="Apple SD 산돌고딕 Neo 일반체"/>
      </rPr>
      <t>sur</t>
    </r>
  </si>
  <si>
    <t>정도를 넘어서서(sur) 튀어(p) 일어서(rise) 나오니 ‘깜짝 놀라게 하다’</t>
  </si>
  <si>
    <t>surge</t>
  </si>
  <si>
    <t>[səːrdʒ]</t>
  </si>
  <si>
    <t>넘어서 초과(sur)하여 깊은 곳(g)에서 나온 ‘큰 파도’</t>
  </si>
  <si>
    <t>큰 파도</t>
  </si>
  <si>
    <t>A surge of adrenaline helped her lift the heavy object.</t>
  </si>
  <si>
    <t>A (          ) of adrenaline helped her lift the heavy object.</t>
  </si>
  <si>
    <t>survey</t>
  </si>
  <si>
    <t>[sərvéi]</t>
  </si>
  <si>
    <t>장애물을 넘어서서(sur) 갈라진 틈(v)으로 들어 가서 깊숙히 ‘조사하다’</t>
  </si>
  <si>
    <t>The company conducted a survey of customer satisfaction.</t>
  </si>
  <si>
    <t>The company conducted a (          ) of customer satisfaction.</t>
  </si>
  <si>
    <t>surveillance</t>
  </si>
  <si>
    <t>[sərvéiləns]</t>
  </si>
  <si>
    <t>장애물을 넘어서서(sur) 베일을(vail) 덮어쓰고 긴 창을(lance) 들고서 ‘감시, 감독’</t>
  </si>
  <si>
    <t>감시, 감독</t>
  </si>
  <si>
    <t>The bank has surveillance cameras for security.</t>
  </si>
  <si>
    <t>The bank has (          ) cameras for security.</t>
  </si>
  <si>
    <t>surname</t>
  </si>
  <si>
    <t>[sə́ːrnèim]</t>
  </si>
  <si>
    <t>이름(first name)을 넘어서는(sur) 이름이니(name) ‘성’</t>
  </si>
  <si>
    <t>성</t>
  </si>
  <si>
    <t>My surname comes from my father's side of the family.</t>
  </si>
  <si>
    <t>My (          ) comes from my father's side of the family.</t>
  </si>
  <si>
    <t>아래쪽을 넘어서서(sur) 만나는 얼굴(face)이니 ‘표면, 외면’</t>
  </si>
  <si>
    <t>초과(sur)하여 더하니(plus) ‘여분, 나머지’</t>
  </si>
  <si>
    <t>surrender</t>
  </si>
  <si>
    <t>[səréndər]</t>
  </si>
  <si>
    <t>뭔가 장애물을 넘어가서(sur) 주니(render) ‘넘겨주다, 버리다, 포기하다’</t>
  </si>
  <si>
    <t>넘겨주다, 버리다, 포기하다</t>
  </si>
  <si>
    <t>The army had to surrender after running out of supplies.</t>
  </si>
  <si>
    <t>The army had to (          ) after running out of supplies.</t>
  </si>
  <si>
    <t>sure</t>
  </si>
  <si>
    <r>
      <rPr>
        <sz val="12"/>
        <color indexed="8"/>
        <rFont val="Apple SD 산돌고딕 Neo 일반체"/>
      </rPr>
      <t>sure</t>
    </r>
  </si>
  <si>
    <t>[ʃuər]</t>
  </si>
  <si>
    <t>어려움, 장애물을 넘어서서(sur) 입구를(e) 통해 나오니 ‘확실한, 확실하는’</t>
  </si>
  <si>
    <t>확실한, 확실하는</t>
  </si>
  <si>
    <t>I'm sure that everything will work out well.</t>
  </si>
  <si>
    <t>I'm (          ) that everything will work out well.</t>
  </si>
  <si>
    <t>ensure</t>
  </si>
  <si>
    <t>[inʃúər]</t>
  </si>
  <si>
    <t>안(en)에 있고 둘러싼 것이 확실하게(sure) 하니 ‘보장하다, 확실하게 하다’</t>
  </si>
  <si>
    <t>보장하다, 확실하게 하다</t>
  </si>
  <si>
    <t>The safety features ensure that passengers are protected.</t>
  </si>
  <si>
    <t>The safety features (          ) that passengers are protected.</t>
  </si>
  <si>
    <t>assure</t>
  </si>
  <si>
    <t>[əʃúər]</t>
  </si>
  <si>
    <t>더하는(a)것이 확신(sure)이니 ‘보증하다’</t>
  </si>
  <si>
    <t>보증하다</t>
  </si>
  <si>
    <t>I can assure you that your money is safe with us.</t>
  </si>
  <si>
    <t>I can (          ) you that your money is safe with us.</t>
  </si>
  <si>
    <t>insurance</t>
  </si>
  <si>
    <t>[inʃúərəns]</t>
  </si>
  <si>
    <t>마음 안(in)에 확신을(sure) 심어주는 것이니 ‘보험’</t>
  </si>
  <si>
    <t>보험</t>
  </si>
  <si>
    <t>Health insurance helps cover medical expenses.</t>
  </si>
  <si>
    <t>Health (          ) helps cover medical expenses.</t>
  </si>
  <si>
    <t>이탈(ab)되다 분명한(sure) 것에서 그리고는 저해(d) 되었으니 ‘어리석은, 모순된’</t>
  </si>
  <si>
    <t>어리석은, 모순된</t>
  </si>
  <si>
    <t>audible</t>
  </si>
  <si>
    <t>audi</t>
  </si>
  <si>
    <r>
      <rPr>
        <sz val="12"/>
        <color indexed="8"/>
        <rFont val="Apple SD 산돌고딕 Neo 일반체"/>
      </rPr>
      <t>audi</t>
    </r>
  </si>
  <si>
    <t>[ɔ́ːdəbl]</t>
  </si>
  <si>
    <t>듣다(audi) + 할 수 있는(ble) = ‘들리는, 들을 수 있는’</t>
  </si>
  <si>
    <t>들리는, 들을 수 있는</t>
  </si>
  <si>
    <t>Her voice was barely audible in the noisy room.</t>
  </si>
  <si>
    <t>Her voice was barely (          ) in the noisy room.</t>
  </si>
  <si>
    <t>audition</t>
  </si>
  <si>
    <t>[ɔːdíʃən]</t>
  </si>
  <si>
    <t>심사관들이 참가자의 실력을 들어보는(audi) ‘오디션’</t>
  </si>
  <si>
    <t>오디션</t>
  </si>
  <si>
    <t>Many actors audition for each available role.</t>
  </si>
  <si>
    <t>Many actors (          ) for each available role.</t>
  </si>
  <si>
    <t>auditorium</t>
  </si>
  <si>
    <t>[ɔ̀ːditɔ́ːriəm]</t>
  </si>
  <si>
    <t>들어보는(audi) 장소(orium-arium)이니 ‘관람석, 강당’</t>
  </si>
  <si>
    <t>관람석, 강당</t>
  </si>
  <si>
    <t>The school auditorium seats 500 people.</t>
  </si>
  <si>
    <t>The school (          ) seats 500 people.</t>
  </si>
  <si>
    <t>audience</t>
  </si>
  <si>
    <t>[ɔ́ːdiəns]</t>
  </si>
  <si>
    <t>듣기(audi) 위해서 안(en)에 들어와 있는 ‘청중’</t>
  </si>
  <si>
    <t>청중</t>
  </si>
  <si>
    <t>The audience applauded enthusiastically after the performance.</t>
  </si>
  <si>
    <t>The (          ) applauded enthusiastically after the performance.</t>
  </si>
  <si>
    <t>audit</t>
  </si>
  <si>
    <t>[ɔ́ːdit]</t>
  </si>
  <si>
    <t>기업이 잘 했는지 들어보고(audi) 사람들을 세워(t) 놓기도 하는 ‘감사’</t>
  </si>
  <si>
    <t>The IRS may audit your tax returns.</t>
  </si>
  <si>
    <t>The IRS may (          ) your tax returns.</t>
  </si>
  <si>
    <t>vacant</t>
  </si>
  <si>
    <t>vac</t>
  </si>
  <si>
    <r>
      <rPr>
        <sz val="12"/>
        <color indexed="8"/>
        <rFont val="Apple SD 산돌고딕 Neo 일반체"/>
      </rPr>
      <t>vac</t>
    </r>
  </si>
  <si>
    <t>[véikənt]</t>
  </si>
  <si>
    <t>비우려고(vac) 단 하나도(a) 없애(n) 버렸으니 ‘공허한, 빈’</t>
  </si>
  <si>
    <t>공허한, 빈</t>
  </si>
  <si>
    <t>The apartment has been vacant for three months.</t>
  </si>
  <si>
    <t>The apartment has been (          ) for three months.</t>
  </si>
  <si>
    <t>vacate</t>
  </si>
  <si>
    <t>[véikeit]</t>
  </si>
  <si>
    <t>빈(vac) + 동사(ate) = ‘비우다’</t>
  </si>
  <si>
    <t>비우다</t>
  </si>
  <si>
    <t>Tenants must vacate the building during renovations.</t>
  </si>
  <si>
    <t>Tenants must (          ) the building during renovations.</t>
  </si>
  <si>
    <t>vacation</t>
  </si>
  <si>
    <t>vac &gt; vacate</t>
  </si>
  <si>
    <t>[veikéiʃən, vəikéiʃən]</t>
  </si>
  <si>
    <t>비우다(vacate) + 명사(tion) = ‘휴가’</t>
  </si>
  <si>
    <t>휴가</t>
  </si>
  <si>
    <t>We're planning our summer vacation to the beach.</t>
  </si>
  <si>
    <t>We're planning our summer (          ) to the beach.</t>
  </si>
  <si>
    <t>vacuum</t>
  </si>
  <si>
    <t>[vǽkjuəm]</t>
  </si>
  <si>
    <t>특정한 공간을 비우는데(vac) 아래쪽으로(uu) 공기를 움직여(m) 나오게 만들었으니 ‘진공’</t>
  </si>
  <si>
    <t>진공</t>
  </si>
  <si>
    <t>Use a vacuum to clean the carpet thoroughly.</t>
  </si>
  <si>
    <t>Use a (          ) to clean the carpet thoroughly.</t>
  </si>
  <si>
    <t>vaccination</t>
  </si>
  <si>
    <t>[vӕksənéiʃən]</t>
  </si>
  <si>
    <t>몸 속에 병균을 비우고(vac) 잡아내는(c) ‘백신접종’</t>
  </si>
  <si>
    <t>백신접종</t>
  </si>
  <si>
    <t>Children need vaccinations to prevent diseases.</t>
  </si>
  <si>
    <t>Children need (          )s to prevent diseases.</t>
  </si>
  <si>
    <t>evacuate</t>
  </si>
  <si>
    <t>[ivǽkjuèit]</t>
  </si>
  <si>
    <t>입구를(e) 통해 내 보내서 비게(vac) 만드니 ‘피난시키다, 대피시키다’</t>
  </si>
  <si>
    <t>피난시키다, 대피시키다</t>
  </si>
  <si>
    <t>People had to evacuate the building during the fire alarm.</t>
  </si>
  <si>
    <t>People had to (          ) the building during the fire alarm.</t>
  </si>
  <si>
    <t>evacuation</t>
  </si>
  <si>
    <t>[ivӕkjuéiʃən]</t>
  </si>
  <si>
    <t>대피시키다 (evacuate) + 명사(ion) = ‘대피, 피난’</t>
  </si>
  <si>
    <t>대피, 피난</t>
  </si>
  <si>
    <t>The evacuation plan should be posted in every room.</t>
  </si>
  <si>
    <t>The (          ) plan should be posted in every room.</t>
  </si>
  <si>
    <t>invade</t>
  </si>
  <si>
    <t>vade</t>
  </si>
  <si>
    <r>
      <rPr>
        <sz val="12"/>
        <color indexed="8"/>
        <rFont val="Apple SD 산돌고딕 Neo 일반체"/>
      </rPr>
      <t>vade</t>
    </r>
  </si>
  <si>
    <t>[invéid]</t>
  </si>
  <si>
    <t>안으로(in) 가니(vade) ‘침략하다’</t>
  </si>
  <si>
    <t>침략하다</t>
  </si>
  <si>
    <t>The army will invade the neighboring country.</t>
  </si>
  <si>
    <t>The army will (          ) the neighboring country.</t>
  </si>
  <si>
    <t>evade</t>
  </si>
  <si>
    <t>[ivéid]</t>
  </si>
  <si>
    <t>입구를(e) 통해 가버리니(vade) ‘잘 빠져나가다, 교묘히 피하다’</t>
  </si>
  <si>
    <t>잘 빠져나가다, 교묘히 피하다</t>
  </si>
  <si>
    <t>The suspect tried to evade the police.</t>
  </si>
  <si>
    <t>The suspect tried to (          ) the police.</t>
  </si>
  <si>
    <t>pervade</t>
  </si>
  <si>
    <t>[pərvéid]</t>
  </si>
  <si>
    <t>철저히(per) 어떤 지역을 가니(vade) ‘널리 퍼지다, 고루 미치다’</t>
  </si>
  <si>
    <t>널리 퍼지다, 고루 미치다</t>
  </si>
  <si>
    <t>A sense of excitement pervades the air before the holiday.</t>
  </si>
  <si>
    <t>A sense of excitement (          )s the air before the holiday.</t>
  </si>
  <si>
    <t>van</t>
  </si>
  <si>
    <r>
      <rPr>
        <sz val="12"/>
        <color indexed="8"/>
        <rFont val="Apple SD 산돌고딕 Neo 일반체"/>
      </rPr>
      <t>van</t>
    </r>
  </si>
  <si>
    <t>[væn]</t>
  </si>
  <si>
    <t>갈라진 틈(v)으로 나아가서 없어지니(n) ‘사라지다, 대형 밴, 트럭’</t>
  </si>
  <si>
    <t>사라지다, 대형 밴, 트럭</t>
  </si>
  <si>
    <t>The delivery van will arrive between 2 and 4 PM.</t>
  </si>
  <si>
    <t>The delivery (          ) will arrive between 2 and 4 PM.</t>
  </si>
  <si>
    <t>vane</t>
  </si>
  <si>
    <t>사라지는(van) 바람이 입구(e)를 통해 들어오게 하는 ‘바람개비’</t>
  </si>
  <si>
    <t>바람개비</t>
  </si>
  <si>
    <t>The wind vane shows which way the wind is blowing.</t>
  </si>
  <si>
    <t>The wind (          ) shows which way the wind is blowing.</t>
  </si>
  <si>
    <t>vain</t>
  </si>
  <si>
    <t>사라지는(van) 것이 나 자신(i)이니 ‘헛된’</t>
  </si>
  <si>
    <t>헛된</t>
  </si>
  <si>
    <t>Their attempts to solve the problem were in vain.</t>
  </si>
  <si>
    <t>Their attempts to solve the problem were in (          ).</t>
  </si>
  <si>
    <t>vanish</t>
  </si>
  <si>
    <t>[vǽniʃ]</t>
  </si>
  <si>
    <t>사라지는데(van) 쉬(sh) 소리를 내면서 ‘사라지다, 없어지다’</t>
  </si>
  <si>
    <t>사라지다, 없어지다</t>
  </si>
  <si>
    <t>The magician made the rabbit vanish.</t>
  </si>
  <si>
    <t>vanity</t>
  </si>
  <si>
    <t>[vǽnəti]</t>
  </si>
  <si>
    <t>사라지는(van) 것을 세우고(t) 확장(v)해 놓은 것이니 ‘허영’</t>
  </si>
  <si>
    <t>허영</t>
  </si>
  <si>
    <t>His vanity makes him spend hours in front of the mirror.</t>
  </si>
  <si>
    <t>His (          ) makes him spend hours in front of the mirror.</t>
  </si>
  <si>
    <t>advance</t>
  </si>
  <si>
    <t>[ædvǽns]</t>
  </si>
  <si>
    <t>먼저(ad) 점수를 더해줘서 사라지니(van) ‘앞서 나가다, 전진하다’</t>
  </si>
  <si>
    <t>앞서 나가다, 전진하다</t>
  </si>
  <si>
    <t>Technology continues to advance at a rapid pace.</t>
  </si>
  <si>
    <t>Technology continues to (          ) at a rapid pace.</t>
  </si>
  <si>
    <t>advantage</t>
  </si>
  <si>
    <t>van &gt; advance</t>
  </si>
  <si>
    <t>[ædvǽntidʒ]</t>
  </si>
  <si>
    <t>전진하여(advance) 나아가서(t) 오랫동안(age) 있으니 ‘유리한 위치’에 서다, ‘유리, 이점’</t>
  </si>
  <si>
    <t>유리한 위치, 유리, 이점</t>
  </si>
  <si>
    <t>Knowledge of multiple languages gives you an advantage in business.</t>
  </si>
  <si>
    <t>Knowledge of multiple languages gives you an (          ) in business.</t>
  </si>
  <si>
    <t>disadvantage</t>
  </si>
  <si>
    <t>van &gt; advance &gt; advantage</t>
  </si>
  <si>
    <t>[dìsədvǽntidʒ]</t>
  </si>
  <si>
    <t>반대(dis) + 이점(advantage) = ‘불이익, 약점’</t>
  </si>
  <si>
    <t>불이익, 약점</t>
  </si>
  <si>
    <t>Being far from public transportation is a disadvantage.</t>
  </si>
  <si>
    <t>Being far from public transportation is a (          ).</t>
  </si>
  <si>
    <t>venue</t>
  </si>
  <si>
    <t>ven</t>
  </si>
  <si>
    <r>
      <rPr>
        <sz val="12"/>
        <color indexed="8"/>
        <rFont val="Apple SD 산돌고딕 Neo 일반체"/>
      </rPr>
      <t>ven</t>
    </r>
  </si>
  <si>
    <t>[vénjuː]</t>
  </si>
  <si>
    <t>오는데(ven) 아래쪽에(u) 자리 잡는 ‘장소’</t>
  </si>
  <si>
    <t>장소</t>
  </si>
  <si>
    <t>The wedding venue accommodates up to 200 guests.</t>
  </si>
  <si>
    <t>The wedding (          ) accommodates up to 200 guests.</t>
  </si>
  <si>
    <t>avenue</t>
  </si>
  <si>
    <t>ven &gt; venue</t>
  </si>
  <si>
    <t>[ǽvənjùː]</t>
  </si>
  <si>
    <t>사람들이 하나로(a) 모이는 장소는(venue) ‘대로’</t>
  </si>
  <si>
    <t>대로</t>
  </si>
  <si>
    <t>The parade will go down Fifth Avenue.</t>
  </si>
  <si>
    <r>
      <rPr>
        <sz val="12"/>
        <color indexed="8"/>
        <rFont val="Arial"/>
      </rPr>
      <t>The parade will go down Fifth Avenue.</t>
    </r>
  </si>
  <si>
    <t>convene</t>
  </si>
  <si>
    <t>[kənvíːn]</t>
  </si>
  <si>
    <t>함께(con) 갈라진 틈(v)을 통해 안(en)으로 들어와서 ‘모이다, 회의가 개최되다’</t>
  </si>
  <si>
    <t>모이다, 회의가 개최되다</t>
  </si>
  <si>
    <t>The board will convene for an emergency meeting tomorrow.</t>
  </si>
  <si>
    <t>The board will (          ) for an emergency meeting tomorrow.</t>
  </si>
  <si>
    <t>convention</t>
  </si>
  <si>
    <t>ven &gt; convene</t>
  </si>
  <si>
    <t>[kənvénʃən]</t>
  </si>
  <si>
    <t>모이다(convene) + 명사(tion) = ‘집회, 회의, 협의회’</t>
  </si>
  <si>
    <t>집회, 회의, 협의회</t>
  </si>
  <si>
    <t>The annual convention attracts thousands of industry professionals.</t>
  </si>
  <si>
    <t>The annual (          ) attracts thousands of industry professionals.</t>
  </si>
  <si>
    <t>conventional</t>
  </si>
  <si>
    <t>vent</t>
  </si>
  <si>
    <r>
      <rPr>
        <sz val="12"/>
        <color indexed="8"/>
        <rFont val="Apple SD 산돌고딕 Neo 일반체"/>
      </rPr>
      <t>vent</t>
    </r>
  </si>
  <si>
    <t>[kənvénʃənl]</t>
  </si>
  <si>
    <t>예전부터 함께(con) 사람들이 나와서(vent) 모이는 곳이니 ‘전통적인’</t>
  </si>
  <si>
    <t>전통적인</t>
  </si>
  <si>
    <t>They chose a conventional approach rather than experimenting.</t>
  </si>
  <si>
    <t>They chose a (          ) approach rather than experimenting.</t>
  </si>
  <si>
    <t>convenient</t>
  </si>
  <si>
    <t>[kənvíːnjənt]</t>
  </si>
  <si>
    <t>함께(con) 이것 저것 다 갈라진 틈(v) 안에(en) 넣어 놓으니 ‘편리한’</t>
  </si>
  <si>
    <t>편리한</t>
  </si>
  <si>
    <t>The store's location is convenient for neighborhood residents.</t>
  </si>
  <si>
    <t>The store's location is (          ) for neighborhood residents.</t>
  </si>
  <si>
    <t>souvenir</t>
  </si>
  <si>
    <t>[sùːvəníər]</t>
  </si>
  <si>
    <t>그(so) 장소를(ven-venue) 기억나게 하는 물품이니 ‘기념품’</t>
  </si>
  <si>
    <t>기념품</t>
  </si>
  <si>
    <t>I bought a souvenir to remember my trip to Paris.</t>
  </si>
  <si>
    <t>I bought a (          ) to remember my trip to Paris.</t>
  </si>
  <si>
    <t>revenue</t>
  </si>
  <si>
    <t>[révənjùː]</t>
  </si>
  <si>
    <t>다시(re) 어떤 장소로(venue) 가서 돈을 모으니 ‘수익’</t>
  </si>
  <si>
    <t>수익</t>
  </si>
  <si>
    <t>The new product line increased company revenue significantly.</t>
  </si>
  <si>
    <t>The new product line increased company (          ) significantly.</t>
  </si>
  <si>
    <t>다시(re) 갚아준다 갈라진 틈(v) 안으로(en) 파고들어 깊숙하게(g) 하는 ‘복수’</t>
  </si>
  <si>
    <t>intervene</t>
  </si>
  <si>
    <t>[ìntərvíːn]</t>
  </si>
  <si>
    <t>상호간에(inter) 갈라진 틈(v) 안으로(en) ‘끼어들다’</t>
  </si>
  <si>
    <t>끼어들다</t>
  </si>
  <si>
    <t>The teacher had to intervene in the students' argument.</t>
  </si>
  <si>
    <t>The teacher had to (          ) in the students' argument.</t>
  </si>
  <si>
    <t>[vent]</t>
  </si>
  <si>
    <t>갈라진 틈(v) 안으로(en) 나오는 ‘구멍, 통풍구’</t>
  </si>
  <si>
    <t>구멍, 통풍구</t>
  </si>
  <si>
    <t>The kitchen needs a vent to remove cooking odors.</t>
  </si>
  <si>
    <t>The kitchen needs a (          ) to remove cooking odors.</t>
  </si>
  <si>
    <t>ventilation</t>
  </si>
  <si>
    <t>[vèntəléiʃən]</t>
  </si>
  <si>
    <t>통풍구를(vent) 통해 길게(l) 냄새를 빼는 ‘환기, 통풍’</t>
  </si>
  <si>
    <t>환기, 통풍</t>
  </si>
  <si>
    <t>Good ventilation is important for indoor air quality.</t>
  </si>
  <si>
    <t>Good (          ) is important for indoor air quality.</t>
  </si>
  <si>
    <t>venture</t>
  </si>
  <si>
    <t>[vénʧər]</t>
  </si>
  <si>
    <t>나오는데(vent) 아래쪽에서(u) 힘차게(r) 하는 ‘벤쳐, 모험’</t>
  </si>
  <si>
    <t>벤쳐, 모험</t>
  </si>
  <si>
    <t>Starting a new business is always a risky venture.</t>
  </si>
  <si>
    <t>Starting a new business is always a risky (          ).</t>
  </si>
  <si>
    <t>adventure</t>
  </si>
  <si>
    <t>vent &gt; venture</t>
  </si>
  <si>
    <t>[ædvénʧər]</t>
  </si>
  <si>
    <t>더하는게(ad) 모험적(venture) 시도이니 ‘모험, 모험심’</t>
  </si>
  <si>
    <t>모험, 모험심</t>
  </si>
  <si>
    <t>The book tells the adventure of explorers in the Amazon.</t>
  </si>
  <si>
    <t>The book tells the (          ) of explorers in the Amazon.</t>
  </si>
  <si>
    <t>invent</t>
  </si>
  <si>
    <t>[invént]</t>
  </si>
  <si>
    <t>안(in)에 있던 아이디어가 나오게(vent) 되니 ‘발명하다’</t>
  </si>
  <si>
    <t>발명하다</t>
  </si>
  <si>
    <t>Thomas Edison did not invent the light bulb; he improved it.</t>
  </si>
  <si>
    <t>Thomas Edison did not (          ) the light bulb; he improved it.</t>
  </si>
  <si>
    <t>prevent</t>
  </si>
  <si>
    <t>[privént]</t>
  </si>
  <si>
    <t>앞서(pre) 나와(vent) ‘막다, 예방하다’</t>
  </si>
  <si>
    <t>막다, 예방하다</t>
  </si>
  <si>
    <t>Regular exercise helps prevent many health problems.</t>
  </si>
  <si>
    <t>Regular exercise helps (          ) many health problems.</t>
  </si>
  <si>
    <t>prevention</t>
  </si>
  <si>
    <t>vent &gt; prevent</t>
  </si>
  <si>
    <t>[privénʃən]</t>
  </si>
  <si>
    <t>막다(prevent) + 명사(ion) = ‘예방’</t>
  </si>
  <si>
    <t>예방</t>
  </si>
  <si>
    <t>Prevention of disease is better than treatment.</t>
  </si>
  <si>
    <r>
      <rPr>
        <sz val="12"/>
        <color indexed="8"/>
        <rFont val="Arial"/>
      </rPr>
      <t>Prevention of disease is better than treatment.</t>
    </r>
  </si>
  <si>
    <t>event</t>
  </si>
  <si>
    <t>[ivént]</t>
  </si>
  <si>
    <t>입구를(e) 통해 갈라진 틈(v)인 문을 통해 안으로(en) 들어가 참석하는 ‘행사, 사건, 이벤트’</t>
  </si>
  <si>
    <t>행사, 사건, 이벤트</t>
  </si>
  <si>
    <t>The wedding was the social event of the season.</t>
  </si>
  <si>
    <t>The wedding was the social (          ) of the season.</t>
  </si>
  <si>
    <t>advent</t>
  </si>
  <si>
    <t>[ǽdvent]</t>
  </si>
  <si>
    <t>현실에 더하여(ad) 드디어 나오니(vent) ‘도래, 출현’</t>
  </si>
  <si>
    <t>도래, 출현</t>
  </si>
  <si>
    <t>The advent of the internet transformed communication.</t>
  </si>
  <si>
    <t>The (          ) of the internet transformed communication.</t>
  </si>
  <si>
    <t>verse</t>
  </si>
  <si>
    <t>vers</t>
  </si>
  <si>
    <r>
      <rPr>
        <sz val="12"/>
        <color indexed="8"/>
        <rFont val="Apple SD 산돌고딕 Neo 일반체"/>
      </rPr>
      <t>vers</t>
    </r>
  </si>
  <si>
    <t>[vəːrs]</t>
  </si>
  <si>
    <t>운율을 따라 돌고(vers) 도는 ‘행’</t>
  </si>
  <si>
    <t>행</t>
  </si>
  <si>
    <t>The poet recited a verse from her latest work.</t>
  </si>
  <si>
    <t>The poet recited a (          ) from her latest work.</t>
  </si>
  <si>
    <t>version</t>
  </si>
  <si>
    <t>vers(verse)</t>
  </si>
  <si>
    <t>[və́ːrʒən]</t>
  </si>
  <si>
    <t>인쇄기를 돌려(verse) 계속(on) 나오게 된 ‘판’</t>
  </si>
  <si>
    <t>판</t>
  </si>
  <si>
    <t>The latest version of the software includes new features.</t>
  </si>
  <si>
    <t>The latest (          ) of the software includes new features.</t>
  </si>
  <si>
    <t>adverse</t>
  </si>
  <si>
    <t>[ædvə́ːrs, -'-]</t>
  </si>
  <si>
    <t>가던 방향에 더하여(ad) 도니(verse) ‘반대 방향’</t>
  </si>
  <si>
    <t>반대 방향</t>
  </si>
  <si>
    <t>The medicine may cause adverse reactions in some patients.</t>
  </si>
  <si>
    <t>The medicine may cause (          ) reactions in some patients.</t>
  </si>
  <si>
    <t>adversary</t>
  </si>
  <si>
    <t>vers(verse) &gt; adverse</t>
  </si>
  <si>
    <t>[ǽdvərsèri]</t>
  </si>
  <si>
    <t>반대로(adverse) 혼자서(a) 힘을(r) 확장(y)시 키는 사람이니 ‘적수, 적대자’</t>
  </si>
  <si>
    <t>적수, 적대자</t>
  </si>
  <si>
    <t>The two candidates are political adversaries.</t>
  </si>
  <si>
    <r>
      <rPr>
        <sz val="12"/>
        <color indexed="8"/>
        <rFont val="Arial"/>
      </rPr>
      <t>The two candidates are political adversaries.</t>
    </r>
  </si>
  <si>
    <t>reverse</t>
  </si>
  <si>
    <t>[rivə́ːrs]</t>
  </si>
  <si>
    <t>다시(re) 도니(verse) ‘반대의, 거꾸로의’</t>
  </si>
  <si>
    <t>반대의, 거꾸로의</t>
  </si>
  <si>
    <t>The truck driver had to reverse into the narrow driveway.</t>
  </si>
  <si>
    <t>The truck driver had to (          ) into the narrow driveway.</t>
  </si>
  <si>
    <t>controversy</t>
  </si>
  <si>
    <t>[kάntrəvə̀ːrsi]</t>
  </si>
  <si>
    <t>반대로(contr) 도니(vers) ‘논란, 논쟁’</t>
  </si>
  <si>
    <t>논란, 논쟁</t>
  </si>
  <si>
    <t>The new policy caused controversy among parents.</t>
  </si>
  <si>
    <t>The new policy caused (          ) among parents.</t>
  </si>
  <si>
    <t>conversation</t>
  </si>
  <si>
    <t>[kὰnvərséiʃən]</t>
  </si>
  <si>
    <t>함께(con) 서로 대화를 주거니 받거니 하면서 돌리는(verse) ‘대화’</t>
  </si>
  <si>
    <t>We had an interesting conversation about climate change.</t>
  </si>
  <si>
    <t>We had an interesting (          ) about climate change.</t>
  </si>
  <si>
    <t>diverse</t>
  </si>
  <si>
    <t>[divə́ːrs]</t>
  </si>
  <si>
    <t>둘로(di) 나누어져 도니(verse) ‘다양한’</t>
  </si>
  <si>
    <t>다양한</t>
  </si>
  <si>
    <t>The company employs a diverse workforce.</t>
  </si>
  <si>
    <t>The company employs a (          ) workforce.</t>
  </si>
  <si>
    <t>divert</t>
  </si>
  <si>
    <t>vers(vert)</t>
  </si>
  <si>
    <t>[divə́ːrt]</t>
  </si>
  <si>
    <t>두 갈래로(di) 나누어 전환(vert-vers) 시키니 ‘딴 데로 돌리다, 우회시키다, 전환시키다’</t>
  </si>
  <si>
    <t>딴 데로 돌리다, 우회시키다, 전환시키다</t>
  </si>
  <si>
    <t>The police diverted traffic away from the accident scene.</t>
  </si>
  <si>
    <t>The police (          )ed traffic away from the accident scene.</t>
  </si>
  <si>
    <t>vers(vorce)</t>
  </si>
  <si>
    <t>하나였다가 둘로(di) 각자 다른 방향으로 돌아(vorce-verse) 나가니 ‘이혼, 이혼하다’</t>
  </si>
  <si>
    <t>이혼, 이혼하다</t>
  </si>
  <si>
    <t>avert</t>
  </si>
  <si>
    <t>vert</t>
  </si>
  <si>
    <r>
      <rPr>
        <sz val="12"/>
        <color indexed="8"/>
        <rFont val="Apple SD 산돌고딕 Neo 일반체"/>
      </rPr>
      <t>vert</t>
    </r>
  </si>
  <si>
    <t>[əvə́ːrt]</t>
  </si>
  <si>
    <t>방향을 더해서(a) 전환(ver) 시키니 ‘돌리다, 비키다, 외면하다’</t>
  </si>
  <si>
    <t>돌리다, 비키다, 외면하다</t>
  </si>
  <si>
    <t>Quick action helped avert a serious crisis.</t>
  </si>
  <si>
    <t>Quick action helped (          ) a serious crisis.</t>
  </si>
  <si>
    <t>advertise</t>
  </si>
  <si>
    <t>[ǽdvərtàiz]</t>
  </si>
  <si>
    <t>더하여(ad) 사람들의 시선과 생각을 전환시니(ver) ‘광고하다, 선전하다’</t>
  </si>
  <si>
    <t>광고하다, 선전하다</t>
  </si>
  <si>
    <t>The company will advertise the new product on television.</t>
  </si>
  <si>
    <t>The company will (          ) the new product on television.</t>
  </si>
  <si>
    <t>convert</t>
  </si>
  <si>
    <t>[kənvə́ːrt]</t>
  </si>
  <si>
    <t>함께(con) 다 전환하니(vert) ‘전환하다’</t>
  </si>
  <si>
    <t>전환하다</t>
  </si>
  <si>
    <t>The builder will convert the old warehouse into apartments.</t>
  </si>
  <si>
    <t>The builder will (          ) the old warehouse into apartments.</t>
  </si>
  <si>
    <t>conversion</t>
  </si>
  <si>
    <t>vert &gt; convert</t>
  </si>
  <si>
    <t>[kənvə́ːrʒən]</t>
  </si>
  <si>
    <t>전환하다(convert) + 명사(sion) = ‘변환’</t>
  </si>
  <si>
    <t>변환</t>
  </si>
  <si>
    <t>The conversion from miles to kilometers is easy to calculate.</t>
  </si>
  <si>
    <t>The (          ) from miles to kilometers is easy to calculate.</t>
  </si>
  <si>
    <t>vertical</t>
  </si>
  <si>
    <t>[və́ːrtikəl]</t>
  </si>
  <si>
    <t>전환(vert) 시켜서 (i) 처럼 만드니 ‘수직의’</t>
  </si>
  <si>
    <t>수직의</t>
  </si>
  <si>
    <t>The climber scaled the vertical cliff face.</t>
  </si>
  <si>
    <t>The climber scaled the (          ) cliff face.</t>
  </si>
  <si>
    <t>introvert</t>
  </si>
  <si>
    <t>[íntrəvə̀ːrt]</t>
  </si>
  <si>
    <t>생각이 자꾸 마음 안쪽으로(in) 이동해(tr) 전환 되니(vert) ‘내성적인, 내성적인 사람’</t>
  </si>
  <si>
    <t>내성적인, 내성적인 사람</t>
  </si>
  <si>
    <t>As an introvert, she prefers small gatherings to large parties.</t>
  </si>
  <si>
    <t>As an (          ), she prefers small gatherings to large parties.</t>
  </si>
  <si>
    <t>extrovert</t>
  </si>
  <si>
    <t>[ékstrəvə̀ːrt]</t>
  </si>
  <si>
    <t>생각이 자꾸 마음 바깥으로(ex) 이동해(tr) 전환되니(vert) ‘외향적인’</t>
  </si>
  <si>
    <t>외향적인</t>
  </si>
  <si>
    <t>The extrovert easily makes friends in new situations.</t>
  </si>
  <si>
    <t>The (          ) easily makes friends in new situations.</t>
  </si>
  <si>
    <t>video</t>
  </si>
  <si>
    <t>vid</t>
  </si>
  <si>
    <r>
      <rPr>
        <sz val="12"/>
        <color indexed="8"/>
        <rFont val="Apple SD 산돌고딕 Neo 일반체"/>
      </rPr>
      <t>vid</t>
    </r>
  </si>
  <si>
    <t>[vídiòu]</t>
  </si>
  <si>
    <t>갖가지 영상을 볼(vid) 수 있는 ‘비디오, 영상’</t>
  </si>
  <si>
    <t>비디오, 영상</t>
  </si>
  <si>
    <t>The video shows how to assemble the furniture.</t>
  </si>
  <si>
    <t>The (          ) shows how to assemble the furniture.</t>
  </si>
  <si>
    <t>provide</t>
  </si>
  <si>
    <t>[prəváid]</t>
  </si>
  <si>
    <t>앞으로(pro) 미리 봐서(vid) 필요하니 ‘제공하다, 준비하다’</t>
  </si>
  <si>
    <t>제공하다, 준비하다</t>
  </si>
  <si>
    <t>The hotel provides free breakfast for guests.</t>
  </si>
  <si>
    <t>The hotel (          )s free breakfast for guests.</t>
  </si>
  <si>
    <t>provision</t>
  </si>
  <si>
    <t>vid &gt; provide</t>
  </si>
  <si>
    <t>[prəvíʒən]</t>
  </si>
  <si>
    <t>제공하다, 준비하다(provide) + 명사(sion) = ‘준비, 대책, 규정, 단서’</t>
  </si>
  <si>
    <t>준비, 대책, 규정, 단서</t>
  </si>
  <si>
    <t>The hikers carried provisions for a three-day trek.</t>
  </si>
  <si>
    <t>The hikers carried (          )s for a three-day trek.</t>
  </si>
  <si>
    <t>evident</t>
  </si>
  <si>
    <t>[évədənt]</t>
  </si>
  <si>
    <t>밖으로(e) 드러나 보이는데(vid) 안에(en) 있는 것을 세웠으니(t) ‘명백한, 분명한’</t>
  </si>
  <si>
    <t>명백한, 분명한</t>
  </si>
  <si>
    <t>The benefits of exercise are evident in his improved health.</t>
  </si>
  <si>
    <t>The benefits of exercise are (          ) in his improved health.</t>
  </si>
  <si>
    <t>evidence</t>
  </si>
  <si>
    <t>vid &gt; evident</t>
  </si>
  <si>
    <t>[évədəns]</t>
  </si>
  <si>
    <t>명백한(evident) + 명사(ence) = ‘증거, 근거’</t>
  </si>
  <si>
    <t>증거, 근거</t>
  </si>
  <si>
    <t>Police collected evidence at the crime scene.</t>
  </si>
  <si>
    <t>Police collected (          ) at the crime scene.</t>
  </si>
  <si>
    <t>vision</t>
  </si>
  <si>
    <t>vis</t>
  </si>
  <si>
    <r>
      <rPr>
        <sz val="12"/>
        <color indexed="8"/>
        <rFont val="Apple SD 산돌고딕 Neo 일반체"/>
      </rPr>
      <t>vis</t>
    </r>
  </si>
  <si>
    <t>[víʒən]</t>
  </si>
  <si>
    <t>보는 것을(vis) 지속적(on)으로 하면 생기는 ‘전망, 비전’</t>
  </si>
  <si>
    <t>전망, 비전</t>
  </si>
  <si>
    <t>The company's vision is to become a global leader in technology.</t>
  </si>
  <si>
    <t>The company's (          ) is to become a global leader in technology.</t>
  </si>
  <si>
    <t>visionary</t>
  </si>
  <si>
    <t>vis &gt; vision</t>
  </si>
  <si>
    <t>[víʒənèri]</t>
  </si>
  <si>
    <t>보이지 않는 전망(vision)을 보니 ‘환영의, 환상의’</t>
  </si>
  <si>
    <t>환영의, 환상의</t>
  </si>
  <si>
    <t>The visionary entrepreneur predicted mobile computing decades ago.</t>
  </si>
  <si>
    <t>The (          ) entrepreneur predicted mobile computing decades ago.</t>
  </si>
  <si>
    <t>visible</t>
  </si>
  <si>
    <t>[vízəbl]</t>
  </si>
  <si>
    <t>보다(vis) + 능력이 있는(ible-able) = ‘눈에 보이는’</t>
  </si>
  <si>
    <t>눈에 보이는</t>
  </si>
  <si>
    <t>Stars become visible in the night sky after sunset.</t>
  </si>
  <si>
    <t>Stars become (          ) in the night sky after sunset.</t>
  </si>
  <si>
    <t>invisible</t>
  </si>
  <si>
    <t>vis &gt; visible</t>
  </si>
  <si>
    <t>[invízəbl]</t>
  </si>
  <si>
    <t>부정(in) + 눈에 보이는(visible) = ‘눈에 보이지 않는, 띄지 않는’</t>
  </si>
  <si>
    <t>눈에 보이지 않는, 띄지 않는</t>
  </si>
  <si>
    <t>Germs are invisible to the naked eye.</t>
  </si>
  <si>
    <t>Germs are (          ) to the naked eye.</t>
  </si>
  <si>
    <t>envision</t>
  </si>
  <si>
    <t>[invíʒən]</t>
  </si>
  <si>
    <t>자기 안(en)에서 뭔가를 보니(vision) ‘상상하다, 마음속에 그리다’</t>
  </si>
  <si>
    <t>상상하다, 마음속에 그리다</t>
  </si>
  <si>
    <t>I envision a future where clean energy is the norm.</t>
  </si>
  <si>
    <t>I (          ) a future where clean energy is the norm.</t>
  </si>
  <si>
    <t>envy</t>
  </si>
  <si>
    <t>vis(vy)</t>
  </si>
  <si>
    <t>[énvi]</t>
  </si>
  <si>
    <t>마음 안(en)에서 뭔가를 바라보며(vy-vis) ‘부러워하다’</t>
  </si>
  <si>
    <t>부러워하다</t>
  </si>
  <si>
    <t>Don't waste time in envy of others' success.</t>
  </si>
  <si>
    <t>Don't waste time in (          ) of others' success.</t>
  </si>
  <si>
    <t>enviable</t>
  </si>
  <si>
    <t>vis(vy) &gt; envy</t>
  </si>
  <si>
    <t>[énviəbl]</t>
  </si>
  <si>
    <t>부러워하다(envy) + 형용사(able) = ‘부러운, 샘나는’</t>
  </si>
  <si>
    <t>부러운, 샘나는</t>
  </si>
  <si>
    <t>She has the enviable ability to learn languages quickly.</t>
  </si>
  <si>
    <t>She has the (          ) ability to learn languages quickly.</t>
  </si>
  <si>
    <t>devise</t>
  </si>
  <si>
    <t>[diváiz]</t>
  </si>
  <si>
    <t>아래로(de) 죽 훓어 보고(vis) 나서 ‘고안하다’</t>
  </si>
  <si>
    <t>고안하다</t>
  </si>
  <si>
    <t>The engineer will devise a solution to the problem.</t>
  </si>
  <si>
    <t>The engineer will (          ) a solution to the problem.</t>
  </si>
  <si>
    <t>revise</t>
  </si>
  <si>
    <t>[riváiz]</t>
  </si>
  <si>
    <t>다시(re) 보니(vis) ‘개정하다, 교정하다’</t>
  </si>
  <si>
    <t>개정하다, 교정하다</t>
  </si>
  <si>
    <t>Students should revise their essays before submission.</t>
  </si>
  <si>
    <t>Students should (          ) their essays before submission.</t>
  </si>
  <si>
    <t>supervise</t>
  </si>
  <si>
    <t>[súːpərvàiz]</t>
  </si>
  <si>
    <t>뛰어난(super) 사람이 보니(vis) ‘감독하다’</t>
  </si>
  <si>
    <t>The manager supervises a team of ten employees.</t>
  </si>
  <si>
    <t>The manager (          )s a team of ten employees.</t>
  </si>
  <si>
    <t>advise</t>
  </si>
  <si>
    <t>[ædváiz]</t>
  </si>
  <si>
    <t>더(ad) 잘 볼(vis) 수 있도록 ‘충고하다’</t>
  </si>
  <si>
    <t>충고하다</t>
  </si>
  <si>
    <t>The financial consultant will advise you on investments.</t>
  </si>
  <si>
    <t>The financial consultant will (          ) you on investments.</t>
  </si>
  <si>
    <t>visit</t>
  </si>
  <si>
    <t>[vízit]</t>
  </si>
  <si>
    <t>보려고(vis) 그 대상을(it) ‘방문하다’</t>
  </si>
  <si>
    <t>방문하다</t>
  </si>
  <si>
    <t>We plan to visit Rome next summer.</t>
  </si>
  <si>
    <t>We plan to (          ) Rome next summer.</t>
  </si>
  <si>
    <t>vocal</t>
  </si>
  <si>
    <t>voc</t>
  </si>
  <si>
    <r>
      <rPr>
        <sz val="12"/>
        <color indexed="8"/>
        <rFont val="Apple SD 산돌고딕 Neo 일반체"/>
      </rPr>
      <t>voc</t>
    </r>
  </si>
  <si>
    <t>[vóukəl]</t>
  </si>
  <si>
    <t>목소리(voc) + 형용사(al) = ‘목소리의, 음성의’</t>
  </si>
  <si>
    <t>목소리의, 음성의</t>
  </si>
  <si>
    <t>The vocal minority opposed the new regulations.</t>
  </si>
  <si>
    <t>The (          ) minority opposed the new regulations.</t>
  </si>
  <si>
    <t>vocation</t>
  </si>
  <si>
    <t>[voukéiʃən]</t>
  </si>
  <si>
    <t>하늘에서 불러주다(voc) 네 직업은 뭐라고 즉, ‘천직, 사명’</t>
  </si>
  <si>
    <t>천직, 사명</t>
  </si>
  <si>
    <t>Teaching is not just a job but a vocation.</t>
  </si>
  <si>
    <t>Teaching is not just a job but a (          ).</t>
  </si>
  <si>
    <t>avocation</t>
  </si>
  <si>
    <t>voc &gt; vocation</t>
  </si>
  <si>
    <t>[ӕvəkéiʃən]</t>
  </si>
  <si>
    <t>더해서(a) 한다 직업(vocation)에 즉, ‘부업, 소일거리’</t>
  </si>
  <si>
    <t>부업, 소일거리</t>
  </si>
  <si>
    <t>Photography is her avocation, not her profession.</t>
  </si>
  <si>
    <t>Photography is her (          ), not her profession.</t>
  </si>
  <si>
    <t>advocate</t>
  </si>
  <si>
    <t>[ǽdvəkèit]</t>
  </si>
  <si>
    <t>더하는(ad) 것이 목소리(voc)이니 ‘주장하다, 옹호하다’</t>
  </si>
  <si>
    <t>주장하다, 옹호하다</t>
  </si>
  <si>
    <t>She is a strong advocate for children's rights.</t>
  </si>
  <si>
    <t>She is a strong (          ) for children's rights.</t>
  </si>
  <si>
    <t>voice</t>
  </si>
  <si>
    <t>[vɔis]</t>
  </si>
  <si>
    <t>부르는데(voc) 나(i) 자신이 낼 수 있는 ‘목소리, 음성’</t>
  </si>
  <si>
    <t>목소리, 음성</t>
  </si>
  <si>
    <t>The singer has a beautiful voice.</t>
  </si>
  <si>
    <t>The singer has a beautiful (          ).</t>
  </si>
  <si>
    <t>invoice</t>
  </si>
  <si>
    <t>voc &gt; voice</t>
  </si>
  <si>
    <t>[ínvɔis]</t>
  </si>
  <si>
    <t>서류 안(in)으로 주문하는 소리(voice)를 담아서 보내는 ‘송장, 청구서’</t>
  </si>
  <si>
    <t>송장, 청구서</t>
  </si>
  <si>
    <t>The company sent an invoice for the services provided.</t>
  </si>
  <si>
    <t>The company sent an (          ) for the services provided.</t>
  </si>
  <si>
    <t>evoke</t>
  </si>
  <si>
    <t>voc(voke)</t>
  </si>
  <si>
    <t>[ivóuk]</t>
  </si>
  <si>
    <t>입구(e)에 소리쳐서(voke-vod) ‘불러내다, 환기시키다’</t>
  </si>
  <si>
    <t>불러내다, 환기시키다</t>
  </si>
  <si>
    <t>The song evokes memories of my childhood.</t>
  </si>
  <si>
    <t>The song (          )s memories of my childhood.</t>
  </si>
  <si>
    <t>convoke</t>
  </si>
  <si>
    <t>[kənvóuk]</t>
  </si>
  <si>
    <t>함께(con)하기 위해 소리쳐(voke-voc) 사람들을 ‘불러모으다, 소집하다’</t>
  </si>
  <si>
    <t>불러모으다, 소집하다</t>
  </si>
  <si>
    <t>The president can convoke Congress for a special session.</t>
  </si>
  <si>
    <t>The president can (          ) Congress for a special session.</t>
  </si>
  <si>
    <t>revoke</t>
  </si>
  <si>
    <t>[rivóuk]</t>
  </si>
  <si>
    <t>반대로(re) 소리치니(voke) ‘취소하다, 철회하다’</t>
  </si>
  <si>
    <t>취소하다, 철회하다</t>
  </si>
  <si>
    <t>The court may revoke his driver's license.</t>
  </si>
  <si>
    <t>The court may (          ) his driver's license.</t>
  </si>
  <si>
    <t>provoke</t>
  </si>
  <si>
    <t>[prəvóuk]</t>
  </si>
  <si>
    <t>앞으로(pro) 소리쳐서(voke) ‘자극하다’</t>
  </si>
  <si>
    <t>Don't provoke the dog by teasing it.</t>
  </si>
  <si>
    <t>Don't (          ) the dog by teasing it.</t>
  </si>
  <si>
    <t>volvo</t>
  </si>
  <si>
    <t>volv</t>
  </si>
  <si>
    <r>
      <rPr>
        <sz val="12"/>
        <color indexed="8"/>
        <rFont val="Apple SD 산돌고딕 Neo 일반체"/>
      </rPr>
      <t>volv</t>
    </r>
  </si>
  <si>
    <t>[vάlvou]</t>
  </si>
  <si>
    <t>라틴어로 '나는 구른다(volv)라는 의미인 자동차 브랜드 ‘볼보’</t>
  </si>
  <si>
    <t>볼보</t>
  </si>
  <si>
    <t>She drives a Volvo because of its safety features.</t>
  </si>
  <si>
    <r>
      <rPr>
        <sz val="12"/>
        <color indexed="8"/>
        <rFont val="Arial"/>
      </rPr>
      <t>She drives a Volvo because of its safety features.</t>
    </r>
  </si>
  <si>
    <t>revolve</t>
  </si>
  <si>
    <t>volv(volve)</t>
  </si>
  <si>
    <t>[rivάlv]</t>
  </si>
  <si>
    <t>다시(re) 회전하니(volve) ‘돌다, 회전하다’</t>
  </si>
  <si>
    <t>돌다, 회전하다</t>
  </si>
  <si>
    <t>The Earth revolves around the sun once each year.</t>
  </si>
  <si>
    <t>The Earth (          )s around the sun once each year.</t>
  </si>
  <si>
    <t>revolution</t>
  </si>
  <si>
    <t>volv(volu)</t>
  </si>
  <si>
    <t>[rèvəlúːʃən]</t>
  </si>
  <si>
    <t>반대로(re) + 돌다(volve) + 명사(tion) = ‘혁명, 개혁’</t>
  </si>
  <si>
    <t>혁명, 개혁</t>
  </si>
  <si>
    <t>The industrial revolution transformed manufacturing processes.</t>
  </si>
  <si>
    <t>The industrial (          ) transformed manufacturing processes.</t>
  </si>
  <si>
    <t>evolve</t>
  </si>
  <si>
    <t>[ivάlv]</t>
  </si>
  <si>
    <t>통로(e)를 통해 나아가 굴러가니(volve) ‘전개 되다, 발전시키다, 진화시키다’</t>
  </si>
  <si>
    <t>전개 되다, 발전시키다, 진화시키다</t>
  </si>
  <si>
    <t>Species evolve over millions of years.</t>
  </si>
  <si>
    <t>Species (          ) over millions of years.</t>
  </si>
  <si>
    <t>involve</t>
  </si>
  <si>
    <t>[invάlv]</t>
  </si>
  <si>
    <t>안(in)으로 굴러와서(volve-volv) ‘포함시키다’</t>
  </si>
  <si>
    <t>포함시키다</t>
  </si>
  <si>
    <t>The project involves collaboration between several departments.</t>
  </si>
  <si>
    <t>The project (          )s collaboration between several departments.</t>
  </si>
  <si>
    <t>volume</t>
  </si>
  <si>
    <t>[vάljuːm]</t>
  </si>
  <si>
    <t>굴러서(volu-volv) 둘둘 말아 크게(m) 두꺼워진 ‘부피, 책, 볼륨’</t>
  </si>
  <si>
    <t>부피, 책, 볼륨</t>
  </si>
  <si>
    <t>Please turn down the volume of the music.</t>
  </si>
  <si>
    <t>Please turn down the (          ) of the music.</t>
  </si>
  <si>
    <t>value</t>
  </si>
  <si>
    <t>val</t>
  </si>
  <si>
    <r>
      <rPr>
        <sz val="12"/>
        <color indexed="8"/>
        <rFont val="Apple SD 산돌고딕 Neo 일반체"/>
      </rPr>
      <t>val</t>
    </r>
  </si>
  <si>
    <t>[vǽljuː]</t>
  </si>
  <si>
    <t>가치가(val) 아래쪽에서(u) 입구를(e) 통해 나오니 ‘가치, 값어치, 유용성, 평가하다’</t>
  </si>
  <si>
    <t>가치, 값어치, 유용성, 평가하다</t>
  </si>
  <si>
    <t>The painting has both artistic and monetary value.</t>
  </si>
  <si>
    <t>The painting has both artistic and monetary (          ).</t>
  </si>
  <si>
    <t>valuable</t>
  </si>
  <si>
    <t>val(value)</t>
  </si>
  <si>
    <t>[vǽljuəbl]</t>
  </si>
  <si>
    <t>가치(value) + 형용사(able) = ‘값비싼, 가치있 는, 귀중한’</t>
  </si>
  <si>
    <t>값비싼, 가치있 는, 귀중한</t>
  </si>
  <si>
    <t>The information proved valuable in solving the problem.</t>
  </si>
  <si>
    <t>The information proved (          ) in solving the problem.</t>
  </si>
  <si>
    <t>invaluable</t>
  </si>
  <si>
    <t>val(value) &gt; valuable</t>
  </si>
  <si>
    <t>[invǽljuəbl]</t>
  </si>
  <si>
    <t>반대(in)할 수 없을 정도로 + 가치있는(valuable) = ‘아주 소중한’</t>
  </si>
  <si>
    <t>아주 소중한</t>
  </si>
  <si>
    <t>Her assistance was invaluable during the crisis.</t>
  </si>
  <si>
    <t>Her assistance was (          ) during the crisis.</t>
  </si>
  <si>
    <t>evaluate</t>
  </si>
  <si>
    <t>[ivǽljuèit]</t>
  </si>
  <si>
    <t>입을(e) 통해 가치(value)를 말하니 ‘평가하다’</t>
  </si>
  <si>
    <t>평가하다</t>
  </si>
  <si>
    <t>The committee will evaluate all applications carefully.</t>
  </si>
  <si>
    <t>The committee will (          ) all applications carefully.</t>
  </si>
  <si>
    <t>같은(equ-equal) 가치(val)의 것이니 ‘동등의 것, 등가’</t>
  </si>
  <si>
    <t>동등의 것, 등가</t>
  </si>
  <si>
    <t>valid</t>
  </si>
  <si>
    <t>[vǽlid]</t>
  </si>
  <si>
    <t>가치가(val) 아래까지(l) 미치니 ‘타당한, 유효한’</t>
  </si>
  <si>
    <t>타당한, 유효한</t>
  </si>
  <si>
    <t>Your passport must be valid for at least six months.</t>
  </si>
  <si>
    <t>Your passport must be (          ) for at least six months.</t>
  </si>
  <si>
    <t>validate</t>
  </si>
  <si>
    <t>[vǽlədèit]</t>
  </si>
  <si>
    <t>가치를(val) 현 날짜로(date) 보여주니 ‘증명하다’</t>
  </si>
  <si>
    <t>The receipt validates your warranty.</t>
  </si>
  <si>
    <t>The receipt (          )s your warranty.</t>
  </si>
  <si>
    <t>avail</t>
  </si>
  <si>
    <t>val(vail)</t>
  </si>
  <si>
    <t>[əvéil]</t>
  </si>
  <si>
    <t>더하는게(a) 가치(vail-val)이니 ‘쓸모 있다, 유익하다’</t>
  </si>
  <si>
    <t>쓸모 있다, 유익하다</t>
  </si>
  <si>
    <t>He availed himself of the opportunity to study abroad.</t>
  </si>
  <si>
    <t>He (          )ed himself of the opportunity to study abroad.</t>
  </si>
  <si>
    <t>available</t>
  </si>
  <si>
    <t>val(vail) &gt; avail</t>
  </si>
  <si>
    <t>[əvéiləbl]</t>
  </si>
  <si>
    <t>쓸모(가치) 있다(avail) + 형용사(able) = ‘쓸모 있는, 유효한’</t>
  </si>
  <si>
    <t>쓸모 있는, 유효한</t>
  </si>
  <si>
    <t>The book is available in both hardcover and paperback editions.</t>
  </si>
  <si>
    <t>The book is (          ) in both hardcover and paperback editions.</t>
  </si>
  <si>
    <t>countervail</t>
  </si>
  <si>
    <t>[kauˈntərveiˌl]</t>
  </si>
  <si>
    <t>반대하다(counter) 가치에(vall-val) 즉, ‘대항하다, 상쇄하다’</t>
  </si>
  <si>
    <t>대항하다, 상쇄하다</t>
  </si>
  <si>
    <t>Her strengths countervail her weaknesses.</t>
  </si>
  <si>
    <t>Her strengths (          ) her weaknesses.</t>
  </si>
  <si>
    <t>prevail</t>
  </si>
  <si>
    <t>[privéil]</t>
  </si>
  <si>
    <t>앞서서(pre) 가치가(vail-val) 인정되니 ‘널리 퍼져 있다, 유행되다, 우세하다’</t>
  </si>
  <si>
    <t>널리 퍼져 있다, 유행되다, 우세하다</t>
  </si>
  <si>
    <t>Justice will prevail in the end.</t>
  </si>
  <si>
    <t>Justice will (          ) in the end.</t>
  </si>
  <si>
    <t>vary</t>
  </si>
  <si>
    <t>vari</t>
  </si>
  <si>
    <r>
      <rPr>
        <sz val="12"/>
        <color indexed="8"/>
        <rFont val="Apple SD 산돌고딕 Neo 일반체"/>
      </rPr>
      <t>vari</t>
    </r>
  </si>
  <si>
    <t>[vέəri]</t>
  </si>
  <si>
    <t>다양함이(vari-vary) 확장(v) 되니 ‘다양하게 하다, 다르게 하다’</t>
  </si>
  <si>
    <t>다양하게 하다, 다르게 하다</t>
  </si>
  <si>
    <t>Temperatures vary greatly from summer to winter.</t>
  </si>
  <si>
    <t>Temperatures (          ) greatly from summer to winter.</t>
  </si>
  <si>
    <t>variation</t>
  </si>
  <si>
    <t>vari &gt; vary</t>
  </si>
  <si>
    <t>[vεəriéiʃən]</t>
  </si>
  <si>
    <t>다양하게 하다(vary) + 명사(tion) = ‘변화’</t>
  </si>
  <si>
    <t>변화</t>
  </si>
  <si>
    <t>Genetic variation contributes to species adaptability.</t>
  </si>
  <si>
    <t>Genetic (          ) contributes to species adaptability.</t>
  </si>
  <si>
    <t>various</t>
  </si>
  <si>
    <t>[vέəriəs]</t>
  </si>
  <si>
    <t>다양하게 하다(vary) + 형용사(ous) = ‘다양한, 잡다한’</t>
  </si>
  <si>
    <t>다양한, 잡다한</t>
  </si>
  <si>
    <t>The shop sells various types of cheese.</t>
  </si>
  <si>
    <t>The shop sells (          ) types of cheese.</t>
  </si>
  <si>
    <t>variable</t>
  </si>
  <si>
    <t>[vέəriəbl]</t>
  </si>
  <si>
    <t>다양하게 하다(vary) + 할 수 있는(able) = ‘변하기 쉬운, 변덕스러운’</t>
  </si>
  <si>
    <t>변하기 쉬운, 변덕스러운</t>
  </si>
  <si>
    <t>Wind speed is a variable factor in weather forecasting.</t>
  </si>
  <si>
    <t>Wind speed is a (          ) factor in weather forecasting.</t>
  </si>
  <si>
    <t>invariable</t>
  </si>
  <si>
    <t>vari &gt; vary &gt; variable</t>
  </si>
  <si>
    <t>[invέəriəbl]</t>
  </si>
  <si>
    <t>반대(in) + 변하기 쉬운(variable) = ‘불변의, 일정한’</t>
  </si>
  <si>
    <t>His invariable response to criticism is denial.</t>
  </si>
  <si>
    <t>His (          ) response to criticism is denial.</t>
  </si>
  <si>
    <t>variant</t>
  </si>
  <si>
    <t>[vέəriənt]</t>
  </si>
  <si>
    <t>다양하게 하다(vary) + 성질을 가진(ant) = ‘변종의, 상이한’</t>
  </si>
  <si>
    <t>변종의, 상이한</t>
  </si>
  <si>
    <t>This is a new variant of the original design.</t>
  </si>
  <si>
    <t>This is a new (          ) of the original design.</t>
  </si>
  <si>
    <t>variety</t>
  </si>
  <si>
    <t>[vəráiəti]</t>
  </si>
  <si>
    <t>다양하게 하다(vary) + 명사(ty) = ‘다양성, 변화’</t>
  </si>
  <si>
    <t>다양성, 변화</t>
  </si>
  <si>
    <t>The store offers a wide variety of products.</t>
  </si>
  <si>
    <t>The store offers a wide (          ) of products.</t>
  </si>
  <si>
    <t>victory</t>
  </si>
  <si>
    <t>vic</t>
  </si>
  <si>
    <r>
      <rPr>
        <sz val="12"/>
        <color indexed="8"/>
        <rFont val="Apple SD 산돌고딕 Neo 일반체"/>
      </rPr>
      <t>vic</t>
    </r>
  </si>
  <si>
    <t>[víktəri]</t>
  </si>
  <si>
    <t>정복함이(vid) 확장되어(y) ‘승리, 전승’</t>
  </si>
  <si>
    <t>승리, 전승</t>
  </si>
  <si>
    <t>The team celebrated their victory in the championship.</t>
  </si>
  <si>
    <t>The team celebrated their (          ) in the championship.</t>
  </si>
  <si>
    <t>victim</t>
  </si>
  <si>
    <t>vic(vict)</t>
  </si>
  <si>
    <t>[víktim]</t>
  </si>
  <si>
    <t>정복하여(vict-vic) 많이(m) 생긴 ‘희생자’</t>
  </si>
  <si>
    <t>희생자</t>
  </si>
  <si>
    <t>The victim of the accident is recovering in the hospital.</t>
  </si>
  <si>
    <t>The (          ) of the accident is recovering in the hospital.</t>
  </si>
  <si>
    <t>conviction</t>
  </si>
  <si>
    <t>[kənvíkʃən]</t>
  </si>
  <si>
    <t>여러 반대의견들을 모두(con) 정복(vic)하여 내린 ‘유죄 판결, 확신’</t>
  </si>
  <si>
    <t>유죄 판결, 확신</t>
  </si>
  <si>
    <t>The jury's conviction was based on solid evidence.</t>
  </si>
  <si>
    <t>The jury's (          ) was based on solid evidence.</t>
  </si>
  <si>
    <t>vincible</t>
  </si>
  <si>
    <t>vic(vinc)</t>
  </si>
  <si>
    <t>[vínsəbl]</t>
  </si>
  <si>
    <t>정복(vinc-vic)해서 없앨 수 있으니(n) ‘이길 수 있는, 정복할 수 있는’</t>
  </si>
  <si>
    <t>이길 수 있는, 정복할 수 있는</t>
  </si>
  <si>
    <t>Even the strongest opponent is vincible with the right strategy.</t>
  </si>
  <si>
    <t>Even the strongest opponent is (          ) with the right strategy.</t>
  </si>
  <si>
    <t>convince</t>
  </si>
  <si>
    <t>[kənvíns]</t>
  </si>
  <si>
    <t>함께(con) 다 모아 놓고 갈라진 마음 틈(v) 안으로(in) 들어가 잡으니(c) ‘설득하다’</t>
  </si>
  <si>
    <t>The evidence should convince even the most skeptical person.</t>
  </si>
  <si>
    <t>The evidence should (          ) even the most skeptical person.</t>
  </si>
  <si>
    <t>vitamin</t>
  </si>
  <si>
    <t>vit</t>
  </si>
  <si>
    <r>
      <rPr>
        <sz val="12"/>
        <color indexed="8"/>
        <rFont val="Apple SD 산돌고딕 Neo 일반체"/>
      </rPr>
      <t>vit</t>
    </r>
  </si>
  <si>
    <t>[váitəmin]</t>
  </si>
  <si>
    <t>생명, 활기(vit)를 주는 보충제는 ‘비타민’</t>
  </si>
  <si>
    <t>비타민</t>
  </si>
  <si>
    <t>Vitamin C helps strengthen the immune system.</t>
  </si>
  <si>
    <r>
      <rPr>
        <sz val="12"/>
        <color indexed="8"/>
        <rFont val="Arial"/>
      </rPr>
      <t>Vitamin C helps strengthen the immune system.</t>
    </r>
  </si>
  <si>
    <t>vital</t>
  </si>
  <si>
    <t>[váitl]</t>
  </si>
  <si>
    <t>생명은(vit) 모두(all)에게 필요하니 ‘생명의, 생명 유지에 필요한’</t>
  </si>
  <si>
    <t>생명의, 생명 유지에 필요한</t>
  </si>
  <si>
    <t>Oxygen is vital for human survival.</t>
  </si>
  <si>
    <t>vitality</t>
  </si>
  <si>
    <t>vit &gt; vital</t>
  </si>
  <si>
    <t>[vaitǽləti]</t>
  </si>
  <si>
    <t>생명의(vital) + 명사(ity) = ‘생명력, 활력’</t>
  </si>
  <si>
    <t>생명력, 활력</t>
  </si>
  <si>
    <t>Regular exercise increases your vitality and energy.</t>
  </si>
  <si>
    <t>Regular exercise increases your (          ) and energy.</t>
  </si>
  <si>
    <t>invite</t>
  </si>
  <si>
    <t>[inváit]</t>
  </si>
  <si>
    <t>안(in)으로 활력(vit) 있는 시간을 보내자고 ‘초대하다’</t>
  </si>
  <si>
    <t>초대하다</t>
  </si>
  <si>
    <t>We invited thirty people to the wedding.</t>
  </si>
  <si>
    <t>We (          )d thirty people to the wedding.</t>
  </si>
  <si>
    <t>viva</t>
  </si>
  <si>
    <t>viv</t>
  </si>
  <si>
    <r>
      <rPr>
        <sz val="12"/>
        <color indexed="8"/>
        <rFont val="Apple SD 산돌고딕 Neo 일반체"/>
      </rPr>
      <t>viv</t>
    </r>
  </si>
  <si>
    <t>[víːvə]</t>
  </si>
  <si>
    <t xml:space="preserve">살아있음을(viv) 느끼니 애(a)하고 ‘환호’를 지른다 </t>
  </si>
  <si>
    <t>환호</t>
  </si>
  <si>
    <t>The professor conducted a viva to test the student's knowledge.</t>
  </si>
  <si>
    <t>The professor conducted a (          ) to test the student's knowledge.</t>
  </si>
  <si>
    <t>vivid</t>
  </si>
  <si>
    <t>[vívid]</t>
  </si>
  <si>
    <t>살아(viv) 있는 생기가 아래로(d) 좍 흘러내리니 ‘생기에 찬’</t>
  </si>
  <si>
    <t>생기에 찬</t>
  </si>
  <si>
    <t>She described the scene in vivid detail.</t>
  </si>
  <si>
    <t>She described the scene in (          ) detail.</t>
  </si>
  <si>
    <t>revival</t>
  </si>
  <si>
    <t>[riváivəl]</t>
  </si>
  <si>
    <t>다시(re) 살아가도록(viv) 모두를 회복시키니 ‘소생, 회복, 재생’</t>
  </si>
  <si>
    <t>소생, 회복, 재생</t>
  </si>
  <si>
    <t>There has been a revival of interest in traditional crafts.</t>
  </si>
  <si>
    <t>There has been a (          ) of interest in traditional crafts.</t>
  </si>
  <si>
    <t>survival</t>
  </si>
  <si>
    <t>[sərváivəl]</t>
  </si>
  <si>
    <t>난관을 넘어서서(sur) 살아남았으니(viv) ‘살아남음, 생존’</t>
  </si>
  <si>
    <t>살아남음, 생존</t>
  </si>
  <si>
    <t>Survival in the wilderness requires knowledge and preparation.</t>
  </si>
  <si>
    <r>
      <rPr>
        <sz val="12"/>
        <color indexed="8"/>
        <rFont val="Arial"/>
      </rPr>
      <t>Survival in the wilderness requires knowledge and preparation.</t>
    </r>
  </si>
  <si>
    <t>wind</t>
  </si>
  <si>
    <t>win(wind)</t>
  </si>
  <si>
    <r>
      <rPr>
        <sz val="12"/>
        <color indexed="8"/>
        <rFont val="Apple SD 산돌고딕 Neo 일반체"/>
      </rPr>
      <t>win</t>
    </r>
  </si>
  <si>
    <t>[wind (고어·시어) waind]</t>
  </si>
  <si>
    <t>물결(w) 모양으로 안으로(in) 들어왔다가 내려 가기도(d) 하는 ‘바람’</t>
  </si>
  <si>
    <t>바람</t>
  </si>
  <si>
    <t>Strong wind blew the leaves from the trees.</t>
  </si>
  <si>
    <t>Strong (          ) blew the leaves from the trees.</t>
  </si>
  <si>
    <t>windshield</t>
  </si>
  <si>
    <t>win</t>
  </si>
  <si>
    <t>[wínd-]</t>
  </si>
  <si>
    <t>바람을(wind) 막아주는 방패(shield) 역할의 ‘자동차 앞 유리’</t>
  </si>
  <si>
    <t>자동차 앞 유리</t>
  </si>
  <si>
    <t>The rock cracked the windshield of my car.</t>
  </si>
  <si>
    <t>The rock cracked the (          ) of my car.</t>
  </si>
  <si>
    <t>winter</t>
  </si>
  <si>
    <t>[wíntər]</t>
  </si>
  <si>
    <t>바람(win)이 자주 접촉(t)하는 ‘겨울’</t>
  </si>
  <si>
    <t>겨울</t>
  </si>
  <si>
    <t>In winter, the lake freezes solid.</t>
  </si>
  <si>
    <t>In (          ), the lake freezes solid.</t>
  </si>
  <si>
    <t>window</t>
  </si>
  <si>
    <t>[wíndou]</t>
  </si>
  <si>
    <t>바람(win)이 물결(w) 움직임으로 들어오는 ‘창문’</t>
  </si>
  <si>
    <t>창문</t>
  </si>
  <si>
    <t>Open the window to let in fresh air.</t>
  </si>
  <si>
    <t>Open the (          ) to let in fresh air.</t>
  </si>
  <si>
    <t>wing</t>
  </si>
  <si>
    <t>w</t>
  </si>
  <si>
    <r>
      <rPr>
        <sz val="12"/>
        <color indexed="8"/>
        <rFont val="Apple SD 산돌고딕 Neo 일반체"/>
      </rPr>
      <t>wing</t>
    </r>
  </si>
  <si>
    <t>[wiŋ]</t>
  </si>
  <si>
    <t>물결, 바람결(w) 모양으로 진행형(ing)의 동작을 하는 ‘날개’</t>
  </si>
  <si>
    <t>날개</t>
  </si>
  <si>
    <t>The bird's wing was injured, so it couldn't fly.</t>
  </si>
  <si>
    <t>The bird's (          ) was injured, so it couldn't fly.</t>
  </si>
  <si>
    <t>swing</t>
  </si>
  <si>
    <t>w &gt; wing</t>
  </si>
  <si>
    <t>[swiŋ]</t>
  </si>
  <si>
    <t>부드럽게(s) 날개(wing)처럼 흔들리는 ‘그네, 흔들다, 흔들리다’</t>
  </si>
  <si>
    <t>그네, 흔들다, 흔들리다</t>
  </si>
  <si>
    <t>Children love to swing in the playground.</t>
  </si>
  <si>
    <t>Children love to (          ) in the playground.</t>
  </si>
  <si>
    <t>whisk</t>
  </si>
  <si>
    <t>whi</t>
  </si>
  <si>
    <r>
      <rPr>
        <sz val="12"/>
        <color indexed="8"/>
        <rFont val="Apple SD 산돌고딕 Neo 일반체"/>
      </rPr>
      <t>whi</t>
    </r>
  </si>
  <si>
    <t>[hwisk]</t>
  </si>
  <si>
    <t>바람에 날아가도록(whi) 피부(sk)에서 떨어지도록 ‘탁 털다, 재빨리 움직이다’</t>
  </si>
  <si>
    <t>탁 털다, 재빨리 움직이다</t>
  </si>
  <si>
    <t>Whisk the eggs until they become frothy.</t>
  </si>
  <si>
    <r>
      <rPr>
        <sz val="12"/>
        <color indexed="8"/>
        <rFont val="Arial"/>
      </rPr>
      <t>Whisk the eggs until they become frothy.</t>
    </r>
  </si>
  <si>
    <t>whisker</t>
  </si>
  <si>
    <t>whi &gt; whisk</t>
  </si>
  <si>
    <t>[wískər]</t>
  </si>
  <si>
    <t>재빨리 움직이는(whisk) ‘수염’</t>
  </si>
  <si>
    <t>수염</t>
  </si>
  <si>
    <t>The cat's whiskers help it navigate in the dark.</t>
  </si>
  <si>
    <t>The cat's (          )s help it navigate in the dark.</t>
  </si>
  <si>
    <t>whiskey</t>
  </si>
  <si>
    <t>[hwíski]</t>
  </si>
  <si>
    <t>바람에 날아가는(whi) 알코올로 증류한 술이니 ‘위스키’</t>
  </si>
  <si>
    <t>위스키</t>
  </si>
  <si>
    <t>Scotch whiskey is aged in oak barrels.</t>
  </si>
  <si>
    <t>Scotch (          ) is aged in oak barrels.</t>
  </si>
  <si>
    <t>whistle</t>
  </si>
  <si>
    <t>[hwísl]</t>
  </si>
  <si>
    <t>바람이 입에서 나가게(whi) 하고 입술을 잘 세워서(st) 길게(l) ‘휘파람을 불다’</t>
  </si>
  <si>
    <t>휘파람을 불다</t>
  </si>
  <si>
    <t>The referee blew the whistle to end the game.</t>
  </si>
  <si>
    <t>The referee blew the (          ) to end the game.</t>
  </si>
  <si>
    <t>whisper</t>
  </si>
  <si>
    <t>[hwíspər]</t>
  </si>
  <si>
    <t>바람에 날리듯이(whi) 소리를 부드럽게(s) 폭(p)하게 귀로(er-ear) 들어가게 하니 ‘속삭이다’</t>
  </si>
  <si>
    <t>속삭이다</t>
  </si>
  <si>
    <t>She leaned closer to whisper the secret.</t>
  </si>
  <si>
    <t>She leaned closer to (          ) the secret.</t>
  </si>
  <si>
    <t>whip</t>
  </si>
  <si>
    <t>[hwip]</t>
  </si>
  <si>
    <t>바람을 가르는(whi) 소리를 내며 폭(p) 하고 튀어 나가는 ‘매, 채찍질’</t>
  </si>
  <si>
    <t>매, 채찍질</t>
  </si>
  <si>
    <t>The chef used a whip to beat the cream.</t>
  </si>
  <si>
    <t>The chef used a (          ) to beat the cream.</t>
  </si>
  <si>
    <t>whirl</t>
  </si>
  <si>
    <t>[hwəːrl]</t>
  </si>
  <si>
    <t>바람때문에(whi) 힘있게(r) 멀리(l)까지 ‘소용돌이치게 하다’</t>
  </si>
  <si>
    <t>소용돌이치게 하다</t>
  </si>
  <si>
    <t>The dancers whirl around the ballroom floor.</t>
  </si>
  <si>
    <t>The dancers (          ) around the ballroom floor.</t>
  </si>
  <si>
    <t>swirl</t>
  </si>
  <si>
    <t>whi &gt; whirl(wirl)</t>
  </si>
  <si>
    <t>[swəːrl]</t>
  </si>
  <si>
    <t>부드럽게(s) 소용돌이(wirl-whirl)치니 ‘빙빙 돌다’</t>
  </si>
  <si>
    <t>빙빙 돌다</t>
  </si>
  <si>
    <t>Cream swirl into the black coffee.</t>
  </si>
  <si>
    <t>Cream (          ) into the black coffee.</t>
  </si>
  <si>
    <t>whi(wh)</t>
  </si>
  <si>
    <t>바람에 날리듯이(wh-whi) 계속(ee) 길게(l) 돌려버리니 ‘회전하다, 원을 그리다, 핸들, 바퀴’</t>
  </si>
  <si>
    <t>회전하다, 원을 그리다, 핸들, 바퀴</t>
  </si>
  <si>
    <t>ward</t>
  </si>
  <si>
    <r>
      <rPr>
        <sz val="12"/>
        <color indexed="8"/>
        <rFont val="Apple SD 산돌고딕 Neo 일반체"/>
      </rPr>
      <t>ward</t>
    </r>
  </si>
  <si>
    <t>[wɔːrd]</t>
  </si>
  <si>
    <t>환자나, 죄수가 어떤 쪽으로(ward) 가야만 되는 곳이 ‘병동, 감방’</t>
  </si>
  <si>
    <t>병동, 감방</t>
  </si>
  <si>
    <t>The hospital ward holds twenty patients.</t>
  </si>
  <si>
    <t>The hospital (          ) holds twenty patients.</t>
  </si>
  <si>
    <t>wardrobe</t>
  </si>
  <si>
    <t>[wɔ́ːrdroub]</t>
  </si>
  <si>
    <t>어떤 쪽으로(ward) 갈 때 입는 옷(robe)을 보관하는 ‘옷장’</t>
  </si>
  <si>
    <t>옷장</t>
  </si>
  <si>
    <t>She has an extensive wardrobe of professional clothes.</t>
  </si>
  <si>
    <t>She has an extensive (          ) of professional clothes.</t>
  </si>
  <si>
    <t>앞(for) + 쪽으로(ward) = ‘앞에, 앞쪽에, 전방으로’</t>
  </si>
  <si>
    <t>앞에, 앞쪽에, 전방으로</t>
  </si>
  <si>
    <t>afterward</t>
  </si>
  <si>
    <t>[ǽftərwərd]</t>
  </si>
  <si>
    <t>뒤에 있고 앞서가버린(after) + 쪽으로(ward) = ‘뒤에, 그 뒤’</t>
  </si>
  <si>
    <t>뒤에, 그 뒤</t>
  </si>
  <si>
    <t>We went for ice cream afterward.</t>
  </si>
  <si>
    <t>We went for ice cream (          ).</t>
  </si>
  <si>
    <t>reward</t>
  </si>
  <si>
    <t>[riwɔ́ːrd]</t>
  </si>
  <si>
    <t>다시(re) 어떤 쪽으로(ward) 가는 ‘보상, 보답’</t>
  </si>
  <si>
    <t>보상, 보답</t>
  </si>
  <si>
    <t>Good behavior deserves a reward.</t>
  </si>
  <si>
    <t>Good behavior deserves a (          ).</t>
  </si>
  <si>
    <t>award</t>
  </si>
  <si>
    <t>[əwɔ́ːrd]</t>
  </si>
  <si>
    <t>한사람을(a) 정해서 그 사람 쪽으로(ward) 주는 ‘상, 주다, 수여하다’</t>
  </si>
  <si>
    <t>상, 주다, 수여하다</t>
  </si>
  <si>
    <t>She received an award for her outstanding performance.</t>
  </si>
  <si>
    <t>She received an (          ) for her outstanding performance.</t>
  </si>
  <si>
    <t>inward</t>
  </si>
  <si>
    <t>[ínwərd]</t>
  </si>
  <si>
    <t>안(in)+ 쪽으로(ward) = ‘안으로, 내부로, 안쪽에’</t>
  </si>
  <si>
    <t>안으로, 내부로, 안쪽에</t>
  </si>
  <si>
    <t>The journey inward can be as challenging as exploring the world.</t>
  </si>
  <si>
    <t>The journey (          ) can be as challenging as exploring the world.</t>
  </si>
  <si>
    <t>with</t>
  </si>
  <si>
    <r>
      <rPr>
        <sz val="12"/>
        <color indexed="8"/>
        <rFont val="Apple SD 산돌고딕 Neo 일반체"/>
      </rPr>
      <t>with</t>
    </r>
  </si>
  <si>
    <t>함께(with) 서니(stand) ‘맞서다’</t>
  </si>
  <si>
    <t>맞서다</t>
  </si>
  <si>
    <t>withhold</t>
  </si>
  <si>
    <t>[wiðhóuld, wiθ-]</t>
  </si>
  <si>
    <t>함께(with) 잡고(hold) 있으니 ‘억제하다, 보류하다’</t>
  </si>
  <si>
    <t>억제하다, 보류하다</t>
  </si>
  <si>
    <t>Don't withhold important information from your doctor.</t>
  </si>
  <si>
    <t>Don't (          ) important information from your doctor.</t>
  </si>
  <si>
    <t>withdraw</t>
  </si>
  <si>
    <t>[wiðdrɔ́ː wiθ-]</t>
  </si>
  <si>
    <t>함께(with) 빼니(draw) ‘철회하다, 인출하다’</t>
  </si>
  <si>
    <t>철회하다, 인출하다</t>
  </si>
  <si>
    <t>You can withdraw cash from any ATM.</t>
  </si>
  <si>
    <t>You can (          ) cash from any ATM.</t>
  </si>
  <si>
    <t>withdrawal</t>
  </si>
  <si>
    <t>with &gt; withdraw</t>
  </si>
  <si>
    <t>[wiðdrɔ́ːəl wiθ-]</t>
  </si>
  <si>
    <t>철회하다(withdraw) + 명사(al) = ‘철회, 철수, 인출’</t>
  </si>
  <si>
    <t>철회, 철수, 인출</t>
  </si>
  <si>
    <t>The withdrawal of troops will begin next month.</t>
  </si>
  <si>
    <t>The (          ) of troops will begin next month.</t>
  </si>
  <si>
    <t>wrap</t>
  </si>
  <si>
    <t>wr</t>
  </si>
  <si>
    <r>
      <rPr>
        <sz val="12"/>
        <color indexed="8"/>
        <rFont val="Apple SD 산돌고딕 Neo 일반체"/>
      </rPr>
      <t>wr</t>
    </r>
  </si>
  <si>
    <t>[ræp]</t>
  </si>
  <si>
    <t>회전시켜(wr) 감을 수 있고 폭(p) 하는 힘으로 마무리하니 ‘싸다, 포장하다’</t>
  </si>
  <si>
    <t>싸다, 포장하다</t>
  </si>
  <si>
    <t>Wrap the gift in colorful paper.</t>
  </si>
  <si>
    <r>
      <rPr>
        <sz val="12"/>
        <color indexed="8"/>
        <rFont val="Arial"/>
      </rPr>
      <t>Wrap the gift in colorful paper.</t>
    </r>
  </si>
  <si>
    <t>wrest</t>
  </si>
  <si>
    <t>[rest]</t>
  </si>
  <si>
    <t>회전시키는(wr) 강한(st-strong) 힘을 가하니 ‘비틀다, 꼬다’</t>
  </si>
  <si>
    <t>비틀다, 꼬다</t>
  </si>
  <si>
    <t>He had to wrest control of the vehicle from the skid.</t>
  </si>
  <si>
    <t>He had to (          ) control of the vehicle from the skid.</t>
  </si>
  <si>
    <t>wrestling</t>
  </si>
  <si>
    <t>wr &gt; wrest</t>
  </si>
  <si>
    <t>[résliŋ]</t>
  </si>
  <si>
    <t>비틀기를(wrest) 계속(l) 하는 중이니(ing) ‘레슬링’</t>
  </si>
  <si>
    <t>레슬링</t>
  </si>
  <si>
    <t>Professional wrestling combines athleticism with entertainment.</t>
  </si>
  <si>
    <t>Professional (          ) combines athleticism with entertainment.</t>
  </si>
  <si>
    <t>wrench</t>
  </si>
  <si>
    <t>[rentʃ]</t>
  </si>
  <si>
    <t>회전시키려고(wr) 도구 안에(en) 넣고 잡아서(ch) ‘비틀다’</t>
  </si>
  <si>
    <t>비틀다</t>
  </si>
  <si>
    <t>Use a wrench to tighten the loose bolt.</t>
  </si>
  <si>
    <t>Use a (          ) to tighten the loose bolt.</t>
  </si>
  <si>
    <t>wreck</t>
  </si>
  <si>
    <t>[rek]</t>
  </si>
  <si>
    <t>구부러지고, 휘어지고, 엉키고(wr) 굽혀(c)지도록 ‘파손, 파괴, 난파 시키다’</t>
  </si>
  <si>
    <t>파손, 파괴, 난파 시키다</t>
  </si>
  <si>
    <t>The storm could wreck small boats.</t>
  </si>
  <si>
    <t>The storm could (          ) small boats.</t>
  </si>
  <si>
    <t>wrath</t>
  </si>
  <si>
    <t>[ræθ]</t>
  </si>
  <si>
    <t>감정이 물결치듯 휘몰아치며(wr) 자신을 관통(th)하여 분출되는 ‘화, 격노’</t>
  </si>
  <si>
    <t>화, 격노</t>
  </si>
  <si>
    <t>The king's wrath was feared throughout the kingdom.</t>
  </si>
  <si>
    <t>The king's (          ) was feared throughout the kingdom.</t>
  </si>
  <si>
    <t>wrangle</t>
  </si>
  <si>
    <t>[rǽŋgl]</t>
  </si>
  <si>
    <t>서로 엉키고(wr) 자기 앵글을(angle) 주장하며 ‘말다툼하다’</t>
  </si>
  <si>
    <t>말다툼하다</t>
  </si>
  <si>
    <t>Lawyers wrangle over the details of the contract.</t>
  </si>
  <si>
    <t>Lawyers (          ) over the details of the contract.</t>
  </si>
  <si>
    <t>wrinkle</t>
  </si>
  <si>
    <t>[ríŋkl]</t>
  </si>
  <si>
    <t>구부러지고 휘어진(wr) 모양이고 피부에 잉크 (ink)로 길게(l) 그려 놓은 것 같은 ‘주름’</t>
  </si>
  <si>
    <t>주름</t>
  </si>
  <si>
    <t>The new fabric resists wrinkles.</t>
  </si>
  <si>
    <t>The new fabric resists (          )s.</t>
  </si>
  <si>
    <t>wrong</t>
  </si>
  <si>
    <t>[rɔ́ːŋ]</t>
  </si>
  <si>
    <t>구불구불 회전(wi)하고 있으니(ong-ing) ‘나쁜, 옳지 못한, 그릇된’</t>
  </si>
  <si>
    <t>나쁜, 옳지 못한, 그릇된</t>
  </si>
  <si>
    <t>It's wrong to take things that don't belong to you.</t>
  </si>
  <si>
    <t>It's (          ) to take things that don't belong to you.</t>
  </si>
  <si>
    <t>wrist</t>
  </si>
  <si>
    <t>[rist]</t>
  </si>
  <si>
    <t>구부러지고, 휘어지고, 회전할(wr) 수도 있고 서(st) 있기도 하는 ‘손목’</t>
  </si>
  <si>
    <t>손목</t>
  </si>
  <si>
    <t>She wears a watch on her left wrist.</t>
  </si>
  <si>
    <t>She wears a watch on her left (          ).</t>
  </si>
  <si>
    <t>write</t>
  </si>
  <si>
    <t>[rait]</t>
  </si>
  <si>
    <t>구부러지고(wr) 때로는 서도록(t) 글자를 ‘쓰다’</t>
  </si>
  <si>
    <t>쓰다</t>
  </si>
  <si>
    <t>Please write your name and address on the form.</t>
  </si>
  <si>
    <t>Please (          ) your name and address on the form.</t>
  </si>
  <si>
    <t>war</t>
  </si>
  <si>
    <t>[wɔːr]</t>
  </si>
  <si>
    <t>서로 한명한명(a) 함께 엉키는(wr) ‘전쟁’</t>
  </si>
  <si>
    <t>전쟁</t>
  </si>
  <si>
    <t>The war lasted for six devastating years.</t>
  </si>
  <si>
    <t>The (          ) lasted for six devastating years.</t>
  </si>
  <si>
    <t>wary</t>
  </si>
  <si>
    <t>wr &gt; war</t>
  </si>
  <si>
    <t>[wέəri]</t>
  </si>
  <si>
    <t>전쟁(war)때에는 신중한 자세를 더욱 확장(y) 하여서 ‘조심하는, 신중한’</t>
  </si>
  <si>
    <t>조심하는, 신중한</t>
  </si>
  <si>
    <t>Be wary of emails asking for your bank information.</t>
  </si>
  <si>
    <t>Be (          ) of emails asking for your bank information.</t>
  </si>
  <si>
    <t>warn</t>
  </si>
  <si>
    <t>[wɔːrn]</t>
  </si>
  <si>
    <t>전쟁(war)이 가깝다고(n) ‘경고하다’</t>
  </si>
  <si>
    <t>경고하다</t>
  </si>
  <si>
    <t>The sign warns visitors about the dangerous cliff.</t>
  </si>
  <si>
    <t>The sign (          )s visitors about the dangerous cliff.</t>
  </si>
  <si>
    <t>warrant</t>
  </si>
  <si>
    <t>[wɔ́ːrənt]</t>
  </si>
  <si>
    <t>전쟁(war)과 같은 어려운 상황에서도 혼자(an) 서서(t) 지켜주는 ‘보증서’</t>
  </si>
  <si>
    <t>보증서</t>
  </si>
  <si>
    <t>The evidence didn't warrant such extreme measures.</t>
  </si>
  <si>
    <t>The evidence didn't (          ) such extreme measures.</t>
  </si>
  <si>
    <t>warm</t>
  </si>
  <si>
    <t>[wɔːrm]</t>
  </si>
  <si>
    <t>아지랑이가 전쟁(war)의 포화처럼 움직여(m) 올라오니 ‘따뜻한, 온난한’</t>
  </si>
  <si>
    <t>따뜻한, 온난한</t>
  </si>
  <si>
    <t>The soup will help keep you warm on a cold day.</t>
  </si>
  <si>
    <t>The soup will help keep you (          ) on a cold day.</t>
  </si>
  <si>
    <t>worm</t>
  </si>
  <si>
    <t>wr &gt; wor</t>
  </si>
  <si>
    <t>[wəːrm]</t>
  </si>
  <si>
    <t>몸을 구부리며(wor) 움직여(m) 가는 ‘벌레’</t>
  </si>
  <si>
    <t>벌레</t>
  </si>
  <si>
    <t>Birds eat worms from the garden soil.</t>
  </si>
  <si>
    <t>Birds eat (          )s from the garden soil.</t>
  </si>
  <si>
    <t>wire</t>
  </si>
  <si>
    <r>
      <rPr>
        <sz val="12"/>
        <color indexed="8"/>
        <rFont val="Apple SD 산돌고딕 Neo 일반체"/>
      </rPr>
      <t>wire</t>
    </r>
  </si>
  <si>
    <t>[waiər]</t>
  </si>
  <si>
    <t>물결(w)처럼 엉켜서 자신(i) 안으로 힘을(r) 가해 엮기도 하는 ‘철조망’</t>
  </si>
  <si>
    <t>철조망</t>
  </si>
  <si>
    <t>Connect the devices using the USB wire.</t>
  </si>
  <si>
    <t>Connect the devices using the USB (          ).</t>
  </si>
  <si>
    <t>wireless</t>
  </si>
  <si>
    <t>[wáiərlis]</t>
  </si>
  <si>
    <t>전선(wire)이 길게 풀어져 없으니(Iess) ‘무선의’</t>
  </si>
  <si>
    <t>무선의</t>
  </si>
  <si>
    <t>Most modern homes have wireless internet.</t>
  </si>
  <si>
    <t>Most modern homes have (          ) internet.</t>
  </si>
  <si>
    <t>world</t>
  </si>
  <si>
    <t>[wəːrld]</t>
  </si>
  <si>
    <t>돌고 돌아(wor) 길게(l) 또는 아래로(d) 여행을 다니는 ‘세계’</t>
  </si>
  <si>
    <t>세계</t>
  </si>
  <si>
    <t>The world is becoming increasingly interconnected.</t>
  </si>
  <si>
    <t>The (          ) is becoming increasingly interconnected.</t>
  </si>
  <si>
    <t>worldly</t>
  </si>
  <si>
    <t>wr &gt; wor &gt; world</t>
  </si>
  <si>
    <t>[wə́ːrldli]</t>
  </si>
  <si>
    <t>세계(world) + 형용사(y) = ‘세상의, 부속적인’</t>
  </si>
  <si>
    <t>세상의, 부속적인</t>
  </si>
  <si>
    <t>His worldly possessions fit into a single suitcase.</t>
  </si>
  <si>
    <t>His (          ) possessions fit into a single suitcase.</t>
  </si>
  <si>
    <t>worry</t>
  </si>
  <si>
    <t>wr(wor)</t>
  </si>
  <si>
    <t>[wə́ːri]</t>
  </si>
  <si>
    <t>마음이 엉키고(wor) 힘있게(r) 막 확장(y)되는 ‘근심, 걱정’</t>
  </si>
  <si>
    <t>근심, 걱정</t>
  </si>
  <si>
    <t>Don't worry about things you cannot change.</t>
  </si>
  <si>
    <t>Don't (          ) about things you cannot change.</t>
  </si>
  <si>
    <t>word</t>
  </si>
  <si>
    <r>
      <rPr>
        <sz val="12"/>
        <color indexed="8"/>
        <rFont val="Apple SD 산돌고딕 Neo 일반체"/>
      </rPr>
      <t>w</t>
    </r>
  </si>
  <si>
    <t>[wəːrd]</t>
  </si>
  <si>
    <t>꼬불꼬불(w) 입에서(o) 흘러 내리는(d) ‘말, 낱말’</t>
  </si>
  <si>
    <t>말, 낱말</t>
  </si>
  <si>
    <t>Choose your words carefully in formal writing.</t>
  </si>
  <si>
    <t>Choose your (          )s carefully in formal writing.</t>
  </si>
  <si>
    <t>sword</t>
  </si>
  <si>
    <t>war(wor)</t>
  </si>
  <si>
    <r>
      <rPr>
        <sz val="12"/>
        <color indexed="8"/>
        <rFont val="Apple SD 산돌고딕 Neo 일반체"/>
      </rPr>
      <t>war</t>
    </r>
  </si>
  <si>
    <t>[sɔːrd]</t>
  </si>
  <si>
    <t>부드럽게(s) 전쟁에서(wor-war) 이리저리 휘두르며 아래로(d) 내려치기도 하는 ‘검, 칼’</t>
  </si>
  <si>
    <t>검, 칼</t>
  </si>
  <si>
    <t>Knights carried swords in medieval times.</t>
  </si>
  <si>
    <t>Knights carried (          )s in medieval times.</t>
  </si>
  <si>
    <t>switch</t>
  </si>
  <si>
    <t>sw</t>
  </si>
  <si>
    <r>
      <rPr>
        <sz val="12"/>
        <color indexed="8"/>
        <rFont val="Apple SD 산돌고딕 Neo 일반체"/>
      </rPr>
      <t>sw</t>
    </r>
  </si>
  <si>
    <t>[swiʧ]</t>
  </si>
  <si>
    <t>부드러운(s) 물결, 바람결(w)과 같이 잡아(ch) 켜고 끄는 ‘스위치, 전환, 바꿈’</t>
  </si>
  <si>
    <t>스위치, 전환, 바꿈</t>
  </si>
  <si>
    <t>Remember to switch off the lights when you leave.</t>
  </si>
  <si>
    <t>Remember to (          ) off the lights when you leave.</t>
  </si>
  <si>
    <t>swap</t>
  </si>
  <si>
    <t>[swap]</t>
  </si>
  <si>
    <t>부드럽게(s) 물결(w-water)처럼 움직여 가서 폭(p)하고 내밀어 ‘물물교환하다’</t>
  </si>
  <si>
    <t>물물교환하다</t>
  </si>
  <si>
    <t>Let's swap phone numbers so we can stay in touch.</t>
  </si>
  <si>
    <t>Let's (          ) phone numbers so we can stay in touch.</t>
  </si>
  <si>
    <t>swim</t>
  </si>
  <si>
    <t>[swim]</t>
  </si>
  <si>
    <t>부드럽게(s) 물(w-water)에서 내가(i) 움직여(m) 가니 ‘수영하다’</t>
  </si>
  <si>
    <t>수영하다</t>
  </si>
  <si>
    <t>Children learn to swim in the shallow pool.</t>
  </si>
  <si>
    <t>Children learn to (          ) in the shallow pool.</t>
  </si>
  <si>
    <t>swallow</t>
  </si>
  <si>
    <t>[swάlou]</t>
  </si>
  <si>
    <t>부드럽게(s) 물결처럼(w) 흘러(l) 몸속 아래(low) 가도록 ‘삼키다’</t>
  </si>
  <si>
    <t>삼키다</t>
  </si>
  <si>
    <t>It's difficult to swallow large pills.</t>
  </si>
  <si>
    <t>It's difficult to (          ) large pills.</t>
  </si>
  <si>
    <t>sway</t>
  </si>
  <si>
    <t>[swei]</t>
  </si>
  <si>
    <t>부드럽게(s) 물결(w) 모양으로 확장(y)해서 ‘이리저리 흔들다’</t>
  </si>
  <si>
    <t>이리저리 흔들다</t>
  </si>
  <si>
    <t>The trees sway in the strong wind.</t>
  </si>
  <si>
    <t>The trees (          ) in the strong wind.</t>
  </si>
  <si>
    <t>sweat</t>
  </si>
  <si>
    <t>[swet]</t>
  </si>
  <si>
    <t>부드럽게(s) 물결(w) 처럼 흐르기도 하고 송글송글 맺혀 서기도(t)하는 ‘땀’</t>
  </si>
  <si>
    <t>땀</t>
  </si>
  <si>
    <t>Athletes sweat heavily during intense exercise.</t>
  </si>
  <si>
    <t>Athletes (          ) heavily during intense exercise.</t>
  </si>
  <si>
    <t>sweet</t>
  </si>
  <si>
    <t>침이 부드럽게(s) 물결(w-water)처럼 흘러(ee) 나오는(t) 맛이니 ‘달콤한’</t>
  </si>
  <si>
    <t>달콤한</t>
  </si>
  <si>
    <t>The cake is too sweet for my taste.</t>
  </si>
  <si>
    <t>The cake is too (          ) for my taste.</t>
  </si>
  <si>
    <t>swan</t>
  </si>
  <si>
    <t>[swan]</t>
  </si>
  <si>
    <t>부드럽게(s) 물(w-water)에서 홀로(an) 고고하게 떠 있는 ‘백조’</t>
  </si>
  <si>
    <t>백조</t>
  </si>
  <si>
    <t>The white swan glided gracefully across the lake.</t>
  </si>
  <si>
    <t>The white (          ) glided gracefully across the lake.</t>
  </si>
  <si>
    <t>swamp</t>
  </si>
  <si>
    <t>sw &gt; swan(swą)</t>
  </si>
  <si>
    <t>[swamp]</t>
  </si>
  <si>
    <t>백조(swa-swan)의 움직임(m)을 어떤 지점(p)에 묶어 놓는 ‘늪’</t>
  </si>
  <si>
    <t>늪</t>
  </si>
  <si>
    <t>The jeep got stuck in the muddy swamp.</t>
  </si>
  <si>
    <t>The jeep got stuck in the muddy (          ).</t>
  </si>
  <si>
    <t>swell</t>
  </si>
  <si>
    <t>[swel]</t>
  </si>
  <si>
    <t>부드럽게(s) 물결(w)이 길게(l) 길게(l) 계속 흘러 들어와서 팽창하니 ‘부풀다’</t>
  </si>
  <si>
    <t>부풀다</t>
  </si>
  <si>
    <t>The river tends to swell after heavy rain.</t>
  </si>
  <si>
    <t>The river tends to (          ) after heavy rain.</t>
  </si>
  <si>
    <t>sweep</t>
  </si>
  <si>
    <t>[swiːp]</t>
  </si>
  <si>
    <t>부드럽게(s) 물결(w)처럼 바닥을 계속(ee) 폭하고(p) ‘쓸다’</t>
  </si>
  <si>
    <t>쓸다</t>
  </si>
  <si>
    <t>Please sweep the floor before guests arrive.</t>
  </si>
  <si>
    <t>Please (          ) the floor before guests arrive.</t>
  </si>
  <si>
    <t>swift</t>
  </si>
  <si>
    <t>[swift]</t>
  </si>
  <si>
    <t>부드럽게(s) 물결(w)처럼 움직임이 빠르게(f) 나아가니(t) ‘재빠른, 신속한’</t>
  </si>
  <si>
    <t>재빠른, 신속한</t>
  </si>
  <si>
    <t>The swift response from emergency services saved lives.</t>
  </si>
  <si>
    <t>The (          ) response from emergency services saved lives.</t>
  </si>
  <si>
    <t>swear</t>
  </si>
  <si>
    <t>[swεər]</t>
  </si>
  <si>
    <t>부드럽게(sw)처럼 말을 해서 상대방 귀(ear)에 들리게 ‘맹세하다’</t>
  </si>
  <si>
    <t>맹세하다</t>
  </si>
  <si>
    <t>Witnesses must swear to tell the truth in court.</t>
  </si>
  <si>
    <t>Witnesses must (          ) to tell the truth in court.</t>
  </si>
  <si>
    <t>exit</t>
  </si>
  <si>
    <t>ex</t>
  </si>
  <si>
    <r>
      <rPr>
        <sz val="12"/>
        <color indexed="8"/>
        <rFont val="Apple SD 산돌고딕 Neo 일반체"/>
      </rPr>
      <t>ex</t>
    </r>
  </si>
  <si>
    <t>[égzit, éksit]</t>
  </si>
  <si>
    <t>밖으로(ex) 나갈 수 있는 그곳(t)이니 ‘출구’</t>
  </si>
  <si>
    <t>출구</t>
  </si>
  <si>
    <t>The emergency exit is located at the back of the building.</t>
  </si>
  <si>
    <t>The emergency (          ) is located at the back of the building.</t>
  </si>
  <si>
    <t>exotic</t>
  </si>
  <si>
    <t>[igzάtik]</t>
  </si>
  <si>
    <t>나라 바깥의(ex) 둥근(o) 장소에 서(t) 있으니 ‘이국적인’</t>
  </si>
  <si>
    <t>이국적인</t>
  </si>
  <si>
    <t>The botanical garden features exotic plants from around the world.</t>
  </si>
  <si>
    <t>The botanical garden features (          ) plants from around the world.</t>
  </si>
  <si>
    <t>exquisite</t>
  </si>
  <si>
    <t>[ikskwízit, ékskwizit]</t>
  </si>
  <si>
    <t>밖으로(ex) 나가 창조주가 눌러서(qu) 잘 다듬 어서 만든 장소는(site) ‘매우 아름다운, 절묘한’</t>
  </si>
  <si>
    <t>매우 아름다운, 절묘한</t>
  </si>
  <si>
    <t>The chef prepared an exquisite meal for the special occasion.</t>
  </si>
  <si>
    <t>The chef prepared an (          ) meal for the special occasion.</t>
  </si>
  <si>
    <t>experience</t>
  </si>
  <si>
    <t>[ikspíəriəns]</t>
  </si>
  <si>
    <t>밖으로(ex) 나가 완벽(per)하게 되기 위해서 나 자신(i)이 한 ‘경험, 경험하다’</t>
  </si>
  <si>
    <t>경험, 경험하다</t>
  </si>
  <si>
    <t>Travel provides valuable experience of different cultures.</t>
  </si>
  <si>
    <t>Travel provides valuable (          ) of different cultures.</t>
  </si>
  <si>
    <t>experiment</t>
  </si>
  <si>
    <t>[ikspérəmənt]</t>
  </si>
  <si>
    <t>밖(ex)으로 실제적으로 이론을 완전하게(per-perfect) 하려고 시멘트(ment-cement)처럼 혼합해서 한 ‘실험’</t>
  </si>
  <si>
    <t>실험</t>
  </si>
  <si>
    <t>The scientist conducts experiments in the laboratory.</t>
  </si>
  <si>
    <t>The scientist conducts (          )s in the laboratory.</t>
  </si>
  <si>
    <t>execute</t>
  </si>
  <si>
    <t>[éksikjùːt]</t>
  </si>
  <si>
    <t>밖으로(ex) 나가서 칼을 들고 자르니(cut) ‘실행하다’</t>
  </si>
  <si>
    <t>실행하다</t>
  </si>
  <si>
    <t>The company will execute the new strategy next quarter.</t>
  </si>
  <si>
    <t>The company will (          ) the new strategy next quarter.</t>
  </si>
  <si>
    <t>expert</t>
  </si>
  <si>
    <t>[ékspəːrt]</t>
  </si>
  <si>
    <t>밖으로(ex) 완벽한(per-perfect) 기술을 세워(t) 보여 주는 사람이니 ‘전문가’</t>
  </si>
  <si>
    <t>전문가</t>
  </si>
  <si>
    <t>She is an expert in ancient languages.</t>
  </si>
  <si>
    <t>She is an (          ) in ancient languages.</t>
  </si>
  <si>
    <t>expertise</t>
  </si>
  <si>
    <t>ex &gt; expert</t>
  </si>
  <si>
    <t>[èkspərtíːz]</t>
  </si>
  <si>
    <t>전문가(expert)가 존재(is)하면 보여주게 되는 ‘전문적 기술’</t>
  </si>
  <si>
    <t>전문적 기술</t>
  </si>
  <si>
    <t>His expertise in computer programming is impressive.</t>
  </si>
  <si>
    <t>His (          ) in computer programming is impressive.</t>
  </si>
  <si>
    <t>explicit</t>
  </si>
  <si>
    <t>[iksplísit]</t>
  </si>
  <si>
    <t>밖으로(ex) 증거를 여러 개(pl-plus)를 잡아서(c) 세워(t) 보이니 ‘명백한, 확고한’</t>
  </si>
  <si>
    <t>명백한, 확고한</t>
  </si>
  <si>
    <t>The instructions were clear and explicit.</t>
  </si>
  <si>
    <t>The instructions were clear and (          ).</t>
  </si>
  <si>
    <t>exploit</t>
  </si>
  <si>
    <t>[iksplɔ́it]</t>
  </si>
  <si>
    <t>밖으로(ex) 여러 일(pl-plus)를 만들어 냈기에 둥근(o) 훈장도 주고 세워(t)주는 것이니 ‘공, 위업’</t>
  </si>
  <si>
    <t>공, 위업</t>
  </si>
  <si>
    <t>The company exploits natural resources responsibly.</t>
  </si>
  <si>
    <t>The company (          )s natural resources responsibly.</t>
  </si>
  <si>
    <t>extol</t>
  </si>
  <si>
    <t>[ikstóul]</t>
  </si>
  <si>
    <t>밖(ex)에 누군가를 세우고(t) 입(o) 길게(l)해 ‘칭찬하다, 찬양하다’</t>
  </si>
  <si>
    <t>칭찬하다, 찬양하다</t>
  </si>
  <si>
    <t>Critics extol the virtues of the award-winning film.</t>
  </si>
  <si>
    <t>Critics (          ) the virtues of the award-winning film.</t>
  </si>
  <si>
    <t>exaggerate</t>
  </si>
  <si>
    <t>[igzǽdʒərèit]</t>
  </si>
  <si>
    <t>밖(ex)으로 깊숙한(gg) 것들을 계속해서 힘있게(r) 끄집어내어 세우니(t) ‘과장하다, 허풍치다’</t>
  </si>
  <si>
    <t>과장하다, 허풍치다</t>
  </si>
  <si>
    <t>Don't exaggerate the difficulties; they are manageable.</t>
  </si>
  <si>
    <t>Don't (          ) the difficulties; they are manageable.</t>
  </si>
  <si>
    <t>exaggeration</t>
  </si>
  <si>
    <t>ex &gt; exaggerate</t>
  </si>
  <si>
    <t>[igzӕdʒəréiʃən]</t>
  </si>
  <si>
    <t>과장하다(exaggerate) + 명사(ion) = ‘과장, 허풍’</t>
  </si>
  <si>
    <t>과장, 허풍</t>
  </si>
  <si>
    <t>His claim of walking ten miles was an exaggeration.</t>
  </si>
  <si>
    <t>His claim of walking ten miles was an (          ).</t>
  </si>
  <si>
    <t>exponential</t>
  </si>
  <si>
    <t>[èkspounénʃəl]</t>
  </si>
  <si>
    <t>밖으로(ex) 잠재적인(potential) 능력을 표출하여 ‘증가하는, 기하급수적인’</t>
  </si>
  <si>
    <t>증가하는, 기하급수적인</t>
  </si>
  <si>
    <t>The technology has shown exponential growth over the past decade.</t>
  </si>
  <si>
    <t>The technology has shown (          ) growth over the past decade.</t>
  </si>
  <si>
    <t>explode</t>
  </si>
  <si>
    <t>[iksplóud]</t>
  </si>
  <si>
    <t>밖으로(ex) 파편들이 폭하고(p) 튀어나가 길게(l) 나가니 ‘폭발하다’</t>
  </si>
  <si>
    <t>폭발하다</t>
  </si>
  <si>
    <t>The bomb could explode if mishandled.</t>
  </si>
  <si>
    <t>The bomb could (          ) if mishandled.</t>
  </si>
  <si>
    <t>extort</t>
  </si>
  <si>
    <t>[ikstɔ́ːrt]</t>
  </si>
  <si>
    <t>밖(ex)으로 끄집어 내려고 고문(tort-torture)하여 ‘강탈하다’</t>
  </si>
  <si>
    <t>강탈하다</t>
  </si>
  <si>
    <t>Criminals attempted to extort money from the businessman.</t>
  </si>
  <si>
    <t>Criminals attempted to (          ) money from the businessman.</t>
  </si>
  <si>
    <t>exile</t>
  </si>
  <si>
    <t>[égzail]</t>
  </si>
  <si>
    <t>밖으로(ex) 멀리(l) 보내 버리니 ‘국외추방, 망명’</t>
  </si>
  <si>
    <t>국외추방, 망명</t>
  </si>
  <si>
    <t>The former dictator lives in exile in a neighboring country.</t>
  </si>
  <si>
    <t>The former dictator lives in (          ) in a neighboring country.</t>
  </si>
  <si>
    <t>exhaust</t>
  </si>
  <si>
    <t>[igzɔ́ːst]</t>
  </si>
  <si>
    <t>밖으로(ex) 크게(h) 잡아서 끌고 나가 아래(u)쪽 구덩이에 세워(st)두어서 ‘소진시키다’</t>
  </si>
  <si>
    <t>소진시키다</t>
  </si>
  <si>
    <t>Long hours of work exhaust even the strongest person.</t>
  </si>
  <si>
    <t>Long hours of work (          ) even the strongest person.</t>
  </si>
  <si>
    <t>exhausting</t>
  </si>
  <si>
    <t>ex &gt; exhaust</t>
  </si>
  <si>
    <t>[igzɔ́ːstiŋ]</t>
  </si>
  <si>
    <t>소진시키는(exhaust) 중이니(ing) ‘기진맥진하게 만드는’</t>
  </si>
  <si>
    <t>기진맥진하게 만드는</t>
  </si>
  <si>
    <t>The marathon was physically exhausting.</t>
  </si>
  <si>
    <t>The marathon was physically (          ).</t>
  </si>
  <si>
    <t>exhausted</t>
  </si>
  <si>
    <t>[igzɔ́ːstid]</t>
  </si>
  <si>
    <t>소진시키는게(exhaust) 다 끝나버렸으니(ed) ‘다 써버린’</t>
  </si>
  <si>
    <t>다 써버린</t>
  </si>
  <si>
    <t>After the long hike, they were completely exhausted.</t>
  </si>
  <si>
    <t>After the long hike, they were completely (          ).</t>
  </si>
  <si>
    <t>exempt</t>
  </si>
  <si>
    <t>[igzémpt]</t>
  </si>
  <si>
    <t>밖으로(ex) 보내서 그 자리를 비게(empt-empty) 만드니 ‘면제하다’</t>
  </si>
  <si>
    <t>면제하다</t>
  </si>
  <si>
    <t>Students are exempt from paying the full fare.</t>
  </si>
  <si>
    <t>Students are (          ) from paying the full fare.</t>
  </si>
  <si>
    <t>extra</t>
  </si>
  <si>
    <r>
      <rPr>
        <sz val="12"/>
        <color indexed="8"/>
        <rFont val="Apple SD 산돌고딕 Neo 일반체"/>
      </rPr>
      <t>extra</t>
    </r>
  </si>
  <si>
    <t>[ékstrə]</t>
  </si>
  <si>
    <t>정해진 배역 밖(extra)에 해당하니 ‘추가의, 여분의, 특별한’</t>
  </si>
  <si>
    <t>추가의, 여분의, 특별한</t>
  </si>
  <si>
    <t>Would you like extra cheese on your pizza?</t>
  </si>
  <si>
    <t>Would you like (          ) cheese on your pizza?</t>
  </si>
  <si>
    <t>extracurricular</t>
  </si>
  <si>
    <t>[]</t>
  </si>
  <si>
    <t>밖의(extra) + 교과과정의(curricular) = ‘과외의, 정규교과 이외의’</t>
  </si>
  <si>
    <t>과외의, 정규교과 이외의</t>
  </si>
  <si>
    <t>Students participate in various extracurricular activities after school.</t>
  </si>
  <si>
    <t>Students participate in various (          ) activities after school.</t>
  </si>
  <si>
    <t>external</t>
  </si>
  <si>
    <t>extra(exter)</t>
  </si>
  <si>
    <t>[ikstə́ːrnl]</t>
  </si>
  <si>
    <t>바깥(exter-extra) + 형용사(al) = ‘바깥쪽의’</t>
  </si>
  <si>
    <t>바깥쪽의</t>
  </si>
  <si>
    <t>The external appearance of the building is impressive.</t>
  </si>
  <si>
    <t>The (          ) appearance of the building is impressive.</t>
  </si>
  <si>
    <t>extreme</t>
  </si>
  <si>
    <t>[ikstríːm]</t>
  </si>
  <si>
    <t>밖을(exre-extra) 넘어선 최대치(m-max)이니 ‘극도의, 극한의’</t>
  </si>
  <si>
    <t>극도의, 극한의</t>
  </si>
  <si>
    <t>The explorer endured extreme conditions in the Arctic.</t>
  </si>
  <si>
    <t>The explorer endured (          ) conditions in the Arctic.</t>
  </si>
  <si>
    <t>extremely</t>
  </si>
  <si>
    <t>extra &gt; extreme</t>
  </si>
  <si>
    <t>[ikstríːmli]</t>
  </si>
  <si>
    <t>극한의(extreme) + 부사(ly) = ‘극단적으로, 대단히’</t>
  </si>
  <si>
    <t>극단적으로, 대단히</t>
  </si>
  <si>
    <t>The concert was extremely entertaining.</t>
  </si>
  <si>
    <t>The concert was (          ) entertaining.</t>
  </si>
  <si>
    <t>fix</t>
  </si>
  <si>
    <r>
      <rPr>
        <sz val="12"/>
        <color indexed="8"/>
        <rFont val="Apple SD 산돌고딕 Neo 일반체"/>
      </rPr>
      <t>fix</t>
    </r>
  </si>
  <si>
    <t>[fiks]</t>
  </si>
  <si>
    <t>연약한(f) 것을 교차(x)시켜 잘 묶어서 ‘고정시키다’</t>
  </si>
  <si>
    <t>고정시키다</t>
  </si>
  <si>
    <t>Can you fix my broken computer?</t>
  </si>
  <si>
    <t>Can you (          ) my broken computer?</t>
  </si>
  <si>
    <t>affix</t>
  </si>
  <si>
    <t>[əfíks]</t>
  </si>
  <si>
    <t>더하여(a) 고정시키니(fix) ‘붙이다, 첨부하다’</t>
  </si>
  <si>
    <t>Affix your signature at the bottom of the document.</t>
  </si>
  <si>
    <r>
      <rPr>
        <sz val="12"/>
        <color indexed="8"/>
        <rFont val="Arial"/>
      </rPr>
      <t>Affix your signature at the bottom of the document.</t>
    </r>
  </si>
  <si>
    <t>symbol</t>
  </si>
  <si>
    <t>sym</t>
  </si>
  <si>
    <r>
      <rPr>
        <sz val="12"/>
        <color indexed="8"/>
        <rFont val="Apple SD 산돌고딕 Neo 일반체"/>
      </rPr>
      <t>sym</t>
    </r>
  </si>
  <si>
    <t>[símbəl]</t>
  </si>
  <si>
    <t>원래의 것과 같은(sym) 모습으로 터져(b) 길게(l) 나온 ‘상징, 표상, 심볼’</t>
  </si>
  <si>
    <t>상징, 표상, 심볼</t>
  </si>
  <si>
    <t>The dove is a symbol of peace.</t>
  </si>
  <si>
    <t>The dove is a (          ) of peace.</t>
  </si>
  <si>
    <t>symptom</t>
  </si>
  <si>
    <t>[símptəm]</t>
  </si>
  <si>
    <t>그 병에만 걸리면 똑같이(sym) 드러나는(t) ‘증상’</t>
  </si>
  <si>
    <t>증상</t>
  </si>
  <si>
    <t>Fever is a common symptom of many illnesses.</t>
  </si>
  <si>
    <t>Fever is a common (          ) of many illnesses.</t>
  </si>
  <si>
    <t>symposium</t>
  </si>
  <si>
    <t>[simpóuziəm]</t>
  </si>
  <si>
    <t>같은(sym) 주제로 위치를(position) 잡아서 하는 ‘토론, 좌담회’</t>
  </si>
  <si>
    <t>토론, 좌담회</t>
  </si>
  <si>
    <t>The scientific symposium attracted researchers from around the world.</t>
  </si>
  <si>
    <t>The scientific (          ) attracted researchers from around the world.</t>
  </si>
  <si>
    <t>symmetry</t>
  </si>
  <si>
    <t>[símətri]</t>
  </si>
  <si>
    <t>양쪽으로 같은(sym) 미터(metr-meter)이니 ‘대칭적인, 균형이 잡힌’</t>
  </si>
  <si>
    <t>대칭적인, 균형이 잡힌</t>
  </si>
  <si>
    <t>The butterfly's wings show perfect symmetry.</t>
  </si>
  <si>
    <t>The butterfly's wings show perfect (          ).</t>
  </si>
  <si>
    <t>같이(sym) 느끼는(path) ‘공감, 동정’</t>
  </si>
  <si>
    <t>공감, 동정</t>
  </si>
  <si>
    <t>symphony</t>
  </si>
  <si>
    <t>sym(syn)</t>
  </si>
  <si>
    <t>[símfəni]</t>
  </si>
  <si>
    <t>함께(syrm) 소리(phon)를 내는 ‘교향곡, 심포니’</t>
  </si>
  <si>
    <t>교향곡, 심포니</t>
  </si>
  <si>
    <t>The orchestra performs Beethoven's Symphony No. 9.</t>
  </si>
  <si>
    <r>
      <rPr>
        <sz val="12"/>
        <color indexed="8"/>
        <rFont val="Arial"/>
      </rPr>
      <t>The orchestra performs Beethoven's Symphony No. 9.</t>
    </r>
  </si>
  <si>
    <t>syndrome</t>
  </si>
  <si>
    <t>[síndroum]</t>
  </si>
  <si>
    <t>함께(syn) 달려가는(drom) ‘증후군’</t>
  </si>
  <si>
    <t>증후군</t>
  </si>
  <si>
    <t>Down syndrome is a genetic condition.</t>
  </si>
  <si>
    <t>Down (          ) is a genetic condition.</t>
  </si>
  <si>
    <t>synchronize</t>
  </si>
  <si>
    <t>[síŋkrənàiz]</t>
  </si>
  <si>
    <t>같은(syn) 시간에 함께 일어나니(chron) ‘동시에 일어나다’</t>
  </si>
  <si>
    <t>동시에 일어나다</t>
  </si>
  <si>
    <t>Make sure to synchronize your watch with the official time.</t>
  </si>
  <si>
    <t>Make sure to (          ) your watch with the official time.</t>
  </si>
  <si>
    <t>synergy</t>
  </si>
  <si>
    <t>[sínərdʒi]</t>
  </si>
  <si>
    <t>함께(syn) 힘을(energy) 내니 ‘상승작용’</t>
  </si>
  <si>
    <t>상승작용</t>
  </si>
  <si>
    <t>The merger created synergy between the two companies.</t>
  </si>
  <si>
    <t>The merger created (          ) between the two companies.</t>
  </si>
  <si>
    <t>synthesis</t>
  </si>
  <si>
    <t>[sínθəsis]</t>
  </si>
  <si>
    <t>함께(syn) 논문을(thesis) 쓰니 ‘통합, 종합, 합성’</t>
  </si>
  <si>
    <t>통합, 종합, 합성</t>
  </si>
  <si>
    <t>The synthesis of these chemicals produces a new compound.</t>
  </si>
  <si>
    <t>The (          ) of these chemicals produces a new compound.</t>
  </si>
  <si>
    <t>photosynthesis</t>
  </si>
  <si>
    <t>sym(syn) &gt; synthesis</t>
  </si>
  <si>
    <t>[fòutəsínθəsis]</t>
  </si>
  <si>
    <t>빛(photo)으로 합성(synthesis)하니 ‘광합성’</t>
  </si>
  <si>
    <t>광합성</t>
  </si>
  <si>
    <t>Plants convert sunlight into energy through photosynthesis.</t>
  </si>
  <si>
    <t>Plants convert sunlight into energy through (          ).</t>
  </si>
  <si>
    <t>haze</t>
  </si>
  <si>
    <t>ze</t>
  </si>
  <si>
    <r>
      <rPr>
        <sz val="12"/>
        <color indexed="8"/>
        <rFont val="Apple SD 산돌고딕 Neo 일반체"/>
      </rPr>
      <t>ze</t>
    </r>
  </si>
  <si>
    <t>[heiz]</t>
  </si>
  <si>
    <t>높은(h)곳까지 이르고 사람을 앞을 분명히 못 보게 어지럽게(ze) 만드는 ‘아지랑이, 안개’</t>
  </si>
  <si>
    <t>아지랑이, 안개</t>
  </si>
  <si>
    <t>Morning haze covered the valley.</t>
  </si>
  <si>
    <t>Morning (          ) covered the valley.</t>
  </si>
  <si>
    <t>maze</t>
  </si>
  <si>
    <t>[meiz]</t>
  </si>
  <si>
    <t>움직여(m) 가는데 어지러워(ze) 길을 못찾는 ‘미로’</t>
  </si>
  <si>
    <t>미로</t>
  </si>
  <si>
    <t>The children enjoyed finding their way through the corn maze.</t>
  </si>
  <si>
    <t>The children enjoyed finding their way through the corn (          ).</t>
  </si>
  <si>
    <t>amazing</t>
  </si>
  <si>
    <t>ze &gt; maze</t>
  </si>
  <si>
    <t>[əméiziŋ]</t>
  </si>
  <si>
    <t>더하다(a) + 미로를(maze) + 하는 중(ing) = ‘놀라운, 놀랄만한’</t>
  </si>
  <si>
    <t>놀라운, 놀랄만한</t>
  </si>
  <si>
    <t>The view from the mountain top was amazing.</t>
  </si>
  <si>
    <t>The view from the mountain top was (          ).</t>
  </si>
  <si>
    <t>gaze</t>
  </si>
  <si>
    <t>[geiz]</t>
  </si>
  <si>
    <t>깊은(g) 곳에서 나오는 열심을 가지고 눈에 진동(ze)이 일어날 정도로 ‘열심히 바라보다’</t>
  </si>
  <si>
    <t>열심히 바라보다</t>
  </si>
  <si>
    <t>She gazed at the stars in wonder.</t>
  </si>
  <si>
    <t>She (          )d at the stars in wonder.</t>
  </si>
  <si>
    <t>아래로(d) 쓰러질 정도로 진동이(ze) 일어나게 하니 ‘현혹시키다, 멍하게 하다’</t>
  </si>
  <si>
    <t>현혹시키다, 멍하게 하다</t>
  </si>
  <si>
    <t>doze</t>
  </si>
  <si>
    <t>[douz]</t>
  </si>
  <si>
    <t>아래로(d) 둥근(o) 머리가 자꾸 내려가고 머리 에 진동이(ze) 일어날 정도로 ‘졸다’</t>
  </si>
  <si>
    <t>졸다</t>
  </si>
  <si>
    <t>The old man dozed in his comfortable chair.</t>
  </si>
  <si>
    <t>The old man (          )d in his comfortable chair.</t>
  </si>
  <si>
    <t>jazz</t>
  </si>
  <si>
    <t>ze(zz)</t>
  </si>
  <si>
    <r>
      <rPr>
        <sz val="12"/>
        <color indexed="8"/>
        <rFont val="Apple SD 산돌고딕 Neo 일반체"/>
      </rPr>
      <t>ze(zz)</t>
    </r>
  </si>
  <si>
    <t>[dʒæz]</t>
  </si>
  <si>
    <t>좍(j)하고 나가는 소리와 진동(zz) 소리를 이용하는 ‘재즈’</t>
  </si>
  <si>
    <t>재즈</t>
  </si>
  <si>
    <t>New Orleans is famous for its jazz music.</t>
  </si>
  <si>
    <t>New Orleans is famous for its (          ) music.</t>
  </si>
  <si>
    <t>puzzle</t>
  </si>
  <si>
    <t>zzle</t>
  </si>
  <si>
    <r>
      <rPr>
        <sz val="12"/>
        <color indexed="8"/>
        <rFont val="Apple SD 산돌고딕 Neo 일반체"/>
      </rPr>
      <t>zzle</t>
    </r>
  </si>
  <si>
    <t>[pΛzl]</t>
  </si>
  <si>
    <t>어디에 놓을지(put)를 몰라 어지럽기(zz)를 오랫동안(l) 하는 ‘퍼즐’</t>
  </si>
  <si>
    <t>퍼즐</t>
  </si>
  <si>
    <t>The crossword puzzle provides mental exercise.</t>
  </si>
  <si>
    <t>The crossword (          ) provides mental exercise.</t>
  </si>
  <si>
    <t>sizzle</t>
  </si>
  <si>
    <t>[sízl]</t>
  </si>
  <si>
    <t>부드럽게(s) 시작하다가 점점 더 시간이 지나면 길게 떨리면서(zzle) ‘지글지글 소리나다’</t>
  </si>
  <si>
    <t>지글지글 소리나다</t>
  </si>
  <si>
    <t>The steaks sizzle on the hot grill.</t>
  </si>
  <si>
    <t>The steaks (          ) on the hot grill.</t>
  </si>
  <si>
    <t>dazzle</t>
  </si>
  <si>
    <t>[dǽzl]</t>
  </si>
  <si>
    <t>아래로(d) 쓰러질 정도로 어지럽게(zz) 빛이 길게(l) 나오니 ‘눈부시게 하다, 현혹시키다’</t>
  </si>
  <si>
    <t>눈부시게 하다, 현혹시키다</t>
  </si>
  <si>
    <t>The magician's tricks dazzle the audience.</t>
  </si>
  <si>
    <t>drizzle</t>
  </si>
  <si>
    <t>[drízl]</t>
  </si>
  <si>
    <t>아래로(d) 어지럽게(zz) 길게(l) 내려오는 ‘이슬비, 가랑비’</t>
  </si>
  <si>
    <t>이슬비, 가랑비</t>
  </si>
  <si>
    <t>A light drizzle fell throughout the morning.</t>
  </si>
  <si>
    <t>A light (          ) fell throughout the morning.</t>
  </si>
  <si>
    <t>crazy</t>
  </si>
  <si>
    <t>zy</t>
  </si>
  <si>
    <r>
      <rPr>
        <sz val="12"/>
        <color indexed="8"/>
        <rFont val="Apple SD 산돌고딕 Neo 일반체"/>
      </rPr>
      <t>zy</t>
    </r>
  </si>
  <si>
    <t>[kréizi]</t>
  </si>
  <si>
    <t>미쳐서 잡아야(c) 한다, 힘을(r) 줘서 안 그러면 이리저리 어지럽게(zy) 날뛰니 ‘미친’</t>
  </si>
  <si>
    <t>미친</t>
  </si>
  <si>
    <t>It would be crazy to go swimming in such cold water.</t>
  </si>
  <si>
    <t>It would be (          ) to go swimming in such cold water.</t>
  </si>
  <si>
    <t>자꾸 아래로(d) 쓰러질 것 같고 머리가 진동이(z) 확장되어(y) ‘어지러운’</t>
  </si>
  <si>
    <t>lazy</t>
  </si>
  <si>
    <t>[léizi]</t>
  </si>
  <si>
    <t>몸을 길게(l) 하고 심지어 어지럽다고(zy) 잠자는 경우까지 생기니 ‘게으른’</t>
  </si>
  <si>
    <t>게으른</t>
  </si>
  <si>
    <t>Don't be lazy; help with the cleaning.</t>
  </si>
  <si>
    <t>Don't be (          ); help with the cleaning.</t>
  </si>
  <si>
    <t>zone</t>
  </si>
  <si>
    <t>z</t>
  </si>
  <si>
    <r>
      <rPr>
        <sz val="12"/>
        <color indexed="8"/>
        <rFont val="Apple SD 산돌고딕 Neo 일반체"/>
      </rPr>
      <t>z</t>
    </r>
  </si>
  <si>
    <t>[zoun]</t>
  </si>
  <si>
    <t>진동(z)이 접하는(on) 영향을 미치는 ‘영역’</t>
  </si>
  <si>
    <t>영역</t>
  </si>
  <si>
    <t>The city is divided into different parking zones.</t>
  </si>
  <si>
    <t>The city is divided into different parking (          )s.</t>
  </si>
  <si>
    <t>No2</t>
  </si>
  <si>
    <t>영어단어2</t>
  </si>
  <si>
    <t>날짜2</t>
  </si>
  <si>
    <t>외운것2</t>
  </si>
  <si>
    <t>비고(numbers)</t>
  </si>
  <si>
    <t>순서</t>
  </si>
  <si>
    <t>2026-03-13</t>
  </si>
  <si>
    <t>틀린 것</t>
  </si>
  <si>
    <t>No(전체 항목 세기)</t>
  </si>
  <si>
    <t>전체</t>
  </si>
  <si>
    <t>외운 갯수</t>
  </si>
  <si>
    <t>남은 갯수</t>
  </si>
  <si>
    <t>3번 맞춘단어</t>
  </si>
  <si>
    <t>맞춘갯수(순서 체크)</t>
  </si>
  <si>
    <t>회차</t>
  </si>
  <si>
    <t>날짜:</t>
  </si>
  <si>
    <t>합계: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</si>
</sst>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&quot;년 &quot;mmmm"/>
    <numFmt numFmtId="60" formatCode="yyyy-mm-dd"/>
    <numFmt numFmtId="61" formatCode="&quot;(비어 있음)&quot;"/>
  </numFmts>
  <fonts count="8">
    <font>
      <sz val="10"/>
      <color indexed="8"/>
      <name val="Arial"/>
    </font>
    <font>
      <sz val="12"/>
      <color indexed="8"/>
      <name val="Arial"/>
    </font>
    <font>
      <sz val="15"/>
      <color indexed="8"/>
      <name val="Arial"/>
    </font>
    <font>
      <b val="1"/>
      <sz val="10"/>
      <color indexed="8"/>
      <name val="Arial"/>
    </font>
    <font>
      <sz val="11"/>
      <color indexed="8"/>
      <name val="Arial"/>
    </font>
    <font>
      <sz val="12"/>
      <color indexed="8"/>
      <name val="Apple SD 산돌고딕 Neo 볼드체"/>
    </font>
    <font>
      <sz val="12"/>
      <color indexed="8"/>
      <name val="Apple SD 산돌고딕 Neo 일반체"/>
    </font>
    <font>
      <b val="1"/>
      <sz val="3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14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13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15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5"/>
      </top>
      <bottom style="thin">
        <color indexed="16"/>
      </bottom>
      <diagonal/>
    </border>
    <border>
      <left/>
      <right>
        <color indexed="8"/>
      </right>
      <top/>
      <bottom/>
      <diagonal/>
    </border>
    <border>
      <left>
        <color indexed="8"/>
      </left>
      <right>
        <color indexed="8"/>
      </right>
      <top/>
      <bottom/>
      <diagonal/>
    </border>
    <border>
      <left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18"/>
      </right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>
        <color indexed="8"/>
      </bottom>
      <diagonal/>
    </border>
    <border>
      <left style="thin">
        <color indexed="13"/>
      </left>
      <right style="thin">
        <color indexed="13"/>
      </right>
      <top>
        <color indexed="8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medium">
        <color indexed="8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borderId="1" applyNumberFormat="1" applyFont="1" applyFill="0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horizontal="left" vertical="center" wrapText="1" readingOrder="1"/>
    </xf>
    <xf numFmtId="49" fontId="6" borderId="1" applyNumberFormat="1" applyFont="1" applyFill="0" applyBorder="1" applyAlignment="1" applyProtection="0">
      <alignment vertical="top" wrapText="1"/>
    </xf>
    <xf numFmtId="49" fontId="1" fillId="3" borderId="1" applyNumberFormat="1" applyFont="1" applyFill="1" applyBorder="1" applyAlignment="1" applyProtection="0">
      <alignment vertical="center" wrapText="1"/>
    </xf>
    <xf numFmtId="49" fontId="1" borderId="1" applyNumberFormat="1" applyFont="1" applyFill="0" applyBorder="1" applyAlignment="1" applyProtection="0">
      <alignment vertical="top" wrapText="1"/>
    </xf>
    <xf numFmtId="0" fontId="1" borderId="1" applyNumberFormat="0" applyFont="1" applyFill="0" applyBorder="1" applyAlignment="1" applyProtection="0">
      <alignment vertical="top" wrapText="1"/>
    </xf>
    <xf numFmtId="0" fontId="1" borderId="1" applyNumberFormat="1" applyFont="1" applyFill="0" applyBorder="1" applyAlignment="1" applyProtection="0">
      <alignment vertical="top" wrapText="1"/>
    </xf>
    <xf numFmtId="49" fontId="1" fillId="3" borderId="1" applyNumberFormat="1" applyFont="1" applyFill="1" applyBorder="1" applyAlignment="1" applyProtection="0">
      <alignment horizontal="left" vertical="center" wrapText="1" readingOrder="1"/>
    </xf>
    <xf numFmtId="49" fontId="1" fillId="4" borderId="1" applyNumberFormat="1" applyFont="1" applyFill="1" applyBorder="1" applyAlignment="1" applyProtection="0">
      <alignment vertical="top" wrapText="1"/>
    </xf>
    <xf numFmtId="0" fontId="6" borderId="1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5" borderId="2" applyNumberFormat="1" applyFont="1" applyFill="1" applyBorder="1" applyAlignment="1" applyProtection="0">
      <alignment vertical="top" wrapText="1"/>
    </xf>
    <xf numFmtId="49" fontId="3" fillId="5" borderId="2" applyNumberFormat="1" applyFont="1" applyFill="1" applyBorder="1" applyAlignment="1" applyProtection="0">
      <alignment horizontal="left" vertical="top" wrapText="1"/>
    </xf>
    <xf numFmtId="49" fontId="3" fillId="5" borderId="3" applyNumberFormat="1" applyFont="1" applyFill="1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fillId="3" borderId="3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0" fontId="0" fillId="3" borderId="11" applyNumberFormat="1" applyFont="1" applyFill="1" applyBorder="1" applyAlignment="1" applyProtection="0">
      <alignment vertical="bottom"/>
    </xf>
    <xf numFmtId="0" fontId="0" borderId="12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bottom"/>
    </xf>
    <xf numFmtId="0" fontId="0" fillId="3" borderId="9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bottom"/>
    </xf>
    <xf numFmtId="49" fontId="0" fillId="3" borderId="12" applyNumberFormat="1" applyFont="1" applyFill="1" applyBorder="1" applyAlignment="1" applyProtection="0">
      <alignment vertical="bottom"/>
    </xf>
    <xf numFmtId="0" fontId="0" fillId="3" borderId="13" applyNumberFormat="1" applyFont="1" applyFill="1" applyBorder="1" applyAlignment="1" applyProtection="0">
      <alignment vertical="bottom"/>
    </xf>
    <xf numFmtId="0" fontId="0" borderId="1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5" borderId="15" applyNumberFormat="1" applyFont="1" applyFill="1" applyBorder="1" applyAlignment="1" applyProtection="0">
      <alignment vertical="top" wrapText="1"/>
    </xf>
    <xf numFmtId="49" fontId="3" fillId="5" borderId="16" applyNumberFormat="1" applyFont="1" applyFill="1" applyBorder="1" applyAlignment="1" applyProtection="0">
      <alignment vertical="top" wrapText="1"/>
    </xf>
    <xf numFmtId="49" fontId="3" fillId="5" borderId="17" applyNumberFormat="1" applyFont="1" applyFill="1" applyBorder="1" applyAlignment="1" applyProtection="0">
      <alignment vertical="top" wrapText="1"/>
    </xf>
    <xf numFmtId="49" fontId="7" fillId="5" borderId="18" applyNumberFormat="1" applyFont="1" applyFill="1" applyBorder="1" applyAlignment="1" applyProtection="0">
      <alignment vertical="top" wrapText="1"/>
    </xf>
    <xf numFmtId="0" fontId="3" fillId="6" borderId="15" applyNumberFormat="1" applyFont="1" applyFill="1" applyBorder="1" applyAlignment="1" applyProtection="0">
      <alignment vertical="top" wrapText="1"/>
    </xf>
    <xf numFmtId="0" fontId="3" fillId="6" borderId="1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0" applyNumberFormat="1" applyFont="1" applyFill="0" applyBorder="0" applyAlignment="1" applyProtection="0">
      <alignment vertical="top" wrapText="1"/>
    </xf>
    <xf numFmtId="0" fontId="3" fillId="5" borderId="20" applyNumberFormat="0" applyFont="1" applyFill="1" applyBorder="1" applyAlignment="1" applyProtection="0">
      <alignment vertical="top" wrapText="1"/>
    </xf>
    <xf numFmtId="49" fontId="3" fillId="5" borderId="20" applyNumberFormat="1" applyFont="1" applyFill="1" applyBorder="1" applyAlignment="1" applyProtection="0">
      <alignment vertical="top" wrapText="1"/>
    </xf>
    <xf numFmtId="49" fontId="3" fillId="7" borderId="21" applyNumberFormat="1" applyFont="1" applyFill="1" applyBorder="1" applyAlignment="1" applyProtection="0">
      <alignment vertical="top"/>
    </xf>
    <xf numFmtId="0" fontId="3" fillId="7" borderId="21" applyNumberFormat="0" applyFont="1" applyFill="1" applyBorder="1" applyAlignment="1" applyProtection="0">
      <alignment vertical="top"/>
    </xf>
    <xf numFmtId="59" fontId="3" fillId="7" borderId="22" applyNumberFormat="1" applyFont="1" applyFill="1" applyBorder="1" applyAlignment="1" applyProtection="0">
      <alignment vertical="top"/>
    </xf>
    <xf numFmtId="0" fontId="3" fillId="7" borderId="22" applyNumberFormat="0" applyFont="1" applyFill="1" applyBorder="1" applyAlignment="1" applyProtection="0">
      <alignment vertical="top"/>
    </xf>
    <xf numFmtId="0" fontId="3" fillId="7" borderId="22" applyNumberFormat="1" applyFont="1" applyFill="1" applyBorder="1" applyAlignment="1" applyProtection="0">
      <alignment vertical="top"/>
    </xf>
    <xf numFmtId="0" fontId="3" fillId="6" borderId="23" applyNumberFormat="0" applyFont="1" applyFill="1" applyBorder="1" applyAlignment="1" applyProtection="0">
      <alignment vertical="top" wrapText="1"/>
    </xf>
    <xf numFmtId="60" fontId="0" borderId="24" applyNumberFormat="1" applyFont="1" applyFill="0" applyBorder="1" applyAlignment="1" applyProtection="0">
      <alignment vertical="top" wrapText="1"/>
    </xf>
    <xf numFmtId="1" fontId="0" borderId="4" applyNumberFormat="1" applyFont="1" applyFill="0" applyBorder="1" applyAlignment="1" applyProtection="0">
      <alignment vertical="top" wrapText="1"/>
    </xf>
    <xf numFmtId="0" fontId="3" fillId="6" borderId="25" applyNumberFormat="0" applyFont="1" applyFill="1" applyBorder="1" applyAlignment="1" applyProtection="0">
      <alignment vertical="top" wrapText="1"/>
    </xf>
    <xf numFmtId="60" fontId="0" borderId="26" applyNumberFormat="1" applyFont="1" applyFill="0" applyBorder="1" applyAlignment="1" applyProtection="0">
      <alignment vertical="top" wrapText="1"/>
    </xf>
    <xf numFmtId="1" fontId="0" borderId="8" applyNumberFormat="1" applyFont="1" applyFill="0" applyBorder="1" applyAlignment="1" applyProtection="0">
      <alignment vertical="top" wrapText="1"/>
    </xf>
    <xf numFmtId="0" fontId="3" fillId="6" borderId="27" applyNumberFormat="0" applyFont="1" applyFill="1" applyBorder="1" applyAlignment="1" applyProtection="0">
      <alignment vertical="top" wrapText="1"/>
    </xf>
    <xf numFmtId="60" fontId="0" borderId="28" applyNumberFormat="1" applyFont="1" applyFill="0" applyBorder="1" applyAlignment="1" applyProtection="0">
      <alignment vertical="top" wrapText="1"/>
    </xf>
    <xf numFmtId="0" fontId="0" borderId="20" applyNumberFormat="1" applyFont="1" applyFill="0" applyBorder="1" applyAlignment="1" applyProtection="0">
      <alignment vertical="top" wrapText="1"/>
    </xf>
    <xf numFmtId="1" fontId="0" borderId="20" applyNumberFormat="1" applyFont="1" applyFill="0" applyBorder="1" applyAlignment="1" applyProtection="0">
      <alignment vertical="top" wrapText="1"/>
    </xf>
    <xf numFmtId="59" fontId="3" fillId="7" borderId="29" applyNumberFormat="1" applyFont="1" applyFill="1" applyBorder="1" applyAlignment="1" applyProtection="0">
      <alignment vertical="top"/>
    </xf>
    <xf numFmtId="0" fontId="3" fillId="7" borderId="29" applyNumberFormat="0" applyFont="1" applyFill="1" applyBorder="1" applyAlignment="1" applyProtection="0">
      <alignment vertical="top"/>
    </xf>
    <xf numFmtId="0" fontId="3" fillId="7" borderId="29" applyNumberFormat="1" applyFont="1" applyFill="1" applyBorder="1" applyAlignment="1" applyProtection="0">
      <alignment vertical="top"/>
    </xf>
    <xf numFmtId="0" fontId="3" fillId="6" borderId="30" applyNumberFormat="0" applyFont="1" applyFill="1" applyBorder="1" applyAlignment="1" applyProtection="0">
      <alignment vertical="top" wrapText="1"/>
    </xf>
    <xf numFmtId="60" fontId="0" borderId="31" applyNumberFormat="1" applyFont="1" applyFill="0" applyBorder="1" applyAlignment="1" applyProtection="0">
      <alignment vertical="top" wrapText="1"/>
    </xf>
    <xf numFmtId="0" fontId="0" borderId="29" applyNumberFormat="1" applyFont="1" applyFill="0" applyBorder="1" applyAlignment="1" applyProtection="0">
      <alignment vertical="top" wrapText="1"/>
    </xf>
    <xf numFmtId="1" fontId="0" borderId="29" applyNumberFormat="1" applyFont="1" applyFill="0" applyBorder="1" applyAlignment="1" applyProtection="0">
      <alignment vertical="top" wrapText="1"/>
    </xf>
    <xf numFmtId="0" fontId="0" borderId="29" applyNumberFormat="0" applyFont="1" applyFill="0" applyBorder="1" applyAlignment="1" applyProtection="0">
      <alignment vertical="top" wrapText="1"/>
    </xf>
    <xf numFmtId="61" fontId="3" fillId="7" borderId="32" applyNumberFormat="1" applyFont="1" applyFill="1" applyBorder="1" applyAlignment="1" applyProtection="0">
      <alignment vertical="top"/>
    </xf>
    <xf numFmtId="0" fontId="3" fillId="7" borderId="32" applyNumberFormat="0" applyFont="1" applyFill="1" applyBorder="1" applyAlignment="1" applyProtection="0">
      <alignment vertical="top"/>
    </xf>
    <xf numFmtId="0" fontId="3" fillId="7" borderId="32" applyNumberFormat="1" applyFont="1" applyFill="1" applyBorder="1" applyAlignment="1" applyProtection="0">
      <alignment vertical="top"/>
    </xf>
    <xf numFmtId="0" fontId="0" borderId="24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8">
    <dxf>
      <font>
        <color rgb="ff000000"/>
      </font>
      <border>
        <left>
          <color indexed="19"/>
        </left>
        <right>
          <color indexed="19"/>
        </right>
        <top>
          <color indexed="19"/>
        </top>
        <bottom>
          <color indexed="19"/>
        </bottom>
        <diagonal/>
        <vertical>
          <color indexed="19"/>
        </vertical>
        <horizontal>
          <color indexed="19"/>
        </horizontal>
      </border>
    </dxf>
    <dxf>
      <border>
        <left>
          <color indexed="19"/>
        </left>
        <right>
          <color indexed="19"/>
        </right>
        <top>
          <color indexed="19"/>
        </top>
        <bottom>
          <color indexed="19"/>
        </bottom>
        <diagonal/>
        <vertical>
          <color indexed="19"/>
        </vertical>
        <horizontal>
          <color indexed="19"/>
        </horizontal>
      </border>
    </dxf>
    <dxf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border>
        <left>
          <color indexed="19"/>
        </left>
        <right>
          <color indexed="19"/>
        </right>
        <top>
          <color indexed="19"/>
        </top>
        <bottom>
          <color indexed="19"/>
        </bottom>
        <diagonal/>
        <vertical>
          <color indexed="19"/>
        </vertical>
        <horizontal>
          <color indexed="19"/>
        </horizontal>
      </border>
    </dxf>
    <dxf>
      <border>
        <left>
          <color indexed="19"/>
        </left>
        <right>
          <color indexed="19"/>
        </right>
        <top style="thin">
          <color indexed="8"/>
        </top>
        <bottom style="thin">
          <color indexed="8"/>
        </bottom>
        <diagonal/>
        <vertical>
          <color indexed="19"/>
        </vertical>
        <horizontal>
          <color indexed="8"/>
        </horizontal>
      </border>
    </dxf>
    <dxf>
      <font>
        <color rgb="ff000000"/>
      </font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border>
        <left/>
        <right/>
        <top style="thin">
          <color indexed="8"/>
        </top>
        <bottom style="thin">
          <color indexed="8"/>
        </bottom>
        <diagonal/>
      </border>
    </dxf>
    <dxf>
      <border>
        <left>
          <color indexed="19"/>
        </left>
        <right>
          <color indexed="19"/>
        </right>
        <top>
          <color indexed="19"/>
        </top>
        <bottom style="thin">
          <color indexed="8"/>
        </bottom>
        <diagonal/>
        <vertical>
          <color indexed="19"/>
        </vertical>
        <horizontal>
          <color indexed="19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dce1"/>
      <rgbColor rgb="ffffffff"/>
      <rgbColor rgb="fffff056"/>
      <rgbColor rgb="ffbdc0bf"/>
      <rgbColor rgb="ffa5a5a5"/>
      <rgbColor rgb="ff3f3f3f"/>
      <rgbColor rgb="ff3f3f3f"/>
      <rgbColor rgb="ffa5a5a5"/>
      <rgbColor rgb="ffdbdbdb"/>
      <rgbColor rgb="ffaaaaaa"/>
      <rgbColor rgb="00000000"/>
      <rgbColor rgb="ffd3d3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2502" createdVersion="7">
  <cacheSource type="worksheet">
    <worksheetSource ref="A1:L2503" sheet="어휘 - 표 1 스냅샷"/>
  </cacheSource>
  <cacheFields count="12">
    <cacheField name="No" numFmtId="0">
      <sharedItems containsSemiMixedTypes="0" containsNonDate="0" containsString="0" containsNumber="1" containsInteger="1" minValue="1" maxValue="2502" count="250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</sharedItems>
    </cacheField>
    <cacheField name="영어단어" numFmtId="0">
      <sharedItems containsNonDate="0" count="2425">
        <s v="ball"/>
        <s v="balloon"/>
        <s v="bell"/>
        <s v="belly"/>
        <s v="bullet"/>
        <s v="bulb"/>
        <s v="bulk"/>
        <s v="base"/>
        <s v="basic"/>
        <s v="basement"/>
        <s v="baseball"/>
        <s v="bass"/>
        <s v="blouse"/>
        <s v="bloat"/>
        <s v="blow"/>
        <s v="blowfish"/>
        <s v="blister"/>
        <s v="blur"/>
        <s v="blind"/>
        <s v="bluff"/>
        <s v="bubble"/>
        <s v="bud"/>
        <s v="budget"/>
        <s v="bun"/>
        <s v="bunch"/>
        <s v="buy"/>
        <s v="bury"/>
        <s v="burp"/>
        <s v="ban"/>
        <s v="banish"/>
        <s v="band"/>
        <s v="bandit"/>
        <s v="husband"/>
        <s v="abandon"/>
        <s v="bandage"/>
        <s v="bind"/>
        <s v="bond"/>
        <s v="bound"/>
        <s v="boundary"/>
        <s v="bundle"/>
        <s v="bar"/>
        <s v="bartender"/>
        <s v="bargain"/>
        <s v="barn"/>
        <s v="barrel"/>
        <s v="barrier"/>
        <s v="barricade"/>
        <s v="embarrass"/>
        <s v="embargo"/>
        <s v="barren"/>
        <s v="bat"/>
        <s v="battle"/>
        <s v="bate"/>
        <s v="abate"/>
        <s v="debate"/>
        <s v="beat"/>
        <s v="bicycle"/>
        <s v="bias"/>
        <s v="alibi"/>
        <s v="bilingual"/>
        <s v="binoculars"/>
        <s v="bisect"/>
        <s v="biology"/>
        <s v="antibiotic"/>
        <s v="biography"/>
        <s v="bloom"/>
        <s v="black"/>
        <s v="blank"/>
        <s v="blanket"/>
        <s v="bleach"/>
        <s v="blade"/>
        <s v="bleed"/>
        <s v="blaze"/>
        <s v="ablaze"/>
        <s v="blizzard"/>
        <s v="bless"/>
        <s v="blast"/>
        <s v="bluster"/>
        <s v="burst"/>
        <s v="blare"/>
        <s v="blond"/>
        <s v="break"/>
        <s v="breakfast"/>
        <s v="breakage"/>
        <s v="breakthrough"/>
        <s v="broker"/>
        <s v="broach"/>
        <s v="breach"/>
        <s v="brick"/>
        <s v="brisk"/>
        <s v="brittle"/>
        <s v="briquette"/>
        <s v="broad"/>
        <s v="board"/>
        <s v="aboard"/>
        <s v="breadth"/>
        <s v="breath"/>
        <s v="boil"/>
        <s v="broil"/>
        <s v="brief"/>
        <s v="abbreviate"/>
        <s v="abroad"/>
        <s v="able"/>
        <s v="ability"/>
        <s v="enable"/>
        <s v="abolish"/>
        <s v="abnormal"/>
        <s v="abort"/>
        <s v="abuse"/>
        <s v="absurd"/>
        <s v="absorb"/>
        <s v="absolute"/>
        <s v="absolve"/>
        <s v="absent"/>
        <s v="abrupt"/>
        <s v="circle"/>
        <s v="encircle"/>
        <s v="circulate"/>
        <s v="circus"/>
        <s v="circumstance"/>
        <s v="cycle"/>
        <s v="recycle"/>
        <s v="cyclone"/>
        <s v="cab"/>
        <s v="cabin"/>
        <s v="cabinet"/>
        <s v="cabana"/>
        <s v="cubic"/>
        <s v="cubicle"/>
        <s v="can"/>
        <s v="cane"/>
        <s v="candy"/>
        <s v="cannon"/>
        <s v="canyon"/>
        <s v="canal"/>
        <s v="channel"/>
        <s v="cap"/>
        <s v="capsule"/>
        <s v="capacity"/>
        <s v="capacious"/>
        <s v="capable"/>
        <s v="captain"/>
        <s v="capital"/>
        <s v="cape"/>
        <s v="escape"/>
        <s v="handicap"/>
        <s v="capsize"/>
        <s v="capture"/>
        <s v="captive"/>
        <s v="caption"/>
        <s v="precept"/>
        <s v="concept"/>
        <s v="misconception"/>
        <s v="susceptible"/>
        <s v="accept"/>
        <s v="reception"/>
        <s v="receptionist"/>
        <s v="receipt"/>
        <s v="except"/>
        <s v="exception"/>
        <s v="exceptional"/>
        <s v="excerpt"/>
        <s v="deception"/>
        <s v="intercept"/>
        <s v="recipe"/>
        <s v="anticipate"/>
        <s v="disciple"/>
        <s v="discipline"/>
        <s v="precipitate"/>
        <s v="principal"/>
        <s v="reciprocal"/>
        <s v="principle"/>
        <s v="participate"/>
        <s v="occupy"/>
        <s v="preoccupy"/>
        <s v="preoccupied"/>
        <s v="car"/>
        <s v="cargo"/>
        <s v="carpenter"/>
        <s v="cart"/>
        <s v="carton"/>
        <s v="carry"/>
        <s v="carrier"/>
        <s v="carriage"/>
        <s v="career"/>
        <s v="charisma"/>
        <s v="carve"/>
        <s v="charge"/>
        <s v="discharge"/>
        <s v="curve"/>
        <s v="curl"/>
        <s v="current"/>
        <s v="currency"/>
        <s v="concurrent"/>
        <s v="course"/>
        <s v="incur"/>
        <s v="incursion"/>
        <s v="occur"/>
        <s v="recur"/>
        <s v="curb"/>
        <s v="curfew"/>
        <s v="curtain"/>
        <s v="excursion"/>
        <s v="concur"/>
        <s v="care"/>
        <s v="careful"/>
        <s v="careless"/>
        <s v="precarious"/>
        <s v="charity"/>
        <s v="cherish"/>
        <s v="childish"/>
        <s v="cure"/>
        <s v="curative"/>
        <s v="curator"/>
        <s v="manicure"/>
        <s v="secure"/>
        <s v="insecure"/>
        <s v="rescue"/>
        <s v="obscure"/>
        <s v="accurate"/>
        <s v="inaccurate"/>
        <s v="cause"/>
        <s v="caution"/>
        <s v="cautious"/>
        <s v="precaution"/>
        <s v="excuse"/>
        <s v="accuse"/>
        <s v="cover"/>
        <s v="coverage"/>
        <s v="discover"/>
        <s v="recover"/>
        <s v="succeed"/>
        <s v="success"/>
        <s v="succession"/>
        <s v="proceed"/>
        <s v="process"/>
        <s v="procedure"/>
        <s v="precede"/>
        <s v="exceed"/>
        <s v="excess"/>
        <s v="excessive"/>
        <s v="recede"/>
        <s v="recess"/>
        <s v="recession"/>
        <s v="antecedent"/>
        <s v="ancestor"/>
        <s v="access"/>
        <s v="accessible"/>
        <s v="inaccessible"/>
        <s v="accessory"/>
        <s v="necessary"/>
        <s v="necessitate"/>
        <s v="predecessor"/>
        <s v="cease"/>
        <s v="ceaseless"/>
        <s v="decease"/>
        <s v="accident"/>
        <s v="accidental"/>
        <s v="incident"/>
        <s v="incidental"/>
        <s v="receive"/>
        <s v="perceive"/>
        <s v="conceive"/>
        <s v="deceive"/>
        <s v="deceitful"/>
        <s v="cell"/>
        <s v="cellar"/>
        <s v="conceal"/>
        <s v="ceiling"/>
        <s v="celestial"/>
        <s v="celebrate"/>
        <s v="celebrity"/>
        <s v="excel"/>
        <s v="excellent"/>
        <s v="accelerate"/>
        <s v="cent"/>
        <s v="centimeter"/>
        <s v="century"/>
        <s v="innocent"/>
        <s v="innocence"/>
        <s v="decent"/>
        <s v="chief"/>
        <s v="chef"/>
        <s v="mischief"/>
        <s v="achieve"/>
        <s v="handkerchief"/>
        <s v="decide"/>
        <s v="decided"/>
        <s v="decisive"/>
        <s v="suicide"/>
        <s v="insecticide"/>
        <s v="pesticide"/>
        <s v="scissors"/>
        <s v="concise"/>
        <s v="precise"/>
        <s v="exercise"/>
        <s v="cite"/>
        <s v="recital"/>
        <s v="incite"/>
        <s v="excite"/>
        <s v="clay"/>
        <s v="clan"/>
        <s v="claw"/>
        <s v="clash"/>
        <s v="crash"/>
        <s v="clean"/>
        <s v="cleanse"/>
        <s v="clarify"/>
        <s v="declare"/>
        <s v="declaration"/>
        <s v="clip"/>
        <s v="cling"/>
        <s v="clutch"/>
        <s v="clinic"/>
        <s v="client"/>
        <s v="clinch"/>
        <s v="incline"/>
        <s v="inclined"/>
        <s v="decline"/>
        <s v="close"/>
        <s v="closet"/>
        <s v="disclose"/>
        <s v="enclose"/>
        <s v="enclosure"/>
        <s v="include"/>
        <s v="conclude"/>
        <s v="conclusive"/>
        <s v="preclude"/>
        <s v="exclude"/>
        <s v="exclusion"/>
        <s v="exclusive"/>
        <s v="exclusively"/>
        <s v="secluded"/>
        <s v="cloud"/>
        <s v="culture"/>
        <s v="cultivate"/>
        <s v="agriculture"/>
        <s v="coeducation"/>
        <s v="coach"/>
        <s v="college"/>
        <s v="coworker"/>
        <s v="cousin"/>
        <s v="cohere"/>
        <s v="coherent"/>
        <s v="incoherent"/>
        <s v="cohesion"/>
        <s v="code"/>
        <s v="codify"/>
        <s v="coil"/>
        <s v="covet"/>
        <s v="common"/>
        <s v="communicate"/>
        <s v="community"/>
        <s v="company"/>
        <s v="computer"/>
        <s v="combine"/>
        <s v="commence"/>
        <s v="compete"/>
        <s v="commerce"/>
        <s v="compare"/>
        <s v="compensate"/>
        <s v="commodity"/>
        <s v="concert"/>
        <s v="concern"/>
        <s v="control"/>
        <s v="concrete"/>
        <s v="content"/>
        <s v="consolidate"/>
        <s v="core"/>
        <s v="cordial"/>
        <s v="cordially"/>
        <s v="courage"/>
        <s v="encourage"/>
        <s v="discourage"/>
        <s v="cord"/>
        <s v="chord"/>
        <s v="concord"/>
        <s v="accord"/>
        <s v="record"/>
        <s v="count"/>
        <s v="account"/>
        <s v="accountant"/>
        <s v="discount"/>
        <s v="country"/>
        <s v="counter"/>
        <s v="counterblow"/>
        <s v="counterpart"/>
        <s v="encounter"/>
        <s v="contrary"/>
        <s v="contradict"/>
        <s v="create"/>
        <s v="creator"/>
        <s v="creative"/>
        <s v="recreation"/>
        <s v="discreet"/>
        <s v="discrete"/>
        <s v="increase"/>
        <s v="increment"/>
        <s v="decrease"/>
        <s v="excrete"/>
        <s v="crew"/>
        <s v="recruit"/>
        <s v="crescent"/>
        <s v="craft"/>
        <s v="craftsman"/>
        <s v="aircraft"/>
        <s v="screen"/>
        <s v="scene"/>
        <s v="score"/>
        <s v="schedule"/>
        <s v="scratch"/>
        <s v="scream"/>
        <s v="scrap"/>
        <s v="scrape"/>
        <s v="skyscraper"/>
        <s v="scrawl"/>
        <s v="scar"/>
        <s v="scarlet"/>
        <s v="scan"/>
        <s v="scatter"/>
        <s v="scrutiny"/>
        <s v="scrutinize"/>
        <s v="scrub"/>
        <s v="rub"/>
        <s v="rubber"/>
        <s v="rubbish"/>
        <s v="scorch"/>
        <s v="scale"/>
        <s v="escalate"/>
        <s v="scroll"/>
        <s v="sculpture"/>
        <s v="ascend"/>
        <s v="descend"/>
        <s v="descent"/>
        <s v="descendant"/>
        <s v="script"/>
        <s v="scripture"/>
        <s v="manuscript"/>
        <s v="postscript"/>
        <s v="encrypt"/>
        <s v="scribe"/>
        <s v="scribble"/>
        <s v="prescribe"/>
        <s v="describe"/>
        <s v="subscribe"/>
        <s v="inscribe"/>
        <s v="ascribe"/>
        <s v="date"/>
        <s v="outdated"/>
        <s v="up-to-date"/>
        <s v="day"/>
        <s v="diary"/>
        <s v="dairy"/>
        <s v="dawn"/>
        <s v="daze"/>
        <s v="dizzy"/>
        <s v="deep"/>
        <s v="depth"/>
        <s v="dip"/>
        <s v="demonstrate"/>
        <s v="democracy"/>
        <s v="endemic"/>
        <s v="epidemic"/>
        <s v="den"/>
        <s v="dent"/>
        <s v="dentist"/>
        <s v="dense"/>
        <s v="densely"/>
        <s v="density"/>
        <s v="condense"/>
        <s v="diamond"/>
        <s v="dial"/>
        <s v="diameter"/>
        <s v="diabetes"/>
        <s v="dialect"/>
        <s v="diagnose"/>
        <s v="diction"/>
        <s v="dictionary"/>
        <s v="dictate"/>
        <s v="dictator"/>
        <s v="addict"/>
        <s v="indication"/>
        <s v="indicative"/>
        <s v="contradiction"/>
        <s v="contradictory"/>
        <s v="indict"/>
        <s v="paradox"/>
        <s v="verdict"/>
        <s v="dedicate"/>
        <s v="dedication"/>
        <s v="predict"/>
        <s v="condition"/>
        <s v="doctor"/>
        <s v="doctrine"/>
        <s v="document"/>
        <s v="documented"/>
        <s v="documentary"/>
        <s v="dome"/>
        <s v="domain"/>
        <s v="dominate"/>
        <s v="dominance"/>
        <s v="domestic"/>
        <s v="abdomen"/>
        <s v="dormant"/>
        <s v="dormitory"/>
        <s v="donate"/>
        <s v="donation"/>
        <s v="donor"/>
        <s v="condone"/>
        <s v="pardon"/>
        <s v="endow"/>
        <s v="duck"/>
        <s v="dunk shot"/>
        <s v="dump"/>
        <s v="dumped"/>
        <s v="dung"/>
        <s v="dungeon"/>
        <s v="dub"/>
        <s v="duke"/>
        <s v="due"/>
        <s v="duty"/>
        <s v="dusk"/>
        <s v="dust"/>
        <s v="duct"/>
        <s v="conduct"/>
        <s v="misconduct"/>
        <s v="induct"/>
        <s v="deduct"/>
        <s v="abduct"/>
        <s v="produce"/>
        <s v="reproduce"/>
        <s v="induce"/>
        <s v="introduce"/>
        <s v="educe"/>
        <s v="educate"/>
        <s v="deduce"/>
        <s v="reduce"/>
        <s v="reduction"/>
        <s v="durable"/>
        <s v="endure"/>
        <s v="damn"/>
        <s v="damage"/>
        <s v="condemn"/>
        <s v="depress"/>
        <s v="depression"/>
        <s v="dew"/>
        <s v="deer"/>
        <s v="delicate"/>
        <s v="desire"/>
        <s v="devour"/>
        <s v="deter"/>
        <s v="deterrent"/>
        <s v="desk"/>
        <s v="deck"/>
        <s v="deaf"/>
        <s v="deny"/>
        <s v="defy"/>
        <s v="deprave"/>
        <s v="destroy"/>
        <s v="demolish"/>
        <s v="debris"/>
        <s v="deem"/>
        <s v="redeem"/>
        <s v="redemption"/>
        <s v="devout"/>
        <s v="delve"/>
        <s v="depart"/>
        <s v="delay"/>
        <s v="dialogue"/>
        <s v="divide"/>
        <s v="division"/>
        <s v="dividend"/>
        <s v="device"/>
        <s v="individual"/>
        <s v="dilemma"/>
        <s v="dilate"/>
        <s v="divorce"/>
        <s v="display"/>
        <s v="discrepancy"/>
        <s v="discernible"/>
        <s v="discontent"/>
        <s v="dislike"/>
        <s v="disable"/>
        <s v="disperse"/>
        <s v="dispersion"/>
        <s v="dismay"/>
        <s v="dumb"/>
        <s v="dummy"/>
        <s v="dumdum"/>
        <s v="dull"/>
        <s v="dubious"/>
        <s v="doubt"/>
        <s v="ear"/>
        <s v="early"/>
        <s v="hear"/>
        <s v="enter"/>
        <s v="entry"/>
        <s v="entrance"/>
        <s v="entity"/>
        <s v="entice"/>
        <s v="engage"/>
        <s v="engagement"/>
        <s v="entitle"/>
        <s v="environ"/>
        <s v="environment"/>
        <s v="endeavor"/>
        <s v="enthusiasm"/>
        <s v="enthusiastic"/>
        <s v="essential"/>
        <s v="essentially"/>
        <s v="enhance"/>
        <s v="enough"/>
        <s v="endanger"/>
        <s v="enroll"/>
        <s v="enrollment"/>
        <s v="see"/>
        <s v="seek"/>
        <s v="peek"/>
        <s v="sleep"/>
        <s v="sleepy"/>
        <s v="seep"/>
        <s v="keep"/>
        <s v="weep"/>
        <s v="week"/>
        <s v="feel"/>
        <s v="heel"/>
        <s v="heed"/>
        <s v="greed"/>
        <s v="keen"/>
        <s v="essay"/>
        <s v="say"/>
        <s v="escort"/>
        <s v="establish"/>
        <s v="ever"/>
        <s v="forever"/>
        <s v="every"/>
        <s v="even"/>
        <s v="evenly"/>
        <s v="uneven"/>
        <s v="evening"/>
        <s v="evil"/>
        <s v="devil"/>
        <s v="inevitable"/>
        <s v="fair"/>
        <s v="job fair"/>
        <s v="affair"/>
        <s v="fairy"/>
        <s v="fairy tale"/>
        <s v="fame"/>
        <s v="famous"/>
        <s v="fan"/>
        <s v="fancy"/>
        <s v="fantasy"/>
        <s v="infancy"/>
        <s v="fend"/>
        <s v="fence"/>
        <s v="defend"/>
        <s v="offend"/>
        <s v="offensive"/>
        <s v="ferry"/>
        <s v="suffer"/>
        <s v="fertile"/>
        <s v="fertilize"/>
        <s v="offer"/>
        <s v="confer"/>
        <s v="conference"/>
        <s v="differ"/>
        <s v="different"/>
        <s v="differentiate"/>
        <s v="defer"/>
        <s v="deference"/>
        <s v="reference"/>
        <s v="infer"/>
        <s v="inference"/>
        <s v="prefer"/>
        <s v="transfer"/>
        <s v="fly"/>
        <s v="flight"/>
        <s v="flag"/>
        <s v="flake"/>
        <s v="flimsy"/>
        <s v="flute"/>
        <s v="flutter"/>
        <s v="fluff"/>
        <s v="flee"/>
        <s v="fleet"/>
        <s v="flea"/>
        <s v="fling"/>
        <s v="flip"/>
        <s v="flap"/>
        <s v="flick"/>
        <s v="fluctuate"/>
        <s v="fluctuation"/>
        <s v="flump"/>
        <s v="flunk"/>
        <s v="floor"/>
        <s v="flood"/>
        <s v="fluid"/>
        <s v="flux"/>
        <s v="influx"/>
        <s v="flex"/>
        <s v="flexible"/>
        <s v="flush"/>
        <s v="fluent"/>
        <s v="influence"/>
        <s v="influential"/>
        <s v="influenza"/>
        <s v="float"/>
        <s v="flesh"/>
        <s v="flavor"/>
        <s v="flat"/>
        <s v="flat tire"/>
        <s v="flatter"/>
        <s v="deflate"/>
        <s v="inflate"/>
        <s v="inflation"/>
        <s v="reflect"/>
        <s v="conflict"/>
        <s v="inflict"/>
        <s v="afflict"/>
        <s v="affliction"/>
        <s v="flower"/>
        <s v="flour"/>
        <s v="flora"/>
        <s v="florist"/>
        <s v="flourish"/>
        <s v="forward"/>
        <s v="forth"/>
        <s v="afford"/>
        <s v="affordable"/>
        <s v="forgive"/>
        <s v="forget"/>
        <s v="forge"/>
        <s v="fork"/>
        <s v="folk"/>
        <s v="forefather"/>
        <s v="foresee"/>
        <s v="foreseeable"/>
        <s v="unforeseen"/>
        <s v="forecast"/>
        <s v="forest"/>
        <s v="foremost"/>
        <s v="foreman"/>
        <s v="forearm"/>
        <s v="forefinger"/>
        <s v="forehead"/>
        <s v="fort"/>
        <s v="fortify"/>
        <s v="fortress"/>
        <s v="fortune"/>
        <s v="misfortune"/>
        <s v="fortunate"/>
        <s v="comfort"/>
        <s v="effort"/>
        <s v="force"/>
        <s v="airforce"/>
        <s v="enforce"/>
        <s v="reinforce"/>
        <s v="reinforcement"/>
        <s v="form"/>
        <s v="foam"/>
        <s v="formal"/>
        <s v="formation"/>
        <s v="formula"/>
        <s v="deform"/>
        <s v="inform"/>
        <s v="information"/>
        <s v="informative"/>
        <s v="conform"/>
        <s v="conformity"/>
        <s v="reform"/>
        <s v="perform"/>
        <s v="performance"/>
        <s v="uniform"/>
        <s v="firm"/>
        <s v="affirm"/>
        <s v="confirm"/>
        <s v="reconfirm"/>
        <s v="infirm"/>
        <s v="fragile"/>
        <s v="fragment"/>
        <s v="fragmentary"/>
        <s v="fragrance"/>
        <s v="front"/>
        <s v="frontier"/>
        <s v="forefront"/>
        <s v="confront"/>
        <s v="affront"/>
        <s v="fact"/>
        <s v="factor"/>
        <s v="factory"/>
        <s v="manufacture"/>
        <s v="manufacturer"/>
        <s v="facility"/>
        <s v="facilitate"/>
        <s v="facsimile"/>
        <s v="faculty"/>
        <s v="perfect"/>
        <s v="infect"/>
        <s v="infectious"/>
        <s v="defect"/>
        <s v="defective"/>
        <s v="affect"/>
        <s v="affection"/>
        <s v="effect"/>
        <s v="effectively"/>
        <s v="ineffective"/>
        <s v="efficient"/>
        <s v="face"/>
        <s v="facet"/>
        <s v="surface"/>
        <s v="preface"/>
        <s v="interface"/>
        <s v="efface"/>
        <s v="fiction"/>
        <s v="office"/>
        <s v="officer"/>
        <s v="deficit"/>
        <s v="deficient"/>
        <s v="artificial"/>
        <s v="superficial"/>
        <s v="sufficient"/>
        <s v="proficient"/>
        <s v="difficult"/>
        <s v="traffic"/>
        <s v="certificate"/>
        <s v="qualify"/>
        <s v="disqualified"/>
        <s v="satisfy"/>
        <s v="satisfaction"/>
        <s v="dissatisfaction"/>
        <s v="magnify"/>
        <s v="fit"/>
        <s v="outfit"/>
        <s v="benefit"/>
        <s v="profit"/>
        <s v="fund"/>
        <s v="fundraiser"/>
        <s v="refund"/>
        <s v="fundamental"/>
        <s v="founder"/>
        <s v="foundation"/>
        <s v="profound"/>
        <s v="fountain"/>
        <s v="fuse"/>
        <s v="fusion"/>
        <s v="infuse"/>
        <s v="diffuse"/>
        <s v="confuse"/>
        <s v="refuse"/>
        <s v="gene"/>
        <s v="genome"/>
        <s v="genetic"/>
        <s v="generate"/>
        <s v="degenerate"/>
        <s v="generator"/>
        <s v="generation"/>
        <s v="genre"/>
        <s v="general"/>
        <s v="generous"/>
        <s v="gentle"/>
        <s v="gentleman"/>
        <s v="genial"/>
        <s v="congenial"/>
        <s v="genesis"/>
        <s v="genius"/>
        <s v="ingenious"/>
        <s v="genuine"/>
        <s v="congenital"/>
        <s v="gender"/>
        <s v="agenda"/>
        <s v="engine"/>
        <s v="engineer"/>
        <s v="gesture"/>
        <s v="suggest"/>
        <s v="congest"/>
        <s v="congestion"/>
        <s v="digest"/>
        <s v="register"/>
        <s v="glass"/>
        <s v="gloss"/>
        <s v="glitter"/>
        <s v="glow"/>
        <s v="glory"/>
        <s v="glad"/>
        <s v="gleam"/>
        <s v="glance"/>
        <s v="glare"/>
        <s v="diagnosis"/>
        <s v="cognitive"/>
        <s v="pregnant"/>
        <s v="recognize"/>
        <s v="ignore"/>
        <s v="grin"/>
        <s v="grow"/>
        <s v="growth"/>
        <s v="grain"/>
        <s v="grind"/>
        <s v="grass"/>
        <s v="grazing"/>
        <s v="group"/>
        <s v="greet"/>
        <s v="grumble"/>
        <s v="growl"/>
        <s v="groan"/>
        <s v="grief"/>
        <s v="grieve"/>
        <s v="grade"/>
        <s v="gradual"/>
        <s v="gradually"/>
        <s v="graduate"/>
        <s v="undergraduate"/>
        <s v="ingredient"/>
        <s v="great"/>
        <s v="congratulate"/>
        <s v="grateful"/>
        <s v="gratify"/>
        <s v="gratitude"/>
        <s v="agree"/>
        <s v="agreement"/>
        <s v="disagreement"/>
        <s v="degree"/>
        <s v="aggregate"/>
        <s v="segregate"/>
        <s v="congregate"/>
        <s v="congress"/>
        <s v="progress"/>
        <s v="progressive"/>
        <s v="aggressive"/>
        <s v="grave"/>
        <s v="gravely"/>
        <s v="gravel"/>
        <s v="engrave"/>
        <s v="aggravate"/>
        <s v="guide"/>
        <s v="guideline"/>
        <s v="guidance"/>
        <s v="guard"/>
        <s v="guarantee"/>
        <s v="gut"/>
        <s v="gutter"/>
        <s v="gust"/>
        <s v="disgust"/>
        <s v="gush"/>
        <s v="gulp"/>
        <s v="gull"/>
        <s v="guess"/>
        <s v="vague"/>
        <s v="vogue"/>
        <s v="argue"/>
        <s v="argument"/>
        <s v="gun"/>
        <s v="guest"/>
        <s v="guitar"/>
        <s v="have"/>
        <s v="behavior"/>
        <s v="misbehavior"/>
        <s v="habit"/>
        <s v="habitual"/>
        <s v="inhabit"/>
        <s v="inhabitant"/>
        <s v="habitat"/>
        <s v="exhibit"/>
        <s v="inhibit"/>
        <s v="prohibit"/>
        <s v="hand"/>
        <s v="handle"/>
        <s v="handful"/>
        <s v="handbook"/>
        <s v="handbag"/>
        <s v="handsome"/>
        <s v="prehend"/>
        <s v="apprehend"/>
        <s v="comprehend"/>
        <s v="comprehensible"/>
        <s v="comprehensive"/>
        <s v="harmony"/>
        <s v="harmonica"/>
        <s v="harp"/>
        <s v="hard"/>
        <s v="hardly"/>
        <s v="harsh"/>
        <s v="harness"/>
        <s v="harvest"/>
        <s v="heir"/>
        <s v="inherit"/>
        <s v="heritage"/>
        <s v="heredity"/>
        <s v="inherent"/>
        <s v="shut"/>
        <s v="shop"/>
        <s v="shoe"/>
        <s v="shirt"/>
        <s v="sheet"/>
        <s v="shell"/>
        <s v="shelter"/>
        <s v="shield"/>
        <s v="sheriff"/>
        <s v="shackle"/>
        <s v="shoulder"/>
        <s v="shroud"/>
        <s v="shallow"/>
        <s v="shore"/>
        <s v="sheep"/>
        <s v="shepherd"/>
        <s v="shape"/>
        <s v="shade"/>
        <s v="shadow"/>
        <s v="share"/>
        <s v="shareholder"/>
        <s v="shabby"/>
        <s v="shame"/>
        <s v="shampoo"/>
        <s v="white"/>
        <s v="whole"/>
        <s v="whale"/>
        <s v="wheel"/>
        <s v="wheelchair"/>
        <s v="wheelbarrow"/>
        <s v="high"/>
        <s v="height"/>
        <s v="highlight"/>
        <s v="highway"/>
        <s v="hierarchy"/>
        <s v="hill"/>
        <s v="hike"/>
        <s v="initial"/>
        <s v="initiate"/>
        <s v="input"/>
        <s v="indulge"/>
        <s v="injure"/>
        <s v="indoor"/>
        <s v="intake"/>
        <s v="intimate"/>
        <s v="industry"/>
        <s v="income"/>
        <s v="index"/>
        <s v="ink"/>
        <s v="internet"/>
        <s v="interval"/>
        <s v="integrate"/>
        <s v="disintegrate"/>
        <s v="integral"/>
        <s v="integrity"/>
        <s v="intrinsic"/>
        <s v="interest"/>
        <s v="intrude"/>
        <s v="intestine"/>
        <s v="intricate"/>
        <s v="interpret"/>
        <s v="interior"/>
        <s v="deteriorate"/>
        <s v="jet"/>
        <s v="jet plane"/>
        <s v="jet lag"/>
        <s v="jetty"/>
        <s v="project"/>
        <s v="projector"/>
        <s v="subject"/>
        <s v="subjective"/>
        <s v="reject"/>
        <s v="rejection"/>
        <s v="eject"/>
        <s v="object"/>
        <s v="injection"/>
        <s v="join"/>
        <s v="adjoin"/>
        <s v="enjoin"/>
        <s v="joint"/>
        <s v="junction"/>
        <s v="conjunction"/>
        <s v="jump"/>
        <s v="junior"/>
        <s v="juvenile"/>
        <s v="jubilant"/>
        <s v="juice"/>
        <s v="juicy"/>
        <s v="junk"/>
        <s v="jumble"/>
        <s v="jungle"/>
        <s v="juggle"/>
        <s v="judge"/>
        <s v="judgement"/>
        <s v="adjudge"/>
        <s v="judicial"/>
        <s v="judicious"/>
        <s v="prejudice"/>
        <s v="jury"/>
        <s v="jurisdiction"/>
        <s v="perjury"/>
        <s v="just"/>
        <s v="justice"/>
        <s v="justify"/>
        <s v="justified"/>
        <s v="injustice"/>
        <s v="adjust"/>
        <s v="kid"/>
        <s v="kidnap"/>
        <s v="kidney"/>
        <s v="kit"/>
        <s v="kitten"/>
        <s v="kite"/>
        <s v="kin"/>
        <s v="kinship"/>
        <s v="akin"/>
        <s v="kind"/>
        <s v="kindergarten"/>
        <s v="king"/>
        <s v="knit"/>
        <s v="knot"/>
        <s v="knob"/>
        <s v="knock"/>
        <s v="knack"/>
        <s v="knuckle"/>
        <s v="knee"/>
        <s v="kneel"/>
        <s v="know"/>
        <s v="knowledge"/>
        <s v="acknowledge"/>
        <s v="noble"/>
        <s v="knife"/>
        <s v="skin"/>
        <s v="ski"/>
        <s v="skill"/>
        <s v="skillful"/>
        <s v="sky"/>
        <s v="skitter"/>
        <s v="skip"/>
        <s v="skid"/>
        <s v="skim"/>
        <s v="skate"/>
        <s v="sketch"/>
        <s v="skirt"/>
        <s v="outskirt"/>
        <s v="skeleton"/>
        <s v="skeptical"/>
        <s v="labor"/>
        <s v="laboratory"/>
        <s v="laborious"/>
        <s v="elaborate"/>
        <s v="collaborate"/>
        <s v="collaboration"/>
        <s v="logo"/>
        <s v="logic"/>
        <s v="apology"/>
        <s v="monologue"/>
        <s v="catalogue"/>
        <s v="epilogue"/>
        <s v="ecology"/>
        <s v="zoology"/>
        <s v="psychology"/>
        <s v="language"/>
        <s v="slang"/>
        <s v="lingua"/>
        <s v="lingual"/>
        <s v="linguistics"/>
        <s v="legend"/>
        <s v="legacy"/>
        <s v="colleague"/>
        <s v="legion"/>
        <s v="diligent"/>
        <s v="intelligent"/>
        <s v="negligent"/>
        <s v="eligible"/>
        <s v="legal"/>
        <s v="illegal"/>
        <s v="legislate"/>
        <s v="legislation"/>
        <s v="legislature"/>
        <s v="privilege"/>
        <s v="allege"/>
        <s v="delegate"/>
        <s v="delegation"/>
        <s v="lever"/>
        <s v="leverage"/>
        <s v="elevate"/>
        <s v="elevator"/>
        <s v="elevation"/>
        <s v="level"/>
        <s v="relieve"/>
        <s v="relevant"/>
        <s v="irrelevant"/>
        <s v="light"/>
        <s v="lightning"/>
        <s v="enlighten"/>
        <s v="twilight"/>
        <s v="ignite"/>
        <s v="slight"/>
        <s v="bright"/>
        <s v="brilliant"/>
        <s v="delight"/>
        <s v="local"/>
        <s v="locate"/>
        <s v="location"/>
        <s v="allocation"/>
        <s v="dislocate"/>
        <s v="relocate"/>
        <s v="lock"/>
        <s v="unlock"/>
        <s v="locker"/>
        <s v="interlock"/>
        <s v="flock"/>
        <s v="block"/>
        <s v="blocking"/>
        <s v="long"/>
        <s v="belong"/>
        <s v="prolong"/>
        <s v="longstanding"/>
        <s v="longevity"/>
        <s v="length"/>
        <s v="lengthen"/>
        <s v="longitude"/>
        <s v="latitude"/>
        <s v="lot"/>
        <s v="lottery"/>
        <s v="allot"/>
        <s v="slot"/>
        <s v="plot"/>
        <s v="blot"/>
        <s v="clot"/>
        <s v="split"/>
        <s v="slice"/>
        <s v="late"/>
        <s v="lately"/>
        <s v="translate"/>
        <s v="relate"/>
        <s v="related"/>
        <s v="relative"/>
        <s v="collect"/>
        <s v="collective"/>
        <s v="recollect"/>
        <s v="select"/>
        <s v="intellect"/>
        <s v="lecture"/>
        <s v="neglect"/>
        <s v="elect"/>
        <s v="liberal"/>
        <s v="liberate"/>
        <s v="library"/>
        <s v="deliberate"/>
        <s v="deliver"/>
        <s v="slide"/>
        <s v="sled"/>
        <s v="glide"/>
        <s v="collide"/>
        <s v="low"/>
        <s v="lower"/>
        <s v="flow"/>
        <s v="slow"/>
        <s v="plow"/>
        <s v="allow"/>
        <s v="disallow"/>
        <s v="slip"/>
        <s v="slipper"/>
        <s v="slope"/>
        <s v="sleeve"/>
        <s v="slim"/>
        <s v="slime"/>
        <s v="slender"/>
        <s v="slam"/>
        <s v="slate"/>
        <s v="mankind"/>
        <s v="manager"/>
        <s v="managerial"/>
        <s v="manner"/>
        <s v="manual"/>
        <s v="manifest"/>
        <s v="manipulate"/>
        <s v="mantle"/>
        <s v="dismantle"/>
        <s v="command"/>
        <s v="mandate"/>
        <s v="mandatory"/>
        <s v="demand"/>
        <s v="demanding"/>
        <s v="middle"/>
        <s v="medium"/>
        <s v="media"/>
        <s v="mediate"/>
        <s v="intermediate"/>
        <s v="meditate"/>
        <s v="medicine"/>
        <s v="medical"/>
        <s v="remedy"/>
        <s v="immediate"/>
        <s v="medieval"/>
        <s v="Mediterranean"/>
        <s v="model"/>
        <s v="modern"/>
        <s v="commode"/>
        <s v="accommodate"/>
        <s v="modify"/>
        <s v="moderate"/>
        <s v="modest"/>
        <s v="memorandum"/>
        <s v="memoir"/>
        <s v="memory"/>
        <s v="memorable"/>
        <s v="memorial"/>
        <s v="commemorate"/>
        <s v="remember"/>
        <s v="member"/>
        <s v="amend"/>
        <s v="commend"/>
        <s v="recommend"/>
        <s v="mini"/>
        <s v="minimal"/>
        <s v="minimum"/>
        <s v="minimize"/>
        <s v="minify"/>
        <s v="minister"/>
        <s v="administer"/>
        <s v="diminish"/>
        <s v="permit"/>
        <s v="commit"/>
        <s v="commitment"/>
        <s v="committee"/>
        <s v="transmit"/>
        <s v="remit"/>
        <s v="submit"/>
        <s v="submission"/>
        <s v="omit"/>
        <s v="emit"/>
        <s v="emission"/>
        <s v="admit"/>
        <s v="admission"/>
        <s v="missile"/>
        <s v="mission"/>
        <s v="intermission"/>
        <s v="dismiss"/>
        <s v="message"/>
        <s v="promise"/>
        <s v="compromise"/>
        <s v="promising"/>
        <s v="premise"/>
        <s v="premises"/>
        <s v="motor"/>
        <s v="motorcycle"/>
        <s v="motion"/>
        <s v="motionless"/>
        <s v="emotion"/>
        <s v="motive"/>
        <s v="motivate"/>
        <s v="promote"/>
        <s v="remote"/>
        <s v="mainstream"/>
        <s v="mainframe"/>
        <s v="maintain"/>
        <s v="maintenance"/>
        <s v="remain"/>
        <s v="major"/>
        <s v="majority"/>
        <s v="majesty"/>
        <s v="mayor"/>
        <s v="magnificent"/>
        <s v="magnitude"/>
        <s v="maxim"/>
        <s v="maximum"/>
        <s v="megaphone"/>
        <s v="megabox"/>
        <s v="imminent"/>
        <s v="eminent"/>
        <s v="preeminent"/>
        <s v="prominent"/>
        <s v="mount"/>
        <s v="mountain"/>
        <s v="amount"/>
        <s v="surmount"/>
        <s v="mound"/>
        <s v="neck"/>
        <s v="connect"/>
        <s v="connection"/>
        <s v="disconnect"/>
        <s v="next"/>
        <s v="nexus"/>
        <s v="annex"/>
        <s v="nothing"/>
        <s v="noon"/>
        <s v="noxious"/>
        <s v="nod"/>
        <s v="nonfiction"/>
        <s v="nonsense"/>
        <s v="negro"/>
        <s v="negative"/>
        <s v="negotiate"/>
        <s v="negligible"/>
        <s v="negligence"/>
        <s v="never"/>
        <s v="nevertheless"/>
        <s v="neutral"/>
        <s v="need"/>
        <s v="needle"/>
        <s v="nude"/>
        <s v="nut"/>
        <s v="nuclear"/>
        <s v="norm"/>
        <s v="normal"/>
        <s v="normalize"/>
        <s v="subnormal"/>
        <s v="enormous"/>
        <s v="snow"/>
        <s v="snake"/>
        <s v="snatch"/>
        <s v="snare"/>
        <s v="snag"/>
        <s v="snap"/>
        <s v="nation"/>
        <s v="international"/>
        <s v="native"/>
        <s v="nature"/>
        <s v="natural"/>
        <s v="supernatural"/>
        <s v="innate"/>
        <s v="connate"/>
        <s v="novel"/>
        <s v="novelty"/>
        <s v="novice"/>
        <s v="renovate"/>
        <s v="innovate"/>
        <s v="nova"/>
        <s v="note"/>
        <s v="notion"/>
        <s v="notify"/>
        <s v="notebook"/>
        <s v="notation"/>
        <s v="annotation"/>
        <s v="notable"/>
        <s v="notice"/>
        <s v="notorious"/>
        <s v="announce"/>
        <s v="announcer"/>
        <s v="pronounce"/>
        <s v="denounce"/>
        <s v="nurse"/>
        <s v="nursery"/>
        <s v="nurture"/>
        <s v="nutrition"/>
        <s v="nourish"/>
        <s v="obstacle"/>
        <s v="obesity"/>
        <s v="obey"/>
        <s v="disobedient"/>
        <s v="opera"/>
        <s v="operate"/>
        <s v="operative"/>
        <s v="inoperative"/>
        <s v="cooperate"/>
        <s v="optic"/>
        <s v="optics"/>
        <s v="optical"/>
        <s v="opportunity"/>
        <s v="option"/>
        <s v="adopt"/>
        <s v="adoption"/>
        <s v="opinion"/>
        <s v="optimum"/>
        <s v="optimism"/>
        <s v="optimistic"/>
        <s v="optimize"/>
        <s v="oral"/>
        <s v="moral"/>
        <s v="immoral"/>
        <s v="morale"/>
        <s v="demoralize"/>
        <s v="order"/>
        <s v="ordinary"/>
        <s v="extraordinary"/>
        <s v="disorder"/>
        <s v="coordinate"/>
        <s v="coordinator"/>
        <s v="coordination"/>
        <s v="subordinate"/>
        <s v="orient"/>
        <s v="origin"/>
        <s v="original"/>
        <s v="originate"/>
        <s v="outline"/>
        <s v="outlook"/>
        <s v="outbreak"/>
        <s v="outage"/>
        <s v="output"/>
        <s v="outlet"/>
        <s v="outdo"/>
        <s v="outlive"/>
        <s v="overhead"/>
        <s v="overpower"/>
        <s v="overtax"/>
        <s v="overcoat"/>
        <s v="overlap"/>
        <s v="oversee"/>
        <s v="overdue"/>
        <s v="overlook"/>
        <s v="overshadow"/>
        <s v="overall"/>
        <s v="pan"/>
        <s v="pancake"/>
        <s v="panorama"/>
        <s v="span"/>
        <s v="expand"/>
        <s v="expansive"/>
        <s v="expansion"/>
        <s v="parade"/>
        <s v="parent"/>
        <s v="apparent"/>
        <s v="appear"/>
        <s v="disappear"/>
        <s v="transparent"/>
        <s v="comparable"/>
        <s v="prepare"/>
        <s v="apparel"/>
        <s v="parliament"/>
        <s v="parrot"/>
        <s v="parody"/>
        <s v="parallel"/>
        <s v="parachute"/>
        <s v="apparatus"/>
        <s v="separate"/>
        <s v="paradise"/>
        <s v="pair"/>
        <s v="impair"/>
        <s v="repair"/>
        <s v="repairman"/>
        <s v="irreparable"/>
        <s v="despair"/>
        <s v="desperate"/>
        <s v="part"/>
        <s v="apart"/>
        <s v="partner"/>
        <s v="party"/>
        <s v="particular"/>
        <s v="particularly"/>
        <s v="particle"/>
        <s v="parcel"/>
        <s v="partial"/>
        <s v="impartial"/>
        <s v="pass"/>
        <s v="passive"/>
        <s v="passenger"/>
        <s v="compass"/>
        <s v="bypass"/>
        <s v="underpass"/>
        <s v="overpass"/>
        <s v="surpass"/>
        <s v="passion"/>
        <s v="compassion"/>
        <s v="pathetic"/>
        <s v="telepathy"/>
        <s v="sympathy"/>
        <s v="propel"/>
        <s v="propeller"/>
        <s v="compel"/>
        <s v="repel"/>
        <s v="expel"/>
        <s v="dispel"/>
        <s v="pulse"/>
        <s v="impulse"/>
        <s v="compulsory"/>
        <s v="appeal"/>
        <s v="pendant"/>
        <s v="depend"/>
        <s v="independence"/>
        <s v="appendix"/>
        <s v="suspend"/>
        <s v="impend"/>
        <s v="spend"/>
        <s v="dispensable"/>
        <s v="indispensable"/>
        <s v="expend"/>
        <s v="percent"/>
        <s v="perfume"/>
        <s v="fume"/>
        <s v="person"/>
        <s v="personnel"/>
        <s v="personal"/>
        <s v="perish"/>
        <s v="permanent"/>
        <s v="persuade"/>
        <s v="plaza"/>
        <s v="plat"/>
        <s v="platform"/>
        <s v="plaster"/>
        <s v="plate"/>
        <s v="place"/>
        <s v="misplace"/>
        <s v="replace"/>
        <s v="displace"/>
        <s v="plan"/>
        <s v="airplane"/>
        <s v="planet"/>
        <s v="plain"/>
        <s v="explain"/>
        <s v="complain"/>
        <s v="plant"/>
        <s v="implant"/>
        <s v="supplant"/>
        <s v="plenty"/>
        <s v="multiple"/>
        <s v="multiply"/>
        <s v="deplete"/>
        <s v="complete"/>
        <s v="incomplete"/>
        <s v="complement"/>
        <s v="compliment"/>
        <s v="supplement"/>
        <s v="implement"/>
        <s v="complex"/>
        <s v="complicate"/>
        <s v="implicate"/>
        <s v="duplicate"/>
        <s v="accomplish"/>
        <s v="comply"/>
        <s v="reply"/>
        <s v="apply"/>
        <s v="applicant"/>
        <s v="employ"/>
        <s v="employer"/>
        <s v="employee"/>
        <s v="monopoly"/>
        <s v="plus"/>
        <s v="surplus"/>
        <s v="popcorn"/>
        <s v="popsong"/>
        <s v="popular"/>
        <s v="popularity"/>
        <s v="population"/>
        <s v="pub"/>
        <s v="public"/>
        <s v="publish"/>
        <s v="port"/>
        <s v="portable"/>
        <s v="porter"/>
        <s v="portal"/>
        <s v="porch"/>
        <s v="portfolio"/>
        <s v="portrait"/>
        <s v="portion"/>
        <s v="proportion"/>
        <s v="airport"/>
        <s v="passport"/>
        <s v="transport"/>
        <s v="import"/>
        <s v="important"/>
        <s v="export"/>
        <s v="deport"/>
        <s v="report"/>
        <s v="reporter"/>
        <s v="support"/>
        <s v="print"/>
        <s v="pride"/>
        <s v="proud"/>
        <s v="spring"/>
        <s v="sprout"/>
        <s v="sprite"/>
        <s v="sprint"/>
        <s v="sprinkle"/>
        <s v="spray"/>
        <s v="spread"/>
        <s v="widespread"/>
        <s v="prevalence"/>
        <s v="preach"/>
        <s v="premium"/>
        <s v="premier"/>
        <s v="preliminary"/>
        <s v="previous"/>
        <s v="priority"/>
        <s v="problem"/>
        <s v="protrude"/>
        <s v="prompt"/>
        <s v="protocol"/>
        <s v="prophecy"/>
        <s v="proximity"/>
        <s v="prosper"/>
        <s v="province"/>
        <s v="prosecute"/>
        <s v="prove"/>
        <s v="improve"/>
        <s v="approve"/>
        <s v="disapproval"/>
        <s v="prime"/>
        <s v="primary"/>
        <s v="primitive"/>
        <s v="prince"/>
        <s v="princess"/>
        <s v="price"/>
        <s v="prize"/>
        <s v="precious"/>
        <s v="appreciate"/>
        <s v="appreciable"/>
        <s v="depreciate"/>
        <s v="private"/>
        <s v="deprive"/>
        <s v="press"/>
        <s v="pressure"/>
        <s v="compress"/>
        <s v="oppress"/>
        <s v="suppress"/>
        <s v="express"/>
        <s v="impression"/>
        <s v="prison"/>
        <s v="prisoner"/>
        <s v="surprise"/>
        <s v="enterprise"/>
        <s v="comprise"/>
        <s v="special"/>
        <s v="specialist"/>
        <s v="species"/>
        <s v="specimen"/>
        <s v="spectacle"/>
        <s v="spectator"/>
        <s v="speculate"/>
        <s v="specific"/>
        <s v="aspect"/>
        <s v="suspect"/>
        <s v="inspect"/>
        <s v="prospect"/>
        <s v="expect"/>
        <s v="respect"/>
        <s v="respective"/>
        <s v="irrespective"/>
        <s v="spirit"/>
        <s v="inspire"/>
        <s v="inspiration"/>
        <s v="aspire"/>
        <s v="conspire"/>
        <s v="expire"/>
        <s v="pin"/>
        <s v="pinnacle"/>
        <s v="pine"/>
        <s v="pineapple"/>
        <s v="spine"/>
        <s v="pinch"/>
        <s v="spin"/>
        <s v="pose"/>
        <s v="position"/>
        <s v="poise"/>
        <s v="pause"/>
        <s v="postpone"/>
        <s v="propose"/>
        <s v="purpose"/>
        <s v="compose"/>
        <s v="suppose"/>
        <s v="oppose"/>
        <s v="opposite"/>
        <s v="deposit"/>
        <s v="dispose"/>
        <s v="expose"/>
        <s v="exposure"/>
        <s v="exposition"/>
        <s v="impose"/>
        <s v="reputation"/>
        <s v="dispute"/>
        <s v="quest"/>
        <s v="question"/>
        <s v="conquest"/>
        <s v="request"/>
        <s v="inquire"/>
        <s v="enquire"/>
        <s v="require"/>
        <s v="acquire"/>
        <s v="squeeze"/>
        <s v="square"/>
        <s v="squad"/>
        <s v="squash"/>
        <s v="equal"/>
        <s v="equation"/>
        <s v="adequate"/>
        <s v="inadequate"/>
        <s v="equity"/>
        <s v="equivalence"/>
        <s v="equilibrium"/>
        <s v="equip"/>
        <s v="equator"/>
        <s v="radar"/>
        <s v="radio"/>
        <s v="radioactivity"/>
        <s v="radiate"/>
        <s v="radical"/>
        <s v="radish"/>
        <s v="eradicate"/>
        <s v="revenge"/>
        <s v="reveal"/>
        <s v="rebuke"/>
        <s v="refrain"/>
        <s v="recent"/>
        <s v="religion"/>
        <s v="rely"/>
        <s v="regret"/>
        <s v="reimburse"/>
        <s v="direct"/>
        <s v="director"/>
        <s v="direction"/>
        <s v="erect"/>
        <s v="correct"/>
        <s v="roll"/>
        <s v="round"/>
        <s v="surround"/>
        <s v="ground"/>
        <s v="rotate"/>
        <s v="road"/>
        <s v="roam"/>
        <s v="rock"/>
        <s v="route"/>
        <s v="row"/>
        <s v="rope"/>
        <s v="rot"/>
        <s v="rupture"/>
        <s v="interrupt"/>
        <s v="interruption"/>
        <s v="corrupt"/>
        <s v="disrupt"/>
        <s v="erupt"/>
        <s v="bankrupt"/>
        <s v="arm"/>
        <s v="disarm"/>
        <s v="army"/>
        <s v="armour"/>
        <s v="harm"/>
        <s v="harmful"/>
        <s v="alarm"/>
        <s v="segment"/>
        <s v="serious"/>
        <s v="sequence"/>
        <s v="frequent"/>
        <s v="security"/>
        <s v="consecutive"/>
        <s v="section"/>
        <s v="insect"/>
        <s v="several"/>
        <s v="dissever"/>
        <s v="severe"/>
        <s v="persevere"/>
        <s v="secret"/>
        <s v="secretary"/>
        <s v="sacred"/>
        <s v="sacrifice"/>
        <s v="sit"/>
        <s v="site"/>
        <s v="situation"/>
        <s v="set"/>
        <s v="seat"/>
        <s v="settlement"/>
        <s v="asset"/>
        <s v="onset"/>
        <s v="outset"/>
        <s v="upset"/>
        <s v="desert"/>
        <s v="assert"/>
        <s v="assertion"/>
        <s v="insert"/>
        <s v="exert"/>
        <s v="present"/>
        <s v="presence"/>
        <s v="presentation"/>
        <s v="represent"/>
        <s v="serve"/>
        <s v="service"/>
        <s v="servant"/>
        <s v="observe"/>
        <s v="deserve"/>
        <s v="preserve"/>
        <s v="conserve"/>
        <s v="reserve"/>
        <s v="reservoir"/>
        <s v="side"/>
        <s v="subsidiary"/>
        <s v="reside"/>
        <s v="residence"/>
        <s v="preside"/>
        <s v="president"/>
        <s v="consider"/>
        <s v="considerate"/>
        <s v="considerable"/>
        <s v="similar"/>
        <s v="dissimilar"/>
        <s v="simultaneous"/>
        <s v="simulate"/>
        <s v="simple"/>
        <s v="assemble"/>
        <s v="assembly"/>
        <s v="disassemble"/>
        <s v="resemble"/>
        <s v="social"/>
        <s v="sociable"/>
        <s v="society"/>
        <s v="associate"/>
        <s v="solve"/>
        <s v="solvent"/>
        <s v="solution"/>
        <s v="dissolve"/>
        <s v="resolve"/>
        <s v="sense"/>
        <s v="sensitive"/>
        <s v="sensible"/>
        <s v="sensuous"/>
        <s v="sentimental"/>
        <s v="sentence"/>
        <s v="assent"/>
        <s v="consent"/>
        <s v="consensus"/>
        <s v="dissent"/>
        <s v="resent"/>
        <s v="sign"/>
        <s v="signal"/>
        <s v="signature"/>
        <s v="significant"/>
        <s v="insignificant"/>
        <s v="design"/>
        <s v="designate"/>
        <s v="assign"/>
        <s v="resign"/>
        <s v="test"/>
        <s v="attest"/>
        <s v="testimony"/>
        <s v="contest"/>
        <s v="protest"/>
        <s v="detest"/>
        <s v="stand"/>
        <s v="standard"/>
        <s v="standstill"/>
        <s v="standpoint"/>
        <s v="understand"/>
        <s v="misunderstand"/>
        <s v="withstand"/>
        <s v="notwithstanding"/>
        <s v="outstanding"/>
        <s v="steady"/>
        <s v="substance"/>
        <s v="substantial"/>
        <s v="unsubstantial"/>
        <s v="instance"/>
        <s v="instant"/>
        <s v="distant"/>
        <s v="constant"/>
        <s v="station"/>
        <s v="stationary"/>
        <s v="state"/>
        <s v="statue"/>
        <s v="estate"/>
        <s v="stable"/>
        <s v="instability"/>
        <s v="stage"/>
        <s v="prestige"/>
        <s v="stalk"/>
        <s v="staff"/>
        <s v="stain"/>
        <s v="start"/>
        <s v="startle"/>
        <s v="stamina"/>
        <s v="stadium"/>
        <s v="stay"/>
        <s v="stamp"/>
        <s v="stair"/>
        <s v="steel"/>
        <s v="stem"/>
        <s v="steam"/>
        <s v="systematic"/>
        <s v="step"/>
        <s v="stone"/>
        <s v="stun"/>
        <s v="astonish"/>
        <s v="store"/>
        <s v="story"/>
        <s v="restore"/>
        <s v="install"/>
        <s v="stool"/>
        <s v="stack"/>
        <s v="storm"/>
        <s v="stove"/>
        <s v="stop"/>
        <s v="still"/>
        <s v="distill"/>
        <s v="destiny"/>
        <s v="destination"/>
        <s v="assist"/>
        <s v="consist"/>
        <s v="consistent"/>
        <s v="exist"/>
        <s v="insist"/>
        <s v="persist"/>
        <s v="resist"/>
        <s v="resistance"/>
        <s v="irresistible"/>
        <s v="institute"/>
        <s v="constitute"/>
        <s v="substitute"/>
        <s v="structure"/>
        <s v="instruct"/>
        <s v="obstruct"/>
        <s v="destructive"/>
        <s v="construct"/>
        <s v="exalt"/>
        <s v="exalted"/>
        <s v="altar"/>
        <s v="altitude"/>
        <s v="alter"/>
        <s v="alternate"/>
        <s v="alternative"/>
        <s v="altruism"/>
        <s v="artisan"/>
        <s v="article"/>
        <s v="artery"/>
        <s v="vein"/>
        <s v="tail"/>
        <s v="tailor"/>
        <s v="detail"/>
        <s v="curtail"/>
        <s v="retail"/>
        <s v="wholesale"/>
        <s v="architect"/>
        <s v="protect"/>
        <s v="tend"/>
        <s v="trend"/>
        <s v="intend"/>
        <s v="pretend"/>
        <s v="attend"/>
        <s v="attention"/>
        <s v="contend"/>
        <s v="extend"/>
        <s v="extent"/>
        <s v="extension"/>
        <s v="extensive"/>
        <s v="tension"/>
        <s v="intensify"/>
        <s v="intensive"/>
        <s v="tour"/>
        <s v="tourist"/>
        <s v="detour"/>
        <s v="contour"/>
        <s v="torch"/>
        <s v="torture"/>
        <s v="distort"/>
        <s v="distortion"/>
        <s v="train"/>
        <s v="tram"/>
        <s v="track"/>
        <s v="trail"/>
        <s v="trailer"/>
        <s v="travel"/>
        <s v="tradition"/>
        <s v="tray"/>
        <s v="betray"/>
        <s v="trace"/>
        <s v="tractor"/>
        <s v="attract"/>
        <s v="extract"/>
        <s v="subtract"/>
        <s v="contract"/>
        <s v="abstract"/>
        <s v="distract"/>
        <s v="distraction"/>
        <s v="transform"/>
        <s v="transplant"/>
        <s v="turn"/>
        <s v="intern"/>
        <s v="internal"/>
        <s v="internship"/>
        <s v="eternal"/>
        <s v="return"/>
        <s v="trio"/>
        <s v="triangle"/>
        <s v="triple"/>
        <s v="tribe"/>
        <s v="tribute"/>
        <s v="attribute"/>
        <s v="contribute"/>
        <s v="distribute"/>
        <s v="distribution"/>
        <s v="chatter"/>
        <s v="shatter"/>
        <s v="litter"/>
        <s v="utter"/>
        <s v="mutter"/>
        <s v="stick"/>
        <s v="sting"/>
        <s v="distinguish"/>
        <s v="distinguishable"/>
        <s v="distinguished"/>
        <s v="extinguish"/>
        <s v="extinct"/>
        <s v="distinct"/>
        <s v="instinct"/>
        <s v="stir"/>
        <s v="stimulate"/>
        <s v="stink"/>
        <s v="estimate"/>
        <s v="esteem"/>
        <s v="stitch"/>
        <s v="straight"/>
        <s v="strait"/>
        <s v="strategy"/>
        <s v="strap"/>
        <s v="strain"/>
        <s v="constrain"/>
        <s v="restrain"/>
        <s v="straw"/>
        <s v="street"/>
        <s v="stream"/>
        <s v="streak"/>
        <s v="stray"/>
        <s v="stress"/>
        <s v="distress"/>
        <s v="stretch"/>
        <s v="stripe"/>
        <s v="strip"/>
        <s v="stride"/>
        <s v="strike"/>
        <s v="stroke"/>
        <s v="strict"/>
        <s v="district"/>
        <s v="restrict"/>
        <s v="tack"/>
        <s v="attack"/>
        <s v="attach"/>
        <s v="detach"/>
        <s v="contact"/>
        <s v="continent"/>
        <s v="intangible"/>
        <s v="contain"/>
        <s v="obtain"/>
        <s v="detain"/>
        <s v="retain"/>
        <s v="sustain"/>
        <s v="attain"/>
        <s v="abstain"/>
        <s v="entertain"/>
        <s v="continue"/>
        <s v="discontinue"/>
        <s v="tango"/>
        <s v="tangle"/>
        <s v="entangle"/>
        <s v="tangible"/>
        <s v="contagious"/>
        <s v="contaminate"/>
        <s v="underground"/>
        <s v="undercover"/>
        <s v="underlying"/>
        <s v="undermine"/>
        <s v="underway"/>
        <s v="undergo"/>
        <s v="underwear"/>
        <s v="undertake"/>
        <s v="upgrade"/>
        <s v="upstairs"/>
        <s v="upsurge"/>
        <s v="uproot"/>
        <s v="tumble"/>
        <s v="stumble"/>
        <s v="rumble"/>
        <s v="crumble"/>
        <s v="humble"/>
        <s v="uniformly"/>
        <s v="unit"/>
        <s v="unity"/>
        <s v="union"/>
        <s v="universe"/>
        <s v="university"/>
        <s v="subway"/>
        <s v="submarine"/>
        <s v="subtle"/>
        <s v="suit"/>
        <s v="suitable"/>
        <s v="unsuitable"/>
        <s v="suite"/>
        <s v="lawsuit"/>
        <s v="pursuit"/>
        <s v="pursue"/>
        <s v="result"/>
        <s v="assault"/>
        <s v="insult"/>
        <s v="sultry"/>
        <s v="consult"/>
        <s v="summer"/>
        <s v="summit"/>
        <s v="sum"/>
        <s v="summary"/>
        <s v="summarize"/>
        <s v="consume"/>
        <s v="presume"/>
        <s v="presumable"/>
        <s v="assume"/>
        <s v="assumption"/>
        <s v="resume"/>
        <s v="supreme"/>
        <s v="superior"/>
        <s v="superb"/>
        <s v="surge"/>
        <s v="survey"/>
        <s v="surveillance"/>
        <s v="surname"/>
        <s v="surrender"/>
        <s v="sure"/>
        <s v="ensure"/>
        <s v="assure"/>
        <s v="insurance"/>
        <s v="audible"/>
        <s v="audition"/>
        <s v="auditorium"/>
        <s v="audience"/>
        <s v="audit"/>
        <s v="vacant"/>
        <s v="vacate"/>
        <s v="vacation"/>
        <s v="vacuum"/>
        <s v="vaccination"/>
        <s v="evacuate"/>
        <s v="evacuation"/>
        <s v="invade"/>
        <s v="evade"/>
        <s v="pervade"/>
        <s v="van"/>
        <s v="vane"/>
        <s v="vain"/>
        <s v="vanish"/>
        <s v="vanity"/>
        <s v="advance"/>
        <s v="advantage"/>
        <s v="disadvantage"/>
        <s v="venue"/>
        <s v="avenue"/>
        <s v="convene"/>
        <s v="convention"/>
        <s v="conventional"/>
        <s v="convenient"/>
        <s v="souvenir"/>
        <s v="revenue"/>
        <s v="intervene"/>
        <s v="vent"/>
        <s v="ventilation"/>
        <s v="venture"/>
        <s v="adventure"/>
        <s v="invent"/>
        <s v="prevent"/>
        <s v="prevention"/>
        <s v="event"/>
        <s v="advent"/>
        <s v="verse"/>
        <s v="version"/>
        <s v="adverse"/>
        <s v="adversary"/>
        <s v="reverse"/>
        <s v="controversy"/>
        <s v="conversation"/>
        <s v="diverse"/>
        <s v="divert"/>
        <s v="avert"/>
        <s v="advertise"/>
        <s v="convert"/>
        <s v="conversion"/>
        <s v="vertical"/>
        <s v="introvert"/>
        <s v="extrovert"/>
        <s v="video"/>
        <s v="provide"/>
        <s v="provision"/>
        <s v="evident"/>
        <s v="evidence"/>
        <s v="vision"/>
        <s v="visionary"/>
        <s v="visible"/>
        <s v="invisible"/>
        <s v="envision"/>
        <s v="envy"/>
        <s v="enviable"/>
        <s v="devise"/>
        <s v="revise"/>
        <s v="supervise"/>
        <s v="advise"/>
        <s v="visit"/>
        <s v="vocal"/>
        <s v="vocation"/>
        <s v="avocation"/>
        <s v="advocate"/>
        <s v="voice"/>
        <s v="invoice"/>
        <s v="evoke"/>
        <s v="convoke"/>
        <s v="revoke"/>
        <s v="provoke"/>
        <s v="volvo"/>
        <s v="revolve"/>
        <s v="revolution"/>
        <s v="evolve"/>
        <s v="involve"/>
        <s v="volume"/>
        <s v="value"/>
        <s v="valuable"/>
        <s v="invaluable"/>
        <s v="evaluate"/>
        <s v="valid"/>
        <s v="validate"/>
        <s v="avail"/>
        <s v="available"/>
        <s v="countervail"/>
        <s v="prevail"/>
        <s v="vary"/>
        <s v="variation"/>
        <s v="various"/>
        <s v="variable"/>
        <s v="invariable"/>
        <s v="variant"/>
        <s v="variety"/>
        <s v="victory"/>
        <s v="victim"/>
        <s v="conviction"/>
        <s v="vincible"/>
        <s v="convince"/>
        <s v="vitamin"/>
        <s v="vital"/>
        <s v="vitality"/>
        <s v="invite"/>
        <s v="viva"/>
        <s v="vivid"/>
        <s v="revival"/>
        <s v="survival"/>
        <s v="wind"/>
        <s v="windshield"/>
        <s v="winter"/>
        <s v="window"/>
        <s v="wing"/>
        <s v="swing"/>
        <s v="whisk"/>
        <s v="whisker"/>
        <s v="whiskey"/>
        <s v="whistle"/>
        <s v="whisper"/>
        <s v="whip"/>
        <s v="whirl"/>
        <s v="swirl"/>
        <s v="ward"/>
        <s v="wardrobe"/>
        <s v="afterward"/>
        <s v="reward"/>
        <s v="award"/>
        <s v="inward"/>
        <s v="withhold"/>
        <s v="withdraw"/>
        <s v="withdrawal"/>
        <s v="wrap"/>
        <s v="wrest"/>
        <s v="wrestling"/>
        <s v="wrench"/>
        <s v="wreck"/>
        <s v="wrath"/>
        <s v="wrangle"/>
        <s v="wrinkle"/>
        <s v="wrong"/>
        <s v="wrist"/>
        <s v="write"/>
        <s v="war"/>
        <s v="wary"/>
        <s v="warn"/>
        <s v="warrant"/>
        <s v="warm"/>
        <s v="worm"/>
        <s v="wire"/>
        <s v="wireless"/>
        <s v="world"/>
        <s v="worldly"/>
        <s v="worry"/>
        <s v="word"/>
        <s v="sword"/>
        <s v="switch"/>
        <s v="swap"/>
        <s v="swim"/>
        <s v="swallow"/>
        <s v="sway"/>
        <s v="sweat"/>
        <s v="sweet"/>
        <s v="swan"/>
        <s v="swamp"/>
        <s v="swell"/>
        <s v="sweep"/>
        <s v="swift"/>
        <s v="swear"/>
        <s v="exit"/>
        <s v="exotic"/>
        <s v="exquisite"/>
        <s v="experience"/>
        <s v="experiment"/>
        <s v="execute"/>
        <s v="expert"/>
        <s v="expertise"/>
        <s v="explicit"/>
        <s v="exploit"/>
        <s v="extol"/>
        <s v="exaggerate"/>
        <s v="exaggeration"/>
        <s v="exponential"/>
        <s v="explode"/>
        <s v="extort"/>
        <s v="exile"/>
        <s v="exhaust"/>
        <s v="exhausting"/>
        <s v="exhausted"/>
        <s v="exempt"/>
        <s v="extra"/>
        <s v="extracurricular"/>
        <s v="external"/>
        <s v="extreme"/>
        <s v="extremely"/>
        <s v="fix"/>
        <s v="affix"/>
        <s v="symbol"/>
        <s v="symptom"/>
        <s v="symposium"/>
        <s v="symmetry"/>
        <s v="symphony"/>
        <s v="syndrome"/>
        <s v="synchronize"/>
        <s v="synergy"/>
        <s v="synthesis"/>
        <s v="photosynthesis"/>
        <s v="haze"/>
        <s v="maze"/>
        <s v="amazing"/>
        <s v="gaze"/>
        <s v="doze"/>
        <s v="jazz"/>
        <s v="puzzle"/>
        <s v="sizzle"/>
        <s v="dazzle"/>
        <s v="drizzle"/>
        <s v="crazy"/>
        <s v="lazy"/>
        <s v="zone"/>
      </sharedItems>
    </cacheField>
    <cacheField name="어원" numFmtId="0">
      <sharedItems containsNonDate="0" count="870">
        <s v="ball"/>
        <s v="bell"/>
        <s v="base"/>
        <s v="bl"/>
        <s v="bl &gt; blow"/>
        <s v="bu"/>
        <s v="bu &gt; bud"/>
        <s v="bu &gt; bun"/>
        <s v="bu &gt; buy"/>
        <s v="b"/>
        <s v="b &gt; ban"/>
        <s v="band"/>
        <s v="band &gt; bond"/>
        <s v="band &gt; bond &gt; bound"/>
        <s v="band &gt; bund"/>
        <s v="bar"/>
        <s v="bat"/>
        <s v="bat &gt; bate"/>
        <s v="bi"/>
        <s v="bio"/>
        <s v="bl &gt; blank"/>
        <s v="bl &gt; blaze"/>
        <s v="br"/>
        <s v="br &gt; break"/>
        <s v="br &gt; break &gt; broker"/>
        <s v="br &gt; break &gt; broach"/>
        <s v="br &gt; broad"/>
        <s v="br &gt; broad &gt; board"/>
        <s v="br &gt; brief"/>
        <s v="ab"/>
        <s v="ab &gt; able"/>
        <s v="circ"/>
        <s v="circ &gt; circle"/>
        <s v="circle &gt; cycle"/>
        <s v="cab"/>
        <s v="cab &gt; cabin"/>
        <s v="cab &gt; cubic"/>
        <s v="can"/>
        <s v="can &gt; cane"/>
        <s v="cap"/>
        <s v="cap &gt; captain"/>
        <s v="cap &gt; cape"/>
        <s v="cap &gt; cap"/>
        <s v="cept"/>
        <s v="cept &gt; concept"/>
        <s v="cept &gt; reception"/>
        <s v="cept &gt; ceipt"/>
        <s v="cept &gt; except"/>
        <s v="cip"/>
        <s v="cip &gt; disciple"/>
        <s v="cup"/>
        <s v="cup &gt; occupy"/>
        <s v="car"/>
        <s v="car &gt; cart"/>
        <s v="car &gt; carry"/>
        <s v="car &gt; charge"/>
        <s v="cur"/>
        <s v="cur &gt; current"/>
        <s v="care"/>
        <s v="care &gt; cure"/>
        <s v="cave &gt; cure"/>
        <s v="cure &gt; secure"/>
        <s v="cure &gt; accurate"/>
        <s v="cause"/>
        <s v="cause &gt; caution"/>
        <s v="cover"/>
        <s v="ceed"/>
        <s v="ceed(cess)"/>
        <s v="ceed &gt; proceed"/>
        <s v="ceed &gt; cede"/>
        <s v="cess &gt; excess"/>
        <s v="cess &gt; recess"/>
        <s v="cess &gt; access"/>
        <s v="access &gt; accessible"/>
        <s v="cess &gt; cease"/>
        <s v="cess &gt; cid"/>
        <s v="cid &gt; accident"/>
        <s v="cid"/>
        <s v="cid &gt; incident"/>
        <s v="ceive"/>
        <s v="ceive &gt; deceive"/>
        <s v="cell"/>
        <s v="cel"/>
        <s v="cel &gt; celebrate"/>
        <s v="cel &gt; excel"/>
        <s v="cent"/>
        <s v="cent &gt; innocent"/>
        <s v="chief"/>
        <s v="cide"/>
        <s v="cide &gt; decide"/>
        <s v="cide(cise)"/>
        <s v="cite"/>
        <s v="cla"/>
        <s v="cla &gt; clash"/>
        <s v="cla(clea)"/>
        <s v="cla(clear) &gt; clean"/>
        <s v="cla &gt; clar"/>
        <s v="clar &gt; declare"/>
        <s v="clar(cl)"/>
        <s v="clin"/>
        <s v="clin(cli)"/>
        <s v="clin &gt; incline"/>
        <s v="close"/>
        <s v="close &gt; clude"/>
        <s v="clude"/>
        <s v="clude &gt; conclude"/>
        <s v="clude &gt; exclude"/>
        <s v="cult"/>
        <s v="co"/>
        <s v="co &gt; cohere"/>
        <s v="co &gt; code"/>
        <s v="com"/>
        <s v="com &gt; common(commun)"/>
        <s v="con"/>
        <s v="cor"/>
        <s v="cor &gt; cordial"/>
        <s v="cor(cour)"/>
        <s v="cord"/>
        <s v="count"/>
        <s v="count &gt; counter"/>
        <s v="counter"/>
        <s v="counter(contra)"/>
        <s v="cre"/>
        <s v="cre &gt; create"/>
        <s v="cre &gt; create(creet)"/>
        <s v="cre &gt; create(crete)"/>
        <s v="cre &gt; increase"/>
        <s v="cre &gt; crew(cru)"/>
        <s v="cre &gt; craft"/>
        <s v="sc"/>
        <s v="sc &gt; scrape"/>
        <s v="sc &gt; scar"/>
        <s v="scr(screen)"/>
        <s v="rub"/>
        <s v="sc &gt; scale"/>
        <s v="scend"/>
        <s v="scend &gt; descend"/>
        <s v="script"/>
        <s v="script(scrib)"/>
        <s v="date"/>
        <s v="day"/>
        <s v="day &gt; daze"/>
        <s v="deep"/>
        <s v="dip"/>
        <s v="demo"/>
        <s v="demo(demi)"/>
        <s v="den"/>
        <s v="den &gt; dent"/>
        <s v="den &gt; dense"/>
        <s v="dia"/>
        <s v="dict"/>
        <s v="dict &gt; diction"/>
        <s v="dict(doct)"/>
        <s v="dict(doc)"/>
        <s v="dict(doc) &gt; document"/>
        <s v="dom"/>
        <s v="dom &gt; dome"/>
        <s v="dom(dorm)"/>
        <s v="don"/>
        <s v="don &gt; donate"/>
        <s v="don(dow)"/>
        <s v="du"/>
        <s v="du &gt; dung"/>
        <s v="duc"/>
        <s v="duc &gt; conduct"/>
        <s v="duc(duct)"/>
        <s v="duct(duct)"/>
        <s v="duc(duce)"/>
        <s v="duc &gt; produce"/>
        <s v="duc(duce) &gt; reduce"/>
        <s v="dur"/>
        <s v="damn"/>
        <s v="damn(dam)"/>
        <s v="damn(demn)"/>
        <s v="de"/>
        <s v="de &gt; depress"/>
        <s v="de &gt; deter"/>
        <s v="de(d)"/>
        <s v="ded(d) &gt; deem"/>
        <s v="deem &gt; redeem"/>
        <s v="di"/>
        <s v="di &gt; divide"/>
        <s v="dis"/>
        <s v="dis &gt; disperse"/>
        <s v="du(dou)"/>
        <s v="e"/>
        <s v="e &gt; ear"/>
        <s v="ear"/>
        <s v="en"/>
        <s v="en &gt; enter"/>
        <s v="en &gt; engage"/>
        <s v="en &gt; environ"/>
        <s v="en &gt; enthusiasm"/>
        <s v="en &gt; essential"/>
        <s v="en &gt; enroll"/>
        <s v="ee"/>
        <s v="ee &gt; sleep"/>
        <s v="es"/>
        <s v="say"/>
        <s v="es(e)"/>
        <s v="ev"/>
        <s v="ev &gt; ever"/>
        <s v="ev &gt; even"/>
        <s v="ev &gt; evil"/>
        <s v="evil &gt; evit"/>
        <s v="f"/>
        <s v="fair"/>
        <s v="f &gt; fairy"/>
        <s v="f &gt; fame"/>
        <s v="f &gt; fan"/>
        <s v="fan &gt; fancy"/>
        <s v="f &gt; fend"/>
        <s v="fend"/>
        <s v="fend &gt; offend"/>
        <s v="fer"/>
        <s v="fer &gt; fertile"/>
        <s v="fer &gt; confer"/>
        <s v="fer &gt; differ"/>
        <s v="differ &gt; different"/>
        <s v="fer &gt; defer"/>
        <s v="fer &gt; refer"/>
        <s v="fer &gt; infer"/>
        <s v="fl"/>
        <s v="fl &gt; flee"/>
        <s v="fl &gt; flip"/>
        <s v="fl &gt; fluctuate"/>
        <s v="fl &gt; flux"/>
        <s v="fl &gt; flex"/>
        <s v="fl &gt; fluent"/>
        <s v="fluent &gt; influence"/>
        <s v="flat"/>
        <s v="flect"/>
        <s v="flect(flict)"/>
        <s v="flect(flict) &gt; afflict"/>
        <s v="flor(flow)"/>
        <s v="flor"/>
        <s v="flor(flour)"/>
        <s v="for"/>
        <s v="for &gt; afford"/>
        <s v="for &gt; fork"/>
        <s v="for &gt; fore"/>
        <s v="fore"/>
        <s v="forre &gt; foresee"/>
        <s v="fore &gt; foresee"/>
        <s v="fort"/>
        <s v="fort &gt; fortune"/>
        <s v="force"/>
        <s v="force &gt; reinforce"/>
        <s v="form"/>
        <s v="form &gt; inform"/>
        <s v="form &gt; conform"/>
        <s v="form &gt; perform"/>
        <s v="f(fac)"/>
        <s v="firm"/>
        <s v="firm &gt; confirm"/>
        <s v="frag"/>
        <s v="frag &gt; fragment"/>
        <s v="front"/>
        <s v="fac"/>
        <s v="fac(fact)"/>
        <s v="fac(fact) &gt; manufacture"/>
        <s v="fac &gt; facility"/>
        <s v="fac(fect)"/>
        <s v="fac(fect) &gt; infect"/>
        <s v="fac(fect) &gt; defect"/>
        <s v="fac(fect) &gt; affect"/>
        <s v="fac(fect) &gt; effect"/>
        <s v="effect &gt; effective"/>
        <s v="effect"/>
        <s v="face"/>
        <s v="fic(fac)"/>
        <s v="fic"/>
        <s v="fic &gt; office"/>
        <s v="fic &gt; deficit"/>
        <s v="fy"/>
        <s v="fy &gt; qualify"/>
        <s v="fy &gt; satisfy"/>
        <s v="satisfy &gt; satisfaction"/>
        <s v="f(fy)"/>
        <s v="fit"/>
        <s v="fund"/>
        <s v="fund(found)"/>
        <s v="fuse"/>
        <s v="gen"/>
        <s v="gen &gt; gene(gen)"/>
        <s v="gen &gt; generate"/>
        <s v="gen &gt; general"/>
        <s v="gen &gt; gentle"/>
        <s v="gen &gt; genial"/>
        <s v="gen &gt; gene"/>
        <s v="gen &gt; genius"/>
        <s v="gen(gin)"/>
        <s v="gen &gt; engine"/>
        <s v="gest"/>
        <s v="gest &gt; congest"/>
        <s v="gest(gist)"/>
        <s v="gl"/>
        <s v="gn"/>
        <s v="gn &gt; diagnose"/>
        <s v="gr"/>
        <s v="gr &gt; grow"/>
        <s v="gr &gt; grass"/>
        <s v="gr &gt; grief"/>
        <s v="grad"/>
        <s v="grad &gt; grade"/>
        <s v="grade &gt; gradual"/>
        <s v="grade &gt; graduate"/>
        <s v="grad(grad)"/>
        <s v="grat"/>
        <s v="grat(grate)"/>
        <s v="gree"/>
        <s v="gree &gt; agree"/>
        <s v="gree &gt; aggregate"/>
        <s v="gree &gt; aggregate(gregate)"/>
        <s v="gree(gress)"/>
        <s v="gree(gress) &gt; progress"/>
        <s v="grav"/>
        <s v="grav &gt; grave"/>
        <s v="gu"/>
        <s v="gu &gt; guide"/>
        <s v="gu &gt; guard"/>
        <s v="gu &gt; gut"/>
        <s v="gu &gt; gust"/>
        <s v="gu(gue)"/>
        <s v="gu &gt; argue"/>
        <s v="h"/>
        <s v="have"/>
        <s v="have &gt; behavior"/>
        <s v="habit"/>
        <s v="habit &gt; inhabit"/>
        <s v="habit(hibit)"/>
        <s v="hand"/>
        <s v="hand &gt; prehend"/>
        <s v="hand &gt; prehend &gt; comprehend"/>
        <s v="har"/>
        <s v="har &gt; harmony"/>
        <s v="har &gt; hard"/>
        <s v="heri"/>
        <s v="heri(herit)"/>
        <s v="heri(here)"/>
        <s v="sh"/>
        <s v="sh &gt; sheep"/>
        <s v="sh &gt; share"/>
        <s v="wh"/>
        <s v="wh &gt; wheel"/>
        <s v="hi"/>
        <s v="hi(high)"/>
        <s v="in"/>
        <s v="in &gt; initial"/>
        <s v="inter"/>
        <s v="inter(inte)"/>
        <s v="inter(inte) &gt; integrate"/>
        <s v="inter(intr)"/>
        <s v="inter &gt; interior(terior)"/>
        <s v="j"/>
        <s v="jet"/>
        <s v="ject"/>
        <s v="ject &gt; project"/>
        <s v="ject &gt; subject"/>
        <s v="ject &gt; reject"/>
        <s v="join"/>
        <s v="junct"/>
        <s v="junct &gt; junction"/>
        <s v="ju"/>
        <s v="ju &gt; jump"/>
        <s v="jud"/>
        <s v="jud &gt; judge"/>
        <s v="jud(jur)"/>
        <s v="jud(jur) &gt; jury"/>
        <s v="just"/>
        <s v="just &gt; justify"/>
        <s v="just &gt; justice"/>
        <s v="ki"/>
        <s v="ki &gt; kid"/>
        <s v="ki &gt; kit"/>
        <s v="ki &gt; kin"/>
        <s v="ki &gt; kid(kinder)"/>
        <s v="kn"/>
        <s v="kn &gt; knock(knack)"/>
        <s v="kn &gt; knock"/>
        <s v="kn &gt; knee"/>
        <s v="kn &gt; know"/>
        <s v="sk"/>
        <s v="sk &gt; ski"/>
        <s v="sk &gt; skill"/>
        <s v="sk &gt; skirt"/>
        <s v="sk &gt; skin"/>
        <s v="sk(sc)"/>
        <s v="l"/>
        <s v="labor"/>
        <s v="labor &gt; collaborate"/>
        <s v="log"/>
        <s v="log(logue)"/>
        <s v="logy"/>
        <s v="langu"/>
        <s v="langu &gt; language(lang)"/>
        <s v="langu(lingu)"/>
        <s v="langu(lingu) &gt; lingual"/>
        <s v="leg"/>
        <s v="leg &gt; league"/>
        <s v="leg(lig)"/>
        <s v="leg(lig) &gt; diligent"/>
        <s v="leg &gt; legal"/>
        <s v="leg &gt; legislate"/>
        <s v="leg &gt; delegate"/>
        <s v="lev"/>
        <s v="lev &gt; lever"/>
        <s v="lev &gt; elevate"/>
        <s v="lev &gt; relevant"/>
        <s v="light"/>
        <s v="light(ite) &gt; night(nite)"/>
        <s v="light(ight)"/>
        <s v="light &gt; bright"/>
        <s v="loc"/>
        <s v="loc &gt; locate"/>
        <s v="loc &gt; lock"/>
        <s v="loc &gt; lock &gt; block"/>
        <s v="long"/>
        <s v="long(leng)"/>
        <s v="long(leng) &gt; length"/>
        <s v="lay"/>
        <s v="lot"/>
        <s v="lot &gt; slit(slot)"/>
        <s v="late"/>
        <s v="late &gt; relate"/>
        <s v="lect"/>
        <s v="lect &gt; collect"/>
        <s v="lib"/>
        <s v="lib(liber)"/>
        <s v="lide"/>
        <s v="lide(led)"/>
        <s v="low"/>
        <s v="low &gt; allow"/>
        <s v="sl"/>
        <s v="sl &gt; slip"/>
        <s v="sl &gt; slim"/>
        <s v="man"/>
        <s v="man &gt; manage"/>
        <s v="man &gt; mantle"/>
        <s v="mand"/>
        <s v="mand &gt; mandate"/>
        <s v="mand &gt; demand"/>
        <s v="m"/>
        <s v="med"/>
        <s v="med &gt; media"/>
        <s v="med &gt; mediate"/>
        <s v="med &gt; medicine"/>
        <s v="mod(mid)"/>
        <s v="mod(mid) &gt; mode"/>
        <s v="mod(mid) &gt; commode"/>
        <s v="memo"/>
        <s v="memo &gt; memory"/>
        <s v="mend"/>
        <s v="mend &gt; commend"/>
        <s v="mini"/>
        <s v="mit"/>
        <s v="mit &gt; commit"/>
        <s v="mit &gt; emit"/>
        <s v="mit &gt; admit"/>
        <s v="miss(mit)"/>
        <s v="miss(mit) &gt; mission"/>
        <s v="miss(mess)"/>
        <s v="mise(mit)"/>
        <s v="mise(mit) &gt; promise"/>
        <s v="mise(mit) &gt; premise"/>
        <s v="mot"/>
        <s v="mot &gt; motor"/>
        <s v="mot &gt; motion"/>
        <s v="mot &gt; motive"/>
        <s v="main"/>
        <s v="main &gt; maintain"/>
        <s v="maj"/>
        <s v="maj(major)"/>
        <s v="maj(may)"/>
        <s v="mag"/>
        <s v="mag &gt; magnify"/>
        <s v="mag &gt; maxim"/>
        <s v="mag(meg)"/>
        <s v="minent"/>
        <s v="mount"/>
        <s v="nec"/>
        <s v="nec &gt; connect"/>
        <s v="nec(nex)"/>
        <s v="no"/>
        <s v="no(non)"/>
        <s v="no(ne) &gt; neg"/>
        <s v="no(ne) &gt; neg &gt; negligible"/>
        <s v="no(ne)"/>
        <s v="no(ne) &gt; never"/>
        <s v="no(ne) &gt; need"/>
        <s v="no(nu)"/>
        <s v="no(nu) &gt; norm"/>
        <s v="sn"/>
        <s v="nat"/>
        <s v="nat &gt; nation"/>
        <s v="nat &gt; nature"/>
        <s v="nat &gt; nature &gt; natural"/>
        <s v="nov"/>
        <s v="nov &gt; novel"/>
        <s v="n"/>
        <s v="note"/>
        <s v="note &gt; notice"/>
        <s v="nounce"/>
        <s v="nounce &gt; announce"/>
        <s v="nur"/>
        <s v="nur &gt; nurse"/>
        <s v="nur(nutr)"/>
        <s v="nur(nour)"/>
        <s v="ob"/>
        <s v="ob &gt; obedient"/>
        <s v="oper"/>
        <s v="oper &gt; operate"/>
        <s v="oper &gt; operate &gt; operative"/>
        <s v="opt"/>
        <s v="opt &gt; optic"/>
        <s v="opt(op)"/>
        <s v="opt &gt; adopt"/>
        <s v="opt(op) &gt; optimum"/>
        <s v="opt(op) &gt; optimum &gt; optimism"/>
        <s v="ora"/>
        <s v="oral"/>
        <s v="oral &gt; moral"/>
        <s v="oral &gt; moral &gt; morale"/>
        <s v="ord"/>
        <s v="ord &gt; ordinary"/>
        <s v="ord &gt; coordinate"/>
        <s v="ori"/>
        <s v="ori &gt; origin"/>
        <s v="out"/>
        <s v="over"/>
        <s v="pan"/>
        <s v="pan &gt; expand"/>
        <s v="par"/>
        <s v="par &gt; parent"/>
        <s v="par &gt; appear"/>
        <s v="par &gt; compare"/>
        <s v="par &gt; prepare"/>
        <s v="par(para)"/>
        <s v="par(para) &gt; pair"/>
        <s v="par(para) &gt; pair &gt; repair"/>
        <s v="par(para) &gt; pair &gt; despair"/>
        <s v="part"/>
        <s v="part &gt; particular"/>
        <s v="part &gt; partial"/>
        <s v="p"/>
        <s v="pass"/>
        <s v="pass &gt; passion"/>
        <s v="path"/>
        <s v="pel"/>
        <s v="pel &gt; propel"/>
        <s v="pel(pul)"/>
        <s v="pel(pul) &gt; pulse"/>
        <s v="pend"/>
        <s v="pend &gt; depend"/>
        <s v="pend &gt; append"/>
        <s v="pend &gt; dispensable"/>
        <s v="pend &gt; spend"/>
        <s v="per"/>
        <s v="per &gt; person"/>
        <s v="pla"/>
        <s v="pla &gt; plat"/>
        <s v="pla &gt; place"/>
        <s v="pla(plan)"/>
        <s v="pla(plan) &gt; plain"/>
        <s v="pla(plan) &gt; plant"/>
        <s v="ple"/>
        <s v="ple(ply)"/>
        <s v="ple &gt; complete"/>
        <s v="ple &gt; complete(comple)"/>
        <s v="ple(pli)"/>
        <s v="ple(ply) &gt; apply"/>
        <s v="ple(ply, ploy)"/>
        <s v="ple(ply, ploy) &gt; employ"/>
        <s v="ple(ploy, poly)"/>
        <s v="ple(plu)"/>
        <s v="pop"/>
        <s v="pop &gt; popular"/>
        <s v="pub"/>
        <s v="port"/>
        <s v="port &gt; portion"/>
        <s v="port &gt; report"/>
        <s v="pr"/>
        <s v="pr &gt; spr"/>
        <s v="pr &gt; spr &gt; spread"/>
        <s v="pre"/>
        <s v="pre &gt; prior"/>
        <s v="pre(pro)"/>
        <s v="pre(pro) &gt; prove"/>
        <s v="pre(pro) &gt; prove &gt; approve &gt; approval"/>
        <s v="prim"/>
        <s v="prim(prin)"/>
        <s v="prim(prin) &gt; prince"/>
        <s v="pric"/>
        <s v="pric(pri)"/>
        <s v="pric(prec)"/>
        <s v="pric &gt; appreciate"/>
        <s v="priv"/>
        <s v="press"/>
        <s v="prise(pris)"/>
        <s v="prise(pris) &gt; prison"/>
        <s v="spec"/>
        <s v="spec &gt; special"/>
        <s v="spec &gt; respect"/>
        <s v="spec &gt; respect &gt; respective"/>
        <s v="spir"/>
        <s v="spir &gt; inspire"/>
        <s v="spir(pir)"/>
        <s v="pin"/>
        <s v="pose"/>
        <s v="pose(pone)"/>
        <s v="pose &gt; oppose"/>
        <s v="pose(pos)"/>
        <s v="pose &gt; expose"/>
        <s v="put"/>
        <s v="qu"/>
        <s v="qu &gt; quest"/>
        <s v="quire"/>
        <s v="squ"/>
        <s v="equ"/>
        <s v="equ &gt; adequate"/>
        <s v="rad"/>
        <s v="rad &gt; radio"/>
        <s v="rad &gt; radar(rad)"/>
        <s v="re"/>
        <s v="rect"/>
        <s v="rect &gt; direct"/>
        <s v="ro"/>
        <s v="ro &gt; roll"/>
        <s v="ro &gt; round"/>
        <s v="rupt"/>
        <s v="rupt &gt; interrupt"/>
        <s v="arm"/>
        <s v="arm &gt; harm"/>
        <s v="se"/>
        <s v="se &gt; sequent"/>
        <s v="se(sec)"/>
        <s v="se(sec) &gt; secure"/>
        <s v="se(sect)"/>
        <s v="se(sever)"/>
        <s v="se(sever) &gt; severe"/>
        <s v="secr"/>
        <s v="secr &gt; secret"/>
        <s v="secr(sacr)"/>
        <s v="s"/>
        <s v="sit"/>
        <s v="sit &gt; set"/>
        <s v="sert"/>
        <s v="sert &gt; assert"/>
        <s v="sent"/>
        <s v="sent &gt; present"/>
        <s v="serv"/>
        <s v="serv &gt; serve"/>
        <s v="serv(serve)"/>
        <s v="serv(serve) &gt; reserve"/>
        <s v="side(sid)"/>
        <s v="side"/>
        <s v="side &gt; reside"/>
        <s v="side &gt; preside"/>
        <s v="side &gt; consider"/>
        <s v="sim"/>
        <s v="sim &gt; similar"/>
        <s v="sim &gt; simil(simul)"/>
        <s v="selmbl"/>
        <s v="selmbl &gt; assemble"/>
        <s v="soci"/>
        <s v="solv"/>
        <s v="solv(solute)"/>
        <s v="sens"/>
        <s v="sens(sent)"/>
        <s v="sign"/>
        <s v="sign &gt; significant"/>
        <s v="sign &gt; design"/>
        <s v="t"/>
        <s v="test"/>
        <s v="st"/>
        <s v="st &gt; stand"/>
        <s v="st &gt; stand &gt; withstand"/>
        <s v="st &gt; stance"/>
        <s v="st &gt; stance &gt; substance"/>
        <s v="st &gt; stance &gt; substance &gt; substantial"/>
        <s v="st &gt; stand(stan)"/>
        <s v="st &gt; station"/>
        <s v="st &gt; state"/>
        <s v="st &gt; stable &gt; stability"/>
        <s v="st &gt; stable"/>
        <s v="st &gt; stable(stige)"/>
        <s v="st(sta)"/>
        <s v="st &gt; start"/>
        <s v="st(sta) &gt; stem"/>
        <s v="st(sta) &gt; system"/>
        <s v="st(sto)"/>
        <s v="st(sto) &gt; stone(st)"/>
        <s v="st(sto) &gt; stone(ston)"/>
        <s v="st(sto) &gt; store"/>
        <s v="st &gt; stall"/>
        <s v="st(sto) &gt; still"/>
        <s v="st(sto) &gt; destiny"/>
        <s v="sist"/>
        <s v="sist &gt; consist"/>
        <s v="sist(ist)"/>
        <s v="sist &gt; resist"/>
        <s v="sist &gt; resist &gt; resistible"/>
        <s v="stitute"/>
        <s v="struct"/>
        <s v="alt"/>
        <s v="alt &gt; exalt"/>
        <s v="alt &gt; alter"/>
        <s v="alt &gt; alter &gt; alternate"/>
        <s v="art"/>
        <s v="v"/>
        <s v="tail"/>
        <s v="sale"/>
        <s v="tect"/>
        <s v="tend"/>
        <s v="tend &gt; attend"/>
        <s v="tend &gt; extend"/>
        <s v="tend &gt; tense"/>
        <s v="tend &gt; tense &gt; intensify"/>
        <s v="tour"/>
        <s v="tour &gt; tor"/>
        <s v="tour &gt; tor(tort)"/>
        <s v="tour &gt; tor(tort) &gt; distort"/>
        <s v="tr"/>
        <s v="tr &gt; trail"/>
        <s v="tr &gt; tray"/>
        <s v="trac"/>
        <s v="trac &gt; tract"/>
        <s v="trac &gt; tract &gt; distract"/>
        <s v="trans"/>
        <s v="turn(tern)"/>
        <s v="turn(tern) &gt; intern"/>
        <s v="turn"/>
        <s v="tri"/>
        <s v="tr &gt; tribute"/>
        <s v="tr &gt; tribute &gt; distribute"/>
        <s v="tter"/>
        <s v="sti"/>
        <s v="sti &gt; sting"/>
        <s v="sti &gt; sting &gt; distinguish"/>
        <s v="sti &gt; sting &gt; extinguish"/>
        <s v="sti &gt; sting &gt; extinct"/>
        <s v="sti(ste)"/>
        <s v="str(stra)"/>
        <s v="str(stra) &gt; strait(strate)"/>
        <s v="str(stra) &gt; strain"/>
        <s v="str"/>
        <s v="str(stre)"/>
        <s v="str(stre) &gt; stress"/>
        <s v="str(stri)"/>
        <s v="str(stri) &gt; strike"/>
        <s v="str(stri) &gt; street(stri)"/>
        <s v="str(stri) &gt; strict"/>
        <s v="tac"/>
        <s v="tac(tack)"/>
        <s v="tac &gt; tain"/>
        <s v="tac &gt; tain(tin)"/>
        <s v="tac &gt; tang"/>
        <s v="tain"/>
        <s v="tain(tin)"/>
        <s v="tain(tin) &gt; continue"/>
        <s v="tang"/>
        <s v="tang &gt; tangle"/>
        <s v="tang(tag)"/>
        <s v="tang(tam)"/>
        <s v="under"/>
        <s v="up"/>
        <s v="umble"/>
        <s v="umble &gt; rumble"/>
        <s v="uni"/>
        <s v="uni &gt; uniform"/>
        <s v="sub"/>
        <s v="suit"/>
        <s v="suit &gt; suitable"/>
        <s v="sult"/>
        <s v="sult(sault)"/>
        <s v="sum"/>
        <s v="sum &gt; summary"/>
        <s v="sume"/>
        <s v="sume &gt; assume"/>
        <s v="super(supre)"/>
        <s v="super"/>
        <s v="sur"/>
        <s v="sure"/>
        <s v="audi"/>
        <s v="vac"/>
        <s v="vac &gt; vacate"/>
        <s v="vade"/>
        <s v="van"/>
        <s v="van &gt; advance"/>
        <s v="van &gt; advance &gt; advantage"/>
        <s v="ven"/>
        <s v="ven &gt; venue"/>
        <s v="ven &gt; convene"/>
        <s v="vent"/>
        <s v="vent &gt; venture"/>
        <s v="vent &gt; prevent"/>
        <s v="vers"/>
        <s v="vers(verse)"/>
        <s v="vers(verse) &gt; adverse"/>
        <s v="vers(vert)"/>
        <s v="vers(vorce)"/>
        <s v="vert"/>
        <s v="vert &gt; convert"/>
        <s v="vid"/>
        <s v="vid &gt; provide"/>
        <s v="vid &gt; evident"/>
        <s v="vis"/>
        <s v="vis &gt; vision"/>
        <s v="vis &gt; visible"/>
        <s v="vis(vy)"/>
        <s v="vis(vy) &gt; envy"/>
        <s v="voc"/>
        <s v="voc &gt; vocation"/>
        <s v="voc &gt; voice"/>
        <s v="voc(voke)"/>
        <s v="volv"/>
        <s v="volv(volve)"/>
        <s v="volv(volu)"/>
        <s v="val"/>
        <s v="val(value)"/>
        <s v="val(value) &gt; valuable"/>
        <s v="val(vail)"/>
        <s v="val(vail) &gt; avail"/>
        <s v="vari"/>
        <s v="vari &gt; vary"/>
        <s v="vari &gt; vary &gt; variable"/>
        <s v="vic"/>
        <s v="vic(vict)"/>
        <s v="vic(vinc)"/>
        <s v="vit"/>
        <s v="vit &gt; vital"/>
        <s v="viv"/>
        <s v="win(wind)"/>
        <s v="win"/>
        <s v="w"/>
        <s v="w &gt; wing"/>
        <s v="whi"/>
        <s v="whi &gt; whisk"/>
        <s v="whi &gt; whirl(wirl)"/>
        <s v="whi(wh)"/>
        <s v="ward"/>
        <s v="with"/>
        <s v="with &gt; withdraw"/>
        <s v="wr"/>
        <s v="wr &gt; wrest"/>
        <s v="wr &gt; war"/>
        <s v="wr &gt; wor"/>
        <s v="wire"/>
        <s v="wr &gt; wor &gt; world"/>
        <s v="wr(wor)"/>
        <s v="war(wor)"/>
        <s v="sw"/>
        <s v="sw &gt; swan(swą)"/>
        <s v="ex"/>
        <s v="ex &gt; expert"/>
        <s v="ex &gt; exaggerate"/>
        <s v="ex &gt; exhaust"/>
        <s v="extra"/>
        <s v="extra(exter)"/>
        <s v="extra &gt; extreme"/>
        <s v="fix"/>
        <s v="sym"/>
        <s v="sym(syn)"/>
        <s v="sym(syn) &gt; synthesis"/>
        <s v="ze"/>
        <s v="ze &gt; maze"/>
        <s v="ze(zz)"/>
        <s v="zzle"/>
        <s v="zy"/>
        <s v="z"/>
      </sharedItems>
    </cacheField>
    <cacheField name="구분" numFmtId="0">
      <sharedItems containsNonDate="0" count="305">
        <s v="ball"/>
        <s v="bell"/>
        <s v="base"/>
        <s v="bl"/>
        <s v="bu"/>
        <s v="ban"/>
        <s v="band"/>
        <s v="bar"/>
        <s v="bat"/>
        <s v="bi"/>
        <s v="bio"/>
        <s v="b"/>
        <s v="br"/>
        <s v="ab"/>
        <s v="circ"/>
        <s v="circle"/>
        <s v="cab"/>
        <s v="can"/>
        <s v="cap"/>
        <s v="cept"/>
        <s v="cip"/>
        <s v="cup"/>
        <s v="car"/>
        <s v="cur"/>
        <s v="care"/>
        <s v="cave"/>
        <s v="cure"/>
        <s v="cause"/>
        <s v="cover"/>
        <s v="ceed(cess)"/>
        <s v="cid"/>
        <s v="ceive"/>
        <s v="cell"/>
        <s v="cel"/>
        <s v="cent"/>
        <s v="chief"/>
        <s v="cide"/>
        <s v="cite"/>
        <s v="cla"/>
        <s v="clar"/>
        <s v="clin(cli)"/>
        <s v="close"/>
        <s v="clude"/>
        <s v="cult"/>
        <s v="co"/>
        <s v="com"/>
        <s v="con"/>
        <s v="cor"/>
        <s v="cord"/>
        <s v="count"/>
        <s v="counter"/>
        <s v="cre"/>
        <s v="sc"/>
        <s v="rub"/>
        <s v="scend"/>
        <s v="script"/>
        <s v="date"/>
        <s v="day"/>
        <s v="deep"/>
        <s v="demo"/>
        <s v="den"/>
        <s v="dia"/>
        <s v="dict"/>
        <s v="dom"/>
        <s v="don"/>
        <s v="du"/>
        <s v="duc"/>
        <s v="dur"/>
        <s v="damn"/>
        <s v="de"/>
        <s v="di"/>
        <s v="dis"/>
        <s v="ear"/>
        <s v="en"/>
        <s v="ee"/>
        <s v="es"/>
        <s v="say"/>
        <s v="ev"/>
        <s v="fair"/>
        <s v="fame"/>
        <s v="fan"/>
        <s v="fend"/>
        <s v="fer"/>
        <s v="fl"/>
        <s v="flat"/>
        <s v="flect"/>
        <s v="flor"/>
        <s v="for"/>
        <s v="fore"/>
        <s v="fort"/>
        <s v="force"/>
        <s v="f"/>
        <s v="form"/>
        <s v="fac"/>
        <s v="firm"/>
        <s v="frag"/>
        <s v="front"/>
        <s v="fac(fact)"/>
        <s v="fect"/>
        <s v="face"/>
        <s v="fic"/>
        <s v="fy"/>
        <s v="fit"/>
        <s v="fund"/>
        <s v="fuse"/>
        <s v="gen"/>
        <s v="gest"/>
        <s v="gl"/>
        <s v="gn"/>
        <s v="gr"/>
        <s v="grad"/>
        <s v="grat"/>
        <s v="gree"/>
        <s v="grav"/>
        <s v="gu"/>
        <s v="have"/>
        <s v="habit"/>
        <s v="hand"/>
        <s v="har"/>
        <s v="heri"/>
        <s v="sh"/>
        <s v="wh"/>
        <s v="hi"/>
        <s v="in"/>
        <s v="inter"/>
        <s v="jet"/>
        <s v="ject"/>
        <s v="join"/>
        <s v="junct"/>
        <s v="ju"/>
        <s v="jud"/>
        <s v="just"/>
        <s v="ki"/>
        <s v="kn"/>
        <s v="sk"/>
        <s v="labor"/>
        <s v="log"/>
        <s v="logy"/>
        <s v="langu"/>
        <s v="leg"/>
        <s v="lev"/>
        <s v="light"/>
        <s v="loc"/>
        <s v="long"/>
        <s v="lay"/>
        <s v="lot"/>
        <s v="late"/>
        <s v="lect"/>
        <s v="lib"/>
        <s v="lide"/>
        <s v="low"/>
        <s v="sl"/>
        <s v="man"/>
        <s v="mand"/>
        <s v="med"/>
        <s v="mod(mid)"/>
        <s v="memo"/>
        <s v="mend"/>
        <s v="mini"/>
        <s v="mit"/>
        <s v="miss"/>
        <s v="mise"/>
        <s v="mot"/>
        <s v="main"/>
        <s v="maj"/>
        <s v="mag"/>
        <s v="minent"/>
        <s v="mount"/>
        <s v="nec"/>
        <s v="no"/>
        <s v="sn"/>
        <s v="nat"/>
        <s v="nov"/>
        <s v="note"/>
        <s v="nounce"/>
        <s v="nur"/>
        <s v="ob"/>
        <s v="oper"/>
        <s v="opt"/>
        <s v="ora"/>
        <s v="oral"/>
        <s v="ord"/>
        <s v="ori"/>
        <s v="out"/>
        <s v="over"/>
        <s v="pan"/>
        <s v="par"/>
        <s v="part"/>
        <s v="pass"/>
        <s v="path"/>
        <s v="pel"/>
        <s v="pend"/>
        <s v="per"/>
        <s v="pla"/>
        <s v="ple"/>
        <s v="pop"/>
        <s v="pub"/>
        <s v="port"/>
        <s v="pr"/>
        <s v="pre"/>
        <s v="prim"/>
        <s v="pric"/>
        <s v="priv"/>
        <s v="press"/>
        <s v="prise(pris)"/>
        <s v="spec"/>
        <s v="spir"/>
        <s v="pin"/>
        <s v="pose"/>
        <s v="put"/>
        <s v="qu"/>
        <s v="quire"/>
        <s v="squ"/>
        <s v="equ"/>
        <s v="rad"/>
        <s v="re"/>
        <s v="rect"/>
        <s v="ro"/>
        <s v="rupt"/>
        <s v="arm"/>
        <s v="se"/>
        <s v="secr"/>
        <s v="sit"/>
        <s v="sert"/>
        <s v="sent"/>
        <s v="serv"/>
        <s v="side"/>
        <s v="sim"/>
        <s v="selmbl"/>
        <s v="soci"/>
        <s v="solv"/>
        <s v="sens(sent)"/>
        <s v="sign"/>
        <s v="test"/>
        <s v="st"/>
        <s v="sist"/>
        <s v="stitute"/>
        <s v="struct"/>
        <s v="alt"/>
        <s v="art"/>
        <s v="v"/>
        <s v="tail"/>
        <s v="sale"/>
        <s v="tect"/>
        <s v="tend"/>
        <s v="tour"/>
        <s v="tr"/>
        <s v="trac"/>
        <s v="trans"/>
        <s v="turn"/>
        <s v="tri"/>
        <s v="tter"/>
        <s v="sti"/>
        <s v="str"/>
        <s v="tac"/>
        <s v="tain"/>
        <s v="tang"/>
        <s v="under"/>
        <s v="up"/>
        <s v="umble"/>
        <s v="uni"/>
        <s v="sub"/>
        <s v="suit"/>
        <s v="sult"/>
        <s v="sum"/>
        <s v="sume"/>
        <s v="super"/>
        <s v="sur"/>
        <s v="sure"/>
        <s v="audi"/>
        <s v="vac"/>
        <s v="vade"/>
        <s v="van"/>
        <s v="ven"/>
        <s v="vent"/>
        <s v="vers"/>
        <s v="vert"/>
        <s v="vid"/>
        <s v="vis"/>
        <s v="voc"/>
        <s v="volv"/>
        <s v="val"/>
        <s v="vari"/>
        <s v="vic"/>
        <s v="vit"/>
        <s v="viv"/>
        <s v="win"/>
        <s v="wing"/>
        <s v="whi"/>
        <s v="ward"/>
        <s v="with"/>
        <s v="wr"/>
        <s v="wire"/>
        <s v="w"/>
        <s v="war"/>
        <s v="sw"/>
        <s v="ex"/>
        <s v="extra"/>
        <s v="fix"/>
        <s v="sym"/>
        <s v="ze"/>
        <s v="ze(zz)"/>
        <s v="zzle"/>
        <s v="zy"/>
        <s v="z"/>
      </sharedItems>
    </cacheField>
    <cacheField name="발음" numFmtId="0">
      <sharedItems containsNonDate="0" containsBlank="1" count="2410">
        <s v="[bɔːl]"/>
        <s v="[bəlúːn]"/>
        <s v="[bel]"/>
        <s v="[béli]"/>
        <s v="[búlit]"/>
        <s v="[bʌlb]"/>
        <s v="[bʌlk]"/>
        <s v="[beis]"/>
        <s v="[béisik]"/>
        <s v="[béismənt]"/>
        <s v="[béisbɔ̀ːl]"/>
        <s v="[blaus, blauz]"/>
        <s v="[blout]"/>
        <s v="[blou]"/>
        <s v="[blóufìꭍ]"/>
        <s v="[blístər]"/>
        <s v="[bləːr]"/>
        <s v="[blaind]"/>
        <s v="[blʌf]"/>
        <s v="[bΛbl]"/>
        <s v="[bʌd]"/>
        <s v="[bΛdʒit]"/>
        <s v="[bʌn]"/>
        <s v="[bʌnʧ]"/>
        <s v="[bai]"/>
        <s v="[béri]"/>
        <s v="[bəːrp]"/>
        <s v="[bæn]"/>
        <s v="[bǽniʃ]"/>
        <s v="[bænd]"/>
        <s v="[bǽndit]"/>
        <s v="[hΛzbənd]"/>
        <s v="[əbǽndən]"/>
        <s v="[bǽndidʒ]"/>
        <s v="[baind]"/>
        <s v="[band]"/>
        <s v="[baund]"/>
        <s v="[báundəri]"/>
        <s v="[bΛndl]"/>
        <s v="[baːr]"/>
        <s v="[baˈrteˌndər]"/>
        <s v="[bάːrgən]"/>
        <s v="[baːrn]"/>
        <s v="[bǽrəl]"/>
        <s v="[bǽriər]"/>
        <s v="[bǽrəkèid, -′--']"/>
        <s v="[imbǽrəs]"/>
        <s v="[imbάːrgou]"/>
        <s v="[bǽrən]"/>
        <s v="[bæt]"/>
        <s v="[bǽtl]"/>
        <s v="[beit]"/>
        <s v="[əbéit]"/>
        <s v="[dibéit]"/>
        <s v="[biːt]"/>
        <s v="[báisikl]"/>
        <s v="[báiəs]"/>
        <s v="[ǽləbài]"/>
        <s v="[bailíŋgwəl]"/>
        <s v="[bainάkjulər, bə-]"/>
        <s v="[baisékt, -'-]"/>
        <s v="[baiάlədʒi]"/>
        <s v="[ӕntibaiάtik, -tai-]"/>
        <s v="[baiάgrəfi]"/>
        <s v="[bluːm]"/>
        <s v="[blæk]"/>
        <s v="[blæŋk]"/>
        <s v="[blǽŋkit]"/>
        <s v="[bliːʧ]"/>
        <s v="[bleid]"/>
        <s v="[bliːd]"/>
        <s v="[bleiz]"/>
        <s v="[əbléiz]"/>
        <s v="[blízərd]"/>
        <s v="[bles]"/>
        <s v="[blæst]"/>
        <s v="[blΛstər]"/>
        <s v="[bəːrst]"/>
        <s v="[blεər]"/>
        <s v="[bland]"/>
        <s v="[breik]"/>
        <s v="[brékfəst]"/>
        <s v="[bréikidʒ]"/>
        <s v="[breiˈkθruˌ]"/>
        <s v="[bróukər]"/>
        <s v="[brouʧ]"/>
        <s v="[briːʧ]"/>
        <s v="[brik]"/>
        <s v="[brisk]"/>
        <s v="[brítl]"/>
        <s v="[brikét]"/>
        <s v="[brɔːd]"/>
        <s v="[bɔːrd]"/>
        <s v="[əbɔ́ːrd]"/>
        <s v="[bredθ, bretθ]"/>
        <s v="[breθ]"/>
        <s v="[bɔil]"/>
        <s v="[brɔil]"/>
        <s v="[briːf]"/>
        <s v="[əbríːvièit]"/>
        <s v="[əbrɔ́ːd]"/>
        <s v="[éibl]"/>
        <s v="[əbíləti]"/>
        <s v="[inéibl]"/>
        <s v="[əbάliʃ]"/>
        <s v="[æbnɔ́ːrməl]"/>
        <s v="[əbɔ́ːrt]"/>
        <s v="[əbjúːz]"/>
        <s v="[æbsə́ːrd, æbzə́ːrd]"/>
        <s v="[æbsɔ́ːrb, æbzɔ́ːrb]"/>
        <s v="[ǽbsəlùːt]"/>
        <s v="[æbzάlv, æbsάlv]"/>
        <s v="[ǽbsənt]"/>
        <s v="[əbrΛpt]"/>
        <s v="[sə́ːrkl]"/>
        <s v="[insə́ːrkl]"/>
        <s v="[sə́ːrkjulèit]"/>
        <s v="[sə́ːrkəs]"/>
        <s v="[sə́ːrkəmstӕns]"/>
        <s v="[sáikl]"/>
        <s v="[riːsáikl]"/>
        <s v="[sáikloun]"/>
        <s v="[kæb]"/>
        <s v="[kǽbin]"/>
        <s v="[kǽbənit]"/>
        <s v="[kəbǽnjə]"/>
        <s v="[kjúːbik]"/>
        <s v="[kjúːbikl]"/>
        <s v="[kən; kǽn]"/>
        <s v="[kein]"/>
        <s v="[kǽndi]"/>
        <s v="[kǽnən]"/>
        <s v="[kǽnjən]"/>
        <s v="[kənǽl]"/>
        <s v="[ʧǽnl]"/>
        <s v="[kæp]"/>
        <s v="[kǽpsəl]"/>
        <s v="[kəpǽsəti]"/>
        <s v="[kəpéiʃəs]"/>
        <s v="[kéipəbl]"/>
        <s v="[kǽptən]"/>
        <s v="[kǽpətl]"/>
        <s v="[keip]"/>
        <s v="[iskéip, es-]"/>
        <s v="[hǽndikӕp]"/>
        <s v="[kǽpsaiz]"/>
        <s v="[kǽpʧər]"/>
        <s v="[kǽptiv]"/>
        <s v="[kǽpʃən]"/>
        <s v="[príːsept]"/>
        <s v="[kάnsept]"/>
        <s v="[miskənseˈpʃən]"/>
        <s v="[səséptəbl]"/>
        <s v="[æksépt]"/>
        <s v="[risépʃən]"/>
        <s v="[risépʃənist]"/>
        <s v="[risíːt]"/>
        <s v="[iksépt]"/>
        <s v="[iksépʃən]"/>
        <s v="[iksépʃənl]"/>
        <s v="[éksəːrpt]"/>
        <s v="[disépʃən]"/>
        <s v="[ìntərsépt]"/>
        <s v="[résəpi]"/>
        <s v="[æntísəpèit]"/>
        <s v="[disáipl]"/>
        <s v="[dísəplin]"/>
        <s v="[prisípitèit]"/>
        <s v="[prínsəpəl]"/>
        <s v="[risíprəkəl]"/>
        <s v="[prínsəpl]"/>
        <s v="[paːrtísəpèit]"/>
        <s v="[άkjupài]"/>
        <s v="[priaˈkjəpaiˌ]"/>
        <s v="[priaˈkjəpaiˌd]"/>
        <s v="[kaːr]"/>
        <s v="[kάːrgou]"/>
        <s v="[kάːrpəntər]"/>
        <s v="[kaːrt]"/>
        <s v="[kάːrtn]"/>
        <s v="[kǽri]"/>
        <s v="[kǽriər]"/>
        <s v="[kǽridʒ]"/>
        <s v="[kəríər]"/>
        <s v="[kərízmə]"/>
        <s v="[kaːrv]"/>
        <s v="[ʧaːrdʒ]"/>
        <s v="[disʧάːrdʒ]"/>
        <s v="[kəːrv]"/>
        <s v="[kəːrl]"/>
        <s v="[kə́ːrənt]"/>
        <s v="[kə́ːrənsi]"/>
        <s v="[kənkə́ːrənt]"/>
        <s v="[kɔːrs]"/>
        <s v="[inkə́ːr]"/>
        <s v="[inkə́ːrʒən]"/>
        <s v="[əkə́ːr]"/>
        <s v="[rikə́ːr]"/>
        <s v="[kəːrb]"/>
        <s v="[kə́ːrfjuː]"/>
        <s v="[kə́ːrtn]"/>
        <s v="[ikskə́ːrʒən]"/>
        <s v="[kənkə́ːr]"/>
        <s v="[kεər]"/>
        <s v="[kέərfəl]"/>
        <s v="[kέərlis]"/>
        <s v="[prikέəriəs]"/>
        <s v="[ʧǽrəti]"/>
        <s v="[ʧériʃ]"/>
        <s v="[ʧáildiʃ]"/>
        <s v="[kjuər]"/>
        <s v="[kjúərətiv]"/>
        <s v="[kjuəréitər]"/>
        <s v="[mǽnəkjùər]"/>
        <s v="[sikjúər]"/>
        <s v="[ìnsikjúər]"/>
        <s v="[réskjuː]"/>
        <s v="[əbskjúər]"/>
        <s v="[ǽkjurət]"/>
        <s v="[inǽkjərit]"/>
        <s v="[kɔːz]"/>
        <s v="[kɔ́ːʃən]"/>
        <s v="[kɔ́ːʃəs]"/>
        <s v="[prikɔ́ːʃən]"/>
        <s v="[ikskjúːz]"/>
        <s v="[əkjúːz]"/>
        <s v="[kΛvər]"/>
        <s v="[kΛvəridʒ]"/>
        <s v="[diskΛvər]"/>
        <s v="[rikΛvər]"/>
        <s v="[səksíːd]"/>
        <s v="[səksés]"/>
        <s v="[səkséʃən]"/>
        <s v="[prəsíːd]"/>
        <s v="[prάses]"/>
        <s v="[prəsíːdʒər]"/>
        <s v="[prisíːd]"/>
        <s v="[iksíːd]"/>
        <s v="[iksés]"/>
        <s v="[iksésiv]"/>
        <s v="[risíːd]"/>
        <s v="[risés, ríːsəs]"/>
        <s v="[riséʃən]"/>
        <s v="[ӕntəsíːdnt]"/>
        <s v="[ǽnsestər, -tris]"/>
        <s v="[ǽkses]"/>
        <s v="[æksésəbl, əksésəbl]"/>
        <s v="[ìnəksésəbl]"/>
        <s v="[æksésəri, əksésəri]"/>
        <s v="[nésəsèri]"/>
        <s v="[nəsésətèit]"/>
        <s v="[prédəsèsər]"/>
        <s v="[siːs]"/>
        <s v="[síːslis]"/>
        <s v="[disíːs]"/>
        <s v="[ǽksidənt]"/>
        <s v="[ӕksədéntl]"/>
        <s v="[ínsədənt]"/>
        <s v="[ìnsədéntl]"/>
        <s v="[risíːv]"/>
        <s v="[pərsíːv]"/>
        <s v="[kənsíːv]"/>
        <s v="[disíːv]"/>
        <s v="[disíːtfəl]"/>
        <s v="[sel]"/>
        <s v="[sélər]"/>
        <s v="[kənsíːl]"/>
        <s v="[síːliŋ]"/>
        <s v="[səlésʧəl]"/>
        <s v="[séləbrèit]"/>
        <s v="[səlébrəti]"/>
        <s v="[iksél]"/>
        <s v="[éksələnt]"/>
        <s v="[æksélərèit, əksélərèit]"/>
        <s v="[sent]"/>
        <s v="[seˈntəmiˌtər]"/>
        <s v="[sénʧəri]"/>
        <s v="[ínəsənt]"/>
        <s v="[ínəsəns]"/>
        <s v="[díːsnt]"/>
        <s v="[tʃiːf]"/>
        <s v="[ʃef]"/>
        <s v="[mísʧif]"/>
        <s v="[əʧíːv]"/>
        <s v="[hǽŋkərʧif]"/>
        <s v="[disáid]"/>
        <s v="[disáidid]"/>
        <s v="[disáisiv]"/>
        <s v="[sjúːəsàid]"/>
        <s v="[inséktəsàid]"/>
        <s v="[péstisàid]"/>
        <s v="[sízərz]"/>
        <s v="[kənsáis]"/>
        <s v="[prisáis]"/>
        <s v="[éksərsàiz]"/>
        <s v="[sait]"/>
        <s v="[risáitl]"/>
        <s v="[insáit]"/>
        <s v="[iksáit]"/>
        <s v="[klei]"/>
        <s v="[klæn]"/>
        <s v="[klɔː]"/>
        <s v="[klæʃ]"/>
        <s v="[kræʃ]"/>
        <s v="[kliːn]"/>
        <s v="[klenz]"/>
        <s v="[klǽrəfài]"/>
        <s v="[diklέər]"/>
        <s v="[dèkləréiʃən]"/>
        <s v="[klip]"/>
        <s v="[kliŋ]"/>
        <s v="[klʌʧ]"/>
        <s v="[klínik]"/>
        <s v="[kláiənt]"/>
        <s v="[klinʧ]"/>
        <s v="[inkláin]"/>
        <s v="[inkláind]"/>
        <s v="[dikláin]"/>
        <s v="[klouz]"/>
        <s v="[klάzit]"/>
        <s v="[disklóuz]"/>
        <s v="[inklóuz]"/>
        <s v="[inklóuʒər]"/>
        <s v="[inklúːd]"/>
        <s v="[kənklúːd]"/>
        <s v="[kənklúːsiv]"/>
        <s v="[priklúːd]"/>
        <s v="[iksklúːd]"/>
        <s v="[iksklúːʒən]"/>
        <s v="[iksklúːsiv]"/>
        <s v="[iksklúːsivli]"/>
        <s v="[siklúːdid]"/>
        <s v="[klaud]"/>
        <s v="[kΛlʧər]"/>
        <s v="[kΛltəvèit]"/>
        <s v="[ǽgrəkΛlʧər]"/>
        <s v="[kòuedʒəkéiʃən]"/>
        <s v="[kouʧ]"/>
        <s v="[kάlidʒ]"/>
        <s v="[kóuwə̀ːrkər]"/>
        <s v="[kΛzn]"/>
        <s v="[kouhíər]"/>
        <s v="[kouhíərənt]"/>
        <s v="[ìnkouhíərənt]"/>
        <s v="[kouhíːʒən]"/>
        <s v="[koud]"/>
        <s v="[kάdəfài]"/>
        <s v="[kɔil]"/>
        <s v="[kΛvit]"/>
        <s v="[kάmən]"/>
        <s v="[kəmjúːnəkèit]"/>
        <s v="[kəmjúːnəti]"/>
        <s v="[kΛmpəni]"/>
        <s v="[kəmpjúːtər]"/>
        <s v="[kəmbáin]"/>
        <s v="[kəméns]"/>
        <s v="[kəmpíːt]"/>
        <s v="[kάməːrs]"/>
        <s v="[kəmpέər]"/>
        <s v="[kάmpənsèit]"/>
        <s v="[kəmάdəti]"/>
        <s v="[kάnsəːrt｜kɔ́nsət]"/>
        <s v="[kənsə́ːrn]"/>
        <s v="[kəntróul]"/>
        <s v="[kάnkriːt, --']"/>
        <s v="[kάntent]"/>
        <s v="[kənsάlədèit]"/>
        <s v="[kɔːr]"/>
        <s v="[kɔ́ːrdʒəl]"/>
        <s v="[kɔ́ːrdʒəli]"/>
        <s v="[kə́ːridʒ]"/>
        <s v="[inkə́ːridʒ]"/>
        <s v="[diskə́ːridʒ]"/>
        <s v="[kɔːrd]"/>
        <s v="[kάnkɔːrd]"/>
        <s v="[əkɔ́ːrd]"/>
        <s v="[rikɔ́ːrd]"/>
        <s v="[kaunt]"/>
        <s v="[əkáunt]"/>
        <s v="[əkáuntənt]"/>
        <s v="[dískaunt, --´]"/>
        <s v="[kΛntri]"/>
        <s v="[káuntər]"/>
        <s v="[káuntərblou]"/>
        <s v="[káuntərpὰːrt]"/>
        <s v="[inkáuntər]"/>
        <s v="[kάntreri]"/>
        <s v="[kὰntrədíkt]"/>
        <s v="[kriéit]"/>
        <s v="[kriéitər]"/>
        <s v="[kriéitiv]"/>
        <s v="[rèkriéiʃən]"/>
        <s v="[diskríːt]"/>
        <s v="[inkríːs]"/>
        <s v="[ínkrəmənt]"/>
        <s v="[dikríːs]"/>
        <s v="[ikskríːt]"/>
        <s v="[kruː]"/>
        <s v="[rikrúːt]"/>
        <s v="[krésnt]"/>
        <s v="[kræft]"/>
        <s v="[krǽftsmən]"/>
        <s v="[eˈrkræˌft]"/>
        <s v="[skriːn]"/>
        <s v="[siːn]"/>
        <s v="[skɔːr]"/>
        <s v="[skédʒuːl]"/>
        <s v="[skræʧ]"/>
        <s v="[skriːm]"/>
        <s v="[skræp]"/>
        <s v="[skreip]"/>
        <s v="[skáiskrèipər]"/>
        <s v="[skrɔːl]"/>
        <s v="[skaːr]"/>
        <s v="[skάːrlit]"/>
        <s v="[skæn]"/>
        <s v="[skǽtər]"/>
        <s v="[skrúːtəni]"/>
        <s v="[skrúːtənàiz]"/>
        <s v="[skrʌb]"/>
        <s v="[rʌb]"/>
        <s v="[rΛbər]"/>
        <s v="[rΛbiʃ]"/>
        <s v="[skɔːrʧ]"/>
        <s v="[skeil]"/>
        <s v="[éskəlèit]"/>
        <s v="[skroul]"/>
        <s v="[skΛlpʧər]"/>
        <s v="[əsénd]"/>
        <s v="[disénd]"/>
        <s v="[disént]"/>
        <s v="[diséndənt]"/>
        <s v="[skript]"/>
        <s v="[skrípʧər]"/>
        <s v="[mǽnjuskrìpt]"/>
        <s v="[póustskrìpt]"/>
        <s v="[inkrípt]"/>
        <s v="[skraib]"/>
        <s v="[skríbl]"/>
        <s v="[priskráib]"/>
        <s v="[diskráib]"/>
        <s v="[səbskráib]"/>
        <s v="[inskráib]"/>
        <s v="[əskráib]"/>
        <s v="[deit]"/>
        <s v="[àutdéitid]"/>
        <m/>
        <s v="[dei]"/>
        <s v="[dáiəri]"/>
        <s v="[dέəri]"/>
        <s v="[dɔːn]"/>
        <s v="[deiz]"/>
        <s v="[dízi]"/>
        <s v="[diːp]"/>
        <s v="[depθ]"/>
        <s v="[dip]"/>
        <s v="[démənstrèit]"/>
        <s v="[dimάkrəsi]"/>
        <s v="[endémik]"/>
        <s v="[èpədémik]"/>
        <s v="[den]"/>
        <s v="[dent]"/>
        <s v="[déntist]"/>
        <s v="[dens]"/>
        <s v="[dénsli]"/>
        <s v="[dénsəti]"/>
        <s v="[kəndéns]"/>
        <s v="[dáiəmənd]"/>
        <s v="[dáiəl]"/>
        <s v="[daiǽmətər]"/>
        <s v="[dàiəbíːtis, -tiːz]"/>
        <s v="[dáiəlèkt]"/>
        <s v="[dáiəgnòus -nòuz]"/>
        <s v="[díkʃən]"/>
        <s v="[díkʃənèri]"/>
        <s v="[díkteit, --´｜-´-]"/>
        <s v="[díkteitər]"/>
        <s v="[ǽdikt]"/>
        <s v="[ìndikéiʃən]"/>
        <s v="[indíkətiv]"/>
        <s v="[kὰntrədíkʃən]"/>
        <s v="[kὰntrədíktəri]"/>
        <s v="[indáit]"/>
        <s v="[pǽrədὰks]"/>
        <s v="[və́ːrdikt]"/>
        <s v="[dédikèit]"/>
        <s v="[dèdikéiʃən]"/>
        <s v="[pridíkt]"/>
        <s v="[kəndíʃən]"/>
        <s v="[dάktər]"/>
        <s v="[dάktrin]"/>
        <s v="[dάkjumənt｜dɔ́k-]"/>
        <s v="[dάkjuməntid]"/>
        <s v="[dὰkjuméntəri]"/>
        <s v="[doum]"/>
        <s v="[douméin]"/>
        <s v="[dάmənèit]"/>
        <s v="[dάmənəns]"/>
        <s v="[dəméstik]"/>
        <s v="[ǽbdəmən, æbdóumən]"/>
        <s v="[dɔ́ːrmənt]"/>
        <s v="[dɔ́ːrmətɔ̀ːri]"/>
        <s v="[dóuneit]"/>
        <s v="[dounéiʃən]"/>
        <s v="[dóunər]"/>
        <s v="[kəndóun]"/>
        <s v="[pάːrdn]"/>
        <s v="[indáu]"/>
        <s v="[dʌk]"/>
        <s v="[dʌŋk ʃat]"/>
        <s v="[dʌmp]"/>
        <s v="[dʌmpd]"/>
        <s v="[dʌŋ]"/>
        <s v="[dΛndʒən]"/>
        <s v="[dʌb]"/>
        <s v="[djuːk]"/>
        <s v="[djuː]"/>
        <s v="[djúːti]"/>
        <s v="[dʌsk]"/>
        <s v="[dʌst]"/>
        <s v="[dʌkt]"/>
        <s v="[kάndʌkt｜kɔ́n-]"/>
        <s v="[miskaˈndəkt]"/>
        <s v="[indΛkt]"/>
        <s v="[didΛkt]"/>
        <s v="[æbdΛkt]"/>
        <s v="[prədjúːs｜-djúːs]"/>
        <s v="[riˌprəduˈs]"/>
        <s v="[indjúːs]"/>
        <s v="[ìntrədjúːs]"/>
        <s v="[idjúːs]"/>
        <s v="[édʒukèit]"/>
        <s v="[didjúːs]"/>
        <s v="[ridjúːs]"/>
        <s v="[ridΛkʃən]"/>
        <s v="[djúərəbl]"/>
        <s v="[indjúər]"/>
        <s v="[dæm]"/>
        <s v="[dǽmidʒ]"/>
        <s v="[kəndém]"/>
        <s v="[diprés]"/>
        <s v="[dipréʃən]"/>
        <s v="[diər]"/>
        <s v="[délikət]"/>
        <s v="[dizáiər]"/>
        <s v="[diváuər]"/>
        <s v="[ditə́ːr]"/>
        <s v="[ditə́ːrənt]"/>
        <s v="[desk]"/>
        <s v="[dek]"/>
        <s v="[def]"/>
        <s v="[dinái]"/>
        <s v="[difái]"/>
        <s v="[dipréiv]"/>
        <s v="[distrɔ́i]"/>
        <s v="[dimάliʃ]"/>
        <s v="[dəbríː]"/>
        <s v="[diːm]"/>
        <s v="[ridíːm]"/>
        <s v="[ridémpʃən]"/>
        <s v="[diváut]"/>
        <s v="[delv]"/>
        <s v="[dipάːrt]"/>
        <s v="[diléi]"/>
        <s v="[dáiəlɔ̀ːg, dáiəlὰg]"/>
        <s v="[diváid]"/>
        <s v="[divíʒən]"/>
        <s v="[dívədènd]"/>
        <s v="[diváis]"/>
        <s v="[ìndəvídʒuəl]"/>
        <s v="[dilémə]"/>
        <s v="[dailéit]"/>
        <s v="[divɔ́ːrs]"/>
        <s v="[displéi]"/>
        <s v="[diskrépənsi]"/>
        <s v="[disə́ːrnəbl, -zə́ːrn-]"/>
        <s v="[dìskəntént]"/>
        <s v="[disláik]"/>
        <s v="[diséibl]"/>
        <s v="[dispə́ːrs]"/>
        <s v="[dispə́ːrʒən]"/>
        <s v="[disméi]"/>
        <s v="[dʌm]"/>
        <s v="[dΛmi]"/>
        <s v="[dΛmdΛm]"/>
        <s v="[dʌl]"/>
        <s v="[djúːbiəs]"/>
        <s v="[daut]"/>
        <s v="[iər]"/>
        <s v="[ə́ːrli]"/>
        <s v="[hiər]"/>
        <s v="[éntər]"/>
        <s v="[éntri]"/>
        <s v="[éntrəns]"/>
        <s v="[éntəti]"/>
        <s v="[intáis]"/>
        <s v="[ingéidʒ]"/>
        <s v="[ingéidʒmənt]"/>
        <s v="[intáitl]"/>
        <s v="[inváiərən]"/>
        <s v="[inváiərənmənt]"/>
        <s v="[indévər]"/>
        <s v="[inθúːziӕzm]"/>
        <s v="[inθùːziǽstik]"/>
        <s v="[isénʃəl]"/>
        <s v="[isénʃəli]"/>
        <s v="[inhǽns]"/>
        <s v="[inΛf]"/>
        <s v="[indéindʒər]"/>
        <s v="[inróul]"/>
        <s v="[enrouˈlmənt]"/>
        <s v="[siː]"/>
        <s v="[siːk]"/>
        <s v="[piːk]"/>
        <s v="[sliːp]"/>
        <s v="[slíːpi]"/>
        <s v="[siːp]"/>
        <s v="[kiːp]"/>
        <s v="[wiːp]"/>
        <s v="[wiːk]"/>
        <s v="[fiːl]"/>
        <s v="[hiːl]"/>
        <s v="[hiːd]"/>
        <s v="[griːd]"/>
        <s v="[kiːn]"/>
        <s v="[ései]"/>
        <s v="[sei]"/>
        <s v="[éskɔːrt]"/>
        <s v="[istǽbliʃ]"/>
        <s v="[évər]"/>
        <s v="[fəreˈvər]"/>
        <s v="[évri]"/>
        <s v="[íːvən]"/>
        <s v="[íːvənli]"/>
        <s v="[əniˈvən]"/>
        <s v="[íːvniŋ]"/>
        <s v="[íːvəl]"/>
        <s v="[dévl]"/>
        <s v="[inévətəbl]"/>
        <s v="[fεər]"/>
        <s v="[dʒab fεər]"/>
        <s v="[əfέər]"/>
        <s v="[fέəri]"/>
        <s v="[fέəri teil]"/>
        <s v="[feim]"/>
        <s v="[féiməs]"/>
        <s v="[fæn]"/>
        <s v="[fǽnsi]"/>
        <s v="[fǽntəsi]"/>
        <s v="[ínfənsi]"/>
        <s v="[fend]"/>
        <s v="[fens]"/>
        <s v="[difénd]"/>
        <s v="[əfénd]"/>
        <s v="[əfénsiv]"/>
        <s v="[féri]"/>
        <s v="[sΛfər]"/>
        <s v="[fə́ːrtl]"/>
        <s v="[fə́ːrtəlàiz]"/>
        <s v="[ɔ́ːfər]"/>
        <s v="[kənfə́ːr]"/>
        <s v="[kάnfərəns]"/>
        <s v="[dífər]"/>
        <s v="[dífərənt]"/>
        <s v="[dìfərénʃièit]"/>
        <s v="[difə́ːr]"/>
        <s v="[défərəns]"/>
        <s v="[réfərəns]"/>
        <s v="[infə́ːr]"/>
        <s v="[ínfərəns]"/>
        <s v="[prifə́ːr]"/>
        <s v="[trænsfə́ːr, -´-｜trænsfə́ː]"/>
        <s v="[flai]"/>
        <s v="[flait]"/>
        <s v="[flæg]"/>
        <s v="[fleik]"/>
        <s v="[flímzi]"/>
        <s v="[fluːt]"/>
        <s v="[flΛtər]"/>
        <s v="[flʌf]"/>
        <s v="[fliː]"/>
        <s v="[fliːt]"/>
        <s v="[fliŋ]"/>
        <s v="[flip]"/>
        <s v="[flæp]"/>
        <s v="[flik]"/>
        <s v="[flΛkʧuèit]"/>
        <s v="[flΛkʧuéiʃən]"/>
        <s v="[flʌmp]"/>
        <s v="[flʌŋk]"/>
        <s v="[flɔːr]"/>
        <s v="[flʌd]"/>
        <s v="[flúːid]"/>
        <s v="[flʌks]"/>
        <s v="[ínflΛks]"/>
        <s v="[fleks]"/>
        <s v="[fléksəbl]"/>
        <s v="[flʌʃ]"/>
        <s v="[flúːənt]"/>
        <s v="[ínfluəns]"/>
        <s v="[ìnfluénʃəl]"/>
        <s v="[ìnfluénzə]"/>
        <s v="[flout]"/>
        <s v="[fleʃ]"/>
        <s v="[fléivər]"/>
        <s v="[flæt]"/>
        <s v="[flæt taiər]"/>
        <s v="[flǽtər]"/>
        <s v="[difléit]"/>
        <s v="[infléit]"/>
        <s v="[infléiʃən]"/>
        <s v="[riflékt]"/>
        <s v="[kənflíkt]"/>
        <s v="[inflíkt]"/>
        <s v="[əflíkt]"/>
        <s v="[əflíkʃən]"/>
        <s v="[fláuər]"/>
        <s v="[flɔ́ːrə]"/>
        <s v="[flɔ́ːrist]"/>
        <s v="[flə́ːriʃ]"/>
        <s v="[fɔ́ːrwərd]"/>
        <s v="[fɔːrθ]"/>
        <s v="[əfɔ́ːrd]"/>
        <s v="[əfɔ́ːrdəbl]"/>
        <s v="[fərgív]"/>
        <s v="[fərgét]"/>
        <s v="[fɔːrdʒ]"/>
        <s v="[fɔːrk]"/>
        <s v="[fouk]"/>
        <s v="[fɔˈrfaˌðər]"/>
        <s v="[fɔrsiˈ]"/>
        <s v="[fɔːrsíːəbl]"/>
        <s v="[əˌnfɔrsiˈn]"/>
        <s v="[fɔˈrkæˌst]"/>
        <s v="[fɔ́ːrist]"/>
        <s v="[fɔˈrmouˌst]"/>
        <s v="[fɔ́ːrmən]"/>
        <s v="[fɔːrάːrm]"/>
        <s v="[fɔˈrfiˌŋgər]"/>
        <s v="[fɔ́ːrid, fɔ́ːrhèd]"/>
        <s v="[fɔːrt]"/>
        <s v="[fɔ́ːrtəfài]"/>
        <s v="[fɔ́ːrtris]"/>
        <s v="[fɔ́ːrʧən]"/>
        <s v="[misfɔˈrʧən]"/>
        <s v="[fɔ́ːrʧənət]"/>
        <s v="[kΛmfərt]"/>
        <s v="[éfərt]"/>
        <s v="[fɔːrs]"/>
        <s v="[ɛər fɔːrs]"/>
        <s v="[infɔ́ːrs]"/>
        <s v="[rìːinfɔ́ːrs]"/>
        <s v="[rìːinfɔ́ːrsmənt]"/>
        <s v="[fɔːrm]"/>
        <s v="[foum]"/>
        <s v="[fɔ́ːrməl]"/>
        <s v="[fɔːrméiʃən]"/>
        <s v="[fɔ́ːrmjulə]"/>
        <s v="[difɔ́ːrm]"/>
        <s v="[infɔ́ːrm]"/>
        <s v="[ìnfərméiʃən]"/>
        <s v="[infɔ́ːrmətiv]"/>
        <s v="[kənfɔ́ːrm]"/>
        <s v="[kənfɔ́ːrməti]"/>
        <s v="[rifɔ́ːrm]"/>
        <s v="[pərfɔ́ːrm]"/>
        <s v="[pərfɔ́ːrməns]"/>
        <s v="[júːnəfɔ̀ːrm]"/>
        <s v="[fəːrm]"/>
        <s v="[əfə́ːrm]"/>
        <s v="[kənfə́ːrm]"/>
        <s v="[rìːkənfə́ːrm]"/>
        <s v="[infə́ːrm]"/>
        <s v="[frǽdʒəl]"/>
        <s v="[frǽgmənt]"/>
        <s v="[frǽgməntèri]"/>
        <s v="[fréigrəns]"/>
        <s v="[frʌnt]"/>
        <s v="[frʌntíər]"/>
        <s v="[fɔˈrfrəˌnt]"/>
        <s v="[kənfrΛnt]"/>
        <s v="[əfrΛnt]"/>
        <s v="[fækt]"/>
        <s v="[fǽktər]"/>
        <s v="[fǽktəri]"/>
        <s v="[mӕnjufǽkʧər]"/>
        <s v="[mӕnjufǽkʧərər]"/>
        <s v="[fəsíləti]"/>
        <s v="[fəsílətèit]"/>
        <s v="[fæksíməli]"/>
        <s v="[fǽkəlti]"/>
        <s v="[pə́ːrfikt]"/>
        <s v="[infékt]"/>
        <s v="[infékʃəs]"/>
        <s v="[díːfekt , difékt]"/>
        <s v="[diféktiv]"/>
        <s v="[əfékt]"/>
        <s v="[əfékʃən]"/>
        <s v="[ifékt]"/>
        <s v="[iféktivli]"/>
        <s v="[ìniféktiv]"/>
        <s v="[ifíʃənt]"/>
        <s v="[feis]"/>
        <s v="[fǽsit]"/>
        <s v="[sə́ːrfis]"/>
        <s v="[préfis]"/>
        <s v="[iˈntərfeiˌs]"/>
        <s v="[iféis]"/>
        <s v="[fíkʃən]"/>
        <s v="[ɔ́ːfis]"/>
        <s v="[ɔ́ːfisər]"/>
        <s v="[défəsit]"/>
        <s v="[difíʃənt]"/>
        <s v="[ὰːrtəfíʃəl]"/>
        <s v="[sùːpərfíʃəl]"/>
        <s v="[səfíʃənt]"/>
        <s v="[prəfíʃənt]"/>
        <s v="[dífikΛlt]"/>
        <s v="[trǽfik]"/>
        <s v="[sərtífikeɪt]"/>
        <s v="[kwάləfài]"/>
        <s v="[diskwάləfàid]"/>
        <s v="[sǽtisfài]"/>
        <s v="[sӕtisfǽkʃən]"/>
        <s v="[dìssætisfǽkʃən]"/>
        <s v="[mǽgnəfài]"/>
        <s v="[fit]"/>
        <s v="[auˈtfiˌt]"/>
        <s v="[bénəfit]"/>
        <s v="[prάfit]"/>
        <s v="[fʌnd]"/>
        <s v="[fΛndrèizər]"/>
        <s v="[rifΛnd]"/>
        <s v="[fΛndəméntl]"/>
        <s v="[fáundər]"/>
        <s v="[faundéiʃən]"/>
        <s v="[prəfáund]"/>
        <s v="[fáuntən]"/>
        <s v="[fjuːz]"/>
        <s v="[fjúːʒən]"/>
        <s v="[infjúːz]"/>
        <s v="[difjúːz]"/>
        <s v="[kənfjúːz]"/>
        <s v="[rifjúːz]"/>
        <s v="[dʒiːn]"/>
        <s v="[dʒíːnoum｜-nam｜-nɔm]"/>
        <s v="[dʒənétik, -ikəl]"/>
        <s v="[dʒénərèit]"/>
        <s v="[didʒénərèit]"/>
        <s v="[dʒénərèitər]"/>
        <s v="[dʒènəréiʃən]"/>
        <s v="[ʒάːnrə; F. ʒαːr]"/>
        <s v="[dʒénərəl]"/>
        <s v="[dʒénərəs]"/>
        <s v="[dʒéntl]"/>
        <s v="[dʒéntlmən]"/>
        <s v="[dʒíːnjəl]"/>
        <s v="[kəndʒíːnjəl]"/>
        <s v="[dʒénəsis]"/>
        <s v="[dʒíːnjəs]"/>
        <s v="[indʒíːnjəs]"/>
        <s v="[dʒénjuin]"/>
        <s v="[kəndʒénətl]"/>
        <s v="[dʒéndər]"/>
        <s v="[ədʒéndə]"/>
        <s v="[éndʒin]"/>
        <s v="[èndʒiníər]"/>
        <s v="[dʒésʧər]"/>
        <s v="[səgdʒést]"/>
        <s v="[kəndʒést]"/>
        <s v="[kəndʒésʧən]"/>
        <s v="[didʒést, dai-]"/>
        <s v="[rédʒistər]"/>
        <s v="[glæs]"/>
        <s v="[glas]"/>
        <s v="[glítər]"/>
        <s v="[glou]"/>
        <s v="[glɔ́ːri]"/>
        <s v="[glæd]"/>
        <s v="[gliːm]"/>
        <s v="[glæns]"/>
        <s v="[glεər]"/>
        <s v="[dàiəgnóusis]"/>
        <s v="[kάgnitiv]"/>
        <s v="[prégnənt]"/>
        <s v="[rékəgnàiz]"/>
        <s v="[ignɔ́ːr]"/>
        <s v="[grin]"/>
        <s v="[grou]"/>
        <s v="[grouθ]"/>
        <s v="[grein]"/>
        <s v="[graind]"/>
        <s v="[græs]"/>
        <s v="[gréiziŋ]"/>
        <s v="[gruːp]"/>
        <s v="[griːt]"/>
        <s v="[grΛmbl]"/>
        <s v="[graul]"/>
        <s v="[groun]"/>
        <s v="[griːf]"/>
        <s v="[griːv]"/>
        <s v="[greid]"/>
        <s v="[grǽdʒuəl]"/>
        <s v="[grǽdʒuəli]"/>
        <s v="[grǽdʒuət]"/>
        <s v="[əˌndərgræˈʤəwət]"/>
        <s v="[ingríːdiənt]"/>
        <s v="[greit]"/>
        <s v="[kəngrǽʧulèit]"/>
        <s v="[gréitfəl]"/>
        <s v="[grǽtəfài]"/>
        <s v="[grǽtətjùːd]"/>
        <s v="[əgríː]"/>
        <s v="[əgríːmənt]"/>
        <s v="[dìsəgríːmənt]"/>
        <s v="[digríː]"/>
        <s v="[ǽgrigət]"/>
        <s v="[ségrigèit]"/>
        <s v="[kάŋgrigèit｜kɔ́ŋ-]"/>
        <s v="[kάŋgris｜kɔ́ŋgres]"/>
        <s v="[prάgres｜próu-]"/>
        <s v="[prəgrésiv]"/>
        <s v="[əgrésiv]"/>
        <s v="[greiv]"/>
        <s v="[gréivli]"/>
        <s v="[grǽvəl]"/>
        <s v="[ingréiv]"/>
        <s v="[ǽgrəvèit]"/>
        <s v="[gaid]"/>
        <s v="[gáidlàin]"/>
        <s v="[gáidns]"/>
        <s v="[gaːrd]"/>
        <s v="[gӕrəntíː]"/>
        <s v="[gʌt]"/>
        <s v="[gΛtər]"/>
        <s v="[gʌst]"/>
        <s v="[disgΛst]"/>
        <s v="[gʌʃ]"/>
        <s v="[gʌlp]"/>
        <s v="[gʌl]"/>
        <s v="[ges]"/>
        <s v="[veig]"/>
        <s v="[voug]"/>
        <s v="[άːrgjuː]"/>
        <s v="[άːrgjumənt]"/>
        <s v="[gʌn]"/>
        <s v="[gest]"/>
        <s v="[gitάːr]"/>
        <s v="[həv, əv, ; hǽv]"/>
        <s v="[bihéivjər]"/>
        <s v="[miˌsbəheiˈvjər]"/>
        <s v="[hǽbit]"/>
        <s v="[həbíʧuəl]"/>
        <s v="[inhǽbit]"/>
        <s v="[inhǽbətənt]"/>
        <s v="[hǽbitӕt]"/>
        <s v="[igzíbit]"/>
        <s v="[inhíbit]"/>
        <s v="[prouhíbit]"/>
        <s v="[hænd]"/>
        <s v="[hǽndl]"/>
        <s v="[hǽndfùl]"/>
        <s v="[hæˈndbʊˌk]"/>
        <s v="[hǽndbӕg]"/>
        <s v="[hǽnsəm]"/>
        <s v="[prihend]"/>
        <s v="[ӕprihénd]"/>
        <s v="[kὰmprihénd]"/>
        <s v="[kὰmprihénsəbl]"/>
        <s v="[kὰmprihénsiv]"/>
        <s v="[hάːrməni]"/>
        <s v="[haːrmάnikə]"/>
        <s v="[haːrp]"/>
        <s v="[haːrd]"/>
        <s v="[hάːrdli]"/>
        <s v="[haːrʃ]"/>
        <s v="[hάːrnis]"/>
        <s v="[hάːrvist]"/>
        <s v="[εər]"/>
        <s v="[inhérit]"/>
        <s v="[héritidʒ]"/>
        <s v="[hərédəti]"/>
        <s v="[inhíərənt]"/>
        <s v="[ʃʌt]"/>
        <s v="[ʃap]"/>
        <s v="[ʃuː]"/>
        <s v="[ʃəːrt]"/>
        <s v="[ʃiːt]"/>
        <s v="[ʃel]"/>
        <s v="[ʃéltər]"/>
        <s v="[ʃiːld]"/>
        <s v="[ʃérif]"/>
        <s v="[ʃǽkl]"/>
        <s v="[ʃóuldər]"/>
        <s v="[ʃraud]"/>
        <s v="[ʃǽlou]"/>
        <s v="[ʃɔːr]"/>
        <s v="[ʃiːp]"/>
        <s v="[ʃépərd]"/>
        <s v="[ʃeip]"/>
        <s v="[ʃeid]"/>
        <s v="[ʃǽdou]"/>
        <s v="[ʃεər]"/>
        <s v="[ʃέərhòuldər]"/>
        <s v="[ʃǽbi]"/>
        <s v="[ʃeim]"/>
        <s v="[ʃæmpúː]"/>
        <s v="[hwait]"/>
        <s v="[houl]"/>
        <s v="[hweil]"/>
        <s v="[hwiːl]"/>
        <s v="[wiˈlʧeˌr]"/>
        <s v="[wiˈlbeˌrou]"/>
        <s v="[hai]"/>
        <s v="[hait]"/>
        <s v="[haiˈlaiˌt]"/>
        <s v="[háiwèi]"/>
        <s v="[háiərὰːrki]"/>
        <s v="[hil]"/>
        <s v="[haik]"/>
        <s v="[iníʃəl]"/>
        <s v="[iníʃièit]"/>
        <s v="[ínpùt]"/>
        <s v="[indΛldʒ]"/>
        <s v="[índʒər]"/>
        <s v="[iˈndɔˌr]"/>
        <s v="[iˈnteiˌk]"/>
        <s v="[íntəmət]"/>
        <s v="[índəstri]"/>
        <s v="[ínkʌm]"/>
        <s v="[índeks]"/>
        <s v="[iŋk]"/>
        <s v="[iˈntərneˌt]"/>
        <s v="[íntərvəl]"/>
        <s v="[íntəgrèit]"/>
        <s v="[disíntəgrèit]"/>
        <s v="[íntigrəl]"/>
        <s v="[intégrəti]"/>
        <s v="[intrínsik, -zik, -sikəl, -zik-]"/>
        <s v="[íntərəst, -tərèst]"/>
        <s v="[intrúːd]"/>
        <s v="[intéstin]"/>
        <s v="[íntrikət]"/>
        <s v="[intə́ːrprit]"/>
        <s v="[intíəriər]"/>
        <s v="[ditíəriərèit]"/>
        <s v="[dʒet]"/>
        <s v="[dʒet plein]"/>
        <s v="[dʒet læg]"/>
        <s v="[dʒéti]"/>
        <s v="[prάdʒekt｜prɔ́dʒ-]"/>
        <s v="[prədʒéktər]"/>
        <s v="[sΛbdʒikt]"/>
        <s v="[səbdʒéktiv]"/>
        <s v="[ridʒékt]"/>
        <s v="[ridʒékʃən]"/>
        <s v="[idʒékt]"/>
        <s v="[άbdʒikt｜ɔ́b-]"/>
        <s v="[indʒékʃən]"/>
        <s v="[dʒɔin]"/>
        <s v="[ədʒɔ́in]"/>
        <s v="[indʒɔ́in]"/>
        <s v="[dʒɔint]"/>
        <s v="[dʒΛŋkʃən]"/>
        <s v="[kəndʒΛŋkʃən]"/>
        <s v="[dʒʌmp]"/>
        <s v="[dʒúːnjər]"/>
        <s v="[dʒúːvənl]"/>
        <s v="[dʒúːbələnt]"/>
        <s v="[dʒuːs]"/>
        <s v="[dʒúːsi]"/>
        <s v="[dʒʌŋk]"/>
        <s v="[dʒΛmbl]"/>
        <s v="[dʒΛŋgl]"/>
        <s v="[dʒΛgl]"/>
        <s v="[dʒʌdʒ]"/>
        <s v="[ʤəˈʤmənt]"/>
        <s v="[ədʒΛdʒ]"/>
        <s v="[dʒuːdíʃəl]"/>
        <s v="[dʒuːdíʃəs]"/>
        <s v="[prédʒudis]"/>
        <s v="[dʒúəri]"/>
        <s v="[dʒùərisdíkʃən]"/>
        <s v="[pə́ːrdʒəri]"/>
        <s v="[dʒʌst]"/>
        <s v="[dʒΛstis]"/>
        <s v="[dʒΛstəfài]"/>
        <s v="[dʒΛstəfàid]"/>
        <s v="[indʒΛstis]"/>
        <s v="[ədʒΛst]"/>
        <s v="[kid]"/>
        <s v="[kídnæp]"/>
        <s v="[kídni]"/>
        <s v="[kit]"/>
        <s v="[kítn]"/>
        <s v="[kait]"/>
        <s v="[kin]"/>
        <s v="[kínʃip]"/>
        <s v="[əkín]"/>
        <s v="[kaind]"/>
        <s v="[kíndərgὰːrtn]"/>
        <s v="[kiŋ]"/>
        <s v="[nit]"/>
        <s v="[nat]"/>
        <s v="[nab]"/>
        <s v="[nak]"/>
        <s v="[næk]"/>
        <s v="[nΛkl]"/>
        <s v="[niː]"/>
        <s v="[niːl]"/>
        <s v="[nou]"/>
        <s v="[nάlidʒ]"/>
        <s v="[æknάlidʒ, əknάlidʒ]"/>
        <s v="[nóubl]"/>
        <s v="[naif]"/>
        <s v="[skin]"/>
        <s v="[skiː]"/>
        <s v="[skil]"/>
        <s v="[skílfəl]"/>
        <s v="[skai]"/>
        <s v="[skítər]"/>
        <s v="[skip]"/>
        <s v="[skid]"/>
        <s v="[skim]"/>
        <s v="[skeit]"/>
        <s v="[skeʧ]"/>
        <s v="[skəːrt]"/>
        <s v="[auˈtskərˌt]"/>
        <s v="[skélətn]"/>
        <s v="[sképtikəl]"/>
        <s v="[léibər]"/>
        <s v="[lǽbərətɔ̀ːri]"/>
        <s v="[ləbɔ́ːriəs]"/>
        <s v="[ilǽbərət]"/>
        <s v="[kəlǽbərèit]"/>
        <s v="[kəlӕbəréiʃən]"/>
        <s v="[lóugou]"/>
        <s v="[lάdʒik]"/>
        <s v="[əpάlədʒi]"/>
        <s v="[mάnəlɔ̀ːg]"/>
        <s v="[kæˈtəlɔˌg]"/>
        <s v="[épəlɔ̀ːg]"/>
        <s v="[ikάlədʒi]"/>
        <s v="[zouάlədʒi]"/>
        <s v="[saikάlədʒi]"/>
        <s v="[lǽŋgwidʒ]"/>
        <s v="[slæŋ]"/>
        <s v="[líŋgwə]"/>
        <s v="[líŋgwəl]"/>
        <s v="[liŋgwístiks]"/>
        <s v="[lédʒənd]"/>
        <s v="[légəsi]"/>
        <s v="[kάliːg]"/>
        <s v="[líːdʒən]"/>
        <s v="[dílədʒənt]"/>
        <s v="[intélədʒənt]"/>
        <s v="[néglidʒənt]"/>
        <s v="[élidʒəbl]"/>
        <s v="[líːgəl]"/>
        <s v="[ilíːgəl]"/>
        <s v="[lédʒislèit]"/>
        <s v="[lèdʒisléiʃən]"/>
        <s v="[lédʒislèitʃər]"/>
        <s v="[prívəlidʒ]"/>
        <s v="[əlédʒ]"/>
        <s v="[déligət , -gèit]"/>
        <s v="[dèligéiʃən]"/>
        <s v="[lévər]"/>
        <s v="[lévəridʒ]"/>
        <s v="[éləvèit]"/>
        <s v="[éləvèitər]"/>
        <s v="[èləvéiʃən]"/>
        <s v="[lévəl]"/>
        <s v="[rilíːv]"/>
        <s v="[réləvənt]"/>
        <s v="[iréləvənt]"/>
        <s v="[lait]"/>
        <s v="[láitniŋ]"/>
        <s v="[inláitn]"/>
        <s v="[twáilàit]"/>
        <s v="[ignáit]"/>
        <s v="[slait]"/>
        <s v="[brait]"/>
        <s v="[bríljənt]"/>
        <s v="[diláit]"/>
        <s v="[lóukəl]"/>
        <s v="[lóukeit]"/>
        <s v="[loukéiʃən]"/>
        <s v="[ӕləkéiʃən]"/>
        <s v="[dísloukèit]"/>
        <s v="[rilouˈkeit]"/>
        <s v="[lak]"/>
        <s v="[ənlaˈk]"/>
        <s v="[lάkər]"/>
        <s v="[ìntərlάk｜-lɔ́k]"/>
        <s v="[flak]"/>
        <s v="[blak]"/>
        <s v="[blάkiŋ]"/>
        <s v="[lɔːŋ]"/>
        <s v="[bilɔ́ːŋ, bilάŋ]"/>
        <s v="[prəlɔ́ːŋ, prəlάŋ]"/>
        <s v="[lɔˈŋstæˌndiŋ]"/>
        <s v="[landʒévəti]"/>
        <s v="[leŋkθ]"/>
        <s v="[léŋkθən]"/>
        <s v="[lάndʒətjùːd]"/>
        <s v="[lǽtətjùːd]"/>
        <s v="[lat]"/>
        <s v="[lάtəri]"/>
        <s v="[əlάt]"/>
        <s v="[slat]"/>
        <s v="[plat]"/>
        <s v="[blat]"/>
        <s v="[klat]"/>
        <s v="[split]"/>
        <s v="[slais]"/>
        <s v="[leit]"/>
        <s v="[léitli]"/>
        <s v="[trænsléit, trænz-]"/>
        <s v="[riléit]"/>
        <s v="[riléitid]"/>
        <s v="[rélətiv]"/>
        <s v="[kəlékt]"/>
        <s v="[kəléktiv]"/>
        <s v="[rèkəlékt]"/>
        <s v="[silékt]"/>
        <s v="[íntəlèkt]"/>
        <s v="[lékʧər]"/>
        <s v="[niglékt]"/>
        <s v="[ilékt]"/>
        <s v="[líbərəl]"/>
        <s v="[líbərèit]"/>
        <s v="[láibrèri]"/>
        <s v="[dilíbərət]"/>
        <s v="[dilívər]"/>
        <s v="[slaid]"/>
        <s v="[sled]"/>
        <s v="[glaid]"/>
        <s v="[kəláid]"/>
        <s v="[lou]"/>
        <s v="[lóuər]"/>
        <s v="[flou]"/>
        <s v="[slou]"/>
        <s v="[plau]"/>
        <s v="[əláu]"/>
        <s v="[dìsəláu]"/>
        <s v="[slip]"/>
        <s v="[slípər]"/>
        <s v="[sloup]"/>
        <s v="[sliːv]"/>
        <s v="[slim]"/>
        <s v="[slaim]"/>
        <s v="[sléndər]"/>
        <s v="[slæm]"/>
        <s v="[sleit]"/>
        <s v="[mæˈnkaiˈnd]"/>
        <s v="[mǽnidʒər]"/>
        <s v="[mӕnidʒíəriəl]"/>
        <s v="[mǽnər]"/>
        <s v="[mǽnjuəl]"/>
        <s v="[mǽnəfèst]"/>
        <s v="[mənípjulèit]"/>
        <s v="[mǽntl]"/>
        <s v="[dismǽntl]"/>
        <s v="[kəmǽnd]"/>
        <s v="[mǽndeit]"/>
        <s v="[mǽndətɔ̀ːri]"/>
        <s v="[dimǽnd]"/>
        <s v="[dimǽndiŋ]"/>
        <s v="[mídl]"/>
        <s v="[míːdiəm]"/>
        <s v="[míːdiə]"/>
        <s v="[míːdièit]"/>
        <s v="[ìntərmíːdiət]"/>
        <s v="[médətèit]"/>
        <s v="[médəsin]"/>
        <s v="[médikəl]"/>
        <s v="[rémədi]"/>
        <s v="[imíːdiət]"/>
        <s v="[mìːdiíːvəl, mè-]"/>
        <s v="[mèdətəréiniən]"/>
        <s v="[mάdl]"/>
        <s v="[mάdərn]"/>
        <s v="[kəmóud]"/>
        <s v="[əkάmədèit]"/>
        <s v="[mάdəfài]"/>
        <s v="[mάdərət]"/>
        <s v="[mάdist]"/>
        <s v="[mèmərǽndəm]"/>
        <s v="[mémwaːr]"/>
        <s v="[méməri]"/>
        <s v="[mémərəbl]"/>
        <s v="[məmɔ́ːriəl]"/>
        <s v="[kəmémərèit]"/>
        <s v="[rimémbər]"/>
        <s v="[mémbər]"/>
        <s v="[əménd]"/>
        <s v="[kəménd]"/>
        <s v="[rèkəménd]"/>
        <s v="[míni]"/>
        <s v="[mínəməl]"/>
        <s v="[mínəməm]"/>
        <s v="[mínəmàiz]"/>
        <s v="[mínifài]"/>
        <s v="[mínəstər]"/>
        <s v="[ədmínistər]"/>
        <s v="[dimíniʃ]"/>
        <s v="[pərmít]"/>
        <s v="[kəmít]"/>
        <s v="[kəmítmənt]"/>
        <s v="[kəmíti]"/>
        <s v="[trænsmít]"/>
        <s v="[rimít]"/>
        <s v="[səbmít]"/>
        <s v="[səbmíʃən]"/>
        <s v="[oumít]"/>
        <s v="[imít]"/>
        <s v="[imíʃən]"/>
        <s v="[ædmít]"/>
        <s v="[ædmíʃən]"/>
        <s v="[mísəl]"/>
        <s v="[míʃən]"/>
        <s v="[iˌntərmiˈʃən]"/>
        <s v="[dismís]"/>
        <s v="[mésidʒ]"/>
        <s v="[prάmis]"/>
        <s v="[kάmprəmàiz]"/>
        <s v="[prάmisiŋ]"/>
        <s v="[prémis]"/>
        <s v="[preˈməsəz]"/>
        <s v="[móutər]"/>
        <s v="[móutərsàikl]"/>
        <s v="[móuʃən]"/>
        <s v="[móuʃənlis]"/>
        <s v="[imóuʃən]"/>
        <s v="[móutiv]"/>
        <s v="[móutəvèit]"/>
        <s v="[prəmóut]"/>
        <s v="[rimóut]"/>
        <s v="[méinstrìːm]"/>
        <s v="[meiˈnfreiˌm]"/>
        <s v="[meintéin]"/>
        <s v="[méintənəns]"/>
        <s v="[riméin]"/>
        <s v="[méidʒər]"/>
        <s v="[mədʒɔ́ːrəti]"/>
        <s v="[mǽdʒəsti]"/>
        <s v="[méiər]"/>
        <s v="[mægnífəsnt]"/>
        <s v="[mǽgnətjùːd]"/>
        <s v="[mǽksim]"/>
        <s v="[mǽksəməm]"/>
        <s v="[meˈgəfouˌn]"/>
        <s v="[megəbaks]"/>
        <s v="[ímənənt]"/>
        <s v="[émənənt]"/>
        <s v="[priémənənt]"/>
        <s v="[prάmənənt]"/>
        <s v="[maunt]"/>
        <s v="[máuntən]"/>
        <s v="[əmáunt]"/>
        <s v="[sərmáunt]"/>
        <s v="[maund]"/>
        <s v="[nek]"/>
        <s v="[kənékt]"/>
        <s v="[kənékʃən]"/>
        <s v="[dìskənékt]"/>
        <s v="[nekst]"/>
        <s v="[néksəs]"/>
        <s v="[ənéks ǽneks｜ənéks]"/>
        <s v="[nΛθiŋ]"/>
        <s v="[nuːn]"/>
        <s v="[nάkʃəs]"/>
        <s v="[nad]"/>
        <s v="[nanfiˈkʃən]"/>
        <s v="[nάnsens]"/>
        <s v="[níːgrou]"/>
        <s v="[négətiv]"/>
        <s v="[nigóuʃièit]"/>
        <s v="[néglidʒəbl]"/>
        <s v="[néglidʒəns]"/>
        <s v="[névər]"/>
        <s v="[nèvərðəlés]"/>
        <s v="[njúːtrəl]"/>
        <s v="[niːd]"/>
        <s v="[níːdl]"/>
        <s v="[njuːd]"/>
        <s v="[nʌt]"/>
        <s v="[njúːkliər]"/>
        <s v="[nɔːrm]"/>
        <s v="[nɔ́ːrməl]"/>
        <s v="[nɔ́ːrməlàiz]"/>
        <s v="[sʌbnɔ́ːrməl]"/>
        <s v="[inɔ́ːrməs]"/>
        <s v="[snou]"/>
        <s v="[sneik]"/>
        <s v="[snæʧ]"/>
        <s v="[snεər]"/>
        <s v="[snæg]"/>
        <s v="[snæp]"/>
        <s v="[néiʃən]"/>
        <s v="[ìntərnǽʃənəl]"/>
        <s v="[néitiv]"/>
        <s v="[néiʧər]"/>
        <s v="[nǽʧərəl]"/>
        <s v="[suˌpərnæˈʧərəl]"/>
        <s v="[inéit]"/>
        <s v="[kάneit]"/>
        <s v="[nάvəl]"/>
        <s v="[nάvəlti]"/>
        <s v="[nάvis]"/>
        <s v="[rénəvèit]"/>
        <s v="[ínəvèit]"/>
        <s v="[nóuvə]"/>
        <s v="[nout]"/>
        <s v="[nóuʃən]"/>
        <s v="[nóutəfài]"/>
        <s v="[nouˈtbʊˌk]"/>
        <s v="[noutéiʃən]"/>
        <s v="[ӕnətéiʃən]"/>
        <s v="[nóutəbl]"/>
        <s v="[nóutis]"/>
        <s v="[noutɔ́ːriəs]"/>
        <s v="[ənáuns]"/>
        <s v="[ənáunsər]"/>
        <s v="[prənáuns]"/>
        <s v="[dináuns]"/>
        <s v="[nəːrs]"/>
        <s v="[nə́ːrsəri]"/>
        <s v="[nə́ːrʧər]"/>
        <s v="[njuːtríʃən]"/>
        <s v="[nə́ːriʃ]"/>
        <s v="[άbstəkl]"/>
        <s v="[oubíːsəti]"/>
        <s v="[oubéi]"/>
        <s v="[dìsəbíːdiənt]"/>
        <s v="[άpərə]"/>
        <s v="[άpərèit]"/>
        <s v="[άpərətiv]"/>
        <s v="[inάpərətiv]"/>
        <s v="[kouάpərèit]"/>
        <s v="[άptik]"/>
        <s v="[άptiks]"/>
        <s v="[άptikəl]"/>
        <s v="[ὰpərtjúːnəti]"/>
        <s v="[άpʃən]"/>
        <s v="[ədάpt]"/>
        <s v="[ədάpʃən]"/>
        <s v="[əpínjən]"/>
        <s v="[άptəməm]"/>
        <s v="[άptəmìzm]"/>
        <s v="[ὰptəmístik]"/>
        <s v="[άptəmàiz]"/>
        <s v="[ɔ́ːrəl]"/>
        <s v="[mɔ́ːrəl]"/>
        <s v="[imɔ́ːrəl]"/>
        <s v="[mərǽl]"/>
        <s v="[dimɔ́ːrəlàiz]"/>
        <s v="[ɔ́ːrdər]"/>
        <s v="[ɔ́ːrdənèri]"/>
        <s v="[ikstrɔ́ːrdənèri]"/>
        <s v="[disɔ́ːrdər]"/>
        <s v="[kouɔ́ːrdənət]"/>
        <s v="[kouɔ́ːrdənèitər]"/>
        <s v="[kouɔ̀ːrdənéiʃən]"/>
        <s v="[səbɔ́ːrdənət]"/>
        <s v="[ɔ́ːriənt]"/>
        <s v="[ɔ́ːrədʒin, άrədʒin]"/>
        <s v="[ərídʒənl]"/>
        <s v="[ərídʒənèit]"/>
        <s v="[auˈtlaiˌn]"/>
        <s v="[auˈtlʊˌk]"/>
        <s v="[auˈtbreiˌk]"/>
        <s v="[áutidʒ]"/>
        <s v="[auˈtpʊˌt]"/>
        <s v="[áutlet, -lit]"/>
        <s v="[auˌtduˈ]"/>
        <s v="[auˌtliˈv]"/>
        <s v="[ouˈvərheˈd]"/>
        <s v="[ouˌvərpauˈər]"/>
        <s v="[ouˈvərtæˌks]"/>
        <s v="[ouˈvərkouˌt]"/>
        <s v="[ouˈvərlæˌp]"/>
        <s v="[ouˈvərsiˌ]"/>
        <s v="[ouˈvərduˈ]"/>
        <s v="[ouˈvərlʊˌk]"/>
        <s v="[ouˈvərʃæˈdou]"/>
        <s v="[ouˈvərɔˌl]"/>
        <s v="[pæn]"/>
        <s v="[pæˈnkeiˌk]"/>
        <s v="[pӕnərǽmə]"/>
        <s v="[spæn]"/>
        <s v="[ikspǽnd]"/>
        <s v="[ikspǽnsiv]"/>
        <s v="[ikspǽnʃən]"/>
        <s v="[pəréid]"/>
        <s v="[pέərənt]"/>
        <s v="[əpǽrənt, əpέər-]"/>
        <s v="[əpíər]"/>
        <s v="[dìsəpíər]"/>
        <s v="[trænspέərənt]"/>
        <s v="[kάmpərəbl]"/>
        <s v="[pripέər]"/>
        <s v="[əpǽrəl]"/>
        <s v="[pάːrləmənt]"/>
        <s v="[pǽrət]"/>
        <s v="[pǽrədi]"/>
        <s v="[pǽrəlèl]"/>
        <s v="[pǽrəʃùːt]"/>
        <s v="[ӕpərǽtəs, ӕpəréitəs]"/>
        <s v="[sépərèit]"/>
        <s v="[pǽrədàis]"/>
        <s v="[pεər]"/>
        <s v="[impέər]"/>
        <s v="[ripέər]"/>
        <s v="[-mӕn, -mən]"/>
        <s v="[irépərəbl]"/>
        <s v="[dispέər]"/>
        <s v="[déspərət]"/>
        <s v="[paːrt]"/>
        <s v="[əpάːrt]"/>
        <s v="[pάːrtnər]"/>
        <s v="[pάːrti]"/>
        <s v="[pərtíkjulər]"/>
        <s v="[pərtíkjulərli]"/>
        <s v="[pάːrtikl]"/>
        <s v="[pάːrsəl]"/>
        <s v="[pάːrʃəl]"/>
        <s v="[impάːrʃəl]"/>
        <s v="[pæs]"/>
        <s v="[pǽsiv]"/>
        <s v="[pǽsəndʒər]"/>
        <s v="[kΛmpəs]"/>
        <s v="[baiˈpæˌs]"/>
        <s v="[əˈndərpæˌs]"/>
        <s v="[ouˈvərpæˌs]"/>
        <s v="[sərpǽs]"/>
        <s v="[pǽʃən]"/>
        <s v="[kəmpǽʃən]"/>
        <s v="[pəθétik, -ikəl]"/>
        <s v="[təlépəθi]"/>
        <s v="[símpəθi]"/>
        <s v="[prəpél]"/>
        <s v="[prəpélər]"/>
        <s v="[kəmpél]"/>
        <s v="[ripél]"/>
        <s v="[ikspél]"/>
        <s v="[dispél]"/>
        <s v="[pʌls]"/>
        <s v="[ímpʌls]"/>
        <s v="[kəmpΛlsəri]"/>
        <s v="[əpíːl]"/>
        <s v="[péndənt]"/>
        <s v="[dipénd]"/>
        <s v="[ìndipéndəns]"/>
        <s v="[əpéndiks]"/>
        <s v="[səspénd]"/>
        <s v="[impénd]"/>
        <s v="[spend]"/>
        <s v="[dispénsəbl]"/>
        <s v="[ìndispénsəbl]"/>
        <s v="[ikspénd]"/>
        <s v="[pərsént]"/>
        <s v="[pə́ːrfjuːm]"/>
        <s v="[fjuːm]"/>
        <s v="[pə́ːrsn]"/>
        <s v="[pə̀ːrsənél]"/>
        <s v="[pə́rsənl]"/>
        <s v="[périʃ]"/>
        <s v="[pə́ːrmənənt]"/>
        <s v="[pərswéid]"/>
        <s v="[plάːzə, plǽzə]"/>
        <s v="[plæt]"/>
        <s v="[plǽtfɔːrm]"/>
        <s v="[plǽstər]"/>
        <s v="[pleit]"/>
        <s v="[pleis]"/>
        <s v="[mispleiˈs]"/>
        <s v="[ripléis]"/>
        <s v="[displéis]"/>
        <s v="[plæn]"/>
        <s v="[eˈrpleiˌn]"/>
        <s v="[plǽnit]"/>
        <s v="[plein]"/>
        <s v="[ikspléin]"/>
        <s v="[kəmpléin]"/>
        <s v="[plænt]"/>
        <s v="[implǽnt｜-plάːnt]"/>
        <s v="[səplǽnt]"/>
        <s v="[plénti]"/>
        <s v="[mΛltəpl]"/>
        <s v="[mΛltəplài]"/>
        <s v="[diplíːt]"/>
        <s v="[kəmplíːt]"/>
        <s v="[ìnkəmplíːt]"/>
        <s v="[kάmpləmənt｜kɔ́m-]"/>
        <s v="[sΛpləmənt]"/>
        <s v="[ímpləmənt]"/>
        <s v="[kəmpléks, kάmpleks｜kɔ́mpleks]"/>
        <s v="[kάmpləkèit｜kɔ́m-]"/>
        <s v="[ímplikèit]"/>
        <s v="[djúːplikət｜djúː-]"/>
        <s v="[əkάmpliʃ, əkΛmpliʃ]"/>
        <s v="[kəmplái]"/>
        <s v="[riplái]"/>
        <s v="[əplái]"/>
        <s v="[ǽplikənt]"/>
        <s v="[implɔ́i]"/>
        <s v="[implɔ́iər]"/>
        <s v="[implɔ́iiː, èmplɔíː]"/>
        <s v="[mənάpəli]"/>
        <s v="[plʌs]"/>
        <s v="[sə́ːrplʌs]"/>
        <s v="[pάpkɔ̀ːrn]"/>
        <s v="[papsɔ́ːŋ]"/>
        <s v="[pάpjulər]"/>
        <s v="[pὰpjulǽrəti]"/>
        <s v="[pὰpjuléiʃən]"/>
        <s v="[pʌb]"/>
        <s v="[pΛblik]"/>
        <s v="[pΛbliʃ]"/>
        <s v="[pɔːrt]"/>
        <s v="[pɔ́ːrtəbl]"/>
        <s v="[pɔ́ːrtər]"/>
        <s v="[pɔ́ːrtl]"/>
        <s v="[pɔːrʧ]"/>
        <s v="[pɔːrtfóuliòu]"/>
        <s v="[pɔ́ːrtrit]"/>
        <s v="[pɔ́ːrʃən]"/>
        <s v="[prəpɔ́ːrʃən]"/>
        <s v="[eˈrpɔˌrt]"/>
        <s v="[pǽspɔːrt]"/>
        <s v="[trænspɔ́ːrt]"/>
        <s v="[impɔ́ːrt]"/>
        <s v="[impɔ́ːrtənt]"/>
        <s v="[ikspɔ́ːrt]"/>
        <s v="[dipɔ́ːrt]"/>
        <s v="[ripɔ́ːrt]"/>
        <s v="[ripɔ́ːrtər]"/>
        <s v="[səpɔ́ːrt]"/>
        <s v="[print]"/>
        <s v="[praid]"/>
        <s v="[praud]"/>
        <s v="[spriŋ]"/>
        <s v="[spraut]"/>
        <s v="[sprait]"/>
        <s v="[sprint]"/>
        <s v="[spríŋkl]"/>
        <s v="[sprei]"/>
        <s v="[spred]"/>
        <s v="[waiˈdspreˈd]"/>
        <s v="[prévələns｜-si]"/>
        <s v="[priːʧ]"/>
        <s v="[príːmiəm]"/>
        <s v="[primjíərpríːmiər]"/>
        <s v="[prilímənèri]"/>
        <s v="[príːviəs]"/>
        <s v="[praiɔ́ːrəti]"/>
        <s v="[prάbləm]"/>
        <s v="[proutrúːd]"/>
        <s v="[prampt]"/>
        <s v="[próutəkɔ̀ːl]"/>
        <s v="[prάfəsi]"/>
        <s v="[praksíməti]"/>
        <s v="[prάspər]"/>
        <s v="[prάvins]"/>
        <s v="[prάsikjùːt]"/>
        <s v="[pruːv]"/>
        <s v="[imprúːv]"/>
        <s v="[əprúːv]"/>
        <s v="[dìsəprúːvəl]"/>
        <s v="[praim]"/>
        <s v="[práimeri]"/>
        <s v="[prímətiv]"/>
        <s v="[prins]"/>
        <s v="[prínsis, prínses]"/>
        <s v="[prais]"/>
        <s v="[praiz]"/>
        <s v="[préʃəs]"/>
        <s v="[əpríːʃièit]"/>
        <s v="[əpríːʃiəbl, -ʃə-]"/>
        <s v="[dipríːʃièit]"/>
        <s v="[práivət]"/>
        <s v="[dipráiv]"/>
        <s v="[pres]"/>
        <s v="[préʃər]"/>
        <s v="[kəmprés]"/>
        <s v="[əprés]"/>
        <s v="[səprés]"/>
        <s v="[iksprés]"/>
        <s v="[impréʃən]"/>
        <s v="[prízn]"/>
        <s v="[prízənər]"/>
        <s v="[sərpráiz]"/>
        <s v="[éntərpràiz]"/>
        <s v="[kəmpráiz]"/>
        <s v="[spéʃəl]"/>
        <s v="[spéʃəlist]"/>
        <s v="[spíːʃiːz]"/>
        <s v="[spésəmən]"/>
        <s v="[spéktəkl]"/>
        <s v="[spékteitər]"/>
        <s v="[spékjulèit]"/>
        <s v="[spisífik]"/>
        <s v="[ǽspekt]"/>
        <s v="[səspékt]"/>
        <s v="[inspékt]"/>
        <s v="[prάspekt｜prɔ́s-]"/>
        <s v="[ikspékt]"/>
        <s v="[rispékt]"/>
        <s v="[rispéktiv]"/>
        <s v="[ìrispéktiv]"/>
        <s v="[spírit]"/>
        <s v="[inspáiər]"/>
        <s v="[ìnspəréiʃən]"/>
        <s v="[əspáiər]"/>
        <s v="[kənspáiər]"/>
        <s v="[ikspáiər]"/>
        <s v="[pin]"/>
        <s v="[pínəkl]"/>
        <s v="[pain]"/>
        <s v="[paiˈnæˌpəl]"/>
        <s v="[spain]"/>
        <s v="[pinʧ]"/>
        <s v="[spin]"/>
        <s v="[pouz]"/>
        <s v="[pəzíʃən]"/>
        <s v="[pɔiz]"/>
        <s v="[pɔːz]"/>
        <s v="[poustpóun]"/>
        <s v="[prəpóuz]"/>
        <s v="[pə́ːrpəs]"/>
        <s v="[kəmpóuz]"/>
        <s v="[səpóuz]"/>
        <s v="[əpóuz]"/>
        <s v="[άpəzit, άpəsit]"/>
        <s v="[dipάzit]"/>
        <s v="[dispóuz]"/>
        <s v="[ikspóuz]"/>
        <s v="[ikspóuʒər]"/>
        <s v="[èkspəzíʃən]"/>
        <s v="[impóuz]"/>
        <s v="[rèpjutéiʃən]"/>
        <s v="[dispjúːt]"/>
        <s v="[kwest]"/>
        <s v="[kwésʧən]"/>
        <s v="[kάnkwest, kάŋkwest]"/>
        <s v="[rikwést]"/>
        <s v="[inkwáiər]"/>
        <s v="[rikwáiər]"/>
        <s v="[əkwáiər]"/>
        <s v="[skwiːz]"/>
        <s v="[skwεər]"/>
        <s v="[skwad]"/>
        <s v="[skwaʃ]"/>
        <s v="[íːkwəl]"/>
        <s v="[ikwéiʒən, -ʃən]"/>
        <s v="[ǽdikwət]"/>
        <s v="[inǽdikwət]"/>
        <s v="[ékwəti]"/>
        <s v="[ikwívələns]"/>
        <s v="[ìːkwəlíbriəm]"/>
        <s v="[ikwíp]"/>
        <s v="[ikwéitər]"/>
        <s v="[réidaːr]"/>
        <s v="[réidiòu]"/>
        <s v="[reiˈdiouæktiˈvəti]"/>
        <s v="[réidièit]"/>
        <s v="[rǽdikəl]"/>
        <s v="[rǽdiʃ]"/>
        <s v="[irǽdəkèit]"/>
        <s v="[rivéndʒ]"/>
        <s v="[rivíːl]"/>
        <s v="[ribjúːk]"/>
        <s v="[rifréin]"/>
        <s v="[ríːsnt]"/>
        <s v="[rilídʒən]"/>
        <s v="[rilái]"/>
        <s v="[rigrét]"/>
        <s v="[rìːimbə́ːrs]"/>
        <s v="[dirékt, dai-]"/>
        <s v="[diréktər, dai-]"/>
        <s v="[dirékʃən, dai-]"/>
        <s v="[irékt]"/>
        <s v="[kərékt]"/>
        <s v="[roul]"/>
        <s v="[raund]"/>
        <s v="[səráund]"/>
        <s v="[graund]"/>
        <s v="[róuteit]"/>
        <s v="[roud]"/>
        <s v="[roum]"/>
        <s v="[rak]"/>
        <s v="[ruːt, raut]"/>
        <s v="[rou]"/>
        <s v="[roup]"/>
        <s v="[rat]"/>
        <s v="[rΛpʧər]"/>
        <s v="[ìntərΛpt]"/>
        <s v="[ìntərΛpʃən]"/>
        <s v="[kərΛpt]"/>
        <s v="[disrΛpt]"/>
        <s v="[irΛpt]"/>
        <s v="[bǽŋkrʌpt, -rəpt]"/>
        <s v="[aːrm]"/>
        <s v="[disάːrm]"/>
        <s v="[άːrmi]"/>
        <s v="[άːrmər]"/>
        <s v="[haːrm]"/>
        <s v="[hάːrmfəl]"/>
        <s v="[əlάːrm]"/>
        <s v="[ségmənt]"/>
        <s v="[síəriəs]"/>
        <s v="[síːkwəns]"/>
        <s v="[fríːkwənt]"/>
        <s v="[sikjúərəti]"/>
        <s v="[kənsékjutiv]"/>
        <s v="[sékʃən]"/>
        <s v="[ínsekt]"/>
        <s v="[sévərəl]"/>
        <s v="[disévər]"/>
        <s v="[sivíər]"/>
        <s v="[pə̀ːrsəvíər]"/>
        <s v="[síːkrit]"/>
        <s v="[sékrətèri]"/>
        <s v="[séikrid]"/>
        <s v="[sǽkrəfàis]"/>
        <s v="[sit]"/>
        <s v="[sìʧuéiʃən]"/>
        <s v="[set]"/>
        <s v="[siːt]"/>
        <s v="[sétlmənt]"/>
        <s v="[ǽset]"/>
        <s v="[aˈnseˌt]"/>
        <s v="[auˈtseˌt]"/>
        <s v="[ʌpset]"/>
        <s v="[dézərt]"/>
        <s v="[əsə́ːrt]"/>
        <s v="[əsə́ːrʃən]"/>
        <s v="[insə́ːrt]"/>
        <s v="[igzə́ːrt]"/>
        <s v="[préznt]"/>
        <s v="[prézns]"/>
        <s v="[prèzəntéiʃən, prìːzentéiʃən]"/>
        <s v="[rèprizént]"/>
        <s v="[səːrv]"/>
        <s v="[sə́ːrvis]"/>
        <s v="[sə́ːrvənt]"/>
        <s v="[əbzə́ːrv]"/>
        <s v="[dizə́ːrv]"/>
        <s v="[prizə́ːrv]"/>
        <s v="[kənsə́ːrv]"/>
        <s v="[rizə́ːrv]"/>
        <s v="[rézərvwὰːr]"/>
        <s v="[said]"/>
        <s v="[səbsídièri]"/>
        <s v="[rizáid]"/>
        <s v="[rézədəns]"/>
        <s v="[prizáid]"/>
        <s v="[prézədənt]"/>
        <s v="[kənsídər]"/>
        <s v="[kənsídərət]"/>
        <s v="[kənsídərəbl]"/>
        <s v="[símələr]"/>
        <s v="[dissímələr]"/>
        <s v="[sàiməltéiniəs]"/>
        <s v="[símjulèit]"/>
        <s v="[símpl]"/>
        <s v="[əsémbl]"/>
        <s v="[əsémbli]"/>
        <s v="[dìsəsémbl]"/>
        <s v="[rizémbl]"/>
        <s v="[sóuʃəl]"/>
        <s v="[sóuʃəbl]"/>
        <s v="[səsáiəti]"/>
        <s v="[əsóuʃièit, əsóusièit]"/>
        <s v="[salv]"/>
        <s v="[sάlvənt]"/>
        <s v="[səlúːʃən]"/>
        <s v="[dizάlv]"/>
        <s v="[rizάlv]"/>
        <s v="[sens]"/>
        <s v="[sénsətiv]"/>
        <s v="[sénsəbl]"/>
        <s v="[sénʃuəs]"/>
        <s v="[sèntəméntl]"/>
        <s v="[séntəns]"/>
        <s v="[əsént]"/>
        <s v="[kənsént]"/>
        <s v="[kənsénsəs]"/>
        <s v="[rizént]"/>
        <s v="[sain]"/>
        <s v="[sígnəl]"/>
        <s v="[sígnətʃər]"/>
        <s v="[signífikənt]"/>
        <s v="[ìnsignífikənt]"/>
        <s v="[dizáin]"/>
        <s v="[dézignèit]"/>
        <s v="[əsáin]"/>
        <s v="[rizáin]"/>
        <s v="[test]"/>
        <s v="[ətést]"/>
        <s v="[téstəmòuni]"/>
        <s v="[kάntest｜kɔ́n-]"/>
        <s v="[próutest]"/>
        <s v="[ditést]"/>
        <s v="[stænd]"/>
        <s v="[stǽndərd]"/>
        <s v="[stæˈndstiˌl]"/>
        <s v="[stæˈndpɔiˌnt]"/>
        <s v="[Λndərstǽnd]"/>
        <s v="[miˌsəndərstæˈnd]"/>
        <s v="[wiðstǽnd, wiθ-]"/>
        <s v="[nὰtwiðstǽndiŋ]"/>
        <s v="[auˌtstæˈndiŋ]"/>
        <s v="[stédi]"/>
        <s v="[sΛbstəns]"/>
        <s v="[səbstǽnʃəl]"/>
        <s v="[ʌnsəbstǽnʃəl]"/>
        <s v="[ínstəns]"/>
        <s v="[ínstənt]"/>
        <s v="[dístənt]"/>
        <s v="[kάnstənt]"/>
        <s v="[stéiʃən]"/>
        <s v="[stéiʃənèri]"/>
        <s v="[steit]"/>
        <s v="[stǽʧuː]"/>
        <s v="[istéit]"/>
        <s v="[stéibl]"/>
        <s v="[ìnstəbíləti]"/>
        <s v="[steidʒ]"/>
        <s v="[prestíːʒ]"/>
        <s v="[stɔːk]"/>
        <s v="[stæf]"/>
        <s v="[stein]"/>
        <s v="[staːrt]"/>
        <s v="[stάːrtl]"/>
        <s v="[stǽmənə]"/>
        <s v="[stéidiəm]"/>
        <s v="[stei]"/>
        <s v="[stæmp]"/>
        <s v="[stεər]"/>
        <s v="[stiːl]"/>
        <s v="[stem]"/>
        <s v="[stiːm]"/>
        <s v="[sìstəmǽtik, -ikəl]"/>
        <s v="[step]"/>
        <s v="[stoun]"/>
        <s v="[stʌn]"/>
        <s v="[əstάniʃ]"/>
        <s v="[stɔːr]"/>
        <s v="[stɔ́ːri]"/>
        <s v="[ristɔ́ːr]"/>
        <s v="[instɔ́ːl]"/>
        <s v="[stuːl]"/>
        <s v="[stæk]"/>
        <s v="[stɔːrm]"/>
        <s v="[stouv]"/>
        <s v="[stap]"/>
        <s v="[stil]"/>
        <s v="[distíl]"/>
        <s v="[déstəni]"/>
        <s v="[dèstənéiʃən]"/>
        <s v="[əsíst]"/>
        <s v="[kənsíst]"/>
        <s v="[kənsístənt]"/>
        <s v="[igzíst]"/>
        <s v="[insíst]"/>
        <s v="[pərsíst]"/>
        <s v="[rizíst]"/>
        <s v="[rizístəns]"/>
        <s v="[ìrizístəbl]"/>
        <s v="[ínstətjùːt]"/>
        <s v="[kάnstətjùːt]"/>
        <s v="[sΛbstətjùːt]"/>
        <s v="[strΛkʧər]"/>
        <s v="[instrΛkt]"/>
        <s v="[əbstrΛkt]"/>
        <s v="[distrΛktiv]"/>
        <s v="[kənstrΛkt]"/>
        <s v="[igzɔ́ːlt]"/>
        <s v="[igzɔ́ːltid]"/>
        <s v="[ɔ́ːltər]"/>
        <s v="[ǽltətjùːd]"/>
        <s v="[ɔ́ːltərnèit, ǽl-｜ɔ́ːl-]"/>
        <s v="[ɔːltə́ːrnətiv, æltə́ːrnətiv]"/>
        <s v="[ǽltruːìzm]"/>
        <s v="[άːrtizən]"/>
        <s v="[άːrtikl]"/>
        <s v="[άːrtəri]"/>
        <s v="[vein]"/>
        <s v="[teil]"/>
        <s v="[téilər]"/>
        <s v="[ditéil, díːteil]"/>
        <s v="[kəːrtéil]"/>
        <s v="[ríːteil]"/>
        <s v="[houˈlseiˌl]"/>
        <s v="[άːrkətèkt]"/>
        <s v="[prətékt]"/>
        <s v="[tend]"/>
        <s v="[trend]"/>
        <s v="[inténd]"/>
        <s v="[priténd]"/>
        <s v="[əténd]"/>
        <s v="[əténʃən]"/>
        <s v="[kənténd]"/>
        <s v="[iksténd]"/>
        <s v="[ikstént]"/>
        <s v="[iksténʃən]"/>
        <s v="[iksténsiv]"/>
        <s v="[ténʃən]"/>
        <s v="[inténsəfài]"/>
        <s v="[inténsiv]"/>
        <s v="[tuər]"/>
        <s v="[túərist]"/>
        <s v="[díːtuər]"/>
        <s v="[kάntuər]"/>
        <s v="[tɔːrʧ]"/>
        <s v="[tɔ́ːrʧər]"/>
        <s v="[distɔ́ːrt]"/>
        <s v="[distɔ́ːrʃən]"/>
        <s v="[trein]"/>
        <s v="[træm]"/>
        <s v="[træk]"/>
        <s v="[treil]"/>
        <s v="[tréilər]"/>
        <s v="[trǽvəl]"/>
        <s v="[trədíʃən]"/>
        <s v="[trei]"/>
        <s v="[bitréi]"/>
        <s v="[treis]"/>
        <s v="[trǽktər]"/>
        <s v="[ətrǽkt]"/>
        <s v="[ikstrǽkt]"/>
        <s v="[səbtrǽkt]"/>
        <s v="[kάntrækt｜kɔ́n-]"/>
        <s v="[æbstrǽkt]"/>
        <s v="[distrǽkt]"/>
        <s v="[distrǽkʃən]"/>
        <s v="[trænsfɔˈrm]"/>
        <s v="[trænsplæˈnt]"/>
        <s v="[təːrn]"/>
        <s v="[intə́ːrn]"/>
        <s v="[intə́ːrnl]"/>
        <s v="[íntəːrnʃìp]"/>
        <s v="[itə́ːrnəl]"/>
        <s v="[ritə́ːrn]"/>
        <s v="[tríːou]"/>
        <s v="[tráiӕŋgl]"/>
        <s v="[trípl]"/>
        <s v="[traib]"/>
        <s v="[tríbjuːt]"/>
        <s v="[ətríbjuːt]"/>
        <s v="[kəntríbjuːt]"/>
        <s v="[distríbjuːt]"/>
        <s v="[dìstrəbjúːʃən]"/>
        <s v="[ʧǽtər]"/>
        <s v="[ʃǽtər]"/>
        <s v="[lítər]"/>
        <s v="[Λtər]"/>
        <s v="[mΛtər]"/>
        <s v="[stik]"/>
        <s v="[stiŋ]"/>
        <s v="[distíŋgwiʃ]"/>
        <s v="[distíŋgwiʃəbl]"/>
        <s v="[distíŋgwiʃt]"/>
        <s v="[ikstíŋgwiʃ]"/>
        <s v="[ikstíŋkt]"/>
        <s v="[distíŋkt]"/>
        <s v="[ínstiŋkt]"/>
        <s v="[stəːr]"/>
        <s v="[stímjulèit]"/>
        <s v="[stiŋk]"/>
        <s v="[éstəmèit]"/>
        <s v="[istíːm]"/>
        <s v="[stiʧ]"/>
        <s v="[streit]"/>
        <s v="[strǽtədʒi]"/>
        <s v="[stræp]"/>
        <s v="[strein]"/>
        <s v="[kənstréin]"/>
        <s v="[ristréin]"/>
        <s v="[strɔː]"/>
        <s v="[striːt]"/>
        <s v="[striːm]"/>
        <s v="[striːk]"/>
        <s v="[strei]"/>
        <s v="[stres]"/>
        <s v="[distrés]"/>
        <s v="[streʧ]"/>
        <s v="[straip]"/>
        <s v="[strip]"/>
        <s v="[straid]"/>
        <s v="[straik]"/>
        <s v="[strouk]"/>
        <s v="[strikt]"/>
        <s v="[dístrikt]"/>
        <s v="[ristríkt]"/>
        <s v="[tæk]"/>
        <s v="[ətǽk]"/>
        <s v="[ətǽʧ]"/>
        <s v="[ditǽʧ]"/>
        <s v="[kάntækt]"/>
        <s v="[kάntənənt]"/>
        <s v="[intǽndʒəbl]"/>
        <s v="[kəntéin]"/>
        <s v="[əbtéin]"/>
        <s v="[ditéin]"/>
        <s v="[ritéin]"/>
        <s v="[səstéin]"/>
        <s v="[ətéin]"/>
        <s v="[æbstéin, əbstéin]"/>
        <s v="[èntərtéin]"/>
        <s v="[kəntínjuː]"/>
        <s v="[dìskəntínjuː]"/>
        <s v="[tǽŋgou]"/>
        <s v="[tǽŋgl]"/>
        <s v="[intǽŋgl]"/>
        <s v="[tǽndʒəbl]"/>
        <s v="[kəntéidʒəs]"/>
        <s v="[kəntǽmənèit]"/>
        <s v="[əˈndərgrauˌnd]"/>
        <s v="[əˌndərkəˈvər]"/>
        <s v="[Λndərlàiiŋ]"/>
        <s v="[əˈndərmaiˌn]"/>
        <s v="[əˌndərweiˈ]"/>
        <s v="[əˌndərgouˈ]"/>
        <s v="[əˈndərweˌr]"/>
        <s v="[əˈndərteiˌk]"/>
        <s v="[əpgreiˈd]"/>
        <s v="[Λpstέərz]"/>
        <s v="[əˈpsərˌʤ]"/>
        <s v="[əpruˈt]"/>
        <s v="[tΛmbl]"/>
        <s v="[stΛmbl]"/>
        <s v="[rΛmbl]"/>
        <s v="[krΛmbl]"/>
        <s v="[hΛmbl]"/>
        <s v="[júːnəfɔ̀ːrmli]"/>
        <s v="[júːnit]"/>
        <s v="[júːnəti]"/>
        <s v="[júːnjən]"/>
        <s v="[júːnəvə̀ːrs]"/>
        <s v="[jùːnəvə́ːrsəti]"/>
        <s v="[sΛbwèi]"/>
        <s v="[sΛbməríːn]"/>
        <s v="[sΛtl]"/>
        <s v="[suːt]"/>
        <s v="[súːtəbl]"/>
        <s v="[ənsuˈtəbəl]"/>
        <s v="[swiːt]"/>
        <s v="[lɔˈsuˌt]"/>
        <s v="[pərsúːt]"/>
        <s v="[pərsúː]"/>
        <s v="[rizΛlt]"/>
        <s v="[əsɔ́ːlt]"/>
        <s v="[insΛlt]"/>
        <s v="[sΛltri]"/>
        <s v="[kənsΛlt]"/>
        <s v="[sΛmər]"/>
        <s v="[sΛmit]"/>
        <s v="[sʌm]"/>
        <s v="[sΛməri]"/>
        <s v="[sΛməràiz]"/>
        <s v="[kənsúːm]"/>
        <s v="[prizúːm]"/>
        <s v="[prizúːməbl]"/>
        <s v="[əsúːm]"/>
        <s v="[əsΛmpʃən]"/>
        <s v="[rizúːm]"/>
        <s v="[səpríːm]"/>
        <s v="[səpíəriər]"/>
        <s v="[supə́ːrb]"/>
        <s v="[səːrdʒ]"/>
        <s v="[sərvéi]"/>
        <s v="[sərvéiləns]"/>
        <s v="[sə́ːrnèim]"/>
        <s v="[səréndər]"/>
        <s v="[ʃuər]"/>
        <s v="[inʃúər]"/>
        <s v="[əʃúər]"/>
        <s v="[inʃúərəns]"/>
        <s v="[ɔ́ːdəbl]"/>
        <s v="[ɔːdíʃən]"/>
        <s v="[ɔ̀ːditɔ́ːriəm]"/>
        <s v="[ɔ́ːdiəns]"/>
        <s v="[ɔ́ːdit]"/>
        <s v="[véikənt]"/>
        <s v="[véikeit]"/>
        <s v="[veikéiʃən, vəikéiʃən]"/>
        <s v="[vǽkjuəm]"/>
        <s v="[vӕksənéiʃən]"/>
        <s v="[ivǽkjuèit]"/>
        <s v="[ivӕkjuéiʃən]"/>
        <s v="[invéid]"/>
        <s v="[ivéid]"/>
        <s v="[pərvéid]"/>
        <s v="[væn]"/>
        <s v="[vǽniʃ]"/>
        <s v="[vǽnəti]"/>
        <s v="[ædvǽns]"/>
        <s v="[ædvǽntidʒ]"/>
        <s v="[dìsədvǽntidʒ]"/>
        <s v="[vénjuː]"/>
        <s v="[ǽvənjùː]"/>
        <s v="[kənvíːn]"/>
        <s v="[kənvénʃən]"/>
        <s v="[kənvénʃənl]"/>
        <s v="[kənvíːnjənt]"/>
        <s v="[sùːvəníər]"/>
        <s v="[révənjùː]"/>
        <s v="[ìntərvíːn]"/>
        <s v="[vent]"/>
        <s v="[vèntəléiʃən]"/>
        <s v="[vénʧər]"/>
        <s v="[ædvénʧər]"/>
        <s v="[invént]"/>
        <s v="[privént]"/>
        <s v="[privénʃən]"/>
        <s v="[ivént]"/>
        <s v="[ǽdvent]"/>
        <s v="[vəːrs]"/>
        <s v="[və́ːrʒən]"/>
        <s v="[ædvə́ːrs, -'-]"/>
        <s v="[ǽdvərsèri]"/>
        <s v="[rivə́ːrs]"/>
        <s v="[kάntrəvə̀ːrsi]"/>
        <s v="[kὰnvərséiʃən]"/>
        <s v="[divə́ːrs]"/>
        <s v="[divə́ːrt]"/>
        <s v="[əvə́ːrt]"/>
        <s v="[ǽdvərtàiz]"/>
        <s v="[kənvə́ːrt]"/>
        <s v="[kənvə́ːrʒən]"/>
        <s v="[və́ːrtikəl]"/>
        <s v="[íntrəvə̀ːrt]"/>
        <s v="[ékstrəvə̀ːrt]"/>
        <s v="[vídiòu]"/>
        <s v="[prəváid]"/>
        <s v="[prəvíʒən]"/>
        <s v="[évədənt]"/>
        <s v="[évədəns]"/>
        <s v="[víʒən]"/>
        <s v="[víʒənèri]"/>
        <s v="[vízəbl]"/>
        <s v="[invízəbl]"/>
        <s v="[invíʒən]"/>
        <s v="[énvi]"/>
        <s v="[énviəbl]"/>
        <s v="[diváiz]"/>
        <s v="[riváiz]"/>
        <s v="[súːpərvàiz]"/>
        <s v="[ædváiz]"/>
        <s v="[vízit]"/>
        <s v="[vóukəl]"/>
        <s v="[voukéiʃən]"/>
        <s v="[ӕvəkéiʃən]"/>
        <s v="[ǽdvəkèit]"/>
        <s v="[vɔis]"/>
        <s v="[ínvɔis]"/>
        <s v="[ivóuk]"/>
        <s v="[kənvóuk]"/>
        <s v="[rivóuk]"/>
        <s v="[prəvóuk]"/>
        <s v="[vάlvou]"/>
        <s v="[rivάlv]"/>
        <s v="[rèvəlúːʃən]"/>
        <s v="[ivάlv]"/>
        <s v="[invάlv]"/>
        <s v="[vάljuːm]"/>
        <s v="[vǽljuː]"/>
        <s v="[vǽljuəbl]"/>
        <s v="[invǽljuəbl]"/>
        <s v="[ivǽljuèit]"/>
        <s v="[vǽlid]"/>
        <s v="[vǽlədèit]"/>
        <s v="[əvéil]"/>
        <s v="[əvéiləbl]"/>
        <s v="[kauˈntərveiˌl]"/>
        <s v="[privéil]"/>
        <s v="[vέəri]"/>
        <s v="[vεəriéiʃən]"/>
        <s v="[vέəriəs]"/>
        <s v="[vέəriəbl]"/>
        <s v="[invέəriəbl]"/>
        <s v="[vέəriənt]"/>
        <s v="[vəráiəti]"/>
        <s v="[víktəri]"/>
        <s v="[víktim]"/>
        <s v="[kənvíkʃən]"/>
        <s v="[vínsəbl]"/>
        <s v="[kənvíns]"/>
        <s v="[váitəmin]"/>
        <s v="[váitl]"/>
        <s v="[vaitǽləti]"/>
        <s v="[inváit]"/>
        <s v="[víːvə]"/>
        <s v="[vívid]"/>
        <s v="[riváivəl]"/>
        <s v="[sərváivəl]"/>
        <s v="[wind (고어·시어) waind]"/>
        <s v="[wínd-]"/>
        <s v="[wíntər]"/>
        <s v="[wíndou]"/>
        <s v="[wiŋ]"/>
        <s v="[swiŋ]"/>
        <s v="[hwisk]"/>
        <s v="[wískər]"/>
        <s v="[hwíski]"/>
        <s v="[hwísl]"/>
        <s v="[hwíspər]"/>
        <s v="[hwip]"/>
        <s v="[hwəːrl]"/>
        <s v="[swəːrl]"/>
        <s v="[wɔːrd]"/>
        <s v="[wɔ́ːrdroub]"/>
        <s v="[ǽftərwərd]"/>
        <s v="[riwɔ́ːrd]"/>
        <s v="[əwɔ́ːrd]"/>
        <s v="[ínwərd]"/>
        <s v="[wiðhóuld, wiθ-]"/>
        <s v="[wiðdrɔ́ː wiθ-]"/>
        <s v="[wiðdrɔ́ːəl wiθ-]"/>
        <s v="[ræp]"/>
        <s v="[rest]"/>
        <s v="[résliŋ]"/>
        <s v="[rentʃ]"/>
        <s v="[rek]"/>
        <s v="[ræθ]"/>
        <s v="[rǽŋgl]"/>
        <s v="[ríŋkl]"/>
        <s v="[rɔ́ːŋ]"/>
        <s v="[rist]"/>
        <s v="[rait]"/>
        <s v="[wɔːr]"/>
        <s v="[wέəri]"/>
        <s v="[wɔːrn]"/>
        <s v="[wɔ́ːrənt]"/>
        <s v="[wɔːrm]"/>
        <s v="[wəːrm]"/>
        <s v="[waiər]"/>
        <s v="[wáiərlis]"/>
        <s v="[wəːrld]"/>
        <s v="[wə́ːrldli]"/>
        <s v="[wə́ːri]"/>
        <s v="[wəːrd]"/>
        <s v="[sɔːrd]"/>
        <s v="[swiʧ]"/>
        <s v="[swap]"/>
        <s v="[swim]"/>
        <s v="[swάlou]"/>
        <s v="[swei]"/>
        <s v="[swet]"/>
        <s v="[swan]"/>
        <s v="[swamp]"/>
        <s v="[swel]"/>
        <s v="[swiːp]"/>
        <s v="[swift]"/>
        <s v="[swεər]"/>
        <s v="[égzit, éksit]"/>
        <s v="[igzάtik]"/>
        <s v="[ikskwízit, ékskwizit]"/>
        <s v="[ikspíəriəns]"/>
        <s v="[ikspérəmənt]"/>
        <s v="[éksikjùːt]"/>
        <s v="[ékspəːrt]"/>
        <s v="[èkspərtíːz]"/>
        <s v="[iksplísit]"/>
        <s v="[iksplɔ́it]"/>
        <s v="[ikstóul]"/>
        <s v="[igzǽdʒərèit]"/>
        <s v="[igzӕdʒəréiʃən]"/>
        <s v="[èkspounénʃəl]"/>
        <s v="[iksplóud]"/>
        <s v="[ikstɔ́ːrt]"/>
        <s v="[égzail]"/>
        <s v="[igzɔ́ːst]"/>
        <s v="[igzɔ́ːstiŋ]"/>
        <s v="[igzɔ́ːstid]"/>
        <s v="[igzémpt]"/>
        <s v="[ékstrə]"/>
        <s v="[]"/>
        <s v="[ikstə́ːrnl]"/>
        <s v="[ikstríːm]"/>
        <s v="[ikstríːmli]"/>
        <s v="[fiks]"/>
        <s v="[əfíks]"/>
        <s v="[símbəl]"/>
        <s v="[símptəm]"/>
        <s v="[simpóuziəm]"/>
        <s v="[símətri]"/>
        <s v="[símfəni]"/>
        <s v="[síndroum]"/>
        <s v="[síŋkrənàiz]"/>
        <s v="[sínərdʒi]"/>
        <s v="[sínθəsis]"/>
        <s v="[fòutəsínθəsis]"/>
        <s v="[heiz]"/>
        <s v="[meiz]"/>
        <s v="[əméiziŋ]"/>
        <s v="[geiz]"/>
        <s v="[douz]"/>
        <s v="[dʒæz]"/>
        <s v="[pΛzl]"/>
        <s v="[sízl]"/>
        <s v="[dǽzl]"/>
        <s v="[drízl]"/>
        <s v="[kréizi]"/>
        <s v="[léizi]"/>
        <s v="[zoun]"/>
      </sharedItems>
    </cacheField>
    <cacheField name="힌트" numFmtId="0">
      <sharedItems containsNonDate="0" count="2499">
        <s v="부풀어 오르다(b) 모든(all) 면이 그렇게 생긴 것은 ‘공’"/>
        <s v="부풀어 오른 공(ball)이 나중에 아래(oo-u)로 바람이 빠져 나오면 없어지는(n) 것 ‘풍선, 기구’"/>
        <s v="공처럼 불룩한(b) 모양의 ‘종, 벨’"/>
        <s v="불룩한 bell에 확장을 의미하는 y가 더해저서 더욱더 불룩한 모습이 되는 ‘불룩한 배’"/>
        <s v="처음에 공(ball)처럼 생긴 작은 덩어리(let)였던 ‘총알’"/>
        <s v="공(ball)처럼 부풀어 오르는(b) ‘둥근 뿌리, 전구’"/>
        <s v="공(ball)처럼 몸이 부풀어오르고 확장(k)되니 ‘큰 규모, 육중한 것’"/>
        <s v="불룩(b)한데 잘 보이지 않는(s) 곳에 있는 ‘바닥, 기초, 기지’"/>
        <s v="기초, 바닥(base)의 상태(~ic)이므로 ‘기초적인, 근본적인’"/>
        <s v="건물의 기초(base)에 해당하는 ‘지하층, 지하실’"/>
        <s v="1루, 2루, 3루에 둔 base(바닥)을 밟으며 ball(공)로 하는 경기, ‘야구’"/>
        <s v="음악의 여러 파트 중에서 낮은(bass 바닥)음을 차지하는 ‘베이스, 저음’"/>
        <s v="(허리띠 윗 부분에서) 불룩해지고(b) 늘어진(l) 스타일의 옷, ‘블라우스’"/>
        <s v="부풀어(bl) 둥근(o) 모양이 한점(at) 생기니 ‘부풀다(붓다)’"/>
        <s v="부풀려진(bl) 둥근(o) 입에서 바람(w)을 ‘불다’"/>
        <s v="바람을 부는(blow) 것처럼 몸이 부푼 모습의 불고기(fish), ‘복어’"/>
        <s v="부풀고(bl) 안에(i) 물이 있어 피부가 서 있는(st) 것처럼 보이는 ‘물집’"/>
        <s v="눈꺼풀이부풀어(bl) 올라 시력이 아래로(u) 바닥이 되고 보려면 눈에 힘(r)도 많이 들어가니, ‘흐릿해지다’"/>
        <s v="눈꺼풀이 부풀어(bl) 올라 안에(i) 있는 시력을 없어지니(n) ‘눈이 먼’"/>
        <s v="사실을 부풀려(bl)서 수준이 낮고(u) 내용은 가벼운(ff) ‘허풍’"/>
        <s v="부풀어(b) 아래에서(u) 올라오며 계속 부풀어(bb) 오르는 ‘거품’"/>
        <s v="부풀어 오르지만(bu) 아직 성장이 저하된(d) ‘싹, 꽃봉오리’"/>
        <s v="싹(bud)을 틔우기 위해 가지는(get) ‘예산’"/>
        <s v="부풀어 오른(bu) 작은(n) 빵, ‘동그랗고 작은 빵’"/>
        <s v="동그랗고 작은 빵(bun) 같은 것들을 잡아서(ch) 만든 ‘다발, (포도 따위의) 송이’"/>
        <s v="자꾸 ‘사다’ 그래서 가방이 부풀어 오르고(bu) 안에 구입한 개수가 확장(y)되어 간다."/>
        <s v="사서(buy) 세게 힘을(r) 가해 ‘묻어 놓다’"/>
        <s v="속에서 부풀어 올라오는(bu) 가스의 힘(r)이 밖으로 폭하고(p) 튀어 나오는 ‘트림, 트림소리’"/>
        <s v="막고(b) 하나(an)도 못 나가게 하니 ‘막다, 금지하다, 금지’"/>
        <s v="들어오는 걸 막고(ban) 보이지(sh) 않도록 ‘추방하다, 몰아내다’"/>
        <s v="터져 나가지 못하게 막으려고(b) 끈을 더하여(and) ‘묶다, 반창고, 띠, 무리’"/>
        <s v="묶어 놓고(band) 그것(it)을 달라고 하는 ‘노상강도’"/>
        <s v="집(house)을 끈(band)으로 둘러싸듯 보호하는 사람, ‘남편’"/>
        <s v="하나로(a) 묶어 놓은(band) 것을 없애니(n) ‘포기하다, 버리다’"/>
        <s v="반창고(band)를 오랫동안(age) 감아 놓으려고 만든 것, ‘붕대’"/>
        <s v="(band ▶︎ bind) ‘묶다’"/>
        <s v="묶어서(band ▶︎ bond) 하나되게 하는 ‘결속, 유대, 접찹제’"/>
        <s v="아래쪽에(u) 넣어두고 묶으니(bond) 이동이 제한되어 생기는 ‘한계, 경계’"/>
        <s v="국가 사이의 경계(bound)를 더 강화(r)하고 확장(y)하면 생기는 ‘국경, 경계’"/>
        <s v="묶어서(bund) 긴(l) 끝으로 조이니 만들어지는 ‘다발, 꾸러미’"/>
        <s v="막는데(b) 막대기 같은 것을 더해(a) 힘을(r) 가하니 ‘가로막다, 빗장, 막대기’"/>
        <s v="막대기(bar)를 뻗어 놓아(tend) 손님이 더 들어오지 못하게 막고 술을 제조하는 사람(er) ‘바텐더’(이에 bar가 술집이라는 의미가 생김)"/>
        <s v="예전에는 술집(bar)에서 서로 원하는 바를 얻기(gain)위해 ‘흥정, 거래’하기도 했다."/>
        <s v="입구를 가로 막아서(bar) 없어지지(n) 않게 보관하는 ‘헛간’"/>
        <s v="나가지 못하게 막아(bar) 놓은 입구(e)도 있고 흘러가는(l) 액체가 담겨 있는 ‘불룩한 통’"/>
        <s v="빗장, 막대기(bar)를 걸어 안에(i) 있도록 힘을(er) 가하는 것, ‘장애물, 울타리’"/>
        <s v="빗장, 막대기(bar)를 설치하여 나오지 못하게 잡고(c) 힘을 저하(d)시키는 ‘방책, 장벽, 바리케이드’"/>
        <s v="안에(em) 가두고 빗장(bar)을 걸어 나가지 못하게 해 ‘당황하게 하다’"/>
        <s v="안에(em) 가두고 빗장(bar)을 걸어 가지(go) 못하게 하니, ‘통상금지’"/>
        <s v="막아(bar)버리니 자궁(생명의 탄생지) 안(en)을 ‘불임’의 상태, 땅의 생명을 막아 버리니 ‘불모의, 척박한’ 상태이다."/>
        <s v="터져나가(b) 점(at)으로 접하니 하니, ‘때리다, (공을) 치다’"/>
        <s v="서로 때리기(bat)를 오래하는(l) ‘전투, 싸움’"/>
        <s v="때려서(bat) 작게 만드니 ‘약하게 하다, 줄이다’"/>
        <s v="하나씩(a) 줄이니(bate) ‘감소시키다, 줄이다, 완화하다’"/>
        <s v="말로 상대방의 사기를 저하시키고(d) 약하게(bate) 하는 논쟁, ‘논쟁하다, 토론하다’"/>
        <s v="때리다(bat)보다 좀 더 발음을 길어지게 발음하면 ‘(아주 세게 계속) 때리다’, 그 결과 상대방을 ‘이기다’"/>
        <s v="두개(bi)의 바퀴(cycle) ‘자전거’"/>
        <s v="다른 두개(bi)를 같다고(as) 하는 ‘편견’"/>
        <s v="모두 다(ali-all) 범행 현장과 다른 각각의, 두개의(bi) 장소에 있었음을 증명하는, ‘알리바이, 변명’"/>
        <s v="두개(bi)의 언어(language)를 사용하는, ‘2개 국어를 말하는’"/>
        <s v="두개(bi)의 렌즈(ocular)를 사용하는 ‘쌍안경’"/>
        <s v="두개(bi)로 자르니(sect) ‘양분하다, 이등분하다’"/>
        <s v="생명(bio)을 다루는 학문(log)인 ‘생물학’"/>
        <s v="반대(anti)로 생명(bio)에 작용하는 ‘항생 물질, 항생제’"/>
        <s v="생명(bio), 인생에 대해 그래프(graph)를 그리듯이 쓴 ‘전기, 일대기’"/>
        <s v="꽃망울이 터져(bl) 향기가 아래쪽(oo)에서 부터 사방에 움직여(m) 나가니 ‘꽃이 피다’"/>
        <s v="빛이 다 터져(bl) 나가고 빛이 부족(lack)해서 깜깜한 상태인 ‘검은, 검은색’"/>
        <s v="글자가 다 터져(bl) 나가 없어지면서(n) 확장(k)되어 날아가 버리니, ‘비어있는, 백지의, 빈칸’"/>
        <s v="흰색이고(blank) 접촉(t)해서 덮어주는 ‘담요’"/>
        <s v="색이 터져(bl) 나가게 잡아서(ch) 빼내니 ‘표백하다, 희게하다’"/>
        <s v="욱하는 성질이 터져 나와(bl) 아래로(d) 칼을 내려치는 모습에서 연상되는, ‘칼날, 날’"/>
        <s v="상처가 터져서(bl) 벌어진 입구(ee)를 통해 아래로(d) ‘피를 흘리다’"/>
        <s v="터져서 멀리(bl) 불씨가 나가고 지익~(z) 소리를 내며 타다, ‘불타다’"/>
        <s v="더하다(a) 불타오는(blaze) 것을 그 결과, ‘불길에 휩싸인’"/>
        <s v="불타는(blaze) 듯이 눈보라가 부니 ‘심한 눈보라, 폭설’"/>
        <s v="행운이 터져서 멀리(bl) 나가길 바라니 ‘축복하다’"/>
        <s v="터져서 멀리(bl) 나가게 하니 ‘폭발하다, 폭파’"/>
        <s v="파도가 터지듯이(bl) 아래쪽에서(u) 부터 세차져서 서서(st) 힘있게(r) 때리니 ‘(파도가) 거세게 몰아치다, 고함치다’"/>
        <s v="터져서(b) 아래쪽에서(u) 있던 것이 세게(r) 다 나가 서(st) 버리니 ‘폭발하다, 폭발’"/>
        <s v="어떤 내용을 크게 터지듯이(bl) 힘있게(r) 말하니 ‘크게 울려 퍼지다’"/>
        <s v="빛이 터져 나가는(bl) 눈부신 금색이고 둥근 머리(o) 끝(end-nd)에 나 있는 ‘금발’"/>
        <s v="터져서(b) 깨진 그 조각들이 힘 차게(r) 확장(k)되어 나가니, ‘깨뜨리다, 부수다’"/>
        <s v="깨다(break) 저녁 먹고 아침까지의 단식(fast), 즉 일어나서 처음 먹는 ‘아침식사’"/>
        <s v="파괴(break)하여 오래 두니(age) ‘파손, 손상’"/>
        <s v="문제를 부수고(break) 통과(through)하니, ‘(문제 해결의) 돌파구’"/>
        <s v="와인 통을 따서(break) 거래를 시작하는 ‘중매인, 중개인’"/>
        <s v="통을 깨서(br) 구멍(o)을 내려고 잡는(ch) 기구 이자 중매인(broker)이 와인 통에 구멍을 내고자 쓰는 도구, ‘(통에 구멍내는) 송곳’"/>
        <s v="구멍을 내는 송곳(broach)으로 입구(e)를 내는 순간 생기는 ‘터진 구멍, 위반, 침해’"/>
        <s v="깨지는(break) 성질이 있어 잘 잡아야(c) 하는 ‘벽돌’"/>
        <s v="기운이 터져 나와(br) 표면(sk)에 활발한 기운이 보이니, ‘활발한, 기운찬’"/>
        <s v="터져나가(br) 작은 조각(little &gt; ittle)이 되기 쉬운, ‘깨지기 쉬운, 부서지기 쉬운’"/>
        <s v="부서져서 터져 나온(br) 가루에 압력(qu)을 가해서 세워(tt) 놓은 것, ‘연탄, 조개탄’"/>
        <s v="터져서(br) 넓게 길(road)을 만드니 ‘넓은’"/>
        <s v="나무를 넓게(broad) 만든 것이 ‘널판지, 판자’"/>
        <s v="내 발에 더하는(a) 것이 물 위에 판자(board)이므로 ‘승선하여, (배, 비행기 등을) 타고’"/>
        <s v="넓은(broad) 것을 나타내는 ‘너비, 폭, 폭넓음’"/>
        <s v="공기가 터져(br) 입과 코를 통과해(th) 나아가는 것, ‘호흡’"/>
        <s v="기포가 터져(b) 나가게 하고 기름(oil)을 이용하기도 하는 동작인 ‘끓이다’"/>
        <s v="고기 등이 익어서 터질(br)듯이 기름(oil)으로 지글지글 ‘굽다’"/>
        <s v="터질(br)듯이 안(i)에 있는 말을 빨리(f) 해버리니 줄여서 ‘간단한, 잠시 동안의’"/>
        <s v="하나씩(a) 터져 나가게(b) 해서 짧게 간단히(brief) 만드니 ‘단축하다, 생략하다’"/>
        <s v="이탈하다(ab) 가던 길(road)을 그래서 해외로 가다, ‘해외로, 외국에(으로)’"/>
        <s v="단체로부터 이탈(ab)해 오래(l) 지속되니 ‘할 수 있는, 능력 있는, 유능한’"/>
        <s v="할수 있는(able) 것을 딱 세우니(t) ‘능력, 역량’"/>
        <s v="안에(en) 힘을 불어 넣어 할 수(able) 있게 만드니, ‘가능[용이]하게 하다’"/>
        <s v="이탈(ab) 시켜서 멀리(l) 날아가 슥 하고(sh) 사라지게 만드니, ‘없애다, 폐지하다’"/>
        <s v="이탈(ab)하니 정상(normal)적인 상태에서, ‘이상한, 보통과 다른’"/>
        <s v="이탈(ab)시키니 둥근(o) 자궁에 힘있게(r) 서있는(t) 생명을, ‘낙태하다, 유산시키다’"/>
        <s v="이탈(ab)시키니 올바른 사용법(use)에서, ‘남용하다’"/>
        <s v="이탈(ab)되다 분명한(sure)한 것에서 그리고 저하되니(d), ‘터무니 없는, 우수꽝스러운, 불합리한’"/>
        <s v="이탈(ab)한 것을 흡수(sorb)하니, ‘빨아들이다, 흡수하다’"/>
        <s v="문제의 골치 아픔에서 이탈(ab)하여 해답(solution)을 찾으니 ‘완전한, 절대적인’ 상태가 된다"/>
        <s v="책임과 죄에서 이탈(ab)시키고 부드럽게(s) 해주니 ‘풀어주다, 사면하다, (죄를) 용서하다’"/>
        <s v="있어야 하는 곳에서 이탈(ab)시켜서 보내버린(sent) 상태라서 ‘부재의, 결석의, 없는’"/>
        <s v="평소 모습에서 이탈(ab)되고 터져 버리니(rupt) ‘갑잡스러운, 뜻밖의’"/>
        <s v="순환(circ)하며 길게(l) 돌아 만들어지는 ‘원, 원둘레’"/>
        <s v="안(en)에 두고서 원(circle)을 만드니 ‘둘러싸다, 에워싸다’"/>
        <s v="원(circle) 모양으로 길게(l) 움직이니 ‘순환하다’"/>
        <s v="원(circle) 생긴 무대에서 벌어지는 쇼, ‘서커스’"/>
        <s v="원 모양(circ)의 둘러싼 범위에서 움직이거나(m), 서 있게(stance)되는 곳인 ‘(주변의) 상황, 환경’"/>
        <s v="원(circ)모양으로 순환하니 ‘순환, 반복, 주기’"/>
        <s v="두개(bi)의 원(cycle)으로 가는 ‘자전거’"/>
        <s v="사용한 것을 다시(re) 순환시키니(cycle) ‘재활용하다’"/>
        <s v="순환(cycl-cycle)을 계속(on)해서 만들어내는 ‘큰 회오리 바람, 대폭풍’"/>
        <s v="손님을 잡아서(c) 이동중에 터져(b) 나가지 못하게 한 공간(cab)인 ‘택시, 마차’"/>
        <s v="택시처럼 작은 공간(cab)이고 안에(in) 들어가서 쉴 수 있는 ‘오두박집, 통나무집’"/>
        <s v="오두막집(cabin) 같은 작은 공간 안에(in) 물건을 세워(t) 놓은 ‘수납장, 장식 선반’"/>
        <s v="물가에서 오두막집(cabin-caban) 같은 것을 하나(a) 단독으로 사용하니, ‘오두막집, (해변 등의) 간이 탈의실’"/>
        <s v="공간(cab-cub)을 잘 잡아 놓은 것이니 ‘입체의, 정육면체의’"/>
        <s v="정문면체(cubic) 같은 작은 공간을 길게(l) 줄 세워 놓은 ‘(큰 방 한 쪽을 칸막이 해 만든) 좁은 방’"/>
        <s v="잡고 보니(c) 하나도(a) 안에 아무것도(n) 없어, 비어 있는 ‘통, 용기, 관’"/>
        <s v="통, 관(can) 처럼 비어 있는 ‘(대나무﹒사탕수수 등의) 줄기’, 이 줄기로 만드는 ‘지팡이’"/>
        <s v="(사탕수수의) 줄기(cane)에서 추출한 설탕으로 만드는 ‘사탕’"/>
        <s v="비어 있는 통, 관(can) 같은 대포 포신에 지속 적으로(on) 대포알을 넣어서 발사하는 ‘대포’"/>
        <s v="관(can) 같은 계곡이 확장(y)되어 계속(on) 이어지는 ‘협곡’"/>
        <s v="관(can) 처럼 길게 파서 만들어 물이 흘러가게(l) 만든 ‘운하’"/>
        <s v="관(can-chan) 처럼 긴 수로를 통해 길게(l) 나갈 수 있는 ‘해협, 수로’, 이 수로를 통해서 무역이 가능했으므로 ‘경로, 루트’의 의미로 확장되었다."/>
        <s v="머리를 잡는(cap)것처럼 보이는 ‘모자’"/>
        <s v="약을 잡아서(cap) 부드럽게(s) 아래쪽으로(u) 물 흘러가듯이(l) 잘 넘어가라고 담는 ‘작은 통, 캡슐’"/>
        <s v="잡아서(cap) 도시(city)에 받아들일 수 있는 ‘수용 인원, 수용력’"/>
        <s v="잡고(cap) 또 잡을(c) 수 있으니 ‘널찍한, 큼직한’"/>
        <s v="잡을(cap) 수 있는 능력을 가진(able) ‘유능한, 할 수 있는’"/>
        <s v="모자(cap)를 쓰고 서서(t) 지휘소 안(in)에 있어서 명령하는 ‘대장, 선장’"/>
        <s v="대장처럼 모자(cap)를 쓰고 최고의 자리에 서서(t) 모두(al-all)를 다스리는 대장같은 도시, ‘수도’, 문자의 대장인 ‘대문자’, 사업에서 가장 필요한 으뜸인 ‘자본’"/>
        <s v="몸을 잡고(cap) 머리 부분만 입구(e)를 내 놓은 ‘망토’"/>
        <s v="밖으로(ex-es) 망토(cape)를 입고 ‘달아나다, 도망가다’"/>
        <s v="손(hand)을 잡아(cap) 놓으니 불리한 ‘조건, 장애’ "/>
        <s v="모자(cap)가 사이즈(size)를 보여주려고 뒤집는 것처럼 ‘뒤집히다’"/>
        <s v="잡아서(cap) 움직이지 못하게 세워(t)두니 ‘붙잡다, 포획하다’"/>
        <s v="잡아서(cap) 움직이지 못하게 세워(t)서 안쪽(i) 갈라진 틈(v) 공간에 집어 넣으니 ‘포로, 인질’"/>
        <s v="머리(앞)을 잡는 모자(cap)처럼 문서나 사진의 앞에 접해(on)있는 ‘표제, 제목’"/>
        <s v="조상들이 앞서서(pre) 잡아 놓은(cept) 좋은 말, ‘격언, 계율, 교훈’"/>
        <s v="함께(con) 여러 사람들이 잡아서 받아 들이는 (cept) ‘개념’"/>
        <s v="잘못되게(mis) 잡아서 받아들이는 개념 (concept)이니 ‘오해, 착각’"/>
        <s v="아래쪽(sus) 약한 단계에서도 바로 잡아(cept) 인식할 수 있는(able-ible) ‘민감한, 예민한’"/>
        <s v="더하여(a) 잡고(c) 또 잡으니(cept) ‘받아들이다, 승낙하다’"/>
        <s v="힘을(re) 다해 잘 받아들임(cept), 물건이면 ‘수령’, 사람을 잘 받아들이면 ‘응접, 접수, 환영(회)’"/>
        <s v="사람을 접수(reception)하는 사람(~ist)이니 ‘(호텔•사무실• 병원 등의) 접수 담당자’"/>
        <s v="지불한 후에 다시(re) 그 내역을 잡아서(ceipt) 알게 해주는 ‘영수증’"/>
        <s v="밖으로(ex) 잡아내니(cept) ‘제외하는 바는~’"/>
        <s v="밖으로(ex) 잡아내니(cept) ‘제외, 예외’&#10;*~ion은 명사를 나타내는 말"/>
        <s v="보통이 아니라서 제외(except)시켜야 하므로, ‘예외적인, 매우 뛰어난’"/>
        <s v="필요한 부분을 밖으로(ex) 잡아 끄집어내 (cept) 힘있게(r) 사용하므로 ‘발췌, 인용구’"/>
        <s v="사람을 바보(저하, de)가 되도록 잡아(cept) 끄는 ‘속임수, 기만’"/>
        <s v="안으로 들어가 사이에서(inter) 잡으니(cept) ‘가로채다’"/>
        <s v="다시(re) 요리를 해 먹을 수 있게 정보를 잡아(cip) 놓은 ‘조리법’"/>
        <s v="현재의 반대쪽(anti), 미래를 머리속에서 잡아 (cip)보니 ‘예상하다, 기대하다’"/>
        <s v="뽑아서 분리시켜(dis) 잡아(cip) 놓고서 훈련을 오랫동안(l) 시키는 대상인 ‘제자, 문하생’"/>
        <s v="제자(disciple)를 새롭게(n) 만드는 과정에 필요한 ‘훈련, 훈육, 규율, 학과목’"/>
        <s v="앞서서(pre) 잡으려(cip) 나아가게(t)하니 ‘재촉하다, 촉진시키다’"/>
        <s v="학교에서 왕자(prince)처럼 놓은 자리를 잡고 (cip) 학교의 모든(all-al) 일을 관장하는 ‘교장’"/>
        <s v="내가 주면 상대방도 다시(re) 잡아서(cip) 돌려(ro)주는 ‘상호의, 서로의’"/>
        <s v="왕자(prince)처럼 중요하게 잡고(cip)서 오랫동안(l) 지켜야 할 ‘원칙, 법칙’"/>
        <s v="한 부분(part), 즉 역할을 잡아(cip) 안으로 들어가니 ‘참여하다, 참가하다’"/>
        <s v="어떤 공간(o)을 잡고(c) 또 잡으니(cup) ‘차지하다, 점유하다’"/>
        <s v="앞서(pre) 차지하니(occupy) ‘먼저 점유하다, 선취하다’, 생각을 먼저 점유하면 ‘마음을 빼앗다, 몰두하게 하다’"/>
        <s v="다른 것보다 앞서(pre) 생각을 차지(occupy)한 것이니 ‘몰두한, 열중한, 정신이 팔린’"/>
        <s v="사람을 안에 잡아서(c) 힘있게(r) 굴러가는 것, ‘차, 마차, 자동차’"/>
        <s v="차(car)나 배에 싣고 가는(go) 것, ‘화물’"/>
        <s v="마차(car)를 만들기 위해 펜(pen)으로 설계를 하는 사람(er), ‘목수’"/>
        <s v="구르면서(car) 물건을 세워(t)놓아 이동시키는 ‘손수레’"/>
        <s v="손수레(cart)에 잘 신기(on) 위해 이용하는 것, ‘(운송용) 판지 상자, 종이 상자’"/>
        <s v="물건 등을 차(car)에 싣고서 힘있게(r) 나아가게 하니 ‘운반하다’, 물건 등을 잡고서(c) 힘을 주어(r) 나아가게 하니 ‘가지고[들고] 가다’"/>
        <s v="물건 등을 운반하는(carry) 사람(er), ‘운송인, 수송[운송] 회사’"/>
        <s v="사람 등을 운반하는(carry) 것이 오랫동안(age) 가능 한 ‘마차, (기차의) 객차’, 그리고 이를 통한 ‘운송, 수송’"/>
        <s v="차가 굴러가듯(car) 오랫동안(ee) 내가 힘차게(r) 굴러온 길, ‘경력’"/>
        <s v="사람의 마음을 굴러가게(car-char)해 감복하게 하는 큰(m) 힘, ‘비범한 통솔력’"/>
        <s v="마차(car)에 홈(v)을 파면서 멋진 문양을 만드니 ‘조각하다’"/>
        <s v="차(car-char)가 축(g) 처지도록 짐을 실어 ‘채우다’, 휘발유 등으로 채우면 ‘충전하다’, 부담 등으로 채우면 ‘(책임을) 지우다’"/>
        <s v="아래쪽으로 분리(dis)해서 채웠던(charge) 것을 가게 하니 ‘짐을 내리다, 방출하다, 퇴원하다, 해고하다’"/>
        <s v="굴러가다가(cur) 갈라진 틈(v)으로 다시 들어 가게 만든 모양, ‘곡선’"/>
        <s v="머리털이 둥글게 굴러가듯이(cur) 길게(l) 늘어져 있으니 ‘(형태가) 곱슬곱슬한 머리카락’"/>
        <s v="굴러다니지만(cur) 현재라는 시간 안(en)에서 나아가는(t) ‘현재의, 통용되는(유통되고 있는), 흐름’"/>
        <s v="널리 통용(유통)되고 있는(current) 것, ‘통화, 통용’"/>
        <s v="함께(con) 현재 지금(current)에 있으니 ‘동시 발생의, 공존하는’"/>
        <s v="구르면서(cur) 둥근(o)것을 만나니 굽어 돌기도하고(cour) 때로는 부드럽게(s) 가기도 하는 ‘진로, 방향, 과정’"/>
        <s v="좋지 못한 상황을 안으로(in) 굴러 오게(cur)하니 ‘초래하다’"/>
        <s v="갑작스럽게 안으로(in) 굴러 들어오니(cur) ‘침입, 급습’"/>
        <s v="둥근(o) 돌이 갑작스럽게 굴러 들어오듯(cur) ‘(일이) 일어나다, 생기다’"/>
        <s v="다시(re) 굴러 들어오니(cur) ‘다시 일어나다, 되풀이 되다’"/>
        <s v="굴러(cur) 나가지 못하게 막으니(b) ‘억제[제한]하다’"/>
        <s v="굴러가는 차(car-cur)가 거의 없게(few) 만드는 ‘통행금지령, 통행금지 시간, 귀가 시간’"/>
        <s v="잘 굴러가듯이(cur) 움직이고 필요에 따라 붙잡아(tain) 묶어 두기도 하는 ‘커튼, 휘장’"/>
        <s v="밖으로(ex) 굴러가는 차(cur)를 타고 나가는 ‘나들이, 소풍, 견학’"/>
        <s v="함께(con) 굴러 가기(cur)로 ‘동의하다, 의견이 일치하다’"/>
        <s v="잡고서(c) 소중한 존재(are)를 ‘돌보다, 마음 [신경]을 쓰다, 주의, 걱정, 관심’"/>
        <s v="마음[신경]을 쓰는(care) 것이 가득(ful)하니 ‘주의 깊은, 조심스러운, 세심한’"/>
        <s v="마음[신경]을 쓰는(care) 것이 없으니(less) ‘부주의한, 신중하지 않은’"/>
        <s v="무엇보다 앞서(pre) 걱정(care)해야 하니 상황이 ‘위태로운, 불완전한’"/>
        <s v="마음을 쓰며 돌보는(care-char) 마음으로 주는 ‘기부, 자선, 구호’"/>
        <s v="마음을 쓰며 돌보니(care-char-cher) ‘소중히 여기다’"/>
        <s v="신경을 쓰며 꽉 잡아(ch) 주어야 하고, 조금만 멀리(l) 가도 아래로(d) 잘 넘어지는 ‘어린 아이의’"/>
        <s v="환자를 마음을 쓰며 돌보는(care-cure) ‘치료, 의료, 치료법’"/>
        <s v="돌보아 치료(cure-cur)하는 힘이 나아가(t) 환자 의 틈(v)으로 들어가니 ‘치료의, 치료 효험이 있는’"/>
        <s v="박물관 등을 돌보는(care-cure) ‘사람, 전시 기획자, (박물관 등의) 관리자’"/>
        <s v="사람의 손(man)을 잡아서 돌보는(care-cure) 사람, ‘(손톱에) 매니큐어를 하다, 다듬다’"/>
        <s v="(위험으로부터) 분리시켜(se) 돌보니(cure) ‘안전한, 안전하게 하다’"/>
        <s v="반대(in)인 것이 안전한(secure) 상태이므로 ‘불안한, 자신이 없는’"/>
        <s v="다시(re) 안전한(secure-scue) 상태로 만드니 ‘구조하다, 구출하다’"/>
        <s v="어떤(o) 것이 터져(b) 사라지니(s) 분명히 잡아 마음을 쓸(cure) 수 없어 ‘애매한, 분명하지 않은’"/>
        <s v="더하여(ac) 마음을 쓰니(cure-cur) ‘정확한, 정밀한’"/>
        <s v="부정(in) + 정확한(accurate) = ‘부정확한’&#10;* in은 나를(i) 없애니(n) 부정, 반대를 의미한다"/>
        <s v="설명이 필요할 때 잡아서(c) 사용하는(use) ‘근거, 이유, 원인’"/>
        <s v="이유(cause-cau)가 있으니 계속(on)적으로 ‘주의, 조심, 경계’"/>
        <s v="조심(caution-cautio)스런 상태이니 ‘조심스러운, 신중한’"/>
        <s v="미리 앞서서(pre) 조심(caution)하니 ‘예방조치, 사전대책’"/>
        <s v="밖으로(ex) 이유(cause-cuse)를 대니 ‘변명하다, 변명, 핑계’"/>
        <s v="하나 하나(a) 잡아(c) 잘못의 이유(cause-cuse)들을 대니 ‘고발하다, 비난하다’"/>
        <s v="C모양으로 위(over)에 덮으니 ‘덮다, 가리다, 보호하다’"/>
        <s v="덮어서 보호(cover)하는 데 일정한 시기(age)동안 보호하는 ‘(보험의) 보호, 보상 범위’"/>
        <s v="분리(dis)시키는 것이 덮고(cover) 있던 것이니 새로운 것을 ‘발견하다’"/>
        <s v="다시(re) 보호하는 덮개(cover)가 놓이니 면역력이 생겨 점점 ‘회복하다, 되찾다’"/>
        <s v="보이지도 않는(s) 아래쪽(u)에서 위쪽으로 나아가니(ceed) ‘성공하다’"/>
        <s v="보이지도 않는(s) 아래쪽(u)에서 위쪽으로 나아가니(ceed-cess) ‘성공’"/>
        <s v="부드럽게(s) 아래쪽(u)에서 위쪽으로 나아가니(ceed-cess) ‘연속하는’"/>
        <s v="앞으로(pro) 가니(ceed) ‘나아가다, 진행하다’"/>
        <s v="앞으로(pro) 하나씩 나아가는(ceed-cess) ‘(일련의) 과정, 공정’"/>
        <s v="하나씩 진행해(proceed) 나가는 ‘절차’"/>
        <s v="다른 것보다 앞서(pre) 나아가니(cede-ceed) ‘선행하다’"/>
        <s v="기준 밖으로(ex) 가니(ceed) ‘초과하다, 능가하다, 넘어서다’"/>
        <s v="기준 밖으로(ex) 가니(ceed-cess) ‘초과’"/>
        <s v="초과(excess)인 상태(~ive)이므로 ‘지나 친, 과도한’"/>
        <s v="왔던 길을 다시(re) 가니(ceed-cede) 돌아가다 ‘물러나다[가다], 철회하다’"/>
        <s v="진행 중인 일을 잠시 다시(re) 뒤로 가게 하니 (ceed-cess) ‘휴회, 휴식시간’"/>
        <s v="경기가 뒤로 물러나니(recede-recess) ‘경기 후퇴, 불경기’"/>
        <s v="혼자서(an) 서서(t) 먼저 갔던(cede) 선행사건, ‘선행하는, 선조’"/>
        <s v="처음 혼자 간(ces-cess) 사람(or) ‘선조, 조상’"/>
        <s v="더하여 잡고서(ac) 가니(cess) ‘접근, 가까이 다가감’"/>
        <s v="접근(access) 가능한(able-ible) 상태, ‘접근할 수 있는, 이용 가능한’"/>
        <s v="반대(in)인 상태로 접근할 수 있는(accessible) 이므로 ‘접근하기 어려운’"/>
        <s v="더하여 잡고서(ac) 계속 가는(cess) ‘부속물, 액세서리’"/>
        <s v="없어서(n), 새롭게 있어야 하기에 가지러 가야(cess) 하는 ‘필요한’"/>
        <s v="없어서(n), 새롭게 있어야 하기에 가지러 가야(cess)하니 ‘필요로 하다’"/>
        <s v="앞서(pre) 아래로(de) 먼저 간(cess) ‘전임자, 선배’"/>
        <s v="가버리게(cess-cease) 하니 ‘끝내다, 중지하다’"/>
        <s v="중지함(cease)이 풀어져 없어지니(less) ‘중단없는, 끊임없는’"/>
        <s v="땅 아래로(de) 내려가 삶을 중지(cease)하니 ‘사망하다’"/>
        <s v="어쩌다 내 인생에 하나 잡아 더해져(ac) 가며(cid) 벌어지는 일 ‘우연한 일, 사고’"/>
        <s v="accident(우연한 일) + 상태(al) &gt; ‘우발적인, 뜻하지 않은’"/>
        <s v="외부에서 안으로(in) 가서 일어나는(cid) 일, ‘사건, 사고’"/>
        <s v="본론 외의 사건(incident)이 일어나니 ‘부수적으로 일어나는’"/>
        <s v="다시(cre) 제대로 잡으니(ceive) ‘받다, 수령하다’"/>
        <s v="완전히(per-perfect) 잡게(ceive)되니 ‘인지하다, 이해하다’"/>
        <s v="부부가 함께(con) 같은 생각을 취하니(ceive) ‘임신하다, 상상하다’"/>
        <s v="진정성이 저하(d)되어 남을 잡으니(ceive) ‘속이다’"/>
        <s v="속이는(deceive-deceit) 것이 가득(ful)하니 ‘기만하는, 속이는’"/>
        <s v="사람을 잡아(c)놓고 늘어지는(ll) 것을 막기 위한 곳 ‘독방, 작은 방, 세포’"/>
        <s v="작은 방(cel)에 힘(r)을 가해 뭔가를 잡아 두는 곳, ‘지하 저장실’"/>
        <s v="여러 가지를 함께(con) 작은 방(cell-ceal)에 넣어 두니 ‘감추다’"/>
        <s v="하늘(cel-ceil)처럼 위에서 길게 펼쳐져 덮고 있는 중(~ing)인 것, ‘천장’"/>
        <s v="하늘(cel)이 창공에 서(st) 있는 상태(~al), ‘하늘의, 천체의’"/>
        <s v="불꽃이 하늘(cel) 높이 터지도록(b) 힘차게(r) 나아가니(t) ‘축하하다, 기념하다’"/>
        <s v="늘 축하 받고(celebrate) 주목받는 ‘유명인사’"/>
        <s v="밖으로(ex) 나가 하늘(cel)을 뚫을 정도이니 ‘뛰어나다, 능가하다’"/>
        <s v="뛰어나다(excel) + 형용사(~ent) &gt; ‘뛰어난, 우수한’"/>
        <s v="속도를 더하여 잡고(ac) 하늘(cel)을 날 정도로 속도(rate)를 높이니 ‘가속하다’"/>
        <s v="100(cent)분의 1달러에 해당하는 미국의 동전인 ‘1센트 동전’"/>
        <s v="1 미터를 100개(cent)로 만드니 ‘센티미터’"/>
        <s v="100개(cent)에 해당하는 년, ‘100년, 1세기’"/>
        <s v="안(in)에 없는 것이(no) 1센트(cent)의 잘못된 돈이므로 ‘무죄의, 순수한’"/>
        <s v="안(in)에 없다(no) 죄라고 잡을(c)것이 따라서, 무죄의(innocent) ‘순수, 결백’"/>
        <s v="아래로(de) 센트(cent) 즉, 돈을 주니 충분히 ‘좋은, 알맞은’"/>
        <s v="크게 잡아(ch) 혼자(i)서 빠르게(f) 전체를 통제하는 ‘우두머리’"/>
        <s v="우두머리(chief)처럼 주방에서 모든 것을 통제(ch) 해서 빠르게(f) 요리를 해내는 요리사이니 ‘주방장’"/>
        <s v="잘못된(mis) 우두머리(chief)는 ‘해악’이고 ‘못된 짓’을 일삼는다."/>
        <s v="노력해서 하나의(a) 우두머리(chief-chieve)가 되니 ‘성취하다, 이루다’"/>
        <s v="손(hand)을 확장(k)해서 내밀때 가장 중요한 우두머리(chief) ‘소품, 손수건’"/>
        <s v="아래로(de) 시원하게 내려쳐 단호하게 자르니(cide) ‘결정하다’"/>
        <s v="결정(decide)이 된 사항이니 ‘명확한, 분명한’"/>
        <s v="운명을 결정하는(deci-decide) 행위이므로 ‘결정적인, 결단력 있는’"/>
        <s v="보이지 않는(s) 곳에서 자기(i) 자신을 자르니(cide) ‘자살’"/>
        <s v="곤충(insect)을 잘라내어(cide) 죽이는 것, ‘살충, 살충제’"/>
        <s v="해충(pest)을 잘라내어(cide) 죽이는 것, ‘농약’"/>
        <s v="부드럽게(s) 자르는(cis) 도구, ‘가위’"/>
        <s v="함께(con) 여러 개를 잘라내니(cis) ‘간결한’"/>
        <s v="미리(pre) 정해 놓은 대로 자르니(cis) ‘정확한’"/>
        <s v="바깥(ex)쪽에서 힘을(er) 쓰고 시간과 노력을 잘라내서(cise) 사용하는 것, ‘운동, 연습’"/>
        <s v="잡아내어(c) 머리 안에 있던 그것(it)을 입구(e)를 통해 나오게 부르니(cite), ‘인용하다, 예로 들다.’"/>
        <s v="머리 속에 있던 것을 다시(re) 불러내니(cite) ‘암송, 독주회’"/>
        <s v="안(in)에 있는 동기를 불러내니(cite) ‘자극하다, 격려하다’"/>
        <s v="안에 있는 감정을 밖(ex)으로 불러내니(cite) ‘흥분시키다’"/>
        <s v="흙 입자가 결합(cla)하여 확장(y)되어 만들어진 ‘진흙, 점토’"/>
        <s v="결합(cla)하여 가까이(n)되어 만들어진 ‘씨족, 한패’"/>
        <s v="서로 결합하여(cla) 붙어 싸울 때 물결(w) 같은 자국을 남기는 ‘갈고리 발톱’"/>
        <s v="서로 붙으며(cla) 쉬(sh) ~ 하는 소리를 내며 빠르게 칼을 휘두르면서 맞부딪히는 ‘충돌’"/>
        <s v="충돌(clash)와 비슷한 글자로 서로 잡고(c) 급하게(rash) 돌진하니 ‘충돌하다, 때려부수다’"/>
        <s v="흩어져 있는 것들을 결합시켜(cla-clea) 깔끔하게 하고 더러운 것들을 없애(n)니 ‘청결한, 깨끗한’"/>
        <s v="청결한(clean) 상태로 부드럽게(s) 만드니 ‘청결하게 하다’"/>
        <s v="깨끗하게 분명하게(clar) 만들니(y) ‘명백히 하다’"/>
        <s v="아래쪽(de)으로 내용을 발표하여 분명(clare-dear)하게하니 ‘표명하다, 발표하다’"/>
        <s v="발표하다(declare) + 명사형(~tion) = ‘발표, 선언’"/>
        <s v="종이 따위를 잡아(c) 길게(l) 척 붙게 만드는 ‘클립’"/>
        <s v="잡고서(c) 길게(l) 붙어서 매달려 쳐져(g) 있으므로, ‘매달리다’"/>
        <s v="잡고(c) 길게(l) 척 붙어 잡으니(catch-tch) ‘꽉 잡다, 붙들다’"/>
        <s v="누워있는(clin) 나(i)를 누군가가 잡아(c)서 돌보는 ‘진료소, 클리닉’"/>
        <s v="회사에 기대고(clin-cli) 의지하여 뭔가를 의뢰 하는 사람(ent) ‘고객’"/>
        <s v="서로 기대서(clin) 잡게(ch)하니 ‘단단히 고정시키다’"/>
        <s v="안에서(in) 마음이 특정방향으로 기대어 기울어지니(clin), ‘마음이 기울다, 경향[성향]이 있다’"/>
        <s v="마음이 기울어(incline) 졌으니 ‘~할 생각이 있는, 경향이 있는’"/>
        <s v="마음과 수치가 아래로(de) 누워 기우니(clin) ‘거절하다, 감소하다'"/>
        <s v="문 두짝을 잡아서(c) 길게(l) 서로 만나게 하고 안이 보이지(s) 않게 ‘1) 가까이’ 두니 ‘2)닫다’"/>
        <s v="벽에 가까이(close) 세워 놓은(t) 장, ‘벽장, 찬장’"/>
        <s v="분리(dis) 시키는 것이 닫아(close) 감추고 있는 것이므로, ‘폭로하다, 들추어내다’"/>
        <s v="안(en)에 넣고 밖을 닫으니(close) ‘둘러싸다, 에워싸다’"/>
        <s v="안(en)에 넣고 밖을 닫으니(close-clos) ‘둘러쌈, 포위’"/>
        <s v="안에(in) 담아 두니(clude) ‘포함하다’"/>
        <s v="자료들을 함께(co-con) 모아 조사한 후 담아 두니(clude), ‘결론 내리다, 끝내다’"/>
        <s v="모든 걸 끝낼(conclude) 수 있는, ‘결정적인’"/>
        <s v="먼저 앞서서(pre) 담아 두어(clude) 챙기니 다른 사람이 ‘못하게 하다’"/>
        <s v="밖(ex)으로 보내고 나머지를 담아 두니(clude) ‘제외시키다’"/>
        <s v="제외시키는(exclude-exclu) 행위, ‘추방, 제외’"/>
        <s v="다 제외시키고(exclude-exclu) 나만 사용하니 ‘배타적인’"/>
        <s v="다 제외시키고(exclude-exclu) 나만 사용해 ‘배타적으로’"/>
        <s v="보이지 않는(se) 곳에 담아 두니(clude) ‘외딴, 한적한’"/>
        <s v="물을 담아 두고(clude-cloud) 있다가 비를 뿌리는 것, ‘구름'"/>
        <s v="그 나라, 사회에서 고유하게 계발(cult)한 것이 ‘문화’"/>
        <s v="땅을 경작(cult)하여 틈(v)에서 나온 산출물을 먹었으니(ate), ‘개간하다, 경작하다’"/>
        <s v="하나의(a) 씨앗이 깊은 땅(g)에서 힘있게(r) 자 라나오도록 경작(cut) 하는 것, ‘농업’"/>
        <s v="함께(co) 교육(education)하는 ‘남녀공학’"/>
        <s v="함께(co) 보살피면서 꼭 잡고(ch) 이끌어 주는 사람, ‘코치, 지도하다’"/>
        <s v="여러 곳의 학생들이 함께(co) 보내져서(leg) 모인 곳, ‘대학’"/>
        <s v="함께(co) 일하는 사람(worker), ‘동료, 협력자’"/>
        <s v="함께(co) 우리(us)라고 말할 수 있고 안쪽에(in) 속하는 ‘사촌’"/>
        <s v="함께(co) 여기에(here) 잘 두니 ‘결합하다’"/>
        <s v="결합하니(cohere) 서로 같아져서 ‘일관성이 있는’"/>
        <s v="반대(in)인 것이 결합하여(cohere) 서로 같아 져서 일관성이 있는(coherent)것이므로, ‘일관성이 없는, 앞뒤가 안 맞는 말을 하는’"/>
        <s v="함께 결합(cohere-cohe)하는 것, ‘화합, 결합’"/>
        <s v="함께(co) 합의하여 아랫사람들(d)에게 알리는 것, ‘신호법, 암호, 코드’"/>
        <s v="법률을 일정한 신호(code)체계로 만드니, ‘법전으로 편찬하다’"/>
        <s v="함께(co) 모으니 안쪽으로(i) 길게(l) 말려, ‘돌돌감다, 코일’"/>
        <s v="다른 사람이 가진 것을 함께(co) 가지고 싶은 마음이 갈라진 틈(v)에서 나아가니(t) ‘탐내다, 갈망하다’"/>
        <s v="함께 움직이며(com) 접하고(on) 사는 ‘공통의, 보통의, 흔한’"/>
        <s v="공통적인(common) 안에(i) 있던 이야기를 잡아서(c) 나아가(t) 서로 얘기를 나누니 ‘의사소통하다’"/>
        <s v="많은 것이 공통적인(common &gt; commun) ‘공동체, 지역사회’"/>
        <s v="함께(com) 빵(pan)을 먹기 위해 일하는 곳, ‘회사’"/>
        <s v="숫자를 여러 개를 함께(com) 두어(put)서 복합적으로 계산하는 기기, ‘컴퓨터’"/>
        <s v="함께(com) 모아 두(bi) 가지를 하나로 ‘결합시키다’ "/>
        <s v="함께(com) 다 준비가 되어 움직여(m) 행사장 안으로(en) 들어가니 일을 ‘시작하다, 개시하다’"/>
        <s v="함께(com) 애완동물(pet)을 차지하려고, ‘경쟁하다’"/>
        <s v="파는 사람, 사는 사람이 함께(com) 거래하니 (merce-merchandise) ‘상업, 통상, 무역’"/>
        <s v="함께(com) 나타나게(pare) 해서 ‘비교하다’"/>
        <s v="함께(com) 살아가도록 연금(pens &lt; pension) 같은 것을 주니 ‘보상하다, 변상하다’"/>
        <s v="함께(com) 다른 사람들처럼 살아가는 방식(mode)에 따르기 위한 필요한 물건, ‘일용품, 필수품’"/>
        <s v="여러 악기를 연주하는 사람들을 함께(con) 모아 놓고 하는 ‘콘서트, 음악회’"/>
        <s v="함께(con) 잡고서(c) 힘있게(r) 가깝게(n)두면 ‘관계하다’, 그러면 생기는 ‘걱정, 관심’"/>
        <s v="함께(con) 여행하는(tr-travel) 사람들을 ‘통제하다, 지배하다, 감독하다’"/>
        <s v="자갈, 모래, 시멘트를 함께(con) 혼합하여 창조(crete-create)한 ‘콘크리트’, 이것은 눈에 분명히 보여 ‘구체적인’ 것이다."/>
        <s v="함께(con)모아 텐트(tent) 같은 공간에 채워 넣은 것, ‘내용물’, 이것이 가득하면 ‘만족하는’ 상태"/>
        <s v="서로 다른 회사를 함께(con) 고체(solid)처럼 단단하게 하니 ‘합병하다’"/>
        <s v="함께(co)하는 전체에서 가장 강한(r) 부분인 ‘중심, 핵심’"/>
        <s v="마음의 중심(cor-core)에서 아래로(d) 죽~ 흘러(l) 나오는, ‘진심에서 우러나는’"/>
        <s v="진심에서 우러나는(cordial) + ly(부사) = ‘진심으로’"/>
        <s v="마음의 중심(cour) 깊은(g) 곳에서 나오는 것, ‘용기’"/>
        <s v="안(en)에다 용기(courage)를 주니, ‘격려하다’"/>
        <s v="반대(dis)로 용기(courage)를 주니, ‘용기를 잃게 하다, 낙담시키다’"/>
        <s v="실타래 중심(cor)에서 부터 아래로(d) 늘여져 나오는 ‘줄, 끈’"/>
        <s v="같은 줄(cord-chord)로 소리를 내는 ‘코드, 화음’"/>
        <s v="함께(con) 끈(cord)으로 잇고, 묶어 놓으니 생기니, ‘화합, 조화, 일치’"/>
        <s v="하나의(a) 끈(cord)으로 묶어 놓으니 ‘서로 일치하다, 조화하다’"/>
        <s v="힘을(re) 줘서 다시 악보처럼 코드(cord)화 하니 ‘기록하다, 적어두다’"/>
        <s v="함께 모아서(co) 아래쪽에서(u) 새롭게(n) 쌓여서 점점높이 서는(t) 것을 ‘세다, 계산하다’"/>
        <s v="더하여(a) 하나씩 잡아(c) 세니(count) ‘계산하다’, 계산해 놓은 ‘계좌’"/>
        <s v="돈을 하나하나(ac) 세는(count) 사람(~ant)이니, ‘회계사’"/>
        <s v="일부를 분리(dis)시켜서 세니(count), ‘할인하다, 할인’"/>
        <s v="지구에서 세어(count)보면 확장해 나가서(y) 숫자가 많은 ‘나라, 국가’"/>
        <s v="돈을 세고(count) 그만큼 반대로 물건을 내 주는 곳, ‘계산대, 판매대, 반대로’"/>
        <s v="반대로(counter) 한 방(blow)치는 ‘반격, 역습’"/>
        <s v="반대(counter)로 맞교환할 수 있는 부분(part)인 ‘상대방, 사본’"/>
        <s v="안(en)으로 들어 갔다가 반대로(counter) 오는 사람을 ‘우연히 만나다’"/>
        <s v="반대로(counter-contra) 가니 ‘정반대의’"/>
        <s v="반대로(contra) 말하니(dict) ‘반박하다, 항변하다’"/>
        <s v="만들어서(cre) 어떤 새로운 존재로 세워(t) 나가니 ‘창조하다’"/>
        <s v="창조(create)하는 사람(or), ‘창조주’"/>
        <s v="창조하는(create) 상태(~ive), ‘창조적인’"/>
        <s v="지루한 상황을 다시(re) 창조(creation)하는 것 이니 ‘기분전환, 오락’"/>
        <s v="함께(con) 모래, 자갈, 시멘트를 넣고 새로운 것을 만들어(create-crete)낸 ‘콘크리트’"/>
        <s v="다른 것들과 분리(dis)하여 새롭게 만드니 (creet-create) ‘분별 있는, 신중한’"/>
        <s v="분리(dis)하여 새롭게 만드니(create-crete), ‘별개의, 분리된’"/>
        <s v="안(in)에다 만들어(cre) 부어 넣으니 ‘증가하다, 증가시키다’"/>
        <s v="증가하다(increase-incre) + 명사형(~ment) = ‘증대, 증가’"/>
        <s v="아래로(de) 저하되게 만드니(ore) ‘감소하다, 감소시키다’"/>
        <s v="먹고나서 밖(ex)으로 창조해(create-crete) 나아가게 하니 ‘배설하다’"/>
        <s v="새로 만들다(cre) 물(w)에 타고 다니는 배에 탈 사람들, ‘선원, 승무원, 팀원’"/>
        <s v="다시(re) 팀원(crew-cru)을 모으니 ‘모집하다’"/>
        <s v="달 모양이 만들어(cre) 지는데, 부드럽게(s) 굽은(c) 모양의 ‘초승달’"/>
        <s v="만들다(cre-cra) 가볍게(ft), ‘공예, 선박, 비행기’"/>
        <s v="craf(공예)를 하는 사람(man), ‘장인, 명장, 예술가’"/>
        <s v="공중(air)에 있는 비행기(cratf), ‘항공기’"/>
        <s v="표면(sc)에 영상을 나오게 하는 ‘화면, 스크린’"/>
        <s v="표면(sc)에 새로운(n) 모습을 담은 ‘장면’"/>
        <s v="표면(sc)에 새겨 놓은 ‘점수, 득점하다’"/>
        <s v="표면(sc)에 아래 방향으로(du) 순서대로 일정을 길게(l) 적어 놓은 ‘예정표, 시각표’"/>
        <s v="표면(sc)를 힘(r)있게 잡으니(atch-catch) ‘긁다, 할퀴다’"/>
        <s v="표면(sc)에 힘을(r) 가해 움직일(m)때 나는 소리와 같은 소리를 지르다, ‘소리치다, 비명, 절규’"/>
        <s v="표면(sc)에 힘(r)을 가해 폭하고(p) 튀어 나오게 된 ‘조각, 파편, 자투리’"/>
        <s v="표면(sc)에 힘을(r) 가해 폭(p)하고 파편(scrap)이 나오도록 ‘긁다, 스쳐 긁히다’"/>
        <s v="하늘(sky)을 긁을(scrape) 정도로 높은 ‘초고층 빌딩, 마천루’"/>
        <s v="표면(sc)에 힘을(r) 주어 물결(w) 모양으로 길게(l) 쓰니, ‘마구 쓰다, 낙서하다’"/>
        <s v="피부 표면(sc)에 힘(r)을 가해 만들어진 ‘상처’"/>
        <s v="상처(scar)를 내면 그곳에서 흘러(Iet) 나오는 피 색깔, ‘주홍의’"/>
        <s v="표면(sc)을 한 번(an)에 죽 살펴보니 ‘훑어보다, 자세히 살피다’"/>
        <s v="표면(sc)에 여러 번 접촉(tt)하게 끔 힘있게(r) ‘뿌리다’"/>
        <s v="표면(scr-screen)을 아래쪽까지(u) 아주 작은 (tiny) 것까지 보는 ‘정밀 조사’"/>
        <s v="표면(scr-screen)을 아래쪽까지(u) 아주 작은 (tiny-tini) 것까지 보니 ‘면밀히 조사하다’"/>
        <s v="표면(sc)을 문지르니(rub) ‘문질러 씻다’"/>
        <s v="힘(r)을 줘서 아래쪽(u)에 접촉해서 터지도록(b) 하니 ‘문지르다’"/>
        <s v="접촉하는 곳을 문지르는(rub) 주체(-er), ‘고무’&#10;*고무의 첫 사용은 지우개의 역할이었다."/>
        <s v="바닥 같은 것을 문질러서(rub) 쓰레기통 안(i)에 쉭(sh) 하고 던져두는 ‘쓰레기’"/>
        <s v="표면(sc)을 횃불(torch)로 태우니, ‘표면을 태우다’"/>
        <s v="표면(sc)을 모두(all) 다 덮고 있는 비늘처럼 눈금 이 촥촥 단계별로 있는 것, ‘비늘, 눈금, 등급, 규모’"/>
        <s v="타는 입구(e)가 있고 비늘(scale)로 덮인 것처럼 단계별로 서서 올라가니 ‘상승하다’"/>
        <s v="표면(sc)에 내용을 적어 롤(rol)로 말아 놓은 ‘두루마기’"/>
        <s v="조각할 재료 표면(sc)을 아래쪽(u)에서부터 길게(l) 폭(p)하고 힘을 줘서 파내고 나중에 세우는(t) ‘조각, 조각술’"/>
        <s v="높이를 더하다(a) 가니(scend) 올라가다, ‘상승하다’"/>
        <s v="아래로(de) 가니(scend) ‘내려가다, 하강하다’"/>
        <s v="아래로(de) 가니(scend-scent) ‘하강’"/>
        <s v="내려가서(descend)한 단계(an) 나아간(t) 세대 ‘자손, 후예’"/>
        <s v="종이 표면이(sc) 찢어지도록(rip) 접촉하여(t) 글을 쓴, ‘대본, 글로 쓰다’"/>
        <s v="글로 쓴 것(script) ‘성서, 경전’"/>
        <s v="사람의 손(man)으로 글로 쓴 글(scrip) ‘필사본, 원고’"/>
        <s v="뒤에(post) 할 말을 쓰는(script) ‘추신, 후기’"/>
        <s v="안에(en) 감추어 써 놓으니(script-crypt) ‘암호화하다’"/>
        <s v="글로 쓰는(script-scrib) 사람, ‘서기, 필경사’"/>
        <s v="글로 쓰는데(script-scrib) 터지듯이(b) 길게(l)쓰니 ‘휘갈겨 쓰다, 낙서하다’"/>
        <s v="먼저 앞서서(pre) 내용을 써서(scribe) 알려주니 ‘지시하다’"/>
        <s v="아래로(de) 길게 종이에 글로 쓰니(script-scribe) ‘기술하다, 묘사하다’"/>
        <s v="문서 아래쪽(sub)에 써서(script-scrib) 서명 하여 약속하니 ‘구독하다, 가입하다’"/>
        <s v="안쪽(m)에 쓰니(soript-sorib) ‘새기다, 기입하다’"/>
        <s v="더하여(a) 여러 비난 거리들을 문서에 쓰니 (script-scrib) ‘탓으로 돌리다’"/>
        <s v="해가 아래로(d) 가서 밤이 되었다가 다시 서서(t) 새로운 날이 되는 ‘날짜’"/>
        <s v="밖에(out) 있다 현 날짜(date)보다, ‘시대에 뒤진’"/>
        <s v="위로 올려(up) 나아가서 도착(to)이 현 날짜 (date)이니 ‘최신의, 최신정보’"/>
        <s v="아래로 내려 갔던(d) 해가 확장해서(y) 올라오니 새로 생기는 ‘낮, 날, 하루’"/>
        <s v="매일(day), 가운데 일어난 나 자신의(i)일에 대해 쓰는 것, ‘일기’"/>
        <s v="매일(day) 우유를 짜는 ‘낙농업’"/>
        <s v="하루(day)를 시작하는 빛이 물결(w)처럼 새롭게(n) 비추는 ‘새벽, 동틀녘’"/>
        <s v="하루, 낮(day)의 빛이 너무 빛나 어지럽게(z)하니 ‘눈부시게 하다’"/>
        <s v="자꾸 아래로(d) 쓰러질 것 같고 머리가 진동(zz)이 일어나는 상태, ‘어지러운’"/>
        <s v="아래로 내려가기(d)를 한참(ee) 하면 폭하고 튀어(p) 나온 바닥을 만난다, ‘깊은’"/>
        <s v="깊이(deep) 들어가 바닥을 통과할(th) 정도 &gt; ‘깊숙함’"/>
        <s v="깊이(deep)가 줄어듬(ee ▶︎ i) ▶︎ ‘살짝 담그다, 적시다’"/>
        <s v="사람들(demo)이 있는 거리(strate &lt; street)로 나와 보란듯이 ‘증명하다, 설명하다’"/>
        <s v="사람들(demo)의 힘으로 다스리는(cracy) ‘민주주의’"/>
        <s v="어떤 지역 안(en)에서 사람들이(demo-demi) 함께 모여 하는, ‘지방 특유의, 고유의’"/>
        <s v="입구(e)에서 폭(p)하고 튀어 나와 사람들에게(demi) 죽 널리 퍼져 나가는, ‘유행성의’"/>
        <s v="아래로(d) 내려가 안으로(en) 들어가는 ‘굴, 우리’"/>
        <s v="굴(den)과 같이 깊은 공간을 접촉(+)해서 만들어내니 ‘움푹 들어간 곳’"/>
        <s v="충치로 움푹 들어간 곳(dent)을 손보는 사람 (~ist), ‘치과 의사’"/>
        <s v="굴(den)과 같이 깊이 보이지 않는(s) 곳에 많이 있으니 ‘빽빽한, 짙은’"/>
        <s v="빽빽한(dense) + 부사(~y) = ‘빽빽하게’"/>
        <s v="빽빽한(dense) 정도를 나타내는 말, ‘밀도’"/>
        <s v="함께(con) 빽빽(dense)하게 하니 ‘압축시키다’"/>
        <s v="파면서 관통(dia)하는 대상이 산(mond-mountain)인데, 그렇게 파고 들어가서 발견하는 ‘다이아몬드’"/>
        <s v="0에서부터 모든 숫자를 관통(dia) 하며 사용할 수 있는 ‘다이얼’"/>
        <s v="중심을 관통해서(dia) 미터(meter)를 잰 ‘직경, 지름’"/>
        <s v="몸에 흡수되어야 할 당이 그냥 몸을 관통하여(dia) 터질(b)듯이 방출되어 나가(t) 버리는 ‘당뇨병’"/>
        <s v="어떤 지역을 관통할때 (dia), 수집(ect)하게 되는 말들, ‘방언, 사투리’"/>
        <s v="몸을 관통(dia)하여 깊은 곳(g)으로, 코로 냄새 맡듯이(nose) 샅샅이 다 보니 ‘진단하다’"/>
        <s v="말(dic)을 지속적으로(on) 하면 만들어지는 ‘말투, 말씨, 문체’"/>
        <s v="말투(diction), 용어들을 확장(y)시켜 모아 놓은 ‘사전’"/>
        <s v="상관이 말한(dict) 것을 사람들이 먹어(ate) 받 아들이니, ‘명령하다, 받아쓰게 하다’"/>
        <s v="말하는데(dict) 혼자서(a)만 옳다고 주장하는 사람(~or)이므로 ‘독재자’"/>
        <s v="계속 더하는(add) 것이 말하는(dict) 것이므로 말 많은 것도 ‘중독되다, 빠지다’"/>
        <s v="안(in)에 있는 생각을 말하는 것(dic-dict)이므로 ‘암시’"/>
        <s v="안(in)에 있는 생각을 말하는 것(dic-dict)이므로 ‘암시하는, 지시하는’"/>
        <s v="반대로(contra) 말하니(dict) ‘반박하다’"/>
        <s v="서로 반대로(contra) 말하는 것(dict) ‘모순, 반박’"/>
        <s v="서로 반대로(contra) 말하는(dict) ‘모순된’"/>
        <s v="법원 안(in)에다 죄가 있다고 말하니(dict) ‘기소하다, 고발하다’"/>
        <s v="나란히(par) 평행선을 그리며 말하니(dict-dox) ‘역설, 앞뒤가 맞지 않는 일’"/>
        <s v="진실한(ver) 말(dic)로 하는 ‘판결, 평결’"/>
        <s v="신에게서 아래(de) 인간에게 내려진 말(dic-dict), 명령대로 ‘바치다, 헌신하다’"/>
        <s v="신에게서 아래(de) 인간에게 내려진 말(dic-dict), 명령대로 ‘헌신, 헌납’"/>
        <s v="사건보다 먼저(pre) 말하니(dict) ‘예언하다’"/>
        <s v="본론과 함께(con) 말해지는(dict-di) ‘조건, 상태, 환경’"/>
        <s v="말할 때(doct-dict) 둥근 입에서 힘(or)이 실리는 사람, ‘박사, 의사’"/>
        <s v="말한 내용(doct-dict) 안(in)에만 머물러 있어야 하는, 지켜야 하는 ‘교리, 원칙’"/>
        <s v="중요하게 말해진(doc-dict) 내용을 시멘트처럼(ment &lt; cement) 단단하게 만든 것 ‘문서, 서류’"/>
        <s v="문서(document)가 되게 하니 ‘기록된’"/>
        <s v="문서(document) 중심으로 정확히 만드니 ‘기록에 의한, 문서의’"/>
        <s v="집(dom)처럼 생겼는데 입구(e) 천장이 열리는 ‘둥근 천장이 있는 장소, 돔’"/>
        <s v="자기 집(dom)처럼 주로(main) 움직이는 ‘영토, 영역’"/>
        <s v="자기 집(dom), 자기 영역 안(in)에서 ‘지배하다, 억누르다’"/>
        <s v="자기 집(dom), 자기 영역 안(in)이니 남보다 ‘우세, 지배’"/>
        <s v="둥근 천장(dome) 아래 하나의 영역 아래 서(st) 있으니 ‘국내의, 가정 내의’"/>
        <s v="살이 더하여(a) 부풀어서(b) 집의 둥근 천장 (dome) 처럼 생긴 ‘복부, 배’"/>
        <s v="집(dorm-dom)에 있으니 편하고 차분해져 ‘잠자는 있는, 휴지의’ 상태가 된다"/>
        <s v="잠을 자기 위한 집(dorm-dom)을 학교 안(i)에 세워(t) 놓은 것, ‘기숙사’"/>
        <s v="아래로 주는(don) 동작이니 ‘기부하다’"/>
        <s v="기부(donate)하다 + 명사(~ion) = ‘기증, 기부’"/>
        <s v="don(주다) + 사람(~or) = ‘기부자’"/>
        <s v="죄 지은 사람도 제외시키지 않고 함께(con) 돈을 부여해 주니(don) ‘용서하다’"/>
        <s v="뒤따르던 죄인이 다른 이들과 나란히(par) 갈 수 있게 주는 것(don), ‘용서, 사면’"/>
        <s v="확실히 안으로(en) 주어(dow-don) 가지게 하니 ‘부여하다, 기부하다’"/>
        <s v="오리가 물 아래쪽(du)으로 들어가 물고기를 잡는(c) 습성의 ‘오리’"/>
        <s v="아래로(du) 내려가 없어지게(n) 해 빠뜨리는(dunk) 슛(shot) ‘덩크슛’"/>
        <s v="내용물을 아래쪽(du)으로 움직여서(m) 폭하고(p) 다 털어 버리니 ‘털썩 내려놓다, 버리다’"/>
        <s v="내용물을 아래쪽(du)으로 움직여서(m) 폭하고(p) 다 털어 버리니 ‘버려진’"/>
        <s v="똥이 아래쪽(du) 떨어져 내려가고 때론 길게(g) 매달려 있는 ‘똥’"/>
        <s v="똥(dung) 같이 더러운 것들이 그냥 있는 곳에 사람을 지속적으로(on) 가둬두는 ‘지하감옥’"/>
        <s v="아래로(du) 어깨에 검으로 두드려 (b) ‘작위를 주다, 호칭을 붙이다’"/>
        <s v="아래쪽으로(du) 피 지배층들에게 힘을 확장(k) 하는 사람, ‘공작’"/>
        <s v="의무, 책임은 위에서 아래(du)로 내려오고 그것으로 인해 주머니 입구(e)로부터 돈이 나와야 하는 ‘부과금, 세금’"/>
        <s v="위에서 아래(du)로 내려와 책임자에게 접촉하고(t) 일이 점점 확장(y)해 나가는 ‘의무, 책임’"/>
        <s v="해가 아래(du)로 가서 하늘이(Sk-sky) 어두 침침한 ‘해질녘, 황혼’"/>
        <s v="아래쪽(du)에 내려와서 정지(st)해 있는 ‘흙, 먼지’"/>
        <s v="이끌어(duc) 나아가게(t) 하는 ‘배관’"/>
        <s v="여러 연주자들을 함께(con) 이끌어내니(duct) ‘지휘하다, 이끌다', 이끌어낸 ‘행동’"/>
        <s v="빗나간(miss) 행동(conduct)이니 ‘위법행위’"/>
        <s v="안으로(in) 이끌어(duct-duc) ‘들이다, 안내하다’"/>
        <s v="위 숫자에서 아래쪽(de)으로 끌어내어(duct-duc) ‘빼다, 공제하다’"/>
        <s v="이탈시켜(ab) 끌어내니(duct-duc) ‘유괴하다, 납치하다’"/>
        <s v="앞으로(pro) 이끌어내니(duce-duc) ‘생산하다’"/>
        <s v="다시(cre) 만들어(produce)내니 ‘재생하다, 재현하다’"/>
        <s v="안에서(in) 이끌어내니(duce-duc) ‘유발하다’"/>
        <s v="상호간에(intro) 만나게 이끌어주니(duc-duce) ‘소개하다, 도입하다’"/>
        <s v="입구를(e) 통해 이끌어내니(duc-duce) ‘(잠재능력 등을) 끌어내다’"/>
        <s v="학생의 재능을 입구를(e) 통해 밖으로 이끌어 (duc) 내는 것이니 ‘교육하다, 훈육하다’"/>
        <s v="어떤 전제에서 아래로(de) 이끌어 내니(duce-duc) ‘추론하다’"/>
        <s v="다시(re) 반대로 이끌어(duce-duc) ‘감소 시키다, 축소하다’"/>
        <s v="reduce(축소시키다) +명사(~tion) = ‘축소, 감소, 삭감’"/>
        <s v="지속(dur) 할 수 있는 능력(able)이 있으니 ‘내구성 있는’"/>
        <s v="안에서(en) 버티며 지속(dur)하니 ‘견디다,  지탱하다’"/>
        <s v="아래로(d) 남을 내리고 좋은 것들을 다 없애니(n) ‘저주, 악담 저주하다’"/>
        <s v="저주(dam-damn)가 오랫동안(age) 지속된 것 처럼 입은 ‘손해, 피해’"/>
        <s v="함께(con) 여러사람이 저주(demn-damn)처럼 뭐라고 하니 ‘비난하다, 규탄하다’"/>
        <s v="아래로(de) 마음을 누르니(press) ‘낙담시키다’"/>
        <s v="마음을 계속 낙담시키(depress)는 것 ‘우울증’"/>
        <s v="하늘에서 아래로(de) 떨어져 내리는 물(w-water) ‘이슬’"/>
        <s v="싸울 때 뿔을 아래로(de) 숙이고 힘차게(r) 돌진하는 ‘사슴’"/>
        <s v="실크 옷이 아래로(de) 흐느적 풀어지듯(l) 하늘거리고 잡아보면(c) ‘섬세한, 미묘한’"/>
        <s v="아래쪽(de)으로 가보면 보이지 않는(s) 안쪽(i) 에 있는 아주 강한(r) ‘욕구, 갈망, 원하다’"/>
        <s v="아래로(de) 입을 벌리고(v) 우리(내) 것이라고 (our) ‘게걸스레 먹다’"/>
        <s v="하려는 마음을 아래로(de) 나아가게(t) 하니 ‘단념시키다, 그만두게 하다’"/>
        <s v="단념시키다(deter) + 형용사(~ent) = ‘단념시키는’"/>
        <s v="아래로(de) 내려가 앉아서 표면(sk)에서 뭔가를 하는 ‘책상’"/>
        <s v="아래로(de) 사람이 떨어지는 것을 잡아(c)주는 역할을 하며 옆으로 확장(A)되어 있는 장소, ‘갑판’"/>
        <s v="기능이 저하되어(d) 귀에(ea-ear) 가벼운(f) 소리도 안 들리는 ‘귀먹은’"/>
        <s v="마음이 아래로(de) 내려가고 그런 일 없다고 하니(ny-nay) ‘부정하다, 부인하다’"/>
        <s v="순종심을 아래로 저하되게(de) 만들니(y) ‘반항하다, 거역하다’"/>
        <s v="신선도 수준이 낮아져서(de) 폭하고,(p) 힘있게(r) 썩은 가스가 갈라진 틈으로(v) 분출되니 ‘타락시키다, 부패시키다’"/>
        <s v="아래쪽(de)으로 쓰러지게 하는 것이 서(story)있는 건물이므로 ‘파괴하다’"/>
        <s v="크기를 저하시켜(de) 큰 둥근 덩어리(mo)를 가루 같이 풀어져서(l) 안보이게(sh) 하니 ‘분쇄하다, 파괴하다’"/>
        <s v="아래쪽(de)으로 터져서(b) 힘있게(r) 나아가 생기는(is) ‘파편, 잔해’"/>
        <s v="생각을 깊숙이 아래쪽(de)으로 계속(ee) 움직여(m) 가니 ‘생각하다, 간주하다’"/>
        <s v="다시(re) 생각해보고(deem) ‘되찾다, 되사다’"/>
        <s v="되찾다(redem-redeem) + 명사(~tion) = ‘상환, 되찾기’"/>
        <s v="아래로(de) 엎드려서 마음의 갈라진 틈(v)으로 온 마음을 밖(out)으로 쏟아내어 ‘독실한’"/>
        <s v="아래로(de) 내려가면서 시간을 길게(l), 계속해서 틈을(v) 보니 ‘깊이 탐구하다’"/>
        <s v="아래로 분리되어(de) 부분이(part) 되니 떨어져 나가는 것으로 ‘떠나다, 출발하다’"/>
        <s v="일정이 점점 아래로(de) 쳐지게 놓아(lay) 두니 ‘지연시키다’ "/>
        <s v="둘(di)이서 하는 말(log) ‘대화, 문답’"/>
        <s v="둘(di)로 되게 갈라진 틈(v)에 칼집을 내며 아래로(d) 내려쳐 ‘나누다, 분할하다’"/>
        <s v="나누다(divide) + 명사(~sion) = ‘나누기, 분할’"/>
        <s v="나누어서(divide) 결산 후 끝(end)에 주는 ‘배당(금)’"/>
        <s v="문제를 나누어(divide-devi) 잡아서(c) 해결해 나가기 위한 도구 ‘장치, 기기’"/>
        <s v="혼자(i) 다른 사람들 없이(n) 나누어(divide-divi) 놓으니 ‘개별적인, 개개의’"/>
        <s v="두(di) 갈래가 되어 어디로 길게(l) 움직여(m) 나가야 할 지를 모르니 ‘진퇴양난, 딜레마’"/>
        <s v="하나가 둘로(di) 확장하여 길게(l) 늘어나 나아가니(t) ‘넓어지다, 팽창시키다’"/>
        <s v="한 몸처럼 살다가 둘로(di) 각각이 되어 틈(v)이 벌어지는 것이니 ‘이혼’"/>
        <s v="다른 제품들과 분리(dis)시켜 눈 앞에 실행 (play)하니 ‘전시하다, 진열하다’"/>
        <s v="반대(dis) 만들어(cre) 빵을(pan) 가져다 놓으니 ‘불일치, 모순’"/>
        <s v="분리(dis)시켜 차이를 잡아(c) 낼 수 있으니 (ible-able) ‘구별할 수 있는, 인식할 수 있는’"/>
        <s v="반대(dis)로 만족한 상태(content)이므로 ‘불평, 불만’"/>
        <s v="반대(dis)로 좋아하니(ike) ‘싫어하다’"/>
        <s v="반대(dis)로 가능하게(able) 하니 ‘무능[무력]하게 하다’"/>
        <s v="분리(dis)시켜 폭(p)하고 튀어 나가 사라지게(s) 하니 ‘흩어지게 하다, 분산시키다’"/>
        <s v="분산시키다(disperse) + 명사(~ion) = ‘분산, 분리’"/>
        <s v="분리(dis)시켜 아마도(may) 하는 좋은 가능성 조차도 ‘경악하게 만들다, 경악, 실망’"/>
        <s v="기능이 낮은 수준(du)이 된 상태이니 ‘말을 못 하는, 바보 같은’"/>
        <s v="낮은 수준으로(du) 만들다 움직임을(m) ‘견본, 모형, 모조품’"/>
        <s v="낮은 수준의(du) 움직임을(m) 보여주는 반복 해서 보여주니 ‘바보, 멍청이’"/>
        <s v="기능이 저하(du)되고 단단함과 날카로움이 풀어지니(ll) ‘둔한, 머리가 둔한’"/>
        <s v="신뢰가 낮은 수준(du)이 되어 터져 나가니(b) 안에서(i) 일어나는 ‘의심하는’"/>
        <s v="신뢰가 낮은 수준(dou-du)이 되어 터져(b) 나가고 새롭게 서게(t)된 생각이니 ‘의심하다’"/>
        <s v="뚫린 입구(e)를 통해 힘을(r) 다해 듣는 것, ‘귀’"/>
        <s v="귀(ear)를 통해 닭의 긴(l) 소리가 잘 들리는 이른 시간이니 ‘일찍이, 일찍부터’"/>
        <s v="소리를 크게 잡으니(h) 귀로(ear) ‘듣다’"/>
        <s v="안(en)으로 나아가니(t) ‘들어가다, 입장하다’"/>
        <s v="안으로 들어가면서(ent-enter) 입장하는 사람 들이 점점 확장되니(y) ‘들어감, 진출, 참가’"/>
        <s v="안으로 들어가니(entr-enter) 입구 &gt; ‘들어가기, 입구, 현관’"/>
        <s v="안으로 들어가 보니(ent-enter) 혼자서(i) 서 있는(t)&#10;-독립체 y 확장해 나갈 수도 있음 &gt; ‘개체, 독립체’"/>
        <s v="안(en)으로 들어와 나아가자고(t) 잡아(c) 끄니 ‘유혹하다, 꼬드기다’"/>
        <s v="안(en)으로 들어와 함께 일하자고 깊은 곳(g)으로 끌어당기니 ‘관계를 맺다, 종사시키다’"/>
        <s v="관계를 맺다(engage) + 명사(~ment) = ‘참여, 약혼’"/>
        <s v="안(en)에 호칭(title)을 달아 주니 ‘자격을 주다, 제목을 붙이다’"/>
        <s v="뭔가를 안(en)쪽에 두고서 갈라진 틈(v)을 통해 나 와서는 회전(ro) 하면서 밖에서 ‘둘러싸다, 에워싸다’"/>
        <s v="둘러싸다(environ) +명사(~ment) = ‘둘러싸기, 환경’"/>
        <s v="두더지가 안으로(en) 숨기 위해 아래로(de) 갈라 진 틈(v)으로 들어가려고 힘을(r) 쓰는 것처럼 ‘노력하다, 애쓰다’"/>
        <s v="안(an)에서 통과하여(th) 아래쪽에(u) 있던 보이지 않던(s) ‘열정’이 나온다"/>
        <s v="열정(enthusiasm) + 형용사(~tic) = ‘열광적인, 열렬한’"/>
        <s v="입구를(e) 통해 들어가 보면 보이지 않지만(ss) 안(en)에서 꽉 잡고 있는(c) ‘본질적인, 필수적인’"/>
        <s v="본질적인(essential) + 부사(ly) = ‘본질적으로, 근본적으로’"/>
        <s v="안(en)으로 들어가 높이(h) 만들려고 한가지(an) 재능을 잡아내니(c) ‘향상시키다’"/>
        <s v="안쪽(en) 둥근(o) 장소 아래쪽(u) 깊은 곳(g)에 크게(h) 모아 놓으니 ‘충분한’"/>
        <s v="안(en)으로 끌어들여 위험(danger)에 이르게 하니 ‘위험에 빠뜨리다’"/>
        <s v="안(en)의 목록(roll)에 써 놓으니 '등록시키다, 입학시키다’"/>
        <s v="등록시키다(enroll) +명사(~ment) = ‘등록, 입회’"/>
        <s v="부드럽게(s) 두 눈(입구)을 통해 시선이 멀리멀리 계속(ee) 나아가니 ‘보다’"/>
        <s v="살펴 보면서(see) 영역을 점점 확대(K)해 나가니 ‘찾다, 구하다’"/>
        <s v="폭하고(p) 뚫고서 시선이 계속(ee) 확장해(k) 나가는 ‘엿보다’"/>
        <s v="부드럽게(s) 길게(l) 계속(ee) 자다가 폭(p)하고 깨기도 하는 ‘잠자다’"/>
        <s v="잠자다(sleep) + 형용사(y) = ‘졸려운’"/>
        <s v="부드럽게(s) 계속해서(ee) 폭(p) 하고 ‘(액체가)스며 나오다’"/>
        <s v="아래로(d) 멀리멀리(ce) 들어가니 ‘깊은’"/>
        <s v="힘이 확장(k)해서 계속(ee) 폭(p) 튀어 나가는 정도의 힘으로 ‘유지하다, 계속하다, 보호하다’"/>
        <s v="눈물이(w) 흘러 계속(ee) 폭하고(p) 나오니 ‘슬퍼하다, 울다’"/>
        <s v="시간이 물결(w) 바람결처럼 계속(ee) 확장(k)해 간 ‘1주’"/>
        <s v="가벼운(f) 감각이 오랫동안 계속(ee) 길게((l) 유지되니 ‘느끼다’"/>
        <s v="높이(h) 계속해서(ee) 길게(l) 몸을 들고 갈 수 있게 하는 ‘발 뒤꿈치’"/>
        <s v="일어날 일을 크게(h) 마음에 잡아 두고 오랫동안 계속(ee) 들뜬 마음을 아래로(d) 낮추니 ‘조심하다, 주의하다’"/>
        <s v="피가 터져나와(b) 길게(l) 계속(ee) 아래로(d) 흐르니 ‘피가 나다, 출혈하다’"/>
        <s v="깊은 곳으로(g) 힘있게(r) 계속(ee) 아래로(d) 끌어 당기는 ‘탐욕’"/>
        <s v="확장(k)되어 나가서 계속(ee) 무딘 부분을 없애니(n) ‘날카로운, 예리한’"/>
        <s v="자기의 의견을 밖으로(es) 표현하여 말하듯이(say) 편하게 쓴 글, ‘수필, 에세이’"/>
        <s v="말이 부드럽게(s) 확장(y)되어 나오니 ‘말하다’"/>
        <s v="왕이 왕궁 밖으로(es) 나갈 때 ‘호위하다’"/>
        <s v="밖으로(e-es) 안정되게(stable-stabl) 서 있게 건물을 ‘세우다, 설립하다’"/>
        <s v="나가니(ev) 힘있게(r) ‘늘, 항상, 언제나’"/>
        <s v="앞을(for) 향해서 항상(ever) 있으니 ‘영원히’"/>
        <s v="나가서(ev) 힘을(r) 가해 확장해서(y) 모으니 ‘모든, 모두의’"/>
        <s v="나가기(ev)도 하고 안으로(en) 들어오기도 하니 서로 ‘균등한, 짝수의’"/>
        <s v="균등한(even) + 부사(ly) = ‘균등하게, 평평하게’"/>
        <s v="부정(un) + 균등한(even) = ‘평평하지 않은, 불규칙한’"/>
        <s v="낮과 밤이 균형(even)을 이루는 지점 ‘저녁’"/>
        <s v="나가는 것이(ev) 질병같은 나쁜(ill) 성질의 것이므로 ‘나쁜, 악질의’"/>
        <s v="타락하여(d) 사악한(evil) ‘악마’"/>
        <s v="반대(in) + 피하다(evit) + 할 수 있는(able) = ‘피할 수 없는’"/>
        <s v="먼지 없이 가벼운(f) ▶︎‘(날씨가) 맑은’ ▶︎ ‘괜찮은’ ▶︎ ‘공평한, 공정한, 박람회’&#10;*박람회에서 심사할 때는 공평해야 한다."/>
        <s v="일자리(job) + 박람회(fair) = ‘공개 취직 설명회’"/>
        <s v="하나하나(a) 공평하게(fair) 처리해야 할 일, ‘사건, 문제’"/>
        <s v="가볍고(f) 빠르게 공중(air)에 확장하여(y) 여기 저기 날아 다니는 존재 ‘요정, 공상의, 가공의’"/>
        <s v="요정(fairy) + 이야기(tale) = ‘동화, 옛날이야기’"/>
        <s v="빠르게(f) 커지는(m) ‘명성’"/>
        <s v="명성(fame-fam)이 있는 상태(~ous) ‘유명한’"/>
        <s v="가볍게(f) 새로운(n) 바람을 만들어 보내는 ‘선풍기, 부채, [바람을] 일으키다’"/>
        <s v="마음속에 바람을 일으켜(fan) 그것을 잡아 둔(c) ‘공상, 화려한, 근사한’"/>
        <s v="바람을 일으킨(fan) 것 같이 접촉(t)하려고 하면 사라지는(s) ‘공상, 환상’"/>
        <s v="주로 집 안에(in) 머물고 공상(tancy)을 많이 하는 시기, ‘유아기’"/>
        <s v="상대방의 공격을 빠르게(f) 끝내니(end) ‘막다, 받아[막아] 넘기다’"/>
        <s v="들어오는 것을 막기(fend-fen)위해서 잡아(c) 세운 ‘담장’"/>
        <s v="공격을 아래로(de) 저하시켜 막으니(fend) ‘막다, 지키다, 방어하다’"/>
        <s v="강제로 분리시키는(off) 것이 막기(fend) 위한 남의 담장이니 ‘화나게 하다, 위반하다’"/>
        <s v="화나게 하다(offend) + 상태(~ive) = ‘화나게 하는’"/>
        <s v="나르는(fer) 것이 힘있게(r) 확장되는(v) 여러 명 이니 ‘나룻배, 수송하다’"/>
        <s v="보이지않는 아래쪽에서(su) 짐을 나르니(fer) ‘고생하다, 괴로워하다’"/>
        <s v="영양분을 나르고(fer) 전달해 작물을 세워주고(t) 오랫동안(l) 잘 자라게 하는 땅, ‘기름진, 비옥한’"/>
        <s v="기름진(fertile-fertil) 상태로 만드는 동작(~ize)이니 ‘비료를 주다, 기름지게 하다’"/>
        <s v="돈 뭉치 같은 둥근(o) 물건을 가지고 와 나르고 전달해주니(fer) ‘제공하다, 제안하다’"/>
        <s v="함께(con) 의견을 서로 나르니(fer) ‘의논하다’, 그 결과 상 주기로 결정해 ‘수여하다’"/>
        <s v="의논하는(confer) 곳 ‘회의, 회견’"/>
        <s v="둘이(di) 갈라서며 각자 의견을 나르니(fer) ‘다르다, 의견이 다르다’"/>
        <s v="다르다(differ) + 형용사(ent) = ‘다른, 상이한’"/>
        <s v="다른(diferent) + 동사화(alte)= ‘차별화하다, 구별하다’"/>
        <s v="우선순위에서 아래로(de) 옮기니(fer) ‘연기하다, 미루다, 양보하다’"/>
        <s v="양보하다(defer) + 명사(~ence) = 나의 의견을 양보하니 ‘복종, 존경’"/>
        <s v="다시(re) 그러한가 알아보기 위해 그 정보를 나르니(fer) 참조하다(refer) + 명사(ence) = ‘참조, 참고, 조회’"/>
        <s v="안에서(in) 생각을 나르면(fer) ‘추론하다’"/>
        <s v="추론하다(infer) + 명사(ence) = ‘추리, 추론’"/>
        <s v="뷔페에서 먼저 앞서(pre) 뭔가를 나르면(fer) ‘더 좋아하다, 선호하다’"/>
        <s v="옮기어(trans) 나르니(fer) ‘바꿔타다, 옮기다’"/>
        <s v="가볍게(f) 길게 멀리(l) 확장(y)되어서 가니 ‘날다’"/>
        <s v="날아가는데(fl) 빛처럼(light) 가는 ‘비행, 비상’"/>
        <s v="날아가듯이(fl) 펄럭일 때도 있고 축(g) 늘어져 있을 때도 있는 ‘깃발, 기’"/>
        <s v="날아가면서(fl) 한 조각, 한 조각(a) 확장하듯이(k) 하는 ‘얇고 작은 조각, 파편’"/>
        <s v="날아가듯이(fl) 조각들이 움직여 가서(m) 보이지 않게 되니(s) ‘부서지기 쉬운’"/>
        <s v="공기가 흘러가면서(fl) 악기 아래쪽(u)으로 가고 손으로 접촉(t)하여 소리를 내는 악기 ‘플루트’"/>
        <s v="날아가듯이(fl) 나부끼다가 아래쪽에(u) 쳐져 있기도 하고 다시 서기(t)도 하니 ‘펄럭이다, 휘날리다’"/>
        <s v="날아가다가(fl) 아래쪽에 가라 앉기도 하고(u) 또 가볍게(ff) 날아가는 ‘보풀, 솜 부스러기’"/>
        <s v="날아가듯이(fl) 계속(ee) 나아가니 ‘달아나다’"/>
        <s v="적이 무서워 달아나게(flee) 굳건히 바다에 서 있는(t) ‘함대’"/>
        <s v="잡으려면 달아나는(flee-fle) 한 마리(a) ‘벼룩’"/>
        <s v="날아가게(fl) 계속하니(ing) ‘내던지다’"/>
        <s v="날아 가듯이(fl) 가볍게 안쪽에서(i) 폭하고(p) 튀겨 나가니 ‘톡 튀기다’"/>
        <s v="날개를 톡 튀기면(flip-flap) ‘퍼덕거리다’&#10;*i를 좀더 강하게 발음하면 a가 된다"/>
        <s v="날아가듯이(fl) 손가락을 모았다가(c) 확장(k)하니 ‘가볍게 치다, 털다’"/>
        <s v="흘러가면서(fl) 아래쪽(u)에 있기도 하고 굽어(c)치기도 하고 다시 서(t)기도 하니 ‘오르내리다’"/>
        <s v="오르내리다(fluctuate) + 명사(tion) = ‘변동’"/>
        <s v="무거운 것이 날아가다가(fl) 아래쪽을(u) 향해 움직여(m) 폭하고(p) 지점을 만나니 ‘쿵하고 떨어지다’"/>
        <s v="성적이 날아가듯이 빠르게(fl) 아래바닥(u)을 향해 가까이(n) 확장해(k) 나아가니 ‘낙제하다’"/>
        <s v="날아가듯이(fl) 둥근(0) 발 두개가 막 다닐 수 있는 ‘바닥’"/>
        <s v="물이 날아가듯이(fl) 빠른 속도로 바퀴 두개가(oo) 굴러가듯이 아래로(d) 내려 가는 ‘홍수, 잠기게 하다’"/>
        <s v="흘러가서(fl) 아래쪽(u)을 향해 아래로(d) 흘러 가는 ‘유체, 유동성의’"/>
        <s v="흘러가서(fl) 아래쪽을(u) 향해 가며 새로운 흐름과 교차되기도(x) 하는 ‘흐름, 유동’"/>
        <s v="안(in)으로의 흐름(flux)이니 ‘유입’"/>
        <s v="가볍게 날아가듯 움직이다가(fl) 입구에서(e) 교차하니(x) ‘굽히다’"/>
        <s v="굽히다(flex) + 할 수 있는(ible-able) = ‘구부리기 쉬운, 유연한’"/>
        <s v="물이 흘러가(fl) 아래쪽(u)을 향해 나가 부드럽게(sh) 다 빠져 나가는 ‘배수, 씻어 내다’"/>
        <s v="물이 흘러(fl) 아래쪽을(u) 향해 들어가니 (ent-enter) ‘거침없이 흐르는, 유창한’"/>
        <s v="안으로(in) 거침없이 흘러가니(fluence) ‘영향을 주다, 영향’"/>
        <s v="영향(influence-influen) + 형용사(ial) = ‘영향력 있는’"/>
        <s v="사람 몸 안에서(in) 콧물이 거침없이 흐르고(fluent) 몸에 진동(몸살)을(z) 일으키는 ‘독감’"/>
        <s v="물에 흘러가는(fl) 보트처럼(boat-oat) ‘떠다니다’"/>
        <s v="사람들이 워낙 빨리 먹어서 날아가듯이(fl) 빠르게 입속으로(e) 사라지는(sh) ‘고기, 살’"/>
        <s v="날아가듯이(fl) 음식의 갈라진 틈(v)에서 나와 둥근 입 속으로(이) 강하게(r) 들어가게 하는 ‘맛, 풍미’"/>
        <s v="가볍게 약해지고(f) 길게 늘어져(l) 어떤 지점에(at) 있으니 ‘납작한, 평면, 아파트’&#10;* 납작한 평면으로 만들어진 아파트"/>
        <s v="납작한(flat) 타이어, ‘펑크난 타이어’"/>
        <s v="납작 엎드려서(lat) 말을 하니 ‘아첨하다, 아부하다’"/>
        <s v="아래로 저하시켜(de) 납작해지도록(flat) 하니 ‘수축시키다, 공기를 빼다’"/>
        <s v="안(in)으로 공기를 넣으니 납작한(flat)것이 ‘팽창하다, 부풀리다’"/>
        <s v="시장 안에(in) 바람을 넣으면 납작한(flat) 통화가치가 팽창하는 ‘인플레이션, 팽창’"/>
        <s v="다시(re) 휘게(flect)하니 ‘반사하다’"/>
        <s v="함께(con) 서로 상대방을 굽히려고(flect-flict) 애쓰니 ‘대립하다, 충돌하다’"/>
        <s v="안으로(in) 몸이 휘어지도록(flict) 힘을 가하다 ‘고통을 가하다’"/>
        <s v="더하다(a) 몸이 휘어지는(tict) 고통을 가하니 ‘괴롭히다’"/>
        <s v="괴롭히다(afflict) + 명사(tion) = ‘고통, 고뇌’"/>
        <s v="꽃(flor-flow) + 행위자(er) = ‘꽃’"/>
        <s v="밀 꽃(flor-flour)에서 나온 ‘밀가루’&#10;* flower와 발음이 같다"/>
        <s v="꽃(flor)에 꽃을 하나(a) 더하여 이룬 ‘식물군’"/>
        <s v="꽃(flor) + 사람(~ist) = ‘꽃집 주인, 꽃집’"/>
        <s v="꽃(flor-flour)이 만개한 것처럼 부드럽게 크게(sh) ‘번영하다’"/>
        <s v="앞(for) 쪽으로(ward) ‘앞으로, 앞쪽에’"/>
        <s v="앞으로(tor) 통과해(th) 나아가니 ‘앞으로’"/>
        <s v="뭔가를 더하려고(a), 즉 새로 구입하려고 앞으로(for) 나갈 수 있으니 ‘여유가 있다, 할 수 있다’"/>
        <s v="여유가 있다(afford) + 할 능력이 있는(able)= ‘(가격 등이)알맞은, 적당한’"/>
        <s v="처벌보다 앞서(tor) 주는 것이니(give) ‘용서하다’"/>
        <s v="앞으로만(for) 나아 가려고(get) 하니 ‘과거를 잊다, 잊어버리다’"/>
        <s v="앞으로(for) 나가 깊숙한(g) 곳에서 새로운 것을 만드니 ‘위조하다, 만들다’"/>
        <s v="어떤 대상을 향해서 앞으로(tor) 나아가 찌르는 힘을 확장(k)해 가는 것, ‘포크'"/>
        <s v="포크(fork)를 오랫동안(l) 사용해온 시골 사람들, ‘민속(의), 민간의, 사람들’"/>
        <s v="앞서(fore) 있었던 아버지(father) ‘선조, 조상’"/>
        <s v="앞쪽(fore)을 먼저 보니(see) ‘예견하다, 내다보다’ "/>
        <s v="예견하다(foresee)+ 가능한(able)= ‘미리 알 수 있는’"/>
        <s v="부정(un) + 예견하다(foresee) = ‘예측하지 못한’"/>
        <s v="미리 앞서 나가(fore) 의견을 던지니(cast) ‘예측하다, 예보하다’"/>
        <s v="앞쪽에 있는(fore) 쉬기(rest)위해 가는 곳, ‘숲’"/>
        <s v="항상 앞쪽(fore)에 있는 가장 최고(most)인 ‘맨 앞의, 일류의’"/>
        <s v="앞(fore)에 있는 사람(man), ‘우두머리’"/>
        <s v="앞쪽(fore)에 튀어나온 팔(arm), ‘팔뚝’"/>
        <s v="순서상 엄지 다음에 바로 앞(fore)에 있는 손가락(finger), ‘집게 손가락’"/>
        <s v="앞쪽(fore)에 튀어나온 머리(head) 부분, ‘이마’"/>
        <s v="앞으로(tor) 나가 굳건히 세워(t) 놓은 건물 ‘요새’"/>
        <s v="요새(fort) + 만들다(y) = ‘요새화하다, 강화하다’"/>
        <s v="요새를(fort) 만들어 힘이(r) 닥쳐와도 무기력 하게(ss) 만듬 &gt; ‘요새, 요새지’"/>
        <s v="요새(fort)처럼 단단하게 아래쪽에서(u) 쌓아 올리면 새롭게(n) 수익이 생기는 ‘재산, 행운’"/>
        <s v="잘못된(mis) + 행운(fortune) = ‘불운, 불행, 역경’"/>
        <s v="행운(fortune-fortun) + 형용사(ate) = ‘운이 좋은’"/>
        <s v="함께(com) 요새(fort)처럼 보호하고 감싸주니 ‘위로하다, 격려하다’"/>
        <s v="입구(e)로 들어가 성채를(fort) 만든다고 애쓰니 ‘노력, 수고’"/>
        <s v="앞으로(for) 나가서 잡으니(c) 느껴지는 ‘힘’"/>
        <s v="공중에서(air) 힘을 쓸 수 있는 존재(force) ‘공군’"/>
        <s v="안(en)으로 힘(force)를 행사하니 ‘시행하다, 실시하다’"/>
        <s v="다시(re) 안(in)으로 힘을 가하니(force) ‘강화하다, 증강하다’"/>
        <s v="강화하다(reinforce) + 명사(ment) = ‘강화, 증강, 보강’"/>
        <s v="앞으로 목표로(for)하는 형태로 움직여(m) 만들어진 ‘모양, 형태, 형성시키다’"/>
        <s v="가볍고(f) 둥근 모양(0)이며 움직여(m) 다니는 것 ‘거품’"/>
        <s v="모양, 형태(form)를 갖추고 모든 일을(all-a) 하니 ‘공식적인, 격식을 차린’"/>
        <s v="모양, 형태(form)를 만들다 + 명사(ion) = ‘구조, 조립’"/>
        <s v="정해진 형태(form)를 오랫동안(l) 만들어내는 ‘공식’"/>
        <s v="저하시키는(de) 것이 원래의 모양(form)이므로 ‘(모양 등을)변형하다’"/>
        <s v="머리 안(in)에다가 정보를 형성(form)해 주니 ‘알리다, 통지하다’"/>
        <s v="알려주다(inform) +명사(ion) = ‘정보, 자료, 지식’"/>
        <s v="알리다(inform) + 상태(ive) = ‘정보를 주는, 유익한’"/>
        <s v="함께(con) 형태를(form) 맞추니 ‘순응하다, 따르다’"/>
        <s v="순응하다(conform) + 명사(ity) = ‘순종, 일치, 적합’"/>
        <s v="다시(re) 형성하니(form) ‘고치다, 개혁하다, 개정하다’"/>
        <s v="완전한(per-perfect) 모양(form)을 만드니 어떤 일을 ‘행하다, 수행하다’"/>
        <s v="관련된 일을 수행하다(perform) + 명사(~ance) = ‘연주, 연기, 공연’"/>
        <s v="하나의(uni) 형태(form)로 만드는 ‘제복, 군복, 유니폼’"/>
        <s v="만들어(f) 안에서(i) 강하고(r) 커지도록(m)하니 ‘강한, 굳은, 확고한, 기업’"/>
        <s v="더하는(a) 것이 확고한(firm) 사실이니 ‘단언하다, 확언하다’"/>
        <s v="함께(con) 다 굳고 확실한(firm) 상태로 만드니 ‘확실하게 하다’"/>
        <s v="다시(re) 확실하게(confirm)하니 ‘재확인하다’"/>
        <s v="반대(in) + 굳고 강한(firm) 것 = ‘약한, 허약한’"/>
        <s v="부수어(frag) 흐느적(l) 거리니 ‘깨지기 쉬운, 망가지기 쉬운’"/>
        <s v="부수어(frag) 만들어진 + 명사(ment) = ‘조각, 파편’"/>
        <s v="조각, 파편(fragment) + 형용사(ary) = ‘단편적인’"/>
        <s v="향수병을 부수니(frag) 힘(r)있게 새로이(n) 퍼져나가는 것(~ance) ‘방향, 향기’"/>
        <s v="빠르고(f) 힘있게(r) 나가서 아무도 없는 곳에(n) 딱 서서(t) 있으니 ‘맨 앞 부분, 앞면’"/>
        <s v="맨 앞으로(ront) 나가 있는 것(er), ‘국경, 경계, 개척자’"/>
        <s v="앞쪽(fore) + 맨 앞부분(front) = ‘선봉, 최전선’"/>
        <s v="함께(con) 다 서로 맨 앞부분(iront)을 내미니 ‘직면하다’"/>
        <s v="더하다(a) 심한 말을 맨 앞 면전에서(front) 하니 ‘모욕하다’"/>
        <s v="만들어(fac) 내어 세운(t) ‘사실, 진실’"/>
        <s v="분명히 만들어(fact-fac)져서 영향을 힘 있게(r) 주는 ‘요소, 요인’"/>
        <s v="만드는(fact-fac) 사람이(or) 물건을 만들어 확장(y)해 나가는 곳 ‘공장’"/>
        <s v="사람(man)들이 뭔가를 만들어(fact-fac)내니 ‘생산하다, 제조하다’"/>
        <s v="생산하다(manufacture) + 사람(er) = ‘제조회사’"/>
        <s v="제품을 만들어(fac)내고 오랫(l)동안 서 있어(t) 유지되는 ‘시설, 설비’"/>
        <s v="시설과 설비(facility)가 이미 있어 쉽게 만드니(ate) ‘가능(용이)하게 하다’"/>
        <s v="만들어서(fac) 같은 것을(simille-same) 보내는 ‘팩스’"/>
        <s v="뭔가를 만들어(fac) 낼 수 있는, 계발해야(cult) 하는 ‘능력, 재능’"/>
        <s v="완전하게(per) 만드니(fect-fac) ‘완벽한’"/>
        <s v="몸 안으로(in) 들어가 병을 만들어내니(fect-fac) ‘감염시키다’"/>
        <s v="감염시키다(infect) + 형용사(ous) = ‘전염성의’"/>
        <s v="아래쪽(de)으로 수준이 낮게 만들어(fect-fac)진 부분 ‘결점, 단점, 약점’"/>
        <s v="결점(defect) + 형용사(ive) = ‘결점이 있는’"/>
        <s v="뭔가를 더하여(a) 만들어주니(fect-fac) ‘영향을 미치다’"/>
        <s v="좋은 영향을(affect) 지속적으로(on) 미치는 ‘애정, 애착’"/>
        <s v="입구(e)를 통해 밖으로 만들어(fect-fac)낸 ‘결과, 효과’"/>
        <s v="효과적인(effect) 성질이 길게(l) 확장하니(y) ‘효과적으로’"/>
        <s v="부정(in) + 효과적인(effective) = ‘효과가 없는’"/>
        <s v="효과(efic-effect)가 있는 곳 안에(en) 서(t) 있으니 ‘능률적인, 효율적인’"/>
        <s v="신이 만들었는데(fac) 입구가(e) 많은 것 (눈,코,입) ‘얼굴, 면’"/>
        <s v="자르면 잘린 면(face)이 딱 서 있는(t) 것 같은 자른 ‘단면’"/>
        <s v="아래쪽을(sur) 넘어서서 만나는 얼굴(face) ‘표면, 외면’"/>
        <s v="책 전체에 앞서 있는(pre) 얼굴(iace)과 같은 부분 ‘서문’"/>
        <s v="상호간에(inter) 얼굴(face)을 마주하며 영향을 미치는 ‘상호작용 영역, 접속기’"/>
        <s v="입구(e)를 통해 가볍게(f) 얼굴(face)이 나가게 하니 ‘사라지게 하다, 지우다’"/>
        <s v="만들어 낸(fic-fac) 이야기 ‘소설, 꾸며낸 이야기’"/>
        <s v="둥근(o) 돈을 만들어(fic) 내는 장소 ‘사무실’"/>
        <s v="병사들과 달리 사무실(office)에서 근무하는 ‘장교, 경찰관’"/>
        <s v="수준이 저하(de)되게 만들어진(fic) ‘적자, 부족액’"/>
        <s v="적자(deficit-defici) + 형용사(ent) = ‘부족한, 결핍되어 있는’"/>
        <s v="예술작품(art)처럼 만들어낸(fic) &gt; ‘인공의’"/>
        <s v="겉으로만 뛰어나게(super) 만들어(fic) 놓은 부분이니 ‘피상적인’"/>
        <s v="보이지 않는(s) 아래쪽까지(u) 만들어서(fic) 채우니 ‘충분한’"/>
        <s v="앞으로(pro) 나가서 먼저 만드니(fic) ‘숙달된, 능숙한’"/>
        <s v="효과(effic-effect)가 안에(en) 늘 서(t) 있어서 ‘능률적인, 효율적인’"/>
        <s v="두가지를(di) 한꺼번에 만들어야(fic) 하니 ‘어려운’"/>
        <s v="차를 타고 움직여(travel-tra) 가면서 만들어 내는(fic) ‘교통(흐름), 통행’"/>
        <s v="확실하게(certain-certi) 만들어 주는(fic) ‘증명서’"/>
        <s v="자질(quality-quali)을 만들어주니(fy) ‘자격을 주다’"/>
        <s v="분리(dis)시키는 것이 자격(qualified)이 주어진 상태이므로 ‘자격을 잃은’"/>
        <s v="상대방을 앉혀지도록(sit-sat) 만드니(fy) ‘만족시키다’"/>
        <s v="만족시키다(satisfac-satisfy) + 명사(tion) = ‘만족, 흡족’"/>
        <s v="분리(dis)시키다 + 만족(satisfaction) = ‘불만, 불평’"/>
        <s v="크게(mag-mega) 보이도록 만드니(fy) ‘확대하다’"/>
        <s v="만들고(f-y) 보니 딱 그것(it)이라서 ‘적당한, 알맞은’"/>
        <s v="밖(out)에 나갈 때 필요에 따라 알맞게(fit) 준비하는 ‘외출 옷’"/>
        <s v="나에게 좋고(bene) 알맞은(it) ‘이득, 혜택’"/>
        <s v="앞서(pro)나가 차지해야하는 알맞은(fit)것 ‘이익, 수익’"/>
        <s v="먼저 만들어야 하는(f-fy) 아래쪽(under-und)이 되는 부분 ‘바닥, 기초, 자금’"/>
        <s v="자금(fund)을 들어올려 지원해주는 사람(raiser) ‘자금 조달자’"/>
        <s v="반대로(re) 자금(fund)을 돌려주니 ‘환불하다, 상환하다’"/>
        <s v="기초(fund) 중에 정신(mental)이 가장 ‘기본적인, 근본적인’ 것이다"/>
        <s v="기초(found-fund)를 만든 사람(er)은 ‘설립자’"/>
        <s v="바닥, 기초(found-fund) + 명사(tion) = ‘(건물의) 토대, 기반, 근거, 재단, (화장품) 파운데이션’"/>
        <s v="앞으로(pro) 나아가는 깊은 바닥, 기반(found) 이니 ‘깊은, 심오한’"/>
        <s v="바닥에서(foun-found) 위로 나아가는(t) 안(in)에 물이 있는 ‘분수’"/>
        <s v="연약하게 만들어(f-fy) 사용하니(use) ‘녹이다’"/>
        <s v="녹이다(fuse) + 명사(ion) = ‘융해, 융합’"/>
        <s v="여러가지를 안에(in) 넣고서 녹이니(fuse) ‘주입하다’"/>
        <s v="원래 덩어리에서부터 각각으로(di) 나뉘어져 녹아드니(fuse) ‘분산시키다, 발산하다’"/>
        <s v="함께(con) 녹아버리니(fuse) ‘혼동하다’"/>
        <s v="다시(re) 물어보아도 그 제안을 녹여버리니(fuse) ‘거절하다’"/>
        <s v="발생(gen)시 세포의 입구(e)를 통해 발현되는 ‘유전자’"/>
        <s v="유전자(gen-gene)를 움직이게(m) 하는 ‘유전체’"/>
        <s v="유전자(gene) + 형용사(id) = ‘유전의, 발생의’"/>
        <s v="발생시켜(gen) 힘있게(r) 나와 서게(t)하니 ‘발생시키다’"/>
        <s v="아래로(de) 저하되어 발생(generate)하니 ‘퇴보하다, 타락하다’"/>
        <s v="발생시켜(generate) 전기를 만드는 행위자(or) ‘발전기’"/>
        <s v="출생이(gen) 비슷한 시기의 무리, ‘세대’"/>
        <s v="출생(gen) 별로 힘있게(r) 묶어놓은 ‘종류, 유형, 장르’"/>
        <s v="생겨난(gen) 것들을 모두(a-al) 아우르니 ‘포괄적인, 일반적인, 장군’"/>
        <s v="포괄적으로(gener-general) 다 아우르며 우리(us)라고 말하니 ‘관대한, 너그러운’"/>
        <s v="출생이(gen) 좋아 서서(t)있어 오래(l) 버티니 ‘온화한, 부드러운’"/>
        <s v="온화한(gentle) 남자(man) ‘신사’"/>
        <s v="발생할 때(gen) 안에(i) 모든 사람을(all) 배려 하는 성품을 가졌으니 ‘상냥한, 온화한’"/>
        <s v="함께(con) 서로 상냥하게(genial) 대하니 ‘마음이 맞은’"/>
        <s v="유전자가(gene) 존재하게(is) 된 ‘기원, 발생, 창시’"/>
        <s v="생겨난 출생(gen)부터 안에(i) 아래쪽(u)에 보이지 않는(s) 곳에 숨겨진 ‘천재성, 천재’"/>
        <s v="자기 안(in)에서 발현된 천재성(genious-genius)이니 ‘독창적인, 기발한’"/>
        <s v="최초 생겨난(gen) 모습 그대로 아래쪽에(u) 안에(in) 잘 보관 되어 있는 ‘진품의, 진짜의’"/>
        <s v="함께(con) 가지고 태어나니(gen) ‘타고난’"/>
        <s v="출생(gen)시 하늘에서 아래로(d) 정해진다고 생각하는 ‘성별’"/>
        <s v="하나하나(a) 생겨나(gen) 협의해야 할 사항이 되니 ‘의제, 협의사항’"/>
        <s v="안(en)에서 새 힘이 발생하게(gin-gen) 만드는 ‘엔진’"/>
        <s v="엔진(engine) 같은 것들을 다루는 + 사람(er) = ‘엔지니어, 기술자’"/>
        <s v="머리 속 생각을 나르는(gest) ‘몸짓, 손짓, 동작’"/>
        <s v="아래쪽에(su) 있던 생각을 나르니(gest) ‘제안하다’"/>
        <s v="모두 함께(con) 날라 놓으니(gest) ‘혼잡하다’"/>
        <s v="혼잡하다(congest) + 명사(ion) = ‘혼잡’"/>
        <s v="각각으로(di) 되게 해서 몸의 여러 곳으로 영양소를 나르니(gest) ‘소화하다’"/>
        <s v="나중에 다시(re) 보기 위해 정보를 나르니(gist-gest) ‘기록하다, 등록하다’"/>
        <s v="빛나는(g) 빛이 부드럽게(ss) 나아가는 ‘유리’"/>
        <s v="빛나는 빛이(gl) 둥글게(o) 부드럽게(ss) 나아 가게 하니 ‘광택을 내다’"/>
        <s v="빛나는 것이(gl) 나아가고(t) 또 나아가니(t) ‘반짝이다’"/>
        <s v="빛나는 빛이(gl) 물결(w)처럼 나아가니 ‘빛나다’"/>
        <s v="빛나는 빛이(gl) 나서 힘있게(r) 확장 되어(y) 나가는 ‘영광’"/>
        <s v="하늘에서 빛나는 빛이(gl) 아래로(d) 비치는 듯하니 ‘밝은, 즐거운’"/>
        <s v="빛이(g) 하나(a) 움직여(m) 가니 ‘희미하게 빛나다’"/>
        <s v="눈빛이(gl) 창처럼(lance) 나가다, ‘흘낏보다’"/>
        <s v="눈에서 빛이(gl) 존재하니(are) ‘노려보다’"/>
        <s v="몸을 관통하여(dia) 깊은 곳까지 알아가는(gn)데 코로(nose) 냄새 맡듯이 샅샅이 다 보니 ‘진단하다’"/>
        <s v="진단하다(diagnose) + 명사(is) = ‘진찰, 진단’"/>
        <s v="함께(co) 여러 정보들을 모아서 머리 속 깊숙한(g)곳에서 새롭게(n) 알게(gn)되니 ‘인식’"/>
        <s v="태어나기 앞서(pre) 미리 알 수 있으니(gn) ‘임신한’"/>
        <s v="다시(re) 함께(co) 알아주니(gn) ‘인정하다, 알아보다’"/>
        <s v="혼자서만(i) 안다고(gn) 생각하고 다른 사람을 ‘무시하다’"/>
        <s v="마음 깊은 곳(g)으로부터 힘있게(r) 죽 나아가 웃으니 ‘방긋 웃다’"/>
        <s v="몸의 길이와 크기가 죽 나아가는데(gr) 줄(row) 지어 나오는 것처럼 계속 나아가니 ‘성장하다, 자라다’"/>
        <s v="성장하다(grow) + 명사(th) = ‘성장, 발육’"/>
        <s v="땅 속 깊은 곳에서(g) 힘있게(r) 나아가 자라고(gr) 비가(rain) 잘 내려야 잘 크는 ‘곡물’"/>
        <s v="깊은 곳에서 나오는 센 힘으로 죽 나아가(gr) 안에(in) 넣은 재료의 사이즈가 작아지도록(d) 만드니 ‘갈다’"/>
        <s v="깊은 곳(g)에서부터 힘있게(c) 죽 나아가(gr) 자라면서 부드러운(ss) ‘풀, 잔디’"/>
        <s v="소가 풀을(grass-gr) 지우개로(raze) 지우듯이 먹어 없애는 곳은 ‘방목, 목초지’"/>
        <s v="깊은 곳에서 죽 나아가(gr) 함께 둥글게(o) 아래쪽(u)에 모이면 만들어지는 ‘모임, 그룹’"/>
        <s v="반가운 감정이 마음 속 깊은(g) 곳에서 힘차게(r) 죽 나아가(gr) 계속(ee) 서서(t)하는 ‘인사, 인사하다’"/>
        <s v="마음 깊은 곳에서 죽 나아가(gr) 우르르 울리는(rumble) 소리를 내니 ‘불평하다, 투덜거리다’"/>
        <s v="깊은 곳에서 힘있게 죽 나아가(gr) 올빼미(owl) 같은 소리를 내니 ‘으르렁거리다’"/>
        <s v="깊은 곳(g)에서부터 아주 강하게(r) 죽 나아가(gr) 둥근(o) 목 구멍에서부터 혼자(an) 있으면서 내는 소리 ‘신음, 신음하다’"/>
        <s v="마음 속 깊은 (g) 곳에서 세게(r) 죽 나가면서(gr) 나오는 감정인데 혼자서(i) 약할 때(f) 느끼는 깊 은 ‘고뇌, 슬픔’"/>
        <s v="큰 슬픔(grief-griev)이 있어 ‘몹시 슬퍼하다, 마음 아파하다’"/>
        <s v="다음 단계로 나아가니(grad) 생기는 ‘등급, 단계’"/>
        <s v="등급(grade-grad) 모두(all-al) 다 밟아 가니 ‘단계적인, 점차적인’"/>
        <s v="점차적인(gradual) + 부사(y) = ‘차츰, 서서히’"/>
        <s v="다음 등급(grade-grad)으로 나아가려고 아래쪽(u)단계 학년을 다 먹었다(ate) 그러니 ‘졸업하다’"/>
        <s v="아래(under)단계에서 졸업(graduate)을 위해 열심히 공부하는 ‘대학생’"/>
        <s v="냄비 안으로(in) 단계별로 나아가(gred-grad) 넣는 ‘재료, 성분, 구성요소’"/>
        <s v="죽 나아가서(gr) 서(t)니 큰(grat-great), ‘거대한, 큰’"/>
        <s v="함께(con) 크게(grat) 서로 좋아하니 ‘축하하다’"/>
        <s v="대단하고 크게(grate-grat) 여기는 마음이 가득차니(tul-full) ‘고맙게 생각하는’"/>
        <s v="크고 대단하게(grat) 느끼도록 만드니(ty) ‘만족 시키다, 기쁘게 하다’"/>
        <s v="뭔가를 대단하고 크게(grat) 여기는 태도(attitude-titude) ‘감사’"/>
        <s v="하나가(a) 되어 나아가니(gree) ‘일치하다, 동의하다’"/>
        <s v="동의하다(agree) + 명사(ment) = ‘약속, 협정, 일치’"/>
        <s v="반대(dis) + 동의(agreement) = ‘불일치, 불화’"/>
        <s v="아래쪽으로(de) 한 단계 한 단계 나아가는 (gree) 것은 ‘학위, 정도, 도’"/>
        <s v="계속 나아가면(gree) 결국 아래로(d) 떨어지는 ‘끝없는 욕망, 탐욕’"/>
        <s v="더하여(a) 나아가서(gre-gree) 문(gate) 앞에 모이니 ‘총액, 합계, 종합하다’"/>
        <s v="잘라버리는(se) 것이 종합한 것(gregate-aggregate)이니 ‘나누다, 분리시키다’"/>
        <s v="함께(con) 종합하니(gregate-aggregate) ‘모이다, 집합하다’"/>
        <s v="함께(con) 대표들이 나아가는 곳(gress-gree) ‘국회’"/>
        <s v="앞으로(pro) 나아가니(gress-gree) ‘진보, 전진 하다’"/>
        <s v="전진하다(progress) + 형용사(ive) = ‘진보적인, 혁신적인’"/>
        <s v="혼자서(a) 가니(gress-gree) 공격을 시작하다 + 형용사(ive) = ‘공격적인, 침략적인’"/>
        <s v="사람을 묻어둔(grav) 곳 ‘무덤, 엄숙한, 진지한’&#10;* 무덤에서의 분위기는 엄숙한, 진지한 상태이다."/>
        <s v="엄숙한(grave) + 부사(ly) = ‘엄숙하게, 진지하게’"/>
        <s v="무덤(grave)을 파다 보면 길게(l) 계속 나오는 것 ‘자갈’"/>
        <s v="안(en)으로 무덤(grave) 같이 파내니 ‘새겨 넣다, 조각하다’"/>
        <s v="더하여(a) 무덤(grave)같은 상황으로 치닫게 하니 ‘악화시키다, 화나게 하다’"/>
        <s v="동굴 깊숙한(g) 아래쪽(u) 깊은 속(gu) 안(i)으로 아래로(d) 내려가게 안내하니 ‘길 안내를 하다’"/>
        <s v="길 안내(guide)를 하는 선(line)은 ‘지침, 가이드라인’"/>
        <s v="길 안내를 하다(guide) + 명사(ance) = ‘지도, 지휘’"/>
        <s v="깊은 속(gu)에서 갑자기 뭔가 나오면 힘(r)으로 저하(d)시키는 사람, ‘경비요원, 보호하다’"/>
        <s v="보호하는데(guard) 서서(t) 계속(ee)하면 ‘보증, 보증하다’"/>
        <s v="몸의 안쪽 깊은 속(gu)에 서(t)있는 ‘창자, 내장, 용기’"/>
        <s v="내장(gut)처럼 아래쪽으로 나아가(t) 물이 흘러 가게 하는 ‘도랑, 시궁창, 배수로’"/>
        <s v="깊숙한 아래쪽, 깊은 속(gu)에서 안 보이다가 갑자기 나와서 서는(st) ‘돌풍’"/>
        <s v="분리(dis)시켜 돌풍처럼(gust) 갑작스럽게 깊은 속에서 분출물을 뿜어내니 ‘메스꺼움, 혐오’"/>
        <s v="깊은 속(gu)에서 쉬 하면서(sh) ‘세차게 흘러나 오다, 분출하다’"/>
        <s v="깊은 속으로(gu) 길게(l) 폭 폭(p) 소리를 내면서 ‘꿀꺽꿀꺽 마시다’"/>
        <s v="깊은 속(gu)에서 길게 길게(ll) 끼룩끼룩 소리를 내는 ‘갈매기’"/>
        <s v="사람의 마음 깊은 속(gu)에서 분명히 보이지 않는(ss) 생각을 하니 ‘추측하다, 짐작하다’"/>
        <s v="갈라진 틈(v)의 깊은 속(gu)에 있어 ‘막연한, 애매한’"/>
        <s v="화산(vo) 같이 폭발적이고 깊은 속(gu-gue)으로 사람들을 끌고 들어가는 흡인력이 있는 ‘유행, 인기, 유행하는’"/>
        <s v="하나하나(a) 짚으면서 힘있게(r) 깊은 속(gu)에 있던 생각을 ‘논하다, 논의하다’"/>
        <s v="논의하다(argue) + 명사(ment) = ‘논의, 논쟁’"/>
        <s v="깊은 속(gu) 탄창에서부터 새롭게(n) 총알이 장전되어 나가는 ‘총’"/>
        <s v="마음 속 깊은 속(gu)에 있는 진심으로 문 앞에 서서(st) 맞이하는 ‘손님’"/>
        <s v="깊은 통 속에서(gu) 나오는 소리를 세워서(t) 내는 ‘기타’"/>
        <s v="크게 잡아서(h) 더하여(a) 갈라진 틈(v) 안으로 들어오게 하니 ‘가지고 있다’"/>
        <s v="존재(be)하면서 가지게(have) 되는 것은 ‘행동, 행위, 처신’"/>
        <s v="잘못된(mis) + 행동(behavior) = ‘나쁜 행동, 못된 짓’"/>
        <s v="여러 번 하다가 결국 소유(habit)하게 되는 행동, ‘버릇, 관습’"/>
        <s v="버롯, 관습(habit) + 형용사(al) = ‘습관적인, 평소의’"/>
        <s v="안에(in) 습관적(habit)으로 있어 ‘거주하다, 살다’"/>
        <s v="거주하다(inhabit) + 사람(ant) = ‘거주자, 주민’"/>
        <s v="습관적으로(habit) 그 지점에(at) 사니 ‘서식지, 거주환경’"/>
        <s v="밖에(ex) 가지고 있으니(hibit-habit) ‘전시하다, 공개하다’"/>
        <s v="안에만(in) 가지고(hibit-habit) 있도록 밖으로 못 나가게 ‘억제하다, 방해하다’"/>
        <s v="앞으로(pro) 나아가 먼저 소유하니(hibit-habit) 다른 사람이 못하게 ‘금지하다’"/>
        <s v="크게 잡아서(h) 뭔가를 더하고(and) 더하는 기능을 하는 ‘손’"/>
        <s v="손(hand)으로 잡도록 길게(l) 되어 있는 것은 ‘손잡이, 핸들, 다루다’"/>
        <s v="손(hand)에 가득하니(full) ‘한 움큼’"/>
        <s v="손(hand)에 늘 들고 다니면서 참고하는 책(book)은 ‘안내서, 참고서’"/>
        <s v="손(hand)에 드는 가방(bag)은 ‘핸드백’"/>
        <s v="창조주의 손으로(hand) 좀(some) 만졌으니 ‘미남의, 풍채가 좋은’"/>
        <s v="미리(pre) 손을(hand-hend) 뻗으니 ‘잡다’"/>
        <s v="범죄자를 확실히 더하여(ap) 잡으니(prehend) ‘체포하다’"/>
        <s v="모든 내용을 함께(com) 다 잡으니(prehend) ‘이해하다’"/>
        <s v="이해하다(comprehend) + 할 수 있는(able-ible) = ‘알기 쉬운, 이해할 수 있는’"/>
        <s v="모든 내용을 함께(com) 다 잡다(prehend-prehen) + 형용사(sive) = ‘포괄적인’"/>
        <s v="조직이 크게 세게 잡고(har) 있으려는 것이 돈 이면(mony-money) 먼저 ‘조화, , 화합, 일치’가 있어야 한다"/>
        <s v="나오는 소리가 조화(harmony-harmoni)로운 악기 ‘하모니카’"/>
        <s v="서로 크게 세게 잡고(harp-har) 폭폭(p) 튕기면서 연주하는 악기 ‘하프’"/>
        <s v="가루를 크게 세게(har) 잡아서 아래로(d) 두니 ‘단단한, 다루기 어려운, 힘든’&#10;* 음식, 재료 등이 단단하면 먹기 힘들고 다루기 힘들다."/>
        <s v="그렇게 되기가 힘들고 어려우니(hard) ‘거의 아니다’"/>
        <s v="상대방을 크게 세게 잡으려고(har) 즉, 통제하려 고 쉬~ 하는 소리(sh)의 채찍질을 가하는 것은 ‘가혹한, 엄격한’"/>
        <s v="크게 세게(har) 잡아서 말의 몸에 가까이에(n) 붙이는 ‘끄는 장비, 마구’"/>
        <s v="크게 세게(har) 잡아서 조끼에(vest) 다 담는 것은 ‘수확, 추수’"/>
        <s v="상속(heri-heir) 받는 사람 ‘상속인’"/>
        <s v="집안에서(in) 유산으로 상속(herit-heri) 받으니 ‘상속받다, 물려받다’"/>
        <s v="상속된 것으로(heri) 서서(t) 버티도록 오랜 세월(age) 지켜온 ‘유산, 문화유산’"/>
        <s v="상속되어(here-heri) 아래(d) 세대까지 전달되는 것은 ‘유전’"/>
        <s v="안에(in) 상속받아(here-heri) 들어온(enter-ent) ‘타고난, 고유의’"/>
        <s v="슈~(sh)하는 소리를 내며 아래쪽으로(u) 문이 나아가게(t) 하니 ‘닫다, 뚜껑을 덮다’&#10;* 위에서 아래로 내리는 셔터(shutter)를 생각하자."/>
        <s v="부드럽게 크게 상품을 잡아 놓고(sh) 폭하고(p) 잘 나가게 판매하는 ‘가게, 상점’"/>
        <s v="부드럽게 크게 감싸며(sh) 둥근(o) 공간 입구(e)로 발이 들어가는 ‘구두, 신’"/>
        <s v="부드럽게 목을 감싸지만(sh) 힘있게(r) 서(t)있는 잘 다려진 칼라가 있는 ‘셔츠’"/>
        <s v="부드럽게 몸 전체를 감싸고(sh) 오랫동안(ee) 접촉하는(t) ‘시트, 홑이불’"/>
        <s v="부드럽게(s) 크게(h) 감싸 보호하고 길게(l) 길게(l) 오랫동안 존재하게 하는 ‘껍질, 외피’"/>
        <s v="부드럽게 크게 잡아(sh) 보호하는 역할을 하면서 길게(l) 오랫동안 머물 수 있게 세워(t) 놓은 ‘피난처’"/>
        <s v="크게 잡아(sh) 보호하며 자신을(i) 멀리서(l) 날아오는 화살이나 창을 아래로(d) 떨어지게 하는 ‘방패’"/>
        <s v="어떤 지역을 크게 잡아 보호하며(sh) 강하면서 도(r) 재빠르게(ff) 움직이는 ‘보안관’"/>
        <s v="부드러우면서도 크게(sh) 잡아버리는 ‘수갑, 족쇄’"/>
        <s v="크게 잡아(sh) 주는 것이 아래쪽(u)에 길게(l) 아래로(d) 늘어진 몸인 ‘어깨’"/>
        <s v="부드럽게 크게 감싸주는 것이(sh) 힘차게 굴러 가던(ro) 생명이 아래쪽에(u) 힘이 저하된(d) 죽은 몸이니 ‘수의, 가리다’"/>
        <s v="부드러운 물 전체를 덮고(sh) 있는데 낮은(Iow) 수위이니 ‘얕은, 표면적인’"/>
        <s v="육지를 크게 잡고 있어서(sh) 둥근 바다(o) 호수 가 힘차게(r) 파도가 쳐도 그대로인 ‘해안, 물가’"/>
        <s v="부드러운 몸 전체를 크게 잡아 덮고 있는(sh) 길게(ee) 자라는 털이 폭하고(p) 튀어 나와있는 ‘양’"/>
        <s v="양(sheep-shep) 떼(herd)를 치는 ‘양치기’"/>
        <s v="전체를 부드럽게 감싸며(sh) 힘보여주면서 어떤 부분은 폭 하고(p) 특징적으로 튀어 나와 있는 ‘모습, 모양’"/>
        <s v="부드럽게 크게 덮고(sh) 있으면서 아래로(d) 드리워지는 ‘그늘’"/>
        <s v="그늘이(shade) 물결처럼(w) 드리우면 생기는 ‘그림자’"/>
        <s v="부드럽게 크게 잡아(sh) 존재(are)에 따라 각각나누는 것 ‘몫, 할당’"/>
        <s v="자기 몫(share)을 소유(holder)한 사람, ‘주주’"/>
        <s v="전체적으로 크게 잡으니(sh) 바로 터져(b) 나가 버려 ‘닳아 해진, 누더기의’"/>
        <s v="부드럽게 크게 잡으려고(sh) 하면 움직여(m) 도망가고 싶은 마음, ‘부끄럼’"/>
        <s v="부드럽게 머리 결을 보호(sh)하면서 손으로 움직이면(m) 폭하고(p) 둥근(oo) 거품이 많이 생기는 ‘샴푸’"/>
        <s v="전체적으로(wh) 안으로(i) 접촉하는(t) 모든 색깔과 섞일 수 있는 색, ‘흰색’"/>
        <s v="크게 잡아 전체(wh)적으로 공을(o) 길게(l) 둘러싸면 ‘전체의, 모든, 온전한’"/>
        <s v="바다 전체를(wh) 다 길게(l) 헤엄쳐 다니는 ‘고래’"/>
        <s v="전체 방향으로(wh) 계속(ee) 길게(l) 굴러가게 만들어 놓은 ‘바퀴’"/>
        <s v="바퀴가(wheel) 달린 의자(chair) ‘휠체어’"/>
        <s v="하나의 바퀴(wheel)로 이루어진 손수레(barrow)이니 ‘외바퀴 손수레’"/>
        <s v="높은 곳에서는(hi) 아래로 축(g) 늘어진 부분도 보이니 ‘높은’"/>
        <s v="높은(high) 지점에 서(t) 있어 측정해본 ‘높이’"/>
        <s v="높이(high) 두드러져 빛(ight)나게 해야하는 ‘중요부분’"/>
        <s v="높은(high) 속도로 달릴 수 있는 길(way)이니 ‘고속도로’"/>
        <s v="높은 곳에서(hier-high) 아치처럼(arch) 덮고 다스리는 ‘계급제, 서열’"/>
        <s v="높고(hi) 아래로는 경사면이 미끄러지듯 길게(ll) 되어있는 ‘언덕’"/>
        <s v="높은(hi) 언덕을 오르기도 하면서 점점 거리를 확장(k)시켜 나아가는 ‘도보 여행’"/>
        <s v="안(in)에 있는 바로 그것(t)이니 ‘처음의’"/>
        <s v="처음의(initial-initia) 것이 서서(t) 나타나니 ‘시작하다’"/>
        <s v="안으로(in) 집어 넣는(put) ‘투입(량)’"/>
        <s v="안(in)으로 아래쪽(du)으로 길게(l) 깊숙히(g) 들어가니 ‘빠지다, 탐닉하다’"/>
        <s v="안(in)으로 쫙(j)하고 아래쪽에서(u) 튀어 나오 는 힘(r)이 가해지니 ‘부상을 입다[입히다]’"/>
        <s v="안(in)으로 문(door)을 열고 들어가면 ‘실내의’"/>
        <s v="안(in)으로 취하니(take) ‘섭취’"/>
        <s v="집 안(in)으로까지 나아갈(t) 수 있는 친구(mate) 사이는 ‘친밀한’"/>
        <s v="안에서(in) 먼지를(dust) 날리며 힘차게(r) 만들 어내는 ‘산업, 제조업’"/>
        <s v="안으로(in) 들어오는(come)것은 ‘수입’"/>
        <s v="안(in)의 내용을 아래로(d) 순차적으로 만들어 밖으로(ex) 쉽게 내용을 꺼낼 수 있게 만든 ‘색인, 지표’"/>
        <s v="펜 안(in)에서 확장(k)하여 나아가는 ‘잉크’"/>
        <s v="상호간에(inter) 그물(net)처럼 엮어주는 ‘인터넷’"/>
        <s v="상호간에(inter) 갈라진 시간적 틈(v)이니 ‘(시간적) 간격’"/>
        <s v="상호간에(inter-inte) 큰(grate-great) 일을 위해 ‘통합하다’"/>
        <s v="반대(dis) + 통합하다(integrate) = ‘해체 하다, 붕괴시키다’"/>
        <s v="전체를 통합하기(integrate-integr)위해 필요한 모든 것(all-al)이니 ‘(전체의 일부로서) 필수적인’"/>
        <s v="법정 앞에서 필수적인(integral-integr) ‘진실성, 고결’"/>
        <s v="상호간에(intr-inter) 안에(in) 보이지 않지만(s) 고유의 자연스런 뭔가는 ‘본질적인’"/>
        <s v="(좋아하는) 둘 사이에(inter) 서서 존재하는 것은(st) ‘관심’"/>
        <s v="안의(intr-inter) 공간을 무례하게(rude) ‘침범하다’"/>
        <s v="서로 상호간(inte-inter)에 관계를 맺으면서 서(st) 있는 ‘내장’"/>
        <s v="상호간에(intr-inter) 나를(i) 내세우며 고양이 처럼(cat) 싸우며 뒤얽히니 ‘복잡한’"/>
        <s v="사이에서(inter) 앞으로(pre) 나아가(t) 중간에서 말하니 ‘통역하다’"/>
        <s v="안의(inter) 있는 모습을 나타내니 ‘안쪽의, 내부의, 인테리어’"/>
        <s v="저하시키는 것이(de) 인테리어(interior)니 ‘악화되다, 더 나빠지다’"/>
        <s v="쫙(j)하고 힘있게 나아가게 하니(t) ‘분출, 분출하다’"/>
        <s v="쫙하고 분출하는(jet) 엔진을 가진 비행기(plane)는 ‘제트기’"/>
        <s v="제트기(iat)를 타고 여행시 시차로 시간 이 늦어져서(lag) 생기는 ‘시차증’"/>
        <s v="해변으로부터 분출하듯이(jet) 좍 나가 확장 하여(y) 만든 ‘둑, 부두’"/>
        <s v="앞으로(pro) 하려고 던져진(ject) ‘계획, 설계’"/>
        <s v="계획(project) + 사람(or) = ‘기획자, 설계자, 영사기’&#10;* 영사기는 앞으로(pro) 영상을 던지는(ject) 행위자(or)에서 나&#10;왔습니다."/>
        <s v="아래에서(sub) 뭔가를 던져(iect) 바치는 ‘신하, 부하’"/>
        <s v="부하들(subject)은 다 자기만 생각하니 ‘주관적인’"/>
        <s v="반대로(re) 던지니(ject) ‘거절하다’"/>
        <s v="거절하다(reject) + 명사(tion) = ‘거절’"/>
        <s v="입구를(e) 통해 던지니(ject) ‘탈출하다, 쫓아내다’"/>
        <s v="서로 다른 둥글고(o) 불룩(b)하게 생긴 물체를 던지니(ject) ‘반대하다, 사물, 물건’"/>
        <s v="안(in)으로 던지는(ject) 것(ion)은 ‘주입, 주사’"/>
        <s v="갑자기 좍(j) 하고 어떤 공간(o) 안(in)으로 들어 가니 ‘합류하다, 결합하다’"/>
        <s v="더하여(ad) 결합하니 (join) ‘결합하다, 인접하다’"/>
        <s v="안(en)으로 결합(ioin)하도록 ‘명하다’"/>
        <s v="결합하려고(join) 접촉하는(t) 곳은 ‘접합 부분, 이음매’"/>
        <s v="결합하다(junct-join) +명사(ion) = ‘접합, 결합’"/>
        <s v="함께(con) 결합(junction) 하니 ‘연합, 연대, 접속사’"/>
        <s v="갑자기 좍하고 위로 올라가면서(ju) 움직여(m) 폭하고(p) 나아가니 ‘뛰다, 뛰어오르다’"/>
        <s v="생기가 넘쳐 늘 쫙 위로 올라가는(ju) ‘나이가 어린, 연하의 사람’"/>
        <s v="기운이 넘쳐 좍하고 위로 올라가며(ju) 자라고 마음의 갈라진 틈(v) 안에서부터(en) 갈등과 고민이 생기는 ‘청소년’"/>
        <s v="갑자기 좍하고 위로 올라가는(iu) 터질듯이(b) 기쁜 마음이 오래(l)가니 ‘환성을 지르는’"/>
        <s v="과일을 압착하여 좍하고(j) 튀어나오는 것을 아래쪽에서(u) 잡아서(c) 모아 만든 ‘주스’"/>
        <s v="주스(juice)가 확장(y)해 많아지니 ‘즙이 많은’"/>
        <s v="이젠 못 쓰게 되어 갑자기 쫙(j) 하고 아래쪽(u) 가까이(n) 연결되어 있던 부속품들이 확장되어(k) 튕겨 나오는 ‘폐물’"/>
        <s v="점프하듯이(jump-jum) 튀어올라 터져 버리고(b) 여기저기 길게 나아가니(l) ‘마구 뒤섞이다’"/>
        <s v="나무들이 좍 위로 올라가며(ju) 새롭게(n) 자라서 길게(l) 축 늘어지기도 하는 ‘정글’"/>
        <s v="공이 쫙하고 아래쪽에서(ju) 위로 던지고 죽~아래로 쳐져(gg) 떨어지니 ‘저글링하다’"/>
        <s v="판결(jud)을 판사가 축 쳐진(g) 가발을 쓰고 하니 ‘판결을 내리다’&#10;*영국에서는 아직도 흰 가발을 쓰고 판사가 판결을 한다"/>
        <s v="판결을 내리다(judge) + 명사(ment) = ‘재판’"/>
        <s v="더하는 것이(ad) 판결하는(judge) 것이니 ‘결정하다, 선고하다’"/>
        <s v="판결(jud) + 형용사(~cial) = ‘사법의, 재판의’"/>
        <s v="판결(jud)을 내릴때는 ‘사려 깊은, 현명한’"/>
        <s v="사실보다 앞서(pre) 판단(jud)을 하니 ‘편견, 선입관’"/>
        <s v="법적(jur)인 결정을 내리는데 도움이 되기 위해 확장해서(y) 모여 있는 ‘배심원’"/>
        <s v="법적(jur)인 권한이 있다고 말하는(dic) ‘사법, 사법권’"/>
        <s v="완전히(per) 통과해버리는 것이 배심원이면(jury) ‘위증’"/>
        <s v="갑자기 단호하게 좍 하고(j) 아래쪽에서(u) 튀어 나와 문란함을 바로 세우는(st) ‘정의, 올바른, 꼭, 바로’"/>
        <s v="올바른(just) 것을 잡았으니(d) ‘정의, 공정’"/>
        <s v="올바르게(just) + 만들다(y) = ‘정당화하다’"/>
        <s v="정당화하다 (justify) + 된(ed) = ‘정당화 된’"/>
        <s v="반대(in)하는 것이 정의(justice)이니 ‘불공정’"/>
        <s v="힘을 더하여(ad-add) 올바르게(just) 하니 ‘맞추다, 정비하다’"/>
        <s v="부모와 한 종류(ki)로 아래(d) 세대로 내려간 ‘아이’"/>
        <s v="아이가(kid) 낮잠(nap)을 자듯이 방심할 때 ‘유괴하다’"/>
        <s v="아이(kid)처럼 작은 장기는 ‘콩팥, 신장’"/>
        <s v="한 종류(ki)로 모아서 세워(t)놓은 ‘한 세트, 한 벌’"/>
        <s v="어미와 한 세트(kit)로 안에서(en) 보호해야 하는 ‘새끼 고양이’"/>
        <s v="종이와 대나무 등으로 한 세트(kit)를 잘 조립해서 뚫어 놓은 통로(e)로 바람을 받으면서 날리는 ‘연’"/>
        <s v="한 조상에게서(ki) 나아가 서로 가까운(n) ‘친족, 친척’"/>
        <s v="한 종류, 한 가족으로써(kin) 배에(ship) 같이 타는 ‘친척 관계’"/>
        <s v="더하는(a) 것이 친족으로서(kin) 관계이니 ‘동족의, 혈족의’"/>
        <s v="친족(kin) 아래(d) 세대로 내려가면서 같은 ‘종류’에게는 ‘친절’"/>
        <s v="아이들이(kinder-kid) 뛰어노는 정원(garten-garden)과 같은 ‘유치원’"/>
        <s v="한 종족을(kin) 이끌고 가는(go) ‘왕’"/>
        <s v="실을 확장(k)시켜 나가면서 가까워지니(n) 실을 엮어서 뭔가를(it) 만들어 ‘짜다’"/>
        <s v="실을 확장해 나가서, 가깝게 엮어서(kn) 둥근(o) 매듭을 만들며 나아간 것(t)이니 ‘매듭, 결합’"/>
        <s v="손을 확장해 나아가 가까워지면(kn) 둥글고(o) 불룩하게(b) 나와 있는 ‘손잡이’"/>
        <s v="손을 확장해 가깝게 다가가서(kn) 잠겨져(lock-ock) 있는 문에 하는 것은 ‘두드리다’"/>
        <s v="두드려(knack-knock) 한방에 녹 다운시켜 버리는 ‘솜씨, 묘기’"/>
        <s v="두드릴 때(knuck-knock) 사용하는 긴(l)손가락에 있는 ‘손가락 관절’"/>
        <s v="허벅지와 정강이가 나가서 가까이 결합되는 부분(kn) ‘무릎 관절’"/>
        <s v="무릎(knee)을 길게(l) 만들어 ‘무릎을 끓다, 굴복하다’"/>
        <s v="생각을 확장(k)해 나가서 가까워지니(n) 지금(now) ‘알다, 이해하다’"/>
        <s v="앎이(know) 길어지면(l) ‘지식’"/>
        <s v="더하여 잡아 모으는(ac) 것이 지식(knowledge)이니 잘 알아 사실을 ‘인정하다, 승인하다’"/>
        <s v="모든 것을 알(know-no) 능력이(able) 있는 ‘귀족의, 고귀한’"/>
        <s v="나아가 가까운(kn) 거리에서 가볍게(f) 휘두르는 ‘칼’"/>
        <s v="표면(sk)에 해당해 안쪽(in) 살 부분으로 보호 하는 ‘피부, 살갗, 가죽’"/>
        <s v="눈으로 덮힌 표면(sk)을 달리는 ‘스키’"/>
        <s v="스키(ski)를 타고 길게(l) 죽 ~ 나아가는 것과 같은 ‘솜씨, 기술’"/>
        <s v="기술(skill)이 가득이면(full) ‘숙련된’"/>
        <s v="하늘의 표면(sk)이 확장해(y) 나가는 광활한 ‘하늘’"/>
        <s v="스키(ski)를 타듯이 재빠르게 앞으로 죽죽나아 가는(t) 힘(r)으로 ‘(수면을) 스쳐 날다’"/>
        <s v="스키(ski)를 타고 폭폭(p) 튀듯이 가니 ‘가볍게 건너뛰다, 거르다’"/>
        <s v="스키(ski)를 타듯이 아래로(d) 넘어지니 ‘미끄러지다’"/>
        <s v="스키(ski)를 타고 움직여(m) 나아가니 ‘스치듯 지나가다’"/>
        <s v="표면(sk)을 접촉(t)하며 타는 ‘스케이트’"/>
        <s v="도화지 표면(sk)에 눈으로 잡아낸(catch-etch) 장면을 그리는 ‘스케치’"/>
        <s v="표면(sk)에 해당하며 중심에서 힘있게(r) 펄럭 이며 나아가는(t) ‘밖으로 퍼진 가장자리, 치마’"/>
        <s v="도시 밖(out)의 중심에서 퍼진 스커트(skirt)처 럼 가장 자리에 해당하는 지역인 ‘변두리, 교외’"/>
        <s v="피부가(sk-skin) 다 가버려(let) 몸에 붙어 있는 (on) ‘해골’"/>
        <s v="조각할 재료 표면을(sc-sk) 아래쪽에서부터(u) 길게(l) 폭하고(p) 힘을 줘 파내고 나중에 세우는(t) ‘조각, 조각술’"/>
        <s v="표면(sk)적으로만 받아들이고 의심이 많아 일이 생기면 통로를(e) 통해 폭하고(p) 튀어 나가버리 니(t) ‘의심 많은, 회의적인’"/>
        <s v="길게(l) 근육이 터지고(b) 동그랗게 뭉치도록(o) 힘을(r) 다하니 ‘일하다, 노동, 근로’"/>
        <s v="연구자들이 일하는(Iabor) 곳은 ‘실험실, 연구소’"/>
        <s v="일하다([abor) + 형용사(~ious) = ‘열심히 일하는, 근면한’"/>
        <s v="입구e)를 통해 들어가 노동(labor)의 비율을 (rate) 높이니 ‘공들이다, 정교한’"/>
        <s v="함께(co) 노동(labor)하니 ‘공동으로 작업하다, 협력하다’"/>
        <s v="협력하다(collaborate) + 명사(ion) = ‘협력, 협동’"/>
        <s v="회사를 표시하는 말, 언어(og) ‘상표’"/>
        <s v="말(log)로 상대방을 잡아(c) 나가는데 이용하는 ‘논리’"/>
        <s v="잘못하면 빨리 앞으로 폭하고(apo) 나아가야 하는 말(log), ‘사과’"/>
        <s v="혼자(mono) 하는 말(log)하는 ‘독백, 1인극’"/>
        <s v="두 사람 사이를 관통해서(dia) 오가는 말 (logue-log), ‘대화’"/>
        <s v="고양이가(cat) 이것저것 잡아서 모아 놓은 것처럼 항목들을 모아 놓은 말(log) ‘목록, 카탈로그’"/>
        <s v="통로로(e) 폭하고(p) 튀어 나가면서 마지막으로 하는 말(log-logue) ‘맺음말’"/>
        <s v="생명(bio) + 학(logy) = ‘생물학’"/>
        <s v="생태, 환경, 자연(eco) + 학(logy) = ‘생태학’"/>
        <s v="동물원(zoo) + 학(logy) = ‘동물학’"/>
        <s v="정신(phycho) + 학(logy) = ‘심리학’"/>
        <s v="혀(langu)를 오랫동안(age) 사용해 만들어진 ‘언어’"/>
        <s v="보이지 않게(s) 사용하는 언어(lang-language) ‘속어, 슬랭’"/>
        <s v="혀(ingu-langu)가 하나(a) = ‘혀’"/>
        <s v="혀(lingu) + 형용사(al) = ‘혀의, 언어의’"/>
        <s v="둘(bi) + 언어의(lingual) = ‘2개 국어를 말하는’"/>
        <s v="언어(ingu-language)를 연구하는 ‘학문, 언어학’"/>
        <s v="보내다(leg) 세상 끝까지(end)가는 ‘전설, 레전드’"/>
        <s v="후손들에게 보내려고(leg) 잡아서(c) 확장시키는(y) ‘유산’"/>
        <s v="함께(co) 동맹을(league) 맺은 ‘동료’"/>
        <s v="보내서(leg) 지속적으로(on) 주둔하게 하는 ‘군단, 부대’"/>
        <s v="양쪽(di)으로, 이쪽 저쪽으로 보내어(leg-lig) 열심히 하게 하니 ‘부지런한, 근면한’"/>
        <s v="이런 저런 문제 사이에서(inter-inte) 열심 이니 (diligent-ligent) ‘지성을 가진, 영리한’"/>
        <s v="반대(neg)로 + 열심인(diligent-ligent) = ‘태만한, , 부주의한, 게으른’"/>
        <s v="입구(e)를 통해 믿고 밖으로 보내기에(lig) 능력이 되니(ible) ‘자격이 있는’"/>
        <s v="법과(leg) 관련된 모든 것이니(a) ‘법률의, 합법적인’"/>
        <s v="나에게(i) 유리하게만 법을 적용하니(legal) ‘불법적인’"/>
        <s v="법을(leg) 석판에(slate) 새기니 ‘법률을 제정하다, 입법하다’"/>
        <s v="입법하다(legislate) + 명사(tion) = ‘법률 제정’"/>
        <s v="입법하는(legislate) + 곳(ture) = ‘입법부’"/>
        <s v="개인적(private)으로 법을(Ieg) 적용하면 ‘특권’"/>
        <s v="모든 것을(all) 내세워 법적으로(leg) 하자고 ‘주장하다’"/>
        <s v="아래쪽(de) 사람에게 법적(leg-legal)으로 권한을 ‘위임하다’, 그래서 된 ‘대리인, 대표자’"/>
        <s v="위임하다(delegate) + 명사(tion) = ‘대표로 임명, 대표단’"/>
        <s v="올리기 위해(lev) + 힘을 주는 것(er) = ‘지렛대, 지레’"/>
        <s v="지렛대(lever)가 오래되니(age) 생기는 ‘지레의 작용, 영향력’"/>
        <s v="입구를(e) 통해 사람을 태우고 올리니(lev) ‘올리다, 향상시키다’"/>
        <s v="올리다(elevate) + 힘을 주는 존재(or) = ‘엘리베이터, 승강기’"/>
        <s v="올라가다(elevate) + 명사 (ion) = ‘높이, 고도’"/>
        <s v="기운 한 쪽을 올려서(lev) 길게(l) 평평하게 만드니 ‘평평한, 평탄한’"/>
        <s v="힘이 없는데 다시(re) 들어올려주니(liev-lev) ‘부담을 덜어주다, 경감하다’"/>
        <s v="다시(re) 들어 올려(lev) 도와 줄 때는 ‘관계가 있는’"/>
        <s v="반대(ir) + 관련이 있는(relevant) = ‘관계가 없는, 부적절한’"/>
        <s v="길게(l) 안쪽(i) 깊숙한(g) 곳에서 높은(h) 곳으로 좍 나아가는(t) ‘빛, 가벼운’"/>
        <s v="하늘에 빛(light)이 진행중(ing)이니 생기는 ‘번개’"/>
        <s v="안(en)에 빛(ight)을 밝혀주면 ‘계몽하다, 가르치다’"/>
        <s v="가볍고 빠르게(f) 빛처럼(light)하는 ‘비행’"/>
        <s v="두개의(two) 빛(light - 햇빛, 달빛)이 엇갈리는 시간대이니 ‘해질녘, 석양, 황혼’"/>
        <s v="안쪽(i) 깊숙한 곳(g)의 불빛이 없는 곳(nifte-night)에 접촉하여 ‘점화하다, 불을 붙이다’"/>
        <s v="안보이면서(s) 가벼우니(light) ‘약간의, 조금의, 경미한’"/>
        <s v="터져 나가(br)는 것이 빛(ight)이니 ‘빛나는’"/>
        <s v="빛나는(bright-bri) 빛이 터져 길게 길게(ll) 나아가 개미(ant) 한 마리도 다 보이게 하니 ‘눈부신, 찬란한’"/>
        <s v="하늘에서 아래로(de) 빛이(light) 비친 듯 하니 ‘기쁘게 하다, 기쁨, 즐거움’"/>
        <s v="그 장소(loc)와 관련된 모든 일(all)이니 ‘현지의’"/>
        <s v="장소(loc)를 찾기 위해 나아가니(t) ‘장소를 알아내다, 자리잡다’"/>
        <s v="장소를 알아내다(Iocate) +명사(tion) = ‘위치, 장소’"/>
        <s v="모두에게(all) 자리(위치)를 잡아준 것은(locate) ‘할당, 배분’"/>
        <s v="분리시키니(dis) 잡은 자리(위치)를(Iocate), ‘위치를 바꾸다’"/>
        <s v="다시(re) 장소를 잡으니(Iocate) ‘재배치하다’"/>
        <s v="어떤 장소에 위치하게(Ioc) 놓고 키로(k) ‘잠그다, 자물쇠’"/>
        <s v="반대(un) + 잠그다(lock) = ‘자물쇠를 풀다’"/>
        <s v="자물쇠(lock)로 관리하는 ‘사물함’"/>
        <s v="상호간에(inter) 자물쇠(Iock)처럼 ‘서로 맞물리게 하다’"/>
        <s v="빠르게(f) 움직이는데 자물쇠(lock)로 서로를 채우듯이 서로 모여서 하는 ‘떼, 떼를 이루다’"/>
        <s v="터지려는(b) 것을 자물쇠로(Iock) 채우듯이 ‘막다’"/>
        <s v="막다(block) + 명사(ing)= ‘방해[저지]하는 것’"/>
        <s v="길게(l) 새롭게(n) 축 늘어지니(g) ‘긴’"/>
        <s v="존재하여(be) 길게(long) 같이 있으면 ‘속하다’"/>
        <s v="앞으로(pro) 길게(Iong) 나가니 ‘길어지다, 지속되다’"/>
        <s v="오랫동안(Iong) 서 있으니(standing) ‘다년간의, 오랫동안에 걸친’"/>
        <s v="길게(long) 오랫동안 갈라진 틈에서(v) 나오는(t) 생명이니 ‘장수’"/>
        <s v="긴(long-leng) 정도를 재니 ‘길이, 기간’"/>
        <s v="길이(length) + 동사(en) = ‘길게 하다’"/>
        <s v="위아래로 길게(long) 나아가며(t) 만들어진 선은 ‘경도’"/>
        <s v="눕혀(lay-la) 놓아 옆으로 나아가며(t) 그은 선, ‘위도’"/>
        <s v="길게(l) 둥근(o) 곳에 세워(t) 놓고 뽑는 ‘제비, 할당된 몫’"/>
        <s v="자기 몫(lot)을 여러 개(y) 번호 중에 뽑는 것은 ‘복권, 추첨, 제비 뽑기’"/>
        <s v="모든(all) 사람에게 자기 몫(Iot)을 주는 것은 ‘배당하다, 할당하다’"/>
        <s v="부드럽게 안 보일(s) 정도로 가늘게 생긴 동전 한 몫(lot)을 집어 넣는 ‘가늘고 길쭉한 구멍’"/>
        <s v="폭하고(p) 머리 속에서 튀어나온 이야기의 한 몫(lot)은 ‘줄거리, 음모’"/>
        <s v="갑자기 터져(b) 나온 몫(lot)이니 ‘얼룩, 더러움, 흠’"/>
        <s v="잡아버리다(c) + 흘러가야 하는 자기 몫(of) = ‘응고하다, 엉긴 덩어리’"/>
        <s v="가느다랗게 베는데(slit-slot) 폭하고(p) 터져버 리니 ‘쪼개다, 나누다’"/>
        <s v="칼로 가느다랗게 베어 썰어서(sli-slit) 손으로 잡을 수(c) 있는 ‘얇은 조각, 자르다’"/>
        <s v="긴장이 풀어져서(l) 나아가니(t) ‘늦은’"/>
        <s v="시간적으로 늦게(late) 오래(l) 더 시간이 걸려 오는 것이니 ‘최근에’"/>
        <s v="변화시켜서(trans) 원문보다 늦게(late) 오는 것은 ‘번역하다’"/>
        <s v="다시(re) 늦게까지(Iate) 어울리면 '이야기하다, 관계시키다’"/>
        <s v="관계시키다(relate) + 과거분사(ed) = ‘관계 있는, 연관된’"/>
        <s v="관계시키다(relate) + 형용사(ive) = ‘관계가 있 는, 상대적인, 친척’"/>
        <s v="여러가지를 함께(co) 모으니(ect) ‘수집하다, 모으다’"/>
        <s v="수집하다, 모으다(collect) + 형용사(ive) = ‘모인, 집합적인’"/>
        <s v="다시(re) 기억을 수집해 모으니(collect) ‘회상하다’"/>
        <s v="잘라서(se) 모으니(lect) ‘고르다, 선발하다’"/>
        <s v="사이로(inter) 들어가 제대로 정보를 모으는(lect) 능력은 ‘지성, 지력’"/>
        <s v="내용들을 모아서(lect) 수준이 아래쪽인(u) 학생들에게 힘있게(r) 전달하는 ‘강의’"/>
        <s v="반대(neg) + 모으다(lect) = ‘등한시하다, 무시하다’"/>
        <s v="밖으로(e) 골라내니(lect) ‘선출하다’"/>
        <s v="자유로운(lib) 사람의(er) 모든(all) 성향은 ‘자유주의의, 진보적인, 개혁적인’"/>
        <s v="자유롭게(liber) 나아가게(t)하니 ‘자유롭게 하다’"/>
        <s v="자유롭게(lib) 희귀한(rary-rare) 책을 빌려보는 ‘도서관’"/>
        <s v="저하시키는(de) 것이 자유롭게(liber) 생각하던 것이므로 ‘신중히 생각하다’"/>
        <s v="잡고 있던 화물을 아래로(de) 자유롭게(liber)하니 ‘배달하다, 전달하다’"/>
        <s v="부드럽게(s) 미끄러지니(lide) ‘미끄러지다’"/>
        <s v="부드럽게(s) 미끄러지는(led-lide) ‘썰매, 썰매를 타다’"/>
        <s v="깊은 곳으로(g) 당기듯이 미끄러지니(lid) ‘활주하다’"/>
        <s v="함께(co) 미끄러져서(lide) ‘충돌하다’"/>
        <s v="길게(l) 공(o)이 굴러가듯이 물결처럼 흘러(w)가는 ‘아래쪽, 낮은’"/>
        <s v="낮은(low) + 동사화(er) = ‘낮추다’"/>
        <s v="가볍게(f) 낮은(Iow) 곳으로 ‘흐르다’"/>
        <s v="움직임이 보이지 않고(s) 낮은(low) 속도로 가니 ‘느린, 더딘’"/>
        <s v="폭하는(p) 힘으로 땅 아래를(low) 파는 ‘쟁기’"/>
        <s v="모든(all) 것을 아래(low) 사람에게 하도록 ‘허락하다, 허가하다’"/>
        <s v="반대(dis)로 허락하니(allow) ‘금하다’"/>
        <s v="미끄러져서(sI) 폭하고(p) 어떤 지점에 부딪히는 동작 ‘미끄러지다’"/>
        <s v="미끄러지듯이(slip) 발을 들여 놓는 것은(er) ‘실내화, 슬리퍼’"/>
        <s v="미끄러져(sI) 가지만 가끔 가다 폭(p) 하고 튀어 나온 부분도 있는 ‘경사, 비탈’"/>
        <s v="스르륵 미끄러지듯(sI) 오래(ee) 자다가 나중에 폭하고(p) 깨기도 하니 ‘잠을 자다’"/>
        <s v="옷을 벗을 때 미끄러지듯이(sI) 죽죽(ee) 갈라진 틈(v)으로 팔을 빼 내는 ‘소매’"/>
        <s v="미끄러지듯이(sl) 몸매의 움직임이(m) 나타나면 ‘호리호리한’"/>
        <s v="호리호리한(slim) 몸으로 입구를(e) 빠져 나가니 ‘슬쩍 빠져 나가다’"/>
        <s v="미끄러지듯이(s) 몸 라인이 끝까지(end) 쫙 빠졌으니 ‘가날픈, 가느다란’"/>
        <s v="문이 미끄러지듯(sl) 움직이면(m) 끝에 가서 ‘쾅 닫힌다, 쾅 닫다’"/>
        <s v="미끄러운(sl) 표면을 가지고 있고 세워(t) 놓은 면은 ‘슬레이트’"/>
        <s v="한 사람(man)에서 확장해 간 종류(kind)이니 ‘인류’"/>
        <s v="사람의 손(man)으로 오랫동안(age) 관리하는 사람이니(er) ‘경영자, 관리인’"/>
        <s v="관리하는(manage) 모든(al) 것과 관련되니 ‘관리의, 경영의’"/>
        <s v="손(man)을 돌보니(cure) ‘매니큐어’"/>
        <s v="사람의 손(man)으로 힘있게(r) 해 내는 ‘방법, 태도’"/>
        <s v="손에(man) 모든 것을(all) 쥐게 하니 ‘교본, 손을 쓰는’"/>
        <s v="손으로(man) 축제, 파티(fest-festval)를 잘 조직하니 ‘일목요연한, 분명한’"/>
        <s v="사람의 손(man)으로 폭(p) 튀어 나온 긴(l) 핸 들을 잡고 ‘잘 다루다, 조작하다’"/>
        <s v="사람(man)에게 접촉(t)해서 길게(l) 덮어 주는 옷, ‘덮개, 망토’"/>
        <s v="분리(dis)시키는 것이 덮개(mantle)이니 ‘제거하다, 철거하다’"/>
        <s v="상관과 부하가 함께(com) 있으면서 명령하게(mand) 되니 ‘명령하다’"/>
        <s v="명령하여(mand) 권한의 날짜도(date) 정하여 ‘위임하다’"/>
        <s v="위에서 위임한(mandate-mandat) 일이어서 ‘의무적인’"/>
        <s v="아래로(de) 명령하니(mand) ‘요구하다’"/>
        <s v="요구가(demand) 진행 중(ing)이니 ‘요구가 지나친’"/>
        <s v="움직여(m) 가다가 안쪽(i) 아래로(d) 쑥 들어가 게 되는 지점이니 ‘한가운데의, 중간의’"/>
        <s v="중간(med) 부분이니 ‘중간의, 보통의’"/>
        <s v="중간(med) 역할을 하는 ‘대중매체’"/>
        <s v="대중매체(media)가 중간에서 소식을 전해 주듯이 중간에 서서(t) ‘중재하다, 조정하다’"/>
        <s v="상호간에(inter) 중재하려면(mediate) ‘중간의’ 입장이 되어야 한다"/>
        <s v="치우치지 않고 중간(med)에 서서(t) 생각하니 ‘숙고하다, 계획하다’"/>
        <s v="독을 중화(med) 시키기 위해 잡아서(c) 안(in)으로 먹는 ‘약’"/>
        <s v="약(medicine) + 형용사(al) = ‘의학의, 의료의’"/>
        <s v="다시(re) 독을 중화시켜(med) 치료하는 ‘치료(약)’"/>
        <s v="안 거치는 것이(im-in-not) 중간이니(med) ‘즉시의’"/>
        <s v="중간(med)에 있는 밤(eve) 같은 시대이니 ‘중세의’"/>
        <s v="중간에(med) 있고, 주위에 육지가(territory) 둘러싼 ‘지중해의’"/>
        <s v="중간이(mod) 되는 ‘표준, 기준’"/>
        <s v="과거와 미래의 중간(mod)이니 ‘현대의, 요즈음의’"/>
        <s v="함께(com) 여러 형태를(mode) 모아놓은 ‘서랍장’"/>
        <s v="서랍장(commode) 같은 생활에 꼭 필요한 물품들을 세워서(t) 갖춰야하는 여러가지이니 ‘일용품, 필수품’"/>
        <s v="잡다(ac) 서랍장이(commode) 있는 방을, 지낼 ‘공간을 제공하다, 수용하다’"/>
        <s v="중간, 표준에(mod) 맞춰 만드니(fy) ‘수정하다, 변경하다’"/>
        <s v="중간의(mod) 비율(rate)을 가졌으니 ‘온건한, 보통의, 적절한’"/>
        <s v="중간(mod) 상태로 서니(st) ‘알맞은, 겸손한’"/>
        <s v="생각이 움직여(memo) 나가며 임의로(random) 쓴 ‘메모, (사건 따위의) 기록’"/>
        <s v="메모(memo)를 통해 나 자신의(i) 얘기를 쓴 ‘회고록’"/>
        <s v="메모(memo)가 확장(y)되면 ‘메모리, 기억, 회상이 된다’"/>
        <s v="메모(memo)를 통해 기억을 할 수 있으니(able) ‘기억할 만한’"/>
        <s v="기억(memory-memor)하도록 모든(all) 사람 들이 보도록 만든 ‘기념물, 추모비, 추모의’"/>
        <s v="함께(com) 기억(memory)이 되도록 하니(ate) ‘기념하다’"/>
        <s v="다시(re)금 생각나게(memo-mem) 하니 ‘생각해내다, 상기하다’"/>
        <s v="한 팀원이라고 생각나게(memo-mem) 해 놓는 대상이니 ‘구성원’"/>
        <s v="하나(a) 씩 고치니(mend) ‘개정하다, 개선하다’"/>
        <s v="함께(com) 여러 잘못된 점을 고치면(mend) ‘칭찬하다’"/>
        <s v="다시(re) 칭찬하니(commend) ‘추천하다’"/>
        <s v="움직일 수록(m) 안으로(in) 수축하며 안으로(i) 들어오니 ‘작은, 소형의’"/>
        <s v="작은(mini)+ 형용사(al) = ‘최소한의’"/>
        <s v="작아져서(mini) 움직이는데(m) 아래쪽에(u) 도달하니 ‘최소한도, 최소량’"/>
        <s v="작은(mini) + 동사화(ize) = ‘최소한도로 하다’"/>
        <s v="작은(mini) + 만들다(y) = ‘작게 하다, 최소로 만들다’"/>
        <s v="작아져서(minl) 서서(st) 섬기니 봉사하는 ‘장관, 각료, 성직자, 봉사하다’"/>
        <s v="더하다(ad) 섬기는, 봉사하는(minister) 업무를, ‘집행하다, 관리하다’"/>
        <s v="두개로(d) 나누어 작아 (mini)지게 하니 ‘줄이다, 작게 하다’"/>
        <s v="완전히(per-perfect) 보내기로(mit) 하니 ‘허락하다’"/>
        <s v="함께(com) 서로 얘기가 되어서 보내니(mit) ‘위임하다, 맡기다, 약속하다’"/>
        <s v="약속한(commit) 내용, ‘공약, 서약, 책임’"/>
        <s v="함께(com) 서로 얘기가 되어서 보내는(mit) 사람(ee)은 ‘위원회’"/>
        <s v="옮겨(trans) 보내니(mit) ‘전송하다’"/>
        <s v="힘있게(re) 보내니(mit) ‘보내다, 부치다’"/>
        <s v="자신이 아래쪽(sub)에 위치해서 위로 보내니 (mit) ‘상납하다, 복종하다, 제출하다’"/>
        <s v="복종하다, 제출하다(submit) + 명사화(sion)= ‘굴복, 순종, 제출’"/>
        <s v="둥글게(o) 비도록 속에 것을 보내버리니(mit) ‘생략하다’"/>
        <s v="입구(e)를 통해 내 보내니(mit) ‘발산하다, 배출하다’"/>
        <s v="발산하다(emit) + 명사화(sion) = ‘발산, 방사’"/>
        <s v="회원으로 더해지게(add) 안으로 보내니(mit) ‘들어오게 하다, 인정하다’"/>
        <s v="들어가게 하다, 인정하다(admit) + 명사화(sion)= ‘들어가기, 입장, 입학, 인정하기’"/>
        <s v="발사하여 보내(miss-mit) 멀리(l) 가버리는 ‘미사일’"/>
        <s v="보내고(miss) 지속적으로(on) 하게 하는 ‘임무’"/>
        <s v="시간 사이에(inter) 있는 특별 임무(mission)는 화장실도 갔다 오고 쉬는 ‘휴게시간’"/>
        <s v="분리(dis)시켜 보내니(miss) ‘해산시키다, 해고하다’"/>
        <s v="보내서(mess-miss) 알려주는 ‘메시지, 알림’"/>
        <s v="앞서(pro) 보내는(mise) ‘약속, 약속하다’"/>
        <s v="함께(com) 약속(promise)을 하는 것은 ‘타협하다’"/>
        <s v="장래를 약속하는(promise) 중이니(ing) ‘유망한’"/>
        <s v="앞서(pre) 보내는(mise) 것은 ‘전제, 가정’"/>
        <s v="건물을 지으려면 전제(premise)가 ‘부지’다"/>
        <s v="움직이게(mot) 하는 주체(or)이니 ‘모터’"/>
        <s v="움직이게 하는 모터(motor)를 단 자전거 (cycle)이니 ‘오토바이’"/>
        <s v="움직이는(mot) + 명사(ion) = ‘움직임, 운동, 운행’"/>
        <s v="운동(motion)이 흐느적 거리고 풀어져(less) ‘정지하고 있는’"/>
        <s v="안에 있는 것인데 밖으로(e) 움직여(motion) 나오는 것은 ‘감정’"/>
        <s v="움직여(mot-motion) 나가도록 갈라진 마음의 틈(v)에 집어 넣은 (행동의) ‘동기’"/>
        <s v="동기(motive)가 나도록 하니(ate) ‘동기를 부여하다, 자극하다’"/>
        <s v="앞으로(pro) 움직여(mot) 나아가게 하니 ‘촉진하다, 장려하다, 승진시키다’"/>
        <s v="힘있게(r) 움직여(mot) 나갔으니 ‘먼, 멀리 떨어진’"/>
        <s v="주된(main) 강(stream)이니 ‘주류, 본류’"/>
        <s v="주된(main) 골조(frame)는 ‘본체’"/>
        <s v="주된(main) 것을 붙잡아(tain) 두니 ‘유지하다’"/>
        <s v="유지하다(maintain) + 명사(ance) = ‘유지, 지속’"/>
        <s v="다시금(re) 주된 존재로서(main) ‘살아남다, 남다’"/>
        <s v="주요한(maj) + 형용사(or) = ‘주요한, 중요한, 큰, 대다수의’"/>
        <s v="주요한, 대다수의(major) + 명사(ity) = ‘대다수, 대부분’"/>
        <s v="주요한, 대다수의(maj) 권력을 장악하고 서(st) 있는 ‘위엄, 존엄, 장대함’"/>
        <s v="시에서 주요한, 대다수의(may-maj) 권력을 장 악한 사람(or)이니 ‘시장’"/>
        <s v="큰 것으로(mag) 만드는 것이니(y) ‘확대하다, 크게 보이게 하다’"/>
        <s v="확대한(magnity) 것처럼 크니 ‘장대한, 화려한’"/>
        <s v="확대한(magnify) 것처럼 큰 ‘대량, 방대, 큼’"/>
        <s v="커서(mag-ma) 한계를(x) 넘을 정도로 크니(m) 가장 큰(maxim), 그러한 가장 큰(위대한) 말들은 ‘격언, 금언’"/>
        <s v="가장 크게(maxim) 아래쪽에서(um) 움직여 커졌으니 ‘최대한, 최대량’"/>
        <s v="움직이는 매우 큰(meg) 수화기(phone)이니 ‘확성기, 메가폰’"/>
        <s v="움직여 매우 큰(meg) 극장 매표소(box)를 가진 ‘매우 큰 극장’"/>
        <s v="안으로(im) 돌출하니(minent) ‘임박한, 곧 일어 날 것 같은’"/>
        <s v="입구를(e) 통해 돌출해(minent) 나왔으니 ‘저명한, 탁월한’"/>
        <s v="앞으로(pre) 돌출해(minent) 나가니 ‘뛰어난’"/>
        <s v="앞으로(pro) 나가 돌출하니(minent) ‘두드러진, 눈에 띄는’"/>
        <s v="큰(m) 지형으로서 둥근(o) 지구 아래쪽에서 부터(u) 새롭게(n) 융기되어 올라와 서서(t) 만들어진 ‘산, 오르다, 타다’"/>
        <s v="산(mount) 혼자(i) 하나(an) 우뚝 솟은 모습 강조하니 ‘산’"/>
        <s v="더해서(a) 산(mount)처럼 많아진 ‘총계’"/>
        <s v="넘는게(sur) 산이니(mount) ‘극복하다’"/>
        <s v="산(mountain)과 비슷하나 아래로(d) 내려와 낮아진 높이의 ‘둔덕, 언덕’"/>
        <s v="머리와 몸을 연결하는(nec) ‘목’"/>
        <s v="함께(con) 연결하니(nect) ‘결합시키다, 접속시키다’ "/>
        <s v="연결시키다(connect) + 명사(ion) = ‘결합, 관련, 관계’"/>
        <s v="분리(dis) + 연결시키다(connect) = ‘접속을 끊다, 차단하다’"/>
        <s v="연결해서(nex-nec) 나아가니(t) ‘다음의’"/>
        <s v="사람을 연결(nex)하는데 부드럽게(s)하는 ‘유대, 관계’"/>
        <s v="하나(an)를 더 연결(nex) 시키니 ‘병합하다, 부과하다’"/>
        <s v="없어요(no) 어떤 것(thing) 조차도 즉, ‘아무것도 없음’"/>
        <s v="아침시간이 아닌(no)바가 지속적이므로(on) 오후로 변화하는 ‘정오, 한낮’"/>
        <s v="좋은 것이 아닌(no) 나쁜 것이 밖(x)으로 나오니 ‘유독한’"/>
        <s v="반대가 없으므로(no) 고개를 아래로(d) 내려서 표현하니 ‘끄덕이다’"/>
        <s v="아니다(non-no) + 허구(fiction) = ‘전기, 실화, 역사기록’"/>
        <s v="아니다(non-no) + 제정신(sense) = ‘넌센스, 허튼소리’"/>
        <s v="색을 부정(neg)한 검정색이니 ‘흑인’"/>
        <s v="부정하는(neg) 쪽으로 나아가는(t) ‘부정적인, 반대의’"/>
        <s v="부정적으로(neg) 말할 마음도 가지고 나아가니(t) ‘협상하다, 협의하다’"/>
        <s v="부정적(neg)으로 모으니(lect) ‘방치하다, 무시하다’"/>
        <s v="등한시(neg) + 할 수 있는(ible-able) = ‘무시할 수 있는, 사소한’"/>
        <s v="무시할 수 있는(negligible) + 명사(ence) = ‘태만, 등한’"/>
        <s v="아니다(ne-no) 결코(ever) ‘절대로 아니다’"/>
        <s v="절대로(never) 그것이(the) 풀어져 사라지지 않으니(less) ‘그럼에도 불구하고’"/>
        <s v="어느 쪽으로 기울어 짐이 없이(ne) 아래쪽(u)으로 중심잡고 딱 서(t)있으니 ‘중립적인’"/>
        <s v="없는(ne) 상태가 더 악화되니(d) ‘필요하다’"/>
        <s v="필요(need)에 따라 가늘고 길게(l) 만든 ‘바늘’"/>
        <s v="옷이 없는(nu) 상태 ‘벗은’"/>
        <s v="껍데기가 없으면 즉, 벗기면(nu) 그 안에 알맹 이가 서(t) 있는 ‘견과류’"/>
        <s v="다 없애 버리는데(nu) 깨끗이(clear) 모든 것을 파괴시킬 ‘핵의, 원자력의’"/>
        <s v="아무것도(no) 없는 상황에서 힘있게(r) 움직여(m) 뭔가를 만드는 ‘기준, 표준’"/>
        <s v="기준, 표준(norm) + 형용사(al) = ‘표준적인, 보통의, 정상적인’"/>
        <s v="표준적인(normal) + 동사(ize) = ‘표준화 시키다, 기준에 맞추다’"/>
        <s v="아래의(sub) + 표준적인(normal) = ‘보통 이하의, 정신 박약의’"/>
        <s v="이탈(ab) + 정상의, 평범한(normal) = ‘이상한, 정신 이상의’"/>
        <s v="입구(e)를 통해 나가 표준을(norm) 벗어나 버렸으니 ‘거대한, 엄청난’"/>
        <s v="만물을 다 덮어서 형체가 보이지 않는데(sn) 내릴 때 바람결(w)에 날리는 ‘눈’"/>
        <s v="부드럽게 보이지 않게(sn) 움직여 확장해(k) 나가는 ‘뱀’"/>
        <s v="보이지 않게(sn) 접근해서 잡으니(catch) ‘잡아채다’"/>
        <s v="보이지 않도록(sn) 존재를(are) 잘 숨겨 놓는 ‘덫’"/>
        <s v="위로는 보이지 않지만(sn) 아래로는 깊이(g) 박혀 있는 ‘그루터기’"/>
        <s v="두 손가락을 붙여서 공간이 보이지 않게(sn)하고서, 폭하게(p) 터지면서 ‘딱 소리내다’"/>
        <s v="태어나서(nat) 지속적으로(on) 사는 ‘나라, 국가’"/>
        <s v="상호관계(inter)가 나라들(nation)이니 ‘국제적인’"/>
        <s v="태어나고(nat) 자란, 갈라진(v) 계곡이니 ‘태어난 땅의, 모국의’"/>
        <s v="태어난(nat) 그대로 힘있게(r) 자라도록 하는 ‘자연’"/>
        <s v="자연(nature) + 형용사(al) = ‘자연의’"/>
        <s v="초월하다(super) 타고난 자연의(natural) 것을 즉, ‘초자연의, 불가사의한’"/>
        <s v="안(in)에 태어날(nat) 때부터 가지고 있었으니 ‘타고난, 천부적인’"/>
        <s v="태어날 때 함께(con) 가지고 새롭게(n) 태어났으니(nat) ‘타고난, 선천적인’"/>
        <s v="새로운(nov) 이야기를 길게(l) 풀어내는 ‘소설’"/>
        <s v="소설이(novel) 티나게(ty) 참신하니 ‘참신함, 새로움, 신기함’"/>
        <s v="새롭게(nov) 처음 시작하는 ‘풋나기’"/>
        <s v="다시(re) 새롭게(nov) 하니(ate) ‘혁신하다, 수리하다’ "/>
        <s v="안(in)에서 새롭게(nov) 하니 ‘쇄신하다, 혁신하다’"/>
        <s v="새롭게(nov) 하나 하나(a) 만들어지는 ‘별’"/>
        <s v="새롭게(n) 뭔가를 작성하여 나아가니(t) ‘기록, 수기, 노트’"/>
        <s v="기록해서(note) 지속적으로(on) 가지게 되는 ‘개념, 관념’"/>
        <s v="기록(note)해서 만들어(vy) 알리니 ‘통지하다, 알리다’"/>
        <s v="기록(note)하기 위한 책(book)이니 ‘공책’"/>
        <s v="기록(note)하는 방법이니 ‘표기법, 표시법’"/>
        <s v="더하는게(a) 기록이니(note) 주석을 달다 + 명사(ion) = ‘주석, 주해’"/>
        <s v="기록(note) 해서 할(able) 정도니 ‘주목할 만한, 중요한’"/>
        <s v="노트로 기록하기(note) 위해 오감으로 잡으니(c) ‘알아차리다, 주목’"/>
        <s v="주목할(notice) 정도로 세게(r) 악명 높은 상태(ous)이니 ‘악명 높은’"/>
        <s v="하나(an) 하나를 또박 또박 말하니(nounce) ‘알리다, 발표하다’"/>
        <s v="발표하는(announce) 사람(er)이니 ‘아나운서’"/>
        <s v="앞으로(pro) 말하니(nounce) ‘발음하다’"/>
        <s v="수준이 저하(de)되는 말을 하니(nounce) ‘비난하다’"/>
        <s v="영양을(nur) 부드럽게(s) 채워주는 ‘간호사’"/>
        <s v="간호원(nurse)이 환자를 돌보듯 아이를 돌보는 ‘탁아소, 아이방’"/>
        <s v="영양상태를(nur) 세워주니(t) ‘양육하다’"/>
        <s v="영양(nutr-nur) + 명사형(tion) = ‘영양, 영양공급’"/>
        <s v="영양(nur-nour)을 주니 ‘영양분을 주다, 기르다’"/>
        <s v="반대(ob)하면서 던지니(ject) ‘반대하다, 목표, 대상’"/>
        <s v="반대하며(ob) 서있는(st) ‘장애물’"/>
        <s v="반대(ob) + 확보한(secure) = ‘분명하지 않은, 애매한’"/>
        <s v="반대해야(ob) 할 정도로 입구멍으로(e) 음식이 사라져(s) 몸이 확장(y) 되니 ‘비만, 과체중’"/>
        <s v="반대하는(ob) 마음이 입구를(e) 통해 다 나가니 ‘복종하다’"/>
        <s v="분리(dis)시키다 순종하는(obedient) 마음을 그 결과 ‘반항적인’"/>
        <s v="배우들이 일을 해서(oper) 만드는 작품은 ‘오페라’"/>
        <s v="일하기(oper) 위해 준비해서 나아가니(t) ‘움직이다, 작동하다’"/>
        <s v="작동하다(operate) + 형용사(ive) = ‘효력이 있는’"/>
        <s v="반대(in) + 효력이 있는(operative) = ‘효력이 없는’"/>
        <s v="함께(co) 작동시키니(operate) ‘협력하다, 협동하다’"/>
        <s v="눈(opti) + 형용사(ic) = ‘눈의, 시력의’"/>
        <s v="눈(optic)과 관련한 여러 개가(s) 모여 학문을 이루니 ‘광학’"/>
        <s v="눈의, 시력의(optic) + 형용사(al) = ‘시력을 돕는, 눈에 의한’"/>
        <s v="눈으로 보는(opt-op) 것이 항구에서(port) 단결하여(unity) 할 사업이니 ‘기회’"/>
        <s v="눈으로(opt) 지속적으로(on) 보고 ‘선택하다’&#10;*선택하는 행위는 눈으로(opt) 보고 하는 것이다"/>
        <s v="더하다(ad) 선택해서(opt) 새롭게 아이를 즉, ‘입양하다, 채택하다’"/>
        <s v="입양하다, 채택하다(adopt) + 명사(ion) = ‘입양, 채용, 채택’"/>
        <s v="선택해서(op-opt) 안에(in), 지속적으로(on) 있는 ‘의견’"/>
        <s v="선택하는(opt) 것이 나에게 최고로(mum-maximum) 맞는 조건이니 ‘최적조건’"/>
        <s v="최적조건(optimum) + 주의(ism)= ‘낙천주의, 낙관’"/>
        <s v="낙관(optimism) + 형용사(ic) = ‘낙관적인’"/>
        <s v="최적조건(optimum)화 시키니(ize) = ‘최대한 활용하다’"/>
        <s v="입으로(ora) 길게(l) 말하니 ‘구두의, 입의’"/>
        <s v="움직이는(m) 행동과 말(oral)을 제대로 해야 하니 ‘도덕의, 윤리상의’"/>
        <s v="반대(im) + 도덕의(moral) = ‘부도덕한’"/>
        <s v="집단의 도덕심이(moral) 입구를(e) 통해 나가면 만들어지는 ‘사기’"/>
        <s v="아래로(de) 사기를(morale-moral) 내려가게 하니(ize) ‘사기를 꺾다, 의기소침하게 하다’"/>
        <s v="둥근(o) 입으로 힘을(r) 가지고 아래에(d) 있는 사람에게 말하는 것이니 ‘명령, 규칙, 순서’"/>
        <s v="통상적 규칙, 순서(order)이니 ‘보통의, 통상적인’"/>
        <s v="밖의, 이외의(extra) + 보통의(ordinany) = ‘비상한, 비범한’"/>
        <s v="반대, 분리(dis) + 질서(order) = ‘무질서’"/>
        <s v="함께(co) 순서(order)있게 정리하니 ‘조정하다, 조직화하다’"/>
        <s v="조정하다(coordinate) + 사람(or) = ‘조정자’"/>
        <s v="조정하다(coordinate) + 명사(ion) = ‘통일, 조화’"/>
        <s v="아래쪽(sub)에서 명령(order)을 기다리는데 계급이 거의 없는(n) 부하, 하급자이니 ‘종속하는, 하위의’"/>
        <s v="떠 오르는(ori) 해가 떠오르기 전에 안에(en)있는 ‘동쪽’"/>
        <s v="해가 떠 오르는(ori) 것처럼 새로 생기니(gin) ‘기원, 유래’"/>
        <s v="기원, 유래(origin) + 형용사(al) = ‘원래의, 최초의’"/>
        <s v="기원, 유래(origin) + 동사(ate) = ‘일어나다, 발원하다, 시작되다’"/>
        <s v="밖(out)의 선(ine)이니 ‘윤곽, 외형선’"/>
        <s v="밖으로(out) 보는(look) ‘조망, 경치’"/>
        <s v="바깥쪽으로(out) 터져서 나오니(break) ‘발생, 발발’"/>
        <s v="전기, 물 등이 밖(out)에 오랜시간(age)동안 있으니 ‘정전, 단수’"/>
        <s v="바깥으로(out) 나와서 놓게(put)된 ‘생산, 산출물’"/>
        <s v="밖으로(out) 나가게(let)끔 하는 곳 ‘배출구, 판로, 직판장’"/>
        <s v="범위 밖으로(out) 넘어서서 하니(do) ‘뛰어나다’"/>
        <s v="어떤 정해진 기간 밖으로(out) 살아가니(live) ‘오래 살다’"/>
        <s v="위에서(over) 덮고 지나가는 것이 머리(head) 이니 ‘머리 위에, 하늘 높이’"/>
        <s v="상대방을 위에서 덮어(over) 힘(power)으로 가해 ‘압도하다’"/>
        <s v="정해진 정도를 위에서 덮고 넘어가(over) 과세하니(tax) ‘지나치게 과세하다’"/>
        <s v="온 몸을 위에서(over) 덮는 코트(coat)이니 ‘외투, 오버코트’"/>
        <s v="위에서 덮어(over) 포개니(lap) ‘겹치다’"/>
        <s v="위에서 덮듯이(over) 보니(see) ‘감독하다’"/>
        <s v="위에서 덮고 지나가는 것이(over) 지급되어야 할(due) 시간이니 ‘기한이 지난’"/>
        <s v="위에서 덮고 지나가는 것처럼(over) 보니(look) ‘못보고 넘어가다, 눈감아 주다’"/>
        <s v="위에서(over) 덮어 그늘(shadow)이 있게 해 ‘가리다’"/>
        <s v="위에서(over) 덮고 있는 것이 모든 것(al)이니 ‘전부, 전체의’"/>
        <s v="폭하고(p) 튀어 나가다 끝도 없이(n) 넓은(pan) ‘손잡이가 달린 얇은 냄비(팬)’"/>
        <s v="넓게(pan) 펴서 구운 빵이니(cake) ‘팬케이크’"/>
        <s v="함께(com) 넓은 빵(pan)을 먹기 위해 일하는 곳 이니 ‘회사, 일행, 중대’&#10;* pan 라틴어로 빵을 의미하기도 한다"/>
        <s v="넓은(pan) 드라마(drama) 같은 ‘전경, 광대한 조망’"/>
        <s v="부드럽게(s) 넓게(pan) 펼친 ‘한 뼘, 범위’"/>
        <s v="밖으로(ex) 넓게(pan) 하니 ‘확장하다’"/>
        <s v="확장하다(expand) + 형용사(sive) = ‘팽창력이 있는, 넓은, 광대한’"/>
        <s v="확장하다(expand) + 명사(sion) = ‘확장, 팽창’"/>
        <s v="나란히(par) ‘나란히 걸어가다, 가두 행진’"/>
        <s v="나란히(par) 수고해서 세상 안으로 들어오게(enter) 해 준 ‘부모’"/>
        <s v="아이가 늘 붙어서(ap) 부모에게(parent) 있는 것처럼 ‘명백한’"/>
        <s v="지금의 상황과 붙어서(ap) 폭하고 나란히(par-pear) 나오니 ‘나타나다’"/>
        <s v="반대(dis) 나타나는(appear) 것이니 ‘사라지다, 모습을 감추다’"/>
        <s v="빛이 통과해서(trans) 나타나니(pare-appear) ‘투명한’"/>
        <s v="함께(com) 나란히(par) 두고 ‘비교하다’"/>
        <s v="비교하다(compare) + 할 수 있는(able) = ‘비교할 수 있는’"/>
        <s v="앞서(pre) 나란히(par) 입구에(e) 두니 ‘준비하다’"/>
        <s v="몸에 붙이고(ap) 준비하는데(pare-prepare) 길게(l) 걸치는 ‘옷’"/>
        <s v="각 지역구를 대표하여 나란히(par) 여러 국회 의원들이 길게(l) 나아와 법을 굳히듯이(ment-cement) 공고히 입법하는 ‘의회, 국회’"/>
        <s v="사람하고 나란히(par) 둥근(o) 입으로 말이 나아가는(t) ‘앵무새’"/>
        <s v="평행선(par)을 만들듯이 옆에서 빗대어서 입을(o) 통해 아래로(d) 품격을 떨어뜨리는 말을 하는 ‘패러디’"/>
        <s v="일치하고 않고 서로 나란히 평행선(para)을 이루며 말하는(dox-doc) 것이니 ‘역설, 모순’"/>
        <s v="서로 나란히(para) 길게(l) 길게(l) 나가는 ‘평행선’"/>
        <s v="낙하하는 사람과 나란히(para) 함께 잡아(ch)주며 아래쪽으로(u) 향하는 ‘낙하산’"/>
        <s v="서로 붙어 있고(ap) 나란히(para) 정돈이 되어 서(t) 있는 ‘장치, 기구’"/>
        <s v="분리시켜(se) 나란하게(para) 놓으니 ‘분리하다, 떼어 놓다’"/>
        <s v="좋은 사람들과 나란히(para) 같이 사는 ‘낙원’"/>
        <s v="나란히(par) 있어 혼자처럼(i) 한 몸이 되어가는 ‘한 쌍’"/>
        <s v="반대(im)하다 한 쌍(pair)이 되는 것을 즉, ‘손상 시키다’"/>
        <s v="다시(re) 한 쌍으로(pair) 만드니 ‘수리하다, 고치다’"/>
        <s v="수리하는(repair) 남자이니(man) ‘수리공’"/>
        <s v="반대의(ir) + 고치다(repar-repair) + 할 수 있는(able) = ‘회복할 수 없는’"/>
        <s v="저하시켜(de) 보이지않게(s) 하는게 한 쌍(pair)이니 이별, 절교 즉, 마음이 ‘절망, 실망, 낙담’"/>
        <s v="절망, 실망(despair) + 형용사(ate) = ‘절망적인, 필사적인’"/>
        <s v="나란히(par) 서(t) 있는 각 ‘부분’"/>
        <s v="하나였던 것이(a) 부분(part)이 되니 ‘떨어져, 따로따로’"/>
        <s v="한 팀을 이루는 일부분(part)이 되는 사람이니 ‘파트너’"/>
        <s v="부분(part)끼리 모인 것이니 ‘파티, 모임’"/>
        <s v="자기 부분, 역할(part)을 잡아서(cip) 나아가니 ‘참가하다’ "/>
        <s v="부분(part) 부분을 각자가 잡아서(c) 오랫동안(l) 지내니 ‘개별적인, 특별한’"/>
        <s v="개별적인, 특별한(particular) + 부사(y) = ‘두드러지게, 특히’"/>
        <s v="반대(counter)로 맞 교환할 수 있는 부분(part)이니 ‘복사, 사본’"/>
        <s v="분리해서(de) 부분이(part) 되니 ‘출발하다’"/>
        <s v="부분을(part) 잡아서(c) 긴(l) 끈으로 묶어 놓은 ‘미량, 작은 조각’"/>
        <s v="나란히(par) 물건들을 잡아서(c) 긴(l) 끈으로 묶어 늘여 놓은 ‘소포, 꾸러미’"/>
        <s v="부분(part) + 형용사(al) = ‘일부분의, 부분적인’"/>
        <s v="반대(im) + 부분적으로(partial) 기울다 = ‘공정한, 공평한’"/>
        <s v="폭하고(p) 튀어 나와서 보이지 않게(ss) 되니 ‘지나가다, 통과하다’"/>
        <s v="기회가 와도 그냥 지나가게(pass) 하고 안쪽(i) 갈라진 틈(v)으로 숨으니 ‘수동적인, 소극적인’"/>
        <s v="통로를 지나서(pass) 탈 것 안으로(en) 들어가는 사람(er)이니 ‘승객’"/>
        <s v="함께(com) 모든 방향을 다 지나가니(pass) ‘순회하다’"/>
        <s v="영향권 옆(by)으로 지나갈 수 있는(pass) ‘우회로’"/>
        <s v="아래로(under) 지나가게(pass) 만든 통로이니 ‘지하도’"/>
        <s v="위로(over) 지나가게(pass) 만든 ‘육교’"/>
        <s v="초과(sur)하여 지나가니(pass) ‘초월하다, 넘다’"/>
        <s v="한계치를 지나쳐서(pass) 지속(on)되는 격렬한 ‘감정, 열정’"/>
        <s v="함께(com) 감정을(passion) 나누니 ‘연민’"/>
        <s v="느낌(path) + 형용사(tid) = ‘불쌍한, 측은한, 감상적인’"/>
        <s v="멀리까지(tele) 느낌을(path) 전달하는 ‘텔레파시’"/>
        <s v="함께(sym) 공유하는 느낌(path)이니 ‘공감’"/>
        <s v="앞으로(pro) 미는 것이니(pel) ‘추진하다, 나아가게 하다’"/>
        <s v="앞으로(pro) 밀어서(pel) 나아가게 하는 추진기(propel)이니 ‘프로펠러’"/>
        <s v="함께(com) 밀어버리니(pel) ‘억지로 시키다, 무리하게 시키다’"/>
        <s v="반대로(re) 밀어내니(pel) ‘거절하다’"/>
        <s v="밖으로(ex) 밀어내니(pal) ‘내쫓다, 쫓아버리다’"/>
        <s v="분리시켜(dis) 밀어내니(pel) ‘없애다’"/>
        <s v="피를 밀어 내며(pul) 부드럽게(s) 뛰는 ‘맥박’"/>
        <s v="마음 속에서(im) 하도록 밀어내는(pul) 것, ‘충동’"/>
        <s v="함께(com) 맥박이(puls-pulse) 세게 뛰는 일은 ‘의무적인, 강제적인’ 일이다"/>
        <s v="더하여(a) 미는 것(peal-pel)이니 ‘간청, 애원’"/>
        <s v="매달려(pend) 있는 하나의(an) ‘부속물, 늘어 뜨린 장식’"/>
        <s v="아래쪽(de)으로 매달려(pend) 있으니 ‘의지하다’"/>
        <s v="반대(in) + 의지하다(depend) + 명사(ence) = ‘독립’"/>
        <s v="덧붙여진, 부가적인(append) 신체기관으로 인식 되던 ‘맹장, 부록’&#10;*더하여(a) 매달아 놓으니(pend) 덧붙이다(append)"/>
        <s v="아래쪽에(Su) 매달아(pend) 놓으니 ‘보류하다’"/>
        <s v="안을(im) 향해 매달려(pend) 있으니 곧 떨어질 것 같이 ‘임박하다’"/>
        <s v="보이지 않게(s) 되는 것이 매달아(pend) 저장해 놓은 돈이므로 ‘쓰다, 소비하다’"/>
        <s v="분리(dis)시킬 필요가 있는 매달린(pend) 부분이니 ‘불필요한’"/>
        <s v="반대(in) 불필요한(dispensable) = ‘필수의’"/>
        <s v="밖으로(ex) 쓰니(pend-spend) ‘소비하다, 소모하다’"/>
        <s v="함께(com) 살아가도록 매달아놓은(pend) 연금 같은 것을 주니 ‘보상하다’"/>
        <s v="완벽히(per) 만들어서(f) 잡으니(c) ‘완벽한’"/>
        <s v="완전히(per) 100개로 나눈 것이니 ‘퍼센트, 100분’"/>
        <s v="완벽하게(per) 연기처럼(fume) 날아다니며 향기를 전달하는 ‘향수’"/>
        <s v="가볍고, 빠르게(f) 나가는 ‘연기, 가스’"/>
        <s v="완전한(per) 아들(son)로서의 ‘사람됨, 사람, 인품’"/>
        <s v="한 사람 한 사람(person)을 가까이(n) 모아 길게(l) 늘여 놓으니 ‘전체 직원’"/>
        <s v="사람(person) + 형용사(al) = ‘개인적인’"/>
        <s v="완전히(per) 자신(i)이 사라지니(sh) ‘소멸하다, 사라지다’"/>
        <s v="완전히(per) 움직이며(m) 시간 제한이 없는(m) ‘영원한, 오래가는’"/>
        <s v="완전히(per) 부드럽게(s) 마음 아래쪽까지(u) 내려가니(d) ‘설득하다’"/>
        <s v="평평하고(pla) 사람들이 많이 모여 진동이(z) 일어나는 ‘광장’"/>
        <s v="평평한(pla) 지점이니(at) ‘땅 한 뙈기’"/>
        <s v="땅 한 뙈기(plat)에 만들어(form) 놓은 곳은 ‘승강장, 플랫폼’"/>
        <s v="평평하게(pla) 늘려 펴져서 면에 붙어 서게(st)만드는 ‘회반죽’"/>
        <s v="평평한(pla) 것인데 먹었던(ate) ‘접시’"/>
        <s v="평평한(pla) 곳에 잡아(c) 두는 ‘장소, 놓아두다’"/>
        <s v="잘못(mis) 놓아두니(place) ‘잘못 놓다’"/>
        <s v="다시(re) 놓아(place) ‘대신하다, 교체하다’"/>
        <s v="아래쪽으로 스윽 분리(dis)시켜 어떤 장소(place)에 놓으니 ‘옮기다, 대신하다’"/>
        <s v="평평하게(pla) 울퉁불퉁한 우발상황이 없게(n) 만든 ‘계획’"/>
        <s v="공기(air)중에 평평한(plan) 날개를 이용해 나르는 ‘비행기’"/>
        <s v="평평한(plan) 땅이 있고 우주에 서(t) 있는 ‘행성’"/>
        <s v="평평한(plan) ‘평야, 단순한, 분명한, 쉬운’"/>
        <s v="밖으로(ex) 분명하게(plain) 보이도록 ‘상세히 설명하다’"/>
        <s v="함께(com) 모든 부분에 있어서 분명하게(plain) 속 마음을 다 드러내니 ‘불평하다, 투덜대다’"/>
        <s v="평평한(plan) 곳에 세워서(t) ‘심다, 식물’"/>
        <s v="안에(im) 심으니(plant) ‘깊이 새기다, 심다’"/>
        <s v="다른 사람 대신에 아래쪽(su)에 심으니(plant) ‘대신하다’"/>
        <s v="여러 개(ple)를 안(en)에 넣으니 ‘많음, 다량’"/>
        <s v="다수(multi) 여러 개(ple)이니 ‘다수의, 복합의’"/>
        <s v="여러 개(multi)에 여러 개(ply-ple)를 붙이니 ‘곱하다, 증가시키다’"/>
        <s v="아래로(de) 저하시키다 여러 개(ple)를 즉, ‘고갈시키다’"/>
        <s v="함께(com) 여러 개(ple)를 묶으니 ‘전부의, 완전한’"/>
        <s v="반대의(in) + 완전한(complete) = ‘불완전한, 불충분한’"/>
        <s v="완전하게(comple-complete) 되도록 하는 것 (ment)이니 ‘보충물, 보완물’"/>
        <s v="함께(com) 여러 가지로(pli-ple) 굳건히 하니(ment) ‘칭찬하다’"/>
        <s v="아래쪽(sup-sub)에서부터 여러(ple)가지로 채 워서 보충하는 것(ment)이니 ‘보충물, 추가물’"/>
        <s v="현장 안에서(im) 여러(ple) 종류가 있어 사용 하는 ‘도구, 연장’"/>
        <s v="함께(com) 여러개(ple)가 교차하니(x) ‘컴플렉스’"/>
        <s v="함께(com) 여러개(pli-ple)를 잡으니(c) ‘복잡하게 하다, 뒤얽히게 하다’"/>
        <s v="안에(im) 여러가지를(pli-ple) 잡아 놓으니(c) ‘암시하다, 포함하다, 내포하다’"/>
        <s v="두개(du-double) 여러 개(pli-ple)를 잡아서(c) 만드니 ‘복제하다’"/>
        <s v="모으는데(ac) 함께(com) 여러 개(pli-ple)를 부드럽게(sh) 조화시키니 ‘성취하다’"/>
        <s v="함께(com) 여러(ply-ple)명이 ‘따르다’"/>
        <s v="다시(re) 여러(ply-ple) 말로 ‘대답하다’"/>
        <s v="어떤 이론을 응용하여 더하여(a) 여러(ply-ple)개를 만들어내니 ‘적용하다’"/>
        <s v="배운 바를 적용(appy) 할 수 있는(can) 사람은 ‘응모자, 신청자’"/>
        <s v="안으로(em) 입사시켜서 여러 명으로(ploy-ply) 만드니 ‘고용하다’"/>
        <s v="고용하는(employ) 사람(er)이니 ‘고용주’"/>
        <s v="고용되어(employ) 길게(ee) 일하는 ‘종업원’"/>
        <s v="혼자서(mono) 여러가지를(poly) 다 가지는 ‘독점, 전매’"/>
        <s v="여러 개의 많은(plu) 상태로 만드는 ‘더하여’"/>
        <s v="초과(sur)하여 여러 개가(plu) 있는 것은 ‘여분, 나머지’"/>
        <s v="펑하는(pop) 소리가 나면서 옥수수(corn)로 만들어지는 ‘팝콘’"/>
        <s v="사람들이(pop) 좋아하는 노래(song)는 ‘팝송, 대중가요’"/>
        <s v="사람들이(pop) 좋아하니 ‘인기있는’"/>
        <s v="인기있는(popular) + 명사(ity) = ‘인기, 유행’"/>
        <s v="사람들이(pop) 평하고 터지듯이 불어나 이루어진 ‘인구’"/>
        <s v="폭하고(p) 아래쪽(u) 신분의 사람들이 터질(b) 듯이 모여 흥이 돋는 많은 사람들이 가는 ‘선술집’"/>
        <s v="많은 사람들(pub) + 형용사(ic) = ‘공중인, 대중의’"/>
        <s v="여러 사람들이(pub) 알게 길게(l) 나가게 하니 ‘발행하다, 발표하다’"/>
        <s v="나르는(port) 곳이니 ‘항구’"/>
        <s v="운반해(port) 갈 수 있는(able) ‘휴대용의’"/>
        <s v="항구(port)에서 짐을 나르는 사람(er) ‘짐꾼’"/>
        <s v="뭔가를 날라주는(port) 기능을 하니 ‘대문, 통로, 포털’"/>
        <s v="짐을 나르기(por-port) 위해 들어가는 입구가 되 고, 위에 덮어서(ch) 비를 막아주기도 하는 ‘현관’"/>
        <s v="운반해(port) 가도록 서류(folio)를 넣어 가지고 다니는 ‘휴대용 서류가방’"/>
        <s v="사람의 얼굴 모습을 운반해(port) 주는 그림이니 ‘초상화’"/>
        <s v="나르면서(port) 내 것(i)이라고 지속적으로(on)하니 ‘몫, 부분’"/>
        <s v="앞으로(pro) 몫(portion)으로 할당해 줄 ‘비율’"/>
        <s v="공중(air)에 떠 다니는 비행기가 머무는 항구(port)는 ‘공항’"/>
        <s v="지나가다(pass) 공항을(port) 그 때 보여주는 ‘여권’"/>
        <s v="옮기다(trans) 항구로부터(port)이니 ‘수송하다, 옮기다’"/>
        <s v="안으로(im) 운반하니(port) ‘수입하다’"/>
        <s v="안으로(im) 날라(port) 놓아야 하는 한 가지(an)는 ‘중요한’"/>
        <s v="밖으로(ex) 항구에서(port) 나르니 ‘수출하다’"/>
        <s v="아래로(de) 나르다(port) ‘추방하다, 강제로 이송하다’"/>
        <s v="준비한 내용을 다시(re) 여기 저기로 운반해(port) 주는 ‘보고서’"/>
        <s v="보고하는(report) 사람(er)이니 ‘신문기자, 보고자’"/>
        <s v="아래서(sub) 지고서 나르니(port) ‘버티다, 지탱하다’"/>
        <s v="눈으로 보는(opt) 것이 항구에서(port) 단결하여(unity) 할 사업이니 ‘기회’"/>
        <s v="글자가 판에서 튀어나가(pr) 종이 안에(in) 접촉(t)해서 ‘인쇄하다’"/>
        <s v="마음에서 튀어(pr) 나오는 것인데 뭘 타고(ride)가면 나오는 ‘긍지, 자부심’"/>
        <s v="튀어나갈 듯이(pr) 보여주고 싶은 둥근 마음이(o) 아래(d)에 있으니 ‘자랑으로 여기는, 자신에 찬’"/>
        <s v="만물이 스프링처럼 부드럽게(s) 튀어(pr) 나오 는 계절은 ‘봄, 뛰어 오름’"/>
        <s v="튀어(spr) 나오듯이 밖으로(out) 나오니 ‘자라기 시작하다, 발아하다, 새싹’"/>
        <s v="순식간에 튀어서(spr) 죽 나가는(t) ‘요정’"/>
        <s v="스프링처럼 부드럽게 튀어나가(spr) 달리는 경기는 ‘단거리 경주, 전력질주, 전속력으로 달리다’"/>
        <s v="튀어나오게 하다(spr) + 안에 있는 것을(in) + 확장(k)시켜서 = ‘뿌리다’"/>
        <s v="튀어서(spr) 확장(y)되어 나가는 ‘물보라, 분사 하다’"/>
        <s v="튀어 나가서(spr) 아래로(d) 가니 ‘펴다’"/>
        <s v="멀리 넓게(wide) 펼쳐졌으니(spread) ‘넓게 편’"/>
        <s v="앞서(pre) 가치(val-value)가 퍼졌으니 ‘널리퍼짐, 유행’"/>
        <s v="앞서(pre) 나가 마음을(ch) 잡아 주는 말을 하니 ‘설교하다’"/>
        <s v="순위가 앞서고(pre) 크니(m) ‘상급의, 상질의’"/>
        <s v="앞서 있는(pre) 큰(m) 존재의 혼자(i) 있는 사람(er)이니 ‘국무총리, 수상, 최고의’"/>
        <s v="앞서서(pre) 풀어져(l) 움직여(m) 나아가니 ‘예비의, 준비의’"/>
        <s v="앞서(pre) 갈라진 틈(v)으로부터 나갔으니 ‘앞의, 앞선, 사전의’"/>
        <s v="앞서(prior) 세워(t) 놓은 ‘우선순위’"/>
        <s v="앞으로(pro) 부풀어 길게(bl) 안에서(em)부터 나오는 ‘문제’"/>
        <s v="앞으로(pro) 돌출했으니(minent) 눈에 띄는, ‘탁월한’"/>
        <s v="앞으로(pro) 나아오다(t) 무례하게(rude) 즉, ‘튀어나오다’"/>
        <s v="앞으로(pro) 움직여(m) 폭 튀어나와(p) 서니(t) ‘즉각적인’"/>
        <s v="앞으로(pro) 나아가(to) 함께(co) 약속하는 ‘규약’"/>
        <s v="앞으로(pro) 일어날 일을 다 안다는 듯이 가볍게(ph-f) 말하는 ‘예언’"/>
        <s v="앞으로(pro) 나아가 교차(x)할 정도로 움직여(m) 가니 ‘가까움’"/>
        <s v="앞으로(pro) 폭(sp)하고 튀어 힘있게(r) 나가니 ‘번영하는’"/>
        <s v="앞으로(pro) 나아가 번성하여, 갈라진(v) 틈에 안에(in) 많이 모여 살 ‘도, 주’"/>
        <s v="재판에 앞서서(pro) 어떤 사람의 신병을 확보하여(secu-secure) ‘기소하다’"/>
        <s v="앞으로(pro) 펄쳐 보여(v) 입증하다, ‘증명하다’"/>
        <s v="안에(im) 증명할(prove) 것들을 더 만드니 ‘개량하다, 개선하다’"/>
        <s v="더하다(a) 서명을 증명한(prove) 자료를 보고서 즉, ‘승인하다’"/>
        <s v="반대(dis) + 승인(approval) = ‘불찬성, 불만’"/>
        <s v="가장 중요한(prim) 위치로 입구를(e) 통해 등장 하니 ‘가장 중요한, 주된, 제 1의’"/>
        <s v="먼저 움직여 나온(prim) + 형용사(ary) = ‘주요한, 기본적인’ "/>
        <s v="먼저(prim) 나아왔는데(t) 갈라진 틈(v)이 있는 굴로부터 즉, ‘본원의, 근본의, 원시의’"/>
        <s v="가장 중요한(prin) 자리를 잡는(c) 사람이니 ‘왕자, 왕손’"/>
        <s v="왕자(prince)와 지위를 함께 하지만 더 부드러운(ss) ‘공주’"/>
        <s v="학교에서 왕자처럼(prince) 가장 중요한(prin) 높은 자리를 잡고(cip) 모든(all) 일을 관장하는 ‘교장’"/>
        <s v="왕자처럼(prince) 중요하게 잡고서(cip) 오랫동안(l) 지켜야 할 ‘원칙’"/>
        <s v="가치를(pric) 입구를(e) 통해 보여 주는 ‘값, 가격’"/>
        <s v="가치(pri-pric)가 있어 흥분하게(z) 되는 ‘상, 상품’"/>
        <s v="가치가 있는(prec-pric) + 형용사(ous) = ‘값비싼, 귀중한’"/>
        <s v="더하다 어떤 지점(ap)에 붙이는 것이 가치이니(prec-pric) ‘진가를 인정하다, 감사하다’"/>
        <s v="진가를 인정하다(appreciate) + 할 수 있는(able) = ‘주목할 만한’"/>
        <s v="저하(de)시키는 것이 가치(prec)이니 ‘가치를 떨어뜨리다, 멸시하다’"/>
        <s v="개인(priv) + 상태(ate) = ‘사적인, 개인적인’"/>
        <s v="아래로(de) 감소시키는 것이 개인(priv)적인 자격이니 ‘박탈하다’"/>
        <s v="개인적으로(priv) 가게(leg) 하는 ‘특권’"/>
        <s v="폭하고(p) 튀어나오는 것을 힘을(r) 가해 부드러운(ss) 가루가 되기까지 ‘누르다’"/>
        <s v="누르다(press) + 아래로(u) + 힘있게(r) = ‘압력, 압박, 부담’"/>
        <s v="함께(com) 누르니(press) ‘압축하다, 압착하다’"/>
        <s v="둥근 입으로(o) 명령을 내려 누르니(press) ‘억압하다, 탄압하다’"/>
        <s v="아래에(sup) 두고 누르니(press) ‘억제하다, 진압하다’"/>
        <s v="아래로(de) 누르니(press) ‘낙담시키다, 약하게하다’"/>
        <s v="밖으로(ex) 밀어내는데(press)&#10;"/>
        <s v="마음 안으로(im) 눌러서(press) 만들어 내는 ‘인상’"/>
        <s v="잡아서(pris-prise) 지속적으로(on) 가둬놓는 ‘교도소’"/>
        <s v="감옥(prison)에 있는 사람(er)이니 ‘죄수’"/>
        <s v="위에서(sur) 잡아(prise) 기습하니 ‘놀라게 하다’"/>
        <s v="업계 안으로 들어가(enter) 잡은 것은(prise) ‘기업, 회사’"/>
        <s v="함께(com) 다 모으다 튀어 오르는(prise) 것들을 즉, ‘포함하다’"/>
        <s v="튀어 보이는(spec) ‘특수한, 특별한’"/>
        <s v="전문(special)적인 분야의 사람(ist)이니 ‘전문가, 전공자’"/>
        <s v="보이는(spec) 모습에 따라 여러 개로(es) 나눈 ‘종’"/>
        <s v="보라고(spec) 사람들을(men) 위해 만들어 놓은 ‘견본, 표본’"/>
        <s v="보는데(spec) 딱 서(t)있는 ‘광경, 장관’"/>
        <s v="바라보는(spec) + 사람들(or) = ‘구경꾼, 관람객, 목격자’"/>
        <s v="보고 있다(spec) 늦게까지(late) 즉, ‘깊이 생각 하다’"/>
        <s v="보이게(spec) 만드니(fic) ‘특별한, 명확한, 분명한’"/>
        <s v="하나의(a) 보이는(spec) 면이니 ‘측면, 국면’"/>
        <s v="아래에(su) 숨긴 것이 없나 보니(spec) ‘의심하다'"/>
        <s v="안(in)으로 들여다 보니(spec) ‘조사하다, 점검하다’"/>
        <s v="앞을(pro) 미리 볼 수 있는(spec) ‘가능성, 전망’"/>
        <s v="밖으로(ex) 보니(pec-spec) ‘기대하다’"/>
        <s v="다시금(re) 바라보게(spec) 되니 ‘존경하다’"/>
        <s v="존중(respect)으로 모두를 대하면 한 사람 한 사람에게 신경 쓰니 ‘각자의, 각각의’"/>
        <s v="반대(ir) + 각각을 살피는(respective) = ‘돌아보지 않는, 개의치 않는’"/>
        <s v="호흡을(spir) 하여 서(t) 있는 존재이니 ‘정신, 마음, 영혼’"/>
        <s v="안으로(in) 호흡을(spir) 불어 넣으니 ‘감동시키다, 영감을 주다’"/>
        <s v="영감을 주다(inspire) + 명사(tion) = ‘영감’"/>
        <s v="더하다(a) 호흡을(spir) 헉 ~ 헉~ 하면서 관심을 보이니 ‘열망하다’"/>
        <s v="함께(con) 호흡하니(spir) ‘공모하다, 음모를 꾸미다’"/>
        <s v="밖으로(ex) 나가다 호흡(pir-spir)이 즉 생명이 나가니, ‘죽다, 꺼지다, 만료하다’"/>
        <s v="끝의 점으로(p) 안(in)으로 찌르는 ‘핀’"/>
        <s v="핀(pin)과 같이 ‘뾰족한 탑, 봉우리’"/>
        <s v="잎사귀가 핀(pin)처럼 찌르게 생긴 ‘소나무’"/>
        <s v="바늘(pin)과 같은 게 밖에 나와있는 사과(apple)이니 ‘파인애플’"/>
        <s v="S 라인을 이루는데 핀처럼(pin) 튀어나온 ‘척추, 등뼈’"/>
        <s v="핀으로(pin) 찌르는 것 같고 잡아(ch) 뜯는 것 같기도 하는 행동이니 ‘꼬집다’"/>
        <s v="부드럽게(s) 움직이는데 핀으로(pin) 꼭 중심을 찍고서 ‘돌다, 빙글빙글’"/>
        <s v="어떤 지점의(p) 둥근(o) 공간에 부드럽게(s) 놓아두는(pose) ‘자세, 태도, 자세를 취하다’"/>
        <s v="놓아두는(posi-pose) ‘위치, 장소’"/>
        <s v="놓아두었는데(pose) 가운데 나 자신(i)이 있으니 어느 쪽에도 치우치지 않은 ‘평형, 균형, 침착, 냉정’"/>
        <s v="어떤 지점(p) 아래쪽(u)에 보이지(s) 않게 있으니 ‘멈춤, 휴식, 중단’"/>
        <s v="뒤의(post) 지점에 놓으니(pone-pose) ‘연기하다’"/>
        <s v="앞으로(pro) 두니(pose) ‘제안하다’"/>
        <s v="완전하게(pur-per) 두고자(pose) 할 때는 ‘의도’나 ‘목적’이 있다"/>
        <s v="함께(com) 두니(pose) ‘구성하다, 작곡하다’"/>
        <s v="현실 아래쪽에(su) 놓으니(pose) ‘가정하다’"/>
        <s v="어떤 공간(o)에서 폭(p) 튀어 나오는 자세(pose)를 취하니 ‘반대하다’"/>
        <s v="반대하는(oppose) 장소(site)에 있으니 ‘반대쪽의’"/>
        <s v="창구에서 아래로(d) 돈을 내려 놓으니(pos-pose) ‘예금, 예금하다’"/>
        <s v="분리(dis)시켜 어떤 장소에 위치(pose)하게 하니 ‘배치하다, 정리하다’"/>
        <s v="밖에(ex) 두니(pose) ‘드러내다, 노출시키다’"/>
        <s v="밖으로(ex) 위치하게 두니(pose) ‘폭로, 노출’"/>
        <s v="드러내다(expose) + 명사(tion) = ‘박람회, 전시회’"/>
        <s v="안에(im) 두니(pose) ‘강요하다, 부과하다’"/>
        <s v="함께(com) 여러 정보를 놓아서(put) 한꺼번에 처리하는 능력을 가진 ‘컴퓨터, 계산기’"/>
        <s v="여러 사람들이 다시금(re) 놓아둔(put) ‘평가, 평판’ "/>
        <s v="반대로(dis) 놓다(put) 즉, 서로 반대하는 의견 을 내 놓으니 ‘논쟁, 분쟁’"/>
        <s v="아래로 압력(qu)을 가해 입에서(e) 답이 나오게(t) 하니 ‘물어보다, 요구하다, 탐색, 탐구’"/>
        <s v="물어보는데(quest) 지속적으로(on) 하니 ‘질문하다, 질문’"/>
        <s v="모든 것을 함께(con) 다 요구(quest)할 수 있는 ‘정복’"/>
        <s v="힘있게(re) 질문하는(quest) 것이니 ‘요구하다’"/>
        <s v="자료를 가져오라고 안(in)으로 요청하니(quire) ‘조사하다’"/>
        <s v="안(in-en)으로 이것 저것을 요청하니(quire) ‘묻다, 알아보다, 조사하다’"/>
        <s v="힘있게(re) 요구하니(quire) ‘요청하다’"/>
        <s v="더해서 잡은(ac) 것이 요청한(quire) 바이니 ‘손에 넣다, 얻다, 취득하다’"/>
        <s v="슥하고(s) 압력(qu)을 가해 입구를(e) 통해 뭔가가 진동하며(z) 나오게 하니 ‘짜내다’"/>
        <s v="둥근 공을 사면에서 압력(squ)을 가해서 존재하게(are) 만든 ‘정사각형’"/>
        <s v="압력을(sau) 가해 아래로(d) 규모가 줄어든 ‘분대’"/>
        <s v="압력을(squ) 가해 부드러운(sh) 가루처럼 만드니 ‘눌러 으깨다, 짓이기다’"/>
        <s v="같게(equ) 모두(al-all) 만드니 ‘똑같은’"/>
        <s v="같게 하다(equate) + 명사(tion) = ‘방정식’"/>
        <s v="좀 더하여(ad) 기준과 똑같이(equ) 만드니 ‘적당한, 알맞은’"/>
        <s v="반대(in) + 알맞은(adequate) = ‘부적당한’"/>
        <s v="같게 만들어(equ) 세우니(t) ‘공평, 공정’"/>
        <s v="같은(equ-equal) 가치(val-value)의 것이니 ‘동등의 것’"/>
        <s v="양쪽을 똑같이(equ) 부풀어(br) 오르게 해 ‘평형’을 맞춤"/>
        <s v="같아지게(equ) 폭(p) 하고 집어 넣으니 ‘갖추게하다’"/>
        <s v="위, 아래가 같은(equ) ‘적도’"/>
        <s v="뿌리(rad) 같이 죽 힘차게(r) 뻗어가는 ‘레이더’"/>
        <s v="뿌리로부터(rad) 나오듯이, 방송국에서 둥근(o) 판을 이용해 전파를 쏘는 ‘라디오, 무선 방송’"/>
        <s v="무선 방송(radio)같은 에너지파 + 활동(activity) = ‘방사능, 방사성’"/>
        <s v="레이다(radar-rad)처럼 빛이 나가니 ‘발산하다’"/>
        <s v="뿌리(rad) 같이 깊숙한 상태(cal)이니 ‘근본적인, 기초의, 극단적인’"/>
        <s v="뿌리(rad) 채소이고 부드러운(sh) ‘무’"/>
        <s v="입구(e)를 통해 뿌리를(rad) 잡아서(c) 뽑아내니 ‘뿌리뽑다, 근절하다’"/>
        <s v="반대로(re) 되갚아 주는 것이고 마음의 틈(v) 안 (en) 깊숙한(g) 곳에 있는 원한으로 비롯한 ‘복수’"/>
        <s v="덮었다가 반대로(re) 베일(veal-veil)을 ‘벗기다’"/>
        <s v="반대하는(re) 생각이 부풀어(bu) 올라서 확장(k)되어 말로 나가니 ‘책망하다’"/>
        <s v="반대로(re) 빠르게(f) 비(rain) 온다고 ‘자제하다’"/>
        <s v="다시(re) 잡아서(c) 안으로(en) 가지고 들어온 ‘최근’의 일"/>
        <s v="다시(re) 죄에서 풀어져서(lig) 깊은 곳에서 나아와 지속적으로(on) 그 삶을 살게 하는 ‘종교’"/>
        <s v="다시(re) 가서 누울(lie) 수 있으니 ‘기댈 수 있는’"/>
        <s v="반대로(re) 깊은(g) 마음 속으로 세게(r) 끌어 당기는 마음이니 ‘후회하다’"/>
        <s v="반대로(re) 안으로(im) 지갑에(burse-purse) 넣어주니 ‘변상하다’"/>
        <s v="아래로(d) 내려 갈 때 곧게(rect) 가도록 ‘인도하다, 감독하다, 직행의, 직접적인’"/>
        <s v="감독하는(direct) 사람(or)이니 ‘영화감독, 관리자’"/>
        <s v="인도하는(direct) 곳, ‘방향’"/>
        <s v="입구로(e) 들어가 곧게(rect) 하니 ‘세우다, 건설하다, 직립한’"/>
        <s v="함께(co) 다 곧게(rect) 하니 ‘수정하다, 올바른’"/>
        <s v="회전(ro)하여 길게 길게(ll) 가니 ‘구르다, 회전 하다, 말다’"/>
        <s v="표면에(sc) 내용을 기록하고 굴려 롤(roll)로 말아두는 ‘두루마리, 족자’"/>
        <s v="안에(en) 기록해서 굴려 롤(roll)로 말아 두니 ‘명부에 올리다’"/>
        <s v="회전(ro)해서 아래쪽으로(ud) 타고 도니 ‘둥근’"/>
        <s v="아래쪽에서 힘있게 나와(sur) 주변을 도니(round) ‘둘러싸다’"/>
        <s v="깊은 곳(g)에서 힘있게(r) 식물이 자라 둥글게(round) 차지하고 있는 땅이니 ‘운동장’"/>
        <s v="회전(ro)해서 나아가니(t) ‘회전하다, 선회하다’"/>
        <s v="바퀴가 회전하며(ro) 아래로(d) 내려가는 ‘길’"/>
        <s v="회전(ro)하며 여기 저기 움직여(m) 다니니 정처없이 ‘돌아다니다’"/>
        <s v="회전하여(ro) 굴러가고, 땅 바닥을 잡고(c) 있듯 이 박혀 있는 ‘바위, 암석’"/>
        <s v="회전하듯이(ro) 나아가는(t) 늘 다니는 ‘길’"/>
        <s v="노를 회전(ro)하면서 물(w)에서 나아가니 ‘노를 저어 가다’"/>
        <s v="가닥들을 회전시켜(ro) 꼬아서, 폭하고(p) 힘을 줘도 될 만큼 만든 ‘로프’"/>
        <s v="돌고 돌면(ro)서 접촉(t)하면 결국 다 낡고 ‘썩다’"/>
        <s v="터지다(rupt) 아래쪽에서 세게(ur) 즉, ‘파열, 균열’"/>
        <s v="정상상태에서 갑자기 이탈되고(ab) 터져(rupt) 버리니 ‘갑작스러운, 뜻밖의’"/>
        <s v="사이에서(inter) 관계를 터지게(rupt) 하니 ‘방해하다’"/>
        <s v="방해하다(interrupt) + 명시(ion) = ‘방해, 훼방, 중단’"/>
        <s v="함께(co) 다 터져버리니(rupt) ‘부정한, 부패한’"/>
        <s v="분리(dis)시키고 터지게(rupt) 하니 ‘혼란에 빠뜨리다, 중단시키다’"/>
        <s v="입구(e)를 통해 터져 나오니(rupt) ‘폭발하다, 분화하다’"/>
        <s v="은행에(bank) 저축한 돈이 다 터져나가 버리니(rupt) ‘파산한, 파산의’"/>
        <s v="팔은(arm) 무술에서 무기로 쓰이니 ‘팔, 무기, 무장시키다’"/>
        <s v="분리시키다(dis) 무기를(arm) 즉, ‘무장을 해제하다’"/>
        <s v="무기를(arm) 가지고, 규모가 확장된(y) ‘육군’"/>
        <s v="무기를(arm) 막아내고 둥글게(o) 머리에 쓰는 투구도 있는 강한(r) ‘갑옷’"/>
        <s v="크게(h) 잡아 무기를(arm) 이용해서 ‘해를 끼치다’"/>
        <s v="해(harm)가 가득하니(full) ‘해로운’"/>
        <s v="모두(all) 무기를(arm) 들어라!라고 ‘경보, 놀라게하다’"/>
        <s v="잘라서(se) 모으니(lect) ‘고르다, 선택하다’"/>
        <s v="분리시켜(se) 나란히(para) 놓으니 ‘분리하다, 떼어 놓다’"/>
        <s v="분리(se)시켜 놓은 ‘단편, 조각, 부분’"/>
        <s v="평상시 상황과 분리된(se) 강한(r) 분위기이니 ‘진지한, 엄숙한, 심각한’"/>
        <s v="각각분리(se)시켜서 줄을(que) 서서 순서대로 여왕을(quen-queen) 만나니 ‘연속, 순서, 차례’&#10;* 형용사형태로 바꾸면 sequent 연속하는"/>
        <s v="연속하는(sequent) 단어에서 se를 fre(가볍고 빠르게)로 바꾸면 ‘자주 일어나는, 빈번한’"/>
        <s v="위험으로부터 분리(se)시켜 돌보다(cure-care) + 명사(ity) = ‘안전, 안보, 보안’"/>
        <s v="함께(con) 모두 자른(sec) 것들을 연결하니 ‘연속적인’"/>
        <s v="자르다(sect-se) + 명사(ion) = ‘잘라낸 부분, 조각’ "/>
        <s v="몸 안이(in) 마디 마디로 나누어져(sect) 있는 ‘곤충’"/>
        <s v="두개로(bi) 자르니(sect) ‘양분하다, 이등분하다’"/>
        <s v="자르다(sever) 모두(all) 그러면 ‘여럿의, 몇 사람의’"/>
        <s v="분리(dis)시키려고 자르니(sever) ‘분리시키다, 분할하다’"/>
        <s v="분리할(sever) 것은 분리해서 입구를(e) 통해 내 버리니 ‘엄격한’"/>
        <s v="완전히(per) 엄격하게(severe) 하니 ‘인내하다’"/>
        <s v="비밀의(secr) 상태인 ‘비밀, 비밀의, 기밀의’"/>
        <s v="비밀(secret)를 알고 있는 사람은 ‘비서, 서기’"/>
        <s v="신성한, 성스러운"/>
        <s v="신성한(sacr) 것을 만들어(ic-fac) 바치니 ‘희생시키다’ "/>
        <s v="부드럽게(s) 정해진 그곳에(it) ‘앉다’"/>
        <s v="앉을 수 있고(sit) 입구가(e) 있어 나갈 수 있는 ‘장소, 위치, 사이트’"/>
        <s v="내가 앉아(sit) 있는 곳의 ‘상황’"/>
        <s v="위치에 잘 앉도록(sit) ‘놓다, 두다’"/>
        <s v="앉도록(sit) 하는 ‘좌석, 자리, 착석시키다, 앉히다’"/>
        <s v="놓아두어(sel) 오래(l)가는 것(ment)이니 ‘정착, 확정’"/>
        <s v="돈과 같은(as) 것이며 잘 놓아두어야(set) 하는 ‘자산’"/>
        <s v="접해서(on) 놓아두는 것이니(set) ‘시작’"/>
        <s v="바깥에(out) 놓았으니(set) ‘착수, 시작’"/>
        <s v="아래쪽이 위쪽에(up) 놓이게(set) 하니 ‘뒤집어 엎다’"/>
        <s v="저하시키니(de) 결합력을(sert) 즉, ‘버리다, 사막’"/>
        <s v="같다고(as) 자기 의견을 결합시키니(sert) ‘주장하다’"/>
        <s v="주장하다(assert) + 명사(ion) = ‘단언, 주장’"/>
        <s v="안(in)으로 결합(sert) 하니 ‘끼워놓다, 끼우다’"/>
        <s v="마음과 노력을 밖으로(ex) 결합하여(sert) 내미니 ‘애쓰다’"/>
        <s v="터져버리게(ab) 하는 것이 존재이니(sent) ‘없는, 결여된’"/>
        <s v="앞으로(pre) 나아가 있는 존재(sent)하니 ‘있는, 현재, 선물, 제출하다, 내놓다’"/>
        <s v="있는, 참석한(present) + 명사(ence) = ‘존재, 참석’"/>
        <s v="제출하다, 내놓다(present) + 명사(tion) = ‘발표’"/>
        <s v="강하게(re) 제시하니(present) ‘나타내다, 의미하다’"/>
        <s v="섬기는(serv) 것은 곧 ‘봉사하다, 일하다, 시중들다, 복무하다’"/>
        <s v="섬기다(serv) 자신을(i) 잡아(c) 억제해야하는 ‘봉사, 업무’"/>
        <s v="봉사하는(serve) + 사람(ant) = ‘하인, 종’"/>
        <s v="둥근(o) 눈이 터지라고(b) 섬기니(serve-serv) ‘관찰하다, 관측하다’"/>
        <s v="아래로(de) 섬기는(serve-ser) 서비스를 ‘받을 자격이 있다’"/>
        <s v="앞으로(pre) 미래에 섬기려고(serve) ‘보존하다’"/>
        <s v="다른 사람과 함께(con) 섬기고 일하니(serve) ‘보수적인, 온화한’"/>
        <s v="뒤에(re) 섬기게(serve) ‘떼어 두다, 비축하다’"/>
        <s v="유사시를 대비해 뒤에 따로 떼어놓은(reserve) ‘저수지’"/>
        <s v="부드럽게(s) 자신의(i) 몸을 끓어 아래로(d) 내려가는 ‘측면’"/>
        <s v="아래쪽(sub) 측면에(sid-side) 위치하고 보고서, 일지(diary)를 매일 적어 제출해야 하는 ‘자회사, 보조’"/>
        <s v="다시(re) 찾는 면을(side) 가지고 있으니 ‘살다, 거주하다’"/>
        <s v="거주하는(reside) + 명사(ence) = ‘주택, 주거, 거주’"/>
        <s v="시작하기에 앞서(pre) 한 면을(side) 차지하니 ‘사회를 보다’"/>
        <s v="나라, 국가, 의회를 대표해서 사회를 보는 (preside) 사람이니 ‘대통령, 의장, 회장’"/>
        <s v="함께(con) 모든 면들을(side) 다 생각하니 ‘고려하다’"/>
        <s v="여러가지를 고려하는(consider) 비율이(rate) 높다는 것은 ‘이해심이 많은’"/>
        <s v="고려(consider) 할 만한(able) 정도이니 ‘상당한’"/>
        <s v="같이(sim) 길게(l) 늘여져서 하나(a)처럼 보이니 ‘유사한, 비슷한’"/>
        <s v="분리(dis)시키다 유사한(similar) 성질을 즉, ‘같지 않은’"/>
        <s v="같이(sim) 길게(l) 나아가니(t) ‘동시의’"/>
        <s v="같게(simul-simil) 행동하니 ‘흉내내다’"/>
        <s v="같은(sim) 것이 폭하고(p) 튀어나와 술술(l) 잘 풀리니 ‘간단한, 쉬운, 용이한’"/>
        <s v="같은(as) 것들을 조립하니(sembl) ‘조립하다, 모이다’"/>
        <s v="모이는 것이(assemble) 확장되었으니(y) ‘모임, 집합, 집회’"/>
        <s v="분리하다(dis) 조립한 것을(assemble) 즉, ‘분해하다’"/>
        <s v="부모가 유전자를 다시(re) 조립하니(semble) ‘닮다’"/>
        <s v="사회(soc) + 형용사(al) = ‘사회의, 사회에 관한’"/>
        <s v="사회(soci)에서 살아갈 능력이 있으니(able) ‘사교적인, 붙임성 있는’"/>
        <s v="사회가(soci) 서고(t) 확장(y)된 ‘사회’"/>
        <s v="같은(as) 성향끼리 사회의(soci) 일원으로 간주 하여 밥을 먹었으니(ate) ‘동료로 참가시키다, 연합시키다’"/>
        <s v="풀어서(solv) 입구(e)로 나왔으니 ‘풀다, 해명하다, 해결하다’"/>
        <s v="풀다(solv) + 형용사(ent) = 안에 들어가 다 풀어지는 ‘용매 능력이 있는’"/>
        <s v="풀다(solute-solv) + 명사(ion) = ‘해답’"/>
        <s v="덩어리로 되어 있는 것을 분리(dis)시켜 풀리게 하니(solve) ‘용해시키다, 분리시키다’"/>
        <s v="이탈(ab)시키고 풀어버리니(solv) ‘면제하다, 풀어주다’"/>
        <s v="다 터뜨려서(ab) 풀어버리니(solute-solv) ‘완전무결한, 절대의, 절대적인’"/>
        <s v="힘있게(re) 문제되는 부분들을 다 풀어내고 (solve) 문제가 해소되도록 ‘결심하다’"/>
        <s v="느끼는(sens) 것이 통로로 나오면 ‘감각, 느낌, 지각’"/>
        <s v="느끼다(sens) + 형용사(tive) = ‘민감한, 예민한’"/>
        <s v="느끼다(sens) + 가능한(ible-able) = ‘분별이 있는, 이해가 빠른’"/>
        <s v="느끼다(sens) + 형용사(ous) = ‘감각에 호소하는, 감각적인’"/>
        <s v="느끼게 하고(sent-sens) 마음에(mental) 일어 나게 하니 ‘감상적인, 정에 약한’"/>
        <s v="느낌(sent)을 안에(en) 담은 ‘문장, 판결하다’"/>
        <s v="같이(as) 느끼니(sent) ‘동의하다’"/>
        <s v="함께(con) 느끼니(sent) ‘동의하다’"/>
        <s v="함께 동의해(consent) 부드럽게(s) 우리(us)를 만드니 ‘일치, 합의, 대다수의 의견’"/>
        <s v="분리(dis)된 느낌(sent-sens)이니 ‘의견을 달리하다’"/>
        <s v="다시(re) 느끼게(sent) 되면 ‘원망하다, 분개하다’"/>
        <s v="보이지 않는(s) 안에(i) 깊숙이(g) 있는 것을 새롭게(n) 기호로 나타내는 ‘표시, 기호’"/>
        <s v="표시하여(sign) 모두가(al-all) 알 수 있도록 해주는 ‘신호’"/>
        <s v="표시하여(sign) 만들어 주는 것은 ‘서명, 사인’"/>
        <s v="표시를(sign) 만들어(fic) 내니 ‘주목할 만한, 중요한’"/>
        <s v="반대(in) + 중요한(significant) = ‘중요하지 않은’"/>
        <s v="머리에서 아래로(de) 빼내서 표시하니(sign) ‘구상하다, 계획하다, 설계하다’"/>
        <s v="구상해서(design) 접촉하니(t) ‘지명하다’"/>
        <s v="한 사람 한 사람(a)에게 사인(sign)해서 ‘할당하다’"/>
        <s v="다시(re) 사인(sign)을 하니 ‘사직하다’"/>
        <s v="서고(t)또 서서(st) 겪어야 하는 ‘시험’"/>
        <s v="계속 더해가는(a) 테스트(test)를 통해 ‘증명하다, 입증하다’"/>
        <s v="법정에서 진실인지 시험, 테스트(test) 받고 잘못하면 벌금도(money) 내야하는 ‘선서 증언’"/>
        <s v="함께(con) 누가 더 나은지 시험(test)하기 위해 하는 ‘경쟁, 시합’"/>
        <s v="앞으로(pro) 나아가 시험(test)해 봐야 한다고 하는 ‘항의, 이의’"/>
        <s v="수준이 아주 저하(de)된 것을 시험(test)을 해보고 ‘혐오하다’"/>
        <s v="세워서(st) 더하니(and) ‘서다, 서있다, 세워져 있다’"/>
        <s v="서(stand) 있는 규범이 힘있게 아래로(rd) 내려가 만든 ‘표준, 기준’"/>
        <s v="서서(stand) 가만히 있으니(stil) ‘정지, 멈춤’"/>
        <s v="서서(stand) 바라 보는 시점(point)이니 ‘관점’"/>
        <s v="다른 사람 입장 아래(under)에 서 있으면(stand) ‘이해하다, 알아듣다’"/>
        <s v="잘못된(mis) 방향으로 이해하니(understand) ‘오해하다’"/>
        <s v="지지않고 함께(with) 서 있으니(stand) ‘견디다’"/>
        <s v="없는데도(not) 견디는 중이니(withstanding) ‘그럼에도 불구하고’"/>
        <s v="밖으로(out) 두드러지게 서있는 중(standing)이니 ‘눈에 띄는, 우수한’"/>
        <s v="딱 서서(st) 아래로(d) 뿌리를 확장(y)하니 ‘확고한’"/>
        <s v="둘러싸고(circum) 있는 장소(stance)이니 주위 ‘환경’"/>
        <s v="아래(sub) 쪽에 위치(stance)하고 있으니 ‘본질 적인 것, 핵심, 요지’"/>
        <s v="본질, 핵심(substance) + 형용사(fial) = ‘실제적인, 상당한’"/>
        <s v="부정(un) + 실제적인(substantial) = ‘비현실적인’"/>
        <s v="안에(in) 서 있는(stance-stand) ‘보기, 예’"/>
        <s v="안(in)에 들어가 서자(stan-stand) 마자 일이 벌어지니 ‘순간, 즉시’"/>
        <s v="분리(dis)되어 서(stan-stand) 있으니 ‘떨어진’"/>
        <s v="세월과 함께(con) 서(stan-stand) 있으니 ‘불변의, 일정한’"/>
        <s v="서서(st) 한 지점에(at) 계속(on) 존재하는 ‘역, 정거장’"/>
        <s v="정거장(station) 같이 자리를 잡고 있어 힘을(r)줘도 ‘움직이지 않는’"/>
        <s v="서(st) 있고 입구, 통로(e)가 되는 국경이 있는 ‘나라, 국가, 상태, 모양’"/>
        <s v="서 있는데(st) 한 지점(at) 아래쪽에(u) 굳건히 바닥을 세운 ‘동상, 조각상’"/>
        <s v="입구(e)를 통해 가지고 들어와 뭔가를 막 쌓아 놓은 상태(state)로 나타나는 ‘재산’"/>
        <s v="서(st) 있을 수(able) 있으니 ‘안정된’"/>
        <s v="반대(in) + 안정됨(stability)= ‘불안정’"/>
        <s v="입구(e)도 만들고 안정(stable)되게 서 있게 건물을 ‘설립하다’"/>
        <s v="서 있는(st) 오랫동안의(age) 시간이니 ‘단계, 국면, 시대’"/>
        <s v="앞서(pre) 무대에(stige-stage) 서니 ‘명성이 있는, 유명한’"/>
        <s v="서서(sta-st) 길게(l) 확장(k)하는 ‘줄기’"/>
        <s v="서 있는데(sta-st) 가볍게(ff) 사용할 수 있는 ‘막대기, 지팡이, 직원, 사원’"/>
        <s v="서(st) 있던 것처럼 도드라지게 보이고 안쪽까지(in) 스며들어 있는 ‘얼룩’"/>
        <s v="서서(st) 힘있게(r) 나아가니(t) ‘출발하다, 시작하다’"/>
        <s v="시작(start)하자 마자 정신이 풀어지게(l) 하니 ‘깜짝 놀라게 하다’"/>
        <s v="서(sta) 있는 큰(m) 안에(in) 있는 에너지는 ‘체력’"/>
        <s v="우뚝 서(sta) 있고 들어가 보면 아래로(d) 내려 가 서 아래쪽(u)에서 움직이면서(m) 경기하게 되어있는 ‘경기장’"/>
        <s v="멈추어 서서(sta) 기간을 확장(y)하여 ‘머무르다’"/>
        <s v="딱 세워서(sta-st) 크게(m) 폭하고(p) 찍어 주는 ‘도장’, 도장처럼 봉투에 표시하는 ‘우표’"/>
        <s v="구조물을 세워(st) 놓았다 공중에(air) 올라가려고 사용하는 ‘계단’"/>
        <s v="서서(st) 단단한 성질이 있고 오랫동안(ee) 길게(l) 잘 견디는 ‘강철’"/>
        <s v="서서(st) 크게(m) 움직여 자라 나가는 ‘줄기’"/>
        <s v="줄기(stem)처럼 더하여(a) 죽 나가는 ‘수증기’"/>
        <s v="시스템, 체계(system) + 형용사(fic) = ‘체계적인, 조직적인’"/>
        <s v="서서(st) 앞으로 폭(p)하고 튀어나가니 ‘걷다, 걸음을 옮기다, 걸음’"/>
        <s v="떡하니 서 있는(st) 하나의(one) ‘돌’"/>
        <s v="돌에(st-stone) 맞아 아래쪽으로(u) 눕도록 ‘기절시키다’"/>
        <s v="하나의(a) 돌처럼(stone) 만들었으니 ‘놀라게 하다’"/>
        <s v="물건을 세워 놓고(sto) 힘있게(r) 파는 ‘가게, 상점, 비축하다, 저장하다’"/>
        <s v="가게(store)에 물건을 위로 쌓아가듯이 기승전결 이야기를 쌓아가는(y) ‘이야기’"/>
        <s v="다시(re) 비축하니(store) ‘회복하다’"/>
        <s v="안에(in) 진열대에(stall) ‘설치하다, 설비하다’"/>
        <s v="세워(st) 놓고, 둥글게(oo) 앉는 곳만 만들어 놓은 ‘(등받이가 없는) 의자’"/>
        <s v="세워(st) 잡아서(c) 모아 놓아 부피가 점점 확장된(k) ‘더미’"/>
        <s v="서서(sto) 힘차게(r) 움직여(m) 오는 ‘폭풍’"/>
        <s v="세워(st) 놓은 것이고 갈라진 틈(v)에서 열기가 나오는 ‘난로’"/>
        <s v="서게(st) 폭하는(p) 힘으로 ‘멈추다’"/>
        <s v="서서(st) 길게(l) 있으니 ‘여전히, 가만히 있는, 고요한’"/>
        <s v="분리(dis)시켜 기체로 만들었다가 다시 정지(still)상태의 액체로 ‘증류하다’"/>
        <s v="하늘에서 아래로(de) 내려오는 서있는(st) 것이니 ‘운명’"/>
        <s v="운명(destine)의 끝이 바로 ‘목적지’"/>
        <s v="같은(as) 한 몸 처럼 서서(sist) ‘도와주다’"/>
        <s v="함께(con) 서 있으니(sist) ‘구성되다’"/>
        <s v="구성(consist)되어 안에 서 있으니(ent) ‘지속되는, 일관된’"/>
        <s v="밖에(ex) + 서 있다(ist-sist) = ‘존재하다’"/>
        <s v="어떤 입장 속에(in) 서 있으니(sist) ‘주장하다’"/>
        <s v="완전하고 철저하게(per-perfect) 서 있으니(sist) 끝까지 ‘주장하다, 고집하다’"/>
        <s v="반대해서(re) 서서(sist) ‘저항하다’"/>
        <s v="저항하다(resist) + 명사(ance) = ‘저항’"/>
        <s v="반대의(ir) + 저항 할 수 있는(resistible) = ‘저항할 수 없는’"/>
        <s v="안에(in) 설치하니(stitute) ‘설치하다, 제정하다, 설립하다, 연구소’"/>
        <s v="함께(con) 설치하니(stitute) ‘구성하다’"/>
        <s v="아래쪽(sub)에 예비로 설치된(stitute) 것을 사용하니 ‘대체하다, 대용품’"/>
        <s v="구조(struct)를 세우는데 더 아래쪽을(u) 힘있게(r) 해야하는 ‘구조, 구성, 구조물’"/>
        <s v="머리 속에서(in) 구조적(struct-structure)으로 생각해 ‘지시하다, 교육하다’"/>
        <s v="반대하는(ob) 것이 앞에 세워지는 구조물 (struct-structure)이니 ‘막다, 방해하다’"/>
        <s v="아래로(de) 부수는 것이 구조(struct)이니 ‘파괴적인’"/>
        <s v="함께(con) 자료들을 가지고 구조를(struct) 만드니 ‘조립하다, 건설하다’"/>
        <s v="밖으로(ex)까지 높이니(alt) ‘높이다, 칭송하다, 찬미하다’"/>
        <s v="높이다, 찬미하다(exalt) + 되어진(ed) = ‘고귀한, 신분이 높은’"/>
        <s v="높이(alf) 권위와 힘을(r) 상징하게 세워 놓은 ‘제단’"/>
        <s v="높은 곳에(alt) 서면(t) 아래가(ud) 내려다 보이는 ‘고도’"/>
        <s v="달라지게(alt) 힘을(er) 가하니 ‘바꾸다, 변경하다’"/>
        <s v="바꾸는(alter) 성질을(nate-nature) 가졌으니 ‘번갈아 일어나다, 교체하다’"/>
        <s v="교체(alternate)가 가능한 ‘대안, 대체의, 양자 택일의’"/>
        <s v="다른(alt) 이를 위한 주의(ism)이니 ‘이타주의’"/>
        <s v="예술(art) 작품을 만드는 사람(an)이니 ‘장인, 기능공’"/>
        <s v="사람이 예술(art)작품을 만들려고(fic) 하니 ‘인공적인, 인조의’"/>
        <s v="멋지게(art) 잡아서(c) 글로 쓴 ‘기사’"/>
        <s v="창조주가 멋지게 만들었는데(art) 힘있게(r) 확장(y)되어 나아가는 ‘동맥’"/>
        <s v="갈라진 틈(v) 안(in)으로 피가 흐르는 ‘정맥’"/>
        <s v="나아가는데(t) 하나의(a) 뭔가가 몸 안에서(i) 부터 길게(l) 나오는 ‘꼬리’"/>
        <s v="제비 꼬리(tail) 같은 긴 양복을 만드는 사람(or)은 ‘재봉사’"/>
        <s v="아래로(de) 내려가 자세히 꼬리(tail) 부분까지 ‘상술하다, 열거하다, 세부, 항목’"/>
        <s v="자르다(cur-cut) + 꼬리(tail) = ‘짧게 줄이다’"/>
        <s v="도매에서 다시(re) 판매를 통해 꼬리(tail) 단계 (마지막 단계)의 판매형태인 ‘소매의’"/>
        <s v="크게 잡아 전체(whole)적으로 한꺼번에 많이 파는(sale) 대규모이니 ‘도매의’"/>
        <s v="위에서 덮는(arch) 지붕과 건물 안(i)과 둘레를 덮는(tect) 벽으로 이루어지도록 ‘건축하다’"/>
        <s v="앞으로(pro) 나아가 덮어주니(tect) ‘보호하다’"/>
        <s v="나아가서(t) 끝까지(end) ‘뻗다, 경향이 있다’"/>
        <s v="하는 경향이 있는데(tend) 힘이(r) 가해져 생긴 ‘경향, 추세, 유행’"/>
        <s v="안에(in) 할려는 경향(tend-trend)이 있으니 ‘할 작정이다, 의도하다’"/>
        <s v="먼저(pre) 거짓으로 무언가를 하려는 경향이(tend) 있으니 ‘인체하다’"/>
        <s v="지정한(at) 장소로 몸을 뻗어(tend) 나가니 ‘출석하다’"/>
        <s v="수업에 출석(attend)하면 있어야 하는 ‘주의, 집중’"/>
        <s v="서로 함께(con) 손을 뻗어(tend) 가지려 하니 ‘경쟁하다, 싸우다’"/>
        <s v="밖(ex)으로 뻗게(tend) 하니 ‘연장하다, 늘리다’"/>
        <s v="연장하다, 늘리다(extend) + 명사(t) = ‘넓이, 크기, 범위, 정도’"/>
        <s v="연장하다, 늘리다(extend) + 명사(sion) = ‘연장, 확대, 확장’"/>
        <s v="연장하다, 늘리다(extend) + 형용사(sive) = ‘광범위한, 광대한’"/>
        <s v="팽팽하게(tense) 당겨진 것(ion)이니 ‘긴장, 팽팽 하게 하기’"/>
        <s v="안을(in) 팽팽하게(tense) 만드니(fy) ‘강화시키다'"/>
        <s v="강화시키다(intensify) + 형용사(ive) = ‘집중적인, 강한’"/>
        <s v="나아가서(t) 둥근(o) 원을 따라 아래쪽으로(u) 세게(r) 돌게 되는 ‘여행, 관광, 투어’"/>
        <s v="여행하는(tour) 사람(ist)이니 ‘관광객’"/>
        <s v="아래로(de) 내려가 돌아서(tour) 가니 ‘우회하다’"/>
        <s v="어떤 물체의 전체(co) 둘레를(tour) 그리니 ‘윤곽, 외형’"/>
        <s v="횃불 머리가 짚과 같은 재료들로 비틀어져(tor) 있고 손으로 잡을 수도(ch) 있는 ‘횃불’"/>
        <s v="몸을 비틀어(tor) 고통스럽게 하니 ‘고문하다, 고문’"/>
        <s v="반대(diS)로 비트니(tort) ‘일그러지게 하다, 뒤틀다’"/>
        <s v="일그러지게 하다(distort) + 명사(ion) = ‘왜곡’"/>
        <s v="이동(tr) 하는데 안(in)에 사람을 태우는 ‘열차, 기차’"/>
        <s v="서서(t) 힘있게(r) 움직여(m) 나가는 ‘시가 전차’"/>
        <s v="이동할(tr)때 기차를 잡아주는(c) 역할을 하는 ‘궤도’"/>
        <s v="이동할(t)때 길게(l) 남기는 ‘자국, 흔적’"/>
        <s v="발자국을(trail) 따라가는 존재(er)이니 ‘트레일러, 추적자, 사냥꾼’"/>
        <s v="이동(t)하며 여행해 가며 갈라진 틈(v)의 계곡도 보고 멀리 멀리(l) 가보니 ‘여행하다’"/>
        <s v="이동(t)을 만드는(fic) ‘교통, 교통흐름’"/>
        <s v="이동(t)하는데 아래(d)세대로 지속적(on)으로 오는 것은 ‘전통’"/>
        <s v="이동(t)하는데 사용하는 ‘쟁반, 접시’"/>
        <s v="아군의 존재(be)를 접시(tray)에 담아서 배달하듯이 적군에게 넘기니 ‘배반하다’"/>
        <s v="끌고(trac) 확장(k)해 생긴 ‘자국, 통로, 오솔길’"/>
        <s v="끌고(trac) 지나간 자리이니 ‘발자국, 자취, 추적하다’"/>
        <s v="잡아끄는(tract) + 사람(or) = ‘트랙터, 끄는 것’"/>
        <s v="어떤 대상을 정확히 찍어서(at) 끌어당기니 (tract) ‘유혹하다, 유인하다’"/>
        <s v="밖(ex)으로 잡아 당기니(tract) ‘빼내다, 끌어내다’"/>
        <s v="아래로(sub) 잡아끄니(tract) ‘빼다’"/>
        <s v="서로 함께(con) 자기에게 유리한 조건을 가져가 려고 끌어 당기는(tract) 것이니 ‘계약하다, 계약’"/>
        <s v="현실에서 떨어져(abs) 나오도록 끌어당기니(tact) ‘추상적인’"/>
        <s v="붙어 있던 것을 분리(dis)시켜서 끌어 당겨(tract) 분산시키니 ‘주의를 빼앗다, 산만하게 하다’"/>
        <s v="주의를 빼앗다(distract) + 명사(ion) = ‘기분전환, 주의 산만’"/>
        <s v="옮기는(trans)것이 형태(form)이니 ‘변형시키다’"/>
        <s v="옮겨서(trans) 다른 곳으로 나르니(fer) ‘이동시 키다, 바꿔 타다’"/>
        <s v="해외로 옮기기(trans) 위해 항구로(port) 가져 가니 ‘수송하다, 옮기다’"/>
        <s v="옮겨서(trans) 심으니(plant) ‘이식하다, 옮겨 심다’"/>
        <s v="옮길 때(trans) 조금 늦어지는(Iate) 것이니 ‘번역하다’"/>
        <s v="이동해서(trans) 부모가(parent) 되는 것(근원, 바탕)을 보게 하니 ‘투명한, 비쳐 보이는’"/>
        <s v="나아가는데(t) 아래쪽을(u) 향해 아래쪽에서 또 힘있게(r) 새롭게(n) 나오게 하니 ‘회전시키다, 돌리다, 틀다’"/>
        <s v="안에서만(in) 회전하니(tern-turn) ‘인턴으로 근무하다’"/>
        <s v="안에서 회전하다(inter) + 형용사(al) = ‘안의, 내부의’"/>
        <s v="인턴(intern)해야 하는 기간(ship)이니 ‘인턴, 인턴 연수 기간’&#10;* 배를(ship) 타면 일정 기간 항해를 해야하니 기간의 뜻을 가진다"/>
        <s v="입구를(e) 통해 들어가고 나가면 회전(tern-turn)하니 ‘영원의’"/>
        <s v="반대로(re) 회전(turn) 시키니 ‘돌아가다, 되돌아가다’"/>
        <s v="세 명이(tri) 둥근(o) 입으로 노래하면 ‘3중주, 3인조’"/>
        <s v="세 개의(tri) 각도(angle)로 이루어져 있는 ‘삼각형’"/>
        <s v="세 개의(tri) 면을 더하니(pl-plus) ‘3중의, 세 겹의’"/>
        <s v="이동해가서(tr) 한 사람(i)으로부터 자손들이 터져(b) 나온 ‘부족’"/>
        <s v="이동해가서(tr) 터트려서(b) 아래쪽에(u) 있는 사람들에게 ‘나누어 주다, 공물, 조공’"/>
        <s v="한 지점(at)을 향해 탓을 나누어 주니(tribute) ‘탓으로 돌리다, 덕분이라고 생각하다’"/>
        <s v="가진 것들을 함께(con) 모아서 나누어 주니(tribute) ‘기부하다’"/>
        <s v="분리(dis)시켜 나누어 주니(tribute) ‘분배하다’"/>
        <s v="분배하다(distribute) + 명사(ion) = ‘분배, 배급, 배급품’"/>
        <s v="잡고(ch) 있던 말이 흩어져(ter) 나가니 ‘재잘거리다’"/>
        <s v="가볍고(f) 빠르고 길게(l) 아부하는 말이 흩어져(tter) 튀어 나가니 ‘아부하다, 아첨하다’"/>
        <s v="빛(g)이 사방으로 흩어지니(tter) ‘반짝이다’"/>
        <s v="부드럽게(sh) 흩어지게(tter) 하니 ‘분쇄하다, 산산이 부서지다’"/>
        <s v="부드럽게 잡는 표면(sc)에 흩어지게(tter) ‘뿌리다’"/>
        <s v="풀어져서(l) 흩어져(tter) 있는 것이니 ‘쓰레기’"/>
        <s v="아래쪽(u) 마음에 있는 말이 흩어져(tter) 나가니 ‘입 밖에 내다, 발언하다’"/>
        <s v="움직이는 입(m-mouth)에서 흩어져(tter) 나가는 말이니 ‘투덜거리다’"/>
        <s v="찌르려고(sti) 잡고(c) 있는 것이니 ‘막대기, 찌르다’"/>
        <s v="찌르는데(sti) 아픔이 진행(ing) 중이니 ‘쏘다’"/>
        <s v="나누고(dis) 찔러서(sting) 표시해 ‘구분하다, 구별하다’"/>
        <s v="구별하다(distinguish) + 할 수 있는(able) = ‘구별할 수 있는’"/>
        <s v="구별하다(distinguish) + 형용사(p.p) = ‘구별된, 두드러진’"/>
        <s v="밖으로(ex) 찔러서(sting) 없어지게(s) 만드니 ‘불을 끄다, 소멸시키다’"/>
        <s v="밖(ex)으로 세워(t) 놓았더니 생명력이 없어져(n) ‘멸종한, 사라진’"/>
        <s v="멸종(extinct)하기 전에 먼저 분리하니(dis) ‘구분되는, 뚜렷한’"/>
        <s v="안(in)에 찌르면(stin-sting) 반응하는 ‘본능, 충동’"/>
        <s v="막대기 같은 것을 찔러(sti) 넣어서 힘있게(r) ‘뒤섞다, 휘젓다’"/>
        <s v="찔러서(st) 움직이게(m) 하다 늦어서(late) 뒤쳐진 사람을 즉, ‘자극하다’"/>
        <s v="코를 찌르며(sti) 잉크(ink) 같은 ‘냄새가 나다’"/>
        <s v="입구에서(e) 막대기로(sti) 크기를(m) ‘어림잡다, 평가하다’"/>
        <s v="입구에서(e) 막대기로(ste-sti) 크기를(m) 어림 잡아 ‘큰 사람을 존중하다, 존경하다’"/>
        <s v="바늘로 찔러서(st) 옷감을 실로 잡아두니(catch) ‘바느질하다’"/>
        <s v="서서(st) 힘있게(r) 쭉 뻗으니 ‘곧은, 똑바른, 일직선의’"/>
        <s v="길게 쭉 당기니(stra) 간격이 좁아지는 ‘해협, (특히 경제적인) 궁핍[곤경]’"/>
        <s v="해협을(strate-strait) 건너 싸우러 갈 때는 깊이(g) 세워야 할 ‘전략’"/>
        <s v="길게 쭉 뻗은(stra) 줄로 폭(p) 튀어 나오는 것을 묶는 ‘가죽끈, 혁대’"/>
        <s v="길게 쭉(stra) 안으로(in) ‘잡아당기다’"/>
        <s v="함께(con) 잡아당기니(strain) ‘강요하다, 억제하다’"/>
        <s v="반대로(re) 잡아 당기니(strain) ‘제지하다’"/>
        <s v="길게 쭉 뻗어(stra) 있는데 안에 물, 바람과(w) 같은 것이 통과할 수 있는 ‘빨대, 짚’"/>
        <s v="가로수가 길게 쭉쭉 뻗어(str) 있고 계속(ee) 이어지는 ‘거리’"/>
        <s v="쭉 뻗어나가면서(str) 움직이는(m) ‘시내, 흐름’"/>
        <s v="줄이(stre) 죽 확장(k)해서 나가는 ‘줄무늬’"/>
        <s v="긴 쭉 뻗은(stra-str) 줄 같이 확장(y)되어 여러 갈래로 있으니 ‘길을 잃다, 길을 잃은’"/>
        <s v="길게 죽 뻗어서(stre) 보이지 않을(s) 정도의 길을 보면 느끼는 ‘압박, 긴장, 압력’"/>
        <s v="두개로(di) 늘어나는 스트레스(stress)이니 ‘고통, 괴로움’"/>
        <s v="길게 뻗어(stre) 나가도록 잡아서(ch) 늘이니 ‘펴다, 뻗다’"/>
        <s v="길게 쭉 뻗은(stri) 무늬가 폭폭(p) 튀어나와 있 으니 ‘줄무늬, 스트라이프’"/>
        <s v="길게 쭉(stri) 당겨서 폭하고(p) 찢어지게 하니 ‘벗기다’"/>
        <s v="쭉 뻗어(stri) 나가듯이 발을 뻗쳤다가 아래로(d) 발을 내려 가니 ‘성큼성큼 걷다’"/>
        <s v="줄이나 채찍(stri) 같은 것을 길게 쭉 뻗어가며 확장(k)해 나가 ‘때리다’"/>
        <s v="때리다(strike)의 명사형태로 ‘타격, 일격, 뇌졸중’"/>
        <s v="쭉 뻗쳐서(stri) 잡아(c) 당기니 ‘엄격한, 엄한, 가혹한’"/>
        <s v="아래로 스윽 분리(dis)하여 각각거리(stri-street)별로 나눈 ‘지역, 지구’"/>
        <s v="반대로(re) 팽팽히 당기니(strict) ‘제한하다, 한정하다’"/>
        <s v="접촉해서(tac) 붙는 힘을 확장(k)시켜주는 ‘납작한 못, 압정’"/>
        <s v="한 지점에(at) 접촉(tack-tac)하여 ‘공격하다’"/>
        <s v="한 장소에(at) 접촉시켜(tac) 크게 잡히도록(h)하니 ‘붙이다, 첨부하다’"/>
        <s v="저하시키다(de) + 접촉된 상태(tach) = ‘떼어놓다, 분리시키다’"/>
        <s v="함께(con) 접촉하기(tact) 위해 하는 ‘연락, 접촉’"/>
        <s v="주요한(main) 것을 붙잡아(tain)두니 ‘유지하다’"/>
        <s v="땅들이 서로 함께(con) 잡고있으니(tin-tain) ‘땅들’"/>
        <s v="반대(in) + 만져서 알 수 있는(tangible) = ‘무형의, 만질 수 없는’"/>
        <s v="함께(con) 다 잡아 두니(tain) ‘포함하다, 담고 있다’"/>
        <s v="둥근 곳에(o) 터져(b) 나가지 못하게 잡아 두니(tain) ‘손에 넣다, 획득하다’"/>
        <s v="행동을 저하(de)시키려고 잡아 두는(tain) 것은 ‘감금하다’"/>
        <s v="쎄게(re) 잡아 두니(tain) ‘보유하다, 간직하다’"/>
        <s v="아래쪽(sus)에서 잡아주니(tain) ‘떠받치다, 지하다’"/>
        <s v="어떤 지점(at)을 잡으니(tain) ‘도달하다’"/>
        <s v="터져(ab) 나가지 못하게 잡아두니(tain) ‘삼가하다, 억제하다’"/>
        <s v="안으로 들어오게(enter) 해서 잡아(tain) 두고 ‘즐겁게 하다’"/>
        <s v="함께(con) 붙잡고(tin-tain) 있으니 ‘계속하다’"/>
        <s v="분리(dis) + 계속하다(continue) = ‘그만두다’"/>
        <s v="파트너끼리 서로 접촉(tang) 하면서 추는 ‘탱고’"/>
        <s v="접촉하는데(tang) 긴(l) 줄과 같이 ‘엉키게 하다, 엉킨 것’"/>
        <s v="안(en)에 엉키게 하니(tangle) ‘얽히게 하다, 걸리게 하다’"/>
        <s v="접촉(tang)하는데 + 할 수 있는(ible-able) = ‘만져 알 수 있는’"/>
        <s v="함께(con) 접촉하니(tag-tang) ‘전염의, 감염성의’"/>
        <s v="함께(con) 접촉(tam-tang)한 결과 ‘오염시키다’"/>
        <s v="내가 아래쪽(under)에 있고 위에 있는 것이 땅(ground)이니 ‘지하의’"/>
        <s v="아래쪽에(under) 있는데 위에서 덮어버렸으니(cover) ‘은밀한, 비밀의’"/>
        <s v="아래쪽에(under)에 누워(lie) 있으니 ‘밑에 있는, 기초적인’"/>
        <s v="아래(under)에서 광산(mine)처럼 파니 ‘약화시키다’"/>
        <s v="아래에서(under) 길(way)이 만들어지고 있으니 계획 등이 ‘진행 중인’"/>
        <s v="아래쪽에서(under) 압력을 받으면서도 계속 가니(go) ‘겪다, 경험하다, 견디다’"/>
        <s v="아래에(under) 입는 것이니(wear) ‘속옷’"/>
        <s v="아래쪽(under)에서 일을 잡으니(take) ‘떠맡다’"/>
        <s v="위로(up) 올리는게 등급이니(grade) ‘개선하다, 수준을 올리다’"/>
        <s v="위로(up) 계단을(stairs) 밟고 가면 ‘위층, 위층으로, 2층’"/>
        <s v="위로(up) 큰 파도(surge)이니 ‘파도가 일다, 급증하다’"/>
        <s v="위로(up) 뿌리(root)를 들어올리니 ‘뿌리째 뽑다’"/>
        <s v="서있다(t) 구르니(umble) ‘구르다, 뒹굴다’"/>
        <s v="서있다가(st) 갑자기 구르니(umble) ‘발이 걸리다, 비틀거리다, 더듬거리다’"/>
        <s v="세게(r) 구르니(umble) ‘우르르 소리 내다, 덜커덕거리며 가다’"/>
        <s v="잡고서(c) 우르르 울리는(rumble) 소리가 나게끔 하니 ‘산산조각이 되다, 부서지다’"/>
        <s v="깊숙한(g) 곳에서 구르는(umble) 소리를 내는 것은 ‘불평하다, 투덜거리다’"/>
        <s v="높은(h) 위치의 사람이 구르니(umble) 낮추게 되어 ‘겸손한’"/>
        <s v="하나의(uni) 형태(form)로 입는 ‘유니폼, 제복, 군복, 동일한’"/>
        <s v="동일한(uniform) + 부사(y) = ‘균일하게’"/>
        <s v="단 하나로(uni) 서 있는(t) 개체는 ‘한 사람, 한 개’"/>
        <s v="단 하나로(uni) 확장된 성질(y)이니 ‘단일성, 통일성’"/>
        <s v="하나됨으로(uni) 지속된(on) ‘결합, 합동’"/>
        <s v="하나가(uni) 되어 돌아가는(verse) ‘우주’"/>
        <s v="여러 단과 대학이 하나로(uni) 뭉쳐진 ‘종합대학교’"/>
        <s v="아래쪽에(sub) 길을(way) 만들어 놓고 다니는 ‘지하철’"/>
        <s v="수면 아래쪽(sub) 바다(marine)로 다니는 ‘잠수함’"/>
        <s v="아래쪽(sub)에서 나아가서(t) 풀어져(l) 흐느적거 리며 포착하기 어려우니 ‘미묘한, 교묘한, 섬세한’"/>
        <s v="(의복) 한 벌(suit)처럼 법적 요건을 다 맞춘 ‘소송’"/>
        <s v=" 한 벌(suit)이라고 할 수(able) 있을 정도로 ‘적절한’"/>
        <s v="부정, 반대(un) + 적절한(suitable) = ‘부적당한’"/>
        <s v="한 벌로(suit) 여러 방을 함께 연결한 ‘스위트 룸’"/>
        <s v="법률(law) 소송(suit)이니 ‘소송’"/>
        <s v="철저히(pur-per) 따라가다 고소(suit)를 하려고 하는 ‘추적, 추격’"/>
        <s v="철저히(pur-per) 따라가다 고소(sue-suit)를 하려고 ‘뒤쫓다, 추적하다, 추구하다’"/>
        <s v="힘차게(re) 뛰어 오르듯이(sult) 나온 ‘결과’"/>
        <s v="마치(as) 뛰어 오르듯이(sault-sult) 성벽을 올라가 ‘공격하다, 공격’"/>
        <s v="안에 있는(in) 감정이 뛰어(sult) 오를 정도로 ‘모욕을 주다’"/>
        <s v="온도가 막 뛰어 오르니(sult) ‘찌는 듯한’"/>
        <s v="함께(con) 다 뛰어(sult) 올라와(나서서) ‘조언하다’"/>
        <s v="태양이 가장 높은 위치(sum)에 있는 ‘여름’"/>
        <s v="가장 높은(sum) 그곳(t)은 ‘정상, 최고점’"/>
        <s v="가장 높은 숫자(sum)는 ‘합계’"/>
        <s v="내용을 합하여(sum) 놓은 ‘요약, 개요’"/>
        <s v="요약(summary) + 동사(ize) = ‘요약하다, 간추려 말하다’"/>
        <s v="여러 사람들이 다 함께(con) 취하니(sume) ‘소비하다, 다 써버리다’"/>
        <s v="앞서(pre) 내용을 취하니(sume) ‘상상하다, 추정하다’"/>
        <s v="상상하다(presume) + 할 수 있는(able) = ‘가정할 수 있는’"/>
        <s v="같다고(as) 생각하고 취하니(sume) ‘추측하다’"/>
        <s v="추측하다(assume) + 명사(tion) = ‘추정, 가정’"/>
        <s v="다시(re) 취하니(sume) ‘재개하다, 다시 시작하다’"/>
        <s v="뛰어나게(supre-super) 크니(m) ‘최고의’"/>
        <s v="뛰어난 부분이(super) 얼굴만(fic-face) 그러니 ‘표면의, 외견상의, 피상적인’"/>
        <s v="뛰어난(super) + 비교(or) = ‘더 뛰어난, 상위의, 우위의’"/>
        <s v="뛰어난데(super) 폭발(b)할 정도이니 ‘최고의, 아주 훌륭한’"/>
        <s v="정도를 넘어서서(sur) 튀어(p) 일어서(rise) 나오니 ‘깜짝 놀라게 하다’"/>
        <s v="넘어서 초과(sur)하여 깊은 곳(g)에서 나온 ‘큰 파도’"/>
        <s v="장애물을 넘어서서(sur) 갈라진 틈(v)으로 들어 가서 깊숙히 ‘조사하다’"/>
        <s v="장애물을 넘어서서(sur) 베일을(vail) 덮어쓰고 긴 창을(lance) 들고서 ‘감시, 감독’"/>
        <s v="이름(first name)을 넘어서는(sur) 이름이니(name) ‘성’"/>
        <s v="아래쪽을 넘어서서(sur) 만나는 얼굴(face)이니 ‘표면, 외면’"/>
        <s v="초과(sur)하여 더하니(plus) ‘여분, 나머지’"/>
        <s v="뭔가 장애물을 넘어가서(sur) 주니(render) ‘넘겨주다, 버리다, 포기하다’"/>
        <s v="어려움, 장애물을 넘어서서(sur) 입구를(e) 통해 나오니 ‘확실한, 확실하는’"/>
        <s v="안(en)에 있고 둘러싼 것이 확실하게(sure) 하니 ‘보장하다, 확실하게 하다’"/>
        <s v="더하는(a)것이 확신(sure)이니 ‘보증하다’"/>
        <s v="마음 안(in)에 확신을(sure) 심어주는 것이니 ‘보험’"/>
        <s v="이탈(ab)되다 분명한(sure) 것에서 그리고는 저해(d) 되었으니 ‘어리석은, 모순된’"/>
        <s v="듣다(audi) + 할 수 있는(ble) = ‘들리는, 들을 수 있는’"/>
        <s v="심사관들이 참가자의 실력을 들어보는(audi) ‘오디션’"/>
        <s v="들어보는(audi) 장소(orium-arium)이니 ‘관람석, 강당’"/>
        <s v="듣기(audi) 위해서 안(en)에 들어와 있는 ‘청중’"/>
        <s v="기업이 잘 했는지 들어보고(audi) 사람들을 세워(t) 놓기도 하는 ‘감사’"/>
        <s v="비우려고(vac) 단 하나도(a) 없애(n) 버렸으니 ‘공허한, 빈’"/>
        <s v="빈(vac) + 동사(ate) = ‘비우다’"/>
        <s v="비우다(vacate) + 명사(tion) = ‘휴가’"/>
        <s v="특정한 공간을 비우는데(vac) 아래쪽으로(uu) 공기를 움직여(m) 나오게 만들었으니 ‘진공’"/>
        <s v="몸 속에 병균을 비우고(vac) 잡아내는(c) ‘백신접종’"/>
        <s v="입구를(e) 통해 내 보내서 비게(vac) 만드니 ‘피난시키다, 대피시키다’"/>
        <s v="대피시키다 (evacuate) + 명사(ion) = ‘대피, 피난’"/>
        <s v="안으로(in) 가니(vade) ‘침략하다’"/>
        <s v="입구를(e) 통해 가버리니(vade) ‘잘 빠져나가다, 교묘히 피하다’"/>
        <s v="철저히(per) 어떤 지역을 가니(vade) ‘널리 퍼지다, 고루 미치다’"/>
        <s v="갈라진 틈(v)으로 나아가서 없어지니(n) ‘사라지다, 대형 밴, 트럭’"/>
        <s v="사라지는(van) 바람이 입구(e)를 통해 들어오게 하는 ‘바람개비’"/>
        <s v="사라지는(van) 것이 나 자신(i)이니 ‘헛된’"/>
        <s v="사라지는데(van) 쉬(sh) 소리를 내면서 ‘사라지다, 없어지다’"/>
        <s v="사라지는(van) 것을 세우고(t) 확장(v)해 놓은 것이니 ‘허영’"/>
        <s v="먼저(ad) 점수를 더해줘서 사라지니(van) ‘앞서 나가다, 전진하다’"/>
        <s v="전진하여(advance) 나아가서(t) 오랫동안(age) 있으니 ‘유리한 위치’에 서다, ‘유리, 이점’"/>
        <s v="반대(dis) + 이점(advantage) = ‘불이익, 약점’"/>
        <s v="오는데(ven) 아래쪽에(u) 자리 잡는 ‘장소’"/>
        <s v="사람들이 하나로(a) 모이는 장소는(venue) ‘대로’"/>
        <s v="함께(con) 갈라진 틈(v)을 통해 안(en)으로 들어와서 ‘모이다, 회의가 개최되다’"/>
        <s v="모이다(convene) + 명사(tion) = ‘집회, 회의, 협의회’"/>
        <s v="예전부터 함께(con) 사람들이 나와서(vent) 모이는 곳이니 ‘전통적인’"/>
        <s v="함께(con) 이것 저것 다 갈라진 틈(v) 안에(en) 넣어 놓으니 ‘편리한’"/>
        <s v="그(so) 장소를(ven-venue) 기억나게 하는 물품이니 ‘기념품’"/>
        <s v="다시(re) 어떤 장소로(venue) 가서 돈을 모으니 ‘수익’"/>
        <s v="다시(re) 갚아준다 갈라진 틈(v) 안으로(en) 파고들어 깊숙하게(g) 하는 ‘복수’"/>
        <s v="상호간에(inter) 갈라진 틈(v) 안으로(en) ‘끼어들다’"/>
        <s v="갈라진 틈(v) 안으로(en) 나오는 ‘구멍, 통풍구’"/>
        <s v="통풍구를(vent) 통해 길게(l) 냄새를 빼는 ‘환기, 통풍’"/>
        <s v="나오는데(vent) 아래쪽에서(u) 힘차게(r) 하는 ‘벤쳐, 모험’"/>
        <s v="더하는게(ad) 모험적(venture) 시도이니 ‘모험, 모험심’"/>
        <s v="안(in)에 있던 아이디어가 나오게(vent) 되니 ‘발명하다’"/>
        <s v="앞서(pre) 나와(vent) ‘막다, 예방하다’"/>
        <s v="막다(prevent) + 명사(ion) = ‘예방’"/>
        <s v="입구를(e) 통해 갈라진 틈(v)인 문을 통해 안으로(en) 들어가 참석하는 ‘행사, 사건, 이벤트’"/>
        <s v="현실에 더하여(ad) 드디어 나오니(vent) ‘도래, 출현’"/>
        <s v="운율을 따라 돌고(vers) 도는 ‘행’"/>
        <s v="인쇄기를 돌려(verse) 계속(on) 나오게 된 ‘판’"/>
        <s v="가던 방향에 더하여(ad) 도니(verse) ‘반대 방향’"/>
        <s v="반대로(adverse) 혼자서(a) 힘을(r) 확장(y)시 키는 사람이니 ‘적수, 적대자’"/>
        <s v="다시(re) 도니(verse) ‘반대의, 거꾸로의’"/>
        <s v="반대로(contr) 도니(vers) ‘논란, 논쟁’"/>
        <s v="함께(con) 서로 대화를 주거니 받거니 하면서 돌리는(verse) ‘대화’"/>
        <s v="둘로(di) 나누어져 도니(verse) ‘다양한’"/>
        <s v="두 갈래로(di) 나누어 전환(vert-vers) 시키니 ‘딴 데로 돌리다, 우회시키다, 전환시키다’"/>
        <s v="하나였다가 둘로(di) 각자 다른 방향으로 돌아(vorce-verse) 나가니 ‘이혼, 이혼하다’"/>
        <s v="방향을 더해서(a) 전환(ver) 시키니 ‘돌리다, 비키다, 외면하다’"/>
        <s v="더하여(ad) 사람들의 시선과 생각을 전환시니(ver) ‘광고하다, 선전하다’"/>
        <s v="함께(con) 다 전환하니(vert) ‘전환하다’"/>
        <s v="전환하다(convert) + 명사(sion) = ‘변환’"/>
        <s v="전환(vert) 시켜서 (i) 처럼 만드니 ‘수직의’"/>
        <s v="생각이 자꾸 마음 안쪽으로(in) 이동해(tr) 전환 되니(vert) ‘내성적인, 내성적인 사람’"/>
        <s v="생각이 자꾸 마음 바깥으로(ex) 이동해(tr) 전환되니(vert) ‘외향적인’"/>
        <s v="갖가지 영상을 볼(vid) 수 있는 ‘비디오, 영상’"/>
        <s v="앞으로(pro) 미리 봐서(vid) 필요하니 ‘제공하다, 준비하다’"/>
        <s v="제공하다, 준비하다(provide) + 명사(sion) = ‘준비, 대책, 규정, 단서’"/>
        <s v="밖으로(e) 드러나 보이는데(vid) 안에(en) 있는 것을 세웠으니(t) ‘명백한, 분명한’"/>
        <s v="명백한(evident) + 명사(ence) = ‘증거, 근거’"/>
        <s v="보는 것을(vis) 지속적(on)으로 하면 생기는 ‘전망, 비전’"/>
        <s v="보이지 않는 전망(vision)을 보니 ‘환영의, 환상의’"/>
        <s v="보다(vis) + 능력이 있는(ible-able) = ‘눈에 보이는’"/>
        <s v="부정(in) + 눈에 보이는(visible) = ‘눈에 보이지 않는, 띄지 않는’"/>
        <s v="자기 안(en)에서 뭔가를 보니(vision) ‘상상하다, 마음속에 그리다’"/>
        <s v="마음 안(en)에서 뭔가를 바라보며(vy-vis) ‘부러워하다’"/>
        <s v="부러워하다(envy) + 형용사(able) = ‘부러운, 샘나는’"/>
        <s v="아래로(de) 죽 훓어 보고(vis) 나서 ‘고안하다’"/>
        <s v="다시(re) 보니(vis) ‘개정하다, 교정하다’"/>
        <s v="뛰어난(super) 사람이 보니(vis) ‘감독하다’"/>
        <s v="더(ad) 잘 볼(vis) 수 있도록 ‘충고하다’"/>
        <s v="보려고(vis) 그 대상을(it) ‘방문하다’"/>
        <s v="목소리(voc) + 형용사(al) = ‘목소리의, 음성의’"/>
        <s v="하늘에서 불러주다(voc) 네 직업은 뭐라고 즉, ‘천직, 사명’"/>
        <s v="더해서(a) 한다 직업(vocation)에 즉, ‘부업, 소일거리’"/>
        <s v="더하는(ad) 것이 목소리(voc)이니 ‘주장하다, 옹호하다’"/>
        <s v="부르는데(voc) 나(i) 자신이 낼 수 있는 ‘목소리, 음성’"/>
        <s v="서류 안(in)으로 주문하는 소리(voice)를 담아서 보내는 ‘송장, 청구서’"/>
        <s v="입구(e)에 소리쳐서(voke-vod) ‘불러내다, 환기시키다’"/>
        <s v="함께(con)하기 위해 소리쳐(voke-voc) 사람들을 ‘불러모으다, 소집하다’"/>
        <s v="반대로(re) 소리치니(voke) ‘취소하다, 철회하다’"/>
        <s v="앞으로(pro) 소리쳐서(voke) ‘자극하다’"/>
        <s v="라틴어로 '나는 구른다(volv)라는 의미인 자동차 브랜드 ‘볼보’"/>
        <s v="다시(re) 회전하니(volve) ‘돌다, 회전하다’"/>
        <s v="반대로(re) + 돌다(volve) + 명사(tion) = ‘혁명, 개혁’"/>
        <s v="통로(e)를 통해 나아가 굴러가니(volve) ‘전개 되다, 발전시키다, 진화시키다’"/>
        <s v="안(in)으로 굴러와서(volve-volv) ‘포함시키다’"/>
        <s v="굴러서(volu-volv) 둘둘 말아 크게(m) 두꺼워진 ‘부피, 책, 볼륨’"/>
        <s v="가치가(val) 아래쪽에서(u) 입구를(e) 통해 나오니 ‘가치, 값어치, 유용성, 평가하다’"/>
        <s v="가치(value) + 형용사(able) = ‘값비싼, 가치있 는, 귀중한’"/>
        <s v="반대(in)할 수 없을 정도로 + 가치있는(valuable) = ‘아주 소중한’"/>
        <s v="입을(e) 통해 가치(value)를 말하니 ‘평가하다’"/>
        <s v="같은(equ-equal) 가치(val)의 것이니 ‘동등의 것, 등가’"/>
        <s v="가치가(val) 아래까지(l) 미치니 ‘타당한, 유효한’"/>
        <s v="가치를(val) 현 날짜로(date) 보여주니 ‘증명하다’"/>
        <s v="더하는게(a) 가치(vail-val)이니 ‘쓸모 있다, 유익하다’"/>
        <s v="쓸모(가치) 있다(avail) + 형용사(able) = ‘쓸모 있는, 유효한’"/>
        <s v="반대하다(counter) 가치에(vall-val) 즉, ‘대항하다, 상쇄하다’"/>
        <s v="앞서서(pre) 가치가(vail-val) 인정되니 ‘널리 퍼져 있다, 유행되다, 우세하다’"/>
        <s v="다양함이(vari-vary) 확장(v) 되니 ‘다양하게 하다, 다르게 하다’"/>
        <s v="다양하게 하다(vary) + 명사(tion) = ‘변화’"/>
        <s v="다양하게 하다(vary) + 형용사(ous) = ‘다양한, 잡다한’"/>
        <s v="다양하게 하다(vary) + 할 수 있는(able) = ‘변하기 쉬운, 변덕스러운’"/>
        <s v="반대(in) + 변하기 쉬운(variable) = ‘불변의, 일정한’"/>
        <s v="다양하게 하다(vary) + 성질을 가진(ant) = ‘변종의, 상이한’"/>
        <s v="다양하게 하다(vary) + 명사(ty) = ‘다양성, 변화’"/>
        <s v="정복함이(vid) 확장되어(y) ‘승리, 전승’"/>
        <s v="정복하여(vict-vic) 많이(m) 생긴 ‘희생자’"/>
        <s v="여러 반대의견들을 모두(con) 정복(vic)하여 내린 ‘유죄 판결, 확신’"/>
        <s v="정복(vinc-vic)해서 없앨 수 있으니(n) ‘이길 수 있는, 정복할 수 있는’"/>
        <s v="함께(con) 다 모아 놓고 갈라진 마음 틈(v) 안으로(in) 들어가 잡으니(c) ‘설득하다’"/>
        <s v="생명, 활기(vit)를 주는 보충제는 ‘비타민’"/>
        <s v="생명은(vit) 모두(all)에게 필요하니 ‘생명의, 생명 유지에 필요한’"/>
        <s v="생명의(vital) + 명사(ity) = ‘생명력, 활력’"/>
        <s v="안(in)으로 활력(vit) 있는 시간을 보내자고 ‘초대하다’"/>
        <s v="살아있음을(viv) 느끼니 애(a)하고 ‘환호’를 지른다 "/>
        <s v="살아(viv) 있는 생기가 아래로(d) 좍 흘러내리니 ‘생기에 찬’"/>
        <s v="다시(re) 살아가도록(viv) 모두를 회복시키니 ‘소생, 회복, 재생’"/>
        <s v="난관을 넘어서서(sur) 살아남았으니(viv) ‘살아남음, 생존’"/>
        <s v="물결(w) 모양으로 안으로(in) 들어왔다가 내려 가기도(d) 하는 ‘바람’"/>
        <s v="바람을(wind) 막아주는 방패(shield) 역할의 ‘자동차 앞 유리’"/>
        <s v="바람(win)이 자주 접촉(t)하는 ‘겨울’"/>
        <s v="바람(win)이 물결(w) 움직임으로 들어오는 ‘창문’"/>
        <s v="물결, 바람결(w) 모양으로 진행형(ing)의 동작을 하는 ‘날개’"/>
        <s v="부드럽게(s) 날개(wing)처럼 흔들리는 ‘그네, 흔들다, 흔들리다’"/>
        <s v="바람에 날아가도록(whi) 피부(sk)에서 떨어지도록 ‘탁 털다, 재빨리 움직이다’"/>
        <s v="재빨리 움직이는(whisk) ‘수염’"/>
        <s v="바람에 날아가는(whi) 알코올로 증류한 술이니 ‘위스키’"/>
        <s v="바람이 입에서 나가게(whi) 하고 입술을 잘 세워서(st) 길게(l) ‘휘파람을 불다’"/>
        <s v="바람에 날리듯이(whi) 소리를 부드럽게(s) 폭(p)하게 귀로(er-ear) 들어가게 하니 ‘속삭이다’"/>
        <s v="바람을 가르는(whi) 소리를 내며 폭(p) 하고 튀어 나가는 ‘매, 채찍질’"/>
        <s v="바람때문에(whi) 힘있게(r) 멀리(l)까지 ‘소용돌이치게 하다’"/>
        <s v="부드럽게(s) 소용돌이(wirl-whirl)치니 ‘빙빙 돌다’"/>
        <s v="바람에 날리듯이(wh-whi) 계속(ee) 길게(l) 돌려버리니 ‘회전하다, 원을 그리다, 핸들, 바퀴’"/>
        <s v="환자나, 죄수가 어떤 쪽으로(ward) 가야만 되는 곳이 ‘병동, 감방’"/>
        <s v="어떤 쪽으로(ward) 갈 때 입는 옷(robe)을 보관하는 ‘옷장’"/>
        <s v="앞(for) + 쪽으로(ward) = ‘앞에, 앞쪽에, 전방으로’"/>
        <s v="뒤에 있고 앞서가버린(after) + 쪽으로(ward) = ‘뒤에, 그 뒤’"/>
        <s v="다시(re) 어떤 쪽으로(ward) 가는 ‘보상, 보답’"/>
        <s v="한사람을(a) 정해서 그 사람 쪽으로(ward) 주는 ‘상, 주다, 수여하다’"/>
        <s v="안(in)+ 쪽으로(ward) = ‘안으로, 내부로, 안쪽에’"/>
        <s v="함께(with) 서니(stand) ‘맞서다’"/>
        <s v="함께(with) 잡고(hold) 있으니 ‘억제하다, 보류하다’"/>
        <s v="함께(with) 빼니(draw) ‘철회하다, 인출하다’"/>
        <s v="철회하다(withdraw) + 명사(al) = ‘철회, 철수, 인출’"/>
        <s v="회전시켜(wr) 감을 수 있고 폭(p) 하는 힘으로 마무리하니 ‘싸다, 포장하다’"/>
        <s v="회전시키는(wr) 강한(st-strong) 힘을 가하니 ‘비틀다, 꼬다’"/>
        <s v="비틀기를(wrest) 계속(l) 하는 중이니(ing) ‘레슬링’"/>
        <s v="회전시키려고(wr) 도구 안에(en) 넣고 잡아서(ch) ‘비틀다’"/>
        <s v="구부러지고, 휘어지고, 엉키고(wr) 굽혀(c)지도록 ‘파손, 파괴, 난파 시키다’"/>
        <s v="감정이 물결치듯 휘몰아치며(wr) 자신을 관통(th)하여 분출되는 ‘화, 격노’"/>
        <s v="서로 엉키고(wr) 자기 앵글을(angle) 주장하며 ‘말다툼하다’"/>
        <s v="구부러지고 휘어진(wr) 모양이고 피부에 잉크 (ink)로 길게(l) 그려 놓은 것 같은 ‘주름’"/>
        <s v="구불구불 회전(wi)하고 있으니(ong-ing) ‘나쁜, 옳지 못한, 그릇된’"/>
        <s v="구부러지고, 휘어지고, 회전할(wr) 수도 있고 서(st) 있기도 하는 ‘손목’"/>
        <s v="구부러지고(wr) 때로는 서도록(t) 글자를 ‘쓰다’"/>
        <s v="서로 한명한명(a) 함께 엉키는(wr) ‘전쟁’"/>
        <s v="전쟁(war)때에는 신중한 자세를 더욱 확장(y) 하여서 ‘조심하는, 신중한’"/>
        <s v="전쟁(war)이 가깝다고(n) ‘경고하다’"/>
        <s v="전쟁(war)과 같은 어려운 상황에서도 혼자(an) 서서(t) 지켜주는 ‘보증서’"/>
        <s v="아지랑이가 전쟁(war)의 포화처럼 움직여(m) 올라오니 ‘따뜻한, 온난한’"/>
        <s v="몸을 구부리며(wor) 움직여(m) 가는 ‘벌레’"/>
        <s v="물결(w)처럼 엉켜서 자신(i) 안으로 힘을(r) 가해 엮기도 하는 ‘철조망’"/>
        <s v="전선(wire)이 길게 풀어져 없으니(Iess) ‘무선의’"/>
        <s v="돌고 돌아(wor) 길게(l) 또는 아래로(d) 여행을 다니는 ‘세계’"/>
        <s v="세계(world) + 형용사(y) = ‘세상의, 부속적인’"/>
        <s v="마음이 엉키고(wor) 힘있게(r) 막 확장(y)되는 ‘근심, 걱정’"/>
        <s v="꼬불꼬불(w) 입에서(o) 흘러 내리는(d) ‘말, 낱말’"/>
        <s v="부드럽게(s) 전쟁에서(wor-war) 이리저리 휘두르며 아래로(d) 내려치기도 하는 ‘검, 칼’"/>
        <s v="부드러운(s) 물결, 바람결(w)과 같이 잡아(ch) 켜고 끄는 ‘스위치, 전환, 바꿈’"/>
        <s v="부드럽게(s) 물결(w-water)처럼 움직여 가서 폭(p)하고 내밀어 ‘물물교환하다’"/>
        <s v="부드럽게(s) 물(w-water)에서 내가(i) 움직여(m) 가니 ‘수영하다’"/>
        <s v="부드럽게(s) 물결처럼(w) 흘러(l) 몸속 아래(low) 가도록 ‘삼키다’"/>
        <s v="부드럽게(s) 물결(w) 모양으로 확장(y)해서 ‘이리저리 흔들다’"/>
        <s v="부드럽게(s) 물결(w) 처럼 흐르기도 하고 송글송글 맺혀 서기도(t)하는 ‘땀’"/>
        <s v="침이 부드럽게(s) 물결(w-water)처럼 흘러(ee) 나오는(t) 맛이니 ‘달콤한’"/>
        <s v="부드럽게(s) 물(w-water)에서 홀로(an) 고고하게 떠 있는 ‘백조’"/>
        <s v="백조(swa-swan)의 움직임(m)을 어떤 지점(p)에 묶어 놓는 ‘늪’"/>
        <s v="부드럽게(s) 물결(w)이 길게(l) 길게(l) 계속 흘러 들어와서 팽창하니 ‘부풀다’"/>
        <s v="부드럽게(s) 물결(w)처럼 바닥을 계속(ee) 폭하고(p) ‘쓸다’"/>
        <s v="부드럽게(s) 물결(w)처럼 움직임이 빠르게(f) 나아가니(t) ‘재빠른, 신속한’"/>
        <s v="부드럽게(sw)처럼 말을 해서 상대방 귀(ear)에 들리게 ‘맹세하다’"/>
        <s v="밖으로(ex) 나갈 수 있는 그곳(t)이니 ‘출구’"/>
        <s v="나라 바깥의(ex) 둥근(o) 장소에 서(t) 있으니 ‘이국적인’"/>
        <s v="밖으로(ex) 나가 창조주가 눌러서(qu) 잘 다듬 어서 만든 장소는(site) ‘매우 아름다운, 절묘한’"/>
        <s v="밖으로(ex) 나가 완벽(per)하게 되기 위해서 나 자신(i)이 한 ‘경험, 경험하다’"/>
        <s v="밖(ex)으로 실제적으로 이론을 완전하게(per-perfect) 하려고 시멘트(ment-cement)처럼 혼합해서 한 ‘실험’"/>
        <s v="밖으로(ex) 나가서 칼을 들고 자르니(cut) ‘실행하다’"/>
        <s v="밖으로(ex) 완벽한(per-perfect) 기술을 세워(t) 보여 주는 사람이니 ‘전문가’"/>
        <s v="전문가(expert)가 존재(is)하면 보여주게 되는 ‘전문적 기술’"/>
        <s v="밖으로(ex) 증거를 여러 개(pl-plus)를 잡아서(c) 세워(t) 보이니 ‘명백한, 확고한’"/>
        <s v="밖으로(ex) 여러 일(pl-plus)를 만들어 냈기에 둥근(o) 훈장도 주고 세워(t)주는 것이니 ‘공, 위업’"/>
        <s v="밖(ex)에 누군가를 세우고(t) 입(o) 길게(l)해 ‘칭찬하다, 찬양하다’"/>
        <s v="밖(ex)으로 깊숙한(gg) 것들을 계속해서 힘있게(r) 끄집어내어 세우니(t) ‘과장하다, 허풍치다’"/>
        <s v="과장하다(exaggerate) + 명사(ion) = ‘과장, 허풍’"/>
        <s v="밖으로(ex) 잠재적인(potential) 능력을 표출하여 ‘증가하는, 기하급수적인’"/>
        <s v="밖으로(ex) 파편들이 폭하고(p) 튀어나가 길게(l) 나가니 ‘폭발하다’"/>
        <s v="밖(ex)으로 끄집어 내려고 고문(tort-torture)하여 ‘강탈하다’"/>
        <s v="밖으로(ex) 멀리(l) 보내 버리니 ‘국외추방, 망명’"/>
        <s v="밖으로(ex) 크게(h) 잡아서 끌고 나가 아래(u)쪽 구덩이에 세워(st)두어서 ‘소진시키다’"/>
        <s v="소진시키는(exhaust) 중이니(ing) ‘기진맥진하게 만드는’"/>
        <s v="소진시키는게(exhaust) 다 끝나버렸으니(ed) ‘다 써버린’"/>
        <s v="밖으로(ex) 보내서 그 자리를 비게(empt-empty) 만드니 ‘면제하다’"/>
        <s v="정해진 배역 밖(extra)에 해당하니 ‘추가의, 여분의, 특별한’"/>
        <s v="밖의(extra) + 교과과정의(curricular) = ‘과외의, 정규교과 이외의’"/>
        <s v="바깥(exter-extra) + 형용사(al) = ‘바깥쪽의’"/>
        <s v="밖을(exre-extra) 넘어선 최대치(m-max)이니 ‘극도의, 극한의’"/>
        <s v="극한의(extreme) + 부사(ly) = ‘극단적으로, 대단히’"/>
        <s v="연약한(f) 것을 교차(x)시켜 잘 묶어서 ‘고정시키다’"/>
        <s v="더하여(a) 고정시키니(fix) ‘붙이다, 첨부하다’"/>
        <s v="원래의 것과 같은(sym) 모습으로 터져(b) 길게(l) 나온 ‘상징, 표상, 심볼’"/>
        <s v="그 병에만 걸리면 똑같이(sym) 드러나는(t) ‘증상’"/>
        <s v="같은(sym) 주제로 위치를(position) 잡아서 하는 ‘토론, 좌담회’"/>
        <s v="양쪽으로 같은(sym) 미터(metr-meter)이니 ‘대칭적인, 균형이 잡힌’"/>
        <s v="같이(sym) 느끼는(path) ‘공감, 동정’"/>
        <s v="함께(syrm) 소리(phon)를 내는 ‘교향곡, 심포니’"/>
        <s v="함께(syn) 달려가는(drom) ‘증후군’"/>
        <s v="같은(syn) 시간에 함께 일어나니(chron) ‘동시에 일어나다’"/>
        <s v="함께(syn) 힘을(energy) 내니 ‘상승작용’"/>
        <s v="함께(syn) 논문을(thesis) 쓰니 ‘통합, 종합, 합성’"/>
        <s v="빛(photo)으로 합성(synthesis)하니 ‘광합성’"/>
        <s v="높은(h)곳까지 이르고 사람을 앞을 분명히 못 보게 어지럽게(ze) 만드는 ‘아지랑이, 안개’"/>
        <s v="움직여(m) 가는데 어지러워(ze) 길을 못찾는 ‘미로’"/>
        <s v="더하다(a) + 미로를(maze) + 하는 중(ing) = ‘놀라운, 놀랄만한’"/>
        <s v="깊은(g) 곳에서 나오는 열심을 가지고 눈에 진동(ze)이 일어날 정도로 ‘열심히 바라보다’"/>
        <s v="아래로(d) 쓰러질 정도로 진동이(ze) 일어나게 하니 ‘현혹시키다, 멍하게 하다’"/>
        <s v="아래로(d) 둥근(o) 머리가 자꾸 내려가고 머리 에 진동이(ze) 일어날 정도로 ‘졸다’"/>
        <s v="좍(j)하고 나가는 소리와 진동(zz) 소리를 이용하는 ‘재즈’"/>
        <s v="어디에 놓을지(put)를 몰라 어지럽기(zz)를 오랫동안(l) 하는 ‘퍼즐’"/>
        <s v="부드럽게(s) 시작하다가 점점 더 시간이 지나면 길게 떨리면서(zzle) ‘지글지글 소리나다’"/>
        <s v="아래로(d) 쓰러질 정도로 어지럽게(zz) 빛이 길게(l) 나오니 ‘눈부시게 하다, 현혹시키다’"/>
        <s v="아래로(d) 어지럽게(zz) 길게(l) 내려오는 ‘이슬비, 가랑비’"/>
        <s v="미쳐서 잡아야(c) 한다, 힘을(r) 줘서 안 그러면 이리저리 어지럽게(zy) 날뛰니 ‘미친’"/>
        <s v="자꾸 아래로(d) 쓰러질 것 같고 머리가 진동이(z) 확장되어(y) ‘어지러운’"/>
        <s v="몸을 길게(l) 하고 심지어 어지럽다고(zy) 잠자는 경우까지 생기니 ‘게으른’"/>
        <s v="진동(z)이 접하는(on) 영향을 미치는 ‘영역’"/>
      </sharedItems>
    </cacheField>
    <cacheField name="뜻" numFmtId="0">
      <sharedItems containsNonDate="0" count="2428">
        <s v="공"/>
        <s v="풍선, 기구"/>
        <s v="종, 벨"/>
        <s v="불룩한 배"/>
        <s v="총알"/>
        <s v="둥근 뿌리, 전구"/>
        <s v="큰 규모, 육중한 것"/>
        <s v="바닥, 기초, 기지"/>
        <s v="기초적인, 근본적인"/>
        <s v="지하층, 지하실"/>
        <s v="야구"/>
        <s v="베이스, 저음"/>
        <s v="블라우스"/>
        <s v="부풀다(붓다)"/>
        <s v="불다"/>
        <s v="복어"/>
        <s v="물집"/>
        <s v="흐릿해지다"/>
        <s v="눈이 먼"/>
        <s v="허풍"/>
        <s v="거품"/>
        <s v="싹, 꽃봉오리"/>
        <s v="예산"/>
        <s v="동그랗고 작은 빵"/>
        <s v="다발, (포도 따위의) 송이"/>
        <s v="사다"/>
        <s v="묻어 놓다"/>
        <s v="트림, 트림소리"/>
        <s v="막다, 금지하다, 금지"/>
        <s v="추방하다, 몰아내다"/>
        <s v="묶다, 반창고, 띠, 무리"/>
        <s v="노상강도"/>
        <s v="남편"/>
        <s v="포기하다, 버리다"/>
        <s v="붕대"/>
        <s v="묶다"/>
        <s v="결속, 유대, 접찹제"/>
        <s v="한계, 경계"/>
        <s v="국경, 경계"/>
        <s v="다발, 꾸러미"/>
        <s v="가로막다, 빗장, 막대기"/>
        <s v="바텐더"/>
        <s v="흥정, 거래"/>
        <s v="헛간"/>
        <s v="불룩한 통"/>
        <s v="장애물, 울타리"/>
        <s v="방책, 장벽, 바리케이드"/>
        <s v="당황하게 하다"/>
        <s v="통상금지"/>
        <s v="불임, 불모의, 척박한"/>
        <s v="때리다, (공을) 치다"/>
        <s v="전투, 싸움"/>
        <s v="약하게 하다, 줄이다"/>
        <s v="감소시키다, 줄이다, 완화하다"/>
        <s v="논쟁하다, 토론하다"/>
        <s v="때리다, 이기다"/>
        <s v="자전거"/>
        <s v="편견"/>
        <s v="알리바이, 변명"/>
        <s v="2개 국어를 말하는"/>
        <s v="쌍안경"/>
        <s v="양분하다, 이등분하다"/>
        <s v="생물학"/>
        <s v="항생 물질, 항생제"/>
        <s v="전기, 일대기"/>
        <s v="꽃이 피다"/>
        <s v="검은, 검은색"/>
        <s v="비어있는, 백지의, 빈칸"/>
        <s v="담요"/>
        <s v="표백하다, 희게하다"/>
        <s v="칼날, 날"/>
        <s v="피를 흘리다"/>
        <s v="불타다"/>
        <s v="불길에 휩싸인"/>
        <s v="심한 눈보라, 폭설"/>
        <s v="축복하다"/>
        <s v="폭발하다, 폭파"/>
        <s v="(파도가) 거세게 몰아치다, 고함치다"/>
        <s v="폭발하다, 폭발"/>
        <s v="크게 울려 퍼지다"/>
        <s v="금발"/>
        <s v="깨뜨리다, 부수다"/>
        <s v="아침식사"/>
        <s v="파손, 손상"/>
        <s v="(문제 해결의) 돌파구"/>
        <s v="중매인, 중개인"/>
        <s v="(통에 구멍내는) 송곳"/>
        <s v="터진 구멍, 위반, 침해"/>
        <s v="벽돌"/>
        <s v="활발한, 기운찬"/>
        <s v="깨지기 쉬운, 부서지기 쉬운"/>
        <s v="연탄, 조개탄"/>
        <s v="넓은"/>
        <s v="널판지, 판자"/>
        <s v="승선하여, (배, 비행기 등을) 타고"/>
        <s v="너비, 폭, 폭넓음"/>
        <s v="호흡"/>
        <s v="끓이다"/>
        <s v="굽다"/>
        <s v="간단한, 잠시 동안의"/>
        <s v="단축하다, 생략하다"/>
        <s v="해외로, 외국에(으로)"/>
        <s v="할 수 있는, 능력 있는, 유능한"/>
        <s v="능력, 역량"/>
        <s v="가능[용이]하게 하다"/>
        <s v="없애다, 폐지하다"/>
        <s v="이상한, 보통과 다른"/>
        <s v="낙태하다, 유산시키다"/>
        <s v="남용하다"/>
        <s v="터무니 없는, 우수꽝스러운, 불합리한"/>
        <s v="빨아들이다, 흡수하다"/>
        <s v="완전한, 절대적인"/>
        <s v="풀어주다, 사면하다, (죄를) 용서하다"/>
        <s v="부재의, 결석의, 없는"/>
        <s v="갑잡스러운, 뜻밖의"/>
        <s v="원, 원둘레"/>
        <s v="둘러싸다, 에워싸다"/>
        <s v="순환하다"/>
        <s v="서커스"/>
        <s v="(주변의) 상황, 환경"/>
        <s v="순환, 반복, 주기"/>
        <s v="재활용하다"/>
        <s v="큰 회오리 바람, 대폭풍"/>
        <s v="택시, 마차"/>
        <s v="오두박집, 통나무집"/>
        <s v="수납장, 장식 선반"/>
        <s v="오두막집, (해변 등의) 간이 탈의실"/>
        <s v="입체의, 정육면체의"/>
        <s v="(큰 방 한 쪽을 칸막이 해 만든) 좁은 방"/>
        <s v="통, 용기, 관"/>
        <s v="(대나무﹒사탕수수 등의) 줄기, 지팡이"/>
        <s v="사탕"/>
        <s v="대포"/>
        <s v="협곡"/>
        <s v="운하"/>
        <s v="해협, 수로, 경로, 루트"/>
        <s v="모자"/>
        <s v="작은 통, 캡슐"/>
        <s v="수용 인원, 수용력"/>
        <s v="널찍한, 큼직한"/>
        <s v="유능한, 할 수 있는"/>
        <s v="대장, 선장"/>
        <s v="수도, 대문자, 자본"/>
        <s v="망토"/>
        <s v="달아나다, 도망가다"/>
        <s v="조건, 장애"/>
        <s v="뒤집히다"/>
        <s v="붙잡다, 포획하다"/>
        <s v="포로, 인질"/>
        <s v="표제, 제목"/>
        <s v="격언, 계율, 교훈"/>
        <s v="개념"/>
        <s v="오해, 착각"/>
        <s v="민감한, 예민한"/>
        <s v="받아들이다, 승낙하다"/>
        <s v="수령, 응접, 접수, 환영(회)"/>
        <s v="(호텔•사무실• 병원 등의) 접수 담당자"/>
        <s v="영수증"/>
        <s v="제외하는 바는~"/>
        <s v="제외, 예외"/>
        <s v="예외적인, 매우 뛰어난"/>
        <s v="발췌, 인용구"/>
        <s v="속임수, 기만"/>
        <s v="가로채다"/>
        <s v="조리법"/>
        <s v="예상하다, 기대하다"/>
        <s v="제자, 문하생"/>
        <s v="훈련, 훈육, 규율, 학과목"/>
        <s v="재촉하다, 촉진시키다"/>
        <s v="교장"/>
        <s v="상호의, 서로의"/>
        <s v="원칙, 법칙"/>
        <s v="참여하다, 참가하다"/>
        <s v="차지하다, 점유하다"/>
        <s v="먼저 점유하다, 선취하다, 마음을 빼앗다, 몰두하게 하다"/>
        <s v="몰두한, 열중한, 정신이 팔린"/>
        <s v="차, 마차, 자동차"/>
        <s v="화물"/>
        <s v="목수"/>
        <s v="손수레"/>
        <s v="(운송용) 판지 상자, 종이 상자"/>
        <s v="운반하다, 가지고[들고] 가다"/>
        <s v="운송인, 수송[운송] 회사"/>
        <s v="마차, (기차의) 객차, 운송, 수송"/>
        <s v="경력"/>
        <s v="비범한 통솔력"/>
        <s v="조각하다"/>
        <s v="채우다, 충전하다, (책임을) 지우다"/>
        <s v="짐을 내리다, 방출하다, 퇴원하다, 해고하다"/>
        <s v="곡선"/>
        <s v="(형태가) 곱슬곱슬한 머리카락"/>
        <s v="현재의, 통용되는(유통되고 있는), 흐름"/>
        <s v="통화, 통용"/>
        <s v="동시 발생의, 공존하는"/>
        <s v="진로, 방향, 과정"/>
        <s v="초래하다"/>
        <s v="침입, 급습"/>
        <s v="(일이) 일어나다, 생기다"/>
        <s v="다시 일어나다, 되풀이 되다"/>
        <s v="억제[제한]하다"/>
        <s v="통행금지령, 통행금지 시간, 귀가 시간"/>
        <s v="커튼, 휘장"/>
        <s v="나들이, 소풍, 견학"/>
        <s v="동의하다, 의견이 일치하다"/>
        <s v="돌보다, 마음 [신경]을 쓰다, 주의, 걱정, 관심"/>
        <s v="주의 깊은, 조심스러운, 세심한"/>
        <s v="부주의한, 신중하지 않은"/>
        <s v="위태로운, 불완전한"/>
        <s v="기부, 자선, 구호"/>
        <s v="소중히 여기다"/>
        <s v="어린 아이의"/>
        <s v="치료, 의료, 치료법"/>
        <s v="치료의, 치료 효험이 있는"/>
        <s v="사람, 전시 기획자, (박물관 등의) 관리자"/>
        <s v="(손톱에) 매니큐어를 하다, 다듬다"/>
        <s v="안전한, 안전하게 하다"/>
        <s v="불안한, 자신이 없는"/>
        <s v="구조하다, 구출하다"/>
        <s v="애매한, 분명하지 않은"/>
        <s v="정확한, 정밀한"/>
        <s v="부정확한"/>
        <s v="근거, 이유, 원인"/>
        <s v="주의, 조심, 경계"/>
        <s v="조심스러운, 신중한"/>
        <s v="예방조치, 사전대책"/>
        <s v="변명하다, 변명, 핑계"/>
        <s v="고발하다, 비난하다"/>
        <s v="덮다, 가리다, 보호하다"/>
        <s v="(보험의) 보호, 보상 범위"/>
        <s v="발견하다"/>
        <s v="회복하다, 되찾다"/>
        <s v="성공하다"/>
        <s v="성공"/>
        <s v="연속하는"/>
        <s v="나아가다, 진행하다"/>
        <s v="(일련의) 과정, 공정"/>
        <s v="절차"/>
        <s v="선행하다"/>
        <s v="초과하다, 능가하다, 넘어서다"/>
        <s v="초과"/>
        <s v="지나 친, 과도한"/>
        <s v="물러나다[가다], 철회하다"/>
        <s v="휴회, 휴식시간"/>
        <s v="경기 후퇴, 불경기"/>
        <s v="선행하는, 선조"/>
        <s v="선조, 조상"/>
        <s v="접근, 가까이 다가감"/>
        <s v="접근할 수 있는, 이용 가능한"/>
        <s v="접근하기 어려운"/>
        <s v="부속물, 액세서리"/>
        <s v="필요한"/>
        <s v="필요로 하다"/>
        <s v="전임자, 선배"/>
        <s v="끝내다, 중지하다"/>
        <s v="중단없는, 끊임없는"/>
        <s v="사망하다"/>
        <s v="우연한 일, 사고"/>
        <s v="우발적인, 뜻하지 않은"/>
        <s v="사건, 사고"/>
        <s v="부수적으로 일어나는"/>
        <s v="받다, 수령하다"/>
        <s v="인지하다, 이해하다"/>
        <s v="임신하다, 상상하다"/>
        <s v="속이다"/>
        <s v="기만하는, 속이는"/>
        <s v="독방, 작은 방, 세포"/>
        <s v="지하 저장실"/>
        <s v="감추다"/>
        <s v="천장"/>
        <s v="하늘의, 천체의"/>
        <s v="축하하다, 기념하다"/>
        <s v="유명인사"/>
        <s v="뛰어나다, 능가하다"/>
        <s v="뛰어난, 우수한"/>
        <s v="가속하다"/>
        <s v="1센트 동전"/>
        <s v="센티미터"/>
        <s v="100년, 1세기"/>
        <s v="무죄의, 순수한"/>
        <s v="순수, 결백"/>
        <s v="좋은, 알맞은"/>
        <s v="우두머리"/>
        <s v="주방장"/>
        <s v="해악, 못된 짓"/>
        <s v="성취하다, 이루다"/>
        <s v="소품, 손수건"/>
        <s v="결정하다"/>
        <s v="명확한, 분명한"/>
        <s v="결정적인, 결단력 있는"/>
        <s v="자살"/>
        <s v="살충, 살충제"/>
        <s v="농약"/>
        <s v="가위"/>
        <s v="간결한"/>
        <s v="정확한"/>
        <s v="운동, 연습"/>
        <s v="인용하다, 예로 들다."/>
        <s v="암송, 독주회"/>
        <s v="자극하다, 격려하다"/>
        <s v="흥분시키다"/>
        <s v="진흙, 점토"/>
        <s v="씨족, 한패"/>
        <s v="갈고리 발톱"/>
        <s v="충돌"/>
        <s v="충돌하다, 때려부수다"/>
        <s v="청결한, 깨끗한"/>
        <s v="청결하게 하다"/>
        <s v="명백히 하다"/>
        <s v="표명하다, 발표하다"/>
        <s v="발표, 선언"/>
        <s v="클립"/>
        <s v="매달리다"/>
        <s v="꽉 잡다, 붙들다"/>
        <s v="진료소, 클리닉"/>
        <s v="고객"/>
        <s v="단단히 고정시키다"/>
        <s v="마음이 기울다, 경향[성향]이 있다"/>
        <s v="~할 생각이 있는, 경향이 있는"/>
        <s v="거절하다, 감소하다"/>
        <s v="가까이, 닫다"/>
        <s v="벽장, 찬장"/>
        <s v="폭로하다, 들추어내다"/>
        <s v="둘러쌈, 포위"/>
        <s v="포함하다"/>
        <s v="결론 내리다, 끝내다"/>
        <s v="결정적인"/>
        <s v="못하게 하다"/>
        <s v="제외시키다"/>
        <s v="추방, 제외"/>
        <s v="배타적인"/>
        <s v="배타적으로"/>
        <s v="외딴, 한적한"/>
        <s v="구름"/>
        <s v="문화"/>
        <s v="개간하다, 경작하다"/>
        <s v="농업"/>
        <s v="남녀공학"/>
        <s v="코치, 지도하다"/>
        <s v="대학"/>
        <s v="동료, 협력자"/>
        <s v="사촌"/>
        <s v="결합하다"/>
        <s v="일관성이 있는"/>
        <s v="일관성이 없는, 앞뒤가 안 맞는 말을 하는"/>
        <s v="화합, 결합"/>
        <s v="신호법, 암호, 코드"/>
        <s v="법전으로 편찬하다"/>
        <s v="돌돌감다, 코일"/>
        <s v="탐내다, 갈망하다"/>
        <s v="공통의, 보통의, 흔한"/>
        <s v="의사소통하다"/>
        <s v="공동체, 지역사회"/>
        <s v="회사"/>
        <s v="컴퓨터"/>
        <s v="결합시키다"/>
        <s v="시작하다, 개시하다"/>
        <s v="경쟁하다"/>
        <s v="상업, 통상, 무역"/>
        <s v="비교하다"/>
        <s v="보상하다, 변상하다"/>
        <s v="일용품, 필수품"/>
        <s v="콘서트, 음악회"/>
        <s v="관계하다, 걱정, 관심"/>
        <s v="통제하다, 지배하다, 감독하다"/>
        <s v="콘크리트, 구체적인"/>
        <s v="내용물, 만족하는"/>
        <s v="합병하다"/>
        <s v="중심, 핵심"/>
        <s v="진심에서 우러나는"/>
        <s v="진심으로"/>
        <s v="용기"/>
        <s v="격려하다"/>
        <s v="용기를 잃게 하다, 낙담시키다"/>
        <s v="줄, 끈"/>
        <s v="코드, 화음"/>
        <s v="화합, 조화, 일치"/>
        <s v="서로 일치하다, 조화하다"/>
        <s v="기록하다, 적어두다"/>
        <s v="세다, 계산하다"/>
        <s v="계산하다, 계좌"/>
        <s v="회계사"/>
        <s v="할인하다, 할인"/>
        <s v="나라, 국가"/>
        <s v="계산대, 판매대, 반대로"/>
        <s v="반격, 역습"/>
        <s v="상대방, 사본"/>
        <s v="우연히 만나다"/>
        <s v="정반대의"/>
        <s v="반박하다, 항변하다"/>
        <s v="창조하다"/>
        <s v="창조주"/>
        <s v="창조적인"/>
        <s v="기분전환, 오락"/>
        <s v="콘크리트"/>
        <s v="분별 있는, 신중한"/>
        <s v="별개의, 분리된"/>
        <s v="증가하다, 증가시키다"/>
        <s v="증대, 증가"/>
        <s v="감소하다, 감소시키다"/>
        <s v="배설하다"/>
        <s v="선원, 승무원, 팀원"/>
        <s v="모집하다"/>
        <s v="초승달"/>
        <s v="공예, 선박, 비행기"/>
        <s v="장인, 명장, 예술가"/>
        <s v="항공기"/>
        <s v="화면, 스크린"/>
        <s v="장면"/>
        <s v="점수, 득점하다"/>
        <s v="예정표, 시각표"/>
        <s v="긁다, 할퀴다"/>
        <s v="소리치다, 비명, 절규"/>
        <s v="조각, 파편, 자투리"/>
        <s v="긁다, 스쳐 긁히다"/>
        <s v="초고층 빌딩, 마천루"/>
        <s v="마구 쓰다, 낙서하다"/>
        <s v="상처"/>
        <s v="주홍의"/>
        <s v="훑어보다, 자세히 살피다"/>
        <s v="뿌리다"/>
        <s v="정밀 조사"/>
        <s v="면밀히 조사하다"/>
        <s v="문질러 씻다"/>
        <s v="문지르다"/>
        <s v="고무"/>
        <s v="쓰레기"/>
        <s v="표면을 태우다"/>
        <s v="비늘, 눈금, 등급, 규모"/>
        <s v="상승하다"/>
        <s v="두루마기"/>
        <s v="조각, 조각술"/>
        <s v="내려가다, 하강하다"/>
        <s v="하강"/>
        <s v="자손, 후예"/>
        <s v="대본, 글로 쓰다"/>
        <s v="성서, 경전"/>
        <s v="필사본, 원고"/>
        <s v="추신, 후기"/>
        <s v="암호화하다"/>
        <s v="서기, 필경사"/>
        <s v="휘갈겨 쓰다, 낙서하다"/>
        <s v="지시하다"/>
        <s v="기술하다, 묘사하다"/>
        <s v="구독하다, 가입하다"/>
        <s v="새기다, 기입하다"/>
        <s v="탓으로 돌리다"/>
        <s v="날짜"/>
        <s v="시대에 뒤진"/>
        <s v="최신의, 최신정보"/>
        <s v="낮, 날, 하루"/>
        <s v="일기"/>
        <s v="낙농업"/>
        <s v="새벽, 동틀녘"/>
        <s v="눈부시게 하다"/>
        <s v="어지러운"/>
        <s v="깊은"/>
        <s v="깊숙함"/>
        <s v="살짝 담그다, 적시다"/>
        <s v="증명하다, 설명하다"/>
        <s v="민주주의"/>
        <s v="지방 특유의, 고유의"/>
        <s v="유행성의"/>
        <s v="굴, 우리"/>
        <s v="움푹 들어간 곳"/>
        <s v="치과 의사"/>
        <s v="빽빽한, 짙은"/>
        <s v="빽빽하게"/>
        <s v="밀도"/>
        <s v="압축시키다"/>
        <s v="다이아몬드"/>
        <s v="다이얼"/>
        <s v="직경, 지름"/>
        <s v="당뇨병"/>
        <s v="방언, 사투리"/>
        <s v="진단하다"/>
        <s v="말투, 말씨, 문체"/>
        <s v="사전"/>
        <s v="명령하다, 받아쓰게 하다"/>
        <s v="독재자"/>
        <s v="중독되다, 빠지다"/>
        <s v="암시"/>
        <s v="암시하는, 지시하는"/>
        <s v="반박하다"/>
        <s v="모순, 반박"/>
        <s v="모순된"/>
        <s v="기소하다, 고발하다"/>
        <s v="역설, 앞뒤가 맞지 않는 일"/>
        <s v="판결, 평결"/>
        <s v="바치다, 헌신하다"/>
        <s v="헌신, 헌납"/>
        <s v="예언하다"/>
        <s v="조건, 상태, 환경"/>
        <s v="박사, 의사"/>
        <s v="교리, 원칙"/>
        <s v="문서, 서류"/>
        <s v="기록된"/>
        <s v="기록에 의한, 문서의"/>
        <s v="둥근 천장이 있는 장소, 돔"/>
        <s v="영토, 영역"/>
        <s v="지배하다, 억누르다"/>
        <s v="우세, 지배"/>
        <s v="국내의, 가정 내의"/>
        <s v="복부, 배"/>
        <s v="잠자는 있는, 휴지의"/>
        <s v="기숙사"/>
        <s v="기부하다"/>
        <s v="기증, 기부"/>
        <s v="기부자"/>
        <s v="용서하다"/>
        <s v="용서, 사면"/>
        <s v="부여하다, 기부하다"/>
        <s v="오리"/>
        <s v="덩크슛"/>
        <s v="털썩 내려놓다, 버리다"/>
        <s v="버려진"/>
        <s v="똥"/>
        <s v="지하감옥"/>
        <s v="작위를 주다, 호칭을 붙이다"/>
        <s v="공작"/>
        <s v="부과금, 세금"/>
        <s v="의무, 책임"/>
        <s v="해질녘, 황혼"/>
        <s v="흙, 먼지"/>
        <s v="배관"/>
        <s v="지휘하다, 이끌다', 이끌어낸 ‘행동, 행동"/>
        <s v="위법행위"/>
        <s v="들이다, 안내하다"/>
        <s v="빼다, 공제하다"/>
        <s v="유괴하다, 납치하다"/>
        <s v="생산하다"/>
        <s v="재생하다, 재현하다"/>
        <s v="유발하다"/>
        <s v="소개하다, 도입하다"/>
        <s v="(잠재능력 등을) 끌어내다"/>
        <s v="교육하다, 훈육하다"/>
        <s v="추론하다"/>
        <s v="감소 시키다, 축소하다"/>
        <s v="축소, 감소, 삭감"/>
        <s v="내구성 있는"/>
        <s v="견디다,  지탱하다"/>
        <s v="저주, 악담 저주하다"/>
        <s v="손해, 피해"/>
        <s v="비난하다, 규탄하다"/>
        <s v="낙담시키다"/>
        <s v="우울증"/>
        <s v="이슬"/>
        <s v="사슴"/>
        <s v="섬세한, 미묘한"/>
        <s v="욕구, 갈망, 원하다"/>
        <s v="게걸스레 먹다"/>
        <s v="단념시키다, 그만두게 하다"/>
        <s v="단념시키는"/>
        <s v="책상"/>
        <s v="갑판"/>
        <s v="귀먹은"/>
        <s v="부정하다, 부인하다"/>
        <s v="반항하다, 거역하다"/>
        <s v="타락시키다, 부패시키다"/>
        <s v="파괴하다"/>
        <s v="분쇄하다, 파괴하다"/>
        <s v="파편, 잔해"/>
        <s v="생각하다, 간주하다"/>
        <s v="되찾다, 되사다"/>
        <s v="상환, 되찾기"/>
        <s v="독실한"/>
        <s v="깊이 탐구하다"/>
        <s v="떠나다, 출발하다"/>
        <s v="지연시키다"/>
        <s v="대화, 문답"/>
        <s v="나누다, 분할하다"/>
        <s v="나누기, 분할"/>
        <s v="배당(금)"/>
        <s v="장치, 기기"/>
        <s v="개별적인, 개개의"/>
        <s v="진퇴양난, 딜레마"/>
        <s v="넓어지다, 팽창시키다"/>
        <s v="이혼"/>
        <s v="전시하다, 진열하다"/>
        <s v="불일치, 모순"/>
        <s v="구별할 수 있는, 인식할 수 있는"/>
        <s v="불평, 불만"/>
        <s v="싫어하다"/>
        <s v="무능[무력]하게 하다"/>
        <s v="흩어지게 하다, 분산시키다"/>
        <s v="분산, 분리"/>
        <s v="경악하게 만들다, 경악, 실망"/>
        <s v="말을 못 하는, 바보 같은"/>
        <s v="견본, 모형, 모조품"/>
        <s v="바보, 멍청이"/>
        <s v="둔한, 머리가 둔한"/>
        <s v="의심하는"/>
        <s v="의심하다"/>
        <s v="귀"/>
        <s v="일찍이, 일찍부터"/>
        <s v="듣다"/>
        <s v="들어가다, 입장하다"/>
        <s v="들어감, 진출, 참가"/>
        <s v="들어가기, 입구, 현관"/>
        <s v="개체, 독립체"/>
        <s v="유혹하다, 꼬드기다"/>
        <s v="관계를 맺다, 종사시키다"/>
        <s v="참여, 약혼"/>
        <s v="자격을 주다, 제목을 붙이다"/>
        <s v="둘러싸기, 환경"/>
        <s v="노력하다, 애쓰다"/>
        <s v="열정"/>
        <s v="열광적인, 열렬한"/>
        <s v="본질적인, 필수적인"/>
        <s v="본질적으로, 근본적으로"/>
        <s v="향상시키다"/>
        <s v="충분한"/>
        <s v="위험에 빠뜨리다"/>
        <s v="등록시키다, 입학시키다"/>
        <s v="등록, 입회"/>
        <s v="보다"/>
        <s v="찾다, 구하다"/>
        <s v="엿보다"/>
        <s v="잠자다"/>
        <s v="졸려운"/>
        <s v="(액체가)스며 나오다"/>
        <s v="유지하다, 계속하다, 보호하다"/>
        <s v="슬퍼하다, 울다"/>
        <s v="1주"/>
        <s v="느끼다"/>
        <s v="발 뒤꿈치"/>
        <s v="조심하다, 주의하다"/>
        <s v="피가 나다, 출혈하다"/>
        <s v="탐욕"/>
        <s v="날카로운, 예리한"/>
        <s v="수필, 에세이"/>
        <s v="말하다"/>
        <s v="호위하다"/>
        <s v="세우다, 설립하다"/>
        <s v="늘, 항상, 언제나"/>
        <s v="영원히"/>
        <s v="모든, 모두의"/>
        <s v="균등한, 짝수의"/>
        <s v="균등하게, 평평하게"/>
        <s v="평평하지 않은, 불규칙한"/>
        <s v="저녁"/>
        <s v="나쁜, 악질의"/>
        <s v="악마"/>
        <s v="피할 수 없는"/>
        <s v="(날씨가) 맑은, 괜찮은, 공평한, 공정한, 박람회"/>
        <s v="공개 취직 설명회"/>
        <s v="사건, 문제"/>
        <s v="요정, 공상의, 가공의"/>
        <s v="동화, 옛날이야기"/>
        <s v="명성"/>
        <s v="유명한"/>
        <s v="선풍기, 부채, [바람을] 일으키다"/>
        <s v="공상, 화려한, 근사한"/>
        <s v="공상, 환상"/>
        <s v="유아기"/>
        <s v="막다, 받아[막아] 넘기다"/>
        <s v="담장"/>
        <s v="막다, 지키다, 방어하다"/>
        <s v="화나게 하다, 위반하다"/>
        <s v="화나게 하는"/>
        <s v="나룻배, 수송하다"/>
        <s v="고생하다, 괴로워하다"/>
        <s v="기름진, 비옥한"/>
        <s v="비료를 주다, 기름지게 하다"/>
        <s v="제공하다, 제안하다"/>
        <s v="의논하다, 수여하다"/>
        <s v="회의, 회견"/>
        <s v="다르다, 의견이 다르다"/>
        <s v="다른, 상이한"/>
        <s v="차별화하다, 구별하다"/>
        <s v="연기하다, 미루다, 양보하다"/>
        <s v="복종, 존경"/>
        <s v="참조, 참고, 조회"/>
        <s v="추리, 추론"/>
        <s v="더 좋아하다, 선호하다"/>
        <s v="바꿔타다, 옮기다"/>
        <s v="날다"/>
        <s v="비행, 비상"/>
        <s v="깃발, 기"/>
        <s v="얇고 작은 조각, 파편"/>
        <s v="부서지기 쉬운"/>
        <s v="플루트"/>
        <s v="펄럭이다, 휘날리다"/>
        <s v="보풀, 솜 부스러기"/>
        <s v="달아나다"/>
        <s v="함대"/>
        <s v="벼룩"/>
        <s v="내던지다"/>
        <s v="톡 튀기다"/>
        <s v="퍼덕거리다"/>
        <s v="가볍게 치다, 털다"/>
        <s v="오르내리다"/>
        <s v="변동"/>
        <s v="쿵하고 떨어지다"/>
        <s v="낙제하다"/>
        <s v="바닥"/>
        <s v="홍수, 잠기게 하다"/>
        <s v="유체, 유동성의"/>
        <s v="흐름, 유동"/>
        <s v="유입"/>
        <s v="굽히다"/>
        <s v="구부리기 쉬운, 유연한"/>
        <s v="배수, 씻어 내다"/>
        <s v="거침없이 흐르는, 유창한"/>
        <s v="영향을 주다, 영향"/>
        <s v="영향력 있는"/>
        <s v="독감"/>
        <s v="떠다니다"/>
        <s v="고기, 살"/>
        <s v="맛, 풍미"/>
        <s v="납작한, 평면, 아파트"/>
        <s v="펑크난 타이어"/>
        <s v="아첨하다, 아부하다"/>
        <s v="수축시키다, 공기를 빼다"/>
        <s v="팽창하다, 부풀리다"/>
        <s v="인플레이션, 팽창"/>
        <s v="반사하다"/>
        <s v="대립하다, 충돌하다"/>
        <s v="고통을 가하다"/>
        <s v="괴롭히다"/>
        <s v="고통, 고뇌"/>
        <s v="꽃"/>
        <s v="밀가루"/>
        <s v="식물군"/>
        <s v="꽃집 주인, 꽃집"/>
        <s v="번영하다"/>
        <s v="앞으로, 앞쪽에"/>
        <s v="앞으로"/>
        <s v="여유가 있다, 할 수 있다"/>
        <s v="(가격 등이)알맞은, 적당한"/>
        <s v="과거를 잊다, 잊어버리다"/>
        <s v="위조하다, 만들다"/>
        <s v="포크"/>
        <s v="민속(의), 민간의, 사람들"/>
        <s v="예견하다, 내다보다"/>
        <s v="미리 알 수 있는"/>
        <s v="예측하지 못한"/>
        <s v="예측하다, 예보하다"/>
        <s v="숲"/>
        <s v="맨 앞의, 일류의"/>
        <s v="팔뚝"/>
        <s v="집게 손가락"/>
        <s v="이마"/>
        <s v="요새"/>
        <s v="요새화하다, 강화하다"/>
        <s v="요새, 요새지"/>
        <s v="재산, 행운"/>
        <s v="불운, 불행, 역경"/>
        <s v="운이 좋은"/>
        <s v="위로하다, 격려하다"/>
        <s v="노력, 수고"/>
        <s v="힘"/>
        <s v="공군"/>
        <s v="시행하다, 실시하다"/>
        <s v="강화하다, 증강하다"/>
        <s v="강화, 증강, 보강"/>
        <s v="모양, 형태, 형성시키다"/>
        <s v="공식적인, 격식을 차린"/>
        <s v="구조, 조립"/>
        <s v="공식"/>
        <s v="(모양 등을)변형하다"/>
        <s v="알리다, 통지하다"/>
        <s v="정보, 자료, 지식"/>
        <s v="정보를 주는, 유익한"/>
        <s v="순응하다, 따르다"/>
        <s v="순종, 일치, 적합"/>
        <s v="고치다, 개혁하다, 개정하다"/>
        <s v="행하다, 수행하다"/>
        <s v="연주, 연기, 공연"/>
        <s v="제복, 군복, 유니폼"/>
        <s v="강한, 굳은, 확고한, 기업"/>
        <s v="단언하다, 확언하다"/>
        <s v="확실하게 하다"/>
        <s v="재확인하다"/>
        <s v="약한, 허약한"/>
        <s v="깨지기 쉬운, 망가지기 쉬운"/>
        <s v="조각, 파편"/>
        <s v="단편적인"/>
        <s v="방향, 향기"/>
        <s v="맨 앞 부분, 앞면"/>
        <s v="국경, 경계, 개척자"/>
        <s v="선봉, 최전선"/>
        <s v="직면하다"/>
        <s v="모욕하다"/>
        <s v="사실, 진실"/>
        <s v="요소, 요인"/>
        <s v="공장"/>
        <s v="생산하다, 제조하다"/>
        <s v="제조회사"/>
        <s v="시설, 설비"/>
        <s v="가능(용이)하게 하다"/>
        <s v="팩스"/>
        <s v="능력, 재능"/>
        <s v="완벽한"/>
        <s v="감염시키다"/>
        <s v="전염성의"/>
        <s v="결점, 단점, 약점"/>
        <s v="결점이 있는"/>
        <s v="영향을 미치다"/>
        <s v="애정, 애착"/>
        <s v="결과, 효과"/>
        <s v="효과적으로"/>
        <s v="효과가 없는"/>
        <s v="능률적인, 효율적인"/>
        <s v="얼굴, 면"/>
        <s v="단면"/>
        <s v="표면, 외면"/>
        <s v="서문"/>
        <s v="상호작용 영역, 접속기"/>
        <s v="사라지게 하다, 지우다"/>
        <s v="소설, 꾸며낸 이야기"/>
        <s v="사무실"/>
        <s v="장교, 경찰관"/>
        <s v="적자, 부족액"/>
        <s v="부족한, 결핍되어 있는"/>
        <s v="인공의"/>
        <s v="피상적인"/>
        <s v="숙달된, 능숙한"/>
        <s v="어려운"/>
        <s v="교통(흐름), 통행"/>
        <s v="증명서"/>
        <s v="자격을 주다"/>
        <s v="자격을 잃은"/>
        <s v="만족시키다"/>
        <s v="만족, 흡족"/>
        <s v="불만, 불평"/>
        <s v="확대하다"/>
        <s v="적당한, 알맞은"/>
        <s v="외출 옷"/>
        <s v="이득, 혜택"/>
        <s v="이익, 수익"/>
        <s v="바닥, 기초, 자금"/>
        <s v="자금 조달자"/>
        <s v="환불하다, 상환하다"/>
        <s v="기본적인, 근본적인"/>
        <s v="설립자"/>
        <s v="(건물의) 토대, 기반, 근거, 재단, (화장품) 파운데이션"/>
        <s v="깊은, 심오한"/>
        <s v="분수"/>
        <s v="녹이다"/>
        <s v="융해, 융합"/>
        <s v="주입하다"/>
        <s v="분산시키다, 발산하다"/>
        <s v="혼동하다"/>
        <s v="거절하다"/>
        <s v="유전자"/>
        <s v="유전체"/>
        <s v="유전의, 발생의"/>
        <s v="발생시키다"/>
        <s v="퇴보하다, 타락하다"/>
        <s v="발전기"/>
        <s v="세대"/>
        <s v="종류, 유형, 장르"/>
        <s v="포괄적인, 일반적인, 장군"/>
        <s v="관대한, 너그러운"/>
        <s v="온화한, 부드러운"/>
        <s v="신사"/>
        <s v="상냥한, 온화한"/>
        <s v="마음이 맞은"/>
        <s v="기원, 발생, 창시"/>
        <s v="천재성, 천재"/>
        <s v="독창적인, 기발한"/>
        <s v="진품의, 진짜의"/>
        <s v="타고난"/>
        <s v="성별"/>
        <s v="의제, 협의사항"/>
        <s v="엔진"/>
        <s v="엔지니어, 기술자"/>
        <s v="몸짓, 손짓, 동작"/>
        <s v="제안하다"/>
        <s v="혼잡하다"/>
        <s v="혼잡"/>
        <s v="소화하다"/>
        <s v="기록하다, 등록하다"/>
        <s v="유리"/>
        <s v="광택을 내다"/>
        <s v="반짝이다"/>
        <s v="빛나다"/>
        <s v="영광"/>
        <s v="밝은, 즐거운"/>
        <s v="희미하게 빛나다"/>
        <s v="흘낏보다"/>
        <s v="노려보다"/>
        <s v="진찰, 진단"/>
        <s v="인식"/>
        <s v="임신한"/>
        <s v="인정하다, 알아보다"/>
        <s v="무시하다"/>
        <s v="방긋 웃다"/>
        <s v="성장하다, 자라다"/>
        <s v="성장, 발육"/>
        <s v="곡물"/>
        <s v="갈다"/>
        <s v="풀, 잔디"/>
        <s v="방목, 목초지"/>
        <s v="모임, 그룹"/>
        <s v="인사, 인사하다"/>
        <s v="불평하다, 투덜거리다"/>
        <s v="으르렁거리다"/>
        <s v="신음, 신음하다"/>
        <s v="고뇌, 슬픔"/>
        <s v="몹시 슬퍼하다, 마음 아파하다"/>
        <s v="등급, 단계"/>
        <s v="단계적인, 점차적인"/>
        <s v="차츰, 서서히"/>
        <s v="졸업하다"/>
        <s v="대학생"/>
        <s v="재료, 성분, 구성요소"/>
        <s v="거대한, 큰"/>
        <s v="축하하다"/>
        <s v="고맙게 생각하는"/>
        <s v="만족 시키다, 기쁘게 하다"/>
        <s v="감사"/>
        <s v="일치하다, 동의하다"/>
        <s v="약속, 협정, 일치"/>
        <s v="불일치, 불화"/>
        <s v="학위, 정도, 도"/>
        <s v="끝없는 욕망, 탐욕"/>
        <s v="총액, 합계, 종합하다"/>
        <s v="나누다, 분리시키다"/>
        <s v="모이다, 집합하다"/>
        <s v="국회"/>
        <s v="진보, 전진 하다"/>
        <s v="진보적인, 혁신적인"/>
        <s v="공격적인, 침략적인"/>
        <s v="무덤, 엄숙한, 진지한"/>
        <s v="엄숙하게, 진지하게"/>
        <s v="자갈"/>
        <s v="새겨 넣다, 조각하다"/>
        <s v="악화시키다, 화나게 하다"/>
        <s v="길 안내를 하다"/>
        <s v="지침, 가이드라인"/>
        <s v="지도, 지휘"/>
        <s v="경비요원, 보호하다"/>
        <s v="보증, 보증하다"/>
        <s v="창자, 내장, 용기"/>
        <s v="도랑, 시궁창, 배수로"/>
        <s v="돌풍"/>
        <s v="메스꺼움, 혐오"/>
        <s v="세차게 흘러나 오다, 분출하다"/>
        <s v="꿀꺽꿀꺽 마시다"/>
        <s v="갈매기"/>
        <s v="추측하다, 짐작하다"/>
        <s v="막연한, 애매한"/>
        <s v="유행, 인기, 유행하는"/>
        <s v="논하다, 논의하다"/>
        <s v="논의, 논쟁"/>
        <s v="총"/>
        <s v="손님"/>
        <s v="기타"/>
        <s v="가지고 있다"/>
        <s v="행동, 행위, 처신"/>
        <s v="나쁜 행동, 못된 짓"/>
        <s v="버릇, 관습"/>
        <s v="습관적인, 평소의"/>
        <s v="거주하다, 살다"/>
        <s v="거주자, 주민"/>
        <s v="서식지, 거주환경"/>
        <s v="전시하다, 공개하다"/>
        <s v="억제하다, 방해하다"/>
        <s v="금지하다"/>
        <s v="손"/>
        <s v="손잡이, 핸들, 다루다"/>
        <s v="한 움큼"/>
        <s v="안내서, 참고서"/>
        <s v="핸드백"/>
        <s v="미남의, 풍채가 좋은"/>
        <s v="잡다"/>
        <s v="체포하다"/>
        <s v="이해하다"/>
        <s v="알기 쉬운, 이해할 수 있는"/>
        <s v="포괄적인"/>
        <s v="조화, , 화합, 일치"/>
        <s v="하모니카"/>
        <s v="하프"/>
        <s v="단단한, 다루기 어려운, 힘든"/>
        <s v="거의 아니다"/>
        <s v="가혹한, 엄격한"/>
        <s v="끄는 장비, 마구"/>
        <s v="수확, 추수"/>
        <s v="상속인"/>
        <s v="상속받다, 물려받다"/>
        <s v="유산, 문화유산"/>
        <s v="유전"/>
        <s v="타고난, 고유의"/>
        <s v="닫다, 뚜껑을 덮다"/>
        <s v="가게, 상점"/>
        <s v="구두, 신"/>
        <s v="셔츠"/>
        <s v="시트, 홑이불"/>
        <s v="껍질, 외피"/>
        <s v="피난처"/>
        <s v="방패"/>
        <s v="보안관"/>
        <s v="수갑, 족쇄"/>
        <s v="어깨"/>
        <s v="수의, 가리다"/>
        <s v="얕은, 표면적인"/>
        <s v="해안, 물가"/>
        <s v="양"/>
        <s v="양치기"/>
        <s v="모습, 모양"/>
        <s v="그늘"/>
        <s v="그림자"/>
        <s v="몫, 할당"/>
        <s v="주주"/>
        <s v="닳아 해진, 누더기의"/>
        <s v="부끄럼"/>
        <s v="샴푸"/>
        <s v="흰색"/>
        <s v="전체의, 모든, 온전한"/>
        <s v="고래"/>
        <s v="바퀴"/>
        <s v="휠체어"/>
        <s v="외바퀴 손수레"/>
        <s v="높은"/>
        <s v="높이"/>
        <s v="중요부분"/>
        <s v="고속도로"/>
        <s v="계급제, 서열"/>
        <s v="언덕"/>
        <s v="도보 여행"/>
        <s v="처음의"/>
        <s v="시작하다"/>
        <s v="투입(량)"/>
        <s v="빠지다, 탐닉하다"/>
        <s v="부상을 입다[입히다]"/>
        <s v="실내의"/>
        <s v="섭취"/>
        <s v="친밀한"/>
        <s v="산업, 제조업"/>
        <s v="수입"/>
        <s v="색인, 지표"/>
        <s v="잉크"/>
        <s v="인터넷"/>
        <s v="(시간적) 간격"/>
        <s v="통합하다"/>
        <s v="해체 하다, 붕괴시키다"/>
        <s v="(전체의 일부로서) 필수적인"/>
        <s v="진실성, 고결"/>
        <s v="본질적인"/>
        <s v="관심"/>
        <s v="침범하다"/>
        <s v="내장"/>
        <s v="복잡한"/>
        <s v="통역하다"/>
        <s v="안쪽의, 내부의, 인테리어"/>
        <s v="악화되다, 더 나빠지다"/>
        <s v="분출, 분출하다"/>
        <s v="제트기"/>
        <s v="시차증"/>
        <s v="둑, 부두"/>
        <s v="계획, 설계"/>
        <s v="기획자, 설계자, 영사기"/>
        <s v="신하, 부하"/>
        <s v="주관적인"/>
        <s v="거절"/>
        <s v="탈출하다, 쫓아내다"/>
        <s v="반대하다, 사물, 물건"/>
        <s v="주입, 주사"/>
        <s v="합류하다, 결합하다"/>
        <s v="결합하다, 인접하다"/>
        <s v="명하다"/>
        <s v="접합 부분, 이음매"/>
        <s v="접합, 결합"/>
        <s v="연합, 연대, 접속사"/>
        <s v="뛰다, 뛰어오르다"/>
        <s v="나이가 어린, 연하의 사람"/>
        <s v="청소년"/>
        <s v="환성을 지르는"/>
        <s v="주스"/>
        <s v="즙이 많은"/>
        <s v="폐물"/>
        <s v="마구 뒤섞이다"/>
        <s v="정글"/>
        <s v="저글링하다"/>
        <s v="판결을 내리다"/>
        <s v="재판"/>
        <s v="결정하다, 선고하다"/>
        <s v="사법의, 재판의"/>
        <s v="사려 깊은, 현명한"/>
        <s v="편견, 선입관"/>
        <s v="배심원"/>
        <s v="사법, 사법권"/>
        <s v="위증"/>
        <s v="정의, 올바른, 꼭, 바로"/>
        <s v="정의, 공정"/>
        <s v="정당화하다"/>
        <s v="정당화 된"/>
        <s v="불공정"/>
        <s v="맞추다, 정비하다"/>
        <s v="아이"/>
        <s v="유괴하다"/>
        <s v="콩팥, 신장"/>
        <s v="한 세트, 한 벌"/>
        <s v="새끼 고양이"/>
        <s v="연"/>
        <s v="친족, 친척"/>
        <s v="친척 관계"/>
        <s v="동족의, 혈족의"/>
        <s v="종류, 친절"/>
        <s v="유치원"/>
        <s v="왕"/>
        <s v="짜다"/>
        <s v="매듭, 결합"/>
        <s v="손잡이"/>
        <s v="두드리다"/>
        <s v="솜씨, 묘기"/>
        <s v="손가락 관절"/>
        <s v="무릎 관절"/>
        <s v="무릎을 끓다, 굴복하다"/>
        <s v="알다, 이해하다"/>
        <s v="지식"/>
        <s v="인정하다, 승인하다"/>
        <s v="귀족의, 고귀한"/>
        <s v="칼"/>
        <s v="피부, 살갗, 가죽"/>
        <s v="스키"/>
        <s v="솜씨, 기술"/>
        <s v="숙련된"/>
        <s v="하늘"/>
        <s v="(수면을) 스쳐 날다"/>
        <s v="가볍게 건너뛰다, 거르다"/>
        <s v="미끄러지다"/>
        <s v="스치듯 지나가다"/>
        <s v="스케이트"/>
        <s v="스케치"/>
        <s v="밖으로 퍼진 가장자리, 치마"/>
        <s v="변두리, 교외"/>
        <s v="해골"/>
        <s v="의심 많은, 회의적인"/>
        <s v="일하다, 노동, 근로"/>
        <s v="실험실, 연구소"/>
        <s v="열심히 일하는, 근면한"/>
        <s v="공들이다, 정교한"/>
        <s v="공동으로 작업하다, 협력하다"/>
        <s v="협력, 협동"/>
        <s v="상표"/>
        <s v="논리"/>
        <s v="사과"/>
        <s v="독백, 1인극"/>
        <s v="대화"/>
        <s v="목록, 카탈로그"/>
        <s v="맺음말"/>
        <s v="생태학"/>
        <s v="동물학"/>
        <s v="심리학"/>
        <s v="언어"/>
        <s v="속어, 슬랭"/>
        <s v="혀"/>
        <s v="혀의, 언어의"/>
        <s v="학문, 언어학"/>
        <s v="전설, 레전드"/>
        <s v="유산"/>
        <s v="동료"/>
        <s v="군단, 부대"/>
        <s v="부지런한, 근면한"/>
        <s v="지성을 가진, 영리한"/>
        <s v="태만한, , 부주의한, 게으른"/>
        <s v="자격이 있는"/>
        <s v="법률의, 합법적인"/>
        <s v="불법적인"/>
        <s v="법률을 제정하다, 입법하다"/>
        <s v="법률 제정"/>
        <s v="입법부"/>
        <s v="특권"/>
        <s v="주장하다"/>
        <s v="위임하다, 대리인, 대표자"/>
        <s v="대표로 임명, 대표단"/>
        <s v="지렛대, 지레"/>
        <s v="지레의 작용, 영향력"/>
        <s v="올리다, 향상시키다"/>
        <s v="엘리베이터, 승강기"/>
        <s v="높이, 고도"/>
        <s v="평평한, 평탄한"/>
        <s v="부담을 덜어주다, 경감하다"/>
        <s v="관계가 있는"/>
        <s v="관계가 없는, 부적절한"/>
        <s v="빛, 가벼운"/>
        <s v="번개"/>
        <s v="계몽하다, 가르치다"/>
        <s v="비행"/>
        <s v="해질녘, 석양, 황혼"/>
        <s v="점화하다, 불을 붙이다"/>
        <s v="약간의, 조금의, 경미한"/>
        <s v="빛나는"/>
        <s v="눈부신, 찬란한"/>
        <s v="기쁘게 하다, 기쁨, 즐거움"/>
        <s v="현지의"/>
        <s v="장소를 알아내다, 자리잡다"/>
        <s v="위치, 장소"/>
        <s v="할당, 배분"/>
        <s v="위치를 바꾸다"/>
        <s v="재배치하다"/>
        <s v="잠그다, 자물쇠"/>
        <s v="자물쇠를 풀다"/>
        <s v="사물함"/>
        <s v="서로 맞물리게 하다"/>
        <s v="떼, 떼를 이루다"/>
        <s v="막다"/>
        <s v="방해[저지]하는 것"/>
        <s v="긴"/>
        <s v="속하다"/>
        <s v="길어지다, 지속되다"/>
        <s v="다년간의, 오랫동안에 걸친"/>
        <s v="장수"/>
        <s v="길이, 기간"/>
        <s v="길게 하다"/>
        <s v="경도"/>
        <s v="위도"/>
        <s v="제비, 할당된 몫"/>
        <s v="복권, 추첨, 제비 뽑기"/>
        <s v="배당하다, 할당하다"/>
        <s v="가늘고 길쭉한 구멍"/>
        <s v="줄거리, 음모"/>
        <s v="얼룩, 더러움, 흠"/>
        <s v="응고하다, 엉긴 덩어리"/>
        <s v="쪼개다, 나누다"/>
        <s v="얇은 조각, 자르다"/>
        <s v="늦은"/>
        <s v="최근에"/>
        <s v="번역하다"/>
        <s v="이야기하다, 관계시키다"/>
        <s v="관계 있는, 연관된"/>
        <s v="관계가 있 는, 상대적인, 친척"/>
        <s v="수집하다, 모으다"/>
        <s v="모인, 집합적인"/>
        <s v="회상하다"/>
        <s v="고르다, 선발하다"/>
        <s v="지성, 지력"/>
        <s v="강의"/>
        <s v="등한시하다, 무시하다"/>
        <s v="선출하다"/>
        <s v="자유주의의, 진보적인, 개혁적인"/>
        <s v="자유롭게 하다"/>
        <s v="도서관"/>
        <s v="신중히 생각하다"/>
        <s v="배달하다, 전달하다"/>
        <s v="썰매, 썰매를 타다"/>
        <s v="활주하다"/>
        <s v="충돌하다"/>
        <s v="아래쪽, 낮은"/>
        <s v="낮추다"/>
        <s v="흐르다"/>
        <s v="느린, 더딘"/>
        <s v="쟁기"/>
        <s v="허락하다, 허가하다"/>
        <s v="금하다"/>
        <s v="실내화, 슬리퍼"/>
        <s v="경사, 비탈"/>
        <s v="잠을 자다"/>
        <s v="소매"/>
        <s v="호리호리한"/>
        <s v="슬쩍 빠져 나가다"/>
        <s v="가날픈, 가느다란"/>
        <s v="쾅 닫힌다, 쾅 닫다"/>
        <s v="슬레이트"/>
        <s v="인류"/>
        <s v="경영자, 관리인"/>
        <s v="관리의, 경영의"/>
        <s v="매니큐어"/>
        <s v="방법, 태도"/>
        <s v="교본, 손을 쓰는"/>
        <s v="일목요연한, 분명한"/>
        <s v="잘 다루다, 조작하다"/>
        <s v="덮개, 망토"/>
        <s v="제거하다, 철거하다"/>
        <s v="명령하다"/>
        <s v="위임하다"/>
        <s v="의무적인"/>
        <s v="요구하다"/>
        <s v="요구가 지나친"/>
        <s v="한가운데의, 중간의"/>
        <s v="중간의, 보통의"/>
        <s v="대중매체"/>
        <s v="중재하다, 조정하다"/>
        <s v="중간의"/>
        <s v="숙고하다, 계획하다"/>
        <s v="약"/>
        <s v="의학의, 의료의"/>
        <s v="치료(약)"/>
        <s v="즉시의"/>
        <s v="중세의"/>
        <s v="지중해의"/>
        <s v="표준, 기준"/>
        <s v="현대의, 요즈음의"/>
        <s v="서랍장"/>
        <s v="공간을 제공하다, 수용하다"/>
        <s v="수정하다, 변경하다"/>
        <s v="온건한, 보통의, 적절한"/>
        <s v="알맞은, 겸손한"/>
        <s v="메모, (사건 따위의) 기록"/>
        <s v="회고록"/>
        <s v="메모리, 기억, 회상이 된다"/>
        <s v="기억할 만한"/>
        <s v="기념물, 추모비, 추모의"/>
        <s v="기념하다"/>
        <s v="생각해내다, 상기하다"/>
        <s v="구성원"/>
        <s v="개정하다, 개선하다"/>
        <s v="칭찬하다"/>
        <s v="추천하다"/>
        <s v="작은, 소형의"/>
        <s v="최소한의"/>
        <s v="최소한도, 최소량"/>
        <s v="최소한도로 하다"/>
        <s v="작게 하다, 최소로 만들다"/>
        <s v="장관, 각료, 성직자, 봉사하다"/>
        <s v="집행하다, 관리하다"/>
        <s v="줄이다, 작게 하다"/>
        <s v="허락하다"/>
        <s v="위임하다, 맡기다, 약속하다"/>
        <s v="공약, 서약, 책임"/>
        <s v="위원회"/>
        <s v="전송하다"/>
        <s v="보내다, 부치다"/>
        <s v="상납하다, 복종하다, 제출하다"/>
        <s v="굴복, 순종, 제출"/>
        <s v="생략하다"/>
        <s v="발산하다, 배출하다"/>
        <s v="발산, 방사"/>
        <s v="들어오게 하다, 인정하다"/>
        <s v="들어가기, 입장, 입학, 인정하기"/>
        <s v="미사일"/>
        <s v="임무"/>
        <s v="휴게시간"/>
        <s v="해산시키다, 해고하다"/>
        <s v="메시지, 알림"/>
        <s v="약속, 약속하다"/>
        <s v="타협하다"/>
        <s v="유망한"/>
        <s v="전제, 가정"/>
        <s v="부지"/>
        <s v="모터"/>
        <s v="오토바이"/>
        <s v="움직임, 운동, 운행"/>
        <s v="정지하고 있는"/>
        <s v="감정"/>
        <s v="동기"/>
        <s v="동기를 부여하다, 자극하다"/>
        <s v="촉진하다, 장려하다, 승진시키다"/>
        <s v="먼, 멀리 떨어진"/>
        <s v="주류, 본류"/>
        <s v="본체"/>
        <s v="유지하다"/>
        <s v="유지, 지속"/>
        <s v="살아남다, 남다"/>
        <s v="주요한, 중요한, 큰, 대다수의"/>
        <s v="대다수, 대부분"/>
        <s v="위엄, 존엄, 장대함"/>
        <s v="시장"/>
        <s v="확대하다, 크게 보이게 하다"/>
        <s v="장대한, 화려한"/>
        <s v="대량, 방대, 큼"/>
        <s v="격언, 금언"/>
        <s v="최대한, 최대량"/>
        <s v="확성기, 메가폰"/>
        <s v="매우 큰 극장"/>
        <s v="임박한, 곧 일어 날 것 같은"/>
        <s v="저명한, 탁월한"/>
        <s v="뛰어난"/>
        <s v="두드러진, 눈에 띄는"/>
        <s v="산, 오르다, 타다"/>
        <s v="산"/>
        <s v="총계"/>
        <s v="극복하다"/>
        <s v="둔덕, 언덕"/>
        <s v="목"/>
        <s v="결합시키다, 접속시키다"/>
        <s v="결합, 관련, 관계"/>
        <s v="접속을 끊다, 차단하다"/>
        <s v="다음의"/>
        <s v="유대, 관계"/>
        <s v="병합하다, 부과하다"/>
        <s v="아무것도 없음"/>
        <s v="정오, 한낮"/>
        <s v="유독한"/>
        <s v="끄덕이다"/>
        <s v="전기, 실화, 역사기록"/>
        <s v="넌센스, 허튼소리"/>
        <s v="흑인"/>
        <s v="부정적인, 반대의"/>
        <s v="협상하다, 협의하다"/>
        <s v="방치하다, 무시하다"/>
        <s v="무시할 수 있는, 사소한"/>
        <s v="태만, 등한"/>
        <s v="절대로 아니다"/>
        <s v="그럼에도 불구하고"/>
        <s v="중립적인"/>
        <s v="필요하다"/>
        <s v="바늘"/>
        <s v="벗은"/>
        <s v="견과류"/>
        <s v="핵의, 원자력의"/>
        <s v="기준, 표준"/>
        <s v="표준적인, 보통의, 정상적인"/>
        <s v="표준화 시키다, 기준에 맞추다"/>
        <s v="보통 이하의, 정신 박약의"/>
        <s v="이상한, 정신 이상의"/>
        <s v="거대한, 엄청난"/>
        <s v="눈"/>
        <s v="뱀"/>
        <s v="잡아채다"/>
        <s v="덫"/>
        <s v="그루터기"/>
        <s v="딱 소리내다"/>
        <s v="국제적인"/>
        <s v="태어난 땅의, 모국의"/>
        <s v="자연"/>
        <s v="자연의"/>
        <s v="초자연의, 불가사의한"/>
        <s v="타고난, 천부적인"/>
        <s v="타고난, 선천적인"/>
        <s v="소설"/>
        <s v="참신함, 새로움, 신기함"/>
        <s v="풋나기"/>
        <s v="혁신하다, 수리하다"/>
        <s v="쇄신하다, 혁신하다"/>
        <s v="별"/>
        <s v="기록, 수기, 노트"/>
        <s v="개념, 관념"/>
        <s v="통지하다, 알리다"/>
        <s v="공책"/>
        <s v="표기법, 표시법"/>
        <s v="주석, 주해"/>
        <s v="주목할 만한, 중요한"/>
        <s v="알아차리다, 주목"/>
        <s v="악명 높은"/>
        <s v="알리다, 발표하다"/>
        <s v="아나운서"/>
        <s v="발음하다"/>
        <s v="비난하다"/>
        <s v="간호사"/>
        <s v="탁아소, 아이방"/>
        <s v="양육하다"/>
        <s v="영양, 영양공급"/>
        <s v="영양분을 주다, 기르다"/>
        <s v="반대하다, 목표, 대상"/>
        <s v="장애물"/>
        <s v="분명하지 않은, 애매한"/>
        <s v="비만, 과체중"/>
        <s v="복종하다"/>
        <s v="반항적인"/>
        <s v="오페라"/>
        <s v="움직이다, 작동하다"/>
        <s v="효력이 있는"/>
        <s v="효력이 없는"/>
        <s v="협력하다, 협동하다"/>
        <s v="눈의, 시력의"/>
        <s v="광학"/>
        <s v="시력을 돕는, 눈에 의한"/>
        <s v="기회"/>
        <s v="선택하다"/>
        <s v="입양하다, 채택하다"/>
        <s v="입양, 채용, 채택"/>
        <s v="의견"/>
        <s v="최적조건"/>
        <s v="낙천주의, 낙관"/>
        <s v="낙관적인"/>
        <s v="최대한 활용하다"/>
        <s v="구두의, 입의"/>
        <s v="도덕의, 윤리상의"/>
        <s v="부도덕한"/>
        <s v="사기"/>
        <s v="사기를 꺾다, 의기소침하게 하다"/>
        <s v="명령, 규칙, 순서"/>
        <s v="보통의, 통상적인"/>
        <s v="비상한, 비범한"/>
        <s v="무질서"/>
        <s v="조정하다, 조직화하다"/>
        <s v="조정자"/>
        <s v="통일, 조화"/>
        <s v="종속하는, 하위의"/>
        <s v="동쪽"/>
        <s v="기원, 유래"/>
        <s v="원래의, 최초의"/>
        <s v="일어나다, 발원하다, 시작되다"/>
        <s v="윤곽, 외형선"/>
        <s v="조망, 경치"/>
        <s v="발생, 발발"/>
        <s v="정전, 단수"/>
        <s v="생산, 산출물"/>
        <s v="배출구, 판로, 직판장"/>
        <s v="뛰어나다"/>
        <s v="오래 살다"/>
        <s v="머리 위에, 하늘 높이"/>
        <s v="압도하다"/>
        <s v="지나치게 과세하다"/>
        <s v="외투, 오버코트"/>
        <s v="겹치다"/>
        <s v="감독하다"/>
        <s v="기한이 지난"/>
        <s v="못보고 넘어가다, 눈감아 주다"/>
        <s v="가리다"/>
        <s v="전부, 전체의"/>
        <s v="손잡이가 달린 얇은 냄비(팬)"/>
        <s v="팬케이크"/>
        <s v="회사, 일행, 중대"/>
        <s v="전경, 광대한 조망"/>
        <s v="한 뼘, 범위"/>
        <s v="확장하다"/>
        <s v="팽창력이 있는, 넓은, 광대한"/>
        <s v="확장, 팽창"/>
        <s v="나란히 걸어가다, 가두 행진"/>
        <s v="부모"/>
        <s v="명백한"/>
        <s v="나타나다"/>
        <s v="사라지다, 모습을 감추다"/>
        <s v="투명한"/>
        <s v="비교할 수 있는"/>
        <s v="준비하다"/>
        <s v="옷"/>
        <s v="의회, 국회"/>
        <s v="앵무새"/>
        <s v="패러디"/>
        <s v="역설, 모순"/>
        <s v="평행선"/>
        <s v="낙하산"/>
        <s v="장치, 기구"/>
        <s v="분리하다, 떼어 놓다"/>
        <s v="낙원"/>
        <s v="한 쌍"/>
        <s v="손상 시키다"/>
        <s v="수리하다, 고치다"/>
        <s v="수리공"/>
        <s v="회복할 수 없는"/>
        <s v="절망, 실망, 낙담"/>
        <s v="절망적인, 필사적인"/>
        <s v="부분"/>
        <s v="떨어져, 따로따로"/>
        <s v="파트너"/>
        <s v="파티, 모임"/>
        <s v="참가하다"/>
        <s v="개별적인, 특별한"/>
        <s v="두드러지게, 특히"/>
        <s v="복사, 사본"/>
        <s v="출발하다"/>
        <s v="미량, 작은 조각"/>
        <s v="소포, 꾸러미"/>
        <s v="일부분의, 부분적인"/>
        <s v="공정한, 공평한"/>
        <s v="지나가다, 통과하다"/>
        <s v="수동적인, 소극적인"/>
        <s v="승객"/>
        <s v="순회하다"/>
        <s v="우회로"/>
        <s v="지하도"/>
        <s v="육교"/>
        <s v="초월하다, 넘다"/>
        <s v="감정, 열정"/>
        <s v="연민"/>
        <s v="불쌍한, 측은한, 감상적인"/>
        <s v="텔레파시"/>
        <s v="공감"/>
        <s v="추진하다, 나아가게 하다"/>
        <s v="프로펠러"/>
        <s v="억지로 시키다, 무리하게 시키다"/>
        <s v="내쫓다, 쫓아버리다"/>
        <s v="없애다"/>
        <s v="맥박"/>
        <s v="충동"/>
        <s v="의무적인, 강제적인"/>
        <s v="간청, 애원"/>
        <s v="부속물, 늘어 뜨린 장식"/>
        <s v="의지하다"/>
        <s v="독립"/>
        <s v="맹장, 부록"/>
        <s v="보류하다"/>
        <s v="임박하다"/>
        <s v="쓰다, 소비하다"/>
        <s v="불필요한"/>
        <s v="필수의"/>
        <s v="소비하다, 소모하다"/>
        <s v="보상하다"/>
        <s v="퍼센트, 100분"/>
        <s v="향수"/>
        <s v="연기, 가스"/>
        <s v="사람됨, 사람, 인품"/>
        <s v="전체 직원"/>
        <s v="개인적인"/>
        <s v="소멸하다, 사라지다"/>
        <s v="영원한, 오래가는"/>
        <s v="설득하다"/>
        <s v="광장"/>
        <s v="땅 한 뙈기"/>
        <s v="승강장, 플랫폼"/>
        <s v="회반죽"/>
        <s v="접시"/>
        <s v="장소, 놓아두다"/>
        <s v="잘못 놓다"/>
        <s v="대신하다, 교체하다"/>
        <s v="옮기다, 대신하다"/>
        <s v="계획"/>
        <s v="비행기"/>
        <s v="행성"/>
        <s v="평야, 단순한, 분명한, 쉬운"/>
        <s v="상세히 설명하다"/>
        <s v="불평하다, 투덜대다"/>
        <s v="심다, 식물"/>
        <s v="깊이 새기다, 심다"/>
        <s v="대신하다"/>
        <s v="많음, 다량"/>
        <s v="다수의, 복합의"/>
        <s v="곱하다, 증가시키다"/>
        <s v="고갈시키다"/>
        <s v="전부의, 완전한"/>
        <s v="불완전한, 불충분한"/>
        <s v="보충물, 보완물"/>
        <s v="보충물, 추가물"/>
        <s v="도구, 연장"/>
        <s v="컴플렉스"/>
        <s v="복잡하게 하다, 뒤얽히게 하다"/>
        <s v="암시하다, 포함하다, 내포하다"/>
        <s v="복제하다"/>
        <s v="성취하다"/>
        <s v="따르다"/>
        <s v="대답하다"/>
        <s v="적용하다"/>
        <s v="응모자, 신청자"/>
        <s v="고용하다"/>
        <s v="고용주"/>
        <s v="종업원"/>
        <s v="독점, 전매"/>
        <s v="더하여"/>
        <s v="여분, 나머지"/>
        <s v="팝콘"/>
        <s v="팝송, 대중가요"/>
        <s v="인기있는"/>
        <s v="인기, 유행"/>
        <s v="인구"/>
        <s v="선술집"/>
        <s v="공중인, 대중의"/>
        <s v="발행하다, 발표하다"/>
        <s v="항구"/>
        <s v="휴대용의"/>
        <s v="짐꾼"/>
        <s v="대문, 통로, 포털"/>
        <s v="현관"/>
        <s v="휴대용 서류가방"/>
        <s v="초상화"/>
        <s v="몫, 부분"/>
        <s v="비율"/>
        <s v="공항"/>
        <s v="여권"/>
        <s v="수송하다, 옮기다"/>
        <s v="수입하다"/>
        <s v="중요한"/>
        <s v="수출하다"/>
        <s v="추방하다, 강제로 이송하다"/>
        <s v="보고서"/>
        <s v="신문기자, 보고자"/>
        <s v="버티다, 지탱하다"/>
        <s v="인쇄하다"/>
        <s v="긍지, 자부심"/>
        <s v="자랑으로 여기는, 자신에 찬"/>
        <s v="봄, 뛰어 오름"/>
        <s v="자라기 시작하다, 발아하다, 새싹"/>
        <s v="요정"/>
        <s v="단거리 경주, 전력질주, 전속력으로 달리다"/>
        <s v="물보라, 분사 하다"/>
        <s v="펴다"/>
        <s v="넓게 편"/>
        <s v="널리퍼짐, 유행"/>
        <s v="설교하다"/>
        <s v="상급의, 상질의"/>
        <s v="국무총리, 수상, 최고의"/>
        <s v="예비의, 준비의"/>
        <s v="앞의, 앞선, 사전의"/>
        <s v="우선순위"/>
        <s v="문제"/>
        <s v="탁월한"/>
        <s v="튀어나오다"/>
        <s v="즉각적인"/>
        <s v="규약"/>
        <s v="예언"/>
        <s v="가까움"/>
        <s v="번영하는"/>
        <s v="도, 주"/>
        <s v="기소하다"/>
        <s v="증명하다"/>
        <s v="개량하다, 개선하다"/>
        <s v="승인하다"/>
        <s v="불찬성, 불만"/>
        <s v="가장 중요한, 주된, 제 1의"/>
        <s v="주요한, 기본적인"/>
        <s v="본원의, 근본의, 원시의"/>
        <s v="왕자, 왕손"/>
        <s v="공주"/>
        <s v="원칙"/>
        <s v="값, 가격"/>
        <s v="상, 상품"/>
        <s v="값비싼, 귀중한"/>
        <s v="진가를 인정하다, 감사하다"/>
        <s v="주목할 만한"/>
        <s v="가치를 떨어뜨리다, 멸시하다"/>
        <s v="사적인, 개인적인"/>
        <s v="박탈하다"/>
        <s v="누르다"/>
        <s v="압력, 압박, 부담"/>
        <s v="압축하다, 압착하다"/>
        <s v="억압하다, 탄압하다"/>
        <s v="억제하다, 진압하다"/>
        <s v="낙담시키다, 약하게하다"/>
        <s v="표현하다, 고속의"/>
        <s v="인상"/>
        <s v="교도소"/>
        <s v="죄수"/>
        <s v="놀라게 하다"/>
        <s v="기업, 회사"/>
        <s v="특수한, 특별한"/>
        <s v="전문가, 전공자"/>
        <s v="종"/>
        <s v="견본, 표본"/>
        <s v="광경, 장관"/>
        <s v="구경꾼, 관람객, 목격자"/>
        <s v="깊이 생각 하다"/>
        <s v="특별한, 명확한, 분명한"/>
        <s v="측면, 국면"/>
        <s v="아래에(su) 숨긴 것이 없나 보니(spec) ‘의심하다'"/>
        <s v="조사하다, 점검하다"/>
        <s v="가능성, 전망"/>
        <s v="기대하다"/>
        <s v="존경하다"/>
        <s v="각자의, 각각의"/>
        <s v="돌아보지 않는, 개의치 않는"/>
        <s v="정신, 마음, 영혼"/>
        <s v="감동시키다, 영감을 주다"/>
        <s v="영감"/>
        <s v="열망하다"/>
        <s v="공모하다, 음모를 꾸미다"/>
        <s v="죽다, 꺼지다, 만료하다"/>
        <s v="핀"/>
        <s v="뾰족한 탑, 봉우리"/>
        <s v="소나무"/>
        <s v="파인애플"/>
        <s v="척추, 등뼈"/>
        <s v="꼬집다"/>
        <s v="돌다, 빙글빙글"/>
        <s v="자세, 태도, 자세를 취하다"/>
        <s v="평형, 균형, 침착, 냉정"/>
        <s v="멈춤, 휴식, 중단"/>
        <s v="연기하다"/>
        <s v="의도, 목적"/>
        <s v="구성하다, 작곡하다"/>
        <s v="가정하다"/>
        <s v="반대하다"/>
        <s v="반대쪽의"/>
        <s v="예금, 예금하다"/>
        <s v="배치하다, 정리하다"/>
        <s v="드러내다, 노출시키다"/>
        <s v="폭로, 노출"/>
        <s v="박람회, 전시회"/>
        <s v="강요하다, 부과하다"/>
        <s v="컴퓨터, 계산기"/>
        <s v="평가, 평판"/>
        <s v="논쟁, 분쟁"/>
        <s v="물어보다, 요구하다, 탐색, 탐구"/>
        <s v="질문하다, 질문"/>
        <s v="정복"/>
        <s v="조사하다"/>
        <s v="묻다, 알아보다, 조사하다"/>
        <s v="요청하다"/>
        <s v="손에 넣다, 얻다, 취득하다"/>
        <s v="짜내다"/>
        <s v="정사각형"/>
        <s v="분대"/>
        <s v="눌러 으깨다, 짓이기다"/>
        <s v="똑같은"/>
        <s v="방정식"/>
        <s v="부적당한"/>
        <s v="공평, 공정"/>
        <s v="동등의 것"/>
        <s v="평형"/>
        <s v="갖추게하다"/>
        <s v="적도"/>
        <s v="레이더"/>
        <s v="라디오, 무선 방송"/>
        <s v="방사능, 방사성"/>
        <s v="발산하다"/>
        <s v="근본적인, 기초의, 극단적인"/>
        <s v="무"/>
        <s v="뿌리뽑다, 근절하다"/>
        <s v="복수"/>
        <s v="벗기다"/>
        <s v="책망하다"/>
        <s v="자제하다"/>
        <s v="최근"/>
        <s v="종교"/>
        <s v="기댈 수 있는"/>
        <s v="후회하다"/>
        <s v="변상하다"/>
        <s v="인도하다, 감독하다, 직행의, 직접적인"/>
        <s v="영화감독, 관리자"/>
        <s v="방향"/>
        <s v="세우다, 건설하다, 직립한"/>
        <s v="수정하다, 올바른"/>
        <s v="구르다, 회전 하다, 말다"/>
        <s v="두루마리, 족자"/>
        <s v="명부에 올리다"/>
        <s v="둥근"/>
        <s v="둘러싸다"/>
        <s v="운동장"/>
        <s v="회전하다, 선회하다"/>
        <s v="길"/>
        <s v="돌아다니다"/>
        <s v="바위, 암석"/>
        <s v="노를 저어 가다"/>
        <s v="로프"/>
        <s v="썩다"/>
        <s v="파열, 균열"/>
        <s v="갑작스러운, 뜻밖의"/>
        <s v="방해하다"/>
        <s v="방해, 훼방, 중단"/>
        <s v="부정한, 부패한"/>
        <s v="혼란에 빠뜨리다, 중단시키다"/>
        <s v="폭발하다, 분화하다"/>
        <s v="파산한, 파산의"/>
        <s v="팔, 무기, 무장시키다"/>
        <s v="무장을 해제하다"/>
        <s v="육군"/>
        <s v="갑옷"/>
        <s v="해를 끼치다"/>
        <s v="해로운"/>
        <s v="경보, 놀라게하다"/>
        <s v="고르다, 선택하다"/>
        <s v="단편, 조각, 부분"/>
        <s v="진지한, 엄숙한, 심각한"/>
        <s v="연속, 순서, 차례"/>
        <s v="자주 일어나는, 빈번한"/>
        <s v="안전, 안보, 보안"/>
        <s v="연속적인"/>
        <s v="잘라낸 부분, 조각"/>
        <s v="곤충"/>
        <s v="여럿의, 몇 사람의"/>
        <s v="분리시키다, 분할하다"/>
        <s v="엄격한"/>
        <s v="인내하다"/>
        <s v="비밀, 비밀의, 기밀의"/>
        <s v="비서, 서기"/>
        <s v="신성한, 성스러운"/>
        <s v="희생시키다"/>
        <s v="앉다"/>
        <s v="장소, 위치, 사이트"/>
        <s v="상황"/>
        <s v="놓다, 두다"/>
        <s v="좌석, 자리, 착석시키다, 앉히다"/>
        <s v="정착, 확정"/>
        <s v="자산"/>
        <s v="시작"/>
        <s v="착수, 시작"/>
        <s v="뒤집어 엎다"/>
        <s v="버리다, 사막"/>
        <s v="단언, 주장"/>
        <s v="끼워놓다, 끼우다"/>
        <s v="애쓰다"/>
        <s v="없는, 결여된"/>
        <s v="있는, 현재, 선물, 제출하다, 내놓다"/>
        <s v="존재, 참석"/>
        <s v="발표"/>
        <s v="나타내다, 의미하다"/>
        <s v="봉사하다, 일하다, 시중들다, 복무하다"/>
        <s v="봉사, 업무"/>
        <s v="하인, 종"/>
        <s v="관찰하다, 관측하다"/>
        <s v="받을 자격이 있다"/>
        <s v="보존하다"/>
        <s v="보수적인, 온화한"/>
        <s v="떼어 두다, 비축하다"/>
        <s v="저수지"/>
        <s v="측면"/>
        <s v="자회사, 보조"/>
        <s v="살다, 거주하다"/>
        <s v="주택, 주거, 거주"/>
        <s v="사회를 보다"/>
        <s v="대통령, 의장, 회장"/>
        <s v="고려하다"/>
        <s v="이해심이 많은"/>
        <s v="상당한"/>
        <s v="유사한, 비슷한"/>
        <s v="같지 않은"/>
        <s v="동시의"/>
        <s v="흉내내다"/>
        <s v="간단한, 쉬운, 용이한"/>
        <s v="조립하다, 모이다"/>
        <s v="모임, 집합, 집회"/>
        <s v="분해하다"/>
        <s v="닮다"/>
        <s v="사회의, 사회에 관한"/>
        <s v="사교적인, 붙임성 있는"/>
        <s v="사회"/>
        <s v="동료로 참가시키다, 연합시키다"/>
        <s v="풀다, 해명하다, 해결하다"/>
        <s v="용매 능력이 있는"/>
        <s v="해답"/>
        <s v="용해시키다, 분리시키다"/>
        <s v="면제하다, 풀어주다"/>
        <s v="완전무결한, 절대의, 절대적인"/>
        <s v="결심하다"/>
        <s v="감각, 느낌, 지각"/>
        <s v="분별이 있는, 이해가 빠른"/>
        <s v="감각에 호소하는, 감각적인"/>
        <s v="감상적인, 정에 약한"/>
        <s v="문장, 판결하다"/>
        <s v="동의하다"/>
        <s v="일치, 합의, 대다수의 의견"/>
        <s v="의견을 달리하다"/>
        <s v="원망하다, 분개하다"/>
        <s v="표시, 기호"/>
        <s v="신호"/>
        <s v="서명, 사인"/>
        <s v="중요하지 않은"/>
        <s v="구상하다, 계획하다, 설계하다"/>
        <s v="지명하다"/>
        <s v="할당하다"/>
        <s v="사직하다"/>
        <s v="시험"/>
        <s v="증명하다, 입증하다"/>
        <s v="선서 증언"/>
        <s v="경쟁, 시합"/>
        <s v="항의, 이의"/>
        <s v="혐오하다"/>
        <s v="서다, 서있다, 세워져 있다"/>
        <s v="정지, 멈춤"/>
        <s v="관점"/>
        <s v="이해하다, 알아듣다"/>
        <s v="오해하다"/>
        <s v="견디다"/>
        <s v="눈에 띄는, 우수한"/>
        <s v="확고한"/>
        <s v="환경"/>
        <s v="본질 적인 것, 핵심, 요지"/>
        <s v="실제적인, 상당한"/>
        <s v="비현실적인"/>
        <s v="보기, 예"/>
        <s v="순간, 즉시"/>
        <s v="떨어진"/>
        <s v="불변의, 일정한"/>
        <s v="역, 정거장"/>
        <s v="움직이지 않는"/>
        <s v="나라, 국가, 상태, 모양"/>
        <s v="동상, 조각상"/>
        <s v="재산"/>
        <s v="안정된"/>
        <s v="불안정"/>
        <s v="설립하다"/>
        <s v="단계, 국면, 시대"/>
        <s v="명성이 있는, 유명한"/>
        <s v="줄기"/>
        <s v="막대기, 지팡이, 직원, 사원"/>
        <s v="얼룩"/>
        <s v="출발하다, 시작하다"/>
        <s v="깜짝 놀라게 하다"/>
        <s v="체력"/>
        <s v="경기장"/>
        <s v="머무르다"/>
        <s v="도장, 우표"/>
        <s v="계단"/>
        <s v="강철"/>
        <s v="수증기"/>
        <s v="체계적인, 조직적인"/>
        <s v="걷다, 걸음을 옮기다, 걸음"/>
        <s v="돌"/>
        <s v="기절시키다"/>
        <s v="가게, 상점, 비축하다, 저장하다"/>
        <s v="이야기"/>
        <s v="회복하다"/>
        <s v="설치하다, 설비하다"/>
        <s v="(등받이가 없는) 의자"/>
        <s v="더미"/>
        <s v="폭풍"/>
        <s v="난로"/>
        <s v="멈추다"/>
        <s v="여전히, 가만히 있는, 고요한"/>
        <s v="증류하다"/>
        <s v="운명"/>
        <s v="목적지"/>
        <s v="도와주다"/>
        <s v="구성되다"/>
        <s v="지속되는, 일관된"/>
        <s v="존재하다"/>
        <s v="주장하다, 고집하다"/>
        <s v="저항하다"/>
        <s v="저항"/>
        <s v="저항할 수 없는"/>
        <s v="설치하다, 제정하다, 설립하다, 연구소"/>
        <s v="구성하다"/>
        <s v="대체하다, 대용품"/>
        <s v="구조, 구성, 구조물"/>
        <s v="지시하다, 교육하다"/>
        <s v="막다, 방해하다"/>
        <s v="파괴적인"/>
        <s v="조립하다, 건설하다"/>
        <s v="높이다, 칭송하다, 찬미하다"/>
        <s v="고귀한, 신분이 높은"/>
        <s v="제단"/>
        <s v="고도"/>
        <s v="바꾸다, 변경하다"/>
        <s v="번갈아 일어나다, 교체하다"/>
        <s v="대안, 대체의, 양자 택일의"/>
        <s v="이타주의"/>
        <s v="장인, 기능공"/>
        <s v="인공적인, 인조의"/>
        <s v="기사"/>
        <s v="동맥"/>
        <s v="정맥"/>
        <s v="꼬리"/>
        <s v="재봉사"/>
        <s v="상술하다, 열거하다, 세부, 항목"/>
        <s v="짧게 줄이다"/>
        <s v="소매의"/>
        <s v="도매의"/>
        <s v="건축하다"/>
        <s v="보호하다"/>
        <s v="뻗다, 경향이 있다"/>
        <s v="경향, 추세, 유행"/>
        <s v="할 작정이다, 의도하다"/>
        <s v="인체하다"/>
        <s v="출석하다"/>
        <s v="주의, 집중"/>
        <s v="경쟁하다, 싸우다"/>
        <s v="연장하다, 늘리다"/>
        <s v="넓이, 크기, 범위, 정도"/>
        <s v="연장, 확대, 확장"/>
        <s v="광범위한, 광대한"/>
        <s v="긴장, 팽팽 하게 하기"/>
        <s v="안을(in) 팽팽하게(tense) 만드니(fy) ‘강화시키다'"/>
        <s v="집중적인, 강한"/>
        <s v="여행, 관광, 투어"/>
        <s v="관광객"/>
        <s v="우회하다"/>
        <s v="윤곽, 외형"/>
        <s v="횃불"/>
        <s v="고문하다, 고문"/>
        <s v="일그러지게 하다, 뒤틀다"/>
        <s v="왜곡"/>
        <s v="열차, 기차"/>
        <s v="시가 전차"/>
        <s v="궤도"/>
        <s v="자국, 흔적"/>
        <s v="트레일러, 추적자, 사냥꾼"/>
        <s v="여행하다"/>
        <s v="교통, 교통흐름"/>
        <s v="전통"/>
        <s v="쟁반, 접시"/>
        <s v="배반하다"/>
        <s v="자국, 통로, 오솔길"/>
        <s v="발자국, 자취, 추적하다"/>
        <s v="트랙터, 끄는 것"/>
        <s v="유혹하다, 유인하다"/>
        <s v="빼내다, 끌어내다"/>
        <s v="빼다"/>
        <s v="계약하다, 계약"/>
        <s v="추상적인"/>
        <s v="주의를 빼앗다, 산만하게 하다"/>
        <s v="기분전환, 주의 산만"/>
        <s v="변형시키다"/>
        <s v="이동시 키다, 바꿔 타다"/>
        <s v="이식하다, 옮겨 심다"/>
        <s v="투명한, 비쳐 보이는"/>
        <s v="회전시키다, 돌리다, 틀다"/>
        <s v="인턴으로 근무하다"/>
        <s v="안의, 내부의"/>
        <s v="인턴, 인턴 연수 기간"/>
        <s v="영원의"/>
        <s v="돌아가다, 되돌아가다"/>
        <s v="3중주, 3인조"/>
        <s v="삼각형"/>
        <s v="3중의, 세 겹의"/>
        <s v="부족"/>
        <s v="나누어 주다, 공물, 조공"/>
        <s v="탓으로 돌리다, 덕분이라고 생각하다"/>
        <s v="분배하다"/>
        <s v="분배, 배급, 배급품"/>
        <s v="재잘거리다"/>
        <s v="아부하다, 아첨하다"/>
        <s v="분쇄하다, 산산이 부서지다"/>
        <s v="입 밖에 내다, 발언하다"/>
        <s v="투덜거리다"/>
        <s v="막대기, 찌르다"/>
        <s v="쏘다"/>
        <s v="구분하다, 구별하다"/>
        <s v="구별할 수 있는"/>
        <s v="구별된, 두드러진"/>
        <s v="불을 끄다, 소멸시키다"/>
        <s v="멸종한, 사라진"/>
        <s v="구분되는, 뚜렷한"/>
        <s v="본능, 충동"/>
        <s v="뒤섞다, 휘젓다"/>
        <s v="자극하다"/>
        <s v="냄새가 나다"/>
        <s v="어림잡다, 평가하다"/>
        <s v="큰 사람을 존중하다, 존경하다"/>
        <s v="바느질하다"/>
        <s v="곧은, 똑바른, 일직선의"/>
        <s v="해협, (특히 경제적인) 궁핍[곤경]"/>
        <s v="전략"/>
        <s v="가죽끈, 혁대"/>
        <s v="잡아당기다"/>
        <s v="강요하다, 억제하다"/>
        <s v="제지하다"/>
        <s v="빨대, 짚"/>
        <s v="거리"/>
        <s v="시내, 흐름"/>
        <s v="줄무늬"/>
        <s v="길을 잃다, 길을 잃은"/>
        <s v="압박, 긴장, 압력"/>
        <s v="고통, 괴로움"/>
        <s v="펴다, 뻗다"/>
        <s v="줄무늬, 스트라이프"/>
        <s v="성큼성큼 걷다"/>
        <s v="때리다"/>
        <s v="타격, 일격, 뇌졸중"/>
        <s v="엄격한, 엄한, 가혹한"/>
        <s v="지역, 지구"/>
        <s v="제한하다, 한정하다"/>
        <s v="납작한 못, 압정"/>
        <s v="공격하다"/>
        <s v="붙이다, 첨부하다"/>
        <s v="떼어놓다, 분리시키다"/>
        <s v="연락, 접촉"/>
        <s v="땅들"/>
        <s v="무형의, 만질 수 없는"/>
        <s v="포함하다, 담고 있다"/>
        <s v="손에 넣다, 획득하다"/>
        <s v="감금하다"/>
        <s v="보유하다, 간직하다"/>
        <s v="떠받치다, 지하다"/>
        <s v="도달하다"/>
        <s v="삼가하다, 억제하다"/>
        <s v="즐겁게 하다"/>
        <s v="계속하다"/>
        <s v="그만두다"/>
        <s v="탱고"/>
        <s v="엉키게 하다, 엉킨 것"/>
        <s v="얽히게 하다, 걸리게 하다"/>
        <s v="만져 알 수 있는"/>
        <s v="전염의, 감염성의"/>
        <s v="오염시키다"/>
        <s v="지하의"/>
        <s v="은밀한, 비밀의"/>
        <s v="밑에 있는, 기초적인"/>
        <s v="약화시키다"/>
        <s v="진행 중인"/>
        <s v="겪다, 경험하다, 견디다"/>
        <s v="속옷"/>
        <s v="떠맡다"/>
        <s v="개선하다, 수준을 올리다"/>
        <s v="위층, 위층으로, 2층"/>
        <s v="파도가 일다, 급증하다"/>
        <s v="뿌리째 뽑다"/>
        <s v="구르다, 뒹굴다"/>
        <s v="발이 걸리다, 비틀거리다, 더듬거리다"/>
        <s v="우르르 소리 내다, 덜커덕거리며 가다"/>
        <s v="산산조각이 되다, 부서지다"/>
        <s v="겸손한"/>
        <s v="유니폼, 제복, 군복, 동일한"/>
        <s v="균일하게"/>
        <s v="한 사람, 한 개"/>
        <s v="단일성, 통일성"/>
        <s v="결합, 합동"/>
        <s v="우주"/>
        <s v="종합대학교"/>
        <s v="지하철"/>
        <s v="잠수함"/>
        <s v="미묘한, 교묘한, 섬세한"/>
        <s v="소송"/>
        <s v="적절한"/>
        <s v="스위트 룸"/>
        <s v="추적, 추격"/>
        <s v="뒤쫓다, 추적하다, 추구하다"/>
        <s v="결과"/>
        <s v="공격하다, 공격"/>
        <s v="모욕을 주다"/>
        <s v="찌는 듯한"/>
        <s v="조언하다"/>
        <s v="여름"/>
        <s v="정상, 최고점"/>
        <s v="합계"/>
        <s v="요약, 개요"/>
        <s v="요약하다, 간추려 말하다"/>
        <s v="소비하다, 다 써버리다"/>
        <s v="상상하다, 추정하다"/>
        <s v="가정할 수 있는"/>
        <s v="추측하다"/>
        <s v="추정, 가정"/>
        <s v="재개하다, 다시 시작하다"/>
        <s v="최고의"/>
        <s v="표면의, 외견상의, 피상적인"/>
        <s v="더 뛰어난, 상위의, 우위의"/>
        <s v="최고의, 아주 훌륭한"/>
        <s v="큰 파도"/>
        <s v="감시, 감독"/>
        <s v="성"/>
        <s v="넘겨주다, 버리다, 포기하다"/>
        <s v="확실한, 확실하는"/>
        <s v="보장하다, 확실하게 하다"/>
        <s v="보증하다"/>
        <s v="보험"/>
        <s v="어리석은, 모순된"/>
        <s v="들리는, 들을 수 있는"/>
        <s v="오디션"/>
        <s v="관람석, 강당"/>
        <s v="청중"/>
        <s v="공허한, 빈"/>
        <s v="비우다"/>
        <s v="휴가"/>
        <s v="진공"/>
        <s v="백신접종"/>
        <s v="피난시키다, 대피시키다"/>
        <s v="대피, 피난"/>
        <s v="침략하다"/>
        <s v="잘 빠져나가다, 교묘히 피하다"/>
        <s v="널리 퍼지다, 고루 미치다"/>
        <s v="사라지다, 대형 밴, 트럭"/>
        <s v="바람개비"/>
        <s v="헛된"/>
        <s v="사라지다, 없어지다"/>
        <s v="허영"/>
        <s v="앞서 나가다, 전진하다"/>
        <s v="유리한 위치, 유리, 이점"/>
        <s v="불이익, 약점"/>
        <s v="장소"/>
        <s v="대로"/>
        <s v="모이다, 회의가 개최되다"/>
        <s v="집회, 회의, 협의회"/>
        <s v="전통적인"/>
        <s v="편리한"/>
        <s v="기념품"/>
        <s v="수익"/>
        <s v="끼어들다"/>
        <s v="구멍, 통풍구"/>
        <s v="환기, 통풍"/>
        <s v="벤쳐, 모험"/>
        <s v="모험, 모험심"/>
        <s v="발명하다"/>
        <s v="막다, 예방하다"/>
        <s v="예방"/>
        <s v="행사, 사건, 이벤트"/>
        <s v="도래, 출현"/>
        <s v="행"/>
        <s v="판"/>
        <s v="반대 방향"/>
        <s v="적수, 적대자"/>
        <s v="반대의, 거꾸로의"/>
        <s v="논란, 논쟁"/>
        <s v="다양한"/>
        <s v="딴 데로 돌리다, 우회시키다, 전환시키다"/>
        <s v="이혼, 이혼하다"/>
        <s v="돌리다, 비키다, 외면하다"/>
        <s v="광고하다, 선전하다"/>
        <s v="전환하다"/>
        <s v="변환"/>
        <s v="수직의"/>
        <s v="내성적인, 내성적인 사람"/>
        <s v="외향적인"/>
        <s v="비디오, 영상"/>
        <s v="제공하다, 준비하다"/>
        <s v="준비, 대책, 규정, 단서"/>
        <s v="명백한, 분명한"/>
        <s v="증거, 근거"/>
        <s v="전망, 비전"/>
        <s v="환영의, 환상의"/>
        <s v="눈에 보이는"/>
        <s v="눈에 보이지 않는, 띄지 않는"/>
        <s v="상상하다, 마음속에 그리다"/>
        <s v="부러워하다"/>
        <s v="부러운, 샘나는"/>
        <s v="고안하다"/>
        <s v="개정하다, 교정하다"/>
        <s v="충고하다"/>
        <s v="방문하다"/>
        <s v="목소리의, 음성의"/>
        <s v="천직, 사명"/>
        <s v="부업, 소일거리"/>
        <s v="주장하다, 옹호하다"/>
        <s v="목소리, 음성"/>
        <s v="송장, 청구서"/>
        <s v="불러내다, 환기시키다"/>
        <s v="불러모으다, 소집하다"/>
        <s v="취소하다, 철회하다"/>
        <s v="볼보"/>
        <s v="돌다, 회전하다"/>
        <s v="혁명, 개혁"/>
        <s v="전개 되다, 발전시키다, 진화시키다"/>
        <s v="포함시키다"/>
        <s v="부피, 책, 볼륨"/>
        <s v="가치, 값어치, 유용성, 평가하다"/>
        <s v="값비싼, 가치있 는, 귀중한"/>
        <s v="아주 소중한"/>
        <s v="평가하다"/>
        <s v="동등의 것, 등가"/>
        <s v="타당한, 유효한"/>
        <s v="쓸모 있다, 유익하다"/>
        <s v="쓸모 있는, 유효한"/>
        <s v="대항하다, 상쇄하다"/>
        <s v="널리 퍼져 있다, 유행되다, 우세하다"/>
        <s v="다양하게 하다, 다르게 하다"/>
        <s v="변화"/>
        <s v="다양한, 잡다한"/>
        <s v="변하기 쉬운, 변덕스러운"/>
        <s v="변종의, 상이한"/>
        <s v="다양성, 변화"/>
        <s v="승리, 전승"/>
        <s v="희생자"/>
        <s v="유죄 판결, 확신"/>
        <s v="이길 수 있는, 정복할 수 있는"/>
        <s v="비타민"/>
        <s v="생명의, 생명 유지에 필요한"/>
        <s v="생명력, 활력"/>
        <s v="초대하다"/>
        <s v="환호"/>
        <s v="생기에 찬"/>
        <s v="소생, 회복, 재생"/>
        <s v="살아남음, 생존"/>
        <s v="바람"/>
        <s v="자동차 앞 유리"/>
        <s v="겨울"/>
        <s v="창문"/>
        <s v="날개"/>
        <s v="그네, 흔들다, 흔들리다"/>
        <s v="탁 털다, 재빨리 움직이다"/>
        <s v="수염"/>
        <s v="위스키"/>
        <s v="휘파람을 불다"/>
        <s v="속삭이다"/>
        <s v="매, 채찍질"/>
        <s v="소용돌이치게 하다"/>
        <s v="빙빙 돌다"/>
        <s v="회전하다, 원을 그리다, 핸들, 바퀴"/>
        <s v="병동, 감방"/>
        <s v="옷장"/>
        <s v="앞에, 앞쪽에, 전방으로"/>
        <s v="뒤에, 그 뒤"/>
        <s v="보상, 보답"/>
        <s v="상, 주다, 수여하다"/>
        <s v="안으로, 내부로, 안쪽에"/>
        <s v="맞서다"/>
        <s v="억제하다, 보류하다"/>
        <s v="철회하다, 인출하다"/>
        <s v="철회, 철수, 인출"/>
        <s v="싸다, 포장하다"/>
        <s v="비틀다, 꼬다"/>
        <s v="레슬링"/>
        <s v="비틀다"/>
        <s v="파손, 파괴, 난파 시키다"/>
        <s v="화, 격노"/>
        <s v="말다툼하다"/>
        <s v="주름"/>
        <s v="나쁜, 옳지 못한, 그릇된"/>
        <s v="손목"/>
        <s v="쓰다"/>
        <s v="전쟁"/>
        <s v="조심하는, 신중한"/>
        <s v="경고하다"/>
        <s v="보증서"/>
        <s v="따뜻한, 온난한"/>
        <s v="벌레"/>
        <s v="철조망"/>
        <s v="무선의"/>
        <s v="세계"/>
        <s v="세상의, 부속적인"/>
        <s v="근심, 걱정"/>
        <s v="말, 낱말"/>
        <s v="검, 칼"/>
        <s v="스위치, 전환, 바꿈"/>
        <s v="물물교환하다"/>
        <s v="수영하다"/>
        <s v="삼키다"/>
        <s v="이리저리 흔들다"/>
        <s v="땀"/>
        <s v="달콤한"/>
        <s v="백조"/>
        <s v="늪"/>
        <s v="부풀다"/>
        <s v="쓸다"/>
        <s v="재빠른, 신속한"/>
        <s v="맹세하다"/>
        <s v="출구"/>
        <s v="이국적인"/>
        <s v="매우 아름다운, 절묘한"/>
        <s v="경험, 경험하다"/>
        <s v="실험"/>
        <s v="실행하다"/>
        <s v="전문가"/>
        <s v="전문적 기술"/>
        <s v="명백한, 확고한"/>
        <s v="공, 위업"/>
        <s v="칭찬하다, 찬양하다"/>
        <s v="과장하다, 허풍치다"/>
        <s v="과장, 허풍"/>
        <s v="증가하는, 기하급수적인"/>
        <s v="폭발하다"/>
        <s v="강탈하다"/>
        <s v="국외추방, 망명"/>
        <s v="소진시키다"/>
        <s v="기진맥진하게 만드는"/>
        <s v="다 써버린"/>
        <s v="면제하다"/>
        <s v="추가의, 여분의, 특별한"/>
        <s v="과외의, 정규교과 이외의"/>
        <s v="바깥쪽의"/>
        <s v="극도의, 극한의"/>
        <s v="극단적으로, 대단히"/>
        <s v="고정시키다"/>
        <s v="상징, 표상, 심볼"/>
        <s v="증상"/>
        <s v="토론, 좌담회"/>
        <s v="대칭적인, 균형이 잡힌"/>
        <s v="공감, 동정"/>
        <s v="교향곡, 심포니"/>
        <s v="증후군"/>
        <s v="동시에 일어나다"/>
        <s v="상승작용"/>
        <s v="통합, 종합, 합성"/>
        <s v="광합성"/>
        <s v="아지랑이, 안개"/>
        <s v="미로"/>
        <s v="놀라운, 놀랄만한"/>
        <s v="열심히 바라보다"/>
        <s v="현혹시키다, 멍하게 하다"/>
        <s v="졸다"/>
        <s v="재즈"/>
        <s v="퍼즐"/>
        <s v="지글지글 소리나다"/>
        <s v="눈부시게 하다, 현혹시키다"/>
        <s v="이슬비, 가랑비"/>
        <s v="미친"/>
        <s v="게으른"/>
        <s v="영역"/>
      </sharedItems>
    </cacheField>
    <cacheField name="문장" numFmtId="0">
      <sharedItems containsNonDate="0" count="2423">
        <s v="The children played with a colorful ball in the park."/>
        <s v="She bought a red balloon for her birthday party."/>
        <s v="The school bell rang to signal the end of class."/>
        <s v="The cat's belly was soft and warm."/>
        <s v="The detective found a bullet at the crime scene."/>
        <s v="I need to replace the light bulb in the kitchen."/>
        <s v="He bought rice in bulk to save money."/>
        <s v="The military base is located near the mountain."/>
        <s v="You need to learn the basic principles of mathematics."/>
        <s v="We store old furniture in our basement."/>
        <s v="My brother plays baseball every weekend."/>
        <s v="The bass guitar creates deep, low sounds in the band."/>
        <s v="She wore a silk blouse to the interview."/>
        <s v="Eating too fast can cause your stomach to bloat."/>
        <s v="The wind will blow strongly tonight."/>
        <s v="The blowfish can expand to twice its normal size."/>
        <s v="I got a blister on my heel from my new shoes."/>
        <s v="Her vision became a blur without her glasses."/>
        <s v="The blind man navigated with his white cane."/>
        <s v="His bluff didn't work because everyone knew he was lying."/>
        <s v="The child laughed as she blew a large soap bubble."/>
        <s v="The flower bud will soon bloom in spring."/>
        <s v="We need to create a budget for our vacation."/>
        <s v="She tied her hair in a neat bun for the dance recital."/>
        <s v="He brought a bunch of red roses for our anniversary."/>
        <s v="I want to buy a new computer next month."/>
        <s v="They will bury the time capsule in the school yard."/>
        <s v="The baby needs to burp after drinking milk."/>
        <s v="The school decided to ban mobile phones during class."/>
        <s v="The king will banish anyone who breaks the law."/>
        <s v="My favorite band is performing at the concert tonight."/>
        <s v="The bandit stole money from the stagecoach."/>
        <s v="Her husband cooks dinner every Friday night."/>
        <s v="The crew had to abandon the sinking ship."/>
        <s v="The nurse put a bandage on my cut."/>
        <s v="Strong rope will bind the packages together securely."/>
        <s v="The mother and child share a special bond."/>
        <s v="The rabbit bound across the field quickly."/>
        <s v="The fence marks the boundary between the two properties."/>
        <s v="She wrapped the baby in a bundle of warm blankets."/>
        <s v="Let's meet at the coffee bar after work."/>
        <s v="The bartender knew how to make all kinds of drinks."/>
        <s v="She found a real bargain at the shoe sale."/>
        <s v="The farmers keep their animals in the barn during winter."/>
        <s v="We store rainwater in a large barrel outside."/>
        <s v="Language can be a barrier when traveling abroad."/>
        <s v="Police set up a barricade around the accident scene."/>
        <s v="Don't embarrass your sister by showing her baby photos."/>
        <s v="The country faced an economic embargo for many years."/>
        <s v="The barren landscape had no trees or plants."/>
        <s v="The baseball player swung the bat and hit a home run."/>
        <s v="The ancient battle took place on this very field."/>
        <s v="The fisherman used worms to bate his hook."/>
        <s v="The storm will abate by morning."/>
        <s v="We had a lively debate about climate change."/>
        <s v="My heart began to beat faster when I saw the test results."/>
        <s v="She rides her bicycle to school every day."/>
        <s v="Try not to show bias when judging the competition."/>
        <s v="The suspect had a strong alibi for the night of the crime."/>
        <s v="Being bilingual can help you find better job opportunities."/>
        <s v="We used binoculars to watch birds at the lake."/>
        <s v="The river bisects the city into north and south regions."/>
        <s v="She studies biology at the university."/>
        <s v="The doctor prescribed an antibiotic for my infection."/>
        <s v="I'm reading a biography about Albert Einstein."/>
        <s v="The roses bloom beautifully in our garden each summer."/>
        <s v="She wore a black dress to the formal dinner."/>
        <s v="Please don't leave any blank spaces on the application form."/>
        <s v="The child slept peacefully under a warm blanket."/>
        <s v="Use bleach carefully when washing white clothes."/>
        <s v="The knife blade needs to be sharpened."/>
        <s v="His knee started to bleed after he fell off his bike."/>
        <s v="The forest blaze destroyed thousands of acres."/>
        <s v="The sky was ablaze with colorful fireworks."/>
        <s v="A blizzard is forecast for this weekend."/>
        <s v="May God bless you and your family."/>
        <s v="The explosion blast could be heard for miles."/>
        <s v="The politician's bluster didn't convince the voters."/>
        <s v="The balloon will burst if you blow too much air into it."/>
        <s v="The car alarms blare was annoying the neighbors."/>
        <s v="Her blond hair shines in the sunlight."/>
        <s v="Be careful not to break the glass vase."/>
        <s v="I usually eat breakfast at 7:30 every morning."/>
        <s v="The shipping company is responsible for any breakage during transit."/>
        <s v="Scientists announced a breakthrough in cancer research."/>
        <s v="We hired a real estate broker to help sell our house."/>
        <s v="It's difficult to broach such a sensitive topic."/>
        <s v="Hackers caused a security breach in the system."/>
        <s v="They built a brick wall around their garden."/>
        <s v="We took a brisk walk in the cool morning air."/>
        <s v="The old paper was yellow and brittle with age."/>
        <s v="We need more briquette for the barbecue."/>
        <s v="The report covers a broad range of topics."/>
        <s v="The executive board meets every Tuesday morning."/>
        <s v="All passengers must be aboard the ship by 5:00 PM."/>
        <s v="The breadth of his knowledge on history is impressive."/>
        <s v="Hold your breath when you swim underwater."/>
        <s v="You need to boil the water before drinking it."/>
        <s v="Set the oven to broil when cooking the fish."/>
        <s v="The meeting was brief, lasting only fifteen minutes."/>
        <s v="Please abbreviate the month names in your report."/>
        <s v="My sister is studying abroad for a semester."/>
        <s v="She is able to speak three languages fluently."/>
        <s v="His ability to solve complex problems quickly is remarkable."/>
        <s v="This software will enable you to edit photos easily."/>
        <s v="Some countries have decided to abolish the death penalty."/>
        <s v="The doctor noticed abnormal cells in the test results."/>
        <s v="We had to abort the mission due to bad weather."/>
        <s v="Drug abuse can lead to serious health problems."/>
        <s v="His claim that he could fly was completely absurd."/>
        <s v="Plants absorb carbon dioxide from the air."/>
        <s v="I have absolute confidence in her abilities."/>
        <s v="The evidence helped to absolve him of any blame."/>
        <s v="Three students were absent from class today."/>
        <s v="The conversation came to an abrupt end when she left."/>
        <s v="Children sat in a circle during story time."/>
        <s v="The police will encircle the building to catch the thief."/>
        <s v="Good ventilation helps air circulate in the room."/>
        <s v="The children were excited to visit the circus."/>
        <s v="Under no circumstance should you open this door."/>
        <s v="The water cycle is an important natural process."/>
        <s v="We should recycle paper, glass, and plastic."/>
        <s v="The coastal regions prepared for the approaching cyclone."/>
        <s v="I took a cab from the airport to my hotel."/>
        <s v="We rented a cabin in the mountains for our vacation."/>
        <s v="Store the dishes in the kitchen cabinet."/>
        <s v="The beach resort has private cabanas for guests."/>
        <s v="We calculated the cubic volume of the room."/>
        <s v="He works in a small cubicle in the office."/>
        <s v="I can swim across the lake easily."/>
        <s v="The elderly man used a cane to help him walk."/>
        <s v="Children love to eat candy on Halloween."/>
        <s v="The medieval castle had several cannon for defense."/>
        <s v="The Grand Canyon is a famous natural wonder in Arizona."/>
        <s v="Venice is known for its beautiful canals."/>
        <s v="Switch to channel five to watch the news."/>
        <s v="He wore a baseball cap to protect himself from the sun."/>
        <s v="The astronauts returned to Earth in a space capsule."/>
        <s v="The theater has a capacity of 500 people."/>
        <s v="Her capacious bag held all her shopping purchases."/>
        <s v="She is capable of running a marathon."/>
        <s v="The captain of the ship has years of experience."/>
        <s v="Tokyo is the capital city of Japan."/>
        <s v="The superhero wore a flowing cape."/>
        <s v="The prisoner planned his escape carefully."/>
        <s v="His visual impairment is not a handicap in his profession."/>
        <s v="Strong winds could cause small boats to capsize."/>
        <s v="The photographer managed to capture the perfect sunset."/>
        <s v="The zoo kept the lion captive in a large enclosure."/>
        <s v="Read the caption under the photograph for more information."/>
        <s v="The religious precept guided her daily decisions."/>
        <s v="It's a difficult concept to understand at first."/>
        <s v="There is a common misconception that bats are blind."/>
        <s v="Young children are susceptible to many illnesses."/>
        <s v="I accept your apology for being late."/>
        <s v="The wedding reception was held at a beautiful hotel."/>
        <s v="The receptionist greeted us warmly when we arrived."/>
        <s v="Keep your receipt in case you need to return the item."/>
        <s v="Everyone went to the party except John."/>
        <s v="There are always exceptions to every rule."/>
        <s v="Her performance in the competition was exceptional."/>
        <s v="The magazine published an excerpt from his new novel."/>
        <s v="His deception was discovered when the truth came out."/>
        <s v="The police will intercept the smugglers at the border."/>
        <s v="This recipe for chocolate cake is simple to follow."/>
        <s v="We anticipate heavy traffic during the holiday season."/>
        <s v="Each disciple followed the teacher's instructions carefully."/>
        <s v="You need discipline to practice piano every day."/>
        <s v="His rude comments precipitate her decision to leave."/>
        <s v="The school principal spoke at the graduation ceremony."/>
        <s v="The countries signed a reciprocal trade agreement."/>
        <s v="Honesty is an important principle in journalism."/>
        <s v="Students eagerly participate in the science fair."/>
        <s v="Soldiers occupy the abandoned building during the exercise."/>
        <s v="Thoughts of the upcoming exam preoccupy her mind."/>
        <s v="He was too preoccupied with work to notice the time."/>
        <s v="My car needs new tires before winter."/>
        <s v="The ship carries cargo between international ports."/>
        <s v="The carpenter built beautiful wooden furniture."/>
        <s v="She pushed the shopping cart through the grocery store."/>
        <s v="I bought a carton of milk at the supermarket."/>
        <s v="Can you help me carry these heavy boxes?"/>
        <s v="The carrier delivered the package to the wrong address."/>
        <s v="The horse-drawn carriage took the tourists around the old city."/>
        <s v="She has had a successful career in medicine."/>
        <s v="His charisma made him popular among voters."/>
        <s v="The artist will carve a statue from the marble block."/>
        <s v="The hotel will charge you for room service."/>
        <s v="The doctor will discharge the patient tomorrow."/>
        <s v="The road has a dangerous curve ahead."/>
        <s v="Her hair tends to curl in humid weather."/>
        <s v="The river current is too strong for swimming."/>
        <s v="You need to exchange your currency before traveling abroad."/>
        <s v="He is serving two concurrent prison sentences."/>
        <s v="The golf course has eighteen holes."/>
        <s v="The company will incur expenses during the expansion."/>
        <s v="The border incursion created tension between the countries."/>
        <s v="Earthquakes occur frequently in this region."/>
        <s v="His headaches tend to recur every month."/>
        <s v="Please park your car next to the curb."/>
        <s v="The teenager had to be home before curfew at 10:00 PM."/>
        <s v="Draw the curtain to block the bright sunlight."/>
        <s v="They went on a day excursion to the nearby island."/>
        <s v="I concur with your assessment of the situation."/>
        <s v="You should take care of your health."/>
        <s v="Be careful when crossing the street."/>
        <s v="His careless mistake cost the team the game."/>
        <s v="The climber was in a precarious position on the cliff."/>
        <s v="The charity raises money to help homeless people."/>
        <s v="I cherish the memories of my childhood."/>
        <s v="His childish behavior surprised everyone at the meeting."/>
        <s v="Scientists are working to find a cure for cancer."/>
        <s v="The plant has curative properties for skin conditions."/>
        <s v="The museum curator organized the new exhibition."/>
        <s v="She gets a manicure every two weeks."/>
        <s v="Lock all doors and windows to secure your home."/>
        <s v="He feels insecure about speaking in public."/>
        <s v="Firefighters will rescue the cat from the tree."/>
        <s v="The meaning of the poem is obscure to many readers."/>
        <s v="Your translation must be accurate and complete."/>
        <s v="The news report contained inaccurate information."/>
        <s v="Smoking can cause serious health problems."/>
        <s v="Proceed with caution on the icy road."/>
        <s v="Investors are cautious about the new stock market trend."/>
        <s v="Wearing sunscreen is a good precaution against sunburn."/>
        <s v="His illness was a valid excuse for missing class."/>
        <s v="Don't accuse someone without evidence."/>
        <s v="The book cover features a beautiful landscape."/>
        <s v="The insurance policy provides coverage for flood damage."/>
        <s v="Scientists discover new species in the rainforest every year."/>
        <s v="It took her months to recover from the accident."/>
        <s v="You will succeed if you work hard and stay focused."/>
        <s v="Hard work was the key to his success."/>
        <s v="The events occurred in rapid succession."/>
        <s v="We can proceed with the project after getting approval."/>
        <s v="The application process takes about two weeks."/>
        <s v="The doctor explained the surgical procedure in detail."/>
        <s v="A moment of silence will precede the concert."/>
        <s v="Our sales this month exceed our expectations."/>
        <s v="Don't eat excess sugar if you want to stay healthy."/>
        <s v="The coach criticized the team for excessive penalties."/>
        <s v="The floodwaters began to recede after the rain stopped."/>
        <s v="Children play outside during recess at school."/>
        <s v="The country is still recovering from the economic recession."/>
        <s v="The pronoun should agree with its antecedent in a sentence."/>
        <s v="My ancestor came to America in the 1800s."/>
        <s v="You need a password to access the secure website."/>
        <s v="The new building is fully accessible for people with disabilities."/>
        <s v="The remote village was inaccessible during the rainy season."/>
        <s v="She wore a colorful scarf as an accessory to her outfit."/>
        <s v="It's necessary to have a passport for international travel."/>
        <s v="Your absence will necessitate a change in our plans."/>
        <s v="The new manager is more efficient than his predecessor."/>
        <s v="The fighting will cease once the peace agreement is signed."/>
        <s v="The baby's ceaseless crying kept everyone awake."/>
        <s v="The family was notified of his decease while abroad."/>
        <s v="The car accident happened on a rainy night."/>
        <s v="The discovery was accidental but very important."/>
        <s v="He reported the incident to the police immediately."/>
        <s v="The music is incidental to the main story in the film."/>
        <s v="Did you receive the package I sent?"/>
        <s v="People often perceive things differently based on their experiences."/>
        <s v="They were unable to conceive a child naturally."/>
        <s v="Don't try to deceive me with false promises."/>
        <s v="His deceitful behavior destroyed their trust."/>
        <s v="The prisoner was confined to his cell for 23 hours daily."/>
        <s v="We store wine in the cool cellar beneath the house."/>
        <s v="The magician will conceal the rabbit under his hat."/>
        <s v="The living room has a high ceiling with decorative molding."/>
        <s v="The telescope provides a clear view of celestial bodies."/>
        <s v="We celebrate Independence Day on July 4th."/>
        <s v="The celebrity arrived surrounded by photographers."/>
        <s v="She continues to excel in mathematics competitions."/>
        <s v="The restaurant serves excellent food at reasonable prices."/>
        <s v="The car can accelerate from 0 to 60 mph in six seconds."/>
        <s v="This old coin is worth more than one cent."/>
        <s v="Measure the length in centimeter for more accuracy."/>
        <s v="The castle was built in the 16th century."/>
        <s v="The jury found the defendant innocent of all charges."/>
        <s v="Children have a natural innocence about the world."/>
        <s v="He is a decent man who always helps others."/>
        <s v="The chief of police announced new safety measures."/>
        <s v="The restaurant hired a French chef."/>
        <s v="The children were full of mischief during the sleepover."/>
        <s v="You can achieve your goals with determination."/>
        <s v="He offered her a handkerchief to dry her tears."/>
        <s v="We need to decide on a location for the conference."/>
        <s v="She has a decided advantage in the competition."/>
        <s v="His decisive leadership helped during the crisis."/>
        <s v="The bridge has barriers to prevent suicide attempts."/>
        <s v="Use insecticide carefully around pets and children."/>
        <s v="Organic farmers avoid using chemical pesticide."/>
        <s v="Use scissors to cut along the dotted line."/>
        <s v="His concise explanation was easy to understand."/>
        <s v="The experiment requires precise measurements."/>
        <s v="Regular exercise is important for good health."/>
        <s v="Always cite your sources in a research paper."/>
        <s v="My daughter has a piano recital next Saturday."/>
        <s v="His speech might incite violence among the protesters."/>
        <s v="The news about the school trip will excite the children."/>
        <s v="The artist sculpted a beautiful vase from clay."/>
        <s v="The Scottish clan has its own tartan pattern."/>
        <s v="The cat used its sharp claw to catch the mouse."/>
        <s v="There was a clash between protesters and police."/>
        <s v="The loud crash woke everyone up."/>
        <s v="Please clean your room before guests arrive."/>
        <s v="This soap will cleanse and moisturize your skin."/>
        <s v="Let me clarify what I meant in my previous email."/>
        <s v="You must declare all items when going through customs."/>
        <s v="The Declaration of Independence was signed in 1776."/>
        <s v="Use a clip to keep the papers together."/>
        <s v="The wet shirt will cling to your body."/>
        <s v="She had to clutch the railing during the earthquake."/>
        <s v="The medical clinic offers free vaccinations."/>
        <s v="The lawyer met with her client to discuss the case."/>
        <s v="His final argument helped clinch the debate."/>
        <s v="The road has a steep incline that's difficult to climb."/>
        <s v="I'm not inclined to accept his offer right now."/>
        <s v="He had to decline the invitation due to prior commitments."/>
        <s v="Please close the door when you leave."/>
        <s v="Her closet is full of shoes and dresses."/>
        <s v="The company must disclose financial information to investors."/>
        <s v="I will enclose a check with my application form."/>
        <s v="The zoo built a new enclosure for the elephants."/>
        <s v="The price includes breakfast and dinner."/>
        <s v="We can conclude from the evidence that he is innocent."/>
        <s v="The DNA test provided conclusive proof of his identity."/>
        <s v="Bad weather might preclude our trip to the beach."/>
        <s v="The club decided to exclude members who break the rules."/>
        <s v="His exclusion from the team was due to poor performance."/>
        <s v="The hotel offers exclusive access to a private beach."/>
        <s v="This product is sold exclusively in our stores."/>
        <s v="They spent their honeymoon in a secluded beach cottage."/>
        <s v="Dark cloud gathered before the storm."/>
        <s v="Japanese culture has a rich history and traditions."/>
        <s v="Farmers cultivate rice in the fertile valley."/>
        <s v="Sustainable agriculture aims to protect the environment."/>
        <s v="The school switched to coeducation in the 1970s."/>
        <s v="The basketball coach gives advice to the players."/>
        <s v="She graduated from college with a degree in engineering."/>
        <s v="My coworker helped me finish the project on time."/>
        <s v="My cousin from Canada is visiting us next month."/>
        <s v="The team's strategy needs to cohere with company goals."/>
        <s v="His explanation was logical and coherent."/>
        <s v="The patient was incoherent after taking the medication."/>
        <s v="Team cohesion is important for successful projects."/>
        <s v="Programmers write code to create software applications."/>
        <s v="The laws were codify in the new constitution."/>
        <s v="The snake will coil around the branch."/>
        <s v="Many people covet fame and fortune."/>
        <s v="It's common to feel nervous before a presentation."/>
        <s v="We communicate primarily by email at work."/>
        <s v="The community organized a cleanup day at the local park."/>
        <s v="The company employs over 500 people."/>
        <s v="I need a new computer for my graphic design work."/>
        <s v="Combine flour and butter to make the pastry dough."/>
        <s v="The concert will commence at 8:00 PM."/>
        <s v="Athletes from many countries compete in the Olympics."/>
        <s v="International commerce has increased with globalization."/>
        <s v="Let's compare prices before making a decision."/>
        <s v="The company will compensate employees for overtime work."/>
        <s v="Coffee is an important commodity for many countries."/>
        <s v="We have tickets for the rock concert next weekend."/>
        <s v="Environmental pollution is a major concern worldwide."/>
        <s v="The pilot must maintain control of the aircraft at all times."/>
        <s v="The foundation of the building is made of concrete."/>
        <s v="Are you content with your current job?"/>
        <s v="The company plans to consolidate its operations in one location."/>
        <s v="The core of the apple contains seeds."/>
        <s v="The host gave us a cordial welcome."/>
        <s v="You are cordially invited to attend the wedding ceremony."/>
        <s v="It takes courage to stand up for what you believe in."/>
        <s v="Parents should encourage their children to read."/>
        <s v="High prices discourage many potential buyers."/>
        <s v="The electrical cord is too short to reach the outlet."/>
        <s v="He played a G major chord on the guitar."/>
        <s v="The treaty established concord between the two nations."/>
        <s v="Their views are in accord with our policies."/>
        <s v="She holds the world record for the marathon."/>
        <s v="Can you count the number of stars in the sky?"/>
        <s v="I need to open a bank account."/>
        <s v="An accountant helps with tax preparation and financial planning."/>
        <s v="The store offers a 20% discount on all shoes."/>
        <s v="Japan is a beautiful country with rich traditions."/>
        <s v="Order your coffee at the counter over there."/>
        <s v="His strong counterblow surprised his opponent."/>
        <s v="She met with her counterpart from the French company."/>
        <s v="We had a chance encounter with an old friend at the airport."/>
        <s v="Contrary to popular belief, bats are not blind."/>
        <s v="New evidence seems to contradict his earlier statement."/>
        <s v="Artists create beautiful works from simple materials."/>
        <s v="The creator of this painting is unknown."/>
        <s v="Children have creative minds full of imagination."/>
        <s v="Swimming is a popular recreation activity in summer."/>
        <s v="Be discreet when discussing confidential information."/>
        <s v="The course is divided into five discrete sections."/>
        <s v="House prices increase every year in this neighborhood."/>
        <s v="The salary increment was less than expected."/>
        <s v="The population of the village continues to decrease."/>
        <s v="Kidneys excrete waste products from the body."/>
        <s v="The airplane crew includes pilots and flight attendants."/>
        <s v="The army will recruit new soldiers this month."/>
        <s v="The crescent moon was visible in the night sky."/>
        <s v="Knitting is a traditional craft that remains popular."/>
        <s v="The wooden cabinet was made by a skilled craftsman."/>
        <s v="The aircraft landed safely despite the storm."/>
        <s v="The movie will screen at the local theater next week."/>
        <s v="The accident scene was cordoned off by police."/>
        <s v="Our team needs one more goal to tie the score."/>
        <s v="The train schedule shows arrival and departure times."/>
        <s v="The cat left a deep scratch on the wooden table."/>
        <s v="The children scream with delight on the roller coaster."/>
        <s v="Don't throw away that scrap of paper with the phone number."/>
        <s v="I scrape my knee when I fell off the bicycle."/>
        <s v="The skyscraper dominates the city skyline."/>
        <s v="His scrawl was almost impossible to read."/>
        <s v="The surgery left a small scar on his arm."/>
        <s v="She wore a scarlet dress to the holiday party."/>
        <s v="The doctor will scan her brain to check for abnormalities."/>
        <s v="Wind will scatter leaves across the yard."/>
        <s v="The financial records are under close scrutiny."/>
        <s v="Experts scrutinize the painting to determine if it's authentic."/>
        <s v="You need to scrub the floor to remove the stain."/>
        <s v="Rub some lotion on your sunburned skin."/>
        <s v="The tires are made of durable rubber."/>
        <s v="Please put your rubbish in the bin."/>
        <s v="The hot pan will scorch the tablecloth."/>
        <s v="Use the bathroom scale to check your weight."/>
        <s v="The conflict could escalate into a serious war."/>
        <s v="Scroll down the page to read more information."/>
        <s v="The marble sculpture depicts a Greek goddess."/>
        <s v="The hikers will ascend the mountain tomorrow."/>
        <s v="The plane began to descend toward the airport."/>
        <s v="The roller coaster's steep descent terrified the children."/>
        <s v="He is a direct descendant of the royal family."/>
        <s v="The actress memorized her script before filming."/>
        <s v="Many people find guidance in religious scripture."/>
        <s v="The ancient manuscript was discovered in a monastery."/>
        <s v="She added a postscript at the end of her letter."/>
        <s v="It's important to encrypt sensitive data for security."/>
        <s v="The medieval scribe copied religious texts by hand."/>
        <s v="The child's scribble looked like a face to his parents."/>
        <s v="The doctor will prescribe antibiotics for your infection."/>
        <s v="Can you describe the person who took your bag?"/>
        <s v="I subscribe to several digital news services."/>
        <s v="The author will inscribe your book with a personal message."/>
        <s v="Critics ascribe the painting's success to its unique use of color."/>
        <s v="They went on their first date to a nice restaurant."/>
        <s v="This computer manual is outdated and no longer useful."/>
        <s v="Keep your software up-to-date to protect against viruses."/>
        <s v="The sun shines brightly during the day."/>
        <s v="She writes in her diary every night before bed."/>
        <s v="The dairy farm produces milk, cheese, and yogurt."/>
        <s v="Birds begin singing at dawn."/>
        <s v="The boxer was in a daze after being hit."/>
        <s v="Standing up too quickly made me feel dizzy."/>
        <s v="The ocean is very deep in this area."/>
        <s v="The depth of the swimming pool increases gradually."/>
        <s v="Don't dip your fingers in the chocolate fountain."/>
        <s v="The teacher will demonstrate how to solve the equation."/>
        <s v="Japan has been a democracy since after World War II."/>
        <s v="That bird species is endemic to the Hawaiian islands."/>
        <s v="The flu epidemic affected thousands of people."/>
        <s v="The bear hibernates in its den during winter."/>
        <s v="The accident left a small dent in my car door."/>
        <s v="I have an appointment with my dentist next Tuesday."/>
        <s v="The forest is too dense to walk through easily."/>
        <s v="The area is densely populated with high-rise apartments."/>
        <s v="The density of water is one gram per cubic centimeter."/>
        <s v="You need to condense your essay to 500 words."/>
        <s v="She wears a beautiful diamond ring on her finger."/>
        <s v="Dial 911 in case of emergency."/>
        <s v="The diameter of the circle is twice its radius."/>
        <s v="People with diabetes need to monitor their blood sugar levels."/>
        <s v="She speaks a regional dialect that I find difficult to understand."/>
        <s v="The doctor will diagnose the cause of your symptoms."/>
        <s v="Actors must have clear diction to be understood on stage."/>
        <s v="Use a dictionary to look up words you don't know."/>
        <s v="The manager will dictate a letter to his secretary."/>
        <s v="The dictator ruled the country with an iron fist."/>
        <s v="A drug addict needs professional help to recover."/>
        <s v="Fever is often an indication of infection."/>
        <s v="His nervous behavior was indicative of guilt."/>
        <s v="There is a contradiction between his statement and the evidence."/>
        <s v="The witnesses gave contradictory accounts of the accident."/>
        <s v="The grand jury voted to indict the suspect on multiple charges."/>
        <s v="It's a paradox that the more choices we have, the harder it is to choose."/>
        <s v="The jury reached a verdict after three days of deliberation."/>
        <s v="She decided to dedicate her life to helping others."/>
        <s v="His dedication to the project impressed everyone."/>
        <s v="Meteorologists try to predict weather patterns accurately."/>
        <s v="The car is in excellent condition despite its age."/>
        <s v="Make an appointment with your doctor if symptoms persist."/>
        <s v="The religious doctrine provides guidance for believers."/>
        <s v="Please sign this document and return it to us."/>
        <s v="The researcher documented all his findings carefully."/>
        <s v="We watched an interesting documentary about ocean life."/>
        <s v="The cathedral has a magnificent dome."/>
        <s v="Expertise in mathematics is not my domain."/>
        <s v="The tall buildings dominate the city skyline."/>
        <s v="The team's dominance in the league is impressive."/>
        <s v="Cats make wonderful domestic pets."/>
        <s v="The patient complained of pain in the lower abdomen."/>
        <s v="The volcano has been dormant for centuries."/>
        <s v="Most first-year students live in the university dormitory."/>
        <s v="She decided to donate money to the children's hospital."/>
        <s v="Your donation will help feed homeless families."/>
        <s v="Blood donors save many lives every year."/>
        <s v="I cannot condone such inappropriate behavior."/>
        <s v="Pardon me, but could you repeat the question?"/>
        <s v="The wealthy alumni will endow a new scholarship fund."/>
        <s v="The duck swam gracefully across the pond."/>
        <s v="The basketball player made an impressive dunk shot."/>
        <s v="Please don't dump trash in the park."/>
        <s v="She dumped all her old clothes in the donation bin."/>
        <s v="Farmers use animal dung as fertilizer."/>
        <s v="The medieval castle had a dark dungeon for prisoners."/>
        <s v="They will dub the movie into several languages."/>
        <s v="The duke owned large estates in the countryside."/>
        <s v="Your assignment is due next Monday."/>
        <s v="It's my duty to report any safety violations."/>
        <s v="The birds return to their nests at dusk."/>
        <s v="Please dust the furniture before guests arrive."/>
        <s v="The air conditioning duct needs cleaning."/>
        <s v="The professor will conduct research during the summer."/>
        <s v="The athlete was suspended for misconduct."/>
        <s v="They will induct new members into the club next month."/>
        <s v="The company will deduct taxes from your paycheck."/>
        <s v="The kidnappers tried to abduct the wealthy businessman."/>
        <s v="This farm produces organic vegetables year-round."/>
        <s v="Scientists were able to reproduce the experimental results."/>
        <s v="Stress can induce headaches in many people."/>
        <s v="Let me introduce you to my colleague."/>
        <s v="The teacher will educe correct answers from the students."/>
        <s v="Parents and teachers work together to educate children."/>
        <s v="The detective could deduce who committed the crime."/>
        <s v="We need to reduce our energy consumption."/>
        <s v="The store is offering a reduction in prices this weekend."/>
        <s v="These hiking boots are made of durable materials."/>
        <s v="The hikers had to endure freezing temperatures on the mountain."/>
        <s v="The broken dam caused flooding in the valley."/>
        <s v="The storm caused significant damage to the roof."/>
        <s v="The judge will condemn the unsafe building."/>
        <s v="Bad news can depress your mood."/>
        <s v="Economic depression led to high unemployment rates."/>
        <s v="Morning dew covered the grass."/>
        <s v="The deer ran swiftly through the forest."/>
        <s v="Handle that delicate glass vase with care."/>
        <s v="My greatest desire is to travel around the world."/>
        <s v="The hungry lions devour their prey quickly."/>
        <s v="High prices deter many potential customers."/>
        <s v="The security camera serves as a deterrent to thieves."/>
        <s v="I need to clean my desk before starting work."/>
        <s v="We sat on the deck enjoying the ocean view."/>
        <s v="The deaf student communicates using sign language."/>
        <s v="He continued to deny any involvement in the crime."/>
        <s v="The climber will defy gravity by scaling the vertical cliff."/>
        <s v="Violent movies might deprave young minds."/>
        <s v="The flood will destroy many homes in the area."/>
        <s v="They plan to demolish the old building next month."/>
        <s v="Workers cleared debris from the construction site."/>
        <s v="The court deemed the evidence inadmissible."/>
        <s v="You can redeem your points for free merchandise."/>
        <s v="The movie tells a powerful story of redemption."/>
        <s v="The devout worshippers attend services every week."/>
        <s v="Researchers delve into the mysteries of the universe."/>
        <s v="The train will depart from platform 3."/>
        <s v="Bad weather may delay our flight."/>
        <s v="The dialogue between the characters reveals their relationship."/>
        <s v="A mountain range divides the two countries."/>
        <s v="The division of labor made the work more efficient."/>
        <s v="The company pays a dividend to shareholders quarterly."/>
        <s v="This electronic device can translate 50 languages."/>
        <s v="Each individual has unique talents and abilities."/>
        <s v="She faced a dilemma when offered two jobs simultaneously."/>
        <s v="Your pupils dilate in dim light."/>
        <s v="The couple decided to divorce after ten years of marriage."/>
        <s v="The museum will display ancient artifacts from Egypt."/>
        <s v="There is a discrepancy between the two financial reports."/>
        <s v="The outline of the mountains was barely discernible through the fog."/>
        <s v="Economic hardship leads to discontent among citizens."/>
        <s v="I dislike waiting in long lines."/>
        <s v="The virus can disable important computer functions."/>
        <s v="Police ordered the crowd to disperse."/>
        <s v="The dispersion of seeds ensures plant survival."/>
        <s v="To our dismay, the concert was canceled."/>
        <s v="It would be dumb to swim in such dangerous waters."/>
        <s v="The crash test dummy helps evaluate vehicle safety."/>
        <s v="The detective found a dumdum bullet at the crime scene."/>
        <s v="The knife has become dull and needs sharpening."/>
        <s v="I am dubious about his ability to finish on time."/>
        <s v="I doubt that it will rain tomorrow."/>
        <s v="The human ear can detect a wide range of sounds."/>
        <s v="Please arrive early for the interview."/>
        <s v="Can you hear the birds singing?"/>
        <s v="Please enter your password to access the system."/>
        <s v="Your diary entry from last year is quite interesting."/>
        <s v="The entrance to the cave was hidden behind rocks."/>
        <s v="The corporation is a legal entity separate from its owners."/>
        <s v="Fresh cookies entice customers into the bakery."/>
        <s v="The speaker was able to engage the audience throughout the lecture."/>
        <s v="Their engagement was announced in the local newspaper."/>
        <s v="Completing the course will entitle you to a certificate."/>
        <s v="The city environs include several small villages."/>
        <s v="We must protect the environment for future generations."/>
        <s v="Scientific research is a worthy endeavor."/>
        <s v="Her enthusiasm for the project inspired the whole team."/>
        <s v="The children were enthusiastic about the field trip."/>
        <s v="Oxygen is essential for human survival."/>
        <s v="The two proposals are essentially the same."/>
        <s v="Good lighting can enhance the appearance of a room."/>
        <s v="Do we have enough food for everyone?"/>
        <s v="Pollution continues to endanger many species."/>
        <s v="You can enroll in the course online."/>
        <s v="University enrollment increased significantly this year."/>
        <s v="Can you see the ship on the horizon?"/>
        <s v="Police seek witnesses to the accident."/>
        <s v="The child took a peek at his birthday presents."/>
        <s v="Most people need eight hours of sleep each night."/>
        <s v="The long drive made me feel sleepy."/>
        <s v="Water began to seep through the crack in the ceiling."/>
        <s v="Keep your ticket until the end of the journey."/>
        <s v="The mourners weep quietly at the funeral."/>
        <s v="I work five days per week."/>
        <s v="I feel happy when I listen to this song."/>
        <s v="She broke the heel of her shoe while running."/>
        <s v="You should heed the weather warning and stay inside."/>
        <s v="His greed for power led to his downfall."/>
        <s v="She has a keen interest in modern art."/>
        <s v="I need to write an essay about climate change."/>
        <s v="What did the doctor say about your test results?"/>
        <s v="Security guards will escort the VIP to the hotel."/>
        <s v="The company wants to establish a new branch in Asia."/>
        <s v="Have you ever visited London?"/>
        <s v="True friendship lasts forever."/>
        <s v="Every child deserves quality education."/>
        <s v="She didn't even call to explain why she was late."/>
        <s v="Distribute the workload evenly among team members."/>
        <s v="The table wobbles because the legs are uneven."/>
        <s v="We're having dinner guests this evening."/>
        <s v="The villain in the movie represents evil."/>
        <s v="The devil's advocate argues against popular opinion."/>
        <s v="Change is inevitable in any organization."/>
        <s v="The annual county fair attracts thousands of visitors."/>
        <s v="Many companies recruit at the university job fair."/>
        <s v="The business affair required careful negotiation."/>
        <s v="Children love stories about fairies and magic."/>
        <s v="Cinderella is a classic fairy tale."/>
        <s v="The actor achieved international fame after the movie."/>
        <s v="Paris is famous for its beautiful architecture."/>
        <s v="He is a big fan of jazz music."/>
        <s v="Her fancy dress impressed everyone at the party."/>
        <s v="His fantasy is to become an astronaut."/>
        <s v="The project is still in its infancy."/>
        <s v="The boxer had to fend off a series of punches."/>
        <s v="The wooden fence surrounds the garden."/>
        <s v="The lawyer will defend his client in court."/>
        <s v="I didn't mean to offend you with my comment."/>
        <s v="His remarks were considered offensive by many people."/>
        <s v="We took the ferry across the river."/>
        <s v="Many people suffer from back pain."/>
        <s v="The Nile Valley has fertile soil for agriculture."/>
        <s v="Farmers fertilize crops to increase yields."/>
        <s v="The company will offer you a competitive salary."/>
        <s v="The doctors confer about the patient's treatment."/>
        <s v="The scientific conference attracts researchers from around the world."/>
        <s v="Our opinions differ on this issue."/>
        <s v="Each snowflake has a different pattern."/>
        <s v="Can you differentiate between the twins?"/>
        <s v="We should defer the decision until next week."/>
        <s v="He spoke with deference to the elderly professor."/>
        <s v="The article includes several references to previous studies."/>
        <s v="From his smile, I could infer that he had good news."/>
        <s v="The detective made an inference based on the evidence."/>
        <s v="I prefer tea to coffee in the morning."/>
        <s v="You need to transfer to the blue line at the next station."/>
        <s v="Birds fly south for the winter."/>
        <s v="Our flight to Tokyo was delayed by two hours."/>
        <s v="The Olympic flag has five colored rings."/>
        <s v="A snowflake fell on her outstretched hand."/>
        <s v="The flimsy chair broke under his weight."/>
        <s v="She plays the flute in the school orchestra."/>
        <s v="Butterflies flutter among the flowers."/>
        <s v="The cat's tail is covered with soft fluff."/>
        <s v="Refugees flee their country to escape danger."/>
        <s v="The navy's fleet includes several aircraft carriers."/>
        <s v="The dog scratched because it had fleas."/>
        <s v="She would fling open the windows on sunny mornings."/>
        <s v="Flip the pancake when bubbles appear on the surface."/>
        <s v="The bird's wings flap rapidly during flight."/>
        <s v="With a flick of his wrist, the magician made the coin disappear."/>
        <s v="Stock prices fluctuate throughout the trading day."/>
        <s v="Temperature fluctuation can damage sensitive equipment."/>
        <s v="He heard a flump as the heavy book fell to the floor."/>
        <s v="If you don't study, you might flunk the exam."/>
        <s v="The cat is sleeping on the floor."/>
        <s v="Heavy rain caused the river to flood."/>
        <s v="Water is the most common fluid on Earth."/>
        <s v="The organization is in a state of flux during the transition."/>
        <s v="The city experienced an influx of tourists during the festival."/>
        <s v="Athletes flex their muscles before competition."/>
        <s v="Having a flexible schedule allows me to balance work and family."/>
        <s v="Her cheeks flush red when she's embarrassed."/>
        <s v="After living in France for five years, she became fluent in French."/>
        <s v="Parents have a strong influence on their children."/>
        <s v="She is an influential leader in the community."/>
        <s v="Influenza spreads rapidly during winter months."/>
        <s v="Wood will float on water."/>
        <s v="The thorn pierced the flesh of his finger."/>
        <s v="Vanilla is my favorite ice cream flavor."/>
        <s v="I live in a flat on the third floor."/>
        <s v="We had a flat tire on the highway."/>
        <s v="His compliments flatter her."/>
        <s v="You need to deflate the balloon slightly."/>
        <s v="Inflate your tires to the recommended pressure."/>
        <s v="Inflation causes prices to rise over time."/>
        <s v="The still lake reflects the mountains perfectly."/>
        <s v="The conflict between the two countries lasted for years."/>
        <s v="Don't inflict your bad mood on others."/>
        <s v="Malaria continues to afflict millions of people worldwide."/>
        <s v="Poverty is an affliction that affects many communities."/>
        <s v="The flower blooms in early spring."/>
        <s v="You need two cups of flour for this recipe."/>
        <s v="The Amazon rainforest has diverse flora."/>
        <s v="The florist created a beautiful wedding bouquet."/>
        <s v="Plants flourish with the right amount of water and sunlight."/>
        <s v="Please forward my mail to my new address."/>
        <s v="The speaker put forth several interesting ideas."/>
        <s v="Can you afford to buy a new car this year?"/>
        <s v="The government aims to provide affordable housing."/>
        <s v="It's important to forgive others for their mistakes."/>
        <s v="Don't forget to lock the door when you leave."/>
        <s v="The blacksmith will forge a new sword."/>
        <s v="Use your fork to eat the pasta."/>
        <s v="Folk music reflects the traditions of a culture."/>
        <s v="Our forefathers established this community 200 years ago."/>
        <s v="No one could foresee the economic crisis."/>
        <s v="The project should be completed in the foreseeable future."/>
        <s v="The expedition faced unforeseen difficulties."/>
        <s v="The weather forecast predicts rain tomorrow."/>
        <s v="Many animals live in the forest."/>
        <s v="Safety is the foremost concern in this operation."/>
        <s v="The construction foreman supervises the workers."/>
        <s v="He injured his forearm during the tennis match."/>
        <s v="Use your forefinger to press the button."/>
        <s v="She felt his forehead to check for fever."/>
        <s v="Children built a snow fort in the yard."/>
        <s v="Calcium helps to fortify your bones."/>
        <s v="The ancient fortress stood on top of the hill."/>
        <s v="He made a fortune in real estate."/>
        <s v="Losing his job was a misfortune, but he found a better one."/>
        <s v="We were fortunate to find tickets for the sold-out concert."/>
        <s v="The new sofa provides comfort for the whole family."/>
        <s v="It takes effort to learn a new language."/>
        <s v="The wind force bent the trees."/>
        <s v="My brother serves in the airforce."/>
        <s v="Police enforce traffic laws on the highway."/>
        <s v="Steel rods reinforce the concrete structure."/>
        <s v="The bridge needs reinforcement to support heavy trucks."/>
        <s v="Fill out this form with your personal information."/>
        <s v="Sea waves create white foam on the beach."/>
        <s v="You should wear formal attire to the wedding."/>
        <s v="Cloud formation indicates changing weather patterns."/>
        <s v="The formula for water is H2O."/>
        <s v="Heat can deform plastic containers."/>
        <s v="Please inform me if there are any changes to the plan."/>
        <s v="The website provides useful information about the city."/>
        <s v="The documentary was both entertaining and informative."/>
        <s v="Students must conform to school dress code."/>
        <s v="Conformity to social norms is expected in many situations."/>
        <s v="The government introduced education reform last year."/>
        <s v="The band will perform at the festival this weekend."/>
        <s v="Her performance in the play received excellent reviews."/>
        <s v="Police officers wear a blue uniform."/>
        <s v="The mattress is too firm for me."/>
        <s v="The court will affirm the previous ruling."/>
        <s v="Please confirm your appointment by email."/>
        <s v="You should reconfirm your flight 24 hours before departure."/>
        <s v="The infirm elderly man needed assistance walking."/>
        <s v="Handle the fragile glass with care."/>
        <s v="Archaeologists found a fragment of ancient pottery."/>
        <s v="Only fragmentary evidence of the civilization remains."/>
        <s v="The fragrance of fresh flowers filled the room."/>
        <s v="There's a beautiful garden in front of the house."/>
        <s v="Space is the final frontier for human exploration."/>
        <s v="Her research puts her at the forefront of medical science."/>
        <s v="We must confront the problem directly."/>
        <s v="His rude behavior was an affront to everyone present."/>
        <s v="It's a fact that water freezes at zero degrees Celsius."/>
        <s v="Cost is an important factor in my decision."/>
        <s v="The chocolate factory produces thousands of bars daily."/>
        <s v="They manufacture cars in this plant."/>
        <s v="The manufacturer offers a two-year warranty."/>
        <s v="The sports facility includes a swimming pool and tennis courts."/>
        <s v="Good translation services facilitate international communication."/>
        <s v="Before email, people sent documents by facsimile (fax)."/>
        <s v="The university faculty includes renowned researchers."/>
        <s v="No one is perfect; everyone makes mistakes."/>
        <s v="Bacteria can infect a wound if it's not cleaned properly."/>
        <s v="Laughter is infectious; it spreads quickly through a group."/>
        <s v="The product had a minor defect in its design."/>
        <s v="Return defective merchandise for a full refund."/>
        <s v="Cold weather can affect crop yields."/>
        <s v="She showed affection by hugging her grandmother."/>
        <s v="The medicine had an immediate effect on the pain."/>
        <s v="She manages her time effectively to complete all tasks."/>
        <s v="The old treatment proved ineffective against the new strain."/>
        <s v="LED bulbs are more efficient than traditional incandescent bulbs."/>
        <s v="Wash your face before going to bed."/>
        <s v="The diamond has many facets that reflect light."/>
        <s v="The surface of the lake was perfectly calm."/>
        <s v="The author wrote a preface explaining his motivation."/>
        <s v="The software has a user-friendly interface."/>
        <s v="Time will efface the writing on the stone."/>
        <s v="She enjoys reading science fiction novels."/>
        <s v="My office is on the tenth floor."/>
        <s v="The police officer directed traffic after the accident."/>
        <s v="The company reported a budget deficit last year."/>
        <s v="The soil is deficient in essential nutrients."/>
        <s v="The flower looked so artificial that no one believed it was real."/>
        <s v="He has only superficial knowledge about the topic."/>
        <s v="Do we have sufficient supplies for the project?"/>
        <s v="She is proficient in three languages."/>
        <s v="Learning Chinese can be difficult for English speakers."/>
        <s v="Morning traffic is always heavy in the city center."/>
        <s v="You will receive a certificate upon completion of the course."/>
        <s v="You need three years of experience to qualify for this position."/>
        <s v="The athlete was disqualified for breaking the rules."/>
        <s v="The explanation did not satisfy the curious child."/>
        <s v="Customer satisfaction is our primary goal."/>
        <s v="Employee dissatisfaction led to high turnover rates."/>
        <s v="Use a microscope to magnify tiny organisms."/>
        <s v="These shoes fit me perfectly."/>
        <s v="She bought a new outfit for the party."/>
        <s v="Regular exercise has many health benefits."/>
        <s v="The company reported higher profits this year."/>
        <s v="The charity fund supports medical research."/>
        <s v="The school organized a fundraiser to buy new computers."/>
        <s v="The store offers a full refund if you're not satisfied."/>
        <s v="Understanding gravity is fundamental to physics."/>
        <s v="The founder of the company started with just one small shop."/>
        <s v="The house has a solid foundation of concrete."/>
        <s v="The experience had a profound effect on his life."/>
        <s v="Children play near the fountain in the park."/>
        <s v="The electrician had to replace the fuse after the power surge."/>
        <s v="Nuclear fusion could provide clean energy in the future."/>
        <s v="Mint leaves infuse the tea with fresh flavor."/>
        <s v="The lampshade helps diffuse the bright light."/>
        <s v="Don't confuse the twins - Tom has a scar on his chin."/>
        <s v="I refuse to believe that he would lie to me."/>
        <s v="The gene for blue eyes is recessive."/>
        <s v="Scientists mapped the human genome in 2003."/>
        <s v="Some diseases have a genetic basis."/>
        <s v="Wind turbines generate electricity."/>
        <s v="Without proper care, the situation will degenerate quickly."/>
        <s v="The hospital has a backup generator for power outages."/>
        <s v="Each generation faces unique challenges."/>
        <s v="Jazz is my favorite music genre."/>
        <s v="The general information session is open to everyone."/>
        <s v="My grandmother is always generous with her time."/>
        <s v="Be gentle when handling the baby."/>
        <s v="The elderly gentleman offered his seat to the pregnant woman."/>
        <s v="The host's genial manner made everyone feel welcome."/>
        <s v="They work well together in a congenial atmosphere."/>
        <s v="The genesis of the project was a conversation at lunch."/>
        <s v="Einstein was a scientific genius."/>
        <s v="The engineer found an ingenious solution to the problem."/>
        <s v="Her smile was genuine and warm."/>
        <s v="He was born with a congenital heart defect."/>
        <s v="Some languages assign gender to nouns."/>
        <s v="The meeting agenda includes five main topics."/>
        <s v="The car engine started with a roar."/>
        <s v="The civil engineer designed the new bridge."/>
        <s v="He made a gesture of welcome with his hand."/>
        <s v="Can you suggest a good restaurant nearby?"/>
        <s v="Too many vehicles congest the roads during rush hour."/>
        <s v="Traffic congestion is worst on Friday afternoons."/>
        <s v="It takes time to digest heavy meals."/>
        <s v="Please register online before the conference."/>
        <s v="The glass of water fell and shattered on the floor."/>
        <s v="The magazine provides a gloss of current fashion trends."/>
        <s v="Children love crafts with glitter."/>
        <s v="The fireflies glow in the dark forest."/>
        <s v="The team returned home in glory after winning the championship."/>
        <s v="I'm glad you could come to the party."/>
        <s v="Her eyes gleam with excitement."/>
        <s v="She took a quick glance at her watch."/>
        <s v="The sun's glare made it difficult to see."/>
        <s v="The doctor made a diagnosis based on the test results."/>
        <s v="Children develop cognitive skills through play."/>
        <s v="The pregnant woman is due next month."/>
        <s v="Did you recognize the actor in that old movie?"/>
        <s v="Don't ignore the warning signs of illness."/>
        <s v="The child's face lit up with a wide grin."/>
        <s v="Plants grow faster in warm weather."/>
        <s v="Economic growth has slowed in recent months."/>
        <s v="Rice is an important grain in many diets."/>
        <s v="You need to grind the coffee beans before brewing."/>
        <s v="The grass needs cutting after the rain."/>
        <s v="Cattle were grazing peacefully in the meadow."/>
        <s v="The study group meets every Wednesday."/>
        <s v="The host will greet guests at the door."/>
        <s v="People grumble about the higher taxes."/>
        <s v="The dog began to growl at the stranger."/>
        <s v="The audience let out a collective groan at the bad joke."/>
        <s v="The family experienced profound grief after their loss."/>
        <s v="It takes time to grieve after losing someone you love."/>
        <s v="The teacher will grade the exams this weekend."/>
        <s v="There was a gradual improvement in her condition."/>
        <s v="The pain gradually subsided as the medicine took effect."/>
        <s v="My sister will graduate from university next month."/>
        <s v="He is an undergraduate student in chemistry."/>
        <s v="Flour is the main ingredient in bread."/>
        <s v="The movie received great reviews from critics."/>
        <s v="Everyone gathered to congratulate the bride and groom."/>
        <s v="I'm grateful for your help during this difficult time."/>
        <s v="It would gratify me to see you succeed."/>
        <s v="She expressed her gratitude for the thoughtful gift."/>
        <s v="Do you agree with the decision?"/>
        <s v="The two companies signed an agreement yesterday."/>
        <s v="There was a disagreement about how to proceed."/>
        <s v="She earned a degree in psychology."/>
        <s v="The aggregate score determines the winner of the competition."/>
        <s v="Some schools used to segregate students by gender."/>
        <s v="Teenagers often congregate at the mall after school."/>
        <s v="The congress meets to debate new laws."/>
        <s v="The patient is making progress in her recovery."/>
        <s v="The school adopts progressive teaching methods."/>
        <s v="The dog became aggressive when protecting its food."/>
        <s v="They visited their grandfather's grave on Memorial Day."/>
        <s v="The doctor looked gravely at the test results."/>
        <s v="The driveway is covered with gravel."/>
        <s v="The jeweler will engrave your initials on the ring."/>
        <s v="Stress can aggravate health problems."/>
        <s v="The tour guide explained the history of the castle."/>
        <s v="Follow these guidelines when applying for the grant."/>
        <s v="Students receive guidance from school counselors."/>
        <s v="The security guard patrols the building at night."/>
        <s v="The manufacturer offers a three-year guarantee on this product."/>
        <s v="Trust your gut feeling when making important decisions."/>
        <s v="The gutter collects rainwater from the roof."/>
        <s v="A gust of wind blew my hat off."/>
        <s v="The moldy food in the refrigerator filled her with disgust."/>
        <s v="Oil began to gush from the broken pipe."/>
        <s v="He took a gulp of water after the long run."/>
        <s v="The seagull flew over the beach looking for food."/>
        <s v="Can you guess what I'm thinking?"/>
        <s v="Her explanation was too vague to be helpful."/>
        <s v="Bell-bottom pants were in vogue during the 1970s."/>
        <s v="The siblings argue about which movie to watch."/>
        <s v="The lawyer presented a convincing argument to the jury."/>
        <s v="The starting gun signals the beginning of the race."/>
        <s v="We have invited twenty guests to the wedding."/>
        <s v="He plays the guitar in a rock band."/>
        <s v="I have two brothers and one sister."/>
        <s v="The teacher rewards good behavior in the classroom."/>
        <s v="The student received detention for his misbehavior."/>
        <s v="Reading before bed is a good habit."/>
        <s v="His habitual lateness annoyed his colleagues."/>
        <s v="Indigenous tribes inhabit the Amazon rainforest."/>
        <s v="The small island has about 500 inhabitants."/>
        <s v="The zoo recreates the natural habitat of each animal."/>
        <s v="The museum will exhibit paintings by local artists."/>
        <s v="Fear can inhibit creativity."/>
        <s v="The rules prohibit smoking inside the building."/>
        <s v="Raise your hand if you know the answer."/>
        <s v="The suitcase has a broken handle."/>
        <s v="He grabbed a handful of popcorn from the bowl."/>
        <s v="The employee handbook explains company policies."/>
        <s v="She kept her wallet in her handbag."/>
        <s v="The actor is known for his handsome features."/>
        <s v="The thief was prehend by security guards."/>
        <s v="Police apprehend the suspect after a brief chase."/>
        <s v="It's difficult to comprehend the vastness of the universe."/>
        <s v="Make your instructions comprehensible for beginners."/>
        <s v="The report provides a comprehensive analysis of the situation."/>
        <s v="The choir sang in perfect harmony."/>
        <s v="He played a blues tune on his harmonica."/>
        <s v="The angel is often depicted playing a harp."/>
        <s v="Diamonds are the hardest natural material."/>
        <s v="I could hardly hear his whisper."/>
        <s v="The desert climate is harsh and unforgiving."/>
        <s v="Farmers use a harness to control work horses."/>
        <s v="Farmers harvest wheat in late summer."/>
        <s v="The prince is heir to the throne."/>
        <s v="She will inherit the family business."/>
        <s v="The festival celebrates the cultural heritage of the region."/>
        <s v="Some traits are determined by heredity rather than environment."/>
        <s v="There is an inherent risk in any surgical procedure."/>
        <s v="Please shut the door when you leave."/>
        <s v="I need to shop for groceries this afternoon."/>
        <s v="My new shoe gives me a blister."/>
        <s v="He wore a blue shirt to the interview."/>
        <s v="Change the sheets on the bed weekly."/>
        <s v="She collected seashells on the beach."/>
        <s v="The hikers found shelter from the storm in a cave."/>
        <s v="The police officer used his shield for protection."/>
        <s v="The sheriff is responsible for law enforcement in the county."/>
        <s v="The prisoner's hands were bound with shackles."/>
        <s v="He carried the heavy backpack on his shoulder."/>
        <s v="A shroud of mist covered the valley."/>
        <s v="Children should play in the shallow end of the pool."/>
        <s v="We walked along the shore collecting shells."/>
        <s v="The farmer keeps a flock of sheep."/>
        <s v="The shepherd watched over his flock of sheep."/>
        <s v="The cookie is in the shape of a star."/>
        <s v="We sat in the shade of a large oak tree."/>
        <s v="The tall buildings cast long shadows in the evening sun."/>
        <s v="I will share my lunch with you."/>
        <s v="Each shareholder receives dividends based on their investment."/>
        <s v="His shabby clothes suggested he had fallen on hard times."/>
        <s v="He felt shame for his dishonest actions."/>
        <s v="Use this shampoo for dry hair."/>
        <s v="Snow is white."/>
        <s v="I ate the whole pizza by myself."/>
        <s v="The blue whale is the largest animal on Earth."/>
        <s v="The car has a flat wheel that needs changing."/>
        <s v="After her surgery, she had to use a wheelchair temporarily."/>
        <s v="The gardener used a wheelbarrow to move the heavy soil."/>
        <s v="The airplane flies at a high altitude."/>
        <s v="His height is six feet two inches."/>
        <s v="The documentary highlights the problem of pollution."/>
        <s v="We drove along the coastal highway."/>
        <s v="There is a clear hierarchy in most organizations."/>
        <s v="They hiked up the hill to get a better view."/>
        <s v="We plan to hike to the summit tomorrow."/>
        <s v="Write your initial on each page of the document."/>
        <s v="The company will initiate the new project next month."/>
        <s v="Your input on this decision is valuable."/>
        <s v="Occasionally, I indulge in chocolate cake."/>
        <s v="Be careful not to injure yourself with the knife."/>
        <s v="The indoor swimming pool is open year-round."/>
        <s v="Reduce your salt intake for better health."/>
        <s v="They had an intimate dinner for their anniversary."/>
        <s v="The automobile industry employs thousands of workers."/>
        <s v="Her income increased after the promotion."/>
        <s v="Look up the word in the index at the back of the book."/>
        <s v="The blue ink stained my shirt."/>
        <s v="Most people access the internet daily."/>
        <s v="There will be a short interval between the acts."/>
        <s v="The school works to integrate students from diverse backgrounds."/>
        <s v="The old book began to disintegrate when touched."/>
        <s v="Trust is an integral part of any relationship."/>
        <s v="She is known for her honesty and integrity."/>
        <s v="The diamond has intrinsic value due to its rarity."/>
        <s v="I have a strong interest in photography."/>
        <s v="Sorry to intrude on your conversation."/>
        <s v="The small intestine absorbs nutrients from food."/>
        <s v="The watch has an intricate mechanism."/>
        <s v="The translator will interpret the speech for foreign visitors."/>
        <s v="The interior of the cave was dark and damp."/>
        <s v="His health began to deteriorate rapidly."/>
        <s v="The jet flew across the Atlantic in six hours."/>
        <s v="The jet plane reached speeds of 500 miles per hour."/>
        <s v="Travelers often experience jet lag after long flights."/>
        <s v="Fishermen gathered on the jetty to cast their lines."/>
        <s v="Our team will complete the project by Friday."/>
        <s v="The teacher used a projector to show the slides."/>
        <s v="Mathematics was always my favorite subject in school."/>
        <s v="Art appreciation is highly subjective."/>
        <s v="The committee may reject your proposal."/>
        <s v="Job rejection is disappointing but often leads to better opportunities."/>
        <s v="Press this button to eject the DVD."/>
        <s v="There is a strange object in the sky."/>
        <s v="The doctor gave me an injection of antibiotics."/>
        <s v="Would you like to join us for dinner?"/>
        <s v="Our garden adjoins the park."/>
        <s v="The court will enjoin the company from polluting the river."/>
        <s v="The knee joint can be easily injured during sports."/>
        <s v="Turn left at the junction of Main Street and Oak Avenue."/>
        <s v="The conjunction &quot;and&quot; connects the two parts of the sentence."/>
        <s v="Children love to jump in puddles after rain."/>
        <s v="My junior colleague is learning quickly."/>
        <s v="Juvenile delinquency is a concern in many communities."/>
        <s v="The fans were jubilant when their team won."/>
        <s v="Orange juice contains a lot of vitamin C."/>
        <s v="The peach was ripe and juicy."/>
        <s v="Please don't leave your junk in the hallway."/>
        <s v="His closet was a jumble of clothes and shoes."/>
        <s v="Many endangered species live in the tropical jungle."/>
        <s v="She can juggle five balls at once."/>
        <s v="The judge will announce the verdict tomorrow."/>
        <s v="Use good judgement when making important decisions."/>
        <s v="The panel will adjudge the entries in the competition."/>
        <s v="The judicial system ensures laws are applied fairly."/>
        <s v="Make judicious use of your limited resources."/>
        <s v="We must fight against prejudice in all its forms."/>
        <s v="The jury reached a unanimous decision."/>
        <s v="This case falls under federal jurisdiction."/>
        <s v="Lying under oath is perjury and can result in jail time."/>
        <s v="The verdict was just and fair."/>
        <s v="Everyone deserves equal justice under the law."/>
        <s v="How can you justify such expensive purchases?"/>
        <s v="The high price is justified by the exceptional quality."/>
        <s v="Fighting injustice requires courage and perseverance."/>
        <s v="You need to adjust the seat height for proper posture."/>
        <s v="The kid played happily in the sandbox."/>
        <s v="The movie is about a plot to kidnap the president."/>
        <s v="Healthy kidneys filter waste from your blood."/>
        <s v="The first aid kit contains bandages and antiseptic."/>
        <s v="The kitten played with a ball of yarn."/>
        <s v="The children flew kites on the windy beach."/>
        <s v="She invited all her kin to the family reunion."/>
        <s v="There is a strong kinship among members of the community."/>
        <s v="His feelings were akin to jealousy."/>
        <s v="Thank you for your kind help."/>
        <s v="My son starts kindergarten next fall."/>
        <s v="The king ruled the country for forty years."/>
        <s v="My grandmother taught me how to knit sweaters."/>
        <s v="Tie a knot at the end of the thread."/>
        <s v="Turn the door knob to open the door."/>
        <s v="Someone is knock on the door."/>
        <s v="She has a knack for learning languages quickly."/>
        <s v="He rapped his knuckle on the table for attention."/>
        <s v="She injured her knee playing basketball."/>
        <s v="The gardener will kneel to plant the flowers."/>
        <s v="I know the answer to your question."/>
        <s v="He has extensive knowledge of ancient history."/>
        <s v="The company should acknowledge its mistakes."/>
        <s v="The noble knight saved the village from the dragon."/>
        <s v="Use a sharp knife to cut the vegetables."/>
        <s v="Human skin is the largest organ of the body."/>
        <s v="They plan to ski in the Alps this winter."/>
        <s v="Playing the piano requires skill and practice."/>
        <s v="The skillful surgeon performed the complex operation."/>
        <s v="The sky was clear and blue on the summer day."/>
        <s v="The stone will skitter across the surface of the lake."/>
        <s v="Children skip down the sidewalk."/>
        <s v="The car began to skid on the icy road."/>
        <s v="Skim the cream off the top of the milk."/>
        <s v="Children skate on the frozen pond in winter."/>
        <s v="The artist made a quick sketch of the landscape."/>
        <s v="She wore a long skirt to the formal dinner."/>
        <s v="They live in the outskirts of the city."/>
        <s v="The archaeologists discovered a dinosaur skeleton."/>
        <s v="I'm skeptical about claims without evidence."/>
        <s v="Hard labor built the ancient pyramids."/>
        <s v="Scientists conduct experiments in the laboratory."/>
        <s v="Translating the ancient text was laborious work."/>
        <s v="She gave an elaborate explanation of the process."/>
        <s v="The two companies collaborate on environmental projects."/>
        <s v="Their collaboration resulted in an innovative product."/>
        <s v="Apple's logo is recognized worldwide."/>
        <s v="His argument lacked logic and evidence."/>
        <s v="He offered an apology for his rude behavior."/>
        <s v="The actor performed a dramatic monologue."/>
        <s v="The library catalogue lists all available books."/>
        <s v="The epilogue reveals what happened to the characters later."/>
        <s v="Ecology studies how organisms interact with their environment."/>
        <s v="Zoology is the scientific study of animals."/>
        <s v="Psychology helps us understand human behavior."/>
        <s v="English is an international language."/>
        <s v="Teenagers often use slang that adults don't understand."/>
        <s v="Latin was once the lingua franca of Western scholarship."/>
        <s v="The lingual nerve provides sensation to the tongue."/>
        <s v="Linguistics is the scientific study of language."/>
        <s v="There's an old legend about a monster in the lake."/>
        <s v="Her charitable foundation is her legacy to the community."/>
        <s v="My colleague helped me finish the project on time."/>
        <s v="A legion of fans waited for the celebrity's autograph."/>
        <s v="The diligent student studied every night."/>
        <s v="Dolphins are highly intelligent animals."/>
        <s v="The driver was negligent in checking his mirrors."/>
        <s v="You're eligible for the discount if you're over 65."/>
        <s v="Is it legal to park here?"/>
        <s v="Hunting in this area is illegal during breeding season."/>
        <s v="Congress will legislate new environmental protections."/>
        <s v="The new legislation aims to reduce carbon emissions."/>
        <s v="The state legislature meets annually to pass laws."/>
        <s v="It's a privilege to work with such talented colleagues."/>
        <s v="The newspaper alleged that the politician took bribes."/>
        <s v="Each country will delegate representatives to the conference."/>
        <s v="The delegation from Japan arrived yesterday."/>
        <s v="Use the lever to lift the heavy stone."/>
        <s v="The company used its financial leverage to acquire competitors."/>
        <s v="Education can elevate people from poverty."/>
        <s v="Take the elevator to the tenth floor."/>
        <s v="The town's high elevation gives it a cool climate."/>
        <s v="Make sure the picture is level before hanging it."/>
        <s v="The medication should relieve your headache."/>
        <s v="Please provide only relevant information in your report."/>
        <s v="The witness's personal opinion is irrelevant to the case."/>
        <s v="Turn on the light; it's too dark to read."/>
        <s v="Lightning struck the tree during the storm."/>
        <s v="The professor tried to enlighten students about complex theories."/>
        <s v="We watched the sunset during twilight."/>
        <s v="A small spark can ignite a forest fire."/>
        <s v="There was a slight improvement in her condition."/>
        <s v="The room was bright with sunshine."/>
        <s v="She had a brilliant idea to solve the problem."/>
        <s v="Children take delight in simple pleasures."/>
        <s v="Support local businesses in your community."/>
        <s v="Can you help me locate my missing keys?"/>
        <s v="The location of the conference is still undecided."/>
        <s v="The fair allocation of resources is a challenge."/>
        <s v="The fall caused him to dislocate his shoulder."/>
        <s v="The company plans to relocate to a larger office."/>
        <s v="Use this key to unlock the cabinet."/>
        <s v="Store your valuables in the locker at the gym."/>
        <s v="The pieces interlock to form a sturdy structure."/>
        <s v="A flock of geese flew overhead."/>
        <s v="The child built a tower with wooden blocks."/>
        <s v="Poor parking was blocking the entrance."/>
        <s v="The giraffe has a long neck."/>
        <s v="These books belong on the top shelf."/>
        <s v="The medication will prolong the effectiveness of the treatment."/>
        <s v="They have a longstanding tradition of family dinners on Sunday."/>
        <s v="Regular exercise contributes to longevity."/>
        <s v="The length of the pool is 25 meters."/>
        <s v="You can lengthen the dress by adding a ruffle at the bottom."/>
        <s v="Lines of longitude run from north to south on a map."/>
        <s v="The equator is at zero degrees latitude."/>
        <s v="They bought a lot of land to build their house."/>
        <s v="She won the lottery and became a millionaire overnight."/>
        <s v="The teacher will allot fifteen minutes for questions."/>
        <s v="Insert the card into the slot to activate the machine."/>
        <s v="The plot of the novel involves a murder mystery."/>
        <s v="There was an ink blot on his white shirt."/>
        <s v="A blood clot can be dangerous if it reaches the lungs."/>
        <s v="They decided to split the cost of dinner."/>
        <s v="Cut a thin slice of bread for the sandwich."/>
        <s v="Don't be late for the important meeting."/>
        <s v="I haven't seen him lately."/>
        <s v="Can you translate this document from Spanish to English?"/>
        <s v="The teacher tried to relate complex concepts to everyday examples."/>
        <s v="Physics and chemistry are closely related sciences."/>
        <s v="Many relatives attended the family reunion."/>
        <s v="Children collect colorful autumn leaves."/>
        <s v="Farming cooperatives make collective decisions."/>
        <s v="I can't recollect where I put my keys."/>
        <s v="Select the best candidate for the position."/>
        <s v="He was admired for his keen intellect."/>
        <s v="The professor gave an interesting lecture on climate change."/>
        <s v="Don't neglect your health during busy times."/>
        <s v="The people will elect a new president in November."/>
        <s v="The college has a liberal arts curriculum."/>
        <s v="The army helped liberate the occupied town."/>
        <s v="The public library offers free internet access."/>
        <s v="The jury's deliberate consideration led to a fair verdict."/>
        <s v="The postal service delivers mail six days a week."/>
        <s v="Children enjoy sliding down the playground slide."/>
        <s v="In winter, they use a sled to travel across the snow."/>
        <s v="The swan glides gracefully across the lake."/>
        <s v="The two cars collide at the intersection."/>
        <s v="Keep your voice low in the library."/>
        <s v="Lower the volume of the music, please."/>
        <s v="The river flows from the mountains to the sea."/>
        <s v="Drive slow in school zones."/>
        <s v="Farmers use a plow to prepare fields for planting."/>
        <s v="The rules allow for some flexibility."/>
        <s v="The referee will disallow the goal due to a foul."/>
        <s v="Be careful not to slip on the icy sidewalk."/>
        <s v="She put on comfortable slippers after work."/>
        <s v="Skiers enjoy the gentle slope of this mountain."/>
        <s v="His shirt has long sleeves for cold weather."/>
        <s v="Regular exercise helps maintain a slim figure."/>
        <s v="Children enjoy playing with colorful slime."/>
        <s v="The vase has a slender neck and wide base."/>
        <s v="Don't slam the door when you leave."/>
        <s v="The house has a slate roof that lasts for decades."/>
        <s v="The discovery changed mankind's understanding of the universe."/>
        <s v="The store manager resolved the customer's complaint."/>
        <s v="She has strong managerial skills from years of experience."/>
        <s v="His polite manner impressed the interviewers."/>
        <s v="Read the manual before operating the machinery."/>
        <s v="The ship's manifest lists all cargo and passengers."/>
        <s v="Don't let others manipulate your decisions."/>
        <s v="The Earth's mantle lies between the crust and the core."/>
        <s v="Workers will dismantle the old bridge."/>
        <s v="The captain gave the command to abandon ship."/>
        <s v="The company has a mandate to reduce carbon emissions."/>
        <s v="Attendance at the safety training is mandatory."/>
        <s v="Consumer demand for organic products is increasing."/>
        <s v="Nursing is physically and emotionally demanding work."/>
        <s v="She sat in the middle of the classroom."/>
        <s v="The artist prefers oil paints as a medium."/>
        <s v="Social media influences public opinion."/>
        <s v="A professional will mediate the negotiations."/>
        <s v="She has intermediate knowledge of Spanish."/>
        <s v="Many people meditate to reduce stress."/>
        <s v="Take your medicine according to the doctor's instructions."/>
        <s v="The hospital provides excellent medical care."/>
        <s v="Sleep is the best remedy for fatigue."/>
        <s v="The situation requires immediate attention."/>
        <s v="The museum displays medieval armor and weapons."/>
        <s v="Olive oil is a staple in Mediterranean cuisine."/>
        <s v="She works as a fashion model in Paris."/>
        <s v="The house has a modern design with clean lines."/>
        <s v="The antique commode was sold at auction."/>
        <s v="The hotel can accommodate up to 500 guests."/>
        <s v="You may need to modify the recipe for high altitude."/>
        <s v="Exercise at a moderate pace to avoid injury."/>
        <s v="Despite her success, she remains modest about her achievements."/>
        <s v="The CEO sent a memorandum to all employees."/>
        <s v="The actor published a memoir about his career."/>
        <s v="I have fond memories of my childhood summers."/>
        <s v="The wedding was a truly memorable occasion."/>
        <s v="The memorial honors soldiers who died in the war."/>
        <s v="The ceremony will commemorate the 100th anniversary."/>
        <s v="I'll always remember our trip to Paris."/>
        <s v="He has been a member of the club for twenty years."/>
        <s v="Congress may amend the constitution."/>
        <s v="The principal will commend students for academic excellence."/>
        <s v="I recommend the seafood at this restaurant."/>
        <s v="She drives a mini car that's easy to park."/>
        <s v="The surgery leaves minimal scarring."/>
        <s v="The minimum wage increased last year."/>
        <s v="Good insulation helps minimize heating costs."/>
        <s v="Developers minify code to improve website performance."/>
        <s v="The prime minister addressed the nation about the crisis."/>
        <s v="The nurse will administer the medication."/>
        <s v="His influence began to diminish over time."/>
        <s v="The construction permit was approved yesterday."/>
        <s v="He will commit three hours daily to studying."/>
        <s v="Marriage requires commitment from both partners."/>
        <s v="The committee meets every month to review progress."/>
        <s v="Radio waves transmit signals through the air."/>
        <s v="Please remit payment by the due date."/>
        <s v="Submit your application before the deadline."/>
        <s v="The journal accepts submissions from independent researchers."/>
        <s v="Don't omit any important details from your report."/>
        <s v="Factories emit pollution into the air."/>
        <s v="The government seeks to reduce carbon emissions."/>
        <s v="The theater admits children under 12 for half price."/>
        <s v="College admission requires good test scores and grades."/>
        <s v="The missile was launched from a submarine."/>
        <s v="The astronauts completed their mission successfully."/>
        <s v="There will be a 15-minute intermission between acts."/>
        <s v="The judge dismissed the case due to lack of evidence."/>
        <s v="I left a message on your answering machine."/>
        <s v="I promise to return the book tomorrow."/>
        <s v="Both sides made a compromise to end the dispute."/>
        <s v="The young athlete shows promising talent."/>
        <s v="The argument is based on a false premise."/>
        <s v="Smoking is not allowed on these premises."/>
        <s v="The boat motor needs repair."/>
        <s v="He rides a motorcycle to work every day."/>
        <s v="The planet's motion around the sun creates seasons."/>
        <s v="The hunter stood motionless to avoid scaring the deer."/>
        <s v="Fear is a powerful emotion."/>
        <s v="Police are investigating the motive for the crime."/>
        <s v="Good leaders motivate their team members."/>
        <s v="The company will promote three employees to management."/>
        <s v="They live in a remote village in the mountains."/>
        <s v="His ideas have become mainstream in recent years."/>
        <s v="Large companies use mainframe computers for critical operations."/>
        <s v="Regular exercise helps maintain good health."/>
        <s v="The building requires regular maintenance."/>
        <s v="Please remain seated until the plane stops completely."/>
        <s v="Mathematics is her major in college."/>
        <s v="The majority of students passed the exam."/>
        <s v="The queen's majesty impressed all who met her."/>
        <s v="The mayor announced a new city park project."/>
        <s v="The Grand Canyon is a magnificent natural wonder."/>
        <s v="Scientists measure earthquake magnitude on the Richter scale."/>
        <s v="Look before you leap is a common maxim."/>
        <s v="The maximum capacity of the elevator is eight people."/>
        <s v="The coach used a megaphone to address the team."/>
        <s v="The new megabox store offers thousands of products."/>
        <s v="The storm's arrival is imminent; take shelter now."/>
        <s v="The university invited an eminent scientist to speak."/>
        <s v="She is the preeminent authority in her field."/>
        <s v="He has a prominent role in the new movie."/>
        <s v="Climbers plan to mount an expedition to Everest."/>
        <s v="Snow covered the mountain peaks."/>
        <s v="A large amount of money was donated to charity."/>
        <s v="With determination, you can surmount many obstacles."/>
        <s v="The children built a mound of sand at the beach."/>
        <s v="The giraffe has an extremely long neck."/>
        <s v="The bridge connects the island to the mainland."/>
        <s v="There is a strong connection between diet and health."/>
        <s v="There's a disconnect between what he says and what he does."/>
        <s v="What's the next step in the process?"/>
        <s v="The city serves as a nexus for international trade."/>
        <s v="The school built an annex to accommodate more students."/>
        <s v="Nothing could prepare me for the stunning view."/>
        <s v="We usually eat lunch at noon."/>
        <s v="The factory releases noxious gases into the air."/>
        <s v="He gave a quick nod of agreement."/>
        <s v="I prefer reading nonfiction books about history."/>
        <s v="Don't believe that nonsense about miracle weight loss pills."/>
        <s v="The Negro spirituals reflect the history of enslaved African Americans."/>
        <s v="The test results came back negative, which is good news."/>
        <s v="The countries will negotiate a new trade agreement."/>
        <s v="The cost difference between the two options is negligible."/>
        <s v="The accident occurred due to negligence by the driver."/>
        <s v="I have never visited Australia."/>
        <s v="The climb was difficult; nevertheless, they reached the summit."/>
        <s v="Switzerland remained neutral during World War II."/>
        <s v="Plants need sunlight and water to grow."/>
        <s v="The nurse used a sterile needle for the injection."/>
        <s v="The artist painted nude figures in classical style."/>
        <s v="The squirrel collected nuts for winter."/>
        <s v="Nuclear power plants generate electricity."/>
        <s v="Wearing a suit to interviews is the norm in conservative industries."/>
        <s v="It's normal to feel nervous before a presentation."/>
        <s v="The company works to normalize flexible work schedules."/>
        <s v="The patient's body temperature was subnormal."/>
        <s v="The whale is an enormous sea creature."/>
        <s v="Children love to play in the snow."/>
        <s v="The snake slithered across the garden path."/>
        <s v="The thief tried to snatch her purse."/>
        <s v="Hunters set a snare to catch rabbits."/>
        <s v="His sweater had a snag from catching on a nail."/>
        <s v="The twig will snap if you bend it too far."/>
        <s v="Japan is an island nation in East Asia."/>
        <s v="The airport handles both domestic and international flights."/>
        <s v="She is a native of Brazil but now lives in Canada."/>
        <s v="I love spending time in nature, especially forests."/>
        <s v="The yogurt contains only natural ingredients."/>
        <s v="The movie explores supernatural phenomena."/>
        <s v="She has an innate talent for music."/>
        <s v="Oil and connate water are often found together."/>
        <s v="Her novel won several literary awards."/>
        <s v="The novelty of the new toy quickly wore off."/>
        <s v="He is still a novice at chess."/>
        <s v="They plan to renovate their kitchen next year."/>
        <s v="Companies must innovate to stay competitive."/>
        <s v="Astronomers observed a nova in a distant galaxy."/>
        <s v="Leave a note on the door if you're going out."/>
        <s v="I have no notion of what you're talking about."/>
        <s v="Please notify us of any changes to your address."/>
        <s v="The student wrote the assignment in her notebook."/>
        <s v="Musical notation allows composers to record their ideas."/>
        <s v="The professor added annotations to the manuscript."/>
        <s v="Her contribution to the project was particularly notable."/>
        <s v="Did you notice the new painting in the lobby?"/>
        <s v="The area is notorious for heavy traffic."/>
        <s v="The company will announce the new product next week."/>
        <s v="The sports announcer described the exciting play."/>
        <s v="It's difficult to pronounce certain sounds in foreign languages."/>
        <s v="The politician denounced corruption in government."/>
        <s v="The nurse checked the patient's vital signs."/>
        <s v="The nursery is decorated with colorful animal pictures."/>
        <s v="Parents nurture their children's talents and interests."/>
        <s v="Good nutrition is essential for healthy development."/>
        <s v="Healthy food nourishes both body and mind."/>
        <s v="The athlete jumped over each obstacle in the race."/>
        <s v="Childhood obesity is a growing health concern."/>
        <s v="Citizens must obey the law."/>
        <s v="The disobedient child refused to go to bed."/>
        <s v="We attended an opera at the famous Sydney Opera House."/>
        <s v="The surgeon will operate on the patient tomorrow."/>
        <s v="The operative word in this contract is &quot;immediately.&quot;"/>
        <s v="The elevator is inoperative due to maintenance."/>
        <s v="The two teams cooperate on environmental projects."/>
        <s v="The optic nerve connects the eye to the brain."/>
        <s v="The political optics of the decision were problematic."/>
        <s v="He needed optical lenses to correct his vision."/>
        <s v="Education provides opportunities for a better future."/>
        <s v="The restaurant offers a vegetarian option on the menu."/>
        <s v="The family decided to adopt a rescue dog."/>
        <s v="The adoption process can take several months."/>
        <s v="Everyone has an opinion about the controversial law."/>
        <s v="The optimum temperature for plant growth is around 70°F."/>
        <s v="Her optimism helped her through difficult times."/>
        <s v="Despite challenges, I remain optimistic about the future."/>
        <s v="We need to optimize the website for mobile devices."/>
        <s v="The student gave an excellent oral presentation."/>
        <s v="The story teaches children important moral lessons."/>
        <s v="Many people consider lying immoral."/>
        <s v="Good leadership improves team morale."/>
        <s v="Constant criticism can demoralize employees."/>
        <s v="Please put these files in alphabetical order."/>
        <s v="It was just an ordinary day until the surprise party."/>
        <s v="Her musical talent is truly extraordinary."/>
        <s v="Autism is a neurodevelopmental disorder."/>
        <s v="The event planner will coordinate all aspects of the wedding."/>
        <s v="The project coordinator ensures all tasks are completed on time."/>
        <s v="Good hand-eye coordination is important in many sports."/>
        <s v="The manager delegates tasks to his subordinates."/>
        <s v="New employees need time to orient themselves to company procedures."/>
        <s v="The origin of the custom dates back to ancient times."/>
        <s v="She had an original idea for solving the problem."/>
        <s v="The dance originated in West Africa."/>
        <s v="Create an outline before writing your essay."/>
        <s v="He maintains a positive outlook despite challenges."/>
        <s v="The outbreak of the disease caused widespread concern."/>
        <s v="The power outage lasted for three hours."/>
        <s v="The factory increased its output by 20% this year."/>
        <s v="The electrical outlet needs to be repaired."/>
        <s v="She always tries to outdo her previous performance."/>
        <s v="Modern buildings are designed to outlive their creators."/>
        <s v="Airplane flew overhead on their way to the airport."/>
        <s v="The stronger team will overpower their opponents."/>
        <s v="Don't overtax yourself by working too many hours."/>
        <s v="Wear a warm overcoat in cold weather."/>
        <s v="There is some overlap between the two courses."/>
        <s v="The manager will oversee the entire project."/>
        <s v="The library book is overdue by one week."/>
        <s v="Don't overlook the details in the contract."/>
        <s v="Don't let past failures overshadow your current success."/>
        <s v="The overall design of the building is impressive."/>
        <s v="Use a large pan to cook the paella."/>
        <s v="We eat pancakes with maple syrup for breakfast."/>
        <s v="The hotel room offers a panorama of the city skyline."/>
        <s v="The bridge spans the wide river."/>
        <s v="The company plans to expand its operations abroad."/>
        <s v="The house has an expansive garden with many trees."/>
        <s v="Business expansion requires careful planning."/>
        <s v="The holiday parade features colorful floats."/>
        <s v="Being a parent involves responsibility and joy."/>
        <s v="It was apparent that something was wrong."/>
        <s v="The sun will appear on the horizon at dawn."/>
        <s v="The magician made the rabbit disappear."/>
        <s v="The transparent glass allowed us to see inside."/>
        <s v="The two products are comparable in quality and price."/>
        <s v="I need to prepare dinner for the guests."/>
        <s v="The store sells sports apparel and equipment."/>
        <s v="The parliament passed the new legislation yesterday."/>
        <s v="The colorful parrot can mimic human speech."/>
        <s v="The comedian performed a parody of the famous actor."/>
        <s v="The two streets run parallel to each other."/>
        <s v="The skydiver deployed his parachute at 5,000 feet."/>
        <s v="Firefighters use specialized apparatus to rescue people."/>
        <s v="Keep the chemicals separate to prevent reaction."/>
        <s v="The tropical island was like a paradise for tourists."/>
        <s v="I bought a pair of shoes yesterday."/>
        <s v="Alcohol can impair your judgment and coordination."/>
        <s v="The mechanic will repair your car by tomorrow."/>
        <s v="The repairman fixed our refrigerator."/>
        <s v="The accident caused irreparable damage to the artwork."/>
        <s v="Don't give in to despair during difficult times."/>
        <s v="They made a desperate attempt to save the drowning child."/>
        <s v="Which part of the book did you enjoy most?"/>
        <s v="The old building is falling apart."/>
        <s v="She and her business partner started the company together."/>
        <s v="We're having a birthday party on Saturday."/>
        <s v="He is very particular about how his coffee is made."/>
        <s v="I particularly enjoy hiking in autumn."/>
        <s v="Scientists study subatomic particles."/>
        <s v="The delivery service will bring your parcel tomorrow."/>
        <s v="I have a partial view of the mountains from my window."/>
        <s v="The judge must remain impartial during the trial."/>
        <s v="The train will pass through several small towns."/>
        <s v="He took a passive role in the project."/>
        <s v="Each passenger is allowed two carry-on bags."/>
        <s v="Hikers should carry a compass for navigation."/>
        <s v="The new highway will bypass the congested town center."/>
        <s v="The train travels through an underpass beneath the road."/>
        <s v="The overpass provides a safe crossing for pedestrians."/>
        <s v="Her sales surpass all previous records."/>
        <s v="Music is his greatest passion."/>
        <s v="Nurses need compassion as well as medical knowledge."/>
        <s v="His attempt to fix the car was pathetic."/>
        <s v="Some people believe in telepathy, or mind-reading."/>
        <s v="She sent a sympathy card after her friend's mother died."/>
        <s v="Wind will propel the sailboat across the lake."/>
        <s v="The propeller of the small plane was damaged."/>
        <s v="Necessity compels us to make difficult choices."/>
        <s v="The insect repellent will repel mosquitoes."/>
        <s v="The school will expel students who cheat on exams."/>
        <s v="The report helps dispel rumors about the company."/>
        <s v="The doctor checked the patient's pulse."/>
        <s v="He bought the expensive watch on impulse."/>
        <s v="Wearing a helmet is compulsory for motorcycle riders."/>
        <s v="The defendant will appeal the court's decision."/>
        <s v="She wore a gold pendant on a delicate chain."/>
        <s v="The success of the project depends on teamwork."/>
        <s v="The country celebrated its independence day."/>
        <s v="The appendix is located in the lower right abdomen."/>
        <s v="The school may suspend students for serious violations."/>
        <s v="The dark clouds suggested impending rain."/>
        <s v="How do you spend your free time?"/>
        <s v="These plastic utensils are dispensable after one use."/>
        <s v="Clean water is indispensable for human survival."/>
        <s v="Athletes expend a lot of energy during competition."/>
        <s v="Twenty percent of the students are international."/>
        <s v="The perfume has a subtle floral fragrance."/>
        <s v="Toxic fumes from the factory pollute the air."/>
        <s v="Each person has unique talents and abilities."/>
        <s v="The company needs additional personnel for the holiday season."/>
        <s v="This is my personal opinion, not an official statement."/>
        <s v="Many species will perish if their habitat is destroyed."/>
        <s v="This tattoo is permanent and cannot be easily removed."/>
        <s v="She tried to persuade her parents to let her go to the party."/>
        <s v="The central plaza is surrounded by shops and restaurants."/>
        <s v="The developer submitted a plat for the new subdivision."/>
        <s v="The speaker stood on a platform so everyone could see."/>
        <s v="The workers applied fresh plaster to the damaged wall."/>
        <s v="Put your dirty plate in the dishwasher."/>
        <s v="The hotel is in a convenient place near the station."/>
        <s v="I always misplace my keys and spend time looking for them."/>
        <s v="We need to replace the broken window."/>
        <s v="The flood displaced thousands of people from their homes."/>
        <s v="What's your plan for the weekend?"/>
        <s v="The airplane flew high above the clouds."/>
        <s v="Mars is the fourth planet from the sun."/>
        <s v="The dress is plain but elegant."/>
        <s v="Let me explain how the machine works."/>
        <s v="Customers complain about the poor service."/>
        <s v="Water the plant twice a week."/>
        <s v="The surgeon will implant the artificial hip next week."/>
        <s v="New technology supplants older methods over time."/>
        <s v="We have plenty of time before the concert starts."/>
        <s v="The accident caused multiple injuries."/>
        <s v="Two multiply by three equals six."/>
        <s v="Overfishing depletes ocean resources."/>
        <s v="Please complete the form and return it by Friday."/>
        <s v="The application was rejected because it was incomplete."/>
        <s v="Her skills complement his in the business partnership."/>
        <s v="He gave her a compliment on her new haircut."/>
        <s v="Take a vitamin supplement if your diet lacks nutrients."/>
        <s v="The company will implement the new policy next month."/>
        <s v="Quantum physics is a complex subject."/>
        <s v="Don't complicate things with unnecessary details."/>
        <s v="The evidence implicates him in the fraud."/>
        <s v="Make a duplicate copy of important documents."/>
        <s v="She accomplished her goal of running a marathon."/>
        <s v="All citizens must comply with the law."/>
        <s v="I'm still waiting for her reply to my email."/>
        <s v="You should apply for the job before the deadline."/>
        <s v="Each applicant must complete an interview."/>
        <s v="The factory employs 500 workers."/>
        <s v="The employer provides health insurance benefits."/>
        <s v="The company recognizes its employees with annual awards."/>
        <s v="The company has a monopoly on smartphone production in that country."/>
        <s v="Five plus three equals eight."/>
        <s v="The budget surplus will be invested in education."/>
        <s v="We ate popcorn while watching the movie."/>
        <s v="The catchy popsong played constantly on the radio."/>
        <s v="Basketball is a popular sport worldwide."/>
        <s v="The politician's popularity increased after the successful project."/>
        <s v="The population of Tokyo exceeds 13 million people."/>
        <s v="We met friends at the local pub for dinner."/>
        <s v="The public library is open to everyone."/>
        <s v="She hopes to publish her novel next year."/>
        <s v="The ship will dock at the port tomorrow morning."/>
        <s v="I bought a portable speaker for outdoor parties."/>
        <s v="The porter carried our bags to the hotel room."/>
        <s v="The website serves as a portal to various educational resources."/>
        <s v="We sat on the porch enjoying the cool evening breeze."/>
        <s v="The artist showed us her portfolio of recent work."/>
        <s v="The museum displays portraits of historical figures."/>
        <s v="He ate only a small portion of his dinner."/>
        <s v="The painting maintains perfect proportion between all elements."/>
        <s v="We arrived at the airport two hours before our flight."/>
        <s v="You need a valid passport for international travel."/>
        <s v="The company provides transport for its employees."/>
        <s v="Japan must import most of its oil."/>
        <s v="It's important to exercise regularly."/>
        <s v="Thailand exports rice to many countries."/>
        <s v="The country may deport illegal immigrants."/>
        <s v="The scientists published a report on climate change."/>
        <s v="The reporter interviewed survivors of the disaster."/>
        <s v="Parents support their children both emotionally and financially."/>
        <s v="Please print your name clearly on the form."/>
        <s v="The parents felt pride in their child's accomplishments."/>
        <s v="She was proud of completing the marathon."/>
        <s v="Flowers bloom in spring."/>
        <s v="Bean seeds sprout quickly with proper care."/>
        <s v="The sprite danced through the magical forest."/>
        <s v="The athlete can sprint 100 meters in under 10 seconds."/>
        <s v="Sprinkle some salt on the food to enhance the flavor."/>
        <s v="The gardener will spray the plants to control pests."/>
        <s v="The disease can spread through physical contact."/>
        <s v="The flu became widespread during winter months."/>
        <s v="The prevalence of diabetes is increasing worldwide."/>
        <s v="The minister preaches every Sunday morning."/>
        <s v="The insurance premium increased this year."/>
        <s v="The premier of the province announced new economic policies."/>
        <s v="These are preliminary results; the final data will come later."/>
        <s v="His previous job was in a hospital."/>
        <s v="Safety is our top priority."/>
        <s v="We need to solve this problem quickly."/>
        <s v="The nail protrudes from the wall and could be dangerous."/>
        <s v="The teacher's question prompted an interesting discussion."/>
        <s v="Diplomats must follow strict protocols at official events."/>
        <s v="The ancient prophecy predicted a time of great change."/>
        <s v="The hotel's proximity to the beach makes it popular."/>
        <s v="Hard work helped the business prosper despite economic challenges."/>
        <s v="Quebec is the largest province in Canada."/>
        <s v="The district attorney will prosecute the case."/>
        <s v="The experiment will prove or disprove the theory."/>
        <s v="Regular practice will improve your piano playing."/>
        <s v="The board should approve the budget next week."/>
        <s v="Her disapproval was evident from her frown."/>
        <s v="The athlete is in his prime at age 25."/>
        <s v="Reading is a primary skill taught in early education."/>
        <s v="Archaeologists discovered primitive tools from ancient civilizations."/>
        <s v="The prince will someday become king."/>
        <s v="The princess visited children at the hospital."/>
        <s v="The price of the concert tickets seemed reasonable."/>
        <s v="She won first prize in the science competition."/>
        <s v="Gold is a precious metal."/>
        <s v="I appreciate your help with this difficult project."/>
        <s v="The investment showed appreciable growth over five years."/>
        <s v="Cars depreciate quickly in the first few years."/>
        <s v="The meeting is private; only team members may attend."/>
        <s v="Don't deprive yourself of adequate sleep."/>
        <s v="The reporter works for the local press."/>
        <s v="High blood pressure can cause health problems."/>
        <s v="The nurse applied a cold compress to reduce swelling."/>
        <s v="Dictators often oppress people who disagree with them."/>
        <s v="The medication helps suppress the symptoms of the disease."/>
        <s v="She expressed her concerns about the new policy."/>
        <s v="The interview left a positive impression on the hiring manager."/>
        <s v="He served five years in prison for the crime."/>
        <s v="The prisoner was released after serving his sentence."/>
        <s v="The party was a complete surprise for her birthday."/>
        <s v="Starting a new enterprise requires courage and planning."/>
        <s v="The committee comprises members from various departments."/>
        <s v="Today is a special occasion worth celebrating."/>
        <s v="She consulted a specialist about her knee injury."/>
        <s v="The doctor collected a blood specimen for testing."/>
        <s v="The circus performance was quite a spectacle."/>
        <s v="The spectator cheered loudly for his favorite team."/>
        <s v="Economists speculate about future market trends."/>
        <s v="Please be more specific about what you need."/>
        <s v="We need to consider every aspect of the problem."/>
        <s v="Police suspect the neighbor of stealing the package."/>
        <s v="The mechanic will inspect your car for problems."/>
        <s v="The prospect of traveling abroad excites me."/>
        <s v="We expect the package to arrive tomorrow."/>
        <s v="Children should respect their elders."/>
        <s v="The students returned to their respective homes for the holiday."/>
        <s v="All citizens have certain rights, irrespective of their background."/>
        <s v="The team played with great spirit despite losing."/>
        <s v="Good teachers inspire their students to excel."/>
        <s v="Nature provides inspiration for many artists."/>
        <s v="Many young athletes aspire to compete in the Olympics."/>
        <s v="The criminals conspired to rob the bank."/>
        <s v="The milk will expire next week."/>
        <s v="Use a pin to secure the fabric before sewing."/>
        <s v="Reaching the summit represents the pinnacle of the climber's career."/>
        <s v="The furniture is made of solid pine wood."/>
        <s v="Pineapple is a sweet tropical fruit."/>
        <s v="The doctor examined the patient's spine for injury."/>
        <s v="Add a pinch of salt to the recipe."/>
        <s v="The Earth spins on its axis once every 24 hours."/>
        <s v="The model will pose for the artist."/>
        <s v="The company offers a management position with good benefits."/>
        <s v="She handled the difficult question with poise and confidence."/>
        <s v="There was a brief pause in the conversation."/>
        <s v="Let's postpone the meeting until next week."/>
        <s v="He plans to propose marriage during their vacation."/>
        <s v="The purpose of the study is to evaluate new treatments."/>
        <s v="Mozart began to compose music at a very young age."/>
        <s v="I suppose we could try your suggestion."/>
        <s v="Many citizens oppose the new tax increase."/>
        <s v="The library is on the opposite side of the street."/>
        <s v="You must pay a deposit when renting an apartment."/>
        <s v="Please dispose of trash properly."/>
        <s v="The photograph was exposed to light and ruined."/>
        <s v="Limit your exposure to the sun to prevent sunburn."/>
        <s v="The art exposition features works by local artists."/>
        <s v="The court imposed a heavy fine for the violation."/>
        <s v="The restaurant has an excellent reputation for quality food."/>
        <s v="The neighbors have a dispute about the property line."/>
        <s v="The knight embarked on a quest to rescue the princess."/>
        <s v="The teacher asked a difficult question on the exam."/>
        <s v="The conquest of space began with the first satellite launch."/>
        <s v="I would like to request additional information about the program."/>
        <s v="Please inquire at the front desk for directions."/>
        <s v="I called to enquire about the job opening."/>
        <s v="This position requires experience in marketing."/>
        <s v="The company plans to acquire its smaller competitor."/>
        <s v="Squeeze the lemon to extract the juice."/>
        <s v="The town square is surrounded by historic buildings."/>
        <s v="The police squad arrived quickly after the call."/>
        <s v="The large box will squash the delicate items beneath it."/>
        <s v="All citizens deserve equal treatment under the law."/>
        <s v="The mathematical equation is complex but solvable."/>
        <s v="The room is adequate for our small family."/>
        <s v="The current staff is inadequate for the increased workload."/>
        <s v="Homeowners build equity as they pay their mortgage."/>
        <s v="There is no equivalence between the two situations."/>
        <s v="The ecosystem maintains a delicate equilibrium."/>
        <s v="The school will equip all classrooms with computers."/>
        <s v="Countries near the equator have tropical climates."/>
        <s v="The airport radar detects approaching aircraft."/>
        <s v="We listen to the radio during our morning commute."/>
        <s v="Scientists measure radioactivity with special instruments."/>
        <s v="The sun radiates heat and light."/>
        <s v="The new treatment represents a radical approach to the disease."/>
        <s v="The radish adds a spicy crunch to the salad."/>
        <s v="The goal is to eradicate the disease worldwide."/>
        <s v="He sought revenge for the wrong done to his family."/>
        <s v="The company will reveal the new product at the conference."/>
        <s v="The teacher gave a gentle rebuke for the student's behavior."/>
        <s v="Please refrain from using your phone during the concert."/>
        <s v="Have you seen any good movies recent?"/>
        <s v="Freedom of religion is protected by the constitution."/>
        <s v="You can rely on me to keep your secret."/>
        <s v="I regret not learning to play a musical instrument as a child."/>
        <s v="The company will reimburse employees for travel expenses."/>
        <s v="The tour guide will direct us to the famous landmarks."/>
        <s v="The director is responsible for the artistic vision of the film."/>
        <s v="Could you give me directions to the nearest hotel?"/>
        <s v="Workers will erect a statue in the town square."/>
        <s v="The teacher will correct the exam papers this weekend."/>
        <s v="The ball will roll down the hill."/>
        <s v="The Earth is round, not flat."/>
        <s v="Mountains surround the peaceful valley."/>
        <s v="The coffee grounds can be used as garden fertilizer."/>
        <s v="The Earth rotates on its axis once every 24 hours."/>
        <s v="The road to the mountain is narrow and winding."/>
        <s v="Wild horses roam freely across the plains."/>
        <s v="The large rock blocked the path."/>
        <s v="The bus route includes stops at the museum and library."/>
        <s v="The students sat in the front row during the lecture."/>
        <s v="The climber secured himself with a strong rope."/>
        <s v="Fruit will rot if left in warm temperatures too long."/>
        <s v="The old pipe might rupture during the winter freeze."/>
        <s v="Please don't interrupt while someone else is speaking."/>
        <s v="The power interruption lasted about two hours."/>
        <s v="Corrupt officials accepted bribes for government contracts."/>
        <s v="The storm will disrupt travel plans across the region."/>
        <s v="The volcano could erupt at any moment."/>
        <s v="The company went bankrupt during the economic crisis."/>
        <s v="He broke his arm playing football."/>
        <s v="Police worked to disarm the dangerous suspect."/>
        <s v="The army defended the borders of the country."/>
        <s v="Medieval knights wore heavy armour in battle."/>
        <s v="Smoking can harm your health."/>
        <s v="Some chemicals are harmful to the environment."/>
        <s v="The fire alarm sounded and everyone evacuated the building."/>
        <s v="This segment of the program focuses on international news."/>
        <s v="Cancer is a serious disease requiring prompt treatment."/>
        <s v="The teacher explained the correct sequence of steps."/>
        <s v="She makes frequent trips to visit her grandmother."/>
        <s v="The airport increased security after the incident."/>
        <s v="The team won five consecutive games."/>
        <s v="This section of the forest is protected."/>
        <s v="The insect has six legs and two antennae."/>
        <s v="Several students raised their hands to answer."/>
        <s v="War can dissever families for many years."/>
        <s v="The accident caused severe damage to the vehicle."/>
        <s v="If you persevere, you will eventually succeed."/>
        <s v="Can you keep a secret?"/>
        <s v="The secretary scheduled appointments for the executive."/>
        <s v="The temple is considered sacred by many religions."/>
        <s v="Parents often sacrifice their own comfort for their children."/>
        <s v="Please sit in this chair while you wait."/>
        <s v="The archaeological site contains ancient ruins."/>
        <s v="We need to evaluate the situation carefully."/>
        <s v="The sun sets in the west."/>
        <s v="All passengers must remain in their seats during takeoff."/>
        <s v="The legal settlement included compensation for damages."/>
        <s v="The company's most valuable asset is its skilled workforce."/>
        <s v="The onset of winter brings colder temperatures."/>
        <s v="From the outset, it was clear the project would be challenging."/>
        <s v="The bad news upset her greatly."/>
        <s v="Few plants can survive in the hot desert."/>
        <s v="He asserted his innocence throughout the trial."/>
        <s v="Her assertion about the facts proved correct."/>
        <s v="Insert the key and turn it clockwise."/>
        <s v="You need to exert pressure on the lever."/>
        <s v="She will present her research at the conference."/>
        <s v="His presence at the meeting was required."/>
        <s v="The presentation included colorful graphs and charts."/>
        <s v="The attorney will represent you in court."/>
        <s v="The restaurant serves lunch from noon until 3:00 PM."/>
        <s v="The company provides excellent customer service."/>
        <s v="The royal family employed many servants."/>
        <s v="Scientists observe animal behavior in the wild."/>
        <s v="Hard-working students deserve recognition."/>
        <s v="We must preserve endangered species from extinction."/>
        <s v="Turn off lights to conserve energy."/>
        <s v="Please reserve a table for dinner tonight."/>
        <s v="The reservoir provides water for the entire city."/>
        <s v="Which side of the road do they drive on in Japan?"/>
        <s v="The corporation has subsidiary companies in several countries."/>
        <s v="The family resides in a small apartment downtown."/>
        <s v="The university provides residence halls for students."/>
        <s v="The chairperson will preside over the meeting."/>
        <s v="The president of the company announced new initiatives."/>
        <s v="Please consider all options before making a decision."/>
        <s v="It was considerate of you to help with the cleaning."/>
        <s v="The project requires considerable time and effort."/>
        <s v="The twins look very similar but have different personalities."/>
        <s v="Their approaches to the problem were completely dissimilar."/>
        <s v="Simultaneous translation was provided at the international conference."/>
        <s v="The computer program can simulate weather patterns."/>
        <s v="The recipe is simple enough for beginners."/>
        <s v="Workers assemble the cars at this factory."/>
        <s v="The student assembly meets every Friday morning."/>
        <s v="I had to disassemble the clock to repair it."/>
        <s v="The child resembles her grandmother."/>
        <s v="Humans are social creatures who live in communities."/>
        <s v="Dogs are naturally sociable animals."/>
        <s v="Education shapes the future of society."/>
        <s v="I associate the smell of cinnamon with Christmas."/>
        <s v="The detective worked to solve the mystery."/>
        <s v="The company remained solvent despite economic challenges."/>
        <s v="Finding a solution requires creative thinking."/>
        <s v="Sugar dissolves in hot water."/>
        <s v="They resolved to exercise more in the new year."/>
        <s v="Dogs have a keen sense of smell."/>
        <s v="Some people have sensitive skin that burns easily in the sun."/>
        <s v="Wearing a coat in cold weather is sensible."/>
        <s v="The perfume has a rich, sensuous fragrance."/>
        <s v="The old photograph has sentimental value to me."/>
        <s v="The judge will sentence the convicted criminal tomorrow."/>
        <s v="The committee gave its assent to the proposal."/>
        <s v="Parents must give consent for children's medical treatment."/>
        <s v="The group reached a consensus after hours of discussion."/>
        <s v="The court allows judges to express dissent from majority opinions."/>
        <s v="Don't resent others for their success."/>
        <s v="Please sign your name on the dotted line."/>
        <s v="The traffic signal changed from red to green."/>
        <s v="Your signature is required on all official documents."/>
        <s v="The discovery represents a significant advance in cancer treatment."/>
        <s v="The error was insignificant and did not affect the outcome."/>
        <s v="The architect will design the new library."/>
        <s v="The company designated a special area for employee breaks."/>
        <s v="The teacher will assign homework for the weekend."/>
        <s v="He decided to resign from his position after ten years."/>
        <s v="Students must pass a final test to complete the course."/>
        <s v="I can attest to her excellent character and work ethic."/>
        <s v="His testimony helped convict the criminal."/>
        <s v="The winner of the contest receives a cash prize."/>
        <s v="Citizens protest against the unfair law."/>
        <s v="I detest waiting in long lines."/>
        <s v="Please stand when the judge enters the courtroom."/>
        <s v="The school maintains high academic standards."/>
        <s v="Traffic came to a standstill during the snowstorm."/>
        <s v="From a legal standpoint, the contract is valid."/>
        <s v="I don't understand how the machine works."/>
        <s v="He misunderstood the directions and got lost."/>
        <s v="The building was designed to withstand strong earthquakes."/>
        <s v="Notwithstanding his injury, he completed the marathon."/>
        <s v="She received an award for her outstanding achievement."/>
        <s v="Hold the camera steady to avoid blurry photos."/>
        <s v="Water is a substance essential for life."/>
        <s v="He inherited a substantial amount of money."/>
        <s v="The evidence supporting the claim was unsubstantial."/>
        <s v="This is a rare instance of that butterfly species."/>
        <s v="Instant coffee dissolves quickly in hot water."/>
        <s v="We could see the distant mountains on the horizon."/>
        <s v="The constant noise from construction made it hard to concentrate."/>
        <s v="The fire station responds quickly to emergencies."/>
        <s v="The stationary bicycle provides good exercise indoors."/>
        <s v="What state do you live in?"/>
        <s v="The bronze statue commemorates the town's founder."/>
        <s v="They inherited a large estate in the countryside."/>
        <s v="The patient's condition is stable after surgery."/>
        <s v="Political instability deterred foreign investors."/>
        <s v="The actor performed brilliantly on stage."/>
        <s v="The university enjoys great prestige in academic circles."/>
        <s v="The corn stalk grew over six feet tall."/>
        <s v="The hospital staff works around the clock."/>
        <s v="The wine left a red stain on the tablecloth."/>
        <s v="The race will start at noon."/>
        <s v="The sudden noise startled the sleeping baby."/>
        <s v="Marathon runners need great stamina."/>
        <s v="Thousands of fans filled the stadium for the championship game."/>
        <s v="We plan to stay at a hotel near the beach."/>
        <s v="Put a stamp on the envelope before mailing it."/>
        <s v="Be careful going down the stairs in the dark."/>
        <s v="Modern skyscrapers are built with steel frames."/>
        <s v="The rose has a long stem with thorns."/>
        <s v="Steam rises from the boiling water."/>
        <s v="The detective conducted a systematic search for clues."/>
        <s v="Take one step at a time down the steep path."/>
        <s v="The ancient temple was built of stone."/>
        <s v="The news of his sudden death stunned everyone."/>
        <s v="The magician's tricks astonish the audience."/>
        <s v="I need to go to the grocery store today."/>
        <s v="The children enjoyed the bedtime story."/>
        <s v="The museum worked to restore the damaged painting."/>
        <s v="The technician will install the new software tomorrow."/>
        <s v="The bartender sat on a high stool behind the counter."/>
        <s v="She has a stack of books to read during vacation."/>
        <s v="The storm caused power outages across the city."/>
        <s v="Cook the soup on the stove over low heat."/>
        <s v="The bus will stop at the corner."/>
        <s v="The water in the lake is still and clear."/>
        <s v="They distill whiskey using traditional methods."/>
        <s v="Some people believe destiny determines their path in life."/>
        <s v="Paris is a popular tourist destination."/>
        <s v="The nurse will assist the doctor during surgery."/>
        <s v="The committee consists of five members."/>
        <s v="Her work is of consistent high quality."/>
        <s v="Does life exist on other planets?"/>
        <s v="She insisted on paying for dinner."/>
        <s v="The problem persists despite our efforts to solve it."/>
        <s v="It's difficult to resist chocolate when you're on a diet."/>
        <s v="The bacteria developed resistance to antibiotics."/>
        <s v="The smell of freshly baked bread is irresistible."/>
        <s v="The research institute studies climate change."/>
        <s v="These three states constitute the tri-state area."/>
        <s v="The teacher found a substitute to cover her class."/>
        <s v="The internal structure of the building is very strong."/>
        <s v="The professor will instruct students in advanced calculus."/>
        <s v="Fallen trees obstruct the road after the storm."/>
        <s v="The hurricane was highly destructive to coastal areas."/>
        <s v="The company will construct a new office building."/>
        <s v="The poem exalts the beauty of nature."/>
        <s v="The king holds an exalted position in society."/>
        <s v="The bride and groom stood before the altar."/>
        <s v="Pilots must monitor their altitude during flight."/>
        <s v="Climate change will alter weather patterns worldwide."/>
        <s v="Take alternate routes to avoid traffic congestion."/>
        <s v="Consider alternative sources of energy such as solar power."/>
        <s v="Her altruism led her to volunteer at the homeless shelter."/>
        <s v="The artisan crafts beautiful pottery by hand."/>
        <s v="I read an interesting article about space exploration."/>
        <s v="The main artery into the city is congested during rush hour."/>
        <s v="The nurse had difficulty finding a vein for the injection."/>
        <s v="The dog wagged its tail happily."/>
        <s v="The tailor altered the suit to fit perfectly."/>
        <s v="Pay attention to every detail in the contract."/>
        <s v="Budget cuts forced the school to curtail some programs."/>
        <s v="The shoes are available at retail stores nationwide."/>
        <s v="Restaurants buy food at wholesale prices."/>
        <s v="The architect designed the award-winning museum."/>
        <s v="Sunscreen helps protect your skin from damage."/>
        <s v="Nurses tend to patients in the hospital."/>
        <s v="The current trend in fashion is eco-friendly clothing."/>
        <s v="I intend to finish this project by Friday."/>
        <s v="Children often pretend to be their favorite superheroes."/>
        <s v="Will you attend the conference next week?"/>
        <s v="The teacher called for the students' attention."/>
        <s v="Several teams contend for the championship each year."/>
        <s v="The company will extend its hours during the holiday season."/>
        <s v="I was surprised by the extent of the damage after the storm."/>
        <s v="The library granted an extension on the due date."/>
        <s v="The museum has an extensive collection of ancient artifacts."/>
        <s v="There is tension between the two competing teams."/>
        <s v="The storm will intensify before reaching land."/>
        <s v="Learning a language requires intensive study."/>
        <s v="We took a guided tour of the historic castle."/>
        <s v="Many tourists visit Paris to see the Eiffel Tower."/>
        <s v="The construction requires drivers to take a detour."/>
        <s v="The contour of the land changes from flat plains to rolling hills."/>
        <s v="The Olympic torch travels around the host country before the games."/>
        <s v="The prisoner was subjected to torture during interrogation."/>
        <s v="The mirror can distort your reflection."/>
        <s v="The old radio produces sound distortion."/>
        <s v="The train arrives at the station at 9:00 AM."/>
        <s v="The tram provides convenient transportation in the city center."/>
        <s v="Athletes compete on the running track."/>
        <s v="Hikers follow the trail through the forest."/>
        <s v="The movie trailer made me want to see the film."/>
        <s v="We travel to new countries whenever possible."/>
        <s v="The family maintains the tradition of Sunday dinner together."/>
        <s v="The waiter carried drinks on a tray."/>
        <s v="He would never betray a friend's confidence."/>
        <s v="The detective found no trace of the missing jewels."/>
        <s v="The farmer uses a tractor to plow the fields."/>
        <s v="Flowers attract bees with bright colors and sweet nectar."/>
        <s v="Vanilla extract adds flavor to baked goods."/>
        <s v="Subtract three from ten and you get seven."/>
        <s v="The builder signed a contract for the new project."/>
        <s v="The painting features abstract shapes and bold colors."/>
        <s v="Don't let your phone distract you while driving."/>
        <s v="Social media can be a major distraction when studying."/>
        <s v="The company plans to transform its business model."/>
        <s v="The patient received a kidney transplant last year."/>
        <s v="Turn left at the next intersection."/>
        <s v="The medical intern works long hours at the hospital."/>
        <s v="The company conducted an internal review of its policies."/>
        <s v="The summer internship provides valuable work experience."/>
        <s v="Some religions believe in eternal life after death."/>
        <s v="When do you plan to return from your trip?"/>
        <s v="The musical trio performs jazz standards."/>
        <s v="A triangle has three sides and three angles."/>
        <s v="The company tripled its profits last year."/>
        <s v="The indigenous tribe has lived in this region for centuries."/>
        <s v="The concert was a tribute to the legendary musician."/>
        <s v="We attribute our success to hard work and perseverance."/>
        <s v="Please contribute to the fundraising campaign if possible."/>
        <s v="Volunteers distribute food to homeless people."/>
        <s v="The book distribution spans over 50 countries."/>
        <s v="The chatter of excited children filled the playground."/>
        <s v="The glass vase will shatter if dropped on the floor."/>
        <s v="Please don't litter; use the trash cans provided."/>
        <s v="She didn't utter a single word during the entire meeting."/>
        <s v="He began to mutter complaints under his breath."/>
        <s v="Use a stick to support the young tree."/>
        <s v="Be careful of bees that might sting when disturbed."/>
        <s v="It's difficult to distinguish between the identical twins."/>
        <s v="The fake painting was easily distinguishable from the original."/>
        <s v="The distinguished professor received many academic awards."/>
        <s v="Firefighters worked to extinguish the forest fire."/>
        <s v="Dinosaurs have been extinct for millions of years."/>
        <s v="The two proposals are quite distinct in their approach."/>
        <s v="A mother's instinct to protect her child is very strong."/>
        <s v="Stir the soup occasionally while it cooks."/>
        <s v="Coffee can stimulate your brain and increase alertness."/>
        <s v="Rotten eggs stink terribly."/>
        <s v="The plumber will estimate the cost of repairs."/>
        <s v="The teacher holds her students in high esteem."/>
        <s v="The surgeon used small stitches to close the wound."/>
        <s v="Draw a straight line between the two points."/>
        <s v="Ships navigate through the narrow strait between the islands."/>
        <s v="The company developed a strategy to increase sales."/>
        <s v="Fasten the strap on your helmet for safety."/>
        <s v="The heavy lifting put strain on his back."/>
        <s v="Budget limitations constrain our options."/>
        <s v="The security guards had to restrain the angry customer."/>
        <s v="She sipped her drink through a straw."/>
        <s v="Our house is on a quiet street with little traffic."/>
        <s v="The stream flows down from the mountain."/>
        <s v="The team has a winning streak of five games."/>
        <s v="The animal shelter takes care of stray dogs and cats."/>
        <s v="Job stress affects many people's health."/>
        <s v="The ship sent a distress signal after hitting rocks."/>
        <s v="Remember to stretch before exercising."/>
        <s v="The tiger's coat has distinctive black stripes."/>
        <s v="They removed a strip of wallpaper along the edge."/>
        <s v="She walked with confident strides across the stage."/>
        <s v="The workers will strike for better wages."/>
        <s v="The artist made a careful stroke with the brush."/>
        <s v="The school has strict rules about attendance."/>
        <s v="The city is divided into several school districts."/>
        <s v="The doctor advised me to restrict my sugar intake."/>
        <s v="Use a tack to attach the notice to the bulletin board."/>
        <s v="The army will attack at dawn."/>
        <s v="Attach the document to your email."/>
        <s v="You can detach the cover for cleaning."/>
        <s v="I'll contact you as soon as I get more information."/>
        <s v="Africa is the second-largest continent by land area."/>
        <s v="Goodwill is an intangible asset for a business."/>
        <s v="This box contains fragile items."/>
        <s v="You can obtain a permit from the city office."/>
        <s v="Police detain suspects for questioning."/>
        <s v="The company works hard to retain talented employees."/>
        <s v="These practices will help sustain natural resources."/>
        <s v="It takes years of practice to attain mastery."/>
        <s v="Some people abstain from eating meat."/>
        <s v="The comedian will entertain guests at the party."/>
        <s v="The movie will continue after a short intermission."/>
        <s v="The manufacturer decided to discontinue this model."/>
        <s v="They danced the tango at the competition."/>
        <s v="Don't let the cord tangle around the furniture."/>
        <s v="The fish became entangled in the net."/>
        <s v="Buying a house provides tangible benefits over renting."/>
        <s v="The flu is highly contagious in winter months."/>
        <s v="Chemicals contaminate the river water."/>
        <s v="The subway system runs underground throughout the city."/>
        <s v="The detective worked undercover for six months."/>
        <s v="We need to address the underlying causes of the problem."/>
        <s v="Don't undermine your colleague's authority."/>
        <s v="Construction on the new bridge is already underway."/>
        <s v="The patient will undergo surgery tomorrow."/>
        <s v="Pack enough underwear for a week."/>
        <s v="The company will undertake a major expansion project."/>
        <s v="We need to upgrade our computer systems."/>
        <s v="My bedroom is upstairs on the second floor."/>
        <s v="There has been an upsurge in tourism this year."/>
        <s v="The storm was strong enough to uproot large trees."/>
        <s v="The child took a tumble but wasn't hurt."/>
        <s v="Be careful not to stumble on the uneven sidewalk."/>
        <s v="We heard the rumble of thunder in the distance."/>
        <s v="The old wall began to crumble after years of neglect."/>
        <s v="Despite his success, he remains humble."/>
        <s v="The field was uniformly covered with snow."/>
        <s v="The hospital has a special unit for treating burns."/>
        <s v="The crisis created a sense of unity among the citizens."/>
        <s v="The labor union represents all factory workers."/>
        <s v="Scientists believe the universe is still expanding."/>
        <s v="She studies economics at the university."/>
        <s v="Take the subway to avoid traffic congestion."/>
        <s v="The submarine can stay underwater for months."/>
        <s v="The flavor difference between the two wines is very subtle."/>
        <s v="He wore his best suit to the interview."/>
        <s v="This venue is suitable for large gatherings."/>
        <s v="The movie contains material unsuitable for young children."/>
        <s v="The presidential suite occupies the top floor of the hotel."/>
        <s v="The company faces a lawsuit from former employees."/>
        <s v="The pursuit of happiness is a basic human right."/>
        <s v="She decided to pursue a career in medicine."/>
        <s v="We're still waiting for the test results."/>
        <s v="The suspect was charged with assault."/>
        <s v="His rude comments were an insult to everyone present."/>
        <s v="The singer has a sultry voice that captivates audiences."/>
        <s v="Consult your doctor before starting any new medication."/>
        <s v="Many families take vacations during the summer."/>
        <s v="The mountain summit offers spectacular views."/>
        <s v="The sum of two and three is five."/>
        <s v="The executive summary provides an overview of the report."/>
        <s v="Can you summarize the main points of the meeting?"/>
        <s v="Americans consume large amounts of fast food."/>
        <s v="I presume you'll be attending the conference next week."/>
        <s v="The presumable cause of the fire was an electrical fault."/>
        <s v="Don't assume that everyone agrees with your opinion."/>
        <s v="His argument is based on false assumptions."/>
        <s v="After the break, we will resume our discussion."/>
        <s v="The Supreme Court is the highest court in the country."/>
        <s v="The new model is superior to the older version."/>
        <s v="The chef prepared a superb meal for the special occasion."/>
        <s v="A surge of adrenaline helped her lift the heavy object."/>
        <s v="The company conducted a survey of customer satisfaction."/>
        <s v="The bank has surveillance cameras for security."/>
        <s v="My surname comes from my father's side of the family."/>
        <s v="The army had to surrender after running out of supplies."/>
        <s v="I'm sure that everything will work out well."/>
        <s v="The safety features ensure that passengers are protected."/>
        <s v="I can assure you that your money is safe with us."/>
        <s v="Health insurance helps cover medical expenses."/>
        <s v="Her voice was barely audible in the noisy room."/>
        <s v="Many actors audition for each available role."/>
        <s v="The school auditorium seats 500 people."/>
        <s v="The audience applauded enthusiastically after the performance."/>
        <s v="The IRS may audit your tax returns."/>
        <s v="The apartment has been vacant for three months."/>
        <s v="Tenants must vacate the building during renovations."/>
        <s v="We're planning our summer vacation to the beach."/>
        <s v="Use a vacuum to clean the carpet thoroughly."/>
        <s v="Children need vaccinations to prevent diseases."/>
        <s v="People had to evacuate the building during the fire alarm."/>
        <s v="The evacuation plan should be posted in every room."/>
        <s v="The army will invade the neighboring country."/>
        <s v="The suspect tried to evade the police."/>
        <s v="A sense of excitement pervades the air before the holiday."/>
        <s v="The delivery van will arrive between 2 and 4 PM."/>
        <s v="The wind vane shows which way the wind is blowing."/>
        <s v="Their attempts to solve the problem were in vain."/>
        <s v="The magician made the rabbit vanish."/>
        <s v="His vanity makes him spend hours in front of the mirror."/>
        <s v="Technology continues to advance at a rapid pace."/>
        <s v="Knowledge of multiple languages gives you an advantage in business."/>
        <s v="Being far from public transportation is a disadvantage."/>
        <s v="The wedding venue accommodates up to 200 guests."/>
        <s v="The parade will go down Fifth Avenue."/>
        <s v="The board will convene for an emergency meeting tomorrow."/>
        <s v="The annual convention attracts thousands of industry professionals."/>
        <s v="They chose a conventional approach rather than experimenting."/>
        <s v="The store's location is convenient for neighborhood residents."/>
        <s v="I bought a souvenir to remember my trip to Paris."/>
        <s v="The new product line increased company revenue significantly."/>
        <s v="The teacher had to intervene in the students' argument."/>
        <s v="The kitchen needs a vent to remove cooking odors."/>
        <s v="Good ventilation is important for indoor air quality."/>
        <s v="Starting a new business is always a risky venture."/>
        <s v="The book tells the adventure of explorers in the Amazon."/>
        <s v="Thomas Edison did not invent the light bulb; he improved it."/>
        <s v="Regular exercise helps prevent many health problems."/>
        <s v="Prevention of disease is better than treatment."/>
        <s v="The wedding was the social event of the season."/>
        <s v="The advent of the internet transformed communication."/>
        <s v="The poet recited a verse from her latest work."/>
        <s v="The latest version of the software includes new features."/>
        <s v="The medicine may cause adverse reactions in some patients."/>
        <s v="The two candidates are political adversaries."/>
        <s v="The truck driver had to reverse into the narrow driveway."/>
        <s v="The new policy caused controversy among parents."/>
        <s v="We had an interesting conversation about climate change."/>
        <s v="The company employs a diverse workforce."/>
        <s v="The police diverted traffic away from the accident scene."/>
        <s v="Quick action helped avert a serious crisis."/>
        <s v="The company will advertise the new product on television."/>
        <s v="The builder will convert the old warehouse into apartments."/>
        <s v="The conversion from miles to kilometers is easy to calculate."/>
        <s v="The climber scaled the vertical cliff face."/>
        <s v="As an introvert, she prefers small gatherings to large parties."/>
        <s v="The extrovert easily makes friends in new situations."/>
        <s v="The video shows how to assemble the furniture."/>
        <s v="The hotel provides free breakfast for guests."/>
        <s v="The hikers carried provisions for a three-day trek."/>
        <s v="The benefits of exercise are evident in his improved health."/>
        <s v="Police collected evidence at the crime scene."/>
        <s v="The company's vision is to become a global leader in technology."/>
        <s v="The visionary entrepreneur predicted mobile computing decades ago."/>
        <s v="Stars become visible in the night sky after sunset."/>
        <s v="Germs are invisible to the naked eye."/>
        <s v="I envision a future where clean energy is the norm."/>
        <s v="Don't waste time in envy of others' success."/>
        <s v="She has the enviable ability to learn languages quickly."/>
        <s v="The engineer will devise a solution to the problem."/>
        <s v="Students should revise their essays before submission."/>
        <s v="The manager supervises a team of ten employees."/>
        <s v="The financial consultant will advise you on investments."/>
        <s v="We plan to visit Rome next summer."/>
        <s v="The vocal minority opposed the new regulations."/>
        <s v="Teaching is not just a job but a vocation."/>
        <s v="Photography is her avocation, not her profession."/>
        <s v="She is a strong advocate for children's rights."/>
        <s v="The singer has a beautiful voice."/>
        <s v="The company sent an invoice for the services provided."/>
        <s v="The song evokes memories of my childhood."/>
        <s v="The president can convoke Congress for a special session."/>
        <s v="The court may revoke his driver's license."/>
        <s v="Don't provoke the dog by teasing it."/>
        <s v="She drives a Volvo because of its safety features."/>
        <s v="The Earth revolves around the sun once each year."/>
        <s v="The industrial revolution transformed manufacturing processes."/>
        <s v="Species evolve over millions of years."/>
        <s v="The project involves collaboration between several departments."/>
        <s v="Please turn down the volume of the music."/>
        <s v="The painting has both artistic and monetary value."/>
        <s v="The information proved valuable in solving the problem."/>
        <s v="Her assistance was invaluable during the crisis."/>
        <s v="The committee will evaluate all applications carefully."/>
        <s v="Your passport must be valid for at least six months."/>
        <s v="The receipt validates your warranty."/>
        <s v="He availed himself of the opportunity to study abroad."/>
        <s v="The book is available in both hardcover and paperback editions."/>
        <s v="Her strengths countervail her weaknesses."/>
        <s v="Justice will prevail in the end."/>
        <s v="Temperatures vary greatly from summer to winter."/>
        <s v="Genetic variation contributes to species adaptability."/>
        <s v="The shop sells various types of cheese."/>
        <s v="Wind speed is a variable factor in weather forecasting."/>
        <s v="His invariable response to criticism is denial."/>
        <s v="This is a new variant of the original design."/>
        <s v="The store offers a wide variety of products."/>
        <s v="The team celebrated their victory in the championship."/>
        <s v="The victim of the accident is recovering in the hospital."/>
        <s v="The jury's conviction was based on solid evidence."/>
        <s v="Even the strongest opponent is vincible with the right strategy."/>
        <s v="The evidence should convince even the most skeptical person."/>
        <s v="Vitamin C helps strengthen the immune system."/>
        <s v="Oxygen is vital for human survival."/>
        <s v="Regular exercise increases your vitality and energy."/>
        <s v="We invited thirty people to the wedding."/>
        <s v="The professor conducted a viva to test the student's knowledge."/>
        <s v="She described the scene in vivid detail."/>
        <s v="There has been a revival of interest in traditional crafts."/>
        <s v="Survival in the wilderness requires knowledge and preparation."/>
        <s v="Strong wind blew the leaves from the trees."/>
        <s v="The rock cracked the windshield of my car."/>
        <s v="In winter, the lake freezes solid."/>
        <s v="Open the window to let in fresh air."/>
        <s v="The bird's wing was injured, so it couldn't fly."/>
        <s v="Children love to swing in the playground."/>
        <s v="Whisk the eggs until they become frothy."/>
        <s v="The cat's whiskers help it navigate in the dark."/>
        <s v="Scotch whiskey is aged in oak barrels."/>
        <s v="The referee blew the whistle to end the game."/>
        <s v="She leaned closer to whisper the secret."/>
        <s v="The chef used a whip to beat the cream."/>
        <s v="The dancers whirl around the ballroom floor."/>
        <s v="Cream swirl into the black coffee."/>
        <s v="The hospital ward holds twenty patients."/>
        <s v="She has an extensive wardrobe of professional clothes."/>
        <s v="We went for ice cream afterward."/>
        <s v="Good behavior deserves a reward."/>
        <s v="She received an award for her outstanding performance."/>
        <s v="The journey inward can be as challenging as exploring the world."/>
        <s v="Don't withhold important information from your doctor."/>
        <s v="You can withdraw cash from any ATM."/>
        <s v="The withdrawal of troops will begin next month."/>
        <s v="Wrap the gift in colorful paper."/>
        <s v="He had to wrest control of the vehicle from the skid."/>
        <s v="Professional wrestling combines athleticism with entertainment."/>
        <s v="Use a wrench to tighten the loose bolt."/>
        <s v="The storm could wreck small boats."/>
        <s v="The king's wrath was feared throughout the kingdom."/>
        <s v="Lawyers wrangle over the details of the contract."/>
        <s v="The new fabric resists wrinkles."/>
        <s v="It's wrong to take things that don't belong to you."/>
        <s v="She wears a watch on her left wrist."/>
        <s v="Please write your name and address on the form."/>
        <s v="The war lasted for six devastating years."/>
        <s v="Be wary of emails asking for your bank information."/>
        <s v="The sign warns visitors about the dangerous cliff."/>
        <s v="The evidence didn't warrant such extreme measures."/>
        <s v="The soup will help keep you warm on a cold day."/>
        <s v="Birds eat worms from the garden soil."/>
        <s v="Connect the devices using the USB wire."/>
        <s v="Most modern homes have wireless internet."/>
        <s v="The world is becoming increasingly interconnected."/>
        <s v="His worldly possessions fit into a single suitcase."/>
        <s v="Don't worry about things you cannot change."/>
        <s v="Choose your words carefully in formal writing."/>
        <s v="Knights carried swords in medieval times."/>
        <s v="Remember to switch off the lights when you leave."/>
        <s v="Let's swap phone numbers so we can stay in touch."/>
        <s v="Children learn to swim in the shallow pool."/>
        <s v="It's difficult to swallow large pills."/>
        <s v="The trees sway in the strong wind."/>
        <s v="Athletes sweat heavily during intense exercise."/>
        <s v="The cake is too sweet for my taste."/>
        <s v="The white swan glided gracefully across the lake."/>
        <s v="The jeep got stuck in the muddy swamp."/>
        <s v="The river tends to swell after heavy rain."/>
        <s v="Please sweep the floor before guests arrive."/>
        <s v="The swift response from emergency services saved lives."/>
        <s v="Witnesses must swear to tell the truth in court."/>
        <s v="The emergency exit is located at the back of the building."/>
        <s v="The botanical garden features exotic plants from around the world."/>
        <s v="The chef prepared an exquisite meal for the special occasion."/>
        <s v="Travel provides valuable experience of different cultures."/>
        <s v="The scientist conducts experiments in the laboratory."/>
        <s v="The company will execute the new strategy next quarter."/>
        <s v="She is an expert in ancient languages."/>
        <s v="His expertise in computer programming is impressive."/>
        <s v="The instructions were clear and explicit."/>
        <s v="The company exploits natural resources responsibly."/>
        <s v="Critics extol the virtues of the award-winning film."/>
        <s v="Don't exaggerate the difficulties; they are manageable."/>
        <s v="His claim of walking ten miles was an exaggeration."/>
        <s v="The technology has shown exponential growth over the past decade."/>
        <s v="The bomb could explode if mishandled."/>
        <s v="Criminals attempted to extort money from the businessman."/>
        <s v="The former dictator lives in exile in a neighboring country."/>
        <s v="Long hours of work exhaust even the strongest person."/>
        <s v="The marathon was physically exhausting."/>
        <s v="After the long hike, they were completely exhausted."/>
        <s v="Students are exempt from paying the full fare."/>
        <s v="Would you like extra cheese on your pizza?"/>
        <s v="Students participate in various extracurricular activities after school."/>
        <s v="The external appearance of the building is impressive."/>
        <s v="The explorer endured extreme conditions in the Arctic."/>
        <s v="The concert was extremely entertaining."/>
        <s v="Can you fix my broken computer?"/>
        <s v="Affix your signature at the bottom of the document."/>
        <s v="The dove is a symbol of peace."/>
        <s v="Fever is a common symptom of many illnesses."/>
        <s v="The scientific symposium attracted researchers from around the world."/>
        <s v="The butterfly's wings show perfect symmetry."/>
        <s v="The orchestra performs Beethoven's Symphony No. 9."/>
        <s v="Down syndrome is a genetic condition."/>
        <s v="Make sure to synchronize your watch with the official time."/>
        <s v="The merger created synergy between the two companies."/>
        <s v="The synthesis of these chemicals produces a new compound."/>
        <s v="Plants convert sunlight into energy through photosynthesis."/>
        <s v="Morning haze covered the valley."/>
        <s v="The children enjoyed finding their way through the corn maze."/>
        <s v="The view from the mountain top was amazing."/>
        <s v="She gazed at the stars in wonder."/>
        <s v="The old man dozed in his comfortable chair."/>
        <s v="New Orleans is famous for its jazz music."/>
        <s v="The crossword puzzle provides mental exercise."/>
        <s v="The steaks sizzle on the hot grill."/>
        <s v="The magician's tricks dazzle the audience."/>
        <s v="A light drizzle fell throughout the morning."/>
        <s v="It would be crazy to go swimming in such cold water."/>
        <s v="Don't be lazy; help with the cleaning."/>
        <s v="The city is divided into different parking zones."/>
      </sharedItems>
    </cacheField>
    <cacheField name="영어문장" numFmtId="0">
      <sharedItems containsNonDate="0" count="2415">
        <s v="The children played with a colorful (          ) in the park."/>
        <s v="She bought a red (          ) for her birthday party."/>
        <s v="The school (          ) rang to signal the end of class."/>
        <s v="The cat's (          ) was soft and warm."/>
        <s v="The detective found a (          ) at the crime scene."/>
        <s v="I need to replace the light (          ) in the kitchen."/>
        <s v="He bought rice in (          ) to save money."/>
        <s v="The military (          ) is located near the mountain."/>
        <s v="You need to learn the (          ) principles of mathematics."/>
        <s v="We store old furniture in our (          )."/>
        <s v="My brother plays (          ) every weekend."/>
        <s v="The (          ) guitar creates deep, low sounds in the band."/>
        <s v="She wore a silk (          ) to the interview."/>
        <s v="Eating too fast can cause your stomach to (          )."/>
        <s v="The wind will (          ) strongly tonight."/>
        <s v="The (          ) can expand to twice its normal size."/>
        <s v="I got a (          ) on my heel from my new shoes."/>
        <s v="Her vision became a (          ) without her glasses."/>
        <s v="The (          ) man navigated with his white cane."/>
        <s v="His (          ) didn't work because everyone knew he was lying."/>
        <s v="The child laughed as she blew a large soap (          )."/>
        <s v="The flower (          ) will soon bloom in spring."/>
        <s v="We need to create a (          ) for our vacation."/>
        <s v="She tied her hair in a neat (          ) for the dance recital."/>
        <s v="He brought a (          ) of red roses for our anniversary."/>
        <s v="I want to (          ) a new computer next month."/>
        <s v="They will (          ) the time capsule in the school yard."/>
        <s v="The baby needs to (          ) after drinking milk."/>
        <s v="The school decided to (          ) mobile phones during class."/>
        <s v="The king will (          ) anyone who breaks the law."/>
        <s v="My favorite (          ) is performing at the concert tonight."/>
        <s v="The (          ) stole money from the stagecoach."/>
        <s v="Her (          ) cooks dinner every Friday night."/>
        <s v="The crew had to (          ) the sinking ship."/>
        <s v="The nurse put a (          ) on my cut."/>
        <s v="Strong rope will (          ) the packages together securely."/>
        <s v="The mother and child share a special (          )."/>
        <s v="The rabbit (          ) across the field quickly."/>
        <s v="The fence marks the (          ) between the two properties."/>
        <s v="She wrapped the baby in a (          ) of warm blankets."/>
        <s v="Let's meet at the coffee (          ) after work."/>
        <s v="The (          ) knew how to make all kinds of drinks."/>
        <s v="She found a real (          ) at the shoe sale."/>
        <s v="The farmers keep their animals in the (          ) during winter."/>
        <s v="We store rainwater in a large (          ) outside."/>
        <s v="Language can be a (          ) when traveling abroad."/>
        <s v="Police set up a (          ) around the accident scene."/>
        <s v="Don't (          ) your sister by showing her baby photos."/>
        <s v="The country faced an economic (          ) for many years."/>
        <s v="The (          ) landscape had no trees or plants."/>
        <s v="The baseball player swung the (          ) and hit a home run."/>
        <s v="The ancient (          ) took place on this very field."/>
        <s v="The fisherman used worms to (          ) his hook."/>
        <s v="The storm will (          ) by morning."/>
        <s v="We had a lively (          ) about climate change."/>
        <s v="My heart began to (          ) faster when I saw the test results."/>
        <s v="She rides her (          ) to school every day."/>
        <s v="Try not to show (          ) when judging the competition."/>
        <s v="The suspect had a strong (          ) for the night of the crime."/>
        <s v="Being (          ) can help you find better job opportunities."/>
        <s v="We used (          ) to watch birds at the lake."/>
        <s v="The river (          )s the city into north and south regions."/>
        <s v="She studies (          ) at the university."/>
        <s v="The doctor prescribed an (          ) for my infection."/>
        <s v="I'm reading a (          ) about Albert Einstein."/>
        <s v="The roses (          ) beautifully in our garden each summer."/>
        <s v="She wore a (          ) dress to the formal dinner."/>
        <s v="Please don't leave any (          ) spaces on the application form."/>
        <s v="The child slept peacefully under a warm (          )."/>
        <s v="Use (          ) carefully when washing white clothes."/>
        <s v="The knife (          ) needs to be sharpened."/>
        <s v="His knee started to (          ) after he fell off his bike."/>
        <s v="The forest (          ) destroyed thousands of acres."/>
        <s v="The sky was (          ) with colorful fireworks."/>
        <s v="A (          ) is forecast for this weekend."/>
        <s v="May God (          ) you and your family."/>
        <s v="The explosion (          ) could be heard for miles."/>
        <s v="The politician's (          ) didn't convince the voters."/>
        <s v="The balloon will (          ) if you blow too much air into it."/>
        <s v="The car alarms (          ) was annoying the neighbors."/>
        <s v="Her (          ) hair shines in the sunlight."/>
        <s v="Be careful not to (          ) the glass vase."/>
        <s v="I usually eat (          ) at 7:30 every morning."/>
        <s v="The shipping company is responsible for any (          ) during transit."/>
        <s v="Scientists announced a (          ) in cancer research."/>
        <s v="We hired a real estate (          ) to help sell our house."/>
        <s v="It's difficult to (          ) such a sensitive topic."/>
        <s v="Hackers caused a security (          ) in the system."/>
        <s v="They built a (          ) wall around their garden."/>
        <s v="We took a (          ) walk in the cool morning air."/>
        <s v="The old paper was yellow and (          ) with age."/>
        <s v="We need more (          ) for the barbecue."/>
        <s v="The report covers a (          ) range of topics."/>
        <s v="The executive (          ) meets every Tuesday morning."/>
        <s v="All passengers must be (          ) the ship by 5:00 PM."/>
        <s v="The (          ) of his knowledge on history is impressive."/>
        <s v="Hold your (          ) when you swim underwater."/>
        <s v="You need to (          ) the water before drinking it."/>
        <s v="Set the oven to (          ) when cooking the fish."/>
        <s v="The meeting was (          ), lasting only fifteen minutes."/>
        <s v="Please (          ) the month names in your report."/>
        <s v="My sister is studying (          ) for a semester."/>
        <s v="She is (          ) to speak three languages fluently."/>
        <s v="His (          ) to solve complex problems quickly is remarkable."/>
        <s v="This software will (          ) you to edit photos easily."/>
        <s v="Some countries have decided to (          ) the death penalty."/>
        <s v="The doctor noticed (          ) cells in the test results."/>
        <s v="We had to (          ) the mission due to bad weather."/>
        <s v="Drug (          ) can lead to serious health problems."/>
        <s v="His claim that he could fly was completely (          )."/>
        <s v="Plants (          ) carbon dioxide from the air."/>
        <s v="I have (          ) confidence in her abilities."/>
        <s v="The evidence helped to (          ) him of any blame."/>
        <s v="Three students were (          ) from class today."/>
        <s v="The conversation came to an (          ) end when she left."/>
        <s v="Children sat in a (          ) during story time."/>
        <s v="The police will (          ) the building to catch the thief."/>
        <s v="Good ventilation helps air (          ) in the room."/>
        <s v="The children were excited to visit the (          )."/>
        <s v="Under no (          ) should you open this door."/>
        <s v="The water (          ) is an important natural process."/>
        <s v="We should (          ) paper, glass, and plastic."/>
        <s v="The coastal regions prepared for the approaching (          )."/>
        <s v="I took a (          ) from the airport to my hotel."/>
        <s v="We rented a (          ) in the mountains for our vacation."/>
        <s v="Store the dishes in the kitchen (          )."/>
        <s v="The beach resort has private (          )s for guests."/>
        <s v="We calculated the (          ) volume of the room."/>
        <s v="He works in a small (          ) in the office."/>
        <s v="I (          ) swim across the lake easily."/>
        <s v="The elderly man used a (          ) to help him walk."/>
        <s v="Children love to eat (          ) on Halloween."/>
        <s v="The medieval castle had several (          ) for defense."/>
        <s v="The Grand Canyon is a famous natural wonder in Arizona."/>
        <s v="Venice is known for its beautiful (          )s."/>
        <s v="Switch to (          ) five to watch the news."/>
        <s v="He wore a baseball (          ) to protect himself from the sun."/>
        <s v="The astronauts returned to Earth in a space (          )."/>
        <s v="The theater has a (          ) of 500 people."/>
        <s v="Her (          ) bag held all her shopping purchases."/>
        <s v="She is (          ) of running a marathon."/>
        <s v="The (          ) of the ship has years of experience."/>
        <s v="Tokyo is the (          ) city of Japan."/>
        <s v="The superhero wore a flowing (          )."/>
        <s v="The prisoner planned his (          ) carefully."/>
        <s v="His visual impairment is not a (          ) in his profession."/>
        <s v="Strong winds could cause small boats to (          )."/>
        <s v="The photographer managed to (          ) the perfect sunset."/>
        <s v="The zoo kept the lion (          ) in a large enclosure."/>
        <s v="Read the (          ) under the photograph for more information."/>
        <s v="The religious (          ) guided her daily decisions."/>
        <s v="It's a difficult (          ) to understand at first."/>
        <s v="There is a common (          ) that bats are blind."/>
        <s v="Young children are (          ) to many illnesses."/>
        <s v="I (          ) your apology for being late."/>
        <s v="The wedding (          ) was held at a beautiful hotel."/>
        <s v="The (          ) greeted us warmly when we arrived."/>
        <s v="Keep your (          ) in case you need to return the item."/>
        <s v="Everyone went to the party (          ) John."/>
        <s v="There are always (          )s to every rule."/>
        <s v="Her performance in the competition was (          )."/>
        <s v="The magazine published an (          ) from his new novel."/>
        <s v="His (          ) was discovered when the truth came out."/>
        <s v="The police will (          ) the smugglers at the border."/>
        <s v="This (          ) for chocolate cake is simple to follow."/>
        <s v="We (          ) heavy traffic during the holiday season."/>
        <s v="Each (          ) followed the teacher's instructions carefully."/>
        <s v="You need (          ) to practice piano every day."/>
        <s v="His rude comments (          ) her decision to leave."/>
        <s v="The school (          ) spoke at the graduation ceremony."/>
        <s v="The countries signed a (          ) trade agreement."/>
        <s v="Honesty is an important (          ) in journalism."/>
        <s v="Students eagerly (          ) in the science fair."/>
        <s v="Soldiers (          ) the abandoned building during the exercise."/>
        <s v="Thoughts of the upcoming exam (          ) her mind."/>
        <s v="He was too (          ) with work to notice the time."/>
        <s v="My (          ) needs new tires before winter."/>
        <s v="The ship carries (          ) between international ports."/>
        <s v="The (          ) built beautiful wooden furniture."/>
        <s v="She pushed the shopping (          ) through the grocery store."/>
        <s v="I bought a (          ) of milk at the supermarket."/>
        <s v="Can you help me (          ) these heavy boxes?"/>
        <s v="The (          ) delivered the package to the wrong address."/>
        <s v="The horse-drawn (          ) took the tourists around the old city."/>
        <s v="She has had a successful (          ) in medicine."/>
        <s v="His (          ) made him popular among voters."/>
        <s v="The artist will (          ) a statue from the marble block."/>
        <s v="The hotel will (          ) you for room service."/>
        <s v="The doctor will (          ) the patient tomorrow."/>
        <s v="The road has a dangerous (          ) ahead."/>
        <s v="Her hair tends to (          ) in humid weather."/>
        <s v="The river (          ) is too strong for swimming."/>
        <s v="You need to exchange your (          ) before traveling abroad."/>
        <s v="He is serving two (          ) prison sentences."/>
        <s v="The golf (          ) has eighteen holes."/>
        <s v="The company will (          ) expenses during the expansion."/>
        <s v="The border (          ) created tension between the countries."/>
        <s v="Earthquakes (          ) frequently in this region."/>
        <s v="His headaches tend to (          ) every month."/>
        <s v="Please park your car next to the (          )."/>
        <s v="The teenager had to be home before (          ) at 10:00 PM."/>
        <s v="Draw the (          ) to block the bright sunlight."/>
        <s v="They went on a day (          ) to the nearby island."/>
        <s v="I (          ) with your assessment of the situation."/>
        <s v="You should take (          ) of your health."/>
        <s v="Be (          ) when crossing the street."/>
        <s v="His (          ) mistake cost the team the game."/>
        <s v="The climber was in a (          ) position on the cliff."/>
        <s v="The (          ) raises money to help homeless people."/>
        <s v="I (          ) the memories of my childhood."/>
        <s v="His (          ) behavior surprised everyone at the meeting."/>
        <s v="Scientists are working to find a (          ) for cancer."/>
        <s v="The plant has (          ) properties for skin conditions."/>
        <s v="The museum (          ) organized the new exhibition."/>
        <s v="She gets a (          ) every two weeks."/>
        <s v="Lock all doors and windows to (          ) your home."/>
        <s v="He feels (          ) about speaking in public."/>
        <s v="Firefighters will (          ) the cat from the tree."/>
        <s v="The meaning of the poem is (          ) to many readers."/>
        <s v="Your translation must be (          ) and complete."/>
        <s v="The news report contained (          ) information."/>
        <s v="Smoking can (          ) serious health problems."/>
        <s v="Proceed with (          ) on the icy road."/>
        <s v="Investors are (          ) about the new stock market trend."/>
        <s v="Wearing sunscreen is a good (          ) against sunburn."/>
        <s v="His illness was a valid (          ) for missing class."/>
        <s v="Don't (          ) someone without evidence."/>
        <s v="The book (          ) features a beautiful landscape."/>
        <s v="The insurance policy provides (          ) for flood damage."/>
        <s v="Scientists (          ) new species in the rainforest every year."/>
        <s v="It took her months to (          ) from the accident."/>
        <s v="You will (          ) if you work hard and stay focused."/>
        <s v="Hard work was the key to his (          )."/>
        <s v="The events occurred in rapid (          )."/>
        <s v="We can (          ) with the project after getting approval."/>
        <s v="The application (          ) takes about two weeks."/>
        <s v="The doctor explained the surgical (          ) in detail."/>
        <s v="A moment of silence will (          ) the concert."/>
        <s v="Our sales this month (          ) our expectations."/>
        <s v="Don't eat (          ) sugar if you want to stay healthy."/>
        <s v="The coach criticized the team for (          ) penalties."/>
        <s v="The floodwaters began to (          ) after the rain stopped."/>
        <s v="Children play outside during (          ) at school."/>
        <s v="The country is still recovering from the economic (          )."/>
        <s v="The pronoun should agree with its (          ) in a sentence."/>
        <s v="My (          ) came to America in the 1800s."/>
        <s v="You need a password to (          ) the secure website."/>
        <s v="The new building is fully (          ) for people with disabilities."/>
        <s v="The remote village was (          ) during the rainy season."/>
        <s v="She wore a colorful scarf as an (          ) to her outfit."/>
        <s v="It's (          ) to have a passport for international travel."/>
        <s v="Your absence will (          ) a change in our plans."/>
        <s v="The new manager is more efficient than his (          )."/>
        <s v="The fighting will (          ) once the peace agreement is signed."/>
        <s v="The baby's (          ) crying kept everyone awake."/>
        <s v="The family was notified of his (          ) while abroad."/>
        <s v="The car (          ) happened on a rainy night."/>
        <s v="The discovery was (          ) but very important."/>
        <s v="He reported the (          ) to the police immediately."/>
        <s v="The music is (          ) to the main story in the film."/>
        <s v="Did you (          ) the package I sent?"/>
        <s v="People often (          ) things differently based on their experiences."/>
        <s v="They were unable to (          ) a child naturally."/>
        <s v="Don't try to (          ) me with false promises."/>
        <s v="His (          ) behavior destroyed their trust."/>
        <s v="The prisoner was confined to his (          ) for 23 hours daily."/>
        <s v="We store wine in the cool (          ) beneath the house."/>
        <s v="The magician will (          ) the rabbit under his hat."/>
        <s v="The living room has a high (          ) with decorative molding."/>
        <s v="The telescope provides a clear view of (          ) bodies."/>
        <s v="We (          ) Independence Day on July 4th."/>
        <s v="The (          ) arrived surrounded by photographers."/>
        <s v="She continues to (          ) in mathematics competitions."/>
        <s v="The restaurant serves (          ) food at reasonable prices."/>
        <s v="The car can (          ) from 0 to 60 mph in six seconds."/>
        <s v="This old coin is worth more than one (          )."/>
        <s v="Measure the length in (          ) for more accuracy."/>
        <s v="The castle was built in the 16th (          )."/>
        <s v="The jury found the defendant (          ) of all charges."/>
        <s v="Children have a natural (          ) about the world."/>
        <s v="He is a (          ) man who always helps others."/>
        <s v="The (          ) of police announced new safety measures."/>
        <s v="The restaurant hired a French (          )."/>
        <s v="The children were full of (          ) during the sleepover."/>
        <s v="You can (          ) your goals with determination."/>
        <s v="He offered her a (          ) to dry her tears."/>
        <s v="We need to (          ) on a location for the conference."/>
        <s v="She has a (          ) advantage in the competition."/>
        <s v="His (          ) leadership helped during the crisis."/>
        <s v="The bridge has barriers to prevent (          ) attempts."/>
        <s v="Use (          ) carefully around pets and children."/>
        <s v="Organic farmers avoid using chemical (          )."/>
        <s v="Use (          ) to cut along the dotted line."/>
        <s v="His (          ) explanation was easy to understand."/>
        <s v="The experiment requires (          ) measurements."/>
        <s v="Regular (          ) is important for good health."/>
        <s v="Always (          ) your sources in a research paper."/>
        <s v="My daughter has a piano (          ) next Saturday."/>
        <s v="His speech might (          ) violence among the protesters."/>
        <s v="The news about the school trip will (          ) the children."/>
        <s v="The artist sculpted a beautiful vase from (          )."/>
        <s v="The Scottish (          ) has its own tartan pattern."/>
        <s v="The cat used its sharp (          ) to catch the mouse."/>
        <s v="There was a (          ) between protesters and police."/>
        <s v="The loud (          ) woke everyone up."/>
        <s v="Please (          ) your room before guests arrive."/>
        <s v="This soap will (          ) and moisturize your skin."/>
        <s v="Let me (          ) what I meant in my previous email."/>
        <s v="You must (          ) all items when going through customs."/>
        <s v="The Declaration of Independence was signed in 1776."/>
        <s v="Use a (          ) to keep the papers together."/>
        <s v="The wet shirt will (          ) to your body."/>
        <s v="She had to (          ) the railing during the earthquake."/>
        <s v="The medical (          ) offers free vaccinations."/>
        <s v="The lawyer met with her (          ) to discuss the case."/>
        <s v="His final argument helped (          ) the debate."/>
        <s v="The road has a steep (          ) that's difficult to climb."/>
        <s v="I'm not (          ) to accept his offer right now."/>
        <s v="He had to (          ) the invitation due to prior commitments."/>
        <s v="Please (          ) the door when you leave."/>
        <s v="Her (          ) is full of shoes and dresses."/>
        <s v="The company must (          ) financial information to investors."/>
        <s v="I will (          ) a check with my application form."/>
        <s v="The zoo built a new (          ) for the elephants."/>
        <s v="The price (          )s breakfast and dinner."/>
        <s v="We can (          ) from the evidence that he is innocent."/>
        <s v="The DNA test provided (          ) proof of his identity."/>
        <s v="Bad weather might (          ) our trip to the beach."/>
        <s v="The club decided to (          ) members who break the rules."/>
        <s v="His (          ) from the team was due to poor performance."/>
        <s v="The hotel offers (          ) access to a private beach."/>
        <s v="This product is sold (          ) in our stores."/>
        <s v="They spent their honeymoon in a (          ) beach cottage."/>
        <s v="Dark (          ) gathered before the storm."/>
        <s v="Japanese (          ) has a rich history and traditions."/>
        <s v="Farmers (          ) rice in the fertile valley."/>
        <s v="Sustainable (          ) aims to protect the environment."/>
        <s v="The school switched to (          ) in the 1970s."/>
        <s v="The basketball (          ) gives advice to the players."/>
        <s v="She graduated from (          ) with a degree in engineering."/>
        <s v="My (          ) helped me finish the project on time."/>
        <s v="My (          ) from Canada is visiting us next month."/>
        <s v="The team's strategy needs to (          ) with company goals."/>
        <s v="His explanation was logical and (          )."/>
        <s v="The patient was (          ) after taking the medication."/>
        <s v="Team (          ) is important for successful projects."/>
        <s v="Programmers write (          ) to create software applications."/>
        <s v="The laws were (          ) in the new constitution."/>
        <s v="The snake will (          ) around the branch."/>
        <s v="Many people (          ) fame and fortune."/>
        <s v="It's (          ) to feel nervous before a presentation."/>
        <s v="We (          ) primarily by email at work."/>
        <s v="The (          ) organized a cleanup day at the local park."/>
        <s v="The (          ) employs over 500 people."/>
        <s v="I need a new (          ) for my graphic design work."/>
        <s v="Combine flour and butter to make the pastry dough."/>
        <s v="The concert will (          ) at 8:00 PM."/>
        <s v="Athletes from many countries (          ) in the Olympics."/>
        <s v="International (          ) has increased with globalization."/>
        <s v="Let's (          ) prices before making a decision."/>
        <s v="The company will (          ) employees for overtime work."/>
        <s v="Coffee is an important (          ) for many countries."/>
        <s v="We have tickets for the rock (          ) next weekend."/>
        <s v="Environmental pollution is a major (          ) worldwide."/>
        <s v="The pilot must maintain (          ) of the aircraft at all times."/>
        <s v="The foundation of the building is made of (          )."/>
        <s v="Are you (          ) with your current job?"/>
        <s v="The company plans to (          ) its operations in one location."/>
        <s v="The (          ) of the apple contains seeds."/>
        <s v="The host gave us a (          ) welcome."/>
        <s v="You are (          ) invited to attend the wedding ceremony."/>
        <s v="It takes (          ) to stand up for what you believe in."/>
        <s v="Parents should (          ) their children to read."/>
        <s v="High prices (          ) many potential buyers."/>
        <s v="The electrical (          ) is too short to reach the outlet."/>
        <s v="He played a G major (          ) on the guitar."/>
        <s v="The treaty established (          ) between the two nations."/>
        <s v="Their views are in (          ) with our policies."/>
        <s v="She holds the world (          ) for the marathon."/>
        <s v="Can you (          ) the number of stars in the sky?"/>
        <s v="I need to open a bank (          )."/>
        <s v="An (          ) helps with tax preparation and financial planning."/>
        <s v="The store offers a 20% (          ) on all shoes."/>
        <s v="Japan is a beautiful (          ) with rich traditions."/>
        <s v="Order your coffee at the (          ) over there."/>
        <s v="His strong (          ) surprised his opponent."/>
        <s v="She met with her (          ) from the French company."/>
        <s v="We had a chance (          ) with an old friend at the airport."/>
        <s v="Contrary to popular belief, bats are not blind."/>
        <s v="New evidence seems to (          ) his earlier statement."/>
        <s v="Artists (          ) beautiful works from simple materials."/>
        <s v="The (          ) of this painting is unknown."/>
        <s v="Children have (          ) minds full of imagination."/>
        <s v="Swimming is a popular (          ) activity in summer."/>
        <s v="Be (          ) when discussing confidential information."/>
        <s v="The course is divided into five (          ) sections."/>
        <s v="House prices (          ) every year in this neighborhood."/>
        <s v="The salary (          ) was less than expected."/>
        <s v="The population of the village continues to (          )."/>
        <s v="Kidneys (          ) waste products from the body."/>
        <s v="The airplane (          ) includes pilots and flight attendants."/>
        <s v="The army will (          ) new soldiers this month."/>
        <s v="The (          ) moon was visible in the night sky."/>
        <s v="Knitting is a traditional (          ) that remains popular."/>
        <s v="The wooden cabinet was made by a skilled (          )."/>
        <s v="The (          ) landed safely despite the storm."/>
        <s v="The movie will (          ) at the local theater next week."/>
        <s v="The accident (          ) was cordoned off by police."/>
        <s v="Our team needs one more goal to tie the (          )."/>
        <s v="The train (          ) shows arrival and departure times."/>
        <s v="The cat left a deep (          ) on the wooden table."/>
        <s v="The children (          ) with delight on the roller coaster."/>
        <s v="Don't throw away that (          ) of paper with the phone number."/>
        <s v="I (          ) my knee when I fell off the bicycle."/>
        <s v="The (          ) dominates the city skyline."/>
        <s v="His (          ) was almost impossible to read."/>
        <s v="The surgery left a small (          ) on his arm."/>
        <s v="She wore a (          ) dress to the holiday party."/>
        <s v="The doctor will (          ) her brain to check for abnormalities."/>
        <s v="Wind will (          ) leaves across the yard."/>
        <s v="The financial records are under close (          )."/>
        <s v="Experts (          ) the painting to determine if it's authentic."/>
        <s v="You need to (          ) the floor to remove the stain."/>
        <s v="Rub some lotion on your sunburned skin."/>
        <s v="The tires are made of durable (          )."/>
        <s v="Please put your (          ) in the bin."/>
        <s v="The hot pan will (          ) the tablecloth."/>
        <s v="Use the bathroom (          ) to check your weight."/>
        <s v="The conflict could (          ) into a serious war."/>
        <s v="Scroll down the page to read more information."/>
        <s v="The marble (          ) depicts a Greek goddess."/>
        <s v="The hikers will (          ) the mountain tomorrow."/>
        <s v="The plane began to (          ) toward the airport."/>
        <s v="The roller coaster's steep (          ) terrified the children."/>
        <s v="He is a direct (          ) of the royal family."/>
        <s v="The actress memorized her (          ) before filming."/>
        <s v="Many people find guidance in religious (          )."/>
        <s v="The ancient (          ) was discovered in a monastery."/>
        <s v="She added a (          ) at the end of her letter."/>
        <s v="It's important to (          ) sensitive data for security."/>
        <s v="The medieval (          ) copied religious texts by hand."/>
        <s v="The child's (          ) looked like a face to his parents."/>
        <s v="The doctor will (          ) antibiotics for your infection."/>
        <s v="Can you (          ) the person who took your bag?"/>
        <s v="I (          ) to several digital news services."/>
        <s v="The author will (          ) your book with a personal message."/>
        <s v="Critics (          ) the painting's success to its unique use of color."/>
        <s v="They went on their first (          ) to a nice restaurant."/>
        <s v="This computer manual is (          ) and no longer useful."/>
        <s v="Keep your software (          ) to protect against viruses."/>
        <s v="The sun shines brightly during the (          )."/>
        <s v="She writes in her (          ) every night before bed."/>
        <s v="The (          ) farm produces milk, cheese, and yogurt."/>
        <s v="Birds begin singing at (          )."/>
        <s v="The boxer was in a (          ) after being hit."/>
        <s v="Standing up too quickly made me feel (          )."/>
        <s v="The ocean is very (          ) in this area."/>
        <s v="The (          ) of the swimming pool increases gradually."/>
        <s v="Don't (          ) your fingers in the chocolate fountain."/>
        <s v="The teacher will (          ) how to solve the equation."/>
        <s v="Japan has been a (          ) since after World War II."/>
        <s v="That bird species is (          ) to the Hawaiian islands."/>
        <s v="The flu (          ) affected thousands of people."/>
        <s v="The bear hibernates in its (          ) during winter."/>
        <s v="The acci(          ) left a small (          ) in my car door."/>
        <s v="I have an appointment with my (          ) next Tuesday."/>
        <s v="The forest is too (          ) to walk through easily."/>
        <s v="The area is (          ) populated with high-rise apartments."/>
        <s v="The (          ) of water is one gram per cubic centimeter."/>
        <s v="You need to (          ) your essay to 500 words."/>
        <s v="She wears a beautiful (          ) ring on her finger."/>
        <s v="Dial 911 in case of emergency."/>
        <s v="The (          ) of the circle is twice its radius."/>
        <s v="People with (          ) need to monitor their blood sugar levels."/>
        <s v="She speaks a regional (          ) that I find difficult to understand."/>
        <s v="The doctor will (          ) the cause of your symptoms."/>
        <s v="Actors must have clear (          ) to be understood on stage."/>
        <s v="Use a (          ) to look up words you don't know."/>
        <s v="The manager will (          ) a letter to his secretary."/>
        <s v="The (          ) ruled the country with an iron fist."/>
        <s v="A drug (          ) needs professional help to recover."/>
        <s v="Fever is often an (          ) of infection."/>
        <s v="His nervous behavior was (          ) of guilt."/>
        <s v="There is a (          ) between his statement and the evidence."/>
        <s v="The witnesses gave (          ) accounts of the accident."/>
        <s v="The grand jury voted to (          ) the suspect on multiple charges."/>
        <s v="It's a (          ) that the more choices we have, the harder it is to choose."/>
        <s v="The jury reached a (          ) after three days of deliberation."/>
        <s v="She decided to (          ) her life to helping others."/>
        <s v="His (          ) to the project impressed everyone."/>
        <s v="Meteorologists try to (          ) weather patterns accurately."/>
        <s v="The car is in excellent (          ) despite its age."/>
        <s v="Make an appointment with your (          ) if symptoms persist."/>
        <s v="The religious (          ) provides guidance for believers."/>
        <s v="Please sign this (          ) and return it to us."/>
        <s v="The researcher (          ) all his findings carefully."/>
        <s v="We watched an interesting (          ) about ocean life."/>
        <s v="The cathedral has a magnificent (          )."/>
        <s v="Expertise in mathematics is not my (          )."/>
        <s v="The tall buildings (          ) the city skyline."/>
        <s v="The team's (          ) in the league is impressive."/>
        <s v="Cats make wonderful (          ) pets."/>
        <s v="The patient complained of pain in the lower (          )."/>
        <s v="The volcano has been (          ) for centuries."/>
        <s v="Most first-year students live in the university (          )."/>
        <s v="She decided to (          ) money to the children's hospital."/>
        <s v="Your (          ) will help feed homeless families."/>
        <s v="Blood (          )s save many lives every year."/>
        <s v="I cannot (          ) such inappropriate behavior."/>
        <s v="Pardon me, but could you repeat the question?"/>
        <s v="The wealthy alumni will (          ) a new scholarship fund."/>
        <s v="The (          ) swam gracefully across the pond."/>
        <s v="The basketball player made an impressive (          )."/>
        <s v="Please don't (          ) trash in the park."/>
        <s v="She (          ) all her old clothes in the donation bin."/>
        <s v="Farmers use animal (          ) as fertilizer."/>
        <s v="The medieval castle had a dark (          ) for prisoners."/>
        <s v="They will (          ) the movie into several languages."/>
        <s v="The (          ) owned large estates in the countryside."/>
        <s v="Your assignment is (          ) next Monday."/>
        <s v="It's my (          ) to report any safety violations."/>
        <s v="The birds return to their nests at (          )."/>
        <s v="Please (          ) the furniture before guests arrive."/>
        <s v="The air conditioning (          ) needs cleaning."/>
        <s v="The professor will (          ) research during the summer."/>
        <s v="The athlete was suspended for (          )."/>
        <s v="They will (          ) new members into the club next month."/>
        <s v="The company will (          ) taxes from your paycheck."/>
        <s v="The kidnappers tried to (          ) the wealthy businessman."/>
        <s v="This farm (          )s organic vegetables year-round."/>
        <s v="Scientists were able to (          ) the experimental results."/>
        <s v="Stress can (          ) headaches in many people."/>
        <s v="Let me (          ) you to my colleague."/>
        <s v="The teacher will (          ) correct answers from the students."/>
        <s v="Parents and teachers work together to (          ) children."/>
        <s v="The detective could (          ) who committed the crime."/>
        <s v="We need to (          ) our energy consumption."/>
        <s v="The store is offering a (          ) in prices this weekend."/>
        <s v="These hiking boots are made of (          ) materials."/>
        <s v="The hikers had to (          ) freezing temperatures on the mountain."/>
        <s v="The broken dam caused flooding in the valley."/>
        <s v="The storm caused significant (          ) to the roof."/>
        <s v="The judge will (          ) the unsafe building."/>
        <s v="Bad news can (          ) your mood."/>
        <s v="Economic (          ) led to high unemployment rates."/>
        <s v="Morning (          ) covered the grass."/>
        <s v="The (          ) ran swiftly through the forest."/>
        <s v="Handle that (          ) glass vase with care."/>
        <s v="My greatest (          ) is to travel around the world."/>
        <s v="The hungry lions (          ) their prey quickly."/>
        <s v="High prices (          ) many potential customers."/>
        <s v="The security camera serves as a (          ) to thieves."/>
        <s v="I need to clean my (          ) before starting work."/>
        <s v="We sat on the (          ) enjoying the ocean view."/>
        <s v="The (          ) student communicates using sign language."/>
        <s v="He continued to (          ) any involvement in the crime."/>
        <s v="The climber will (          ) gravity by scaling the vertical cliff."/>
        <s v="Violent movies might (          ) young minds."/>
        <s v="The flood will (          ) many homes in the area."/>
        <s v="They plan to (          ) the old building next month."/>
        <s v="Workers cleared (          ) from the construction site."/>
        <s v="The court (          )ed the evidence inadmissible."/>
        <s v="You can (          ) your points for free merchandise."/>
        <s v="The movie tells a powerful story of (          )."/>
        <s v="The (          ) worshippers attend services every week."/>
        <s v="Researchers (          ) into the mysteries of the universe."/>
        <s v="The train will (          ) from platform 3."/>
        <s v="Bad weather may (          ) our flight."/>
        <s v="The (          ) between the characters reveals their relationship."/>
        <s v="A mountain range (          )s the two countries."/>
        <s v="The (          ) of labor made the work more efficient."/>
        <s v="The company pays a (          ) to shareholders quarterly."/>
        <s v="This electronic (          ) can translate 50 languages."/>
        <s v="Each (          ) has unique talents and abilities."/>
        <s v="She faced a (          ) when offered two jobs simultaneously."/>
        <s v="Your pupils (          ) in dim light."/>
        <s v="The couple decided to (          ) after ten years of marriage."/>
        <s v="The museum will (          ) ancient artifacts from Egypt."/>
        <s v="There is a (          ) between the two financial reports."/>
        <s v="The outline of the mountains was barely (          ) through the fog."/>
        <s v="Economic hardship leads to (          ) among citizens."/>
        <s v="I (          ) waiting in long lines."/>
        <s v="The virus can (          ) important computer functions."/>
        <s v="Police ordered the crowd to (          )."/>
        <s v="The (          ) of seeds ensures plant survival."/>
        <s v="To our (          ), the concert was canceled."/>
        <s v="It would be (          ) to swim in such dangerous waters."/>
        <s v="The crash test (          ) helps evaluate vehicle safety."/>
        <s v="The detective found a (          ) bullet at the crime scene."/>
        <s v="The knife has become (          ) and needs sharpening."/>
        <s v="I am (          ) about his ability to finish on time."/>
        <s v="I (          ) that it will rain tomorrow."/>
        <s v="The human (          ) can detect a wide range of sounds."/>
        <s v="Please arrive (          ) for the interview."/>
        <s v="Can you (          ) the birds singing?"/>
        <s v="Please (          ) your password to access the system."/>
        <s v="Your diary (          ) from last year is quite interesting."/>
        <s v="The (          ) to the cave was hidden behind rocks."/>
        <s v="The corporation is a legal (          ) separate from its owners."/>
        <s v="Fresh cookies (          ) customers into the bakery."/>
        <s v="The speaker was able to (          ) the audience throughout the lecture."/>
        <s v="Their (          ) was announced in the local newspaper."/>
        <s v="Completing the course will (          ) you to a certificate."/>
        <s v="The city (          )s include several small villages."/>
        <s v="We must protect the (          ) for future generations."/>
        <s v="Scientific research is a worthy (          )."/>
        <s v="Her (          ) for the project inspired the whole team."/>
        <s v="The children were (          ) about the field trip."/>
        <s v="Oxygen is (          ) for human survival."/>
        <s v="The two proposals are (          ) the same."/>
        <s v="Good lighting can (          ) the appearance of a room."/>
        <s v="Do we have (          ) food for everyone?"/>
        <s v="Pollution continues to (          ) many species."/>
        <s v="You can (          ) in the course online."/>
        <s v="University (          ) increased significantly this year."/>
        <s v="Can you (          ) the ship on the horizon?"/>
        <s v="Police (          ) witnesses to the accident."/>
        <s v="The child took a (          ) at his birthday presents."/>
        <s v="Most people need eight hours of (          ) each night."/>
        <s v="The long drive made me feel (          )."/>
        <s v="Water began to (          ) through the crack in the ceiling."/>
        <s v="Keep your ticket until the end of the journey."/>
        <s v="The mourners (          ) quietly at the funeral."/>
        <s v="I work five days per (          )."/>
        <s v="I (          ) happy when I listen to this song."/>
        <s v="She broke the (          ) of her shoe while running."/>
        <s v="You should (          ) the weather warning and stay inside."/>
        <s v="His (          ) for power led to his downfall."/>
        <s v="She has a (          ) interest in modern art."/>
        <s v="I need to write an (          ) about climate change."/>
        <s v="What did the doctor (          ) about your test results?"/>
        <s v="Security guards will (          ) the VIP to the hotel."/>
        <s v="The company wants to (          ) a new branch in Asia."/>
        <s v="Have you (          ) visited London?"/>
        <s v="True friendship lasts (          )."/>
        <s v="Every child deserves quality education."/>
        <s v="She didn't (          ) call to explain why she was late."/>
        <s v="Distribute the workload (          ) among team members."/>
        <s v="The table wobbles because the legs are (          )."/>
        <s v="We're having dinner guests this (          )."/>
        <s v="The villain in the movie represents (          )."/>
        <s v="The (          )'s advocate argues against popular opinion."/>
        <s v="Change is (          ) in any organization."/>
        <s v="The annual county (          ) attracts thousands of visitors."/>
        <s v="Many companies recruit at the university (          )."/>
        <s v="The business (          ) required careful negotiation."/>
        <s v="Children love stories about fairies and magic."/>
        <s v="Cinderella is a classic (          )."/>
        <s v="The actor achieved international (          ) after the movie."/>
        <s v="Paris is (          ) for its beautiful architecture."/>
        <s v="He is a big (          ) of jazz music."/>
        <s v="Her (          ) dress impressed everyone at the party."/>
        <s v="His (          ) is to become an astronaut."/>
        <s v="The project is still in its (          )."/>
        <s v="The boxer had to (          ) off a series of punches."/>
        <s v="The wooden (          ) surrounds the garden."/>
        <s v="The lawyer will (          ) his client in court."/>
        <s v="I didn't mean to (          ) you with my comment."/>
        <s v="His remarks were considered (          ) by many people."/>
        <s v="We took the (          ) across the river."/>
        <s v="Many people (          ) from back pain."/>
        <s v="The Nile Valley has (          ) soil for agriculture."/>
        <s v="Farmers (          ) crops to increase yields."/>
        <s v="The company will (          ) you a competitive salary."/>
        <s v="The doctors (          ) about the patient's treatment."/>
        <s v="The scientific (          ) attracts researchers from around the world."/>
        <s v="Our opinions (          ) on this issue."/>
        <s v="Each snowflake has a (          ) pattern."/>
        <s v="Can you (          ) between the twins?"/>
        <s v="We should (          ) the decision until next week."/>
        <s v="He spoke with (          ) to the elderly professor."/>
        <s v="The article includes several (          )s to previous studies."/>
        <s v="From his smile, I could (          ) that he had good news."/>
        <s v="The detective made an (          ) based on the evidence."/>
        <s v="I (          ) tea to coffee in the morning."/>
        <s v="You need to (          ) to the blue line at the next station."/>
        <s v="Birds (          ) south for the winter."/>
        <s v="Our (          ) to Tokyo was delayed by two hours."/>
        <s v="The Olympic (          ) has five colored rings."/>
        <s v="A snow(          ) fell on her outstretched hand."/>
        <s v="The (          ) chair broke under his weight."/>
        <s v="She plays the (          ) in the school orchestra."/>
        <s v="Butterflies (          ) among the flowers."/>
        <s v="The cat's tail is covered with soft (          )."/>
        <s v="Refugees (          ) their country to escape danger."/>
        <s v="The navy's (          ) includes several aircraft carriers."/>
        <s v="The dog scratched because it had (          )s."/>
        <s v="She would (          ) open the windows on sunny mornings."/>
        <s v="Flip the pancake when bubbles appear on the surface."/>
        <s v="The bird's wings (          ) rapidly during flight."/>
        <s v="With a (          ) of his wrist, the magician made the coin disappear."/>
        <s v="Stock prices (          ) throughout the trading day."/>
        <s v="Temperature (          ) can damage sensitive equipment."/>
        <s v="He heard a (          ) as the heavy book fell to the floor."/>
        <s v="If you don't study, you might (          ) the exam."/>
        <s v="The cat is sleeping on the (          )."/>
        <s v="Heavy rain caused the river to (          )."/>
        <s v="Water is the most common (          ) on Earth."/>
        <s v="The organization is in a state of (          ) during the transition."/>
        <s v="The city experienced an (          ) of tourists during the festival."/>
        <s v="Athletes (          ) their muscles before competition."/>
        <s v="Having a (          ) schedule allows me to balance work and family."/>
        <s v="Her cheeks (          ) red when she's embarrassed."/>
        <s v="After living in France for five years, she became (          ) in French."/>
        <s v="Parents have a strong (          ) on their children."/>
        <s v="She is an (          ) leader in the community."/>
        <s v="Influenza spreads rapidly during winter months."/>
        <s v="Wood will (          ) on water."/>
        <s v="The thorn pierced the (          ) of his finger."/>
        <s v="Vanilla is my favorite ice cream (          )."/>
        <s v="I live in a (          ) on the third floor."/>
        <s v="We had a (          ) on the highway."/>
        <s v="His compliments (          ) her."/>
        <s v="You need to (          ) the balloon slightly."/>
        <s v="Inflate your tires to the recommended pressure."/>
        <s v="Inflation causes prices to rise over time."/>
        <s v="The still lake (          )s the mountains perfectly."/>
        <s v="The (          ) between the two countries lasted for years."/>
        <s v="Don't (          ) your bad mood on others."/>
        <s v="Malaria continues to (          ) millions of people worldwide."/>
        <s v="Poverty is an (          ) that affects many communities."/>
        <s v="The (          ) blooms in early spring."/>
        <s v="You need two cups of (          ) for this recipe."/>
        <s v="The Amazon rainforest has diverse (          )."/>
        <s v="The (          ) created a beautiful wedding bouquet."/>
        <s v="Plants (          ) with the right amount of water and sunlight."/>
        <s v="Please (          ) my mail to my new address."/>
        <s v="The speaker put (          ) several interesting ideas."/>
        <s v="Can you (          ) to buy a new car this year?"/>
        <s v="The government aims to provide (          ) housing."/>
        <s v="It's important to (          ) others for their mistakes."/>
        <s v="Don't (          ) to lock the door when you leave."/>
        <s v="The blacksmith will (          ) a new sword."/>
        <s v="Use your (          ) to eat the pasta."/>
        <s v="Folk music reflects the traditions of a culture."/>
        <s v="Our (          )s established this community 200 years ago."/>
        <s v="No one could (          ) the economic crisis."/>
        <s v="The project should be completed in the (          ) future."/>
        <s v="The expedition faced (          ) difficulties."/>
        <s v="The weather (          ) predicts rain tomorrow."/>
        <s v="Many animals live in the (          )."/>
        <s v="Safety is the (          ) concern in this operation."/>
        <s v="The construction (          ) supervises the workers."/>
        <s v="He injured his (          ) during the tennis match."/>
        <s v="Use your (          ) to press the button."/>
        <s v="She felt his (          ) to check for fever."/>
        <s v="Children built a snow (          ) in the yard."/>
        <s v="Calcium helps to (          ) your bones."/>
        <s v="The ancient (          ) stood on top of the hill."/>
        <s v="He made a (          ) in real estate."/>
        <s v="Losing his job was a (          ), but he found a better one."/>
        <s v="We were (          ) to find tickets for the sold-out concert."/>
        <s v="The new sofa provides (          ) for the whole family."/>
        <s v="It takes (          ) to learn a new language."/>
        <s v="The wind (          ) bent the trees."/>
        <s v="My brother serves in the (          )."/>
        <s v="Police (          ) traffic laws on the highway."/>
        <s v="Steel rods (          ) the concrete structure."/>
        <s v="The bridge needs (          ) to support heavy trucks."/>
        <s v="Fill out this (          ) with your personal in(          )ation."/>
        <s v="Sea waves create white (          ) on the beach."/>
        <s v="You should wear (          ) attire to the wedding."/>
        <s v="Cloud (          ) indicates changing weather patterns."/>
        <s v="The (          ) for water is H2O."/>
        <s v="Heat can (          ) plastic containers."/>
        <s v="Please (          ) me if there are any changes to the plan."/>
        <s v="The website provides useful (          ) about the city."/>
        <s v="The documentary was both entertaining and (          )."/>
        <s v="Students must (          ) to school dress code."/>
        <s v="Conformity to social norms is expected in many situations."/>
        <s v="The government introduced education (          ) last year."/>
        <s v="The band will (          ) at the festival this weekend."/>
        <s v="Her (          ) in the play received excellent reviews."/>
        <s v="Police officers wear a blue (          )."/>
        <s v="The mattress is too (          ) for me."/>
        <s v="The court will (          ) the previous ruling."/>
        <s v="Please (          ) your appointment by email."/>
        <s v="You should (          ) your flight 24 hours before departure."/>
        <s v="The (          ) elderly man needed assistance walking."/>
        <s v="Handle the (          ) glass with care."/>
        <s v="Archaeologists found a (          ) of ancient pottery."/>
        <s v="Only (          ) evidence of the civilization remains."/>
        <s v="The (          ) of fresh flowers filled the room."/>
        <s v="There's a beautiful garden in (          ) of the house."/>
        <s v="Space is the final (          ) for human exploration."/>
        <s v="Her research puts her at the (          ) of medical science."/>
        <s v="We must (          ) the problem directly."/>
        <s v="His rude behavior was an (          ) to everyone present."/>
        <s v="It's a (          ) that water freezes at zero degrees Celsius."/>
        <s v="Cost is an important (          ) in my decision."/>
        <s v="The chocolate (          ) produces thousands of bars daily."/>
        <s v="They (          ) cars in this plant."/>
        <s v="The (          ) offers a two-year warranty."/>
        <s v="The sports (          ) includes a swimming pool and tennis courts."/>
        <s v="Good translation services (          ) international communication."/>
        <s v="Before email, people sent documents by (          ) (fax)."/>
        <s v="The university (          ) includes renowned researchers."/>
        <s v="No one is (          ); everyone makes mistakes."/>
        <s v="Bacteria can (          ) a wound if it's not cleaned properly."/>
        <s v="Laughter is (          ); it spreads quickly through a group."/>
        <s v="The product had a minor (          ) in its design."/>
        <s v="Return (          ) merchandise for a full refund."/>
        <s v="Cold weather can (          ) crop yields."/>
        <s v="She showed (          ) by hugging her grandmother."/>
        <s v="The medicine had an immediate (          ) on the pain."/>
        <s v="She manages her time (          ) to complete all tasks."/>
        <s v="The old treatment proved (          ) against the new strain."/>
        <s v="LED bulbs are more (          ) than traditional incandescent bulbs."/>
        <s v="Wash your (          ) before going to bed."/>
        <s v="The diamond has many (          )s that reflect light."/>
        <s v="The (          ) of the lake was perfectly calm."/>
        <s v="The author wrote a (          ) explaining his motivation."/>
        <s v="The software has a user-friendly (          )."/>
        <s v="Time will (          ) the writing on the stone."/>
        <s v="She enjoys reading science (          ) novels."/>
        <s v="My (          ) is on the tenth floor."/>
        <s v="The police (          ) directed traffic after the accident."/>
        <s v="The company reported a budget (          ) last year."/>
        <s v="The soil is (          ) in essential nutrients."/>
        <s v="The flower looked so (          ) that no one believed it was real."/>
        <s v="He has only (          ) knowledge about the topic."/>
        <s v="Do we have (          ) supplies for the project?"/>
        <s v="She is (          ) in three languages."/>
        <s v="Learning Chinese can be (          ) for English speakers."/>
        <s v="Morning (          ) is always heavy in the city center."/>
        <s v="You will receive a (          ) upon completion of the course."/>
        <s v="You need three years of experience to (          ) for this position."/>
        <s v="The athlete was (          ) for breaking the rules."/>
        <s v="The explanation did not (          ) the curious child."/>
        <s v="Customer (          ) is our primary goal."/>
        <s v="Employee (          ) led to high turnover rates."/>
        <s v="Use a microscope to (          ) tiny organisms."/>
        <s v="These shoes (          ) me perfectly."/>
        <s v="She bought a new (          ) for the party."/>
        <s v="Regular exercise has many health (          )s."/>
        <s v="The company reported higher (          )s this year."/>
        <s v="The charity (          ) supports medical research."/>
        <s v="The school organized a (          ) to buy new computers."/>
        <s v="The store offers a full (          ) if you're not satisfied."/>
        <s v="Understanding gravity is (          ) to physics."/>
        <s v="The (          ) of the company started with just one small shop."/>
        <s v="The house has a solid (          ) of concrete."/>
        <s v="The experience had a (          ) effect on his life."/>
        <s v="Children play near the (          ) in the park."/>
        <s v="The electrician had to replace the (          ) after the power surge."/>
        <s v="Nuclear (          ) could provide clean energy in the future."/>
        <s v="Mint leaves (          ) the tea with fresh flavor."/>
        <s v="The lampshade helps (          ) the bright light."/>
        <s v="Don't (          ) the twins - Tom has a scar on his chin."/>
        <s v="I (          ) to believe that he would lie to me."/>
        <s v="The (          ) for blue eyes is recessive."/>
        <s v="Scientists mapped the human (          ) in 2003."/>
        <s v="Some diseases have a (          ) basis."/>
        <s v="Wind turbines (          ) electricity."/>
        <s v="Without proper care, the situation will (          ) quickly."/>
        <s v="The hospital has a backup (          ) for power outages."/>
        <s v="Each (          ) faces unique challenges."/>
        <s v="Jazz is my favorite music (          )."/>
        <s v="The (          ) information session is open to everyone."/>
        <s v="My grandmother is always (          ) with her time."/>
        <s v="Be (          ) when handling the baby."/>
        <s v="The elderly (          ) offered his seat to the pregnant woman."/>
        <s v="The host's (          ) manner made everyone feel welcome."/>
        <s v="They work well together in a (          ) atmosphere."/>
        <s v="The (          ) of the project was a conversation at lunch."/>
        <s v="Einstein was a scientific (          )."/>
        <s v="The engineer found an (          ) solution to the problem."/>
        <s v="Her smile was (          ) and warm."/>
        <s v="He was born with a (          ) heart defect."/>
        <s v="Some languages assign (          ) to nouns."/>
        <s v="The meeting (          ) includes five main topics."/>
        <s v="The car (          ) started with a roar."/>
        <s v="The civil (          ) designed the new bridge."/>
        <s v="He made a (          ) of welcome with his hand."/>
        <s v="Can you (          ) a good restaurant nearby?"/>
        <s v="Too many vehicles (          ) the roads during rush hour."/>
        <s v="Traffic (          ) is worst on Friday afternoons."/>
        <s v="It takes time to (          ) heavy meals."/>
        <s v="Please (          ) online before the conference."/>
        <s v="The (          ) of water fell and shattered on the floor."/>
        <s v="The magazine provides a (          ) of current fashion trends."/>
        <s v="Children love crafts with (          )."/>
        <s v="The fireflies (          ) in the dark forest."/>
        <s v="The team returned home in (          ) after winning the championship."/>
        <s v="I'm (          ) you could come to the party."/>
        <s v="Her eyes (          ) with excitement."/>
        <s v="She took a quick (          ) at her watch."/>
        <s v="The sun's (          ) made it difficult to see."/>
        <s v="The doctor made a (          ) based on the test results."/>
        <s v="Children develop (          ) skills through play."/>
        <s v="The (          ) woman is due next month."/>
        <s v="Did you (          ) the actor in that old movie?"/>
        <s v="Don't (          ) the warning signs of illness."/>
        <s v="The child's face lit up with a wide (          )."/>
        <s v="Plants (          ) faster in warm weather."/>
        <s v="Economic (          ) has slowed in recent months."/>
        <s v="Rice is an important (          ) in many diets."/>
        <s v="You need to (          ) the coffee beans before brewing."/>
        <s v="The (          ) needs cutting after the rain."/>
        <s v="Cattle were (          ) peacefully in the meadow."/>
        <s v="The study (          ) meets every Wednesday."/>
        <s v="The host will (          ) guests at the door."/>
        <s v="People (          ) about the higher taxes."/>
        <s v="The dog began to (          ) at the stranger."/>
        <s v="The audience let out a collective (          ) at the bad joke."/>
        <s v="The family experienced profound (          ) after their loss."/>
        <s v="It takes time to (          ) after losing someone you love."/>
        <s v="The teacher will (          ) the exams this weekend."/>
        <s v="There was a (          ) improvement in her condition."/>
        <s v="The pain (          ) subsided as the medicine took effect."/>
        <s v="My sister will (          ) from university next month."/>
        <s v="He is an (          ) student in chemistry."/>
        <s v="Flour is the main (          ) in bread."/>
        <s v="The movie received (          ) reviews from critics."/>
        <s v="Everyone gathered to (          ) the bride and groom."/>
        <s v="I'm (          ) for your help during this difficult time."/>
        <s v="It would (          ) me to see you succeed."/>
        <s v="She expressed her (          ) for the thoughtful gift."/>
        <s v="Do you (          ) with the decision?"/>
        <s v="The two companies signed an (          ) yesterday."/>
        <s v="There was a (          ) about how to proceed."/>
        <s v="She earned a (          ) in psychology."/>
        <s v="The (          ) score determines the winner of the competition."/>
        <s v="Some schools used to (          ) students by gender."/>
        <s v="Teenagers often (          ) at the mall after school."/>
        <s v="The (          ) meets to debate new laws."/>
        <s v="The patient is making (          ) in her recovery."/>
        <s v="The school adopts (          ) teaching methods."/>
        <s v="The dog became (          ) when protecting its food."/>
        <s v="They visited their grandfather's (          ) on Memorial Day."/>
        <s v="The doctor looked (          ) at the test results."/>
        <s v="The driveway is covered with (          )."/>
        <s v="The jeweler will (          ) your initials on the ring."/>
        <s v="Stress can (          ) health problems."/>
        <s v="The tour (          ) explained the history of the castle."/>
        <s v="Follow these (          )s when applying for the grant."/>
        <s v="Students receive (          ) from school counselors."/>
        <s v="The security (          ) patrols the building at night."/>
        <s v="The manufacturer offers a three-year (          ) on this product."/>
        <s v="Trust your (          ) feeling when making important decisions."/>
        <s v="The (          ) collects rainwater from the roof."/>
        <s v="A (          ) of wind blew my hat off."/>
        <s v="The moldy food in the refrigerator filled her with (          )."/>
        <s v="Oil began to (          ) from the broken pipe."/>
        <s v="He took a (          ) of water after the long run."/>
        <s v="The sea(          ) flew over the beach looking for food."/>
        <s v="Can you (          ) what I'm thinking?"/>
        <s v="Her explanation was too (          ) to be helpful."/>
        <s v="Bell-bottom pants were in (          ) during the 1970s."/>
        <s v="The siblings (          ) about which movie to watch."/>
        <s v="The lawyer presented a convincing (          ) to the jury."/>
        <s v="The starting (          ) signals the beginning of the race."/>
        <s v="We have invited twenty (          )s to the wedding."/>
        <s v="He plays the (          ) in a rock band."/>
        <s v="I (          ) two brothers and one sister."/>
        <s v="The teacher rewards good (          ) in the classroom."/>
        <s v="The student received detention for his (          )."/>
        <s v="Reading before bed is a good (          )."/>
        <s v="His (          ) lateness annoyed his colleagues."/>
        <s v="Indigenous tribes (          ) the Amazon rainforest."/>
        <s v="The small island has about 500 (          )s."/>
        <s v="The zoo recreates the natural (          ) of each animal."/>
        <s v="The museum will (          ) paintings by local artists."/>
        <s v="Fear can (          ) creativity."/>
        <s v="The rules (          ) smoking inside the building."/>
        <s v="Raise your (          ) if you know the answer."/>
        <s v="The suitcase has a broken (          )."/>
        <s v="He grabbed a (          ) of popcorn from the bowl."/>
        <s v="The employee (          ) explains company policies."/>
        <s v="She kept her wallet in her (          )."/>
        <s v="The actor is known for his (          ) features."/>
        <s v="The thief was (          ) by security guards."/>
        <s v="Police (          ) the suspect after a brief chase."/>
        <s v="It's difficult to (          ) the vastness of the universe."/>
        <s v="Make your instructions (          ) for beginners."/>
        <s v="The report provides a (          ) analysis of the situation."/>
        <s v="The choir sang in perfect (          )."/>
        <s v="He played a blues tune on his (          )."/>
        <s v="The angel is often depicted playing a (          )."/>
        <s v="Diamonds are the (          )est natural material."/>
        <s v="I could (          ) hear his whisper."/>
        <s v="The desert climate is (          ) and unforgiving."/>
        <s v="Farmers use a (          ) to control work horses."/>
        <s v="Farmers (          ) wheat in late summer."/>
        <s v="The prince is (          ) to the throne."/>
        <s v="She will (          ) the family business."/>
        <s v="The festival celebrates the cultural (          ) of the region."/>
        <s v="Some traits are determined by (          ) rather than environment."/>
        <s v="There is an (          ) risk in any surgical procedure."/>
        <s v="I need to (          ) for groceries this afternoon."/>
        <s v="My new (          ) gives me a blister."/>
        <s v="He wore a blue (          ) to the interview."/>
        <s v="Change the (          )s on the bed weekly."/>
        <s v="She collected sea(          )s on the beach."/>
        <s v="The hikers found (          ) from the storm in a cave."/>
        <s v="The police officer used his (          ) for protection."/>
        <s v="The (          ) is responsible for law enforcement in the county."/>
        <s v="The prisoner's hands were bound with (          )s."/>
        <s v="He carried the heavy backpack on his (          )."/>
        <s v="A (          ) of mist covered the valley."/>
        <s v="Children should play in the (          ) end of the pool."/>
        <s v="We walked along the (          ) collecting shells."/>
        <s v="The farmer keeps a flock of (          )."/>
        <s v="The (          ) watched over his flock of sheep."/>
        <s v="The cookie is in the (          ) of a star."/>
        <s v="We sat in the (          ) of a large oak tree."/>
        <s v="The tall buildings cast long (          )s in the evening sun."/>
        <s v="I will (          ) my lunch with you."/>
        <s v="Each (          ) receives dividends based on their investment."/>
        <s v="His (          ) clothes suggested he had fallen on hard times."/>
        <s v="He felt (          ) for his dishonest actions."/>
        <s v="Use this (          ) for dry hair."/>
        <s v="Snow is (          )."/>
        <s v="I ate the (          ) pizza by myself."/>
        <s v="The blue (          ) is the largest animal on Earth."/>
        <s v="The car has a flat (          ) that needs changing."/>
        <s v="After her surgery, she had to use a (          ) temporarily."/>
        <s v="The gardener used a (          ) to move the heavy soil."/>
        <s v="The airplane flies at a (          ) altitude."/>
        <s v="His (          ) is six feet two inches."/>
        <s v="The documentary (          )s the problem of pollution."/>
        <s v="We drove along the coastal (          )."/>
        <s v="There is a clear (          ) in most organizations."/>
        <s v="They hiked up the (          ) to get a better view."/>
        <s v="We plan to (          ) to the summit tomorrow."/>
        <s v="Write your (          ) on each page of the document."/>
        <s v="The company will (          ) the new project next month."/>
        <s v="Your (          ) on this decision is valuable."/>
        <s v="Occasionally, I (          ) in chocolate cake."/>
        <s v="Be careful not to (          ) yourself with the knife."/>
        <s v="The (          ) swimming pool is open year-round."/>
        <s v="Reduce your salt (          ) for better health."/>
        <s v="They had an (          ) dinner for their anniversary."/>
        <s v="The automobile (          ) employs thousands of workers."/>
        <s v="Her (          ) increased after the promotion."/>
        <s v="Look up the word in the (          ) at the back of the book."/>
        <s v="The blue (          ) stained my shirt."/>
        <s v="Most people access the (          ) daily."/>
        <s v="There will be a short (          ) between the acts."/>
        <s v="The school works to (          ) students from diverse backgrounds."/>
        <s v="The old book began to (          ) when touched."/>
        <s v="Trust is an (          ) part of any relationship."/>
        <s v="She is known for her honesty and (          )."/>
        <s v="The diamond has (          ) value due to its rarity."/>
        <s v="I have a strong (          ) in photography."/>
        <s v="Sorry to (          ) on your conversation."/>
        <s v="The small (          ) absorbs nutrients from food."/>
        <s v="The watch has an (          ) mechanism."/>
        <s v="The translator will (          ) the speech for foreign visitors."/>
        <s v="The (          ) of the cave was dark and damp."/>
        <s v="His health began to (          ) rapidly."/>
        <s v="The (          ) flew across the Atlantic in six hours."/>
        <s v="The (          ) reached speeds of 500 miles per hour."/>
        <s v="Travelers often experience (          ) after long flights."/>
        <s v="Fishermen gathered on the (          ) to cast their lines."/>
        <s v="Our team will complete the (          ) by Friday."/>
        <s v="The teacher used a (          ) to show the slides."/>
        <s v="Mathematics was always my favorite (          ) in school."/>
        <s v="Art appreciation is highly (          )."/>
        <s v="The committee may (          ) your proposal."/>
        <s v="Job (          ) is disappointing but often leads to better opportunities."/>
        <s v="Press this button to (          ) the DVD."/>
        <s v="There is a strange (          ) in the sky."/>
        <s v="The doctor gave me an (          ) of antibiotics."/>
        <s v="Would you like to (          ) us for dinner?"/>
        <s v="Our garden (          )s the park."/>
        <s v="The court will (          ) the company from polluting the river."/>
        <s v="The knee (          ) can be easily injured during sports."/>
        <s v="Turn left at the (          ) of Main Street and Oak Avenue."/>
        <s v="The (          ) &quot;and&quot; connects the two parts of the sentence."/>
        <s v="Children love to (          ) in puddles after rain."/>
        <s v="My (          ) colleague is learning quickly."/>
        <s v="Juvenile delinquency is a concern in many communities."/>
        <s v="The fans were (          ) when their team won."/>
        <s v="Orange (          ) contains a lot of vitamin C."/>
        <s v="The peach was ripe and (          )."/>
        <s v="Please don't leave your (          ) in the hallway."/>
        <s v="His closet was a (          ) of clothes and shoes."/>
        <s v="Many endangered species live in the tropical (          )."/>
        <s v="She can (          ) five balls at once."/>
        <s v="The (          ) will announce the verdict tomorrow."/>
        <s v="Use good (          ) when making important decisions."/>
        <s v="The panel will (          ) the entries in the competition."/>
        <s v="The (          ) system ensures laws are applied fairly."/>
        <s v="Make (          ) use of your limited resources."/>
        <s v="We must fight against (          ) in all its forms."/>
        <s v="The (          ) reached a unanimous decision."/>
        <s v="This case falls under federal (          )."/>
        <s v="Lying under oath is (          ) and can result in jail time."/>
        <s v="The verdict was (          ) and fair."/>
        <s v="Everyone deserves equal (          ) under the law."/>
        <s v="How can you (          ) such expensive purchases?"/>
        <s v="The high price is (          ) by the exceptional quality."/>
        <s v="Fighting (          ) requires courage and perseverance."/>
        <s v="You need to (          ) the seat height for proper posture."/>
        <s v="The (          ) played happily in the sandbox."/>
        <s v="The movie is about a plot to (          ) the president."/>
        <s v="Healthy (          )s filter waste from your blood."/>
        <s v="The first aid (          ) contains bandages and antiseptic."/>
        <s v="The (          ) played with a ball of yarn."/>
        <s v="The children flew (          )s on the windy beach."/>
        <s v="She invited all her (          ) to the family reunion."/>
        <s v="There is a strong (          ) among members of the community."/>
        <s v="His feelings were (          ) to jealousy."/>
        <s v="Thank you for your (          ) help."/>
        <s v="My son starts (          ) next fall."/>
        <s v="The (          ) ruled the country for forty years."/>
        <s v="My grandmother taught me how to (          ) sweaters."/>
        <s v="Tie a (          ) at the end of the thread."/>
        <s v="Turn the door (          ) to open the door."/>
        <s v="Someone is (          ) on the door."/>
        <s v="She has a (          ) for learning languages quickly."/>
        <s v="He rapped his (          ) on the table for attention."/>
        <s v="She injured her (          ) playing basketball."/>
        <s v="The gardener will (          ) to plant the flowers."/>
        <s v="I (          ) the answer to your question."/>
        <s v="He has extensive (          ) of ancient history."/>
        <s v="The company should (          ) its mistakes."/>
        <s v="The (          ) knight saved the village from the dragon."/>
        <s v="Use a sharp (          ) to cut the vegetables."/>
        <s v="Human (          ) is the largest organ of the body."/>
        <s v="They plan to (          ) in the Alps this winter."/>
        <s v="Playing the piano requires (          ) and practice."/>
        <s v="The (          ) surgeon performed the complex operation."/>
        <s v="The (          ) was clear and blue on the summer day."/>
        <s v="The stone will (          ) across the surface of the lake."/>
        <s v="Children (          ) down the sidewalk."/>
        <s v="The car began to (          ) on the icy road."/>
        <s v="Skim the cream off the top of the milk."/>
        <s v="Children (          ) on the frozen pond in winter."/>
        <s v="The artist made a quick (          ) of the landscape."/>
        <s v="She wore a long (          ) to the formal dinner."/>
        <s v="They live in the (          )s of the city."/>
        <s v="The archaeologists discovered a dinosaur (          )."/>
        <s v="I'm (          ) about claims without evidence."/>
        <s v="Hard (          ) built the ancient pyramids."/>
        <s v="Scientists conduct experiments in the (          )."/>
        <s v="Translating the ancient text was (          ) work."/>
        <s v="She gave an (          ) explanation of the process."/>
        <s v="The two companies (          ) on environmental projects."/>
        <s v="Their (          ) resulted in an innovative product."/>
        <s v="Apple's (          ) is recognized worldwide."/>
        <s v="His argument lacked (          ) and evidence."/>
        <s v="He offered an (          ) for his rude behavior."/>
        <s v="The actor performed a dramatic (          )."/>
        <s v="The library (          ) lists all available books."/>
        <s v="The (          ) reveals what happened to the characters later."/>
        <s v="Ecology studies how organisms interact with their environment."/>
        <s v="Zoology is the scientific study of animals."/>
        <s v="Psychology helps us understand human behavior."/>
        <s v="English is an international (          )."/>
        <s v="Teenagers often use (          ) that adults don't understand."/>
        <s v="Latin was once the (          ) franca of Western scholarship."/>
        <s v="The (          ) nerve provides sensation to the tongue."/>
        <s v="Linguistics is the scientific study of language."/>
        <s v="There's an old (          ) about a monster in the lake."/>
        <s v="Her charitable foundation is her (          ) to the community."/>
        <s v="A (          ) of fans waited for the celebrity's autograph."/>
        <s v="The (          ) student studied every night."/>
        <s v="Dolphins are highly (          ) animals."/>
        <s v="The driver was (          ) in checking his mirrors."/>
        <s v="You're (          ) for the discount if you're over 65."/>
        <s v="Is it (          ) to park here?"/>
        <s v="Hunting in this area is (          ) during breeding season."/>
        <s v="Congress will (          ) new environmental protections."/>
        <s v="The new (          ) aims to reduce carbon emissions."/>
        <s v="The state (          ) meets annually to pass laws."/>
        <s v="It's a (          ) to work with such talented colleagues."/>
        <s v="The newspaper (          )d that the politician took bribes."/>
        <s v="Each country will (          ) representatives to the conference."/>
        <s v="The (          ) from Japan arrived yesterday."/>
        <s v="Use the (          ) to lift the heavy stone."/>
        <s v="The company used its financial (          ) to acquire competitors."/>
        <s v="Education can (          ) people from poverty."/>
        <s v="Take the (          ) to the tenth floor."/>
        <s v="The town's high (          ) gives it a cool climate."/>
        <s v="Make sure the picture is (          ) before hanging it."/>
        <s v="The medication should (          ) your headache."/>
        <s v="Please provide only (          ) information in your report."/>
        <s v="The witness's personal opinion is (          ) to the case."/>
        <s v="Turn on the (          ); it's too dark to read."/>
        <s v="Lightning struck the tree during the storm."/>
        <s v="The professor tried to (          ) students about complex theories."/>
        <s v="We watched the sunset during (          )."/>
        <s v="A small spark can (          ) a forest fire."/>
        <s v="The room was (          ) with sunshine."/>
        <s v="She had a (          ) idea to solve the problem."/>
        <s v="Children take (          ) in simple pleasures."/>
        <s v="Support (          ) businesses in your community."/>
        <s v="Can you help me (          ) my missing keys?"/>
        <s v="The (          ) of the conference is still undecided."/>
        <s v="The fair (          ) of resources is a challenge."/>
        <s v="The fall caused him to (          ) his shoulder."/>
        <s v="The company plans to (          ) to a larger office."/>
        <s v="Don't forget to (          ) the door when you leave."/>
        <s v="Use this key to (          ) the cabinet."/>
        <s v="Store your valuables in the (          ) at the gym."/>
        <s v="The pieces (          ) to form a sturdy structure."/>
        <s v="A (          ) of geese flew overhead."/>
        <s v="The child built a tower with wooden (          )s."/>
        <s v="Poor parking was (          ) the entrance."/>
        <s v="The giraffe has a (          ) neck."/>
        <s v="These books (          ) on the top shelf."/>
        <s v="The medication will (          ) the effectiveness of the treatment."/>
        <s v="They have a (          ) tradition of family dinners on Sunday."/>
        <s v="Regular exercise contributes to (          )."/>
        <s v="The (          ) of the pool is 25 meters."/>
        <s v="You can (          ) the dress by adding a ruffle at the bottom."/>
        <s v="Lines of (          ) run from north to south on a map."/>
        <s v="The equator is at zero degrees (          )."/>
        <s v="They bought a (          ) of land to build their house."/>
        <s v="She won the (          ) and became a millionaire overnight."/>
        <s v="The teacher will (          ) fifteen minutes for questions."/>
        <s v="Insert the card into the (          ) to activate the machine."/>
        <s v="The (          ) of the novel involves a murder mystery."/>
        <s v="There was an ink (          ) on his white shirt."/>
        <s v="A blood (          ) can be dangerous if it reaches the lungs."/>
        <s v="They decided to (          ) the cost of dinner."/>
        <s v="Cut a thin (          ) of bread for the sandwich."/>
        <s v="Don't be (          ) for the important meeting."/>
        <s v="I haven't seen him (          )."/>
        <s v="Can you (          ) this document from Spanish to English?"/>
        <s v="The teacher tried to (          ) complex concepts to everyday examples."/>
        <s v="Physics and chemistry are closely (          ) sciences."/>
        <s v="Many (          )s attended the family reunion."/>
        <s v="Children (          ) colorful autumn leaves."/>
        <s v="Farming cooperatives make (          ) decisions."/>
        <s v="I can't (          ) where I put my keys."/>
        <s v="Select the best candidate for the position."/>
        <s v="He was admired for his keen (          )."/>
        <s v="The professor gave an interesting (          ) on climate change."/>
        <s v="Don't (          ) your health during busy times."/>
        <s v="The people will (          ) a new president in November."/>
        <s v="The college has a (          ) arts curriculum."/>
        <s v="The army helped (          ) the occupied town."/>
        <s v="The public (          ) offers free internet access."/>
        <s v="The jury's (          ) consideration led to a fair verdict."/>
        <s v="The postal service (          )s mail six days a week."/>
        <s v="Children enjoy sliding down the playground (          )."/>
        <s v="In winter, they use a (          ) to travel across the snow."/>
        <s v="The swan (          )s gracefully across the lake."/>
        <s v="The two cars (          ) at the intersection."/>
        <s v="Keep your voice (          ) in the library."/>
        <s v="Lower the volume of the music, please."/>
        <s v="The river (          )s from the mountains to the sea."/>
        <s v="Drive (          ) in school zones."/>
        <s v="Farmers use a (          ) to prepare fields for planting."/>
        <s v="The rules (          ) for some flexibility."/>
        <s v="The referee will (          ) the goal due to a foul."/>
        <s v="Be careful not to (          ) on the icy sidewalk."/>
        <s v="She put on comfortable (          )s after work."/>
        <s v="Skiers enjoy the gentle (          ) of this mountain."/>
        <s v="His shirt has long (          )s for cold weather."/>
        <s v="Regular exercise helps maintain a (          ) figure."/>
        <s v="Children enjoy playing with colorful (          )."/>
        <s v="The vase has a (          ) neck and wide base."/>
        <s v="Don't (          ) the door when you leave."/>
        <s v="The house has a (          ) roof that lasts for decades."/>
        <s v="The discovery changed (          )'s understanding of the universe."/>
        <s v="The store (          ) resolved the customer's complaint."/>
        <s v="She has strong (          ) skills from years of experience."/>
        <s v="His polite (          ) impressed the interviewers."/>
        <s v="Read the (          ) before operating the machinery."/>
        <s v="The ship's (          ) lists all cargo and passengers."/>
        <s v="Don't let others (          ) your decisions."/>
        <s v="The Earth's (          ) lies between the crust and the core."/>
        <s v="Workers will (          ) the old bridge."/>
        <s v="The captain gave the (          ) to abandon ship."/>
        <s v="The company has a (          ) to reduce carbon emissions."/>
        <s v="Attendance at the safety training is (          )."/>
        <s v="Consumer (          ) for organic products is increasing."/>
        <s v="Nursing is physically and emotionally (          ) work."/>
        <s v="She sat in the (          ) of the classroom."/>
        <s v="The artist prefers oil paints as a (          )."/>
        <s v="Social (          ) influences public opinion."/>
        <s v="A professional will (          ) the negotiations."/>
        <s v="She has (          ) knowledge of Spanish."/>
        <s v="Many people (          ) to reduce stress."/>
        <s v="Take your (          ) according to the doctor's instructions."/>
        <s v="The hospital provides excellent (          ) care."/>
        <s v="Sleep is the best (          ) for fatigue."/>
        <s v="The situation requires (          ) attention."/>
        <s v="The museum displays (          ) armor and weapons."/>
        <s v="Olive oil is a staple in (          ) cuisine."/>
        <s v="She works as a fashion (          ) in Paris."/>
        <s v="The house has a (          ) design with clean lines."/>
        <s v="The antique (          ) was sold at auction."/>
        <s v="The hotel can (          ) up to 500 guests."/>
        <s v="You may need to (          ) the recipe for high altitude."/>
        <s v="Exercise at a (          ) pace to avoid injury."/>
        <s v="Despite her success, she remains (          ) about her achievements."/>
        <s v="The CEO sent a (          ) to all employees."/>
        <s v="The actor published a (          ) about his career."/>
        <s v="I have fond memories of my childhood summers."/>
        <s v="The wedding was a truly (          ) occasion."/>
        <s v="The (          ) honors soldiers who died in the war."/>
        <s v="The ceremony will (          ) the 100th anniversary."/>
        <s v="I'll always (          ) our trip to Paris."/>
        <s v="He has been a (          ) of the club for twenty years."/>
        <s v="Congress may (          ) the constitution."/>
        <s v="The principal will (          ) students for academic excellence."/>
        <s v="I (          ) the seafood at this restaurant."/>
        <s v="She drives a (          ) car that's easy to park."/>
        <s v="The surgery leaves (          ) scarring."/>
        <s v="The (          ) wage increased last year."/>
        <s v="Good insulation helps (          ) heating costs."/>
        <s v="Developers (          ) code to improve website performance."/>
        <s v="The prime (          ) addressed the nation about the crisis."/>
        <s v="The nurse will (          ) the medication."/>
        <s v="His influence began to (          ) over time."/>
        <s v="The construction (          ) was approved yesterday."/>
        <s v="He will (          ) three hours daily to studying."/>
        <s v="Marriage requires (          ) from both partners."/>
        <s v="The (          ) meets every month to review progress."/>
        <s v="Radio waves (          ) signals through the air."/>
        <s v="Please (          ) payment by the due date."/>
        <s v="Submit your application before the deadline."/>
        <s v="The journal accepts (          )s from independent researchers."/>
        <s v="Don't (          ) any important details from your report."/>
        <s v="Factories (          ) pollution into the air."/>
        <s v="The government seeks to reduce carbon (          )s."/>
        <s v="The theater (          )s children under 12 for half price."/>
        <s v="College (          ) requires good test scores and grades."/>
        <s v="The (          ) was launched from a submarine."/>
        <s v="The astronauts completed their (          ) successfully."/>
        <s v="There will be a 15-minute (          ) between acts."/>
        <s v="The judge (          )ed the case due to lack of evidence."/>
        <s v="I left a (          ) on your answering machine."/>
        <s v="I (          ) to return the book tomorrow."/>
        <s v="Both sides made a (          ) to end the dispute."/>
        <s v="The young athlete shows (          ) talent."/>
        <s v="The argument is based on a false (          )."/>
        <s v="Smoking is not allowed on these (          )."/>
        <s v="The boat (          ) needs repair."/>
        <s v="He rides a (          ) to work every day."/>
        <s v="The planet's (          ) around the sun creates seasons."/>
        <s v="The hunter stood (          ) to avoid scaring the deer."/>
        <s v="Fear is a powerful (          )."/>
        <s v="Police are investigating the (          ) for the crime."/>
        <s v="Good leaders (          ) their team members."/>
        <s v="The company will (          ) three employees to management."/>
        <s v="They live in a (          ) village in the mountains."/>
        <s v="His ideas have become (          ) in recent years."/>
        <s v="Large companies use (          ) computers for critical operations."/>
        <s v="Regular exercise helps (          ) good health."/>
        <s v="The building requires regular (          )."/>
        <s v="Please (          ) seated until the plane stops completely."/>
        <s v="Mathematics is her (          ) in college."/>
        <s v="The (          ) of students passed the exam."/>
        <s v="The queen's (          ) impressed all who met her."/>
        <s v="The (          ) announced a new city park project."/>
        <s v="The Grand Canyon is a (          ) natural wonder."/>
        <s v="Scientists measure earthquake (          ) on the Richter scale."/>
        <s v="Look before you leap is a common (          )."/>
        <s v="The (          ) capacity of the elevator is eight people."/>
        <s v="The coach used a (          ) to address the team."/>
        <s v="The new (          ) store offers thousands of products."/>
        <s v="The storm's arrival is (          ); take shelter now."/>
        <s v="The university invited an (          ) scientist to speak."/>
        <s v="She is the (          ) authority in her field."/>
        <s v="He has a (          ) role in the new movie."/>
        <s v="Climbers plan to (          ) an expedition to Everest."/>
        <s v="Snow covered the (          ) peaks."/>
        <s v="A large (          ) of money was donated to charity."/>
        <s v="With determination, you can (          ) many obstacles."/>
        <s v="The children built a (          ) of sand at the beach."/>
        <s v="The giraffe has an extremely long (          )."/>
        <s v="The bridge (          )s the island to the mainland."/>
        <s v="There is a strong (          ) between diet and health."/>
        <s v="There's a (          ) between what he says and what he does."/>
        <s v="What's the (          ) step in the process?"/>
        <s v="The city serves as a (          ) for international trade."/>
        <s v="The school built an (          ) to accommodate more students."/>
        <s v="Nothing could prepare me for the stunning view."/>
        <s v="We usually eat lunch at (          )."/>
        <s v="The factory releases (          ) gases into the air."/>
        <s v="He gave a quick (          ) of agreement."/>
        <s v="I prefer reading (          ) books about history."/>
        <s v="Don't believe that (          ) about miracle weight loss pills."/>
        <s v="The Negro spirituals reflect the history of enslaved African Americans."/>
        <s v="The test results came back (          ), which is good news."/>
        <s v="The countries will (          ) a new trade agreement."/>
        <s v="The cost difference between the two options is (          )."/>
        <s v="The accident occurred due to (          ) by the driver."/>
        <s v="I have (          ) visited Australia."/>
        <s v="The climb was difficult; (          ), they reached the summit."/>
        <s v="Switzerland remained (          ) during World War II."/>
        <s v="Plants (          ) sunlight and water to grow."/>
        <s v="The nurse used a sterile (          ) for the injection."/>
        <s v="The artist painted (          ) figures in classical style."/>
        <s v="The squirrel collected (          )s for winter."/>
        <s v="Nuclear power plants generate electricity."/>
        <s v="Wearing a suit to interviews is the (          ) in conservative industries."/>
        <s v="The company works to (          ) flexible work schedules."/>
        <s v="The patient's body temperature was (          )."/>
        <s v="The whale is an (          ) sea creature."/>
        <s v="Children love to play in the (          )."/>
        <s v="The (          ) slithered across the garden path."/>
        <s v="The thief tried to (          ) her purse."/>
        <s v="Hunters set a (          ) to catch rabbits."/>
        <s v="His sweater had a (          ) from catching on a nail."/>
        <s v="The twig will (          ) if you bend it too far."/>
        <s v="Japan is an island (          ) in East Asia."/>
        <s v="The airport handles both domestic and (          ) flights."/>
        <s v="She is a (          ) of Brazil but now lives in Canada."/>
        <s v="I love spending time in (          ), especially forests."/>
        <s v="The yogurt contains only (          ) ingredients."/>
        <s v="The movie explores (          ) phenomena."/>
        <s v="She has an (          ) talent for music."/>
        <s v="Oil and (          ) water are often found together."/>
        <s v="Her (          ) won several literary awards."/>
        <s v="The (          ) of the new toy quickly wore off."/>
        <s v="He is still a (          ) at chess."/>
        <s v="They plan to (          ) their kitchen next year."/>
        <s v="Companies must (          ) to stay competitive."/>
        <s v="Astronomers observed a (          ) in a distant galaxy."/>
        <s v="Leave a (          ) on the door if you're going out."/>
        <s v="I have no (          ) of what you're talking about."/>
        <s v="Please (          ) us of any changes to your address."/>
        <s v="The student wrote the assignment in her (          )."/>
        <s v="Musical (          ) allows composers to record their ideas."/>
        <s v="The professor added (          )s to the manuscript."/>
        <s v="Her contribution to the project was particularly (          )."/>
        <s v="Did you (          ) the new painting in the lobby?"/>
        <s v="The area is (          ) for heavy traffic."/>
        <s v="The company will (          ) the new product next week."/>
        <s v="The sports (          ) described the exciting play."/>
        <s v="It's difficult to (          ) certain sounds in foreign languages."/>
        <s v="The politician (          )d corruption in government."/>
        <s v="The (          ) checked the patient's vital signs."/>
        <s v="The (          ) is decorated with colorful animal pictures."/>
        <s v="Parents (          ) their children's talents and interests."/>
        <s v="Good (          ) is essential for healthy development."/>
        <s v="Healthy food (          )es both body and mind."/>
        <s v="The athlete jumped over each (          ) in the race."/>
        <s v="Childhood (          ) is a growing health concern."/>
        <s v="Citizens must (          ) the law."/>
        <s v="The (          ) child refused to go to bed."/>
        <s v="We attended an (          ) at the famous Sydney Opera House."/>
        <s v="The surgeon will (          ) on the patient tomorrow."/>
        <s v="The (          ) word in this contract is &quot;immediately.&quot;"/>
        <s v="The elevator is (          ) due to maintenance."/>
        <s v="The two teams (          ) on environmental projects."/>
        <s v="The (          ) nerve connects the eye to the brain."/>
        <s v="The political (          ) of the decision were problematic."/>
        <s v="He needed (          ) lenses to correct his vision."/>
        <s v="Education provides opportunities for a better future."/>
        <s v="The restaurant offers a vegetarian (          ) on the menu."/>
        <s v="The family decided to (          ) a rescue dog."/>
        <s v="The (          ) process can take several months."/>
        <s v="Everyone has an (          ) about the controversial law."/>
        <s v="The (          ) temperature for plant growth is around 70°F."/>
        <s v="Her (          ) helped her through difficult times."/>
        <s v="Despite challenges, I remain (          ) about the future."/>
        <s v="We need to (          ) the website for mobile devices."/>
        <s v="The student gave an excellent (          ) presentation."/>
        <s v="The story teaches children important (          ) lessons."/>
        <s v="Many people consider lying (          )."/>
        <s v="Good leadership improves team (          )."/>
        <s v="Constant criticism can (          ) employees."/>
        <s v="Please put these files in alphabetical (          )."/>
        <s v="It was just an (          ) day until the surprise party."/>
        <s v="Her musical talent is truly (          )."/>
        <s v="Autism is a neurodevelopmental (          )."/>
        <s v="The event planner will (          ) all aspects of the wedding."/>
        <s v="The project (          ) ensures all tasks are completed on time."/>
        <s v="Good hand-eye (          ) is important in many sports."/>
        <s v="The manager delegates tasks to his (          )s."/>
        <s v="New employees need time to (          ) themselves to company procedures."/>
        <s v="The (          ) of the custom dates back to ancient times."/>
        <s v="She had an (          ) idea for solving the problem."/>
        <s v="The dance (          )d in West Africa."/>
        <s v="Create an (          ) before writing your essay."/>
        <s v="He maintains a positive (          ) despite challenges."/>
        <s v="The (          ) of the disease caused widespread concern."/>
        <s v="The power (          ) lasted for three hours."/>
        <s v="The factory increased its (          ) by 20% this year."/>
        <s v="The electrical (          ) needs to be repaired."/>
        <s v="She always tries to (          ) her previous performance."/>
        <s v="Modern buildings are designed to (          ) their creators."/>
        <s v="Airplane flew (          ) on their way to the airport."/>
        <s v="The stronger team will (          ) their opponents."/>
        <s v="Don't (          ) yourself by working too many hours."/>
        <s v="Wear a warm (          ) in cold weather."/>
        <s v="There is some (          ) between the two courses."/>
        <s v="The manager will (          ) the entire project."/>
        <s v="The library book is (          ) by one week."/>
        <s v="Don't (          ) the details in the contract."/>
        <s v="Don't let past failures (          ) your current success."/>
        <s v="The (          ) design of the building is impressive."/>
        <s v="Use a large (          ) to cook the paella."/>
        <s v="We eat (          )s with maple syrup for breakfast."/>
        <s v="The hotel room offers a (          ) of the city skyline."/>
        <s v="The bridge (          )s the wide river."/>
        <s v="The company plans to (          ) its operations abroad."/>
        <s v="The house has an (          ) garden with many trees."/>
        <s v="Business (          ) requires careful planning."/>
        <s v="The holiday (          ) features colorful floats."/>
        <s v="Being a (          ) involves responsibility and joy."/>
        <s v="It was (          ) that something was wrong."/>
        <s v="The sun will (          ) on the horizon at dawn."/>
        <s v="The magician made the rabbit (          )."/>
        <s v="The (          ) glass allowed us to see inside."/>
        <s v="The two products are (          ) in quality and price."/>
        <s v="I need to (          ) dinner for the guests."/>
        <s v="The store sells sports (          ) and equipment."/>
        <s v="The (          ) passed the new legislation yesterday."/>
        <s v="The colorful (          ) can mimic human speech."/>
        <s v="The comedian performed a (          ) of the famous actor."/>
        <s v="The two streets run (          ) to each other."/>
        <s v="The skydiver deployed his (          ) at 5,000 feet."/>
        <s v="Firefighters use specialized (          ) to rescue people."/>
        <s v="Keep the chemicals (          ) to prevent reaction."/>
        <s v="The tropical island was like a (          ) for tourists."/>
        <s v="I bought a (          ) of shoes yesterday."/>
        <s v="Alcohol can (          ) your judgment and coordination."/>
        <s v="The mechanic will (          ) your car by tomorrow."/>
        <s v="The (          ) fixed our refrigerator."/>
        <s v="The accident caused (          ) damage to the artwork."/>
        <s v="Don't give in to (          ) during difficult times."/>
        <s v="They made a (          ) attempt to save the drowning child."/>
        <s v="Which (          ) of the book did you enjoy most?"/>
        <s v="The old building is falling (          )."/>
        <s v="She and her business (          ) started the company together."/>
        <s v="We're having a birthday (          ) on Saturday."/>
        <s v="He is very (          ) about how his coffee is made."/>
        <s v="I (          ) enjoy hiking in autumn."/>
        <s v="Scientists study subatomic (          )s."/>
        <s v="The delivery service will bring your (          ) tomorrow."/>
        <s v="I have a (          ) view of the mountains from my window."/>
        <s v="The judge must remain (          ) during the trial."/>
        <s v="The train will (          ) through several small towns."/>
        <s v="He took a (          ) role in the project."/>
        <s v="Each (          ) is allowed two carry-on bags."/>
        <s v="Hikers should carry a (          ) for navigation."/>
        <s v="The new highway will (          ) the congested town center."/>
        <s v="The train travels through an (          ) beneath the road."/>
        <s v="The (          ) provides a safe crossing for pedestrians."/>
        <s v="Her sales (          ) all previous records."/>
        <s v="Music is his greatest (          )."/>
        <s v="Nurses need (          ) as well as medical knowledge."/>
        <s v="His attempt to fix the car was (          )."/>
        <s v="Some people believe in (          ), or mind-reading."/>
        <s v="She sent a (          ) card after her friend's mother died."/>
        <s v="Wind will (          ) the sailboat across the lake."/>
        <s v="The (          ) of the small plane was damaged."/>
        <s v="Necessity (          )s us to make difficult choices."/>
        <s v="The insect (          )lent will (          ) mosquitoes."/>
        <s v="The school will (          ) students who cheat on exams."/>
        <s v="The report helps (          ) rumors about the company."/>
        <s v="The doctor checked the patient's (          )."/>
        <s v="He bought the expensive watch on (          )."/>
        <s v="Wearing a helmet is (          ) for motorcycle riders."/>
        <s v="The defendant will (          ) the court's decision."/>
        <s v="She wore a gold (          ) on a delicate chain."/>
        <s v="The success of the project (          )s on teamwork."/>
        <s v="The country celebrated its (          ) day."/>
        <s v="The (          ) is located in the lower right abdomen."/>
        <s v="The school may (          ) students for serious violations."/>
        <s v="The dark clouds suggested (          )ing rain."/>
        <s v="How do you (          ) your free time?"/>
        <s v="These plastic utensils are (          ) after one use."/>
        <s v="Clean water is (          ) for human survival."/>
        <s v="Athletes (          ) a lot of energy during competition."/>
        <s v="Twenty (          ) of the students are international."/>
        <s v="The (          ) has a subtle floral fragrance."/>
        <s v="Toxic (          )s from the factory pollute the air."/>
        <s v="The company needs additional (          ) for the holiday season."/>
        <s v="This is my (          ) opinion, not an official statement."/>
        <s v="Many species will (          ) if their habitat is destroyed."/>
        <s v="This tattoo is (          ) and cannot be easily removed."/>
        <s v="She tried to (          ) her parents to let her go to the party."/>
        <s v="The central (          ) is surrounded by shops and restaurants."/>
        <s v="The developer submitted a (          ) for the new subdivision."/>
        <s v="The speaker stood on a (          ) so everyone could see."/>
        <s v="The workers applied fresh (          ) to the damaged wall."/>
        <s v="Put your dirty (          ) in the dishwasher."/>
        <s v="The hotel is in a convenient (          ) near the station."/>
        <s v="I always (          ) my keys and spend time looking for them."/>
        <s v="We need to (          ) the broken window."/>
        <s v="The flood (          )d thousands of people from their homes."/>
        <s v="What's your (          ) for the weekend?"/>
        <s v="The (          ) flew high above the clouds."/>
        <s v="Mars is the fourth (          ) from the sun."/>
        <s v="The dress is (          ) but elegant."/>
        <s v="Let me (          ) how the machine works."/>
        <s v="Customers (          ) about the poor service."/>
        <s v="Water the (          ) twice a week."/>
        <s v="The surgeon will (          ) the artificial hip next week."/>
        <s v="New technology (          )s older methods over time."/>
        <s v="We have (          ) of time before the concert starts."/>
        <s v="The accident caused (          ) injuries."/>
        <s v="Two (          ) by three equals six."/>
        <s v="Overfishing (          )s ocean resources."/>
        <s v="Please (          ) the form and return it by Friday."/>
        <s v="The application was rejected because it was (          )."/>
        <s v="Her skills (          ) his in the business partnership."/>
        <s v="He gave her a (          ) on her new haircut."/>
        <s v="Take a vitamin (          ) if your diet lacks nutrients."/>
        <s v="The company will (          ) the new policy next month."/>
        <s v="Quantum physics is a (          ) subject."/>
        <s v="Don't (          ) things with unnecessary details."/>
        <s v="The evidence (          )s him in the fraud."/>
        <s v="Make a (          ) copy of important documents."/>
        <s v="She (          )ed her goal of running a marathon."/>
        <s v="All citizens must (          ) with the law."/>
        <s v="I'm still waiting for her (          ) to my email."/>
        <s v="You should (          ) for the job before the deadline."/>
        <s v="Each (          ) must complete an interview."/>
        <s v="The factory (          )s 500 workers."/>
        <s v="The (          ) provides health insurance benefits."/>
        <s v="The company recognizes its (          )s with annual awards."/>
        <s v="The company has a (          ) on smartphone production in that country."/>
        <s v="Five (          ) three equals eight."/>
        <s v="The budget (          ) will be invested in education."/>
        <s v="We ate (          ) while watching the movie."/>
        <s v="The catchy (          ) played constantly on the radio."/>
        <s v="Basketball is a (          ) sport worldwide."/>
        <s v="The politician's (          ) increased after the successful project."/>
        <s v="The (          ) of Tokyo exceeds 13 million people."/>
        <s v="We met friends at the local (          ) for dinner."/>
        <s v="The (          ) library is open to everyone."/>
        <s v="She hopes to (          ) her novel next year."/>
        <s v="The ship will dock at the (          ) tomorrow morning."/>
        <s v="I bought a (          ) speaker for outdoor parties."/>
        <s v="The (          ) carried our bags to the hotel room."/>
        <s v="The website serves as a (          ) to various educational resources."/>
        <s v="We sat on the (          ) enjoying the cool evening breeze."/>
        <s v="The artist showed us her (          ) of recent work."/>
        <s v="The museum displays (          )s of historical figures."/>
        <s v="He ate only a small (          ) of his dinner."/>
        <s v="The painting maintains perfect (          ) between all elements."/>
        <s v="We arrived at the (          ) two hours before our flight."/>
        <s v="You need a valid (          ) for international travel."/>
        <s v="The company provides (          ) for its employees."/>
        <s v="Japan must (          ) most of its oil."/>
        <s v="It's (          ) to exercise regularly."/>
        <s v="Thailand (          )s rice to many countries."/>
        <s v="The country may (          ) illegal immigrants."/>
        <s v="The scientists published a (          ) on climate change."/>
        <s v="The (          ) interviewed survivors of the disaster."/>
        <s v="Parents (          ) their children both emotionally and financially."/>
        <s v="Please (          ) your name clearly on the form."/>
        <s v="The parents felt (          ) in their child's accomplishments."/>
        <s v="She was (          ) of completing the marathon."/>
        <s v="Flowers bloom in (          )."/>
        <s v="Bean seeds (          ) quickly with proper care."/>
        <s v="The (          ) danced through the magical forest."/>
        <s v="The athlete can (          ) 100 meters in under 10 seconds."/>
        <s v="Sprinkle some salt on the food to enhance the flavor."/>
        <s v="The gardener will (          ) the plants to control pests."/>
        <s v="The disease can (          ) through physical contact."/>
        <s v="The flu became (          ) during winter months."/>
        <s v="The (          ) of diabetes is increasing worldwide."/>
        <s v="The minister (          )es every Sunday morning."/>
        <s v="The insurance (          ) increased this year."/>
        <s v="The (          ) of the province announced new economic policies."/>
        <s v="These are (          ) results; the final data will come later."/>
        <s v="His (          ) job was in a hospital."/>
        <s v="Safety is our top (          )."/>
        <s v="We need to solve this (          ) quickly."/>
        <s v="The nail (          )s from the wall and could be dangerous."/>
        <s v="The teacher's question (          )ed an interesting discussion."/>
        <s v="Diplomats must follow strict (          )s at official events."/>
        <s v="The ancient (          ) predicted a time of great change."/>
        <s v="The hotel's (          ) to the beach makes it popular."/>
        <s v="Hard work helped the business (          ) despite economic challenges."/>
        <s v="Quebec is the largest (          ) in Canada."/>
        <s v="The district attorney will (          ) the case."/>
        <s v="The experiment will (          ) or dis(          ) the theory."/>
        <s v="Regular practice will (          ) your piano playing."/>
        <s v="The board should (          ) the budget next week."/>
        <s v="Her (          ) was evident from her frown."/>
        <s v="The athlete is in his (          ) at age 25."/>
        <s v="Reading is a (          ) skill taught in early education."/>
        <s v="Archaeologists discovered (          ) tools from ancient civilizations."/>
        <s v="The (          ) will someday become king."/>
        <s v="The (          ) visited children at the hospital."/>
        <s v="The (          ) of the concert tickets seemed reasonable."/>
        <s v="She won first (          ) in the science competition."/>
        <s v="Gold is a (          ) metal."/>
        <s v="I (          ) your help with this difficult project."/>
        <s v="The investment showed (          ) growth over five years."/>
        <s v="Cars (          ) quickly in the first few years."/>
        <s v="The meeting is (          ); only team members may attend."/>
        <s v="Don't (          ) yourself of adequate sleep."/>
        <s v="The reporter works for the local (          )."/>
        <s v="High blood (          ) can cause health problems."/>
        <s v="The nurse applied a cold (          ) to reduce swelling."/>
        <s v="Dictators often (          ) people who disagree with them."/>
        <s v="The medication helps (          ) the symptoms of the disease."/>
        <s v="She (          )ed her concerns about the new policy."/>
        <s v="The interview left a positive (          ) on the hiring manager."/>
        <s v="He served five years in (          ) for the crime."/>
        <s v="The (          ) was released after serving his sentence."/>
        <s v="The party was a complete (          ) for her birthday."/>
        <s v="Starting a new (          ) requires courage and planning."/>
        <s v="The committee (          )s members from various departments."/>
        <s v="Today is a (          ) occasion worth celebrating."/>
        <s v="She consulted a (          ) about her knee injury."/>
        <s v="Scientists discover new (          ) in the rainforest every year."/>
        <s v="The doctor collected a blood (          ) for testing."/>
        <s v="The circus performance was quite a (          )."/>
        <s v="The (          ) cheered loudly for his favorite team."/>
        <s v="Economists (          ) about future market trends."/>
        <s v="Please be more (          ) about what you need."/>
        <s v="We need to consider every (          ) of the problem."/>
        <s v="Police (          ) the neighbor of stealing the package."/>
        <s v="The mechanic will (          ) your car for problems."/>
        <s v="The (          ) of traveling abroad excites me."/>
        <s v="We (          ) the package to arrive tomorrow."/>
        <s v="Children should (          ) their elders."/>
        <s v="The students returned to their (          ) homes for the holiday."/>
        <s v="All citizens have certain rights, (          ) of their background."/>
        <s v="The team played with great (          ) despite losing."/>
        <s v="Good teachers (          ) their students to excel."/>
        <s v="Nature provides (          ) for many artists."/>
        <s v="Many young athletes (          ) to compete in the Olympics."/>
        <s v="The criminals (          )d to rob the bank."/>
        <s v="The milk will (          ) next week."/>
        <s v="Use a (          ) to secure the fabric before sewing."/>
        <s v="Reaching the summit represents the (          ) of the climber's career."/>
        <s v="The furniture is made of solid (          ) wood."/>
        <s v="Pineapple is a sweet tropical fruit."/>
        <s v="The doctor examined the patient's (          ) for injury."/>
        <s v="Add a (          ) of salt to the recipe."/>
        <s v="The Earth (          )s on its axis once every 24 hours."/>
        <s v="The model will (          ) for the artist."/>
        <s v="The company offers a management (          ) with good benefits."/>
        <s v="She handled the difficult question with (          ) and confidence."/>
        <s v="There was a brief (          ) in the conversation."/>
        <s v="Let's (          ) the meeting until next week."/>
        <s v="He plans to (          ) marriage during their vacation."/>
        <s v="The (          ) of the study is to evaluate new treatments."/>
        <s v="Mozart began to (          ) music at a very young age."/>
        <s v="I (          ) we could try your suggestion."/>
        <s v="Many citizens (          ) the new tax increase."/>
        <s v="The library is on the (          ) side of the street."/>
        <s v="You must pay a (          ) when renting an apartment."/>
        <s v="Please (          ) of trash properly."/>
        <s v="The photograph was (          )d to light and ruined."/>
        <s v="Limit your (          ) to the sun to prevent sunburn."/>
        <s v="The art (          ) features works by local artists."/>
        <s v="The court (          )d a heavy fine for the violation."/>
        <s v="The restaurant has an excellent (          ) for quality food."/>
        <s v="The neighbors have a (          ) about the property line."/>
        <s v="The knight embarked on a (          ) to rescue the princess."/>
        <s v="The teacher asked a difficult (          ) on the exam."/>
        <s v="The (          ) of space began with the first satellite launch."/>
        <s v="I would like to (          ) additional information about the program."/>
        <s v="Please (          ) at the front desk for directions."/>
        <s v="I called to (          ) about the job opening."/>
        <s v="This position (          )s experience in marketing."/>
        <s v="The company plans to (          ) its smaller competitor."/>
        <s v="Squeeze the lemon to extract the juice."/>
        <s v="The town (          ) is surrounded by historic buildings."/>
        <s v="The police (          ) arrived quickly after the call."/>
        <s v="The large box will (          ) the delicate items beneath it."/>
        <s v="All citizens deserve (          ) treatment under the law."/>
        <s v="The mathematical (          ) is complex but solvable."/>
        <s v="The room is (          ) for our small family."/>
        <s v="The current staff is (          ) for the increased workload."/>
        <s v="Homeowners build (          ) as they pay their mortgage."/>
        <s v="There is no (          ) between the two situations."/>
        <s v="The ecosystem maintains a delicate (          )."/>
        <s v="The school will (          ) all classrooms with computers."/>
        <s v="Countries near the (          ) have tropical climates."/>
        <s v="The airport (          ) detects approaching aircraft."/>
        <s v="We listen to the (          ) during our morning commute."/>
        <s v="Scientists measure (          ) with special instruments."/>
        <s v="The sun (          )s heat and light."/>
        <s v="The new treatment represents a (          ) approach to the disease."/>
        <s v="The (          ) adds a spicy crunch to the salad."/>
        <s v="The goal is to (          ) the disease worldwide."/>
        <s v="He sought (          ) for the wrong done to his family."/>
        <s v="The company will (          ) the new product at the conference."/>
        <s v="The teacher gave a gentle (          ) for the student's behavior."/>
        <s v="Please (          ) from using your phone during the concert."/>
        <s v="Have you seen any good movies (          )?"/>
        <s v="Freedom of (          ) is protected by the constitution."/>
        <s v="You can (          ) on me to keep your secret."/>
        <s v="I (          ) not learning to play a musical instrument as a child."/>
        <s v="The company will (          ) employees for travel expenses."/>
        <s v="The tour guide will (          ) us to the famous landmarks."/>
        <s v="The (          ) is responsible for the artistic vision of the film."/>
        <s v="Could you give me (          )s to the nearest hotel?"/>
        <s v="Workers will (          ) a statue in the town square."/>
        <s v="The teacher will (          ) the exam papers this weekend."/>
        <s v="The ball will (          ) down the hill."/>
        <s v="The Earth is (          ), not flat."/>
        <s v="Mountains (          ) the peaceful valley."/>
        <s v="The coffee (          )s can be used as garden fertilizer."/>
        <s v="The (          ) to the mountain is narrow and winding."/>
        <s v="Wild horses (          ) freely across the plains."/>
        <s v="The large (          ) blocked the path."/>
        <s v="The bus (          ) includes stops at the museum and library."/>
        <s v="The students sat in the front (          ) during the lecture."/>
        <s v="The climber secured himself with a strong (          )."/>
        <s v="Fruit will (          ) if left in warm temperatures too long."/>
        <s v="The old pipe might (          ) during the winter freeze."/>
        <s v="Please don't (          ) while someone else is speaking."/>
        <s v="The power (          ) lasted about two hours."/>
        <s v="Corrupt officials accepted bribes for government contracts."/>
        <s v="The storm will (          ) travel plans across the region."/>
        <s v="The volcano could (          ) at any moment."/>
        <s v="The company went (          ) during the economic crisis."/>
        <s v="He broke his (          ) playing football."/>
        <s v="Police worked to (          ) the dangerous suspect."/>
        <s v="The (          ) defended the borders of the country."/>
        <s v="Medieval knights wore heavy (          ) in battle."/>
        <s v="Smoking can (          ) your health."/>
        <s v="Some chemicals are (          ) to the environment."/>
        <s v="The fire (          ) sounded and everyone evacuated the building."/>
        <s v="This (          ) of the program focuses on international news."/>
        <s v="Cancer is a (          ) disease requiring prompt treatment."/>
        <s v="The teacher explained the correct (          ) of steps."/>
        <s v="She makes (          ) trips to visit her grandmother."/>
        <s v="The airport increased (          ) after the incident."/>
        <s v="The team won five (          ) games."/>
        <s v="This (          ) of the forest is protected."/>
        <s v="The (          ) has six legs and two antennae."/>
        <s v="Several students raised their hands to answer."/>
        <s v="War can (          ) families for many years."/>
        <s v="The accident caused (          ) damage to the vehicle."/>
        <s v="If you (          ), you will eventually succeed."/>
        <s v="Can you keep a (          )?"/>
        <s v="The (          ) scheduled appointments for the executive."/>
        <s v="The temple is considered (          ) by many religions."/>
        <s v="Parents often (          ) their own comfort for their children."/>
        <s v="Please (          ) in this chair while you wait."/>
        <s v="The archaeological (          ) contains ancient ruins."/>
        <s v="We need to evaluate the (          ) carefully."/>
        <s v="The sun (          )s in the west."/>
        <s v="All passengers must remain in their (          )s during takeoff."/>
        <s v="The legal (          ) included compensation for damages."/>
        <s v="The company's most valuable (          ) is its skilled workforce."/>
        <s v="The (          ) of winter brings colder temperatures."/>
        <s v="From the (          ), it was clear the project would be challenging."/>
        <s v="The bad news (          ) her greatly."/>
        <s v="Few plants can survive in the hot (          )."/>
        <s v="He (          )ed his innocence throughout the trial."/>
        <s v="Her (          ) about the facts proved correct."/>
        <s v="Insert the key and turn it clockwise."/>
        <s v="You need to (          ) pressure on the lever."/>
        <s v="She will (          ) her research at the conference."/>
        <s v="His (          ) at the meeting was required."/>
        <s v="The (          ) included colorful graphs and charts."/>
        <s v="The attorney will (          ) you in court."/>
        <s v="The restaurant (          )s lunch from noon until 3:00 PM."/>
        <s v="The company provides excellent customer (          )."/>
        <s v="The royal family employed many (          )s."/>
        <s v="Scientists (          ) animal behavior in the wild."/>
        <s v="Hard-working students (          ) recognition."/>
        <s v="We must (          ) endangered species from extinction."/>
        <s v="Turn off lights to (          ) energy."/>
        <s v="Please (          ) a table for dinner tonight."/>
        <s v="The (          ) provides water for the entire city."/>
        <s v="Which (          ) of the road do they drive on in Japan?"/>
        <s v="The corporation has (          ) companies in several countries."/>
        <s v="The family (          )s in a small apartment downtown."/>
        <s v="The university provides (          ) halls for students."/>
        <s v="The chairperson will (          ) over the meeting."/>
        <s v="The (          ) of the company announced new initiatives."/>
        <s v="Please (          ) all options before making a decision."/>
        <s v="It was (          ) of you to help with the cleaning."/>
        <s v="The project requires (          ) time and effort."/>
        <s v="The twins look very (          ) but have different personalities."/>
        <s v="Their approaches to the problem were completely (          )."/>
        <s v="Simultaneous translation was provided at the international conference."/>
        <s v="The computer program can (          ) weather patterns."/>
        <s v="The recipe is (          ) enough for beginners."/>
        <s v="Workers (          ) the cars at this factory."/>
        <s v="The student (          ) meets every Friday morning."/>
        <s v="I had to (          ) the clock to repair it."/>
        <s v="The child (          )s her grandmother."/>
        <s v="Humans are (          ) creatures who live in communities."/>
        <s v="Dogs are naturally (          ) animals."/>
        <s v="Education shapes the future of (          )."/>
        <s v="I (          ) the smell of cinnamon with Christmas."/>
        <s v="The detective worked to (          ) the mystery."/>
        <s v="The company remained (          ) despite economic challenges."/>
        <s v="Finding a (          ) requires creative thinking."/>
        <s v="Sugar (          )s in hot water."/>
        <s v="They (          )d to exercise more in the new year."/>
        <s v="Dogs have a keen (          ) of smell."/>
        <s v="Some people have (          ) skin that burns easily in the sun."/>
        <s v="Wearing a coat in cold weather is (          )."/>
        <s v="The perfume has a rich, (          ) fragrance."/>
        <s v="The old photograph has (          ) value to me."/>
        <s v="The judge will (          ) the convicted criminal tomorrow."/>
        <s v="The committee gave its (          ) to the proposal."/>
        <s v="Parents must give (          ) for children's medical treatment."/>
        <s v="The group reached a (          ) after hours of discussion."/>
        <s v="The court allows judges to express (          ) from majority opinions."/>
        <s v="Don't (          ) others for their success."/>
        <s v="Please (          ) your name on the dotted line."/>
        <s v="The traffic (          ) changed from red to green."/>
        <s v="Your (          ) is required on all official documents."/>
        <s v="The discovery represents a (          ) advance in cancer treatment."/>
        <s v="The error was (          ) and did not affect the outcome."/>
        <s v="The architect will (          ) the new library."/>
        <s v="The company (          )d a special area for employee breaks."/>
        <s v="The teacher will (          ) homework for the weekend."/>
        <s v="He decided to (          ) from his position after ten years."/>
        <s v="Students must pass a final (          ) to complete the course."/>
        <s v="I can (          ) to her excellent character and work ethic."/>
        <s v="His (          ) helped convict the criminal."/>
        <s v="The winner of the (          ) receives a cash prize."/>
        <s v="Citizens (          ) against the unfair law."/>
        <s v="Please (          ) when the judge enters the courtroom."/>
        <s v="The school maintains high academic (          )s."/>
        <s v="Traffic came to a (          ) during the snowstorm."/>
        <s v="From a legal (          ), the contract is valid."/>
        <s v="I don't (          ) how the machine works."/>
        <s v="He misunderstood the directions and got lost."/>
        <s v="The building was designed to (          ) strong earthquakes."/>
        <s v="Notwithstanding his injury, he completed the marathon."/>
        <s v="She received an award for her (          ) achievement."/>
        <s v="Hold the camera (          ) to avoid blurry photos."/>
        <s v="Water is a (          ) essential for life."/>
        <s v="He inherited a (          ) amount of money."/>
        <s v="The evidence supporting the claim was (          )."/>
        <s v="This is a rare (          ) of that butterfly species."/>
        <s v="Instant coffee dissolves quickly in hot water."/>
        <s v="We could see the (          ) mountains on the horizon."/>
        <s v="The (          ) noise from construction made it hard to concentrate."/>
        <s v="The fire (          ) responds quickly to emergencies."/>
        <s v="The (          ) bicycle provides good exercise indoors."/>
        <s v="What (          ) do you live in?"/>
        <s v="The bronze (          ) commemorates the town's founder."/>
        <s v="They inherited a large (          ) in the countryside."/>
        <s v="The patient's condition is (          ) after surgery."/>
        <s v="Political (          ) deterred foreign investors."/>
        <s v="The actor performed brilliantly on (          )."/>
        <s v="The university enjoys great (          ) in academic circles."/>
        <s v="The corn (          ) grew over six feet tall."/>
        <s v="The hospital (          ) works around the clock."/>
        <s v="The wine left a red (          ) on the tablecloth."/>
        <s v="The race will (          ) at noon."/>
        <s v="The sudden noise (          )d the sleeping baby."/>
        <s v="Marathon runners need great (          )."/>
        <s v="Thousands of fans filled the (          ) for the championship game."/>
        <s v="We plan to (          ) at a hotel near the beach."/>
        <s v="Put a (          ) on the envelope before mailing it."/>
        <s v="Be careful going down the (          )s in the dark."/>
        <s v="Modern skyscrapers are built with (          ) frames."/>
        <s v="The rose has a long (          ) with thorns."/>
        <s v="Steam rises from the boiling water."/>
        <s v="The detective conducted a (          ) search for clues."/>
        <s v="Take one (          ) at a time down the steep path."/>
        <s v="The ancient temple was built of (          )."/>
        <s v="The news of his sudden death (          )ned everyone."/>
        <s v="The magician's tricks (          ) the audience."/>
        <s v="I need to go to the grocery (          ) today."/>
        <s v="The children enjoyed the bedtime (          )."/>
        <s v="The museum worked to (          ) the damaged painting."/>
        <s v="The technician will (          ) the new software tomorrow."/>
        <s v="The bartender sat on a high (          ) behind the counter."/>
        <s v="She has a (          ) of books to read during vacation."/>
        <s v="The (          ) caused power outages across the city."/>
        <s v="Cook the soup on the (          ) over low heat."/>
        <s v="The bus will (          ) at the corner."/>
        <s v="The water in the lake is (          ) and clear."/>
        <s v="They (          ) whiskey using traditional methods."/>
        <s v="Some people believe (          ) determines their path in life."/>
        <s v="Paris is a popular tourist (          )."/>
        <s v="The nurse will (          ) the doctor during surgery."/>
        <s v="The committee (          )s of five members."/>
        <s v="Her work is of (          ) high quality."/>
        <s v="Does life (          ) on other planets?"/>
        <s v="She (          )ed on paying for dinner."/>
        <s v="The problem (          )s despite our efforts to solve it."/>
        <s v="It's difficult to (          ) chocolate when you're on a diet."/>
        <s v="The bacteria developed (          ) to antibiotics."/>
        <s v="The smell of freshly baked bread is (          )."/>
        <s v="The research (          ) studies climate change."/>
        <s v="These three states (          ) the tri-state area."/>
        <s v="The teacher found a (          ) to cover her class."/>
        <s v="The internal (          ) of the building is very strong."/>
        <s v="The professor will (          ) students in advanced calculus."/>
        <s v="Fallen trees (          ) the road after the storm."/>
        <s v="The hurricane was highly (          ) to coastal areas."/>
        <s v="The company will (          ) a new office building."/>
        <s v="The poem (          )s the beauty of nature."/>
        <s v="The king holds an (          ) position in society."/>
        <s v="The bride and groom stood before the (          )."/>
        <s v="Pilots must monitor their (          ) during flight."/>
        <s v="Climate change will (          ) weather patterns worldwide."/>
        <s v="Take (          ) routes to avoid traffic congestion."/>
        <s v="Consider (          ) sources of energy such as solar power."/>
        <s v="Her (          ) led her to volunteer at the homeless shelter."/>
        <s v="The (          ) crafts beautiful pottery by hand."/>
        <s v="I read an interesting (          ) about space exploration."/>
        <s v="The main (          ) into the city is congested during rush hour."/>
        <s v="The nurse had difficulty finding a (          ) for the injection."/>
        <s v="The dog wagged its (          ) happily."/>
        <s v="The (          ) altered the suit to fit perfectly."/>
        <s v="Pay attention to every (          ) in the contract."/>
        <s v="Budget cuts forced the school to (          ) some programs."/>
        <s v="The shoes are available at (          ) stores nationwide."/>
        <s v="Restaurants buy food at (          ) prices."/>
        <s v="The (          ) designed the award-winning museum."/>
        <s v="Sunscreen helps (          ) your skin from damage."/>
        <s v="Nurses (          ) to patients in the hospital."/>
        <s v="The current (          ) in fashion is eco-friendly clothing."/>
        <s v="I (          ) to finish this project by Friday."/>
        <s v="Children often (          ) to be their favorite superheroes."/>
        <s v="Will you (          ) the conference next week?"/>
        <s v="The teacher called for the students' (          )."/>
        <s v="Several teams (          ) for the championship each year."/>
        <s v="The company will (          ) its hours during the holiday season."/>
        <s v="I was surprised by the (          ) of the damage after the storm."/>
        <s v="The library granted an (          ) on the due date."/>
        <s v="The museum has an (          ) collection of ancient artifacts."/>
        <s v="There is (          ) between the two competing teams."/>
        <s v="The storm will (          ) before reaching land."/>
        <s v="Learning a language requires (          ) study."/>
        <s v="We took a guided (          ) of the historic castle."/>
        <s v="Many (          )s visit Paris to see the Eiffel Tower."/>
        <s v="The construction requires drivers to take a (          )."/>
        <s v="The (          ) of the land changes from flat plains to rolling hills."/>
        <s v="The Olympic (          ) travels around the host country before the games."/>
        <s v="The prisoner was subjected to (          ) during interrogation."/>
        <s v="The mirror can (          ) your reflection."/>
        <s v="The old radio produces sound (          )."/>
        <s v="The (          ) arrives at the station at 9:00 AM."/>
        <s v="The (          ) provides convenient transportation in the city center."/>
        <s v="Athletes compete on the running (          )."/>
        <s v="Hikers follow the (          ) through the forest."/>
        <s v="The movie (          ) made me want to see the film."/>
        <s v="We (          ) to new countries whenever possible."/>
        <s v="The family maintains the (          ) of Sunday dinner together."/>
        <s v="The waiter carried drinks on a (          )."/>
        <s v="He would never (          ) a friend's confidence."/>
        <s v="The detective found no (          ) of the missing jewels."/>
        <s v="The farmer uses a (          ) to plow the fields."/>
        <s v="Flowers (          ) bees with bright colors and sweet nectar."/>
        <s v="Vanilla (          ) adds flavor to baked goods."/>
        <s v="Subtract three from ten and you get seven."/>
        <s v="The builder signed a (          ) for the new project."/>
        <s v="The painting features (          ) shapes and bold colors."/>
        <s v="Don't let your phone (          ) you while driving."/>
        <s v="Social media can be a major (          ) when studying."/>
        <s v="The company plans to (          ) its business model."/>
        <s v="The patient received a kidney (          ) last year."/>
        <s v="Turn left at the next intersection."/>
        <s v="The medical (          ) works long hours at the hospital."/>
        <s v="The company conducted an (          ) review of its policies."/>
        <s v="The summer (          ) provides valuable work experience."/>
        <s v="Some religions believe in (          ) life after death."/>
        <s v="When do you plan to (          ) from your trip?"/>
        <s v="The musical (          ) performs jazz standards."/>
        <s v="A (          ) has three sides and three angles."/>
        <s v="The company (          )d its profits last year."/>
        <s v="The indigenous (          ) has lived in this region for centuries."/>
        <s v="The concert was a (          ) to the legendary musician."/>
        <s v="We (          ) our success to hard work and perseverance."/>
        <s v="Please (          ) to the fundraising campaign if possible."/>
        <s v="Volunteers (          ) food to homeless people."/>
        <s v="The book (          ) spans over 50 countries."/>
        <s v="The (          ) of excited children filled the playground."/>
        <s v="The glass vase will (          ) if dropped on the floor."/>
        <s v="Please don't (          ); use the trash cans provided."/>
        <s v="She didn't (          ) a single word during the entire meeting."/>
        <s v="He began to (          ) complaints under his breath."/>
        <s v="Use a (          ) to support the young tree."/>
        <s v="Be careful of bees that might (          ) when disturbed."/>
        <s v="It's difficult to (          ) between the identical twins."/>
        <s v="The fake painting was easily (          ) from the original."/>
        <s v="The (          ) professor received many academic awards."/>
        <s v="Firefighters worked to (          ) the forest fire."/>
        <s v="Dinosaurs have been (          ) for millions of years."/>
        <s v="The two proposals are quite (          ) in their approach."/>
        <s v="A mother's (          ) to protect her child is very strong."/>
        <s v="Stir the soup occasionally while it cooks."/>
        <s v="Coffee can (          ) your brain and increase alertness."/>
        <s v="Rotten eggs (          ) terribly."/>
        <s v="The plumber will (          ) the cost of repairs."/>
        <s v="The teacher holds her students in high (          )."/>
        <s v="The surgeon used small (          )es to close the wound."/>
        <s v="Draw a (          ) line between the two points."/>
        <s v="Ships navigate through the narrow (          ) between the islands."/>
        <s v="The company developed a (          ) to increase sales."/>
        <s v="Fasten the (          ) on your helmet for safety."/>
        <s v="The heavy lifting put (          ) on his back."/>
        <s v="Budget limitations (          ) our options."/>
        <s v="The security guards had to (          ) the angry customer."/>
        <s v="She sipped her drink through a (          )."/>
        <s v="Our house is on a quiet (          ) with little traffic."/>
        <s v="The (          ) flows down from the mountain."/>
        <s v="The team has a winning (          ) of five games."/>
        <s v="The animal shelter takes care of (          ) dogs and cats."/>
        <s v="Job (          ) affects many people's health."/>
        <s v="The ship sent a (          ) signal after hitting rocks."/>
        <s v="Remember to (          ) before exercising."/>
        <s v="The tiger's coat has distinctive black (          )s."/>
        <s v="They removed a (          ) of wallpaper along the edge."/>
        <s v="She walked with confident (          )s across the stage."/>
        <s v="The workers will (          ) for better wages."/>
        <s v="The artist made a careful (          ) with the brush."/>
        <s v="The school has (          ) rules about attendance."/>
        <s v="The city is divided into several school (          )s."/>
        <s v="The doctor advised me to (          ) my sugar intake."/>
        <s v="Use a (          ) to attach the notice to the bulletin board."/>
        <s v="The army will (          ) at dawn."/>
        <s v="Attach the document to your email."/>
        <s v="You can (          ) the cover for cleaning."/>
        <s v="I'll (          ) you as soon as I get more information."/>
        <s v="Africa is the second-largest (          ) by land area."/>
        <s v="Goodwill is an (          ) asset for a business."/>
        <s v="This box (          )s fragile items."/>
        <s v="You can (          ) a permit from the city office."/>
        <s v="Police (          ) suspects for questioning."/>
        <s v="The company works hard to (          ) talented employees."/>
        <s v="These practices will help (          ) natural resources."/>
        <s v="It takes years of practice to (          ) mastery."/>
        <s v="Some people (          ) from eating meat."/>
        <s v="The comedian will (          ) guests at the party."/>
        <s v="The movie will (          ) after a short intermission."/>
        <s v="The manufacturer decided to (          ) this model."/>
        <s v="They danced the (          ) at the competition."/>
        <s v="Don't let the cord (          ) around the furniture."/>
        <s v="The fish became (          )d in the net."/>
        <s v="Buying a house provides (          ) benefits over renting."/>
        <s v="The flu is highly (          ) in winter months."/>
        <s v="Chemicals (          ) the river water."/>
        <s v="The subway system runs (          ) throughout the city."/>
        <s v="The detective worked (          ) for six months."/>
        <s v="We need to address the (          ) causes of the problem."/>
        <s v="Don't (          ) your colleague's authority."/>
        <s v="Construction on the new bridge is already (          )."/>
        <s v="The patient will (          ) surgery tomorrow."/>
        <s v="Pack enough (          ) for a week."/>
        <s v="The company will (          ) a major expansion project."/>
        <s v="We need to (          ) our computer systems."/>
        <s v="My bedroom is (          ) on the second floor."/>
        <s v="There has been an (          ) in tourism this year."/>
        <s v="The storm was strong enough to (          ) large trees."/>
        <s v="The child took a (          ) but wasn't hurt."/>
        <s v="Be careful not to (          ) on the uneven sidewalk."/>
        <s v="We heard the (          ) of thunder in the distance."/>
        <s v="The old wall began to (          ) after years of neglect."/>
        <s v="Despite his success, he remains (          )."/>
        <s v="The field was (          ) covered with snow."/>
        <s v="The hospital has a special (          ) for treating burns."/>
        <s v="The crisis created a sense of (          ) among the citizens."/>
        <s v="The labor (          ) represents all factory workers."/>
        <s v="Scientists believe the (          ) is still expanding."/>
        <s v="She studies economics at the (          )."/>
        <s v="Take the (          ) to avoid traffic congestion."/>
        <s v="The (          ) can stay underwater for months."/>
        <s v="The flavor difference between the two wines is very (          )."/>
        <s v="He wore his best (          ) to the interview."/>
        <s v="This venue is (          ) for large gatherings."/>
        <s v="The movie contains material (          ) for young children."/>
        <s v="The presidential (          ) occupies the top floor of the hotel."/>
        <s v="The company faces a (          ) from former employees."/>
        <s v="The (          ) of happiness is a basic human right."/>
        <s v="She decided to (          ) a career in medicine."/>
        <s v="We're still waiting for the test (          )s."/>
        <s v="The suspect was charged with (          )."/>
        <s v="His rude comments were an (          ) to everyone present."/>
        <s v="The singer has a (          ) voice that captivates audiences."/>
        <s v="Consult your doctor before starting any new medication."/>
        <s v="Many families take vacations during the (          )."/>
        <s v="The mountain (          ) offers spectacular views."/>
        <s v="The (          ) of two and three is five."/>
        <s v="The executive (          ) provides an overview of the report."/>
        <s v="Can you (          ) the main points of the meeting?"/>
        <s v="Americans (          ) large amounts of fast food."/>
        <s v="I (          ) you'll be attending the conference next week."/>
        <s v="The (          ) cause of the fire was an electrical fault."/>
        <s v="Don't (          ) that everyone agrees with your opinion."/>
        <s v="His argument is based on false (          )s."/>
        <s v="After the break, we will (          ) our discussion."/>
        <s v="The Supreme Court is the highest court in the country."/>
        <s v="The new model is (          ) to the older version."/>
        <s v="The chef prepared a (          ) meal for the special occasion."/>
        <s v="A (          ) of adrenaline helped her lift the heavy object."/>
        <s v="The company conducted a (          ) of customer satisfaction."/>
        <s v="The bank has (          ) cameras for security."/>
        <s v="My (          ) comes from my father's side of the family."/>
        <s v="The army had to (          ) after running out of supplies."/>
        <s v="I'm (          ) that everything will work out well."/>
        <s v="The safety features (          ) that passengers are protected."/>
        <s v="I can (          ) you that your money is safe with us."/>
        <s v="Health (          ) helps cover medical expenses."/>
        <s v="Her voice was barely (          ) in the noisy room."/>
        <s v="Many actors (          ) for each available role."/>
        <s v="The school (          ) seats 500 people."/>
        <s v="The (          ) applauded enthusiastically after the performance."/>
        <s v="The IRS may (          ) your tax returns."/>
        <s v="The apartment has been (          ) for three months."/>
        <s v="Tenants must (          ) the building during renovations."/>
        <s v="We're planning our summer (          ) to the beach."/>
        <s v="Use a (          ) to clean the carpet thoroughly."/>
        <s v="Children need (          )s to prevent diseases."/>
        <s v="People had to (          ) the building during the fire alarm."/>
        <s v="The (          ) plan should be posted in every room."/>
        <s v="The army will (          ) the neighboring country."/>
        <s v="The suspect tried to (          ) the police."/>
        <s v="A sense of excitement (          )s the air before the holiday."/>
        <s v="The delivery (          ) will arrive between 2 and 4 PM."/>
        <s v="The wind (          ) shows which way the wind is blowing."/>
        <s v="Their attempts to solve the problem were in (          )."/>
        <s v="His (          ) makes him spend hours in front of the mirror."/>
        <s v="Technology continues to (          ) at a rapid pace."/>
        <s v="Knowledge of multiple languages gives you an (          ) in business."/>
        <s v="Being far from public transportation is a (          )."/>
        <s v="The wedding (          ) accommodates up to 200 guests."/>
        <s v="The parade will go down Fifth Avenue."/>
        <s v="The board will (          ) for an emergency meeting tomorrow."/>
        <s v="The annual (          ) attracts thousands of industry professionals."/>
        <s v="They chose a (          ) approach rather than experimenting."/>
        <s v="The store's location is (          ) for neighborhood residents."/>
        <s v="I bought a (          ) to remember my trip to Paris."/>
        <s v="The new product line increased company (          ) significantly."/>
        <s v="The teacher had to (          ) in the students' argument."/>
        <s v="The kitchen needs a (          ) to remove cooking odors."/>
        <s v="Good (          ) is important for indoor air quality."/>
        <s v="Starting a new business is always a risky (          )."/>
        <s v="The book tells the (          ) of explorers in the Amazon."/>
        <s v="Thomas Edison did not (          ) the light bulb; he improved it."/>
        <s v="Regular exercise helps (          ) many health problems."/>
        <s v="Prevention of disease is better than treatment."/>
        <s v="The wedding was the social (          ) of the season."/>
        <s v="The (          ) of the internet transformed communication."/>
        <s v="The poet recited a (          ) from her latest work."/>
        <s v="The latest (          ) of the software includes new features."/>
        <s v="The medicine may cause (          ) reactions in some patients."/>
        <s v="The two candidates are political adversaries."/>
        <s v="The truck driver had to (          ) into the narrow driveway."/>
        <s v="The new policy caused (          ) among parents."/>
        <s v="We had an interesting (          ) about climate change."/>
        <s v="The company employs a (          ) workforce."/>
        <s v="The police (          )ed traffic away from the accident scene."/>
        <s v="Quick action helped (          ) a serious crisis."/>
        <s v="The company will (          ) the new product on television."/>
        <s v="The builder will (          ) the old warehouse into apartments."/>
        <s v="The (          ) from miles to kilometers is easy to calculate."/>
        <s v="The climber scaled the (          ) cliff face."/>
        <s v="As an (          ), she prefers small gatherings to large parties."/>
        <s v="The (          ) easily makes friends in new situations."/>
        <s v="The (          ) shows how to assemble the furniture."/>
        <s v="The hotel (          )s free breakfast for guests."/>
        <s v="The hikers carried (          )s for a three-day trek."/>
        <s v="The benefits of exercise are (          ) in his improved health."/>
        <s v="Police collected (          ) at the crime scene."/>
        <s v="The company's (          ) is to become a global leader in technology."/>
        <s v="The (          ) entrepreneur predicted mobile computing decades ago."/>
        <s v="Stars become (          ) in the night sky after sunset."/>
        <s v="Germs are (          ) to the naked eye."/>
        <s v="I (          ) a future where clean energy is the norm."/>
        <s v="Don't waste time in (          ) of others' success."/>
        <s v="She has the (          ) ability to learn languages quickly."/>
        <s v="The engineer will (          ) a solution to the problem."/>
        <s v="Students should (          ) their essays before submission."/>
        <s v="The manager (          )s a team of ten employees."/>
        <s v="The financial consultant will (          ) you on investments."/>
        <s v="We plan to (          ) Rome next summer."/>
        <s v="The (          ) minority opposed the new regulations."/>
        <s v="Teaching is not just a job but a (          )."/>
        <s v="Photography is her (          ), not her profession."/>
        <s v="She is a strong (          ) for children's rights."/>
        <s v="The singer has a beautiful (          )."/>
        <s v="The company sent an (          ) for the services provided."/>
        <s v="The song (          )s memories of my childhood."/>
        <s v="The president can (          ) Congress for a special session."/>
        <s v="The court may (          ) his driver's license."/>
        <s v="Don't (          ) the dog by teasing it."/>
        <s v="She drives a Volvo because of its safety features."/>
        <s v="The Earth (          )s around the sun once each year."/>
        <s v="The industrial (          ) transformed manufacturing processes."/>
        <s v="Species (          ) over millions of years."/>
        <s v="The project (          )s collaboration between several departments."/>
        <s v="Please turn down the (          ) of the music."/>
        <s v="The painting has both artistic and monetary (          )."/>
        <s v="The information proved (          ) in solving the problem."/>
        <s v="Her assistance was (          ) during the crisis."/>
        <s v="The committee will (          ) all applications carefully."/>
        <s v="Your passport must be (          ) for at least six months."/>
        <s v="The receipt (          )s your warranty."/>
        <s v="He (          )ed himself of the opportunity to study abroad."/>
        <s v="The book is (          ) in both hardcover and paperback editions."/>
        <s v="Her strengths (          ) her weaknesses."/>
        <s v="Justice will (          ) in the end."/>
        <s v="Temperatures (          ) greatly from summer to winter."/>
        <s v="Genetic (          ) contributes to species adaptability."/>
        <s v="The shop sells (          ) types of cheese."/>
        <s v="Wind speed is a (          ) factor in weather forecasting."/>
        <s v="His (          ) response to criticism is denial."/>
        <s v="This is a new (          ) of the original design."/>
        <s v="The store offers a wide (          ) of products."/>
        <s v="The team celebrated their (          ) in the championship."/>
        <s v="The (          ) of the accident is recovering in the hospital."/>
        <s v="The jury's (          ) was based on solid evidence."/>
        <s v="Even the strongest opponent is (          ) with the right strategy."/>
        <s v="The evidence should (          ) even the most skeptical person."/>
        <s v="Vitamin C helps strengthen the immune system."/>
        <s v="Regular exercise increases your (          ) and energy."/>
        <s v="We (          )d thirty people to the wedding."/>
        <s v="The professor conducted a (          ) to test the student's knowledge."/>
        <s v="She described the scene in (          ) detail."/>
        <s v="There has been a (          ) of interest in traditional crafts."/>
        <s v="Survival in the wilderness requires knowledge and preparation."/>
        <s v="Strong (          ) blew the leaves from the trees."/>
        <s v="The rock cracked the (          ) of my car."/>
        <s v="In (          ), the lake freezes solid."/>
        <s v="Open the (          ) to let in fresh air."/>
        <s v="The bird's (          ) was injured, so it couldn't fly."/>
        <s v="Children love to (          ) in the playground."/>
        <s v="Whisk the eggs until they become frothy."/>
        <s v="The cat's (          )s help it navigate in the dark."/>
        <s v="Scotch (          ) is aged in oak barrels."/>
        <s v="The referee blew the (          ) to end the game."/>
        <s v="She leaned closer to (          ) the secret."/>
        <s v="The chef used a (          ) to beat the cream."/>
        <s v="The dancers (          ) around the ballroom floor."/>
        <s v="Cream (          ) into the black coffee."/>
        <s v="The hospital (          ) holds twenty patients."/>
        <s v="She has an extensive (          ) of professional clothes."/>
        <s v="We went for ice cream (          )."/>
        <s v="Good behavior deserves a (          )."/>
        <s v="She received an (          ) for her outstanding performance."/>
        <s v="The journey (          ) can be as challenging as exploring the world."/>
        <s v="Don't (          ) important information from your doctor."/>
        <s v="You can (          ) cash from any ATM."/>
        <s v="The (          ) of troops will begin next month."/>
        <s v="Wrap the gift in colorful paper."/>
        <s v="He had to (          ) control of the vehicle from the skid."/>
        <s v="Professional (          ) combines athleticism with entertainment."/>
        <s v="Use a (          ) to tighten the loose bolt."/>
        <s v="The storm could (          ) small boats."/>
        <s v="The king's (          ) was feared throughout the kingdom."/>
        <s v="Lawyers (          ) over the details of the contract."/>
        <s v="The new fabric resists (          )s."/>
        <s v="It's (          ) to take things that don't belong to you."/>
        <s v="She wears a watch on her left (          )."/>
        <s v="Please (          ) your name and address on the form."/>
        <s v="The (          ) lasted for six devastating years."/>
        <s v="Be (          ) of emails asking for your bank information."/>
        <s v="The sign (          )s visitors about the dangerous cliff."/>
        <s v="The evidence didn't (          ) such extreme measures."/>
        <s v="The soup will help keep you (          ) on a cold day."/>
        <s v="Birds eat (          )s from the garden soil."/>
        <s v="Connect the devices using the USB (          )."/>
        <s v="Most modern homes have (          ) internet."/>
        <s v="The (          ) is becoming increasingly interconnected."/>
        <s v="His (          ) possessions fit into a single suitcase."/>
        <s v="Don't (          ) about things you cannot change."/>
        <s v="Choose your (          )s carefully in formal writing."/>
        <s v="Knights carried (          )s in medieval times."/>
        <s v="Remember to (          ) off the lights when you leave."/>
        <s v="Let's (          ) phone numbers so we can stay in touch."/>
        <s v="Children learn to (          ) in the shallow pool."/>
        <s v="It's difficult to (          ) large pills."/>
        <s v="The trees (          ) in the strong wind."/>
        <s v="Athletes (          ) heavily during intense exercise."/>
        <s v="The cake is too (          ) for my taste."/>
        <s v="The white (          ) glided gracefully across the lake."/>
        <s v="The jeep got stuck in the muddy (          )."/>
        <s v="The river tends to (          ) after heavy rain."/>
        <s v="Please (          ) the floor before guests arrive."/>
        <s v="The (          ) response from emergency services saved lives."/>
        <s v="Witnesses must (          ) to tell the truth in court."/>
        <s v="The emergency (          ) is located at the back of the building."/>
        <s v="The botanical garden features (          ) plants from around the world."/>
        <s v="The chef prepared an (          ) meal for the special occasion."/>
        <s v="Travel provides valuable (          ) of different cultures."/>
        <s v="The scientist conducts (          )s in the laboratory."/>
        <s v="The company will (          ) the new strategy next quarter."/>
        <s v="She is an (          ) in ancient languages."/>
        <s v="His (          ) in computer programming is impressive."/>
        <s v="The instructions were clear and (          )."/>
        <s v="The company (          )s natural resources responsibly."/>
        <s v="Critics (          ) the virtues of the award-winning film."/>
        <s v="Don't (          ) the difficulties; they are manageable."/>
        <s v="His claim of walking ten miles was an (          )."/>
        <s v="The technology has shown (          ) growth over the past decade."/>
        <s v="The bomb could (          ) if mishandled."/>
        <s v="Criminals attempted to (          ) money from the businessman."/>
        <s v="The former dictator lives in (          ) in a neighboring country."/>
        <s v="Long hours of work (          ) even the strongest person."/>
        <s v="The marathon was physically (          )."/>
        <s v="After the long hike, they were completely (          )."/>
        <s v="Students are (          ) from paying the full fare."/>
        <s v="Would you like (          ) cheese on your pizza?"/>
        <s v="Students participate in various (          ) activities after school."/>
        <s v="The (          ) appearance of the building is impressive."/>
        <s v="The explorer endured (          ) conditions in the Arctic."/>
        <s v="The concert was (          ) entertaining."/>
        <s v="Can you (          ) my broken computer?"/>
        <s v="Affix your signature at the bottom of the document."/>
        <s v="The dove is a (          ) of peace."/>
        <s v="Fever is a common (          ) of many illnesses."/>
        <s v="The scientific (          ) attracted researchers from around the world."/>
        <s v="The butterfly's wings show perfect (          )."/>
        <s v="The orchestra performs Beethoven's Symphony No. 9."/>
        <s v="Down (          ) is a genetic condition."/>
        <s v="Make sure to (          ) your watch with the official time."/>
        <s v="The merger created (          ) between the two companies."/>
        <s v="The (          ) of these chemicals produces a new compound."/>
        <s v="Plants convert sunlight into energy through (          )."/>
        <s v="Morning (          ) covered the valley."/>
        <s v="The children enjoyed finding their way through the corn (          )."/>
        <s v="The view from the mountain top was (          )."/>
        <s v="She (          )d at the stars in wonder."/>
        <s v="The old man (          )d in his comfortable chair."/>
        <s v="New Orleans is famous for its (          ) music."/>
        <s v="The crossword (          ) provides mental exercise."/>
        <s v="The steaks (          ) on the hot grill."/>
        <s v="A light (          ) fell throughout the morning."/>
        <s v="It would be (          ) to go swimming in such cold water."/>
        <s v="Don't be (          ); help with the cleaning."/>
        <s v="The city is divided into different parking (          )s."/>
      </sharedItems>
    </cacheField>
    <cacheField name="외운것" numFmtId="0">
      <sharedItems containsSemiMixedTypes="0" containsNonDate="0" containsString="0" containsNumber="1" containsInteger="1" minValue="0" maxValue="1" count="2">
        <n v="1"/>
        <n v="0"/>
      </sharedItems>
    </cacheField>
    <cacheField name="틀린것" numFmtId="0">
      <sharedItems containsSemiMixedTypes="0" containsNonDate="0" containsString="0" containsNumber="1" containsInteger="1" minValue="0" maxValue="1" count="2">
        <n v="0"/>
        <n v="1"/>
      </sharedItems>
    </cacheField>
    <cacheField name="날짜" numFmtId="0">
      <sharedItems containsSemiMixedTypes="0" containsNonDate="0" containsString="0" containsNumber="1" containsInteger="1" count="1">
        <n v="0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2502">
  <r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1"/>
    <x v="1"/>
    <x v="1"/>
    <x v="1"/>
    <x v="1"/>
    <x v="0"/>
  </r>
  <r>
    <x v="2"/>
    <x v="2"/>
    <x v="1"/>
    <x v="1"/>
    <x v="2"/>
    <x v="2"/>
    <x v="2"/>
    <x v="2"/>
    <x v="2"/>
    <x v="0"/>
    <x v="0"/>
    <x v="0"/>
  </r>
  <r>
    <x v="3"/>
    <x v="3"/>
    <x v="1"/>
    <x v="1"/>
    <x v="3"/>
    <x v="3"/>
    <x v="3"/>
    <x v="3"/>
    <x v="3"/>
    <x v="0"/>
    <x v="0"/>
    <x v="0"/>
  </r>
  <r>
    <x v="4"/>
    <x v="4"/>
    <x v="0"/>
    <x v="0"/>
    <x v="4"/>
    <x v="4"/>
    <x v="4"/>
    <x v="4"/>
    <x v="4"/>
    <x v="0"/>
    <x v="0"/>
    <x v="0"/>
  </r>
  <r>
    <x v="5"/>
    <x v="5"/>
    <x v="0"/>
    <x v="0"/>
    <x v="5"/>
    <x v="5"/>
    <x v="5"/>
    <x v="5"/>
    <x v="5"/>
    <x v="0"/>
    <x v="0"/>
    <x v="0"/>
  </r>
  <r>
    <x v="6"/>
    <x v="6"/>
    <x v="0"/>
    <x v="0"/>
    <x v="6"/>
    <x v="6"/>
    <x v="6"/>
    <x v="6"/>
    <x v="6"/>
    <x v="0"/>
    <x v="0"/>
    <x v="0"/>
  </r>
  <r>
    <x v="7"/>
    <x v="7"/>
    <x v="2"/>
    <x v="2"/>
    <x v="7"/>
    <x v="7"/>
    <x v="7"/>
    <x v="7"/>
    <x v="7"/>
    <x v="0"/>
    <x v="0"/>
    <x v="0"/>
  </r>
  <r>
    <x v="8"/>
    <x v="8"/>
    <x v="2"/>
    <x v="2"/>
    <x v="8"/>
    <x v="8"/>
    <x v="8"/>
    <x v="8"/>
    <x v="8"/>
    <x v="0"/>
    <x v="0"/>
    <x v="0"/>
  </r>
  <r>
    <x v="9"/>
    <x v="9"/>
    <x v="2"/>
    <x v="2"/>
    <x v="9"/>
    <x v="9"/>
    <x v="9"/>
    <x v="9"/>
    <x v="9"/>
    <x v="0"/>
    <x v="0"/>
    <x v="0"/>
  </r>
  <r>
    <x v="10"/>
    <x v="10"/>
    <x v="2"/>
    <x v="2"/>
    <x v="10"/>
    <x v="10"/>
    <x v="10"/>
    <x v="10"/>
    <x v="10"/>
    <x v="0"/>
    <x v="0"/>
    <x v="0"/>
  </r>
  <r>
    <x v="11"/>
    <x v="11"/>
    <x v="2"/>
    <x v="2"/>
    <x v="7"/>
    <x v="11"/>
    <x v="11"/>
    <x v="11"/>
    <x v="11"/>
    <x v="0"/>
    <x v="0"/>
    <x v="0"/>
  </r>
  <r>
    <x v="12"/>
    <x v="12"/>
    <x v="3"/>
    <x v="3"/>
    <x v="11"/>
    <x v="12"/>
    <x v="12"/>
    <x v="12"/>
    <x v="12"/>
    <x v="0"/>
    <x v="0"/>
    <x v="0"/>
  </r>
  <r>
    <x v="13"/>
    <x v="13"/>
    <x v="3"/>
    <x v="3"/>
    <x v="12"/>
    <x v="13"/>
    <x v="13"/>
    <x v="13"/>
    <x v="13"/>
    <x v="0"/>
    <x v="0"/>
    <x v="0"/>
  </r>
  <r>
    <x v="14"/>
    <x v="14"/>
    <x v="3"/>
    <x v="3"/>
    <x v="13"/>
    <x v="14"/>
    <x v="14"/>
    <x v="14"/>
    <x v="14"/>
    <x v="0"/>
    <x v="0"/>
    <x v="0"/>
  </r>
  <r>
    <x v="15"/>
    <x v="15"/>
    <x v="4"/>
    <x v="3"/>
    <x v="14"/>
    <x v="15"/>
    <x v="15"/>
    <x v="15"/>
    <x v="15"/>
    <x v="0"/>
    <x v="0"/>
    <x v="0"/>
  </r>
  <r>
    <x v="16"/>
    <x v="16"/>
    <x v="3"/>
    <x v="3"/>
    <x v="15"/>
    <x v="16"/>
    <x v="16"/>
    <x v="16"/>
    <x v="16"/>
    <x v="0"/>
    <x v="0"/>
    <x v="0"/>
  </r>
  <r>
    <x v="17"/>
    <x v="17"/>
    <x v="3"/>
    <x v="3"/>
    <x v="16"/>
    <x v="17"/>
    <x v="17"/>
    <x v="17"/>
    <x v="17"/>
    <x v="0"/>
    <x v="0"/>
    <x v="0"/>
  </r>
  <r>
    <x v="18"/>
    <x v="18"/>
    <x v="3"/>
    <x v="3"/>
    <x v="17"/>
    <x v="18"/>
    <x v="18"/>
    <x v="18"/>
    <x v="18"/>
    <x v="0"/>
    <x v="0"/>
    <x v="0"/>
  </r>
  <r>
    <x v="19"/>
    <x v="19"/>
    <x v="3"/>
    <x v="3"/>
    <x v="18"/>
    <x v="19"/>
    <x v="19"/>
    <x v="19"/>
    <x v="19"/>
    <x v="0"/>
    <x v="0"/>
    <x v="0"/>
  </r>
  <r>
    <x v="20"/>
    <x v="20"/>
    <x v="5"/>
    <x v="4"/>
    <x v="19"/>
    <x v="20"/>
    <x v="20"/>
    <x v="20"/>
    <x v="20"/>
    <x v="0"/>
    <x v="0"/>
    <x v="0"/>
  </r>
  <r>
    <x v="21"/>
    <x v="21"/>
    <x v="5"/>
    <x v="4"/>
    <x v="20"/>
    <x v="21"/>
    <x v="21"/>
    <x v="21"/>
    <x v="21"/>
    <x v="0"/>
    <x v="0"/>
    <x v="0"/>
  </r>
  <r>
    <x v="22"/>
    <x v="22"/>
    <x v="6"/>
    <x v="4"/>
    <x v="21"/>
    <x v="22"/>
    <x v="22"/>
    <x v="22"/>
    <x v="22"/>
    <x v="1"/>
    <x v="1"/>
    <x v="0"/>
  </r>
  <r>
    <x v="23"/>
    <x v="23"/>
    <x v="5"/>
    <x v="4"/>
    <x v="22"/>
    <x v="23"/>
    <x v="23"/>
    <x v="23"/>
    <x v="23"/>
    <x v="0"/>
    <x v="0"/>
    <x v="0"/>
  </r>
  <r>
    <x v="24"/>
    <x v="24"/>
    <x v="7"/>
    <x v="4"/>
    <x v="23"/>
    <x v="24"/>
    <x v="24"/>
    <x v="24"/>
    <x v="24"/>
    <x v="0"/>
    <x v="0"/>
    <x v="0"/>
  </r>
  <r>
    <x v="25"/>
    <x v="25"/>
    <x v="5"/>
    <x v="4"/>
    <x v="24"/>
    <x v="25"/>
    <x v="25"/>
    <x v="25"/>
    <x v="25"/>
    <x v="0"/>
    <x v="0"/>
    <x v="0"/>
  </r>
  <r>
    <x v="26"/>
    <x v="26"/>
    <x v="8"/>
    <x v="4"/>
    <x v="25"/>
    <x v="26"/>
    <x v="26"/>
    <x v="26"/>
    <x v="26"/>
    <x v="0"/>
    <x v="0"/>
    <x v="0"/>
  </r>
  <r>
    <x v="27"/>
    <x v="27"/>
    <x v="5"/>
    <x v="4"/>
    <x v="26"/>
    <x v="27"/>
    <x v="27"/>
    <x v="27"/>
    <x v="27"/>
    <x v="0"/>
    <x v="0"/>
    <x v="0"/>
  </r>
  <r>
    <x v="28"/>
    <x v="28"/>
    <x v="9"/>
    <x v="5"/>
    <x v="27"/>
    <x v="28"/>
    <x v="28"/>
    <x v="28"/>
    <x v="28"/>
    <x v="0"/>
    <x v="0"/>
    <x v="0"/>
  </r>
  <r>
    <x v="29"/>
    <x v="29"/>
    <x v="10"/>
    <x v="5"/>
    <x v="28"/>
    <x v="29"/>
    <x v="29"/>
    <x v="29"/>
    <x v="29"/>
    <x v="0"/>
    <x v="0"/>
    <x v="0"/>
  </r>
  <r>
    <x v="30"/>
    <x v="30"/>
    <x v="9"/>
    <x v="5"/>
    <x v="29"/>
    <x v="30"/>
    <x v="30"/>
    <x v="30"/>
    <x v="30"/>
    <x v="0"/>
    <x v="0"/>
    <x v="0"/>
  </r>
  <r>
    <x v="31"/>
    <x v="31"/>
    <x v="11"/>
    <x v="6"/>
    <x v="30"/>
    <x v="31"/>
    <x v="31"/>
    <x v="31"/>
    <x v="31"/>
    <x v="0"/>
    <x v="0"/>
    <x v="0"/>
  </r>
  <r>
    <x v="32"/>
    <x v="32"/>
    <x v="11"/>
    <x v="6"/>
    <x v="31"/>
    <x v="32"/>
    <x v="32"/>
    <x v="32"/>
    <x v="32"/>
    <x v="1"/>
    <x v="1"/>
    <x v="0"/>
  </r>
  <r>
    <x v="33"/>
    <x v="33"/>
    <x v="11"/>
    <x v="6"/>
    <x v="32"/>
    <x v="33"/>
    <x v="33"/>
    <x v="33"/>
    <x v="33"/>
    <x v="1"/>
    <x v="1"/>
    <x v="0"/>
  </r>
  <r>
    <x v="34"/>
    <x v="34"/>
    <x v="11"/>
    <x v="6"/>
    <x v="33"/>
    <x v="34"/>
    <x v="34"/>
    <x v="34"/>
    <x v="34"/>
    <x v="0"/>
    <x v="0"/>
    <x v="0"/>
  </r>
  <r>
    <x v="35"/>
    <x v="35"/>
    <x v="11"/>
    <x v="6"/>
    <x v="34"/>
    <x v="35"/>
    <x v="35"/>
    <x v="35"/>
    <x v="35"/>
    <x v="0"/>
    <x v="0"/>
    <x v="0"/>
  </r>
  <r>
    <x v="36"/>
    <x v="36"/>
    <x v="11"/>
    <x v="6"/>
    <x v="35"/>
    <x v="36"/>
    <x v="36"/>
    <x v="36"/>
    <x v="36"/>
    <x v="1"/>
    <x v="1"/>
    <x v="0"/>
  </r>
  <r>
    <x v="37"/>
    <x v="37"/>
    <x v="12"/>
    <x v="6"/>
    <x v="36"/>
    <x v="37"/>
    <x v="37"/>
    <x v="37"/>
    <x v="37"/>
    <x v="0"/>
    <x v="0"/>
    <x v="0"/>
  </r>
  <r>
    <x v="38"/>
    <x v="38"/>
    <x v="13"/>
    <x v="6"/>
    <x v="37"/>
    <x v="38"/>
    <x v="38"/>
    <x v="38"/>
    <x v="38"/>
    <x v="0"/>
    <x v="0"/>
    <x v="0"/>
  </r>
  <r>
    <x v="39"/>
    <x v="39"/>
    <x v="14"/>
    <x v="6"/>
    <x v="38"/>
    <x v="39"/>
    <x v="39"/>
    <x v="39"/>
    <x v="39"/>
    <x v="0"/>
    <x v="0"/>
    <x v="0"/>
  </r>
  <r>
    <x v="40"/>
    <x v="40"/>
    <x v="9"/>
    <x v="7"/>
    <x v="39"/>
    <x v="40"/>
    <x v="40"/>
    <x v="40"/>
    <x v="40"/>
    <x v="0"/>
    <x v="0"/>
    <x v="0"/>
  </r>
  <r>
    <x v="41"/>
    <x v="41"/>
    <x v="15"/>
    <x v="7"/>
    <x v="40"/>
    <x v="41"/>
    <x v="41"/>
    <x v="41"/>
    <x v="41"/>
    <x v="0"/>
    <x v="0"/>
    <x v="0"/>
  </r>
  <r>
    <x v="42"/>
    <x v="42"/>
    <x v="15"/>
    <x v="7"/>
    <x v="41"/>
    <x v="42"/>
    <x v="42"/>
    <x v="42"/>
    <x v="42"/>
    <x v="1"/>
    <x v="1"/>
    <x v="0"/>
  </r>
  <r>
    <x v="43"/>
    <x v="43"/>
    <x v="15"/>
    <x v="7"/>
    <x v="42"/>
    <x v="43"/>
    <x v="43"/>
    <x v="43"/>
    <x v="43"/>
    <x v="0"/>
    <x v="0"/>
    <x v="0"/>
  </r>
  <r>
    <x v="44"/>
    <x v="44"/>
    <x v="15"/>
    <x v="7"/>
    <x v="43"/>
    <x v="44"/>
    <x v="44"/>
    <x v="44"/>
    <x v="44"/>
    <x v="0"/>
    <x v="0"/>
    <x v="0"/>
  </r>
  <r>
    <x v="45"/>
    <x v="45"/>
    <x v="15"/>
    <x v="7"/>
    <x v="44"/>
    <x v="45"/>
    <x v="45"/>
    <x v="45"/>
    <x v="45"/>
    <x v="0"/>
    <x v="0"/>
    <x v="0"/>
  </r>
  <r>
    <x v="46"/>
    <x v="46"/>
    <x v="15"/>
    <x v="7"/>
    <x v="45"/>
    <x v="46"/>
    <x v="46"/>
    <x v="46"/>
    <x v="46"/>
    <x v="1"/>
    <x v="1"/>
    <x v="0"/>
  </r>
  <r>
    <x v="47"/>
    <x v="47"/>
    <x v="15"/>
    <x v="7"/>
    <x v="46"/>
    <x v="47"/>
    <x v="47"/>
    <x v="47"/>
    <x v="47"/>
    <x v="0"/>
    <x v="0"/>
    <x v="0"/>
  </r>
  <r>
    <x v="48"/>
    <x v="48"/>
    <x v="15"/>
    <x v="7"/>
    <x v="47"/>
    <x v="48"/>
    <x v="48"/>
    <x v="48"/>
    <x v="48"/>
    <x v="1"/>
    <x v="1"/>
    <x v="0"/>
  </r>
  <r>
    <x v="49"/>
    <x v="49"/>
    <x v="15"/>
    <x v="7"/>
    <x v="48"/>
    <x v="49"/>
    <x v="49"/>
    <x v="49"/>
    <x v="49"/>
    <x v="1"/>
    <x v="1"/>
    <x v="0"/>
  </r>
  <r>
    <x v="50"/>
    <x v="50"/>
    <x v="9"/>
    <x v="8"/>
    <x v="49"/>
    <x v="50"/>
    <x v="50"/>
    <x v="50"/>
    <x v="50"/>
    <x v="0"/>
    <x v="0"/>
    <x v="0"/>
  </r>
  <r>
    <x v="51"/>
    <x v="51"/>
    <x v="16"/>
    <x v="8"/>
    <x v="50"/>
    <x v="51"/>
    <x v="51"/>
    <x v="51"/>
    <x v="51"/>
    <x v="0"/>
    <x v="0"/>
    <x v="0"/>
  </r>
  <r>
    <x v="52"/>
    <x v="52"/>
    <x v="16"/>
    <x v="8"/>
    <x v="51"/>
    <x v="52"/>
    <x v="52"/>
    <x v="52"/>
    <x v="52"/>
    <x v="0"/>
    <x v="0"/>
    <x v="0"/>
  </r>
  <r>
    <x v="53"/>
    <x v="53"/>
    <x v="17"/>
    <x v="8"/>
    <x v="52"/>
    <x v="53"/>
    <x v="53"/>
    <x v="53"/>
    <x v="53"/>
    <x v="0"/>
    <x v="0"/>
    <x v="0"/>
  </r>
  <r>
    <x v="54"/>
    <x v="54"/>
    <x v="17"/>
    <x v="8"/>
    <x v="53"/>
    <x v="54"/>
    <x v="54"/>
    <x v="54"/>
    <x v="54"/>
    <x v="0"/>
    <x v="0"/>
    <x v="0"/>
  </r>
  <r>
    <x v="55"/>
    <x v="55"/>
    <x v="16"/>
    <x v="8"/>
    <x v="54"/>
    <x v="55"/>
    <x v="55"/>
    <x v="55"/>
    <x v="55"/>
    <x v="0"/>
    <x v="0"/>
    <x v="0"/>
  </r>
  <r>
    <x v="56"/>
    <x v="56"/>
    <x v="18"/>
    <x v="9"/>
    <x v="55"/>
    <x v="56"/>
    <x v="56"/>
    <x v="56"/>
    <x v="56"/>
    <x v="0"/>
    <x v="0"/>
    <x v="0"/>
  </r>
  <r>
    <x v="57"/>
    <x v="57"/>
    <x v="18"/>
    <x v="9"/>
    <x v="56"/>
    <x v="57"/>
    <x v="57"/>
    <x v="57"/>
    <x v="57"/>
    <x v="0"/>
    <x v="0"/>
    <x v="0"/>
  </r>
  <r>
    <x v="58"/>
    <x v="58"/>
    <x v="18"/>
    <x v="9"/>
    <x v="57"/>
    <x v="58"/>
    <x v="58"/>
    <x v="58"/>
    <x v="58"/>
    <x v="0"/>
    <x v="0"/>
    <x v="0"/>
  </r>
  <r>
    <x v="59"/>
    <x v="59"/>
    <x v="18"/>
    <x v="9"/>
    <x v="58"/>
    <x v="59"/>
    <x v="59"/>
    <x v="59"/>
    <x v="59"/>
    <x v="1"/>
    <x v="1"/>
    <x v="0"/>
  </r>
  <r>
    <x v="60"/>
    <x v="60"/>
    <x v="18"/>
    <x v="9"/>
    <x v="59"/>
    <x v="60"/>
    <x v="60"/>
    <x v="60"/>
    <x v="60"/>
    <x v="1"/>
    <x v="1"/>
    <x v="0"/>
  </r>
  <r>
    <x v="61"/>
    <x v="61"/>
    <x v="18"/>
    <x v="9"/>
    <x v="60"/>
    <x v="61"/>
    <x v="61"/>
    <x v="61"/>
    <x v="61"/>
    <x v="0"/>
    <x v="0"/>
    <x v="0"/>
  </r>
  <r>
    <x v="62"/>
    <x v="62"/>
    <x v="19"/>
    <x v="10"/>
    <x v="61"/>
    <x v="62"/>
    <x v="62"/>
    <x v="62"/>
    <x v="62"/>
    <x v="1"/>
    <x v="1"/>
    <x v="0"/>
  </r>
  <r>
    <x v="63"/>
    <x v="63"/>
    <x v="19"/>
    <x v="10"/>
    <x v="62"/>
    <x v="63"/>
    <x v="63"/>
    <x v="63"/>
    <x v="63"/>
    <x v="1"/>
    <x v="1"/>
    <x v="0"/>
  </r>
  <r>
    <x v="64"/>
    <x v="64"/>
    <x v="19"/>
    <x v="10"/>
    <x v="63"/>
    <x v="64"/>
    <x v="64"/>
    <x v="64"/>
    <x v="64"/>
    <x v="1"/>
    <x v="1"/>
    <x v="0"/>
  </r>
  <r>
    <x v="65"/>
    <x v="65"/>
    <x v="3"/>
    <x v="3"/>
    <x v="64"/>
    <x v="65"/>
    <x v="65"/>
    <x v="65"/>
    <x v="65"/>
    <x v="0"/>
    <x v="0"/>
    <x v="0"/>
  </r>
  <r>
    <x v="66"/>
    <x v="66"/>
    <x v="3"/>
    <x v="3"/>
    <x v="65"/>
    <x v="66"/>
    <x v="66"/>
    <x v="66"/>
    <x v="66"/>
    <x v="0"/>
    <x v="0"/>
    <x v="0"/>
  </r>
  <r>
    <x v="67"/>
    <x v="67"/>
    <x v="3"/>
    <x v="3"/>
    <x v="66"/>
    <x v="67"/>
    <x v="67"/>
    <x v="67"/>
    <x v="67"/>
    <x v="0"/>
    <x v="0"/>
    <x v="0"/>
  </r>
  <r>
    <x v="68"/>
    <x v="68"/>
    <x v="20"/>
    <x v="3"/>
    <x v="67"/>
    <x v="68"/>
    <x v="68"/>
    <x v="68"/>
    <x v="68"/>
    <x v="1"/>
    <x v="1"/>
    <x v="0"/>
  </r>
  <r>
    <x v="69"/>
    <x v="69"/>
    <x v="3"/>
    <x v="3"/>
    <x v="68"/>
    <x v="69"/>
    <x v="69"/>
    <x v="69"/>
    <x v="69"/>
    <x v="0"/>
    <x v="0"/>
    <x v="0"/>
  </r>
  <r>
    <x v="70"/>
    <x v="70"/>
    <x v="3"/>
    <x v="3"/>
    <x v="69"/>
    <x v="70"/>
    <x v="70"/>
    <x v="70"/>
    <x v="70"/>
    <x v="0"/>
    <x v="0"/>
    <x v="0"/>
  </r>
  <r>
    <x v="71"/>
    <x v="71"/>
    <x v="3"/>
    <x v="3"/>
    <x v="70"/>
    <x v="71"/>
    <x v="71"/>
    <x v="71"/>
    <x v="71"/>
    <x v="0"/>
    <x v="0"/>
    <x v="0"/>
  </r>
  <r>
    <x v="72"/>
    <x v="72"/>
    <x v="3"/>
    <x v="3"/>
    <x v="71"/>
    <x v="72"/>
    <x v="72"/>
    <x v="72"/>
    <x v="72"/>
    <x v="0"/>
    <x v="0"/>
    <x v="0"/>
  </r>
  <r>
    <x v="73"/>
    <x v="73"/>
    <x v="21"/>
    <x v="3"/>
    <x v="72"/>
    <x v="73"/>
    <x v="73"/>
    <x v="73"/>
    <x v="73"/>
    <x v="0"/>
    <x v="0"/>
    <x v="0"/>
  </r>
  <r>
    <x v="74"/>
    <x v="74"/>
    <x v="21"/>
    <x v="3"/>
    <x v="73"/>
    <x v="74"/>
    <x v="74"/>
    <x v="74"/>
    <x v="74"/>
    <x v="0"/>
    <x v="0"/>
    <x v="0"/>
  </r>
  <r>
    <x v="75"/>
    <x v="75"/>
    <x v="3"/>
    <x v="3"/>
    <x v="74"/>
    <x v="75"/>
    <x v="75"/>
    <x v="75"/>
    <x v="75"/>
    <x v="0"/>
    <x v="0"/>
    <x v="0"/>
  </r>
  <r>
    <x v="76"/>
    <x v="76"/>
    <x v="3"/>
    <x v="3"/>
    <x v="75"/>
    <x v="76"/>
    <x v="76"/>
    <x v="76"/>
    <x v="76"/>
    <x v="0"/>
    <x v="0"/>
    <x v="0"/>
  </r>
  <r>
    <x v="77"/>
    <x v="77"/>
    <x v="3"/>
    <x v="3"/>
    <x v="76"/>
    <x v="77"/>
    <x v="77"/>
    <x v="77"/>
    <x v="77"/>
    <x v="0"/>
    <x v="0"/>
    <x v="0"/>
  </r>
  <r>
    <x v="78"/>
    <x v="78"/>
    <x v="9"/>
    <x v="11"/>
    <x v="77"/>
    <x v="78"/>
    <x v="78"/>
    <x v="78"/>
    <x v="78"/>
    <x v="1"/>
    <x v="1"/>
    <x v="0"/>
  </r>
  <r>
    <x v="79"/>
    <x v="79"/>
    <x v="3"/>
    <x v="3"/>
    <x v="78"/>
    <x v="79"/>
    <x v="79"/>
    <x v="79"/>
    <x v="79"/>
    <x v="1"/>
    <x v="1"/>
    <x v="0"/>
  </r>
  <r>
    <x v="80"/>
    <x v="80"/>
    <x v="3"/>
    <x v="3"/>
    <x v="79"/>
    <x v="80"/>
    <x v="80"/>
    <x v="80"/>
    <x v="80"/>
    <x v="1"/>
    <x v="1"/>
    <x v="0"/>
  </r>
  <r>
    <x v="81"/>
    <x v="81"/>
    <x v="22"/>
    <x v="12"/>
    <x v="80"/>
    <x v="81"/>
    <x v="81"/>
    <x v="81"/>
    <x v="81"/>
    <x v="0"/>
    <x v="0"/>
    <x v="0"/>
  </r>
  <r>
    <x v="82"/>
    <x v="82"/>
    <x v="23"/>
    <x v="12"/>
    <x v="81"/>
    <x v="82"/>
    <x v="82"/>
    <x v="82"/>
    <x v="82"/>
    <x v="1"/>
    <x v="1"/>
    <x v="0"/>
  </r>
  <r>
    <x v="83"/>
    <x v="83"/>
    <x v="23"/>
    <x v="12"/>
    <x v="82"/>
    <x v="83"/>
    <x v="83"/>
    <x v="83"/>
    <x v="83"/>
    <x v="1"/>
    <x v="1"/>
    <x v="0"/>
  </r>
  <r>
    <x v="84"/>
    <x v="84"/>
    <x v="23"/>
    <x v="12"/>
    <x v="83"/>
    <x v="84"/>
    <x v="84"/>
    <x v="84"/>
    <x v="84"/>
    <x v="0"/>
    <x v="0"/>
    <x v="0"/>
  </r>
  <r>
    <x v="85"/>
    <x v="85"/>
    <x v="23"/>
    <x v="12"/>
    <x v="84"/>
    <x v="85"/>
    <x v="85"/>
    <x v="85"/>
    <x v="85"/>
    <x v="1"/>
    <x v="1"/>
    <x v="0"/>
  </r>
  <r>
    <x v="86"/>
    <x v="86"/>
    <x v="24"/>
    <x v="12"/>
    <x v="85"/>
    <x v="86"/>
    <x v="86"/>
    <x v="86"/>
    <x v="86"/>
    <x v="0"/>
    <x v="0"/>
    <x v="0"/>
  </r>
  <r>
    <x v="87"/>
    <x v="87"/>
    <x v="25"/>
    <x v="12"/>
    <x v="86"/>
    <x v="87"/>
    <x v="87"/>
    <x v="87"/>
    <x v="87"/>
    <x v="0"/>
    <x v="0"/>
    <x v="0"/>
  </r>
  <r>
    <x v="88"/>
    <x v="88"/>
    <x v="23"/>
    <x v="12"/>
    <x v="87"/>
    <x v="88"/>
    <x v="88"/>
    <x v="88"/>
    <x v="88"/>
    <x v="0"/>
    <x v="0"/>
    <x v="0"/>
  </r>
  <r>
    <x v="89"/>
    <x v="89"/>
    <x v="23"/>
    <x v="12"/>
    <x v="88"/>
    <x v="89"/>
    <x v="89"/>
    <x v="89"/>
    <x v="89"/>
    <x v="0"/>
    <x v="0"/>
    <x v="0"/>
  </r>
  <r>
    <x v="90"/>
    <x v="90"/>
    <x v="23"/>
    <x v="12"/>
    <x v="89"/>
    <x v="90"/>
    <x v="90"/>
    <x v="90"/>
    <x v="90"/>
    <x v="0"/>
    <x v="0"/>
    <x v="0"/>
  </r>
  <r>
    <x v="91"/>
    <x v="91"/>
    <x v="23"/>
    <x v="12"/>
    <x v="90"/>
    <x v="91"/>
    <x v="91"/>
    <x v="91"/>
    <x v="91"/>
    <x v="0"/>
    <x v="0"/>
    <x v="0"/>
  </r>
  <r>
    <x v="92"/>
    <x v="92"/>
    <x v="22"/>
    <x v="12"/>
    <x v="91"/>
    <x v="92"/>
    <x v="92"/>
    <x v="92"/>
    <x v="92"/>
    <x v="1"/>
    <x v="1"/>
    <x v="0"/>
  </r>
  <r>
    <x v="93"/>
    <x v="93"/>
    <x v="26"/>
    <x v="12"/>
    <x v="92"/>
    <x v="93"/>
    <x v="93"/>
    <x v="93"/>
    <x v="93"/>
    <x v="0"/>
    <x v="0"/>
    <x v="0"/>
  </r>
  <r>
    <x v="94"/>
    <x v="94"/>
    <x v="27"/>
    <x v="12"/>
    <x v="93"/>
    <x v="94"/>
    <x v="94"/>
    <x v="94"/>
    <x v="94"/>
    <x v="0"/>
    <x v="0"/>
    <x v="0"/>
  </r>
  <r>
    <x v="95"/>
    <x v="95"/>
    <x v="26"/>
    <x v="12"/>
    <x v="94"/>
    <x v="95"/>
    <x v="95"/>
    <x v="95"/>
    <x v="95"/>
    <x v="0"/>
    <x v="0"/>
    <x v="0"/>
  </r>
  <r>
    <x v="96"/>
    <x v="96"/>
    <x v="22"/>
    <x v="12"/>
    <x v="95"/>
    <x v="96"/>
    <x v="96"/>
    <x v="96"/>
    <x v="96"/>
    <x v="0"/>
    <x v="0"/>
    <x v="0"/>
  </r>
  <r>
    <x v="97"/>
    <x v="97"/>
    <x v="9"/>
    <x v="11"/>
    <x v="96"/>
    <x v="97"/>
    <x v="97"/>
    <x v="97"/>
    <x v="97"/>
    <x v="0"/>
    <x v="0"/>
    <x v="0"/>
  </r>
  <r>
    <x v="98"/>
    <x v="98"/>
    <x v="22"/>
    <x v="12"/>
    <x v="97"/>
    <x v="98"/>
    <x v="98"/>
    <x v="98"/>
    <x v="98"/>
    <x v="0"/>
    <x v="0"/>
    <x v="0"/>
  </r>
  <r>
    <x v="99"/>
    <x v="99"/>
    <x v="22"/>
    <x v="12"/>
    <x v="98"/>
    <x v="99"/>
    <x v="99"/>
    <x v="99"/>
    <x v="99"/>
    <x v="0"/>
    <x v="0"/>
    <x v="0"/>
  </r>
  <r>
    <x v="100"/>
    <x v="100"/>
    <x v="28"/>
    <x v="12"/>
    <x v="99"/>
    <x v="100"/>
    <x v="100"/>
    <x v="100"/>
    <x v="100"/>
    <x v="1"/>
    <x v="0"/>
    <x v="0"/>
  </r>
  <r>
    <x v="101"/>
    <x v="101"/>
    <x v="29"/>
    <x v="13"/>
    <x v="100"/>
    <x v="101"/>
    <x v="101"/>
    <x v="101"/>
    <x v="101"/>
    <x v="1"/>
    <x v="0"/>
    <x v="0"/>
  </r>
  <r>
    <x v="102"/>
    <x v="102"/>
    <x v="29"/>
    <x v="13"/>
    <x v="101"/>
    <x v="102"/>
    <x v="102"/>
    <x v="102"/>
    <x v="102"/>
    <x v="1"/>
    <x v="0"/>
    <x v="0"/>
  </r>
  <r>
    <x v="103"/>
    <x v="103"/>
    <x v="30"/>
    <x v="13"/>
    <x v="102"/>
    <x v="103"/>
    <x v="103"/>
    <x v="103"/>
    <x v="103"/>
    <x v="1"/>
    <x v="0"/>
    <x v="0"/>
  </r>
  <r>
    <x v="104"/>
    <x v="104"/>
    <x v="30"/>
    <x v="13"/>
    <x v="103"/>
    <x v="104"/>
    <x v="104"/>
    <x v="104"/>
    <x v="104"/>
    <x v="1"/>
    <x v="0"/>
    <x v="0"/>
  </r>
  <r>
    <x v="105"/>
    <x v="105"/>
    <x v="29"/>
    <x v="13"/>
    <x v="104"/>
    <x v="105"/>
    <x v="105"/>
    <x v="105"/>
    <x v="105"/>
    <x v="1"/>
    <x v="0"/>
    <x v="0"/>
  </r>
  <r>
    <x v="106"/>
    <x v="106"/>
    <x v="29"/>
    <x v="13"/>
    <x v="105"/>
    <x v="106"/>
    <x v="106"/>
    <x v="106"/>
    <x v="106"/>
    <x v="1"/>
    <x v="0"/>
    <x v="0"/>
  </r>
  <r>
    <x v="107"/>
    <x v="107"/>
    <x v="29"/>
    <x v="13"/>
    <x v="106"/>
    <x v="107"/>
    <x v="107"/>
    <x v="107"/>
    <x v="107"/>
    <x v="1"/>
    <x v="0"/>
    <x v="0"/>
  </r>
  <r>
    <x v="108"/>
    <x v="108"/>
    <x v="29"/>
    <x v="13"/>
    <x v="107"/>
    <x v="108"/>
    <x v="108"/>
    <x v="108"/>
    <x v="108"/>
    <x v="1"/>
    <x v="0"/>
    <x v="0"/>
  </r>
  <r>
    <x v="109"/>
    <x v="109"/>
    <x v="29"/>
    <x v="13"/>
    <x v="108"/>
    <x v="109"/>
    <x v="109"/>
    <x v="109"/>
    <x v="109"/>
    <x v="1"/>
    <x v="0"/>
    <x v="0"/>
  </r>
  <r>
    <x v="110"/>
    <x v="110"/>
    <x v="29"/>
    <x v="13"/>
    <x v="109"/>
    <x v="110"/>
    <x v="110"/>
    <x v="110"/>
    <x v="110"/>
    <x v="1"/>
    <x v="0"/>
    <x v="0"/>
  </r>
  <r>
    <x v="111"/>
    <x v="111"/>
    <x v="29"/>
    <x v="13"/>
    <x v="110"/>
    <x v="111"/>
    <x v="111"/>
    <x v="111"/>
    <x v="111"/>
    <x v="1"/>
    <x v="0"/>
    <x v="0"/>
  </r>
  <r>
    <x v="112"/>
    <x v="112"/>
    <x v="29"/>
    <x v="13"/>
    <x v="111"/>
    <x v="112"/>
    <x v="112"/>
    <x v="112"/>
    <x v="112"/>
    <x v="1"/>
    <x v="0"/>
    <x v="0"/>
  </r>
  <r>
    <x v="113"/>
    <x v="113"/>
    <x v="29"/>
    <x v="13"/>
    <x v="112"/>
    <x v="113"/>
    <x v="113"/>
    <x v="113"/>
    <x v="113"/>
    <x v="1"/>
    <x v="0"/>
    <x v="0"/>
  </r>
  <r>
    <x v="114"/>
    <x v="114"/>
    <x v="29"/>
    <x v="13"/>
    <x v="113"/>
    <x v="114"/>
    <x v="114"/>
    <x v="114"/>
    <x v="114"/>
    <x v="1"/>
    <x v="0"/>
    <x v="0"/>
  </r>
  <r>
    <x v="115"/>
    <x v="115"/>
    <x v="31"/>
    <x v="14"/>
    <x v="114"/>
    <x v="115"/>
    <x v="115"/>
    <x v="115"/>
    <x v="115"/>
    <x v="1"/>
    <x v="0"/>
    <x v="0"/>
  </r>
  <r>
    <x v="116"/>
    <x v="116"/>
    <x v="32"/>
    <x v="14"/>
    <x v="115"/>
    <x v="116"/>
    <x v="116"/>
    <x v="116"/>
    <x v="116"/>
    <x v="1"/>
    <x v="0"/>
    <x v="0"/>
  </r>
  <r>
    <x v="117"/>
    <x v="117"/>
    <x v="32"/>
    <x v="14"/>
    <x v="116"/>
    <x v="117"/>
    <x v="117"/>
    <x v="117"/>
    <x v="117"/>
    <x v="1"/>
    <x v="0"/>
    <x v="0"/>
  </r>
  <r>
    <x v="118"/>
    <x v="118"/>
    <x v="32"/>
    <x v="14"/>
    <x v="117"/>
    <x v="118"/>
    <x v="118"/>
    <x v="118"/>
    <x v="118"/>
    <x v="1"/>
    <x v="0"/>
    <x v="0"/>
  </r>
  <r>
    <x v="119"/>
    <x v="119"/>
    <x v="32"/>
    <x v="14"/>
    <x v="118"/>
    <x v="119"/>
    <x v="119"/>
    <x v="119"/>
    <x v="119"/>
    <x v="1"/>
    <x v="0"/>
    <x v="0"/>
  </r>
  <r>
    <x v="120"/>
    <x v="120"/>
    <x v="32"/>
    <x v="14"/>
    <x v="119"/>
    <x v="120"/>
    <x v="120"/>
    <x v="120"/>
    <x v="120"/>
    <x v="1"/>
    <x v="0"/>
    <x v="0"/>
  </r>
  <r>
    <x v="121"/>
    <x v="56"/>
    <x v="33"/>
    <x v="15"/>
    <x v="55"/>
    <x v="121"/>
    <x v="56"/>
    <x v="56"/>
    <x v="56"/>
    <x v="1"/>
    <x v="0"/>
    <x v="0"/>
  </r>
  <r>
    <x v="122"/>
    <x v="121"/>
    <x v="33"/>
    <x v="15"/>
    <x v="120"/>
    <x v="122"/>
    <x v="121"/>
    <x v="121"/>
    <x v="121"/>
    <x v="1"/>
    <x v="0"/>
    <x v="0"/>
  </r>
  <r>
    <x v="123"/>
    <x v="122"/>
    <x v="33"/>
    <x v="15"/>
    <x v="121"/>
    <x v="123"/>
    <x v="122"/>
    <x v="122"/>
    <x v="122"/>
    <x v="1"/>
    <x v="0"/>
    <x v="0"/>
  </r>
  <r>
    <x v="124"/>
    <x v="123"/>
    <x v="34"/>
    <x v="16"/>
    <x v="122"/>
    <x v="124"/>
    <x v="123"/>
    <x v="123"/>
    <x v="123"/>
    <x v="1"/>
    <x v="0"/>
    <x v="0"/>
  </r>
  <r>
    <x v="125"/>
    <x v="124"/>
    <x v="34"/>
    <x v="16"/>
    <x v="123"/>
    <x v="125"/>
    <x v="124"/>
    <x v="124"/>
    <x v="124"/>
    <x v="1"/>
    <x v="0"/>
    <x v="0"/>
  </r>
  <r>
    <x v="126"/>
    <x v="125"/>
    <x v="35"/>
    <x v="16"/>
    <x v="124"/>
    <x v="126"/>
    <x v="125"/>
    <x v="125"/>
    <x v="125"/>
    <x v="1"/>
    <x v="0"/>
    <x v="0"/>
  </r>
  <r>
    <x v="127"/>
    <x v="126"/>
    <x v="35"/>
    <x v="16"/>
    <x v="125"/>
    <x v="127"/>
    <x v="126"/>
    <x v="126"/>
    <x v="126"/>
    <x v="1"/>
    <x v="0"/>
    <x v="0"/>
  </r>
  <r>
    <x v="128"/>
    <x v="127"/>
    <x v="34"/>
    <x v="16"/>
    <x v="126"/>
    <x v="128"/>
    <x v="127"/>
    <x v="127"/>
    <x v="127"/>
    <x v="1"/>
    <x v="0"/>
    <x v="0"/>
  </r>
  <r>
    <x v="129"/>
    <x v="128"/>
    <x v="36"/>
    <x v="16"/>
    <x v="127"/>
    <x v="129"/>
    <x v="128"/>
    <x v="128"/>
    <x v="128"/>
    <x v="1"/>
    <x v="0"/>
    <x v="0"/>
  </r>
  <r>
    <x v="130"/>
    <x v="129"/>
    <x v="37"/>
    <x v="17"/>
    <x v="128"/>
    <x v="130"/>
    <x v="129"/>
    <x v="129"/>
    <x v="129"/>
    <x v="1"/>
    <x v="0"/>
    <x v="0"/>
  </r>
  <r>
    <x v="131"/>
    <x v="130"/>
    <x v="37"/>
    <x v="17"/>
    <x v="129"/>
    <x v="131"/>
    <x v="130"/>
    <x v="130"/>
    <x v="130"/>
    <x v="1"/>
    <x v="0"/>
    <x v="0"/>
  </r>
  <r>
    <x v="132"/>
    <x v="131"/>
    <x v="38"/>
    <x v="17"/>
    <x v="130"/>
    <x v="132"/>
    <x v="131"/>
    <x v="131"/>
    <x v="131"/>
    <x v="1"/>
    <x v="0"/>
    <x v="0"/>
  </r>
  <r>
    <x v="133"/>
    <x v="132"/>
    <x v="37"/>
    <x v="17"/>
    <x v="131"/>
    <x v="133"/>
    <x v="132"/>
    <x v="132"/>
    <x v="132"/>
    <x v="1"/>
    <x v="0"/>
    <x v="0"/>
  </r>
  <r>
    <x v="134"/>
    <x v="133"/>
    <x v="37"/>
    <x v="17"/>
    <x v="132"/>
    <x v="134"/>
    <x v="133"/>
    <x v="133"/>
    <x v="133"/>
    <x v="1"/>
    <x v="0"/>
    <x v="0"/>
  </r>
  <r>
    <x v="135"/>
    <x v="134"/>
    <x v="37"/>
    <x v="17"/>
    <x v="133"/>
    <x v="135"/>
    <x v="134"/>
    <x v="134"/>
    <x v="134"/>
    <x v="1"/>
    <x v="0"/>
    <x v="0"/>
  </r>
  <r>
    <x v="136"/>
    <x v="135"/>
    <x v="37"/>
    <x v="17"/>
    <x v="134"/>
    <x v="136"/>
    <x v="135"/>
    <x v="135"/>
    <x v="135"/>
    <x v="1"/>
    <x v="0"/>
    <x v="0"/>
  </r>
  <r>
    <x v="137"/>
    <x v="136"/>
    <x v="39"/>
    <x v="18"/>
    <x v="135"/>
    <x v="137"/>
    <x v="136"/>
    <x v="136"/>
    <x v="136"/>
    <x v="1"/>
    <x v="0"/>
    <x v="0"/>
  </r>
  <r>
    <x v="138"/>
    <x v="137"/>
    <x v="39"/>
    <x v="18"/>
    <x v="136"/>
    <x v="138"/>
    <x v="137"/>
    <x v="137"/>
    <x v="137"/>
    <x v="1"/>
    <x v="0"/>
    <x v="0"/>
  </r>
  <r>
    <x v="139"/>
    <x v="138"/>
    <x v="39"/>
    <x v="18"/>
    <x v="137"/>
    <x v="139"/>
    <x v="138"/>
    <x v="138"/>
    <x v="138"/>
    <x v="1"/>
    <x v="0"/>
    <x v="0"/>
  </r>
  <r>
    <x v="140"/>
    <x v="139"/>
    <x v="39"/>
    <x v="18"/>
    <x v="138"/>
    <x v="140"/>
    <x v="139"/>
    <x v="139"/>
    <x v="139"/>
    <x v="1"/>
    <x v="0"/>
    <x v="0"/>
  </r>
  <r>
    <x v="141"/>
    <x v="140"/>
    <x v="39"/>
    <x v="18"/>
    <x v="139"/>
    <x v="141"/>
    <x v="140"/>
    <x v="140"/>
    <x v="140"/>
    <x v="1"/>
    <x v="0"/>
    <x v="0"/>
  </r>
  <r>
    <x v="142"/>
    <x v="141"/>
    <x v="39"/>
    <x v="18"/>
    <x v="140"/>
    <x v="142"/>
    <x v="141"/>
    <x v="141"/>
    <x v="141"/>
    <x v="1"/>
    <x v="0"/>
    <x v="0"/>
  </r>
  <r>
    <x v="143"/>
    <x v="142"/>
    <x v="40"/>
    <x v="18"/>
    <x v="141"/>
    <x v="143"/>
    <x v="142"/>
    <x v="142"/>
    <x v="142"/>
    <x v="1"/>
    <x v="0"/>
    <x v="0"/>
  </r>
  <r>
    <x v="144"/>
    <x v="143"/>
    <x v="39"/>
    <x v="18"/>
    <x v="142"/>
    <x v="144"/>
    <x v="143"/>
    <x v="143"/>
    <x v="143"/>
    <x v="1"/>
    <x v="0"/>
    <x v="0"/>
  </r>
  <r>
    <x v="145"/>
    <x v="144"/>
    <x v="41"/>
    <x v="18"/>
    <x v="143"/>
    <x v="145"/>
    <x v="144"/>
    <x v="144"/>
    <x v="144"/>
    <x v="1"/>
    <x v="0"/>
    <x v="0"/>
  </r>
  <r>
    <x v="146"/>
    <x v="145"/>
    <x v="39"/>
    <x v="18"/>
    <x v="144"/>
    <x v="146"/>
    <x v="145"/>
    <x v="145"/>
    <x v="145"/>
    <x v="1"/>
    <x v="0"/>
    <x v="0"/>
  </r>
  <r>
    <x v="147"/>
    <x v="146"/>
    <x v="39"/>
    <x v="18"/>
    <x v="145"/>
    <x v="147"/>
    <x v="146"/>
    <x v="146"/>
    <x v="146"/>
    <x v="1"/>
    <x v="0"/>
    <x v="0"/>
  </r>
  <r>
    <x v="148"/>
    <x v="147"/>
    <x v="39"/>
    <x v="18"/>
    <x v="146"/>
    <x v="148"/>
    <x v="147"/>
    <x v="147"/>
    <x v="147"/>
    <x v="1"/>
    <x v="0"/>
    <x v="0"/>
  </r>
  <r>
    <x v="149"/>
    <x v="148"/>
    <x v="39"/>
    <x v="18"/>
    <x v="147"/>
    <x v="149"/>
    <x v="148"/>
    <x v="148"/>
    <x v="148"/>
    <x v="1"/>
    <x v="0"/>
    <x v="0"/>
  </r>
  <r>
    <x v="150"/>
    <x v="149"/>
    <x v="42"/>
    <x v="18"/>
    <x v="148"/>
    <x v="150"/>
    <x v="149"/>
    <x v="149"/>
    <x v="149"/>
    <x v="1"/>
    <x v="0"/>
    <x v="0"/>
  </r>
  <r>
    <x v="151"/>
    <x v="150"/>
    <x v="43"/>
    <x v="19"/>
    <x v="149"/>
    <x v="151"/>
    <x v="150"/>
    <x v="150"/>
    <x v="150"/>
    <x v="1"/>
    <x v="0"/>
    <x v="0"/>
  </r>
  <r>
    <x v="152"/>
    <x v="151"/>
    <x v="43"/>
    <x v="19"/>
    <x v="150"/>
    <x v="152"/>
    <x v="151"/>
    <x v="151"/>
    <x v="151"/>
    <x v="1"/>
    <x v="0"/>
    <x v="0"/>
  </r>
  <r>
    <x v="153"/>
    <x v="152"/>
    <x v="44"/>
    <x v="19"/>
    <x v="151"/>
    <x v="153"/>
    <x v="152"/>
    <x v="152"/>
    <x v="152"/>
    <x v="1"/>
    <x v="0"/>
    <x v="0"/>
  </r>
  <r>
    <x v="154"/>
    <x v="153"/>
    <x v="43"/>
    <x v="19"/>
    <x v="152"/>
    <x v="154"/>
    <x v="153"/>
    <x v="153"/>
    <x v="153"/>
    <x v="1"/>
    <x v="0"/>
    <x v="0"/>
  </r>
  <r>
    <x v="155"/>
    <x v="154"/>
    <x v="43"/>
    <x v="19"/>
    <x v="153"/>
    <x v="155"/>
    <x v="154"/>
    <x v="154"/>
    <x v="154"/>
    <x v="1"/>
    <x v="0"/>
    <x v="0"/>
  </r>
  <r>
    <x v="156"/>
    <x v="155"/>
    <x v="43"/>
    <x v="19"/>
    <x v="154"/>
    <x v="156"/>
    <x v="155"/>
    <x v="155"/>
    <x v="155"/>
    <x v="1"/>
    <x v="0"/>
    <x v="0"/>
  </r>
  <r>
    <x v="157"/>
    <x v="156"/>
    <x v="45"/>
    <x v="19"/>
    <x v="155"/>
    <x v="157"/>
    <x v="156"/>
    <x v="156"/>
    <x v="156"/>
    <x v="1"/>
    <x v="0"/>
    <x v="0"/>
  </r>
  <r>
    <x v="158"/>
    <x v="157"/>
    <x v="46"/>
    <x v="19"/>
    <x v="156"/>
    <x v="158"/>
    <x v="157"/>
    <x v="157"/>
    <x v="157"/>
    <x v="1"/>
    <x v="0"/>
    <x v="0"/>
  </r>
  <r>
    <x v="159"/>
    <x v="158"/>
    <x v="43"/>
    <x v="19"/>
    <x v="157"/>
    <x v="159"/>
    <x v="158"/>
    <x v="158"/>
    <x v="158"/>
    <x v="1"/>
    <x v="0"/>
    <x v="0"/>
  </r>
  <r>
    <x v="160"/>
    <x v="159"/>
    <x v="43"/>
    <x v="19"/>
    <x v="158"/>
    <x v="160"/>
    <x v="159"/>
    <x v="159"/>
    <x v="159"/>
    <x v="1"/>
    <x v="0"/>
    <x v="0"/>
  </r>
  <r>
    <x v="161"/>
    <x v="160"/>
    <x v="47"/>
    <x v="19"/>
    <x v="159"/>
    <x v="161"/>
    <x v="160"/>
    <x v="160"/>
    <x v="160"/>
    <x v="1"/>
    <x v="0"/>
    <x v="0"/>
  </r>
  <r>
    <x v="162"/>
    <x v="161"/>
    <x v="47"/>
    <x v="19"/>
    <x v="160"/>
    <x v="162"/>
    <x v="161"/>
    <x v="161"/>
    <x v="161"/>
    <x v="1"/>
    <x v="0"/>
    <x v="0"/>
  </r>
  <r>
    <x v="163"/>
    <x v="162"/>
    <x v="43"/>
    <x v="19"/>
    <x v="161"/>
    <x v="163"/>
    <x v="162"/>
    <x v="162"/>
    <x v="162"/>
    <x v="1"/>
    <x v="0"/>
    <x v="0"/>
  </r>
  <r>
    <x v="164"/>
    <x v="163"/>
    <x v="43"/>
    <x v="19"/>
    <x v="162"/>
    <x v="164"/>
    <x v="163"/>
    <x v="163"/>
    <x v="163"/>
    <x v="1"/>
    <x v="0"/>
    <x v="0"/>
  </r>
  <r>
    <x v="165"/>
    <x v="164"/>
    <x v="48"/>
    <x v="20"/>
    <x v="163"/>
    <x v="165"/>
    <x v="164"/>
    <x v="164"/>
    <x v="164"/>
    <x v="1"/>
    <x v="0"/>
    <x v="0"/>
  </r>
  <r>
    <x v="166"/>
    <x v="165"/>
    <x v="48"/>
    <x v="20"/>
    <x v="164"/>
    <x v="166"/>
    <x v="165"/>
    <x v="165"/>
    <x v="165"/>
    <x v="1"/>
    <x v="0"/>
    <x v="0"/>
  </r>
  <r>
    <x v="167"/>
    <x v="166"/>
    <x v="48"/>
    <x v="20"/>
    <x v="165"/>
    <x v="167"/>
    <x v="166"/>
    <x v="166"/>
    <x v="166"/>
    <x v="1"/>
    <x v="0"/>
    <x v="0"/>
  </r>
  <r>
    <x v="168"/>
    <x v="167"/>
    <x v="49"/>
    <x v="20"/>
    <x v="166"/>
    <x v="168"/>
    <x v="167"/>
    <x v="167"/>
    <x v="167"/>
    <x v="1"/>
    <x v="0"/>
    <x v="0"/>
  </r>
  <r>
    <x v="169"/>
    <x v="168"/>
    <x v="48"/>
    <x v="20"/>
    <x v="167"/>
    <x v="169"/>
    <x v="168"/>
    <x v="168"/>
    <x v="168"/>
    <x v="1"/>
    <x v="0"/>
    <x v="0"/>
  </r>
  <r>
    <x v="170"/>
    <x v="169"/>
    <x v="48"/>
    <x v="20"/>
    <x v="168"/>
    <x v="170"/>
    <x v="169"/>
    <x v="169"/>
    <x v="169"/>
    <x v="1"/>
    <x v="0"/>
    <x v="0"/>
  </r>
  <r>
    <x v="171"/>
    <x v="170"/>
    <x v="48"/>
    <x v="20"/>
    <x v="169"/>
    <x v="171"/>
    <x v="170"/>
    <x v="170"/>
    <x v="170"/>
    <x v="1"/>
    <x v="0"/>
    <x v="0"/>
  </r>
  <r>
    <x v="172"/>
    <x v="171"/>
    <x v="48"/>
    <x v="20"/>
    <x v="170"/>
    <x v="172"/>
    <x v="171"/>
    <x v="171"/>
    <x v="171"/>
    <x v="1"/>
    <x v="0"/>
    <x v="0"/>
  </r>
  <r>
    <x v="173"/>
    <x v="172"/>
    <x v="48"/>
    <x v="20"/>
    <x v="171"/>
    <x v="173"/>
    <x v="172"/>
    <x v="172"/>
    <x v="172"/>
    <x v="1"/>
    <x v="0"/>
    <x v="0"/>
  </r>
  <r>
    <x v="174"/>
    <x v="173"/>
    <x v="50"/>
    <x v="21"/>
    <x v="172"/>
    <x v="174"/>
    <x v="173"/>
    <x v="173"/>
    <x v="173"/>
    <x v="1"/>
    <x v="0"/>
    <x v="0"/>
  </r>
  <r>
    <x v="175"/>
    <x v="174"/>
    <x v="51"/>
    <x v="21"/>
    <x v="173"/>
    <x v="175"/>
    <x v="174"/>
    <x v="174"/>
    <x v="174"/>
    <x v="1"/>
    <x v="0"/>
    <x v="0"/>
  </r>
  <r>
    <x v="176"/>
    <x v="175"/>
    <x v="51"/>
    <x v="21"/>
    <x v="174"/>
    <x v="176"/>
    <x v="175"/>
    <x v="175"/>
    <x v="175"/>
    <x v="1"/>
    <x v="0"/>
    <x v="0"/>
  </r>
  <r>
    <x v="177"/>
    <x v="176"/>
    <x v="52"/>
    <x v="22"/>
    <x v="175"/>
    <x v="177"/>
    <x v="176"/>
    <x v="176"/>
    <x v="176"/>
    <x v="1"/>
    <x v="0"/>
    <x v="0"/>
  </r>
  <r>
    <x v="178"/>
    <x v="177"/>
    <x v="52"/>
    <x v="22"/>
    <x v="176"/>
    <x v="178"/>
    <x v="177"/>
    <x v="177"/>
    <x v="177"/>
    <x v="1"/>
    <x v="0"/>
    <x v="0"/>
  </r>
  <r>
    <x v="179"/>
    <x v="178"/>
    <x v="52"/>
    <x v="22"/>
    <x v="177"/>
    <x v="179"/>
    <x v="178"/>
    <x v="178"/>
    <x v="178"/>
    <x v="1"/>
    <x v="0"/>
    <x v="0"/>
  </r>
  <r>
    <x v="180"/>
    <x v="179"/>
    <x v="52"/>
    <x v="22"/>
    <x v="178"/>
    <x v="180"/>
    <x v="179"/>
    <x v="179"/>
    <x v="179"/>
    <x v="1"/>
    <x v="0"/>
    <x v="0"/>
  </r>
  <r>
    <x v="181"/>
    <x v="180"/>
    <x v="53"/>
    <x v="22"/>
    <x v="179"/>
    <x v="181"/>
    <x v="180"/>
    <x v="180"/>
    <x v="180"/>
    <x v="1"/>
    <x v="0"/>
    <x v="0"/>
  </r>
  <r>
    <x v="182"/>
    <x v="181"/>
    <x v="52"/>
    <x v="22"/>
    <x v="180"/>
    <x v="182"/>
    <x v="181"/>
    <x v="181"/>
    <x v="181"/>
    <x v="1"/>
    <x v="0"/>
    <x v="0"/>
  </r>
  <r>
    <x v="183"/>
    <x v="182"/>
    <x v="54"/>
    <x v="22"/>
    <x v="181"/>
    <x v="183"/>
    <x v="182"/>
    <x v="182"/>
    <x v="182"/>
    <x v="1"/>
    <x v="0"/>
    <x v="0"/>
  </r>
  <r>
    <x v="184"/>
    <x v="183"/>
    <x v="54"/>
    <x v="22"/>
    <x v="182"/>
    <x v="184"/>
    <x v="183"/>
    <x v="183"/>
    <x v="183"/>
    <x v="1"/>
    <x v="0"/>
    <x v="0"/>
  </r>
  <r>
    <x v="185"/>
    <x v="184"/>
    <x v="52"/>
    <x v="22"/>
    <x v="183"/>
    <x v="185"/>
    <x v="184"/>
    <x v="184"/>
    <x v="184"/>
    <x v="1"/>
    <x v="0"/>
    <x v="0"/>
  </r>
  <r>
    <x v="186"/>
    <x v="185"/>
    <x v="52"/>
    <x v="22"/>
    <x v="184"/>
    <x v="186"/>
    <x v="185"/>
    <x v="185"/>
    <x v="185"/>
    <x v="1"/>
    <x v="0"/>
    <x v="0"/>
  </r>
  <r>
    <x v="187"/>
    <x v="186"/>
    <x v="52"/>
    <x v="22"/>
    <x v="185"/>
    <x v="187"/>
    <x v="186"/>
    <x v="186"/>
    <x v="186"/>
    <x v="1"/>
    <x v="0"/>
    <x v="0"/>
  </r>
  <r>
    <x v="188"/>
    <x v="187"/>
    <x v="52"/>
    <x v="22"/>
    <x v="186"/>
    <x v="188"/>
    <x v="187"/>
    <x v="187"/>
    <x v="187"/>
    <x v="1"/>
    <x v="0"/>
    <x v="0"/>
  </r>
  <r>
    <x v="189"/>
    <x v="188"/>
    <x v="55"/>
    <x v="22"/>
    <x v="187"/>
    <x v="189"/>
    <x v="188"/>
    <x v="188"/>
    <x v="188"/>
    <x v="1"/>
    <x v="0"/>
    <x v="0"/>
  </r>
  <r>
    <x v="190"/>
    <x v="189"/>
    <x v="56"/>
    <x v="23"/>
    <x v="188"/>
    <x v="190"/>
    <x v="189"/>
    <x v="189"/>
    <x v="189"/>
    <x v="1"/>
    <x v="0"/>
    <x v="0"/>
  </r>
  <r>
    <x v="191"/>
    <x v="190"/>
    <x v="56"/>
    <x v="23"/>
    <x v="189"/>
    <x v="191"/>
    <x v="190"/>
    <x v="190"/>
    <x v="190"/>
    <x v="1"/>
    <x v="0"/>
    <x v="0"/>
  </r>
  <r>
    <x v="192"/>
    <x v="191"/>
    <x v="56"/>
    <x v="23"/>
    <x v="190"/>
    <x v="192"/>
    <x v="191"/>
    <x v="191"/>
    <x v="191"/>
    <x v="1"/>
    <x v="0"/>
    <x v="0"/>
  </r>
  <r>
    <x v="193"/>
    <x v="192"/>
    <x v="57"/>
    <x v="23"/>
    <x v="191"/>
    <x v="193"/>
    <x v="192"/>
    <x v="192"/>
    <x v="192"/>
    <x v="1"/>
    <x v="0"/>
    <x v="0"/>
  </r>
  <r>
    <x v="194"/>
    <x v="193"/>
    <x v="57"/>
    <x v="23"/>
    <x v="192"/>
    <x v="194"/>
    <x v="193"/>
    <x v="193"/>
    <x v="193"/>
    <x v="1"/>
    <x v="0"/>
    <x v="0"/>
  </r>
  <r>
    <x v="195"/>
    <x v="194"/>
    <x v="56"/>
    <x v="23"/>
    <x v="193"/>
    <x v="195"/>
    <x v="194"/>
    <x v="194"/>
    <x v="194"/>
    <x v="1"/>
    <x v="0"/>
    <x v="0"/>
  </r>
  <r>
    <x v="196"/>
    <x v="195"/>
    <x v="56"/>
    <x v="23"/>
    <x v="194"/>
    <x v="196"/>
    <x v="195"/>
    <x v="195"/>
    <x v="195"/>
    <x v="1"/>
    <x v="0"/>
    <x v="0"/>
  </r>
  <r>
    <x v="197"/>
    <x v="196"/>
    <x v="56"/>
    <x v="23"/>
    <x v="195"/>
    <x v="197"/>
    <x v="196"/>
    <x v="196"/>
    <x v="196"/>
    <x v="1"/>
    <x v="0"/>
    <x v="0"/>
  </r>
  <r>
    <x v="198"/>
    <x v="197"/>
    <x v="56"/>
    <x v="23"/>
    <x v="196"/>
    <x v="198"/>
    <x v="197"/>
    <x v="197"/>
    <x v="197"/>
    <x v="1"/>
    <x v="0"/>
    <x v="0"/>
  </r>
  <r>
    <x v="199"/>
    <x v="198"/>
    <x v="56"/>
    <x v="23"/>
    <x v="197"/>
    <x v="199"/>
    <x v="198"/>
    <x v="198"/>
    <x v="198"/>
    <x v="1"/>
    <x v="0"/>
    <x v="0"/>
  </r>
  <r>
    <x v="200"/>
    <x v="199"/>
    <x v="56"/>
    <x v="23"/>
    <x v="198"/>
    <x v="200"/>
    <x v="199"/>
    <x v="199"/>
    <x v="199"/>
    <x v="1"/>
    <x v="0"/>
    <x v="0"/>
  </r>
  <r>
    <x v="201"/>
    <x v="200"/>
    <x v="56"/>
    <x v="23"/>
    <x v="199"/>
    <x v="201"/>
    <x v="200"/>
    <x v="200"/>
    <x v="200"/>
    <x v="1"/>
    <x v="0"/>
    <x v="0"/>
  </r>
  <r>
    <x v="202"/>
    <x v="201"/>
    <x v="56"/>
    <x v="23"/>
    <x v="200"/>
    <x v="202"/>
    <x v="201"/>
    <x v="201"/>
    <x v="201"/>
    <x v="1"/>
    <x v="0"/>
    <x v="0"/>
  </r>
  <r>
    <x v="203"/>
    <x v="202"/>
    <x v="56"/>
    <x v="23"/>
    <x v="201"/>
    <x v="203"/>
    <x v="202"/>
    <x v="202"/>
    <x v="202"/>
    <x v="1"/>
    <x v="0"/>
    <x v="0"/>
  </r>
  <r>
    <x v="204"/>
    <x v="203"/>
    <x v="56"/>
    <x v="23"/>
    <x v="202"/>
    <x v="204"/>
    <x v="203"/>
    <x v="203"/>
    <x v="203"/>
    <x v="1"/>
    <x v="0"/>
    <x v="0"/>
  </r>
  <r>
    <x v="205"/>
    <x v="204"/>
    <x v="58"/>
    <x v="24"/>
    <x v="203"/>
    <x v="205"/>
    <x v="204"/>
    <x v="204"/>
    <x v="204"/>
    <x v="1"/>
    <x v="0"/>
    <x v="0"/>
  </r>
  <r>
    <x v="206"/>
    <x v="205"/>
    <x v="58"/>
    <x v="24"/>
    <x v="204"/>
    <x v="206"/>
    <x v="205"/>
    <x v="205"/>
    <x v="205"/>
    <x v="1"/>
    <x v="0"/>
    <x v="0"/>
  </r>
  <r>
    <x v="207"/>
    <x v="206"/>
    <x v="58"/>
    <x v="24"/>
    <x v="205"/>
    <x v="207"/>
    <x v="206"/>
    <x v="206"/>
    <x v="206"/>
    <x v="1"/>
    <x v="0"/>
    <x v="0"/>
  </r>
  <r>
    <x v="208"/>
    <x v="207"/>
    <x v="58"/>
    <x v="24"/>
    <x v="206"/>
    <x v="208"/>
    <x v="207"/>
    <x v="207"/>
    <x v="207"/>
    <x v="1"/>
    <x v="0"/>
    <x v="0"/>
  </r>
  <r>
    <x v="209"/>
    <x v="208"/>
    <x v="58"/>
    <x v="24"/>
    <x v="207"/>
    <x v="209"/>
    <x v="208"/>
    <x v="208"/>
    <x v="208"/>
    <x v="1"/>
    <x v="0"/>
    <x v="0"/>
  </r>
  <r>
    <x v="210"/>
    <x v="209"/>
    <x v="58"/>
    <x v="24"/>
    <x v="208"/>
    <x v="210"/>
    <x v="209"/>
    <x v="209"/>
    <x v="209"/>
    <x v="1"/>
    <x v="0"/>
    <x v="0"/>
  </r>
  <r>
    <x v="211"/>
    <x v="210"/>
    <x v="58"/>
    <x v="24"/>
    <x v="209"/>
    <x v="211"/>
    <x v="210"/>
    <x v="210"/>
    <x v="210"/>
    <x v="1"/>
    <x v="0"/>
    <x v="0"/>
  </r>
  <r>
    <x v="212"/>
    <x v="211"/>
    <x v="58"/>
    <x v="24"/>
    <x v="210"/>
    <x v="212"/>
    <x v="211"/>
    <x v="211"/>
    <x v="211"/>
    <x v="1"/>
    <x v="0"/>
    <x v="0"/>
  </r>
  <r>
    <x v="213"/>
    <x v="212"/>
    <x v="59"/>
    <x v="24"/>
    <x v="211"/>
    <x v="213"/>
    <x v="212"/>
    <x v="212"/>
    <x v="212"/>
    <x v="1"/>
    <x v="0"/>
    <x v="0"/>
  </r>
  <r>
    <x v="214"/>
    <x v="213"/>
    <x v="60"/>
    <x v="25"/>
    <x v="212"/>
    <x v="214"/>
    <x v="213"/>
    <x v="213"/>
    <x v="213"/>
    <x v="1"/>
    <x v="0"/>
    <x v="0"/>
  </r>
  <r>
    <x v="215"/>
    <x v="214"/>
    <x v="59"/>
    <x v="24"/>
    <x v="213"/>
    <x v="215"/>
    <x v="214"/>
    <x v="214"/>
    <x v="214"/>
    <x v="1"/>
    <x v="0"/>
    <x v="0"/>
  </r>
  <r>
    <x v="216"/>
    <x v="215"/>
    <x v="59"/>
    <x v="24"/>
    <x v="214"/>
    <x v="216"/>
    <x v="215"/>
    <x v="215"/>
    <x v="215"/>
    <x v="1"/>
    <x v="0"/>
    <x v="0"/>
  </r>
  <r>
    <x v="217"/>
    <x v="216"/>
    <x v="61"/>
    <x v="26"/>
    <x v="215"/>
    <x v="217"/>
    <x v="216"/>
    <x v="216"/>
    <x v="216"/>
    <x v="1"/>
    <x v="0"/>
    <x v="0"/>
  </r>
  <r>
    <x v="218"/>
    <x v="217"/>
    <x v="61"/>
    <x v="26"/>
    <x v="216"/>
    <x v="218"/>
    <x v="217"/>
    <x v="217"/>
    <x v="217"/>
    <x v="1"/>
    <x v="0"/>
    <x v="0"/>
  </r>
  <r>
    <x v="219"/>
    <x v="218"/>
    <x v="59"/>
    <x v="24"/>
    <x v="217"/>
    <x v="219"/>
    <x v="218"/>
    <x v="218"/>
    <x v="218"/>
    <x v="1"/>
    <x v="0"/>
    <x v="0"/>
  </r>
  <r>
    <x v="220"/>
    <x v="219"/>
    <x v="59"/>
    <x v="24"/>
    <x v="218"/>
    <x v="220"/>
    <x v="219"/>
    <x v="219"/>
    <x v="219"/>
    <x v="1"/>
    <x v="0"/>
    <x v="0"/>
  </r>
  <r>
    <x v="221"/>
    <x v="220"/>
    <x v="62"/>
    <x v="26"/>
    <x v="219"/>
    <x v="221"/>
    <x v="220"/>
    <x v="220"/>
    <x v="220"/>
    <x v="1"/>
    <x v="0"/>
    <x v="0"/>
  </r>
  <r>
    <x v="222"/>
    <x v="221"/>
    <x v="63"/>
    <x v="27"/>
    <x v="220"/>
    <x v="222"/>
    <x v="221"/>
    <x v="221"/>
    <x v="221"/>
    <x v="1"/>
    <x v="0"/>
    <x v="0"/>
  </r>
  <r>
    <x v="223"/>
    <x v="222"/>
    <x v="63"/>
    <x v="27"/>
    <x v="221"/>
    <x v="223"/>
    <x v="222"/>
    <x v="222"/>
    <x v="222"/>
    <x v="1"/>
    <x v="0"/>
    <x v="0"/>
  </r>
  <r>
    <x v="224"/>
    <x v="223"/>
    <x v="64"/>
    <x v="27"/>
    <x v="222"/>
    <x v="224"/>
    <x v="223"/>
    <x v="223"/>
    <x v="223"/>
    <x v="1"/>
    <x v="0"/>
    <x v="0"/>
  </r>
  <r>
    <x v="225"/>
    <x v="224"/>
    <x v="64"/>
    <x v="27"/>
    <x v="223"/>
    <x v="225"/>
    <x v="224"/>
    <x v="224"/>
    <x v="224"/>
    <x v="1"/>
    <x v="0"/>
    <x v="0"/>
  </r>
  <r>
    <x v="226"/>
    <x v="225"/>
    <x v="64"/>
    <x v="27"/>
    <x v="224"/>
    <x v="226"/>
    <x v="225"/>
    <x v="225"/>
    <x v="225"/>
    <x v="1"/>
    <x v="0"/>
    <x v="0"/>
  </r>
  <r>
    <x v="227"/>
    <x v="226"/>
    <x v="63"/>
    <x v="27"/>
    <x v="225"/>
    <x v="227"/>
    <x v="226"/>
    <x v="226"/>
    <x v="226"/>
    <x v="1"/>
    <x v="0"/>
    <x v="0"/>
  </r>
  <r>
    <x v="228"/>
    <x v="227"/>
    <x v="65"/>
    <x v="28"/>
    <x v="226"/>
    <x v="228"/>
    <x v="227"/>
    <x v="227"/>
    <x v="227"/>
    <x v="1"/>
    <x v="0"/>
    <x v="0"/>
  </r>
  <r>
    <x v="229"/>
    <x v="228"/>
    <x v="65"/>
    <x v="28"/>
    <x v="227"/>
    <x v="229"/>
    <x v="228"/>
    <x v="228"/>
    <x v="228"/>
    <x v="1"/>
    <x v="0"/>
    <x v="0"/>
  </r>
  <r>
    <x v="230"/>
    <x v="229"/>
    <x v="65"/>
    <x v="28"/>
    <x v="228"/>
    <x v="230"/>
    <x v="229"/>
    <x v="229"/>
    <x v="229"/>
    <x v="1"/>
    <x v="0"/>
    <x v="0"/>
  </r>
  <r>
    <x v="231"/>
    <x v="230"/>
    <x v="65"/>
    <x v="28"/>
    <x v="229"/>
    <x v="231"/>
    <x v="230"/>
    <x v="230"/>
    <x v="230"/>
    <x v="1"/>
    <x v="0"/>
    <x v="0"/>
  </r>
  <r>
    <x v="232"/>
    <x v="231"/>
    <x v="66"/>
    <x v="29"/>
    <x v="230"/>
    <x v="232"/>
    <x v="231"/>
    <x v="231"/>
    <x v="231"/>
    <x v="1"/>
    <x v="0"/>
    <x v="0"/>
  </r>
  <r>
    <x v="233"/>
    <x v="232"/>
    <x v="67"/>
    <x v="29"/>
    <x v="231"/>
    <x v="233"/>
    <x v="232"/>
    <x v="232"/>
    <x v="232"/>
    <x v="1"/>
    <x v="0"/>
    <x v="0"/>
  </r>
  <r>
    <x v="234"/>
    <x v="233"/>
    <x v="67"/>
    <x v="29"/>
    <x v="232"/>
    <x v="234"/>
    <x v="233"/>
    <x v="233"/>
    <x v="233"/>
    <x v="1"/>
    <x v="0"/>
    <x v="0"/>
  </r>
  <r>
    <x v="235"/>
    <x v="234"/>
    <x v="66"/>
    <x v="29"/>
    <x v="233"/>
    <x v="235"/>
    <x v="234"/>
    <x v="234"/>
    <x v="234"/>
    <x v="1"/>
    <x v="0"/>
    <x v="0"/>
  </r>
  <r>
    <x v="236"/>
    <x v="235"/>
    <x v="67"/>
    <x v="29"/>
    <x v="234"/>
    <x v="236"/>
    <x v="235"/>
    <x v="235"/>
    <x v="235"/>
    <x v="1"/>
    <x v="0"/>
    <x v="0"/>
  </r>
  <r>
    <x v="237"/>
    <x v="236"/>
    <x v="68"/>
    <x v="29"/>
    <x v="235"/>
    <x v="237"/>
    <x v="236"/>
    <x v="236"/>
    <x v="236"/>
    <x v="1"/>
    <x v="0"/>
    <x v="0"/>
  </r>
  <r>
    <x v="238"/>
    <x v="237"/>
    <x v="69"/>
    <x v="29"/>
    <x v="236"/>
    <x v="238"/>
    <x v="237"/>
    <x v="237"/>
    <x v="237"/>
    <x v="1"/>
    <x v="0"/>
    <x v="0"/>
  </r>
  <r>
    <x v="239"/>
    <x v="238"/>
    <x v="66"/>
    <x v="29"/>
    <x v="237"/>
    <x v="239"/>
    <x v="238"/>
    <x v="238"/>
    <x v="238"/>
    <x v="1"/>
    <x v="0"/>
    <x v="0"/>
  </r>
  <r>
    <x v="240"/>
    <x v="239"/>
    <x v="67"/>
    <x v="29"/>
    <x v="238"/>
    <x v="240"/>
    <x v="239"/>
    <x v="239"/>
    <x v="239"/>
    <x v="1"/>
    <x v="0"/>
    <x v="0"/>
  </r>
  <r>
    <x v="241"/>
    <x v="240"/>
    <x v="70"/>
    <x v="29"/>
    <x v="239"/>
    <x v="241"/>
    <x v="240"/>
    <x v="240"/>
    <x v="240"/>
    <x v="1"/>
    <x v="0"/>
    <x v="0"/>
  </r>
  <r>
    <x v="242"/>
    <x v="241"/>
    <x v="69"/>
    <x v="29"/>
    <x v="240"/>
    <x v="242"/>
    <x v="241"/>
    <x v="241"/>
    <x v="241"/>
    <x v="1"/>
    <x v="0"/>
    <x v="0"/>
  </r>
  <r>
    <x v="243"/>
    <x v="242"/>
    <x v="67"/>
    <x v="29"/>
    <x v="241"/>
    <x v="243"/>
    <x v="242"/>
    <x v="242"/>
    <x v="242"/>
    <x v="1"/>
    <x v="0"/>
    <x v="0"/>
  </r>
  <r>
    <x v="244"/>
    <x v="243"/>
    <x v="71"/>
    <x v="29"/>
    <x v="242"/>
    <x v="244"/>
    <x v="243"/>
    <x v="243"/>
    <x v="243"/>
    <x v="1"/>
    <x v="0"/>
    <x v="0"/>
  </r>
  <r>
    <x v="245"/>
    <x v="244"/>
    <x v="69"/>
    <x v="29"/>
    <x v="243"/>
    <x v="245"/>
    <x v="244"/>
    <x v="244"/>
    <x v="244"/>
    <x v="1"/>
    <x v="0"/>
    <x v="0"/>
  </r>
  <r>
    <x v="246"/>
    <x v="245"/>
    <x v="67"/>
    <x v="29"/>
    <x v="244"/>
    <x v="246"/>
    <x v="245"/>
    <x v="245"/>
    <x v="245"/>
    <x v="1"/>
    <x v="0"/>
    <x v="0"/>
  </r>
  <r>
    <x v="247"/>
    <x v="246"/>
    <x v="67"/>
    <x v="29"/>
    <x v="245"/>
    <x v="247"/>
    <x v="246"/>
    <x v="246"/>
    <x v="246"/>
    <x v="1"/>
    <x v="0"/>
    <x v="0"/>
  </r>
  <r>
    <x v="248"/>
    <x v="247"/>
    <x v="72"/>
    <x v="29"/>
    <x v="246"/>
    <x v="248"/>
    <x v="247"/>
    <x v="247"/>
    <x v="247"/>
    <x v="1"/>
    <x v="0"/>
    <x v="0"/>
  </r>
  <r>
    <x v="249"/>
    <x v="248"/>
    <x v="73"/>
    <x v="29"/>
    <x v="247"/>
    <x v="249"/>
    <x v="248"/>
    <x v="248"/>
    <x v="248"/>
    <x v="1"/>
    <x v="0"/>
    <x v="0"/>
  </r>
  <r>
    <x v="250"/>
    <x v="249"/>
    <x v="67"/>
    <x v="29"/>
    <x v="248"/>
    <x v="250"/>
    <x v="249"/>
    <x v="249"/>
    <x v="249"/>
    <x v="1"/>
    <x v="0"/>
    <x v="0"/>
  </r>
  <r>
    <x v="251"/>
    <x v="250"/>
    <x v="67"/>
    <x v="29"/>
    <x v="249"/>
    <x v="251"/>
    <x v="250"/>
    <x v="250"/>
    <x v="250"/>
    <x v="1"/>
    <x v="0"/>
    <x v="0"/>
  </r>
  <r>
    <x v="252"/>
    <x v="251"/>
    <x v="67"/>
    <x v="29"/>
    <x v="250"/>
    <x v="252"/>
    <x v="251"/>
    <x v="251"/>
    <x v="251"/>
    <x v="1"/>
    <x v="0"/>
    <x v="0"/>
  </r>
  <r>
    <x v="253"/>
    <x v="252"/>
    <x v="67"/>
    <x v="29"/>
    <x v="251"/>
    <x v="253"/>
    <x v="252"/>
    <x v="252"/>
    <x v="252"/>
    <x v="1"/>
    <x v="0"/>
    <x v="0"/>
  </r>
  <r>
    <x v="254"/>
    <x v="253"/>
    <x v="67"/>
    <x v="29"/>
    <x v="252"/>
    <x v="254"/>
    <x v="253"/>
    <x v="253"/>
    <x v="253"/>
    <x v="1"/>
    <x v="0"/>
    <x v="0"/>
  </r>
  <r>
    <x v="255"/>
    <x v="254"/>
    <x v="74"/>
    <x v="29"/>
    <x v="253"/>
    <x v="255"/>
    <x v="254"/>
    <x v="254"/>
    <x v="254"/>
    <x v="1"/>
    <x v="0"/>
    <x v="0"/>
  </r>
  <r>
    <x v="256"/>
    <x v="255"/>
    <x v="74"/>
    <x v="29"/>
    <x v="254"/>
    <x v="256"/>
    <x v="255"/>
    <x v="255"/>
    <x v="255"/>
    <x v="1"/>
    <x v="0"/>
    <x v="0"/>
  </r>
  <r>
    <x v="257"/>
    <x v="256"/>
    <x v="75"/>
    <x v="29"/>
    <x v="255"/>
    <x v="257"/>
    <x v="256"/>
    <x v="256"/>
    <x v="256"/>
    <x v="1"/>
    <x v="0"/>
    <x v="0"/>
  </r>
  <r>
    <x v="258"/>
    <x v="257"/>
    <x v="76"/>
    <x v="30"/>
    <x v="256"/>
    <x v="258"/>
    <x v="257"/>
    <x v="257"/>
    <x v="257"/>
    <x v="1"/>
    <x v="0"/>
    <x v="0"/>
  </r>
  <r>
    <x v="259"/>
    <x v="258"/>
    <x v="77"/>
    <x v="30"/>
    <x v="257"/>
    <x v="259"/>
    <x v="258"/>
    <x v="258"/>
    <x v="258"/>
    <x v="1"/>
    <x v="0"/>
    <x v="0"/>
  </r>
  <r>
    <x v="260"/>
    <x v="259"/>
    <x v="78"/>
    <x v="30"/>
    <x v="258"/>
    <x v="260"/>
    <x v="259"/>
    <x v="259"/>
    <x v="259"/>
    <x v="1"/>
    <x v="0"/>
    <x v="0"/>
  </r>
  <r>
    <x v="261"/>
    <x v="260"/>
    <x v="79"/>
    <x v="31"/>
    <x v="259"/>
    <x v="261"/>
    <x v="260"/>
    <x v="260"/>
    <x v="260"/>
    <x v="1"/>
    <x v="0"/>
    <x v="0"/>
  </r>
  <r>
    <x v="262"/>
    <x v="261"/>
    <x v="79"/>
    <x v="31"/>
    <x v="260"/>
    <x v="262"/>
    <x v="261"/>
    <x v="261"/>
    <x v="261"/>
    <x v="1"/>
    <x v="0"/>
    <x v="0"/>
  </r>
  <r>
    <x v="263"/>
    <x v="262"/>
    <x v="79"/>
    <x v="31"/>
    <x v="261"/>
    <x v="263"/>
    <x v="262"/>
    <x v="262"/>
    <x v="262"/>
    <x v="1"/>
    <x v="0"/>
    <x v="0"/>
  </r>
  <r>
    <x v="264"/>
    <x v="263"/>
    <x v="79"/>
    <x v="31"/>
    <x v="262"/>
    <x v="264"/>
    <x v="263"/>
    <x v="263"/>
    <x v="263"/>
    <x v="1"/>
    <x v="0"/>
    <x v="0"/>
  </r>
  <r>
    <x v="265"/>
    <x v="264"/>
    <x v="80"/>
    <x v="31"/>
    <x v="263"/>
    <x v="265"/>
    <x v="264"/>
    <x v="264"/>
    <x v="264"/>
    <x v="1"/>
    <x v="0"/>
    <x v="0"/>
  </r>
  <r>
    <x v="266"/>
    <x v="265"/>
    <x v="81"/>
    <x v="32"/>
    <x v="264"/>
    <x v="266"/>
    <x v="265"/>
    <x v="265"/>
    <x v="265"/>
    <x v="1"/>
    <x v="0"/>
    <x v="0"/>
  </r>
  <r>
    <x v="267"/>
    <x v="266"/>
    <x v="81"/>
    <x v="32"/>
    <x v="265"/>
    <x v="267"/>
    <x v="266"/>
    <x v="266"/>
    <x v="266"/>
    <x v="1"/>
    <x v="0"/>
    <x v="0"/>
  </r>
  <r>
    <x v="268"/>
    <x v="267"/>
    <x v="81"/>
    <x v="32"/>
    <x v="266"/>
    <x v="268"/>
    <x v="267"/>
    <x v="267"/>
    <x v="267"/>
    <x v="1"/>
    <x v="0"/>
    <x v="0"/>
  </r>
  <r>
    <x v="269"/>
    <x v="268"/>
    <x v="81"/>
    <x v="32"/>
    <x v="267"/>
    <x v="269"/>
    <x v="268"/>
    <x v="268"/>
    <x v="268"/>
    <x v="1"/>
    <x v="0"/>
    <x v="0"/>
  </r>
  <r>
    <x v="270"/>
    <x v="269"/>
    <x v="82"/>
    <x v="33"/>
    <x v="268"/>
    <x v="270"/>
    <x v="269"/>
    <x v="269"/>
    <x v="269"/>
    <x v="1"/>
    <x v="0"/>
    <x v="0"/>
  </r>
  <r>
    <x v="271"/>
    <x v="270"/>
    <x v="82"/>
    <x v="33"/>
    <x v="269"/>
    <x v="271"/>
    <x v="270"/>
    <x v="270"/>
    <x v="270"/>
    <x v="1"/>
    <x v="0"/>
    <x v="0"/>
  </r>
  <r>
    <x v="272"/>
    <x v="271"/>
    <x v="83"/>
    <x v="33"/>
    <x v="270"/>
    <x v="272"/>
    <x v="271"/>
    <x v="271"/>
    <x v="271"/>
    <x v="1"/>
    <x v="0"/>
    <x v="0"/>
  </r>
  <r>
    <x v="273"/>
    <x v="272"/>
    <x v="82"/>
    <x v="33"/>
    <x v="271"/>
    <x v="273"/>
    <x v="272"/>
    <x v="272"/>
    <x v="272"/>
    <x v="1"/>
    <x v="0"/>
    <x v="0"/>
  </r>
  <r>
    <x v="274"/>
    <x v="273"/>
    <x v="84"/>
    <x v="33"/>
    <x v="272"/>
    <x v="274"/>
    <x v="273"/>
    <x v="273"/>
    <x v="273"/>
    <x v="1"/>
    <x v="0"/>
    <x v="0"/>
  </r>
  <r>
    <x v="275"/>
    <x v="274"/>
    <x v="82"/>
    <x v="33"/>
    <x v="273"/>
    <x v="275"/>
    <x v="274"/>
    <x v="274"/>
    <x v="274"/>
    <x v="1"/>
    <x v="0"/>
    <x v="0"/>
  </r>
  <r>
    <x v="276"/>
    <x v="275"/>
    <x v="85"/>
    <x v="34"/>
    <x v="274"/>
    <x v="276"/>
    <x v="275"/>
    <x v="275"/>
    <x v="275"/>
    <x v="1"/>
    <x v="0"/>
    <x v="0"/>
  </r>
  <r>
    <x v="277"/>
    <x v="276"/>
    <x v="85"/>
    <x v="34"/>
    <x v="275"/>
    <x v="277"/>
    <x v="276"/>
    <x v="276"/>
    <x v="276"/>
    <x v="1"/>
    <x v="0"/>
    <x v="0"/>
  </r>
  <r>
    <x v="278"/>
    <x v="277"/>
    <x v="85"/>
    <x v="34"/>
    <x v="276"/>
    <x v="278"/>
    <x v="277"/>
    <x v="277"/>
    <x v="277"/>
    <x v="1"/>
    <x v="0"/>
    <x v="0"/>
  </r>
  <r>
    <x v="279"/>
    <x v="278"/>
    <x v="85"/>
    <x v="34"/>
    <x v="277"/>
    <x v="279"/>
    <x v="278"/>
    <x v="278"/>
    <x v="278"/>
    <x v="1"/>
    <x v="0"/>
    <x v="0"/>
  </r>
  <r>
    <x v="280"/>
    <x v="279"/>
    <x v="86"/>
    <x v="34"/>
    <x v="278"/>
    <x v="280"/>
    <x v="279"/>
    <x v="279"/>
    <x v="279"/>
    <x v="1"/>
    <x v="0"/>
    <x v="0"/>
  </r>
  <r>
    <x v="281"/>
    <x v="280"/>
    <x v="85"/>
    <x v="34"/>
    <x v="279"/>
    <x v="281"/>
    <x v="280"/>
    <x v="280"/>
    <x v="280"/>
    <x v="1"/>
    <x v="0"/>
    <x v="0"/>
  </r>
  <r>
    <x v="282"/>
    <x v="281"/>
    <x v="87"/>
    <x v="35"/>
    <x v="280"/>
    <x v="282"/>
    <x v="281"/>
    <x v="281"/>
    <x v="281"/>
    <x v="1"/>
    <x v="0"/>
    <x v="0"/>
  </r>
  <r>
    <x v="283"/>
    <x v="282"/>
    <x v="87"/>
    <x v="35"/>
    <x v="281"/>
    <x v="283"/>
    <x v="282"/>
    <x v="282"/>
    <x v="282"/>
    <x v="1"/>
    <x v="0"/>
    <x v="0"/>
  </r>
  <r>
    <x v="284"/>
    <x v="283"/>
    <x v="87"/>
    <x v="35"/>
    <x v="282"/>
    <x v="284"/>
    <x v="283"/>
    <x v="283"/>
    <x v="283"/>
    <x v="1"/>
    <x v="0"/>
    <x v="0"/>
  </r>
  <r>
    <x v="285"/>
    <x v="284"/>
    <x v="87"/>
    <x v="35"/>
    <x v="283"/>
    <x v="285"/>
    <x v="284"/>
    <x v="284"/>
    <x v="284"/>
    <x v="1"/>
    <x v="0"/>
    <x v="0"/>
  </r>
  <r>
    <x v="286"/>
    <x v="285"/>
    <x v="87"/>
    <x v="35"/>
    <x v="284"/>
    <x v="286"/>
    <x v="285"/>
    <x v="285"/>
    <x v="285"/>
    <x v="1"/>
    <x v="0"/>
    <x v="0"/>
  </r>
  <r>
    <x v="287"/>
    <x v="286"/>
    <x v="88"/>
    <x v="36"/>
    <x v="285"/>
    <x v="287"/>
    <x v="286"/>
    <x v="286"/>
    <x v="286"/>
    <x v="1"/>
    <x v="0"/>
    <x v="0"/>
  </r>
  <r>
    <x v="288"/>
    <x v="287"/>
    <x v="89"/>
    <x v="36"/>
    <x v="286"/>
    <x v="288"/>
    <x v="287"/>
    <x v="287"/>
    <x v="287"/>
    <x v="1"/>
    <x v="0"/>
    <x v="0"/>
  </r>
  <r>
    <x v="289"/>
    <x v="288"/>
    <x v="89"/>
    <x v="36"/>
    <x v="287"/>
    <x v="289"/>
    <x v="288"/>
    <x v="288"/>
    <x v="288"/>
    <x v="1"/>
    <x v="0"/>
    <x v="0"/>
  </r>
  <r>
    <x v="290"/>
    <x v="289"/>
    <x v="88"/>
    <x v="36"/>
    <x v="288"/>
    <x v="290"/>
    <x v="289"/>
    <x v="289"/>
    <x v="289"/>
    <x v="1"/>
    <x v="0"/>
    <x v="0"/>
  </r>
  <r>
    <x v="291"/>
    <x v="290"/>
    <x v="88"/>
    <x v="36"/>
    <x v="289"/>
    <x v="291"/>
    <x v="290"/>
    <x v="290"/>
    <x v="290"/>
    <x v="1"/>
    <x v="0"/>
    <x v="0"/>
  </r>
  <r>
    <x v="292"/>
    <x v="291"/>
    <x v="88"/>
    <x v="36"/>
    <x v="290"/>
    <x v="292"/>
    <x v="291"/>
    <x v="291"/>
    <x v="291"/>
    <x v="1"/>
    <x v="0"/>
    <x v="0"/>
  </r>
  <r>
    <x v="293"/>
    <x v="292"/>
    <x v="90"/>
    <x v="36"/>
    <x v="291"/>
    <x v="293"/>
    <x v="292"/>
    <x v="292"/>
    <x v="292"/>
    <x v="1"/>
    <x v="0"/>
    <x v="0"/>
  </r>
  <r>
    <x v="294"/>
    <x v="293"/>
    <x v="90"/>
    <x v="36"/>
    <x v="292"/>
    <x v="294"/>
    <x v="293"/>
    <x v="293"/>
    <x v="293"/>
    <x v="1"/>
    <x v="0"/>
    <x v="0"/>
  </r>
  <r>
    <x v="295"/>
    <x v="294"/>
    <x v="90"/>
    <x v="36"/>
    <x v="293"/>
    <x v="295"/>
    <x v="294"/>
    <x v="294"/>
    <x v="294"/>
    <x v="1"/>
    <x v="0"/>
    <x v="0"/>
  </r>
  <r>
    <x v="296"/>
    <x v="295"/>
    <x v="90"/>
    <x v="36"/>
    <x v="294"/>
    <x v="296"/>
    <x v="295"/>
    <x v="295"/>
    <x v="295"/>
    <x v="1"/>
    <x v="0"/>
    <x v="0"/>
  </r>
  <r>
    <x v="297"/>
    <x v="296"/>
    <x v="91"/>
    <x v="37"/>
    <x v="295"/>
    <x v="297"/>
    <x v="296"/>
    <x v="296"/>
    <x v="296"/>
    <x v="1"/>
    <x v="0"/>
    <x v="0"/>
  </r>
  <r>
    <x v="298"/>
    <x v="297"/>
    <x v="91"/>
    <x v="37"/>
    <x v="296"/>
    <x v="298"/>
    <x v="297"/>
    <x v="297"/>
    <x v="297"/>
    <x v="1"/>
    <x v="0"/>
    <x v="0"/>
  </r>
  <r>
    <x v="299"/>
    <x v="298"/>
    <x v="91"/>
    <x v="37"/>
    <x v="297"/>
    <x v="299"/>
    <x v="298"/>
    <x v="298"/>
    <x v="298"/>
    <x v="1"/>
    <x v="0"/>
    <x v="0"/>
  </r>
  <r>
    <x v="300"/>
    <x v="299"/>
    <x v="91"/>
    <x v="37"/>
    <x v="298"/>
    <x v="300"/>
    <x v="299"/>
    <x v="299"/>
    <x v="299"/>
    <x v="1"/>
    <x v="0"/>
    <x v="0"/>
  </r>
  <r>
    <x v="301"/>
    <x v="300"/>
    <x v="92"/>
    <x v="38"/>
    <x v="299"/>
    <x v="301"/>
    <x v="300"/>
    <x v="300"/>
    <x v="300"/>
    <x v="1"/>
    <x v="0"/>
    <x v="0"/>
  </r>
  <r>
    <x v="302"/>
    <x v="301"/>
    <x v="92"/>
    <x v="38"/>
    <x v="300"/>
    <x v="302"/>
    <x v="301"/>
    <x v="301"/>
    <x v="301"/>
    <x v="1"/>
    <x v="0"/>
    <x v="0"/>
  </r>
  <r>
    <x v="303"/>
    <x v="302"/>
    <x v="92"/>
    <x v="38"/>
    <x v="301"/>
    <x v="303"/>
    <x v="302"/>
    <x v="302"/>
    <x v="302"/>
    <x v="1"/>
    <x v="0"/>
    <x v="0"/>
  </r>
  <r>
    <x v="304"/>
    <x v="303"/>
    <x v="92"/>
    <x v="38"/>
    <x v="302"/>
    <x v="304"/>
    <x v="303"/>
    <x v="303"/>
    <x v="303"/>
    <x v="1"/>
    <x v="0"/>
    <x v="0"/>
  </r>
  <r>
    <x v="305"/>
    <x v="304"/>
    <x v="93"/>
    <x v="38"/>
    <x v="303"/>
    <x v="305"/>
    <x v="304"/>
    <x v="304"/>
    <x v="304"/>
    <x v="1"/>
    <x v="0"/>
    <x v="0"/>
  </r>
  <r>
    <x v="306"/>
    <x v="305"/>
    <x v="94"/>
    <x v="38"/>
    <x v="304"/>
    <x v="306"/>
    <x v="305"/>
    <x v="305"/>
    <x v="305"/>
    <x v="1"/>
    <x v="0"/>
    <x v="0"/>
  </r>
  <r>
    <x v="307"/>
    <x v="306"/>
    <x v="95"/>
    <x v="38"/>
    <x v="305"/>
    <x v="307"/>
    <x v="306"/>
    <x v="306"/>
    <x v="306"/>
    <x v="1"/>
    <x v="0"/>
    <x v="0"/>
  </r>
  <r>
    <x v="308"/>
    <x v="307"/>
    <x v="96"/>
    <x v="38"/>
    <x v="306"/>
    <x v="308"/>
    <x v="307"/>
    <x v="307"/>
    <x v="307"/>
    <x v="1"/>
    <x v="0"/>
    <x v="0"/>
  </r>
  <r>
    <x v="309"/>
    <x v="308"/>
    <x v="96"/>
    <x v="38"/>
    <x v="307"/>
    <x v="309"/>
    <x v="308"/>
    <x v="308"/>
    <x v="308"/>
    <x v="1"/>
    <x v="0"/>
    <x v="0"/>
  </r>
  <r>
    <x v="310"/>
    <x v="309"/>
    <x v="97"/>
    <x v="39"/>
    <x v="308"/>
    <x v="310"/>
    <x v="309"/>
    <x v="309"/>
    <x v="309"/>
    <x v="1"/>
    <x v="0"/>
    <x v="0"/>
  </r>
  <r>
    <x v="311"/>
    <x v="310"/>
    <x v="98"/>
    <x v="39"/>
    <x v="309"/>
    <x v="311"/>
    <x v="310"/>
    <x v="310"/>
    <x v="310"/>
    <x v="1"/>
    <x v="0"/>
    <x v="0"/>
  </r>
  <r>
    <x v="312"/>
    <x v="311"/>
    <x v="98"/>
    <x v="39"/>
    <x v="310"/>
    <x v="312"/>
    <x v="311"/>
    <x v="311"/>
    <x v="311"/>
    <x v="1"/>
    <x v="0"/>
    <x v="0"/>
  </r>
  <r>
    <x v="313"/>
    <x v="312"/>
    <x v="98"/>
    <x v="39"/>
    <x v="311"/>
    <x v="313"/>
    <x v="312"/>
    <x v="312"/>
    <x v="312"/>
    <x v="1"/>
    <x v="0"/>
    <x v="0"/>
  </r>
  <r>
    <x v="314"/>
    <x v="313"/>
    <x v="99"/>
    <x v="40"/>
    <x v="312"/>
    <x v="314"/>
    <x v="313"/>
    <x v="313"/>
    <x v="313"/>
    <x v="1"/>
    <x v="0"/>
    <x v="0"/>
  </r>
  <r>
    <x v="315"/>
    <x v="314"/>
    <x v="100"/>
    <x v="40"/>
    <x v="313"/>
    <x v="315"/>
    <x v="314"/>
    <x v="314"/>
    <x v="314"/>
    <x v="1"/>
    <x v="0"/>
    <x v="0"/>
  </r>
  <r>
    <x v="316"/>
    <x v="315"/>
    <x v="100"/>
    <x v="40"/>
    <x v="314"/>
    <x v="316"/>
    <x v="315"/>
    <x v="315"/>
    <x v="315"/>
    <x v="1"/>
    <x v="0"/>
    <x v="0"/>
  </r>
  <r>
    <x v="317"/>
    <x v="316"/>
    <x v="99"/>
    <x v="40"/>
    <x v="315"/>
    <x v="317"/>
    <x v="316"/>
    <x v="316"/>
    <x v="316"/>
    <x v="1"/>
    <x v="0"/>
    <x v="0"/>
  </r>
  <r>
    <x v="318"/>
    <x v="317"/>
    <x v="101"/>
    <x v="40"/>
    <x v="316"/>
    <x v="318"/>
    <x v="317"/>
    <x v="317"/>
    <x v="317"/>
    <x v="1"/>
    <x v="0"/>
    <x v="0"/>
  </r>
  <r>
    <x v="319"/>
    <x v="318"/>
    <x v="99"/>
    <x v="40"/>
    <x v="317"/>
    <x v="319"/>
    <x v="318"/>
    <x v="318"/>
    <x v="318"/>
    <x v="1"/>
    <x v="0"/>
    <x v="0"/>
  </r>
  <r>
    <x v="320"/>
    <x v="319"/>
    <x v="102"/>
    <x v="41"/>
    <x v="318"/>
    <x v="320"/>
    <x v="319"/>
    <x v="319"/>
    <x v="319"/>
    <x v="1"/>
    <x v="0"/>
    <x v="0"/>
  </r>
  <r>
    <x v="321"/>
    <x v="320"/>
    <x v="102"/>
    <x v="41"/>
    <x v="319"/>
    <x v="321"/>
    <x v="320"/>
    <x v="320"/>
    <x v="320"/>
    <x v="1"/>
    <x v="0"/>
    <x v="0"/>
  </r>
  <r>
    <x v="322"/>
    <x v="321"/>
    <x v="102"/>
    <x v="41"/>
    <x v="320"/>
    <x v="322"/>
    <x v="321"/>
    <x v="321"/>
    <x v="321"/>
    <x v="1"/>
    <x v="0"/>
    <x v="0"/>
  </r>
  <r>
    <x v="323"/>
    <x v="322"/>
    <x v="102"/>
    <x v="41"/>
    <x v="321"/>
    <x v="323"/>
    <x v="116"/>
    <x v="322"/>
    <x v="322"/>
    <x v="1"/>
    <x v="0"/>
    <x v="0"/>
  </r>
  <r>
    <x v="324"/>
    <x v="323"/>
    <x v="102"/>
    <x v="41"/>
    <x v="322"/>
    <x v="324"/>
    <x v="322"/>
    <x v="323"/>
    <x v="323"/>
    <x v="1"/>
    <x v="0"/>
    <x v="0"/>
  </r>
  <r>
    <x v="325"/>
    <x v="324"/>
    <x v="103"/>
    <x v="41"/>
    <x v="323"/>
    <x v="325"/>
    <x v="323"/>
    <x v="324"/>
    <x v="324"/>
    <x v="1"/>
    <x v="0"/>
    <x v="0"/>
  </r>
  <r>
    <x v="326"/>
    <x v="325"/>
    <x v="104"/>
    <x v="42"/>
    <x v="324"/>
    <x v="326"/>
    <x v="324"/>
    <x v="325"/>
    <x v="325"/>
    <x v="1"/>
    <x v="0"/>
    <x v="0"/>
  </r>
  <r>
    <x v="327"/>
    <x v="326"/>
    <x v="105"/>
    <x v="42"/>
    <x v="325"/>
    <x v="327"/>
    <x v="325"/>
    <x v="326"/>
    <x v="326"/>
    <x v="1"/>
    <x v="0"/>
    <x v="0"/>
  </r>
  <r>
    <x v="328"/>
    <x v="327"/>
    <x v="104"/>
    <x v="42"/>
    <x v="326"/>
    <x v="328"/>
    <x v="326"/>
    <x v="327"/>
    <x v="327"/>
    <x v="1"/>
    <x v="0"/>
    <x v="0"/>
  </r>
  <r>
    <x v="329"/>
    <x v="328"/>
    <x v="104"/>
    <x v="42"/>
    <x v="327"/>
    <x v="329"/>
    <x v="327"/>
    <x v="328"/>
    <x v="328"/>
    <x v="1"/>
    <x v="0"/>
    <x v="0"/>
  </r>
  <r>
    <x v="330"/>
    <x v="329"/>
    <x v="106"/>
    <x v="42"/>
    <x v="328"/>
    <x v="330"/>
    <x v="328"/>
    <x v="329"/>
    <x v="329"/>
    <x v="1"/>
    <x v="0"/>
    <x v="0"/>
  </r>
  <r>
    <x v="331"/>
    <x v="330"/>
    <x v="106"/>
    <x v="42"/>
    <x v="329"/>
    <x v="331"/>
    <x v="329"/>
    <x v="330"/>
    <x v="330"/>
    <x v="1"/>
    <x v="0"/>
    <x v="0"/>
  </r>
  <r>
    <x v="332"/>
    <x v="331"/>
    <x v="106"/>
    <x v="42"/>
    <x v="330"/>
    <x v="332"/>
    <x v="330"/>
    <x v="331"/>
    <x v="331"/>
    <x v="1"/>
    <x v="0"/>
    <x v="0"/>
  </r>
  <r>
    <x v="333"/>
    <x v="332"/>
    <x v="104"/>
    <x v="42"/>
    <x v="331"/>
    <x v="333"/>
    <x v="331"/>
    <x v="332"/>
    <x v="332"/>
    <x v="1"/>
    <x v="0"/>
    <x v="0"/>
  </r>
  <r>
    <x v="334"/>
    <x v="333"/>
    <x v="104"/>
    <x v="42"/>
    <x v="332"/>
    <x v="334"/>
    <x v="332"/>
    <x v="333"/>
    <x v="333"/>
    <x v="1"/>
    <x v="0"/>
    <x v="0"/>
  </r>
  <r>
    <x v="335"/>
    <x v="334"/>
    <x v="107"/>
    <x v="43"/>
    <x v="333"/>
    <x v="335"/>
    <x v="333"/>
    <x v="334"/>
    <x v="334"/>
    <x v="1"/>
    <x v="0"/>
    <x v="0"/>
  </r>
  <r>
    <x v="336"/>
    <x v="335"/>
    <x v="107"/>
    <x v="43"/>
    <x v="334"/>
    <x v="336"/>
    <x v="334"/>
    <x v="335"/>
    <x v="335"/>
    <x v="1"/>
    <x v="0"/>
    <x v="0"/>
  </r>
  <r>
    <x v="337"/>
    <x v="336"/>
    <x v="107"/>
    <x v="43"/>
    <x v="335"/>
    <x v="337"/>
    <x v="335"/>
    <x v="336"/>
    <x v="336"/>
    <x v="1"/>
    <x v="0"/>
    <x v="0"/>
  </r>
  <r>
    <x v="338"/>
    <x v="337"/>
    <x v="108"/>
    <x v="44"/>
    <x v="336"/>
    <x v="338"/>
    <x v="336"/>
    <x v="337"/>
    <x v="337"/>
    <x v="1"/>
    <x v="0"/>
    <x v="0"/>
  </r>
  <r>
    <x v="339"/>
    <x v="338"/>
    <x v="108"/>
    <x v="44"/>
    <x v="337"/>
    <x v="339"/>
    <x v="337"/>
    <x v="338"/>
    <x v="338"/>
    <x v="1"/>
    <x v="0"/>
    <x v="0"/>
  </r>
  <r>
    <x v="340"/>
    <x v="339"/>
    <x v="108"/>
    <x v="44"/>
    <x v="338"/>
    <x v="340"/>
    <x v="338"/>
    <x v="339"/>
    <x v="339"/>
    <x v="1"/>
    <x v="0"/>
    <x v="0"/>
  </r>
  <r>
    <x v="341"/>
    <x v="340"/>
    <x v="108"/>
    <x v="44"/>
    <x v="339"/>
    <x v="341"/>
    <x v="339"/>
    <x v="340"/>
    <x v="340"/>
    <x v="1"/>
    <x v="0"/>
    <x v="0"/>
  </r>
  <r>
    <x v="342"/>
    <x v="341"/>
    <x v="108"/>
    <x v="44"/>
    <x v="340"/>
    <x v="342"/>
    <x v="340"/>
    <x v="341"/>
    <x v="341"/>
    <x v="1"/>
    <x v="0"/>
    <x v="0"/>
  </r>
  <r>
    <x v="343"/>
    <x v="342"/>
    <x v="108"/>
    <x v="44"/>
    <x v="341"/>
    <x v="343"/>
    <x v="341"/>
    <x v="342"/>
    <x v="342"/>
    <x v="1"/>
    <x v="0"/>
    <x v="0"/>
  </r>
  <r>
    <x v="344"/>
    <x v="343"/>
    <x v="109"/>
    <x v="44"/>
    <x v="342"/>
    <x v="344"/>
    <x v="342"/>
    <x v="343"/>
    <x v="343"/>
    <x v="1"/>
    <x v="0"/>
    <x v="0"/>
  </r>
  <r>
    <x v="345"/>
    <x v="344"/>
    <x v="109"/>
    <x v="44"/>
    <x v="343"/>
    <x v="345"/>
    <x v="343"/>
    <x v="344"/>
    <x v="344"/>
    <x v="1"/>
    <x v="0"/>
    <x v="0"/>
  </r>
  <r>
    <x v="346"/>
    <x v="345"/>
    <x v="109"/>
    <x v="44"/>
    <x v="344"/>
    <x v="346"/>
    <x v="344"/>
    <x v="345"/>
    <x v="345"/>
    <x v="1"/>
    <x v="0"/>
    <x v="0"/>
  </r>
  <r>
    <x v="347"/>
    <x v="346"/>
    <x v="108"/>
    <x v="44"/>
    <x v="345"/>
    <x v="347"/>
    <x v="345"/>
    <x v="346"/>
    <x v="346"/>
    <x v="1"/>
    <x v="0"/>
    <x v="0"/>
  </r>
  <r>
    <x v="348"/>
    <x v="347"/>
    <x v="110"/>
    <x v="44"/>
    <x v="346"/>
    <x v="348"/>
    <x v="346"/>
    <x v="347"/>
    <x v="347"/>
    <x v="1"/>
    <x v="0"/>
    <x v="0"/>
  </r>
  <r>
    <x v="349"/>
    <x v="348"/>
    <x v="108"/>
    <x v="44"/>
    <x v="347"/>
    <x v="349"/>
    <x v="347"/>
    <x v="348"/>
    <x v="348"/>
    <x v="1"/>
    <x v="0"/>
    <x v="0"/>
  </r>
  <r>
    <x v="350"/>
    <x v="349"/>
    <x v="108"/>
    <x v="44"/>
    <x v="348"/>
    <x v="350"/>
    <x v="348"/>
    <x v="349"/>
    <x v="349"/>
    <x v="1"/>
    <x v="0"/>
    <x v="0"/>
  </r>
  <r>
    <x v="351"/>
    <x v="350"/>
    <x v="111"/>
    <x v="45"/>
    <x v="349"/>
    <x v="351"/>
    <x v="349"/>
    <x v="350"/>
    <x v="350"/>
    <x v="1"/>
    <x v="0"/>
    <x v="0"/>
  </r>
  <r>
    <x v="352"/>
    <x v="351"/>
    <x v="112"/>
    <x v="45"/>
    <x v="350"/>
    <x v="352"/>
    <x v="350"/>
    <x v="351"/>
    <x v="351"/>
    <x v="1"/>
    <x v="0"/>
    <x v="0"/>
  </r>
  <r>
    <x v="353"/>
    <x v="352"/>
    <x v="112"/>
    <x v="45"/>
    <x v="351"/>
    <x v="353"/>
    <x v="351"/>
    <x v="352"/>
    <x v="352"/>
    <x v="1"/>
    <x v="0"/>
    <x v="0"/>
  </r>
  <r>
    <x v="354"/>
    <x v="353"/>
    <x v="111"/>
    <x v="45"/>
    <x v="352"/>
    <x v="354"/>
    <x v="352"/>
    <x v="353"/>
    <x v="353"/>
    <x v="1"/>
    <x v="0"/>
    <x v="0"/>
  </r>
  <r>
    <x v="355"/>
    <x v="354"/>
    <x v="111"/>
    <x v="45"/>
    <x v="353"/>
    <x v="355"/>
    <x v="353"/>
    <x v="354"/>
    <x v="354"/>
    <x v="1"/>
    <x v="0"/>
    <x v="0"/>
  </r>
  <r>
    <x v="356"/>
    <x v="355"/>
    <x v="111"/>
    <x v="45"/>
    <x v="354"/>
    <x v="356"/>
    <x v="354"/>
    <x v="355"/>
    <x v="355"/>
    <x v="1"/>
    <x v="0"/>
    <x v="0"/>
  </r>
  <r>
    <x v="357"/>
    <x v="356"/>
    <x v="111"/>
    <x v="45"/>
    <x v="355"/>
    <x v="357"/>
    <x v="355"/>
    <x v="356"/>
    <x v="356"/>
    <x v="1"/>
    <x v="0"/>
    <x v="0"/>
  </r>
  <r>
    <x v="358"/>
    <x v="357"/>
    <x v="111"/>
    <x v="45"/>
    <x v="356"/>
    <x v="358"/>
    <x v="356"/>
    <x v="357"/>
    <x v="357"/>
    <x v="1"/>
    <x v="0"/>
    <x v="0"/>
  </r>
  <r>
    <x v="359"/>
    <x v="358"/>
    <x v="111"/>
    <x v="45"/>
    <x v="357"/>
    <x v="359"/>
    <x v="357"/>
    <x v="358"/>
    <x v="358"/>
    <x v="1"/>
    <x v="0"/>
    <x v="0"/>
  </r>
  <r>
    <x v="360"/>
    <x v="359"/>
    <x v="111"/>
    <x v="45"/>
    <x v="358"/>
    <x v="360"/>
    <x v="358"/>
    <x v="359"/>
    <x v="359"/>
    <x v="1"/>
    <x v="0"/>
    <x v="0"/>
  </r>
  <r>
    <x v="361"/>
    <x v="360"/>
    <x v="111"/>
    <x v="45"/>
    <x v="359"/>
    <x v="361"/>
    <x v="359"/>
    <x v="360"/>
    <x v="360"/>
    <x v="1"/>
    <x v="0"/>
    <x v="0"/>
  </r>
  <r>
    <x v="362"/>
    <x v="361"/>
    <x v="111"/>
    <x v="45"/>
    <x v="360"/>
    <x v="362"/>
    <x v="360"/>
    <x v="361"/>
    <x v="361"/>
    <x v="1"/>
    <x v="0"/>
    <x v="0"/>
  </r>
  <r>
    <x v="363"/>
    <x v="362"/>
    <x v="113"/>
    <x v="46"/>
    <x v="361"/>
    <x v="363"/>
    <x v="361"/>
    <x v="362"/>
    <x v="362"/>
    <x v="1"/>
    <x v="0"/>
    <x v="0"/>
  </r>
  <r>
    <x v="364"/>
    <x v="363"/>
    <x v="113"/>
    <x v="46"/>
    <x v="362"/>
    <x v="364"/>
    <x v="362"/>
    <x v="363"/>
    <x v="363"/>
    <x v="1"/>
    <x v="0"/>
    <x v="0"/>
  </r>
  <r>
    <x v="365"/>
    <x v="364"/>
    <x v="113"/>
    <x v="46"/>
    <x v="363"/>
    <x v="365"/>
    <x v="363"/>
    <x v="364"/>
    <x v="364"/>
    <x v="1"/>
    <x v="0"/>
    <x v="0"/>
  </r>
  <r>
    <x v="366"/>
    <x v="365"/>
    <x v="113"/>
    <x v="46"/>
    <x v="364"/>
    <x v="366"/>
    <x v="364"/>
    <x v="365"/>
    <x v="365"/>
    <x v="1"/>
    <x v="0"/>
    <x v="0"/>
  </r>
  <r>
    <x v="367"/>
    <x v="366"/>
    <x v="113"/>
    <x v="46"/>
    <x v="365"/>
    <x v="367"/>
    <x v="365"/>
    <x v="366"/>
    <x v="366"/>
    <x v="1"/>
    <x v="0"/>
    <x v="0"/>
  </r>
  <r>
    <x v="368"/>
    <x v="367"/>
    <x v="113"/>
    <x v="46"/>
    <x v="366"/>
    <x v="368"/>
    <x v="366"/>
    <x v="367"/>
    <x v="367"/>
    <x v="1"/>
    <x v="0"/>
    <x v="0"/>
  </r>
  <r>
    <x v="369"/>
    <x v="368"/>
    <x v="114"/>
    <x v="47"/>
    <x v="367"/>
    <x v="369"/>
    <x v="367"/>
    <x v="368"/>
    <x v="368"/>
    <x v="1"/>
    <x v="0"/>
    <x v="0"/>
  </r>
  <r>
    <x v="370"/>
    <x v="369"/>
    <x v="114"/>
    <x v="47"/>
    <x v="368"/>
    <x v="370"/>
    <x v="368"/>
    <x v="369"/>
    <x v="369"/>
    <x v="1"/>
    <x v="0"/>
    <x v="0"/>
  </r>
  <r>
    <x v="371"/>
    <x v="370"/>
    <x v="115"/>
    <x v="47"/>
    <x v="369"/>
    <x v="371"/>
    <x v="369"/>
    <x v="370"/>
    <x v="370"/>
    <x v="1"/>
    <x v="0"/>
    <x v="0"/>
  </r>
  <r>
    <x v="372"/>
    <x v="371"/>
    <x v="116"/>
    <x v="47"/>
    <x v="370"/>
    <x v="372"/>
    <x v="370"/>
    <x v="371"/>
    <x v="371"/>
    <x v="1"/>
    <x v="0"/>
    <x v="0"/>
  </r>
  <r>
    <x v="373"/>
    <x v="372"/>
    <x v="116"/>
    <x v="47"/>
    <x v="371"/>
    <x v="373"/>
    <x v="371"/>
    <x v="372"/>
    <x v="372"/>
    <x v="1"/>
    <x v="0"/>
    <x v="0"/>
  </r>
  <r>
    <x v="374"/>
    <x v="373"/>
    <x v="116"/>
    <x v="47"/>
    <x v="372"/>
    <x v="374"/>
    <x v="372"/>
    <x v="373"/>
    <x v="373"/>
    <x v="1"/>
    <x v="0"/>
    <x v="0"/>
  </r>
  <r>
    <x v="375"/>
    <x v="374"/>
    <x v="114"/>
    <x v="47"/>
    <x v="373"/>
    <x v="375"/>
    <x v="373"/>
    <x v="374"/>
    <x v="374"/>
    <x v="1"/>
    <x v="0"/>
    <x v="0"/>
  </r>
  <r>
    <x v="376"/>
    <x v="375"/>
    <x v="117"/>
    <x v="48"/>
    <x v="373"/>
    <x v="376"/>
    <x v="374"/>
    <x v="375"/>
    <x v="375"/>
    <x v="1"/>
    <x v="0"/>
    <x v="0"/>
  </r>
  <r>
    <x v="377"/>
    <x v="376"/>
    <x v="117"/>
    <x v="48"/>
    <x v="374"/>
    <x v="377"/>
    <x v="375"/>
    <x v="376"/>
    <x v="376"/>
    <x v="1"/>
    <x v="0"/>
    <x v="0"/>
  </r>
  <r>
    <x v="378"/>
    <x v="377"/>
    <x v="117"/>
    <x v="48"/>
    <x v="375"/>
    <x v="378"/>
    <x v="376"/>
    <x v="377"/>
    <x v="377"/>
    <x v="1"/>
    <x v="0"/>
    <x v="0"/>
  </r>
  <r>
    <x v="379"/>
    <x v="378"/>
    <x v="117"/>
    <x v="48"/>
    <x v="376"/>
    <x v="379"/>
    <x v="377"/>
    <x v="378"/>
    <x v="378"/>
    <x v="1"/>
    <x v="0"/>
    <x v="0"/>
  </r>
  <r>
    <x v="380"/>
    <x v="379"/>
    <x v="108"/>
    <x v="49"/>
    <x v="377"/>
    <x v="380"/>
    <x v="378"/>
    <x v="379"/>
    <x v="379"/>
    <x v="1"/>
    <x v="0"/>
    <x v="0"/>
  </r>
  <r>
    <x v="381"/>
    <x v="380"/>
    <x v="118"/>
    <x v="49"/>
    <x v="378"/>
    <x v="381"/>
    <x v="379"/>
    <x v="380"/>
    <x v="380"/>
    <x v="1"/>
    <x v="0"/>
    <x v="0"/>
  </r>
  <r>
    <x v="382"/>
    <x v="381"/>
    <x v="118"/>
    <x v="49"/>
    <x v="379"/>
    <x v="382"/>
    <x v="380"/>
    <x v="381"/>
    <x v="381"/>
    <x v="1"/>
    <x v="0"/>
    <x v="0"/>
  </r>
  <r>
    <x v="383"/>
    <x v="382"/>
    <x v="118"/>
    <x v="49"/>
    <x v="380"/>
    <x v="383"/>
    <x v="381"/>
    <x v="382"/>
    <x v="382"/>
    <x v="1"/>
    <x v="0"/>
    <x v="0"/>
  </r>
  <r>
    <x v="384"/>
    <x v="383"/>
    <x v="118"/>
    <x v="49"/>
    <x v="381"/>
    <x v="384"/>
    <x v="382"/>
    <x v="383"/>
    <x v="383"/>
    <x v="1"/>
    <x v="0"/>
    <x v="0"/>
  </r>
  <r>
    <x v="385"/>
    <x v="384"/>
    <x v="118"/>
    <x v="49"/>
    <x v="382"/>
    <x v="385"/>
    <x v="383"/>
    <x v="384"/>
    <x v="384"/>
    <x v="1"/>
    <x v="0"/>
    <x v="0"/>
  </r>
  <r>
    <x v="386"/>
    <x v="385"/>
    <x v="119"/>
    <x v="49"/>
    <x v="383"/>
    <x v="386"/>
    <x v="384"/>
    <x v="385"/>
    <x v="385"/>
    <x v="1"/>
    <x v="0"/>
    <x v="0"/>
  </r>
  <r>
    <x v="387"/>
    <x v="386"/>
    <x v="120"/>
    <x v="50"/>
    <x v="384"/>
    <x v="387"/>
    <x v="385"/>
    <x v="386"/>
    <x v="386"/>
    <x v="1"/>
    <x v="0"/>
    <x v="0"/>
  </r>
  <r>
    <x v="388"/>
    <x v="387"/>
    <x v="120"/>
    <x v="50"/>
    <x v="385"/>
    <x v="388"/>
    <x v="386"/>
    <x v="387"/>
    <x v="387"/>
    <x v="1"/>
    <x v="0"/>
    <x v="0"/>
  </r>
  <r>
    <x v="389"/>
    <x v="388"/>
    <x v="121"/>
    <x v="50"/>
    <x v="386"/>
    <x v="389"/>
    <x v="387"/>
    <x v="388"/>
    <x v="388"/>
    <x v="1"/>
    <x v="0"/>
    <x v="0"/>
  </r>
  <r>
    <x v="390"/>
    <x v="389"/>
    <x v="121"/>
    <x v="50"/>
    <x v="387"/>
    <x v="390"/>
    <x v="388"/>
    <x v="389"/>
    <x v="389"/>
    <x v="1"/>
    <x v="0"/>
    <x v="0"/>
  </r>
  <r>
    <x v="391"/>
    <x v="390"/>
    <x v="122"/>
    <x v="51"/>
    <x v="388"/>
    <x v="391"/>
    <x v="389"/>
    <x v="390"/>
    <x v="390"/>
    <x v="1"/>
    <x v="0"/>
    <x v="0"/>
  </r>
  <r>
    <x v="392"/>
    <x v="391"/>
    <x v="123"/>
    <x v="51"/>
    <x v="389"/>
    <x v="392"/>
    <x v="390"/>
    <x v="391"/>
    <x v="391"/>
    <x v="1"/>
    <x v="0"/>
    <x v="0"/>
  </r>
  <r>
    <x v="393"/>
    <x v="392"/>
    <x v="123"/>
    <x v="51"/>
    <x v="390"/>
    <x v="393"/>
    <x v="391"/>
    <x v="392"/>
    <x v="392"/>
    <x v="1"/>
    <x v="0"/>
    <x v="0"/>
  </r>
  <r>
    <x v="394"/>
    <x v="393"/>
    <x v="123"/>
    <x v="51"/>
    <x v="391"/>
    <x v="394"/>
    <x v="392"/>
    <x v="393"/>
    <x v="393"/>
    <x v="1"/>
    <x v="0"/>
    <x v="0"/>
  </r>
  <r>
    <x v="395"/>
    <x v="365"/>
    <x v="123"/>
    <x v="51"/>
    <x v="364"/>
    <x v="395"/>
    <x v="393"/>
    <x v="365"/>
    <x v="365"/>
    <x v="1"/>
    <x v="0"/>
    <x v="0"/>
  </r>
  <r>
    <x v="396"/>
    <x v="394"/>
    <x v="124"/>
    <x v="51"/>
    <x v="392"/>
    <x v="396"/>
    <x v="394"/>
    <x v="394"/>
    <x v="394"/>
    <x v="1"/>
    <x v="0"/>
    <x v="0"/>
  </r>
  <r>
    <x v="397"/>
    <x v="395"/>
    <x v="125"/>
    <x v="51"/>
    <x v="392"/>
    <x v="397"/>
    <x v="395"/>
    <x v="395"/>
    <x v="395"/>
    <x v="1"/>
    <x v="0"/>
    <x v="0"/>
  </r>
  <r>
    <x v="398"/>
    <x v="396"/>
    <x v="122"/>
    <x v="51"/>
    <x v="393"/>
    <x v="398"/>
    <x v="396"/>
    <x v="396"/>
    <x v="396"/>
    <x v="1"/>
    <x v="0"/>
    <x v="0"/>
  </r>
  <r>
    <x v="399"/>
    <x v="397"/>
    <x v="126"/>
    <x v="51"/>
    <x v="394"/>
    <x v="399"/>
    <x v="397"/>
    <x v="397"/>
    <x v="397"/>
    <x v="1"/>
    <x v="0"/>
    <x v="0"/>
  </r>
  <r>
    <x v="400"/>
    <x v="398"/>
    <x v="122"/>
    <x v="51"/>
    <x v="395"/>
    <x v="400"/>
    <x v="398"/>
    <x v="398"/>
    <x v="398"/>
    <x v="1"/>
    <x v="0"/>
    <x v="0"/>
  </r>
  <r>
    <x v="401"/>
    <x v="399"/>
    <x v="125"/>
    <x v="51"/>
    <x v="396"/>
    <x v="401"/>
    <x v="399"/>
    <x v="399"/>
    <x v="399"/>
    <x v="1"/>
    <x v="0"/>
    <x v="0"/>
  </r>
  <r>
    <x v="402"/>
    <x v="400"/>
    <x v="122"/>
    <x v="51"/>
    <x v="397"/>
    <x v="402"/>
    <x v="400"/>
    <x v="400"/>
    <x v="400"/>
    <x v="1"/>
    <x v="0"/>
    <x v="0"/>
  </r>
  <r>
    <x v="403"/>
    <x v="401"/>
    <x v="127"/>
    <x v="51"/>
    <x v="398"/>
    <x v="403"/>
    <x v="401"/>
    <x v="401"/>
    <x v="401"/>
    <x v="1"/>
    <x v="0"/>
    <x v="0"/>
  </r>
  <r>
    <x v="404"/>
    <x v="402"/>
    <x v="122"/>
    <x v="51"/>
    <x v="399"/>
    <x v="404"/>
    <x v="402"/>
    <x v="402"/>
    <x v="402"/>
    <x v="1"/>
    <x v="0"/>
    <x v="0"/>
  </r>
  <r>
    <x v="405"/>
    <x v="403"/>
    <x v="122"/>
    <x v="51"/>
    <x v="400"/>
    <x v="405"/>
    <x v="403"/>
    <x v="403"/>
    <x v="403"/>
    <x v="1"/>
    <x v="0"/>
    <x v="0"/>
  </r>
  <r>
    <x v="406"/>
    <x v="404"/>
    <x v="128"/>
    <x v="51"/>
    <x v="401"/>
    <x v="406"/>
    <x v="404"/>
    <x v="404"/>
    <x v="404"/>
    <x v="1"/>
    <x v="0"/>
    <x v="0"/>
  </r>
  <r>
    <x v="407"/>
    <x v="405"/>
    <x v="128"/>
    <x v="51"/>
    <x v="402"/>
    <x v="407"/>
    <x v="405"/>
    <x v="405"/>
    <x v="405"/>
    <x v="1"/>
    <x v="0"/>
    <x v="0"/>
  </r>
  <r>
    <x v="408"/>
    <x v="406"/>
    <x v="129"/>
    <x v="52"/>
    <x v="403"/>
    <x v="408"/>
    <x v="406"/>
    <x v="406"/>
    <x v="406"/>
    <x v="1"/>
    <x v="0"/>
    <x v="0"/>
  </r>
  <r>
    <x v="409"/>
    <x v="407"/>
    <x v="129"/>
    <x v="52"/>
    <x v="404"/>
    <x v="409"/>
    <x v="407"/>
    <x v="407"/>
    <x v="407"/>
    <x v="1"/>
    <x v="0"/>
    <x v="0"/>
  </r>
  <r>
    <x v="410"/>
    <x v="408"/>
    <x v="129"/>
    <x v="52"/>
    <x v="405"/>
    <x v="410"/>
    <x v="408"/>
    <x v="408"/>
    <x v="408"/>
    <x v="1"/>
    <x v="0"/>
    <x v="0"/>
  </r>
  <r>
    <x v="411"/>
    <x v="409"/>
    <x v="129"/>
    <x v="52"/>
    <x v="406"/>
    <x v="411"/>
    <x v="409"/>
    <x v="409"/>
    <x v="409"/>
    <x v="1"/>
    <x v="0"/>
    <x v="0"/>
  </r>
  <r>
    <x v="412"/>
    <x v="410"/>
    <x v="129"/>
    <x v="52"/>
    <x v="407"/>
    <x v="412"/>
    <x v="410"/>
    <x v="410"/>
    <x v="410"/>
    <x v="1"/>
    <x v="0"/>
    <x v="0"/>
  </r>
  <r>
    <x v="413"/>
    <x v="411"/>
    <x v="129"/>
    <x v="52"/>
    <x v="408"/>
    <x v="413"/>
    <x v="411"/>
    <x v="411"/>
    <x v="411"/>
    <x v="1"/>
    <x v="0"/>
    <x v="0"/>
  </r>
  <r>
    <x v="414"/>
    <x v="412"/>
    <x v="129"/>
    <x v="52"/>
    <x v="409"/>
    <x v="414"/>
    <x v="412"/>
    <x v="412"/>
    <x v="412"/>
    <x v="1"/>
    <x v="0"/>
    <x v="0"/>
  </r>
  <r>
    <x v="415"/>
    <x v="413"/>
    <x v="129"/>
    <x v="52"/>
    <x v="410"/>
    <x v="415"/>
    <x v="413"/>
    <x v="413"/>
    <x v="413"/>
    <x v="1"/>
    <x v="0"/>
    <x v="0"/>
  </r>
  <r>
    <x v="416"/>
    <x v="414"/>
    <x v="130"/>
    <x v="52"/>
    <x v="411"/>
    <x v="416"/>
    <x v="414"/>
    <x v="414"/>
    <x v="414"/>
    <x v="1"/>
    <x v="0"/>
    <x v="0"/>
  </r>
  <r>
    <x v="417"/>
    <x v="415"/>
    <x v="129"/>
    <x v="52"/>
    <x v="412"/>
    <x v="417"/>
    <x v="415"/>
    <x v="415"/>
    <x v="415"/>
    <x v="1"/>
    <x v="0"/>
    <x v="0"/>
  </r>
  <r>
    <x v="418"/>
    <x v="416"/>
    <x v="129"/>
    <x v="52"/>
    <x v="413"/>
    <x v="418"/>
    <x v="416"/>
    <x v="416"/>
    <x v="416"/>
    <x v="1"/>
    <x v="0"/>
    <x v="0"/>
  </r>
  <r>
    <x v="419"/>
    <x v="417"/>
    <x v="131"/>
    <x v="52"/>
    <x v="414"/>
    <x v="419"/>
    <x v="417"/>
    <x v="417"/>
    <x v="417"/>
    <x v="1"/>
    <x v="0"/>
    <x v="0"/>
  </r>
  <r>
    <x v="420"/>
    <x v="418"/>
    <x v="129"/>
    <x v="52"/>
    <x v="415"/>
    <x v="420"/>
    <x v="418"/>
    <x v="418"/>
    <x v="418"/>
    <x v="1"/>
    <x v="0"/>
    <x v="0"/>
  </r>
  <r>
    <x v="421"/>
    <x v="419"/>
    <x v="129"/>
    <x v="52"/>
    <x v="416"/>
    <x v="421"/>
    <x v="419"/>
    <x v="419"/>
    <x v="419"/>
    <x v="1"/>
    <x v="0"/>
    <x v="0"/>
  </r>
  <r>
    <x v="422"/>
    <x v="420"/>
    <x v="132"/>
    <x v="52"/>
    <x v="417"/>
    <x v="422"/>
    <x v="420"/>
    <x v="420"/>
    <x v="420"/>
    <x v="1"/>
    <x v="0"/>
    <x v="0"/>
  </r>
  <r>
    <x v="423"/>
    <x v="421"/>
    <x v="130"/>
    <x v="52"/>
    <x v="418"/>
    <x v="423"/>
    <x v="421"/>
    <x v="421"/>
    <x v="421"/>
    <x v="1"/>
    <x v="0"/>
    <x v="0"/>
  </r>
  <r>
    <x v="424"/>
    <x v="422"/>
    <x v="129"/>
    <x v="52"/>
    <x v="419"/>
    <x v="424"/>
    <x v="422"/>
    <x v="422"/>
    <x v="422"/>
    <x v="1"/>
    <x v="0"/>
    <x v="0"/>
  </r>
  <r>
    <x v="425"/>
    <x v="423"/>
    <x v="133"/>
    <x v="53"/>
    <x v="420"/>
    <x v="425"/>
    <x v="423"/>
    <x v="423"/>
    <x v="423"/>
    <x v="1"/>
    <x v="0"/>
    <x v="0"/>
  </r>
  <r>
    <x v="426"/>
    <x v="424"/>
    <x v="133"/>
    <x v="53"/>
    <x v="421"/>
    <x v="426"/>
    <x v="424"/>
    <x v="424"/>
    <x v="424"/>
    <x v="1"/>
    <x v="0"/>
    <x v="0"/>
  </r>
  <r>
    <x v="427"/>
    <x v="425"/>
    <x v="133"/>
    <x v="53"/>
    <x v="422"/>
    <x v="427"/>
    <x v="425"/>
    <x v="425"/>
    <x v="425"/>
    <x v="1"/>
    <x v="0"/>
    <x v="0"/>
  </r>
  <r>
    <x v="428"/>
    <x v="426"/>
    <x v="129"/>
    <x v="52"/>
    <x v="423"/>
    <x v="428"/>
    <x v="426"/>
    <x v="426"/>
    <x v="426"/>
    <x v="1"/>
    <x v="0"/>
    <x v="0"/>
  </r>
  <r>
    <x v="429"/>
    <x v="427"/>
    <x v="129"/>
    <x v="52"/>
    <x v="424"/>
    <x v="429"/>
    <x v="427"/>
    <x v="427"/>
    <x v="427"/>
    <x v="1"/>
    <x v="0"/>
    <x v="0"/>
  </r>
  <r>
    <x v="430"/>
    <x v="428"/>
    <x v="134"/>
    <x v="52"/>
    <x v="425"/>
    <x v="430"/>
    <x v="428"/>
    <x v="428"/>
    <x v="428"/>
    <x v="1"/>
    <x v="0"/>
    <x v="0"/>
  </r>
  <r>
    <x v="431"/>
    <x v="429"/>
    <x v="129"/>
    <x v="52"/>
    <x v="426"/>
    <x v="431"/>
    <x v="429"/>
    <x v="429"/>
    <x v="429"/>
    <x v="1"/>
    <x v="0"/>
    <x v="0"/>
  </r>
  <r>
    <x v="432"/>
    <x v="430"/>
    <x v="129"/>
    <x v="52"/>
    <x v="427"/>
    <x v="432"/>
    <x v="430"/>
    <x v="430"/>
    <x v="430"/>
    <x v="1"/>
    <x v="0"/>
    <x v="0"/>
  </r>
  <r>
    <x v="433"/>
    <x v="431"/>
    <x v="135"/>
    <x v="54"/>
    <x v="428"/>
    <x v="433"/>
    <x v="428"/>
    <x v="431"/>
    <x v="431"/>
    <x v="1"/>
    <x v="0"/>
    <x v="0"/>
  </r>
  <r>
    <x v="434"/>
    <x v="432"/>
    <x v="135"/>
    <x v="54"/>
    <x v="429"/>
    <x v="434"/>
    <x v="431"/>
    <x v="432"/>
    <x v="432"/>
    <x v="1"/>
    <x v="0"/>
    <x v="0"/>
  </r>
  <r>
    <x v="435"/>
    <x v="433"/>
    <x v="135"/>
    <x v="54"/>
    <x v="430"/>
    <x v="435"/>
    <x v="432"/>
    <x v="433"/>
    <x v="433"/>
    <x v="1"/>
    <x v="0"/>
    <x v="0"/>
  </r>
  <r>
    <x v="436"/>
    <x v="434"/>
    <x v="136"/>
    <x v="54"/>
    <x v="431"/>
    <x v="436"/>
    <x v="433"/>
    <x v="434"/>
    <x v="434"/>
    <x v="1"/>
    <x v="0"/>
    <x v="0"/>
  </r>
  <r>
    <x v="437"/>
    <x v="435"/>
    <x v="129"/>
    <x v="55"/>
    <x v="432"/>
    <x v="437"/>
    <x v="434"/>
    <x v="435"/>
    <x v="435"/>
    <x v="1"/>
    <x v="0"/>
    <x v="0"/>
  </r>
  <r>
    <x v="438"/>
    <x v="436"/>
    <x v="137"/>
    <x v="55"/>
    <x v="433"/>
    <x v="438"/>
    <x v="435"/>
    <x v="436"/>
    <x v="436"/>
    <x v="1"/>
    <x v="0"/>
    <x v="0"/>
  </r>
  <r>
    <x v="439"/>
    <x v="437"/>
    <x v="137"/>
    <x v="55"/>
    <x v="434"/>
    <x v="439"/>
    <x v="436"/>
    <x v="437"/>
    <x v="437"/>
    <x v="1"/>
    <x v="0"/>
    <x v="0"/>
  </r>
  <r>
    <x v="440"/>
    <x v="438"/>
    <x v="137"/>
    <x v="55"/>
    <x v="435"/>
    <x v="440"/>
    <x v="437"/>
    <x v="438"/>
    <x v="438"/>
    <x v="1"/>
    <x v="0"/>
    <x v="0"/>
  </r>
  <r>
    <x v="441"/>
    <x v="439"/>
    <x v="137"/>
    <x v="55"/>
    <x v="436"/>
    <x v="441"/>
    <x v="438"/>
    <x v="439"/>
    <x v="439"/>
    <x v="1"/>
    <x v="0"/>
    <x v="0"/>
  </r>
  <r>
    <x v="442"/>
    <x v="440"/>
    <x v="138"/>
    <x v="55"/>
    <x v="437"/>
    <x v="442"/>
    <x v="439"/>
    <x v="440"/>
    <x v="440"/>
    <x v="1"/>
    <x v="0"/>
    <x v="0"/>
  </r>
  <r>
    <x v="443"/>
    <x v="441"/>
    <x v="138"/>
    <x v="55"/>
    <x v="438"/>
    <x v="443"/>
    <x v="440"/>
    <x v="441"/>
    <x v="441"/>
    <x v="1"/>
    <x v="0"/>
    <x v="0"/>
  </r>
  <r>
    <x v="444"/>
    <x v="442"/>
    <x v="138"/>
    <x v="55"/>
    <x v="439"/>
    <x v="444"/>
    <x v="441"/>
    <x v="442"/>
    <x v="442"/>
    <x v="1"/>
    <x v="0"/>
    <x v="0"/>
  </r>
  <r>
    <x v="445"/>
    <x v="443"/>
    <x v="138"/>
    <x v="55"/>
    <x v="440"/>
    <x v="445"/>
    <x v="442"/>
    <x v="443"/>
    <x v="443"/>
    <x v="1"/>
    <x v="0"/>
    <x v="0"/>
  </r>
  <r>
    <x v="446"/>
    <x v="444"/>
    <x v="138"/>
    <x v="55"/>
    <x v="441"/>
    <x v="446"/>
    <x v="443"/>
    <x v="444"/>
    <x v="444"/>
    <x v="1"/>
    <x v="0"/>
    <x v="0"/>
  </r>
  <r>
    <x v="447"/>
    <x v="445"/>
    <x v="138"/>
    <x v="55"/>
    <x v="442"/>
    <x v="447"/>
    <x v="444"/>
    <x v="445"/>
    <x v="445"/>
    <x v="1"/>
    <x v="0"/>
    <x v="0"/>
  </r>
  <r>
    <x v="448"/>
    <x v="446"/>
    <x v="138"/>
    <x v="55"/>
    <x v="443"/>
    <x v="448"/>
    <x v="445"/>
    <x v="446"/>
    <x v="446"/>
    <x v="1"/>
    <x v="0"/>
    <x v="0"/>
  </r>
  <r>
    <x v="449"/>
    <x v="447"/>
    <x v="139"/>
    <x v="56"/>
    <x v="444"/>
    <x v="449"/>
    <x v="446"/>
    <x v="447"/>
    <x v="447"/>
    <x v="1"/>
    <x v="0"/>
    <x v="0"/>
  </r>
  <r>
    <x v="450"/>
    <x v="448"/>
    <x v="139"/>
    <x v="56"/>
    <x v="445"/>
    <x v="450"/>
    <x v="447"/>
    <x v="448"/>
    <x v="448"/>
    <x v="1"/>
    <x v="0"/>
    <x v="0"/>
  </r>
  <r>
    <x v="451"/>
    <x v="449"/>
    <x v="139"/>
    <x v="56"/>
    <x v="446"/>
    <x v="451"/>
    <x v="448"/>
    <x v="449"/>
    <x v="449"/>
    <x v="1"/>
    <x v="0"/>
    <x v="0"/>
  </r>
  <r>
    <x v="452"/>
    <x v="450"/>
    <x v="140"/>
    <x v="57"/>
    <x v="447"/>
    <x v="452"/>
    <x v="449"/>
    <x v="450"/>
    <x v="450"/>
    <x v="1"/>
    <x v="0"/>
    <x v="0"/>
  </r>
  <r>
    <x v="453"/>
    <x v="451"/>
    <x v="140"/>
    <x v="57"/>
    <x v="448"/>
    <x v="453"/>
    <x v="450"/>
    <x v="451"/>
    <x v="451"/>
    <x v="1"/>
    <x v="0"/>
    <x v="0"/>
  </r>
  <r>
    <x v="454"/>
    <x v="452"/>
    <x v="140"/>
    <x v="57"/>
    <x v="449"/>
    <x v="454"/>
    <x v="451"/>
    <x v="452"/>
    <x v="452"/>
    <x v="1"/>
    <x v="0"/>
    <x v="0"/>
  </r>
  <r>
    <x v="455"/>
    <x v="453"/>
    <x v="140"/>
    <x v="57"/>
    <x v="450"/>
    <x v="455"/>
    <x v="452"/>
    <x v="453"/>
    <x v="453"/>
    <x v="1"/>
    <x v="0"/>
    <x v="0"/>
  </r>
  <r>
    <x v="456"/>
    <x v="454"/>
    <x v="140"/>
    <x v="57"/>
    <x v="451"/>
    <x v="456"/>
    <x v="453"/>
    <x v="454"/>
    <x v="454"/>
    <x v="1"/>
    <x v="0"/>
    <x v="0"/>
  </r>
  <r>
    <x v="457"/>
    <x v="455"/>
    <x v="141"/>
    <x v="57"/>
    <x v="452"/>
    <x v="457"/>
    <x v="454"/>
    <x v="455"/>
    <x v="455"/>
    <x v="1"/>
    <x v="0"/>
    <x v="0"/>
  </r>
  <r>
    <x v="458"/>
    <x v="456"/>
    <x v="142"/>
    <x v="58"/>
    <x v="453"/>
    <x v="458"/>
    <x v="455"/>
    <x v="456"/>
    <x v="456"/>
    <x v="1"/>
    <x v="0"/>
    <x v="0"/>
  </r>
  <r>
    <x v="459"/>
    <x v="457"/>
    <x v="142"/>
    <x v="58"/>
    <x v="454"/>
    <x v="459"/>
    <x v="456"/>
    <x v="457"/>
    <x v="457"/>
    <x v="1"/>
    <x v="0"/>
    <x v="0"/>
  </r>
  <r>
    <x v="460"/>
    <x v="458"/>
    <x v="143"/>
    <x v="58"/>
    <x v="455"/>
    <x v="460"/>
    <x v="457"/>
    <x v="458"/>
    <x v="458"/>
    <x v="1"/>
    <x v="0"/>
    <x v="0"/>
  </r>
  <r>
    <x v="461"/>
    <x v="459"/>
    <x v="144"/>
    <x v="59"/>
    <x v="456"/>
    <x v="461"/>
    <x v="458"/>
    <x v="459"/>
    <x v="459"/>
    <x v="1"/>
    <x v="0"/>
    <x v="0"/>
  </r>
  <r>
    <x v="462"/>
    <x v="460"/>
    <x v="144"/>
    <x v="59"/>
    <x v="457"/>
    <x v="462"/>
    <x v="459"/>
    <x v="460"/>
    <x v="460"/>
    <x v="1"/>
    <x v="0"/>
    <x v="0"/>
  </r>
  <r>
    <x v="463"/>
    <x v="461"/>
    <x v="145"/>
    <x v="59"/>
    <x v="458"/>
    <x v="463"/>
    <x v="460"/>
    <x v="461"/>
    <x v="461"/>
    <x v="1"/>
    <x v="0"/>
    <x v="0"/>
  </r>
  <r>
    <x v="464"/>
    <x v="462"/>
    <x v="145"/>
    <x v="59"/>
    <x v="459"/>
    <x v="464"/>
    <x v="461"/>
    <x v="462"/>
    <x v="462"/>
    <x v="1"/>
    <x v="0"/>
    <x v="0"/>
  </r>
  <r>
    <x v="465"/>
    <x v="463"/>
    <x v="146"/>
    <x v="60"/>
    <x v="460"/>
    <x v="465"/>
    <x v="462"/>
    <x v="463"/>
    <x v="463"/>
    <x v="1"/>
    <x v="0"/>
    <x v="0"/>
  </r>
  <r>
    <x v="466"/>
    <x v="464"/>
    <x v="146"/>
    <x v="60"/>
    <x v="461"/>
    <x v="466"/>
    <x v="463"/>
    <x v="464"/>
    <x v="464"/>
    <x v="1"/>
    <x v="0"/>
    <x v="0"/>
  </r>
  <r>
    <x v="467"/>
    <x v="465"/>
    <x v="147"/>
    <x v="60"/>
    <x v="462"/>
    <x v="467"/>
    <x v="464"/>
    <x v="465"/>
    <x v="465"/>
    <x v="1"/>
    <x v="0"/>
    <x v="0"/>
  </r>
  <r>
    <x v="468"/>
    <x v="466"/>
    <x v="146"/>
    <x v="60"/>
    <x v="463"/>
    <x v="468"/>
    <x v="465"/>
    <x v="466"/>
    <x v="466"/>
    <x v="1"/>
    <x v="0"/>
    <x v="0"/>
  </r>
  <r>
    <x v="469"/>
    <x v="467"/>
    <x v="148"/>
    <x v="60"/>
    <x v="464"/>
    <x v="469"/>
    <x v="466"/>
    <x v="467"/>
    <x v="467"/>
    <x v="1"/>
    <x v="0"/>
    <x v="0"/>
  </r>
  <r>
    <x v="470"/>
    <x v="468"/>
    <x v="148"/>
    <x v="60"/>
    <x v="465"/>
    <x v="470"/>
    <x v="467"/>
    <x v="468"/>
    <x v="468"/>
    <x v="1"/>
    <x v="0"/>
    <x v="0"/>
  </r>
  <r>
    <x v="471"/>
    <x v="469"/>
    <x v="148"/>
    <x v="60"/>
    <x v="466"/>
    <x v="471"/>
    <x v="468"/>
    <x v="469"/>
    <x v="469"/>
    <x v="1"/>
    <x v="0"/>
    <x v="0"/>
  </r>
  <r>
    <x v="472"/>
    <x v="470"/>
    <x v="149"/>
    <x v="61"/>
    <x v="467"/>
    <x v="472"/>
    <x v="469"/>
    <x v="470"/>
    <x v="470"/>
    <x v="1"/>
    <x v="0"/>
    <x v="0"/>
  </r>
  <r>
    <x v="473"/>
    <x v="471"/>
    <x v="149"/>
    <x v="61"/>
    <x v="468"/>
    <x v="473"/>
    <x v="470"/>
    <x v="471"/>
    <x v="471"/>
    <x v="1"/>
    <x v="0"/>
    <x v="0"/>
  </r>
  <r>
    <x v="474"/>
    <x v="472"/>
    <x v="149"/>
    <x v="61"/>
    <x v="469"/>
    <x v="474"/>
    <x v="471"/>
    <x v="472"/>
    <x v="472"/>
    <x v="1"/>
    <x v="0"/>
    <x v="0"/>
  </r>
  <r>
    <x v="475"/>
    <x v="473"/>
    <x v="149"/>
    <x v="61"/>
    <x v="470"/>
    <x v="475"/>
    <x v="472"/>
    <x v="473"/>
    <x v="473"/>
    <x v="1"/>
    <x v="0"/>
    <x v="0"/>
  </r>
  <r>
    <x v="476"/>
    <x v="474"/>
    <x v="149"/>
    <x v="61"/>
    <x v="471"/>
    <x v="476"/>
    <x v="473"/>
    <x v="474"/>
    <x v="474"/>
    <x v="1"/>
    <x v="0"/>
    <x v="0"/>
  </r>
  <r>
    <x v="477"/>
    <x v="475"/>
    <x v="149"/>
    <x v="61"/>
    <x v="472"/>
    <x v="477"/>
    <x v="474"/>
    <x v="475"/>
    <x v="475"/>
    <x v="1"/>
    <x v="0"/>
    <x v="0"/>
  </r>
  <r>
    <x v="478"/>
    <x v="476"/>
    <x v="150"/>
    <x v="62"/>
    <x v="473"/>
    <x v="478"/>
    <x v="475"/>
    <x v="476"/>
    <x v="476"/>
    <x v="1"/>
    <x v="0"/>
    <x v="0"/>
  </r>
  <r>
    <x v="479"/>
    <x v="477"/>
    <x v="151"/>
    <x v="62"/>
    <x v="474"/>
    <x v="479"/>
    <x v="476"/>
    <x v="477"/>
    <x v="477"/>
    <x v="1"/>
    <x v="0"/>
    <x v="0"/>
  </r>
  <r>
    <x v="480"/>
    <x v="478"/>
    <x v="150"/>
    <x v="62"/>
    <x v="475"/>
    <x v="480"/>
    <x v="477"/>
    <x v="478"/>
    <x v="478"/>
    <x v="1"/>
    <x v="0"/>
    <x v="0"/>
  </r>
  <r>
    <x v="481"/>
    <x v="479"/>
    <x v="150"/>
    <x v="62"/>
    <x v="476"/>
    <x v="481"/>
    <x v="478"/>
    <x v="479"/>
    <x v="479"/>
    <x v="1"/>
    <x v="0"/>
    <x v="0"/>
  </r>
  <r>
    <x v="482"/>
    <x v="480"/>
    <x v="150"/>
    <x v="62"/>
    <x v="477"/>
    <x v="482"/>
    <x v="479"/>
    <x v="480"/>
    <x v="480"/>
    <x v="1"/>
    <x v="0"/>
    <x v="0"/>
  </r>
  <r>
    <x v="483"/>
    <x v="481"/>
    <x v="150"/>
    <x v="62"/>
    <x v="478"/>
    <x v="483"/>
    <x v="480"/>
    <x v="481"/>
    <x v="481"/>
    <x v="1"/>
    <x v="0"/>
    <x v="0"/>
  </r>
  <r>
    <x v="484"/>
    <x v="482"/>
    <x v="150"/>
    <x v="62"/>
    <x v="479"/>
    <x v="484"/>
    <x v="481"/>
    <x v="482"/>
    <x v="482"/>
    <x v="1"/>
    <x v="0"/>
    <x v="0"/>
  </r>
  <r>
    <x v="485"/>
    <x v="389"/>
    <x v="150"/>
    <x v="62"/>
    <x v="387"/>
    <x v="485"/>
    <x v="482"/>
    <x v="389"/>
    <x v="389"/>
    <x v="1"/>
    <x v="0"/>
    <x v="0"/>
  </r>
  <r>
    <x v="486"/>
    <x v="483"/>
    <x v="150"/>
    <x v="62"/>
    <x v="480"/>
    <x v="486"/>
    <x v="483"/>
    <x v="483"/>
    <x v="483"/>
    <x v="1"/>
    <x v="0"/>
    <x v="0"/>
  </r>
  <r>
    <x v="487"/>
    <x v="484"/>
    <x v="150"/>
    <x v="62"/>
    <x v="481"/>
    <x v="487"/>
    <x v="484"/>
    <x v="484"/>
    <x v="484"/>
    <x v="1"/>
    <x v="0"/>
    <x v="0"/>
  </r>
  <r>
    <x v="488"/>
    <x v="485"/>
    <x v="150"/>
    <x v="62"/>
    <x v="482"/>
    <x v="488"/>
    <x v="485"/>
    <x v="485"/>
    <x v="485"/>
    <x v="1"/>
    <x v="0"/>
    <x v="0"/>
  </r>
  <r>
    <x v="489"/>
    <x v="486"/>
    <x v="150"/>
    <x v="62"/>
    <x v="483"/>
    <x v="489"/>
    <x v="486"/>
    <x v="486"/>
    <x v="486"/>
    <x v="1"/>
    <x v="0"/>
    <x v="0"/>
  </r>
  <r>
    <x v="490"/>
    <x v="487"/>
    <x v="150"/>
    <x v="62"/>
    <x v="484"/>
    <x v="490"/>
    <x v="487"/>
    <x v="487"/>
    <x v="487"/>
    <x v="1"/>
    <x v="0"/>
    <x v="0"/>
  </r>
  <r>
    <x v="491"/>
    <x v="488"/>
    <x v="150"/>
    <x v="62"/>
    <x v="485"/>
    <x v="491"/>
    <x v="488"/>
    <x v="488"/>
    <x v="488"/>
    <x v="1"/>
    <x v="0"/>
    <x v="0"/>
  </r>
  <r>
    <x v="492"/>
    <x v="489"/>
    <x v="150"/>
    <x v="62"/>
    <x v="486"/>
    <x v="492"/>
    <x v="489"/>
    <x v="489"/>
    <x v="489"/>
    <x v="1"/>
    <x v="0"/>
    <x v="0"/>
  </r>
  <r>
    <x v="493"/>
    <x v="490"/>
    <x v="150"/>
    <x v="62"/>
    <x v="487"/>
    <x v="493"/>
    <x v="490"/>
    <x v="490"/>
    <x v="490"/>
    <x v="1"/>
    <x v="0"/>
    <x v="0"/>
  </r>
  <r>
    <x v="494"/>
    <x v="491"/>
    <x v="150"/>
    <x v="62"/>
    <x v="488"/>
    <x v="494"/>
    <x v="491"/>
    <x v="491"/>
    <x v="491"/>
    <x v="1"/>
    <x v="0"/>
    <x v="0"/>
  </r>
  <r>
    <x v="495"/>
    <x v="492"/>
    <x v="150"/>
    <x v="62"/>
    <x v="489"/>
    <x v="495"/>
    <x v="492"/>
    <x v="492"/>
    <x v="492"/>
    <x v="1"/>
    <x v="0"/>
    <x v="0"/>
  </r>
  <r>
    <x v="496"/>
    <x v="493"/>
    <x v="152"/>
    <x v="62"/>
    <x v="490"/>
    <x v="496"/>
    <x v="493"/>
    <x v="493"/>
    <x v="493"/>
    <x v="1"/>
    <x v="0"/>
    <x v="0"/>
  </r>
  <r>
    <x v="497"/>
    <x v="494"/>
    <x v="153"/>
    <x v="62"/>
    <x v="491"/>
    <x v="497"/>
    <x v="494"/>
    <x v="494"/>
    <x v="494"/>
    <x v="1"/>
    <x v="0"/>
    <x v="0"/>
  </r>
  <r>
    <x v="498"/>
    <x v="495"/>
    <x v="154"/>
    <x v="62"/>
    <x v="492"/>
    <x v="498"/>
    <x v="495"/>
    <x v="495"/>
    <x v="495"/>
    <x v="1"/>
    <x v="0"/>
    <x v="0"/>
  </r>
  <r>
    <x v="499"/>
    <x v="496"/>
    <x v="154"/>
    <x v="62"/>
    <x v="493"/>
    <x v="499"/>
    <x v="496"/>
    <x v="496"/>
    <x v="496"/>
    <x v="1"/>
    <x v="0"/>
    <x v="0"/>
  </r>
  <r>
    <x v="500"/>
    <x v="497"/>
    <x v="155"/>
    <x v="63"/>
    <x v="494"/>
    <x v="500"/>
    <x v="497"/>
    <x v="497"/>
    <x v="497"/>
    <x v="1"/>
    <x v="0"/>
    <x v="0"/>
  </r>
  <r>
    <x v="501"/>
    <x v="498"/>
    <x v="155"/>
    <x v="63"/>
    <x v="495"/>
    <x v="501"/>
    <x v="498"/>
    <x v="498"/>
    <x v="498"/>
    <x v="1"/>
    <x v="0"/>
    <x v="0"/>
  </r>
  <r>
    <x v="502"/>
    <x v="499"/>
    <x v="155"/>
    <x v="63"/>
    <x v="496"/>
    <x v="502"/>
    <x v="499"/>
    <x v="499"/>
    <x v="499"/>
    <x v="1"/>
    <x v="0"/>
    <x v="0"/>
  </r>
  <r>
    <x v="503"/>
    <x v="500"/>
    <x v="155"/>
    <x v="63"/>
    <x v="497"/>
    <x v="503"/>
    <x v="500"/>
    <x v="500"/>
    <x v="500"/>
    <x v="1"/>
    <x v="0"/>
    <x v="0"/>
  </r>
  <r>
    <x v="504"/>
    <x v="501"/>
    <x v="156"/>
    <x v="63"/>
    <x v="498"/>
    <x v="504"/>
    <x v="501"/>
    <x v="501"/>
    <x v="501"/>
    <x v="1"/>
    <x v="0"/>
    <x v="0"/>
  </r>
  <r>
    <x v="505"/>
    <x v="502"/>
    <x v="156"/>
    <x v="63"/>
    <x v="499"/>
    <x v="505"/>
    <x v="502"/>
    <x v="502"/>
    <x v="502"/>
    <x v="1"/>
    <x v="0"/>
    <x v="0"/>
  </r>
  <r>
    <x v="506"/>
    <x v="503"/>
    <x v="157"/>
    <x v="63"/>
    <x v="500"/>
    <x v="506"/>
    <x v="503"/>
    <x v="503"/>
    <x v="503"/>
    <x v="1"/>
    <x v="0"/>
    <x v="0"/>
  </r>
  <r>
    <x v="507"/>
    <x v="504"/>
    <x v="157"/>
    <x v="63"/>
    <x v="501"/>
    <x v="507"/>
    <x v="504"/>
    <x v="504"/>
    <x v="504"/>
    <x v="1"/>
    <x v="0"/>
    <x v="0"/>
  </r>
  <r>
    <x v="508"/>
    <x v="505"/>
    <x v="158"/>
    <x v="64"/>
    <x v="502"/>
    <x v="508"/>
    <x v="505"/>
    <x v="505"/>
    <x v="505"/>
    <x v="1"/>
    <x v="0"/>
    <x v="0"/>
  </r>
  <r>
    <x v="509"/>
    <x v="506"/>
    <x v="159"/>
    <x v="64"/>
    <x v="503"/>
    <x v="509"/>
    <x v="506"/>
    <x v="506"/>
    <x v="506"/>
    <x v="1"/>
    <x v="0"/>
    <x v="0"/>
  </r>
  <r>
    <x v="510"/>
    <x v="507"/>
    <x v="158"/>
    <x v="64"/>
    <x v="504"/>
    <x v="510"/>
    <x v="507"/>
    <x v="507"/>
    <x v="507"/>
    <x v="1"/>
    <x v="0"/>
    <x v="0"/>
  </r>
  <r>
    <x v="511"/>
    <x v="508"/>
    <x v="158"/>
    <x v="64"/>
    <x v="505"/>
    <x v="511"/>
    <x v="508"/>
    <x v="508"/>
    <x v="508"/>
    <x v="1"/>
    <x v="0"/>
    <x v="0"/>
  </r>
  <r>
    <x v="512"/>
    <x v="509"/>
    <x v="158"/>
    <x v="64"/>
    <x v="506"/>
    <x v="512"/>
    <x v="509"/>
    <x v="509"/>
    <x v="509"/>
    <x v="1"/>
    <x v="0"/>
    <x v="0"/>
  </r>
  <r>
    <x v="513"/>
    <x v="510"/>
    <x v="160"/>
    <x v="64"/>
    <x v="507"/>
    <x v="513"/>
    <x v="510"/>
    <x v="510"/>
    <x v="510"/>
    <x v="1"/>
    <x v="0"/>
    <x v="0"/>
  </r>
  <r>
    <x v="514"/>
    <x v="511"/>
    <x v="161"/>
    <x v="65"/>
    <x v="508"/>
    <x v="514"/>
    <x v="511"/>
    <x v="511"/>
    <x v="511"/>
    <x v="1"/>
    <x v="0"/>
    <x v="0"/>
  </r>
  <r>
    <x v="515"/>
    <x v="512"/>
    <x v="161"/>
    <x v="65"/>
    <x v="509"/>
    <x v="515"/>
    <x v="512"/>
    <x v="512"/>
    <x v="512"/>
    <x v="1"/>
    <x v="0"/>
    <x v="0"/>
  </r>
  <r>
    <x v="516"/>
    <x v="513"/>
    <x v="161"/>
    <x v="65"/>
    <x v="510"/>
    <x v="516"/>
    <x v="513"/>
    <x v="513"/>
    <x v="513"/>
    <x v="1"/>
    <x v="0"/>
    <x v="0"/>
  </r>
  <r>
    <x v="517"/>
    <x v="514"/>
    <x v="161"/>
    <x v="65"/>
    <x v="511"/>
    <x v="517"/>
    <x v="514"/>
    <x v="514"/>
    <x v="514"/>
    <x v="1"/>
    <x v="0"/>
    <x v="0"/>
  </r>
  <r>
    <x v="518"/>
    <x v="515"/>
    <x v="161"/>
    <x v="65"/>
    <x v="512"/>
    <x v="518"/>
    <x v="515"/>
    <x v="515"/>
    <x v="515"/>
    <x v="1"/>
    <x v="0"/>
    <x v="0"/>
  </r>
  <r>
    <x v="519"/>
    <x v="516"/>
    <x v="162"/>
    <x v="65"/>
    <x v="513"/>
    <x v="519"/>
    <x v="516"/>
    <x v="516"/>
    <x v="516"/>
    <x v="1"/>
    <x v="0"/>
    <x v="0"/>
  </r>
  <r>
    <x v="520"/>
    <x v="517"/>
    <x v="161"/>
    <x v="65"/>
    <x v="514"/>
    <x v="520"/>
    <x v="517"/>
    <x v="517"/>
    <x v="517"/>
    <x v="1"/>
    <x v="0"/>
    <x v="0"/>
  </r>
  <r>
    <x v="521"/>
    <x v="518"/>
    <x v="161"/>
    <x v="65"/>
    <x v="515"/>
    <x v="521"/>
    <x v="518"/>
    <x v="518"/>
    <x v="518"/>
    <x v="1"/>
    <x v="0"/>
    <x v="0"/>
  </r>
  <r>
    <x v="522"/>
    <x v="519"/>
    <x v="161"/>
    <x v="65"/>
    <x v="516"/>
    <x v="522"/>
    <x v="519"/>
    <x v="519"/>
    <x v="519"/>
    <x v="1"/>
    <x v="0"/>
    <x v="0"/>
  </r>
  <r>
    <x v="523"/>
    <x v="520"/>
    <x v="161"/>
    <x v="65"/>
    <x v="517"/>
    <x v="523"/>
    <x v="520"/>
    <x v="520"/>
    <x v="520"/>
    <x v="1"/>
    <x v="0"/>
    <x v="0"/>
  </r>
  <r>
    <x v="524"/>
    <x v="521"/>
    <x v="161"/>
    <x v="65"/>
    <x v="518"/>
    <x v="524"/>
    <x v="521"/>
    <x v="521"/>
    <x v="521"/>
    <x v="1"/>
    <x v="0"/>
    <x v="0"/>
  </r>
  <r>
    <x v="525"/>
    <x v="522"/>
    <x v="161"/>
    <x v="65"/>
    <x v="519"/>
    <x v="525"/>
    <x v="522"/>
    <x v="522"/>
    <x v="522"/>
    <x v="1"/>
    <x v="0"/>
    <x v="0"/>
  </r>
  <r>
    <x v="526"/>
    <x v="523"/>
    <x v="163"/>
    <x v="66"/>
    <x v="520"/>
    <x v="526"/>
    <x v="523"/>
    <x v="523"/>
    <x v="523"/>
    <x v="1"/>
    <x v="0"/>
    <x v="0"/>
  </r>
  <r>
    <x v="527"/>
    <x v="524"/>
    <x v="163"/>
    <x v="66"/>
    <x v="521"/>
    <x v="527"/>
    <x v="524"/>
    <x v="524"/>
    <x v="524"/>
    <x v="1"/>
    <x v="0"/>
    <x v="0"/>
  </r>
  <r>
    <x v="528"/>
    <x v="525"/>
    <x v="164"/>
    <x v="66"/>
    <x v="522"/>
    <x v="528"/>
    <x v="525"/>
    <x v="525"/>
    <x v="525"/>
    <x v="1"/>
    <x v="0"/>
    <x v="0"/>
  </r>
  <r>
    <x v="529"/>
    <x v="526"/>
    <x v="165"/>
    <x v="66"/>
    <x v="523"/>
    <x v="529"/>
    <x v="526"/>
    <x v="526"/>
    <x v="526"/>
    <x v="1"/>
    <x v="0"/>
    <x v="0"/>
  </r>
  <r>
    <x v="530"/>
    <x v="527"/>
    <x v="166"/>
    <x v="66"/>
    <x v="524"/>
    <x v="530"/>
    <x v="527"/>
    <x v="527"/>
    <x v="527"/>
    <x v="1"/>
    <x v="0"/>
    <x v="0"/>
  </r>
  <r>
    <x v="531"/>
    <x v="528"/>
    <x v="166"/>
    <x v="66"/>
    <x v="525"/>
    <x v="531"/>
    <x v="528"/>
    <x v="528"/>
    <x v="528"/>
    <x v="1"/>
    <x v="0"/>
    <x v="0"/>
  </r>
  <r>
    <x v="532"/>
    <x v="529"/>
    <x v="167"/>
    <x v="66"/>
    <x v="526"/>
    <x v="532"/>
    <x v="529"/>
    <x v="529"/>
    <x v="529"/>
    <x v="1"/>
    <x v="0"/>
    <x v="0"/>
  </r>
  <r>
    <x v="533"/>
    <x v="530"/>
    <x v="168"/>
    <x v="66"/>
    <x v="527"/>
    <x v="533"/>
    <x v="530"/>
    <x v="530"/>
    <x v="530"/>
    <x v="1"/>
    <x v="0"/>
    <x v="0"/>
  </r>
  <r>
    <x v="534"/>
    <x v="531"/>
    <x v="167"/>
    <x v="66"/>
    <x v="528"/>
    <x v="534"/>
    <x v="531"/>
    <x v="531"/>
    <x v="531"/>
    <x v="1"/>
    <x v="0"/>
    <x v="0"/>
  </r>
  <r>
    <x v="535"/>
    <x v="532"/>
    <x v="167"/>
    <x v="66"/>
    <x v="529"/>
    <x v="535"/>
    <x v="532"/>
    <x v="532"/>
    <x v="532"/>
    <x v="1"/>
    <x v="0"/>
    <x v="0"/>
  </r>
  <r>
    <x v="536"/>
    <x v="533"/>
    <x v="167"/>
    <x v="66"/>
    <x v="530"/>
    <x v="536"/>
    <x v="533"/>
    <x v="533"/>
    <x v="533"/>
    <x v="1"/>
    <x v="0"/>
    <x v="0"/>
  </r>
  <r>
    <x v="537"/>
    <x v="534"/>
    <x v="163"/>
    <x v="66"/>
    <x v="531"/>
    <x v="537"/>
    <x v="534"/>
    <x v="534"/>
    <x v="534"/>
    <x v="1"/>
    <x v="0"/>
    <x v="0"/>
  </r>
  <r>
    <x v="538"/>
    <x v="535"/>
    <x v="167"/>
    <x v="66"/>
    <x v="532"/>
    <x v="538"/>
    <x v="535"/>
    <x v="535"/>
    <x v="535"/>
    <x v="1"/>
    <x v="0"/>
    <x v="0"/>
  </r>
  <r>
    <x v="539"/>
    <x v="536"/>
    <x v="167"/>
    <x v="66"/>
    <x v="533"/>
    <x v="539"/>
    <x v="536"/>
    <x v="536"/>
    <x v="536"/>
    <x v="1"/>
    <x v="0"/>
    <x v="0"/>
  </r>
  <r>
    <x v="540"/>
    <x v="537"/>
    <x v="169"/>
    <x v="66"/>
    <x v="534"/>
    <x v="540"/>
    <x v="537"/>
    <x v="537"/>
    <x v="537"/>
    <x v="1"/>
    <x v="0"/>
    <x v="0"/>
  </r>
  <r>
    <x v="541"/>
    <x v="538"/>
    <x v="170"/>
    <x v="67"/>
    <x v="535"/>
    <x v="541"/>
    <x v="538"/>
    <x v="538"/>
    <x v="538"/>
    <x v="1"/>
    <x v="0"/>
    <x v="0"/>
  </r>
  <r>
    <x v="542"/>
    <x v="539"/>
    <x v="170"/>
    <x v="67"/>
    <x v="536"/>
    <x v="542"/>
    <x v="539"/>
    <x v="539"/>
    <x v="539"/>
    <x v="1"/>
    <x v="0"/>
    <x v="0"/>
  </r>
  <r>
    <x v="543"/>
    <x v="540"/>
    <x v="171"/>
    <x v="68"/>
    <x v="537"/>
    <x v="543"/>
    <x v="540"/>
    <x v="540"/>
    <x v="540"/>
    <x v="1"/>
    <x v="0"/>
    <x v="0"/>
  </r>
  <r>
    <x v="544"/>
    <x v="541"/>
    <x v="172"/>
    <x v="68"/>
    <x v="538"/>
    <x v="544"/>
    <x v="541"/>
    <x v="541"/>
    <x v="541"/>
    <x v="1"/>
    <x v="0"/>
    <x v="0"/>
  </r>
  <r>
    <x v="545"/>
    <x v="542"/>
    <x v="173"/>
    <x v="68"/>
    <x v="539"/>
    <x v="545"/>
    <x v="542"/>
    <x v="542"/>
    <x v="542"/>
    <x v="1"/>
    <x v="0"/>
    <x v="0"/>
  </r>
  <r>
    <x v="546"/>
    <x v="543"/>
    <x v="174"/>
    <x v="69"/>
    <x v="540"/>
    <x v="546"/>
    <x v="543"/>
    <x v="543"/>
    <x v="543"/>
    <x v="1"/>
    <x v="0"/>
    <x v="0"/>
  </r>
  <r>
    <x v="547"/>
    <x v="544"/>
    <x v="175"/>
    <x v="69"/>
    <x v="541"/>
    <x v="547"/>
    <x v="544"/>
    <x v="544"/>
    <x v="544"/>
    <x v="1"/>
    <x v="0"/>
    <x v="0"/>
  </r>
  <r>
    <x v="548"/>
    <x v="545"/>
    <x v="174"/>
    <x v="69"/>
    <x v="516"/>
    <x v="548"/>
    <x v="545"/>
    <x v="545"/>
    <x v="545"/>
    <x v="1"/>
    <x v="0"/>
    <x v="0"/>
  </r>
  <r>
    <x v="549"/>
    <x v="546"/>
    <x v="174"/>
    <x v="69"/>
    <x v="542"/>
    <x v="549"/>
    <x v="546"/>
    <x v="546"/>
    <x v="546"/>
    <x v="1"/>
    <x v="0"/>
    <x v="0"/>
  </r>
  <r>
    <x v="550"/>
    <x v="547"/>
    <x v="174"/>
    <x v="69"/>
    <x v="543"/>
    <x v="550"/>
    <x v="547"/>
    <x v="547"/>
    <x v="547"/>
    <x v="1"/>
    <x v="0"/>
    <x v="0"/>
  </r>
  <r>
    <x v="551"/>
    <x v="548"/>
    <x v="174"/>
    <x v="69"/>
    <x v="544"/>
    <x v="551"/>
    <x v="548"/>
    <x v="548"/>
    <x v="548"/>
    <x v="1"/>
    <x v="0"/>
    <x v="0"/>
  </r>
  <r>
    <x v="552"/>
    <x v="549"/>
    <x v="174"/>
    <x v="69"/>
    <x v="545"/>
    <x v="552"/>
    <x v="549"/>
    <x v="549"/>
    <x v="549"/>
    <x v="1"/>
    <x v="0"/>
    <x v="0"/>
  </r>
  <r>
    <x v="553"/>
    <x v="550"/>
    <x v="174"/>
    <x v="69"/>
    <x v="546"/>
    <x v="553"/>
    <x v="550"/>
    <x v="550"/>
    <x v="550"/>
    <x v="1"/>
    <x v="0"/>
    <x v="0"/>
  </r>
  <r>
    <x v="554"/>
    <x v="551"/>
    <x v="176"/>
    <x v="69"/>
    <x v="547"/>
    <x v="554"/>
    <x v="551"/>
    <x v="551"/>
    <x v="551"/>
    <x v="1"/>
    <x v="0"/>
    <x v="0"/>
  </r>
  <r>
    <x v="555"/>
    <x v="552"/>
    <x v="174"/>
    <x v="69"/>
    <x v="548"/>
    <x v="555"/>
    <x v="552"/>
    <x v="552"/>
    <x v="552"/>
    <x v="1"/>
    <x v="0"/>
    <x v="0"/>
  </r>
  <r>
    <x v="556"/>
    <x v="553"/>
    <x v="174"/>
    <x v="69"/>
    <x v="549"/>
    <x v="556"/>
    <x v="553"/>
    <x v="553"/>
    <x v="553"/>
    <x v="1"/>
    <x v="0"/>
    <x v="0"/>
  </r>
  <r>
    <x v="557"/>
    <x v="554"/>
    <x v="177"/>
    <x v="69"/>
    <x v="550"/>
    <x v="557"/>
    <x v="554"/>
    <x v="554"/>
    <x v="554"/>
    <x v="1"/>
    <x v="0"/>
    <x v="0"/>
  </r>
  <r>
    <x v="558"/>
    <x v="555"/>
    <x v="174"/>
    <x v="69"/>
    <x v="551"/>
    <x v="558"/>
    <x v="555"/>
    <x v="555"/>
    <x v="555"/>
    <x v="1"/>
    <x v="0"/>
    <x v="0"/>
  </r>
  <r>
    <x v="559"/>
    <x v="556"/>
    <x v="174"/>
    <x v="69"/>
    <x v="552"/>
    <x v="559"/>
    <x v="556"/>
    <x v="556"/>
    <x v="556"/>
    <x v="1"/>
    <x v="0"/>
    <x v="0"/>
  </r>
  <r>
    <x v="560"/>
    <x v="557"/>
    <x v="174"/>
    <x v="69"/>
    <x v="553"/>
    <x v="560"/>
    <x v="557"/>
    <x v="557"/>
    <x v="557"/>
    <x v="1"/>
    <x v="0"/>
    <x v="0"/>
  </r>
  <r>
    <x v="561"/>
    <x v="558"/>
    <x v="174"/>
    <x v="69"/>
    <x v="554"/>
    <x v="561"/>
    <x v="558"/>
    <x v="558"/>
    <x v="558"/>
    <x v="1"/>
    <x v="0"/>
    <x v="0"/>
  </r>
  <r>
    <x v="562"/>
    <x v="559"/>
    <x v="174"/>
    <x v="69"/>
    <x v="555"/>
    <x v="562"/>
    <x v="559"/>
    <x v="559"/>
    <x v="559"/>
    <x v="1"/>
    <x v="0"/>
    <x v="0"/>
  </r>
  <r>
    <x v="563"/>
    <x v="560"/>
    <x v="174"/>
    <x v="69"/>
    <x v="556"/>
    <x v="563"/>
    <x v="560"/>
    <x v="560"/>
    <x v="560"/>
    <x v="1"/>
    <x v="0"/>
    <x v="0"/>
  </r>
  <r>
    <x v="564"/>
    <x v="561"/>
    <x v="177"/>
    <x v="69"/>
    <x v="557"/>
    <x v="564"/>
    <x v="561"/>
    <x v="561"/>
    <x v="561"/>
    <x v="1"/>
    <x v="0"/>
    <x v="0"/>
  </r>
  <r>
    <x v="565"/>
    <x v="562"/>
    <x v="178"/>
    <x v="69"/>
    <x v="558"/>
    <x v="565"/>
    <x v="562"/>
    <x v="562"/>
    <x v="562"/>
    <x v="1"/>
    <x v="0"/>
    <x v="0"/>
  </r>
  <r>
    <x v="566"/>
    <x v="563"/>
    <x v="179"/>
    <x v="69"/>
    <x v="559"/>
    <x v="566"/>
    <x v="563"/>
    <x v="563"/>
    <x v="563"/>
    <x v="1"/>
    <x v="0"/>
    <x v="0"/>
  </r>
  <r>
    <x v="567"/>
    <x v="564"/>
    <x v="174"/>
    <x v="69"/>
    <x v="560"/>
    <x v="567"/>
    <x v="564"/>
    <x v="564"/>
    <x v="564"/>
    <x v="1"/>
    <x v="0"/>
    <x v="0"/>
  </r>
  <r>
    <x v="568"/>
    <x v="565"/>
    <x v="174"/>
    <x v="69"/>
    <x v="561"/>
    <x v="568"/>
    <x v="565"/>
    <x v="565"/>
    <x v="565"/>
    <x v="1"/>
    <x v="0"/>
    <x v="0"/>
  </r>
  <r>
    <x v="569"/>
    <x v="566"/>
    <x v="174"/>
    <x v="69"/>
    <x v="562"/>
    <x v="569"/>
    <x v="566"/>
    <x v="566"/>
    <x v="566"/>
    <x v="1"/>
    <x v="0"/>
    <x v="0"/>
  </r>
  <r>
    <x v="570"/>
    <x v="567"/>
    <x v="174"/>
    <x v="69"/>
    <x v="563"/>
    <x v="570"/>
    <x v="567"/>
    <x v="567"/>
    <x v="567"/>
    <x v="1"/>
    <x v="0"/>
    <x v="0"/>
  </r>
  <r>
    <x v="571"/>
    <x v="568"/>
    <x v="180"/>
    <x v="70"/>
    <x v="564"/>
    <x v="571"/>
    <x v="568"/>
    <x v="568"/>
    <x v="568"/>
    <x v="1"/>
    <x v="0"/>
    <x v="0"/>
  </r>
  <r>
    <x v="572"/>
    <x v="569"/>
    <x v="180"/>
    <x v="70"/>
    <x v="565"/>
    <x v="572"/>
    <x v="569"/>
    <x v="569"/>
    <x v="569"/>
    <x v="1"/>
    <x v="0"/>
    <x v="0"/>
  </r>
  <r>
    <x v="573"/>
    <x v="570"/>
    <x v="181"/>
    <x v="70"/>
    <x v="566"/>
    <x v="573"/>
    <x v="570"/>
    <x v="570"/>
    <x v="570"/>
    <x v="1"/>
    <x v="0"/>
    <x v="0"/>
  </r>
  <r>
    <x v="574"/>
    <x v="571"/>
    <x v="181"/>
    <x v="70"/>
    <x v="567"/>
    <x v="574"/>
    <x v="571"/>
    <x v="571"/>
    <x v="571"/>
    <x v="1"/>
    <x v="0"/>
    <x v="0"/>
  </r>
  <r>
    <x v="575"/>
    <x v="572"/>
    <x v="181"/>
    <x v="70"/>
    <x v="568"/>
    <x v="575"/>
    <x v="572"/>
    <x v="572"/>
    <x v="572"/>
    <x v="1"/>
    <x v="0"/>
    <x v="0"/>
  </r>
  <r>
    <x v="576"/>
    <x v="573"/>
    <x v="181"/>
    <x v="70"/>
    <x v="569"/>
    <x v="576"/>
    <x v="573"/>
    <x v="573"/>
    <x v="573"/>
    <x v="1"/>
    <x v="0"/>
    <x v="0"/>
  </r>
  <r>
    <x v="577"/>
    <x v="574"/>
    <x v="180"/>
    <x v="70"/>
    <x v="570"/>
    <x v="577"/>
    <x v="574"/>
    <x v="574"/>
    <x v="574"/>
    <x v="1"/>
    <x v="0"/>
    <x v="0"/>
  </r>
  <r>
    <x v="578"/>
    <x v="575"/>
    <x v="180"/>
    <x v="70"/>
    <x v="571"/>
    <x v="578"/>
    <x v="575"/>
    <x v="575"/>
    <x v="575"/>
    <x v="1"/>
    <x v="0"/>
    <x v="0"/>
  </r>
  <r>
    <x v="579"/>
    <x v="576"/>
    <x v="180"/>
    <x v="70"/>
    <x v="572"/>
    <x v="579"/>
    <x v="576"/>
    <x v="576"/>
    <x v="576"/>
    <x v="1"/>
    <x v="0"/>
    <x v="0"/>
  </r>
  <r>
    <x v="580"/>
    <x v="577"/>
    <x v="182"/>
    <x v="71"/>
    <x v="573"/>
    <x v="580"/>
    <x v="577"/>
    <x v="577"/>
    <x v="577"/>
    <x v="1"/>
    <x v="0"/>
    <x v="0"/>
  </r>
  <r>
    <x v="581"/>
    <x v="578"/>
    <x v="182"/>
    <x v="71"/>
    <x v="574"/>
    <x v="581"/>
    <x v="578"/>
    <x v="578"/>
    <x v="578"/>
    <x v="1"/>
    <x v="0"/>
    <x v="0"/>
  </r>
  <r>
    <x v="582"/>
    <x v="579"/>
    <x v="182"/>
    <x v="71"/>
    <x v="575"/>
    <x v="582"/>
    <x v="579"/>
    <x v="579"/>
    <x v="579"/>
    <x v="1"/>
    <x v="0"/>
    <x v="0"/>
  </r>
  <r>
    <x v="583"/>
    <x v="580"/>
    <x v="182"/>
    <x v="71"/>
    <x v="576"/>
    <x v="583"/>
    <x v="580"/>
    <x v="580"/>
    <x v="580"/>
    <x v="1"/>
    <x v="0"/>
    <x v="0"/>
  </r>
  <r>
    <x v="584"/>
    <x v="581"/>
    <x v="182"/>
    <x v="71"/>
    <x v="577"/>
    <x v="584"/>
    <x v="581"/>
    <x v="581"/>
    <x v="581"/>
    <x v="1"/>
    <x v="0"/>
    <x v="0"/>
  </r>
  <r>
    <x v="585"/>
    <x v="582"/>
    <x v="182"/>
    <x v="71"/>
    <x v="578"/>
    <x v="585"/>
    <x v="582"/>
    <x v="582"/>
    <x v="582"/>
    <x v="1"/>
    <x v="0"/>
    <x v="0"/>
  </r>
  <r>
    <x v="586"/>
    <x v="583"/>
    <x v="182"/>
    <x v="71"/>
    <x v="579"/>
    <x v="586"/>
    <x v="583"/>
    <x v="583"/>
    <x v="583"/>
    <x v="1"/>
    <x v="0"/>
    <x v="0"/>
  </r>
  <r>
    <x v="587"/>
    <x v="584"/>
    <x v="183"/>
    <x v="71"/>
    <x v="580"/>
    <x v="587"/>
    <x v="584"/>
    <x v="584"/>
    <x v="584"/>
    <x v="1"/>
    <x v="0"/>
    <x v="0"/>
  </r>
  <r>
    <x v="588"/>
    <x v="585"/>
    <x v="182"/>
    <x v="71"/>
    <x v="581"/>
    <x v="588"/>
    <x v="585"/>
    <x v="585"/>
    <x v="585"/>
    <x v="1"/>
    <x v="0"/>
    <x v="0"/>
  </r>
  <r>
    <x v="589"/>
    <x v="586"/>
    <x v="161"/>
    <x v="65"/>
    <x v="582"/>
    <x v="589"/>
    <x v="586"/>
    <x v="586"/>
    <x v="586"/>
    <x v="1"/>
    <x v="0"/>
    <x v="0"/>
  </r>
  <r>
    <x v="590"/>
    <x v="587"/>
    <x v="161"/>
    <x v="65"/>
    <x v="583"/>
    <x v="590"/>
    <x v="587"/>
    <x v="587"/>
    <x v="587"/>
    <x v="1"/>
    <x v="0"/>
    <x v="0"/>
  </r>
  <r>
    <x v="591"/>
    <x v="588"/>
    <x v="161"/>
    <x v="65"/>
    <x v="584"/>
    <x v="591"/>
    <x v="588"/>
    <x v="588"/>
    <x v="588"/>
    <x v="1"/>
    <x v="0"/>
    <x v="0"/>
  </r>
  <r>
    <x v="592"/>
    <x v="589"/>
    <x v="161"/>
    <x v="65"/>
    <x v="585"/>
    <x v="592"/>
    <x v="589"/>
    <x v="589"/>
    <x v="589"/>
    <x v="1"/>
    <x v="0"/>
    <x v="0"/>
  </r>
  <r>
    <x v="593"/>
    <x v="590"/>
    <x v="161"/>
    <x v="65"/>
    <x v="586"/>
    <x v="593"/>
    <x v="590"/>
    <x v="590"/>
    <x v="590"/>
    <x v="1"/>
    <x v="0"/>
    <x v="0"/>
  </r>
  <r>
    <x v="594"/>
    <x v="591"/>
    <x v="184"/>
    <x v="65"/>
    <x v="587"/>
    <x v="594"/>
    <x v="591"/>
    <x v="591"/>
    <x v="591"/>
    <x v="1"/>
    <x v="0"/>
    <x v="0"/>
  </r>
  <r>
    <x v="595"/>
    <x v="592"/>
    <x v="185"/>
    <x v="72"/>
    <x v="588"/>
    <x v="595"/>
    <x v="592"/>
    <x v="592"/>
    <x v="592"/>
    <x v="1"/>
    <x v="0"/>
    <x v="0"/>
  </r>
  <r>
    <x v="596"/>
    <x v="593"/>
    <x v="186"/>
    <x v="72"/>
    <x v="589"/>
    <x v="596"/>
    <x v="593"/>
    <x v="593"/>
    <x v="593"/>
    <x v="1"/>
    <x v="0"/>
    <x v="0"/>
  </r>
  <r>
    <x v="597"/>
    <x v="594"/>
    <x v="187"/>
    <x v="72"/>
    <x v="590"/>
    <x v="597"/>
    <x v="594"/>
    <x v="594"/>
    <x v="594"/>
    <x v="1"/>
    <x v="0"/>
    <x v="0"/>
  </r>
  <r>
    <x v="598"/>
    <x v="595"/>
    <x v="188"/>
    <x v="73"/>
    <x v="591"/>
    <x v="598"/>
    <x v="595"/>
    <x v="595"/>
    <x v="595"/>
    <x v="1"/>
    <x v="0"/>
    <x v="0"/>
  </r>
  <r>
    <x v="599"/>
    <x v="596"/>
    <x v="189"/>
    <x v="73"/>
    <x v="592"/>
    <x v="599"/>
    <x v="596"/>
    <x v="596"/>
    <x v="596"/>
    <x v="1"/>
    <x v="0"/>
    <x v="0"/>
  </r>
  <r>
    <x v="600"/>
    <x v="597"/>
    <x v="189"/>
    <x v="73"/>
    <x v="593"/>
    <x v="600"/>
    <x v="597"/>
    <x v="597"/>
    <x v="597"/>
    <x v="1"/>
    <x v="0"/>
    <x v="0"/>
  </r>
  <r>
    <x v="601"/>
    <x v="598"/>
    <x v="189"/>
    <x v="73"/>
    <x v="594"/>
    <x v="601"/>
    <x v="598"/>
    <x v="598"/>
    <x v="598"/>
    <x v="1"/>
    <x v="0"/>
    <x v="0"/>
  </r>
  <r>
    <x v="602"/>
    <x v="599"/>
    <x v="188"/>
    <x v="73"/>
    <x v="595"/>
    <x v="602"/>
    <x v="599"/>
    <x v="599"/>
    <x v="599"/>
    <x v="1"/>
    <x v="0"/>
    <x v="0"/>
  </r>
  <r>
    <x v="603"/>
    <x v="600"/>
    <x v="188"/>
    <x v="73"/>
    <x v="596"/>
    <x v="603"/>
    <x v="600"/>
    <x v="600"/>
    <x v="600"/>
    <x v="1"/>
    <x v="0"/>
    <x v="0"/>
  </r>
  <r>
    <x v="604"/>
    <x v="601"/>
    <x v="190"/>
    <x v="73"/>
    <x v="597"/>
    <x v="604"/>
    <x v="601"/>
    <x v="601"/>
    <x v="601"/>
    <x v="1"/>
    <x v="0"/>
    <x v="0"/>
  </r>
  <r>
    <x v="605"/>
    <x v="602"/>
    <x v="188"/>
    <x v="73"/>
    <x v="598"/>
    <x v="605"/>
    <x v="602"/>
    <x v="602"/>
    <x v="602"/>
    <x v="1"/>
    <x v="0"/>
    <x v="0"/>
  </r>
  <r>
    <x v="606"/>
    <x v="603"/>
    <x v="188"/>
    <x v="73"/>
    <x v="599"/>
    <x v="606"/>
    <x v="116"/>
    <x v="603"/>
    <x v="603"/>
    <x v="1"/>
    <x v="0"/>
    <x v="0"/>
  </r>
  <r>
    <x v="607"/>
    <x v="604"/>
    <x v="191"/>
    <x v="73"/>
    <x v="600"/>
    <x v="607"/>
    <x v="603"/>
    <x v="604"/>
    <x v="604"/>
    <x v="1"/>
    <x v="0"/>
    <x v="0"/>
  </r>
  <r>
    <x v="608"/>
    <x v="605"/>
    <x v="188"/>
    <x v="73"/>
    <x v="601"/>
    <x v="608"/>
    <x v="604"/>
    <x v="605"/>
    <x v="605"/>
    <x v="1"/>
    <x v="0"/>
    <x v="0"/>
  </r>
  <r>
    <x v="609"/>
    <x v="606"/>
    <x v="188"/>
    <x v="73"/>
    <x v="602"/>
    <x v="609"/>
    <x v="605"/>
    <x v="606"/>
    <x v="606"/>
    <x v="1"/>
    <x v="0"/>
    <x v="0"/>
  </r>
  <r>
    <x v="610"/>
    <x v="607"/>
    <x v="192"/>
    <x v="73"/>
    <x v="603"/>
    <x v="610"/>
    <x v="606"/>
    <x v="607"/>
    <x v="607"/>
    <x v="1"/>
    <x v="0"/>
    <x v="0"/>
  </r>
  <r>
    <x v="611"/>
    <x v="608"/>
    <x v="188"/>
    <x v="73"/>
    <x v="604"/>
    <x v="611"/>
    <x v="607"/>
    <x v="608"/>
    <x v="608"/>
    <x v="1"/>
    <x v="0"/>
    <x v="0"/>
  </r>
  <r>
    <x v="612"/>
    <x v="609"/>
    <x v="193"/>
    <x v="73"/>
    <x v="605"/>
    <x v="612"/>
    <x v="608"/>
    <x v="609"/>
    <x v="609"/>
    <x v="1"/>
    <x v="0"/>
    <x v="0"/>
  </r>
  <r>
    <x v="613"/>
    <x v="610"/>
    <x v="188"/>
    <x v="73"/>
    <x v="606"/>
    <x v="613"/>
    <x v="609"/>
    <x v="610"/>
    <x v="610"/>
    <x v="1"/>
    <x v="0"/>
    <x v="0"/>
  </r>
  <r>
    <x v="614"/>
    <x v="611"/>
    <x v="188"/>
    <x v="73"/>
    <x v="607"/>
    <x v="614"/>
    <x v="610"/>
    <x v="611"/>
    <x v="611"/>
    <x v="1"/>
    <x v="0"/>
    <x v="0"/>
  </r>
  <r>
    <x v="615"/>
    <x v="612"/>
    <x v="188"/>
    <x v="73"/>
    <x v="608"/>
    <x v="615"/>
    <x v="611"/>
    <x v="612"/>
    <x v="612"/>
    <x v="1"/>
    <x v="0"/>
    <x v="0"/>
  </r>
  <r>
    <x v="616"/>
    <x v="613"/>
    <x v="188"/>
    <x v="73"/>
    <x v="609"/>
    <x v="616"/>
    <x v="612"/>
    <x v="613"/>
    <x v="613"/>
    <x v="1"/>
    <x v="0"/>
    <x v="0"/>
  </r>
  <r>
    <x v="617"/>
    <x v="614"/>
    <x v="194"/>
    <x v="73"/>
    <x v="610"/>
    <x v="617"/>
    <x v="613"/>
    <x v="614"/>
    <x v="614"/>
    <x v="1"/>
    <x v="0"/>
    <x v="0"/>
  </r>
  <r>
    <x v="618"/>
    <x v="615"/>
    <x v="195"/>
    <x v="74"/>
    <x v="611"/>
    <x v="618"/>
    <x v="614"/>
    <x v="615"/>
    <x v="615"/>
    <x v="1"/>
    <x v="0"/>
    <x v="0"/>
  </r>
  <r>
    <x v="619"/>
    <x v="616"/>
    <x v="195"/>
    <x v="74"/>
    <x v="612"/>
    <x v="619"/>
    <x v="615"/>
    <x v="616"/>
    <x v="616"/>
    <x v="1"/>
    <x v="0"/>
    <x v="0"/>
  </r>
  <r>
    <x v="620"/>
    <x v="617"/>
    <x v="195"/>
    <x v="74"/>
    <x v="613"/>
    <x v="620"/>
    <x v="616"/>
    <x v="617"/>
    <x v="617"/>
    <x v="1"/>
    <x v="0"/>
    <x v="0"/>
  </r>
  <r>
    <x v="621"/>
    <x v="618"/>
    <x v="195"/>
    <x v="74"/>
    <x v="614"/>
    <x v="621"/>
    <x v="617"/>
    <x v="618"/>
    <x v="618"/>
    <x v="1"/>
    <x v="0"/>
    <x v="0"/>
  </r>
  <r>
    <x v="622"/>
    <x v="619"/>
    <x v="196"/>
    <x v="74"/>
    <x v="615"/>
    <x v="622"/>
    <x v="618"/>
    <x v="619"/>
    <x v="619"/>
    <x v="1"/>
    <x v="0"/>
    <x v="0"/>
  </r>
  <r>
    <x v="623"/>
    <x v="620"/>
    <x v="195"/>
    <x v="74"/>
    <x v="616"/>
    <x v="623"/>
    <x v="619"/>
    <x v="620"/>
    <x v="620"/>
    <x v="1"/>
    <x v="0"/>
    <x v="0"/>
  </r>
  <r>
    <x v="624"/>
    <x v="456"/>
    <x v="195"/>
    <x v="74"/>
    <x v="453"/>
    <x v="624"/>
    <x v="455"/>
    <x v="456"/>
    <x v="456"/>
    <x v="1"/>
    <x v="0"/>
    <x v="0"/>
  </r>
  <r>
    <x v="625"/>
    <x v="621"/>
    <x v="195"/>
    <x v="74"/>
    <x v="617"/>
    <x v="625"/>
    <x v="620"/>
    <x v="621"/>
    <x v="621"/>
    <x v="1"/>
    <x v="0"/>
    <x v="0"/>
  </r>
  <r>
    <x v="626"/>
    <x v="622"/>
    <x v="195"/>
    <x v="74"/>
    <x v="618"/>
    <x v="626"/>
    <x v="621"/>
    <x v="622"/>
    <x v="622"/>
    <x v="1"/>
    <x v="0"/>
    <x v="0"/>
  </r>
  <r>
    <x v="627"/>
    <x v="623"/>
    <x v="195"/>
    <x v="74"/>
    <x v="619"/>
    <x v="627"/>
    <x v="622"/>
    <x v="623"/>
    <x v="623"/>
    <x v="1"/>
    <x v="0"/>
    <x v="0"/>
  </r>
  <r>
    <x v="628"/>
    <x v="624"/>
    <x v="195"/>
    <x v="74"/>
    <x v="620"/>
    <x v="628"/>
    <x v="623"/>
    <x v="624"/>
    <x v="624"/>
    <x v="1"/>
    <x v="0"/>
    <x v="0"/>
  </r>
  <r>
    <x v="629"/>
    <x v="625"/>
    <x v="195"/>
    <x v="74"/>
    <x v="621"/>
    <x v="629"/>
    <x v="624"/>
    <x v="625"/>
    <x v="625"/>
    <x v="1"/>
    <x v="0"/>
    <x v="0"/>
  </r>
  <r>
    <x v="630"/>
    <x v="626"/>
    <x v="195"/>
    <x v="74"/>
    <x v="622"/>
    <x v="630"/>
    <x v="625"/>
    <x v="626"/>
    <x v="626"/>
    <x v="1"/>
    <x v="0"/>
    <x v="0"/>
  </r>
  <r>
    <x v="631"/>
    <x v="71"/>
    <x v="195"/>
    <x v="74"/>
    <x v="70"/>
    <x v="631"/>
    <x v="626"/>
    <x v="71"/>
    <x v="71"/>
    <x v="1"/>
    <x v="0"/>
    <x v="0"/>
  </r>
  <r>
    <x v="632"/>
    <x v="627"/>
    <x v="195"/>
    <x v="74"/>
    <x v="623"/>
    <x v="632"/>
    <x v="627"/>
    <x v="627"/>
    <x v="627"/>
    <x v="1"/>
    <x v="0"/>
    <x v="0"/>
  </r>
  <r>
    <x v="633"/>
    <x v="628"/>
    <x v="195"/>
    <x v="74"/>
    <x v="624"/>
    <x v="633"/>
    <x v="628"/>
    <x v="628"/>
    <x v="628"/>
    <x v="1"/>
    <x v="0"/>
    <x v="0"/>
  </r>
  <r>
    <x v="634"/>
    <x v="629"/>
    <x v="197"/>
    <x v="75"/>
    <x v="625"/>
    <x v="634"/>
    <x v="629"/>
    <x v="629"/>
    <x v="629"/>
    <x v="1"/>
    <x v="0"/>
    <x v="0"/>
  </r>
  <r>
    <x v="635"/>
    <x v="630"/>
    <x v="198"/>
    <x v="76"/>
    <x v="626"/>
    <x v="635"/>
    <x v="630"/>
    <x v="630"/>
    <x v="630"/>
    <x v="1"/>
    <x v="0"/>
    <x v="0"/>
  </r>
  <r>
    <x v="636"/>
    <x v="631"/>
    <x v="197"/>
    <x v="75"/>
    <x v="627"/>
    <x v="636"/>
    <x v="631"/>
    <x v="631"/>
    <x v="631"/>
    <x v="1"/>
    <x v="0"/>
    <x v="0"/>
  </r>
  <r>
    <x v="637"/>
    <x v="632"/>
    <x v="199"/>
    <x v="75"/>
    <x v="628"/>
    <x v="637"/>
    <x v="632"/>
    <x v="632"/>
    <x v="632"/>
    <x v="1"/>
    <x v="0"/>
    <x v="0"/>
  </r>
  <r>
    <x v="638"/>
    <x v="633"/>
    <x v="200"/>
    <x v="77"/>
    <x v="629"/>
    <x v="638"/>
    <x v="633"/>
    <x v="633"/>
    <x v="633"/>
    <x v="1"/>
    <x v="0"/>
    <x v="0"/>
  </r>
  <r>
    <x v="639"/>
    <x v="634"/>
    <x v="201"/>
    <x v="77"/>
    <x v="630"/>
    <x v="639"/>
    <x v="634"/>
    <x v="634"/>
    <x v="634"/>
    <x v="1"/>
    <x v="0"/>
    <x v="0"/>
  </r>
  <r>
    <x v="640"/>
    <x v="635"/>
    <x v="200"/>
    <x v="77"/>
    <x v="631"/>
    <x v="640"/>
    <x v="635"/>
    <x v="635"/>
    <x v="635"/>
    <x v="1"/>
    <x v="0"/>
    <x v="0"/>
  </r>
  <r>
    <x v="641"/>
    <x v="636"/>
    <x v="200"/>
    <x v="77"/>
    <x v="632"/>
    <x v="641"/>
    <x v="636"/>
    <x v="636"/>
    <x v="636"/>
    <x v="1"/>
    <x v="0"/>
    <x v="0"/>
  </r>
  <r>
    <x v="642"/>
    <x v="637"/>
    <x v="202"/>
    <x v="77"/>
    <x v="633"/>
    <x v="642"/>
    <x v="637"/>
    <x v="637"/>
    <x v="637"/>
    <x v="1"/>
    <x v="0"/>
    <x v="0"/>
  </r>
  <r>
    <x v="643"/>
    <x v="638"/>
    <x v="202"/>
    <x v="77"/>
    <x v="634"/>
    <x v="643"/>
    <x v="638"/>
    <x v="638"/>
    <x v="638"/>
    <x v="1"/>
    <x v="0"/>
    <x v="0"/>
  </r>
  <r>
    <x v="644"/>
    <x v="639"/>
    <x v="202"/>
    <x v="77"/>
    <x v="635"/>
    <x v="644"/>
    <x v="639"/>
    <x v="639"/>
    <x v="639"/>
    <x v="1"/>
    <x v="0"/>
    <x v="0"/>
  </r>
  <r>
    <x v="645"/>
    <x v="640"/>
    <x v="200"/>
    <x v="77"/>
    <x v="636"/>
    <x v="645"/>
    <x v="640"/>
    <x v="640"/>
    <x v="640"/>
    <x v="1"/>
    <x v="0"/>
    <x v="0"/>
  </r>
  <r>
    <x v="646"/>
    <x v="641"/>
    <x v="203"/>
    <x v="77"/>
    <x v="637"/>
    <x v="646"/>
    <x v="641"/>
    <x v="641"/>
    <x v="641"/>
    <x v="1"/>
    <x v="0"/>
    <x v="0"/>
  </r>
  <r>
    <x v="647"/>
    <x v="642"/>
    <x v="204"/>
    <x v="77"/>
    <x v="638"/>
    <x v="647"/>
    <x v="642"/>
    <x v="642"/>
    <x v="642"/>
    <x v="1"/>
    <x v="0"/>
    <x v="0"/>
  </r>
  <r>
    <x v="648"/>
    <x v="643"/>
    <x v="205"/>
    <x v="78"/>
    <x v="639"/>
    <x v="648"/>
    <x v="643"/>
    <x v="643"/>
    <x v="643"/>
    <x v="1"/>
    <x v="0"/>
    <x v="0"/>
  </r>
  <r>
    <x v="649"/>
    <x v="644"/>
    <x v="205"/>
    <x v="78"/>
    <x v="640"/>
    <x v="649"/>
    <x v="644"/>
    <x v="644"/>
    <x v="644"/>
    <x v="1"/>
    <x v="0"/>
    <x v="0"/>
  </r>
  <r>
    <x v="650"/>
    <x v="645"/>
    <x v="206"/>
    <x v="78"/>
    <x v="641"/>
    <x v="650"/>
    <x v="645"/>
    <x v="645"/>
    <x v="645"/>
    <x v="1"/>
    <x v="0"/>
    <x v="0"/>
  </r>
  <r>
    <x v="651"/>
    <x v="646"/>
    <x v="205"/>
    <x v="78"/>
    <x v="642"/>
    <x v="651"/>
    <x v="646"/>
    <x v="646"/>
    <x v="646"/>
    <x v="1"/>
    <x v="0"/>
    <x v="0"/>
  </r>
  <r>
    <x v="652"/>
    <x v="647"/>
    <x v="207"/>
    <x v="78"/>
    <x v="643"/>
    <x v="652"/>
    <x v="647"/>
    <x v="647"/>
    <x v="647"/>
    <x v="1"/>
    <x v="0"/>
    <x v="0"/>
  </r>
  <r>
    <x v="653"/>
    <x v="648"/>
    <x v="205"/>
    <x v="79"/>
    <x v="644"/>
    <x v="653"/>
    <x v="648"/>
    <x v="648"/>
    <x v="648"/>
    <x v="1"/>
    <x v="0"/>
    <x v="0"/>
  </r>
  <r>
    <x v="654"/>
    <x v="649"/>
    <x v="208"/>
    <x v="79"/>
    <x v="645"/>
    <x v="654"/>
    <x v="649"/>
    <x v="649"/>
    <x v="649"/>
    <x v="1"/>
    <x v="0"/>
    <x v="0"/>
  </r>
  <r>
    <x v="655"/>
    <x v="650"/>
    <x v="205"/>
    <x v="80"/>
    <x v="646"/>
    <x v="655"/>
    <x v="650"/>
    <x v="650"/>
    <x v="650"/>
    <x v="1"/>
    <x v="0"/>
    <x v="0"/>
  </r>
  <r>
    <x v="656"/>
    <x v="651"/>
    <x v="209"/>
    <x v="80"/>
    <x v="647"/>
    <x v="656"/>
    <x v="651"/>
    <x v="651"/>
    <x v="651"/>
    <x v="1"/>
    <x v="0"/>
    <x v="0"/>
  </r>
  <r>
    <x v="657"/>
    <x v="652"/>
    <x v="209"/>
    <x v="80"/>
    <x v="648"/>
    <x v="657"/>
    <x v="652"/>
    <x v="652"/>
    <x v="652"/>
    <x v="1"/>
    <x v="0"/>
    <x v="0"/>
  </r>
  <r>
    <x v="658"/>
    <x v="653"/>
    <x v="210"/>
    <x v="80"/>
    <x v="649"/>
    <x v="658"/>
    <x v="653"/>
    <x v="653"/>
    <x v="653"/>
    <x v="1"/>
    <x v="0"/>
    <x v="0"/>
  </r>
  <r>
    <x v="659"/>
    <x v="654"/>
    <x v="205"/>
    <x v="81"/>
    <x v="650"/>
    <x v="659"/>
    <x v="654"/>
    <x v="654"/>
    <x v="654"/>
    <x v="1"/>
    <x v="0"/>
    <x v="0"/>
  </r>
  <r>
    <x v="660"/>
    <x v="655"/>
    <x v="211"/>
    <x v="81"/>
    <x v="651"/>
    <x v="660"/>
    <x v="655"/>
    <x v="655"/>
    <x v="655"/>
    <x v="1"/>
    <x v="0"/>
    <x v="0"/>
  </r>
  <r>
    <x v="661"/>
    <x v="656"/>
    <x v="211"/>
    <x v="81"/>
    <x v="652"/>
    <x v="661"/>
    <x v="656"/>
    <x v="656"/>
    <x v="656"/>
    <x v="1"/>
    <x v="0"/>
    <x v="0"/>
  </r>
  <r>
    <x v="662"/>
    <x v="657"/>
    <x v="212"/>
    <x v="81"/>
    <x v="653"/>
    <x v="662"/>
    <x v="657"/>
    <x v="657"/>
    <x v="657"/>
    <x v="1"/>
    <x v="0"/>
    <x v="0"/>
  </r>
  <r>
    <x v="663"/>
    <x v="658"/>
    <x v="213"/>
    <x v="81"/>
    <x v="654"/>
    <x v="663"/>
    <x v="658"/>
    <x v="658"/>
    <x v="658"/>
    <x v="1"/>
    <x v="0"/>
    <x v="0"/>
  </r>
  <r>
    <x v="664"/>
    <x v="659"/>
    <x v="214"/>
    <x v="82"/>
    <x v="655"/>
    <x v="664"/>
    <x v="659"/>
    <x v="659"/>
    <x v="659"/>
    <x v="1"/>
    <x v="0"/>
    <x v="0"/>
  </r>
  <r>
    <x v="665"/>
    <x v="660"/>
    <x v="214"/>
    <x v="82"/>
    <x v="656"/>
    <x v="665"/>
    <x v="660"/>
    <x v="660"/>
    <x v="660"/>
    <x v="1"/>
    <x v="0"/>
    <x v="0"/>
  </r>
  <r>
    <x v="666"/>
    <x v="661"/>
    <x v="214"/>
    <x v="82"/>
    <x v="657"/>
    <x v="666"/>
    <x v="661"/>
    <x v="661"/>
    <x v="661"/>
    <x v="1"/>
    <x v="0"/>
    <x v="0"/>
  </r>
  <r>
    <x v="667"/>
    <x v="662"/>
    <x v="215"/>
    <x v="82"/>
    <x v="658"/>
    <x v="667"/>
    <x v="662"/>
    <x v="662"/>
    <x v="662"/>
    <x v="1"/>
    <x v="0"/>
    <x v="0"/>
  </r>
  <r>
    <x v="668"/>
    <x v="663"/>
    <x v="214"/>
    <x v="82"/>
    <x v="659"/>
    <x v="668"/>
    <x v="663"/>
    <x v="663"/>
    <x v="663"/>
    <x v="1"/>
    <x v="0"/>
    <x v="0"/>
  </r>
  <r>
    <x v="669"/>
    <x v="664"/>
    <x v="214"/>
    <x v="82"/>
    <x v="660"/>
    <x v="669"/>
    <x v="664"/>
    <x v="664"/>
    <x v="664"/>
    <x v="1"/>
    <x v="0"/>
    <x v="0"/>
  </r>
  <r>
    <x v="670"/>
    <x v="665"/>
    <x v="216"/>
    <x v="82"/>
    <x v="661"/>
    <x v="670"/>
    <x v="665"/>
    <x v="665"/>
    <x v="665"/>
    <x v="1"/>
    <x v="0"/>
    <x v="0"/>
  </r>
  <r>
    <x v="671"/>
    <x v="666"/>
    <x v="214"/>
    <x v="82"/>
    <x v="662"/>
    <x v="671"/>
    <x v="666"/>
    <x v="666"/>
    <x v="666"/>
    <x v="1"/>
    <x v="0"/>
    <x v="0"/>
  </r>
  <r>
    <x v="672"/>
    <x v="667"/>
    <x v="217"/>
    <x v="82"/>
    <x v="663"/>
    <x v="672"/>
    <x v="667"/>
    <x v="667"/>
    <x v="667"/>
    <x v="1"/>
    <x v="0"/>
    <x v="0"/>
  </r>
  <r>
    <x v="673"/>
    <x v="668"/>
    <x v="218"/>
    <x v="82"/>
    <x v="664"/>
    <x v="673"/>
    <x v="668"/>
    <x v="668"/>
    <x v="668"/>
    <x v="1"/>
    <x v="0"/>
    <x v="0"/>
  </r>
  <r>
    <x v="674"/>
    <x v="669"/>
    <x v="214"/>
    <x v="82"/>
    <x v="665"/>
    <x v="674"/>
    <x v="669"/>
    <x v="669"/>
    <x v="669"/>
    <x v="1"/>
    <x v="0"/>
    <x v="0"/>
  </r>
  <r>
    <x v="675"/>
    <x v="670"/>
    <x v="219"/>
    <x v="82"/>
    <x v="666"/>
    <x v="675"/>
    <x v="670"/>
    <x v="670"/>
    <x v="670"/>
    <x v="1"/>
    <x v="0"/>
    <x v="0"/>
  </r>
  <r>
    <x v="676"/>
    <x v="671"/>
    <x v="220"/>
    <x v="82"/>
    <x v="667"/>
    <x v="676"/>
    <x v="671"/>
    <x v="671"/>
    <x v="671"/>
    <x v="1"/>
    <x v="0"/>
    <x v="0"/>
  </r>
  <r>
    <x v="677"/>
    <x v="672"/>
    <x v="214"/>
    <x v="82"/>
    <x v="668"/>
    <x v="677"/>
    <x v="535"/>
    <x v="672"/>
    <x v="672"/>
    <x v="1"/>
    <x v="0"/>
    <x v="0"/>
  </r>
  <r>
    <x v="678"/>
    <x v="673"/>
    <x v="221"/>
    <x v="82"/>
    <x v="669"/>
    <x v="678"/>
    <x v="672"/>
    <x v="673"/>
    <x v="673"/>
    <x v="1"/>
    <x v="0"/>
    <x v="0"/>
  </r>
  <r>
    <x v="679"/>
    <x v="674"/>
    <x v="214"/>
    <x v="82"/>
    <x v="670"/>
    <x v="679"/>
    <x v="673"/>
    <x v="674"/>
    <x v="674"/>
    <x v="1"/>
    <x v="0"/>
    <x v="0"/>
  </r>
  <r>
    <x v="680"/>
    <x v="675"/>
    <x v="214"/>
    <x v="82"/>
    <x v="671"/>
    <x v="680"/>
    <x v="674"/>
    <x v="675"/>
    <x v="675"/>
    <x v="1"/>
    <x v="0"/>
    <x v="0"/>
  </r>
  <r>
    <x v="681"/>
    <x v="676"/>
    <x v="222"/>
    <x v="83"/>
    <x v="672"/>
    <x v="681"/>
    <x v="675"/>
    <x v="676"/>
    <x v="676"/>
    <x v="1"/>
    <x v="0"/>
    <x v="0"/>
  </r>
  <r>
    <x v="682"/>
    <x v="677"/>
    <x v="222"/>
    <x v="83"/>
    <x v="673"/>
    <x v="682"/>
    <x v="676"/>
    <x v="677"/>
    <x v="677"/>
    <x v="1"/>
    <x v="0"/>
    <x v="0"/>
  </r>
  <r>
    <x v="683"/>
    <x v="678"/>
    <x v="222"/>
    <x v="83"/>
    <x v="674"/>
    <x v="683"/>
    <x v="677"/>
    <x v="678"/>
    <x v="678"/>
    <x v="1"/>
    <x v="0"/>
    <x v="0"/>
  </r>
  <r>
    <x v="684"/>
    <x v="679"/>
    <x v="222"/>
    <x v="83"/>
    <x v="675"/>
    <x v="684"/>
    <x v="678"/>
    <x v="679"/>
    <x v="679"/>
    <x v="1"/>
    <x v="0"/>
    <x v="0"/>
  </r>
  <r>
    <x v="685"/>
    <x v="680"/>
    <x v="222"/>
    <x v="83"/>
    <x v="676"/>
    <x v="685"/>
    <x v="679"/>
    <x v="680"/>
    <x v="680"/>
    <x v="1"/>
    <x v="0"/>
    <x v="0"/>
  </r>
  <r>
    <x v="686"/>
    <x v="681"/>
    <x v="222"/>
    <x v="83"/>
    <x v="677"/>
    <x v="686"/>
    <x v="680"/>
    <x v="681"/>
    <x v="681"/>
    <x v="1"/>
    <x v="0"/>
    <x v="0"/>
  </r>
  <r>
    <x v="687"/>
    <x v="682"/>
    <x v="222"/>
    <x v="83"/>
    <x v="678"/>
    <x v="687"/>
    <x v="681"/>
    <x v="682"/>
    <x v="682"/>
    <x v="1"/>
    <x v="0"/>
    <x v="0"/>
  </r>
  <r>
    <x v="688"/>
    <x v="683"/>
    <x v="222"/>
    <x v="83"/>
    <x v="679"/>
    <x v="688"/>
    <x v="682"/>
    <x v="683"/>
    <x v="683"/>
    <x v="1"/>
    <x v="0"/>
    <x v="0"/>
  </r>
  <r>
    <x v="689"/>
    <x v="684"/>
    <x v="222"/>
    <x v="83"/>
    <x v="680"/>
    <x v="689"/>
    <x v="683"/>
    <x v="684"/>
    <x v="684"/>
    <x v="1"/>
    <x v="0"/>
    <x v="0"/>
  </r>
  <r>
    <x v="690"/>
    <x v="685"/>
    <x v="223"/>
    <x v="83"/>
    <x v="681"/>
    <x v="690"/>
    <x v="684"/>
    <x v="685"/>
    <x v="685"/>
    <x v="1"/>
    <x v="0"/>
    <x v="0"/>
  </r>
  <r>
    <x v="691"/>
    <x v="686"/>
    <x v="223"/>
    <x v="83"/>
    <x v="680"/>
    <x v="691"/>
    <x v="685"/>
    <x v="686"/>
    <x v="686"/>
    <x v="1"/>
    <x v="0"/>
    <x v="0"/>
  </r>
  <r>
    <x v="692"/>
    <x v="687"/>
    <x v="222"/>
    <x v="83"/>
    <x v="682"/>
    <x v="692"/>
    <x v="686"/>
    <x v="687"/>
    <x v="687"/>
    <x v="1"/>
    <x v="0"/>
    <x v="0"/>
  </r>
  <r>
    <x v="693"/>
    <x v="688"/>
    <x v="222"/>
    <x v="83"/>
    <x v="683"/>
    <x v="693"/>
    <x v="687"/>
    <x v="688"/>
    <x v="688"/>
    <x v="1"/>
    <x v="0"/>
    <x v="0"/>
  </r>
  <r>
    <x v="694"/>
    <x v="689"/>
    <x v="224"/>
    <x v="83"/>
    <x v="684"/>
    <x v="694"/>
    <x v="688"/>
    <x v="689"/>
    <x v="689"/>
    <x v="1"/>
    <x v="0"/>
    <x v="0"/>
  </r>
  <r>
    <x v="695"/>
    <x v="690"/>
    <x v="222"/>
    <x v="83"/>
    <x v="685"/>
    <x v="695"/>
    <x v="689"/>
    <x v="690"/>
    <x v="690"/>
    <x v="1"/>
    <x v="0"/>
    <x v="0"/>
  </r>
  <r>
    <x v="696"/>
    <x v="691"/>
    <x v="222"/>
    <x v="83"/>
    <x v="686"/>
    <x v="696"/>
    <x v="690"/>
    <x v="691"/>
    <x v="691"/>
    <x v="1"/>
    <x v="0"/>
    <x v="0"/>
  </r>
  <r>
    <x v="697"/>
    <x v="692"/>
    <x v="225"/>
    <x v="83"/>
    <x v="687"/>
    <x v="697"/>
    <x v="691"/>
    <x v="692"/>
    <x v="692"/>
    <x v="1"/>
    <x v="0"/>
    <x v="0"/>
  </r>
  <r>
    <x v="698"/>
    <x v="693"/>
    <x v="222"/>
    <x v="83"/>
    <x v="688"/>
    <x v="698"/>
    <x v="692"/>
    <x v="693"/>
    <x v="693"/>
    <x v="1"/>
    <x v="0"/>
    <x v="0"/>
  </r>
  <r>
    <x v="699"/>
    <x v="694"/>
    <x v="222"/>
    <x v="83"/>
    <x v="689"/>
    <x v="699"/>
    <x v="693"/>
    <x v="694"/>
    <x v="694"/>
    <x v="1"/>
    <x v="0"/>
    <x v="0"/>
  </r>
  <r>
    <x v="700"/>
    <x v="695"/>
    <x v="222"/>
    <x v="83"/>
    <x v="690"/>
    <x v="700"/>
    <x v="694"/>
    <x v="695"/>
    <x v="695"/>
    <x v="1"/>
    <x v="0"/>
    <x v="0"/>
  </r>
  <r>
    <x v="701"/>
    <x v="696"/>
    <x v="222"/>
    <x v="83"/>
    <x v="691"/>
    <x v="701"/>
    <x v="695"/>
    <x v="696"/>
    <x v="696"/>
    <x v="1"/>
    <x v="0"/>
    <x v="0"/>
  </r>
  <r>
    <x v="702"/>
    <x v="697"/>
    <x v="222"/>
    <x v="83"/>
    <x v="692"/>
    <x v="702"/>
    <x v="696"/>
    <x v="697"/>
    <x v="697"/>
    <x v="1"/>
    <x v="0"/>
    <x v="0"/>
  </r>
  <r>
    <x v="703"/>
    <x v="698"/>
    <x v="222"/>
    <x v="83"/>
    <x v="693"/>
    <x v="703"/>
    <x v="697"/>
    <x v="698"/>
    <x v="698"/>
    <x v="1"/>
    <x v="0"/>
    <x v="0"/>
  </r>
  <r>
    <x v="704"/>
    <x v="699"/>
    <x v="226"/>
    <x v="83"/>
    <x v="694"/>
    <x v="704"/>
    <x v="698"/>
    <x v="699"/>
    <x v="699"/>
    <x v="1"/>
    <x v="0"/>
    <x v="0"/>
  </r>
  <r>
    <x v="705"/>
    <x v="700"/>
    <x v="222"/>
    <x v="83"/>
    <x v="695"/>
    <x v="705"/>
    <x v="699"/>
    <x v="700"/>
    <x v="700"/>
    <x v="1"/>
    <x v="0"/>
    <x v="0"/>
  </r>
  <r>
    <x v="706"/>
    <x v="701"/>
    <x v="227"/>
    <x v="83"/>
    <x v="696"/>
    <x v="706"/>
    <x v="700"/>
    <x v="701"/>
    <x v="701"/>
    <x v="1"/>
    <x v="0"/>
    <x v="0"/>
  </r>
  <r>
    <x v="707"/>
    <x v="702"/>
    <x v="222"/>
    <x v="83"/>
    <x v="697"/>
    <x v="707"/>
    <x v="701"/>
    <x v="702"/>
    <x v="702"/>
    <x v="1"/>
    <x v="0"/>
    <x v="0"/>
  </r>
  <r>
    <x v="708"/>
    <x v="703"/>
    <x v="222"/>
    <x v="83"/>
    <x v="698"/>
    <x v="708"/>
    <x v="702"/>
    <x v="703"/>
    <x v="703"/>
    <x v="1"/>
    <x v="0"/>
    <x v="0"/>
  </r>
  <r>
    <x v="709"/>
    <x v="704"/>
    <x v="228"/>
    <x v="83"/>
    <x v="699"/>
    <x v="709"/>
    <x v="703"/>
    <x v="704"/>
    <x v="704"/>
    <x v="1"/>
    <x v="0"/>
    <x v="0"/>
  </r>
  <r>
    <x v="710"/>
    <x v="705"/>
    <x v="229"/>
    <x v="83"/>
    <x v="700"/>
    <x v="710"/>
    <x v="704"/>
    <x v="705"/>
    <x v="705"/>
    <x v="1"/>
    <x v="0"/>
    <x v="0"/>
  </r>
  <r>
    <x v="711"/>
    <x v="706"/>
    <x v="228"/>
    <x v="83"/>
    <x v="701"/>
    <x v="711"/>
    <x v="705"/>
    <x v="706"/>
    <x v="706"/>
    <x v="1"/>
    <x v="0"/>
    <x v="0"/>
  </r>
  <r>
    <x v="712"/>
    <x v="707"/>
    <x v="222"/>
    <x v="83"/>
    <x v="702"/>
    <x v="712"/>
    <x v="706"/>
    <x v="707"/>
    <x v="707"/>
    <x v="1"/>
    <x v="0"/>
    <x v="0"/>
  </r>
  <r>
    <x v="713"/>
    <x v="708"/>
    <x v="222"/>
    <x v="83"/>
    <x v="703"/>
    <x v="713"/>
    <x v="707"/>
    <x v="708"/>
    <x v="708"/>
    <x v="1"/>
    <x v="0"/>
    <x v="0"/>
  </r>
  <r>
    <x v="714"/>
    <x v="709"/>
    <x v="222"/>
    <x v="83"/>
    <x v="704"/>
    <x v="714"/>
    <x v="708"/>
    <x v="709"/>
    <x v="709"/>
    <x v="1"/>
    <x v="0"/>
    <x v="0"/>
  </r>
  <r>
    <x v="715"/>
    <x v="710"/>
    <x v="222"/>
    <x v="84"/>
    <x v="705"/>
    <x v="715"/>
    <x v="709"/>
    <x v="710"/>
    <x v="710"/>
    <x v="1"/>
    <x v="0"/>
    <x v="0"/>
  </r>
  <r>
    <x v="716"/>
    <x v="711"/>
    <x v="230"/>
    <x v="84"/>
    <x v="706"/>
    <x v="716"/>
    <x v="710"/>
    <x v="711"/>
    <x v="711"/>
    <x v="1"/>
    <x v="0"/>
    <x v="0"/>
  </r>
  <r>
    <x v="717"/>
    <x v="712"/>
    <x v="230"/>
    <x v="84"/>
    <x v="707"/>
    <x v="717"/>
    <x v="711"/>
    <x v="712"/>
    <x v="712"/>
    <x v="1"/>
    <x v="0"/>
    <x v="0"/>
  </r>
  <r>
    <x v="718"/>
    <x v="713"/>
    <x v="230"/>
    <x v="84"/>
    <x v="708"/>
    <x v="718"/>
    <x v="712"/>
    <x v="713"/>
    <x v="713"/>
    <x v="1"/>
    <x v="0"/>
    <x v="0"/>
  </r>
  <r>
    <x v="719"/>
    <x v="714"/>
    <x v="230"/>
    <x v="84"/>
    <x v="709"/>
    <x v="719"/>
    <x v="713"/>
    <x v="714"/>
    <x v="714"/>
    <x v="1"/>
    <x v="0"/>
    <x v="0"/>
  </r>
  <r>
    <x v="720"/>
    <x v="715"/>
    <x v="230"/>
    <x v="84"/>
    <x v="710"/>
    <x v="720"/>
    <x v="714"/>
    <x v="715"/>
    <x v="715"/>
    <x v="1"/>
    <x v="0"/>
    <x v="0"/>
  </r>
  <r>
    <x v="721"/>
    <x v="716"/>
    <x v="231"/>
    <x v="85"/>
    <x v="711"/>
    <x v="721"/>
    <x v="715"/>
    <x v="716"/>
    <x v="716"/>
    <x v="1"/>
    <x v="0"/>
    <x v="0"/>
  </r>
  <r>
    <x v="722"/>
    <x v="717"/>
    <x v="232"/>
    <x v="85"/>
    <x v="712"/>
    <x v="722"/>
    <x v="716"/>
    <x v="717"/>
    <x v="717"/>
    <x v="1"/>
    <x v="0"/>
    <x v="0"/>
  </r>
  <r>
    <x v="723"/>
    <x v="718"/>
    <x v="232"/>
    <x v="85"/>
    <x v="713"/>
    <x v="723"/>
    <x v="717"/>
    <x v="718"/>
    <x v="718"/>
    <x v="1"/>
    <x v="0"/>
    <x v="0"/>
  </r>
  <r>
    <x v="724"/>
    <x v="719"/>
    <x v="232"/>
    <x v="85"/>
    <x v="714"/>
    <x v="724"/>
    <x v="718"/>
    <x v="719"/>
    <x v="719"/>
    <x v="1"/>
    <x v="0"/>
    <x v="0"/>
  </r>
  <r>
    <x v="725"/>
    <x v="720"/>
    <x v="233"/>
    <x v="85"/>
    <x v="715"/>
    <x v="725"/>
    <x v="719"/>
    <x v="720"/>
    <x v="720"/>
    <x v="1"/>
    <x v="0"/>
    <x v="0"/>
  </r>
  <r>
    <x v="726"/>
    <x v="721"/>
    <x v="234"/>
    <x v="86"/>
    <x v="716"/>
    <x v="726"/>
    <x v="720"/>
    <x v="721"/>
    <x v="721"/>
    <x v="1"/>
    <x v="0"/>
    <x v="0"/>
  </r>
  <r>
    <x v="727"/>
    <x v="722"/>
    <x v="235"/>
    <x v="86"/>
    <x v="716"/>
    <x v="727"/>
    <x v="721"/>
    <x v="722"/>
    <x v="722"/>
    <x v="1"/>
    <x v="0"/>
    <x v="0"/>
  </r>
  <r>
    <x v="728"/>
    <x v="723"/>
    <x v="235"/>
    <x v="86"/>
    <x v="717"/>
    <x v="728"/>
    <x v="722"/>
    <x v="723"/>
    <x v="723"/>
    <x v="1"/>
    <x v="0"/>
    <x v="0"/>
  </r>
  <r>
    <x v="729"/>
    <x v="724"/>
    <x v="235"/>
    <x v="86"/>
    <x v="718"/>
    <x v="729"/>
    <x v="723"/>
    <x v="724"/>
    <x v="724"/>
    <x v="1"/>
    <x v="0"/>
    <x v="0"/>
  </r>
  <r>
    <x v="730"/>
    <x v="725"/>
    <x v="236"/>
    <x v="86"/>
    <x v="719"/>
    <x v="730"/>
    <x v="724"/>
    <x v="725"/>
    <x v="725"/>
    <x v="1"/>
    <x v="0"/>
    <x v="0"/>
  </r>
  <r>
    <x v="731"/>
    <x v="726"/>
    <x v="237"/>
    <x v="87"/>
    <x v="720"/>
    <x v="731"/>
    <x v="725"/>
    <x v="726"/>
    <x v="726"/>
    <x v="1"/>
    <x v="0"/>
    <x v="0"/>
  </r>
  <r>
    <x v="732"/>
    <x v="727"/>
    <x v="237"/>
    <x v="87"/>
    <x v="721"/>
    <x v="732"/>
    <x v="726"/>
    <x v="727"/>
    <x v="727"/>
    <x v="1"/>
    <x v="0"/>
    <x v="0"/>
  </r>
  <r>
    <x v="733"/>
    <x v="728"/>
    <x v="237"/>
    <x v="87"/>
    <x v="722"/>
    <x v="733"/>
    <x v="727"/>
    <x v="728"/>
    <x v="728"/>
    <x v="1"/>
    <x v="0"/>
    <x v="0"/>
  </r>
  <r>
    <x v="734"/>
    <x v="729"/>
    <x v="238"/>
    <x v="87"/>
    <x v="723"/>
    <x v="734"/>
    <x v="728"/>
    <x v="729"/>
    <x v="729"/>
    <x v="1"/>
    <x v="0"/>
    <x v="0"/>
  </r>
  <r>
    <x v="735"/>
    <x v="730"/>
    <x v="237"/>
    <x v="87"/>
    <x v="724"/>
    <x v="735"/>
    <x v="508"/>
    <x v="730"/>
    <x v="730"/>
    <x v="1"/>
    <x v="0"/>
    <x v="0"/>
  </r>
  <r>
    <x v="736"/>
    <x v="731"/>
    <x v="237"/>
    <x v="87"/>
    <x v="725"/>
    <x v="736"/>
    <x v="729"/>
    <x v="731"/>
    <x v="731"/>
    <x v="1"/>
    <x v="0"/>
    <x v="0"/>
  </r>
  <r>
    <x v="737"/>
    <x v="732"/>
    <x v="237"/>
    <x v="87"/>
    <x v="726"/>
    <x v="737"/>
    <x v="730"/>
    <x v="732"/>
    <x v="732"/>
    <x v="1"/>
    <x v="0"/>
    <x v="0"/>
  </r>
  <r>
    <x v="738"/>
    <x v="733"/>
    <x v="237"/>
    <x v="87"/>
    <x v="727"/>
    <x v="738"/>
    <x v="731"/>
    <x v="733"/>
    <x v="733"/>
    <x v="1"/>
    <x v="0"/>
    <x v="0"/>
  </r>
  <r>
    <x v="739"/>
    <x v="734"/>
    <x v="239"/>
    <x v="87"/>
    <x v="728"/>
    <x v="739"/>
    <x v="732"/>
    <x v="734"/>
    <x v="734"/>
    <x v="1"/>
    <x v="0"/>
    <x v="0"/>
  </r>
  <r>
    <x v="740"/>
    <x v="735"/>
    <x v="240"/>
    <x v="87"/>
    <x v="729"/>
    <x v="740"/>
    <x v="245"/>
    <x v="735"/>
    <x v="735"/>
    <x v="1"/>
    <x v="0"/>
    <x v="0"/>
  </r>
  <r>
    <x v="741"/>
    <x v="736"/>
    <x v="241"/>
    <x v="87"/>
    <x v="730"/>
    <x v="741"/>
    <x v="733"/>
    <x v="736"/>
    <x v="736"/>
    <x v="1"/>
    <x v="0"/>
    <x v="0"/>
  </r>
  <r>
    <x v="742"/>
    <x v="737"/>
    <x v="242"/>
    <x v="87"/>
    <x v="731"/>
    <x v="742"/>
    <x v="734"/>
    <x v="737"/>
    <x v="737"/>
    <x v="1"/>
    <x v="0"/>
    <x v="0"/>
  </r>
  <r>
    <x v="743"/>
    <x v="738"/>
    <x v="243"/>
    <x v="88"/>
    <x v="732"/>
    <x v="743"/>
    <x v="735"/>
    <x v="738"/>
    <x v="738"/>
    <x v="1"/>
    <x v="0"/>
    <x v="0"/>
  </r>
  <r>
    <x v="744"/>
    <x v="739"/>
    <x v="241"/>
    <x v="88"/>
    <x v="733"/>
    <x v="744"/>
    <x v="736"/>
    <x v="739"/>
    <x v="739"/>
    <x v="1"/>
    <x v="0"/>
    <x v="0"/>
  </r>
  <r>
    <x v="745"/>
    <x v="740"/>
    <x v="241"/>
    <x v="88"/>
    <x v="734"/>
    <x v="745"/>
    <x v="737"/>
    <x v="740"/>
    <x v="740"/>
    <x v="1"/>
    <x v="0"/>
    <x v="0"/>
  </r>
  <r>
    <x v="746"/>
    <x v="741"/>
    <x v="241"/>
    <x v="88"/>
    <x v="735"/>
    <x v="746"/>
    <x v="738"/>
    <x v="741"/>
    <x v="741"/>
    <x v="1"/>
    <x v="0"/>
    <x v="0"/>
  </r>
  <r>
    <x v="747"/>
    <x v="742"/>
    <x v="241"/>
    <x v="88"/>
    <x v="736"/>
    <x v="747"/>
    <x v="281"/>
    <x v="742"/>
    <x v="742"/>
    <x v="1"/>
    <x v="0"/>
    <x v="0"/>
  </r>
  <r>
    <x v="748"/>
    <x v="743"/>
    <x v="241"/>
    <x v="88"/>
    <x v="737"/>
    <x v="748"/>
    <x v="739"/>
    <x v="743"/>
    <x v="743"/>
    <x v="1"/>
    <x v="0"/>
    <x v="0"/>
  </r>
  <r>
    <x v="749"/>
    <x v="744"/>
    <x v="241"/>
    <x v="88"/>
    <x v="738"/>
    <x v="749"/>
    <x v="740"/>
    <x v="744"/>
    <x v="744"/>
    <x v="1"/>
    <x v="0"/>
    <x v="0"/>
  </r>
  <r>
    <x v="750"/>
    <x v="745"/>
    <x v="241"/>
    <x v="88"/>
    <x v="739"/>
    <x v="750"/>
    <x v="741"/>
    <x v="745"/>
    <x v="745"/>
    <x v="1"/>
    <x v="0"/>
    <x v="0"/>
  </r>
  <r>
    <x v="751"/>
    <x v="746"/>
    <x v="237"/>
    <x v="87"/>
    <x v="740"/>
    <x v="751"/>
    <x v="742"/>
    <x v="746"/>
    <x v="746"/>
    <x v="1"/>
    <x v="0"/>
    <x v="0"/>
  </r>
  <r>
    <x v="752"/>
    <x v="747"/>
    <x v="244"/>
    <x v="89"/>
    <x v="741"/>
    <x v="752"/>
    <x v="743"/>
    <x v="747"/>
    <x v="747"/>
    <x v="1"/>
    <x v="0"/>
    <x v="0"/>
  </r>
  <r>
    <x v="753"/>
    <x v="748"/>
    <x v="244"/>
    <x v="89"/>
    <x v="742"/>
    <x v="753"/>
    <x v="744"/>
    <x v="748"/>
    <x v="748"/>
    <x v="1"/>
    <x v="0"/>
    <x v="0"/>
  </r>
  <r>
    <x v="754"/>
    <x v="749"/>
    <x v="244"/>
    <x v="89"/>
    <x v="743"/>
    <x v="754"/>
    <x v="745"/>
    <x v="749"/>
    <x v="749"/>
    <x v="1"/>
    <x v="0"/>
    <x v="0"/>
  </r>
  <r>
    <x v="755"/>
    <x v="750"/>
    <x v="245"/>
    <x v="89"/>
    <x v="744"/>
    <x v="755"/>
    <x v="746"/>
    <x v="750"/>
    <x v="750"/>
    <x v="1"/>
    <x v="0"/>
    <x v="0"/>
  </r>
  <r>
    <x v="756"/>
    <x v="751"/>
    <x v="245"/>
    <x v="89"/>
    <x v="745"/>
    <x v="756"/>
    <x v="747"/>
    <x v="751"/>
    <x v="751"/>
    <x v="1"/>
    <x v="0"/>
    <x v="0"/>
  </r>
  <r>
    <x v="757"/>
    <x v="752"/>
    <x v="244"/>
    <x v="89"/>
    <x v="746"/>
    <x v="757"/>
    <x v="748"/>
    <x v="752"/>
    <x v="752"/>
    <x v="1"/>
    <x v="0"/>
    <x v="0"/>
  </r>
  <r>
    <x v="758"/>
    <x v="753"/>
    <x v="244"/>
    <x v="89"/>
    <x v="747"/>
    <x v="758"/>
    <x v="749"/>
    <x v="753"/>
    <x v="753"/>
    <x v="1"/>
    <x v="0"/>
    <x v="0"/>
  </r>
  <r>
    <x v="759"/>
    <x v="754"/>
    <x v="237"/>
    <x v="87"/>
    <x v="748"/>
    <x v="759"/>
    <x v="750"/>
    <x v="754"/>
    <x v="754"/>
    <x v="1"/>
    <x v="0"/>
    <x v="0"/>
  </r>
  <r>
    <x v="760"/>
    <x v="755"/>
    <x v="246"/>
    <x v="90"/>
    <x v="749"/>
    <x v="760"/>
    <x v="751"/>
    <x v="755"/>
    <x v="755"/>
    <x v="1"/>
    <x v="0"/>
    <x v="0"/>
  </r>
  <r>
    <x v="761"/>
    <x v="756"/>
    <x v="246"/>
    <x v="90"/>
    <x v="750"/>
    <x v="761"/>
    <x v="752"/>
    <x v="756"/>
    <x v="756"/>
    <x v="1"/>
    <x v="0"/>
    <x v="0"/>
  </r>
  <r>
    <x v="762"/>
    <x v="757"/>
    <x v="246"/>
    <x v="90"/>
    <x v="751"/>
    <x v="762"/>
    <x v="753"/>
    <x v="757"/>
    <x v="757"/>
    <x v="1"/>
    <x v="0"/>
    <x v="0"/>
  </r>
  <r>
    <x v="763"/>
    <x v="758"/>
    <x v="247"/>
    <x v="90"/>
    <x v="752"/>
    <x v="763"/>
    <x v="754"/>
    <x v="758"/>
    <x v="758"/>
    <x v="1"/>
    <x v="0"/>
    <x v="0"/>
  </r>
  <r>
    <x v="764"/>
    <x v="759"/>
    <x v="237"/>
    <x v="87"/>
    <x v="753"/>
    <x v="764"/>
    <x v="755"/>
    <x v="759"/>
    <x v="759"/>
    <x v="1"/>
    <x v="0"/>
    <x v="0"/>
  </r>
  <r>
    <x v="765"/>
    <x v="760"/>
    <x v="205"/>
    <x v="91"/>
    <x v="754"/>
    <x v="765"/>
    <x v="20"/>
    <x v="760"/>
    <x v="760"/>
    <x v="1"/>
    <x v="0"/>
    <x v="0"/>
  </r>
  <r>
    <x v="766"/>
    <x v="761"/>
    <x v="248"/>
    <x v="92"/>
    <x v="755"/>
    <x v="766"/>
    <x v="756"/>
    <x v="761"/>
    <x v="761"/>
    <x v="1"/>
    <x v="0"/>
    <x v="0"/>
  </r>
  <r>
    <x v="767"/>
    <x v="762"/>
    <x v="248"/>
    <x v="92"/>
    <x v="756"/>
    <x v="767"/>
    <x v="757"/>
    <x v="762"/>
    <x v="762"/>
    <x v="1"/>
    <x v="0"/>
    <x v="0"/>
  </r>
  <r>
    <x v="768"/>
    <x v="763"/>
    <x v="248"/>
    <x v="92"/>
    <x v="757"/>
    <x v="768"/>
    <x v="758"/>
    <x v="763"/>
    <x v="763"/>
    <x v="1"/>
    <x v="0"/>
    <x v="0"/>
  </r>
  <r>
    <x v="769"/>
    <x v="764"/>
    <x v="248"/>
    <x v="92"/>
    <x v="758"/>
    <x v="769"/>
    <x v="759"/>
    <x v="764"/>
    <x v="764"/>
    <x v="1"/>
    <x v="0"/>
    <x v="0"/>
  </r>
  <r>
    <x v="770"/>
    <x v="765"/>
    <x v="248"/>
    <x v="92"/>
    <x v="759"/>
    <x v="770"/>
    <x v="760"/>
    <x v="765"/>
    <x v="765"/>
    <x v="1"/>
    <x v="0"/>
    <x v="0"/>
  </r>
  <r>
    <x v="771"/>
    <x v="766"/>
    <x v="249"/>
    <x v="92"/>
    <x v="760"/>
    <x v="771"/>
    <x v="761"/>
    <x v="766"/>
    <x v="766"/>
    <x v="1"/>
    <x v="0"/>
    <x v="0"/>
  </r>
  <r>
    <x v="772"/>
    <x v="767"/>
    <x v="249"/>
    <x v="92"/>
    <x v="761"/>
    <x v="772"/>
    <x v="762"/>
    <x v="767"/>
    <x v="767"/>
    <x v="1"/>
    <x v="0"/>
    <x v="0"/>
  </r>
  <r>
    <x v="773"/>
    <x v="768"/>
    <x v="248"/>
    <x v="92"/>
    <x v="762"/>
    <x v="773"/>
    <x v="763"/>
    <x v="768"/>
    <x v="768"/>
    <x v="1"/>
    <x v="0"/>
    <x v="0"/>
  </r>
  <r>
    <x v="774"/>
    <x v="769"/>
    <x v="250"/>
    <x v="92"/>
    <x v="763"/>
    <x v="774"/>
    <x v="764"/>
    <x v="769"/>
    <x v="769"/>
    <x v="1"/>
    <x v="0"/>
    <x v="0"/>
  </r>
  <r>
    <x v="775"/>
    <x v="770"/>
    <x v="248"/>
    <x v="92"/>
    <x v="764"/>
    <x v="775"/>
    <x v="765"/>
    <x v="770"/>
    <x v="770"/>
    <x v="1"/>
    <x v="0"/>
    <x v="0"/>
  </r>
  <r>
    <x v="776"/>
    <x v="771"/>
    <x v="248"/>
    <x v="92"/>
    <x v="765"/>
    <x v="776"/>
    <x v="766"/>
    <x v="771"/>
    <x v="771"/>
    <x v="1"/>
    <x v="0"/>
    <x v="0"/>
  </r>
  <r>
    <x v="777"/>
    <x v="772"/>
    <x v="251"/>
    <x v="92"/>
    <x v="766"/>
    <x v="777"/>
    <x v="767"/>
    <x v="772"/>
    <x v="772"/>
    <x v="1"/>
    <x v="0"/>
    <x v="0"/>
  </r>
  <r>
    <x v="778"/>
    <x v="773"/>
    <x v="248"/>
    <x v="92"/>
    <x v="767"/>
    <x v="778"/>
    <x v="768"/>
    <x v="773"/>
    <x v="773"/>
    <x v="1"/>
    <x v="0"/>
    <x v="0"/>
  </r>
  <r>
    <x v="779"/>
    <x v="774"/>
    <x v="252"/>
    <x v="93"/>
    <x v="768"/>
    <x v="779"/>
    <x v="769"/>
    <x v="774"/>
    <x v="774"/>
    <x v="1"/>
    <x v="0"/>
    <x v="0"/>
  </r>
  <r>
    <x v="780"/>
    <x v="775"/>
    <x v="253"/>
    <x v="94"/>
    <x v="769"/>
    <x v="780"/>
    <x v="770"/>
    <x v="775"/>
    <x v="775"/>
    <x v="1"/>
    <x v="0"/>
    <x v="0"/>
  </r>
  <r>
    <x v="781"/>
    <x v="776"/>
    <x v="253"/>
    <x v="94"/>
    <x v="770"/>
    <x v="781"/>
    <x v="771"/>
    <x v="776"/>
    <x v="776"/>
    <x v="1"/>
    <x v="0"/>
    <x v="0"/>
  </r>
  <r>
    <x v="782"/>
    <x v="777"/>
    <x v="254"/>
    <x v="94"/>
    <x v="771"/>
    <x v="782"/>
    <x v="772"/>
    <x v="777"/>
    <x v="777"/>
    <x v="1"/>
    <x v="0"/>
    <x v="0"/>
  </r>
  <r>
    <x v="783"/>
    <x v="778"/>
    <x v="253"/>
    <x v="94"/>
    <x v="772"/>
    <x v="783"/>
    <x v="773"/>
    <x v="778"/>
    <x v="778"/>
    <x v="1"/>
    <x v="0"/>
    <x v="0"/>
  </r>
  <r>
    <x v="784"/>
    <x v="779"/>
    <x v="255"/>
    <x v="95"/>
    <x v="773"/>
    <x v="784"/>
    <x v="774"/>
    <x v="779"/>
    <x v="779"/>
    <x v="1"/>
    <x v="0"/>
    <x v="0"/>
  </r>
  <r>
    <x v="785"/>
    <x v="780"/>
    <x v="255"/>
    <x v="95"/>
    <x v="774"/>
    <x v="785"/>
    <x v="775"/>
    <x v="780"/>
    <x v="780"/>
    <x v="1"/>
    <x v="0"/>
    <x v="0"/>
  </r>
  <r>
    <x v="786"/>
    <x v="781"/>
    <x v="256"/>
    <x v="95"/>
    <x v="775"/>
    <x v="786"/>
    <x v="776"/>
    <x v="781"/>
    <x v="781"/>
    <x v="1"/>
    <x v="0"/>
    <x v="0"/>
  </r>
  <r>
    <x v="787"/>
    <x v="782"/>
    <x v="255"/>
    <x v="95"/>
    <x v="776"/>
    <x v="787"/>
    <x v="777"/>
    <x v="782"/>
    <x v="782"/>
    <x v="1"/>
    <x v="0"/>
    <x v="0"/>
  </r>
  <r>
    <x v="788"/>
    <x v="783"/>
    <x v="205"/>
    <x v="96"/>
    <x v="777"/>
    <x v="788"/>
    <x v="778"/>
    <x v="783"/>
    <x v="783"/>
    <x v="1"/>
    <x v="0"/>
    <x v="0"/>
  </r>
  <r>
    <x v="789"/>
    <x v="784"/>
    <x v="257"/>
    <x v="96"/>
    <x v="778"/>
    <x v="789"/>
    <x v="779"/>
    <x v="784"/>
    <x v="784"/>
    <x v="1"/>
    <x v="0"/>
    <x v="0"/>
  </r>
  <r>
    <x v="790"/>
    <x v="785"/>
    <x v="257"/>
    <x v="96"/>
    <x v="779"/>
    <x v="790"/>
    <x v="780"/>
    <x v="785"/>
    <x v="785"/>
    <x v="1"/>
    <x v="0"/>
    <x v="0"/>
  </r>
  <r>
    <x v="791"/>
    <x v="786"/>
    <x v="257"/>
    <x v="96"/>
    <x v="780"/>
    <x v="791"/>
    <x v="781"/>
    <x v="786"/>
    <x v="786"/>
    <x v="1"/>
    <x v="0"/>
    <x v="0"/>
  </r>
  <r>
    <x v="792"/>
    <x v="787"/>
    <x v="257"/>
    <x v="96"/>
    <x v="781"/>
    <x v="792"/>
    <x v="782"/>
    <x v="787"/>
    <x v="787"/>
    <x v="1"/>
    <x v="0"/>
    <x v="0"/>
  </r>
  <r>
    <x v="793"/>
    <x v="788"/>
    <x v="258"/>
    <x v="97"/>
    <x v="782"/>
    <x v="793"/>
    <x v="783"/>
    <x v="788"/>
    <x v="788"/>
    <x v="1"/>
    <x v="0"/>
    <x v="0"/>
  </r>
  <r>
    <x v="794"/>
    <x v="789"/>
    <x v="259"/>
    <x v="97"/>
    <x v="783"/>
    <x v="794"/>
    <x v="784"/>
    <x v="789"/>
    <x v="789"/>
    <x v="1"/>
    <x v="0"/>
    <x v="0"/>
  </r>
  <r>
    <x v="795"/>
    <x v="790"/>
    <x v="259"/>
    <x v="97"/>
    <x v="784"/>
    <x v="795"/>
    <x v="785"/>
    <x v="790"/>
    <x v="790"/>
    <x v="1"/>
    <x v="0"/>
    <x v="0"/>
  </r>
  <r>
    <x v="796"/>
    <x v="791"/>
    <x v="259"/>
    <x v="97"/>
    <x v="785"/>
    <x v="796"/>
    <x v="786"/>
    <x v="791"/>
    <x v="791"/>
    <x v="1"/>
    <x v="0"/>
    <x v="0"/>
  </r>
  <r>
    <x v="797"/>
    <x v="792"/>
    <x v="260"/>
    <x v="97"/>
    <x v="786"/>
    <x v="797"/>
    <x v="787"/>
    <x v="792"/>
    <x v="792"/>
    <x v="1"/>
    <x v="0"/>
    <x v="0"/>
  </r>
  <r>
    <x v="798"/>
    <x v="793"/>
    <x v="258"/>
    <x v="97"/>
    <x v="787"/>
    <x v="798"/>
    <x v="788"/>
    <x v="793"/>
    <x v="793"/>
    <x v="1"/>
    <x v="0"/>
    <x v="0"/>
  </r>
  <r>
    <x v="799"/>
    <x v="794"/>
    <x v="261"/>
    <x v="97"/>
    <x v="788"/>
    <x v="799"/>
    <x v="789"/>
    <x v="794"/>
    <x v="794"/>
    <x v="1"/>
    <x v="0"/>
    <x v="0"/>
  </r>
  <r>
    <x v="800"/>
    <x v="795"/>
    <x v="258"/>
    <x v="97"/>
    <x v="789"/>
    <x v="800"/>
    <x v="790"/>
    <x v="795"/>
    <x v="795"/>
    <x v="1"/>
    <x v="0"/>
    <x v="0"/>
  </r>
  <r>
    <x v="801"/>
    <x v="796"/>
    <x v="258"/>
    <x v="97"/>
    <x v="790"/>
    <x v="801"/>
    <x v="791"/>
    <x v="796"/>
    <x v="796"/>
    <x v="1"/>
    <x v="0"/>
    <x v="0"/>
  </r>
  <r>
    <x v="802"/>
    <x v="797"/>
    <x v="262"/>
    <x v="98"/>
    <x v="791"/>
    <x v="802"/>
    <x v="792"/>
    <x v="797"/>
    <x v="797"/>
    <x v="1"/>
    <x v="0"/>
    <x v="0"/>
  </r>
  <r>
    <x v="803"/>
    <x v="798"/>
    <x v="262"/>
    <x v="98"/>
    <x v="792"/>
    <x v="803"/>
    <x v="793"/>
    <x v="798"/>
    <x v="798"/>
    <x v="1"/>
    <x v="0"/>
    <x v="0"/>
  </r>
  <r>
    <x v="804"/>
    <x v="799"/>
    <x v="263"/>
    <x v="98"/>
    <x v="793"/>
    <x v="804"/>
    <x v="794"/>
    <x v="799"/>
    <x v="799"/>
    <x v="1"/>
    <x v="0"/>
    <x v="0"/>
  </r>
  <r>
    <x v="805"/>
    <x v="800"/>
    <x v="262"/>
    <x v="98"/>
    <x v="794"/>
    <x v="805"/>
    <x v="795"/>
    <x v="800"/>
    <x v="800"/>
    <x v="1"/>
    <x v="0"/>
    <x v="0"/>
  </r>
  <r>
    <x v="806"/>
    <x v="801"/>
    <x v="264"/>
    <x v="98"/>
    <x v="795"/>
    <x v="806"/>
    <x v="796"/>
    <x v="801"/>
    <x v="801"/>
    <x v="1"/>
    <x v="0"/>
    <x v="0"/>
  </r>
  <r>
    <x v="807"/>
    <x v="802"/>
    <x v="262"/>
    <x v="98"/>
    <x v="796"/>
    <x v="807"/>
    <x v="797"/>
    <x v="802"/>
    <x v="802"/>
    <x v="1"/>
    <x v="0"/>
    <x v="0"/>
  </r>
  <r>
    <x v="808"/>
    <x v="803"/>
    <x v="265"/>
    <x v="98"/>
    <x v="797"/>
    <x v="808"/>
    <x v="798"/>
    <x v="803"/>
    <x v="803"/>
    <x v="1"/>
    <x v="0"/>
    <x v="0"/>
  </r>
  <r>
    <x v="809"/>
    <x v="804"/>
    <x v="262"/>
    <x v="98"/>
    <x v="798"/>
    <x v="809"/>
    <x v="799"/>
    <x v="804"/>
    <x v="804"/>
    <x v="1"/>
    <x v="0"/>
    <x v="0"/>
  </r>
  <r>
    <x v="810"/>
    <x v="805"/>
    <x v="266"/>
    <x v="98"/>
    <x v="799"/>
    <x v="810"/>
    <x v="800"/>
    <x v="805"/>
    <x v="805"/>
    <x v="1"/>
    <x v="0"/>
    <x v="0"/>
  </r>
  <r>
    <x v="811"/>
    <x v="806"/>
    <x v="267"/>
    <x v="98"/>
    <x v="800"/>
    <x v="811"/>
    <x v="801"/>
    <x v="806"/>
    <x v="806"/>
    <x v="1"/>
    <x v="0"/>
    <x v="0"/>
  </r>
  <r>
    <x v="812"/>
    <x v="807"/>
    <x v="268"/>
    <x v="98"/>
    <x v="801"/>
    <x v="812"/>
    <x v="802"/>
    <x v="807"/>
    <x v="807"/>
    <x v="1"/>
    <x v="0"/>
    <x v="0"/>
  </r>
  <r>
    <x v="813"/>
    <x v="808"/>
    <x v="258"/>
    <x v="99"/>
    <x v="802"/>
    <x v="813"/>
    <x v="803"/>
    <x v="808"/>
    <x v="808"/>
    <x v="1"/>
    <x v="0"/>
    <x v="0"/>
  </r>
  <r>
    <x v="814"/>
    <x v="809"/>
    <x v="269"/>
    <x v="99"/>
    <x v="803"/>
    <x v="814"/>
    <x v="804"/>
    <x v="809"/>
    <x v="809"/>
    <x v="1"/>
    <x v="0"/>
    <x v="0"/>
  </r>
  <r>
    <x v="815"/>
    <x v="810"/>
    <x v="269"/>
    <x v="99"/>
    <x v="804"/>
    <x v="815"/>
    <x v="805"/>
    <x v="810"/>
    <x v="810"/>
    <x v="1"/>
    <x v="0"/>
    <x v="0"/>
  </r>
  <r>
    <x v="816"/>
    <x v="811"/>
    <x v="269"/>
    <x v="99"/>
    <x v="805"/>
    <x v="816"/>
    <x v="806"/>
    <x v="811"/>
    <x v="811"/>
    <x v="1"/>
    <x v="0"/>
    <x v="0"/>
  </r>
  <r>
    <x v="817"/>
    <x v="812"/>
    <x v="269"/>
    <x v="99"/>
    <x v="806"/>
    <x v="817"/>
    <x v="807"/>
    <x v="812"/>
    <x v="812"/>
    <x v="1"/>
    <x v="0"/>
    <x v="0"/>
  </r>
  <r>
    <x v="818"/>
    <x v="813"/>
    <x v="269"/>
    <x v="99"/>
    <x v="807"/>
    <x v="818"/>
    <x v="808"/>
    <x v="813"/>
    <x v="813"/>
    <x v="1"/>
    <x v="0"/>
    <x v="0"/>
  </r>
  <r>
    <x v="819"/>
    <x v="814"/>
    <x v="270"/>
    <x v="100"/>
    <x v="808"/>
    <x v="819"/>
    <x v="809"/>
    <x v="814"/>
    <x v="814"/>
    <x v="1"/>
    <x v="0"/>
    <x v="0"/>
  </r>
  <r>
    <x v="820"/>
    <x v="815"/>
    <x v="271"/>
    <x v="100"/>
    <x v="809"/>
    <x v="820"/>
    <x v="810"/>
    <x v="815"/>
    <x v="815"/>
    <x v="1"/>
    <x v="0"/>
    <x v="0"/>
  </r>
  <r>
    <x v="821"/>
    <x v="816"/>
    <x v="272"/>
    <x v="100"/>
    <x v="810"/>
    <x v="821"/>
    <x v="811"/>
    <x v="816"/>
    <x v="816"/>
    <x v="1"/>
    <x v="0"/>
    <x v="0"/>
  </r>
  <r>
    <x v="822"/>
    <x v="817"/>
    <x v="271"/>
    <x v="100"/>
    <x v="811"/>
    <x v="822"/>
    <x v="812"/>
    <x v="817"/>
    <x v="817"/>
    <x v="1"/>
    <x v="0"/>
    <x v="0"/>
  </r>
  <r>
    <x v="823"/>
    <x v="818"/>
    <x v="273"/>
    <x v="100"/>
    <x v="812"/>
    <x v="823"/>
    <x v="813"/>
    <x v="818"/>
    <x v="818"/>
    <x v="1"/>
    <x v="0"/>
    <x v="0"/>
  </r>
  <r>
    <x v="824"/>
    <x v="819"/>
    <x v="271"/>
    <x v="100"/>
    <x v="813"/>
    <x v="824"/>
    <x v="814"/>
    <x v="819"/>
    <x v="819"/>
    <x v="1"/>
    <x v="0"/>
    <x v="0"/>
  </r>
  <r>
    <x v="825"/>
    <x v="820"/>
    <x v="271"/>
    <x v="100"/>
    <x v="814"/>
    <x v="825"/>
    <x v="815"/>
    <x v="820"/>
    <x v="820"/>
    <x v="1"/>
    <x v="0"/>
    <x v="0"/>
  </r>
  <r>
    <x v="826"/>
    <x v="821"/>
    <x v="271"/>
    <x v="100"/>
    <x v="815"/>
    <x v="826"/>
    <x v="610"/>
    <x v="821"/>
    <x v="821"/>
    <x v="1"/>
    <x v="0"/>
    <x v="0"/>
  </r>
  <r>
    <x v="827"/>
    <x v="822"/>
    <x v="271"/>
    <x v="100"/>
    <x v="816"/>
    <x v="827"/>
    <x v="816"/>
    <x v="822"/>
    <x v="822"/>
    <x v="1"/>
    <x v="0"/>
    <x v="0"/>
  </r>
  <r>
    <x v="828"/>
    <x v="807"/>
    <x v="271"/>
    <x v="100"/>
    <x v="801"/>
    <x v="828"/>
    <x v="802"/>
    <x v="807"/>
    <x v="807"/>
    <x v="1"/>
    <x v="0"/>
    <x v="0"/>
  </r>
  <r>
    <x v="829"/>
    <x v="823"/>
    <x v="271"/>
    <x v="100"/>
    <x v="817"/>
    <x v="829"/>
    <x v="817"/>
    <x v="823"/>
    <x v="823"/>
    <x v="1"/>
    <x v="0"/>
    <x v="0"/>
  </r>
  <r>
    <x v="830"/>
    <x v="824"/>
    <x v="271"/>
    <x v="100"/>
    <x v="818"/>
    <x v="830"/>
    <x v="818"/>
    <x v="824"/>
    <x v="824"/>
    <x v="1"/>
    <x v="0"/>
    <x v="0"/>
  </r>
  <r>
    <x v="831"/>
    <x v="825"/>
    <x v="271"/>
    <x v="100"/>
    <x v="819"/>
    <x v="831"/>
    <x v="819"/>
    <x v="825"/>
    <x v="825"/>
    <x v="1"/>
    <x v="0"/>
    <x v="0"/>
  </r>
  <r>
    <x v="832"/>
    <x v="826"/>
    <x v="274"/>
    <x v="101"/>
    <x v="820"/>
    <x v="832"/>
    <x v="820"/>
    <x v="826"/>
    <x v="826"/>
    <x v="1"/>
    <x v="0"/>
    <x v="0"/>
  </r>
  <r>
    <x v="833"/>
    <x v="827"/>
    <x v="275"/>
    <x v="101"/>
    <x v="821"/>
    <x v="833"/>
    <x v="821"/>
    <x v="827"/>
    <x v="827"/>
    <x v="1"/>
    <x v="0"/>
    <x v="0"/>
  </r>
  <r>
    <x v="834"/>
    <x v="828"/>
    <x v="274"/>
    <x v="101"/>
    <x v="822"/>
    <x v="834"/>
    <x v="822"/>
    <x v="828"/>
    <x v="828"/>
    <x v="1"/>
    <x v="0"/>
    <x v="0"/>
  </r>
  <r>
    <x v="835"/>
    <x v="829"/>
    <x v="276"/>
    <x v="101"/>
    <x v="823"/>
    <x v="835"/>
    <x v="823"/>
    <x v="829"/>
    <x v="829"/>
    <x v="1"/>
    <x v="0"/>
    <x v="0"/>
  </r>
  <r>
    <x v="836"/>
    <x v="830"/>
    <x v="277"/>
    <x v="101"/>
    <x v="824"/>
    <x v="836"/>
    <x v="824"/>
    <x v="830"/>
    <x v="830"/>
    <x v="1"/>
    <x v="0"/>
    <x v="0"/>
  </r>
  <r>
    <x v="837"/>
    <x v="831"/>
    <x v="274"/>
    <x v="101"/>
    <x v="825"/>
    <x v="837"/>
    <x v="825"/>
    <x v="831"/>
    <x v="831"/>
    <x v="1"/>
    <x v="0"/>
    <x v="0"/>
  </r>
  <r>
    <x v="838"/>
    <x v="832"/>
    <x v="278"/>
    <x v="102"/>
    <x v="826"/>
    <x v="838"/>
    <x v="826"/>
    <x v="832"/>
    <x v="832"/>
    <x v="1"/>
    <x v="0"/>
    <x v="0"/>
  </r>
  <r>
    <x v="839"/>
    <x v="833"/>
    <x v="279"/>
    <x v="102"/>
    <x v="827"/>
    <x v="839"/>
    <x v="827"/>
    <x v="833"/>
    <x v="833"/>
    <x v="1"/>
    <x v="0"/>
    <x v="0"/>
  </r>
  <r>
    <x v="840"/>
    <x v="834"/>
    <x v="279"/>
    <x v="102"/>
    <x v="828"/>
    <x v="840"/>
    <x v="828"/>
    <x v="834"/>
    <x v="834"/>
    <x v="1"/>
    <x v="0"/>
    <x v="0"/>
  </r>
  <r>
    <x v="841"/>
    <x v="835"/>
    <x v="279"/>
    <x v="102"/>
    <x v="829"/>
    <x v="841"/>
    <x v="829"/>
    <x v="835"/>
    <x v="835"/>
    <x v="1"/>
    <x v="0"/>
    <x v="0"/>
  </r>
  <r>
    <x v="842"/>
    <x v="836"/>
    <x v="278"/>
    <x v="101"/>
    <x v="830"/>
    <x v="842"/>
    <x v="830"/>
    <x v="836"/>
    <x v="836"/>
    <x v="1"/>
    <x v="0"/>
    <x v="0"/>
  </r>
  <r>
    <x v="843"/>
    <x v="837"/>
    <x v="280"/>
    <x v="103"/>
    <x v="831"/>
    <x v="843"/>
    <x v="831"/>
    <x v="837"/>
    <x v="837"/>
    <x v="1"/>
    <x v="0"/>
    <x v="0"/>
  </r>
  <r>
    <x v="844"/>
    <x v="838"/>
    <x v="280"/>
    <x v="103"/>
    <x v="832"/>
    <x v="844"/>
    <x v="832"/>
    <x v="838"/>
    <x v="838"/>
    <x v="1"/>
    <x v="0"/>
    <x v="0"/>
  </r>
  <r>
    <x v="845"/>
    <x v="839"/>
    <x v="280"/>
    <x v="103"/>
    <x v="833"/>
    <x v="845"/>
    <x v="833"/>
    <x v="839"/>
    <x v="839"/>
    <x v="1"/>
    <x v="0"/>
    <x v="0"/>
  </r>
  <r>
    <x v="846"/>
    <x v="840"/>
    <x v="280"/>
    <x v="103"/>
    <x v="834"/>
    <x v="846"/>
    <x v="834"/>
    <x v="840"/>
    <x v="840"/>
    <x v="1"/>
    <x v="0"/>
    <x v="0"/>
  </r>
  <r>
    <x v="847"/>
    <x v="841"/>
    <x v="281"/>
    <x v="103"/>
    <x v="835"/>
    <x v="847"/>
    <x v="835"/>
    <x v="841"/>
    <x v="841"/>
    <x v="1"/>
    <x v="0"/>
    <x v="0"/>
  </r>
  <r>
    <x v="848"/>
    <x v="842"/>
    <x v="281"/>
    <x v="103"/>
    <x v="836"/>
    <x v="848"/>
    <x v="836"/>
    <x v="842"/>
    <x v="842"/>
    <x v="1"/>
    <x v="0"/>
    <x v="0"/>
  </r>
  <r>
    <x v="849"/>
    <x v="843"/>
    <x v="281"/>
    <x v="103"/>
    <x v="837"/>
    <x v="849"/>
    <x v="837"/>
    <x v="843"/>
    <x v="843"/>
    <x v="1"/>
    <x v="0"/>
    <x v="0"/>
  </r>
  <r>
    <x v="850"/>
    <x v="844"/>
    <x v="278"/>
    <x v="104"/>
    <x v="838"/>
    <x v="850"/>
    <x v="838"/>
    <x v="844"/>
    <x v="844"/>
    <x v="1"/>
    <x v="0"/>
    <x v="0"/>
  </r>
  <r>
    <x v="851"/>
    <x v="845"/>
    <x v="282"/>
    <x v="104"/>
    <x v="839"/>
    <x v="851"/>
    <x v="839"/>
    <x v="845"/>
    <x v="845"/>
    <x v="1"/>
    <x v="0"/>
    <x v="0"/>
  </r>
  <r>
    <x v="852"/>
    <x v="846"/>
    <x v="282"/>
    <x v="104"/>
    <x v="840"/>
    <x v="852"/>
    <x v="840"/>
    <x v="846"/>
    <x v="846"/>
    <x v="1"/>
    <x v="0"/>
    <x v="0"/>
  </r>
  <r>
    <x v="853"/>
    <x v="847"/>
    <x v="282"/>
    <x v="104"/>
    <x v="841"/>
    <x v="853"/>
    <x v="841"/>
    <x v="847"/>
    <x v="847"/>
    <x v="1"/>
    <x v="0"/>
    <x v="0"/>
  </r>
  <r>
    <x v="854"/>
    <x v="848"/>
    <x v="282"/>
    <x v="104"/>
    <x v="842"/>
    <x v="854"/>
    <x v="842"/>
    <x v="848"/>
    <x v="848"/>
    <x v="1"/>
    <x v="0"/>
    <x v="0"/>
  </r>
  <r>
    <x v="855"/>
    <x v="849"/>
    <x v="282"/>
    <x v="104"/>
    <x v="843"/>
    <x v="855"/>
    <x v="843"/>
    <x v="849"/>
    <x v="849"/>
    <x v="1"/>
    <x v="0"/>
    <x v="0"/>
  </r>
  <r>
    <x v="856"/>
    <x v="850"/>
    <x v="283"/>
    <x v="105"/>
    <x v="844"/>
    <x v="856"/>
    <x v="844"/>
    <x v="850"/>
    <x v="850"/>
    <x v="1"/>
    <x v="0"/>
    <x v="0"/>
  </r>
  <r>
    <x v="857"/>
    <x v="851"/>
    <x v="284"/>
    <x v="105"/>
    <x v="845"/>
    <x v="857"/>
    <x v="845"/>
    <x v="851"/>
    <x v="851"/>
    <x v="1"/>
    <x v="0"/>
    <x v="0"/>
  </r>
  <r>
    <x v="858"/>
    <x v="852"/>
    <x v="283"/>
    <x v="105"/>
    <x v="846"/>
    <x v="858"/>
    <x v="846"/>
    <x v="852"/>
    <x v="852"/>
    <x v="1"/>
    <x v="0"/>
    <x v="0"/>
  </r>
  <r>
    <x v="859"/>
    <x v="853"/>
    <x v="283"/>
    <x v="105"/>
    <x v="847"/>
    <x v="859"/>
    <x v="847"/>
    <x v="853"/>
    <x v="853"/>
    <x v="1"/>
    <x v="0"/>
    <x v="0"/>
  </r>
  <r>
    <x v="860"/>
    <x v="854"/>
    <x v="283"/>
    <x v="105"/>
    <x v="848"/>
    <x v="860"/>
    <x v="848"/>
    <x v="854"/>
    <x v="854"/>
    <x v="1"/>
    <x v="0"/>
    <x v="0"/>
  </r>
  <r>
    <x v="861"/>
    <x v="855"/>
    <x v="285"/>
    <x v="105"/>
    <x v="849"/>
    <x v="861"/>
    <x v="849"/>
    <x v="855"/>
    <x v="855"/>
    <x v="1"/>
    <x v="0"/>
    <x v="0"/>
  </r>
  <r>
    <x v="862"/>
    <x v="856"/>
    <x v="283"/>
    <x v="105"/>
    <x v="850"/>
    <x v="862"/>
    <x v="850"/>
    <x v="856"/>
    <x v="856"/>
    <x v="1"/>
    <x v="0"/>
    <x v="0"/>
  </r>
  <r>
    <x v="863"/>
    <x v="857"/>
    <x v="283"/>
    <x v="105"/>
    <x v="851"/>
    <x v="863"/>
    <x v="851"/>
    <x v="857"/>
    <x v="857"/>
    <x v="1"/>
    <x v="0"/>
    <x v="0"/>
  </r>
  <r>
    <x v="864"/>
    <x v="858"/>
    <x v="283"/>
    <x v="105"/>
    <x v="852"/>
    <x v="864"/>
    <x v="852"/>
    <x v="858"/>
    <x v="858"/>
    <x v="1"/>
    <x v="0"/>
    <x v="0"/>
  </r>
  <r>
    <x v="865"/>
    <x v="859"/>
    <x v="286"/>
    <x v="105"/>
    <x v="853"/>
    <x v="865"/>
    <x v="853"/>
    <x v="859"/>
    <x v="859"/>
    <x v="1"/>
    <x v="0"/>
    <x v="0"/>
  </r>
  <r>
    <x v="866"/>
    <x v="860"/>
    <x v="286"/>
    <x v="105"/>
    <x v="854"/>
    <x v="866"/>
    <x v="854"/>
    <x v="860"/>
    <x v="860"/>
    <x v="1"/>
    <x v="0"/>
    <x v="0"/>
  </r>
  <r>
    <x v="867"/>
    <x v="861"/>
    <x v="287"/>
    <x v="105"/>
    <x v="855"/>
    <x v="867"/>
    <x v="855"/>
    <x v="861"/>
    <x v="861"/>
    <x v="1"/>
    <x v="0"/>
    <x v="0"/>
  </r>
  <r>
    <x v="868"/>
    <x v="862"/>
    <x v="287"/>
    <x v="105"/>
    <x v="856"/>
    <x v="868"/>
    <x v="856"/>
    <x v="862"/>
    <x v="862"/>
    <x v="1"/>
    <x v="0"/>
    <x v="0"/>
  </r>
  <r>
    <x v="869"/>
    <x v="863"/>
    <x v="288"/>
    <x v="105"/>
    <x v="857"/>
    <x v="869"/>
    <x v="857"/>
    <x v="863"/>
    <x v="863"/>
    <x v="1"/>
    <x v="0"/>
    <x v="0"/>
  </r>
  <r>
    <x v="870"/>
    <x v="864"/>
    <x v="289"/>
    <x v="105"/>
    <x v="858"/>
    <x v="870"/>
    <x v="858"/>
    <x v="864"/>
    <x v="864"/>
    <x v="1"/>
    <x v="0"/>
    <x v="0"/>
  </r>
  <r>
    <x v="871"/>
    <x v="865"/>
    <x v="283"/>
    <x v="105"/>
    <x v="859"/>
    <x v="871"/>
    <x v="859"/>
    <x v="865"/>
    <x v="865"/>
    <x v="1"/>
    <x v="0"/>
    <x v="0"/>
  </r>
  <r>
    <x v="872"/>
    <x v="866"/>
    <x v="290"/>
    <x v="105"/>
    <x v="860"/>
    <x v="872"/>
    <x v="860"/>
    <x v="866"/>
    <x v="866"/>
    <x v="1"/>
    <x v="0"/>
    <x v="0"/>
  </r>
  <r>
    <x v="873"/>
    <x v="867"/>
    <x v="283"/>
    <x v="105"/>
    <x v="861"/>
    <x v="873"/>
    <x v="861"/>
    <x v="867"/>
    <x v="867"/>
    <x v="1"/>
    <x v="0"/>
    <x v="0"/>
  </r>
  <r>
    <x v="874"/>
    <x v="868"/>
    <x v="283"/>
    <x v="105"/>
    <x v="862"/>
    <x v="874"/>
    <x v="862"/>
    <x v="868"/>
    <x v="868"/>
    <x v="1"/>
    <x v="0"/>
    <x v="0"/>
  </r>
  <r>
    <x v="875"/>
    <x v="869"/>
    <x v="283"/>
    <x v="105"/>
    <x v="863"/>
    <x v="875"/>
    <x v="863"/>
    <x v="869"/>
    <x v="869"/>
    <x v="1"/>
    <x v="0"/>
    <x v="0"/>
  </r>
  <r>
    <x v="876"/>
    <x v="870"/>
    <x v="283"/>
    <x v="105"/>
    <x v="864"/>
    <x v="876"/>
    <x v="864"/>
    <x v="870"/>
    <x v="870"/>
    <x v="1"/>
    <x v="0"/>
    <x v="0"/>
  </r>
  <r>
    <x v="877"/>
    <x v="871"/>
    <x v="291"/>
    <x v="105"/>
    <x v="865"/>
    <x v="877"/>
    <x v="865"/>
    <x v="871"/>
    <x v="871"/>
    <x v="1"/>
    <x v="0"/>
    <x v="0"/>
  </r>
  <r>
    <x v="878"/>
    <x v="872"/>
    <x v="292"/>
    <x v="105"/>
    <x v="866"/>
    <x v="878"/>
    <x v="866"/>
    <x v="872"/>
    <x v="872"/>
    <x v="1"/>
    <x v="0"/>
    <x v="0"/>
  </r>
  <r>
    <x v="879"/>
    <x v="873"/>
    <x v="293"/>
    <x v="106"/>
    <x v="867"/>
    <x v="879"/>
    <x v="867"/>
    <x v="873"/>
    <x v="873"/>
    <x v="1"/>
    <x v="0"/>
    <x v="0"/>
  </r>
  <r>
    <x v="880"/>
    <x v="874"/>
    <x v="293"/>
    <x v="106"/>
    <x v="868"/>
    <x v="880"/>
    <x v="868"/>
    <x v="874"/>
    <x v="874"/>
    <x v="1"/>
    <x v="0"/>
    <x v="0"/>
  </r>
  <r>
    <x v="881"/>
    <x v="875"/>
    <x v="293"/>
    <x v="106"/>
    <x v="869"/>
    <x v="881"/>
    <x v="869"/>
    <x v="875"/>
    <x v="875"/>
    <x v="1"/>
    <x v="0"/>
    <x v="0"/>
  </r>
  <r>
    <x v="882"/>
    <x v="876"/>
    <x v="294"/>
    <x v="106"/>
    <x v="870"/>
    <x v="882"/>
    <x v="870"/>
    <x v="876"/>
    <x v="876"/>
    <x v="1"/>
    <x v="0"/>
    <x v="0"/>
  </r>
  <r>
    <x v="883"/>
    <x v="877"/>
    <x v="293"/>
    <x v="106"/>
    <x v="871"/>
    <x v="883"/>
    <x v="871"/>
    <x v="877"/>
    <x v="877"/>
    <x v="1"/>
    <x v="0"/>
    <x v="0"/>
  </r>
  <r>
    <x v="884"/>
    <x v="878"/>
    <x v="295"/>
    <x v="106"/>
    <x v="872"/>
    <x v="884"/>
    <x v="872"/>
    <x v="878"/>
    <x v="878"/>
    <x v="1"/>
    <x v="0"/>
    <x v="0"/>
  </r>
  <r>
    <x v="885"/>
    <x v="879"/>
    <x v="296"/>
    <x v="107"/>
    <x v="873"/>
    <x v="885"/>
    <x v="873"/>
    <x v="879"/>
    <x v="879"/>
    <x v="1"/>
    <x v="0"/>
    <x v="0"/>
  </r>
  <r>
    <x v="886"/>
    <x v="880"/>
    <x v="296"/>
    <x v="107"/>
    <x v="874"/>
    <x v="886"/>
    <x v="874"/>
    <x v="880"/>
    <x v="880"/>
    <x v="1"/>
    <x v="0"/>
    <x v="0"/>
  </r>
  <r>
    <x v="887"/>
    <x v="881"/>
    <x v="296"/>
    <x v="107"/>
    <x v="875"/>
    <x v="887"/>
    <x v="875"/>
    <x v="881"/>
    <x v="881"/>
    <x v="1"/>
    <x v="0"/>
    <x v="0"/>
  </r>
  <r>
    <x v="888"/>
    <x v="882"/>
    <x v="296"/>
    <x v="107"/>
    <x v="876"/>
    <x v="888"/>
    <x v="876"/>
    <x v="882"/>
    <x v="882"/>
    <x v="1"/>
    <x v="0"/>
    <x v="0"/>
  </r>
  <r>
    <x v="889"/>
    <x v="883"/>
    <x v="296"/>
    <x v="107"/>
    <x v="877"/>
    <x v="889"/>
    <x v="877"/>
    <x v="883"/>
    <x v="883"/>
    <x v="1"/>
    <x v="0"/>
    <x v="0"/>
  </r>
  <r>
    <x v="890"/>
    <x v="884"/>
    <x v="296"/>
    <x v="107"/>
    <x v="878"/>
    <x v="890"/>
    <x v="878"/>
    <x v="884"/>
    <x v="884"/>
    <x v="1"/>
    <x v="0"/>
    <x v="0"/>
  </r>
  <r>
    <x v="891"/>
    <x v="885"/>
    <x v="296"/>
    <x v="107"/>
    <x v="879"/>
    <x v="891"/>
    <x v="879"/>
    <x v="885"/>
    <x v="885"/>
    <x v="1"/>
    <x v="0"/>
    <x v="0"/>
  </r>
  <r>
    <x v="892"/>
    <x v="886"/>
    <x v="296"/>
    <x v="107"/>
    <x v="880"/>
    <x v="892"/>
    <x v="880"/>
    <x v="886"/>
    <x v="886"/>
    <x v="1"/>
    <x v="0"/>
    <x v="0"/>
  </r>
  <r>
    <x v="893"/>
    <x v="887"/>
    <x v="296"/>
    <x v="107"/>
    <x v="881"/>
    <x v="893"/>
    <x v="881"/>
    <x v="887"/>
    <x v="887"/>
    <x v="1"/>
    <x v="0"/>
    <x v="0"/>
  </r>
  <r>
    <x v="894"/>
    <x v="475"/>
    <x v="297"/>
    <x v="108"/>
    <x v="472"/>
    <x v="894"/>
    <x v="474"/>
    <x v="475"/>
    <x v="475"/>
    <x v="1"/>
    <x v="0"/>
    <x v="0"/>
  </r>
  <r>
    <x v="895"/>
    <x v="888"/>
    <x v="298"/>
    <x v="108"/>
    <x v="882"/>
    <x v="895"/>
    <x v="882"/>
    <x v="888"/>
    <x v="888"/>
    <x v="1"/>
    <x v="0"/>
    <x v="0"/>
  </r>
  <r>
    <x v="896"/>
    <x v="889"/>
    <x v="297"/>
    <x v="108"/>
    <x v="883"/>
    <x v="896"/>
    <x v="883"/>
    <x v="889"/>
    <x v="889"/>
    <x v="1"/>
    <x v="0"/>
    <x v="0"/>
  </r>
  <r>
    <x v="897"/>
    <x v="890"/>
    <x v="297"/>
    <x v="108"/>
    <x v="884"/>
    <x v="897"/>
    <x v="884"/>
    <x v="890"/>
    <x v="890"/>
    <x v="1"/>
    <x v="0"/>
    <x v="0"/>
  </r>
  <r>
    <x v="898"/>
    <x v="891"/>
    <x v="297"/>
    <x v="108"/>
    <x v="885"/>
    <x v="898"/>
    <x v="885"/>
    <x v="891"/>
    <x v="891"/>
    <x v="1"/>
    <x v="0"/>
    <x v="0"/>
  </r>
  <r>
    <x v="899"/>
    <x v="892"/>
    <x v="297"/>
    <x v="108"/>
    <x v="886"/>
    <x v="899"/>
    <x v="886"/>
    <x v="892"/>
    <x v="892"/>
    <x v="1"/>
    <x v="0"/>
    <x v="0"/>
  </r>
  <r>
    <x v="900"/>
    <x v="893"/>
    <x v="299"/>
    <x v="109"/>
    <x v="887"/>
    <x v="900"/>
    <x v="887"/>
    <x v="893"/>
    <x v="893"/>
    <x v="1"/>
    <x v="0"/>
    <x v="0"/>
  </r>
  <r>
    <x v="901"/>
    <x v="894"/>
    <x v="299"/>
    <x v="109"/>
    <x v="888"/>
    <x v="901"/>
    <x v="888"/>
    <x v="894"/>
    <x v="894"/>
    <x v="1"/>
    <x v="0"/>
    <x v="0"/>
  </r>
  <r>
    <x v="902"/>
    <x v="895"/>
    <x v="300"/>
    <x v="109"/>
    <x v="889"/>
    <x v="902"/>
    <x v="889"/>
    <x v="895"/>
    <x v="895"/>
    <x v="1"/>
    <x v="0"/>
    <x v="0"/>
  </r>
  <r>
    <x v="903"/>
    <x v="896"/>
    <x v="300"/>
    <x v="109"/>
    <x v="890"/>
    <x v="903"/>
    <x v="890"/>
    <x v="896"/>
    <x v="896"/>
    <x v="1"/>
    <x v="0"/>
    <x v="0"/>
  </r>
  <r>
    <x v="904"/>
    <x v="897"/>
    <x v="300"/>
    <x v="109"/>
    <x v="891"/>
    <x v="904"/>
    <x v="891"/>
    <x v="897"/>
    <x v="897"/>
    <x v="1"/>
    <x v="0"/>
    <x v="0"/>
  </r>
  <r>
    <x v="905"/>
    <x v="898"/>
    <x v="300"/>
    <x v="109"/>
    <x v="892"/>
    <x v="905"/>
    <x v="892"/>
    <x v="898"/>
    <x v="898"/>
    <x v="1"/>
    <x v="0"/>
    <x v="0"/>
  </r>
  <r>
    <x v="906"/>
    <x v="899"/>
    <x v="301"/>
    <x v="109"/>
    <x v="893"/>
    <x v="906"/>
    <x v="893"/>
    <x v="899"/>
    <x v="899"/>
    <x v="1"/>
    <x v="0"/>
    <x v="0"/>
  </r>
  <r>
    <x v="907"/>
    <x v="900"/>
    <x v="301"/>
    <x v="109"/>
    <x v="894"/>
    <x v="907"/>
    <x v="894"/>
    <x v="900"/>
    <x v="900"/>
    <x v="1"/>
    <x v="0"/>
    <x v="0"/>
  </r>
  <r>
    <x v="908"/>
    <x v="901"/>
    <x v="301"/>
    <x v="109"/>
    <x v="895"/>
    <x v="908"/>
    <x v="895"/>
    <x v="901"/>
    <x v="901"/>
    <x v="1"/>
    <x v="0"/>
    <x v="0"/>
  </r>
  <r>
    <x v="909"/>
    <x v="902"/>
    <x v="301"/>
    <x v="109"/>
    <x v="896"/>
    <x v="909"/>
    <x v="896"/>
    <x v="902"/>
    <x v="902"/>
    <x v="1"/>
    <x v="0"/>
    <x v="0"/>
  </r>
  <r>
    <x v="910"/>
    <x v="903"/>
    <x v="301"/>
    <x v="109"/>
    <x v="897"/>
    <x v="910"/>
    <x v="897"/>
    <x v="903"/>
    <x v="903"/>
    <x v="1"/>
    <x v="0"/>
    <x v="0"/>
  </r>
  <r>
    <x v="911"/>
    <x v="904"/>
    <x v="301"/>
    <x v="109"/>
    <x v="898"/>
    <x v="911"/>
    <x v="898"/>
    <x v="904"/>
    <x v="904"/>
    <x v="1"/>
    <x v="0"/>
    <x v="0"/>
  </r>
  <r>
    <x v="912"/>
    <x v="905"/>
    <x v="301"/>
    <x v="109"/>
    <x v="899"/>
    <x v="912"/>
    <x v="899"/>
    <x v="905"/>
    <x v="905"/>
    <x v="1"/>
    <x v="0"/>
    <x v="0"/>
  </r>
  <r>
    <x v="913"/>
    <x v="906"/>
    <x v="302"/>
    <x v="109"/>
    <x v="900"/>
    <x v="913"/>
    <x v="900"/>
    <x v="906"/>
    <x v="906"/>
    <x v="1"/>
    <x v="0"/>
    <x v="0"/>
  </r>
  <r>
    <x v="914"/>
    <x v="907"/>
    <x v="303"/>
    <x v="110"/>
    <x v="901"/>
    <x v="914"/>
    <x v="901"/>
    <x v="907"/>
    <x v="907"/>
    <x v="1"/>
    <x v="0"/>
    <x v="0"/>
  </r>
  <r>
    <x v="915"/>
    <x v="908"/>
    <x v="304"/>
    <x v="110"/>
    <x v="902"/>
    <x v="915"/>
    <x v="902"/>
    <x v="908"/>
    <x v="908"/>
    <x v="1"/>
    <x v="0"/>
    <x v="0"/>
  </r>
  <r>
    <x v="916"/>
    <x v="909"/>
    <x v="305"/>
    <x v="110"/>
    <x v="903"/>
    <x v="916"/>
    <x v="903"/>
    <x v="909"/>
    <x v="909"/>
    <x v="1"/>
    <x v="0"/>
    <x v="0"/>
  </r>
  <r>
    <x v="917"/>
    <x v="910"/>
    <x v="304"/>
    <x v="110"/>
    <x v="904"/>
    <x v="917"/>
    <x v="904"/>
    <x v="910"/>
    <x v="910"/>
    <x v="1"/>
    <x v="0"/>
    <x v="0"/>
  </r>
  <r>
    <x v="918"/>
    <x v="911"/>
    <x v="306"/>
    <x v="110"/>
    <x v="905"/>
    <x v="918"/>
    <x v="905"/>
    <x v="911"/>
    <x v="911"/>
    <x v="1"/>
    <x v="0"/>
    <x v="0"/>
  </r>
  <r>
    <x v="919"/>
    <x v="912"/>
    <x v="307"/>
    <x v="110"/>
    <x v="906"/>
    <x v="919"/>
    <x v="906"/>
    <x v="912"/>
    <x v="912"/>
    <x v="1"/>
    <x v="0"/>
    <x v="0"/>
  </r>
  <r>
    <x v="920"/>
    <x v="913"/>
    <x v="308"/>
    <x v="111"/>
    <x v="907"/>
    <x v="920"/>
    <x v="907"/>
    <x v="913"/>
    <x v="913"/>
    <x v="1"/>
    <x v="0"/>
    <x v="0"/>
  </r>
  <r>
    <x v="921"/>
    <x v="914"/>
    <x v="308"/>
    <x v="111"/>
    <x v="908"/>
    <x v="921"/>
    <x v="908"/>
    <x v="914"/>
    <x v="914"/>
    <x v="1"/>
    <x v="0"/>
    <x v="0"/>
  </r>
  <r>
    <x v="922"/>
    <x v="915"/>
    <x v="309"/>
    <x v="111"/>
    <x v="909"/>
    <x v="922"/>
    <x v="909"/>
    <x v="915"/>
    <x v="915"/>
    <x v="1"/>
    <x v="0"/>
    <x v="0"/>
  </r>
  <r>
    <x v="923"/>
    <x v="916"/>
    <x v="308"/>
    <x v="111"/>
    <x v="910"/>
    <x v="923"/>
    <x v="910"/>
    <x v="916"/>
    <x v="916"/>
    <x v="1"/>
    <x v="0"/>
    <x v="0"/>
  </r>
  <r>
    <x v="924"/>
    <x v="917"/>
    <x v="308"/>
    <x v="111"/>
    <x v="911"/>
    <x v="924"/>
    <x v="911"/>
    <x v="917"/>
    <x v="917"/>
    <x v="1"/>
    <x v="0"/>
    <x v="0"/>
  </r>
  <r>
    <x v="925"/>
    <x v="918"/>
    <x v="310"/>
    <x v="112"/>
    <x v="912"/>
    <x v="925"/>
    <x v="912"/>
    <x v="918"/>
    <x v="918"/>
    <x v="1"/>
    <x v="0"/>
    <x v="0"/>
  </r>
  <r>
    <x v="926"/>
    <x v="919"/>
    <x v="311"/>
    <x v="112"/>
    <x v="913"/>
    <x v="926"/>
    <x v="913"/>
    <x v="919"/>
    <x v="919"/>
    <x v="1"/>
    <x v="0"/>
    <x v="0"/>
  </r>
  <r>
    <x v="927"/>
    <x v="920"/>
    <x v="311"/>
    <x v="112"/>
    <x v="914"/>
    <x v="927"/>
    <x v="914"/>
    <x v="920"/>
    <x v="920"/>
    <x v="1"/>
    <x v="0"/>
    <x v="0"/>
  </r>
  <r>
    <x v="928"/>
    <x v="921"/>
    <x v="310"/>
    <x v="112"/>
    <x v="915"/>
    <x v="928"/>
    <x v="915"/>
    <x v="921"/>
    <x v="921"/>
    <x v="1"/>
    <x v="0"/>
    <x v="0"/>
  </r>
  <r>
    <x v="929"/>
    <x v="627"/>
    <x v="310"/>
    <x v="112"/>
    <x v="623"/>
    <x v="929"/>
    <x v="916"/>
    <x v="627"/>
    <x v="627"/>
    <x v="1"/>
    <x v="0"/>
    <x v="0"/>
  </r>
  <r>
    <x v="930"/>
    <x v="922"/>
    <x v="310"/>
    <x v="112"/>
    <x v="916"/>
    <x v="930"/>
    <x v="917"/>
    <x v="922"/>
    <x v="922"/>
    <x v="1"/>
    <x v="0"/>
    <x v="0"/>
  </r>
  <r>
    <x v="931"/>
    <x v="923"/>
    <x v="312"/>
    <x v="112"/>
    <x v="917"/>
    <x v="931"/>
    <x v="918"/>
    <x v="923"/>
    <x v="923"/>
    <x v="1"/>
    <x v="0"/>
    <x v="0"/>
  </r>
  <r>
    <x v="932"/>
    <x v="924"/>
    <x v="313"/>
    <x v="112"/>
    <x v="918"/>
    <x v="932"/>
    <x v="919"/>
    <x v="924"/>
    <x v="924"/>
    <x v="1"/>
    <x v="0"/>
    <x v="0"/>
  </r>
  <r>
    <x v="933"/>
    <x v="925"/>
    <x v="314"/>
    <x v="112"/>
    <x v="919"/>
    <x v="933"/>
    <x v="920"/>
    <x v="925"/>
    <x v="925"/>
    <x v="1"/>
    <x v="0"/>
    <x v="0"/>
  </r>
  <r>
    <x v="934"/>
    <x v="926"/>
    <x v="314"/>
    <x v="112"/>
    <x v="920"/>
    <x v="934"/>
    <x v="921"/>
    <x v="926"/>
    <x v="926"/>
    <x v="1"/>
    <x v="0"/>
    <x v="0"/>
  </r>
  <r>
    <x v="935"/>
    <x v="927"/>
    <x v="315"/>
    <x v="112"/>
    <x v="921"/>
    <x v="935"/>
    <x v="922"/>
    <x v="927"/>
    <x v="927"/>
    <x v="1"/>
    <x v="0"/>
    <x v="0"/>
  </r>
  <r>
    <x v="936"/>
    <x v="928"/>
    <x v="314"/>
    <x v="112"/>
    <x v="922"/>
    <x v="936"/>
    <x v="923"/>
    <x v="928"/>
    <x v="928"/>
    <x v="1"/>
    <x v="0"/>
    <x v="0"/>
  </r>
  <r>
    <x v="937"/>
    <x v="929"/>
    <x v="316"/>
    <x v="113"/>
    <x v="923"/>
    <x v="937"/>
    <x v="924"/>
    <x v="929"/>
    <x v="929"/>
    <x v="1"/>
    <x v="0"/>
    <x v="0"/>
  </r>
  <r>
    <x v="938"/>
    <x v="930"/>
    <x v="316"/>
    <x v="113"/>
    <x v="924"/>
    <x v="938"/>
    <x v="925"/>
    <x v="930"/>
    <x v="930"/>
    <x v="1"/>
    <x v="0"/>
    <x v="0"/>
  </r>
  <r>
    <x v="939"/>
    <x v="931"/>
    <x v="317"/>
    <x v="113"/>
    <x v="925"/>
    <x v="939"/>
    <x v="926"/>
    <x v="931"/>
    <x v="931"/>
    <x v="1"/>
    <x v="0"/>
    <x v="0"/>
  </r>
  <r>
    <x v="940"/>
    <x v="932"/>
    <x v="317"/>
    <x v="113"/>
    <x v="926"/>
    <x v="940"/>
    <x v="927"/>
    <x v="932"/>
    <x v="932"/>
    <x v="1"/>
    <x v="0"/>
    <x v="0"/>
  </r>
  <r>
    <x v="941"/>
    <x v="933"/>
    <x v="317"/>
    <x v="113"/>
    <x v="927"/>
    <x v="941"/>
    <x v="928"/>
    <x v="933"/>
    <x v="933"/>
    <x v="1"/>
    <x v="0"/>
    <x v="0"/>
  </r>
  <r>
    <x v="942"/>
    <x v="934"/>
    <x v="318"/>
    <x v="114"/>
    <x v="928"/>
    <x v="942"/>
    <x v="929"/>
    <x v="934"/>
    <x v="934"/>
    <x v="1"/>
    <x v="0"/>
    <x v="0"/>
  </r>
  <r>
    <x v="943"/>
    <x v="935"/>
    <x v="319"/>
    <x v="114"/>
    <x v="929"/>
    <x v="943"/>
    <x v="930"/>
    <x v="935"/>
    <x v="935"/>
    <x v="1"/>
    <x v="0"/>
    <x v="0"/>
  </r>
  <r>
    <x v="944"/>
    <x v="936"/>
    <x v="319"/>
    <x v="114"/>
    <x v="930"/>
    <x v="944"/>
    <x v="931"/>
    <x v="936"/>
    <x v="936"/>
    <x v="1"/>
    <x v="0"/>
    <x v="0"/>
  </r>
  <r>
    <x v="945"/>
    <x v="937"/>
    <x v="318"/>
    <x v="114"/>
    <x v="931"/>
    <x v="945"/>
    <x v="932"/>
    <x v="937"/>
    <x v="937"/>
    <x v="1"/>
    <x v="0"/>
    <x v="0"/>
  </r>
  <r>
    <x v="946"/>
    <x v="938"/>
    <x v="320"/>
    <x v="114"/>
    <x v="932"/>
    <x v="946"/>
    <x v="933"/>
    <x v="938"/>
    <x v="938"/>
    <x v="1"/>
    <x v="0"/>
    <x v="0"/>
  </r>
  <r>
    <x v="947"/>
    <x v="939"/>
    <x v="318"/>
    <x v="114"/>
    <x v="933"/>
    <x v="947"/>
    <x v="934"/>
    <x v="939"/>
    <x v="939"/>
    <x v="1"/>
    <x v="0"/>
    <x v="0"/>
  </r>
  <r>
    <x v="948"/>
    <x v="940"/>
    <x v="321"/>
    <x v="114"/>
    <x v="934"/>
    <x v="948"/>
    <x v="935"/>
    <x v="940"/>
    <x v="940"/>
    <x v="1"/>
    <x v="0"/>
    <x v="0"/>
  </r>
  <r>
    <x v="949"/>
    <x v="941"/>
    <x v="318"/>
    <x v="114"/>
    <x v="935"/>
    <x v="949"/>
    <x v="936"/>
    <x v="941"/>
    <x v="941"/>
    <x v="1"/>
    <x v="0"/>
    <x v="0"/>
  </r>
  <r>
    <x v="950"/>
    <x v="942"/>
    <x v="322"/>
    <x v="114"/>
    <x v="936"/>
    <x v="950"/>
    <x v="937"/>
    <x v="942"/>
    <x v="942"/>
    <x v="1"/>
    <x v="0"/>
    <x v="0"/>
  </r>
  <r>
    <x v="951"/>
    <x v="943"/>
    <x v="318"/>
    <x v="114"/>
    <x v="937"/>
    <x v="951"/>
    <x v="938"/>
    <x v="943"/>
    <x v="943"/>
    <x v="1"/>
    <x v="0"/>
    <x v="0"/>
  </r>
  <r>
    <x v="952"/>
    <x v="944"/>
    <x v="318"/>
    <x v="114"/>
    <x v="938"/>
    <x v="952"/>
    <x v="939"/>
    <x v="944"/>
    <x v="944"/>
    <x v="1"/>
    <x v="0"/>
    <x v="0"/>
  </r>
  <r>
    <x v="953"/>
    <x v="945"/>
    <x v="318"/>
    <x v="114"/>
    <x v="939"/>
    <x v="953"/>
    <x v="940"/>
    <x v="945"/>
    <x v="945"/>
    <x v="1"/>
    <x v="0"/>
    <x v="0"/>
  </r>
  <r>
    <x v="954"/>
    <x v="946"/>
    <x v="323"/>
    <x v="114"/>
    <x v="940"/>
    <x v="954"/>
    <x v="941"/>
    <x v="946"/>
    <x v="946"/>
    <x v="1"/>
    <x v="0"/>
    <x v="0"/>
  </r>
  <r>
    <x v="955"/>
    <x v="947"/>
    <x v="323"/>
    <x v="114"/>
    <x v="941"/>
    <x v="955"/>
    <x v="942"/>
    <x v="947"/>
    <x v="947"/>
    <x v="1"/>
    <x v="0"/>
    <x v="0"/>
  </r>
  <r>
    <x v="956"/>
    <x v="948"/>
    <x v="323"/>
    <x v="114"/>
    <x v="942"/>
    <x v="956"/>
    <x v="943"/>
    <x v="948"/>
    <x v="948"/>
    <x v="1"/>
    <x v="0"/>
    <x v="0"/>
  </r>
  <r>
    <x v="957"/>
    <x v="949"/>
    <x v="323"/>
    <x v="114"/>
    <x v="943"/>
    <x v="957"/>
    <x v="944"/>
    <x v="949"/>
    <x v="949"/>
    <x v="1"/>
    <x v="0"/>
    <x v="0"/>
  </r>
  <r>
    <x v="958"/>
    <x v="950"/>
    <x v="324"/>
    <x v="114"/>
    <x v="944"/>
    <x v="958"/>
    <x v="945"/>
    <x v="950"/>
    <x v="950"/>
    <x v="1"/>
    <x v="0"/>
    <x v="0"/>
  </r>
  <r>
    <x v="959"/>
    <x v="951"/>
    <x v="318"/>
    <x v="114"/>
    <x v="945"/>
    <x v="959"/>
    <x v="946"/>
    <x v="951"/>
    <x v="951"/>
    <x v="1"/>
    <x v="0"/>
    <x v="0"/>
  </r>
  <r>
    <x v="960"/>
    <x v="952"/>
    <x v="318"/>
    <x v="114"/>
    <x v="946"/>
    <x v="960"/>
    <x v="947"/>
    <x v="952"/>
    <x v="952"/>
    <x v="1"/>
    <x v="0"/>
    <x v="0"/>
  </r>
  <r>
    <x v="961"/>
    <x v="953"/>
    <x v="318"/>
    <x v="114"/>
    <x v="947"/>
    <x v="961"/>
    <x v="948"/>
    <x v="953"/>
    <x v="953"/>
    <x v="1"/>
    <x v="0"/>
    <x v="0"/>
  </r>
  <r>
    <x v="962"/>
    <x v="954"/>
    <x v="325"/>
    <x v="115"/>
    <x v="948"/>
    <x v="962"/>
    <x v="949"/>
    <x v="954"/>
    <x v="954"/>
    <x v="1"/>
    <x v="0"/>
    <x v="0"/>
  </r>
  <r>
    <x v="963"/>
    <x v="955"/>
    <x v="326"/>
    <x v="115"/>
    <x v="949"/>
    <x v="963"/>
    <x v="950"/>
    <x v="955"/>
    <x v="955"/>
    <x v="1"/>
    <x v="0"/>
    <x v="0"/>
  </r>
  <r>
    <x v="964"/>
    <x v="956"/>
    <x v="327"/>
    <x v="115"/>
    <x v="950"/>
    <x v="964"/>
    <x v="951"/>
    <x v="956"/>
    <x v="956"/>
    <x v="1"/>
    <x v="0"/>
    <x v="0"/>
  </r>
  <r>
    <x v="965"/>
    <x v="957"/>
    <x v="328"/>
    <x v="116"/>
    <x v="951"/>
    <x v="965"/>
    <x v="952"/>
    <x v="957"/>
    <x v="957"/>
    <x v="1"/>
    <x v="0"/>
    <x v="0"/>
  </r>
  <r>
    <x v="966"/>
    <x v="958"/>
    <x v="328"/>
    <x v="116"/>
    <x v="952"/>
    <x v="966"/>
    <x v="953"/>
    <x v="958"/>
    <x v="958"/>
    <x v="1"/>
    <x v="0"/>
    <x v="0"/>
  </r>
  <r>
    <x v="967"/>
    <x v="959"/>
    <x v="328"/>
    <x v="116"/>
    <x v="953"/>
    <x v="967"/>
    <x v="954"/>
    <x v="959"/>
    <x v="959"/>
    <x v="1"/>
    <x v="0"/>
    <x v="0"/>
  </r>
  <r>
    <x v="968"/>
    <x v="960"/>
    <x v="329"/>
    <x v="116"/>
    <x v="954"/>
    <x v="968"/>
    <x v="955"/>
    <x v="960"/>
    <x v="960"/>
    <x v="1"/>
    <x v="0"/>
    <x v="0"/>
  </r>
  <r>
    <x v="969"/>
    <x v="961"/>
    <x v="328"/>
    <x v="116"/>
    <x v="955"/>
    <x v="969"/>
    <x v="956"/>
    <x v="961"/>
    <x v="961"/>
    <x v="1"/>
    <x v="0"/>
    <x v="0"/>
  </r>
  <r>
    <x v="970"/>
    <x v="962"/>
    <x v="330"/>
    <x v="116"/>
    <x v="956"/>
    <x v="970"/>
    <x v="957"/>
    <x v="962"/>
    <x v="962"/>
    <x v="1"/>
    <x v="0"/>
    <x v="0"/>
  </r>
  <r>
    <x v="971"/>
    <x v="963"/>
    <x v="330"/>
    <x v="116"/>
    <x v="957"/>
    <x v="971"/>
    <x v="958"/>
    <x v="963"/>
    <x v="963"/>
    <x v="1"/>
    <x v="0"/>
    <x v="0"/>
  </r>
  <r>
    <x v="972"/>
    <x v="964"/>
    <x v="330"/>
    <x v="116"/>
    <x v="958"/>
    <x v="972"/>
    <x v="959"/>
    <x v="964"/>
    <x v="964"/>
    <x v="1"/>
    <x v="0"/>
    <x v="0"/>
  </r>
  <r>
    <x v="973"/>
    <x v="965"/>
    <x v="325"/>
    <x v="117"/>
    <x v="959"/>
    <x v="973"/>
    <x v="960"/>
    <x v="965"/>
    <x v="965"/>
    <x v="1"/>
    <x v="0"/>
    <x v="0"/>
  </r>
  <r>
    <x v="974"/>
    <x v="966"/>
    <x v="331"/>
    <x v="117"/>
    <x v="960"/>
    <x v="974"/>
    <x v="961"/>
    <x v="966"/>
    <x v="966"/>
    <x v="1"/>
    <x v="0"/>
    <x v="0"/>
  </r>
  <r>
    <x v="975"/>
    <x v="967"/>
    <x v="331"/>
    <x v="117"/>
    <x v="961"/>
    <x v="975"/>
    <x v="962"/>
    <x v="967"/>
    <x v="967"/>
    <x v="1"/>
    <x v="0"/>
    <x v="0"/>
  </r>
  <r>
    <x v="976"/>
    <x v="968"/>
    <x v="331"/>
    <x v="117"/>
    <x v="962"/>
    <x v="976"/>
    <x v="963"/>
    <x v="968"/>
    <x v="968"/>
    <x v="1"/>
    <x v="0"/>
    <x v="0"/>
  </r>
  <r>
    <x v="977"/>
    <x v="969"/>
    <x v="331"/>
    <x v="117"/>
    <x v="963"/>
    <x v="977"/>
    <x v="964"/>
    <x v="969"/>
    <x v="969"/>
    <x v="1"/>
    <x v="0"/>
    <x v="0"/>
  </r>
  <r>
    <x v="978"/>
    <x v="970"/>
    <x v="331"/>
    <x v="117"/>
    <x v="964"/>
    <x v="978"/>
    <x v="965"/>
    <x v="970"/>
    <x v="970"/>
    <x v="1"/>
    <x v="0"/>
    <x v="0"/>
  </r>
  <r>
    <x v="979"/>
    <x v="971"/>
    <x v="331"/>
    <x v="117"/>
    <x v="965"/>
    <x v="979"/>
    <x v="966"/>
    <x v="971"/>
    <x v="971"/>
    <x v="1"/>
    <x v="0"/>
    <x v="0"/>
  </r>
  <r>
    <x v="980"/>
    <x v="972"/>
    <x v="332"/>
    <x v="117"/>
    <x v="966"/>
    <x v="980"/>
    <x v="967"/>
    <x v="972"/>
    <x v="972"/>
    <x v="1"/>
    <x v="0"/>
    <x v="0"/>
  </r>
  <r>
    <x v="981"/>
    <x v="973"/>
    <x v="332"/>
    <x v="117"/>
    <x v="967"/>
    <x v="981"/>
    <x v="968"/>
    <x v="973"/>
    <x v="973"/>
    <x v="1"/>
    <x v="0"/>
    <x v="0"/>
  </r>
  <r>
    <x v="982"/>
    <x v="974"/>
    <x v="333"/>
    <x v="117"/>
    <x v="968"/>
    <x v="982"/>
    <x v="969"/>
    <x v="974"/>
    <x v="974"/>
    <x v="1"/>
    <x v="0"/>
    <x v="0"/>
  </r>
  <r>
    <x v="983"/>
    <x v="975"/>
    <x v="332"/>
    <x v="117"/>
    <x v="969"/>
    <x v="983"/>
    <x v="970"/>
    <x v="975"/>
    <x v="975"/>
    <x v="1"/>
    <x v="0"/>
    <x v="0"/>
  </r>
  <r>
    <x v="984"/>
    <x v="976"/>
    <x v="334"/>
    <x v="118"/>
    <x v="970"/>
    <x v="984"/>
    <x v="971"/>
    <x v="976"/>
    <x v="976"/>
    <x v="1"/>
    <x v="0"/>
    <x v="0"/>
  </r>
  <r>
    <x v="985"/>
    <x v="977"/>
    <x v="335"/>
    <x v="118"/>
    <x v="971"/>
    <x v="985"/>
    <x v="972"/>
    <x v="977"/>
    <x v="977"/>
    <x v="1"/>
    <x v="0"/>
    <x v="0"/>
  </r>
  <r>
    <x v="986"/>
    <x v="978"/>
    <x v="334"/>
    <x v="118"/>
    <x v="972"/>
    <x v="986"/>
    <x v="973"/>
    <x v="978"/>
    <x v="978"/>
    <x v="1"/>
    <x v="0"/>
    <x v="0"/>
  </r>
  <r>
    <x v="987"/>
    <x v="979"/>
    <x v="334"/>
    <x v="118"/>
    <x v="973"/>
    <x v="987"/>
    <x v="974"/>
    <x v="979"/>
    <x v="979"/>
    <x v="1"/>
    <x v="0"/>
    <x v="0"/>
  </r>
  <r>
    <x v="988"/>
    <x v="980"/>
    <x v="336"/>
    <x v="118"/>
    <x v="974"/>
    <x v="988"/>
    <x v="975"/>
    <x v="980"/>
    <x v="980"/>
    <x v="1"/>
    <x v="0"/>
    <x v="0"/>
  </r>
  <r>
    <x v="989"/>
    <x v="981"/>
    <x v="334"/>
    <x v="118"/>
    <x v="975"/>
    <x v="989"/>
    <x v="976"/>
    <x v="981"/>
    <x v="981"/>
    <x v="1"/>
    <x v="0"/>
    <x v="0"/>
  </r>
  <r>
    <x v="990"/>
    <x v="982"/>
    <x v="334"/>
    <x v="118"/>
    <x v="976"/>
    <x v="990"/>
    <x v="977"/>
    <x v="982"/>
    <x v="982"/>
    <x v="1"/>
    <x v="0"/>
    <x v="0"/>
  </r>
  <r>
    <x v="991"/>
    <x v="983"/>
    <x v="334"/>
    <x v="118"/>
    <x v="977"/>
    <x v="991"/>
    <x v="978"/>
    <x v="983"/>
    <x v="983"/>
    <x v="1"/>
    <x v="0"/>
    <x v="0"/>
  </r>
  <r>
    <x v="992"/>
    <x v="984"/>
    <x v="337"/>
    <x v="119"/>
    <x v="978"/>
    <x v="992"/>
    <x v="979"/>
    <x v="984"/>
    <x v="984"/>
    <x v="1"/>
    <x v="0"/>
    <x v="0"/>
  </r>
  <r>
    <x v="993"/>
    <x v="985"/>
    <x v="338"/>
    <x v="119"/>
    <x v="979"/>
    <x v="993"/>
    <x v="980"/>
    <x v="985"/>
    <x v="985"/>
    <x v="1"/>
    <x v="0"/>
    <x v="0"/>
  </r>
  <r>
    <x v="994"/>
    <x v="986"/>
    <x v="337"/>
    <x v="119"/>
    <x v="980"/>
    <x v="994"/>
    <x v="981"/>
    <x v="986"/>
    <x v="986"/>
    <x v="1"/>
    <x v="0"/>
    <x v="0"/>
  </r>
  <r>
    <x v="995"/>
    <x v="987"/>
    <x v="339"/>
    <x v="119"/>
    <x v="981"/>
    <x v="995"/>
    <x v="982"/>
    <x v="987"/>
    <x v="987"/>
    <x v="1"/>
    <x v="0"/>
    <x v="0"/>
  </r>
  <r>
    <x v="996"/>
    <x v="988"/>
    <x v="339"/>
    <x v="119"/>
    <x v="982"/>
    <x v="996"/>
    <x v="983"/>
    <x v="988"/>
    <x v="988"/>
    <x v="1"/>
    <x v="0"/>
    <x v="0"/>
  </r>
  <r>
    <x v="997"/>
    <x v="989"/>
    <x v="340"/>
    <x v="120"/>
    <x v="983"/>
    <x v="997"/>
    <x v="984"/>
    <x v="989"/>
    <x v="319"/>
    <x v="1"/>
    <x v="0"/>
    <x v="0"/>
  </r>
  <r>
    <x v="998"/>
    <x v="990"/>
    <x v="340"/>
    <x v="120"/>
    <x v="984"/>
    <x v="998"/>
    <x v="985"/>
    <x v="990"/>
    <x v="989"/>
    <x v="1"/>
    <x v="0"/>
    <x v="0"/>
  </r>
  <r>
    <x v="999"/>
    <x v="991"/>
    <x v="340"/>
    <x v="120"/>
    <x v="985"/>
    <x v="999"/>
    <x v="986"/>
    <x v="991"/>
    <x v="990"/>
    <x v="1"/>
    <x v="0"/>
    <x v="0"/>
  </r>
  <r>
    <x v="1000"/>
    <x v="992"/>
    <x v="340"/>
    <x v="120"/>
    <x v="986"/>
    <x v="1000"/>
    <x v="987"/>
    <x v="992"/>
    <x v="991"/>
    <x v="1"/>
    <x v="0"/>
    <x v="0"/>
  </r>
  <r>
    <x v="1001"/>
    <x v="993"/>
    <x v="340"/>
    <x v="120"/>
    <x v="987"/>
    <x v="1001"/>
    <x v="988"/>
    <x v="993"/>
    <x v="992"/>
    <x v="1"/>
    <x v="0"/>
    <x v="0"/>
  </r>
  <r>
    <x v="1002"/>
    <x v="994"/>
    <x v="340"/>
    <x v="120"/>
    <x v="988"/>
    <x v="1002"/>
    <x v="989"/>
    <x v="994"/>
    <x v="993"/>
    <x v="1"/>
    <x v="0"/>
    <x v="0"/>
  </r>
  <r>
    <x v="1003"/>
    <x v="995"/>
    <x v="340"/>
    <x v="120"/>
    <x v="989"/>
    <x v="1003"/>
    <x v="990"/>
    <x v="995"/>
    <x v="994"/>
    <x v="1"/>
    <x v="0"/>
    <x v="0"/>
  </r>
  <r>
    <x v="1004"/>
    <x v="996"/>
    <x v="340"/>
    <x v="120"/>
    <x v="990"/>
    <x v="1004"/>
    <x v="991"/>
    <x v="996"/>
    <x v="995"/>
    <x v="1"/>
    <x v="0"/>
    <x v="0"/>
  </r>
  <r>
    <x v="1005"/>
    <x v="997"/>
    <x v="340"/>
    <x v="120"/>
    <x v="991"/>
    <x v="1005"/>
    <x v="992"/>
    <x v="997"/>
    <x v="996"/>
    <x v="1"/>
    <x v="0"/>
    <x v="0"/>
  </r>
  <r>
    <x v="1006"/>
    <x v="998"/>
    <x v="340"/>
    <x v="120"/>
    <x v="992"/>
    <x v="1006"/>
    <x v="993"/>
    <x v="998"/>
    <x v="997"/>
    <x v="1"/>
    <x v="0"/>
    <x v="0"/>
  </r>
  <r>
    <x v="1007"/>
    <x v="999"/>
    <x v="340"/>
    <x v="120"/>
    <x v="993"/>
    <x v="1007"/>
    <x v="994"/>
    <x v="999"/>
    <x v="998"/>
    <x v="1"/>
    <x v="0"/>
    <x v="0"/>
  </r>
  <r>
    <x v="1008"/>
    <x v="1000"/>
    <x v="340"/>
    <x v="120"/>
    <x v="994"/>
    <x v="1008"/>
    <x v="995"/>
    <x v="1000"/>
    <x v="999"/>
    <x v="1"/>
    <x v="0"/>
    <x v="0"/>
  </r>
  <r>
    <x v="1009"/>
    <x v="1001"/>
    <x v="340"/>
    <x v="120"/>
    <x v="995"/>
    <x v="1009"/>
    <x v="996"/>
    <x v="1001"/>
    <x v="1000"/>
    <x v="1"/>
    <x v="0"/>
    <x v="0"/>
  </r>
  <r>
    <x v="1010"/>
    <x v="1002"/>
    <x v="340"/>
    <x v="120"/>
    <x v="996"/>
    <x v="1010"/>
    <x v="997"/>
    <x v="1002"/>
    <x v="1001"/>
    <x v="1"/>
    <x v="0"/>
    <x v="0"/>
  </r>
  <r>
    <x v="1011"/>
    <x v="1003"/>
    <x v="340"/>
    <x v="120"/>
    <x v="997"/>
    <x v="1011"/>
    <x v="998"/>
    <x v="1003"/>
    <x v="1002"/>
    <x v="1"/>
    <x v="0"/>
    <x v="0"/>
  </r>
  <r>
    <x v="1012"/>
    <x v="1004"/>
    <x v="341"/>
    <x v="120"/>
    <x v="998"/>
    <x v="1012"/>
    <x v="999"/>
    <x v="1004"/>
    <x v="1003"/>
    <x v="1"/>
    <x v="0"/>
    <x v="0"/>
  </r>
  <r>
    <x v="1013"/>
    <x v="1005"/>
    <x v="340"/>
    <x v="120"/>
    <x v="999"/>
    <x v="1013"/>
    <x v="1000"/>
    <x v="1005"/>
    <x v="1004"/>
    <x v="1"/>
    <x v="0"/>
    <x v="0"/>
  </r>
  <r>
    <x v="1014"/>
    <x v="1006"/>
    <x v="340"/>
    <x v="120"/>
    <x v="1000"/>
    <x v="1014"/>
    <x v="1001"/>
    <x v="1006"/>
    <x v="1005"/>
    <x v="1"/>
    <x v="0"/>
    <x v="0"/>
  </r>
  <r>
    <x v="1015"/>
    <x v="1007"/>
    <x v="340"/>
    <x v="120"/>
    <x v="1001"/>
    <x v="1015"/>
    <x v="1002"/>
    <x v="1007"/>
    <x v="1006"/>
    <x v="1"/>
    <x v="0"/>
    <x v="0"/>
  </r>
  <r>
    <x v="1016"/>
    <x v="1008"/>
    <x v="340"/>
    <x v="120"/>
    <x v="1002"/>
    <x v="1016"/>
    <x v="1003"/>
    <x v="1008"/>
    <x v="1007"/>
    <x v="1"/>
    <x v="0"/>
    <x v="0"/>
  </r>
  <r>
    <x v="1017"/>
    <x v="1009"/>
    <x v="342"/>
    <x v="120"/>
    <x v="1003"/>
    <x v="1017"/>
    <x v="1004"/>
    <x v="1009"/>
    <x v="1008"/>
    <x v="1"/>
    <x v="0"/>
    <x v="0"/>
  </r>
  <r>
    <x v="1018"/>
    <x v="1010"/>
    <x v="340"/>
    <x v="120"/>
    <x v="1004"/>
    <x v="1018"/>
    <x v="1005"/>
    <x v="1010"/>
    <x v="1009"/>
    <x v="1"/>
    <x v="0"/>
    <x v="0"/>
  </r>
  <r>
    <x v="1019"/>
    <x v="1011"/>
    <x v="340"/>
    <x v="120"/>
    <x v="1005"/>
    <x v="1019"/>
    <x v="1006"/>
    <x v="1011"/>
    <x v="1010"/>
    <x v="1"/>
    <x v="0"/>
    <x v="0"/>
  </r>
  <r>
    <x v="1020"/>
    <x v="1012"/>
    <x v="340"/>
    <x v="120"/>
    <x v="1006"/>
    <x v="1020"/>
    <x v="1007"/>
    <x v="1012"/>
    <x v="1011"/>
    <x v="1"/>
    <x v="0"/>
    <x v="0"/>
  </r>
  <r>
    <x v="1021"/>
    <x v="1013"/>
    <x v="343"/>
    <x v="121"/>
    <x v="1007"/>
    <x v="1021"/>
    <x v="1008"/>
    <x v="1013"/>
    <x v="1012"/>
    <x v="1"/>
    <x v="0"/>
    <x v="0"/>
  </r>
  <r>
    <x v="1022"/>
    <x v="1014"/>
    <x v="343"/>
    <x v="121"/>
    <x v="1008"/>
    <x v="1022"/>
    <x v="1009"/>
    <x v="1014"/>
    <x v="1013"/>
    <x v="1"/>
    <x v="0"/>
    <x v="0"/>
  </r>
  <r>
    <x v="1023"/>
    <x v="1015"/>
    <x v="343"/>
    <x v="121"/>
    <x v="1009"/>
    <x v="1023"/>
    <x v="1010"/>
    <x v="1015"/>
    <x v="1014"/>
    <x v="1"/>
    <x v="0"/>
    <x v="0"/>
  </r>
  <r>
    <x v="1024"/>
    <x v="1016"/>
    <x v="343"/>
    <x v="121"/>
    <x v="1010"/>
    <x v="1024"/>
    <x v="1011"/>
    <x v="1016"/>
    <x v="1015"/>
    <x v="1"/>
    <x v="0"/>
    <x v="0"/>
  </r>
  <r>
    <x v="1025"/>
    <x v="1017"/>
    <x v="344"/>
    <x v="121"/>
    <x v="1011"/>
    <x v="1025"/>
    <x v="1012"/>
    <x v="1017"/>
    <x v="1016"/>
    <x v="1"/>
    <x v="0"/>
    <x v="0"/>
  </r>
  <r>
    <x v="1026"/>
    <x v="1018"/>
    <x v="344"/>
    <x v="121"/>
    <x v="1012"/>
    <x v="1026"/>
    <x v="1013"/>
    <x v="1018"/>
    <x v="1017"/>
    <x v="1"/>
    <x v="0"/>
    <x v="0"/>
  </r>
  <r>
    <x v="1027"/>
    <x v="1019"/>
    <x v="345"/>
    <x v="122"/>
    <x v="1013"/>
    <x v="1027"/>
    <x v="1014"/>
    <x v="1019"/>
    <x v="1018"/>
    <x v="1"/>
    <x v="0"/>
    <x v="0"/>
  </r>
  <r>
    <x v="1028"/>
    <x v="1020"/>
    <x v="346"/>
    <x v="122"/>
    <x v="1014"/>
    <x v="1028"/>
    <x v="1015"/>
    <x v="1020"/>
    <x v="1019"/>
    <x v="1"/>
    <x v="0"/>
    <x v="0"/>
  </r>
  <r>
    <x v="1029"/>
    <x v="1021"/>
    <x v="346"/>
    <x v="122"/>
    <x v="1015"/>
    <x v="1029"/>
    <x v="1016"/>
    <x v="1021"/>
    <x v="1020"/>
    <x v="1"/>
    <x v="0"/>
    <x v="0"/>
  </r>
  <r>
    <x v="1030"/>
    <x v="1022"/>
    <x v="346"/>
    <x v="122"/>
    <x v="1016"/>
    <x v="1030"/>
    <x v="1017"/>
    <x v="1022"/>
    <x v="1021"/>
    <x v="1"/>
    <x v="0"/>
    <x v="0"/>
  </r>
  <r>
    <x v="1031"/>
    <x v="1023"/>
    <x v="346"/>
    <x v="122"/>
    <x v="1017"/>
    <x v="1031"/>
    <x v="1018"/>
    <x v="1023"/>
    <x v="1022"/>
    <x v="1"/>
    <x v="0"/>
    <x v="0"/>
  </r>
  <r>
    <x v="1032"/>
    <x v="1024"/>
    <x v="345"/>
    <x v="122"/>
    <x v="1018"/>
    <x v="1032"/>
    <x v="1019"/>
    <x v="1024"/>
    <x v="1023"/>
    <x v="1"/>
    <x v="0"/>
    <x v="0"/>
  </r>
  <r>
    <x v="1033"/>
    <x v="1025"/>
    <x v="345"/>
    <x v="122"/>
    <x v="1019"/>
    <x v="1033"/>
    <x v="1020"/>
    <x v="1025"/>
    <x v="1024"/>
    <x v="1"/>
    <x v="0"/>
    <x v="0"/>
  </r>
  <r>
    <x v="1034"/>
    <x v="1026"/>
    <x v="347"/>
    <x v="123"/>
    <x v="1020"/>
    <x v="1034"/>
    <x v="1021"/>
    <x v="1026"/>
    <x v="1025"/>
    <x v="1"/>
    <x v="0"/>
    <x v="0"/>
  </r>
  <r>
    <x v="1035"/>
    <x v="1027"/>
    <x v="348"/>
    <x v="123"/>
    <x v="1021"/>
    <x v="1035"/>
    <x v="1022"/>
    <x v="1027"/>
    <x v="1026"/>
    <x v="1"/>
    <x v="0"/>
    <x v="0"/>
  </r>
  <r>
    <x v="1036"/>
    <x v="1028"/>
    <x v="347"/>
    <x v="123"/>
    <x v="1022"/>
    <x v="1036"/>
    <x v="1023"/>
    <x v="1028"/>
    <x v="1027"/>
    <x v="1"/>
    <x v="0"/>
    <x v="0"/>
  </r>
  <r>
    <x v="1037"/>
    <x v="1029"/>
    <x v="347"/>
    <x v="123"/>
    <x v="1023"/>
    <x v="1037"/>
    <x v="1024"/>
    <x v="1029"/>
    <x v="1028"/>
    <x v="1"/>
    <x v="0"/>
    <x v="0"/>
  </r>
  <r>
    <x v="1038"/>
    <x v="1030"/>
    <x v="347"/>
    <x v="123"/>
    <x v="1024"/>
    <x v="1038"/>
    <x v="1025"/>
    <x v="1030"/>
    <x v="1029"/>
    <x v="1"/>
    <x v="0"/>
    <x v="0"/>
  </r>
  <r>
    <x v="1039"/>
    <x v="1031"/>
    <x v="347"/>
    <x v="123"/>
    <x v="1025"/>
    <x v="1039"/>
    <x v="1026"/>
    <x v="1031"/>
    <x v="1030"/>
    <x v="1"/>
    <x v="0"/>
    <x v="0"/>
  </r>
  <r>
    <x v="1040"/>
    <x v="1032"/>
    <x v="347"/>
    <x v="123"/>
    <x v="1026"/>
    <x v="1040"/>
    <x v="1027"/>
    <x v="1032"/>
    <x v="1031"/>
    <x v="1"/>
    <x v="0"/>
    <x v="0"/>
  </r>
  <r>
    <x v="1041"/>
    <x v="1033"/>
    <x v="347"/>
    <x v="123"/>
    <x v="1027"/>
    <x v="1041"/>
    <x v="1028"/>
    <x v="1033"/>
    <x v="1032"/>
    <x v="1"/>
    <x v="0"/>
    <x v="0"/>
  </r>
  <r>
    <x v="1042"/>
    <x v="1034"/>
    <x v="347"/>
    <x v="123"/>
    <x v="1028"/>
    <x v="1042"/>
    <x v="1029"/>
    <x v="1034"/>
    <x v="1033"/>
    <x v="1"/>
    <x v="0"/>
    <x v="0"/>
  </r>
  <r>
    <x v="1043"/>
    <x v="1035"/>
    <x v="347"/>
    <x v="123"/>
    <x v="1029"/>
    <x v="1043"/>
    <x v="1030"/>
    <x v="1035"/>
    <x v="1034"/>
    <x v="1"/>
    <x v="0"/>
    <x v="0"/>
  </r>
  <r>
    <x v="1044"/>
    <x v="1036"/>
    <x v="347"/>
    <x v="123"/>
    <x v="1030"/>
    <x v="1044"/>
    <x v="1031"/>
    <x v="1036"/>
    <x v="1035"/>
    <x v="1"/>
    <x v="0"/>
    <x v="0"/>
  </r>
  <r>
    <x v="1045"/>
    <x v="1037"/>
    <x v="347"/>
    <x v="123"/>
    <x v="1031"/>
    <x v="1045"/>
    <x v="1032"/>
    <x v="1037"/>
    <x v="1036"/>
    <x v="1"/>
    <x v="0"/>
    <x v="0"/>
  </r>
  <r>
    <x v="1046"/>
    <x v="1038"/>
    <x v="349"/>
    <x v="124"/>
    <x v="1032"/>
    <x v="1046"/>
    <x v="1033"/>
    <x v="1038"/>
    <x v="1037"/>
    <x v="1"/>
    <x v="0"/>
    <x v="0"/>
  </r>
  <r>
    <x v="1047"/>
    <x v="1039"/>
    <x v="349"/>
    <x v="124"/>
    <x v="1033"/>
    <x v="1047"/>
    <x v="1034"/>
    <x v="1039"/>
    <x v="1038"/>
    <x v="1"/>
    <x v="0"/>
    <x v="0"/>
  </r>
  <r>
    <x v="1048"/>
    <x v="1040"/>
    <x v="350"/>
    <x v="124"/>
    <x v="1034"/>
    <x v="1048"/>
    <x v="1035"/>
    <x v="1040"/>
    <x v="1039"/>
    <x v="1"/>
    <x v="0"/>
    <x v="0"/>
  </r>
  <r>
    <x v="1049"/>
    <x v="1041"/>
    <x v="351"/>
    <x v="124"/>
    <x v="1035"/>
    <x v="1049"/>
    <x v="1036"/>
    <x v="1041"/>
    <x v="1040"/>
    <x v="1"/>
    <x v="0"/>
    <x v="0"/>
  </r>
  <r>
    <x v="1050"/>
    <x v="1042"/>
    <x v="351"/>
    <x v="124"/>
    <x v="1036"/>
    <x v="1050"/>
    <x v="1037"/>
    <x v="1042"/>
    <x v="1041"/>
    <x v="1"/>
    <x v="0"/>
    <x v="0"/>
  </r>
  <r>
    <x v="1051"/>
    <x v="1043"/>
    <x v="351"/>
    <x v="124"/>
    <x v="1037"/>
    <x v="1051"/>
    <x v="1038"/>
    <x v="1043"/>
    <x v="1042"/>
    <x v="1"/>
    <x v="0"/>
    <x v="0"/>
  </r>
  <r>
    <x v="1052"/>
    <x v="1044"/>
    <x v="352"/>
    <x v="124"/>
    <x v="1038"/>
    <x v="1052"/>
    <x v="1039"/>
    <x v="1044"/>
    <x v="1043"/>
    <x v="1"/>
    <x v="0"/>
    <x v="0"/>
  </r>
  <r>
    <x v="1053"/>
    <x v="1045"/>
    <x v="349"/>
    <x v="124"/>
    <x v="1039"/>
    <x v="1053"/>
    <x v="1040"/>
    <x v="1045"/>
    <x v="1044"/>
    <x v="1"/>
    <x v="0"/>
    <x v="0"/>
  </r>
  <r>
    <x v="1054"/>
    <x v="1046"/>
    <x v="352"/>
    <x v="124"/>
    <x v="1040"/>
    <x v="1054"/>
    <x v="1041"/>
    <x v="1046"/>
    <x v="1045"/>
    <x v="1"/>
    <x v="0"/>
    <x v="0"/>
  </r>
  <r>
    <x v="1055"/>
    <x v="1047"/>
    <x v="350"/>
    <x v="124"/>
    <x v="1041"/>
    <x v="1055"/>
    <x v="1042"/>
    <x v="1047"/>
    <x v="1046"/>
    <x v="1"/>
    <x v="0"/>
    <x v="0"/>
  </r>
  <r>
    <x v="1056"/>
    <x v="1048"/>
    <x v="352"/>
    <x v="124"/>
    <x v="1042"/>
    <x v="1056"/>
    <x v="1043"/>
    <x v="1048"/>
    <x v="1047"/>
    <x v="1"/>
    <x v="0"/>
    <x v="0"/>
  </r>
  <r>
    <x v="1057"/>
    <x v="1049"/>
    <x v="349"/>
    <x v="124"/>
    <x v="1043"/>
    <x v="1057"/>
    <x v="1044"/>
    <x v="1049"/>
    <x v="1048"/>
    <x v="1"/>
    <x v="0"/>
    <x v="0"/>
  </r>
  <r>
    <x v="1058"/>
    <x v="1050"/>
    <x v="349"/>
    <x v="124"/>
    <x v="1044"/>
    <x v="1058"/>
    <x v="1045"/>
    <x v="1050"/>
    <x v="1049"/>
    <x v="1"/>
    <x v="0"/>
    <x v="0"/>
  </r>
  <r>
    <x v="1059"/>
    <x v="1051"/>
    <x v="353"/>
    <x v="124"/>
    <x v="1045"/>
    <x v="1059"/>
    <x v="1046"/>
    <x v="1051"/>
    <x v="1050"/>
    <x v="1"/>
    <x v="0"/>
    <x v="0"/>
  </r>
  <r>
    <x v="1060"/>
    <x v="1052"/>
    <x v="354"/>
    <x v="125"/>
    <x v="1046"/>
    <x v="1060"/>
    <x v="1047"/>
    <x v="1052"/>
    <x v="1051"/>
    <x v="1"/>
    <x v="0"/>
    <x v="0"/>
  </r>
  <r>
    <x v="1061"/>
    <x v="1053"/>
    <x v="355"/>
    <x v="125"/>
    <x v="1047"/>
    <x v="1061"/>
    <x v="1048"/>
    <x v="1053"/>
    <x v="1052"/>
    <x v="1"/>
    <x v="0"/>
    <x v="0"/>
  </r>
  <r>
    <x v="1062"/>
    <x v="1054"/>
    <x v="355"/>
    <x v="125"/>
    <x v="1048"/>
    <x v="1062"/>
    <x v="1049"/>
    <x v="1054"/>
    <x v="1053"/>
    <x v="1"/>
    <x v="0"/>
    <x v="0"/>
  </r>
  <r>
    <x v="1063"/>
    <x v="1055"/>
    <x v="355"/>
    <x v="125"/>
    <x v="1049"/>
    <x v="1063"/>
    <x v="1050"/>
    <x v="1055"/>
    <x v="1054"/>
    <x v="1"/>
    <x v="0"/>
    <x v="0"/>
  </r>
  <r>
    <x v="1064"/>
    <x v="1056"/>
    <x v="356"/>
    <x v="126"/>
    <x v="1050"/>
    <x v="1064"/>
    <x v="1051"/>
    <x v="1056"/>
    <x v="1055"/>
    <x v="1"/>
    <x v="0"/>
    <x v="0"/>
  </r>
  <r>
    <x v="1065"/>
    <x v="1057"/>
    <x v="357"/>
    <x v="126"/>
    <x v="1051"/>
    <x v="1065"/>
    <x v="1052"/>
    <x v="1057"/>
    <x v="1056"/>
    <x v="1"/>
    <x v="0"/>
    <x v="0"/>
  </r>
  <r>
    <x v="1066"/>
    <x v="1058"/>
    <x v="356"/>
    <x v="126"/>
    <x v="1052"/>
    <x v="1066"/>
    <x v="1053"/>
    <x v="1058"/>
    <x v="1057"/>
    <x v="1"/>
    <x v="0"/>
    <x v="0"/>
  </r>
  <r>
    <x v="1067"/>
    <x v="1059"/>
    <x v="358"/>
    <x v="126"/>
    <x v="1053"/>
    <x v="1067"/>
    <x v="1054"/>
    <x v="1059"/>
    <x v="1058"/>
    <x v="1"/>
    <x v="0"/>
    <x v="0"/>
  </r>
  <r>
    <x v="1068"/>
    <x v="1060"/>
    <x v="356"/>
    <x v="126"/>
    <x v="1054"/>
    <x v="1068"/>
    <x v="843"/>
    <x v="1060"/>
    <x v="1059"/>
    <x v="1"/>
    <x v="0"/>
    <x v="0"/>
  </r>
  <r>
    <x v="1069"/>
    <x v="1061"/>
    <x v="359"/>
    <x v="126"/>
    <x v="1055"/>
    <x v="1069"/>
    <x v="1055"/>
    <x v="1061"/>
    <x v="1060"/>
    <x v="1"/>
    <x v="0"/>
    <x v="0"/>
  </r>
  <r>
    <x v="1070"/>
    <x v="1062"/>
    <x v="356"/>
    <x v="126"/>
    <x v="1056"/>
    <x v="1070"/>
    <x v="1056"/>
    <x v="1062"/>
    <x v="1061"/>
    <x v="1"/>
    <x v="0"/>
    <x v="0"/>
  </r>
  <r>
    <x v="1071"/>
    <x v="1063"/>
    <x v="356"/>
    <x v="126"/>
    <x v="1057"/>
    <x v="1071"/>
    <x v="1057"/>
    <x v="1063"/>
    <x v="1062"/>
    <x v="1"/>
    <x v="0"/>
    <x v="0"/>
  </r>
  <r>
    <x v="1072"/>
    <x v="1064"/>
    <x v="356"/>
    <x v="126"/>
    <x v="1058"/>
    <x v="1072"/>
    <x v="1058"/>
    <x v="1064"/>
    <x v="1063"/>
    <x v="1"/>
    <x v="0"/>
    <x v="0"/>
  </r>
  <r>
    <x v="1073"/>
    <x v="1065"/>
    <x v="354"/>
    <x v="127"/>
    <x v="1059"/>
    <x v="1073"/>
    <x v="1059"/>
    <x v="1065"/>
    <x v="1064"/>
    <x v="1"/>
    <x v="0"/>
    <x v="0"/>
  </r>
  <r>
    <x v="1074"/>
    <x v="1066"/>
    <x v="360"/>
    <x v="127"/>
    <x v="1060"/>
    <x v="1074"/>
    <x v="1060"/>
    <x v="1066"/>
    <x v="1065"/>
    <x v="1"/>
    <x v="0"/>
    <x v="0"/>
  </r>
  <r>
    <x v="1075"/>
    <x v="1067"/>
    <x v="360"/>
    <x v="127"/>
    <x v="1061"/>
    <x v="1075"/>
    <x v="1061"/>
    <x v="1067"/>
    <x v="1066"/>
    <x v="1"/>
    <x v="0"/>
    <x v="0"/>
  </r>
  <r>
    <x v="1076"/>
    <x v="1068"/>
    <x v="360"/>
    <x v="127"/>
    <x v="1062"/>
    <x v="1076"/>
    <x v="1062"/>
    <x v="1068"/>
    <x v="1067"/>
    <x v="1"/>
    <x v="0"/>
    <x v="0"/>
  </r>
  <r>
    <x v="1077"/>
    <x v="1069"/>
    <x v="361"/>
    <x v="128"/>
    <x v="1063"/>
    <x v="1077"/>
    <x v="1063"/>
    <x v="1069"/>
    <x v="1068"/>
    <x v="1"/>
    <x v="0"/>
    <x v="0"/>
  </r>
  <r>
    <x v="1078"/>
    <x v="1070"/>
    <x v="362"/>
    <x v="128"/>
    <x v="1064"/>
    <x v="1078"/>
    <x v="1064"/>
    <x v="1070"/>
    <x v="1069"/>
    <x v="1"/>
    <x v="0"/>
    <x v="0"/>
  </r>
  <r>
    <x v="1079"/>
    <x v="1071"/>
    <x v="363"/>
    <x v="129"/>
    <x v="1065"/>
    <x v="1079"/>
    <x v="1065"/>
    <x v="1071"/>
    <x v="1070"/>
    <x v="1"/>
    <x v="0"/>
    <x v="0"/>
  </r>
  <r>
    <x v="1080"/>
    <x v="1072"/>
    <x v="363"/>
    <x v="129"/>
    <x v="1066"/>
    <x v="1080"/>
    <x v="1066"/>
    <x v="1072"/>
    <x v="1071"/>
    <x v="1"/>
    <x v="0"/>
    <x v="0"/>
  </r>
  <r>
    <x v="1081"/>
    <x v="1073"/>
    <x v="363"/>
    <x v="129"/>
    <x v="1067"/>
    <x v="1081"/>
    <x v="1067"/>
    <x v="1073"/>
    <x v="1072"/>
    <x v="1"/>
    <x v="0"/>
    <x v="0"/>
  </r>
  <r>
    <x v="1082"/>
    <x v="1074"/>
    <x v="363"/>
    <x v="129"/>
    <x v="1068"/>
    <x v="1082"/>
    <x v="1068"/>
    <x v="1074"/>
    <x v="1073"/>
    <x v="1"/>
    <x v="0"/>
    <x v="0"/>
  </r>
  <r>
    <x v="1083"/>
    <x v="1075"/>
    <x v="363"/>
    <x v="129"/>
    <x v="1069"/>
    <x v="1083"/>
    <x v="1069"/>
    <x v="1075"/>
    <x v="1074"/>
    <x v="1"/>
    <x v="0"/>
    <x v="0"/>
  </r>
  <r>
    <x v="1084"/>
    <x v="1076"/>
    <x v="363"/>
    <x v="129"/>
    <x v="1070"/>
    <x v="1084"/>
    <x v="1070"/>
    <x v="1076"/>
    <x v="1075"/>
    <x v="1"/>
    <x v="0"/>
    <x v="0"/>
  </r>
  <r>
    <x v="1085"/>
    <x v="1077"/>
    <x v="363"/>
    <x v="129"/>
    <x v="1071"/>
    <x v="1085"/>
    <x v="1071"/>
    <x v="1077"/>
    <x v="1076"/>
    <x v="1"/>
    <x v="0"/>
    <x v="0"/>
  </r>
  <r>
    <x v="1086"/>
    <x v="1078"/>
    <x v="364"/>
    <x v="129"/>
    <x v="1072"/>
    <x v="1086"/>
    <x v="1072"/>
    <x v="1078"/>
    <x v="1077"/>
    <x v="1"/>
    <x v="0"/>
    <x v="0"/>
  </r>
  <r>
    <x v="1087"/>
    <x v="1079"/>
    <x v="363"/>
    <x v="129"/>
    <x v="1073"/>
    <x v="1087"/>
    <x v="1073"/>
    <x v="1079"/>
    <x v="1078"/>
    <x v="1"/>
    <x v="0"/>
    <x v="0"/>
  </r>
  <r>
    <x v="1088"/>
    <x v="1080"/>
    <x v="363"/>
    <x v="129"/>
    <x v="1074"/>
    <x v="1088"/>
    <x v="1074"/>
    <x v="1080"/>
    <x v="1079"/>
    <x v="1"/>
    <x v="0"/>
    <x v="0"/>
  </r>
  <r>
    <x v="1089"/>
    <x v="1081"/>
    <x v="365"/>
    <x v="130"/>
    <x v="1075"/>
    <x v="1089"/>
    <x v="1075"/>
    <x v="1081"/>
    <x v="1080"/>
    <x v="1"/>
    <x v="0"/>
    <x v="0"/>
  </r>
  <r>
    <x v="1090"/>
    <x v="1082"/>
    <x v="366"/>
    <x v="130"/>
    <x v="1076"/>
    <x v="1090"/>
    <x v="1076"/>
    <x v="1082"/>
    <x v="1081"/>
    <x v="1"/>
    <x v="0"/>
    <x v="0"/>
  </r>
  <r>
    <x v="1091"/>
    <x v="1083"/>
    <x v="366"/>
    <x v="130"/>
    <x v="1077"/>
    <x v="1091"/>
    <x v="1077"/>
    <x v="1083"/>
    <x v="1082"/>
    <x v="1"/>
    <x v="0"/>
    <x v="0"/>
  </r>
  <r>
    <x v="1092"/>
    <x v="1084"/>
    <x v="365"/>
    <x v="130"/>
    <x v="1078"/>
    <x v="1092"/>
    <x v="1078"/>
    <x v="1084"/>
    <x v="1083"/>
    <x v="1"/>
    <x v="0"/>
    <x v="0"/>
  </r>
  <r>
    <x v="1093"/>
    <x v="1085"/>
    <x v="365"/>
    <x v="130"/>
    <x v="1079"/>
    <x v="1093"/>
    <x v="1079"/>
    <x v="1085"/>
    <x v="1084"/>
    <x v="1"/>
    <x v="0"/>
    <x v="0"/>
  </r>
  <r>
    <x v="1094"/>
    <x v="1086"/>
    <x v="365"/>
    <x v="130"/>
    <x v="1080"/>
    <x v="1094"/>
    <x v="1080"/>
    <x v="1086"/>
    <x v="1085"/>
    <x v="1"/>
    <x v="0"/>
    <x v="0"/>
  </r>
  <r>
    <x v="1095"/>
    <x v="1087"/>
    <x v="367"/>
    <x v="130"/>
    <x v="1081"/>
    <x v="1095"/>
    <x v="1081"/>
    <x v="1087"/>
    <x v="1086"/>
    <x v="1"/>
    <x v="0"/>
    <x v="0"/>
  </r>
  <r>
    <x v="1096"/>
    <x v="1088"/>
    <x v="367"/>
    <x v="130"/>
    <x v="1082"/>
    <x v="1096"/>
    <x v="1082"/>
    <x v="1088"/>
    <x v="1087"/>
    <x v="1"/>
    <x v="0"/>
    <x v="0"/>
  </r>
  <r>
    <x v="1097"/>
    <x v="1089"/>
    <x v="368"/>
    <x v="130"/>
    <x v="1083"/>
    <x v="1097"/>
    <x v="1083"/>
    <x v="1089"/>
    <x v="1088"/>
    <x v="1"/>
    <x v="0"/>
    <x v="0"/>
  </r>
  <r>
    <x v="1098"/>
    <x v="1090"/>
    <x v="369"/>
    <x v="131"/>
    <x v="1084"/>
    <x v="1098"/>
    <x v="1084"/>
    <x v="1090"/>
    <x v="1089"/>
    <x v="1"/>
    <x v="0"/>
    <x v="0"/>
  </r>
  <r>
    <x v="1099"/>
    <x v="1091"/>
    <x v="369"/>
    <x v="131"/>
    <x v="1085"/>
    <x v="1099"/>
    <x v="1085"/>
    <x v="1091"/>
    <x v="1090"/>
    <x v="1"/>
    <x v="0"/>
    <x v="0"/>
  </r>
  <r>
    <x v="1100"/>
    <x v="1092"/>
    <x v="369"/>
    <x v="131"/>
    <x v="1086"/>
    <x v="1100"/>
    <x v="1086"/>
    <x v="1092"/>
    <x v="1091"/>
    <x v="1"/>
    <x v="0"/>
    <x v="0"/>
  </r>
  <r>
    <x v="1101"/>
    <x v="1093"/>
    <x v="370"/>
    <x v="131"/>
    <x v="1087"/>
    <x v="1101"/>
    <x v="1087"/>
    <x v="1093"/>
    <x v="1092"/>
    <x v="1"/>
    <x v="0"/>
    <x v="0"/>
  </r>
  <r>
    <x v="1102"/>
    <x v="1094"/>
    <x v="371"/>
    <x v="131"/>
    <x v="1088"/>
    <x v="1102"/>
    <x v="1088"/>
    <x v="1094"/>
    <x v="1093"/>
    <x v="1"/>
    <x v="0"/>
    <x v="0"/>
  </r>
  <r>
    <x v="1103"/>
    <x v="1095"/>
    <x v="369"/>
    <x v="131"/>
    <x v="1089"/>
    <x v="1103"/>
    <x v="1089"/>
    <x v="1095"/>
    <x v="1094"/>
    <x v="1"/>
    <x v="0"/>
    <x v="0"/>
  </r>
  <r>
    <x v="1104"/>
    <x v="1096"/>
    <x v="372"/>
    <x v="132"/>
    <x v="1090"/>
    <x v="1104"/>
    <x v="1090"/>
    <x v="1096"/>
    <x v="1095"/>
    <x v="1"/>
    <x v="0"/>
    <x v="0"/>
  </r>
  <r>
    <x v="1105"/>
    <x v="1097"/>
    <x v="373"/>
    <x v="132"/>
    <x v="1091"/>
    <x v="1105"/>
    <x v="1091"/>
    <x v="1097"/>
    <x v="1096"/>
    <x v="1"/>
    <x v="0"/>
    <x v="0"/>
  </r>
  <r>
    <x v="1106"/>
    <x v="1098"/>
    <x v="373"/>
    <x v="132"/>
    <x v="1092"/>
    <x v="1106"/>
    <x v="1092"/>
    <x v="1098"/>
    <x v="1097"/>
    <x v="1"/>
    <x v="0"/>
    <x v="0"/>
  </r>
  <r>
    <x v="1107"/>
    <x v="1099"/>
    <x v="372"/>
    <x v="132"/>
    <x v="1093"/>
    <x v="1107"/>
    <x v="1093"/>
    <x v="1099"/>
    <x v="1098"/>
    <x v="1"/>
    <x v="0"/>
    <x v="0"/>
  </r>
  <r>
    <x v="1108"/>
    <x v="1100"/>
    <x v="374"/>
    <x v="132"/>
    <x v="1094"/>
    <x v="1108"/>
    <x v="1094"/>
    <x v="1100"/>
    <x v="1099"/>
    <x v="1"/>
    <x v="0"/>
    <x v="0"/>
  </r>
  <r>
    <x v="1109"/>
    <x v="1101"/>
    <x v="374"/>
    <x v="132"/>
    <x v="1095"/>
    <x v="1109"/>
    <x v="1095"/>
    <x v="1101"/>
    <x v="1100"/>
    <x v="1"/>
    <x v="0"/>
    <x v="0"/>
  </r>
  <r>
    <x v="1110"/>
    <x v="1102"/>
    <x v="372"/>
    <x v="132"/>
    <x v="1096"/>
    <x v="1110"/>
    <x v="1096"/>
    <x v="1102"/>
    <x v="1101"/>
    <x v="1"/>
    <x v="0"/>
    <x v="0"/>
  </r>
  <r>
    <x v="1111"/>
    <x v="1103"/>
    <x v="375"/>
    <x v="132"/>
    <x v="1097"/>
    <x v="1111"/>
    <x v="1097"/>
    <x v="1103"/>
    <x v="1102"/>
    <x v="1"/>
    <x v="0"/>
    <x v="0"/>
  </r>
  <r>
    <x v="1112"/>
    <x v="1104"/>
    <x v="375"/>
    <x v="132"/>
    <x v="1098"/>
    <x v="1112"/>
    <x v="1098"/>
    <x v="1104"/>
    <x v="1103"/>
    <x v="1"/>
    <x v="0"/>
    <x v="0"/>
  </r>
  <r>
    <x v="1113"/>
    <x v="1105"/>
    <x v="375"/>
    <x v="132"/>
    <x v="1099"/>
    <x v="1113"/>
    <x v="1099"/>
    <x v="1105"/>
    <x v="1104"/>
    <x v="1"/>
    <x v="0"/>
    <x v="0"/>
  </r>
  <r>
    <x v="1114"/>
    <x v="1106"/>
    <x v="376"/>
    <x v="132"/>
    <x v="1100"/>
    <x v="1114"/>
    <x v="1100"/>
    <x v="1106"/>
    <x v="1105"/>
    <x v="1"/>
    <x v="0"/>
    <x v="0"/>
  </r>
  <r>
    <x v="1115"/>
    <x v="1107"/>
    <x v="375"/>
    <x v="132"/>
    <x v="1101"/>
    <x v="1115"/>
    <x v="1101"/>
    <x v="1107"/>
    <x v="1106"/>
    <x v="1"/>
    <x v="0"/>
    <x v="0"/>
  </r>
  <r>
    <x v="1116"/>
    <x v="1108"/>
    <x v="377"/>
    <x v="133"/>
    <x v="1102"/>
    <x v="1116"/>
    <x v="1102"/>
    <x v="1108"/>
    <x v="1107"/>
    <x v="1"/>
    <x v="0"/>
    <x v="0"/>
  </r>
  <r>
    <x v="1117"/>
    <x v="1109"/>
    <x v="377"/>
    <x v="133"/>
    <x v="1103"/>
    <x v="1117"/>
    <x v="1103"/>
    <x v="1109"/>
    <x v="1108"/>
    <x v="1"/>
    <x v="0"/>
    <x v="0"/>
  </r>
  <r>
    <x v="1118"/>
    <x v="1110"/>
    <x v="377"/>
    <x v="133"/>
    <x v="1104"/>
    <x v="1118"/>
    <x v="1104"/>
    <x v="1110"/>
    <x v="1109"/>
    <x v="1"/>
    <x v="0"/>
    <x v="0"/>
  </r>
  <r>
    <x v="1119"/>
    <x v="1111"/>
    <x v="377"/>
    <x v="133"/>
    <x v="1105"/>
    <x v="1119"/>
    <x v="1105"/>
    <x v="1111"/>
    <x v="1110"/>
    <x v="1"/>
    <x v="0"/>
    <x v="0"/>
  </r>
  <r>
    <x v="1120"/>
    <x v="1112"/>
    <x v="378"/>
    <x v="133"/>
    <x v="1106"/>
    <x v="1120"/>
    <x v="1106"/>
    <x v="1112"/>
    <x v="1111"/>
    <x v="1"/>
    <x v="0"/>
    <x v="0"/>
  </r>
  <r>
    <x v="1121"/>
    <x v="1113"/>
    <x v="379"/>
    <x v="133"/>
    <x v="1107"/>
    <x v="1121"/>
    <x v="1107"/>
    <x v="1113"/>
    <x v="1112"/>
    <x v="1"/>
    <x v="0"/>
    <x v="0"/>
  </r>
  <r>
    <x v="1122"/>
    <x v="1114"/>
    <x v="377"/>
    <x v="133"/>
    <x v="1108"/>
    <x v="1122"/>
    <x v="1108"/>
    <x v="1114"/>
    <x v="1113"/>
    <x v="1"/>
    <x v="0"/>
    <x v="0"/>
  </r>
  <r>
    <x v="1123"/>
    <x v="1115"/>
    <x v="380"/>
    <x v="133"/>
    <x v="1109"/>
    <x v="1123"/>
    <x v="1109"/>
    <x v="1115"/>
    <x v="1114"/>
    <x v="1"/>
    <x v="0"/>
    <x v="0"/>
  </r>
  <r>
    <x v="1124"/>
    <x v="1116"/>
    <x v="377"/>
    <x v="133"/>
    <x v="1110"/>
    <x v="1124"/>
    <x v="1110"/>
    <x v="1116"/>
    <x v="1115"/>
    <x v="1"/>
    <x v="0"/>
    <x v="0"/>
  </r>
  <r>
    <x v="1125"/>
    <x v="1117"/>
    <x v="381"/>
    <x v="133"/>
    <x v="1111"/>
    <x v="1125"/>
    <x v="1111"/>
    <x v="1117"/>
    <x v="1116"/>
    <x v="1"/>
    <x v="0"/>
    <x v="0"/>
  </r>
  <r>
    <x v="1126"/>
    <x v="1118"/>
    <x v="381"/>
    <x v="133"/>
    <x v="1112"/>
    <x v="1126"/>
    <x v="1112"/>
    <x v="1118"/>
    <x v="1117"/>
    <x v="1"/>
    <x v="0"/>
    <x v="0"/>
  </r>
  <r>
    <x v="1127"/>
    <x v="1119"/>
    <x v="381"/>
    <x v="133"/>
    <x v="1113"/>
    <x v="1127"/>
    <x v="1113"/>
    <x v="1119"/>
    <x v="1118"/>
    <x v="1"/>
    <x v="0"/>
    <x v="0"/>
  </r>
  <r>
    <x v="1128"/>
    <x v="1120"/>
    <x v="377"/>
    <x v="133"/>
    <x v="1114"/>
    <x v="1128"/>
    <x v="1114"/>
    <x v="1120"/>
    <x v="1119"/>
    <x v="1"/>
    <x v="0"/>
    <x v="0"/>
  </r>
  <r>
    <x v="1129"/>
    <x v="1121"/>
    <x v="382"/>
    <x v="134"/>
    <x v="1115"/>
    <x v="1129"/>
    <x v="1115"/>
    <x v="1121"/>
    <x v="1120"/>
    <x v="1"/>
    <x v="0"/>
    <x v="0"/>
  </r>
  <r>
    <x v="1130"/>
    <x v="1122"/>
    <x v="382"/>
    <x v="134"/>
    <x v="1116"/>
    <x v="1130"/>
    <x v="1116"/>
    <x v="1122"/>
    <x v="1121"/>
    <x v="1"/>
    <x v="0"/>
    <x v="0"/>
  </r>
  <r>
    <x v="1131"/>
    <x v="1123"/>
    <x v="383"/>
    <x v="134"/>
    <x v="1117"/>
    <x v="1131"/>
    <x v="1117"/>
    <x v="1123"/>
    <x v="1122"/>
    <x v="1"/>
    <x v="0"/>
    <x v="0"/>
  </r>
  <r>
    <x v="1132"/>
    <x v="1124"/>
    <x v="384"/>
    <x v="134"/>
    <x v="1118"/>
    <x v="1132"/>
    <x v="1118"/>
    <x v="1124"/>
    <x v="1123"/>
    <x v="1"/>
    <x v="0"/>
    <x v="0"/>
  </r>
  <r>
    <x v="1133"/>
    <x v="1125"/>
    <x v="382"/>
    <x v="134"/>
    <x v="1119"/>
    <x v="1133"/>
    <x v="1119"/>
    <x v="1125"/>
    <x v="1124"/>
    <x v="1"/>
    <x v="0"/>
    <x v="0"/>
  </r>
  <r>
    <x v="1134"/>
    <x v="1126"/>
    <x v="383"/>
    <x v="134"/>
    <x v="1120"/>
    <x v="1134"/>
    <x v="1120"/>
    <x v="1126"/>
    <x v="1125"/>
    <x v="1"/>
    <x v="0"/>
    <x v="0"/>
  </r>
  <r>
    <x v="1135"/>
    <x v="1127"/>
    <x v="383"/>
    <x v="134"/>
    <x v="1121"/>
    <x v="1135"/>
    <x v="1121"/>
    <x v="1127"/>
    <x v="1126"/>
    <x v="1"/>
    <x v="0"/>
    <x v="0"/>
  </r>
  <r>
    <x v="1136"/>
    <x v="1128"/>
    <x v="383"/>
    <x v="134"/>
    <x v="1122"/>
    <x v="1136"/>
    <x v="1122"/>
    <x v="1128"/>
    <x v="1127"/>
    <x v="1"/>
    <x v="0"/>
    <x v="0"/>
  </r>
  <r>
    <x v="1137"/>
    <x v="1129"/>
    <x v="383"/>
    <x v="134"/>
    <x v="1123"/>
    <x v="1137"/>
    <x v="1123"/>
    <x v="1129"/>
    <x v="1128"/>
    <x v="1"/>
    <x v="0"/>
    <x v="0"/>
  </r>
  <r>
    <x v="1138"/>
    <x v="1130"/>
    <x v="382"/>
    <x v="134"/>
    <x v="1124"/>
    <x v="1138"/>
    <x v="1124"/>
    <x v="1130"/>
    <x v="1129"/>
    <x v="1"/>
    <x v="0"/>
    <x v="0"/>
  </r>
  <r>
    <x v="1139"/>
    <x v="1131"/>
    <x v="382"/>
    <x v="134"/>
    <x v="1125"/>
    <x v="1139"/>
    <x v="1125"/>
    <x v="1131"/>
    <x v="1130"/>
    <x v="1"/>
    <x v="0"/>
    <x v="0"/>
  </r>
  <r>
    <x v="1140"/>
    <x v="1132"/>
    <x v="382"/>
    <x v="134"/>
    <x v="1126"/>
    <x v="1140"/>
    <x v="1126"/>
    <x v="1132"/>
    <x v="1131"/>
    <x v="1"/>
    <x v="0"/>
    <x v="0"/>
  </r>
  <r>
    <x v="1141"/>
    <x v="1133"/>
    <x v="385"/>
    <x v="134"/>
    <x v="1127"/>
    <x v="1141"/>
    <x v="1127"/>
    <x v="1133"/>
    <x v="1132"/>
    <x v="1"/>
    <x v="0"/>
    <x v="0"/>
  </r>
  <r>
    <x v="1142"/>
    <x v="1134"/>
    <x v="386"/>
    <x v="134"/>
    <x v="1128"/>
    <x v="1142"/>
    <x v="1128"/>
    <x v="1134"/>
    <x v="1133"/>
    <x v="1"/>
    <x v="0"/>
    <x v="0"/>
  </r>
  <r>
    <x v="1143"/>
    <x v="430"/>
    <x v="387"/>
    <x v="134"/>
    <x v="427"/>
    <x v="1143"/>
    <x v="430"/>
    <x v="430"/>
    <x v="430"/>
    <x v="1"/>
    <x v="0"/>
    <x v="0"/>
  </r>
  <r>
    <x v="1144"/>
    <x v="1135"/>
    <x v="382"/>
    <x v="134"/>
    <x v="1129"/>
    <x v="1144"/>
    <x v="1129"/>
    <x v="1135"/>
    <x v="1134"/>
    <x v="1"/>
    <x v="0"/>
    <x v="0"/>
  </r>
  <r>
    <x v="1145"/>
    <x v="1136"/>
    <x v="388"/>
    <x v="135"/>
    <x v="1130"/>
    <x v="1145"/>
    <x v="1130"/>
    <x v="1136"/>
    <x v="1135"/>
    <x v="1"/>
    <x v="0"/>
    <x v="0"/>
  </r>
  <r>
    <x v="1146"/>
    <x v="1137"/>
    <x v="389"/>
    <x v="135"/>
    <x v="1131"/>
    <x v="1146"/>
    <x v="1131"/>
    <x v="1137"/>
    <x v="1136"/>
    <x v="1"/>
    <x v="0"/>
    <x v="0"/>
  </r>
  <r>
    <x v="1147"/>
    <x v="1138"/>
    <x v="389"/>
    <x v="135"/>
    <x v="1132"/>
    <x v="1147"/>
    <x v="1132"/>
    <x v="1138"/>
    <x v="1137"/>
    <x v="1"/>
    <x v="0"/>
    <x v="0"/>
  </r>
  <r>
    <x v="1148"/>
    <x v="1139"/>
    <x v="389"/>
    <x v="135"/>
    <x v="1133"/>
    <x v="1148"/>
    <x v="1133"/>
    <x v="1139"/>
    <x v="1138"/>
    <x v="1"/>
    <x v="0"/>
    <x v="0"/>
  </r>
  <r>
    <x v="1149"/>
    <x v="1140"/>
    <x v="389"/>
    <x v="135"/>
    <x v="1134"/>
    <x v="1149"/>
    <x v="1134"/>
    <x v="1140"/>
    <x v="1139"/>
    <x v="1"/>
    <x v="0"/>
    <x v="0"/>
  </r>
  <r>
    <x v="1150"/>
    <x v="1141"/>
    <x v="390"/>
    <x v="135"/>
    <x v="1135"/>
    <x v="1150"/>
    <x v="1135"/>
    <x v="1141"/>
    <x v="1140"/>
    <x v="1"/>
    <x v="0"/>
    <x v="0"/>
  </r>
  <r>
    <x v="1151"/>
    <x v="1142"/>
    <x v="391"/>
    <x v="136"/>
    <x v="1136"/>
    <x v="1151"/>
    <x v="1136"/>
    <x v="1142"/>
    <x v="1141"/>
    <x v="1"/>
    <x v="0"/>
    <x v="0"/>
  </r>
  <r>
    <x v="1152"/>
    <x v="1143"/>
    <x v="391"/>
    <x v="136"/>
    <x v="1137"/>
    <x v="1152"/>
    <x v="1137"/>
    <x v="1143"/>
    <x v="1142"/>
    <x v="1"/>
    <x v="0"/>
    <x v="0"/>
  </r>
  <r>
    <x v="1153"/>
    <x v="1144"/>
    <x v="391"/>
    <x v="136"/>
    <x v="1138"/>
    <x v="1153"/>
    <x v="1138"/>
    <x v="1144"/>
    <x v="1143"/>
    <x v="1"/>
    <x v="0"/>
    <x v="0"/>
  </r>
  <r>
    <x v="1154"/>
    <x v="1145"/>
    <x v="391"/>
    <x v="136"/>
    <x v="1139"/>
    <x v="1154"/>
    <x v="1139"/>
    <x v="1145"/>
    <x v="1144"/>
    <x v="1"/>
    <x v="0"/>
    <x v="0"/>
  </r>
  <r>
    <x v="1155"/>
    <x v="568"/>
    <x v="392"/>
    <x v="136"/>
    <x v="564"/>
    <x v="1155"/>
    <x v="1140"/>
    <x v="568"/>
    <x v="568"/>
    <x v="1"/>
    <x v="0"/>
    <x v="0"/>
  </r>
  <r>
    <x v="1156"/>
    <x v="1146"/>
    <x v="392"/>
    <x v="136"/>
    <x v="1140"/>
    <x v="1156"/>
    <x v="1141"/>
    <x v="1146"/>
    <x v="1145"/>
    <x v="1"/>
    <x v="0"/>
    <x v="0"/>
  </r>
  <r>
    <x v="1157"/>
    <x v="1147"/>
    <x v="392"/>
    <x v="136"/>
    <x v="1141"/>
    <x v="1157"/>
    <x v="1142"/>
    <x v="1147"/>
    <x v="1146"/>
    <x v="1"/>
    <x v="0"/>
    <x v="0"/>
  </r>
  <r>
    <x v="1158"/>
    <x v="62"/>
    <x v="393"/>
    <x v="137"/>
    <x v="61"/>
    <x v="1158"/>
    <x v="62"/>
    <x v="62"/>
    <x v="62"/>
    <x v="1"/>
    <x v="0"/>
    <x v="0"/>
  </r>
  <r>
    <x v="1159"/>
    <x v="1148"/>
    <x v="393"/>
    <x v="137"/>
    <x v="1142"/>
    <x v="1159"/>
    <x v="1143"/>
    <x v="1148"/>
    <x v="1147"/>
    <x v="1"/>
    <x v="0"/>
    <x v="0"/>
  </r>
  <r>
    <x v="1160"/>
    <x v="1149"/>
    <x v="393"/>
    <x v="137"/>
    <x v="1143"/>
    <x v="1160"/>
    <x v="1144"/>
    <x v="1149"/>
    <x v="1148"/>
    <x v="1"/>
    <x v="0"/>
    <x v="0"/>
  </r>
  <r>
    <x v="1161"/>
    <x v="1150"/>
    <x v="393"/>
    <x v="137"/>
    <x v="1144"/>
    <x v="1161"/>
    <x v="1145"/>
    <x v="1150"/>
    <x v="1149"/>
    <x v="1"/>
    <x v="0"/>
    <x v="0"/>
  </r>
  <r>
    <x v="1162"/>
    <x v="1151"/>
    <x v="394"/>
    <x v="138"/>
    <x v="1145"/>
    <x v="1162"/>
    <x v="1146"/>
    <x v="1151"/>
    <x v="1150"/>
    <x v="1"/>
    <x v="0"/>
    <x v="0"/>
  </r>
  <r>
    <x v="1163"/>
    <x v="1152"/>
    <x v="395"/>
    <x v="138"/>
    <x v="1146"/>
    <x v="1163"/>
    <x v="1147"/>
    <x v="1152"/>
    <x v="1151"/>
    <x v="1"/>
    <x v="0"/>
    <x v="0"/>
  </r>
  <r>
    <x v="1164"/>
    <x v="1153"/>
    <x v="396"/>
    <x v="138"/>
    <x v="1147"/>
    <x v="1164"/>
    <x v="1148"/>
    <x v="1153"/>
    <x v="1152"/>
    <x v="1"/>
    <x v="0"/>
    <x v="0"/>
  </r>
  <r>
    <x v="1165"/>
    <x v="1154"/>
    <x v="396"/>
    <x v="138"/>
    <x v="1148"/>
    <x v="1165"/>
    <x v="1149"/>
    <x v="1154"/>
    <x v="1153"/>
    <x v="1"/>
    <x v="0"/>
    <x v="0"/>
  </r>
  <r>
    <x v="1166"/>
    <x v="59"/>
    <x v="397"/>
    <x v="138"/>
    <x v="58"/>
    <x v="1166"/>
    <x v="59"/>
    <x v="59"/>
    <x v="59"/>
    <x v="1"/>
    <x v="0"/>
    <x v="0"/>
  </r>
  <r>
    <x v="1167"/>
    <x v="1155"/>
    <x v="396"/>
    <x v="138"/>
    <x v="1149"/>
    <x v="1167"/>
    <x v="1150"/>
    <x v="1155"/>
    <x v="1154"/>
    <x v="1"/>
    <x v="0"/>
    <x v="0"/>
  </r>
  <r>
    <x v="1168"/>
    <x v="1156"/>
    <x v="398"/>
    <x v="139"/>
    <x v="1150"/>
    <x v="1168"/>
    <x v="1151"/>
    <x v="1156"/>
    <x v="1155"/>
    <x v="1"/>
    <x v="0"/>
    <x v="0"/>
  </r>
  <r>
    <x v="1169"/>
    <x v="1157"/>
    <x v="398"/>
    <x v="139"/>
    <x v="1151"/>
    <x v="1169"/>
    <x v="1152"/>
    <x v="1157"/>
    <x v="1156"/>
    <x v="1"/>
    <x v="0"/>
    <x v="0"/>
  </r>
  <r>
    <x v="1170"/>
    <x v="339"/>
    <x v="398"/>
    <x v="139"/>
    <x v="338"/>
    <x v="340"/>
    <x v="338"/>
    <x v="339"/>
    <x v="339"/>
    <x v="1"/>
    <x v="0"/>
    <x v="0"/>
  </r>
  <r>
    <x v="1171"/>
    <x v="1158"/>
    <x v="399"/>
    <x v="139"/>
    <x v="1152"/>
    <x v="1170"/>
    <x v="1153"/>
    <x v="1158"/>
    <x v="340"/>
    <x v="1"/>
    <x v="0"/>
    <x v="0"/>
  </r>
  <r>
    <x v="1172"/>
    <x v="1159"/>
    <x v="398"/>
    <x v="139"/>
    <x v="1153"/>
    <x v="1171"/>
    <x v="1154"/>
    <x v="1159"/>
    <x v="1157"/>
    <x v="1"/>
    <x v="0"/>
    <x v="0"/>
  </r>
  <r>
    <x v="1173"/>
    <x v="1160"/>
    <x v="400"/>
    <x v="139"/>
    <x v="1154"/>
    <x v="1172"/>
    <x v="1155"/>
    <x v="1160"/>
    <x v="1158"/>
    <x v="1"/>
    <x v="0"/>
    <x v="0"/>
  </r>
  <r>
    <x v="1174"/>
    <x v="1161"/>
    <x v="401"/>
    <x v="139"/>
    <x v="1155"/>
    <x v="1173"/>
    <x v="1156"/>
    <x v="1161"/>
    <x v="1159"/>
    <x v="1"/>
    <x v="0"/>
    <x v="0"/>
  </r>
  <r>
    <x v="1175"/>
    <x v="1162"/>
    <x v="401"/>
    <x v="139"/>
    <x v="1156"/>
    <x v="1174"/>
    <x v="1157"/>
    <x v="1162"/>
    <x v="1160"/>
    <x v="1"/>
    <x v="0"/>
    <x v="0"/>
  </r>
  <r>
    <x v="1176"/>
    <x v="1163"/>
    <x v="400"/>
    <x v="139"/>
    <x v="1157"/>
    <x v="1175"/>
    <x v="1158"/>
    <x v="1163"/>
    <x v="1161"/>
    <x v="1"/>
    <x v="0"/>
    <x v="0"/>
  </r>
  <r>
    <x v="1177"/>
    <x v="1164"/>
    <x v="398"/>
    <x v="139"/>
    <x v="1158"/>
    <x v="1176"/>
    <x v="1159"/>
    <x v="1164"/>
    <x v="1162"/>
    <x v="1"/>
    <x v="0"/>
    <x v="0"/>
  </r>
  <r>
    <x v="1178"/>
    <x v="1165"/>
    <x v="402"/>
    <x v="139"/>
    <x v="1159"/>
    <x v="1177"/>
    <x v="1160"/>
    <x v="1165"/>
    <x v="1163"/>
    <x v="1"/>
    <x v="0"/>
    <x v="0"/>
  </r>
  <r>
    <x v="1179"/>
    <x v="1166"/>
    <x v="398"/>
    <x v="139"/>
    <x v="1160"/>
    <x v="1178"/>
    <x v="1161"/>
    <x v="1166"/>
    <x v="1164"/>
    <x v="1"/>
    <x v="0"/>
    <x v="0"/>
  </r>
  <r>
    <x v="1180"/>
    <x v="1167"/>
    <x v="403"/>
    <x v="139"/>
    <x v="1161"/>
    <x v="1179"/>
    <x v="1162"/>
    <x v="1167"/>
    <x v="1165"/>
    <x v="1"/>
    <x v="0"/>
    <x v="0"/>
  </r>
  <r>
    <x v="1181"/>
    <x v="1168"/>
    <x v="403"/>
    <x v="139"/>
    <x v="1162"/>
    <x v="1180"/>
    <x v="1163"/>
    <x v="1168"/>
    <x v="1166"/>
    <x v="1"/>
    <x v="0"/>
    <x v="0"/>
  </r>
  <r>
    <x v="1182"/>
    <x v="1169"/>
    <x v="398"/>
    <x v="139"/>
    <x v="1163"/>
    <x v="1181"/>
    <x v="1164"/>
    <x v="1169"/>
    <x v="1167"/>
    <x v="1"/>
    <x v="0"/>
    <x v="0"/>
  </r>
  <r>
    <x v="1183"/>
    <x v="1170"/>
    <x v="398"/>
    <x v="139"/>
    <x v="1164"/>
    <x v="1182"/>
    <x v="1165"/>
    <x v="1170"/>
    <x v="1168"/>
    <x v="1"/>
    <x v="0"/>
    <x v="0"/>
  </r>
  <r>
    <x v="1184"/>
    <x v="1171"/>
    <x v="398"/>
    <x v="139"/>
    <x v="1165"/>
    <x v="1183"/>
    <x v="1166"/>
    <x v="1171"/>
    <x v="1169"/>
    <x v="1"/>
    <x v="0"/>
    <x v="0"/>
  </r>
  <r>
    <x v="1185"/>
    <x v="1172"/>
    <x v="404"/>
    <x v="139"/>
    <x v="1166"/>
    <x v="1184"/>
    <x v="1167"/>
    <x v="1172"/>
    <x v="1170"/>
    <x v="1"/>
    <x v="0"/>
    <x v="0"/>
  </r>
  <r>
    <x v="1186"/>
    <x v="1173"/>
    <x v="405"/>
    <x v="140"/>
    <x v="1167"/>
    <x v="1185"/>
    <x v="1168"/>
    <x v="1173"/>
    <x v="1171"/>
    <x v="1"/>
    <x v="0"/>
    <x v="0"/>
  </r>
  <r>
    <x v="1187"/>
    <x v="1174"/>
    <x v="406"/>
    <x v="140"/>
    <x v="1168"/>
    <x v="1186"/>
    <x v="1169"/>
    <x v="1174"/>
    <x v="1172"/>
    <x v="1"/>
    <x v="0"/>
    <x v="0"/>
  </r>
  <r>
    <x v="1188"/>
    <x v="1175"/>
    <x v="405"/>
    <x v="140"/>
    <x v="1169"/>
    <x v="1187"/>
    <x v="1170"/>
    <x v="1175"/>
    <x v="1173"/>
    <x v="1"/>
    <x v="0"/>
    <x v="0"/>
  </r>
  <r>
    <x v="1189"/>
    <x v="1176"/>
    <x v="407"/>
    <x v="140"/>
    <x v="1170"/>
    <x v="1188"/>
    <x v="1171"/>
    <x v="1176"/>
    <x v="1174"/>
    <x v="1"/>
    <x v="0"/>
    <x v="0"/>
  </r>
  <r>
    <x v="1190"/>
    <x v="1177"/>
    <x v="407"/>
    <x v="140"/>
    <x v="1171"/>
    <x v="1189"/>
    <x v="1172"/>
    <x v="1177"/>
    <x v="1175"/>
    <x v="1"/>
    <x v="0"/>
    <x v="0"/>
  </r>
  <r>
    <x v="1191"/>
    <x v="1178"/>
    <x v="405"/>
    <x v="140"/>
    <x v="1172"/>
    <x v="1190"/>
    <x v="1173"/>
    <x v="1178"/>
    <x v="1176"/>
    <x v="1"/>
    <x v="0"/>
    <x v="0"/>
  </r>
  <r>
    <x v="1192"/>
    <x v="1179"/>
    <x v="405"/>
    <x v="140"/>
    <x v="1173"/>
    <x v="1191"/>
    <x v="1174"/>
    <x v="1179"/>
    <x v="1177"/>
    <x v="1"/>
    <x v="0"/>
    <x v="0"/>
  </r>
  <r>
    <x v="1193"/>
    <x v="1180"/>
    <x v="405"/>
    <x v="140"/>
    <x v="1174"/>
    <x v="1192"/>
    <x v="1175"/>
    <x v="1180"/>
    <x v="1178"/>
    <x v="1"/>
    <x v="0"/>
    <x v="0"/>
  </r>
  <r>
    <x v="1194"/>
    <x v="1181"/>
    <x v="408"/>
    <x v="140"/>
    <x v="1175"/>
    <x v="1193"/>
    <x v="1176"/>
    <x v="1181"/>
    <x v="1179"/>
    <x v="1"/>
    <x v="0"/>
    <x v="0"/>
  </r>
  <r>
    <x v="1195"/>
    <x v="1182"/>
    <x v="388"/>
    <x v="141"/>
    <x v="1176"/>
    <x v="1194"/>
    <x v="1177"/>
    <x v="1182"/>
    <x v="1180"/>
    <x v="1"/>
    <x v="0"/>
    <x v="0"/>
  </r>
  <r>
    <x v="1196"/>
    <x v="1183"/>
    <x v="409"/>
    <x v="141"/>
    <x v="1177"/>
    <x v="1195"/>
    <x v="1178"/>
    <x v="1183"/>
    <x v="1181"/>
    <x v="1"/>
    <x v="0"/>
    <x v="0"/>
  </r>
  <r>
    <x v="1197"/>
    <x v="1184"/>
    <x v="409"/>
    <x v="141"/>
    <x v="1178"/>
    <x v="1196"/>
    <x v="1179"/>
    <x v="1184"/>
    <x v="1182"/>
    <x v="1"/>
    <x v="0"/>
    <x v="0"/>
  </r>
  <r>
    <x v="1198"/>
    <x v="677"/>
    <x v="409"/>
    <x v="141"/>
    <x v="673"/>
    <x v="1197"/>
    <x v="1180"/>
    <x v="677"/>
    <x v="677"/>
    <x v="1"/>
    <x v="0"/>
    <x v="0"/>
  </r>
  <r>
    <x v="1199"/>
    <x v="1185"/>
    <x v="409"/>
    <x v="141"/>
    <x v="1179"/>
    <x v="1198"/>
    <x v="1181"/>
    <x v="1185"/>
    <x v="1183"/>
    <x v="1"/>
    <x v="0"/>
    <x v="0"/>
  </r>
  <r>
    <x v="1200"/>
    <x v="1186"/>
    <x v="410"/>
    <x v="141"/>
    <x v="1180"/>
    <x v="1199"/>
    <x v="1182"/>
    <x v="1186"/>
    <x v="1184"/>
    <x v="1"/>
    <x v="0"/>
    <x v="0"/>
  </r>
  <r>
    <x v="1201"/>
    <x v="1187"/>
    <x v="409"/>
    <x v="141"/>
    <x v="1181"/>
    <x v="1200"/>
    <x v="1183"/>
    <x v="1187"/>
    <x v="908"/>
    <x v="1"/>
    <x v="0"/>
    <x v="0"/>
  </r>
  <r>
    <x v="1202"/>
    <x v="1188"/>
    <x v="411"/>
    <x v="141"/>
    <x v="1182"/>
    <x v="1201"/>
    <x v="1184"/>
    <x v="1188"/>
    <x v="1185"/>
    <x v="1"/>
    <x v="0"/>
    <x v="0"/>
  </r>
  <r>
    <x v="1203"/>
    <x v="1189"/>
    <x v="412"/>
    <x v="141"/>
    <x v="1183"/>
    <x v="1202"/>
    <x v="1185"/>
    <x v="1189"/>
    <x v="1186"/>
    <x v="1"/>
    <x v="0"/>
    <x v="0"/>
  </r>
  <r>
    <x v="1204"/>
    <x v="1190"/>
    <x v="409"/>
    <x v="141"/>
    <x v="1184"/>
    <x v="1203"/>
    <x v="1186"/>
    <x v="1190"/>
    <x v="1187"/>
    <x v="1"/>
    <x v="0"/>
    <x v="0"/>
  </r>
  <r>
    <x v="1205"/>
    <x v="1191"/>
    <x v="413"/>
    <x v="142"/>
    <x v="1185"/>
    <x v="1204"/>
    <x v="1187"/>
    <x v="1191"/>
    <x v="1188"/>
    <x v="1"/>
    <x v="0"/>
    <x v="0"/>
  </r>
  <r>
    <x v="1206"/>
    <x v="1192"/>
    <x v="413"/>
    <x v="142"/>
    <x v="1186"/>
    <x v="1205"/>
    <x v="1188"/>
    <x v="1192"/>
    <x v="1189"/>
    <x v="1"/>
    <x v="0"/>
    <x v="0"/>
  </r>
  <r>
    <x v="1207"/>
    <x v="1193"/>
    <x v="414"/>
    <x v="142"/>
    <x v="1187"/>
    <x v="1206"/>
    <x v="1189"/>
    <x v="1193"/>
    <x v="1190"/>
    <x v="1"/>
    <x v="0"/>
    <x v="0"/>
  </r>
  <r>
    <x v="1208"/>
    <x v="1194"/>
    <x v="414"/>
    <x v="142"/>
    <x v="1188"/>
    <x v="1207"/>
    <x v="1190"/>
    <x v="1194"/>
    <x v="1191"/>
    <x v="1"/>
    <x v="0"/>
    <x v="0"/>
  </r>
  <r>
    <x v="1209"/>
    <x v="1195"/>
    <x v="414"/>
    <x v="142"/>
    <x v="1189"/>
    <x v="1208"/>
    <x v="1191"/>
    <x v="1195"/>
    <x v="1192"/>
    <x v="1"/>
    <x v="0"/>
    <x v="0"/>
  </r>
  <r>
    <x v="1210"/>
    <x v="1196"/>
    <x v="414"/>
    <x v="142"/>
    <x v="1190"/>
    <x v="1209"/>
    <x v="1192"/>
    <x v="1196"/>
    <x v="1193"/>
    <x v="1"/>
    <x v="0"/>
    <x v="0"/>
  </r>
  <r>
    <x v="1211"/>
    <x v="1197"/>
    <x v="413"/>
    <x v="142"/>
    <x v="1191"/>
    <x v="1210"/>
    <x v="1193"/>
    <x v="731"/>
    <x v="1194"/>
    <x v="1"/>
    <x v="0"/>
    <x v="0"/>
  </r>
  <r>
    <x v="1212"/>
    <x v="1198"/>
    <x v="415"/>
    <x v="142"/>
    <x v="1192"/>
    <x v="1211"/>
    <x v="1194"/>
    <x v="1197"/>
    <x v="1195"/>
    <x v="1"/>
    <x v="0"/>
    <x v="0"/>
  </r>
  <r>
    <x v="1213"/>
    <x v="1199"/>
    <x v="415"/>
    <x v="142"/>
    <x v="1193"/>
    <x v="1212"/>
    <x v="1195"/>
    <x v="1198"/>
    <x v="1196"/>
    <x v="1"/>
    <x v="0"/>
    <x v="0"/>
  </r>
  <r>
    <x v="1214"/>
    <x v="1200"/>
    <x v="415"/>
    <x v="142"/>
    <x v="1194"/>
    <x v="1213"/>
    <x v="1196"/>
    <x v="1199"/>
    <x v="1197"/>
    <x v="1"/>
    <x v="0"/>
    <x v="0"/>
  </r>
  <r>
    <x v="1215"/>
    <x v="1201"/>
    <x v="415"/>
    <x v="142"/>
    <x v="1195"/>
    <x v="1214"/>
    <x v="1197"/>
    <x v="1200"/>
    <x v="1198"/>
    <x v="1"/>
    <x v="0"/>
    <x v="0"/>
  </r>
  <r>
    <x v="1216"/>
    <x v="1202"/>
    <x v="415"/>
    <x v="142"/>
    <x v="1196"/>
    <x v="1215"/>
    <x v="1198"/>
    <x v="1201"/>
    <x v="1199"/>
    <x v="1"/>
    <x v="0"/>
    <x v="0"/>
  </r>
  <r>
    <x v="1217"/>
    <x v="1203"/>
    <x v="416"/>
    <x v="142"/>
    <x v="1197"/>
    <x v="1216"/>
    <x v="1199"/>
    <x v="1202"/>
    <x v="1200"/>
    <x v="1"/>
    <x v="0"/>
    <x v="0"/>
  </r>
  <r>
    <x v="1218"/>
    <x v="1204"/>
    <x v="388"/>
    <x v="143"/>
    <x v="1198"/>
    <x v="1217"/>
    <x v="1200"/>
    <x v="1203"/>
    <x v="1201"/>
    <x v="1"/>
    <x v="0"/>
    <x v="0"/>
  </r>
  <r>
    <x v="1219"/>
    <x v="1205"/>
    <x v="417"/>
    <x v="143"/>
    <x v="1199"/>
    <x v="1218"/>
    <x v="1201"/>
    <x v="1204"/>
    <x v="1202"/>
    <x v="1"/>
    <x v="0"/>
    <x v="0"/>
  </r>
  <r>
    <x v="1220"/>
    <x v="1206"/>
    <x v="417"/>
    <x v="143"/>
    <x v="1200"/>
    <x v="1219"/>
    <x v="1202"/>
    <x v="1205"/>
    <x v="1203"/>
    <x v="1"/>
    <x v="0"/>
    <x v="0"/>
  </r>
  <r>
    <x v="1221"/>
    <x v="1207"/>
    <x v="417"/>
    <x v="143"/>
    <x v="1201"/>
    <x v="1220"/>
    <x v="1203"/>
    <x v="1206"/>
    <x v="1204"/>
    <x v="1"/>
    <x v="0"/>
    <x v="0"/>
  </r>
  <r>
    <x v="1222"/>
    <x v="1208"/>
    <x v="417"/>
    <x v="143"/>
    <x v="1202"/>
    <x v="1221"/>
    <x v="1204"/>
    <x v="1207"/>
    <x v="1205"/>
    <x v="1"/>
    <x v="0"/>
    <x v="0"/>
  </r>
  <r>
    <x v="1223"/>
    <x v="1209"/>
    <x v="418"/>
    <x v="143"/>
    <x v="1203"/>
    <x v="1222"/>
    <x v="1205"/>
    <x v="1208"/>
    <x v="1206"/>
    <x v="1"/>
    <x v="0"/>
    <x v="0"/>
  </r>
  <r>
    <x v="1224"/>
    <x v="1210"/>
    <x v="419"/>
    <x v="143"/>
    <x v="1204"/>
    <x v="1223"/>
    <x v="1206"/>
    <x v="1209"/>
    <x v="1207"/>
    <x v="1"/>
    <x v="0"/>
    <x v="0"/>
  </r>
  <r>
    <x v="1225"/>
    <x v="1211"/>
    <x v="417"/>
    <x v="143"/>
    <x v="1205"/>
    <x v="1224"/>
    <x v="1207"/>
    <x v="1210"/>
    <x v="1208"/>
    <x v="1"/>
    <x v="0"/>
    <x v="0"/>
  </r>
  <r>
    <x v="1226"/>
    <x v="1212"/>
    <x v="420"/>
    <x v="144"/>
    <x v="1206"/>
    <x v="1225"/>
    <x v="1208"/>
    <x v="1211"/>
    <x v="1209"/>
    <x v="1"/>
    <x v="0"/>
    <x v="0"/>
  </r>
  <r>
    <x v="1227"/>
    <x v="1213"/>
    <x v="388"/>
    <x v="145"/>
    <x v="1207"/>
    <x v="1226"/>
    <x v="1209"/>
    <x v="1212"/>
    <x v="1210"/>
    <x v="1"/>
    <x v="0"/>
    <x v="0"/>
  </r>
  <r>
    <x v="1228"/>
    <x v="1214"/>
    <x v="421"/>
    <x v="145"/>
    <x v="1208"/>
    <x v="1227"/>
    <x v="1210"/>
    <x v="1213"/>
    <x v="1211"/>
    <x v="1"/>
    <x v="0"/>
    <x v="0"/>
  </r>
  <r>
    <x v="1229"/>
    <x v="1215"/>
    <x v="421"/>
    <x v="145"/>
    <x v="1209"/>
    <x v="1228"/>
    <x v="1211"/>
    <x v="1214"/>
    <x v="1212"/>
    <x v="1"/>
    <x v="0"/>
    <x v="0"/>
  </r>
  <r>
    <x v="1230"/>
    <x v="1216"/>
    <x v="421"/>
    <x v="145"/>
    <x v="1210"/>
    <x v="1229"/>
    <x v="1212"/>
    <x v="1215"/>
    <x v="1213"/>
    <x v="1"/>
    <x v="0"/>
    <x v="0"/>
  </r>
  <r>
    <x v="1231"/>
    <x v="1217"/>
    <x v="421"/>
    <x v="145"/>
    <x v="1211"/>
    <x v="1230"/>
    <x v="1213"/>
    <x v="1216"/>
    <x v="1214"/>
    <x v="1"/>
    <x v="0"/>
    <x v="0"/>
  </r>
  <r>
    <x v="1232"/>
    <x v="1218"/>
    <x v="421"/>
    <x v="145"/>
    <x v="1212"/>
    <x v="1231"/>
    <x v="1214"/>
    <x v="1217"/>
    <x v="1215"/>
    <x v="1"/>
    <x v="0"/>
    <x v="0"/>
  </r>
  <r>
    <x v="1233"/>
    <x v="1219"/>
    <x v="421"/>
    <x v="145"/>
    <x v="1213"/>
    <x v="1232"/>
    <x v="1215"/>
    <x v="1218"/>
    <x v="1216"/>
    <x v="1"/>
    <x v="0"/>
    <x v="0"/>
  </r>
  <r>
    <x v="1234"/>
    <x v="1220"/>
    <x v="422"/>
    <x v="145"/>
    <x v="1214"/>
    <x v="1233"/>
    <x v="1216"/>
    <x v="1219"/>
    <x v="1217"/>
    <x v="1"/>
    <x v="0"/>
    <x v="0"/>
  </r>
  <r>
    <x v="1235"/>
    <x v="1221"/>
    <x v="422"/>
    <x v="145"/>
    <x v="1215"/>
    <x v="1234"/>
    <x v="1217"/>
    <x v="1220"/>
    <x v="1218"/>
    <x v="1"/>
    <x v="0"/>
    <x v="0"/>
  </r>
  <r>
    <x v="1236"/>
    <x v="1222"/>
    <x v="388"/>
    <x v="146"/>
    <x v="1216"/>
    <x v="1235"/>
    <x v="1218"/>
    <x v="1221"/>
    <x v="1219"/>
    <x v="1"/>
    <x v="0"/>
    <x v="0"/>
  </r>
  <r>
    <x v="1237"/>
    <x v="1223"/>
    <x v="423"/>
    <x v="146"/>
    <x v="1217"/>
    <x v="1236"/>
    <x v="1219"/>
    <x v="1222"/>
    <x v="1220"/>
    <x v="1"/>
    <x v="0"/>
    <x v="0"/>
  </r>
  <r>
    <x v="1238"/>
    <x v="1224"/>
    <x v="423"/>
    <x v="146"/>
    <x v="1218"/>
    <x v="1237"/>
    <x v="1220"/>
    <x v="1223"/>
    <x v="1221"/>
    <x v="1"/>
    <x v="0"/>
    <x v="0"/>
  </r>
  <r>
    <x v="1239"/>
    <x v="1225"/>
    <x v="423"/>
    <x v="146"/>
    <x v="1219"/>
    <x v="1238"/>
    <x v="1221"/>
    <x v="1224"/>
    <x v="1222"/>
    <x v="1"/>
    <x v="0"/>
    <x v="0"/>
  </r>
  <r>
    <x v="1240"/>
    <x v="1226"/>
    <x v="424"/>
    <x v="146"/>
    <x v="1220"/>
    <x v="1239"/>
    <x v="1222"/>
    <x v="1225"/>
    <x v="1223"/>
    <x v="1"/>
    <x v="0"/>
    <x v="0"/>
  </r>
  <r>
    <x v="1241"/>
    <x v="1227"/>
    <x v="424"/>
    <x v="146"/>
    <x v="1221"/>
    <x v="1240"/>
    <x v="1223"/>
    <x v="1226"/>
    <x v="1224"/>
    <x v="1"/>
    <x v="0"/>
    <x v="0"/>
  </r>
  <r>
    <x v="1242"/>
    <x v="1228"/>
    <x v="425"/>
    <x v="147"/>
    <x v="1222"/>
    <x v="1241"/>
    <x v="1224"/>
    <x v="1227"/>
    <x v="1225"/>
    <x v="1"/>
    <x v="0"/>
    <x v="0"/>
  </r>
  <r>
    <x v="1243"/>
    <x v="1229"/>
    <x v="426"/>
    <x v="147"/>
    <x v="1223"/>
    <x v="1242"/>
    <x v="1225"/>
    <x v="1228"/>
    <x v="1226"/>
    <x v="1"/>
    <x v="0"/>
    <x v="0"/>
  </r>
  <r>
    <x v="1244"/>
    <x v="1230"/>
    <x v="426"/>
    <x v="147"/>
    <x v="1224"/>
    <x v="1243"/>
    <x v="1226"/>
    <x v="1229"/>
    <x v="1227"/>
    <x v="1"/>
    <x v="0"/>
    <x v="0"/>
  </r>
  <r>
    <x v="1245"/>
    <x v="1231"/>
    <x v="425"/>
    <x v="147"/>
    <x v="1225"/>
    <x v="1244"/>
    <x v="1227"/>
    <x v="1230"/>
    <x v="1228"/>
    <x v="1"/>
    <x v="0"/>
    <x v="0"/>
  </r>
  <r>
    <x v="1246"/>
    <x v="1232"/>
    <x v="425"/>
    <x v="147"/>
    <x v="1226"/>
    <x v="1245"/>
    <x v="1228"/>
    <x v="1231"/>
    <x v="1229"/>
    <x v="1"/>
    <x v="0"/>
    <x v="0"/>
  </r>
  <r>
    <x v="1247"/>
    <x v="1233"/>
    <x v="425"/>
    <x v="147"/>
    <x v="1227"/>
    <x v="1246"/>
    <x v="1229"/>
    <x v="1232"/>
    <x v="1230"/>
    <x v="1"/>
    <x v="0"/>
    <x v="0"/>
  </r>
  <r>
    <x v="1248"/>
    <x v="1234"/>
    <x v="425"/>
    <x v="147"/>
    <x v="1228"/>
    <x v="1247"/>
    <x v="1230"/>
    <x v="1233"/>
    <x v="1231"/>
    <x v="1"/>
    <x v="0"/>
    <x v="0"/>
  </r>
  <r>
    <x v="1249"/>
    <x v="1235"/>
    <x v="425"/>
    <x v="147"/>
    <x v="1229"/>
    <x v="1248"/>
    <x v="1231"/>
    <x v="1234"/>
    <x v="1232"/>
    <x v="1"/>
    <x v="0"/>
    <x v="0"/>
  </r>
  <r>
    <x v="1250"/>
    <x v="1236"/>
    <x v="427"/>
    <x v="148"/>
    <x v="1230"/>
    <x v="1249"/>
    <x v="1232"/>
    <x v="1235"/>
    <x v="1233"/>
    <x v="1"/>
    <x v="0"/>
    <x v="0"/>
  </r>
  <r>
    <x v="1251"/>
    <x v="1237"/>
    <x v="428"/>
    <x v="148"/>
    <x v="1231"/>
    <x v="1250"/>
    <x v="1233"/>
    <x v="1236"/>
    <x v="1234"/>
    <x v="1"/>
    <x v="0"/>
    <x v="0"/>
  </r>
  <r>
    <x v="1252"/>
    <x v="1238"/>
    <x v="427"/>
    <x v="148"/>
    <x v="1232"/>
    <x v="1251"/>
    <x v="1234"/>
    <x v="1237"/>
    <x v="1235"/>
    <x v="1"/>
    <x v="0"/>
    <x v="0"/>
  </r>
  <r>
    <x v="1253"/>
    <x v="1239"/>
    <x v="428"/>
    <x v="148"/>
    <x v="1233"/>
    <x v="1252"/>
    <x v="1235"/>
    <x v="1238"/>
    <x v="1236"/>
    <x v="1"/>
    <x v="0"/>
    <x v="0"/>
  </r>
  <r>
    <x v="1254"/>
    <x v="1240"/>
    <x v="428"/>
    <x v="148"/>
    <x v="1234"/>
    <x v="1253"/>
    <x v="1236"/>
    <x v="1239"/>
    <x v="1237"/>
    <x v="1"/>
    <x v="0"/>
    <x v="0"/>
  </r>
  <r>
    <x v="1255"/>
    <x v="1241"/>
    <x v="429"/>
    <x v="149"/>
    <x v="1235"/>
    <x v="1254"/>
    <x v="1122"/>
    <x v="1240"/>
    <x v="1238"/>
    <x v="1"/>
    <x v="0"/>
    <x v="0"/>
  </r>
  <r>
    <x v="1256"/>
    <x v="1242"/>
    <x v="430"/>
    <x v="149"/>
    <x v="1236"/>
    <x v="1255"/>
    <x v="1237"/>
    <x v="1241"/>
    <x v="1239"/>
    <x v="1"/>
    <x v="0"/>
    <x v="0"/>
  </r>
  <r>
    <x v="1257"/>
    <x v="1243"/>
    <x v="429"/>
    <x v="149"/>
    <x v="1237"/>
    <x v="1256"/>
    <x v="1238"/>
    <x v="1242"/>
    <x v="1240"/>
    <x v="1"/>
    <x v="0"/>
    <x v="0"/>
  </r>
  <r>
    <x v="1258"/>
    <x v="1244"/>
    <x v="429"/>
    <x v="149"/>
    <x v="1238"/>
    <x v="1257"/>
    <x v="1239"/>
    <x v="1243"/>
    <x v="1241"/>
    <x v="1"/>
    <x v="0"/>
    <x v="0"/>
  </r>
  <r>
    <x v="1259"/>
    <x v="1245"/>
    <x v="388"/>
    <x v="150"/>
    <x v="1239"/>
    <x v="1258"/>
    <x v="1240"/>
    <x v="1244"/>
    <x v="1242"/>
    <x v="1"/>
    <x v="0"/>
    <x v="0"/>
  </r>
  <r>
    <x v="1260"/>
    <x v="1246"/>
    <x v="431"/>
    <x v="150"/>
    <x v="1240"/>
    <x v="1259"/>
    <x v="1241"/>
    <x v="1245"/>
    <x v="1243"/>
    <x v="1"/>
    <x v="0"/>
    <x v="0"/>
  </r>
  <r>
    <x v="1261"/>
    <x v="1247"/>
    <x v="431"/>
    <x v="150"/>
    <x v="1241"/>
    <x v="1260"/>
    <x v="1242"/>
    <x v="1246"/>
    <x v="1244"/>
    <x v="1"/>
    <x v="0"/>
    <x v="0"/>
  </r>
  <r>
    <x v="1262"/>
    <x v="1248"/>
    <x v="431"/>
    <x v="150"/>
    <x v="1242"/>
    <x v="1261"/>
    <x v="1243"/>
    <x v="1247"/>
    <x v="1245"/>
    <x v="1"/>
    <x v="0"/>
    <x v="0"/>
  </r>
  <r>
    <x v="1263"/>
    <x v="1249"/>
    <x v="431"/>
    <x v="150"/>
    <x v="1243"/>
    <x v="1262"/>
    <x v="1244"/>
    <x v="1248"/>
    <x v="1246"/>
    <x v="1"/>
    <x v="0"/>
    <x v="0"/>
  </r>
  <r>
    <x v="1264"/>
    <x v="1250"/>
    <x v="431"/>
    <x v="150"/>
    <x v="1244"/>
    <x v="1263"/>
    <x v="1245"/>
    <x v="1249"/>
    <x v="1247"/>
    <x v="1"/>
    <x v="0"/>
    <x v="0"/>
  </r>
  <r>
    <x v="1265"/>
    <x v="1251"/>
    <x v="432"/>
    <x v="150"/>
    <x v="1245"/>
    <x v="1264"/>
    <x v="1246"/>
    <x v="1250"/>
    <x v="1248"/>
    <x v="1"/>
    <x v="0"/>
    <x v="0"/>
  </r>
  <r>
    <x v="1266"/>
    <x v="1252"/>
    <x v="433"/>
    <x v="151"/>
    <x v="1246"/>
    <x v="1265"/>
    <x v="1122"/>
    <x v="1251"/>
    <x v="1249"/>
    <x v="1"/>
    <x v="0"/>
    <x v="0"/>
  </r>
  <r>
    <x v="1267"/>
    <x v="1253"/>
    <x v="434"/>
    <x v="151"/>
    <x v="1247"/>
    <x v="1266"/>
    <x v="1247"/>
    <x v="1252"/>
    <x v="1250"/>
    <x v="1"/>
    <x v="0"/>
    <x v="0"/>
  </r>
  <r>
    <x v="1268"/>
    <x v="1254"/>
    <x v="433"/>
    <x v="151"/>
    <x v="1248"/>
    <x v="1267"/>
    <x v="1248"/>
    <x v="1253"/>
    <x v="1251"/>
    <x v="1"/>
    <x v="0"/>
    <x v="0"/>
  </r>
  <r>
    <x v="1269"/>
    <x v="618"/>
    <x v="433"/>
    <x v="151"/>
    <x v="614"/>
    <x v="1268"/>
    <x v="1249"/>
    <x v="618"/>
    <x v="618"/>
    <x v="1"/>
    <x v="0"/>
    <x v="0"/>
  </r>
  <r>
    <x v="1270"/>
    <x v="1255"/>
    <x v="433"/>
    <x v="151"/>
    <x v="1249"/>
    <x v="1269"/>
    <x v="1250"/>
    <x v="1254"/>
    <x v="1252"/>
    <x v="1"/>
    <x v="0"/>
    <x v="0"/>
  </r>
  <r>
    <x v="1271"/>
    <x v="1256"/>
    <x v="433"/>
    <x v="151"/>
    <x v="1250"/>
    <x v="1270"/>
    <x v="1251"/>
    <x v="1255"/>
    <x v="1253"/>
    <x v="1"/>
    <x v="0"/>
    <x v="0"/>
  </r>
  <r>
    <x v="1272"/>
    <x v="1257"/>
    <x v="435"/>
    <x v="151"/>
    <x v="1251"/>
    <x v="1271"/>
    <x v="1252"/>
    <x v="1256"/>
    <x v="1254"/>
    <x v="1"/>
    <x v="0"/>
    <x v="0"/>
  </r>
  <r>
    <x v="1273"/>
    <x v="1258"/>
    <x v="433"/>
    <x v="151"/>
    <x v="1252"/>
    <x v="1272"/>
    <x v="1253"/>
    <x v="1257"/>
    <x v="1255"/>
    <x v="1"/>
    <x v="0"/>
    <x v="0"/>
  </r>
  <r>
    <x v="1274"/>
    <x v="1259"/>
    <x v="433"/>
    <x v="151"/>
    <x v="1253"/>
    <x v="1273"/>
    <x v="1254"/>
    <x v="1258"/>
    <x v="1256"/>
    <x v="1"/>
    <x v="0"/>
    <x v="0"/>
  </r>
  <r>
    <x v="1275"/>
    <x v="1260"/>
    <x v="433"/>
    <x v="151"/>
    <x v="1254"/>
    <x v="1274"/>
    <x v="1255"/>
    <x v="1259"/>
    <x v="1257"/>
    <x v="1"/>
    <x v="0"/>
    <x v="0"/>
  </r>
  <r>
    <x v="1276"/>
    <x v="1261"/>
    <x v="436"/>
    <x v="152"/>
    <x v="1255"/>
    <x v="1275"/>
    <x v="1256"/>
    <x v="1260"/>
    <x v="1258"/>
    <x v="1"/>
    <x v="0"/>
    <x v="0"/>
  </r>
  <r>
    <x v="1277"/>
    <x v="1262"/>
    <x v="436"/>
    <x v="152"/>
    <x v="1256"/>
    <x v="1276"/>
    <x v="1257"/>
    <x v="1261"/>
    <x v="1259"/>
    <x v="1"/>
    <x v="0"/>
    <x v="0"/>
  </r>
  <r>
    <x v="1278"/>
    <x v="1263"/>
    <x v="437"/>
    <x v="152"/>
    <x v="1257"/>
    <x v="1277"/>
    <x v="1258"/>
    <x v="1262"/>
    <x v="1260"/>
    <x v="1"/>
    <x v="0"/>
    <x v="0"/>
  </r>
  <r>
    <x v="1279"/>
    <x v="214"/>
    <x v="436"/>
    <x v="152"/>
    <x v="213"/>
    <x v="1278"/>
    <x v="1259"/>
    <x v="214"/>
    <x v="214"/>
    <x v="1"/>
    <x v="0"/>
    <x v="0"/>
  </r>
  <r>
    <x v="1280"/>
    <x v="1264"/>
    <x v="436"/>
    <x v="152"/>
    <x v="1258"/>
    <x v="1279"/>
    <x v="1260"/>
    <x v="1263"/>
    <x v="1261"/>
    <x v="1"/>
    <x v="0"/>
    <x v="0"/>
  </r>
  <r>
    <x v="1281"/>
    <x v="1265"/>
    <x v="436"/>
    <x v="152"/>
    <x v="1259"/>
    <x v="1280"/>
    <x v="1261"/>
    <x v="1264"/>
    <x v="1262"/>
    <x v="1"/>
    <x v="0"/>
    <x v="0"/>
  </r>
  <r>
    <x v="1282"/>
    <x v="1266"/>
    <x v="436"/>
    <x v="152"/>
    <x v="1260"/>
    <x v="1281"/>
    <x v="1262"/>
    <x v="1265"/>
    <x v="1263"/>
    <x v="1"/>
    <x v="0"/>
    <x v="0"/>
  </r>
  <r>
    <x v="1283"/>
    <x v="1267"/>
    <x v="436"/>
    <x v="152"/>
    <x v="1261"/>
    <x v="1282"/>
    <x v="1263"/>
    <x v="1266"/>
    <x v="1264"/>
    <x v="1"/>
    <x v="0"/>
    <x v="0"/>
  </r>
  <r>
    <x v="1284"/>
    <x v="1268"/>
    <x v="436"/>
    <x v="152"/>
    <x v="1262"/>
    <x v="1283"/>
    <x v="1264"/>
    <x v="1267"/>
    <x v="1265"/>
    <x v="1"/>
    <x v="0"/>
    <x v="0"/>
  </r>
  <r>
    <x v="1285"/>
    <x v="1269"/>
    <x v="438"/>
    <x v="152"/>
    <x v="1263"/>
    <x v="1284"/>
    <x v="1265"/>
    <x v="1268"/>
    <x v="1266"/>
    <x v="1"/>
    <x v="0"/>
    <x v="0"/>
  </r>
  <r>
    <x v="1286"/>
    <x v="1270"/>
    <x v="439"/>
    <x v="153"/>
    <x v="1264"/>
    <x v="1285"/>
    <x v="1266"/>
    <x v="1269"/>
    <x v="1267"/>
    <x v="1"/>
    <x v="0"/>
    <x v="0"/>
  </r>
  <r>
    <x v="1287"/>
    <x v="1271"/>
    <x v="439"/>
    <x v="153"/>
    <x v="1265"/>
    <x v="1286"/>
    <x v="1267"/>
    <x v="1270"/>
    <x v="1268"/>
    <x v="1"/>
    <x v="0"/>
    <x v="0"/>
  </r>
  <r>
    <x v="1288"/>
    <x v="1272"/>
    <x v="440"/>
    <x v="153"/>
    <x v="1266"/>
    <x v="1287"/>
    <x v="1268"/>
    <x v="1271"/>
    <x v="1269"/>
    <x v="1"/>
    <x v="0"/>
    <x v="0"/>
  </r>
  <r>
    <x v="1289"/>
    <x v="1273"/>
    <x v="439"/>
    <x v="153"/>
    <x v="1267"/>
    <x v="1288"/>
    <x v="1269"/>
    <x v="1272"/>
    <x v="1270"/>
    <x v="1"/>
    <x v="0"/>
    <x v="0"/>
  </r>
  <r>
    <x v="1290"/>
    <x v="1274"/>
    <x v="441"/>
    <x v="153"/>
    <x v="1268"/>
    <x v="1289"/>
    <x v="1270"/>
    <x v="1273"/>
    <x v="1271"/>
    <x v="1"/>
    <x v="0"/>
    <x v="0"/>
  </r>
  <r>
    <x v="1291"/>
    <x v="1275"/>
    <x v="442"/>
    <x v="154"/>
    <x v="1269"/>
    <x v="1290"/>
    <x v="1271"/>
    <x v="1274"/>
    <x v="1272"/>
    <x v="1"/>
    <x v="0"/>
    <x v="0"/>
  </r>
  <r>
    <x v="1292"/>
    <x v="1276"/>
    <x v="443"/>
    <x v="154"/>
    <x v="1270"/>
    <x v="1291"/>
    <x v="1272"/>
    <x v="1275"/>
    <x v="1273"/>
    <x v="1"/>
    <x v="0"/>
    <x v="0"/>
  </r>
  <r>
    <x v="1293"/>
    <x v="1277"/>
    <x v="443"/>
    <x v="154"/>
    <x v="1271"/>
    <x v="1292"/>
    <x v="1273"/>
    <x v="1276"/>
    <x v="1274"/>
    <x v="1"/>
    <x v="0"/>
    <x v="0"/>
  </r>
  <r>
    <x v="1294"/>
    <x v="1278"/>
    <x v="444"/>
    <x v="154"/>
    <x v="1272"/>
    <x v="1293"/>
    <x v="1274"/>
    <x v="1277"/>
    <x v="1275"/>
    <x v="1"/>
    <x v="0"/>
    <x v="0"/>
  </r>
  <r>
    <x v="1295"/>
    <x v="1279"/>
    <x v="445"/>
    <x v="154"/>
    <x v="1273"/>
    <x v="1294"/>
    <x v="1275"/>
    <x v="1278"/>
    <x v="1276"/>
    <x v="1"/>
    <x v="0"/>
    <x v="0"/>
  </r>
  <r>
    <x v="1296"/>
    <x v="1280"/>
    <x v="443"/>
    <x v="154"/>
    <x v="1274"/>
    <x v="1295"/>
    <x v="1276"/>
    <x v="1279"/>
    <x v="1277"/>
    <x v="1"/>
    <x v="0"/>
    <x v="0"/>
  </r>
  <r>
    <x v="1297"/>
    <x v="1281"/>
    <x v="443"/>
    <x v="154"/>
    <x v="1275"/>
    <x v="1296"/>
    <x v="1277"/>
    <x v="1280"/>
    <x v="1278"/>
    <x v="1"/>
    <x v="0"/>
    <x v="0"/>
  </r>
  <r>
    <x v="1298"/>
    <x v="1282"/>
    <x v="446"/>
    <x v="154"/>
    <x v="1276"/>
    <x v="1297"/>
    <x v="1278"/>
    <x v="1281"/>
    <x v="1279"/>
    <x v="1"/>
    <x v="0"/>
    <x v="0"/>
  </r>
  <r>
    <x v="1299"/>
    <x v="1283"/>
    <x v="443"/>
    <x v="154"/>
    <x v="1277"/>
    <x v="1298"/>
    <x v="1279"/>
    <x v="1282"/>
    <x v="1280"/>
    <x v="1"/>
    <x v="0"/>
    <x v="0"/>
  </r>
  <r>
    <x v="1300"/>
    <x v="1284"/>
    <x v="443"/>
    <x v="154"/>
    <x v="1278"/>
    <x v="1299"/>
    <x v="1280"/>
    <x v="1283"/>
    <x v="1281"/>
    <x v="1"/>
    <x v="0"/>
    <x v="0"/>
  </r>
  <r>
    <x v="1301"/>
    <x v="1285"/>
    <x v="443"/>
    <x v="154"/>
    <x v="1279"/>
    <x v="1300"/>
    <x v="1281"/>
    <x v="1284"/>
    <x v="1282"/>
    <x v="1"/>
    <x v="0"/>
    <x v="0"/>
  </r>
  <r>
    <x v="1302"/>
    <x v="1286"/>
    <x v="443"/>
    <x v="154"/>
    <x v="1280"/>
    <x v="1301"/>
    <x v="1282"/>
    <x v="1285"/>
    <x v="1283"/>
    <x v="1"/>
    <x v="0"/>
    <x v="0"/>
  </r>
  <r>
    <x v="1303"/>
    <x v="1287"/>
    <x v="447"/>
    <x v="155"/>
    <x v="1281"/>
    <x v="1302"/>
    <x v="1283"/>
    <x v="1286"/>
    <x v="1284"/>
    <x v="1"/>
    <x v="0"/>
    <x v="0"/>
  </r>
  <r>
    <x v="1304"/>
    <x v="1288"/>
    <x v="447"/>
    <x v="155"/>
    <x v="1282"/>
    <x v="1303"/>
    <x v="1284"/>
    <x v="1287"/>
    <x v="1285"/>
    <x v="1"/>
    <x v="0"/>
    <x v="0"/>
  </r>
  <r>
    <x v="1305"/>
    <x v="1289"/>
    <x v="448"/>
    <x v="155"/>
    <x v="1283"/>
    <x v="1304"/>
    <x v="1285"/>
    <x v="1288"/>
    <x v="1286"/>
    <x v="1"/>
    <x v="0"/>
    <x v="0"/>
  </r>
  <r>
    <x v="1306"/>
    <x v="361"/>
    <x v="449"/>
    <x v="155"/>
    <x v="360"/>
    <x v="1305"/>
    <x v="360"/>
    <x v="361"/>
    <x v="361"/>
    <x v="1"/>
    <x v="0"/>
    <x v="0"/>
  </r>
  <r>
    <x v="1307"/>
    <x v="1290"/>
    <x v="449"/>
    <x v="155"/>
    <x v="1284"/>
    <x v="1306"/>
    <x v="1286"/>
    <x v="1289"/>
    <x v="1287"/>
    <x v="1"/>
    <x v="0"/>
    <x v="0"/>
  </r>
  <r>
    <x v="1308"/>
    <x v="1291"/>
    <x v="447"/>
    <x v="155"/>
    <x v="1285"/>
    <x v="1307"/>
    <x v="1287"/>
    <x v="1290"/>
    <x v="1288"/>
    <x v="1"/>
    <x v="0"/>
    <x v="0"/>
  </r>
  <r>
    <x v="1309"/>
    <x v="1292"/>
    <x v="447"/>
    <x v="155"/>
    <x v="1286"/>
    <x v="1308"/>
    <x v="1288"/>
    <x v="1291"/>
    <x v="1289"/>
    <x v="1"/>
    <x v="0"/>
    <x v="0"/>
  </r>
  <r>
    <x v="1310"/>
    <x v="1293"/>
    <x v="447"/>
    <x v="155"/>
    <x v="1287"/>
    <x v="1309"/>
    <x v="1289"/>
    <x v="1292"/>
    <x v="1290"/>
    <x v="1"/>
    <x v="0"/>
    <x v="0"/>
  </r>
  <r>
    <x v="1311"/>
    <x v="1294"/>
    <x v="450"/>
    <x v="156"/>
    <x v="1288"/>
    <x v="1310"/>
    <x v="1290"/>
    <x v="1293"/>
    <x v="1291"/>
    <x v="1"/>
    <x v="0"/>
    <x v="0"/>
  </r>
  <r>
    <x v="1312"/>
    <x v="1295"/>
    <x v="450"/>
    <x v="156"/>
    <x v="1289"/>
    <x v="1311"/>
    <x v="1291"/>
    <x v="1294"/>
    <x v="1292"/>
    <x v="1"/>
    <x v="0"/>
    <x v="0"/>
  </r>
  <r>
    <x v="1313"/>
    <x v="1296"/>
    <x v="450"/>
    <x v="156"/>
    <x v="1290"/>
    <x v="1312"/>
    <x v="1292"/>
    <x v="1295"/>
    <x v="1293"/>
    <x v="1"/>
    <x v="0"/>
    <x v="0"/>
  </r>
  <r>
    <x v="1314"/>
    <x v="1297"/>
    <x v="450"/>
    <x v="156"/>
    <x v="1291"/>
    <x v="1313"/>
    <x v="1293"/>
    <x v="1296"/>
    <x v="1294"/>
    <x v="1"/>
    <x v="0"/>
    <x v="0"/>
  </r>
  <r>
    <x v="1315"/>
    <x v="1298"/>
    <x v="451"/>
    <x v="156"/>
    <x v="1292"/>
    <x v="1314"/>
    <x v="1294"/>
    <x v="1297"/>
    <x v="1295"/>
    <x v="1"/>
    <x v="0"/>
    <x v="0"/>
  </r>
  <r>
    <x v="1316"/>
    <x v="1299"/>
    <x v="451"/>
    <x v="156"/>
    <x v="1293"/>
    <x v="1315"/>
    <x v="1295"/>
    <x v="1298"/>
    <x v="1296"/>
    <x v="1"/>
    <x v="0"/>
    <x v="0"/>
  </r>
  <r>
    <x v="1317"/>
    <x v="1300"/>
    <x v="450"/>
    <x v="156"/>
    <x v="1294"/>
    <x v="1316"/>
    <x v="1296"/>
    <x v="1299"/>
    <x v="1297"/>
    <x v="1"/>
    <x v="0"/>
    <x v="0"/>
  </r>
  <r>
    <x v="1318"/>
    <x v="1301"/>
    <x v="450"/>
    <x v="156"/>
    <x v="1295"/>
    <x v="1317"/>
    <x v="1297"/>
    <x v="1300"/>
    <x v="1298"/>
    <x v="1"/>
    <x v="0"/>
    <x v="0"/>
  </r>
  <r>
    <x v="1319"/>
    <x v="1302"/>
    <x v="452"/>
    <x v="157"/>
    <x v="1296"/>
    <x v="1318"/>
    <x v="1298"/>
    <x v="1301"/>
    <x v="1299"/>
    <x v="1"/>
    <x v="0"/>
    <x v="0"/>
  </r>
  <r>
    <x v="1320"/>
    <x v="1303"/>
    <x v="452"/>
    <x v="157"/>
    <x v="1297"/>
    <x v="1319"/>
    <x v="1299"/>
    <x v="1302"/>
    <x v="1300"/>
    <x v="1"/>
    <x v="0"/>
    <x v="0"/>
  </r>
  <r>
    <x v="1321"/>
    <x v="1304"/>
    <x v="453"/>
    <x v="157"/>
    <x v="1298"/>
    <x v="1320"/>
    <x v="1300"/>
    <x v="1303"/>
    <x v="1301"/>
    <x v="1"/>
    <x v="0"/>
    <x v="0"/>
  </r>
  <r>
    <x v="1322"/>
    <x v="1305"/>
    <x v="454"/>
    <x v="158"/>
    <x v="1299"/>
    <x v="1321"/>
    <x v="1301"/>
    <x v="1304"/>
    <x v="1302"/>
    <x v="1"/>
    <x v="0"/>
    <x v="0"/>
  </r>
  <r>
    <x v="1323"/>
    <x v="1306"/>
    <x v="454"/>
    <x v="158"/>
    <x v="1300"/>
    <x v="1322"/>
    <x v="1302"/>
    <x v="1305"/>
    <x v="1303"/>
    <x v="1"/>
    <x v="0"/>
    <x v="0"/>
  </r>
  <r>
    <x v="1324"/>
    <x v="1307"/>
    <x v="454"/>
    <x v="158"/>
    <x v="1301"/>
    <x v="1323"/>
    <x v="1303"/>
    <x v="1306"/>
    <x v="1304"/>
    <x v="1"/>
    <x v="0"/>
    <x v="0"/>
  </r>
  <r>
    <x v="1325"/>
    <x v="1308"/>
    <x v="454"/>
    <x v="158"/>
    <x v="1302"/>
    <x v="1324"/>
    <x v="1304"/>
    <x v="1307"/>
    <x v="1305"/>
    <x v="1"/>
    <x v="0"/>
    <x v="0"/>
  </r>
  <r>
    <x v="1326"/>
    <x v="1309"/>
    <x v="454"/>
    <x v="158"/>
    <x v="1303"/>
    <x v="1325"/>
    <x v="1305"/>
    <x v="1308"/>
    <x v="1306"/>
    <x v="1"/>
    <x v="0"/>
    <x v="0"/>
  </r>
  <r>
    <x v="1327"/>
    <x v="1310"/>
    <x v="454"/>
    <x v="158"/>
    <x v="1304"/>
    <x v="1326"/>
    <x v="1306"/>
    <x v="1309"/>
    <x v="1307"/>
    <x v="1"/>
    <x v="0"/>
    <x v="0"/>
  </r>
  <r>
    <x v="1328"/>
    <x v="1311"/>
    <x v="454"/>
    <x v="158"/>
    <x v="1305"/>
    <x v="1327"/>
    <x v="1307"/>
    <x v="1310"/>
    <x v="1308"/>
    <x v="1"/>
    <x v="0"/>
    <x v="0"/>
  </r>
  <r>
    <x v="1329"/>
    <x v="1312"/>
    <x v="454"/>
    <x v="158"/>
    <x v="1306"/>
    <x v="1328"/>
    <x v="1308"/>
    <x v="1311"/>
    <x v="1309"/>
    <x v="1"/>
    <x v="0"/>
    <x v="0"/>
  </r>
  <r>
    <x v="1330"/>
    <x v="1313"/>
    <x v="455"/>
    <x v="159"/>
    <x v="1307"/>
    <x v="1329"/>
    <x v="1309"/>
    <x v="1312"/>
    <x v="1310"/>
    <x v="1"/>
    <x v="0"/>
    <x v="0"/>
  </r>
  <r>
    <x v="1331"/>
    <x v="1314"/>
    <x v="455"/>
    <x v="159"/>
    <x v="1308"/>
    <x v="1330"/>
    <x v="1310"/>
    <x v="1313"/>
    <x v="1311"/>
    <x v="1"/>
    <x v="0"/>
    <x v="0"/>
  </r>
  <r>
    <x v="1332"/>
    <x v="1315"/>
    <x v="456"/>
    <x v="159"/>
    <x v="1309"/>
    <x v="1331"/>
    <x v="1311"/>
    <x v="1314"/>
    <x v="1312"/>
    <x v="1"/>
    <x v="0"/>
    <x v="0"/>
  </r>
  <r>
    <x v="1333"/>
    <x v="1316"/>
    <x v="455"/>
    <x v="159"/>
    <x v="1310"/>
    <x v="1332"/>
    <x v="1312"/>
    <x v="1315"/>
    <x v="1313"/>
    <x v="1"/>
    <x v="0"/>
    <x v="0"/>
  </r>
  <r>
    <x v="1334"/>
    <x v="1317"/>
    <x v="455"/>
    <x v="159"/>
    <x v="1311"/>
    <x v="1333"/>
    <x v="1313"/>
    <x v="1316"/>
    <x v="1314"/>
    <x v="1"/>
    <x v="0"/>
    <x v="0"/>
  </r>
  <r>
    <x v="1335"/>
    <x v="1318"/>
    <x v="455"/>
    <x v="159"/>
    <x v="1312"/>
    <x v="1334"/>
    <x v="1314"/>
    <x v="1317"/>
    <x v="1315"/>
    <x v="1"/>
    <x v="0"/>
    <x v="0"/>
  </r>
  <r>
    <x v="1336"/>
    <x v="1319"/>
    <x v="455"/>
    <x v="159"/>
    <x v="1313"/>
    <x v="1335"/>
    <x v="1315"/>
    <x v="1318"/>
    <x v="1316"/>
    <x v="1"/>
    <x v="0"/>
    <x v="0"/>
  </r>
  <r>
    <x v="1337"/>
    <x v="1320"/>
    <x v="455"/>
    <x v="159"/>
    <x v="1314"/>
    <x v="1336"/>
    <x v="1316"/>
    <x v="1319"/>
    <x v="1317"/>
    <x v="1"/>
    <x v="0"/>
    <x v="0"/>
  </r>
  <r>
    <x v="1338"/>
    <x v="1321"/>
    <x v="455"/>
    <x v="159"/>
    <x v="1315"/>
    <x v="1337"/>
    <x v="1317"/>
    <x v="1320"/>
    <x v="1318"/>
    <x v="1"/>
    <x v="0"/>
    <x v="0"/>
  </r>
  <r>
    <x v="1339"/>
    <x v="1322"/>
    <x v="455"/>
    <x v="159"/>
    <x v="1316"/>
    <x v="1338"/>
    <x v="1318"/>
    <x v="1321"/>
    <x v="1319"/>
    <x v="1"/>
    <x v="0"/>
    <x v="0"/>
  </r>
  <r>
    <x v="1340"/>
    <x v="1323"/>
    <x v="457"/>
    <x v="159"/>
    <x v="1317"/>
    <x v="1339"/>
    <x v="1319"/>
    <x v="1322"/>
    <x v="1320"/>
    <x v="1"/>
    <x v="0"/>
    <x v="0"/>
  </r>
  <r>
    <x v="1341"/>
    <x v="1324"/>
    <x v="455"/>
    <x v="159"/>
    <x v="1318"/>
    <x v="1340"/>
    <x v="1320"/>
    <x v="1323"/>
    <x v="1321"/>
    <x v="1"/>
    <x v="0"/>
    <x v="0"/>
  </r>
  <r>
    <x v="1342"/>
    <x v="1325"/>
    <x v="458"/>
    <x v="159"/>
    <x v="1319"/>
    <x v="1341"/>
    <x v="1321"/>
    <x v="1324"/>
    <x v="1322"/>
    <x v="1"/>
    <x v="0"/>
    <x v="0"/>
  </r>
  <r>
    <x v="1343"/>
    <x v="1326"/>
    <x v="459"/>
    <x v="160"/>
    <x v="1320"/>
    <x v="1342"/>
    <x v="1322"/>
    <x v="1325"/>
    <x v="1323"/>
    <x v="1"/>
    <x v="0"/>
    <x v="0"/>
  </r>
  <r>
    <x v="1344"/>
    <x v="1327"/>
    <x v="459"/>
    <x v="160"/>
    <x v="1321"/>
    <x v="1343"/>
    <x v="1323"/>
    <x v="1326"/>
    <x v="1324"/>
    <x v="1"/>
    <x v="0"/>
    <x v="0"/>
  </r>
  <r>
    <x v="1345"/>
    <x v="1328"/>
    <x v="460"/>
    <x v="160"/>
    <x v="1322"/>
    <x v="1344"/>
    <x v="1324"/>
    <x v="1327"/>
    <x v="1325"/>
    <x v="1"/>
    <x v="0"/>
    <x v="0"/>
  </r>
  <r>
    <x v="1346"/>
    <x v="1329"/>
    <x v="459"/>
    <x v="160"/>
    <x v="1323"/>
    <x v="1345"/>
    <x v="1325"/>
    <x v="1328"/>
    <x v="1326"/>
    <x v="1"/>
    <x v="0"/>
    <x v="0"/>
  </r>
  <r>
    <x v="1347"/>
    <x v="1330"/>
    <x v="461"/>
    <x v="160"/>
    <x v="1324"/>
    <x v="1346"/>
    <x v="1326"/>
    <x v="1329"/>
    <x v="1327"/>
    <x v="1"/>
    <x v="0"/>
    <x v="0"/>
  </r>
  <r>
    <x v="1348"/>
    <x v="1331"/>
    <x v="462"/>
    <x v="161"/>
    <x v="1325"/>
    <x v="1347"/>
    <x v="1327"/>
    <x v="1330"/>
    <x v="1328"/>
    <x v="1"/>
    <x v="0"/>
    <x v="0"/>
  </r>
  <r>
    <x v="1349"/>
    <x v="1332"/>
    <x v="463"/>
    <x v="161"/>
    <x v="1326"/>
    <x v="1348"/>
    <x v="1328"/>
    <x v="1331"/>
    <x v="1329"/>
    <x v="1"/>
    <x v="0"/>
    <x v="0"/>
  </r>
  <r>
    <x v="1350"/>
    <x v="1333"/>
    <x v="463"/>
    <x v="161"/>
    <x v="1327"/>
    <x v="1349"/>
    <x v="1329"/>
    <x v="1332"/>
    <x v="1330"/>
    <x v="1"/>
    <x v="0"/>
    <x v="0"/>
  </r>
  <r>
    <x v="1351"/>
    <x v="1334"/>
    <x v="462"/>
    <x v="161"/>
    <x v="1328"/>
    <x v="1350"/>
    <x v="1330"/>
    <x v="1333"/>
    <x v="1331"/>
    <x v="1"/>
    <x v="0"/>
    <x v="0"/>
  </r>
  <r>
    <x v="1352"/>
    <x v="1335"/>
    <x v="464"/>
    <x v="161"/>
    <x v="1329"/>
    <x v="1351"/>
    <x v="1331"/>
    <x v="1334"/>
    <x v="1332"/>
    <x v="1"/>
    <x v="0"/>
    <x v="0"/>
  </r>
  <r>
    <x v="1353"/>
    <x v="1336"/>
    <x v="465"/>
    <x v="162"/>
    <x v="1330"/>
    <x v="1352"/>
    <x v="1332"/>
    <x v="1335"/>
    <x v="1333"/>
    <x v="1"/>
    <x v="0"/>
    <x v="0"/>
  </r>
  <r>
    <x v="1354"/>
    <x v="1337"/>
    <x v="466"/>
    <x v="162"/>
    <x v="1331"/>
    <x v="1353"/>
    <x v="1333"/>
    <x v="1336"/>
    <x v="1334"/>
    <x v="1"/>
    <x v="0"/>
    <x v="0"/>
  </r>
  <r>
    <x v="1355"/>
    <x v="1338"/>
    <x v="465"/>
    <x v="162"/>
    <x v="1332"/>
    <x v="1354"/>
    <x v="1334"/>
    <x v="1337"/>
    <x v="1335"/>
    <x v="1"/>
    <x v="0"/>
    <x v="0"/>
  </r>
  <r>
    <x v="1356"/>
    <x v="1339"/>
    <x v="467"/>
    <x v="162"/>
    <x v="1333"/>
    <x v="1355"/>
    <x v="1335"/>
    <x v="1338"/>
    <x v="1336"/>
    <x v="1"/>
    <x v="0"/>
    <x v="0"/>
  </r>
  <r>
    <x v="1357"/>
    <x v="1340"/>
    <x v="467"/>
    <x v="162"/>
    <x v="1334"/>
    <x v="1356"/>
    <x v="1336"/>
    <x v="1339"/>
    <x v="1337"/>
    <x v="1"/>
    <x v="0"/>
    <x v="0"/>
  </r>
  <r>
    <x v="1358"/>
    <x v="1341"/>
    <x v="465"/>
    <x v="162"/>
    <x v="1335"/>
    <x v="1357"/>
    <x v="1337"/>
    <x v="1340"/>
    <x v="1338"/>
    <x v="1"/>
    <x v="0"/>
    <x v="0"/>
  </r>
  <r>
    <x v="1359"/>
    <x v="1342"/>
    <x v="468"/>
    <x v="162"/>
    <x v="1336"/>
    <x v="1358"/>
    <x v="1338"/>
    <x v="1341"/>
    <x v="1339"/>
    <x v="1"/>
    <x v="0"/>
    <x v="0"/>
  </r>
  <r>
    <x v="1360"/>
    <x v="1343"/>
    <x v="465"/>
    <x v="162"/>
    <x v="1337"/>
    <x v="1359"/>
    <x v="1339"/>
    <x v="1342"/>
    <x v="1340"/>
    <x v="1"/>
    <x v="0"/>
    <x v="0"/>
  </r>
  <r>
    <x v="1361"/>
    <x v="1344"/>
    <x v="465"/>
    <x v="162"/>
    <x v="1338"/>
    <x v="1360"/>
    <x v="1340"/>
    <x v="1343"/>
    <x v="1341"/>
    <x v="1"/>
    <x v="0"/>
    <x v="0"/>
  </r>
  <r>
    <x v="1362"/>
    <x v="1345"/>
    <x v="469"/>
    <x v="163"/>
    <x v="1339"/>
    <x v="1361"/>
    <x v="1341"/>
    <x v="1344"/>
    <x v="1342"/>
    <x v="1"/>
    <x v="0"/>
    <x v="0"/>
  </r>
  <r>
    <x v="1363"/>
    <x v="1346"/>
    <x v="469"/>
    <x v="163"/>
    <x v="1340"/>
    <x v="1362"/>
    <x v="1342"/>
    <x v="1345"/>
    <x v="1343"/>
    <x v="1"/>
    <x v="0"/>
    <x v="0"/>
  </r>
  <r>
    <x v="1364"/>
    <x v="1347"/>
    <x v="469"/>
    <x v="163"/>
    <x v="1341"/>
    <x v="1363"/>
    <x v="1343"/>
    <x v="1346"/>
    <x v="1344"/>
    <x v="1"/>
    <x v="0"/>
    <x v="0"/>
  </r>
  <r>
    <x v="1365"/>
    <x v="1348"/>
    <x v="470"/>
    <x v="163"/>
    <x v="1342"/>
    <x v="1364"/>
    <x v="1344"/>
    <x v="1347"/>
    <x v="1345"/>
    <x v="1"/>
    <x v="0"/>
    <x v="0"/>
  </r>
  <r>
    <x v="1366"/>
    <x v="1349"/>
    <x v="469"/>
    <x v="163"/>
    <x v="1343"/>
    <x v="1365"/>
    <x v="1345"/>
    <x v="1348"/>
    <x v="1346"/>
    <x v="1"/>
    <x v="0"/>
    <x v="0"/>
  </r>
  <r>
    <x v="1367"/>
    <x v="1350"/>
    <x v="471"/>
    <x v="164"/>
    <x v="1344"/>
    <x v="1366"/>
    <x v="1346"/>
    <x v="1349"/>
    <x v="1347"/>
    <x v="1"/>
    <x v="0"/>
    <x v="0"/>
  </r>
  <r>
    <x v="1368"/>
    <x v="1351"/>
    <x v="472"/>
    <x v="164"/>
    <x v="1345"/>
    <x v="1367"/>
    <x v="1347"/>
    <x v="1350"/>
    <x v="1348"/>
    <x v="1"/>
    <x v="0"/>
    <x v="0"/>
  </r>
  <r>
    <x v="1369"/>
    <x v="1352"/>
    <x v="472"/>
    <x v="164"/>
    <x v="1346"/>
    <x v="1368"/>
    <x v="1348"/>
    <x v="1351"/>
    <x v="1349"/>
    <x v="1"/>
    <x v="0"/>
    <x v="0"/>
  </r>
  <r>
    <x v="1370"/>
    <x v="1353"/>
    <x v="473"/>
    <x v="164"/>
    <x v="1347"/>
    <x v="1369"/>
    <x v="1349"/>
    <x v="1352"/>
    <x v="1350"/>
    <x v="1"/>
    <x v="0"/>
    <x v="0"/>
  </r>
  <r>
    <x v="1371"/>
    <x v="831"/>
    <x v="474"/>
    <x v="165"/>
    <x v="825"/>
    <x v="1370"/>
    <x v="1350"/>
    <x v="831"/>
    <x v="831"/>
    <x v="1"/>
    <x v="0"/>
    <x v="0"/>
  </r>
  <r>
    <x v="1372"/>
    <x v="1354"/>
    <x v="475"/>
    <x v="165"/>
    <x v="1348"/>
    <x v="1371"/>
    <x v="1351"/>
    <x v="1353"/>
    <x v="1351"/>
    <x v="1"/>
    <x v="0"/>
    <x v="0"/>
  </r>
  <r>
    <x v="1373"/>
    <x v="1355"/>
    <x v="475"/>
    <x v="165"/>
    <x v="1349"/>
    <x v="1372"/>
    <x v="1352"/>
    <x v="1354"/>
    <x v="1352"/>
    <x v="1"/>
    <x v="0"/>
    <x v="0"/>
  </r>
  <r>
    <x v="1374"/>
    <x v="1356"/>
    <x v="474"/>
    <x v="165"/>
    <x v="1350"/>
    <x v="1373"/>
    <x v="1353"/>
    <x v="1355"/>
    <x v="1353"/>
    <x v="1"/>
    <x v="0"/>
    <x v="0"/>
  </r>
  <r>
    <x v="1375"/>
    <x v="1357"/>
    <x v="476"/>
    <x v="165"/>
    <x v="1351"/>
    <x v="1374"/>
    <x v="1354"/>
    <x v="1356"/>
    <x v="1354"/>
    <x v="1"/>
    <x v="0"/>
    <x v="0"/>
  </r>
  <r>
    <x v="1376"/>
    <x v="1358"/>
    <x v="477"/>
    <x v="165"/>
    <x v="1352"/>
    <x v="1375"/>
    <x v="1355"/>
    <x v="1357"/>
    <x v="1355"/>
    <x v="1"/>
    <x v="0"/>
    <x v="0"/>
  </r>
  <r>
    <x v="1377"/>
    <x v="1359"/>
    <x v="477"/>
    <x v="165"/>
    <x v="1353"/>
    <x v="1376"/>
    <x v="1356"/>
    <x v="1358"/>
    <x v="1356"/>
    <x v="1"/>
    <x v="0"/>
    <x v="0"/>
  </r>
  <r>
    <x v="1378"/>
    <x v="1360"/>
    <x v="478"/>
    <x v="166"/>
    <x v="1354"/>
    <x v="1377"/>
    <x v="1357"/>
    <x v="1359"/>
    <x v="1357"/>
    <x v="1"/>
    <x v="0"/>
    <x v="0"/>
  </r>
  <r>
    <x v="1379"/>
    <x v="1361"/>
    <x v="478"/>
    <x v="166"/>
    <x v="1355"/>
    <x v="1378"/>
    <x v="1358"/>
    <x v="1360"/>
    <x v="1358"/>
    <x v="1"/>
    <x v="0"/>
    <x v="0"/>
  </r>
  <r>
    <x v="1380"/>
    <x v="1362"/>
    <x v="478"/>
    <x v="166"/>
    <x v="1356"/>
    <x v="1379"/>
    <x v="1359"/>
    <x v="1361"/>
    <x v="1359"/>
    <x v="1"/>
    <x v="0"/>
    <x v="0"/>
  </r>
  <r>
    <x v="1381"/>
    <x v="1363"/>
    <x v="478"/>
    <x v="166"/>
    <x v="1357"/>
    <x v="1380"/>
    <x v="1360"/>
    <x v="1362"/>
    <x v="1360"/>
    <x v="1"/>
    <x v="0"/>
    <x v="0"/>
  </r>
  <r>
    <x v="1382"/>
    <x v="1364"/>
    <x v="442"/>
    <x v="167"/>
    <x v="1358"/>
    <x v="1381"/>
    <x v="1361"/>
    <x v="1363"/>
    <x v="1361"/>
    <x v="1"/>
    <x v="0"/>
    <x v="0"/>
  </r>
  <r>
    <x v="1383"/>
    <x v="1365"/>
    <x v="479"/>
    <x v="167"/>
    <x v="1359"/>
    <x v="1382"/>
    <x v="1362"/>
    <x v="1364"/>
    <x v="1362"/>
    <x v="1"/>
    <x v="0"/>
    <x v="0"/>
  </r>
  <r>
    <x v="1384"/>
    <x v="1366"/>
    <x v="479"/>
    <x v="167"/>
    <x v="1360"/>
    <x v="1383"/>
    <x v="1363"/>
    <x v="1365"/>
    <x v="1363"/>
    <x v="1"/>
    <x v="0"/>
    <x v="0"/>
  </r>
  <r>
    <x v="1385"/>
    <x v="1367"/>
    <x v="479"/>
    <x v="167"/>
    <x v="1361"/>
    <x v="1384"/>
    <x v="1364"/>
    <x v="1366"/>
    <x v="1364"/>
    <x v="1"/>
    <x v="0"/>
    <x v="0"/>
  </r>
  <r>
    <x v="1386"/>
    <x v="1368"/>
    <x v="479"/>
    <x v="167"/>
    <x v="1362"/>
    <x v="1385"/>
    <x v="1365"/>
    <x v="1367"/>
    <x v="1365"/>
    <x v="1"/>
    <x v="0"/>
    <x v="0"/>
  </r>
  <r>
    <x v="1387"/>
    <x v="1369"/>
    <x v="480"/>
    <x v="168"/>
    <x v="1363"/>
    <x v="1386"/>
    <x v="1366"/>
    <x v="1368"/>
    <x v="1366"/>
    <x v="1"/>
    <x v="0"/>
    <x v="0"/>
  </r>
  <r>
    <x v="1388"/>
    <x v="1370"/>
    <x v="480"/>
    <x v="168"/>
    <x v="1364"/>
    <x v="1387"/>
    <x v="1367"/>
    <x v="1369"/>
    <x v="1367"/>
    <x v="1"/>
    <x v="0"/>
    <x v="0"/>
  </r>
  <r>
    <x v="1389"/>
    <x v="1371"/>
    <x v="481"/>
    <x v="168"/>
    <x v="1365"/>
    <x v="1388"/>
    <x v="1368"/>
    <x v="1370"/>
    <x v="1368"/>
    <x v="1"/>
    <x v="0"/>
    <x v="0"/>
  </r>
  <r>
    <x v="1390"/>
    <x v="1372"/>
    <x v="481"/>
    <x v="168"/>
    <x v="1366"/>
    <x v="1389"/>
    <x v="1369"/>
    <x v="1371"/>
    <x v="1369"/>
    <x v="1"/>
    <x v="0"/>
    <x v="0"/>
  </r>
  <r>
    <x v="1391"/>
    <x v="1373"/>
    <x v="482"/>
    <x v="168"/>
    <x v="1367"/>
    <x v="1390"/>
    <x v="1370"/>
    <x v="1372"/>
    <x v="1370"/>
    <x v="1"/>
    <x v="0"/>
    <x v="0"/>
  </r>
  <r>
    <x v="1392"/>
    <x v="1374"/>
    <x v="482"/>
    <x v="168"/>
    <x v="1368"/>
    <x v="1391"/>
    <x v="1371"/>
    <x v="1373"/>
    <x v="1371"/>
    <x v="1"/>
    <x v="0"/>
    <x v="0"/>
  </r>
  <r>
    <x v="1393"/>
    <x v="1375"/>
    <x v="482"/>
    <x v="168"/>
    <x v="1369"/>
    <x v="1392"/>
    <x v="1372"/>
    <x v="1374"/>
    <x v="1372"/>
    <x v="1"/>
    <x v="0"/>
    <x v="0"/>
  </r>
  <r>
    <x v="1394"/>
    <x v="1376"/>
    <x v="483"/>
    <x v="169"/>
    <x v="1370"/>
    <x v="1393"/>
    <x v="1373"/>
    <x v="1375"/>
    <x v="1373"/>
    <x v="1"/>
    <x v="0"/>
    <x v="0"/>
  </r>
  <r>
    <x v="1395"/>
    <x v="1377"/>
    <x v="483"/>
    <x v="169"/>
    <x v="1371"/>
    <x v="1394"/>
    <x v="1374"/>
    <x v="1376"/>
    <x v="1374"/>
    <x v="1"/>
    <x v="0"/>
    <x v="0"/>
  </r>
  <r>
    <x v="1396"/>
    <x v="1378"/>
    <x v="483"/>
    <x v="169"/>
    <x v="1372"/>
    <x v="1395"/>
    <x v="1375"/>
    <x v="1377"/>
    <x v="1375"/>
    <x v="1"/>
    <x v="0"/>
    <x v="0"/>
  </r>
  <r>
    <x v="1397"/>
    <x v="1379"/>
    <x v="483"/>
    <x v="169"/>
    <x v="1373"/>
    <x v="1396"/>
    <x v="1376"/>
    <x v="1378"/>
    <x v="1376"/>
    <x v="1"/>
    <x v="0"/>
    <x v="0"/>
  </r>
  <r>
    <x v="1398"/>
    <x v="1380"/>
    <x v="484"/>
    <x v="169"/>
    <x v="1374"/>
    <x v="1397"/>
    <x v="1377"/>
    <x v="1379"/>
    <x v="1377"/>
    <x v="1"/>
    <x v="0"/>
    <x v="0"/>
  </r>
  <r>
    <x v="1399"/>
    <x v="1381"/>
    <x v="484"/>
    <x v="169"/>
    <x v="1375"/>
    <x v="1398"/>
    <x v="1378"/>
    <x v="1380"/>
    <x v="1378"/>
    <x v="1"/>
    <x v="0"/>
    <x v="0"/>
  </r>
  <r>
    <x v="1400"/>
    <x v="1382"/>
    <x v="485"/>
    <x v="169"/>
    <x v="1376"/>
    <x v="1399"/>
    <x v="1379"/>
    <x v="1381"/>
    <x v="1379"/>
    <x v="1"/>
    <x v="0"/>
    <x v="0"/>
  </r>
  <r>
    <x v="1401"/>
    <x v="1383"/>
    <x v="485"/>
    <x v="169"/>
    <x v="1377"/>
    <x v="1400"/>
    <x v="1380"/>
    <x v="1382"/>
    <x v="1380"/>
    <x v="1"/>
    <x v="0"/>
    <x v="0"/>
  </r>
  <r>
    <x v="1402"/>
    <x v="1384"/>
    <x v="485"/>
    <x v="169"/>
    <x v="1378"/>
    <x v="1401"/>
    <x v="1381"/>
    <x v="1383"/>
    <x v="1381"/>
    <x v="1"/>
    <x v="0"/>
    <x v="0"/>
  </r>
  <r>
    <x v="1403"/>
    <x v="1234"/>
    <x v="485"/>
    <x v="169"/>
    <x v="1228"/>
    <x v="1402"/>
    <x v="1382"/>
    <x v="1233"/>
    <x v="1231"/>
    <x v="1"/>
    <x v="0"/>
    <x v="0"/>
  </r>
  <r>
    <x v="1404"/>
    <x v="1385"/>
    <x v="485"/>
    <x v="169"/>
    <x v="1379"/>
    <x v="1403"/>
    <x v="1383"/>
    <x v="1384"/>
    <x v="1382"/>
    <x v="1"/>
    <x v="0"/>
    <x v="0"/>
  </r>
  <r>
    <x v="1405"/>
    <x v="1386"/>
    <x v="486"/>
    <x v="169"/>
    <x v="1380"/>
    <x v="1404"/>
    <x v="1384"/>
    <x v="1385"/>
    <x v="1383"/>
    <x v="1"/>
    <x v="0"/>
    <x v="0"/>
  </r>
  <r>
    <x v="1406"/>
    <x v="1387"/>
    <x v="487"/>
    <x v="169"/>
    <x v="1381"/>
    <x v="1405"/>
    <x v="1385"/>
    <x v="1386"/>
    <x v="1384"/>
    <x v="1"/>
    <x v="0"/>
    <x v="0"/>
  </r>
  <r>
    <x v="1407"/>
    <x v="1388"/>
    <x v="488"/>
    <x v="169"/>
    <x v="1382"/>
    <x v="1406"/>
    <x v="1386"/>
    <x v="1387"/>
    <x v="1385"/>
    <x v="1"/>
    <x v="0"/>
    <x v="0"/>
  </r>
  <r>
    <x v="1408"/>
    <x v="1389"/>
    <x v="487"/>
    <x v="169"/>
    <x v="1383"/>
    <x v="1407"/>
    <x v="1387"/>
    <x v="1388"/>
    <x v="1386"/>
    <x v="1"/>
    <x v="0"/>
    <x v="0"/>
  </r>
  <r>
    <x v="1409"/>
    <x v="1390"/>
    <x v="487"/>
    <x v="169"/>
    <x v="1384"/>
    <x v="1408"/>
    <x v="1388"/>
    <x v="1389"/>
    <x v="1387"/>
    <x v="1"/>
    <x v="0"/>
    <x v="0"/>
  </r>
  <r>
    <x v="1410"/>
    <x v="1391"/>
    <x v="489"/>
    <x v="169"/>
    <x v="1385"/>
    <x v="1409"/>
    <x v="1389"/>
    <x v="1390"/>
    <x v="1388"/>
    <x v="1"/>
    <x v="0"/>
    <x v="0"/>
  </r>
  <r>
    <x v="1411"/>
    <x v="1392"/>
    <x v="490"/>
    <x v="169"/>
    <x v="1386"/>
    <x v="1410"/>
    <x v="1390"/>
    <x v="1391"/>
    <x v="1389"/>
    <x v="1"/>
    <x v="0"/>
    <x v="0"/>
  </r>
  <r>
    <x v="1412"/>
    <x v="1393"/>
    <x v="490"/>
    <x v="169"/>
    <x v="1387"/>
    <x v="1411"/>
    <x v="1391"/>
    <x v="1392"/>
    <x v="1390"/>
    <x v="1"/>
    <x v="0"/>
    <x v="0"/>
  </r>
  <r>
    <x v="1413"/>
    <x v="1394"/>
    <x v="490"/>
    <x v="169"/>
    <x v="1388"/>
    <x v="1412"/>
    <x v="1392"/>
    <x v="1393"/>
    <x v="1391"/>
    <x v="1"/>
    <x v="0"/>
    <x v="0"/>
  </r>
  <r>
    <x v="1414"/>
    <x v="1395"/>
    <x v="490"/>
    <x v="169"/>
    <x v="1389"/>
    <x v="1413"/>
    <x v="1393"/>
    <x v="1394"/>
    <x v="1392"/>
    <x v="1"/>
    <x v="0"/>
    <x v="0"/>
  </r>
  <r>
    <x v="1415"/>
    <x v="1396"/>
    <x v="491"/>
    <x v="169"/>
    <x v="1390"/>
    <x v="1414"/>
    <x v="1394"/>
    <x v="1395"/>
    <x v="350"/>
    <x v="1"/>
    <x v="0"/>
    <x v="0"/>
  </r>
  <r>
    <x v="1416"/>
    <x v="1397"/>
    <x v="491"/>
    <x v="169"/>
    <x v="1391"/>
    <x v="1415"/>
    <x v="1395"/>
    <x v="1396"/>
    <x v="1393"/>
    <x v="1"/>
    <x v="0"/>
    <x v="0"/>
  </r>
  <r>
    <x v="1417"/>
    <x v="1398"/>
    <x v="491"/>
    <x v="169"/>
    <x v="1392"/>
    <x v="1416"/>
    <x v="1396"/>
    <x v="1397"/>
    <x v="1394"/>
    <x v="1"/>
    <x v="0"/>
    <x v="0"/>
  </r>
  <r>
    <x v="1418"/>
    <x v="106"/>
    <x v="491"/>
    <x v="169"/>
    <x v="105"/>
    <x v="1417"/>
    <x v="1397"/>
    <x v="106"/>
    <x v="106"/>
    <x v="1"/>
    <x v="0"/>
    <x v="0"/>
  </r>
  <r>
    <x v="1419"/>
    <x v="1399"/>
    <x v="491"/>
    <x v="169"/>
    <x v="1393"/>
    <x v="1418"/>
    <x v="1398"/>
    <x v="1398"/>
    <x v="1395"/>
    <x v="1"/>
    <x v="0"/>
    <x v="0"/>
  </r>
  <r>
    <x v="1420"/>
    <x v="1400"/>
    <x v="492"/>
    <x v="170"/>
    <x v="1394"/>
    <x v="1419"/>
    <x v="1399"/>
    <x v="1399"/>
    <x v="1396"/>
    <x v="1"/>
    <x v="0"/>
    <x v="0"/>
  </r>
  <r>
    <x v="1421"/>
    <x v="1401"/>
    <x v="492"/>
    <x v="170"/>
    <x v="1395"/>
    <x v="1420"/>
    <x v="1400"/>
    <x v="1400"/>
    <x v="1397"/>
    <x v="1"/>
    <x v="0"/>
    <x v="0"/>
  </r>
  <r>
    <x v="1422"/>
    <x v="1402"/>
    <x v="492"/>
    <x v="170"/>
    <x v="1396"/>
    <x v="1421"/>
    <x v="1401"/>
    <x v="1401"/>
    <x v="1398"/>
    <x v="1"/>
    <x v="0"/>
    <x v="0"/>
  </r>
  <r>
    <x v="1423"/>
    <x v="1403"/>
    <x v="492"/>
    <x v="170"/>
    <x v="1397"/>
    <x v="1422"/>
    <x v="1402"/>
    <x v="1402"/>
    <x v="1399"/>
    <x v="1"/>
    <x v="0"/>
    <x v="0"/>
  </r>
  <r>
    <x v="1424"/>
    <x v="1404"/>
    <x v="492"/>
    <x v="170"/>
    <x v="1398"/>
    <x v="1423"/>
    <x v="1403"/>
    <x v="1403"/>
    <x v="1400"/>
    <x v="1"/>
    <x v="0"/>
    <x v="0"/>
  </r>
  <r>
    <x v="1425"/>
    <x v="1405"/>
    <x v="492"/>
    <x v="170"/>
    <x v="1399"/>
    <x v="1424"/>
    <x v="1404"/>
    <x v="1404"/>
    <x v="1401"/>
    <x v="1"/>
    <x v="0"/>
    <x v="0"/>
  </r>
  <r>
    <x v="1426"/>
    <x v="1406"/>
    <x v="493"/>
    <x v="171"/>
    <x v="1400"/>
    <x v="1425"/>
    <x v="382"/>
    <x v="1405"/>
    <x v="1402"/>
    <x v="1"/>
    <x v="0"/>
    <x v="0"/>
  </r>
  <r>
    <x v="1427"/>
    <x v="1407"/>
    <x v="494"/>
    <x v="171"/>
    <x v="1401"/>
    <x v="1426"/>
    <x v="1405"/>
    <x v="1406"/>
    <x v="1403"/>
    <x v="1"/>
    <x v="0"/>
    <x v="0"/>
  </r>
  <r>
    <x v="1428"/>
    <x v="1408"/>
    <x v="493"/>
    <x v="171"/>
    <x v="1402"/>
    <x v="1427"/>
    <x v="1406"/>
    <x v="1407"/>
    <x v="1404"/>
    <x v="1"/>
    <x v="0"/>
    <x v="0"/>
  </r>
  <r>
    <x v="1429"/>
    <x v="1409"/>
    <x v="493"/>
    <x v="171"/>
    <x v="1403"/>
    <x v="1428"/>
    <x v="1407"/>
    <x v="1408"/>
    <x v="1405"/>
    <x v="1"/>
    <x v="0"/>
    <x v="0"/>
  </r>
  <r>
    <x v="1430"/>
    <x v="1410"/>
    <x v="495"/>
    <x v="171"/>
    <x v="1404"/>
    <x v="1429"/>
    <x v="1408"/>
    <x v="1409"/>
    <x v="1406"/>
    <x v="1"/>
    <x v="0"/>
    <x v="0"/>
  </r>
  <r>
    <x v="1431"/>
    <x v="1411"/>
    <x v="496"/>
    <x v="171"/>
    <x v="1405"/>
    <x v="1430"/>
    <x v="1409"/>
    <x v="1410"/>
    <x v="1407"/>
    <x v="1"/>
    <x v="0"/>
    <x v="0"/>
  </r>
  <r>
    <x v="1432"/>
    <x v="1412"/>
    <x v="493"/>
    <x v="171"/>
    <x v="1406"/>
    <x v="1431"/>
    <x v="1410"/>
    <x v="1411"/>
    <x v="1408"/>
    <x v="1"/>
    <x v="0"/>
    <x v="0"/>
  </r>
  <r>
    <x v="1433"/>
    <x v="1413"/>
    <x v="493"/>
    <x v="171"/>
    <x v="1407"/>
    <x v="1432"/>
    <x v="1411"/>
    <x v="1412"/>
    <x v="1409"/>
    <x v="1"/>
    <x v="0"/>
    <x v="0"/>
  </r>
  <r>
    <x v="1434"/>
    <x v="1414"/>
    <x v="497"/>
    <x v="172"/>
    <x v="1408"/>
    <x v="1433"/>
    <x v="1412"/>
    <x v="1413"/>
    <x v="1410"/>
    <x v="1"/>
    <x v="0"/>
    <x v="0"/>
  </r>
  <r>
    <x v="1435"/>
    <x v="1415"/>
    <x v="498"/>
    <x v="172"/>
    <x v="1409"/>
    <x v="1434"/>
    <x v="1413"/>
    <x v="1414"/>
    <x v="1411"/>
    <x v="1"/>
    <x v="0"/>
    <x v="0"/>
  </r>
  <r>
    <x v="1436"/>
    <x v="1416"/>
    <x v="497"/>
    <x v="172"/>
    <x v="1410"/>
    <x v="1435"/>
    <x v="1414"/>
    <x v="1415"/>
    <x v="1412"/>
    <x v="1"/>
    <x v="0"/>
    <x v="0"/>
  </r>
  <r>
    <x v="1437"/>
    <x v="1417"/>
    <x v="497"/>
    <x v="172"/>
    <x v="1411"/>
    <x v="1436"/>
    <x v="1415"/>
    <x v="1416"/>
    <x v="1413"/>
    <x v="1"/>
    <x v="0"/>
    <x v="0"/>
  </r>
  <r>
    <x v="1438"/>
    <x v="1418"/>
    <x v="497"/>
    <x v="172"/>
    <x v="1412"/>
    <x v="1437"/>
    <x v="1416"/>
    <x v="1417"/>
    <x v="1414"/>
    <x v="1"/>
    <x v="0"/>
    <x v="0"/>
  </r>
  <r>
    <x v="1439"/>
    <x v="1419"/>
    <x v="497"/>
    <x v="172"/>
    <x v="1413"/>
    <x v="1438"/>
    <x v="1417"/>
    <x v="1418"/>
    <x v="1415"/>
    <x v="1"/>
    <x v="0"/>
    <x v="0"/>
  </r>
  <r>
    <x v="1440"/>
    <x v="1420"/>
    <x v="499"/>
    <x v="173"/>
    <x v="1414"/>
    <x v="1439"/>
    <x v="1418"/>
    <x v="1419"/>
    <x v="1416"/>
    <x v="1"/>
    <x v="0"/>
    <x v="0"/>
  </r>
  <r>
    <x v="1441"/>
    <x v="1421"/>
    <x v="500"/>
    <x v="173"/>
    <x v="1415"/>
    <x v="1440"/>
    <x v="1419"/>
    <x v="1420"/>
    <x v="1417"/>
    <x v="1"/>
    <x v="0"/>
    <x v="0"/>
  </r>
  <r>
    <x v="1442"/>
    <x v="1422"/>
    <x v="500"/>
    <x v="173"/>
    <x v="1416"/>
    <x v="1441"/>
    <x v="1420"/>
    <x v="1421"/>
    <x v="1418"/>
    <x v="1"/>
    <x v="0"/>
    <x v="0"/>
  </r>
  <r>
    <x v="1443"/>
    <x v="1423"/>
    <x v="500"/>
    <x v="173"/>
    <x v="1417"/>
    <x v="1442"/>
    <x v="1421"/>
    <x v="1422"/>
    <x v="1419"/>
    <x v="1"/>
    <x v="0"/>
    <x v="0"/>
  </r>
  <r>
    <x v="1444"/>
    <x v="1424"/>
    <x v="500"/>
    <x v="173"/>
    <x v="1418"/>
    <x v="1443"/>
    <x v="1422"/>
    <x v="1423"/>
    <x v="1420"/>
    <x v="1"/>
    <x v="0"/>
    <x v="0"/>
  </r>
  <r>
    <x v="1445"/>
    <x v="1425"/>
    <x v="500"/>
    <x v="173"/>
    <x v="1419"/>
    <x v="1444"/>
    <x v="1423"/>
    <x v="1424"/>
    <x v="1421"/>
    <x v="1"/>
    <x v="0"/>
    <x v="0"/>
  </r>
  <r>
    <x v="1446"/>
    <x v="1426"/>
    <x v="500"/>
    <x v="173"/>
    <x v="1420"/>
    <x v="1445"/>
    <x v="1424"/>
    <x v="1425"/>
    <x v="1422"/>
    <x v="1"/>
    <x v="0"/>
    <x v="0"/>
  </r>
  <r>
    <x v="1447"/>
    <x v="1427"/>
    <x v="500"/>
    <x v="173"/>
    <x v="1421"/>
    <x v="1446"/>
    <x v="1425"/>
    <x v="1426"/>
    <x v="1423"/>
    <x v="1"/>
    <x v="0"/>
    <x v="0"/>
  </r>
  <r>
    <x v="1448"/>
    <x v="1428"/>
    <x v="501"/>
    <x v="173"/>
    <x v="1422"/>
    <x v="1447"/>
    <x v="1426"/>
    <x v="1427"/>
    <x v="1424"/>
    <x v="1"/>
    <x v="0"/>
    <x v="0"/>
  </r>
  <r>
    <x v="1449"/>
    <x v="1429"/>
    <x v="502"/>
    <x v="174"/>
    <x v="1423"/>
    <x v="1448"/>
    <x v="1427"/>
    <x v="1428"/>
    <x v="1425"/>
    <x v="1"/>
    <x v="0"/>
    <x v="0"/>
  </r>
  <r>
    <x v="1450"/>
    <x v="1430"/>
    <x v="503"/>
    <x v="174"/>
    <x v="1424"/>
    <x v="1449"/>
    <x v="1428"/>
    <x v="1429"/>
    <x v="1426"/>
    <x v="1"/>
    <x v="0"/>
    <x v="0"/>
  </r>
  <r>
    <x v="1451"/>
    <x v="1431"/>
    <x v="502"/>
    <x v="174"/>
    <x v="1425"/>
    <x v="1450"/>
    <x v="1429"/>
    <x v="1430"/>
    <x v="1427"/>
    <x v="1"/>
    <x v="0"/>
    <x v="0"/>
  </r>
  <r>
    <x v="1452"/>
    <x v="1432"/>
    <x v="502"/>
    <x v="174"/>
    <x v="1426"/>
    <x v="1451"/>
    <x v="1430"/>
    <x v="1431"/>
    <x v="1428"/>
    <x v="1"/>
    <x v="0"/>
    <x v="0"/>
  </r>
  <r>
    <x v="1453"/>
    <x v="1433"/>
    <x v="504"/>
    <x v="175"/>
    <x v="1427"/>
    <x v="1452"/>
    <x v="1431"/>
    <x v="1432"/>
    <x v="1429"/>
    <x v="1"/>
    <x v="0"/>
    <x v="0"/>
  </r>
  <r>
    <x v="1454"/>
    <x v="1434"/>
    <x v="505"/>
    <x v="175"/>
    <x v="1428"/>
    <x v="1453"/>
    <x v="1432"/>
    <x v="1433"/>
    <x v="1430"/>
    <x v="1"/>
    <x v="0"/>
    <x v="0"/>
  </r>
  <r>
    <x v="1455"/>
    <x v="1435"/>
    <x v="504"/>
    <x v="175"/>
    <x v="1429"/>
    <x v="1454"/>
    <x v="1433"/>
    <x v="1434"/>
    <x v="1431"/>
    <x v="1"/>
    <x v="0"/>
    <x v="0"/>
  </r>
  <r>
    <x v="1456"/>
    <x v="1436"/>
    <x v="506"/>
    <x v="175"/>
    <x v="1430"/>
    <x v="1455"/>
    <x v="1434"/>
    <x v="1435"/>
    <x v="1432"/>
    <x v="1"/>
    <x v="0"/>
    <x v="0"/>
  </r>
  <r>
    <x v="1457"/>
    <x v="1437"/>
    <x v="507"/>
    <x v="175"/>
    <x v="1431"/>
    <x v="1456"/>
    <x v="1435"/>
    <x v="1436"/>
    <x v="1433"/>
    <x v="1"/>
    <x v="0"/>
    <x v="0"/>
  </r>
  <r>
    <x v="1458"/>
    <x v="1063"/>
    <x v="508"/>
    <x v="176"/>
    <x v="1057"/>
    <x v="1457"/>
    <x v="1436"/>
    <x v="1063"/>
    <x v="1062"/>
    <x v="1"/>
    <x v="0"/>
    <x v="0"/>
  </r>
  <r>
    <x v="1459"/>
    <x v="1438"/>
    <x v="508"/>
    <x v="176"/>
    <x v="1432"/>
    <x v="1458"/>
    <x v="1437"/>
    <x v="1437"/>
    <x v="1434"/>
    <x v="1"/>
    <x v="0"/>
    <x v="0"/>
  </r>
  <r>
    <x v="1460"/>
    <x v="218"/>
    <x v="508"/>
    <x v="176"/>
    <x v="217"/>
    <x v="1459"/>
    <x v="1438"/>
    <x v="218"/>
    <x v="218"/>
    <x v="1"/>
    <x v="0"/>
    <x v="0"/>
  </r>
  <r>
    <x v="1461"/>
    <x v="1439"/>
    <x v="508"/>
    <x v="176"/>
    <x v="1433"/>
    <x v="1460"/>
    <x v="1439"/>
    <x v="1438"/>
    <x v="1435"/>
    <x v="1"/>
    <x v="0"/>
    <x v="0"/>
  </r>
  <r>
    <x v="1462"/>
    <x v="1440"/>
    <x v="508"/>
    <x v="176"/>
    <x v="1434"/>
    <x v="1461"/>
    <x v="1440"/>
    <x v="1439"/>
    <x v="1436"/>
    <x v="1"/>
    <x v="0"/>
    <x v="0"/>
  </r>
  <r>
    <x v="1463"/>
    <x v="1441"/>
    <x v="509"/>
    <x v="176"/>
    <x v="1435"/>
    <x v="1462"/>
    <x v="1441"/>
    <x v="1440"/>
    <x v="1437"/>
    <x v="1"/>
    <x v="0"/>
    <x v="0"/>
  </r>
  <r>
    <x v="1464"/>
    <x v="1442"/>
    <x v="510"/>
    <x v="177"/>
    <x v="1436"/>
    <x v="1463"/>
    <x v="1442"/>
    <x v="1441"/>
    <x v="1438"/>
    <x v="1"/>
    <x v="0"/>
    <x v="0"/>
  </r>
  <r>
    <x v="1465"/>
    <x v="1443"/>
    <x v="510"/>
    <x v="177"/>
    <x v="1437"/>
    <x v="1464"/>
    <x v="1443"/>
    <x v="1442"/>
    <x v="1439"/>
    <x v="1"/>
    <x v="0"/>
    <x v="0"/>
  </r>
  <r>
    <x v="1466"/>
    <x v="1444"/>
    <x v="511"/>
    <x v="177"/>
    <x v="1438"/>
    <x v="1465"/>
    <x v="1444"/>
    <x v="1443"/>
    <x v="1440"/>
    <x v="1"/>
    <x v="0"/>
    <x v="0"/>
  </r>
  <r>
    <x v="1467"/>
    <x v="1445"/>
    <x v="512"/>
    <x v="177"/>
    <x v="1439"/>
    <x v="1466"/>
    <x v="1445"/>
    <x v="1444"/>
    <x v="1441"/>
    <x v="1"/>
    <x v="0"/>
    <x v="0"/>
  </r>
  <r>
    <x v="1468"/>
    <x v="1446"/>
    <x v="511"/>
    <x v="177"/>
    <x v="1440"/>
    <x v="1467"/>
    <x v="1446"/>
    <x v="1445"/>
    <x v="1442"/>
    <x v="1"/>
    <x v="0"/>
    <x v="0"/>
  </r>
  <r>
    <x v="1469"/>
    <x v="1447"/>
    <x v="513"/>
    <x v="178"/>
    <x v="1441"/>
    <x v="1468"/>
    <x v="1447"/>
    <x v="1446"/>
    <x v="1443"/>
    <x v="1"/>
    <x v="0"/>
    <x v="0"/>
  </r>
  <r>
    <x v="1470"/>
    <x v="1448"/>
    <x v="514"/>
    <x v="178"/>
    <x v="1442"/>
    <x v="1469"/>
    <x v="1448"/>
    <x v="1447"/>
    <x v="1444"/>
    <x v="1"/>
    <x v="0"/>
    <x v="0"/>
  </r>
  <r>
    <x v="1471"/>
    <x v="1449"/>
    <x v="514"/>
    <x v="178"/>
    <x v="1443"/>
    <x v="1470"/>
    <x v="1449"/>
    <x v="1448"/>
    <x v="1445"/>
    <x v="1"/>
    <x v="0"/>
    <x v="0"/>
  </r>
  <r>
    <x v="1472"/>
    <x v="1450"/>
    <x v="515"/>
    <x v="178"/>
    <x v="1444"/>
    <x v="1471"/>
    <x v="1450"/>
    <x v="1449"/>
    <x v="1446"/>
    <x v="1"/>
    <x v="0"/>
    <x v="0"/>
  </r>
  <r>
    <x v="1473"/>
    <x v="1451"/>
    <x v="513"/>
    <x v="178"/>
    <x v="1445"/>
    <x v="1472"/>
    <x v="1451"/>
    <x v="1450"/>
    <x v="1447"/>
    <x v="1"/>
    <x v="0"/>
    <x v="0"/>
  </r>
  <r>
    <x v="1474"/>
    <x v="1452"/>
    <x v="513"/>
    <x v="178"/>
    <x v="1446"/>
    <x v="1473"/>
    <x v="1452"/>
    <x v="1451"/>
    <x v="1448"/>
    <x v="1"/>
    <x v="0"/>
    <x v="0"/>
  </r>
  <r>
    <x v="1475"/>
    <x v="1453"/>
    <x v="516"/>
    <x v="178"/>
    <x v="1447"/>
    <x v="1474"/>
    <x v="1453"/>
    <x v="1452"/>
    <x v="1449"/>
    <x v="1"/>
    <x v="0"/>
    <x v="0"/>
  </r>
  <r>
    <x v="1476"/>
    <x v="1454"/>
    <x v="515"/>
    <x v="178"/>
    <x v="1448"/>
    <x v="1475"/>
    <x v="1454"/>
    <x v="1453"/>
    <x v="1450"/>
    <x v="1"/>
    <x v="0"/>
    <x v="0"/>
  </r>
  <r>
    <x v="1477"/>
    <x v="1455"/>
    <x v="515"/>
    <x v="178"/>
    <x v="1449"/>
    <x v="1476"/>
    <x v="1455"/>
    <x v="1454"/>
    <x v="1451"/>
    <x v="1"/>
    <x v="0"/>
    <x v="0"/>
  </r>
  <r>
    <x v="1478"/>
    <x v="1456"/>
    <x v="517"/>
    <x v="178"/>
    <x v="1450"/>
    <x v="1477"/>
    <x v="1456"/>
    <x v="1455"/>
    <x v="1452"/>
    <x v="1"/>
    <x v="0"/>
    <x v="0"/>
  </r>
  <r>
    <x v="1479"/>
    <x v="1457"/>
    <x v="518"/>
    <x v="178"/>
    <x v="1451"/>
    <x v="1478"/>
    <x v="1457"/>
    <x v="1456"/>
    <x v="1453"/>
    <x v="1"/>
    <x v="0"/>
    <x v="0"/>
  </r>
  <r>
    <x v="1480"/>
    <x v="1458"/>
    <x v="517"/>
    <x v="178"/>
    <x v="1452"/>
    <x v="1479"/>
    <x v="1458"/>
    <x v="1457"/>
    <x v="1454"/>
    <x v="1"/>
    <x v="0"/>
    <x v="0"/>
  </r>
  <r>
    <x v="1481"/>
    <x v="1459"/>
    <x v="519"/>
    <x v="179"/>
    <x v="1453"/>
    <x v="1480"/>
    <x v="1459"/>
    <x v="1458"/>
    <x v="1455"/>
    <x v="1"/>
    <x v="0"/>
    <x v="0"/>
  </r>
  <r>
    <x v="1482"/>
    <x v="1460"/>
    <x v="520"/>
    <x v="180"/>
    <x v="1454"/>
    <x v="1481"/>
    <x v="1460"/>
    <x v="1459"/>
    <x v="1456"/>
    <x v="1"/>
    <x v="0"/>
    <x v="0"/>
  </r>
  <r>
    <x v="1483"/>
    <x v="1461"/>
    <x v="521"/>
    <x v="180"/>
    <x v="1455"/>
    <x v="1482"/>
    <x v="1461"/>
    <x v="1460"/>
    <x v="1457"/>
    <x v="1"/>
    <x v="0"/>
    <x v="0"/>
  </r>
  <r>
    <x v="1484"/>
    <x v="1462"/>
    <x v="521"/>
    <x v="180"/>
    <x v="1456"/>
    <x v="1483"/>
    <x v="1462"/>
    <x v="1461"/>
    <x v="1458"/>
    <x v="1"/>
    <x v="0"/>
    <x v="0"/>
  </r>
  <r>
    <x v="1485"/>
    <x v="1463"/>
    <x v="522"/>
    <x v="180"/>
    <x v="1457"/>
    <x v="1484"/>
    <x v="1463"/>
    <x v="1462"/>
    <x v="1459"/>
    <x v="1"/>
    <x v="0"/>
    <x v="0"/>
  </r>
  <r>
    <x v="1486"/>
    <x v="1464"/>
    <x v="523"/>
    <x v="181"/>
    <x v="1458"/>
    <x v="1485"/>
    <x v="1464"/>
    <x v="1463"/>
    <x v="1460"/>
    <x v="1"/>
    <x v="0"/>
    <x v="0"/>
  </r>
  <r>
    <x v="1487"/>
    <x v="1465"/>
    <x v="523"/>
    <x v="181"/>
    <x v="1459"/>
    <x v="1486"/>
    <x v="1465"/>
    <x v="1464"/>
    <x v="1461"/>
    <x v="1"/>
    <x v="0"/>
    <x v="0"/>
  </r>
  <r>
    <x v="1488"/>
    <x v="1466"/>
    <x v="524"/>
    <x v="181"/>
    <x v="1460"/>
    <x v="1487"/>
    <x v="1466"/>
    <x v="1465"/>
    <x v="1462"/>
    <x v="1"/>
    <x v="0"/>
    <x v="0"/>
  </r>
  <r>
    <x v="1489"/>
    <x v="1467"/>
    <x v="523"/>
    <x v="181"/>
    <x v="1461"/>
    <x v="1488"/>
    <x v="1467"/>
    <x v="1466"/>
    <x v="1463"/>
    <x v="1"/>
    <x v="0"/>
    <x v="0"/>
  </r>
  <r>
    <x v="1490"/>
    <x v="1468"/>
    <x v="523"/>
    <x v="181"/>
    <x v="1462"/>
    <x v="1489"/>
    <x v="1468"/>
    <x v="1467"/>
    <x v="1464"/>
    <x v="1"/>
    <x v="0"/>
    <x v="0"/>
  </r>
  <r>
    <x v="1491"/>
    <x v="1469"/>
    <x v="525"/>
    <x v="181"/>
    <x v="1463"/>
    <x v="1490"/>
    <x v="1469"/>
    <x v="1468"/>
    <x v="1465"/>
    <x v="1"/>
    <x v="0"/>
    <x v="0"/>
  </r>
  <r>
    <x v="1492"/>
    <x v="1470"/>
    <x v="525"/>
    <x v="181"/>
    <x v="1464"/>
    <x v="1491"/>
    <x v="1470"/>
    <x v="1469"/>
    <x v="1466"/>
    <x v="1"/>
    <x v="0"/>
    <x v="0"/>
  </r>
  <r>
    <x v="1493"/>
    <x v="1471"/>
    <x v="523"/>
    <x v="181"/>
    <x v="1465"/>
    <x v="1492"/>
    <x v="1471"/>
    <x v="1470"/>
    <x v="1467"/>
    <x v="1"/>
    <x v="0"/>
    <x v="0"/>
  </r>
  <r>
    <x v="1494"/>
    <x v="1472"/>
    <x v="526"/>
    <x v="182"/>
    <x v="1466"/>
    <x v="1493"/>
    <x v="1472"/>
    <x v="1471"/>
    <x v="1468"/>
    <x v="1"/>
    <x v="0"/>
    <x v="0"/>
  </r>
  <r>
    <x v="1495"/>
    <x v="1473"/>
    <x v="526"/>
    <x v="182"/>
    <x v="1467"/>
    <x v="1494"/>
    <x v="1473"/>
    <x v="1472"/>
    <x v="1469"/>
    <x v="1"/>
    <x v="0"/>
    <x v="0"/>
  </r>
  <r>
    <x v="1496"/>
    <x v="1474"/>
    <x v="527"/>
    <x v="182"/>
    <x v="1468"/>
    <x v="1495"/>
    <x v="1474"/>
    <x v="1473"/>
    <x v="1470"/>
    <x v="1"/>
    <x v="0"/>
    <x v="0"/>
  </r>
  <r>
    <x v="1497"/>
    <x v="1475"/>
    <x v="527"/>
    <x v="182"/>
    <x v="1469"/>
    <x v="1496"/>
    <x v="1475"/>
    <x v="1474"/>
    <x v="1471"/>
    <x v="1"/>
    <x v="0"/>
    <x v="0"/>
  </r>
  <r>
    <x v="1498"/>
    <x v="1476"/>
    <x v="528"/>
    <x v="183"/>
    <x v="1470"/>
    <x v="1497"/>
    <x v="1476"/>
    <x v="1475"/>
    <x v="1472"/>
    <x v="1"/>
    <x v="0"/>
    <x v="0"/>
  </r>
  <r>
    <x v="1499"/>
    <x v="1477"/>
    <x v="528"/>
    <x v="183"/>
    <x v="1471"/>
    <x v="1498"/>
    <x v="1477"/>
    <x v="1476"/>
    <x v="1473"/>
    <x v="1"/>
    <x v="0"/>
    <x v="0"/>
  </r>
  <r>
    <x v="1500"/>
    <x v="1478"/>
    <x v="528"/>
    <x v="183"/>
    <x v="1472"/>
    <x v="1499"/>
    <x v="1478"/>
    <x v="1477"/>
    <x v="1474"/>
    <x v="1"/>
    <x v="0"/>
    <x v="0"/>
  </r>
  <r>
    <x v="1501"/>
    <x v="1479"/>
    <x v="528"/>
    <x v="183"/>
    <x v="1473"/>
    <x v="1500"/>
    <x v="1479"/>
    <x v="1478"/>
    <x v="1475"/>
    <x v="1"/>
    <x v="0"/>
    <x v="0"/>
  </r>
  <r>
    <x v="1502"/>
    <x v="1480"/>
    <x v="528"/>
    <x v="183"/>
    <x v="1474"/>
    <x v="1501"/>
    <x v="1480"/>
    <x v="1479"/>
    <x v="1476"/>
    <x v="1"/>
    <x v="0"/>
    <x v="0"/>
  </r>
  <r>
    <x v="1503"/>
    <x v="1481"/>
    <x v="528"/>
    <x v="183"/>
    <x v="1475"/>
    <x v="1502"/>
    <x v="1481"/>
    <x v="1480"/>
    <x v="1477"/>
    <x v="1"/>
    <x v="0"/>
    <x v="0"/>
  </r>
  <r>
    <x v="1504"/>
    <x v="1482"/>
    <x v="528"/>
    <x v="183"/>
    <x v="1476"/>
    <x v="1503"/>
    <x v="1482"/>
    <x v="1481"/>
    <x v="1478"/>
    <x v="1"/>
    <x v="0"/>
    <x v="0"/>
  </r>
  <r>
    <x v="1505"/>
    <x v="1483"/>
    <x v="528"/>
    <x v="183"/>
    <x v="1477"/>
    <x v="1504"/>
    <x v="1483"/>
    <x v="1482"/>
    <x v="1479"/>
    <x v="1"/>
    <x v="0"/>
    <x v="0"/>
  </r>
  <r>
    <x v="1506"/>
    <x v="1484"/>
    <x v="529"/>
    <x v="184"/>
    <x v="1478"/>
    <x v="1505"/>
    <x v="1484"/>
    <x v="1483"/>
    <x v="1480"/>
    <x v="1"/>
    <x v="0"/>
    <x v="0"/>
  </r>
  <r>
    <x v="1507"/>
    <x v="1485"/>
    <x v="529"/>
    <x v="184"/>
    <x v="1479"/>
    <x v="1506"/>
    <x v="1485"/>
    <x v="1484"/>
    <x v="1481"/>
    <x v="1"/>
    <x v="0"/>
    <x v="0"/>
  </r>
  <r>
    <x v="1508"/>
    <x v="1486"/>
    <x v="529"/>
    <x v="184"/>
    <x v="1480"/>
    <x v="1507"/>
    <x v="1486"/>
    <x v="1485"/>
    <x v="1482"/>
    <x v="1"/>
    <x v="0"/>
    <x v="0"/>
  </r>
  <r>
    <x v="1509"/>
    <x v="1487"/>
    <x v="529"/>
    <x v="184"/>
    <x v="1481"/>
    <x v="1508"/>
    <x v="1487"/>
    <x v="1486"/>
    <x v="1483"/>
    <x v="1"/>
    <x v="0"/>
    <x v="0"/>
  </r>
  <r>
    <x v="1510"/>
    <x v="1488"/>
    <x v="529"/>
    <x v="184"/>
    <x v="1482"/>
    <x v="1509"/>
    <x v="1488"/>
    <x v="1487"/>
    <x v="1484"/>
    <x v="1"/>
    <x v="0"/>
    <x v="0"/>
  </r>
  <r>
    <x v="1511"/>
    <x v="1489"/>
    <x v="529"/>
    <x v="184"/>
    <x v="1483"/>
    <x v="1510"/>
    <x v="1489"/>
    <x v="1488"/>
    <x v="1485"/>
    <x v="1"/>
    <x v="0"/>
    <x v="0"/>
  </r>
  <r>
    <x v="1512"/>
    <x v="1490"/>
    <x v="529"/>
    <x v="184"/>
    <x v="1484"/>
    <x v="1511"/>
    <x v="1490"/>
    <x v="1489"/>
    <x v="1486"/>
    <x v="1"/>
    <x v="0"/>
    <x v="0"/>
  </r>
  <r>
    <x v="1513"/>
    <x v="1491"/>
    <x v="529"/>
    <x v="184"/>
    <x v="1485"/>
    <x v="1512"/>
    <x v="1491"/>
    <x v="1490"/>
    <x v="1487"/>
    <x v="1"/>
    <x v="0"/>
    <x v="0"/>
  </r>
  <r>
    <x v="1514"/>
    <x v="1492"/>
    <x v="529"/>
    <x v="184"/>
    <x v="1486"/>
    <x v="1513"/>
    <x v="1492"/>
    <x v="1491"/>
    <x v="1488"/>
    <x v="1"/>
    <x v="0"/>
    <x v="0"/>
  </r>
  <r>
    <x v="1515"/>
    <x v="1493"/>
    <x v="529"/>
    <x v="184"/>
    <x v="1487"/>
    <x v="1514"/>
    <x v="1493"/>
    <x v="1492"/>
    <x v="1489"/>
    <x v="1"/>
    <x v="0"/>
    <x v="0"/>
  </r>
  <r>
    <x v="1516"/>
    <x v="1494"/>
    <x v="530"/>
    <x v="185"/>
    <x v="1488"/>
    <x v="1515"/>
    <x v="1494"/>
    <x v="1493"/>
    <x v="1490"/>
    <x v="1"/>
    <x v="0"/>
    <x v="0"/>
  </r>
  <r>
    <x v="1517"/>
    <x v="1495"/>
    <x v="530"/>
    <x v="185"/>
    <x v="1489"/>
    <x v="1516"/>
    <x v="1495"/>
    <x v="1494"/>
    <x v="1491"/>
    <x v="1"/>
    <x v="0"/>
    <x v="0"/>
  </r>
  <r>
    <x v="1518"/>
    <x v="353"/>
    <x v="530"/>
    <x v="185"/>
    <x v="352"/>
    <x v="1517"/>
    <x v="1496"/>
    <x v="353"/>
    <x v="353"/>
    <x v="1"/>
    <x v="0"/>
    <x v="0"/>
  </r>
  <r>
    <x v="1519"/>
    <x v="1496"/>
    <x v="530"/>
    <x v="185"/>
    <x v="1490"/>
    <x v="1518"/>
    <x v="1497"/>
    <x v="1495"/>
    <x v="1492"/>
    <x v="1"/>
    <x v="0"/>
    <x v="0"/>
  </r>
  <r>
    <x v="1520"/>
    <x v="1497"/>
    <x v="530"/>
    <x v="185"/>
    <x v="1491"/>
    <x v="1519"/>
    <x v="1498"/>
    <x v="1496"/>
    <x v="1493"/>
    <x v="1"/>
    <x v="0"/>
    <x v="0"/>
  </r>
  <r>
    <x v="1521"/>
    <x v="1498"/>
    <x v="530"/>
    <x v="185"/>
    <x v="1492"/>
    <x v="1520"/>
    <x v="1499"/>
    <x v="1497"/>
    <x v="1494"/>
    <x v="1"/>
    <x v="0"/>
    <x v="0"/>
  </r>
  <r>
    <x v="1522"/>
    <x v="1499"/>
    <x v="531"/>
    <x v="185"/>
    <x v="1493"/>
    <x v="1521"/>
    <x v="1500"/>
    <x v="1498"/>
    <x v="1495"/>
    <x v="1"/>
    <x v="0"/>
    <x v="0"/>
  </r>
  <r>
    <x v="1523"/>
    <x v="1500"/>
    <x v="531"/>
    <x v="185"/>
    <x v="1494"/>
    <x v="1522"/>
    <x v="1501"/>
    <x v="1499"/>
    <x v="1496"/>
    <x v="1"/>
    <x v="0"/>
    <x v="0"/>
  </r>
  <r>
    <x v="1524"/>
    <x v="1501"/>
    <x v="532"/>
    <x v="186"/>
    <x v="1495"/>
    <x v="1523"/>
    <x v="1502"/>
    <x v="1500"/>
    <x v="1497"/>
    <x v="1"/>
    <x v="0"/>
    <x v="0"/>
  </r>
  <r>
    <x v="1525"/>
    <x v="1502"/>
    <x v="532"/>
    <x v="186"/>
    <x v="1496"/>
    <x v="1524"/>
    <x v="1503"/>
    <x v="1501"/>
    <x v="1498"/>
    <x v="1"/>
    <x v="0"/>
    <x v="0"/>
  </r>
  <r>
    <x v="1526"/>
    <x v="1503"/>
    <x v="533"/>
    <x v="186"/>
    <x v="1497"/>
    <x v="1525"/>
    <x v="1504"/>
    <x v="1502"/>
    <x v="1499"/>
    <x v="1"/>
    <x v="0"/>
    <x v="0"/>
  </r>
  <r>
    <x v="1527"/>
    <x v="1504"/>
    <x v="532"/>
    <x v="186"/>
    <x v="1498"/>
    <x v="1526"/>
    <x v="1505"/>
    <x v="1503"/>
    <x v="1500"/>
    <x v="1"/>
    <x v="0"/>
    <x v="0"/>
  </r>
  <r>
    <x v="1528"/>
    <x v="1505"/>
    <x v="534"/>
    <x v="186"/>
    <x v="1499"/>
    <x v="1527"/>
    <x v="1506"/>
    <x v="1504"/>
    <x v="1501"/>
    <x v="1"/>
    <x v="0"/>
    <x v="0"/>
  </r>
  <r>
    <x v="1529"/>
    <x v="1506"/>
    <x v="534"/>
    <x v="186"/>
    <x v="1500"/>
    <x v="1528"/>
    <x v="1507"/>
    <x v="1505"/>
    <x v="1502"/>
    <x v="1"/>
    <x v="0"/>
    <x v="0"/>
  </r>
  <r>
    <x v="1530"/>
    <x v="359"/>
    <x v="532"/>
    <x v="186"/>
    <x v="358"/>
    <x v="1529"/>
    <x v="358"/>
    <x v="359"/>
    <x v="359"/>
    <x v="1"/>
    <x v="0"/>
    <x v="0"/>
  </r>
  <r>
    <x v="1531"/>
    <x v="1507"/>
    <x v="535"/>
    <x v="186"/>
    <x v="1501"/>
    <x v="1530"/>
    <x v="1508"/>
    <x v="1506"/>
    <x v="1503"/>
    <x v="1"/>
    <x v="0"/>
    <x v="0"/>
  </r>
  <r>
    <x v="1532"/>
    <x v="1508"/>
    <x v="532"/>
    <x v="186"/>
    <x v="1502"/>
    <x v="1531"/>
    <x v="1509"/>
    <x v="1507"/>
    <x v="1504"/>
    <x v="1"/>
    <x v="0"/>
    <x v="0"/>
  </r>
  <r>
    <x v="1533"/>
    <x v="1509"/>
    <x v="536"/>
    <x v="186"/>
    <x v="1503"/>
    <x v="1532"/>
    <x v="1510"/>
    <x v="1508"/>
    <x v="1505"/>
    <x v="1"/>
    <x v="0"/>
    <x v="0"/>
  </r>
  <r>
    <x v="1534"/>
    <x v="1510"/>
    <x v="532"/>
    <x v="186"/>
    <x v="1504"/>
    <x v="1533"/>
    <x v="1511"/>
    <x v="1509"/>
    <x v="1506"/>
    <x v="1"/>
    <x v="0"/>
    <x v="0"/>
  </r>
  <r>
    <x v="1535"/>
    <x v="1511"/>
    <x v="532"/>
    <x v="186"/>
    <x v="1505"/>
    <x v="1534"/>
    <x v="1512"/>
    <x v="1510"/>
    <x v="1507"/>
    <x v="1"/>
    <x v="0"/>
    <x v="0"/>
  </r>
  <r>
    <x v="1536"/>
    <x v="1512"/>
    <x v="532"/>
    <x v="186"/>
    <x v="1506"/>
    <x v="1535"/>
    <x v="1513"/>
    <x v="1511"/>
    <x v="1508"/>
    <x v="1"/>
    <x v="0"/>
    <x v="0"/>
  </r>
  <r>
    <x v="1537"/>
    <x v="486"/>
    <x v="537"/>
    <x v="186"/>
    <x v="483"/>
    <x v="1536"/>
    <x v="1514"/>
    <x v="486"/>
    <x v="486"/>
    <x v="1"/>
    <x v="0"/>
    <x v="0"/>
  </r>
  <r>
    <x v="1538"/>
    <x v="1513"/>
    <x v="537"/>
    <x v="186"/>
    <x v="1507"/>
    <x v="1537"/>
    <x v="1515"/>
    <x v="1512"/>
    <x v="1509"/>
    <x v="1"/>
    <x v="0"/>
    <x v="0"/>
  </r>
  <r>
    <x v="1539"/>
    <x v="1514"/>
    <x v="537"/>
    <x v="186"/>
    <x v="1508"/>
    <x v="1538"/>
    <x v="1516"/>
    <x v="1513"/>
    <x v="1510"/>
    <x v="1"/>
    <x v="0"/>
    <x v="0"/>
  </r>
  <r>
    <x v="1540"/>
    <x v="1515"/>
    <x v="537"/>
    <x v="186"/>
    <x v="1509"/>
    <x v="1539"/>
    <x v="1517"/>
    <x v="1514"/>
    <x v="1511"/>
    <x v="1"/>
    <x v="0"/>
    <x v="0"/>
  </r>
  <r>
    <x v="1541"/>
    <x v="1516"/>
    <x v="537"/>
    <x v="186"/>
    <x v="1510"/>
    <x v="1540"/>
    <x v="1518"/>
    <x v="1515"/>
    <x v="1512"/>
    <x v="1"/>
    <x v="0"/>
    <x v="0"/>
  </r>
  <r>
    <x v="1542"/>
    <x v="1517"/>
    <x v="537"/>
    <x v="186"/>
    <x v="1511"/>
    <x v="1541"/>
    <x v="1519"/>
    <x v="1516"/>
    <x v="1513"/>
    <x v="1"/>
    <x v="0"/>
    <x v="0"/>
  </r>
  <r>
    <x v="1543"/>
    <x v="1518"/>
    <x v="537"/>
    <x v="186"/>
    <x v="1512"/>
    <x v="1542"/>
    <x v="1520"/>
    <x v="1517"/>
    <x v="1514"/>
    <x v="1"/>
    <x v="0"/>
    <x v="0"/>
  </r>
  <r>
    <x v="1544"/>
    <x v="1519"/>
    <x v="538"/>
    <x v="186"/>
    <x v="1513"/>
    <x v="1543"/>
    <x v="1521"/>
    <x v="1518"/>
    <x v="1515"/>
    <x v="1"/>
    <x v="0"/>
    <x v="0"/>
  </r>
  <r>
    <x v="1545"/>
    <x v="1520"/>
    <x v="538"/>
    <x v="186"/>
    <x v="1514"/>
    <x v="1544"/>
    <x v="1522"/>
    <x v="1519"/>
    <x v="1516"/>
    <x v="1"/>
    <x v="0"/>
    <x v="0"/>
  </r>
  <r>
    <x v="1546"/>
    <x v="1521"/>
    <x v="539"/>
    <x v="186"/>
    <x v="1515"/>
    <x v="1545"/>
    <x v="1523"/>
    <x v="1520"/>
    <x v="1517"/>
    <x v="1"/>
    <x v="0"/>
    <x v="0"/>
  </r>
  <r>
    <x v="1547"/>
    <x v="1522"/>
    <x v="539"/>
    <x v="186"/>
    <x v="1516"/>
    <x v="1546"/>
    <x v="1524"/>
    <x v="1521"/>
    <x v="1518"/>
    <x v="1"/>
    <x v="0"/>
    <x v="0"/>
  </r>
  <r>
    <x v="1548"/>
    <x v="1523"/>
    <x v="538"/>
    <x v="186"/>
    <x v="1517"/>
    <x v="1547"/>
    <x v="1525"/>
    <x v="1522"/>
    <x v="1519"/>
    <x v="1"/>
    <x v="0"/>
    <x v="0"/>
  </r>
  <r>
    <x v="1549"/>
    <x v="1524"/>
    <x v="540"/>
    <x v="186"/>
    <x v="1518"/>
    <x v="1548"/>
    <x v="1526"/>
    <x v="1523"/>
    <x v="1520"/>
    <x v="1"/>
    <x v="0"/>
    <x v="0"/>
  </r>
  <r>
    <x v="1550"/>
    <x v="1525"/>
    <x v="532"/>
    <x v="187"/>
    <x v="1519"/>
    <x v="1549"/>
    <x v="1527"/>
    <x v="1524"/>
    <x v="1521"/>
    <x v="1"/>
    <x v="0"/>
    <x v="0"/>
  </r>
  <r>
    <x v="1551"/>
    <x v="1526"/>
    <x v="541"/>
    <x v="187"/>
    <x v="1520"/>
    <x v="1550"/>
    <x v="1528"/>
    <x v="1525"/>
    <x v="1522"/>
    <x v="1"/>
    <x v="0"/>
    <x v="0"/>
  </r>
  <r>
    <x v="1552"/>
    <x v="1527"/>
    <x v="541"/>
    <x v="187"/>
    <x v="1521"/>
    <x v="1551"/>
    <x v="1529"/>
    <x v="1526"/>
    <x v="1523"/>
    <x v="1"/>
    <x v="0"/>
    <x v="0"/>
  </r>
  <r>
    <x v="1553"/>
    <x v="1528"/>
    <x v="541"/>
    <x v="187"/>
    <x v="1522"/>
    <x v="1552"/>
    <x v="1530"/>
    <x v="1527"/>
    <x v="1524"/>
    <x v="1"/>
    <x v="0"/>
    <x v="0"/>
  </r>
  <r>
    <x v="1554"/>
    <x v="172"/>
    <x v="541"/>
    <x v="187"/>
    <x v="171"/>
    <x v="1553"/>
    <x v="1531"/>
    <x v="172"/>
    <x v="172"/>
    <x v="1"/>
    <x v="0"/>
    <x v="0"/>
  </r>
  <r>
    <x v="1555"/>
    <x v="1529"/>
    <x v="541"/>
    <x v="187"/>
    <x v="1523"/>
    <x v="1554"/>
    <x v="1532"/>
    <x v="1528"/>
    <x v="1525"/>
    <x v="1"/>
    <x v="0"/>
    <x v="0"/>
  </r>
  <r>
    <x v="1556"/>
    <x v="1530"/>
    <x v="542"/>
    <x v="187"/>
    <x v="1524"/>
    <x v="1555"/>
    <x v="1533"/>
    <x v="1529"/>
    <x v="1526"/>
    <x v="1"/>
    <x v="0"/>
    <x v="0"/>
  </r>
  <r>
    <x v="1557"/>
    <x v="386"/>
    <x v="541"/>
    <x v="187"/>
    <x v="384"/>
    <x v="1556"/>
    <x v="1534"/>
    <x v="386"/>
    <x v="386"/>
    <x v="1"/>
    <x v="0"/>
    <x v="0"/>
  </r>
  <r>
    <x v="1558"/>
    <x v="566"/>
    <x v="541"/>
    <x v="187"/>
    <x v="562"/>
    <x v="1557"/>
    <x v="1535"/>
    <x v="566"/>
    <x v="566"/>
    <x v="1"/>
    <x v="0"/>
    <x v="0"/>
  </r>
  <r>
    <x v="1559"/>
    <x v="1531"/>
    <x v="541"/>
    <x v="187"/>
    <x v="1525"/>
    <x v="1558"/>
    <x v="1536"/>
    <x v="1530"/>
    <x v="1527"/>
    <x v="1"/>
    <x v="0"/>
    <x v="0"/>
  </r>
  <r>
    <x v="1560"/>
    <x v="1532"/>
    <x v="532"/>
    <x v="186"/>
    <x v="1526"/>
    <x v="1559"/>
    <x v="1537"/>
    <x v="1531"/>
    <x v="1528"/>
    <x v="1"/>
    <x v="0"/>
    <x v="0"/>
  </r>
  <r>
    <x v="1561"/>
    <x v="1533"/>
    <x v="541"/>
    <x v="187"/>
    <x v="1527"/>
    <x v="1560"/>
    <x v="1538"/>
    <x v="1532"/>
    <x v="1529"/>
    <x v="1"/>
    <x v="0"/>
    <x v="0"/>
  </r>
  <r>
    <x v="1562"/>
    <x v="1534"/>
    <x v="543"/>
    <x v="187"/>
    <x v="1528"/>
    <x v="1561"/>
    <x v="1539"/>
    <x v="1533"/>
    <x v="1530"/>
    <x v="1"/>
    <x v="0"/>
    <x v="0"/>
  </r>
  <r>
    <x v="1563"/>
    <x v="1535"/>
    <x v="544"/>
    <x v="188"/>
    <x v="1529"/>
    <x v="1562"/>
    <x v="1540"/>
    <x v="1534"/>
    <x v="1531"/>
    <x v="1"/>
    <x v="0"/>
    <x v="0"/>
  </r>
  <r>
    <x v="1564"/>
    <x v="1536"/>
    <x v="545"/>
    <x v="188"/>
    <x v="1530"/>
    <x v="1563"/>
    <x v="1541"/>
    <x v="1535"/>
    <x v="1532"/>
    <x v="1"/>
    <x v="0"/>
    <x v="0"/>
  </r>
  <r>
    <x v="1565"/>
    <x v="1537"/>
    <x v="545"/>
    <x v="188"/>
    <x v="1531"/>
    <x v="1564"/>
    <x v="1542"/>
    <x v="1536"/>
    <x v="1533"/>
    <x v="1"/>
    <x v="0"/>
    <x v="0"/>
  </r>
  <r>
    <x v="1566"/>
    <x v="1538"/>
    <x v="545"/>
    <x v="188"/>
    <x v="1532"/>
    <x v="1565"/>
    <x v="1543"/>
    <x v="1537"/>
    <x v="1534"/>
    <x v="1"/>
    <x v="0"/>
    <x v="0"/>
  </r>
  <r>
    <x v="1567"/>
    <x v="1539"/>
    <x v="545"/>
    <x v="188"/>
    <x v="1533"/>
    <x v="1566"/>
    <x v="1544"/>
    <x v="1538"/>
    <x v="1535"/>
    <x v="1"/>
    <x v="0"/>
    <x v="0"/>
  </r>
  <r>
    <x v="1568"/>
    <x v="1540"/>
    <x v="545"/>
    <x v="188"/>
    <x v="1534"/>
    <x v="1567"/>
    <x v="1545"/>
    <x v="1539"/>
    <x v="1536"/>
    <x v="1"/>
    <x v="0"/>
    <x v="0"/>
  </r>
  <r>
    <x v="1569"/>
    <x v="1541"/>
    <x v="545"/>
    <x v="188"/>
    <x v="1535"/>
    <x v="1568"/>
    <x v="1546"/>
    <x v="1540"/>
    <x v="1537"/>
    <x v="1"/>
    <x v="0"/>
    <x v="0"/>
  </r>
  <r>
    <x v="1570"/>
    <x v="1542"/>
    <x v="545"/>
    <x v="188"/>
    <x v="1536"/>
    <x v="1569"/>
    <x v="1547"/>
    <x v="1541"/>
    <x v="1538"/>
    <x v="1"/>
    <x v="0"/>
    <x v="0"/>
  </r>
  <r>
    <x v="1571"/>
    <x v="1543"/>
    <x v="545"/>
    <x v="188"/>
    <x v="1537"/>
    <x v="1570"/>
    <x v="1548"/>
    <x v="1542"/>
    <x v="1539"/>
    <x v="1"/>
    <x v="0"/>
    <x v="0"/>
  </r>
  <r>
    <x v="1572"/>
    <x v="1544"/>
    <x v="546"/>
    <x v="188"/>
    <x v="1538"/>
    <x v="1571"/>
    <x v="1549"/>
    <x v="1543"/>
    <x v="1540"/>
    <x v="1"/>
    <x v="0"/>
    <x v="0"/>
  </r>
  <r>
    <x v="1573"/>
    <x v="1545"/>
    <x v="547"/>
    <x v="189"/>
    <x v="1539"/>
    <x v="1572"/>
    <x v="1550"/>
    <x v="1544"/>
    <x v="1541"/>
    <x v="1"/>
    <x v="0"/>
    <x v="0"/>
  </r>
  <r>
    <x v="1574"/>
    <x v="1546"/>
    <x v="547"/>
    <x v="189"/>
    <x v="1540"/>
    <x v="1573"/>
    <x v="1551"/>
    <x v="1545"/>
    <x v="1542"/>
    <x v="1"/>
    <x v="0"/>
    <x v="0"/>
  </r>
  <r>
    <x v="1575"/>
    <x v="1547"/>
    <x v="547"/>
    <x v="189"/>
    <x v="1541"/>
    <x v="1574"/>
    <x v="1552"/>
    <x v="1546"/>
    <x v="1543"/>
    <x v="1"/>
    <x v="0"/>
    <x v="0"/>
  </r>
  <r>
    <x v="1576"/>
    <x v="1548"/>
    <x v="548"/>
    <x v="190"/>
    <x v="1542"/>
    <x v="1575"/>
    <x v="1553"/>
    <x v="1547"/>
    <x v="1544"/>
    <x v="1"/>
    <x v="0"/>
    <x v="0"/>
  </r>
  <r>
    <x v="1577"/>
    <x v="1549"/>
    <x v="549"/>
    <x v="190"/>
    <x v="1543"/>
    <x v="1576"/>
    <x v="1554"/>
    <x v="1548"/>
    <x v="1545"/>
    <x v="1"/>
    <x v="0"/>
    <x v="0"/>
  </r>
  <r>
    <x v="1578"/>
    <x v="1550"/>
    <x v="548"/>
    <x v="190"/>
    <x v="1544"/>
    <x v="1577"/>
    <x v="1555"/>
    <x v="1549"/>
    <x v="1546"/>
    <x v="1"/>
    <x v="0"/>
    <x v="0"/>
  </r>
  <r>
    <x v="1579"/>
    <x v="1551"/>
    <x v="548"/>
    <x v="190"/>
    <x v="1545"/>
    <x v="1578"/>
    <x v="843"/>
    <x v="1550"/>
    <x v="1547"/>
    <x v="1"/>
    <x v="0"/>
    <x v="0"/>
  </r>
  <r>
    <x v="1580"/>
    <x v="1552"/>
    <x v="548"/>
    <x v="190"/>
    <x v="1546"/>
    <x v="1579"/>
    <x v="1556"/>
    <x v="1551"/>
    <x v="1548"/>
    <x v="1"/>
    <x v="0"/>
    <x v="0"/>
  </r>
  <r>
    <x v="1581"/>
    <x v="1553"/>
    <x v="548"/>
    <x v="190"/>
    <x v="1547"/>
    <x v="1580"/>
    <x v="1557"/>
    <x v="1552"/>
    <x v="1549"/>
    <x v="1"/>
    <x v="0"/>
    <x v="0"/>
  </r>
  <r>
    <x v="1582"/>
    <x v="1554"/>
    <x v="550"/>
    <x v="190"/>
    <x v="1548"/>
    <x v="1581"/>
    <x v="1558"/>
    <x v="1553"/>
    <x v="1550"/>
    <x v="1"/>
    <x v="0"/>
    <x v="0"/>
  </r>
  <r>
    <x v="1583"/>
    <x v="1555"/>
    <x v="550"/>
    <x v="190"/>
    <x v="1549"/>
    <x v="1582"/>
    <x v="1559"/>
    <x v="1554"/>
    <x v="1551"/>
    <x v="1"/>
    <x v="0"/>
    <x v="0"/>
  </r>
  <r>
    <x v="1584"/>
    <x v="1556"/>
    <x v="551"/>
    <x v="190"/>
    <x v="1550"/>
    <x v="1583"/>
    <x v="1560"/>
    <x v="1555"/>
    <x v="1552"/>
    <x v="1"/>
    <x v="0"/>
    <x v="0"/>
  </r>
  <r>
    <x v="1585"/>
    <x v="1557"/>
    <x v="550"/>
    <x v="190"/>
    <x v="1551"/>
    <x v="1584"/>
    <x v="1561"/>
    <x v="1556"/>
    <x v="1553"/>
    <x v="1"/>
    <x v="0"/>
    <x v="0"/>
  </r>
  <r>
    <x v="1586"/>
    <x v="1558"/>
    <x v="552"/>
    <x v="191"/>
    <x v="1552"/>
    <x v="1585"/>
    <x v="1562"/>
    <x v="1557"/>
    <x v="1554"/>
    <x v="1"/>
    <x v="0"/>
    <x v="0"/>
  </r>
  <r>
    <x v="1587"/>
    <x v="1559"/>
    <x v="552"/>
    <x v="191"/>
    <x v="1553"/>
    <x v="1586"/>
    <x v="1563"/>
    <x v="1558"/>
    <x v="1555"/>
    <x v="1"/>
    <x v="0"/>
    <x v="0"/>
  </r>
  <r>
    <x v="1588"/>
    <x v="1560"/>
    <x v="553"/>
    <x v="191"/>
    <x v="1554"/>
    <x v="1587"/>
    <x v="1564"/>
    <x v="1559"/>
    <x v="1556"/>
    <x v="1"/>
    <x v="0"/>
    <x v="0"/>
  </r>
  <r>
    <x v="1589"/>
    <x v="1561"/>
    <x v="554"/>
    <x v="191"/>
    <x v="1555"/>
    <x v="1588"/>
    <x v="1565"/>
    <x v="1560"/>
    <x v="1557"/>
    <x v="1"/>
    <x v="0"/>
    <x v="0"/>
  </r>
  <r>
    <x v="1590"/>
    <x v="1562"/>
    <x v="552"/>
    <x v="191"/>
    <x v="1556"/>
    <x v="1589"/>
    <x v="1566"/>
    <x v="1561"/>
    <x v="1558"/>
    <x v="1"/>
    <x v="0"/>
    <x v="0"/>
  </r>
  <r>
    <x v="1591"/>
    <x v="1563"/>
    <x v="552"/>
    <x v="191"/>
    <x v="1557"/>
    <x v="1590"/>
    <x v="1567"/>
    <x v="1562"/>
    <x v="1559"/>
    <x v="1"/>
    <x v="0"/>
    <x v="0"/>
  </r>
  <r>
    <x v="1592"/>
    <x v="1564"/>
    <x v="552"/>
    <x v="191"/>
    <x v="1558"/>
    <x v="1591"/>
    <x v="1568"/>
    <x v="1563"/>
    <x v="1560"/>
    <x v="1"/>
    <x v="0"/>
    <x v="0"/>
  </r>
  <r>
    <x v="1593"/>
    <x v="1565"/>
    <x v="552"/>
    <x v="191"/>
    <x v="1559"/>
    <x v="1592"/>
    <x v="1569"/>
    <x v="1564"/>
    <x v="1561"/>
    <x v="1"/>
    <x v="0"/>
    <x v="0"/>
  </r>
  <r>
    <x v="1594"/>
    <x v="1566"/>
    <x v="555"/>
    <x v="191"/>
    <x v="1560"/>
    <x v="1593"/>
    <x v="1570"/>
    <x v="1565"/>
    <x v="1562"/>
    <x v="1"/>
    <x v="0"/>
    <x v="0"/>
  </r>
  <r>
    <x v="1595"/>
    <x v="1567"/>
    <x v="556"/>
    <x v="191"/>
    <x v="1561"/>
    <x v="1594"/>
    <x v="1571"/>
    <x v="1566"/>
    <x v="1563"/>
    <x v="1"/>
    <x v="0"/>
    <x v="0"/>
  </r>
  <r>
    <x v="1596"/>
    <x v="360"/>
    <x v="552"/>
    <x v="191"/>
    <x v="359"/>
    <x v="1595"/>
    <x v="1572"/>
    <x v="360"/>
    <x v="360"/>
    <x v="1"/>
    <x v="0"/>
    <x v="0"/>
  </r>
  <r>
    <x v="1597"/>
    <x v="797"/>
    <x v="557"/>
    <x v="192"/>
    <x v="791"/>
    <x v="1596"/>
    <x v="792"/>
    <x v="797"/>
    <x v="797"/>
    <x v="1"/>
    <x v="0"/>
    <x v="0"/>
  </r>
  <r>
    <x v="1598"/>
    <x v="1568"/>
    <x v="557"/>
    <x v="192"/>
    <x v="1562"/>
    <x v="1597"/>
    <x v="1573"/>
    <x v="1567"/>
    <x v="1564"/>
    <x v="1"/>
    <x v="0"/>
    <x v="0"/>
  </r>
  <r>
    <x v="1599"/>
    <x v="1569"/>
    <x v="557"/>
    <x v="192"/>
    <x v="1563"/>
    <x v="1598"/>
    <x v="1574"/>
    <x v="1568"/>
    <x v="1565"/>
    <x v="1"/>
    <x v="0"/>
    <x v="0"/>
  </r>
  <r>
    <x v="1600"/>
    <x v="1570"/>
    <x v="205"/>
    <x v="91"/>
    <x v="1564"/>
    <x v="1599"/>
    <x v="1575"/>
    <x v="1569"/>
    <x v="1566"/>
    <x v="1"/>
    <x v="0"/>
    <x v="0"/>
  </r>
  <r>
    <x v="1601"/>
    <x v="1571"/>
    <x v="557"/>
    <x v="192"/>
    <x v="1565"/>
    <x v="1600"/>
    <x v="1576"/>
    <x v="1570"/>
    <x v="573"/>
    <x v="1"/>
    <x v="0"/>
    <x v="0"/>
  </r>
  <r>
    <x v="1602"/>
    <x v="1572"/>
    <x v="558"/>
    <x v="192"/>
    <x v="1566"/>
    <x v="1601"/>
    <x v="1577"/>
    <x v="1571"/>
    <x v="1567"/>
    <x v="1"/>
    <x v="0"/>
    <x v="0"/>
  </r>
  <r>
    <x v="1603"/>
    <x v="1573"/>
    <x v="558"/>
    <x v="192"/>
    <x v="1567"/>
    <x v="1602"/>
    <x v="1578"/>
    <x v="1572"/>
    <x v="1568"/>
    <x v="1"/>
    <x v="0"/>
    <x v="0"/>
  </r>
  <r>
    <x v="1604"/>
    <x v="1574"/>
    <x v="557"/>
    <x v="192"/>
    <x v="1568"/>
    <x v="1603"/>
    <x v="1579"/>
    <x v="1573"/>
    <x v="1569"/>
    <x v="1"/>
    <x v="0"/>
    <x v="0"/>
  </r>
  <r>
    <x v="1605"/>
    <x v="1575"/>
    <x v="557"/>
    <x v="192"/>
    <x v="1569"/>
    <x v="1604"/>
    <x v="1580"/>
    <x v="1574"/>
    <x v="1570"/>
    <x v="1"/>
    <x v="0"/>
    <x v="0"/>
  </r>
  <r>
    <x v="1606"/>
    <x v="1576"/>
    <x v="557"/>
    <x v="192"/>
    <x v="1570"/>
    <x v="1605"/>
    <x v="1581"/>
    <x v="1575"/>
    <x v="1571"/>
    <x v="1"/>
    <x v="0"/>
    <x v="0"/>
  </r>
  <r>
    <x v="1607"/>
    <x v="1577"/>
    <x v="559"/>
    <x v="193"/>
    <x v="1571"/>
    <x v="1606"/>
    <x v="1582"/>
    <x v="1576"/>
    <x v="1572"/>
    <x v="1"/>
    <x v="0"/>
    <x v="0"/>
  </r>
  <r>
    <x v="1608"/>
    <x v="1578"/>
    <x v="559"/>
    <x v="193"/>
    <x v="1572"/>
    <x v="1607"/>
    <x v="1583"/>
    <x v="1577"/>
    <x v="1573"/>
    <x v="1"/>
    <x v="0"/>
    <x v="0"/>
  </r>
  <r>
    <x v="1609"/>
    <x v="1579"/>
    <x v="560"/>
    <x v="193"/>
    <x v="1573"/>
    <x v="1608"/>
    <x v="1584"/>
    <x v="1578"/>
    <x v="1574"/>
    <x v="1"/>
    <x v="0"/>
    <x v="0"/>
  </r>
  <r>
    <x v="1610"/>
    <x v="1580"/>
    <x v="559"/>
    <x v="193"/>
    <x v="1574"/>
    <x v="1609"/>
    <x v="1585"/>
    <x v="1579"/>
    <x v="1575"/>
    <x v="1"/>
    <x v="0"/>
    <x v="0"/>
  </r>
  <r>
    <x v="1611"/>
    <x v="1581"/>
    <x v="559"/>
    <x v="193"/>
    <x v="1575"/>
    <x v="1610"/>
    <x v="1586"/>
    <x v="1580"/>
    <x v="1576"/>
    <x v="1"/>
    <x v="0"/>
    <x v="0"/>
  </r>
  <r>
    <x v="1612"/>
    <x v="1582"/>
    <x v="559"/>
    <x v="193"/>
    <x v="1576"/>
    <x v="1611"/>
    <x v="1587"/>
    <x v="1581"/>
    <x v="1577"/>
    <x v="1"/>
    <x v="0"/>
    <x v="0"/>
  </r>
  <r>
    <x v="1613"/>
    <x v="1583"/>
    <x v="561"/>
    <x v="193"/>
    <x v="1577"/>
    <x v="1612"/>
    <x v="1588"/>
    <x v="1582"/>
    <x v="1578"/>
    <x v="1"/>
    <x v="0"/>
    <x v="0"/>
  </r>
  <r>
    <x v="1614"/>
    <x v="1584"/>
    <x v="561"/>
    <x v="193"/>
    <x v="1578"/>
    <x v="1613"/>
    <x v="1589"/>
    <x v="1583"/>
    <x v="1579"/>
    <x v="1"/>
    <x v="0"/>
    <x v="0"/>
  </r>
  <r>
    <x v="1615"/>
    <x v="1585"/>
    <x v="561"/>
    <x v="193"/>
    <x v="1579"/>
    <x v="1614"/>
    <x v="1590"/>
    <x v="1584"/>
    <x v="1580"/>
    <x v="1"/>
    <x v="0"/>
    <x v="0"/>
  </r>
  <r>
    <x v="1616"/>
    <x v="1586"/>
    <x v="559"/>
    <x v="193"/>
    <x v="1580"/>
    <x v="1615"/>
    <x v="1591"/>
    <x v="1585"/>
    <x v="1581"/>
    <x v="1"/>
    <x v="0"/>
    <x v="0"/>
  </r>
  <r>
    <x v="1617"/>
    <x v="1587"/>
    <x v="562"/>
    <x v="193"/>
    <x v="1581"/>
    <x v="1616"/>
    <x v="1592"/>
    <x v="1586"/>
    <x v="1582"/>
    <x v="1"/>
    <x v="0"/>
    <x v="0"/>
  </r>
  <r>
    <x v="1618"/>
    <x v="1588"/>
    <x v="562"/>
    <x v="193"/>
    <x v="1582"/>
    <x v="1617"/>
    <x v="1593"/>
    <x v="1587"/>
    <x v="1583"/>
    <x v="1"/>
    <x v="0"/>
    <x v="0"/>
  </r>
  <r>
    <x v="1619"/>
    <x v="1589"/>
    <x v="562"/>
    <x v="193"/>
    <x v="1583"/>
    <x v="1618"/>
    <x v="1594"/>
    <x v="1588"/>
    <x v="1584"/>
    <x v="1"/>
    <x v="0"/>
    <x v="0"/>
  </r>
  <r>
    <x v="1620"/>
    <x v="1590"/>
    <x v="563"/>
    <x v="193"/>
    <x v="1584"/>
    <x v="1619"/>
    <x v="1595"/>
    <x v="1589"/>
    <x v="1585"/>
    <x v="1"/>
    <x v="0"/>
    <x v="0"/>
  </r>
  <r>
    <x v="1621"/>
    <x v="1591"/>
    <x v="563"/>
    <x v="193"/>
    <x v="1585"/>
    <x v="1620"/>
    <x v="1596"/>
    <x v="1590"/>
    <x v="1586"/>
    <x v="1"/>
    <x v="0"/>
    <x v="0"/>
  </r>
  <r>
    <x v="1622"/>
    <x v="1592"/>
    <x v="562"/>
    <x v="193"/>
    <x v="1586"/>
    <x v="1621"/>
    <x v="1597"/>
    <x v="1591"/>
    <x v="1587"/>
    <x v="1"/>
    <x v="0"/>
    <x v="0"/>
  </r>
  <r>
    <x v="1623"/>
    <x v="1593"/>
    <x v="564"/>
    <x v="193"/>
    <x v="1587"/>
    <x v="1622"/>
    <x v="1598"/>
    <x v="1592"/>
    <x v="1588"/>
    <x v="1"/>
    <x v="0"/>
    <x v="0"/>
  </r>
  <r>
    <x v="1624"/>
    <x v="1594"/>
    <x v="564"/>
    <x v="193"/>
    <x v="1588"/>
    <x v="1623"/>
    <x v="1599"/>
    <x v="1593"/>
    <x v="1589"/>
    <x v="1"/>
    <x v="0"/>
    <x v="0"/>
  </r>
  <r>
    <x v="1625"/>
    <x v="1595"/>
    <x v="565"/>
    <x v="194"/>
    <x v="1589"/>
    <x v="1624"/>
    <x v="1600"/>
    <x v="1594"/>
    <x v="1590"/>
    <x v="1"/>
    <x v="0"/>
    <x v="0"/>
  </r>
  <r>
    <x v="1626"/>
    <x v="1596"/>
    <x v="565"/>
    <x v="194"/>
    <x v="1590"/>
    <x v="1625"/>
    <x v="1601"/>
    <x v="1595"/>
    <x v="1591"/>
    <x v="1"/>
    <x v="0"/>
    <x v="0"/>
  </r>
  <r>
    <x v="1627"/>
    <x v="1597"/>
    <x v="566"/>
    <x v="194"/>
    <x v="1591"/>
    <x v="1626"/>
    <x v="1602"/>
    <x v="1596"/>
    <x v="1592"/>
    <x v="1"/>
    <x v="0"/>
    <x v="0"/>
  </r>
  <r>
    <x v="1628"/>
    <x v="1598"/>
    <x v="566"/>
    <x v="194"/>
    <x v="1592"/>
    <x v="1627"/>
    <x v="1603"/>
    <x v="1597"/>
    <x v="1593"/>
    <x v="1"/>
    <x v="0"/>
    <x v="0"/>
  </r>
  <r>
    <x v="1629"/>
    <x v="1599"/>
    <x v="565"/>
    <x v="194"/>
    <x v="1593"/>
    <x v="1628"/>
    <x v="1604"/>
    <x v="1598"/>
    <x v="1594"/>
    <x v="1"/>
    <x v="0"/>
    <x v="0"/>
  </r>
  <r>
    <x v="1630"/>
    <x v="1600"/>
    <x v="567"/>
    <x v="194"/>
    <x v="1594"/>
    <x v="1629"/>
    <x v="1605"/>
    <x v="1599"/>
    <x v="1595"/>
    <x v="1"/>
    <x v="0"/>
    <x v="0"/>
  </r>
  <r>
    <x v="1631"/>
    <x v="1601"/>
    <x v="568"/>
    <x v="194"/>
    <x v="1595"/>
    <x v="1630"/>
    <x v="1606"/>
    <x v="1600"/>
    <x v="1596"/>
    <x v="1"/>
    <x v="0"/>
    <x v="0"/>
  </r>
  <r>
    <x v="1632"/>
    <x v="1602"/>
    <x v="569"/>
    <x v="194"/>
    <x v="1595"/>
    <x v="1631"/>
    <x v="1299"/>
    <x v="1601"/>
    <x v="1597"/>
    <x v="1"/>
    <x v="0"/>
    <x v="0"/>
  </r>
  <r>
    <x v="1633"/>
    <x v="1603"/>
    <x v="565"/>
    <x v="194"/>
    <x v="1596"/>
    <x v="1632"/>
    <x v="1607"/>
    <x v="1602"/>
    <x v="1598"/>
    <x v="1"/>
    <x v="0"/>
    <x v="0"/>
  </r>
  <r>
    <x v="1634"/>
    <x v="1604"/>
    <x v="565"/>
    <x v="194"/>
    <x v="1597"/>
    <x v="1633"/>
    <x v="1608"/>
    <x v="1603"/>
    <x v="1599"/>
    <x v="1"/>
    <x v="0"/>
    <x v="0"/>
  </r>
  <r>
    <x v="1635"/>
    <x v="1605"/>
    <x v="565"/>
    <x v="194"/>
    <x v="1598"/>
    <x v="1634"/>
    <x v="1609"/>
    <x v="1604"/>
    <x v="1600"/>
    <x v="1"/>
    <x v="0"/>
    <x v="0"/>
  </r>
  <r>
    <x v="1636"/>
    <x v="1606"/>
    <x v="569"/>
    <x v="194"/>
    <x v="1599"/>
    <x v="1635"/>
    <x v="1610"/>
    <x v="1605"/>
    <x v="1601"/>
    <x v="1"/>
    <x v="0"/>
    <x v="0"/>
  </r>
  <r>
    <x v="1637"/>
    <x v="1607"/>
    <x v="569"/>
    <x v="194"/>
    <x v="1600"/>
    <x v="1636"/>
    <x v="1611"/>
    <x v="1606"/>
    <x v="1602"/>
    <x v="1"/>
    <x v="0"/>
    <x v="0"/>
  </r>
  <r>
    <x v="1638"/>
    <x v="1608"/>
    <x v="569"/>
    <x v="194"/>
    <x v="1601"/>
    <x v="1637"/>
    <x v="1612"/>
    <x v="1607"/>
    <x v="1603"/>
    <x v="1"/>
    <x v="0"/>
    <x v="0"/>
  </r>
  <r>
    <x v="1639"/>
    <x v="1609"/>
    <x v="569"/>
    <x v="194"/>
    <x v="1602"/>
    <x v="1638"/>
    <x v="1613"/>
    <x v="1608"/>
    <x v="1604"/>
    <x v="1"/>
    <x v="0"/>
    <x v="0"/>
  </r>
  <r>
    <x v="1640"/>
    <x v="1610"/>
    <x v="566"/>
    <x v="194"/>
    <x v="1603"/>
    <x v="1639"/>
    <x v="1614"/>
    <x v="1609"/>
    <x v="1605"/>
    <x v="1"/>
    <x v="0"/>
    <x v="0"/>
  </r>
  <r>
    <x v="1641"/>
    <x v="1611"/>
    <x v="566"/>
    <x v="194"/>
    <x v="1604"/>
    <x v="1640"/>
    <x v="1615"/>
    <x v="1610"/>
    <x v="1606"/>
    <x v="1"/>
    <x v="0"/>
    <x v="0"/>
  </r>
  <r>
    <x v="1642"/>
    <x v="1612"/>
    <x v="566"/>
    <x v="194"/>
    <x v="1605"/>
    <x v="1641"/>
    <x v="1616"/>
    <x v="1611"/>
    <x v="1607"/>
    <x v="1"/>
    <x v="0"/>
    <x v="0"/>
  </r>
  <r>
    <x v="1643"/>
    <x v="1613"/>
    <x v="570"/>
    <x v="194"/>
    <x v="1606"/>
    <x v="1642"/>
    <x v="1617"/>
    <x v="1612"/>
    <x v="1608"/>
    <x v="1"/>
    <x v="0"/>
    <x v="0"/>
  </r>
  <r>
    <x v="1644"/>
    <x v="1614"/>
    <x v="571"/>
    <x v="194"/>
    <x v="1607"/>
    <x v="1643"/>
    <x v="1618"/>
    <x v="1613"/>
    <x v="1609"/>
    <x v="1"/>
    <x v="0"/>
    <x v="0"/>
  </r>
  <r>
    <x v="1645"/>
    <x v="1615"/>
    <x v="572"/>
    <x v="194"/>
    <x v="1608"/>
    <x v="1644"/>
    <x v="1619"/>
    <x v="1614"/>
    <x v="1610"/>
    <x v="1"/>
    <x v="0"/>
    <x v="0"/>
  </r>
  <r>
    <x v="1646"/>
    <x v="1616"/>
    <x v="572"/>
    <x v="194"/>
    <x v="1609"/>
    <x v="1645"/>
    <x v="1620"/>
    <x v="1615"/>
    <x v="1611"/>
    <x v="1"/>
    <x v="0"/>
    <x v="0"/>
  </r>
  <r>
    <x v="1647"/>
    <x v="1617"/>
    <x v="573"/>
    <x v="194"/>
    <x v="1610"/>
    <x v="1646"/>
    <x v="1621"/>
    <x v="1616"/>
    <x v="1612"/>
    <x v="1"/>
    <x v="0"/>
    <x v="0"/>
  </r>
  <r>
    <x v="1648"/>
    <x v="1618"/>
    <x v="574"/>
    <x v="194"/>
    <x v="1611"/>
    <x v="1647"/>
    <x v="1622"/>
    <x v="1617"/>
    <x v="1613"/>
    <x v="1"/>
    <x v="0"/>
    <x v="0"/>
  </r>
  <r>
    <x v="1649"/>
    <x v="1619"/>
    <x v="574"/>
    <x v="194"/>
    <x v="1612"/>
    <x v="1648"/>
    <x v="1623"/>
    <x v="1618"/>
    <x v="1614"/>
    <x v="1"/>
    <x v="0"/>
    <x v="0"/>
  </r>
  <r>
    <x v="1650"/>
    <x v="1620"/>
    <x v="575"/>
    <x v="195"/>
    <x v="1613"/>
    <x v="1649"/>
    <x v="1624"/>
    <x v="1619"/>
    <x v="1615"/>
    <x v="1"/>
    <x v="0"/>
    <x v="0"/>
  </r>
  <r>
    <x v="1651"/>
    <x v="1621"/>
    <x v="575"/>
    <x v="195"/>
    <x v="1614"/>
    <x v="1650"/>
    <x v="1625"/>
    <x v="1620"/>
    <x v="1616"/>
    <x v="1"/>
    <x v="0"/>
    <x v="0"/>
  </r>
  <r>
    <x v="1652"/>
    <x v="1622"/>
    <x v="575"/>
    <x v="195"/>
    <x v="1615"/>
    <x v="1651"/>
    <x v="1626"/>
    <x v="1621"/>
    <x v="1617"/>
    <x v="1"/>
    <x v="0"/>
    <x v="0"/>
  </r>
  <r>
    <x v="1653"/>
    <x v="1623"/>
    <x v="576"/>
    <x v="195"/>
    <x v="1616"/>
    <x v="1652"/>
    <x v="1627"/>
    <x v="1622"/>
    <x v="1618"/>
    <x v="1"/>
    <x v="0"/>
    <x v="0"/>
  </r>
  <r>
    <x v="1654"/>
    <x v="1624"/>
    <x v="575"/>
    <x v="195"/>
    <x v="1617"/>
    <x v="1653"/>
    <x v="1628"/>
    <x v="1623"/>
    <x v="1619"/>
    <x v="1"/>
    <x v="0"/>
    <x v="0"/>
  </r>
  <r>
    <x v="1655"/>
    <x v="1625"/>
    <x v="544"/>
    <x v="196"/>
    <x v="1618"/>
    <x v="1654"/>
    <x v="1629"/>
    <x v="1624"/>
    <x v="1620"/>
    <x v="1"/>
    <x v="0"/>
    <x v="0"/>
  </r>
  <r>
    <x v="1656"/>
    <x v="1626"/>
    <x v="577"/>
    <x v="196"/>
    <x v="1619"/>
    <x v="1655"/>
    <x v="1630"/>
    <x v="1625"/>
    <x v="1621"/>
    <x v="1"/>
    <x v="0"/>
    <x v="0"/>
  </r>
  <r>
    <x v="1657"/>
    <x v="1627"/>
    <x v="577"/>
    <x v="196"/>
    <x v="1620"/>
    <x v="1656"/>
    <x v="1631"/>
    <x v="1626"/>
    <x v="1622"/>
    <x v="1"/>
    <x v="0"/>
    <x v="0"/>
  </r>
  <r>
    <x v="1658"/>
    <x v="1628"/>
    <x v="578"/>
    <x v="197"/>
    <x v="1621"/>
    <x v="1657"/>
    <x v="1632"/>
    <x v="1627"/>
    <x v="1623"/>
    <x v="1"/>
    <x v="0"/>
    <x v="0"/>
  </r>
  <r>
    <x v="1659"/>
    <x v="1629"/>
    <x v="578"/>
    <x v="197"/>
    <x v="1622"/>
    <x v="1658"/>
    <x v="1633"/>
    <x v="1628"/>
    <x v="1624"/>
    <x v="1"/>
    <x v="0"/>
    <x v="0"/>
  </r>
  <r>
    <x v="1660"/>
    <x v="1630"/>
    <x v="578"/>
    <x v="197"/>
    <x v="1623"/>
    <x v="1659"/>
    <x v="1634"/>
    <x v="1629"/>
    <x v="1625"/>
    <x v="1"/>
    <x v="0"/>
    <x v="0"/>
  </r>
  <r>
    <x v="1661"/>
    <x v="1631"/>
    <x v="578"/>
    <x v="197"/>
    <x v="1624"/>
    <x v="1660"/>
    <x v="1635"/>
    <x v="1630"/>
    <x v="1626"/>
    <x v="1"/>
    <x v="0"/>
    <x v="0"/>
  </r>
  <r>
    <x v="1662"/>
    <x v="1632"/>
    <x v="578"/>
    <x v="197"/>
    <x v="1625"/>
    <x v="1661"/>
    <x v="1636"/>
    <x v="1631"/>
    <x v="1627"/>
    <x v="1"/>
    <x v="0"/>
    <x v="0"/>
  </r>
  <r>
    <x v="1663"/>
    <x v="1633"/>
    <x v="578"/>
    <x v="197"/>
    <x v="1626"/>
    <x v="1662"/>
    <x v="1637"/>
    <x v="1632"/>
    <x v="1628"/>
    <x v="1"/>
    <x v="0"/>
    <x v="0"/>
  </r>
  <r>
    <x v="1664"/>
    <x v="1634"/>
    <x v="578"/>
    <x v="197"/>
    <x v="1627"/>
    <x v="1663"/>
    <x v="1638"/>
    <x v="1633"/>
    <x v="1629"/>
    <x v="1"/>
    <x v="0"/>
    <x v="0"/>
  </r>
  <r>
    <x v="1665"/>
    <x v="1635"/>
    <x v="578"/>
    <x v="197"/>
    <x v="1628"/>
    <x v="1664"/>
    <x v="1639"/>
    <x v="1634"/>
    <x v="1630"/>
    <x v="1"/>
    <x v="0"/>
    <x v="0"/>
  </r>
  <r>
    <x v="1666"/>
    <x v="1636"/>
    <x v="579"/>
    <x v="197"/>
    <x v="1629"/>
    <x v="1665"/>
    <x v="1640"/>
    <x v="1635"/>
    <x v="1631"/>
    <x v="1"/>
    <x v="0"/>
    <x v="0"/>
  </r>
  <r>
    <x v="1667"/>
    <x v="1637"/>
    <x v="578"/>
    <x v="197"/>
    <x v="1630"/>
    <x v="1666"/>
    <x v="1641"/>
    <x v="1636"/>
    <x v="1632"/>
    <x v="1"/>
    <x v="0"/>
    <x v="0"/>
  </r>
  <r>
    <x v="1668"/>
    <x v="1638"/>
    <x v="578"/>
    <x v="197"/>
    <x v="1631"/>
    <x v="1667"/>
    <x v="1642"/>
    <x v="1637"/>
    <x v="1633"/>
    <x v="1"/>
    <x v="0"/>
    <x v="0"/>
  </r>
  <r>
    <x v="1669"/>
    <x v="1639"/>
    <x v="578"/>
    <x v="197"/>
    <x v="1632"/>
    <x v="1668"/>
    <x v="1643"/>
    <x v="1638"/>
    <x v="1634"/>
    <x v="1"/>
    <x v="0"/>
    <x v="0"/>
  </r>
  <r>
    <x v="1670"/>
    <x v="1640"/>
    <x v="578"/>
    <x v="197"/>
    <x v="1633"/>
    <x v="1669"/>
    <x v="1644"/>
    <x v="1639"/>
    <x v="1635"/>
    <x v="1"/>
    <x v="0"/>
    <x v="0"/>
  </r>
  <r>
    <x v="1671"/>
    <x v="1641"/>
    <x v="578"/>
    <x v="197"/>
    <x v="1634"/>
    <x v="1670"/>
    <x v="1645"/>
    <x v="1640"/>
    <x v="1636"/>
    <x v="1"/>
    <x v="0"/>
    <x v="0"/>
  </r>
  <r>
    <x v="1672"/>
    <x v="1642"/>
    <x v="578"/>
    <x v="197"/>
    <x v="1635"/>
    <x v="1671"/>
    <x v="1646"/>
    <x v="1641"/>
    <x v="1637"/>
    <x v="1"/>
    <x v="0"/>
    <x v="0"/>
  </r>
  <r>
    <x v="1673"/>
    <x v="1643"/>
    <x v="578"/>
    <x v="197"/>
    <x v="1636"/>
    <x v="1672"/>
    <x v="1647"/>
    <x v="1642"/>
    <x v="1638"/>
    <x v="1"/>
    <x v="0"/>
    <x v="0"/>
  </r>
  <r>
    <x v="1674"/>
    <x v="1644"/>
    <x v="578"/>
    <x v="197"/>
    <x v="1637"/>
    <x v="1673"/>
    <x v="1648"/>
    <x v="1643"/>
    <x v="1639"/>
    <x v="1"/>
    <x v="0"/>
    <x v="0"/>
  </r>
  <r>
    <x v="1675"/>
    <x v="1645"/>
    <x v="580"/>
    <x v="197"/>
    <x v="1638"/>
    <x v="1674"/>
    <x v="1649"/>
    <x v="1644"/>
    <x v="1640"/>
    <x v="1"/>
    <x v="0"/>
    <x v="0"/>
  </r>
  <r>
    <x v="1676"/>
    <x v="1646"/>
    <x v="578"/>
    <x v="197"/>
    <x v="1639"/>
    <x v="1675"/>
    <x v="1650"/>
    <x v="1645"/>
    <x v="1641"/>
    <x v="1"/>
    <x v="0"/>
    <x v="0"/>
  </r>
  <r>
    <x v="1677"/>
    <x v="1450"/>
    <x v="578"/>
    <x v="197"/>
    <x v="1444"/>
    <x v="1676"/>
    <x v="1450"/>
    <x v="1449"/>
    <x v="1446"/>
    <x v="1"/>
    <x v="0"/>
    <x v="0"/>
  </r>
  <r>
    <x v="1678"/>
    <x v="1647"/>
    <x v="581"/>
    <x v="198"/>
    <x v="1640"/>
    <x v="1677"/>
    <x v="1651"/>
    <x v="1646"/>
    <x v="1642"/>
    <x v="1"/>
    <x v="0"/>
    <x v="0"/>
  </r>
  <r>
    <x v="1679"/>
    <x v="1648"/>
    <x v="581"/>
    <x v="198"/>
    <x v="1641"/>
    <x v="1678"/>
    <x v="1652"/>
    <x v="1647"/>
    <x v="1643"/>
    <x v="1"/>
    <x v="0"/>
    <x v="0"/>
  </r>
  <r>
    <x v="1680"/>
    <x v="1649"/>
    <x v="581"/>
    <x v="198"/>
    <x v="1642"/>
    <x v="1679"/>
    <x v="1653"/>
    <x v="1648"/>
    <x v="1644"/>
    <x v="1"/>
    <x v="0"/>
    <x v="0"/>
  </r>
  <r>
    <x v="1681"/>
    <x v="1650"/>
    <x v="582"/>
    <x v="198"/>
    <x v="1643"/>
    <x v="1680"/>
    <x v="1654"/>
    <x v="1649"/>
    <x v="1645"/>
    <x v="1"/>
    <x v="0"/>
    <x v="0"/>
  </r>
  <r>
    <x v="1682"/>
    <x v="1651"/>
    <x v="582"/>
    <x v="198"/>
    <x v="1644"/>
    <x v="1681"/>
    <x v="1655"/>
    <x v="1650"/>
    <x v="1646"/>
    <x v="1"/>
    <x v="0"/>
    <x v="0"/>
  </r>
  <r>
    <x v="1683"/>
    <x v="1652"/>
    <x v="582"/>
    <x v="198"/>
    <x v="1645"/>
    <x v="1682"/>
    <x v="1656"/>
    <x v="1651"/>
    <x v="1647"/>
    <x v="1"/>
    <x v="0"/>
    <x v="0"/>
  </r>
  <r>
    <x v="1684"/>
    <x v="1653"/>
    <x v="582"/>
    <x v="198"/>
    <x v="1646"/>
    <x v="1683"/>
    <x v="1657"/>
    <x v="1652"/>
    <x v="1648"/>
    <x v="1"/>
    <x v="0"/>
    <x v="0"/>
  </r>
  <r>
    <x v="1685"/>
    <x v="1654"/>
    <x v="582"/>
    <x v="198"/>
    <x v="1647"/>
    <x v="1684"/>
    <x v="419"/>
    <x v="1653"/>
    <x v="1649"/>
    <x v="1"/>
    <x v="0"/>
    <x v="0"/>
  </r>
  <r>
    <x v="1686"/>
    <x v="1655"/>
    <x v="582"/>
    <x v="198"/>
    <x v="1648"/>
    <x v="1685"/>
    <x v="1658"/>
    <x v="1654"/>
    <x v="1650"/>
    <x v="1"/>
    <x v="0"/>
    <x v="0"/>
  </r>
  <r>
    <x v="1687"/>
    <x v="1656"/>
    <x v="582"/>
    <x v="198"/>
    <x v="1649"/>
    <x v="1686"/>
    <x v="1659"/>
    <x v="1655"/>
    <x v="1651"/>
    <x v="1"/>
    <x v="0"/>
    <x v="0"/>
  </r>
  <r>
    <x v="1688"/>
    <x v="1657"/>
    <x v="583"/>
    <x v="198"/>
    <x v="1650"/>
    <x v="1687"/>
    <x v="1660"/>
    <x v="1656"/>
    <x v="1652"/>
    <x v="1"/>
    <x v="0"/>
    <x v="0"/>
  </r>
  <r>
    <x v="1689"/>
    <x v="1658"/>
    <x v="584"/>
    <x v="199"/>
    <x v="1651"/>
    <x v="1688"/>
    <x v="1661"/>
    <x v="1657"/>
    <x v="1653"/>
    <x v="1"/>
    <x v="0"/>
    <x v="0"/>
  </r>
  <r>
    <x v="1690"/>
    <x v="1659"/>
    <x v="584"/>
    <x v="199"/>
    <x v="1652"/>
    <x v="1689"/>
    <x v="1662"/>
    <x v="1658"/>
    <x v="1654"/>
    <x v="1"/>
    <x v="0"/>
    <x v="0"/>
  </r>
  <r>
    <x v="1691"/>
    <x v="1660"/>
    <x v="584"/>
    <x v="199"/>
    <x v="1653"/>
    <x v="1690"/>
    <x v="1663"/>
    <x v="1659"/>
    <x v="1655"/>
    <x v="1"/>
    <x v="0"/>
    <x v="0"/>
  </r>
  <r>
    <x v="1692"/>
    <x v="1661"/>
    <x v="584"/>
    <x v="199"/>
    <x v="1654"/>
    <x v="1691"/>
    <x v="1664"/>
    <x v="1660"/>
    <x v="1656"/>
    <x v="1"/>
    <x v="0"/>
    <x v="0"/>
  </r>
  <r>
    <x v="1693"/>
    <x v="1662"/>
    <x v="584"/>
    <x v="199"/>
    <x v="1655"/>
    <x v="1692"/>
    <x v="1665"/>
    <x v="1661"/>
    <x v="1657"/>
    <x v="1"/>
    <x v="0"/>
    <x v="0"/>
  </r>
  <r>
    <x v="1694"/>
    <x v="1663"/>
    <x v="584"/>
    <x v="199"/>
    <x v="1656"/>
    <x v="1693"/>
    <x v="1666"/>
    <x v="1662"/>
    <x v="1658"/>
    <x v="1"/>
    <x v="0"/>
    <x v="0"/>
  </r>
  <r>
    <x v="1695"/>
    <x v="1664"/>
    <x v="585"/>
    <x v="199"/>
    <x v="1657"/>
    <x v="1694"/>
    <x v="1667"/>
    <x v="1663"/>
    <x v="1659"/>
    <x v="1"/>
    <x v="0"/>
    <x v="0"/>
  </r>
  <r>
    <x v="1696"/>
    <x v="1665"/>
    <x v="586"/>
    <x v="199"/>
    <x v="1658"/>
    <x v="1695"/>
    <x v="1668"/>
    <x v="1664"/>
    <x v="1660"/>
    <x v="1"/>
    <x v="0"/>
    <x v="0"/>
  </r>
  <r>
    <x v="1697"/>
    <x v="1363"/>
    <x v="586"/>
    <x v="199"/>
    <x v="1357"/>
    <x v="1696"/>
    <x v="1669"/>
    <x v="1362"/>
    <x v="1360"/>
    <x v="1"/>
    <x v="0"/>
    <x v="0"/>
  </r>
  <r>
    <x v="1698"/>
    <x v="1666"/>
    <x v="586"/>
    <x v="199"/>
    <x v="1659"/>
    <x v="1697"/>
    <x v="1670"/>
    <x v="1665"/>
    <x v="1661"/>
    <x v="1"/>
    <x v="0"/>
    <x v="0"/>
  </r>
  <r>
    <x v="1699"/>
    <x v="1667"/>
    <x v="586"/>
    <x v="199"/>
    <x v="1660"/>
    <x v="1698"/>
    <x v="1671"/>
    <x v="1666"/>
    <x v="1662"/>
    <x v="1"/>
    <x v="0"/>
    <x v="0"/>
  </r>
  <r>
    <x v="1700"/>
    <x v="1668"/>
    <x v="586"/>
    <x v="199"/>
    <x v="1661"/>
    <x v="1699"/>
    <x v="1672"/>
    <x v="1667"/>
    <x v="1663"/>
    <x v="1"/>
    <x v="0"/>
    <x v="0"/>
  </r>
  <r>
    <x v="1701"/>
    <x v="1669"/>
    <x v="586"/>
    <x v="199"/>
    <x v="1662"/>
    <x v="1700"/>
    <x v="1673"/>
    <x v="1668"/>
    <x v="1664"/>
    <x v="1"/>
    <x v="0"/>
    <x v="0"/>
  </r>
  <r>
    <x v="1702"/>
    <x v="1670"/>
    <x v="586"/>
    <x v="199"/>
    <x v="1663"/>
    <x v="1701"/>
    <x v="1674"/>
    <x v="1669"/>
    <x v="1665"/>
    <x v="1"/>
    <x v="0"/>
    <x v="0"/>
  </r>
  <r>
    <x v="1703"/>
    <x v="1671"/>
    <x v="586"/>
    <x v="199"/>
    <x v="1664"/>
    <x v="1702"/>
    <x v="1675"/>
    <x v="1670"/>
    <x v="1666"/>
    <x v="1"/>
    <x v="0"/>
    <x v="0"/>
  </r>
  <r>
    <x v="1704"/>
    <x v="1672"/>
    <x v="586"/>
    <x v="199"/>
    <x v="1665"/>
    <x v="1703"/>
    <x v="1676"/>
    <x v="1671"/>
    <x v="1667"/>
    <x v="1"/>
    <x v="0"/>
    <x v="0"/>
  </r>
  <r>
    <x v="1705"/>
    <x v="1673"/>
    <x v="586"/>
    <x v="199"/>
    <x v="1666"/>
    <x v="1704"/>
    <x v="1677"/>
    <x v="1672"/>
    <x v="1668"/>
    <x v="1"/>
    <x v="0"/>
    <x v="0"/>
  </r>
  <r>
    <x v="1706"/>
    <x v="1674"/>
    <x v="586"/>
    <x v="199"/>
    <x v="1667"/>
    <x v="1705"/>
    <x v="1678"/>
    <x v="1673"/>
    <x v="1669"/>
    <x v="1"/>
    <x v="0"/>
    <x v="0"/>
  </r>
  <r>
    <x v="1707"/>
    <x v="1675"/>
    <x v="587"/>
    <x v="199"/>
    <x v="1668"/>
    <x v="1706"/>
    <x v="1679"/>
    <x v="1674"/>
    <x v="1670"/>
    <x v="1"/>
    <x v="0"/>
    <x v="0"/>
  </r>
  <r>
    <x v="1708"/>
    <x v="1676"/>
    <x v="587"/>
    <x v="199"/>
    <x v="1669"/>
    <x v="1707"/>
    <x v="1680"/>
    <x v="1675"/>
    <x v="1671"/>
    <x v="1"/>
    <x v="0"/>
    <x v="0"/>
  </r>
  <r>
    <x v="1709"/>
    <x v="1677"/>
    <x v="588"/>
    <x v="199"/>
    <x v="1670"/>
    <x v="1708"/>
    <x v="1681"/>
    <x v="1676"/>
    <x v="1672"/>
    <x v="1"/>
    <x v="0"/>
    <x v="0"/>
  </r>
  <r>
    <x v="1710"/>
    <x v="1678"/>
    <x v="589"/>
    <x v="200"/>
    <x v="1671"/>
    <x v="1709"/>
    <x v="1682"/>
    <x v="1677"/>
    <x v="1673"/>
    <x v="1"/>
    <x v="0"/>
    <x v="0"/>
  </r>
  <r>
    <x v="1711"/>
    <x v="1679"/>
    <x v="589"/>
    <x v="200"/>
    <x v="1672"/>
    <x v="1710"/>
    <x v="1683"/>
    <x v="1678"/>
    <x v="1674"/>
    <x v="1"/>
    <x v="0"/>
    <x v="0"/>
  </r>
  <r>
    <x v="1712"/>
    <x v="1680"/>
    <x v="589"/>
    <x v="200"/>
    <x v="1673"/>
    <x v="1711"/>
    <x v="1684"/>
    <x v="1679"/>
    <x v="1675"/>
    <x v="1"/>
    <x v="0"/>
    <x v="0"/>
  </r>
  <r>
    <x v="1713"/>
    <x v="1681"/>
    <x v="590"/>
    <x v="200"/>
    <x v="1674"/>
    <x v="1712"/>
    <x v="1685"/>
    <x v="1680"/>
    <x v="1676"/>
    <x v="1"/>
    <x v="0"/>
    <x v="0"/>
  </r>
  <r>
    <x v="1714"/>
    <x v="1682"/>
    <x v="591"/>
    <x v="200"/>
    <x v="1675"/>
    <x v="1713"/>
    <x v="1686"/>
    <x v="1681"/>
    <x v="1677"/>
    <x v="1"/>
    <x v="0"/>
    <x v="0"/>
  </r>
  <r>
    <x v="1715"/>
    <x v="169"/>
    <x v="591"/>
    <x v="200"/>
    <x v="168"/>
    <x v="1714"/>
    <x v="169"/>
    <x v="169"/>
    <x v="169"/>
    <x v="1"/>
    <x v="0"/>
    <x v="0"/>
  </r>
  <r>
    <x v="1716"/>
    <x v="171"/>
    <x v="591"/>
    <x v="200"/>
    <x v="170"/>
    <x v="1715"/>
    <x v="1687"/>
    <x v="171"/>
    <x v="171"/>
    <x v="1"/>
    <x v="0"/>
    <x v="0"/>
  </r>
  <r>
    <x v="1717"/>
    <x v="1683"/>
    <x v="592"/>
    <x v="201"/>
    <x v="1676"/>
    <x v="1716"/>
    <x v="1688"/>
    <x v="1682"/>
    <x v="1678"/>
    <x v="1"/>
    <x v="0"/>
    <x v="0"/>
  </r>
  <r>
    <x v="1718"/>
    <x v="1684"/>
    <x v="593"/>
    <x v="201"/>
    <x v="1677"/>
    <x v="1717"/>
    <x v="1689"/>
    <x v="1683"/>
    <x v="1679"/>
    <x v="1"/>
    <x v="0"/>
    <x v="0"/>
  </r>
  <r>
    <x v="1719"/>
    <x v="1685"/>
    <x v="594"/>
    <x v="201"/>
    <x v="1678"/>
    <x v="1718"/>
    <x v="1690"/>
    <x v="1684"/>
    <x v="1680"/>
    <x v="1"/>
    <x v="0"/>
    <x v="0"/>
  </r>
  <r>
    <x v="1720"/>
    <x v="1686"/>
    <x v="594"/>
    <x v="201"/>
    <x v="1679"/>
    <x v="1719"/>
    <x v="1691"/>
    <x v="1685"/>
    <x v="1681"/>
    <x v="1"/>
    <x v="0"/>
    <x v="0"/>
  </r>
  <r>
    <x v="1721"/>
    <x v="1687"/>
    <x v="595"/>
    <x v="201"/>
    <x v="1680"/>
    <x v="1720"/>
    <x v="1692"/>
    <x v="1686"/>
    <x v="1682"/>
    <x v="1"/>
    <x v="0"/>
    <x v="0"/>
  </r>
  <r>
    <x v="1722"/>
    <x v="1688"/>
    <x v="594"/>
    <x v="201"/>
    <x v="1681"/>
    <x v="1721"/>
    <x v="1693"/>
    <x v="1687"/>
    <x v="1683"/>
    <x v="1"/>
    <x v="0"/>
    <x v="0"/>
  </r>
  <r>
    <x v="1723"/>
    <x v="1689"/>
    <x v="596"/>
    <x v="202"/>
    <x v="1682"/>
    <x v="1722"/>
    <x v="1694"/>
    <x v="1688"/>
    <x v="1684"/>
    <x v="1"/>
    <x v="0"/>
    <x v="0"/>
  </r>
  <r>
    <x v="1724"/>
    <x v="1690"/>
    <x v="596"/>
    <x v="202"/>
    <x v="1683"/>
    <x v="1723"/>
    <x v="1695"/>
    <x v="1689"/>
    <x v="1685"/>
    <x v="1"/>
    <x v="0"/>
    <x v="0"/>
  </r>
  <r>
    <x v="1725"/>
    <x v="1169"/>
    <x v="596"/>
    <x v="202"/>
    <x v="1163"/>
    <x v="1724"/>
    <x v="1164"/>
    <x v="1169"/>
    <x v="1167"/>
    <x v="1"/>
    <x v="0"/>
    <x v="0"/>
  </r>
  <r>
    <x v="1726"/>
    <x v="1691"/>
    <x v="544"/>
    <x v="203"/>
    <x v="1684"/>
    <x v="1725"/>
    <x v="1696"/>
    <x v="1690"/>
    <x v="1686"/>
    <x v="1"/>
    <x v="0"/>
    <x v="0"/>
  </r>
  <r>
    <x v="1727"/>
    <x v="1692"/>
    <x v="597"/>
    <x v="203"/>
    <x v="1685"/>
    <x v="1726"/>
    <x v="1697"/>
    <x v="1691"/>
    <x v="1687"/>
    <x v="1"/>
    <x v="0"/>
    <x v="0"/>
  </r>
  <r>
    <x v="1728"/>
    <x v="1693"/>
    <x v="597"/>
    <x v="203"/>
    <x v="1686"/>
    <x v="1727"/>
    <x v="1698"/>
    <x v="1692"/>
    <x v="1688"/>
    <x v="1"/>
    <x v="0"/>
    <x v="0"/>
  </r>
  <r>
    <x v="1729"/>
    <x v="1694"/>
    <x v="597"/>
    <x v="203"/>
    <x v="1687"/>
    <x v="1728"/>
    <x v="1699"/>
    <x v="1693"/>
    <x v="1689"/>
    <x v="1"/>
    <x v="0"/>
    <x v="0"/>
  </r>
  <r>
    <x v="1730"/>
    <x v="1695"/>
    <x v="597"/>
    <x v="203"/>
    <x v="1688"/>
    <x v="1729"/>
    <x v="1700"/>
    <x v="1694"/>
    <x v="1690"/>
    <x v="1"/>
    <x v="0"/>
    <x v="0"/>
  </r>
  <r>
    <x v="1731"/>
    <x v="543"/>
    <x v="597"/>
    <x v="203"/>
    <x v="540"/>
    <x v="1730"/>
    <x v="1701"/>
    <x v="543"/>
    <x v="543"/>
    <x v="1"/>
    <x v="0"/>
    <x v="0"/>
  </r>
  <r>
    <x v="1732"/>
    <x v="1696"/>
    <x v="597"/>
    <x v="203"/>
    <x v="1689"/>
    <x v="1731"/>
    <x v="1702"/>
    <x v="1695"/>
    <x v="1691"/>
    <x v="1"/>
    <x v="0"/>
    <x v="0"/>
  </r>
  <r>
    <x v="1733"/>
    <x v="1697"/>
    <x v="597"/>
    <x v="203"/>
    <x v="1690"/>
    <x v="1732"/>
    <x v="1703"/>
    <x v="1696"/>
    <x v="1692"/>
    <x v="1"/>
    <x v="0"/>
    <x v="0"/>
  </r>
  <r>
    <x v="1734"/>
    <x v="1698"/>
    <x v="598"/>
    <x v="204"/>
    <x v="1691"/>
    <x v="1733"/>
    <x v="1704"/>
    <x v="1697"/>
    <x v="1693"/>
    <x v="1"/>
    <x v="0"/>
    <x v="0"/>
  </r>
  <r>
    <x v="1735"/>
    <x v="1699"/>
    <x v="599"/>
    <x v="204"/>
    <x v="1692"/>
    <x v="1734"/>
    <x v="1705"/>
    <x v="1698"/>
    <x v="1694"/>
    <x v="1"/>
    <x v="0"/>
    <x v="0"/>
  </r>
  <r>
    <x v="1736"/>
    <x v="1700"/>
    <x v="598"/>
    <x v="204"/>
    <x v="1693"/>
    <x v="1735"/>
    <x v="1706"/>
    <x v="1699"/>
    <x v="1695"/>
    <x v="1"/>
    <x v="0"/>
    <x v="0"/>
  </r>
  <r>
    <x v="1737"/>
    <x v="1701"/>
    <x v="598"/>
    <x v="204"/>
    <x v="1694"/>
    <x v="1736"/>
    <x v="1707"/>
    <x v="1700"/>
    <x v="1696"/>
    <x v="1"/>
    <x v="0"/>
    <x v="0"/>
  </r>
  <r>
    <x v="1738"/>
    <x v="1702"/>
    <x v="598"/>
    <x v="204"/>
    <x v="1695"/>
    <x v="1737"/>
    <x v="323"/>
    <x v="1701"/>
    <x v="1697"/>
    <x v="1"/>
    <x v="0"/>
    <x v="0"/>
  </r>
  <r>
    <x v="1739"/>
    <x v="1703"/>
    <x v="600"/>
    <x v="205"/>
    <x v="1696"/>
    <x v="1738"/>
    <x v="1708"/>
    <x v="1702"/>
    <x v="1698"/>
    <x v="1"/>
    <x v="0"/>
    <x v="0"/>
  </r>
  <r>
    <x v="1740"/>
    <x v="1704"/>
    <x v="601"/>
    <x v="205"/>
    <x v="1697"/>
    <x v="1739"/>
    <x v="1709"/>
    <x v="1703"/>
    <x v="1699"/>
    <x v="1"/>
    <x v="0"/>
    <x v="0"/>
  </r>
  <r>
    <x v="1741"/>
    <x v="1705"/>
    <x v="600"/>
    <x v="205"/>
    <x v="1698"/>
    <x v="1740"/>
    <x v="1710"/>
    <x v="229"/>
    <x v="1700"/>
    <x v="1"/>
    <x v="0"/>
    <x v="0"/>
  </r>
  <r>
    <x v="1742"/>
    <x v="1706"/>
    <x v="600"/>
    <x v="205"/>
    <x v="1699"/>
    <x v="1741"/>
    <x v="1711"/>
    <x v="1704"/>
    <x v="1701"/>
    <x v="1"/>
    <x v="0"/>
    <x v="0"/>
  </r>
  <r>
    <x v="1743"/>
    <x v="1707"/>
    <x v="600"/>
    <x v="205"/>
    <x v="1700"/>
    <x v="1742"/>
    <x v="1712"/>
    <x v="1705"/>
    <x v="1702"/>
    <x v="1"/>
    <x v="0"/>
    <x v="0"/>
  </r>
  <r>
    <x v="1744"/>
    <x v="1708"/>
    <x v="600"/>
    <x v="205"/>
    <x v="1701"/>
    <x v="1743"/>
    <x v="1713"/>
    <x v="1706"/>
    <x v="1703"/>
    <x v="1"/>
    <x v="0"/>
    <x v="0"/>
  </r>
  <r>
    <x v="1745"/>
    <x v="1709"/>
    <x v="600"/>
    <x v="205"/>
    <x v="1702"/>
    <x v="1744"/>
    <x v="1714"/>
    <x v="1707"/>
    <x v="1704"/>
    <x v="1"/>
    <x v="0"/>
    <x v="0"/>
  </r>
  <r>
    <x v="1746"/>
    <x v="1710"/>
    <x v="600"/>
    <x v="205"/>
    <x v="1703"/>
    <x v="1745"/>
    <x v="1715"/>
    <x v="1708"/>
    <x v="1705"/>
    <x v="1"/>
    <x v="0"/>
    <x v="0"/>
  </r>
  <r>
    <x v="1747"/>
    <x v="1711"/>
    <x v="600"/>
    <x v="205"/>
    <x v="1704"/>
    <x v="1746"/>
    <x v="1716"/>
    <x v="1709"/>
    <x v="1706"/>
    <x v="1"/>
    <x v="0"/>
    <x v="0"/>
  </r>
  <r>
    <x v="1748"/>
    <x v="1712"/>
    <x v="600"/>
    <x v="205"/>
    <x v="1705"/>
    <x v="1747"/>
    <x v="1717"/>
    <x v="1710"/>
    <x v="1707"/>
    <x v="1"/>
    <x v="0"/>
    <x v="0"/>
  </r>
  <r>
    <x v="1749"/>
    <x v="1713"/>
    <x v="600"/>
    <x v="205"/>
    <x v="1706"/>
    <x v="1748"/>
    <x v="1718"/>
    <x v="1711"/>
    <x v="1708"/>
    <x v="1"/>
    <x v="0"/>
    <x v="0"/>
  </r>
  <r>
    <x v="1750"/>
    <x v="1714"/>
    <x v="600"/>
    <x v="205"/>
    <x v="1707"/>
    <x v="1749"/>
    <x v="1719"/>
    <x v="1712"/>
    <x v="1709"/>
    <x v="1"/>
    <x v="0"/>
    <x v="0"/>
  </r>
  <r>
    <x v="1751"/>
    <x v="1715"/>
    <x v="600"/>
    <x v="205"/>
    <x v="1708"/>
    <x v="1750"/>
    <x v="1720"/>
    <x v="1713"/>
    <x v="1710"/>
    <x v="1"/>
    <x v="0"/>
    <x v="0"/>
  </r>
  <r>
    <x v="1752"/>
    <x v="1716"/>
    <x v="600"/>
    <x v="205"/>
    <x v="1709"/>
    <x v="1751"/>
    <x v="1721"/>
    <x v="1714"/>
    <x v="1711"/>
    <x v="1"/>
    <x v="0"/>
    <x v="0"/>
  </r>
  <r>
    <x v="1753"/>
    <x v="1717"/>
    <x v="602"/>
    <x v="205"/>
    <x v="1710"/>
    <x v="1752"/>
    <x v="1722"/>
    <x v="1715"/>
    <x v="1712"/>
    <x v="1"/>
    <x v="0"/>
    <x v="0"/>
  </r>
  <r>
    <x v="1754"/>
    <x v="1718"/>
    <x v="603"/>
    <x v="205"/>
    <x v="1711"/>
    <x v="1753"/>
    <x v="1723"/>
    <x v="1716"/>
    <x v="1713"/>
    <x v="1"/>
    <x v="0"/>
    <x v="0"/>
  </r>
  <r>
    <x v="1755"/>
    <x v="1719"/>
    <x v="604"/>
    <x v="206"/>
    <x v="1712"/>
    <x v="1754"/>
    <x v="1724"/>
    <x v="1717"/>
    <x v="1714"/>
    <x v="1"/>
    <x v="0"/>
    <x v="0"/>
  </r>
  <r>
    <x v="1756"/>
    <x v="1720"/>
    <x v="604"/>
    <x v="206"/>
    <x v="1713"/>
    <x v="1755"/>
    <x v="1725"/>
    <x v="1718"/>
    <x v="1715"/>
    <x v="1"/>
    <x v="0"/>
    <x v="0"/>
  </r>
  <r>
    <x v="1757"/>
    <x v="1721"/>
    <x v="605"/>
    <x v="206"/>
    <x v="1714"/>
    <x v="1756"/>
    <x v="1726"/>
    <x v="1719"/>
    <x v="1716"/>
    <x v="1"/>
    <x v="0"/>
    <x v="0"/>
  </r>
  <r>
    <x v="1758"/>
    <x v="1722"/>
    <x v="604"/>
    <x v="206"/>
    <x v="1715"/>
    <x v="1757"/>
    <x v="1727"/>
    <x v="1720"/>
    <x v="1717"/>
    <x v="1"/>
    <x v="0"/>
    <x v="0"/>
  </r>
  <r>
    <x v="1759"/>
    <x v="1723"/>
    <x v="604"/>
    <x v="206"/>
    <x v="1716"/>
    <x v="1758"/>
    <x v="1728"/>
    <x v="1721"/>
    <x v="1718"/>
    <x v="1"/>
    <x v="0"/>
    <x v="0"/>
  </r>
  <r>
    <x v="1760"/>
    <x v="1724"/>
    <x v="606"/>
    <x v="206"/>
    <x v="1717"/>
    <x v="1759"/>
    <x v="1729"/>
    <x v="1722"/>
    <x v="1719"/>
    <x v="1"/>
    <x v="0"/>
    <x v="0"/>
  </r>
  <r>
    <x v="1761"/>
    <x v="1725"/>
    <x v="544"/>
    <x v="207"/>
    <x v="1718"/>
    <x v="1760"/>
    <x v="1730"/>
    <x v="1723"/>
    <x v="1720"/>
    <x v="1"/>
    <x v="0"/>
    <x v="0"/>
  </r>
  <r>
    <x v="1762"/>
    <x v="1726"/>
    <x v="607"/>
    <x v="207"/>
    <x v="1719"/>
    <x v="1761"/>
    <x v="1731"/>
    <x v="1724"/>
    <x v="1721"/>
    <x v="1"/>
    <x v="0"/>
    <x v="0"/>
  </r>
  <r>
    <x v="1763"/>
    <x v="1727"/>
    <x v="607"/>
    <x v="207"/>
    <x v="1720"/>
    <x v="1762"/>
    <x v="1732"/>
    <x v="1725"/>
    <x v="1722"/>
    <x v="1"/>
    <x v="0"/>
    <x v="0"/>
  </r>
  <r>
    <x v="1764"/>
    <x v="1728"/>
    <x v="607"/>
    <x v="207"/>
    <x v="1721"/>
    <x v="1763"/>
    <x v="1733"/>
    <x v="1726"/>
    <x v="1723"/>
    <x v="1"/>
    <x v="0"/>
    <x v="0"/>
  </r>
  <r>
    <x v="1765"/>
    <x v="1729"/>
    <x v="607"/>
    <x v="207"/>
    <x v="1722"/>
    <x v="1764"/>
    <x v="1734"/>
    <x v="1727"/>
    <x v="1724"/>
    <x v="1"/>
    <x v="0"/>
    <x v="0"/>
  </r>
  <r>
    <x v="1766"/>
    <x v="1730"/>
    <x v="607"/>
    <x v="207"/>
    <x v="1723"/>
    <x v="1765"/>
    <x v="1735"/>
    <x v="1728"/>
    <x v="1725"/>
    <x v="1"/>
    <x v="0"/>
    <x v="0"/>
  </r>
  <r>
    <x v="1767"/>
    <x v="1731"/>
    <x v="607"/>
    <x v="207"/>
    <x v="1724"/>
    <x v="1766"/>
    <x v="1736"/>
    <x v="1729"/>
    <x v="1726"/>
    <x v="1"/>
    <x v="0"/>
    <x v="0"/>
  </r>
  <r>
    <x v="1768"/>
    <x v="1732"/>
    <x v="544"/>
    <x v="208"/>
    <x v="1725"/>
    <x v="1767"/>
    <x v="1737"/>
    <x v="1730"/>
    <x v="1727"/>
    <x v="1"/>
    <x v="0"/>
    <x v="0"/>
  </r>
  <r>
    <x v="1769"/>
    <x v="1733"/>
    <x v="608"/>
    <x v="208"/>
    <x v="1726"/>
    <x v="1768"/>
    <x v="1189"/>
    <x v="1731"/>
    <x v="1728"/>
    <x v="1"/>
    <x v="0"/>
    <x v="0"/>
  </r>
  <r>
    <x v="1770"/>
    <x v="1734"/>
    <x v="608"/>
    <x v="208"/>
    <x v="1727"/>
    <x v="1769"/>
    <x v="1738"/>
    <x v="1732"/>
    <x v="1729"/>
    <x v="1"/>
    <x v="0"/>
    <x v="0"/>
  </r>
  <r>
    <x v="1771"/>
    <x v="1735"/>
    <x v="544"/>
    <x v="208"/>
    <x v="1728"/>
    <x v="1770"/>
    <x v="1739"/>
    <x v="1733"/>
    <x v="1730"/>
    <x v="1"/>
    <x v="0"/>
    <x v="0"/>
  </r>
  <r>
    <x v="1772"/>
    <x v="1736"/>
    <x v="609"/>
    <x v="208"/>
    <x v="1729"/>
    <x v="1771"/>
    <x v="1740"/>
    <x v="1734"/>
    <x v="1731"/>
    <x v="1"/>
    <x v="0"/>
    <x v="0"/>
  </r>
  <r>
    <x v="1773"/>
    <x v="1737"/>
    <x v="608"/>
    <x v="208"/>
    <x v="1730"/>
    <x v="1772"/>
    <x v="868"/>
    <x v="1735"/>
    <x v="1732"/>
    <x v="1"/>
    <x v="0"/>
    <x v="0"/>
  </r>
  <r>
    <x v="1774"/>
    <x v="1738"/>
    <x v="608"/>
    <x v="208"/>
    <x v="1731"/>
    <x v="1773"/>
    <x v="1741"/>
    <x v="1736"/>
    <x v="1733"/>
    <x v="1"/>
    <x v="0"/>
    <x v="0"/>
  </r>
  <r>
    <x v="1775"/>
    <x v="1739"/>
    <x v="608"/>
    <x v="208"/>
    <x v="1732"/>
    <x v="1774"/>
    <x v="1742"/>
    <x v="1737"/>
    <x v="1734"/>
    <x v="1"/>
    <x v="0"/>
    <x v="0"/>
  </r>
  <r>
    <x v="1776"/>
    <x v="1740"/>
    <x v="608"/>
    <x v="208"/>
    <x v="1733"/>
    <x v="1775"/>
    <x v="1743"/>
    <x v="1738"/>
    <x v="1735"/>
    <x v="1"/>
    <x v="0"/>
    <x v="0"/>
  </r>
  <r>
    <x v="1777"/>
    <x v="1741"/>
    <x v="608"/>
    <x v="208"/>
    <x v="1734"/>
    <x v="1776"/>
    <x v="1744"/>
    <x v="1739"/>
    <x v="1736"/>
    <x v="1"/>
    <x v="0"/>
    <x v="0"/>
  </r>
  <r>
    <x v="1778"/>
    <x v="1742"/>
    <x v="610"/>
    <x v="208"/>
    <x v="1735"/>
    <x v="1777"/>
    <x v="1745"/>
    <x v="1740"/>
    <x v="1737"/>
    <x v="1"/>
    <x v="0"/>
    <x v="0"/>
  </r>
  <r>
    <x v="1779"/>
    <x v="1743"/>
    <x v="611"/>
    <x v="208"/>
    <x v="1736"/>
    <x v="1778"/>
    <x v="1746"/>
    <x v="1741"/>
    <x v="1738"/>
    <x v="1"/>
    <x v="0"/>
    <x v="0"/>
  </r>
  <r>
    <x v="1780"/>
    <x v="1744"/>
    <x v="608"/>
    <x v="208"/>
    <x v="1737"/>
    <x v="1779"/>
    <x v="1747"/>
    <x v="1742"/>
    <x v="1739"/>
    <x v="1"/>
    <x v="0"/>
    <x v="0"/>
  </r>
  <r>
    <x v="1781"/>
    <x v="1745"/>
    <x v="608"/>
    <x v="208"/>
    <x v="1738"/>
    <x v="1780"/>
    <x v="1748"/>
    <x v="1743"/>
    <x v="1740"/>
    <x v="1"/>
    <x v="0"/>
    <x v="0"/>
  </r>
  <r>
    <x v="1782"/>
    <x v="1746"/>
    <x v="608"/>
    <x v="208"/>
    <x v="1739"/>
    <x v="1781"/>
    <x v="1749"/>
    <x v="1744"/>
    <x v="1741"/>
    <x v="1"/>
    <x v="0"/>
    <x v="0"/>
  </r>
  <r>
    <x v="1783"/>
    <x v="1747"/>
    <x v="612"/>
    <x v="208"/>
    <x v="1740"/>
    <x v="1782"/>
    <x v="1750"/>
    <x v="1745"/>
    <x v="1742"/>
    <x v="1"/>
    <x v="0"/>
    <x v="0"/>
  </r>
  <r>
    <x v="1784"/>
    <x v="1748"/>
    <x v="608"/>
    <x v="208"/>
    <x v="1741"/>
    <x v="1783"/>
    <x v="1751"/>
    <x v="1746"/>
    <x v="1743"/>
    <x v="1"/>
    <x v="0"/>
    <x v="0"/>
  </r>
  <r>
    <x v="1785"/>
    <x v="354"/>
    <x v="613"/>
    <x v="209"/>
    <x v="353"/>
    <x v="1784"/>
    <x v="1752"/>
    <x v="354"/>
    <x v="354"/>
    <x v="1"/>
    <x v="0"/>
    <x v="0"/>
  </r>
  <r>
    <x v="1786"/>
    <x v="1749"/>
    <x v="613"/>
    <x v="209"/>
    <x v="1742"/>
    <x v="1785"/>
    <x v="1753"/>
    <x v="1747"/>
    <x v="1744"/>
    <x v="1"/>
    <x v="0"/>
    <x v="0"/>
  </r>
  <r>
    <x v="1787"/>
    <x v="1750"/>
    <x v="613"/>
    <x v="209"/>
    <x v="1743"/>
    <x v="1786"/>
    <x v="1754"/>
    <x v="1748"/>
    <x v="1745"/>
    <x v="1"/>
    <x v="0"/>
    <x v="0"/>
  </r>
  <r>
    <x v="1788"/>
    <x v="1751"/>
    <x v="614"/>
    <x v="210"/>
    <x v="1744"/>
    <x v="1787"/>
    <x v="1755"/>
    <x v="1749"/>
    <x v="1746"/>
    <x v="1"/>
    <x v="0"/>
    <x v="0"/>
  </r>
  <r>
    <x v="1789"/>
    <x v="1752"/>
    <x v="615"/>
    <x v="210"/>
    <x v="1745"/>
    <x v="1788"/>
    <x v="1756"/>
    <x v="1750"/>
    <x v="1747"/>
    <x v="1"/>
    <x v="0"/>
    <x v="0"/>
  </r>
  <r>
    <x v="1790"/>
    <x v="1753"/>
    <x v="615"/>
    <x v="210"/>
    <x v="1746"/>
    <x v="1789"/>
    <x v="1757"/>
    <x v="1751"/>
    <x v="1748"/>
    <x v="1"/>
    <x v="0"/>
    <x v="0"/>
  </r>
  <r>
    <x v="1791"/>
    <x v="1754"/>
    <x v="615"/>
    <x v="210"/>
    <x v="1747"/>
    <x v="1790"/>
    <x v="1269"/>
    <x v="1752"/>
    <x v="1749"/>
    <x v="1"/>
    <x v="0"/>
    <x v="0"/>
  </r>
  <r>
    <x v="1792"/>
    <x v="1755"/>
    <x v="616"/>
    <x v="211"/>
    <x v="1748"/>
    <x v="1791"/>
    <x v="1758"/>
    <x v="1753"/>
    <x v="1750"/>
    <x v="1"/>
    <x v="0"/>
    <x v="0"/>
  </r>
  <r>
    <x v="1793"/>
    <x v="1756"/>
    <x v="616"/>
    <x v="211"/>
    <x v="1748"/>
    <x v="1792"/>
    <x v="1759"/>
    <x v="1754"/>
    <x v="1751"/>
    <x v="1"/>
    <x v="0"/>
    <x v="0"/>
  </r>
  <r>
    <x v="1794"/>
    <x v="1757"/>
    <x v="616"/>
    <x v="211"/>
    <x v="1749"/>
    <x v="1793"/>
    <x v="1760"/>
    <x v="1755"/>
    <x v="1752"/>
    <x v="1"/>
    <x v="0"/>
    <x v="0"/>
  </r>
  <r>
    <x v="1795"/>
    <x v="1758"/>
    <x v="616"/>
    <x v="211"/>
    <x v="1750"/>
    <x v="1794"/>
    <x v="1761"/>
    <x v="1756"/>
    <x v="1753"/>
    <x v="1"/>
    <x v="0"/>
    <x v="0"/>
  </r>
  <r>
    <x v="1796"/>
    <x v="1759"/>
    <x v="617"/>
    <x v="212"/>
    <x v="1751"/>
    <x v="1795"/>
    <x v="1762"/>
    <x v="1757"/>
    <x v="1754"/>
    <x v="1"/>
    <x v="0"/>
    <x v="0"/>
  </r>
  <r>
    <x v="1797"/>
    <x v="1760"/>
    <x v="617"/>
    <x v="212"/>
    <x v="1752"/>
    <x v="1796"/>
    <x v="1763"/>
    <x v="1758"/>
    <x v="1755"/>
    <x v="1"/>
    <x v="0"/>
    <x v="0"/>
  </r>
  <r>
    <x v="1798"/>
    <x v="1761"/>
    <x v="617"/>
    <x v="212"/>
    <x v="1753"/>
    <x v="1797"/>
    <x v="1764"/>
    <x v="1759"/>
    <x v="1756"/>
    <x v="1"/>
    <x v="0"/>
    <x v="0"/>
  </r>
  <r>
    <x v="1799"/>
    <x v="1762"/>
    <x v="617"/>
    <x v="212"/>
    <x v="1754"/>
    <x v="1798"/>
    <x v="1765"/>
    <x v="1760"/>
    <x v="1757"/>
    <x v="1"/>
    <x v="0"/>
    <x v="0"/>
  </r>
  <r>
    <x v="1800"/>
    <x v="1763"/>
    <x v="618"/>
    <x v="213"/>
    <x v="1755"/>
    <x v="1799"/>
    <x v="1766"/>
    <x v="1761"/>
    <x v="1758"/>
    <x v="1"/>
    <x v="0"/>
    <x v="0"/>
  </r>
  <r>
    <x v="1801"/>
    <x v="1764"/>
    <x v="618"/>
    <x v="213"/>
    <x v="1756"/>
    <x v="1800"/>
    <x v="1767"/>
    <x v="1762"/>
    <x v="1759"/>
    <x v="1"/>
    <x v="0"/>
    <x v="0"/>
  </r>
  <r>
    <x v="1802"/>
    <x v="1765"/>
    <x v="618"/>
    <x v="213"/>
    <x v="1757"/>
    <x v="1801"/>
    <x v="826"/>
    <x v="1763"/>
    <x v="1760"/>
    <x v="1"/>
    <x v="0"/>
    <x v="0"/>
  </r>
  <r>
    <x v="1803"/>
    <x v="1766"/>
    <x v="619"/>
    <x v="213"/>
    <x v="1758"/>
    <x v="1802"/>
    <x v="1768"/>
    <x v="1764"/>
    <x v="1761"/>
    <x v="1"/>
    <x v="0"/>
    <x v="0"/>
  </r>
  <r>
    <x v="1804"/>
    <x v="1767"/>
    <x v="618"/>
    <x v="213"/>
    <x v="1759"/>
    <x v="1803"/>
    <x v="1769"/>
    <x v="1765"/>
    <x v="1762"/>
    <x v="1"/>
    <x v="0"/>
    <x v="0"/>
  </r>
  <r>
    <x v="1805"/>
    <x v="1768"/>
    <x v="618"/>
    <x v="213"/>
    <x v="1760"/>
    <x v="1804"/>
    <x v="1770"/>
    <x v="1766"/>
    <x v="1763"/>
    <x v="1"/>
    <x v="0"/>
    <x v="0"/>
  </r>
  <r>
    <x v="1806"/>
    <x v="1769"/>
    <x v="618"/>
    <x v="213"/>
    <x v="1761"/>
    <x v="1805"/>
    <x v="1771"/>
    <x v="1767"/>
    <x v="1764"/>
    <x v="1"/>
    <x v="0"/>
    <x v="0"/>
  </r>
  <r>
    <x v="1807"/>
    <x v="1770"/>
    <x v="618"/>
    <x v="213"/>
    <x v="1762"/>
    <x v="1806"/>
    <x v="1772"/>
    <x v="1768"/>
    <x v="1765"/>
    <x v="1"/>
    <x v="0"/>
    <x v="0"/>
  </r>
  <r>
    <x v="1808"/>
    <x v="1771"/>
    <x v="618"/>
    <x v="213"/>
    <x v="1763"/>
    <x v="1807"/>
    <x v="1773"/>
    <x v="1769"/>
    <x v="1766"/>
    <x v="1"/>
    <x v="0"/>
    <x v="0"/>
  </r>
  <r>
    <x v="1809"/>
    <x v="1772"/>
    <x v="620"/>
    <x v="214"/>
    <x v="1764"/>
    <x v="1808"/>
    <x v="1774"/>
    <x v="1770"/>
    <x v="1767"/>
    <x v="1"/>
    <x v="0"/>
    <x v="0"/>
  </r>
  <r>
    <x v="1810"/>
    <x v="1773"/>
    <x v="620"/>
    <x v="214"/>
    <x v="1765"/>
    <x v="1809"/>
    <x v="1775"/>
    <x v="1771"/>
    <x v="1768"/>
    <x v="1"/>
    <x v="0"/>
    <x v="0"/>
  </r>
  <r>
    <x v="1811"/>
    <x v="1774"/>
    <x v="621"/>
    <x v="214"/>
    <x v="1766"/>
    <x v="1810"/>
    <x v="1776"/>
    <x v="1772"/>
    <x v="1769"/>
    <x v="1"/>
    <x v="0"/>
    <x v="0"/>
  </r>
  <r>
    <x v="1812"/>
    <x v="1775"/>
    <x v="622"/>
    <x v="214"/>
    <x v="1767"/>
    <x v="1811"/>
    <x v="1777"/>
    <x v="1773"/>
    <x v="1770"/>
    <x v="1"/>
    <x v="0"/>
    <x v="0"/>
  </r>
  <r>
    <x v="1813"/>
    <x v="1776"/>
    <x v="620"/>
    <x v="214"/>
    <x v="1768"/>
    <x v="1812"/>
    <x v="1778"/>
    <x v="1774"/>
    <x v="1771"/>
    <x v="1"/>
    <x v="0"/>
    <x v="0"/>
  </r>
  <r>
    <x v="1814"/>
    <x v="1777"/>
    <x v="620"/>
    <x v="214"/>
    <x v="1769"/>
    <x v="1813"/>
    <x v="1779"/>
    <x v="1775"/>
    <x v="1772"/>
    <x v="1"/>
    <x v="0"/>
    <x v="0"/>
  </r>
  <r>
    <x v="1815"/>
    <x v="1778"/>
    <x v="620"/>
    <x v="214"/>
    <x v="1770"/>
    <x v="1814"/>
    <x v="1780"/>
    <x v="1776"/>
    <x v="1773"/>
    <x v="1"/>
    <x v="0"/>
    <x v="0"/>
  </r>
  <r>
    <x v="1816"/>
    <x v="1779"/>
    <x v="623"/>
    <x v="215"/>
    <x v="1771"/>
    <x v="1815"/>
    <x v="1781"/>
    <x v="1777"/>
    <x v="1774"/>
    <x v="1"/>
    <x v="0"/>
    <x v="0"/>
  </r>
  <r>
    <x v="1817"/>
    <x v="1780"/>
    <x v="623"/>
    <x v="215"/>
    <x v="1772"/>
    <x v="1816"/>
    <x v="1782"/>
    <x v="1778"/>
    <x v="1775"/>
    <x v="1"/>
    <x v="0"/>
    <x v="0"/>
  </r>
  <r>
    <x v="1818"/>
    <x v="1781"/>
    <x v="623"/>
    <x v="215"/>
    <x v="1773"/>
    <x v="1817"/>
    <x v="1783"/>
    <x v="1779"/>
    <x v="1776"/>
    <x v="1"/>
    <x v="0"/>
    <x v="0"/>
  </r>
  <r>
    <x v="1819"/>
    <x v="1782"/>
    <x v="623"/>
    <x v="215"/>
    <x v="1774"/>
    <x v="1818"/>
    <x v="1784"/>
    <x v="1780"/>
    <x v="1777"/>
    <x v="1"/>
    <x v="0"/>
    <x v="0"/>
  </r>
  <r>
    <x v="1820"/>
    <x v="1783"/>
    <x v="623"/>
    <x v="215"/>
    <x v="1775"/>
    <x v="1819"/>
    <x v="1785"/>
    <x v="1781"/>
    <x v="1778"/>
    <x v="1"/>
    <x v="0"/>
    <x v="0"/>
  </r>
  <r>
    <x v="1821"/>
    <x v="1784"/>
    <x v="623"/>
    <x v="215"/>
    <x v="1776"/>
    <x v="1820"/>
    <x v="1786"/>
    <x v="1782"/>
    <x v="1779"/>
    <x v="1"/>
    <x v="0"/>
    <x v="0"/>
  </r>
  <r>
    <x v="1822"/>
    <x v="1785"/>
    <x v="623"/>
    <x v="215"/>
    <x v="1777"/>
    <x v="1821"/>
    <x v="1787"/>
    <x v="1783"/>
    <x v="1780"/>
    <x v="1"/>
    <x v="0"/>
    <x v="0"/>
  </r>
  <r>
    <x v="1823"/>
    <x v="1786"/>
    <x v="623"/>
    <x v="215"/>
    <x v="1778"/>
    <x v="1822"/>
    <x v="1788"/>
    <x v="1784"/>
    <x v="1781"/>
    <x v="1"/>
    <x v="0"/>
    <x v="0"/>
  </r>
  <r>
    <x v="1824"/>
    <x v="1787"/>
    <x v="623"/>
    <x v="215"/>
    <x v="1779"/>
    <x v="1823"/>
    <x v="1789"/>
    <x v="1785"/>
    <x v="1782"/>
    <x v="1"/>
    <x v="0"/>
    <x v="0"/>
  </r>
  <r>
    <x v="1825"/>
    <x v="1788"/>
    <x v="624"/>
    <x v="216"/>
    <x v="1780"/>
    <x v="1824"/>
    <x v="1790"/>
    <x v="1786"/>
    <x v="1783"/>
    <x v="1"/>
    <x v="0"/>
    <x v="0"/>
  </r>
  <r>
    <x v="1826"/>
    <x v="1789"/>
    <x v="625"/>
    <x v="216"/>
    <x v="1781"/>
    <x v="1825"/>
    <x v="1791"/>
    <x v="1787"/>
    <x v="1784"/>
    <x v="1"/>
    <x v="0"/>
    <x v="0"/>
  </r>
  <r>
    <x v="1827"/>
    <x v="1790"/>
    <x v="625"/>
    <x v="216"/>
    <x v="1782"/>
    <x v="1826"/>
    <x v="1792"/>
    <x v="1788"/>
    <x v="1785"/>
    <x v="1"/>
    <x v="0"/>
    <x v="0"/>
  </r>
  <r>
    <x v="1828"/>
    <x v="1791"/>
    <x v="624"/>
    <x v="216"/>
    <x v="1783"/>
    <x v="1827"/>
    <x v="1793"/>
    <x v="1789"/>
    <x v="1786"/>
    <x v="1"/>
    <x v="0"/>
    <x v="0"/>
  </r>
  <r>
    <x v="1829"/>
    <x v="1792"/>
    <x v="624"/>
    <x v="216"/>
    <x v="1784"/>
    <x v="1828"/>
    <x v="1794"/>
    <x v="1790"/>
    <x v="1787"/>
    <x v="1"/>
    <x v="0"/>
    <x v="0"/>
  </r>
  <r>
    <x v="1830"/>
    <x v="1793"/>
    <x v="626"/>
    <x v="217"/>
    <x v="1785"/>
    <x v="1829"/>
    <x v="1795"/>
    <x v="1791"/>
    <x v="1788"/>
    <x v="1"/>
    <x v="0"/>
    <x v="0"/>
  </r>
  <r>
    <x v="1831"/>
    <x v="429"/>
    <x v="627"/>
    <x v="217"/>
    <x v="426"/>
    <x v="1830"/>
    <x v="1796"/>
    <x v="429"/>
    <x v="429"/>
    <x v="1"/>
    <x v="0"/>
    <x v="0"/>
  </r>
  <r>
    <x v="1832"/>
    <x v="613"/>
    <x v="627"/>
    <x v="217"/>
    <x v="609"/>
    <x v="1831"/>
    <x v="1797"/>
    <x v="613"/>
    <x v="613"/>
    <x v="1"/>
    <x v="0"/>
    <x v="0"/>
  </r>
  <r>
    <x v="1833"/>
    <x v="1794"/>
    <x v="626"/>
    <x v="217"/>
    <x v="1786"/>
    <x v="1832"/>
    <x v="1798"/>
    <x v="1792"/>
    <x v="1789"/>
    <x v="1"/>
    <x v="0"/>
    <x v="0"/>
  </r>
  <r>
    <x v="1834"/>
    <x v="1795"/>
    <x v="628"/>
    <x v="217"/>
    <x v="1787"/>
    <x v="1833"/>
    <x v="1799"/>
    <x v="1793"/>
    <x v="1790"/>
    <x v="1"/>
    <x v="0"/>
    <x v="0"/>
  </r>
  <r>
    <x v="1835"/>
    <x v="1796"/>
    <x v="628"/>
    <x v="217"/>
    <x v="1788"/>
    <x v="1834"/>
    <x v="1800"/>
    <x v="1794"/>
    <x v="1791"/>
    <x v="1"/>
    <x v="0"/>
    <x v="0"/>
  </r>
  <r>
    <x v="1836"/>
    <x v="1797"/>
    <x v="626"/>
    <x v="217"/>
    <x v="1789"/>
    <x v="1835"/>
    <x v="1801"/>
    <x v="1795"/>
    <x v="1726"/>
    <x v="1"/>
    <x v="0"/>
    <x v="0"/>
  </r>
  <r>
    <x v="1837"/>
    <x v="1798"/>
    <x v="626"/>
    <x v="217"/>
    <x v="1790"/>
    <x v="1836"/>
    <x v="1802"/>
    <x v="1796"/>
    <x v="1792"/>
    <x v="1"/>
    <x v="0"/>
    <x v="0"/>
  </r>
  <r>
    <x v="1838"/>
    <x v="1799"/>
    <x v="626"/>
    <x v="217"/>
    <x v="1791"/>
    <x v="1837"/>
    <x v="1803"/>
    <x v="1797"/>
    <x v="1793"/>
    <x v="1"/>
    <x v="0"/>
    <x v="0"/>
  </r>
  <r>
    <x v="1839"/>
    <x v="1800"/>
    <x v="626"/>
    <x v="217"/>
    <x v="1792"/>
    <x v="1838"/>
    <x v="1804"/>
    <x v="1798"/>
    <x v="1794"/>
    <x v="1"/>
    <x v="0"/>
    <x v="0"/>
  </r>
  <r>
    <x v="1840"/>
    <x v="1801"/>
    <x v="626"/>
    <x v="217"/>
    <x v="1793"/>
    <x v="1839"/>
    <x v="1802"/>
    <x v="1799"/>
    <x v="1795"/>
    <x v="1"/>
    <x v="0"/>
    <x v="0"/>
  </r>
  <r>
    <x v="1841"/>
    <x v="1802"/>
    <x v="626"/>
    <x v="217"/>
    <x v="1794"/>
    <x v="1840"/>
    <x v="1805"/>
    <x v="1800"/>
    <x v="1796"/>
    <x v="1"/>
    <x v="0"/>
    <x v="0"/>
  </r>
  <r>
    <x v="1842"/>
    <x v="1803"/>
    <x v="626"/>
    <x v="217"/>
    <x v="1795"/>
    <x v="1841"/>
    <x v="1806"/>
    <x v="1801"/>
    <x v="1797"/>
    <x v="1"/>
    <x v="0"/>
    <x v="0"/>
  </r>
  <r>
    <x v="1843"/>
    <x v="1804"/>
    <x v="626"/>
    <x v="217"/>
    <x v="1796"/>
    <x v="1842"/>
    <x v="1807"/>
    <x v="1802"/>
    <x v="1798"/>
    <x v="1"/>
    <x v="0"/>
    <x v="0"/>
  </r>
  <r>
    <x v="1844"/>
    <x v="1805"/>
    <x v="629"/>
    <x v="218"/>
    <x v="1797"/>
    <x v="1843"/>
    <x v="1808"/>
    <x v="1803"/>
    <x v="1799"/>
    <x v="1"/>
    <x v="0"/>
    <x v="0"/>
  </r>
  <r>
    <x v="1845"/>
    <x v="114"/>
    <x v="629"/>
    <x v="218"/>
    <x v="113"/>
    <x v="1844"/>
    <x v="1809"/>
    <x v="114"/>
    <x v="114"/>
    <x v="1"/>
    <x v="0"/>
    <x v="0"/>
  </r>
  <r>
    <x v="1846"/>
    <x v="1806"/>
    <x v="629"/>
    <x v="218"/>
    <x v="1798"/>
    <x v="1845"/>
    <x v="1810"/>
    <x v="1804"/>
    <x v="1800"/>
    <x v="1"/>
    <x v="0"/>
    <x v="0"/>
  </r>
  <r>
    <x v="1847"/>
    <x v="1807"/>
    <x v="630"/>
    <x v="218"/>
    <x v="1799"/>
    <x v="1846"/>
    <x v="1811"/>
    <x v="1805"/>
    <x v="1801"/>
    <x v="1"/>
    <x v="0"/>
    <x v="0"/>
  </r>
  <r>
    <x v="1848"/>
    <x v="1808"/>
    <x v="629"/>
    <x v="218"/>
    <x v="1800"/>
    <x v="1847"/>
    <x v="1812"/>
    <x v="1806"/>
    <x v="1802"/>
    <x v="1"/>
    <x v="0"/>
    <x v="0"/>
  </r>
  <r>
    <x v="1849"/>
    <x v="1809"/>
    <x v="629"/>
    <x v="218"/>
    <x v="1801"/>
    <x v="1848"/>
    <x v="1813"/>
    <x v="1807"/>
    <x v="1803"/>
    <x v="1"/>
    <x v="0"/>
    <x v="0"/>
  </r>
  <r>
    <x v="1850"/>
    <x v="1810"/>
    <x v="629"/>
    <x v="218"/>
    <x v="1802"/>
    <x v="1849"/>
    <x v="1814"/>
    <x v="1808"/>
    <x v="1804"/>
    <x v="1"/>
    <x v="0"/>
    <x v="0"/>
  </r>
  <r>
    <x v="1851"/>
    <x v="1811"/>
    <x v="629"/>
    <x v="218"/>
    <x v="1803"/>
    <x v="1850"/>
    <x v="1815"/>
    <x v="1809"/>
    <x v="1805"/>
    <x v="1"/>
    <x v="0"/>
    <x v="0"/>
  </r>
  <r>
    <x v="1852"/>
    <x v="1812"/>
    <x v="631"/>
    <x v="219"/>
    <x v="1804"/>
    <x v="1851"/>
    <x v="1816"/>
    <x v="1810"/>
    <x v="1806"/>
    <x v="1"/>
    <x v="0"/>
    <x v="0"/>
  </r>
  <r>
    <x v="1853"/>
    <x v="1813"/>
    <x v="631"/>
    <x v="219"/>
    <x v="1805"/>
    <x v="1852"/>
    <x v="1817"/>
    <x v="1811"/>
    <x v="1807"/>
    <x v="1"/>
    <x v="0"/>
    <x v="0"/>
  </r>
  <r>
    <x v="1854"/>
    <x v="1814"/>
    <x v="631"/>
    <x v="219"/>
    <x v="1806"/>
    <x v="1853"/>
    <x v="1818"/>
    <x v="1812"/>
    <x v="1808"/>
    <x v="1"/>
    <x v="0"/>
    <x v="0"/>
  </r>
  <r>
    <x v="1855"/>
    <x v="1815"/>
    <x v="631"/>
    <x v="219"/>
    <x v="1807"/>
    <x v="1854"/>
    <x v="1819"/>
    <x v="1813"/>
    <x v="1809"/>
    <x v="1"/>
    <x v="0"/>
    <x v="0"/>
  </r>
  <r>
    <x v="1856"/>
    <x v="1816"/>
    <x v="631"/>
    <x v="219"/>
    <x v="1808"/>
    <x v="1855"/>
    <x v="1820"/>
    <x v="1814"/>
    <x v="1810"/>
    <x v="1"/>
    <x v="0"/>
    <x v="0"/>
  </r>
  <r>
    <x v="1857"/>
    <x v="1817"/>
    <x v="632"/>
    <x v="219"/>
    <x v="1809"/>
    <x v="1856"/>
    <x v="1821"/>
    <x v="1815"/>
    <x v="1811"/>
    <x v="1"/>
    <x v="0"/>
    <x v="0"/>
  </r>
  <r>
    <x v="1858"/>
    <x v="1818"/>
    <x v="631"/>
    <x v="219"/>
    <x v="1810"/>
    <x v="1857"/>
    <x v="1822"/>
    <x v="1816"/>
    <x v="1812"/>
    <x v="1"/>
    <x v="0"/>
    <x v="0"/>
  </r>
  <r>
    <x v="1859"/>
    <x v="1231"/>
    <x v="633"/>
    <x v="220"/>
    <x v="1225"/>
    <x v="1858"/>
    <x v="1823"/>
    <x v="1230"/>
    <x v="1228"/>
    <x v="1"/>
    <x v="0"/>
    <x v="0"/>
  </r>
  <r>
    <x v="1860"/>
    <x v="1516"/>
    <x v="633"/>
    <x v="220"/>
    <x v="1510"/>
    <x v="1859"/>
    <x v="1518"/>
    <x v="1515"/>
    <x v="1512"/>
    <x v="1"/>
    <x v="0"/>
    <x v="0"/>
  </r>
  <r>
    <x v="1861"/>
    <x v="1819"/>
    <x v="633"/>
    <x v="220"/>
    <x v="1811"/>
    <x v="1860"/>
    <x v="1824"/>
    <x v="1817"/>
    <x v="1813"/>
    <x v="1"/>
    <x v="0"/>
    <x v="0"/>
  </r>
  <r>
    <x v="1862"/>
    <x v="1820"/>
    <x v="633"/>
    <x v="220"/>
    <x v="1812"/>
    <x v="1861"/>
    <x v="1825"/>
    <x v="1818"/>
    <x v="1814"/>
    <x v="1"/>
    <x v="0"/>
    <x v="0"/>
  </r>
  <r>
    <x v="1863"/>
    <x v="1821"/>
    <x v="633"/>
    <x v="220"/>
    <x v="1813"/>
    <x v="1862"/>
    <x v="1826"/>
    <x v="1819"/>
    <x v="1815"/>
    <x v="1"/>
    <x v="0"/>
    <x v="0"/>
  </r>
  <r>
    <x v="1864"/>
    <x v="1822"/>
    <x v="634"/>
    <x v="220"/>
    <x v="1814"/>
    <x v="1863"/>
    <x v="1827"/>
    <x v="1820"/>
    <x v="1816"/>
    <x v="1"/>
    <x v="0"/>
    <x v="0"/>
  </r>
  <r>
    <x v="1865"/>
    <x v="1823"/>
    <x v="635"/>
    <x v="220"/>
    <x v="1815"/>
    <x v="1864"/>
    <x v="1828"/>
    <x v="1821"/>
    <x v="1817"/>
    <x v="1"/>
    <x v="0"/>
    <x v="0"/>
  </r>
  <r>
    <x v="1866"/>
    <x v="1673"/>
    <x v="636"/>
    <x v="220"/>
    <x v="1666"/>
    <x v="1704"/>
    <x v="1677"/>
    <x v="1672"/>
    <x v="1668"/>
    <x v="1"/>
    <x v="0"/>
    <x v="0"/>
  </r>
  <r>
    <x v="1867"/>
    <x v="1824"/>
    <x v="635"/>
    <x v="220"/>
    <x v="1816"/>
    <x v="1865"/>
    <x v="1829"/>
    <x v="1822"/>
    <x v="1818"/>
    <x v="1"/>
    <x v="0"/>
    <x v="0"/>
  </r>
  <r>
    <x v="1868"/>
    <x v="1825"/>
    <x v="637"/>
    <x v="220"/>
    <x v="1817"/>
    <x v="1866"/>
    <x v="1830"/>
    <x v="1823"/>
    <x v="1819"/>
    <x v="1"/>
    <x v="0"/>
    <x v="0"/>
  </r>
  <r>
    <x v="1869"/>
    <x v="1826"/>
    <x v="637"/>
    <x v="220"/>
    <x v="1818"/>
    <x v="1867"/>
    <x v="1831"/>
    <x v="1824"/>
    <x v="1820"/>
    <x v="1"/>
    <x v="0"/>
    <x v="0"/>
  </r>
  <r>
    <x v="1870"/>
    <x v="61"/>
    <x v="637"/>
    <x v="220"/>
    <x v="60"/>
    <x v="1868"/>
    <x v="61"/>
    <x v="61"/>
    <x v="61"/>
    <x v="1"/>
    <x v="0"/>
    <x v="0"/>
  </r>
  <r>
    <x v="1871"/>
    <x v="1827"/>
    <x v="637"/>
    <x v="220"/>
    <x v="1819"/>
    <x v="1869"/>
    <x v="1832"/>
    <x v="1825"/>
    <x v="1821"/>
    <x v="1"/>
    <x v="0"/>
    <x v="0"/>
  </r>
  <r>
    <x v="1872"/>
    <x v="1828"/>
    <x v="638"/>
    <x v="220"/>
    <x v="1820"/>
    <x v="1870"/>
    <x v="1833"/>
    <x v="1826"/>
    <x v="1822"/>
    <x v="1"/>
    <x v="0"/>
    <x v="0"/>
  </r>
  <r>
    <x v="1873"/>
    <x v="1829"/>
    <x v="638"/>
    <x v="220"/>
    <x v="1821"/>
    <x v="1871"/>
    <x v="1834"/>
    <x v="1827"/>
    <x v="1823"/>
    <x v="1"/>
    <x v="0"/>
    <x v="0"/>
  </r>
  <r>
    <x v="1874"/>
    <x v="1830"/>
    <x v="639"/>
    <x v="220"/>
    <x v="1822"/>
    <x v="1872"/>
    <x v="1835"/>
    <x v="1828"/>
    <x v="1824"/>
    <x v="1"/>
    <x v="0"/>
    <x v="0"/>
  </r>
  <r>
    <x v="1875"/>
    <x v="1831"/>
    <x v="640"/>
    <x v="221"/>
    <x v="1823"/>
    <x v="1873"/>
    <x v="1836"/>
    <x v="1829"/>
    <x v="1825"/>
    <x v="1"/>
    <x v="0"/>
    <x v="0"/>
  </r>
  <r>
    <x v="1876"/>
    <x v="1832"/>
    <x v="641"/>
    <x v="221"/>
    <x v="1824"/>
    <x v="1874"/>
    <x v="1837"/>
    <x v="1830"/>
    <x v="1826"/>
    <x v="1"/>
    <x v="0"/>
    <x v="0"/>
  </r>
  <r>
    <x v="1877"/>
    <x v="1833"/>
    <x v="642"/>
    <x v="221"/>
    <x v="1825"/>
    <x v="1875"/>
    <x v="1838"/>
    <x v="1831"/>
    <x v="1827"/>
    <x v="1"/>
    <x v="0"/>
    <x v="0"/>
  </r>
  <r>
    <x v="1878"/>
    <x v="1834"/>
    <x v="642"/>
    <x v="221"/>
    <x v="1826"/>
    <x v="1876"/>
    <x v="1839"/>
    <x v="1832"/>
    <x v="1828"/>
    <x v="1"/>
    <x v="0"/>
    <x v="0"/>
  </r>
  <r>
    <x v="1879"/>
    <x v="1835"/>
    <x v="643"/>
    <x v="222"/>
    <x v="1827"/>
    <x v="1877"/>
    <x v="1840"/>
    <x v="1833"/>
    <x v="1829"/>
    <x v="1"/>
    <x v="0"/>
    <x v="0"/>
  </r>
  <r>
    <x v="1880"/>
    <x v="1836"/>
    <x v="644"/>
    <x v="222"/>
    <x v="295"/>
    <x v="1878"/>
    <x v="1841"/>
    <x v="1834"/>
    <x v="1830"/>
    <x v="1"/>
    <x v="0"/>
    <x v="0"/>
  </r>
  <r>
    <x v="1881"/>
    <x v="1837"/>
    <x v="644"/>
    <x v="222"/>
    <x v="1828"/>
    <x v="1879"/>
    <x v="1842"/>
    <x v="1835"/>
    <x v="1831"/>
    <x v="1"/>
    <x v="0"/>
    <x v="0"/>
  </r>
  <r>
    <x v="1882"/>
    <x v="1838"/>
    <x v="644"/>
    <x v="222"/>
    <x v="1829"/>
    <x v="1880"/>
    <x v="1843"/>
    <x v="1836"/>
    <x v="1832"/>
    <x v="1"/>
    <x v="0"/>
    <x v="0"/>
  </r>
  <r>
    <x v="1883"/>
    <x v="1839"/>
    <x v="644"/>
    <x v="222"/>
    <x v="1830"/>
    <x v="1881"/>
    <x v="1844"/>
    <x v="1837"/>
    <x v="1833"/>
    <x v="1"/>
    <x v="0"/>
    <x v="0"/>
  </r>
  <r>
    <x v="1884"/>
    <x v="1840"/>
    <x v="645"/>
    <x v="222"/>
    <x v="1831"/>
    <x v="1882"/>
    <x v="1845"/>
    <x v="1838"/>
    <x v="1834"/>
    <x v="1"/>
    <x v="0"/>
    <x v="0"/>
  </r>
  <r>
    <x v="1885"/>
    <x v="1841"/>
    <x v="645"/>
    <x v="222"/>
    <x v="1832"/>
    <x v="1883"/>
    <x v="1846"/>
    <x v="1839"/>
    <x v="1835"/>
    <x v="1"/>
    <x v="0"/>
    <x v="0"/>
  </r>
  <r>
    <x v="1886"/>
    <x v="1842"/>
    <x v="645"/>
    <x v="222"/>
    <x v="1833"/>
    <x v="1884"/>
    <x v="1847"/>
    <x v="1840"/>
    <x v="1836"/>
    <x v="1"/>
    <x v="0"/>
    <x v="0"/>
  </r>
  <r>
    <x v="1887"/>
    <x v="1843"/>
    <x v="645"/>
    <x v="222"/>
    <x v="1834"/>
    <x v="1885"/>
    <x v="1848"/>
    <x v="1841"/>
    <x v="1837"/>
    <x v="1"/>
    <x v="0"/>
    <x v="0"/>
  </r>
  <r>
    <x v="1888"/>
    <x v="1844"/>
    <x v="645"/>
    <x v="222"/>
    <x v="1835"/>
    <x v="1886"/>
    <x v="1849"/>
    <x v="1842"/>
    <x v="1838"/>
    <x v="1"/>
    <x v="0"/>
    <x v="0"/>
  </r>
  <r>
    <x v="1889"/>
    <x v="1845"/>
    <x v="646"/>
    <x v="223"/>
    <x v="1836"/>
    <x v="1887"/>
    <x v="1850"/>
    <x v="1843"/>
    <x v="1839"/>
    <x v="1"/>
    <x v="0"/>
    <x v="0"/>
  </r>
  <r>
    <x v="1890"/>
    <x v="1846"/>
    <x v="646"/>
    <x v="223"/>
    <x v="1837"/>
    <x v="1888"/>
    <x v="1165"/>
    <x v="1844"/>
    <x v="1840"/>
    <x v="1"/>
    <x v="0"/>
    <x v="0"/>
  </r>
  <r>
    <x v="1891"/>
    <x v="1847"/>
    <x v="647"/>
    <x v="223"/>
    <x v="1838"/>
    <x v="1889"/>
    <x v="1851"/>
    <x v="1845"/>
    <x v="1841"/>
    <x v="1"/>
    <x v="0"/>
    <x v="0"/>
  </r>
  <r>
    <x v="1892"/>
    <x v="1848"/>
    <x v="646"/>
    <x v="223"/>
    <x v="1839"/>
    <x v="1890"/>
    <x v="1852"/>
    <x v="1846"/>
    <x v="1842"/>
    <x v="1"/>
    <x v="0"/>
    <x v="0"/>
  </r>
  <r>
    <x v="1893"/>
    <x v="1849"/>
    <x v="646"/>
    <x v="223"/>
    <x v="1840"/>
    <x v="1891"/>
    <x v="1853"/>
    <x v="1847"/>
    <x v="1843"/>
    <x v="1"/>
    <x v="0"/>
    <x v="0"/>
  </r>
  <r>
    <x v="1894"/>
    <x v="113"/>
    <x v="648"/>
    <x v="224"/>
    <x v="112"/>
    <x v="1892"/>
    <x v="1854"/>
    <x v="113"/>
    <x v="113"/>
    <x v="1"/>
    <x v="0"/>
    <x v="0"/>
  </r>
  <r>
    <x v="1895"/>
    <x v="1850"/>
    <x v="648"/>
    <x v="224"/>
    <x v="1841"/>
    <x v="1893"/>
    <x v="1855"/>
    <x v="1848"/>
    <x v="1844"/>
    <x v="1"/>
    <x v="0"/>
    <x v="0"/>
  </r>
  <r>
    <x v="1896"/>
    <x v="1851"/>
    <x v="649"/>
    <x v="224"/>
    <x v="1842"/>
    <x v="1894"/>
    <x v="1856"/>
    <x v="1849"/>
    <x v="1845"/>
    <x v="1"/>
    <x v="0"/>
    <x v="0"/>
  </r>
  <r>
    <x v="1897"/>
    <x v="1852"/>
    <x v="649"/>
    <x v="224"/>
    <x v="1843"/>
    <x v="1895"/>
    <x v="1857"/>
    <x v="1850"/>
    <x v="1846"/>
    <x v="1"/>
    <x v="0"/>
    <x v="0"/>
  </r>
  <r>
    <x v="1898"/>
    <x v="1853"/>
    <x v="649"/>
    <x v="224"/>
    <x v="1844"/>
    <x v="1896"/>
    <x v="1858"/>
    <x v="1851"/>
    <x v="1847"/>
    <x v="1"/>
    <x v="0"/>
    <x v="0"/>
  </r>
  <r>
    <x v="1899"/>
    <x v="1854"/>
    <x v="650"/>
    <x v="225"/>
    <x v="1845"/>
    <x v="1897"/>
    <x v="1859"/>
    <x v="1852"/>
    <x v="1848"/>
    <x v="1"/>
    <x v="0"/>
    <x v="0"/>
  </r>
  <r>
    <x v="1900"/>
    <x v="1855"/>
    <x v="650"/>
    <x v="225"/>
    <x v="1846"/>
    <x v="1898"/>
    <x v="1860"/>
    <x v="1853"/>
    <x v="1849"/>
    <x v="1"/>
    <x v="0"/>
    <x v="0"/>
  </r>
  <r>
    <x v="1901"/>
    <x v="1856"/>
    <x v="651"/>
    <x v="225"/>
    <x v="1847"/>
    <x v="1899"/>
    <x v="1861"/>
    <x v="1854"/>
    <x v="1850"/>
    <x v="1"/>
    <x v="0"/>
    <x v="0"/>
  </r>
  <r>
    <x v="1902"/>
    <x v="1857"/>
    <x v="652"/>
    <x v="225"/>
    <x v="1848"/>
    <x v="1900"/>
    <x v="1862"/>
    <x v="1855"/>
    <x v="1851"/>
    <x v="1"/>
    <x v="0"/>
    <x v="0"/>
  </r>
  <r>
    <x v="1903"/>
    <x v="1858"/>
    <x v="652"/>
    <x v="225"/>
    <x v="1849"/>
    <x v="1901"/>
    <x v="1863"/>
    <x v="1856"/>
    <x v="1852"/>
    <x v="1"/>
    <x v="0"/>
    <x v="0"/>
  </r>
  <r>
    <x v="1904"/>
    <x v="1859"/>
    <x v="652"/>
    <x v="225"/>
    <x v="1850"/>
    <x v="1902"/>
    <x v="1864"/>
    <x v="1857"/>
    <x v="1853"/>
    <x v="1"/>
    <x v="0"/>
    <x v="0"/>
  </r>
  <r>
    <x v="1905"/>
    <x v="1860"/>
    <x v="652"/>
    <x v="225"/>
    <x v="1851"/>
    <x v="1903"/>
    <x v="1865"/>
    <x v="1858"/>
    <x v="1854"/>
    <x v="1"/>
    <x v="0"/>
    <x v="0"/>
  </r>
  <r>
    <x v="1906"/>
    <x v="1861"/>
    <x v="652"/>
    <x v="225"/>
    <x v="1852"/>
    <x v="1904"/>
    <x v="1866"/>
    <x v="1859"/>
    <x v="1855"/>
    <x v="1"/>
    <x v="0"/>
    <x v="0"/>
  </r>
  <r>
    <x v="1907"/>
    <x v="1862"/>
    <x v="653"/>
    <x v="225"/>
    <x v="1853"/>
    <x v="1905"/>
    <x v="1867"/>
    <x v="1860"/>
    <x v="1856"/>
    <x v="1"/>
    <x v="0"/>
    <x v="0"/>
  </r>
  <r>
    <x v="1908"/>
    <x v="1863"/>
    <x v="643"/>
    <x v="226"/>
    <x v="1854"/>
    <x v="1906"/>
    <x v="1868"/>
    <x v="1861"/>
    <x v="1857"/>
    <x v="1"/>
    <x v="0"/>
    <x v="0"/>
  </r>
  <r>
    <x v="1909"/>
    <x v="1864"/>
    <x v="654"/>
    <x v="226"/>
    <x v="1855"/>
    <x v="1907"/>
    <x v="1869"/>
    <x v="1862"/>
    <x v="1858"/>
    <x v="1"/>
    <x v="0"/>
    <x v="0"/>
  </r>
  <r>
    <x v="1910"/>
    <x v="1865"/>
    <x v="655"/>
    <x v="226"/>
    <x v="1856"/>
    <x v="1908"/>
    <x v="1870"/>
    <x v="1863"/>
    <x v="1859"/>
    <x v="1"/>
    <x v="0"/>
    <x v="0"/>
  </r>
  <r>
    <x v="1911"/>
    <x v="1866"/>
    <x v="656"/>
    <x v="226"/>
    <x v="1857"/>
    <x v="1909"/>
    <x v="1871"/>
    <x v="1864"/>
    <x v="1860"/>
    <x v="1"/>
    <x v="0"/>
    <x v="0"/>
  </r>
  <r>
    <x v="1912"/>
    <x v="1867"/>
    <x v="655"/>
    <x v="226"/>
    <x v="1858"/>
    <x v="1910"/>
    <x v="1872"/>
    <x v="1865"/>
    <x v="1861"/>
    <x v="1"/>
    <x v="0"/>
    <x v="0"/>
  </r>
  <r>
    <x v="1913"/>
    <x v="1868"/>
    <x v="657"/>
    <x v="226"/>
    <x v="1859"/>
    <x v="1911"/>
    <x v="1873"/>
    <x v="1866"/>
    <x v="1862"/>
    <x v="1"/>
    <x v="0"/>
    <x v="0"/>
  </r>
  <r>
    <x v="1914"/>
    <x v="1869"/>
    <x v="655"/>
    <x v="226"/>
    <x v="1860"/>
    <x v="1912"/>
    <x v="1874"/>
    <x v="1867"/>
    <x v="1863"/>
    <x v="1"/>
    <x v="0"/>
    <x v="0"/>
  </r>
  <r>
    <x v="1915"/>
    <x v="1870"/>
    <x v="658"/>
    <x v="226"/>
    <x v="1861"/>
    <x v="1913"/>
    <x v="1875"/>
    <x v="1868"/>
    <x v="1864"/>
    <x v="1"/>
    <x v="0"/>
    <x v="0"/>
  </r>
  <r>
    <x v="1916"/>
    <x v="1871"/>
    <x v="658"/>
    <x v="226"/>
    <x v="1862"/>
    <x v="1914"/>
    <x v="1876"/>
    <x v="1869"/>
    <x v="1865"/>
    <x v="1"/>
    <x v="0"/>
    <x v="0"/>
  </r>
  <r>
    <x v="1917"/>
    <x v="1872"/>
    <x v="659"/>
    <x v="227"/>
    <x v="1863"/>
    <x v="1915"/>
    <x v="1877"/>
    <x v="1870"/>
    <x v="1866"/>
    <x v="1"/>
    <x v="0"/>
    <x v="0"/>
  </r>
  <r>
    <x v="1918"/>
    <x v="1873"/>
    <x v="660"/>
    <x v="227"/>
    <x v="1864"/>
    <x v="1916"/>
    <x v="1878"/>
    <x v="1871"/>
    <x v="1867"/>
    <x v="1"/>
    <x v="0"/>
    <x v="0"/>
  </r>
  <r>
    <x v="1919"/>
    <x v="1874"/>
    <x v="659"/>
    <x v="227"/>
    <x v="1865"/>
    <x v="1917"/>
    <x v="1879"/>
    <x v="1872"/>
    <x v="1868"/>
    <x v="1"/>
    <x v="0"/>
    <x v="0"/>
  </r>
  <r>
    <x v="1920"/>
    <x v="1875"/>
    <x v="661"/>
    <x v="227"/>
    <x v="1866"/>
    <x v="1918"/>
    <x v="1880"/>
    <x v="1873"/>
    <x v="1869"/>
    <x v="1"/>
    <x v="0"/>
    <x v="0"/>
  </r>
  <r>
    <x v="1921"/>
    <x v="1876"/>
    <x v="659"/>
    <x v="227"/>
    <x v="1867"/>
    <x v="1919"/>
    <x v="1881"/>
    <x v="1874"/>
    <x v="1870"/>
    <x v="1"/>
    <x v="0"/>
    <x v="0"/>
  </r>
  <r>
    <x v="1922"/>
    <x v="1877"/>
    <x v="662"/>
    <x v="228"/>
    <x v="1868"/>
    <x v="1920"/>
    <x v="1882"/>
    <x v="1875"/>
    <x v="1871"/>
    <x v="1"/>
    <x v="0"/>
    <x v="0"/>
  </r>
  <r>
    <x v="1923"/>
    <x v="1878"/>
    <x v="663"/>
    <x v="228"/>
    <x v="1869"/>
    <x v="1921"/>
    <x v="1883"/>
    <x v="1876"/>
    <x v="1872"/>
    <x v="1"/>
    <x v="0"/>
    <x v="0"/>
  </r>
  <r>
    <x v="1924"/>
    <x v="1879"/>
    <x v="663"/>
    <x v="228"/>
    <x v="1870"/>
    <x v="1922"/>
    <x v="1884"/>
    <x v="1877"/>
    <x v="1873"/>
    <x v="1"/>
    <x v="0"/>
    <x v="0"/>
  </r>
  <r>
    <x v="1925"/>
    <x v="1880"/>
    <x v="663"/>
    <x v="228"/>
    <x v="1871"/>
    <x v="1923"/>
    <x v="1885"/>
    <x v="1878"/>
    <x v="1874"/>
    <x v="1"/>
    <x v="0"/>
    <x v="0"/>
  </r>
  <r>
    <x v="1926"/>
    <x v="1881"/>
    <x v="664"/>
    <x v="229"/>
    <x v="1872"/>
    <x v="1924"/>
    <x v="1886"/>
    <x v="1879"/>
    <x v="1875"/>
    <x v="1"/>
    <x v="0"/>
    <x v="0"/>
  </r>
  <r>
    <x v="1927"/>
    <x v="1882"/>
    <x v="664"/>
    <x v="229"/>
    <x v="1873"/>
    <x v="1925"/>
    <x v="1887"/>
    <x v="1880"/>
    <x v="1876"/>
    <x v="1"/>
    <x v="0"/>
    <x v="0"/>
  </r>
  <r>
    <x v="1928"/>
    <x v="1883"/>
    <x v="664"/>
    <x v="229"/>
    <x v="1874"/>
    <x v="1926"/>
    <x v="1888"/>
    <x v="1881"/>
    <x v="1877"/>
    <x v="1"/>
    <x v="0"/>
    <x v="0"/>
  </r>
  <r>
    <x v="1929"/>
    <x v="1884"/>
    <x v="664"/>
    <x v="229"/>
    <x v="1875"/>
    <x v="1927"/>
    <x v="1889"/>
    <x v="1882"/>
    <x v="1878"/>
    <x v="1"/>
    <x v="0"/>
    <x v="0"/>
  </r>
  <r>
    <x v="1930"/>
    <x v="1885"/>
    <x v="665"/>
    <x v="230"/>
    <x v="1876"/>
    <x v="1928"/>
    <x v="1890"/>
    <x v="1883"/>
    <x v="1879"/>
    <x v="1"/>
    <x v="0"/>
    <x v="0"/>
  </r>
  <r>
    <x v="1931"/>
    <x v="1886"/>
    <x v="665"/>
    <x v="230"/>
    <x v="1877"/>
    <x v="1929"/>
    <x v="1891"/>
    <x v="1884"/>
    <x v="1880"/>
    <x v="1"/>
    <x v="0"/>
    <x v="0"/>
  </r>
  <r>
    <x v="1932"/>
    <x v="1887"/>
    <x v="666"/>
    <x v="230"/>
    <x v="1878"/>
    <x v="1930"/>
    <x v="1892"/>
    <x v="1885"/>
    <x v="1881"/>
    <x v="1"/>
    <x v="0"/>
    <x v="0"/>
  </r>
  <r>
    <x v="1933"/>
    <x v="1888"/>
    <x v="665"/>
    <x v="230"/>
    <x v="1879"/>
    <x v="1931"/>
    <x v="1893"/>
    <x v="1886"/>
    <x v="1882"/>
    <x v="1"/>
    <x v="0"/>
    <x v="0"/>
  </r>
  <r>
    <x v="1934"/>
    <x v="112"/>
    <x v="665"/>
    <x v="230"/>
    <x v="111"/>
    <x v="1932"/>
    <x v="1894"/>
    <x v="112"/>
    <x v="112"/>
    <x v="1"/>
    <x v="0"/>
    <x v="0"/>
  </r>
  <r>
    <x v="1935"/>
    <x v="111"/>
    <x v="666"/>
    <x v="230"/>
    <x v="110"/>
    <x v="1933"/>
    <x v="1895"/>
    <x v="111"/>
    <x v="111"/>
    <x v="1"/>
    <x v="0"/>
    <x v="0"/>
  </r>
  <r>
    <x v="1936"/>
    <x v="1889"/>
    <x v="665"/>
    <x v="230"/>
    <x v="1880"/>
    <x v="1934"/>
    <x v="1896"/>
    <x v="1887"/>
    <x v="1883"/>
    <x v="1"/>
    <x v="0"/>
    <x v="0"/>
  </r>
  <r>
    <x v="1937"/>
    <x v="1890"/>
    <x v="667"/>
    <x v="231"/>
    <x v="1881"/>
    <x v="1935"/>
    <x v="1897"/>
    <x v="1888"/>
    <x v="1884"/>
    <x v="1"/>
    <x v="0"/>
    <x v="0"/>
  </r>
  <r>
    <x v="1938"/>
    <x v="1891"/>
    <x v="667"/>
    <x v="231"/>
    <x v="1882"/>
    <x v="1936"/>
    <x v="153"/>
    <x v="1889"/>
    <x v="1885"/>
    <x v="1"/>
    <x v="0"/>
    <x v="0"/>
  </r>
  <r>
    <x v="1939"/>
    <x v="1892"/>
    <x v="667"/>
    <x v="231"/>
    <x v="1883"/>
    <x v="1937"/>
    <x v="1898"/>
    <x v="1890"/>
    <x v="1886"/>
    <x v="1"/>
    <x v="0"/>
    <x v="0"/>
  </r>
  <r>
    <x v="1940"/>
    <x v="1893"/>
    <x v="667"/>
    <x v="231"/>
    <x v="1884"/>
    <x v="1938"/>
    <x v="1899"/>
    <x v="1891"/>
    <x v="1887"/>
    <x v="1"/>
    <x v="0"/>
    <x v="0"/>
  </r>
  <r>
    <x v="1941"/>
    <x v="1894"/>
    <x v="668"/>
    <x v="231"/>
    <x v="1885"/>
    <x v="1939"/>
    <x v="1900"/>
    <x v="1892"/>
    <x v="1888"/>
    <x v="1"/>
    <x v="0"/>
    <x v="0"/>
  </r>
  <r>
    <x v="1942"/>
    <x v="1895"/>
    <x v="668"/>
    <x v="231"/>
    <x v="1886"/>
    <x v="1940"/>
    <x v="1901"/>
    <x v="1893"/>
    <x v="1889"/>
    <x v="1"/>
    <x v="0"/>
    <x v="0"/>
  </r>
  <r>
    <x v="1943"/>
    <x v="1896"/>
    <x v="668"/>
    <x v="231"/>
    <x v="1887"/>
    <x v="1941"/>
    <x v="1902"/>
    <x v="1894"/>
    <x v="1890"/>
    <x v="1"/>
    <x v="0"/>
    <x v="0"/>
  </r>
  <r>
    <x v="1944"/>
    <x v="1897"/>
    <x v="668"/>
    <x v="231"/>
    <x v="1888"/>
    <x v="1942"/>
    <x v="1902"/>
    <x v="1895"/>
    <x v="1891"/>
    <x v="1"/>
    <x v="0"/>
    <x v="0"/>
  </r>
  <r>
    <x v="1945"/>
    <x v="1898"/>
    <x v="668"/>
    <x v="231"/>
    <x v="1889"/>
    <x v="1943"/>
    <x v="1903"/>
    <x v="1896"/>
    <x v="1892"/>
    <x v="1"/>
    <x v="0"/>
    <x v="0"/>
  </r>
  <r>
    <x v="1946"/>
    <x v="1899"/>
    <x v="668"/>
    <x v="231"/>
    <x v="430"/>
    <x v="1944"/>
    <x v="1904"/>
    <x v="1897"/>
    <x v="1893"/>
    <x v="1"/>
    <x v="0"/>
    <x v="0"/>
  </r>
  <r>
    <x v="1947"/>
    <x v="1900"/>
    <x v="668"/>
    <x v="231"/>
    <x v="1890"/>
    <x v="1945"/>
    <x v="1905"/>
    <x v="1898"/>
    <x v="1894"/>
    <x v="1"/>
    <x v="0"/>
    <x v="0"/>
  </r>
  <r>
    <x v="1948"/>
    <x v="1901"/>
    <x v="643"/>
    <x v="232"/>
    <x v="1891"/>
    <x v="1946"/>
    <x v="1906"/>
    <x v="1899"/>
    <x v="1895"/>
    <x v="1"/>
    <x v="0"/>
    <x v="0"/>
  </r>
  <r>
    <x v="1949"/>
    <x v="1902"/>
    <x v="669"/>
    <x v="232"/>
    <x v="1892"/>
    <x v="1947"/>
    <x v="1907"/>
    <x v="1900"/>
    <x v="1896"/>
    <x v="1"/>
    <x v="0"/>
    <x v="0"/>
  </r>
  <r>
    <x v="1950"/>
    <x v="1903"/>
    <x v="669"/>
    <x v="232"/>
    <x v="1893"/>
    <x v="1948"/>
    <x v="1908"/>
    <x v="1901"/>
    <x v="1897"/>
    <x v="1"/>
    <x v="0"/>
    <x v="0"/>
  </r>
  <r>
    <x v="1951"/>
    <x v="1904"/>
    <x v="669"/>
    <x v="232"/>
    <x v="1894"/>
    <x v="1949"/>
    <x v="1424"/>
    <x v="1902"/>
    <x v="1898"/>
    <x v="1"/>
    <x v="0"/>
    <x v="0"/>
  </r>
  <r>
    <x v="1952"/>
    <x v="1905"/>
    <x v="670"/>
    <x v="232"/>
    <x v="1895"/>
    <x v="1950"/>
    <x v="1909"/>
    <x v="1903"/>
    <x v="1899"/>
    <x v="1"/>
    <x v="0"/>
    <x v="0"/>
  </r>
  <r>
    <x v="1953"/>
    <x v="1906"/>
    <x v="669"/>
    <x v="232"/>
    <x v="1896"/>
    <x v="1951"/>
    <x v="1910"/>
    <x v="1904"/>
    <x v="1900"/>
    <x v="1"/>
    <x v="0"/>
    <x v="0"/>
  </r>
  <r>
    <x v="1954"/>
    <x v="1907"/>
    <x v="671"/>
    <x v="232"/>
    <x v="1897"/>
    <x v="1952"/>
    <x v="1911"/>
    <x v="1905"/>
    <x v="1901"/>
    <x v="1"/>
    <x v="0"/>
    <x v="0"/>
  </r>
  <r>
    <x v="1955"/>
    <x v="1908"/>
    <x v="669"/>
    <x v="232"/>
    <x v="1898"/>
    <x v="1953"/>
    <x v="1912"/>
    <x v="1906"/>
    <x v="1902"/>
    <x v="1"/>
    <x v="0"/>
    <x v="0"/>
  </r>
  <r>
    <x v="1956"/>
    <x v="1909"/>
    <x v="669"/>
    <x v="232"/>
    <x v="1899"/>
    <x v="1954"/>
    <x v="1913"/>
    <x v="1907"/>
    <x v="1903"/>
    <x v="1"/>
    <x v="0"/>
    <x v="0"/>
  </r>
  <r>
    <x v="1957"/>
    <x v="1910"/>
    <x v="672"/>
    <x v="233"/>
    <x v="1900"/>
    <x v="1955"/>
    <x v="1914"/>
    <x v="1908"/>
    <x v="1904"/>
    <x v="1"/>
    <x v="0"/>
    <x v="0"/>
  </r>
  <r>
    <x v="1958"/>
    <x v="1911"/>
    <x v="673"/>
    <x v="233"/>
    <x v="1901"/>
    <x v="1956"/>
    <x v="1915"/>
    <x v="1909"/>
    <x v="1905"/>
    <x v="1"/>
    <x v="0"/>
    <x v="0"/>
  </r>
  <r>
    <x v="1959"/>
    <x v="1912"/>
    <x v="673"/>
    <x v="233"/>
    <x v="1902"/>
    <x v="1957"/>
    <x v="1916"/>
    <x v="1910"/>
    <x v="1906"/>
    <x v="1"/>
    <x v="0"/>
    <x v="0"/>
  </r>
  <r>
    <x v="1960"/>
    <x v="1913"/>
    <x v="673"/>
    <x v="233"/>
    <x v="1903"/>
    <x v="1958"/>
    <x v="1917"/>
    <x v="1911"/>
    <x v="1907"/>
    <x v="1"/>
    <x v="0"/>
    <x v="0"/>
  </r>
  <r>
    <x v="1961"/>
    <x v="1914"/>
    <x v="673"/>
    <x v="233"/>
    <x v="1904"/>
    <x v="1959"/>
    <x v="1918"/>
    <x v="1912"/>
    <x v="1908"/>
    <x v="1"/>
    <x v="0"/>
    <x v="0"/>
  </r>
  <r>
    <x v="1962"/>
    <x v="1915"/>
    <x v="673"/>
    <x v="233"/>
    <x v="1905"/>
    <x v="1960"/>
    <x v="1919"/>
    <x v="1913"/>
    <x v="581"/>
    <x v="1"/>
    <x v="0"/>
    <x v="0"/>
  </r>
  <r>
    <x v="1963"/>
    <x v="1916"/>
    <x v="674"/>
    <x v="234"/>
    <x v="1906"/>
    <x v="1961"/>
    <x v="1920"/>
    <x v="1914"/>
    <x v="1909"/>
    <x v="1"/>
    <x v="0"/>
    <x v="0"/>
  </r>
  <r>
    <x v="1964"/>
    <x v="1917"/>
    <x v="675"/>
    <x v="234"/>
    <x v="1907"/>
    <x v="1962"/>
    <x v="1283"/>
    <x v="1915"/>
    <x v="1910"/>
    <x v="1"/>
    <x v="0"/>
    <x v="0"/>
  </r>
  <r>
    <x v="1965"/>
    <x v="1918"/>
    <x v="675"/>
    <x v="234"/>
    <x v="1908"/>
    <x v="1963"/>
    <x v="1921"/>
    <x v="1916"/>
    <x v="1911"/>
    <x v="1"/>
    <x v="0"/>
    <x v="0"/>
  </r>
  <r>
    <x v="1966"/>
    <x v="1919"/>
    <x v="675"/>
    <x v="234"/>
    <x v="1909"/>
    <x v="1964"/>
    <x v="1922"/>
    <x v="1917"/>
    <x v="1912"/>
    <x v="1"/>
    <x v="0"/>
    <x v="0"/>
  </r>
  <r>
    <x v="1967"/>
    <x v="1920"/>
    <x v="675"/>
    <x v="234"/>
    <x v="1910"/>
    <x v="1965"/>
    <x v="1923"/>
    <x v="1918"/>
    <x v="1913"/>
    <x v="1"/>
    <x v="0"/>
    <x v="0"/>
  </r>
  <r>
    <x v="1968"/>
    <x v="1921"/>
    <x v="675"/>
    <x v="234"/>
    <x v="1911"/>
    <x v="1966"/>
    <x v="1924"/>
    <x v="1919"/>
    <x v="1914"/>
    <x v="1"/>
    <x v="0"/>
    <x v="0"/>
  </r>
  <r>
    <x v="1969"/>
    <x v="1922"/>
    <x v="675"/>
    <x v="234"/>
    <x v="1912"/>
    <x v="1967"/>
    <x v="1925"/>
    <x v="1920"/>
    <x v="1915"/>
    <x v="1"/>
    <x v="0"/>
    <x v="0"/>
  </r>
  <r>
    <x v="1970"/>
    <x v="1923"/>
    <x v="676"/>
    <x v="234"/>
    <x v="1913"/>
    <x v="1968"/>
    <x v="1386"/>
    <x v="1921"/>
    <x v="1916"/>
    <x v="1"/>
    <x v="0"/>
    <x v="0"/>
  </r>
  <r>
    <x v="1971"/>
    <x v="1924"/>
    <x v="675"/>
    <x v="234"/>
    <x v="1914"/>
    <x v="1969"/>
    <x v="1926"/>
    <x v="1922"/>
    <x v="1917"/>
    <x v="1"/>
    <x v="0"/>
    <x v="0"/>
  </r>
  <r>
    <x v="1972"/>
    <x v="1925"/>
    <x v="674"/>
    <x v="234"/>
    <x v="1915"/>
    <x v="1970"/>
    <x v="1927"/>
    <x v="1923"/>
    <x v="1918"/>
    <x v="1"/>
    <x v="0"/>
    <x v="0"/>
  </r>
  <r>
    <x v="1973"/>
    <x v="119"/>
    <x v="677"/>
    <x v="234"/>
    <x v="118"/>
    <x v="1971"/>
    <x v="1928"/>
    <x v="119"/>
    <x v="119"/>
    <x v="1"/>
    <x v="0"/>
    <x v="0"/>
  </r>
  <r>
    <x v="1974"/>
    <x v="1926"/>
    <x v="677"/>
    <x v="234"/>
    <x v="1916"/>
    <x v="1972"/>
    <x v="1929"/>
    <x v="1924"/>
    <x v="1919"/>
    <x v="1"/>
    <x v="0"/>
    <x v="0"/>
  </r>
  <r>
    <x v="1975"/>
    <x v="1927"/>
    <x v="678"/>
    <x v="234"/>
    <x v="1917"/>
    <x v="1973"/>
    <x v="1930"/>
    <x v="1925"/>
    <x v="1920"/>
    <x v="1"/>
    <x v="0"/>
    <x v="0"/>
  </r>
  <r>
    <x v="1976"/>
    <x v="1928"/>
    <x v="679"/>
    <x v="234"/>
    <x v="1918"/>
    <x v="1974"/>
    <x v="1931"/>
    <x v="1926"/>
    <x v="1921"/>
    <x v="1"/>
    <x v="0"/>
    <x v="0"/>
  </r>
  <r>
    <x v="1977"/>
    <x v="1929"/>
    <x v="677"/>
    <x v="234"/>
    <x v="1919"/>
    <x v="1975"/>
    <x v="1932"/>
    <x v="1927"/>
    <x v="1922"/>
    <x v="1"/>
    <x v="0"/>
    <x v="0"/>
  </r>
  <r>
    <x v="1978"/>
    <x v="1930"/>
    <x v="680"/>
    <x v="234"/>
    <x v="1920"/>
    <x v="1976"/>
    <x v="1933"/>
    <x v="1928"/>
    <x v="1923"/>
    <x v="1"/>
    <x v="0"/>
    <x v="0"/>
  </r>
  <r>
    <x v="1979"/>
    <x v="1931"/>
    <x v="680"/>
    <x v="234"/>
    <x v="1921"/>
    <x v="1977"/>
    <x v="1934"/>
    <x v="1929"/>
    <x v="1924"/>
    <x v="1"/>
    <x v="0"/>
    <x v="0"/>
  </r>
  <r>
    <x v="1980"/>
    <x v="1932"/>
    <x v="680"/>
    <x v="234"/>
    <x v="1922"/>
    <x v="1978"/>
    <x v="1935"/>
    <x v="1930"/>
    <x v="1925"/>
    <x v="1"/>
    <x v="0"/>
    <x v="0"/>
  </r>
  <r>
    <x v="1981"/>
    <x v="1933"/>
    <x v="674"/>
    <x v="234"/>
    <x v="1923"/>
    <x v="1979"/>
    <x v="1936"/>
    <x v="1931"/>
    <x v="1926"/>
    <x v="1"/>
    <x v="0"/>
    <x v="0"/>
  </r>
  <r>
    <x v="1982"/>
    <x v="1934"/>
    <x v="681"/>
    <x v="234"/>
    <x v="1924"/>
    <x v="1980"/>
    <x v="1937"/>
    <x v="1932"/>
    <x v="1927"/>
    <x v="1"/>
    <x v="0"/>
    <x v="0"/>
  </r>
  <r>
    <x v="1983"/>
    <x v="1935"/>
    <x v="674"/>
    <x v="234"/>
    <x v="1925"/>
    <x v="1981"/>
    <x v="1938"/>
    <x v="1933"/>
    <x v="1928"/>
    <x v="1"/>
    <x v="0"/>
    <x v="0"/>
  </r>
  <r>
    <x v="1984"/>
    <x v="1936"/>
    <x v="674"/>
    <x v="234"/>
    <x v="1926"/>
    <x v="1982"/>
    <x v="1939"/>
    <x v="1934"/>
    <x v="1929"/>
    <x v="1"/>
    <x v="0"/>
    <x v="0"/>
  </r>
  <r>
    <x v="1985"/>
    <x v="1937"/>
    <x v="682"/>
    <x v="234"/>
    <x v="1927"/>
    <x v="1983"/>
    <x v="1940"/>
    <x v="1935"/>
    <x v="1930"/>
    <x v="1"/>
    <x v="0"/>
    <x v="0"/>
  </r>
  <r>
    <x v="1986"/>
    <x v="1938"/>
    <x v="674"/>
    <x v="234"/>
    <x v="1928"/>
    <x v="1984"/>
    <x v="1941"/>
    <x v="1936"/>
    <x v="1931"/>
    <x v="1"/>
    <x v="0"/>
    <x v="0"/>
  </r>
  <r>
    <x v="1987"/>
    <x v="1939"/>
    <x v="683"/>
    <x v="234"/>
    <x v="1929"/>
    <x v="1985"/>
    <x v="1942"/>
    <x v="1937"/>
    <x v="1932"/>
    <x v="1"/>
    <x v="0"/>
    <x v="0"/>
  </r>
  <r>
    <x v="1988"/>
    <x v="632"/>
    <x v="684"/>
    <x v="234"/>
    <x v="628"/>
    <x v="1986"/>
    <x v="1943"/>
    <x v="632"/>
    <x v="632"/>
    <x v="1"/>
    <x v="0"/>
    <x v="0"/>
  </r>
  <r>
    <x v="1989"/>
    <x v="1940"/>
    <x v="674"/>
    <x v="234"/>
    <x v="1930"/>
    <x v="1987"/>
    <x v="1944"/>
    <x v="1938"/>
    <x v="1933"/>
    <x v="1"/>
    <x v="0"/>
    <x v="0"/>
  </r>
  <r>
    <x v="1990"/>
    <x v="1941"/>
    <x v="685"/>
    <x v="234"/>
    <x v="1931"/>
    <x v="1988"/>
    <x v="1945"/>
    <x v="1939"/>
    <x v="1934"/>
    <x v="1"/>
    <x v="0"/>
    <x v="0"/>
  </r>
  <r>
    <x v="1991"/>
    <x v="1942"/>
    <x v="686"/>
    <x v="234"/>
    <x v="1932"/>
    <x v="1989"/>
    <x v="1946"/>
    <x v="1940"/>
    <x v="1935"/>
    <x v="1"/>
    <x v="0"/>
    <x v="0"/>
  </r>
  <r>
    <x v="1992"/>
    <x v="1943"/>
    <x v="686"/>
    <x v="234"/>
    <x v="1933"/>
    <x v="1990"/>
    <x v="1947"/>
    <x v="1941"/>
    <x v="1936"/>
    <x v="1"/>
    <x v="0"/>
    <x v="0"/>
  </r>
  <r>
    <x v="1993"/>
    <x v="1944"/>
    <x v="674"/>
    <x v="234"/>
    <x v="1934"/>
    <x v="1991"/>
    <x v="1948"/>
    <x v="1942"/>
    <x v="1937"/>
    <x v="1"/>
    <x v="0"/>
    <x v="0"/>
  </r>
  <r>
    <x v="1994"/>
    <x v="1945"/>
    <x v="674"/>
    <x v="234"/>
    <x v="1935"/>
    <x v="1992"/>
    <x v="1949"/>
    <x v="1943"/>
    <x v="1938"/>
    <x v="1"/>
    <x v="0"/>
    <x v="0"/>
  </r>
  <r>
    <x v="1995"/>
    <x v="1946"/>
    <x v="687"/>
    <x v="234"/>
    <x v="1936"/>
    <x v="1993"/>
    <x v="1950"/>
    <x v="1944"/>
    <x v="1939"/>
    <x v="1"/>
    <x v="0"/>
    <x v="0"/>
  </r>
  <r>
    <x v="1996"/>
    <x v="1947"/>
    <x v="686"/>
    <x v="234"/>
    <x v="1937"/>
    <x v="1994"/>
    <x v="1951"/>
    <x v="1945"/>
    <x v="1940"/>
    <x v="1"/>
    <x v="0"/>
    <x v="0"/>
  </r>
  <r>
    <x v="1997"/>
    <x v="1948"/>
    <x v="686"/>
    <x v="234"/>
    <x v="1938"/>
    <x v="1995"/>
    <x v="1952"/>
    <x v="1946"/>
    <x v="1941"/>
    <x v="1"/>
    <x v="0"/>
    <x v="0"/>
  </r>
  <r>
    <x v="1998"/>
    <x v="1949"/>
    <x v="686"/>
    <x v="234"/>
    <x v="1939"/>
    <x v="1996"/>
    <x v="1953"/>
    <x v="1947"/>
    <x v="1942"/>
    <x v="1"/>
    <x v="0"/>
    <x v="0"/>
  </r>
  <r>
    <x v="1999"/>
    <x v="1950"/>
    <x v="686"/>
    <x v="234"/>
    <x v="1940"/>
    <x v="1997"/>
    <x v="1954"/>
    <x v="1948"/>
    <x v="1943"/>
    <x v="1"/>
    <x v="0"/>
    <x v="0"/>
  </r>
  <r>
    <x v="2000"/>
    <x v="1951"/>
    <x v="686"/>
    <x v="234"/>
    <x v="1941"/>
    <x v="1998"/>
    <x v="1955"/>
    <x v="1949"/>
    <x v="1944"/>
    <x v="1"/>
    <x v="0"/>
    <x v="0"/>
  </r>
  <r>
    <x v="2001"/>
    <x v="1952"/>
    <x v="686"/>
    <x v="234"/>
    <x v="1942"/>
    <x v="1999"/>
    <x v="1956"/>
    <x v="1950"/>
    <x v="1945"/>
    <x v="1"/>
    <x v="0"/>
    <x v="0"/>
  </r>
  <r>
    <x v="2002"/>
    <x v="1953"/>
    <x v="686"/>
    <x v="234"/>
    <x v="1943"/>
    <x v="2000"/>
    <x v="1946"/>
    <x v="1951"/>
    <x v="1946"/>
    <x v="1"/>
    <x v="0"/>
    <x v="0"/>
  </r>
  <r>
    <x v="2003"/>
    <x v="1954"/>
    <x v="688"/>
    <x v="234"/>
    <x v="1944"/>
    <x v="2001"/>
    <x v="1957"/>
    <x v="1952"/>
    <x v="1947"/>
    <x v="1"/>
    <x v="0"/>
    <x v="0"/>
  </r>
  <r>
    <x v="2004"/>
    <x v="1955"/>
    <x v="689"/>
    <x v="234"/>
    <x v="1945"/>
    <x v="2002"/>
    <x v="1958"/>
    <x v="1953"/>
    <x v="1948"/>
    <x v="1"/>
    <x v="0"/>
    <x v="0"/>
  </r>
  <r>
    <x v="2005"/>
    <x v="1956"/>
    <x v="674"/>
    <x v="234"/>
    <x v="1946"/>
    <x v="2003"/>
    <x v="1959"/>
    <x v="1954"/>
    <x v="1949"/>
    <x v="1"/>
    <x v="0"/>
    <x v="0"/>
  </r>
  <r>
    <x v="2006"/>
    <x v="1957"/>
    <x v="690"/>
    <x v="234"/>
    <x v="1947"/>
    <x v="2004"/>
    <x v="1960"/>
    <x v="1955"/>
    <x v="1950"/>
    <x v="1"/>
    <x v="0"/>
    <x v="0"/>
  </r>
  <r>
    <x v="2007"/>
    <x v="1958"/>
    <x v="691"/>
    <x v="234"/>
    <x v="1948"/>
    <x v="2005"/>
    <x v="1961"/>
    <x v="1956"/>
    <x v="1951"/>
    <x v="1"/>
    <x v="0"/>
    <x v="0"/>
  </r>
  <r>
    <x v="2008"/>
    <x v="1959"/>
    <x v="692"/>
    <x v="234"/>
    <x v="1949"/>
    <x v="2006"/>
    <x v="1706"/>
    <x v="1957"/>
    <x v="1952"/>
    <x v="1"/>
    <x v="0"/>
    <x v="0"/>
  </r>
  <r>
    <x v="2009"/>
    <x v="1960"/>
    <x v="690"/>
    <x v="234"/>
    <x v="1950"/>
    <x v="2007"/>
    <x v="1962"/>
    <x v="1958"/>
    <x v="1953"/>
    <x v="1"/>
    <x v="0"/>
    <x v="0"/>
  </r>
  <r>
    <x v="2010"/>
    <x v="1961"/>
    <x v="693"/>
    <x v="234"/>
    <x v="1951"/>
    <x v="2008"/>
    <x v="1963"/>
    <x v="1959"/>
    <x v="1954"/>
    <x v="1"/>
    <x v="0"/>
    <x v="0"/>
  </r>
  <r>
    <x v="2011"/>
    <x v="1962"/>
    <x v="693"/>
    <x v="234"/>
    <x v="1952"/>
    <x v="2009"/>
    <x v="1964"/>
    <x v="1960"/>
    <x v="1955"/>
    <x v="1"/>
    <x v="0"/>
    <x v="0"/>
  </r>
  <r>
    <x v="2012"/>
    <x v="1963"/>
    <x v="694"/>
    <x v="234"/>
    <x v="1953"/>
    <x v="2010"/>
    <x v="1965"/>
    <x v="1961"/>
    <x v="1956"/>
    <x v="1"/>
    <x v="0"/>
    <x v="0"/>
  </r>
  <r>
    <x v="2013"/>
    <x v="1964"/>
    <x v="674"/>
    <x v="234"/>
    <x v="1954"/>
    <x v="2011"/>
    <x v="1966"/>
    <x v="1962"/>
    <x v="1957"/>
    <x v="1"/>
    <x v="0"/>
    <x v="0"/>
  </r>
  <r>
    <x v="2014"/>
    <x v="1965"/>
    <x v="674"/>
    <x v="234"/>
    <x v="1955"/>
    <x v="2012"/>
    <x v="1967"/>
    <x v="1963"/>
    <x v="1958"/>
    <x v="1"/>
    <x v="0"/>
    <x v="0"/>
  </r>
  <r>
    <x v="2015"/>
    <x v="1966"/>
    <x v="690"/>
    <x v="234"/>
    <x v="1956"/>
    <x v="2013"/>
    <x v="1968"/>
    <x v="1964"/>
    <x v="1959"/>
    <x v="1"/>
    <x v="0"/>
    <x v="0"/>
  </r>
  <r>
    <x v="2016"/>
    <x v="1967"/>
    <x v="674"/>
    <x v="234"/>
    <x v="1957"/>
    <x v="2014"/>
    <x v="1969"/>
    <x v="1965"/>
    <x v="1960"/>
    <x v="1"/>
    <x v="0"/>
    <x v="0"/>
  </r>
  <r>
    <x v="2017"/>
    <x v="1968"/>
    <x v="690"/>
    <x v="234"/>
    <x v="1958"/>
    <x v="2015"/>
    <x v="1970"/>
    <x v="1966"/>
    <x v="1961"/>
    <x v="1"/>
    <x v="0"/>
    <x v="0"/>
  </r>
  <r>
    <x v="2018"/>
    <x v="1969"/>
    <x v="690"/>
    <x v="234"/>
    <x v="1959"/>
    <x v="2016"/>
    <x v="1971"/>
    <x v="1967"/>
    <x v="1962"/>
    <x v="1"/>
    <x v="0"/>
    <x v="0"/>
  </r>
  <r>
    <x v="2019"/>
    <x v="1970"/>
    <x v="695"/>
    <x v="234"/>
    <x v="1960"/>
    <x v="2017"/>
    <x v="1972"/>
    <x v="1968"/>
    <x v="1963"/>
    <x v="1"/>
    <x v="0"/>
    <x v="0"/>
  </r>
  <r>
    <x v="2020"/>
    <x v="1971"/>
    <x v="690"/>
    <x v="234"/>
    <x v="1961"/>
    <x v="2018"/>
    <x v="1973"/>
    <x v="1969"/>
    <x v="1964"/>
    <x v="1"/>
    <x v="0"/>
    <x v="0"/>
  </r>
  <r>
    <x v="2021"/>
    <x v="1972"/>
    <x v="696"/>
    <x v="234"/>
    <x v="1962"/>
    <x v="2019"/>
    <x v="1974"/>
    <x v="1970"/>
    <x v="1965"/>
    <x v="1"/>
    <x v="0"/>
    <x v="0"/>
  </r>
  <r>
    <x v="2022"/>
    <x v="1973"/>
    <x v="697"/>
    <x v="235"/>
    <x v="1963"/>
    <x v="2020"/>
    <x v="1975"/>
    <x v="1971"/>
    <x v="1966"/>
    <x v="1"/>
    <x v="0"/>
    <x v="0"/>
  </r>
  <r>
    <x v="2023"/>
    <x v="1974"/>
    <x v="697"/>
    <x v="235"/>
    <x v="1964"/>
    <x v="2021"/>
    <x v="1976"/>
    <x v="1972"/>
    <x v="1967"/>
    <x v="1"/>
    <x v="0"/>
    <x v="0"/>
  </r>
  <r>
    <x v="2024"/>
    <x v="1975"/>
    <x v="698"/>
    <x v="235"/>
    <x v="1965"/>
    <x v="2022"/>
    <x v="1977"/>
    <x v="1973"/>
    <x v="1968"/>
    <x v="1"/>
    <x v="0"/>
    <x v="0"/>
  </r>
  <r>
    <x v="2025"/>
    <x v="1976"/>
    <x v="699"/>
    <x v="235"/>
    <x v="1966"/>
    <x v="2023"/>
    <x v="1978"/>
    <x v="1974"/>
    <x v="1969"/>
    <x v="1"/>
    <x v="0"/>
    <x v="0"/>
  </r>
  <r>
    <x v="2026"/>
    <x v="1977"/>
    <x v="697"/>
    <x v="235"/>
    <x v="1967"/>
    <x v="2024"/>
    <x v="1165"/>
    <x v="1975"/>
    <x v="1970"/>
    <x v="1"/>
    <x v="0"/>
    <x v="0"/>
  </r>
  <r>
    <x v="2027"/>
    <x v="1978"/>
    <x v="697"/>
    <x v="235"/>
    <x v="1968"/>
    <x v="2025"/>
    <x v="1979"/>
    <x v="1976"/>
    <x v="1971"/>
    <x v="1"/>
    <x v="0"/>
    <x v="0"/>
  </r>
  <r>
    <x v="2028"/>
    <x v="1979"/>
    <x v="697"/>
    <x v="235"/>
    <x v="1969"/>
    <x v="2026"/>
    <x v="1980"/>
    <x v="1977"/>
    <x v="1972"/>
    <x v="1"/>
    <x v="0"/>
    <x v="0"/>
  </r>
  <r>
    <x v="2029"/>
    <x v="1980"/>
    <x v="700"/>
    <x v="235"/>
    <x v="1970"/>
    <x v="2027"/>
    <x v="1981"/>
    <x v="1978"/>
    <x v="1973"/>
    <x v="1"/>
    <x v="0"/>
    <x v="0"/>
  </r>
  <r>
    <x v="2030"/>
    <x v="1981"/>
    <x v="701"/>
    <x v="235"/>
    <x v="1971"/>
    <x v="2028"/>
    <x v="1982"/>
    <x v="1979"/>
    <x v="1974"/>
    <x v="1"/>
    <x v="0"/>
    <x v="0"/>
  </r>
  <r>
    <x v="2031"/>
    <x v="1982"/>
    <x v="702"/>
    <x v="236"/>
    <x v="1972"/>
    <x v="2029"/>
    <x v="1983"/>
    <x v="1980"/>
    <x v="1975"/>
    <x v="1"/>
    <x v="0"/>
    <x v="0"/>
  </r>
  <r>
    <x v="2032"/>
    <x v="1983"/>
    <x v="702"/>
    <x v="236"/>
    <x v="1973"/>
    <x v="2030"/>
    <x v="1984"/>
    <x v="1981"/>
    <x v="1976"/>
    <x v="1"/>
    <x v="0"/>
    <x v="0"/>
  </r>
  <r>
    <x v="2033"/>
    <x v="1984"/>
    <x v="702"/>
    <x v="236"/>
    <x v="1974"/>
    <x v="2031"/>
    <x v="1985"/>
    <x v="1982"/>
    <x v="1977"/>
    <x v="1"/>
    <x v="0"/>
    <x v="0"/>
  </r>
  <r>
    <x v="2034"/>
    <x v="1985"/>
    <x v="703"/>
    <x v="237"/>
    <x v="1975"/>
    <x v="2032"/>
    <x v="1986"/>
    <x v="1983"/>
    <x v="1978"/>
    <x v="1"/>
    <x v="0"/>
    <x v="0"/>
  </r>
  <r>
    <x v="2035"/>
    <x v="1986"/>
    <x v="703"/>
    <x v="237"/>
    <x v="1976"/>
    <x v="2033"/>
    <x v="1987"/>
    <x v="1984"/>
    <x v="1979"/>
    <x v="1"/>
    <x v="0"/>
    <x v="0"/>
  </r>
  <r>
    <x v="2036"/>
    <x v="1987"/>
    <x v="703"/>
    <x v="237"/>
    <x v="1977"/>
    <x v="2034"/>
    <x v="1988"/>
    <x v="1985"/>
    <x v="1980"/>
    <x v="1"/>
    <x v="0"/>
    <x v="0"/>
  </r>
  <r>
    <x v="2037"/>
    <x v="1988"/>
    <x v="703"/>
    <x v="237"/>
    <x v="1978"/>
    <x v="2035"/>
    <x v="1989"/>
    <x v="1986"/>
    <x v="1981"/>
    <x v="1"/>
    <x v="0"/>
    <x v="0"/>
  </r>
  <r>
    <x v="2038"/>
    <x v="1989"/>
    <x v="703"/>
    <x v="237"/>
    <x v="1979"/>
    <x v="2036"/>
    <x v="1990"/>
    <x v="1987"/>
    <x v="1982"/>
    <x v="1"/>
    <x v="0"/>
    <x v="0"/>
  </r>
  <r>
    <x v="2039"/>
    <x v="1990"/>
    <x v="704"/>
    <x v="238"/>
    <x v="1980"/>
    <x v="2037"/>
    <x v="1991"/>
    <x v="1988"/>
    <x v="1983"/>
    <x v="1"/>
    <x v="0"/>
    <x v="0"/>
  </r>
  <r>
    <x v="2040"/>
    <x v="1991"/>
    <x v="705"/>
    <x v="238"/>
    <x v="1981"/>
    <x v="2038"/>
    <x v="1992"/>
    <x v="1989"/>
    <x v="1984"/>
    <x v="1"/>
    <x v="0"/>
    <x v="0"/>
  </r>
  <r>
    <x v="2041"/>
    <x v="1992"/>
    <x v="704"/>
    <x v="238"/>
    <x v="1982"/>
    <x v="2039"/>
    <x v="1993"/>
    <x v="1990"/>
    <x v="1985"/>
    <x v="1"/>
    <x v="0"/>
    <x v="0"/>
  </r>
  <r>
    <x v="2042"/>
    <x v="1993"/>
    <x v="704"/>
    <x v="238"/>
    <x v="1983"/>
    <x v="2040"/>
    <x v="1994"/>
    <x v="1991"/>
    <x v="1986"/>
    <x v="1"/>
    <x v="0"/>
    <x v="0"/>
  </r>
  <r>
    <x v="2043"/>
    <x v="1994"/>
    <x v="704"/>
    <x v="238"/>
    <x v="1982"/>
    <x v="2041"/>
    <x v="1995"/>
    <x v="1992"/>
    <x v="1987"/>
    <x v="1"/>
    <x v="0"/>
    <x v="0"/>
  </r>
  <r>
    <x v="2044"/>
    <x v="1995"/>
    <x v="706"/>
    <x v="238"/>
    <x v="1984"/>
    <x v="2042"/>
    <x v="1996"/>
    <x v="1993"/>
    <x v="1988"/>
    <x v="1"/>
    <x v="0"/>
    <x v="0"/>
  </r>
  <r>
    <x v="2045"/>
    <x v="1996"/>
    <x v="707"/>
    <x v="238"/>
    <x v="1985"/>
    <x v="2043"/>
    <x v="1997"/>
    <x v="1994"/>
    <x v="1989"/>
    <x v="1"/>
    <x v="0"/>
    <x v="0"/>
  </r>
  <r>
    <x v="2046"/>
    <x v="1997"/>
    <x v="704"/>
    <x v="238"/>
    <x v="1986"/>
    <x v="2044"/>
    <x v="1998"/>
    <x v="1995"/>
    <x v="1990"/>
    <x v="1"/>
    <x v="0"/>
    <x v="0"/>
  </r>
  <r>
    <x v="2047"/>
    <x v="1998"/>
    <x v="708"/>
    <x v="239"/>
    <x v="1987"/>
    <x v="2045"/>
    <x v="1999"/>
    <x v="1996"/>
    <x v="1991"/>
    <x v="1"/>
    <x v="0"/>
    <x v="0"/>
  </r>
  <r>
    <x v="2048"/>
    <x v="819"/>
    <x v="708"/>
    <x v="239"/>
    <x v="813"/>
    <x v="2046"/>
    <x v="2000"/>
    <x v="819"/>
    <x v="819"/>
    <x v="1"/>
    <x v="0"/>
    <x v="0"/>
  </r>
  <r>
    <x v="2049"/>
    <x v="1999"/>
    <x v="708"/>
    <x v="239"/>
    <x v="1988"/>
    <x v="2047"/>
    <x v="2001"/>
    <x v="1997"/>
    <x v="1992"/>
    <x v="1"/>
    <x v="0"/>
    <x v="0"/>
  </r>
  <r>
    <x v="2050"/>
    <x v="2000"/>
    <x v="708"/>
    <x v="239"/>
    <x v="1989"/>
    <x v="2048"/>
    <x v="2002"/>
    <x v="1998"/>
    <x v="1993"/>
    <x v="1"/>
    <x v="0"/>
    <x v="0"/>
  </r>
  <r>
    <x v="2051"/>
    <x v="2001"/>
    <x v="709"/>
    <x v="240"/>
    <x v="1990"/>
    <x v="2049"/>
    <x v="2003"/>
    <x v="1999"/>
    <x v="1994"/>
    <x v="1"/>
    <x v="0"/>
    <x v="0"/>
  </r>
  <r>
    <x v="2052"/>
    <x v="2002"/>
    <x v="672"/>
    <x v="241"/>
    <x v="1991"/>
    <x v="2050"/>
    <x v="2004"/>
    <x v="2000"/>
    <x v="1995"/>
    <x v="1"/>
    <x v="0"/>
    <x v="0"/>
  </r>
  <r>
    <x v="2053"/>
    <x v="2003"/>
    <x v="710"/>
    <x v="241"/>
    <x v="1992"/>
    <x v="2051"/>
    <x v="2005"/>
    <x v="2001"/>
    <x v="1996"/>
    <x v="1"/>
    <x v="0"/>
    <x v="0"/>
  </r>
  <r>
    <x v="2054"/>
    <x v="2004"/>
    <x v="710"/>
    <x v="241"/>
    <x v="1993"/>
    <x v="2052"/>
    <x v="2006"/>
    <x v="2002"/>
    <x v="1997"/>
    <x v="1"/>
    <x v="0"/>
    <x v="0"/>
  </r>
  <r>
    <x v="2055"/>
    <x v="2005"/>
    <x v="710"/>
    <x v="241"/>
    <x v="1994"/>
    <x v="2053"/>
    <x v="2007"/>
    <x v="2003"/>
    <x v="1998"/>
    <x v="1"/>
    <x v="0"/>
    <x v="0"/>
  </r>
  <r>
    <x v="2056"/>
    <x v="2006"/>
    <x v="710"/>
    <x v="241"/>
    <x v="1995"/>
    <x v="2054"/>
    <x v="2008"/>
    <x v="2004"/>
    <x v="1999"/>
    <x v="1"/>
    <x v="0"/>
    <x v="0"/>
  </r>
  <r>
    <x v="2057"/>
    <x v="2007"/>
    <x v="711"/>
    <x v="242"/>
    <x v="1996"/>
    <x v="2055"/>
    <x v="2009"/>
    <x v="2005"/>
    <x v="2000"/>
    <x v="1"/>
    <x v="0"/>
    <x v="0"/>
  </r>
  <r>
    <x v="2058"/>
    <x v="2008"/>
    <x v="712"/>
    <x v="243"/>
    <x v="1997"/>
    <x v="2056"/>
    <x v="2010"/>
    <x v="2006"/>
    <x v="2001"/>
    <x v="1"/>
    <x v="0"/>
    <x v="0"/>
  </r>
  <r>
    <x v="2059"/>
    <x v="2009"/>
    <x v="712"/>
    <x v="243"/>
    <x v="1998"/>
    <x v="2057"/>
    <x v="2011"/>
    <x v="2007"/>
    <x v="2002"/>
    <x v="1"/>
    <x v="0"/>
    <x v="0"/>
  </r>
  <r>
    <x v="2060"/>
    <x v="2010"/>
    <x v="713"/>
    <x v="244"/>
    <x v="1999"/>
    <x v="2058"/>
    <x v="2012"/>
    <x v="2008"/>
    <x v="2003"/>
    <x v="1"/>
    <x v="0"/>
    <x v="0"/>
  </r>
  <r>
    <x v="2061"/>
    <x v="2011"/>
    <x v="713"/>
    <x v="244"/>
    <x v="2000"/>
    <x v="2059"/>
    <x v="2013"/>
    <x v="2009"/>
    <x v="2004"/>
    <x v="1"/>
    <x v="0"/>
    <x v="0"/>
  </r>
  <r>
    <x v="2062"/>
    <x v="2012"/>
    <x v="713"/>
    <x v="244"/>
    <x v="2001"/>
    <x v="2060"/>
    <x v="2014"/>
    <x v="2010"/>
    <x v="2005"/>
    <x v="1"/>
    <x v="0"/>
    <x v="0"/>
  </r>
  <r>
    <x v="2063"/>
    <x v="2013"/>
    <x v="713"/>
    <x v="244"/>
    <x v="2002"/>
    <x v="2061"/>
    <x v="2015"/>
    <x v="2011"/>
    <x v="2006"/>
    <x v="1"/>
    <x v="0"/>
    <x v="0"/>
  </r>
  <r>
    <x v="2064"/>
    <x v="2014"/>
    <x v="713"/>
    <x v="244"/>
    <x v="2003"/>
    <x v="2062"/>
    <x v="2016"/>
    <x v="2012"/>
    <x v="2007"/>
    <x v="1"/>
    <x v="0"/>
    <x v="0"/>
  </r>
  <r>
    <x v="2065"/>
    <x v="2015"/>
    <x v="714"/>
    <x v="244"/>
    <x v="2004"/>
    <x v="2063"/>
    <x v="2017"/>
    <x v="2013"/>
    <x v="2008"/>
    <x v="1"/>
    <x v="0"/>
    <x v="0"/>
  </r>
  <r>
    <x v="2066"/>
    <x v="2016"/>
    <x v="713"/>
    <x v="244"/>
    <x v="2005"/>
    <x v="2064"/>
    <x v="2018"/>
    <x v="2014"/>
    <x v="2009"/>
    <x v="1"/>
    <x v="0"/>
    <x v="0"/>
  </r>
  <r>
    <x v="2067"/>
    <x v="2017"/>
    <x v="713"/>
    <x v="244"/>
    <x v="2006"/>
    <x v="2065"/>
    <x v="2019"/>
    <x v="2015"/>
    <x v="2010"/>
    <x v="1"/>
    <x v="0"/>
    <x v="0"/>
  </r>
  <r>
    <x v="2068"/>
    <x v="2018"/>
    <x v="715"/>
    <x v="244"/>
    <x v="2007"/>
    <x v="2066"/>
    <x v="2020"/>
    <x v="2016"/>
    <x v="2011"/>
    <x v="1"/>
    <x v="0"/>
    <x v="0"/>
  </r>
  <r>
    <x v="2069"/>
    <x v="2019"/>
    <x v="715"/>
    <x v="244"/>
    <x v="2008"/>
    <x v="2067"/>
    <x v="2021"/>
    <x v="2017"/>
    <x v="2012"/>
    <x v="1"/>
    <x v="0"/>
    <x v="0"/>
  </r>
  <r>
    <x v="2070"/>
    <x v="2020"/>
    <x v="715"/>
    <x v="244"/>
    <x v="2009"/>
    <x v="2068"/>
    <x v="2022"/>
    <x v="2018"/>
    <x v="2013"/>
    <x v="1"/>
    <x v="0"/>
    <x v="0"/>
  </r>
  <r>
    <x v="2071"/>
    <x v="2021"/>
    <x v="716"/>
    <x v="244"/>
    <x v="2010"/>
    <x v="2069"/>
    <x v="2023"/>
    <x v="2019"/>
    <x v="2014"/>
    <x v="1"/>
    <x v="0"/>
    <x v="0"/>
  </r>
  <r>
    <x v="2072"/>
    <x v="2022"/>
    <x v="716"/>
    <x v="244"/>
    <x v="2011"/>
    <x v="2070"/>
    <x v="2024"/>
    <x v="2020"/>
    <x v="2015"/>
    <x v="1"/>
    <x v="0"/>
    <x v="0"/>
  </r>
  <r>
    <x v="2073"/>
    <x v="2023"/>
    <x v="717"/>
    <x v="244"/>
    <x v="2012"/>
    <x v="2071"/>
    <x v="2025"/>
    <x v="2021"/>
    <x v="2016"/>
    <x v="1"/>
    <x v="0"/>
    <x v="0"/>
  </r>
  <r>
    <x v="2074"/>
    <x v="2024"/>
    <x v="718"/>
    <x v="245"/>
    <x v="2013"/>
    <x v="2072"/>
    <x v="2026"/>
    <x v="2022"/>
    <x v="2017"/>
    <x v="1"/>
    <x v="0"/>
    <x v="0"/>
  </r>
  <r>
    <x v="2075"/>
    <x v="2025"/>
    <x v="718"/>
    <x v="245"/>
    <x v="2014"/>
    <x v="2073"/>
    <x v="2027"/>
    <x v="2023"/>
    <x v="2018"/>
    <x v="1"/>
    <x v="0"/>
    <x v="0"/>
  </r>
  <r>
    <x v="2076"/>
    <x v="2026"/>
    <x v="718"/>
    <x v="245"/>
    <x v="2015"/>
    <x v="2074"/>
    <x v="2028"/>
    <x v="2024"/>
    <x v="2019"/>
    <x v="1"/>
    <x v="0"/>
    <x v="0"/>
  </r>
  <r>
    <x v="2077"/>
    <x v="2027"/>
    <x v="718"/>
    <x v="245"/>
    <x v="2016"/>
    <x v="2075"/>
    <x v="2029"/>
    <x v="2025"/>
    <x v="2020"/>
    <x v="1"/>
    <x v="0"/>
    <x v="0"/>
  </r>
  <r>
    <x v="2078"/>
    <x v="2028"/>
    <x v="719"/>
    <x v="245"/>
    <x v="2017"/>
    <x v="2076"/>
    <x v="2030"/>
    <x v="2026"/>
    <x v="2021"/>
    <x v="1"/>
    <x v="0"/>
    <x v="0"/>
  </r>
  <r>
    <x v="2079"/>
    <x v="2029"/>
    <x v="719"/>
    <x v="245"/>
    <x v="2018"/>
    <x v="2077"/>
    <x v="2031"/>
    <x v="2027"/>
    <x v="2022"/>
    <x v="1"/>
    <x v="0"/>
    <x v="0"/>
  </r>
  <r>
    <x v="2080"/>
    <x v="2030"/>
    <x v="720"/>
    <x v="245"/>
    <x v="2019"/>
    <x v="2078"/>
    <x v="2032"/>
    <x v="2028"/>
    <x v="2023"/>
    <x v="1"/>
    <x v="0"/>
    <x v="0"/>
  </r>
  <r>
    <x v="2081"/>
    <x v="2031"/>
    <x v="721"/>
    <x v="245"/>
    <x v="2020"/>
    <x v="2079"/>
    <x v="2033"/>
    <x v="2029"/>
    <x v="2024"/>
    <x v="1"/>
    <x v="0"/>
    <x v="0"/>
  </r>
  <r>
    <x v="2082"/>
    <x v="2032"/>
    <x v="722"/>
    <x v="246"/>
    <x v="2021"/>
    <x v="2080"/>
    <x v="2034"/>
    <x v="2030"/>
    <x v="2025"/>
    <x v="1"/>
    <x v="0"/>
    <x v="0"/>
  </r>
  <r>
    <x v="2083"/>
    <x v="2033"/>
    <x v="722"/>
    <x v="246"/>
    <x v="2022"/>
    <x v="2081"/>
    <x v="2035"/>
    <x v="2031"/>
    <x v="2026"/>
    <x v="1"/>
    <x v="0"/>
    <x v="0"/>
  </r>
  <r>
    <x v="2084"/>
    <x v="2034"/>
    <x v="722"/>
    <x v="246"/>
    <x v="2023"/>
    <x v="2082"/>
    <x v="2036"/>
    <x v="2032"/>
    <x v="2027"/>
    <x v="1"/>
    <x v="0"/>
    <x v="0"/>
  </r>
  <r>
    <x v="2085"/>
    <x v="2035"/>
    <x v="722"/>
    <x v="246"/>
    <x v="2024"/>
    <x v="2083"/>
    <x v="2037"/>
    <x v="2033"/>
    <x v="2028"/>
    <x v="1"/>
    <x v="0"/>
    <x v="0"/>
  </r>
  <r>
    <x v="2086"/>
    <x v="2036"/>
    <x v="723"/>
    <x v="246"/>
    <x v="2025"/>
    <x v="2084"/>
    <x v="2038"/>
    <x v="2034"/>
    <x v="2029"/>
    <x v="1"/>
    <x v="0"/>
    <x v="0"/>
  </r>
  <r>
    <x v="2087"/>
    <x v="2037"/>
    <x v="722"/>
    <x v="246"/>
    <x v="2026"/>
    <x v="2085"/>
    <x v="2039"/>
    <x v="2035"/>
    <x v="2030"/>
    <x v="1"/>
    <x v="0"/>
    <x v="0"/>
  </r>
  <r>
    <x v="2088"/>
    <x v="824"/>
    <x v="722"/>
    <x v="246"/>
    <x v="818"/>
    <x v="2086"/>
    <x v="2040"/>
    <x v="824"/>
    <x v="824"/>
    <x v="1"/>
    <x v="0"/>
    <x v="0"/>
  </r>
  <r>
    <x v="2089"/>
    <x v="2038"/>
    <x v="722"/>
    <x v="246"/>
    <x v="2027"/>
    <x v="2087"/>
    <x v="2041"/>
    <x v="2036"/>
    <x v="2031"/>
    <x v="1"/>
    <x v="0"/>
    <x v="0"/>
  </r>
  <r>
    <x v="2090"/>
    <x v="2039"/>
    <x v="722"/>
    <x v="246"/>
    <x v="2028"/>
    <x v="2088"/>
    <x v="2042"/>
    <x v="2037"/>
    <x v="2032"/>
    <x v="1"/>
    <x v="0"/>
    <x v="0"/>
  </r>
  <r>
    <x v="2091"/>
    <x v="2040"/>
    <x v="724"/>
    <x v="246"/>
    <x v="2029"/>
    <x v="2089"/>
    <x v="2043"/>
    <x v="2038"/>
    <x v="2033"/>
    <x v="1"/>
    <x v="0"/>
    <x v="0"/>
  </r>
  <r>
    <x v="2092"/>
    <x v="2034"/>
    <x v="725"/>
    <x v="247"/>
    <x v="2023"/>
    <x v="2090"/>
    <x v="2044"/>
    <x v="2032"/>
    <x v="2027"/>
    <x v="1"/>
    <x v="0"/>
    <x v="0"/>
  </r>
  <r>
    <x v="2093"/>
    <x v="2041"/>
    <x v="725"/>
    <x v="247"/>
    <x v="2030"/>
    <x v="2091"/>
    <x v="2045"/>
    <x v="2039"/>
    <x v="2034"/>
    <x v="1"/>
    <x v="0"/>
    <x v="0"/>
  </r>
  <r>
    <x v="2094"/>
    <x v="2042"/>
    <x v="726"/>
    <x v="247"/>
    <x v="2031"/>
    <x v="2092"/>
    <x v="2046"/>
    <x v="2040"/>
    <x v="2035"/>
    <x v="1"/>
    <x v="0"/>
    <x v="0"/>
  </r>
  <r>
    <x v="2095"/>
    <x v="2043"/>
    <x v="726"/>
    <x v="247"/>
    <x v="2032"/>
    <x v="2093"/>
    <x v="2047"/>
    <x v="2041"/>
    <x v="2036"/>
    <x v="1"/>
    <x v="0"/>
    <x v="0"/>
  </r>
  <r>
    <x v="2096"/>
    <x v="2044"/>
    <x v="726"/>
    <x v="247"/>
    <x v="2033"/>
    <x v="2094"/>
    <x v="2048"/>
    <x v="2042"/>
    <x v="2037"/>
    <x v="1"/>
    <x v="0"/>
    <x v="0"/>
  </r>
  <r>
    <x v="2097"/>
    <x v="2045"/>
    <x v="726"/>
    <x v="247"/>
    <x v="2034"/>
    <x v="2095"/>
    <x v="2049"/>
    <x v="2043"/>
    <x v="2038"/>
    <x v="1"/>
    <x v="0"/>
    <x v="0"/>
  </r>
  <r>
    <x v="2098"/>
    <x v="2046"/>
    <x v="726"/>
    <x v="247"/>
    <x v="2035"/>
    <x v="2096"/>
    <x v="2050"/>
    <x v="2044"/>
    <x v="2039"/>
    <x v="1"/>
    <x v="0"/>
    <x v="0"/>
  </r>
  <r>
    <x v="2099"/>
    <x v="2047"/>
    <x v="726"/>
    <x v="247"/>
    <x v="2036"/>
    <x v="2097"/>
    <x v="2051"/>
    <x v="2045"/>
    <x v="2040"/>
    <x v="1"/>
    <x v="0"/>
    <x v="0"/>
  </r>
  <r>
    <x v="2100"/>
    <x v="2048"/>
    <x v="726"/>
    <x v="247"/>
    <x v="2037"/>
    <x v="2098"/>
    <x v="2052"/>
    <x v="2046"/>
    <x v="2041"/>
    <x v="1"/>
    <x v="0"/>
    <x v="0"/>
  </r>
  <r>
    <x v="2101"/>
    <x v="2049"/>
    <x v="727"/>
    <x v="247"/>
    <x v="2038"/>
    <x v="2099"/>
    <x v="2053"/>
    <x v="2047"/>
    <x v="2042"/>
    <x v="1"/>
    <x v="0"/>
    <x v="0"/>
  </r>
  <r>
    <x v="2102"/>
    <x v="2050"/>
    <x v="728"/>
    <x v="248"/>
    <x v="2039"/>
    <x v="2100"/>
    <x v="2054"/>
    <x v="2048"/>
    <x v="2043"/>
    <x v="1"/>
    <x v="0"/>
    <x v="0"/>
  </r>
  <r>
    <x v="2103"/>
    <x v="675"/>
    <x v="728"/>
    <x v="248"/>
    <x v="671"/>
    <x v="2101"/>
    <x v="2055"/>
    <x v="675"/>
    <x v="675"/>
    <x v="1"/>
    <x v="0"/>
    <x v="0"/>
  </r>
  <r>
    <x v="2104"/>
    <x v="1639"/>
    <x v="728"/>
    <x v="248"/>
    <x v="1632"/>
    <x v="2102"/>
    <x v="1643"/>
    <x v="1638"/>
    <x v="1634"/>
    <x v="1"/>
    <x v="0"/>
    <x v="0"/>
  </r>
  <r>
    <x v="2105"/>
    <x v="2051"/>
    <x v="728"/>
    <x v="248"/>
    <x v="2040"/>
    <x v="2103"/>
    <x v="2056"/>
    <x v="2049"/>
    <x v="2044"/>
    <x v="1"/>
    <x v="0"/>
    <x v="0"/>
  </r>
  <r>
    <x v="2106"/>
    <x v="1224"/>
    <x v="728"/>
    <x v="248"/>
    <x v="1218"/>
    <x v="2104"/>
    <x v="1220"/>
    <x v="1223"/>
    <x v="1221"/>
    <x v="1"/>
    <x v="0"/>
    <x v="0"/>
  </r>
  <r>
    <x v="2107"/>
    <x v="1506"/>
    <x v="728"/>
    <x v="248"/>
    <x v="1500"/>
    <x v="2105"/>
    <x v="2057"/>
    <x v="1505"/>
    <x v="1502"/>
    <x v="1"/>
    <x v="0"/>
    <x v="0"/>
  </r>
  <r>
    <x v="2108"/>
    <x v="2052"/>
    <x v="672"/>
    <x v="249"/>
    <x v="2041"/>
    <x v="2106"/>
    <x v="2058"/>
    <x v="2050"/>
    <x v="2045"/>
    <x v="1"/>
    <x v="0"/>
    <x v="0"/>
  </r>
  <r>
    <x v="2109"/>
    <x v="2053"/>
    <x v="729"/>
    <x v="249"/>
    <x v="2042"/>
    <x v="2107"/>
    <x v="2059"/>
    <x v="2051"/>
    <x v="2046"/>
    <x v="1"/>
    <x v="0"/>
    <x v="0"/>
  </r>
  <r>
    <x v="2110"/>
    <x v="2054"/>
    <x v="730"/>
    <x v="249"/>
    <x v="2043"/>
    <x v="2108"/>
    <x v="2060"/>
    <x v="2052"/>
    <x v="2047"/>
    <x v="1"/>
    <x v="0"/>
    <x v="0"/>
  </r>
  <r>
    <x v="2111"/>
    <x v="2055"/>
    <x v="730"/>
    <x v="249"/>
    <x v="2044"/>
    <x v="2109"/>
    <x v="2061"/>
    <x v="2053"/>
    <x v="2048"/>
    <x v="1"/>
    <x v="0"/>
    <x v="0"/>
  </r>
  <r>
    <x v="2112"/>
    <x v="2056"/>
    <x v="729"/>
    <x v="249"/>
    <x v="2045"/>
    <x v="2110"/>
    <x v="2062"/>
    <x v="2054"/>
    <x v="2049"/>
    <x v="1"/>
    <x v="0"/>
    <x v="0"/>
  </r>
  <r>
    <x v="2113"/>
    <x v="2057"/>
    <x v="731"/>
    <x v="249"/>
    <x v="2046"/>
    <x v="2111"/>
    <x v="2063"/>
    <x v="2055"/>
    <x v="2050"/>
    <x v="1"/>
    <x v="0"/>
    <x v="0"/>
  </r>
  <r>
    <x v="2114"/>
    <x v="2058"/>
    <x v="732"/>
    <x v="250"/>
    <x v="2047"/>
    <x v="2112"/>
    <x v="2064"/>
    <x v="2056"/>
    <x v="2051"/>
    <x v="1"/>
    <x v="0"/>
    <x v="0"/>
  </r>
  <r>
    <x v="2115"/>
    <x v="2059"/>
    <x v="732"/>
    <x v="250"/>
    <x v="2048"/>
    <x v="2113"/>
    <x v="2065"/>
    <x v="2057"/>
    <x v="2052"/>
    <x v="1"/>
    <x v="0"/>
    <x v="0"/>
  </r>
  <r>
    <x v="2116"/>
    <x v="2060"/>
    <x v="732"/>
    <x v="250"/>
    <x v="2049"/>
    <x v="2114"/>
    <x v="2066"/>
    <x v="2058"/>
    <x v="2053"/>
    <x v="1"/>
    <x v="0"/>
    <x v="0"/>
  </r>
  <r>
    <x v="2117"/>
    <x v="2061"/>
    <x v="722"/>
    <x v="246"/>
    <x v="2050"/>
    <x v="2115"/>
    <x v="2067"/>
    <x v="2059"/>
    <x v="2054"/>
    <x v="1"/>
    <x v="0"/>
    <x v="0"/>
  </r>
  <r>
    <x v="2118"/>
    <x v="2062"/>
    <x v="722"/>
    <x v="246"/>
    <x v="2051"/>
    <x v="2116"/>
    <x v="2068"/>
    <x v="2060"/>
    <x v="2055"/>
    <x v="1"/>
    <x v="0"/>
    <x v="0"/>
  </r>
  <r>
    <x v="2119"/>
    <x v="2063"/>
    <x v="733"/>
    <x v="246"/>
    <x v="2052"/>
    <x v="2117"/>
    <x v="2069"/>
    <x v="2061"/>
    <x v="2056"/>
    <x v="1"/>
    <x v="0"/>
    <x v="0"/>
  </r>
  <r>
    <x v="2120"/>
    <x v="2064"/>
    <x v="733"/>
    <x v="246"/>
    <x v="2053"/>
    <x v="2118"/>
    <x v="505"/>
    <x v="2062"/>
    <x v="2057"/>
    <x v="1"/>
    <x v="0"/>
    <x v="0"/>
  </r>
  <r>
    <x v="2121"/>
    <x v="2065"/>
    <x v="733"/>
    <x v="246"/>
    <x v="2054"/>
    <x v="2119"/>
    <x v="2070"/>
    <x v="2063"/>
    <x v="2058"/>
    <x v="1"/>
    <x v="0"/>
    <x v="0"/>
  </r>
  <r>
    <x v="2122"/>
    <x v="2066"/>
    <x v="734"/>
    <x v="246"/>
    <x v="2055"/>
    <x v="2120"/>
    <x v="2071"/>
    <x v="2064"/>
    <x v="2059"/>
    <x v="1"/>
    <x v="0"/>
    <x v="0"/>
  </r>
  <r>
    <x v="2123"/>
    <x v="2067"/>
    <x v="735"/>
    <x v="251"/>
    <x v="2056"/>
    <x v="2121"/>
    <x v="2072"/>
    <x v="2065"/>
    <x v="2060"/>
    <x v="1"/>
    <x v="0"/>
    <x v="0"/>
  </r>
  <r>
    <x v="2124"/>
    <x v="712"/>
    <x v="735"/>
    <x v="251"/>
    <x v="707"/>
    <x v="2122"/>
    <x v="2073"/>
    <x v="712"/>
    <x v="712"/>
    <x v="1"/>
    <x v="0"/>
    <x v="0"/>
  </r>
  <r>
    <x v="2125"/>
    <x v="881"/>
    <x v="735"/>
    <x v="251"/>
    <x v="875"/>
    <x v="2123"/>
    <x v="875"/>
    <x v="881"/>
    <x v="881"/>
    <x v="1"/>
    <x v="0"/>
    <x v="0"/>
  </r>
  <r>
    <x v="2126"/>
    <x v="2068"/>
    <x v="735"/>
    <x v="251"/>
    <x v="2057"/>
    <x v="2124"/>
    <x v="2074"/>
    <x v="2066"/>
    <x v="2061"/>
    <x v="1"/>
    <x v="0"/>
    <x v="0"/>
  </r>
  <r>
    <x v="2127"/>
    <x v="419"/>
    <x v="735"/>
    <x v="251"/>
    <x v="416"/>
    <x v="2125"/>
    <x v="419"/>
    <x v="419"/>
    <x v="419"/>
    <x v="1"/>
    <x v="0"/>
    <x v="0"/>
  </r>
  <r>
    <x v="2128"/>
    <x v="2069"/>
    <x v="735"/>
    <x v="251"/>
    <x v="2058"/>
    <x v="2126"/>
    <x v="425"/>
    <x v="2067"/>
    <x v="2062"/>
    <x v="1"/>
    <x v="0"/>
    <x v="0"/>
  </r>
  <r>
    <x v="2129"/>
    <x v="2070"/>
    <x v="735"/>
    <x v="251"/>
    <x v="2059"/>
    <x v="2127"/>
    <x v="2075"/>
    <x v="2068"/>
    <x v="2063"/>
    <x v="1"/>
    <x v="0"/>
    <x v="0"/>
  </r>
  <r>
    <x v="2130"/>
    <x v="2071"/>
    <x v="735"/>
    <x v="251"/>
    <x v="2060"/>
    <x v="2128"/>
    <x v="2076"/>
    <x v="2069"/>
    <x v="2064"/>
    <x v="1"/>
    <x v="0"/>
    <x v="0"/>
  </r>
  <r>
    <x v="2131"/>
    <x v="2072"/>
    <x v="736"/>
    <x v="252"/>
    <x v="2061"/>
    <x v="2129"/>
    <x v="2077"/>
    <x v="2070"/>
    <x v="2065"/>
    <x v="1"/>
    <x v="0"/>
    <x v="0"/>
  </r>
  <r>
    <x v="2132"/>
    <x v="2073"/>
    <x v="736"/>
    <x v="252"/>
    <x v="2062"/>
    <x v="2130"/>
    <x v="2078"/>
    <x v="2071"/>
    <x v="2066"/>
    <x v="1"/>
    <x v="0"/>
    <x v="0"/>
  </r>
  <r>
    <x v="2133"/>
    <x v="2074"/>
    <x v="737"/>
    <x v="252"/>
    <x v="2063"/>
    <x v="2131"/>
    <x v="2079"/>
    <x v="2072"/>
    <x v="2067"/>
    <x v="1"/>
    <x v="0"/>
    <x v="0"/>
  </r>
  <r>
    <x v="2134"/>
    <x v="2075"/>
    <x v="738"/>
    <x v="252"/>
    <x v="2064"/>
    <x v="2132"/>
    <x v="2080"/>
    <x v="2073"/>
    <x v="2068"/>
    <x v="1"/>
    <x v="0"/>
    <x v="0"/>
  </r>
  <r>
    <x v="2135"/>
    <x v="2076"/>
    <x v="738"/>
    <x v="252"/>
    <x v="2065"/>
    <x v="2133"/>
    <x v="2081"/>
    <x v="2074"/>
    <x v="2069"/>
    <x v="1"/>
    <x v="0"/>
    <x v="0"/>
  </r>
  <r>
    <x v="2136"/>
    <x v="2077"/>
    <x v="737"/>
    <x v="252"/>
    <x v="2066"/>
    <x v="2134"/>
    <x v="2082"/>
    <x v="2075"/>
    <x v="2070"/>
    <x v="1"/>
    <x v="0"/>
    <x v="0"/>
  </r>
  <r>
    <x v="2137"/>
    <x v="2078"/>
    <x v="739"/>
    <x v="252"/>
    <x v="2067"/>
    <x v="2135"/>
    <x v="2083"/>
    <x v="2076"/>
    <x v="2071"/>
    <x v="1"/>
    <x v="0"/>
    <x v="0"/>
  </r>
  <r>
    <x v="2138"/>
    <x v="2079"/>
    <x v="740"/>
    <x v="252"/>
    <x v="2068"/>
    <x v="2136"/>
    <x v="2084"/>
    <x v="2077"/>
    <x v="2072"/>
    <x v="1"/>
    <x v="0"/>
    <x v="0"/>
  </r>
  <r>
    <x v="2139"/>
    <x v="2080"/>
    <x v="737"/>
    <x v="252"/>
    <x v="2069"/>
    <x v="2137"/>
    <x v="2085"/>
    <x v="2078"/>
    <x v="2073"/>
    <x v="1"/>
    <x v="0"/>
    <x v="0"/>
  </r>
  <r>
    <x v="2140"/>
    <x v="2081"/>
    <x v="736"/>
    <x v="252"/>
    <x v="2070"/>
    <x v="2138"/>
    <x v="2086"/>
    <x v="2079"/>
    <x v="2074"/>
    <x v="1"/>
    <x v="0"/>
    <x v="0"/>
  </r>
  <r>
    <x v="2141"/>
    <x v="2082"/>
    <x v="736"/>
    <x v="252"/>
    <x v="2071"/>
    <x v="2139"/>
    <x v="2087"/>
    <x v="2080"/>
    <x v="2075"/>
    <x v="1"/>
    <x v="0"/>
    <x v="0"/>
  </r>
  <r>
    <x v="2142"/>
    <x v="2083"/>
    <x v="736"/>
    <x v="252"/>
    <x v="2072"/>
    <x v="2140"/>
    <x v="2088"/>
    <x v="2081"/>
    <x v="2076"/>
    <x v="1"/>
    <x v="0"/>
    <x v="0"/>
  </r>
  <r>
    <x v="2143"/>
    <x v="2084"/>
    <x v="736"/>
    <x v="252"/>
    <x v="2073"/>
    <x v="2141"/>
    <x v="2089"/>
    <x v="2082"/>
    <x v="2077"/>
    <x v="1"/>
    <x v="0"/>
    <x v="0"/>
  </r>
  <r>
    <x v="2144"/>
    <x v="2085"/>
    <x v="741"/>
    <x v="252"/>
    <x v="2074"/>
    <x v="2142"/>
    <x v="2090"/>
    <x v="2083"/>
    <x v="2078"/>
    <x v="1"/>
    <x v="0"/>
    <x v="0"/>
  </r>
  <r>
    <x v="2145"/>
    <x v="2086"/>
    <x v="736"/>
    <x v="252"/>
    <x v="2075"/>
    <x v="2143"/>
    <x v="2091"/>
    <x v="2084"/>
    <x v="2079"/>
    <x v="1"/>
    <x v="0"/>
    <x v="0"/>
  </r>
  <r>
    <x v="2146"/>
    <x v="2087"/>
    <x v="742"/>
    <x v="253"/>
    <x v="2076"/>
    <x v="2144"/>
    <x v="2092"/>
    <x v="2085"/>
    <x v="2080"/>
    <x v="1"/>
    <x v="0"/>
    <x v="0"/>
  </r>
  <r>
    <x v="2147"/>
    <x v="2088"/>
    <x v="743"/>
    <x v="253"/>
    <x v="2076"/>
    <x v="2145"/>
    <x v="2093"/>
    <x v="2086"/>
    <x v="2081"/>
    <x v="1"/>
    <x v="0"/>
    <x v="0"/>
  </r>
  <r>
    <x v="2148"/>
    <x v="2089"/>
    <x v="742"/>
    <x v="253"/>
    <x v="2077"/>
    <x v="2146"/>
    <x v="2094"/>
    <x v="2087"/>
    <x v="2082"/>
    <x v="1"/>
    <x v="0"/>
    <x v="0"/>
  </r>
  <r>
    <x v="2149"/>
    <x v="2090"/>
    <x v="742"/>
    <x v="253"/>
    <x v="2078"/>
    <x v="2147"/>
    <x v="2095"/>
    <x v="2088"/>
    <x v="2083"/>
    <x v="1"/>
    <x v="0"/>
    <x v="0"/>
  </r>
  <r>
    <x v="2150"/>
    <x v="2091"/>
    <x v="742"/>
    <x v="253"/>
    <x v="2079"/>
    <x v="2148"/>
    <x v="2096"/>
    <x v="2089"/>
    <x v="2084"/>
    <x v="1"/>
    <x v="0"/>
    <x v="0"/>
  </r>
  <r>
    <x v="2151"/>
    <x v="2092"/>
    <x v="744"/>
    <x v="253"/>
    <x v="2080"/>
    <x v="2149"/>
    <x v="2097"/>
    <x v="2090"/>
    <x v="2085"/>
    <x v="1"/>
    <x v="0"/>
    <x v="0"/>
  </r>
  <r>
    <x v="2152"/>
    <x v="2093"/>
    <x v="744"/>
    <x v="253"/>
    <x v="2081"/>
    <x v="2150"/>
    <x v="2098"/>
    <x v="2091"/>
    <x v="2086"/>
    <x v="1"/>
    <x v="0"/>
    <x v="0"/>
  </r>
  <r>
    <x v="2153"/>
    <x v="2094"/>
    <x v="742"/>
    <x v="253"/>
    <x v="2082"/>
    <x v="2151"/>
    <x v="2099"/>
    <x v="2092"/>
    <x v="2087"/>
    <x v="1"/>
    <x v="0"/>
    <x v="0"/>
  </r>
  <r>
    <x v="2154"/>
    <x v="2095"/>
    <x v="745"/>
    <x v="253"/>
    <x v="2083"/>
    <x v="2152"/>
    <x v="2100"/>
    <x v="2093"/>
    <x v="2088"/>
    <x v="1"/>
    <x v="0"/>
    <x v="0"/>
  </r>
  <r>
    <x v="2155"/>
    <x v="2096"/>
    <x v="745"/>
    <x v="253"/>
    <x v="2084"/>
    <x v="2153"/>
    <x v="2101"/>
    <x v="2094"/>
    <x v="2089"/>
    <x v="1"/>
    <x v="0"/>
    <x v="0"/>
  </r>
  <r>
    <x v="2156"/>
    <x v="2097"/>
    <x v="746"/>
    <x v="253"/>
    <x v="2085"/>
    <x v="2154"/>
    <x v="2102"/>
    <x v="2095"/>
    <x v="2090"/>
    <x v="1"/>
    <x v="0"/>
    <x v="0"/>
  </r>
  <r>
    <x v="2157"/>
    <x v="2098"/>
    <x v="746"/>
    <x v="253"/>
    <x v="2086"/>
    <x v="2155"/>
    <x v="2103"/>
    <x v="2096"/>
    <x v="2091"/>
    <x v="1"/>
    <x v="0"/>
    <x v="0"/>
  </r>
  <r>
    <x v="2158"/>
    <x v="2099"/>
    <x v="746"/>
    <x v="253"/>
    <x v="2087"/>
    <x v="2156"/>
    <x v="2104"/>
    <x v="2097"/>
    <x v="2092"/>
    <x v="1"/>
    <x v="0"/>
    <x v="0"/>
  </r>
  <r>
    <x v="2159"/>
    <x v="2100"/>
    <x v="747"/>
    <x v="253"/>
    <x v="2088"/>
    <x v="2157"/>
    <x v="2105"/>
    <x v="2098"/>
    <x v="2093"/>
    <x v="1"/>
    <x v="0"/>
    <x v="0"/>
  </r>
  <r>
    <x v="2160"/>
    <x v="2101"/>
    <x v="746"/>
    <x v="253"/>
    <x v="2089"/>
    <x v="2158"/>
    <x v="2106"/>
    <x v="2099"/>
    <x v="2094"/>
    <x v="1"/>
    <x v="0"/>
    <x v="0"/>
  </r>
  <r>
    <x v="2161"/>
    <x v="2102"/>
    <x v="748"/>
    <x v="253"/>
    <x v="2090"/>
    <x v="2159"/>
    <x v="2107"/>
    <x v="2100"/>
    <x v="2095"/>
    <x v="1"/>
    <x v="0"/>
    <x v="0"/>
  </r>
  <r>
    <x v="2162"/>
    <x v="2103"/>
    <x v="748"/>
    <x v="253"/>
    <x v="2091"/>
    <x v="2160"/>
    <x v="1782"/>
    <x v="2101"/>
    <x v="2096"/>
    <x v="1"/>
    <x v="0"/>
    <x v="0"/>
  </r>
  <r>
    <x v="2163"/>
    <x v="2104"/>
    <x v="748"/>
    <x v="253"/>
    <x v="2092"/>
    <x v="2161"/>
    <x v="2108"/>
    <x v="2102"/>
    <x v="2097"/>
    <x v="1"/>
    <x v="0"/>
    <x v="0"/>
  </r>
  <r>
    <x v="2164"/>
    <x v="2105"/>
    <x v="748"/>
    <x v="253"/>
    <x v="2093"/>
    <x v="2162"/>
    <x v="2109"/>
    <x v="2103"/>
    <x v="2098"/>
    <x v="1"/>
    <x v="0"/>
    <x v="0"/>
  </r>
  <r>
    <x v="2165"/>
    <x v="2106"/>
    <x v="749"/>
    <x v="253"/>
    <x v="2094"/>
    <x v="2163"/>
    <x v="2110"/>
    <x v="2104"/>
    <x v="2099"/>
    <x v="1"/>
    <x v="0"/>
    <x v="0"/>
  </r>
  <r>
    <x v="2166"/>
    <x v="2107"/>
    <x v="748"/>
    <x v="253"/>
    <x v="2095"/>
    <x v="2164"/>
    <x v="2111"/>
    <x v="2105"/>
    <x v="2100"/>
    <x v="1"/>
    <x v="0"/>
    <x v="0"/>
  </r>
  <r>
    <x v="2167"/>
    <x v="2108"/>
    <x v="750"/>
    <x v="253"/>
    <x v="2096"/>
    <x v="2165"/>
    <x v="2112"/>
    <x v="2106"/>
    <x v="2101"/>
    <x v="1"/>
    <x v="0"/>
    <x v="0"/>
  </r>
  <r>
    <x v="2168"/>
    <x v="2109"/>
    <x v="751"/>
    <x v="253"/>
    <x v="2097"/>
    <x v="2166"/>
    <x v="2113"/>
    <x v="2107"/>
    <x v="2102"/>
    <x v="1"/>
    <x v="0"/>
    <x v="0"/>
  </r>
  <r>
    <x v="2169"/>
    <x v="2110"/>
    <x v="752"/>
    <x v="254"/>
    <x v="2098"/>
    <x v="2167"/>
    <x v="2114"/>
    <x v="2108"/>
    <x v="2103"/>
    <x v="1"/>
    <x v="0"/>
    <x v="0"/>
  </r>
  <r>
    <x v="2170"/>
    <x v="2111"/>
    <x v="753"/>
    <x v="254"/>
    <x v="2099"/>
    <x v="2168"/>
    <x v="2115"/>
    <x v="2109"/>
    <x v="2104"/>
    <x v="1"/>
    <x v="0"/>
    <x v="0"/>
  </r>
  <r>
    <x v="2171"/>
    <x v="2112"/>
    <x v="752"/>
    <x v="254"/>
    <x v="2100"/>
    <x v="2169"/>
    <x v="2116"/>
    <x v="2110"/>
    <x v="2105"/>
    <x v="1"/>
    <x v="0"/>
    <x v="0"/>
  </r>
  <r>
    <x v="2172"/>
    <x v="2113"/>
    <x v="752"/>
    <x v="254"/>
    <x v="2101"/>
    <x v="2170"/>
    <x v="2117"/>
    <x v="2111"/>
    <x v="2106"/>
    <x v="1"/>
    <x v="0"/>
    <x v="0"/>
  </r>
  <r>
    <x v="2173"/>
    <x v="2114"/>
    <x v="752"/>
    <x v="254"/>
    <x v="2102"/>
    <x v="2171"/>
    <x v="2118"/>
    <x v="2112"/>
    <x v="2107"/>
    <x v="1"/>
    <x v="0"/>
    <x v="0"/>
  </r>
  <r>
    <x v="2174"/>
    <x v="1347"/>
    <x v="754"/>
    <x v="254"/>
    <x v="1341"/>
    <x v="2172"/>
    <x v="1343"/>
    <x v="1346"/>
    <x v="1344"/>
    <x v="1"/>
    <x v="0"/>
    <x v="0"/>
  </r>
  <r>
    <x v="2175"/>
    <x v="2115"/>
    <x v="755"/>
    <x v="254"/>
    <x v="2103"/>
    <x v="2173"/>
    <x v="2119"/>
    <x v="2113"/>
    <x v="2108"/>
    <x v="1"/>
    <x v="0"/>
    <x v="0"/>
  </r>
  <r>
    <x v="2176"/>
    <x v="2116"/>
    <x v="756"/>
    <x v="254"/>
    <x v="2104"/>
    <x v="2174"/>
    <x v="2120"/>
    <x v="2114"/>
    <x v="2109"/>
    <x v="1"/>
    <x v="0"/>
    <x v="0"/>
  </r>
  <r>
    <x v="2177"/>
    <x v="2117"/>
    <x v="757"/>
    <x v="255"/>
    <x v="2105"/>
    <x v="2175"/>
    <x v="2121"/>
    <x v="2115"/>
    <x v="2110"/>
    <x v="1"/>
    <x v="0"/>
    <x v="0"/>
  </r>
  <r>
    <x v="2178"/>
    <x v="2118"/>
    <x v="757"/>
    <x v="255"/>
    <x v="2106"/>
    <x v="2176"/>
    <x v="2122"/>
    <x v="2116"/>
    <x v="2111"/>
    <x v="1"/>
    <x v="0"/>
    <x v="0"/>
  </r>
  <r>
    <x v="2179"/>
    <x v="2119"/>
    <x v="757"/>
    <x v="255"/>
    <x v="2107"/>
    <x v="2177"/>
    <x v="2123"/>
    <x v="2117"/>
    <x v="2112"/>
    <x v="1"/>
    <x v="0"/>
    <x v="0"/>
  </r>
  <r>
    <x v="2180"/>
    <x v="2120"/>
    <x v="757"/>
    <x v="255"/>
    <x v="2108"/>
    <x v="2178"/>
    <x v="2124"/>
    <x v="2118"/>
    <x v="2113"/>
    <x v="1"/>
    <x v="0"/>
    <x v="0"/>
  </r>
  <r>
    <x v="2181"/>
    <x v="2121"/>
    <x v="757"/>
    <x v="255"/>
    <x v="2109"/>
    <x v="2179"/>
    <x v="2125"/>
    <x v="2119"/>
    <x v="2114"/>
    <x v="1"/>
    <x v="0"/>
    <x v="0"/>
  </r>
  <r>
    <x v="2182"/>
    <x v="2122"/>
    <x v="757"/>
    <x v="255"/>
    <x v="2110"/>
    <x v="2180"/>
    <x v="2126"/>
    <x v="2120"/>
    <x v="2115"/>
    <x v="1"/>
    <x v="0"/>
    <x v="0"/>
  </r>
  <r>
    <x v="2183"/>
    <x v="2123"/>
    <x v="757"/>
    <x v="255"/>
    <x v="2111"/>
    <x v="2181"/>
    <x v="2127"/>
    <x v="2121"/>
    <x v="2116"/>
    <x v="1"/>
    <x v="0"/>
    <x v="0"/>
  </r>
  <r>
    <x v="2184"/>
    <x v="2124"/>
    <x v="757"/>
    <x v="255"/>
    <x v="2112"/>
    <x v="2182"/>
    <x v="2128"/>
    <x v="2122"/>
    <x v="2117"/>
    <x v="1"/>
    <x v="0"/>
    <x v="0"/>
  </r>
  <r>
    <x v="2185"/>
    <x v="2125"/>
    <x v="758"/>
    <x v="255"/>
    <x v="2113"/>
    <x v="2183"/>
    <x v="2129"/>
    <x v="2123"/>
    <x v="2118"/>
    <x v="1"/>
    <x v="0"/>
    <x v="0"/>
  </r>
  <r>
    <x v="2186"/>
    <x v="2126"/>
    <x v="759"/>
    <x v="255"/>
    <x v="2114"/>
    <x v="2184"/>
    <x v="2130"/>
    <x v="2124"/>
    <x v="2119"/>
    <x v="1"/>
    <x v="0"/>
    <x v="0"/>
  </r>
  <r>
    <x v="2187"/>
    <x v="2127"/>
    <x v="760"/>
    <x v="256"/>
    <x v="2115"/>
    <x v="2185"/>
    <x v="2131"/>
    <x v="2125"/>
    <x v="2120"/>
    <x v="1"/>
    <x v="0"/>
    <x v="0"/>
  </r>
  <r>
    <x v="2188"/>
    <x v="2128"/>
    <x v="760"/>
    <x v="256"/>
    <x v="2116"/>
    <x v="2186"/>
    <x v="2132"/>
    <x v="2126"/>
    <x v="2121"/>
    <x v="1"/>
    <x v="0"/>
    <x v="0"/>
  </r>
  <r>
    <x v="2189"/>
    <x v="2129"/>
    <x v="761"/>
    <x v="256"/>
    <x v="2117"/>
    <x v="2187"/>
    <x v="2133"/>
    <x v="2127"/>
    <x v="2122"/>
    <x v="1"/>
    <x v="0"/>
    <x v="0"/>
  </r>
  <r>
    <x v="2190"/>
    <x v="2130"/>
    <x v="760"/>
    <x v="256"/>
    <x v="2118"/>
    <x v="2188"/>
    <x v="2134"/>
    <x v="2128"/>
    <x v="2123"/>
    <x v="1"/>
    <x v="0"/>
    <x v="0"/>
  </r>
  <r>
    <x v="2191"/>
    <x v="2131"/>
    <x v="762"/>
    <x v="256"/>
    <x v="2119"/>
    <x v="2189"/>
    <x v="2135"/>
    <x v="2129"/>
    <x v="2124"/>
    <x v="1"/>
    <x v="0"/>
    <x v="0"/>
  </r>
  <r>
    <x v="2192"/>
    <x v="2132"/>
    <x v="763"/>
    <x v="256"/>
    <x v="2120"/>
    <x v="2190"/>
    <x v="2136"/>
    <x v="2130"/>
    <x v="2125"/>
    <x v="1"/>
    <x v="0"/>
    <x v="0"/>
  </r>
  <r>
    <x v="2193"/>
    <x v="2133"/>
    <x v="764"/>
    <x v="257"/>
    <x v="2121"/>
    <x v="2191"/>
    <x v="2137"/>
    <x v="2131"/>
    <x v="2126"/>
    <x v="1"/>
    <x v="0"/>
    <x v="0"/>
  </r>
  <r>
    <x v="2194"/>
    <x v="2134"/>
    <x v="764"/>
    <x v="257"/>
    <x v="2122"/>
    <x v="2192"/>
    <x v="2138"/>
    <x v="2132"/>
    <x v="2127"/>
    <x v="1"/>
    <x v="0"/>
    <x v="0"/>
  </r>
  <r>
    <x v="2195"/>
    <x v="2135"/>
    <x v="764"/>
    <x v="257"/>
    <x v="2123"/>
    <x v="2193"/>
    <x v="2139"/>
    <x v="2133"/>
    <x v="2128"/>
    <x v="1"/>
    <x v="0"/>
    <x v="0"/>
  </r>
  <r>
    <x v="2196"/>
    <x v="2136"/>
    <x v="764"/>
    <x v="257"/>
    <x v="2124"/>
    <x v="2194"/>
    <x v="2140"/>
    <x v="2134"/>
    <x v="2129"/>
    <x v="1"/>
    <x v="0"/>
    <x v="0"/>
  </r>
  <r>
    <x v="2197"/>
    <x v="2137"/>
    <x v="764"/>
    <x v="257"/>
    <x v="2125"/>
    <x v="2195"/>
    <x v="2141"/>
    <x v="2135"/>
    <x v="2130"/>
    <x v="1"/>
    <x v="0"/>
    <x v="0"/>
  </r>
  <r>
    <x v="2198"/>
    <x v="2138"/>
    <x v="764"/>
    <x v="257"/>
    <x v="2126"/>
    <x v="2196"/>
    <x v="2142"/>
    <x v="2136"/>
    <x v="2131"/>
    <x v="1"/>
    <x v="0"/>
    <x v="0"/>
  </r>
  <r>
    <x v="2199"/>
    <x v="2139"/>
    <x v="764"/>
    <x v="257"/>
    <x v="2127"/>
    <x v="2197"/>
    <x v="2143"/>
    <x v="2137"/>
    <x v="2132"/>
    <x v="1"/>
    <x v="0"/>
    <x v="0"/>
  </r>
  <r>
    <x v="2200"/>
    <x v="2140"/>
    <x v="764"/>
    <x v="257"/>
    <x v="2128"/>
    <x v="2198"/>
    <x v="2144"/>
    <x v="2138"/>
    <x v="2133"/>
    <x v="1"/>
    <x v="0"/>
    <x v="0"/>
  </r>
  <r>
    <x v="2201"/>
    <x v="2141"/>
    <x v="765"/>
    <x v="258"/>
    <x v="2129"/>
    <x v="2199"/>
    <x v="2145"/>
    <x v="2139"/>
    <x v="2134"/>
    <x v="1"/>
    <x v="0"/>
    <x v="0"/>
  </r>
  <r>
    <x v="2202"/>
    <x v="2142"/>
    <x v="765"/>
    <x v="258"/>
    <x v="2130"/>
    <x v="2200"/>
    <x v="2146"/>
    <x v="2140"/>
    <x v="2135"/>
    <x v="1"/>
    <x v="0"/>
    <x v="0"/>
  </r>
  <r>
    <x v="2203"/>
    <x v="2143"/>
    <x v="765"/>
    <x v="258"/>
    <x v="2131"/>
    <x v="2201"/>
    <x v="2147"/>
    <x v="2141"/>
    <x v="2136"/>
    <x v="1"/>
    <x v="0"/>
    <x v="0"/>
  </r>
  <r>
    <x v="2204"/>
    <x v="2144"/>
    <x v="765"/>
    <x v="258"/>
    <x v="2132"/>
    <x v="2202"/>
    <x v="2148"/>
    <x v="2142"/>
    <x v="2137"/>
    <x v="1"/>
    <x v="0"/>
    <x v="0"/>
  </r>
  <r>
    <x v="2205"/>
    <x v="2145"/>
    <x v="766"/>
    <x v="259"/>
    <x v="2133"/>
    <x v="2203"/>
    <x v="2149"/>
    <x v="2143"/>
    <x v="2138"/>
    <x v="1"/>
    <x v="0"/>
    <x v="0"/>
  </r>
  <r>
    <x v="2206"/>
    <x v="2146"/>
    <x v="766"/>
    <x v="259"/>
    <x v="2134"/>
    <x v="2204"/>
    <x v="2150"/>
    <x v="2144"/>
    <x v="2139"/>
    <x v="1"/>
    <x v="0"/>
    <x v="0"/>
  </r>
  <r>
    <x v="2207"/>
    <x v="2147"/>
    <x v="766"/>
    <x v="259"/>
    <x v="2135"/>
    <x v="2205"/>
    <x v="2151"/>
    <x v="2145"/>
    <x v="2140"/>
    <x v="1"/>
    <x v="0"/>
    <x v="0"/>
  </r>
  <r>
    <x v="2208"/>
    <x v="2148"/>
    <x v="767"/>
    <x v="259"/>
    <x v="2136"/>
    <x v="2206"/>
    <x v="2152"/>
    <x v="2146"/>
    <x v="2141"/>
    <x v="1"/>
    <x v="0"/>
    <x v="0"/>
  </r>
  <r>
    <x v="2209"/>
    <x v="902"/>
    <x v="766"/>
    <x v="259"/>
    <x v="896"/>
    <x v="2207"/>
    <x v="896"/>
    <x v="902"/>
    <x v="902"/>
    <x v="1"/>
    <x v="0"/>
    <x v="0"/>
  </r>
  <r>
    <x v="2210"/>
    <x v="2149"/>
    <x v="766"/>
    <x v="259"/>
    <x v="2137"/>
    <x v="2208"/>
    <x v="2153"/>
    <x v="2147"/>
    <x v="2142"/>
    <x v="1"/>
    <x v="0"/>
    <x v="0"/>
  </r>
  <r>
    <x v="2211"/>
    <x v="773"/>
    <x v="768"/>
    <x v="260"/>
    <x v="767"/>
    <x v="2209"/>
    <x v="2154"/>
    <x v="773"/>
    <x v="773"/>
    <x v="1"/>
    <x v="0"/>
    <x v="0"/>
  </r>
  <r>
    <x v="2212"/>
    <x v="2150"/>
    <x v="769"/>
    <x v="260"/>
    <x v="2138"/>
    <x v="2210"/>
    <x v="2155"/>
    <x v="2148"/>
    <x v="2143"/>
    <x v="1"/>
    <x v="0"/>
    <x v="0"/>
  </r>
  <r>
    <x v="2213"/>
    <x v="2151"/>
    <x v="768"/>
    <x v="260"/>
    <x v="2139"/>
    <x v="2211"/>
    <x v="2156"/>
    <x v="2149"/>
    <x v="2144"/>
    <x v="1"/>
    <x v="0"/>
    <x v="0"/>
  </r>
  <r>
    <x v="2214"/>
    <x v="2152"/>
    <x v="768"/>
    <x v="260"/>
    <x v="2140"/>
    <x v="2212"/>
    <x v="2157"/>
    <x v="2150"/>
    <x v="2145"/>
    <x v="1"/>
    <x v="0"/>
    <x v="0"/>
  </r>
  <r>
    <x v="2215"/>
    <x v="2153"/>
    <x v="768"/>
    <x v="260"/>
    <x v="2141"/>
    <x v="2213"/>
    <x v="2158"/>
    <x v="2151"/>
    <x v="2146"/>
    <x v="1"/>
    <x v="0"/>
    <x v="0"/>
  </r>
  <r>
    <x v="2216"/>
    <x v="2154"/>
    <x v="768"/>
    <x v="260"/>
    <x v="2142"/>
    <x v="2214"/>
    <x v="2159"/>
    <x v="2152"/>
    <x v="2147"/>
    <x v="1"/>
    <x v="0"/>
    <x v="0"/>
  </r>
  <r>
    <x v="2217"/>
    <x v="2155"/>
    <x v="768"/>
    <x v="260"/>
    <x v="2143"/>
    <x v="2215"/>
    <x v="2160"/>
    <x v="2153"/>
    <x v="2148"/>
    <x v="1"/>
    <x v="0"/>
    <x v="0"/>
  </r>
  <r>
    <x v="2218"/>
    <x v="2156"/>
    <x v="770"/>
    <x v="261"/>
    <x v="2144"/>
    <x v="2216"/>
    <x v="2161"/>
    <x v="2154"/>
    <x v="2149"/>
    <x v="1"/>
    <x v="0"/>
    <x v="0"/>
  </r>
  <r>
    <x v="2219"/>
    <x v="2157"/>
    <x v="770"/>
    <x v="261"/>
    <x v="2145"/>
    <x v="2217"/>
    <x v="2162"/>
    <x v="2155"/>
    <x v="2150"/>
    <x v="1"/>
    <x v="0"/>
    <x v="0"/>
  </r>
  <r>
    <x v="2220"/>
    <x v="2158"/>
    <x v="770"/>
    <x v="261"/>
    <x v="2146"/>
    <x v="2218"/>
    <x v="2163"/>
    <x v="2156"/>
    <x v="2151"/>
    <x v="1"/>
    <x v="0"/>
    <x v="0"/>
  </r>
  <r>
    <x v="2221"/>
    <x v="2159"/>
    <x v="771"/>
    <x v="262"/>
    <x v="2147"/>
    <x v="2219"/>
    <x v="2164"/>
    <x v="2157"/>
    <x v="2152"/>
    <x v="1"/>
    <x v="0"/>
    <x v="0"/>
  </r>
  <r>
    <x v="2222"/>
    <x v="2160"/>
    <x v="771"/>
    <x v="262"/>
    <x v="2148"/>
    <x v="2220"/>
    <x v="2165"/>
    <x v="2158"/>
    <x v="2153"/>
    <x v="1"/>
    <x v="0"/>
    <x v="0"/>
  </r>
  <r>
    <x v="2223"/>
    <x v="2161"/>
    <x v="772"/>
    <x v="262"/>
    <x v="2149"/>
    <x v="2221"/>
    <x v="1768"/>
    <x v="2159"/>
    <x v="2154"/>
    <x v="1"/>
    <x v="0"/>
    <x v="0"/>
  </r>
  <r>
    <x v="2224"/>
    <x v="2162"/>
    <x v="771"/>
    <x v="262"/>
    <x v="2150"/>
    <x v="2222"/>
    <x v="2166"/>
    <x v="2160"/>
    <x v="2155"/>
    <x v="1"/>
    <x v="0"/>
    <x v="0"/>
  </r>
  <r>
    <x v="2225"/>
    <x v="2163"/>
    <x v="771"/>
    <x v="262"/>
    <x v="2151"/>
    <x v="2223"/>
    <x v="2164"/>
    <x v="2161"/>
    <x v="2156"/>
    <x v="1"/>
    <x v="0"/>
    <x v="0"/>
  </r>
  <r>
    <x v="2226"/>
    <x v="2164"/>
    <x v="771"/>
    <x v="262"/>
    <x v="2152"/>
    <x v="2224"/>
    <x v="2167"/>
    <x v="2162"/>
    <x v="2157"/>
    <x v="1"/>
    <x v="0"/>
    <x v="0"/>
  </r>
  <r>
    <x v="2227"/>
    <x v="2165"/>
    <x v="771"/>
    <x v="262"/>
    <x v="2153"/>
    <x v="2225"/>
    <x v="2168"/>
    <x v="2163"/>
    <x v="2158"/>
    <x v="1"/>
    <x v="0"/>
    <x v="0"/>
  </r>
  <r>
    <x v="2228"/>
    <x v="2166"/>
    <x v="773"/>
    <x v="263"/>
    <x v="2154"/>
    <x v="2226"/>
    <x v="2169"/>
    <x v="2164"/>
    <x v="2159"/>
    <x v="1"/>
    <x v="0"/>
    <x v="0"/>
  </r>
  <r>
    <x v="2229"/>
    <x v="2167"/>
    <x v="774"/>
    <x v="263"/>
    <x v="2155"/>
    <x v="2227"/>
    <x v="2170"/>
    <x v="2165"/>
    <x v="2160"/>
    <x v="1"/>
    <x v="0"/>
    <x v="0"/>
  </r>
  <r>
    <x v="2230"/>
    <x v="2168"/>
    <x v="773"/>
    <x v="263"/>
    <x v="2156"/>
    <x v="2228"/>
    <x v="2171"/>
    <x v="2166"/>
    <x v="2161"/>
    <x v="1"/>
    <x v="0"/>
    <x v="0"/>
  </r>
  <r>
    <x v="2231"/>
    <x v="2169"/>
    <x v="773"/>
    <x v="263"/>
    <x v="2157"/>
    <x v="2229"/>
    <x v="2172"/>
    <x v="2167"/>
    <x v="2162"/>
    <x v="1"/>
    <x v="0"/>
    <x v="0"/>
  </r>
  <r>
    <x v="2232"/>
    <x v="2170"/>
    <x v="773"/>
    <x v="263"/>
    <x v="2158"/>
    <x v="2230"/>
    <x v="2173"/>
    <x v="2168"/>
    <x v="2163"/>
    <x v="1"/>
    <x v="0"/>
    <x v="0"/>
  </r>
  <r>
    <x v="2233"/>
    <x v="2171"/>
    <x v="775"/>
    <x v="264"/>
    <x v="2159"/>
    <x v="2231"/>
    <x v="2174"/>
    <x v="2169"/>
    <x v="2164"/>
    <x v="1"/>
    <x v="0"/>
    <x v="0"/>
  </r>
  <r>
    <x v="2234"/>
    <x v="2172"/>
    <x v="775"/>
    <x v="264"/>
    <x v="2160"/>
    <x v="2232"/>
    <x v="2175"/>
    <x v="2170"/>
    <x v="2165"/>
    <x v="1"/>
    <x v="0"/>
    <x v="0"/>
  </r>
  <r>
    <x v="2235"/>
    <x v="2173"/>
    <x v="775"/>
    <x v="264"/>
    <x v="2161"/>
    <x v="2233"/>
    <x v="2176"/>
    <x v="2171"/>
    <x v="2166"/>
    <x v="1"/>
    <x v="0"/>
    <x v="0"/>
  </r>
  <r>
    <x v="2236"/>
    <x v="2174"/>
    <x v="775"/>
    <x v="264"/>
    <x v="2162"/>
    <x v="2234"/>
    <x v="2177"/>
    <x v="2172"/>
    <x v="2167"/>
    <x v="1"/>
    <x v="0"/>
    <x v="0"/>
  </r>
  <r>
    <x v="2237"/>
    <x v="2175"/>
    <x v="776"/>
    <x v="264"/>
    <x v="2163"/>
    <x v="2235"/>
    <x v="2178"/>
    <x v="2173"/>
    <x v="2168"/>
    <x v="1"/>
    <x v="0"/>
    <x v="0"/>
  </r>
  <r>
    <x v="2238"/>
    <x v="2176"/>
    <x v="777"/>
    <x v="265"/>
    <x v="2164"/>
    <x v="2236"/>
    <x v="2179"/>
    <x v="2174"/>
    <x v="2169"/>
    <x v="1"/>
    <x v="0"/>
    <x v="0"/>
  </r>
  <r>
    <x v="2239"/>
    <x v="2177"/>
    <x v="777"/>
    <x v="265"/>
    <x v="2165"/>
    <x v="2237"/>
    <x v="2180"/>
    <x v="2175"/>
    <x v="2170"/>
    <x v="1"/>
    <x v="0"/>
    <x v="0"/>
  </r>
  <r>
    <x v="2240"/>
    <x v="2178"/>
    <x v="777"/>
    <x v="265"/>
    <x v="2166"/>
    <x v="2238"/>
    <x v="2181"/>
    <x v="2176"/>
    <x v="2171"/>
    <x v="1"/>
    <x v="0"/>
    <x v="0"/>
  </r>
  <r>
    <x v="2241"/>
    <x v="2179"/>
    <x v="777"/>
    <x v="265"/>
    <x v="2167"/>
    <x v="2239"/>
    <x v="2182"/>
    <x v="2177"/>
    <x v="2172"/>
    <x v="1"/>
    <x v="0"/>
    <x v="0"/>
  </r>
  <r>
    <x v="2242"/>
    <x v="2180"/>
    <x v="778"/>
    <x v="265"/>
    <x v="2168"/>
    <x v="2240"/>
    <x v="2183"/>
    <x v="2178"/>
    <x v="2173"/>
    <x v="1"/>
    <x v="0"/>
    <x v="0"/>
  </r>
  <r>
    <x v="2243"/>
    <x v="2181"/>
    <x v="777"/>
    <x v="265"/>
    <x v="2169"/>
    <x v="2241"/>
    <x v="2184"/>
    <x v="2179"/>
    <x v="2174"/>
    <x v="1"/>
    <x v="0"/>
    <x v="0"/>
  </r>
  <r>
    <x v="2244"/>
    <x v="2182"/>
    <x v="779"/>
    <x v="266"/>
    <x v="2170"/>
    <x v="2242"/>
    <x v="2185"/>
    <x v="2180"/>
    <x v="2175"/>
    <x v="1"/>
    <x v="0"/>
    <x v="0"/>
  </r>
  <r>
    <x v="2245"/>
    <x v="820"/>
    <x v="780"/>
    <x v="266"/>
    <x v="814"/>
    <x v="2243"/>
    <x v="2186"/>
    <x v="820"/>
    <x v="820"/>
    <x v="1"/>
    <x v="0"/>
    <x v="0"/>
  </r>
  <r>
    <x v="2246"/>
    <x v="2183"/>
    <x v="780"/>
    <x v="266"/>
    <x v="2171"/>
    <x v="2244"/>
    <x v="2187"/>
    <x v="2181"/>
    <x v="2176"/>
    <x v="1"/>
    <x v="0"/>
    <x v="0"/>
  </r>
  <r>
    <x v="2247"/>
    <x v="2184"/>
    <x v="780"/>
    <x v="266"/>
    <x v="2172"/>
    <x v="2245"/>
    <x v="2188"/>
    <x v="2182"/>
    <x v="2177"/>
    <x v="1"/>
    <x v="0"/>
    <x v="0"/>
  </r>
  <r>
    <x v="2248"/>
    <x v="1700"/>
    <x v="781"/>
    <x v="267"/>
    <x v="1693"/>
    <x v="2246"/>
    <x v="1950"/>
    <x v="1699"/>
    <x v="1695"/>
    <x v="1"/>
    <x v="0"/>
    <x v="0"/>
  </r>
  <r>
    <x v="2249"/>
    <x v="2185"/>
    <x v="781"/>
    <x v="267"/>
    <x v="2173"/>
    <x v="2247"/>
    <x v="2189"/>
    <x v="2183"/>
    <x v="2178"/>
    <x v="1"/>
    <x v="0"/>
    <x v="0"/>
  </r>
  <r>
    <x v="2250"/>
    <x v="2186"/>
    <x v="781"/>
    <x v="267"/>
    <x v="2174"/>
    <x v="2248"/>
    <x v="1758"/>
    <x v="2184"/>
    <x v="2179"/>
    <x v="1"/>
    <x v="0"/>
    <x v="0"/>
  </r>
  <r>
    <x v="2251"/>
    <x v="2187"/>
    <x v="781"/>
    <x v="267"/>
    <x v="2175"/>
    <x v="2249"/>
    <x v="2190"/>
    <x v="2185"/>
    <x v="2180"/>
    <x v="1"/>
    <x v="0"/>
    <x v="0"/>
  </r>
  <r>
    <x v="2252"/>
    <x v="2188"/>
    <x v="781"/>
    <x v="267"/>
    <x v="2176"/>
    <x v="2250"/>
    <x v="2191"/>
    <x v="2186"/>
    <x v="2181"/>
    <x v="1"/>
    <x v="0"/>
    <x v="0"/>
  </r>
  <r>
    <x v="2253"/>
    <x v="810"/>
    <x v="781"/>
    <x v="267"/>
    <x v="804"/>
    <x v="2251"/>
    <x v="805"/>
    <x v="810"/>
    <x v="810"/>
    <x v="1"/>
    <x v="0"/>
    <x v="0"/>
  </r>
  <r>
    <x v="2254"/>
    <x v="1619"/>
    <x v="781"/>
    <x v="267"/>
    <x v="1612"/>
    <x v="2252"/>
    <x v="1623"/>
    <x v="1618"/>
    <x v="1614"/>
    <x v="1"/>
    <x v="0"/>
    <x v="0"/>
  </r>
  <r>
    <x v="2255"/>
    <x v="2189"/>
    <x v="781"/>
    <x v="267"/>
    <x v="2177"/>
    <x v="2253"/>
    <x v="2192"/>
    <x v="2187"/>
    <x v="2182"/>
    <x v="1"/>
    <x v="0"/>
    <x v="0"/>
  </r>
  <r>
    <x v="2256"/>
    <x v="2190"/>
    <x v="782"/>
    <x v="268"/>
    <x v="2178"/>
    <x v="2254"/>
    <x v="2193"/>
    <x v="2188"/>
    <x v="2183"/>
    <x v="1"/>
    <x v="0"/>
    <x v="0"/>
  </r>
  <r>
    <x v="2257"/>
    <x v="2191"/>
    <x v="782"/>
    <x v="268"/>
    <x v="2179"/>
    <x v="2255"/>
    <x v="2194"/>
    <x v="2189"/>
    <x v="2184"/>
    <x v="1"/>
    <x v="0"/>
    <x v="0"/>
  </r>
  <r>
    <x v="2258"/>
    <x v="2192"/>
    <x v="782"/>
    <x v="268"/>
    <x v="2180"/>
    <x v="2256"/>
    <x v="2195"/>
    <x v="2190"/>
    <x v="2185"/>
    <x v="1"/>
    <x v="0"/>
    <x v="0"/>
  </r>
  <r>
    <x v="2259"/>
    <x v="2193"/>
    <x v="782"/>
    <x v="268"/>
    <x v="2181"/>
    <x v="2257"/>
    <x v="2196"/>
    <x v="2191"/>
    <x v="2186"/>
    <x v="1"/>
    <x v="0"/>
    <x v="0"/>
  </r>
  <r>
    <x v="2260"/>
    <x v="109"/>
    <x v="782"/>
    <x v="268"/>
    <x v="108"/>
    <x v="2258"/>
    <x v="2197"/>
    <x v="109"/>
    <x v="109"/>
    <x v="1"/>
    <x v="0"/>
    <x v="0"/>
  </r>
  <r>
    <x v="2261"/>
    <x v="2194"/>
    <x v="783"/>
    <x v="269"/>
    <x v="2182"/>
    <x v="2259"/>
    <x v="2198"/>
    <x v="2192"/>
    <x v="2187"/>
    <x v="1"/>
    <x v="0"/>
    <x v="0"/>
  </r>
  <r>
    <x v="2262"/>
    <x v="2195"/>
    <x v="783"/>
    <x v="269"/>
    <x v="2183"/>
    <x v="2260"/>
    <x v="2199"/>
    <x v="2193"/>
    <x v="2188"/>
    <x v="1"/>
    <x v="0"/>
    <x v="0"/>
  </r>
  <r>
    <x v="2263"/>
    <x v="2196"/>
    <x v="783"/>
    <x v="269"/>
    <x v="2184"/>
    <x v="2261"/>
    <x v="2200"/>
    <x v="2194"/>
    <x v="2189"/>
    <x v="1"/>
    <x v="0"/>
    <x v="0"/>
  </r>
  <r>
    <x v="2264"/>
    <x v="2197"/>
    <x v="783"/>
    <x v="269"/>
    <x v="2185"/>
    <x v="2262"/>
    <x v="2201"/>
    <x v="2195"/>
    <x v="2190"/>
    <x v="1"/>
    <x v="0"/>
    <x v="0"/>
  </r>
  <r>
    <x v="2265"/>
    <x v="2198"/>
    <x v="783"/>
    <x v="269"/>
    <x v="2186"/>
    <x v="2263"/>
    <x v="911"/>
    <x v="2196"/>
    <x v="2191"/>
    <x v="1"/>
    <x v="0"/>
    <x v="0"/>
  </r>
  <r>
    <x v="2266"/>
    <x v="2199"/>
    <x v="784"/>
    <x v="270"/>
    <x v="2187"/>
    <x v="2264"/>
    <x v="2202"/>
    <x v="2197"/>
    <x v="2192"/>
    <x v="1"/>
    <x v="0"/>
    <x v="0"/>
  </r>
  <r>
    <x v="2267"/>
    <x v="2200"/>
    <x v="784"/>
    <x v="270"/>
    <x v="2188"/>
    <x v="2265"/>
    <x v="2203"/>
    <x v="2198"/>
    <x v="2193"/>
    <x v="1"/>
    <x v="0"/>
    <x v="0"/>
  </r>
  <r>
    <x v="2268"/>
    <x v="2201"/>
    <x v="785"/>
    <x v="270"/>
    <x v="2189"/>
    <x v="2266"/>
    <x v="2204"/>
    <x v="2199"/>
    <x v="2194"/>
    <x v="1"/>
    <x v="0"/>
    <x v="0"/>
  </r>
  <r>
    <x v="2269"/>
    <x v="2202"/>
    <x v="784"/>
    <x v="270"/>
    <x v="2190"/>
    <x v="2267"/>
    <x v="2205"/>
    <x v="2200"/>
    <x v="2195"/>
    <x v="1"/>
    <x v="0"/>
    <x v="0"/>
  </r>
  <r>
    <x v="2270"/>
    <x v="2203"/>
    <x v="784"/>
    <x v="270"/>
    <x v="2191"/>
    <x v="2268"/>
    <x v="2206"/>
    <x v="2201"/>
    <x v="2196"/>
    <x v="1"/>
    <x v="0"/>
    <x v="0"/>
  </r>
  <r>
    <x v="2271"/>
    <x v="2204"/>
    <x v="784"/>
    <x v="270"/>
    <x v="2192"/>
    <x v="2269"/>
    <x v="2207"/>
    <x v="2202"/>
    <x v="2197"/>
    <x v="1"/>
    <x v="0"/>
    <x v="0"/>
  </r>
  <r>
    <x v="2272"/>
    <x v="2205"/>
    <x v="784"/>
    <x v="270"/>
    <x v="2193"/>
    <x v="2270"/>
    <x v="2208"/>
    <x v="2203"/>
    <x v="2198"/>
    <x v="1"/>
    <x v="0"/>
    <x v="0"/>
  </r>
  <r>
    <x v="2273"/>
    <x v="2206"/>
    <x v="786"/>
    <x v="271"/>
    <x v="2194"/>
    <x v="2271"/>
    <x v="2209"/>
    <x v="2204"/>
    <x v="2199"/>
    <x v="1"/>
    <x v="0"/>
    <x v="0"/>
  </r>
  <r>
    <x v="2274"/>
    <x v="2207"/>
    <x v="786"/>
    <x v="271"/>
    <x v="2195"/>
    <x v="2272"/>
    <x v="2210"/>
    <x v="2205"/>
    <x v="2200"/>
    <x v="1"/>
    <x v="0"/>
    <x v="0"/>
  </r>
  <r>
    <x v="2275"/>
    <x v="2208"/>
    <x v="786"/>
    <x v="271"/>
    <x v="2196"/>
    <x v="2273"/>
    <x v="2211"/>
    <x v="2206"/>
    <x v="2201"/>
    <x v="1"/>
    <x v="0"/>
    <x v="0"/>
  </r>
  <r>
    <x v="2276"/>
    <x v="2209"/>
    <x v="787"/>
    <x v="272"/>
    <x v="2197"/>
    <x v="2274"/>
    <x v="2212"/>
    <x v="2207"/>
    <x v="2202"/>
    <x v="1"/>
    <x v="0"/>
    <x v="0"/>
  </r>
  <r>
    <x v="2277"/>
    <x v="2210"/>
    <x v="787"/>
    <x v="272"/>
    <x v="1990"/>
    <x v="2275"/>
    <x v="2213"/>
    <x v="2208"/>
    <x v="2203"/>
    <x v="1"/>
    <x v="0"/>
    <x v="0"/>
  </r>
  <r>
    <x v="2278"/>
    <x v="2211"/>
    <x v="787"/>
    <x v="272"/>
    <x v="1990"/>
    <x v="2276"/>
    <x v="2214"/>
    <x v="2209"/>
    <x v="2204"/>
    <x v="1"/>
    <x v="0"/>
    <x v="0"/>
  </r>
  <r>
    <x v="2279"/>
    <x v="2212"/>
    <x v="787"/>
    <x v="272"/>
    <x v="2198"/>
    <x v="2277"/>
    <x v="2215"/>
    <x v="2210"/>
    <x v="1501"/>
    <x v="1"/>
    <x v="0"/>
    <x v="0"/>
  </r>
  <r>
    <x v="2280"/>
    <x v="2213"/>
    <x v="787"/>
    <x v="272"/>
    <x v="2199"/>
    <x v="2278"/>
    <x v="2216"/>
    <x v="2211"/>
    <x v="2205"/>
    <x v="1"/>
    <x v="0"/>
    <x v="0"/>
  </r>
  <r>
    <x v="2281"/>
    <x v="2214"/>
    <x v="787"/>
    <x v="272"/>
    <x v="2200"/>
    <x v="2279"/>
    <x v="2217"/>
    <x v="2212"/>
    <x v="2206"/>
    <x v="1"/>
    <x v="0"/>
    <x v="0"/>
  </r>
  <r>
    <x v="2282"/>
    <x v="2215"/>
    <x v="788"/>
    <x v="272"/>
    <x v="2201"/>
    <x v="2280"/>
    <x v="2218"/>
    <x v="2213"/>
    <x v="2207"/>
    <x v="1"/>
    <x v="0"/>
    <x v="0"/>
  </r>
  <r>
    <x v="2283"/>
    <x v="2216"/>
    <x v="789"/>
    <x v="272"/>
    <x v="2202"/>
    <x v="2281"/>
    <x v="2219"/>
    <x v="2214"/>
    <x v="2208"/>
    <x v="1"/>
    <x v="0"/>
    <x v="0"/>
  </r>
  <r>
    <x v="2284"/>
    <x v="2217"/>
    <x v="790"/>
    <x v="273"/>
    <x v="2203"/>
    <x v="2282"/>
    <x v="2220"/>
    <x v="2215"/>
    <x v="2209"/>
    <x v="1"/>
    <x v="0"/>
    <x v="0"/>
  </r>
  <r>
    <x v="2285"/>
    <x v="2218"/>
    <x v="791"/>
    <x v="273"/>
    <x v="2204"/>
    <x v="2283"/>
    <x v="2221"/>
    <x v="2216"/>
    <x v="2210"/>
    <x v="1"/>
    <x v="0"/>
    <x v="0"/>
  </r>
  <r>
    <x v="2286"/>
    <x v="2219"/>
    <x v="790"/>
    <x v="273"/>
    <x v="2205"/>
    <x v="2284"/>
    <x v="2222"/>
    <x v="2217"/>
    <x v="2211"/>
    <x v="1"/>
    <x v="0"/>
    <x v="0"/>
  </r>
  <r>
    <x v="2287"/>
    <x v="2220"/>
    <x v="792"/>
    <x v="273"/>
    <x v="2206"/>
    <x v="2285"/>
    <x v="2223"/>
    <x v="2218"/>
    <x v="2212"/>
    <x v="1"/>
    <x v="0"/>
    <x v="0"/>
  </r>
  <r>
    <x v="2288"/>
    <x v="2221"/>
    <x v="793"/>
    <x v="274"/>
    <x v="2207"/>
    <x v="2286"/>
    <x v="2224"/>
    <x v="2219"/>
    <x v="2213"/>
    <x v="1"/>
    <x v="0"/>
    <x v="0"/>
  </r>
  <r>
    <x v="2289"/>
    <x v="2222"/>
    <x v="790"/>
    <x v="273"/>
    <x v="2208"/>
    <x v="2287"/>
    <x v="2225"/>
    <x v="2220"/>
    <x v="2214"/>
    <x v="1"/>
    <x v="0"/>
    <x v="0"/>
  </r>
  <r>
    <x v="2290"/>
    <x v="2223"/>
    <x v="791"/>
    <x v="273"/>
    <x v="2209"/>
    <x v="2288"/>
    <x v="2226"/>
    <x v="2221"/>
    <x v="2215"/>
    <x v="1"/>
    <x v="0"/>
    <x v="0"/>
  </r>
  <r>
    <x v="2291"/>
    <x v="2224"/>
    <x v="791"/>
    <x v="273"/>
    <x v="2210"/>
    <x v="2289"/>
    <x v="2227"/>
    <x v="2222"/>
    <x v="2216"/>
    <x v="1"/>
    <x v="0"/>
    <x v="0"/>
  </r>
  <r>
    <x v="2292"/>
    <x v="1779"/>
    <x v="790"/>
    <x v="273"/>
    <x v="1771"/>
    <x v="2290"/>
    <x v="1781"/>
    <x v="1777"/>
    <x v="1774"/>
    <x v="1"/>
    <x v="0"/>
    <x v="0"/>
  </r>
  <r>
    <x v="2293"/>
    <x v="2225"/>
    <x v="790"/>
    <x v="273"/>
    <x v="2211"/>
    <x v="2291"/>
    <x v="2228"/>
    <x v="2223"/>
    <x v="2217"/>
    <x v="1"/>
    <x v="0"/>
    <x v="0"/>
  </r>
  <r>
    <x v="2294"/>
    <x v="2226"/>
    <x v="793"/>
    <x v="274"/>
    <x v="2212"/>
    <x v="2292"/>
    <x v="2229"/>
    <x v="2224"/>
    <x v="2218"/>
    <x v="1"/>
    <x v="0"/>
    <x v="0"/>
  </r>
  <r>
    <x v="2295"/>
    <x v="2227"/>
    <x v="793"/>
    <x v="274"/>
    <x v="2213"/>
    <x v="2293"/>
    <x v="2230"/>
    <x v="2225"/>
    <x v="2219"/>
    <x v="1"/>
    <x v="0"/>
    <x v="0"/>
  </r>
  <r>
    <x v="2296"/>
    <x v="2228"/>
    <x v="793"/>
    <x v="274"/>
    <x v="2214"/>
    <x v="2294"/>
    <x v="2231"/>
    <x v="2226"/>
    <x v="2220"/>
    <x v="1"/>
    <x v="0"/>
    <x v="0"/>
  </r>
  <r>
    <x v="2297"/>
    <x v="2229"/>
    <x v="794"/>
    <x v="274"/>
    <x v="2215"/>
    <x v="2295"/>
    <x v="2232"/>
    <x v="2227"/>
    <x v="2221"/>
    <x v="1"/>
    <x v="0"/>
    <x v="0"/>
  </r>
  <r>
    <x v="2298"/>
    <x v="2230"/>
    <x v="793"/>
    <x v="274"/>
    <x v="2216"/>
    <x v="2296"/>
    <x v="2233"/>
    <x v="2228"/>
    <x v="2222"/>
    <x v="1"/>
    <x v="0"/>
    <x v="0"/>
  </r>
  <r>
    <x v="2299"/>
    <x v="2231"/>
    <x v="793"/>
    <x v="274"/>
    <x v="2217"/>
    <x v="2297"/>
    <x v="2234"/>
    <x v="2229"/>
    <x v="2223"/>
    <x v="1"/>
    <x v="0"/>
    <x v="0"/>
  </r>
  <r>
    <x v="2300"/>
    <x v="2232"/>
    <x v="795"/>
    <x v="274"/>
    <x v="2218"/>
    <x v="2298"/>
    <x v="2235"/>
    <x v="2230"/>
    <x v="2224"/>
    <x v="1"/>
    <x v="0"/>
    <x v="0"/>
  </r>
  <r>
    <x v="2301"/>
    <x v="2233"/>
    <x v="790"/>
    <x v="273"/>
    <x v="2219"/>
    <x v="2299"/>
    <x v="2236"/>
    <x v="2231"/>
    <x v="2225"/>
    <x v="1"/>
    <x v="0"/>
    <x v="0"/>
  </r>
  <r>
    <x v="2302"/>
    <x v="2234"/>
    <x v="793"/>
    <x v="274"/>
    <x v="2220"/>
    <x v="2300"/>
    <x v="2237"/>
    <x v="2232"/>
    <x v="2226"/>
    <x v="1"/>
    <x v="0"/>
    <x v="0"/>
  </r>
  <r>
    <x v="2303"/>
    <x v="2235"/>
    <x v="796"/>
    <x v="275"/>
    <x v="2221"/>
    <x v="2301"/>
    <x v="2238"/>
    <x v="2233"/>
    <x v="2227"/>
    <x v="1"/>
    <x v="0"/>
    <x v="0"/>
  </r>
  <r>
    <x v="2304"/>
    <x v="2236"/>
    <x v="797"/>
    <x v="275"/>
    <x v="2222"/>
    <x v="2302"/>
    <x v="2239"/>
    <x v="2234"/>
    <x v="2228"/>
    <x v="1"/>
    <x v="0"/>
    <x v="0"/>
  </r>
  <r>
    <x v="2305"/>
    <x v="2154"/>
    <x v="797"/>
    <x v="275"/>
    <x v="2142"/>
    <x v="2214"/>
    <x v="2159"/>
    <x v="2152"/>
    <x v="2147"/>
    <x v="1"/>
    <x v="0"/>
    <x v="0"/>
  </r>
  <r>
    <x v="2306"/>
    <x v="2237"/>
    <x v="797"/>
    <x v="275"/>
    <x v="2223"/>
    <x v="2303"/>
    <x v="2240"/>
    <x v="2235"/>
    <x v="2229"/>
    <x v="1"/>
    <x v="0"/>
    <x v="0"/>
  </r>
  <r>
    <x v="2307"/>
    <x v="2238"/>
    <x v="798"/>
    <x v="275"/>
    <x v="2224"/>
    <x v="2304"/>
    <x v="2241"/>
    <x v="2236"/>
    <x v="2230"/>
    <x v="1"/>
    <x v="0"/>
    <x v="0"/>
  </r>
  <r>
    <x v="2308"/>
    <x v="2239"/>
    <x v="797"/>
    <x v="275"/>
    <x v="2225"/>
    <x v="2305"/>
    <x v="2242"/>
    <x v="2237"/>
    <x v="2231"/>
    <x v="1"/>
    <x v="0"/>
    <x v="0"/>
  </r>
  <r>
    <x v="2309"/>
    <x v="2240"/>
    <x v="797"/>
    <x v="275"/>
    <x v="2226"/>
    <x v="2306"/>
    <x v="2243"/>
    <x v="2238"/>
    <x v="2232"/>
    <x v="1"/>
    <x v="0"/>
    <x v="0"/>
  </r>
  <r>
    <x v="2310"/>
    <x v="2241"/>
    <x v="797"/>
    <x v="275"/>
    <x v="2227"/>
    <x v="2307"/>
    <x v="1140"/>
    <x v="2239"/>
    <x v="2233"/>
    <x v="1"/>
    <x v="0"/>
    <x v="0"/>
  </r>
  <r>
    <x v="2311"/>
    <x v="2242"/>
    <x v="797"/>
    <x v="275"/>
    <x v="2228"/>
    <x v="2308"/>
    <x v="2244"/>
    <x v="2240"/>
    <x v="2234"/>
    <x v="1"/>
    <x v="0"/>
    <x v="0"/>
  </r>
  <r>
    <x v="2312"/>
    <x v="2243"/>
    <x v="799"/>
    <x v="275"/>
    <x v="2229"/>
    <x v="2309"/>
    <x v="2245"/>
    <x v="2241"/>
    <x v="2235"/>
    <x v="1"/>
    <x v="0"/>
    <x v="0"/>
  </r>
  <r>
    <x v="2313"/>
    <x v="576"/>
    <x v="800"/>
    <x v="275"/>
    <x v="572"/>
    <x v="2310"/>
    <x v="2246"/>
    <x v="576"/>
    <x v="576"/>
    <x v="1"/>
    <x v="0"/>
    <x v="0"/>
  </r>
  <r>
    <x v="2314"/>
    <x v="2244"/>
    <x v="801"/>
    <x v="276"/>
    <x v="2230"/>
    <x v="2311"/>
    <x v="2247"/>
    <x v="2242"/>
    <x v="2236"/>
    <x v="1"/>
    <x v="0"/>
    <x v="0"/>
  </r>
  <r>
    <x v="2315"/>
    <x v="2245"/>
    <x v="801"/>
    <x v="276"/>
    <x v="2231"/>
    <x v="2312"/>
    <x v="2248"/>
    <x v="2243"/>
    <x v="2237"/>
    <x v="1"/>
    <x v="0"/>
    <x v="0"/>
  </r>
  <r>
    <x v="2316"/>
    <x v="2246"/>
    <x v="801"/>
    <x v="276"/>
    <x v="2232"/>
    <x v="2313"/>
    <x v="2249"/>
    <x v="2244"/>
    <x v="2238"/>
    <x v="1"/>
    <x v="0"/>
    <x v="0"/>
  </r>
  <r>
    <x v="2317"/>
    <x v="2247"/>
    <x v="802"/>
    <x v="276"/>
    <x v="2233"/>
    <x v="2314"/>
    <x v="2250"/>
    <x v="2245"/>
    <x v="2239"/>
    <x v="1"/>
    <x v="0"/>
    <x v="0"/>
  </r>
  <r>
    <x v="2318"/>
    <x v="2248"/>
    <x v="801"/>
    <x v="276"/>
    <x v="2234"/>
    <x v="2315"/>
    <x v="2251"/>
    <x v="2246"/>
    <x v="2240"/>
    <x v="1"/>
    <x v="0"/>
    <x v="0"/>
  </r>
  <r>
    <x v="2319"/>
    <x v="2249"/>
    <x v="801"/>
    <x v="276"/>
    <x v="2235"/>
    <x v="2316"/>
    <x v="2252"/>
    <x v="2247"/>
    <x v="2241"/>
    <x v="1"/>
    <x v="0"/>
    <x v="0"/>
  </r>
  <r>
    <x v="2320"/>
    <x v="2250"/>
    <x v="801"/>
    <x v="276"/>
    <x v="2236"/>
    <x v="2317"/>
    <x v="2253"/>
    <x v="2248"/>
    <x v="2242"/>
    <x v="1"/>
    <x v="0"/>
    <x v="0"/>
  </r>
  <r>
    <x v="2321"/>
    <x v="2251"/>
    <x v="803"/>
    <x v="277"/>
    <x v="2237"/>
    <x v="2318"/>
    <x v="2254"/>
    <x v="2249"/>
    <x v="2243"/>
    <x v="1"/>
    <x v="0"/>
    <x v="0"/>
  </r>
  <r>
    <x v="2322"/>
    <x v="2252"/>
    <x v="803"/>
    <x v="277"/>
    <x v="2238"/>
    <x v="2319"/>
    <x v="2255"/>
    <x v="2250"/>
    <x v="2244"/>
    <x v="1"/>
    <x v="0"/>
    <x v="0"/>
  </r>
  <r>
    <x v="2323"/>
    <x v="2253"/>
    <x v="804"/>
    <x v="277"/>
    <x v="2239"/>
    <x v="2320"/>
    <x v="2256"/>
    <x v="2251"/>
    <x v="2245"/>
    <x v="1"/>
    <x v="0"/>
    <x v="0"/>
  </r>
  <r>
    <x v="2324"/>
    <x v="2254"/>
    <x v="803"/>
    <x v="277"/>
    <x v="2240"/>
    <x v="2321"/>
    <x v="2257"/>
    <x v="2252"/>
    <x v="2246"/>
    <x v="1"/>
    <x v="0"/>
    <x v="0"/>
  </r>
  <r>
    <x v="2325"/>
    <x v="2255"/>
    <x v="805"/>
    <x v="277"/>
    <x v="2241"/>
    <x v="2322"/>
    <x v="2258"/>
    <x v="2253"/>
    <x v="2247"/>
    <x v="1"/>
    <x v="0"/>
    <x v="0"/>
  </r>
  <r>
    <x v="2326"/>
    <x v="2256"/>
    <x v="806"/>
    <x v="278"/>
    <x v="2242"/>
    <x v="2323"/>
    <x v="2259"/>
    <x v="2254"/>
    <x v="2248"/>
    <x v="1"/>
    <x v="0"/>
    <x v="0"/>
  </r>
  <r>
    <x v="2327"/>
    <x v="2257"/>
    <x v="807"/>
    <x v="278"/>
    <x v="2243"/>
    <x v="2324"/>
    <x v="2260"/>
    <x v="2255"/>
    <x v="2249"/>
    <x v="1"/>
    <x v="0"/>
    <x v="0"/>
  </r>
  <r>
    <x v="2328"/>
    <x v="2258"/>
    <x v="806"/>
    <x v="278"/>
    <x v="2244"/>
    <x v="2325"/>
    <x v="2261"/>
    <x v="2256"/>
    <x v="2250"/>
    <x v="1"/>
    <x v="0"/>
    <x v="0"/>
  </r>
  <r>
    <x v="2329"/>
    <x v="2259"/>
    <x v="808"/>
    <x v="278"/>
    <x v="2245"/>
    <x v="2326"/>
    <x v="2262"/>
    <x v="2257"/>
    <x v="2251"/>
    <x v="1"/>
    <x v="0"/>
    <x v="0"/>
  </r>
  <r>
    <x v="2330"/>
    <x v="2260"/>
    <x v="807"/>
    <x v="278"/>
    <x v="2246"/>
    <x v="2327"/>
    <x v="2263"/>
    <x v="2258"/>
    <x v="2252"/>
    <x v="1"/>
    <x v="0"/>
    <x v="0"/>
  </r>
  <r>
    <x v="2331"/>
    <x v="2261"/>
    <x v="809"/>
    <x v="278"/>
    <x v="2247"/>
    <x v="2328"/>
    <x v="2264"/>
    <x v="2259"/>
    <x v="2253"/>
    <x v="1"/>
    <x v="0"/>
    <x v="0"/>
  </r>
  <r>
    <x v="2332"/>
    <x v="2262"/>
    <x v="810"/>
    <x v="278"/>
    <x v="2248"/>
    <x v="2329"/>
    <x v="2265"/>
    <x v="2260"/>
    <x v="2254"/>
    <x v="1"/>
    <x v="0"/>
    <x v="0"/>
  </r>
  <r>
    <x v="2333"/>
    <x v="2263"/>
    <x v="806"/>
    <x v="278"/>
    <x v="2249"/>
    <x v="2330"/>
    <x v="2266"/>
    <x v="2261"/>
    <x v="2255"/>
    <x v="1"/>
    <x v="0"/>
    <x v="0"/>
  </r>
  <r>
    <x v="2334"/>
    <x v="2264"/>
    <x v="806"/>
    <x v="278"/>
    <x v="2250"/>
    <x v="2331"/>
    <x v="2267"/>
    <x v="2262"/>
    <x v="2256"/>
    <x v="1"/>
    <x v="0"/>
    <x v="0"/>
  </r>
  <r>
    <x v="2335"/>
    <x v="2265"/>
    <x v="806"/>
    <x v="278"/>
    <x v="2251"/>
    <x v="2332"/>
    <x v="1489"/>
    <x v="2263"/>
    <x v="2257"/>
    <x v="1"/>
    <x v="0"/>
    <x v="0"/>
  </r>
  <r>
    <x v="2336"/>
    <x v="2266"/>
    <x v="806"/>
    <x v="278"/>
    <x v="2252"/>
    <x v="2333"/>
    <x v="2268"/>
    <x v="2264"/>
    <x v="2258"/>
    <x v="1"/>
    <x v="0"/>
    <x v="0"/>
  </r>
  <r>
    <x v="2337"/>
    <x v="2267"/>
    <x v="806"/>
    <x v="278"/>
    <x v="2253"/>
    <x v="2334"/>
    <x v="2269"/>
    <x v="2265"/>
    <x v="2259"/>
    <x v="1"/>
    <x v="0"/>
    <x v="0"/>
  </r>
  <r>
    <x v="2338"/>
    <x v="2268"/>
    <x v="811"/>
    <x v="279"/>
    <x v="2254"/>
    <x v="2335"/>
    <x v="2270"/>
    <x v="2266"/>
    <x v="2260"/>
    <x v="1"/>
    <x v="0"/>
    <x v="0"/>
  </r>
  <r>
    <x v="2339"/>
    <x v="2269"/>
    <x v="811"/>
    <x v="279"/>
    <x v="2255"/>
    <x v="2336"/>
    <x v="2271"/>
    <x v="2267"/>
    <x v="2261"/>
    <x v="1"/>
    <x v="0"/>
    <x v="0"/>
  </r>
  <r>
    <x v="2340"/>
    <x v="2270"/>
    <x v="812"/>
    <x v="279"/>
    <x v="2256"/>
    <x v="2337"/>
    <x v="2272"/>
    <x v="2268"/>
    <x v="2262"/>
    <x v="1"/>
    <x v="0"/>
    <x v="0"/>
  </r>
  <r>
    <x v="2341"/>
    <x v="2271"/>
    <x v="811"/>
    <x v="279"/>
    <x v="2257"/>
    <x v="2338"/>
    <x v="2273"/>
    <x v="2269"/>
    <x v="2263"/>
    <x v="1"/>
    <x v="0"/>
    <x v="0"/>
  </r>
  <r>
    <x v="2342"/>
    <x v="2272"/>
    <x v="811"/>
    <x v="279"/>
    <x v="2258"/>
    <x v="2339"/>
    <x v="2274"/>
    <x v="2270"/>
    <x v="2264"/>
    <x v="1"/>
    <x v="0"/>
    <x v="0"/>
  </r>
  <r>
    <x v="2343"/>
    <x v="2273"/>
    <x v="813"/>
    <x v="279"/>
    <x v="2259"/>
    <x v="2340"/>
    <x v="2275"/>
    <x v="2271"/>
    <x v="2265"/>
    <x v="1"/>
    <x v="0"/>
    <x v="0"/>
  </r>
  <r>
    <x v="2344"/>
    <x v="2274"/>
    <x v="814"/>
    <x v="279"/>
    <x v="2260"/>
    <x v="2341"/>
    <x v="2276"/>
    <x v="2272"/>
    <x v="2266"/>
    <x v="1"/>
    <x v="0"/>
    <x v="0"/>
  </r>
  <r>
    <x v="2345"/>
    <x v="2275"/>
    <x v="814"/>
    <x v="279"/>
    <x v="2261"/>
    <x v="2342"/>
    <x v="2277"/>
    <x v="2273"/>
    <x v="2267"/>
    <x v="1"/>
    <x v="0"/>
    <x v="0"/>
  </r>
  <r>
    <x v="2346"/>
    <x v="2276"/>
    <x v="814"/>
    <x v="279"/>
    <x v="2262"/>
    <x v="2343"/>
    <x v="2278"/>
    <x v="2274"/>
    <x v="2268"/>
    <x v="1"/>
    <x v="0"/>
    <x v="0"/>
  </r>
  <r>
    <x v="2347"/>
    <x v="2277"/>
    <x v="814"/>
    <x v="279"/>
    <x v="2263"/>
    <x v="2344"/>
    <x v="2087"/>
    <x v="2275"/>
    <x v="2269"/>
    <x v="1"/>
    <x v="0"/>
    <x v="0"/>
  </r>
  <r>
    <x v="2348"/>
    <x v="2278"/>
    <x v="815"/>
    <x v="280"/>
    <x v="2264"/>
    <x v="2345"/>
    <x v="2279"/>
    <x v="2276"/>
    <x v="2270"/>
    <x v="1"/>
    <x v="0"/>
    <x v="0"/>
  </r>
  <r>
    <x v="2349"/>
    <x v="2279"/>
    <x v="816"/>
    <x v="280"/>
    <x v="2265"/>
    <x v="2346"/>
    <x v="2280"/>
    <x v="2277"/>
    <x v="2271"/>
    <x v="1"/>
    <x v="0"/>
    <x v="0"/>
  </r>
  <r>
    <x v="2350"/>
    <x v="2280"/>
    <x v="817"/>
    <x v="280"/>
    <x v="2266"/>
    <x v="2347"/>
    <x v="2281"/>
    <x v="2278"/>
    <x v="2272"/>
    <x v="1"/>
    <x v="0"/>
    <x v="0"/>
  </r>
  <r>
    <x v="2351"/>
    <x v="2281"/>
    <x v="816"/>
    <x v="280"/>
    <x v="2267"/>
    <x v="2348"/>
    <x v="2282"/>
    <x v="2279"/>
    <x v="2273"/>
    <x v="1"/>
    <x v="0"/>
    <x v="0"/>
  </r>
  <r>
    <x v="2352"/>
    <x v="2282"/>
    <x v="816"/>
    <x v="280"/>
    <x v="2268"/>
    <x v="2349"/>
    <x v="2283"/>
    <x v="2280"/>
    <x v="2274"/>
    <x v="1"/>
    <x v="0"/>
    <x v="0"/>
  </r>
  <r>
    <x v="2353"/>
    <x v="2283"/>
    <x v="817"/>
    <x v="280"/>
    <x v="2269"/>
    <x v="2350"/>
    <x v="2284"/>
    <x v="2281"/>
    <x v="2275"/>
    <x v="1"/>
    <x v="0"/>
    <x v="0"/>
  </r>
  <r>
    <x v="2354"/>
    <x v="2284"/>
    <x v="818"/>
    <x v="281"/>
    <x v="2270"/>
    <x v="2351"/>
    <x v="2285"/>
    <x v="2282"/>
    <x v="2276"/>
    <x v="1"/>
    <x v="0"/>
    <x v="0"/>
  </r>
  <r>
    <x v="2355"/>
    <x v="2285"/>
    <x v="819"/>
    <x v="281"/>
    <x v="2271"/>
    <x v="2352"/>
    <x v="2286"/>
    <x v="2283"/>
    <x v="2277"/>
    <x v="1"/>
    <x v="0"/>
    <x v="0"/>
  </r>
  <r>
    <x v="2356"/>
    <x v="2286"/>
    <x v="820"/>
    <x v="281"/>
    <x v="2272"/>
    <x v="2353"/>
    <x v="2287"/>
    <x v="2284"/>
    <x v="2278"/>
    <x v="1"/>
    <x v="0"/>
    <x v="0"/>
  </r>
  <r>
    <x v="2357"/>
    <x v="2287"/>
    <x v="819"/>
    <x v="281"/>
    <x v="2273"/>
    <x v="2354"/>
    <x v="2288"/>
    <x v="2285"/>
    <x v="2279"/>
    <x v="1"/>
    <x v="0"/>
    <x v="0"/>
  </r>
  <r>
    <x v="2358"/>
    <x v="1768"/>
    <x v="818"/>
    <x v="281"/>
    <x v="1760"/>
    <x v="2355"/>
    <x v="2289"/>
    <x v="1766"/>
    <x v="1763"/>
    <x v="1"/>
    <x v="0"/>
    <x v="0"/>
  </r>
  <r>
    <x v="2359"/>
    <x v="2288"/>
    <x v="818"/>
    <x v="281"/>
    <x v="2274"/>
    <x v="2356"/>
    <x v="2290"/>
    <x v="2286"/>
    <x v="2280"/>
    <x v="1"/>
    <x v="0"/>
    <x v="0"/>
  </r>
  <r>
    <x v="2360"/>
    <x v="2289"/>
    <x v="818"/>
    <x v="281"/>
    <x v="2275"/>
    <x v="2357"/>
    <x v="1678"/>
    <x v="2287"/>
    <x v="2281"/>
    <x v="1"/>
    <x v="0"/>
    <x v="0"/>
  </r>
  <r>
    <x v="2361"/>
    <x v="2290"/>
    <x v="821"/>
    <x v="281"/>
    <x v="2276"/>
    <x v="2358"/>
    <x v="2291"/>
    <x v="2288"/>
    <x v="2282"/>
    <x v="1"/>
    <x v="0"/>
    <x v="0"/>
  </r>
  <r>
    <x v="2362"/>
    <x v="2291"/>
    <x v="822"/>
    <x v="281"/>
    <x v="2277"/>
    <x v="2359"/>
    <x v="2292"/>
    <x v="2289"/>
    <x v="2283"/>
    <x v="1"/>
    <x v="0"/>
    <x v="0"/>
  </r>
  <r>
    <x v="2363"/>
    <x v="2292"/>
    <x v="821"/>
    <x v="281"/>
    <x v="2278"/>
    <x v="2360"/>
    <x v="2293"/>
    <x v="2290"/>
    <x v="2284"/>
    <x v="1"/>
    <x v="0"/>
    <x v="0"/>
  </r>
  <r>
    <x v="2364"/>
    <x v="2293"/>
    <x v="821"/>
    <x v="281"/>
    <x v="2279"/>
    <x v="2361"/>
    <x v="2294"/>
    <x v="2291"/>
    <x v="2285"/>
    <x v="1"/>
    <x v="0"/>
    <x v="0"/>
  </r>
  <r>
    <x v="2365"/>
    <x v="2294"/>
    <x v="823"/>
    <x v="282"/>
    <x v="2280"/>
    <x v="2362"/>
    <x v="2295"/>
    <x v="2292"/>
    <x v="2286"/>
    <x v="1"/>
    <x v="0"/>
    <x v="0"/>
  </r>
  <r>
    <x v="2366"/>
    <x v="2295"/>
    <x v="824"/>
    <x v="282"/>
    <x v="2281"/>
    <x v="2363"/>
    <x v="2296"/>
    <x v="2293"/>
    <x v="2287"/>
    <x v="1"/>
    <x v="0"/>
    <x v="0"/>
  </r>
  <r>
    <x v="2367"/>
    <x v="2296"/>
    <x v="824"/>
    <x v="282"/>
    <x v="2282"/>
    <x v="2364"/>
    <x v="2297"/>
    <x v="2294"/>
    <x v="2288"/>
    <x v="1"/>
    <x v="0"/>
    <x v="0"/>
  </r>
  <r>
    <x v="2368"/>
    <x v="2297"/>
    <x v="824"/>
    <x v="282"/>
    <x v="2283"/>
    <x v="2365"/>
    <x v="2298"/>
    <x v="2295"/>
    <x v="2289"/>
    <x v="1"/>
    <x v="0"/>
    <x v="0"/>
  </r>
  <r>
    <x v="2369"/>
    <x v="2298"/>
    <x v="825"/>
    <x v="282"/>
    <x v="2284"/>
    <x v="2366"/>
    <x v="1935"/>
    <x v="2296"/>
    <x v="2290"/>
    <x v="1"/>
    <x v="0"/>
    <x v="0"/>
  </r>
  <r>
    <x v="2370"/>
    <x v="2299"/>
    <x v="824"/>
    <x v="282"/>
    <x v="2285"/>
    <x v="2367"/>
    <x v="2299"/>
    <x v="2297"/>
    <x v="2291"/>
    <x v="1"/>
    <x v="0"/>
    <x v="0"/>
  </r>
  <r>
    <x v="2371"/>
    <x v="2300"/>
    <x v="824"/>
    <x v="282"/>
    <x v="2286"/>
    <x v="2368"/>
    <x v="2300"/>
    <x v="2298"/>
    <x v="2292"/>
    <x v="1"/>
    <x v="0"/>
    <x v="0"/>
  </r>
  <r>
    <x v="2372"/>
    <x v="2301"/>
    <x v="826"/>
    <x v="283"/>
    <x v="2287"/>
    <x v="2369"/>
    <x v="2301"/>
    <x v="2299"/>
    <x v="2293"/>
    <x v="1"/>
    <x v="0"/>
    <x v="0"/>
  </r>
  <r>
    <x v="2373"/>
    <x v="2302"/>
    <x v="827"/>
    <x v="283"/>
    <x v="2288"/>
    <x v="2370"/>
    <x v="2302"/>
    <x v="2300"/>
    <x v="2294"/>
    <x v="1"/>
    <x v="0"/>
    <x v="0"/>
  </r>
  <r>
    <x v="2374"/>
    <x v="2303"/>
    <x v="826"/>
    <x v="283"/>
    <x v="2289"/>
    <x v="2371"/>
    <x v="2303"/>
    <x v="2301"/>
    <x v="2295"/>
    <x v="1"/>
    <x v="0"/>
    <x v="0"/>
  </r>
  <r>
    <x v="2375"/>
    <x v="2304"/>
    <x v="828"/>
    <x v="283"/>
    <x v="2290"/>
    <x v="2372"/>
    <x v="2304"/>
    <x v="2302"/>
    <x v="2296"/>
    <x v="1"/>
    <x v="0"/>
    <x v="0"/>
  </r>
  <r>
    <x v="2376"/>
    <x v="2305"/>
    <x v="828"/>
    <x v="283"/>
    <x v="2291"/>
    <x v="2373"/>
    <x v="1581"/>
    <x v="2303"/>
    <x v="2297"/>
    <x v="1"/>
    <x v="0"/>
    <x v="0"/>
  </r>
  <r>
    <x v="2377"/>
    <x v="2306"/>
    <x v="829"/>
    <x v="284"/>
    <x v="2292"/>
    <x v="2374"/>
    <x v="2305"/>
    <x v="2304"/>
    <x v="2298"/>
    <x v="1"/>
    <x v="0"/>
    <x v="0"/>
  </r>
  <r>
    <x v="2378"/>
    <x v="2307"/>
    <x v="829"/>
    <x v="284"/>
    <x v="2293"/>
    <x v="2375"/>
    <x v="2306"/>
    <x v="2305"/>
    <x v="608"/>
    <x v="1"/>
    <x v="0"/>
    <x v="0"/>
  </r>
  <r>
    <x v="2379"/>
    <x v="2308"/>
    <x v="830"/>
    <x v="284"/>
    <x v="2294"/>
    <x v="2376"/>
    <x v="2307"/>
    <x v="2306"/>
    <x v="2299"/>
    <x v="1"/>
    <x v="0"/>
    <x v="0"/>
  </r>
  <r>
    <x v="2380"/>
    <x v="2309"/>
    <x v="829"/>
    <x v="284"/>
    <x v="2295"/>
    <x v="2377"/>
    <x v="2308"/>
    <x v="2307"/>
    <x v="2300"/>
    <x v="1"/>
    <x v="0"/>
    <x v="0"/>
  </r>
  <r>
    <x v="2381"/>
    <x v="2310"/>
    <x v="831"/>
    <x v="285"/>
    <x v="2296"/>
    <x v="2378"/>
    <x v="2309"/>
    <x v="2308"/>
    <x v="2301"/>
    <x v="1"/>
    <x v="0"/>
    <x v="0"/>
  </r>
  <r>
    <x v="2382"/>
    <x v="2311"/>
    <x v="831"/>
    <x v="285"/>
    <x v="2297"/>
    <x v="2379"/>
    <x v="2310"/>
    <x v="2309"/>
    <x v="2302"/>
    <x v="1"/>
    <x v="0"/>
    <x v="0"/>
  </r>
  <r>
    <x v="2383"/>
    <x v="2312"/>
    <x v="831"/>
    <x v="285"/>
    <x v="2298"/>
    <x v="2380"/>
    <x v="2311"/>
    <x v="2310"/>
    <x v="2303"/>
    <x v="1"/>
    <x v="0"/>
    <x v="0"/>
  </r>
  <r>
    <x v="2384"/>
    <x v="2313"/>
    <x v="831"/>
    <x v="285"/>
    <x v="2299"/>
    <x v="2381"/>
    <x v="2312"/>
    <x v="2311"/>
    <x v="2304"/>
    <x v="1"/>
    <x v="0"/>
    <x v="0"/>
  </r>
  <r>
    <x v="2385"/>
    <x v="2314"/>
    <x v="832"/>
    <x v="286"/>
    <x v="2300"/>
    <x v="2382"/>
    <x v="2313"/>
    <x v="2312"/>
    <x v="2305"/>
    <x v="1"/>
    <x v="0"/>
    <x v="0"/>
  </r>
  <r>
    <x v="2386"/>
    <x v="2315"/>
    <x v="833"/>
    <x v="286"/>
    <x v="2301"/>
    <x v="2383"/>
    <x v="2314"/>
    <x v="2313"/>
    <x v="2306"/>
    <x v="1"/>
    <x v="0"/>
    <x v="0"/>
  </r>
  <r>
    <x v="2387"/>
    <x v="2316"/>
    <x v="833"/>
    <x v="286"/>
    <x v="2302"/>
    <x v="2384"/>
    <x v="2315"/>
    <x v="2314"/>
    <x v="2307"/>
    <x v="1"/>
    <x v="0"/>
    <x v="0"/>
  </r>
  <r>
    <x v="2388"/>
    <x v="2317"/>
    <x v="833"/>
    <x v="286"/>
    <x v="2303"/>
    <x v="2385"/>
    <x v="2316"/>
    <x v="2315"/>
    <x v="2308"/>
    <x v="1"/>
    <x v="0"/>
    <x v="0"/>
  </r>
  <r>
    <x v="2389"/>
    <x v="2318"/>
    <x v="834"/>
    <x v="287"/>
    <x v="2304"/>
    <x v="2386"/>
    <x v="2317"/>
    <x v="2316"/>
    <x v="2309"/>
    <x v="1"/>
    <x v="0"/>
    <x v="0"/>
  </r>
  <r>
    <x v="2390"/>
    <x v="2319"/>
    <x v="835"/>
    <x v="287"/>
    <x v="2305"/>
    <x v="2387"/>
    <x v="2318"/>
    <x v="2317"/>
    <x v="2310"/>
    <x v="1"/>
    <x v="0"/>
    <x v="0"/>
  </r>
  <r>
    <x v="2391"/>
    <x v="2320"/>
    <x v="836"/>
    <x v="288"/>
    <x v="2306"/>
    <x v="2388"/>
    <x v="2319"/>
    <x v="2318"/>
    <x v="2311"/>
    <x v="1"/>
    <x v="0"/>
    <x v="0"/>
  </r>
  <r>
    <x v="2392"/>
    <x v="2321"/>
    <x v="837"/>
    <x v="288"/>
    <x v="2307"/>
    <x v="2389"/>
    <x v="2320"/>
    <x v="2319"/>
    <x v="2312"/>
    <x v="1"/>
    <x v="0"/>
    <x v="0"/>
  </r>
  <r>
    <x v="2393"/>
    <x v="2322"/>
    <x v="836"/>
    <x v="288"/>
    <x v="2308"/>
    <x v="2390"/>
    <x v="2321"/>
    <x v="2320"/>
    <x v="2313"/>
    <x v="1"/>
    <x v="0"/>
    <x v="0"/>
  </r>
  <r>
    <x v="2394"/>
    <x v="2323"/>
    <x v="836"/>
    <x v="288"/>
    <x v="2309"/>
    <x v="2391"/>
    <x v="2322"/>
    <x v="2321"/>
    <x v="2314"/>
    <x v="1"/>
    <x v="0"/>
    <x v="0"/>
  </r>
  <r>
    <x v="2395"/>
    <x v="2324"/>
    <x v="836"/>
    <x v="288"/>
    <x v="2310"/>
    <x v="2392"/>
    <x v="2323"/>
    <x v="2322"/>
    <x v="2315"/>
    <x v="1"/>
    <x v="0"/>
    <x v="0"/>
  </r>
  <r>
    <x v="2396"/>
    <x v="2325"/>
    <x v="836"/>
    <x v="288"/>
    <x v="2311"/>
    <x v="2393"/>
    <x v="2324"/>
    <x v="2323"/>
    <x v="2316"/>
    <x v="1"/>
    <x v="0"/>
    <x v="0"/>
  </r>
  <r>
    <x v="2397"/>
    <x v="2326"/>
    <x v="836"/>
    <x v="288"/>
    <x v="2312"/>
    <x v="2394"/>
    <x v="2325"/>
    <x v="2324"/>
    <x v="2317"/>
    <x v="1"/>
    <x v="0"/>
    <x v="0"/>
  </r>
  <r>
    <x v="2398"/>
    <x v="2327"/>
    <x v="838"/>
    <x v="288"/>
    <x v="2313"/>
    <x v="2395"/>
    <x v="2326"/>
    <x v="2325"/>
    <x v="2318"/>
    <x v="1"/>
    <x v="0"/>
    <x v="0"/>
  </r>
  <r>
    <x v="2399"/>
    <x v="1016"/>
    <x v="839"/>
    <x v="288"/>
    <x v="1010"/>
    <x v="2396"/>
    <x v="2327"/>
    <x v="1016"/>
    <x v="1015"/>
    <x v="1"/>
    <x v="0"/>
    <x v="0"/>
  </r>
  <r>
    <x v="2400"/>
    <x v="2328"/>
    <x v="840"/>
    <x v="289"/>
    <x v="2314"/>
    <x v="2397"/>
    <x v="2328"/>
    <x v="2326"/>
    <x v="2319"/>
    <x v="1"/>
    <x v="0"/>
    <x v="0"/>
  </r>
  <r>
    <x v="2401"/>
    <x v="2329"/>
    <x v="840"/>
    <x v="289"/>
    <x v="2315"/>
    <x v="2398"/>
    <x v="2329"/>
    <x v="2327"/>
    <x v="2320"/>
    <x v="1"/>
    <x v="0"/>
    <x v="0"/>
  </r>
  <r>
    <x v="2402"/>
    <x v="726"/>
    <x v="840"/>
    <x v="289"/>
    <x v="720"/>
    <x v="2399"/>
    <x v="2330"/>
    <x v="726"/>
    <x v="726"/>
    <x v="1"/>
    <x v="0"/>
    <x v="0"/>
  </r>
  <r>
    <x v="2403"/>
    <x v="2330"/>
    <x v="840"/>
    <x v="289"/>
    <x v="2316"/>
    <x v="2400"/>
    <x v="2331"/>
    <x v="2328"/>
    <x v="2321"/>
    <x v="1"/>
    <x v="0"/>
    <x v="0"/>
  </r>
  <r>
    <x v="2404"/>
    <x v="2331"/>
    <x v="840"/>
    <x v="289"/>
    <x v="2317"/>
    <x v="2401"/>
    <x v="2332"/>
    <x v="2329"/>
    <x v="2322"/>
    <x v="1"/>
    <x v="0"/>
    <x v="0"/>
  </r>
  <r>
    <x v="2405"/>
    <x v="2332"/>
    <x v="840"/>
    <x v="289"/>
    <x v="2318"/>
    <x v="2402"/>
    <x v="2333"/>
    <x v="2330"/>
    <x v="2323"/>
    <x v="1"/>
    <x v="0"/>
    <x v="0"/>
  </r>
  <r>
    <x v="2406"/>
    <x v="2333"/>
    <x v="840"/>
    <x v="289"/>
    <x v="2319"/>
    <x v="2403"/>
    <x v="2334"/>
    <x v="2331"/>
    <x v="2324"/>
    <x v="1"/>
    <x v="0"/>
    <x v="0"/>
  </r>
  <r>
    <x v="2407"/>
    <x v="1922"/>
    <x v="841"/>
    <x v="290"/>
    <x v="1912"/>
    <x v="2404"/>
    <x v="2335"/>
    <x v="1920"/>
    <x v="1915"/>
    <x v="1"/>
    <x v="0"/>
    <x v="0"/>
  </r>
  <r>
    <x v="2408"/>
    <x v="2334"/>
    <x v="841"/>
    <x v="290"/>
    <x v="2320"/>
    <x v="2405"/>
    <x v="2336"/>
    <x v="2332"/>
    <x v="2325"/>
    <x v="1"/>
    <x v="0"/>
    <x v="0"/>
  </r>
  <r>
    <x v="2409"/>
    <x v="2335"/>
    <x v="841"/>
    <x v="290"/>
    <x v="2321"/>
    <x v="2406"/>
    <x v="2337"/>
    <x v="2333"/>
    <x v="2326"/>
    <x v="1"/>
    <x v="0"/>
    <x v="0"/>
  </r>
  <r>
    <x v="2410"/>
    <x v="2336"/>
    <x v="842"/>
    <x v="290"/>
    <x v="2322"/>
    <x v="2407"/>
    <x v="2338"/>
    <x v="2334"/>
    <x v="2327"/>
    <x v="1"/>
    <x v="0"/>
    <x v="0"/>
  </r>
  <r>
    <x v="2411"/>
    <x v="2337"/>
    <x v="843"/>
    <x v="291"/>
    <x v="2323"/>
    <x v="2408"/>
    <x v="2339"/>
    <x v="2335"/>
    <x v="2328"/>
    <x v="1"/>
    <x v="0"/>
    <x v="0"/>
  </r>
  <r>
    <x v="2412"/>
    <x v="2338"/>
    <x v="843"/>
    <x v="291"/>
    <x v="2324"/>
    <x v="2409"/>
    <x v="2340"/>
    <x v="2336"/>
    <x v="2329"/>
    <x v="1"/>
    <x v="0"/>
    <x v="0"/>
  </r>
  <r>
    <x v="2413"/>
    <x v="2339"/>
    <x v="844"/>
    <x v="291"/>
    <x v="2325"/>
    <x v="2410"/>
    <x v="2341"/>
    <x v="2337"/>
    <x v="2330"/>
    <x v="1"/>
    <x v="0"/>
    <x v="0"/>
  </r>
  <r>
    <x v="2414"/>
    <x v="2340"/>
    <x v="843"/>
    <x v="291"/>
    <x v="2326"/>
    <x v="2411"/>
    <x v="2342"/>
    <x v="2338"/>
    <x v="2331"/>
    <x v="1"/>
    <x v="0"/>
    <x v="0"/>
  </r>
  <r>
    <x v="2415"/>
    <x v="2341"/>
    <x v="843"/>
    <x v="291"/>
    <x v="2327"/>
    <x v="2412"/>
    <x v="2343"/>
    <x v="2339"/>
    <x v="2332"/>
    <x v="1"/>
    <x v="0"/>
    <x v="0"/>
  </r>
  <r>
    <x v="2416"/>
    <x v="2342"/>
    <x v="843"/>
    <x v="291"/>
    <x v="2328"/>
    <x v="2413"/>
    <x v="2344"/>
    <x v="2340"/>
    <x v="2333"/>
    <x v="1"/>
    <x v="0"/>
    <x v="0"/>
  </r>
  <r>
    <x v="2417"/>
    <x v="2343"/>
    <x v="843"/>
    <x v="291"/>
    <x v="2329"/>
    <x v="2414"/>
    <x v="2345"/>
    <x v="2341"/>
    <x v="2334"/>
    <x v="1"/>
    <x v="0"/>
    <x v="0"/>
  </r>
  <r>
    <x v="2418"/>
    <x v="2344"/>
    <x v="843"/>
    <x v="291"/>
    <x v="2330"/>
    <x v="2415"/>
    <x v="2346"/>
    <x v="2342"/>
    <x v="2335"/>
    <x v="1"/>
    <x v="0"/>
    <x v="0"/>
  </r>
  <r>
    <x v="2419"/>
    <x v="2345"/>
    <x v="843"/>
    <x v="291"/>
    <x v="2331"/>
    <x v="2416"/>
    <x v="2347"/>
    <x v="2343"/>
    <x v="2336"/>
    <x v="1"/>
    <x v="0"/>
    <x v="0"/>
  </r>
  <r>
    <x v="2420"/>
    <x v="2346"/>
    <x v="843"/>
    <x v="291"/>
    <x v="2332"/>
    <x v="2417"/>
    <x v="2348"/>
    <x v="2344"/>
    <x v="2337"/>
    <x v="1"/>
    <x v="0"/>
    <x v="0"/>
  </r>
  <r>
    <x v="2421"/>
    <x v="2347"/>
    <x v="843"/>
    <x v="291"/>
    <x v="2333"/>
    <x v="2418"/>
    <x v="2349"/>
    <x v="2345"/>
    <x v="2338"/>
    <x v="1"/>
    <x v="0"/>
    <x v="0"/>
  </r>
  <r>
    <x v="2422"/>
    <x v="2348"/>
    <x v="843"/>
    <x v="291"/>
    <x v="2334"/>
    <x v="2419"/>
    <x v="2350"/>
    <x v="2346"/>
    <x v="2339"/>
    <x v="1"/>
    <x v="0"/>
    <x v="0"/>
  </r>
  <r>
    <x v="2423"/>
    <x v="2349"/>
    <x v="845"/>
    <x v="291"/>
    <x v="2335"/>
    <x v="2420"/>
    <x v="2351"/>
    <x v="2347"/>
    <x v="2340"/>
    <x v="1"/>
    <x v="0"/>
    <x v="0"/>
  </r>
  <r>
    <x v="2424"/>
    <x v="2350"/>
    <x v="845"/>
    <x v="291"/>
    <x v="2336"/>
    <x v="2421"/>
    <x v="2352"/>
    <x v="2348"/>
    <x v="2341"/>
    <x v="1"/>
    <x v="0"/>
    <x v="0"/>
  </r>
  <r>
    <x v="2425"/>
    <x v="2351"/>
    <x v="845"/>
    <x v="291"/>
    <x v="2337"/>
    <x v="2422"/>
    <x v="2353"/>
    <x v="2349"/>
    <x v="2342"/>
    <x v="1"/>
    <x v="0"/>
    <x v="0"/>
  </r>
  <r>
    <x v="2426"/>
    <x v="2352"/>
    <x v="845"/>
    <x v="291"/>
    <x v="2338"/>
    <x v="2423"/>
    <x v="2354"/>
    <x v="2350"/>
    <x v="2343"/>
    <x v="1"/>
    <x v="0"/>
    <x v="0"/>
  </r>
  <r>
    <x v="2427"/>
    <x v="2353"/>
    <x v="846"/>
    <x v="291"/>
    <x v="2339"/>
    <x v="2424"/>
    <x v="2355"/>
    <x v="2351"/>
    <x v="2344"/>
    <x v="1"/>
    <x v="0"/>
    <x v="0"/>
  </r>
  <r>
    <x v="2428"/>
    <x v="2354"/>
    <x v="847"/>
    <x v="292"/>
    <x v="2340"/>
    <x v="2425"/>
    <x v="2356"/>
    <x v="2352"/>
    <x v="2345"/>
    <x v="1"/>
    <x v="0"/>
    <x v="0"/>
  </r>
  <r>
    <x v="2429"/>
    <x v="2355"/>
    <x v="847"/>
    <x v="292"/>
    <x v="2341"/>
    <x v="2426"/>
    <x v="2357"/>
    <x v="2353"/>
    <x v="2346"/>
    <x v="1"/>
    <x v="0"/>
    <x v="0"/>
  </r>
  <r>
    <x v="2430"/>
    <x v="2356"/>
    <x v="846"/>
    <x v="291"/>
    <x v="2342"/>
    <x v="2427"/>
    <x v="2358"/>
    <x v="2354"/>
    <x v="2347"/>
    <x v="1"/>
    <x v="0"/>
    <x v="0"/>
  </r>
  <r>
    <x v="2431"/>
    <x v="2357"/>
    <x v="848"/>
    <x v="291"/>
    <x v="2343"/>
    <x v="2428"/>
    <x v="2359"/>
    <x v="2355"/>
    <x v="2348"/>
    <x v="1"/>
    <x v="0"/>
    <x v="0"/>
  </r>
  <r>
    <x v="2432"/>
    <x v="2358"/>
    <x v="849"/>
    <x v="291"/>
    <x v="2344"/>
    <x v="2429"/>
    <x v="2360"/>
    <x v="2356"/>
    <x v="2349"/>
    <x v="1"/>
    <x v="0"/>
    <x v="0"/>
  </r>
  <r>
    <x v="2433"/>
    <x v="2359"/>
    <x v="834"/>
    <x v="293"/>
    <x v="2345"/>
    <x v="2430"/>
    <x v="2361"/>
    <x v="2357"/>
    <x v="2350"/>
    <x v="1"/>
    <x v="0"/>
    <x v="0"/>
  </r>
  <r>
    <x v="2434"/>
    <x v="2360"/>
    <x v="850"/>
    <x v="294"/>
    <x v="2346"/>
    <x v="2431"/>
    <x v="2362"/>
    <x v="2358"/>
    <x v="2351"/>
    <x v="1"/>
    <x v="0"/>
    <x v="0"/>
  </r>
  <r>
    <x v="2435"/>
    <x v="2361"/>
    <x v="851"/>
    <x v="295"/>
    <x v="2347"/>
    <x v="2432"/>
    <x v="2363"/>
    <x v="2359"/>
    <x v="2352"/>
    <x v="1"/>
    <x v="0"/>
    <x v="0"/>
  </r>
  <r>
    <x v="2436"/>
    <x v="2362"/>
    <x v="851"/>
    <x v="295"/>
    <x v="2348"/>
    <x v="2433"/>
    <x v="2364"/>
    <x v="2360"/>
    <x v="2353"/>
    <x v="1"/>
    <x v="0"/>
    <x v="0"/>
  </r>
  <r>
    <x v="2437"/>
    <x v="2363"/>
    <x v="851"/>
    <x v="295"/>
    <x v="2349"/>
    <x v="2434"/>
    <x v="2365"/>
    <x v="2361"/>
    <x v="2354"/>
    <x v="1"/>
    <x v="0"/>
    <x v="0"/>
  </r>
  <r>
    <x v="2438"/>
    <x v="2364"/>
    <x v="851"/>
    <x v="295"/>
    <x v="2350"/>
    <x v="2435"/>
    <x v="2366"/>
    <x v="2362"/>
    <x v="2355"/>
    <x v="1"/>
    <x v="0"/>
    <x v="0"/>
  </r>
  <r>
    <x v="2439"/>
    <x v="2365"/>
    <x v="851"/>
    <x v="295"/>
    <x v="2351"/>
    <x v="2436"/>
    <x v="2367"/>
    <x v="2363"/>
    <x v="2356"/>
    <x v="1"/>
    <x v="0"/>
    <x v="0"/>
  </r>
  <r>
    <x v="2440"/>
    <x v="2366"/>
    <x v="851"/>
    <x v="295"/>
    <x v="2352"/>
    <x v="2437"/>
    <x v="2368"/>
    <x v="2364"/>
    <x v="2357"/>
    <x v="1"/>
    <x v="0"/>
    <x v="0"/>
  </r>
  <r>
    <x v="2441"/>
    <x v="2367"/>
    <x v="851"/>
    <x v="295"/>
    <x v="2150"/>
    <x v="2438"/>
    <x v="2369"/>
    <x v="2365"/>
    <x v="2358"/>
    <x v="1"/>
    <x v="0"/>
    <x v="0"/>
  </r>
  <r>
    <x v="2442"/>
    <x v="2368"/>
    <x v="851"/>
    <x v="295"/>
    <x v="2353"/>
    <x v="2439"/>
    <x v="2370"/>
    <x v="2366"/>
    <x v="2359"/>
    <x v="1"/>
    <x v="0"/>
    <x v="0"/>
  </r>
  <r>
    <x v="2443"/>
    <x v="2369"/>
    <x v="852"/>
    <x v="295"/>
    <x v="2354"/>
    <x v="2440"/>
    <x v="2371"/>
    <x v="2367"/>
    <x v="2360"/>
    <x v="1"/>
    <x v="0"/>
    <x v="0"/>
  </r>
  <r>
    <x v="2444"/>
    <x v="2370"/>
    <x v="851"/>
    <x v="295"/>
    <x v="2355"/>
    <x v="2441"/>
    <x v="2372"/>
    <x v="2368"/>
    <x v="2361"/>
    <x v="1"/>
    <x v="0"/>
    <x v="0"/>
  </r>
  <r>
    <x v="2445"/>
    <x v="2371"/>
    <x v="851"/>
    <x v="295"/>
    <x v="2356"/>
    <x v="2442"/>
    <x v="2373"/>
    <x v="2369"/>
    <x v="2362"/>
    <x v="1"/>
    <x v="0"/>
    <x v="0"/>
  </r>
  <r>
    <x v="2446"/>
    <x v="2372"/>
    <x v="851"/>
    <x v="295"/>
    <x v="2357"/>
    <x v="2443"/>
    <x v="2374"/>
    <x v="2370"/>
    <x v="2363"/>
    <x v="1"/>
    <x v="0"/>
    <x v="0"/>
  </r>
  <r>
    <x v="2447"/>
    <x v="2373"/>
    <x v="851"/>
    <x v="295"/>
    <x v="2358"/>
    <x v="2444"/>
    <x v="2375"/>
    <x v="2371"/>
    <x v="2364"/>
    <x v="1"/>
    <x v="0"/>
    <x v="0"/>
  </r>
  <r>
    <x v="2448"/>
    <x v="2374"/>
    <x v="853"/>
    <x v="296"/>
    <x v="2359"/>
    <x v="2445"/>
    <x v="2376"/>
    <x v="2372"/>
    <x v="2365"/>
    <x v="1"/>
    <x v="0"/>
    <x v="0"/>
  </r>
  <r>
    <x v="2449"/>
    <x v="2375"/>
    <x v="853"/>
    <x v="296"/>
    <x v="2360"/>
    <x v="2446"/>
    <x v="2377"/>
    <x v="2373"/>
    <x v="2366"/>
    <x v="1"/>
    <x v="0"/>
    <x v="0"/>
  </r>
  <r>
    <x v="2450"/>
    <x v="2376"/>
    <x v="853"/>
    <x v="296"/>
    <x v="2361"/>
    <x v="2447"/>
    <x v="2378"/>
    <x v="2374"/>
    <x v="2367"/>
    <x v="1"/>
    <x v="0"/>
    <x v="0"/>
  </r>
  <r>
    <x v="2451"/>
    <x v="2377"/>
    <x v="853"/>
    <x v="296"/>
    <x v="2362"/>
    <x v="2448"/>
    <x v="2379"/>
    <x v="2375"/>
    <x v="2368"/>
    <x v="1"/>
    <x v="0"/>
    <x v="0"/>
  </r>
  <r>
    <x v="2452"/>
    <x v="2378"/>
    <x v="853"/>
    <x v="296"/>
    <x v="2363"/>
    <x v="2449"/>
    <x v="2380"/>
    <x v="2376"/>
    <x v="2369"/>
    <x v="1"/>
    <x v="0"/>
    <x v="0"/>
  </r>
  <r>
    <x v="2453"/>
    <x v="2379"/>
    <x v="853"/>
    <x v="296"/>
    <x v="2364"/>
    <x v="2450"/>
    <x v="2381"/>
    <x v="2377"/>
    <x v="2370"/>
    <x v="1"/>
    <x v="0"/>
    <x v="0"/>
  </r>
  <r>
    <x v="2454"/>
    <x v="2380"/>
    <x v="853"/>
    <x v="296"/>
    <x v="2365"/>
    <x v="2451"/>
    <x v="2382"/>
    <x v="2378"/>
    <x v="2371"/>
    <x v="1"/>
    <x v="0"/>
    <x v="0"/>
  </r>
  <r>
    <x v="2455"/>
    <x v="2381"/>
    <x v="854"/>
    <x v="296"/>
    <x v="2366"/>
    <x v="2452"/>
    <x v="2383"/>
    <x v="2379"/>
    <x v="2372"/>
    <x v="1"/>
    <x v="0"/>
    <x v="0"/>
  </r>
  <r>
    <x v="2456"/>
    <x v="2382"/>
    <x v="853"/>
    <x v="296"/>
    <x v="2367"/>
    <x v="2453"/>
    <x v="2384"/>
    <x v="2380"/>
    <x v="2373"/>
    <x v="1"/>
    <x v="0"/>
    <x v="0"/>
  </r>
  <r>
    <x v="2457"/>
    <x v="2383"/>
    <x v="853"/>
    <x v="296"/>
    <x v="2368"/>
    <x v="2454"/>
    <x v="2385"/>
    <x v="2381"/>
    <x v="2374"/>
    <x v="1"/>
    <x v="0"/>
    <x v="0"/>
  </r>
  <r>
    <x v="2458"/>
    <x v="2384"/>
    <x v="853"/>
    <x v="296"/>
    <x v="2369"/>
    <x v="2455"/>
    <x v="2386"/>
    <x v="2382"/>
    <x v="2375"/>
    <x v="1"/>
    <x v="0"/>
    <x v="0"/>
  </r>
  <r>
    <x v="2459"/>
    <x v="2385"/>
    <x v="853"/>
    <x v="296"/>
    <x v="2370"/>
    <x v="2456"/>
    <x v="2387"/>
    <x v="2383"/>
    <x v="2376"/>
    <x v="1"/>
    <x v="0"/>
    <x v="0"/>
  </r>
  <r>
    <x v="2460"/>
    <x v="2386"/>
    <x v="855"/>
    <x v="296"/>
    <x v="2371"/>
    <x v="2457"/>
    <x v="2388"/>
    <x v="2384"/>
    <x v="2377"/>
    <x v="1"/>
    <x v="0"/>
    <x v="0"/>
  </r>
  <r>
    <x v="2461"/>
    <x v="2387"/>
    <x v="853"/>
    <x v="296"/>
    <x v="2372"/>
    <x v="2458"/>
    <x v="2389"/>
    <x v="2385"/>
    <x v="2378"/>
    <x v="1"/>
    <x v="0"/>
    <x v="0"/>
  </r>
  <r>
    <x v="2462"/>
    <x v="2388"/>
    <x v="853"/>
    <x v="296"/>
    <x v="2373"/>
    <x v="2459"/>
    <x v="2390"/>
    <x v="2386"/>
    <x v="2379"/>
    <x v="1"/>
    <x v="0"/>
    <x v="0"/>
  </r>
  <r>
    <x v="2463"/>
    <x v="2389"/>
    <x v="853"/>
    <x v="296"/>
    <x v="2374"/>
    <x v="2460"/>
    <x v="2391"/>
    <x v="2387"/>
    <x v="2380"/>
    <x v="1"/>
    <x v="0"/>
    <x v="0"/>
  </r>
  <r>
    <x v="2464"/>
    <x v="2390"/>
    <x v="853"/>
    <x v="296"/>
    <x v="2375"/>
    <x v="2461"/>
    <x v="2392"/>
    <x v="2388"/>
    <x v="2381"/>
    <x v="1"/>
    <x v="0"/>
    <x v="0"/>
  </r>
  <r>
    <x v="2465"/>
    <x v="2391"/>
    <x v="853"/>
    <x v="296"/>
    <x v="2376"/>
    <x v="2462"/>
    <x v="2393"/>
    <x v="2389"/>
    <x v="2382"/>
    <x v="1"/>
    <x v="0"/>
    <x v="0"/>
  </r>
  <r>
    <x v="2466"/>
    <x v="2392"/>
    <x v="856"/>
    <x v="296"/>
    <x v="2377"/>
    <x v="2463"/>
    <x v="2394"/>
    <x v="2390"/>
    <x v="2383"/>
    <x v="1"/>
    <x v="0"/>
    <x v="0"/>
  </r>
  <r>
    <x v="2467"/>
    <x v="2393"/>
    <x v="856"/>
    <x v="296"/>
    <x v="2378"/>
    <x v="2464"/>
    <x v="2395"/>
    <x v="2391"/>
    <x v="2384"/>
    <x v="1"/>
    <x v="0"/>
    <x v="0"/>
  </r>
  <r>
    <x v="2468"/>
    <x v="2394"/>
    <x v="853"/>
    <x v="296"/>
    <x v="2379"/>
    <x v="2465"/>
    <x v="2396"/>
    <x v="2392"/>
    <x v="2385"/>
    <x v="1"/>
    <x v="0"/>
    <x v="0"/>
  </r>
  <r>
    <x v="2469"/>
    <x v="2395"/>
    <x v="857"/>
    <x v="297"/>
    <x v="2380"/>
    <x v="2466"/>
    <x v="2397"/>
    <x v="2393"/>
    <x v="2386"/>
    <x v="1"/>
    <x v="0"/>
    <x v="0"/>
  </r>
  <r>
    <x v="2470"/>
    <x v="2396"/>
    <x v="857"/>
    <x v="297"/>
    <x v="2381"/>
    <x v="2467"/>
    <x v="2398"/>
    <x v="2394"/>
    <x v="2387"/>
    <x v="1"/>
    <x v="0"/>
    <x v="0"/>
  </r>
  <r>
    <x v="2471"/>
    <x v="2397"/>
    <x v="858"/>
    <x v="297"/>
    <x v="2382"/>
    <x v="2468"/>
    <x v="2399"/>
    <x v="2395"/>
    <x v="2388"/>
    <x v="1"/>
    <x v="0"/>
    <x v="0"/>
  </r>
  <r>
    <x v="2472"/>
    <x v="2398"/>
    <x v="857"/>
    <x v="297"/>
    <x v="2383"/>
    <x v="2469"/>
    <x v="2400"/>
    <x v="2396"/>
    <x v="2389"/>
    <x v="1"/>
    <x v="0"/>
    <x v="0"/>
  </r>
  <r>
    <x v="2473"/>
    <x v="2399"/>
    <x v="859"/>
    <x v="297"/>
    <x v="2384"/>
    <x v="2470"/>
    <x v="2401"/>
    <x v="2397"/>
    <x v="2390"/>
    <x v="1"/>
    <x v="0"/>
    <x v="0"/>
  </r>
  <r>
    <x v="2474"/>
    <x v="2400"/>
    <x v="205"/>
    <x v="298"/>
    <x v="2385"/>
    <x v="2471"/>
    <x v="2402"/>
    <x v="2398"/>
    <x v="2391"/>
    <x v="1"/>
    <x v="0"/>
    <x v="0"/>
  </r>
  <r>
    <x v="2475"/>
    <x v="2401"/>
    <x v="860"/>
    <x v="298"/>
    <x v="2386"/>
    <x v="2472"/>
    <x v="2116"/>
    <x v="2399"/>
    <x v="2392"/>
    <x v="1"/>
    <x v="0"/>
    <x v="0"/>
  </r>
  <r>
    <x v="2476"/>
    <x v="2402"/>
    <x v="861"/>
    <x v="299"/>
    <x v="2387"/>
    <x v="2473"/>
    <x v="2403"/>
    <x v="2400"/>
    <x v="2393"/>
    <x v="1"/>
    <x v="0"/>
    <x v="0"/>
  </r>
  <r>
    <x v="2477"/>
    <x v="2403"/>
    <x v="861"/>
    <x v="299"/>
    <x v="2388"/>
    <x v="2474"/>
    <x v="2404"/>
    <x v="2401"/>
    <x v="2394"/>
    <x v="1"/>
    <x v="0"/>
    <x v="0"/>
  </r>
  <r>
    <x v="2478"/>
    <x v="2404"/>
    <x v="861"/>
    <x v="299"/>
    <x v="2389"/>
    <x v="2475"/>
    <x v="2405"/>
    <x v="2402"/>
    <x v="2395"/>
    <x v="1"/>
    <x v="0"/>
    <x v="0"/>
  </r>
  <r>
    <x v="2479"/>
    <x v="2405"/>
    <x v="861"/>
    <x v="299"/>
    <x v="2390"/>
    <x v="2476"/>
    <x v="2406"/>
    <x v="2403"/>
    <x v="2396"/>
    <x v="1"/>
    <x v="0"/>
    <x v="0"/>
  </r>
  <r>
    <x v="2480"/>
    <x v="1547"/>
    <x v="861"/>
    <x v="299"/>
    <x v="1541"/>
    <x v="2477"/>
    <x v="2407"/>
    <x v="1546"/>
    <x v="1543"/>
    <x v="1"/>
    <x v="0"/>
    <x v="0"/>
  </r>
  <r>
    <x v="2481"/>
    <x v="2406"/>
    <x v="862"/>
    <x v="299"/>
    <x v="2391"/>
    <x v="2478"/>
    <x v="2408"/>
    <x v="2404"/>
    <x v="2397"/>
    <x v="1"/>
    <x v="0"/>
    <x v="0"/>
  </r>
  <r>
    <x v="2482"/>
    <x v="2407"/>
    <x v="862"/>
    <x v="299"/>
    <x v="2392"/>
    <x v="2479"/>
    <x v="2409"/>
    <x v="2405"/>
    <x v="2398"/>
    <x v="1"/>
    <x v="0"/>
    <x v="0"/>
  </r>
  <r>
    <x v="2483"/>
    <x v="2408"/>
    <x v="862"/>
    <x v="299"/>
    <x v="2393"/>
    <x v="2480"/>
    <x v="2410"/>
    <x v="2406"/>
    <x v="2399"/>
    <x v="1"/>
    <x v="0"/>
    <x v="0"/>
  </r>
  <r>
    <x v="2484"/>
    <x v="2409"/>
    <x v="862"/>
    <x v="299"/>
    <x v="2394"/>
    <x v="2481"/>
    <x v="2411"/>
    <x v="2407"/>
    <x v="2400"/>
    <x v="1"/>
    <x v="0"/>
    <x v="0"/>
  </r>
  <r>
    <x v="2485"/>
    <x v="2410"/>
    <x v="862"/>
    <x v="299"/>
    <x v="2395"/>
    <x v="2482"/>
    <x v="2412"/>
    <x v="2408"/>
    <x v="2401"/>
    <x v="1"/>
    <x v="0"/>
    <x v="0"/>
  </r>
  <r>
    <x v="2486"/>
    <x v="2411"/>
    <x v="863"/>
    <x v="299"/>
    <x v="2396"/>
    <x v="2483"/>
    <x v="2413"/>
    <x v="2409"/>
    <x v="2402"/>
    <x v="1"/>
    <x v="0"/>
    <x v="0"/>
  </r>
  <r>
    <x v="2487"/>
    <x v="2412"/>
    <x v="864"/>
    <x v="300"/>
    <x v="2397"/>
    <x v="2484"/>
    <x v="2414"/>
    <x v="2410"/>
    <x v="2403"/>
    <x v="1"/>
    <x v="0"/>
    <x v="0"/>
  </r>
  <r>
    <x v="2488"/>
    <x v="2413"/>
    <x v="864"/>
    <x v="300"/>
    <x v="2398"/>
    <x v="2485"/>
    <x v="2415"/>
    <x v="2411"/>
    <x v="2404"/>
    <x v="1"/>
    <x v="0"/>
    <x v="0"/>
  </r>
  <r>
    <x v="2489"/>
    <x v="2414"/>
    <x v="865"/>
    <x v="300"/>
    <x v="2399"/>
    <x v="2486"/>
    <x v="2416"/>
    <x v="2412"/>
    <x v="2405"/>
    <x v="1"/>
    <x v="0"/>
    <x v="0"/>
  </r>
  <r>
    <x v="2490"/>
    <x v="2415"/>
    <x v="864"/>
    <x v="300"/>
    <x v="2400"/>
    <x v="2487"/>
    <x v="2417"/>
    <x v="2413"/>
    <x v="2406"/>
    <x v="1"/>
    <x v="0"/>
    <x v="0"/>
  </r>
  <r>
    <x v="2491"/>
    <x v="454"/>
    <x v="864"/>
    <x v="300"/>
    <x v="451"/>
    <x v="2488"/>
    <x v="2418"/>
    <x v="454"/>
    <x v="454"/>
    <x v="1"/>
    <x v="0"/>
    <x v="0"/>
  </r>
  <r>
    <x v="2492"/>
    <x v="2416"/>
    <x v="864"/>
    <x v="300"/>
    <x v="2401"/>
    <x v="2489"/>
    <x v="2419"/>
    <x v="2414"/>
    <x v="2407"/>
    <x v="1"/>
    <x v="0"/>
    <x v="0"/>
  </r>
  <r>
    <x v="2493"/>
    <x v="2417"/>
    <x v="866"/>
    <x v="301"/>
    <x v="2402"/>
    <x v="2490"/>
    <x v="2420"/>
    <x v="2415"/>
    <x v="2408"/>
    <x v="1"/>
    <x v="0"/>
    <x v="0"/>
  </r>
  <r>
    <x v="2494"/>
    <x v="2418"/>
    <x v="867"/>
    <x v="302"/>
    <x v="2403"/>
    <x v="2491"/>
    <x v="2421"/>
    <x v="2416"/>
    <x v="2409"/>
    <x v="1"/>
    <x v="0"/>
    <x v="0"/>
  </r>
  <r>
    <x v="2495"/>
    <x v="2419"/>
    <x v="867"/>
    <x v="302"/>
    <x v="2404"/>
    <x v="2492"/>
    <x v="2422"/>
    <x v="2417"/>
    <x v="2410"/>
    <x v="1"/>
    <x v="0"/>
    <x v="0"/>
  </r>
  <r>
    <x v="2496"/>
    <x v="2420"/>
    <x v="867"/>
    <x v="302"/>
    <x v="2405"/>
    <x v="2493"/>
    <x v="2423"/>
    <x v="2418"/>
    <x v="1952"/>
    <x v="1"/>
    <x v="0"/>
    <x v="0"/>
  </r>
  <r>
    <x v="2497"/>
    <x v="2421"/>
    <x v="867"/>
    <x v="302"/>
    <x v="2406"/>
    <x v="2494"/>
    <x v="2424"/>
    <x v="2419"/>
    <x v="2411"/>
    <x v="1"/>
    <x v="0"/>
    <x v="0"/>
  </r>
  <r>
    <x v="2498"/>
    <x v="2422"/>
    <x v="868"/>
    <x v="303"/>
    <x v="2407"/>
    <x v="2495"/>
    <x v="2425"/>
    <x v="2420"/>
    <x v="2412"/>
    <x v="1"/>
    <x v="0"/>
    <x v="0"/>
  </r>
  <r>
    <x v="2499"/>
    <x v="455"/>
    <x v="868"/>
    <x v="303"/>
    <x v="452"/>
    <x v="2496"/>
    <x v="454"/>
    <x v="455"/>
    <x v="455"/>
    <x v="1"/>
    <x v="0"/>
    <x v="0"/>
  </r>
  <r>
    <x v="2500"/>
    <x v="2423"/>
    <x v="868"/>
    <x v="303"/>
    <x v="2408"/>
    <x v="2497"/>
    <x v="2426"/>
    <x v="2421"/>
    <x v="2413"/>
    <x v="1"/>
    <x v="0"/>
    <x v="0"/>
  </r>
  <r>
    <x v="2501"/>
    <x v="2424"/>
    <x v="869"/>
    <x v="304"/>
    <x v="2409"/>
    <x v="2498"/>
    <x v="2427"/>
    <x v="2422"/>
    <x v="2414"/>
    <x v="1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틀린 것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rowGrandTotals="0" createdVersion="7" indent="0" showEmptyCol="1" showEmptyRow="1" compact="0" compactData="0" multipleFieldFilters="0">
  <location ref="A2:D3" firstHeaderRow="1" firstDataRow="1" firstDataCol="3"/>
  <pivotFields count="12">
    <pivotField name="No" axis="axisValues" dataField="1" compact="0" outline="0" showAll="0"/>
    <pivotField name="영어단어" axis="axisRow" compact="0" numFmtId="49" outline="0" showAll="0" sortType="ascending" defaultSubtotal="0">
      <items count="2425">
        <item x="1286"/>
        <item x="33"/>
        <item x="53"/>
        <item x="100"/>
        <item x="502"/>
        <item x="528"/>
        <item x="103"/>
        <item x="73"/>
        <item x="102"/>
        <item x="106"/>
        <item x="94"/>
        <item x="105"/>
        <item x="107"/>
        <item x="101"/>
        <item x="114"/>
        <item x="113"/>
        <item x="111"/>
        <item x="112"/>
        <item x="110"/>
        <item x="2123"/>
        <item x="2047"/>
        <item x="109"/>
        <item x="108"/>
        <item x="274"/>
        <item x="154"/>
        <item x="246"/>
        <item x="247"/>
        <item x="249"/>
        <item x="256"/>
        <item x="257"/>
        <item x="1290"/>
        <item x="1609"/>
        <item x="377"/>
        <item x="380"/>
        <item x="381"/>
        <item x="219"/>
        <item x="226"/>
        <item x="284"/>
        <item x="1118"/>
        <item x="1758"/>
        <item x="480"/>
        <item x="1765"/>
        <item x="1066"/>
        <item x="1083"/>
        <item x="1095"/>
        <item x="1311"/>
        <item x="1325"/>
        <item x="1324"/>
        <item x="1452"/>
        <item x="1453"/>
        <item x="2214"/>
        <item x="2215"/>
        <item x="2234"/>
        <item x="2229"/>
        <item x="2238"/>
        <item x="2237"/>
        <item x="2245"/>
        <item x="2266"/>
        <item x="2271"/>
        <item x="645"/>
        <item x="802"/>
        <item x="803"/>
        <item x="775"/>
        <item x="2401"/>
        <item x="719"/>
        <item x="720"/>
        <item x="728"/>
        <item x="729"/>
        <item x="787"/>
        <item x="2330"/>
        <item x="870"/>
        <item x="933"/>
        <item x="922"/>
        <item x="928"/>
        <item x="918"/>
        <item x="919"/>
        <item x="336"/>
        <item x="405"/>
        <item x="755"/>
        <item x="1587"/>
        <item x="1637"/>
        <item x="1104"/>
        <item x="1818"/>
        <item x="58"/>
        <item x="1170"/>
        <item x="1194"/>
        <item x="1215"/>
        <item x="1250"/>
        <item x="1992"/>
        <item x="1994"/>
        <item x="1995"/>
        <item x="1996"/>
        <item x="1993"/>
        <item x="1997"/>
        <item x="2414"/>
        <item x="1302"/>
        <item x="1366"/>
        <item x="245"/>
        <item x="1375"/>
        <item x="1425"/>
        <item x="1429"/>
        <item x="1430"/>
        <item x="244"/>
        <item x="63"/>
        <item x="165"/>
        <item x="1526"/>
        <item x="1144"/>
        <item x="1515"/>
        <item x="1509"/>
        <item x="1503"/>
        <item x="1557"/>
        <item x="1504"/>
        <item x="1561"/>
        <item x="1613"/>
        <item x="1612"/>
        <item x="1687"/>
        <item x="1686"/>
        <item x="972"/>
        <item x="1676"/>
        <item x="2008"/>
        <item x="949"/>
        <item x="950"/>
        <item x="1812"/>
        <item x="1815"/>
        <item x="1814"/>
        <item x="2000"/>
        <item x="1999"/>
        <item x="819"/>
        <item x="1998"/>
        <item x="431"/>
        <item x="446"/>
        <item x="1711"/>
        <item x="1722"/>
        <item x="2167"/>
        <item x="1877"/>
        <item x="1878"/>
        <item x="1896"/>
        <item x="1846"/>
        <item x="1847"/>
        <item x="1841"/>
        <item x="1908"/>
        <item x="1973"/>
        <item x="1884"/>
        <item x="2179"/>
        <item x="2180"/>
        <item x="2192"/>
        <item x="1959"/>
        <item x="2112"/>
        <item x="2111"/>
        <item x="2122"/>
        <item x="2014"/>
        <item x="2015"/>
        <item x="1911"/>
        <item x="2043"/>
        <item x="2063"/>
        <item x="2194"/>
        <item x="2197"/>
        <item x="2198"/>
        <item x="2195"/>
        <item x="2196"/>
        <item x="2290"/>
        <item x="2291"/>
        <item x="2218"/>
        <item x="2244"/>
        <item x="2270"/>
        <item x="2332"/>
        <item x="0"/>
        <item x="1"/>
        <item x="28"/>
        <item x="30"/>
        <item x="34"/>
        <item x="31"/>
        <item x="29"/>
        <item x="1811"/>
        <item x="40"/>
        <item x="42"/>
        <item x="43"/>
        <item x="44"/>
        <item x="49"/>
        <item x="46"/>
        <item x="45"/>
        <item x="41"/>
        <item x="7"/>
        <item x="10"/>
        <item x="9"/>
        <item x="8"/>
        <item x="11"/>
        <item x="50"/>
        <item x="52"/>
        <item x="51"/>
        <item x="55"/>
        <item x="955"/>
        <item x="2"/>
        <item x="3"/>
        <item x="1205"/>
        <item x="834"/>
        <item x="2040"/>
        <item x="57"/>
        <item x="56"/>
        <item x="59"/>
        <item x="35"/>
        <item x="60"/>
        <item x="64"/>
        <item x="62"/>
        <item x="61"/>
        <item x="66"/>
        <item x="70"/>
        <item x="67"/>
        <item x="68"/>
        <item x="79"/>
        <item x="76"/>
        <item x="72"/>
        <item x="69"/>
        <item x="71"/>
        <item x="75"/>
        <item x="18"/>
        <item x="16"/>
        <item x="74"/>
        <item x="13"/>
        <item x="1202"/>
        <item x="1203"/>
        <item x="80"/>
        <item x="65"/>
        <item x="1218"/>
        <item x="12"/>
        <item x="14"/>
        <item x="15"/>
        <item x="19"/>
        <item x="17"/>
        <item x="77"/>
        <item x="93"/>
        <item x="97"/>
        <item x="36"/>
        <item x="37"/>
        <item x="38"/>
        <item x="87"/>
        <item x="95"/>
        <item x="81"/>
        <item x="83"/>
        <item x="82"/>
        <item x="84"/>
        <item x="96"/>
        <item x="88"/>
        <item x="99"/>
        <item x="1188"/>
        <item x="1189"/>
        <item x="91"/>
        <item x="89"/>
        <item x="90"/>
        <item x="86"/>
        <item x="92"/>
        <item x="98"/>
        <item x="85"/>
        <item x="20"/>
        <item x="21"/>
        <item x="22"/>
        <item x="5"/>
        <item x="6"/>
        <item x="4"/>
        <item x="23"/>
        <item x="24"/>
        <item x="39"/>
        <item x="27"/>
        <item x="78"/>
        <item x="26"/>
        <item x="25"/>
        <item x="1539"/>
        <item x="123"/>
        <item x="126"/>
        <item x="124"/>
        <item x="125"/>
        <item x="129"/>
        <item x="134"/>
        <item x="131"/>
        <item x="130"/>
        <item x="132"/>
        <item x="133"/>
        <item x="136"/>
        <item x="140"/>
        <item x="139"/>
        <item x="138"/>
        <item x="143"/>
        <item x="142"/>
        <item x="146"/>
        <item x="137"/>
        <item x="141"/>
        <item x="149"/>
        <item x="148"/>
        <item x="147"/>
        <item x="176"/>
        <item x="204"/>
        <item x="184"/>
        <item x="205"/>
        <item x="206"/>
        <item x="177"/>
        <item x="178"/>
        <item x="183"/>
        <item x="182"/>
        <item x="181"/>
        <item x="179"/>
        <item x="180"/>
        <item x="186"/>
        <item x="1146"/>
        <item x="221"/>
        <item x="222"/>
        <item x="223"/>
        <item x="253"/>
        <item x="254"/>
        <item x="268"/>
        <item x="270"/>
        <item x="271"/>
        <item x="269"/>
        <item x="265"/>
        <item x="266"/>
        <item x="275"/>
        <item x="276"/>
        <item x="277"/>
        <item x="825"/>
        <item x="135"/>
        <item x="187"/>
        <item x="185"/>
        <item x="208"/>
        <item x="2067"/>
        <item x="282"/>
        <item x="209"/>
        <item x="281"/>
        <item x="210"/>
        <item x="375"/>
        <item x="115"/>
        <item x="117"/>
        <item x="119"/>
        <item x="118"/>
        <item x="296"/>
        <item x="301"/>
        <item x="307"/>
        <item x="303"/>
        <item x="302"/>
        <item x="300"/>
        <item x="305"/>
        <item x="306"/>
        <item x="314"/>
        <item x="315"/>
        <item x="311"/>
        <item x="313"/>
        <item x="310"/>
        <item x="319"/>
        <item x="320"/>
        <item x="1219"/>
        <item x="333"/>
        <item x="312"/>
        <item x="338"/>
        <item x="346"/>
        <item x="347"/>
        <item x="337"/>
        <item x="889"/>
        <item x="342"/>
        <item x="343"/>
        <item x="345"/>
        <item x="348"/>
        <item x="1140"/>
        <item x="1141"/>
        <item x="1158"/>
        <item x="1228"/>
        <item x="1229"/>
        <item x="339"/>
        <item x="1244"/>
        <item x="355"/>
        <item x="752"/>
        <item x="1270"/>
        <item x="1299"/>
        <item x="356"/>
        <item x="1303"/>
        <item x="358"/>
        <item x="1314"/>
        <item x="1315"/>
        <item x="1316"/>
        <item x="1289"/>
        <item x="361"/>
        <item x="350"/>
        <item x="351"/>
        <item x="352"/>
        <item x="353"/>
        <item x="1507"/>
        <item x="359"/>
        <item x="1538"/>
        <item x="1544"/>
        <item x="1550"/>
        <item x="360"/>
        <item x="357"/>
        <item x="1591"/>
        <item x="1601"/>
        <item x="1599"/>
        <item x="1605"/>
        <item x="1606"/>
        <item x="1602"/>
        <item x="1610"/>
        <item x="1739"/>
        <item x="973"/>
        <item x="974"/>
        <item x="975"/>
        <item x="1693"/>
        <item x="1702"/>
        <item x="1332"/>
        <item x="1556"/>
        <item x="354"/>
        <item x="267"/>
        <item x="262"/>
        <item x="151"/>
        <item x="363"/>
        <item x="362"/>
        <item x="293"/>
        <item x="325"/>
        <item x="326"/>
        <item x="376"/>
        <item x="365"/>
        <item x="203"/>
        <item x="193"/>
        <item x="542"/>
        <item x="469"/>
        <item x="491"/>
        <item x="508"/>
        <item x="524"/>
        <item x="664"/>
        <item x="665"/>
        <item x="776"/>
        <item x="717"/>
        <item x="768"/>
        <item x="769"/>
        <item x="786"/>
        <item x="848"/>
        <item x="863"/>
        <item x="868"/>
        <item x="875"/>
        <item x="876"/>
        <item x="914"/>
        <item x="924"/>
        <item x="925"/>
        <item x="1070"/>
        <item x="1413"/>
        <item x="1370"/>
        <item x="1371"/>
        <item x="1753"/>
        <item x="1824"/>
        <item x="1898"/>
        <item x="1897"/>
        <item x="1860"/>
        <item x="1869"/>
        <item x="1871"/>
        <item x="1870"/>
        <item x="1974"/>
        <item x="1975"/>
        <item x="367"/>
        <item x="1723"/>
        <item x="1932"/>
        <item x="1983"/>
        <item x="2092"/>
        <item x="1989"/>
        <item x="2170"/>
        <item x="2176"/>
        <item x="2114"/>
        <item x="2131"/>
        <item x="2117"/>
        <item x="2132"/>
        <item x="2016"/>
        <item x="366"/>
        <item x="1913"/>
        <item x="2115"/>
        <item x="2125"/>
        <item x="2027"/>
        <item x="2046"/>
        <item x="389"/>
        <item x="483"/>
        <item x="484"/>
        <item x="388"/>
        <item x="2064"/>
        <item x="364"/>
        <item x="2240"/>
        <item x="2219"/>
        <item x="2222"/>
        <item x="2220"/>
        <item x="2221"/>
        <item x="2241"/>
        <item x="2247"/>
        <item x="2246"/>
        <item x="2303"/>
        <item x="2305"/>
        <item x="2275"/>
        <item x="1446"/>
        <item x="1468"/>
        <item x="1470"/>
        <item x="1469"/>
        <item x="374"/>
        <item x="369"/>
        <item x="370"/>
        <item x="368"/>
        <item x="1792"/>
        <item x="1808"/>
        <item x="379"/>
        <item x="384"/>
        <item x="385"/>
        <item x="386"/>
        <item x="2292"/>
        <item x="383"/>
        <item x="371"/>
        <item x="194"/>
        <item x="341"/>
        <item x="227"/>
        <item x="228"/>
        <item x="349"/>
        <item x="340"/>
        <item x="403"/>
        <item x="404"/>
        <item x="304"/>
        <item x="2422"/>
        <item x="390"/>
        <item x="392"/>
        <item x="391"/>
        <item x="402"/>
        <item x="400"/>
        <item x="2148"/>
        <item x="127"/>
        <item x="128"/>
        <item x="335"/>
        <item x="334"/>
        <item x="212"/>
        <item x="213"/>
        <item x="199"/>
        <item x="211"/>
        <item x="200"/>
        <item x="190"/>
        <item x="192"/>
        <item x="191"/>
        <item x="2005"/>
        <item x="201"/>
        <item x="189"/>
        <item x="120"/>
        <item x="122"/>
        <item x="452"/>
        <item x="541"/>
        <item x="540"/>
        <item x="447"/>
        <item x="453"/>
        <item x="450"/>
        <item x="454"/>
        <item x="2420"/>
        <item x="554"/>
        <item x="54"/>
        <item x="560"/>
        <item x="255"/>
        <item x="264"/>
        <item x="263"/>
        <item x="280"/>
        <item x="162"/>
        <item x="286"/>
        <item x="287"/>
        <item x="288"/>
        <item x="553"/>
        <item x="309"/>
        <item x="308"/>
        <item x="318"/>
        <item x="398"/>
        <item x="488"/>
        <item x="489"/>
        <item x="535"/>
        <item x="527"/>
        <item x="561"/>
        <item x="456"/>
        <item x="546"/>
        <item x="800"/>
        <item x="801"/>
        <item x="656"/>
        <item x="669"/>
        <item x="670"/>
        <item x="818"/>
        <item x="817"/>
        <item x="713"/>
        <item x="764"/>
        <item x="556"/>
        <item x="854"/>
        <item x="921"/>
        <item x="567"/>
        <item x="1171"/>
        <item x="1172"/>
        <item x="1239"/>
        <item x="547"/>
        <item x="1190"/>
        <item x="1240"/>
        <item x="565"/>
        <item x="1273"/>
        <item x="1274"/>
        <item x="460"/>
        <item x="559"/>
        <item x="459"/>
        <item x="1463"/>
        <item x="463"/>
        <item x="1432"/>
        <item x="466"/>
        <item x="467"/>
        <item x="468"/>
        <item x="464"/>
        <item x="465"/>
        <item x="555"/>
        <item x="566"/>
        <item x="1559"/>
        <item x="1598"/>
        <item x="1643"/>
        <item x="1743"/>
        <item x="557"/>
        <item x="1688"/>
        <item x="543"/>
        <item x="544"/>
        <item x="1690"/>
        <item x="457"/>
        <item x="432"/>
        <item x="434"/>
        <item x="433"/>
        <item x="443"/>
        <item x="1845"/>
        <item x="1858"/>
        <item x="1906"/>
        <item x="1907"/>
        <item x="548"/>
        <item x="552"/>
        <item x="1523"/>
        <item x="1524"/>
        <item x="1972"/>
        <item x="1971"/>
        <item x="558"/>
        <item x="1988"/>
        <item x="2113"/>
        <item x="2004"/>
        <item x="2119"/>
        <item x="550"/>
        <item x="1051"/>
        <item x="551"/>
        <item x="1915"/>
        <item x="2026"/>
        <item x="572"/>
        <item x="641"/>
        <item x="2263"/>
        <item x="549"/>
        <item x="564"/>
        <item x="545"/>
        <item x="473"/>
        <item x="475"/>
        <item x="888"/>
        <item x="471"/>
        <item x="474"/>
        <item x="568"/>
        <item x="472"/>
        <item x="470"/>
        <item x="451"/>
        <item x="478"/>
        <item x="479"/>
        <item x="476"/>
        <item x="477"/>
        <item x="666"/>
        <item x="667"/>
        <item x="668"/>
        <item x="823"/>
        <item x="847"/>
        <item x="877"/>
        <item x="575"/>
        <item x="574"/>
        <item x="1160"/>
        <item x="1312"/>
        <item x="458"/>
        <item x="1788"/>
        <item x="1790"/>
        <item x="1789"/>
        <item x="582"/>
        <item x="2216"/>
        <item x="920"/>
        <item x="1251"/>
        <item x="1505"/>
        <item x="1677"/>
        <item x="1813"/>
        <item x="1879"/>
        <item x="579"/>
        <item x="188"/>
        <item x="166"/>
        <item x="167"/>
        <item x="321"/>
        <item x="1372"/>
        <item x="580"/>
        <item x="2126"/>
        <item x="382"/>
        <item x="373"/>
        <item x="229"/>
        <item x="394"/>
        <item x="578"/>
        <item x="395"/>
        <item x="942"/>
        <item x="1041"/>
        <item x="581"/>
        <item x="1195"/>
        <item x="1269"/>
        <item x="585"/>
        <item x="1329"/>
        <item x="1441"/>
        <item x="1467"/>
        <item x="1553"/>
        <item x="1565"/>
        <item x="583"/>
        <item x="584"/>
        <item x="1585"/>
        <item x="577"/>
        <item x="1744"/>
        <item x="1750"/>
        <item x="827"/>
        <item x="1809"/>
        <item x="830"/>
        <item x="1899"/>
        <item x="1828"/>
        <item x="1873"/>
        <item x="1888"/>
        <item x="1931"/>
        <item x="1970"/>
        <item x="2079"/>
        <item x="2074"/>
        <item x="2075"/>
        <item x="2076"/>
        <item x="2030"/>
        <item x="2031"/>
        <item x="2048"/>
        <item x="2049"/>
        <item x="2100"/>
        <item x="2065"/>
        <item x="2066"/>
        <item x="2108"/>
        <item x="2242"/>
        <item x="2243"/>
        <item x="569"/>
        <item x="571"/>
        <item x="570"/>
        <item x="576"/>
        <item x="455"/>
        <item x="492"/>
        <item x="493"/>
        <item x="494"/>
        <item x="496"/>
        <item x="495"/>
        <item x="498"/>
        <item x="497"/>
        <item x="501"/>
        <item x="500"/>
        <item x="499"/>
        <item x="505"/>
        <item x="506"/>
        <item x="507"/>
        <item x="503"/>
        <item x="504"/>
        <item x="591"/>
        <item x="2416"/>
        <item x="2421"/>
        <item x="517"/>
        <item x="590"/>
        <item x="511"/>
        <item x="523"/>
        <item x="519"/>
        <item x="518"/>
        <item x="589"/>
        <item x="586"/>
        <item x="588"/>
        <item x="587"/>
        <item x="513"/>
        <item x="514"/>
        <item x="515"/>
        <item x="516"/>
        <item x="512"/>
        <item x="1608"/>
        <item x="538"/>
        <item x="521"/>
        <item x="522"/>
        <item x="520"/>
        <item x="592"/>
        <item x="593"/>
        <item x="1148"/>
        <item x="534"/>
        <item x="533"/>
        <item x="813"/>
        <item x="804"/>
        <item x="805"/>
        <item x="807"/>
        <item x="753"/>
        <item x="1062"/>
        <item x="1139"/>
        <item x="1235"/>
        <item x="1175"/>
        <item x="1177"/>
        <item x="1176"/>
        <item x="1163"/>
        <item x="48"/>
        <item x="47"/>
        <item x="1361"/>
        <item x="1323"/>
        <item x="1322"/>
        <item x="1340"/>
        <item x="1614"/>
        <item x="1616"/>
        <item x="1615"/>
        <item x="104"/>
        <item x="116"/>
        <item x="322"/>
        <item x="323"/>
        <item x="387"/>
        <item x="372"/>
        <item x="439"/>
        <item x="612"/>
        <item x="605"/>
        <item x="461"/>
        <item x="510"/>
        <item x="539"/>
        <item x="756"/>
        <item x="600"/>
        <item x="601"/>
        <item x="871"/>
        <item x="872"/>
        <item x="932"/>
        <item x="610"/>
        <item x="1067"/>
        <item x="1184"/>
        <item x="1399"/>
        <item x="611"/>
        <item x="1756"/>
        <item x="613"/>
        <item x="614"/>
        <item x="2191"/>
        <item x="2129"/>
        <item x="595"/>
        <item x="1701"/>
        <item x="2124"/>
        <item x="606"/>
        <item x="607"/>
        <item x="599"/>
        <item x="602"/>
        <item x="598"/>
        <item x="597"/>
        <item x="596"/>
        <item x="2262"/>
        <item x="603"/>
        <item x="604"/>
        <item x="2260"/>
        <item x="2261"/>
        <item x="462"/>
        <item x="1147"/>
        <item x="1763"/>
        <item x="1764"/>
        <item x="1771"/>
        <item x="1769"/>
        <item x="1770"/>
        <item x="1767"/>
        <item x="1768"/>
        <item x="1778"/>
        <item x="1791"/>
        <item x="1810"/>
        <item x="428"/>
        <item x="144"/>
        <item x="631"/>
        <item x="629"/>
        <item x="608"/>
        <item x="609"/>
        <item x="632"/>
        <item x="1937"/>
        <item x="2085"/>
        <item x="2084"/>
        <item x="2056"/>
        <item x="2204"/>
        <item x="2205"/>
        <item x="2207"/>
        <item x="2287"/>
        <item x="636"/>
        <item x="639"/>
        <item x="637"/>
        <item x="2233"/>
        <item x="633"/>
        <item x="635"/>
        <item x="2255"/>
        <item x="2254"/>
        <item x="640"/>
        <item x="2274"/>
        <item x="2281"/>
        <item x="2385"/>
        <item x="2386"/>
        <item x="1990"/>
        <item x="1991"/>
        <item x="238"/>
        <item x="272"/>
        <item x="273"/>
        <item x="158"/>
        <item x="159"/>
        <item x="160"/>
        <item x="161"/>
        <item x="239"/>
        <item x="240"/>
        <item x="299"/>
        <item x="328"/>
        <item x="329"/>
        <item x="330"/>
        <item x="331"/>
        <item x="399"/>
        <item x="202"/>
        <item x="225"/>
        <item x="2379"/>
        <item x="2394"/>
        <item x="295"/>
        <item x="1849"/>
        <item x="2391"/>
        <item x="2393"/>
        <item x="2392"/>
        <item x="962"/>
        <item x="2390"/>
        <item x="1976"/>
        <item x="2374"/>
        <item x="2375"/>
        <item x="1498"/>
        <item x="1500"/>
        <item x="1499"/>
        <item x="1715"/>
        <item x="1552"/>
        <item x="1567"/>
        <item x="2377"/>
        <item x="2378"/>
        <item x="2380"/>
        <item x="2381"/>
        <item x="1724"/>
        <item x="1590"/>
        <item x="2382"/>
        <item x="2388"/>
        <item x="2383"/>
        <item x="2387"/>
        <item x="1642"/>
        <item x="1745"/>
        <item x="1747"/>
        <item x="1746"/>
        <item x="1696"/>
        <item x="2376"/>
        <item x="2017"/>
        <item x="2019"/>
        <item x="2020"/>
        <item x="2018"/>
        <item x="2397"/>
        <item x="2078"/>
        <item x="2077"/>
        <item x="2384"/>
        <item x="2389"/>
        <item x="2395"/>
        <item x="2044"/>
        <item x="2396"/>
        <item x="1466"/>
        <item x="2398"/>
        <item x="2399"/>
        <item x="2250"/>
        <item x="808"/>
        <item x="809"/>
        <item x="794"/>
        <item x="793"/>
        <item x="795"/>
        <item x="788"/>
        <item x="789"/>
        <item x="790"/>
        <item x="796"/>
        <item x="643"/>
        <item x="646"/>
        <item x="647"/>
        <item x="648"/>
        <item x="649"/>
        <item x="650"/>
        <item x="651"/>
        <item x="652"/>
        <item x="624"/>
        <item x="655"/>
        <item x="654"/>
        <item x="659"/>
        <item x="661"/>
        <item x="662"/>
        <item x="814"/>
        <item x="774"/>
        <item x="832"/>
        <item x="2400"/>
        <item x="678"/>
        <item x="679"/>
        <item x="689"/>
        <item x="710"/>
        <item x="711"/>
        <item x="712"/>
        <item x="709"/>
        <item x="686"/>
        <item x="684"/>
        <item x="685"/>
        <item x="708"/>
        <item x="700"/>
        <item x="701"/>
        <item x="690"/>
        <item x="677"/>
        <item x="680"/>
        <item x="687"/>
        <item x="688"/>
        <item x="707"/>
        <item x="1201"/>
        <item x="696"/>
        <item x="695"/>
        <item x="723"/>
        <item x="724"/>
        <item x="722"/>
        <item x="725"/>
        <item x="1247"/>
        <item x="721"/>
        <item x="691"/>
        <item x="692"/>
        <item x="703"/>
        <item x="683"/>
        <item x="697"/>
        <item x="693"/>
        <item x="694"/>
        <item x="702"/>
        <item x="681"/>
        <item x="682"/>
        <item x="698"/>
        <item x="676"/>
        <item x="760"/>
        <item x="734"/>
        <item x="754"/>
        <item x="743"/>
        <item x="739"/>
        <item x="735"/>
        <item x="744"/>
        <item x="785"/>
        <item x="745"/>
        <item x="742"/>
        <item x="741"/>
        <item x="736"/>
        <item x="737"/>
        <item x="740"/>
        <item x="634"/>
        <item x="732"/>
        <item x="731"/>
        <item x="730"/>
        <item x="733"/>
        <item x="759"/>
        <item x="761"/>
        <item x="762"/>
        <item x="763"/>
        <item x="746"/>
        <item x="727"/>
        <item x="747"/>
        <item x="748"/>
        <item x="751"/>
        <item x="749"/>
        <item x="726"/>
        <item x="841"/>
        <item x="840"/>
        <item x="843"/>
        <item x="779"/>
        <item x="780"/>
        <item x="781"/>
        <item x="782"/>
        <item x="1822"/>
        <item x="783"/>
        <item x="784"/>
        <item x="1570"/>
        <item x="836"/>
        <item x="839"/>
        <item x="837"/>
        <item x="844"/>
        <item x="845"/>
        <item x="2415"/>
        <item x="869"/>
        <item x="850"/>
        <item x="858"/>
        <item x="853"/>
        <item x="856"/>
        <item x="855"/>
        <item x="859"/>
        <item x="864"/>
        <item x="852"/>
        <item x="862"/>
        <item x="865"/>
        <item x="851"/>
        <item x="857"/>
        <item x="860"/>
        <item x="861"/>
        <item x="867"/>
        <item x="873"/>
        <item x="884"/>
        <item x="886"/>
        <item x="887"/>
        <item x="879"/>
        <item x="885"/>
        <item x="1243"/>
        <item x="881"/>
        <item x="883"/>
        <item x="880"/>
        <item x="882"/>
        <item x="907"/>
        <item x="908"/>
        <item x="909"/>
        <item x="910"/>
        <item x="896"/>
        <item x="898"/>
        <item x="915"/>
        <item x="916"/>
        <item x="917"/>
        <item x="929"/>
        <item x="931"/>
        <item x="930"/>
        <item x="899"/>
        <item x="913"/>
        <item x="627"/>
        <item x="901"/>
        <item x="905"/>
        <item x="906"/>
        <item x="893"/>
        <item x="897"/>
        <item x="904"/>
        <item x="1796"/>
        <item x="900"/>
        <item x="894"/>
        <item x="903"/>
        <item x="895"/>
        <item x="902"/>
        <item x="938"/>
        <item x="937"/>
        <item x="946"/>
        <item x="952"/>
        <item x="936"/>
        <item x="934"/>
        <item x="935"/>
        <item x="953"/>
        <item x="945"/>
        <item x="944"/>
        <item x="951"/>
        <item x="943"/>
        <item x="941"/>
        <item x="939"/>
        <item x="940"/>
        <item x="957"/>
        <item x="961"/>
        <item x="958"/>
        <item x="965"/>
        <item x="969"/>
        <item x="968"/>
        <item x="967"/>
        <item x="145"/>
        <item x="285"/>
        <item x="966"/>
        <item x="970"/>
        <item x="979"/>
        <item x="980"/>
        <item x="1816"/>
        <item x="1817"/>
        <item x="977"/>
        <item x="976"/>
        <item x="982"/>
        <item x="978"/>
        <item x="981"/>
        <item x="983"/>
        <item x="954"/>
        <item x="2412"/>
        <item x="594"/>
        <item x="626"/>
        <item x="625"/>
        <item x="1020"/>
        <item x="984"/>
        <item x="987"/>
        <item x="986"/>
        <item x="1023"/>
        <item x="1019"/>
        <item x="1021"/>
        <item x="1022"/>
        <item x="1025"/>
        <item x="1024"/>
        <item x="2149"/>
        <item x="32"/>
        <item x="1186"/>
        <item x="892"/>
        <item x="1165"/>
        <item x="1284"/>
        <item x="1360"/>
        <item x="1461"/>
        <item x="1519"/>
        <item x="1534"/>
        <item x="1563"/>
        <item x="1593"/>
        <item x="1604"/>
        <item x="1607"/>
        <item x="1640"/>
        <item x="1641"/>
        <item x="1748"/>
        <item x="1697"/>
        <item x="1675"/>
        <item x="1555"/>
        <item x="248"/>
        <item x="220"/>
        <item x="1766"/>
        <item x="258"/>
        <item x="259"/>
        <item x="298"/>
        <item x="316"/>
        <item x="317"/>
        <item x="324"/>
        <item x="344"/>
        <item x="1035"/>
        <item x="1600"/>
        <item x="396"/>
        <item x="397"/>
        <item x="195"/>
        <item x="196"/>
        <item x="1560"/>
        <item x="1036"/>
        <item x="481"/>
        <item x="482"/>
        <item x="485"/>
        <item x="1566"/>
        <item x="573"/>
        <item x="1031"/>
        <item x="531"/>
        <item x="526"/>
        <item x="1029"/>
        <item x="1034"/>
        <item x="806"/>
        <item x="642"/>
        <item x="653"/>
        <item x="798"/>
        <item x="799"/>
        <item x="672"/>
        <item x="673"/>
        <item x="778"/>
        <item x="714"/>
        <item x="715"/>
        <item x="718"/>
        <item x="704"/>
        <item x="705"/>
        <item x="706"/>
        <item x="699"/>
        <item x="765"/>
        <item x="766"/>
        <item x="767"/>
        <item x="846"/>
        <item x="866"/>
        <item x="912"/>
        <item x="959"/>
        <item x="960"/>
        <item x="988"/>
        <item x="985"/>
        <item x="963"/>
        <item x="1026"/>
        <item x="1027"/>
        <item x="1064"/>
        <item x="1030"/>
        <item x="1094"/>
        <item x="1037"/>
        <item x="1412"/>
        <item x="279"/>
        <item x="278"/>
        <item x="1418"/>
        <item x="1445"/>
        <item x="1028"/>
        <item x="1755"/>
        <item x="445"/>
        <item x="1826"/>
        <item x="290"/>
        <item x="216"/>
        <item x="1848"/>
        <item x="1905"/>
        <item x="1977"/>
        <item x="1713"/>
        <item x="1721"/>
        <item x="1720"/>
        <item x="1939"/>
        <item x="1963"/>
        <item x="1929"/>
        <item x="1930"/>
        <item x="2080"/>
        <item x="1982"/>
        <item x="1986"/>
        <item x="2168"/>
        <item x="2193"/>
        <item x="1032"/>
        <item x="2116"/>
        <item x="1042"/>
        <item x="1040"/>
        <item x="1043"/>
        <item x="1232"/>
        <item x="1161"/>
        <item x="2012"/>
        <item x="2022"/>
        <item x="2023"/>
        <item x="163"/>
        <item x="1045"/>
        <item x="812"/>
        <item x="1050"/>
        <item x="1200"/>
        <item x="1279"/>
        <item x="1328"/>
        <item x="2053"/>
        <item x="2054"/>
        <item x="1407"/>
        <item x="1038"/>
        <item x="2055"/>
        <item x="1049"/>
        <item x="1806"/>
        <item x="1807"/>
        <item x="1039"/>
        <item x="2225"/>
        <item x="1047"/>
        <item x="1033"/>
        <item x="1048"/>
        <item x="1044"/>
        <item x="532"/>
        <item x="2249"/>
        <item x="1046"/>
        <item x="2206"/>
        <item x="2286"/>
        <item x="2298"/>
        <item x="2230"/>
        <item x="2259"/>
        <item x="2309"/>
        <item x="2273"/>
        <item x="2282"/>
        <item x="2333"/>
        <item x="1181"/>
        <item x="1522"/>
        <item x="1981"/>
        <item x="1718"/>
        <item x="2417"/>
        <item x="1052"/>
        <item x="1054"/>
        <item x="1053"/>
        <item x="1055"/>
        <item x="644"/>
        <item x="1065"/>
        <item x="1068"/>
        <item x="1074"/>
        <item x="1081"/>
        <item x="1082"/>
        <item x="1084"/>
        <item x="1085"/>
        <item x="1080"/>
        <item x="1075"/>
        <item x="1076"/>
        <item x="1078"/>
        <item x="1071"/>
        <item x="1069"/>
        <item x="1079"/>
        <item x="1072"/>
        <item x="1077"/>
        <item x="1088"/>
        <item x="1087"/>
        <item x="1090"/>
        <item x="1091"/>
        <item x="1093"/>
        <item x="1092"/>
        <item x="1073"/>
        <item x="628"/>
        <item x="621"/>
        <item x="1096"/>
        <item x="1097"/>
        <item x="1098"/>
        <item x="1102"/>
        <item x="1105"/>
        <item x="1106"/>
        <item x="1107"/>
        <item x="1103"/>
        <item x="1099"/>
        <item x="1101"/>
        <item x="1100"/>
        <item x="1112"/>
        <item x="1114"/>
        <item x="1115"/>
        <item x="1120"/>
        <item x="1108"/>
        <item x="1110"/>
        <item x="1111"/>
        <item x="1109"/>
        <item x="1116"/>
        <item x="1117"/>
        <item x="1113"/>
        <item x="1136"/>
        <item x="1137"/>
        <item x="1138"/>
        <item x="1151"/>
        <item x="1222"/>
        <item x="1223"/>
        <item x="1212"/>
        <item x="2163"/>
        <item x="2423"/>
        <item x="1233"/>
        <item x="1157"/>
        <item x="1164"/>
        <item x="1156"/>
        <item x="1159"/>
        <item x="1166"/>
        <item x="1167"/>
        <item x="1168"/>
        <item x="1209"/>
        <item x="1210"/>
        <item x="1178"/>
        <item x="1173"/>
        <item x="1174"/>
        <item x="1236"/>
        <item x="1237"/>
        <item x="1238"/>
        <item x="1182"/>
        <item x="1183"/>
        <item x="1153"/>
        <item x="1154"/>
        <item x="1155"/>
        <item x="2069"/>
        <item x="1191"/>
        <item x="1192"/>
        <item x="1193"/>
        <item x="1197"/>
        <item x="1199"/>
        <item x="1143"/>
        <item x="1142"/>
        <item x="1204"/>
        <item x="1208"/>
        <item x="1211"/>
        <item x="1207"/>
        <item x="1213"/>
        <item x="1214"/>
        <item x="1245"/>
        <item x="1246"/>
        <item x="1354"/>
        <item x="831"/>
        <item x="1355"/>
        <item x="1346"/>
        <item x="1345"/>
        <item x="1347"/>
        <item x="1348"/>
        <item x="1352"/>
        <item x="1350"/>
        <item x="1351"/>
        <item x="1262"/>
        <item x="1263"/>
        <item x="1271"/>
        <item x="1272"/>
        <item x="214"/>
        <item x="1266"/>
        <item x="1267"/>
        <item x="1261"/>
        <item x="1264"/>
        <item x="1268"/>
        <item x="1265"/>
        <item x="791"/>
        <item x="792"/>
        <item x="437"/>
        <item x="1356"/>
        <item x="1357"/>
        <item x="1353"/>
        <item x="2413"/>
        <item x="1277"/>
        <item x="1278"/>
        <item x="1282"/>
        <item x="1281"/>
        <item x="1285"/>
        <item x="1280"/>
        <item x="1276"/>
        <item x="1359"/>
        <item x="1358"/>
        <item x="1301"/>
        <item x="1295"/>
        <item x="1297"/>
        <item x="1294"/>
        <item x="1298"/>
        <item x="1296"/>
        <item x="1330"/>
        <item x="1275"/>
        <item x="1305"/>
        <item x="1309"/>
        <item x="1306"/>
        <item x="1308"/>
        <item x="1307"/>
        <item x="1310"/>
        <item x="956"/>
        <item x="283"/>
        <item x="152"/>
        <item x="525"/>
        <item x="750"/>
        <item x="1583"/>
        <item x="1326"/>
        <item x="1327"/>
        <item x="1921"/>
        <item x="1287"/>
        <item x="1292"/>
        <item x="1288"/>
        <item x="1293"/>
        <item x="1291"/>
        <item x="1145"/>
        <item x="1617"/>
        <item x="1460"/>
        <item x="1462"/>
        <item x="1338"/>
        <item x="1339"/>
        <item x="1342"/>
        <item x="1341"/>
        <item x="1336"/>
        <item x="1337"/>
        <item x="1368"/>
        <item x="1364"/>
        <item x="1365"/>
        <item x="1596"/>
        <item x="1597"/>
        <item x="2071"/>
        <item x="1406"/>
        <item x="1408"/>
        <item x="1410"/>
        <item x="1409"/>
        <item x="250"/>
        <item x="251"/>
        <item x="1369"/>
        <item x="1390"/>
        <item x="1391"/>
        <item x="1383"/>
        <item x="1234"/>
        <item x="1386"/>
        <item x="1162"/>
        <item x="1385"/>
        <item x="1384"/>
        <item x="1382"/>
        <item x="1389"/>
        <item x="1387"/>
        <item x="1388"/>
        <item x="1373"/>
        <item x="1374"/>
        <item x="1119"/>
        <item x="1379"/>
        <item x="1380"/>
        <item x="1381"/>
        <item x="1377"/>
        <item x="1395"/>
        <item x="1396"/>
        <item x="1397"/>
        <item x="1426"/>
        <item x="1424"/>
        <item x="1420"/>
        <item x="1423"/>
        <item x="1376"/>
        <item x="1427"/>
        <item x="1422"/>
        <item x="1421"/>
        <item x="1428"/>
        <item x="1923"/>
        <item x="1437"/>
        <item x="1419"/>
        <item x="1414"/>
        <item x="1415"/>
        <item x="1416"/>
        <item x="1378"/>
        <item x="1394"/>
        <item x="1392"/>
        <item x="1433"/>
        <item x="1434"/>
        <item x="1435"/>
        <item x="1393"/>
        <item x="1436"/>
        <item x="1439"/>
        <item x="1440"/>
        <item x="1063"/>
        <item x="218"/>
        <item x="1857"/>
        <item x="1438"/>
        <item x="1987"/>
        <item x="2118"/>
        <item x="173"/>
        <item x="197"/>
        <item x="657"/>
        <item x="658"/>
        <item x="663"/>
        <item x="815"/>
        <item x="816"/>
        <item x="1321"/>
        <item x="1842"/>
        <item x="1442"/>
        <item x="1443"/>
        <item x="1444"/>
        <item x="1454"/>
        <item x="1450"/>
        <item x="1741"/>
        <item x="1742"/>
        <item x="1694"/>
        <item x="1447"/>
        <item x="1449"/>
        <item x="1448"/>
        <item x="1456"/>
        <item x="1457"/>
        <item x="1458"/>
        <item x="1455"/>
        <item x="1451"/>
        <item x="1459"/>
        <item x="1464"/>
        <item x="1465"/>
        <item x="1472"/>
        <item x="1473"/>
        <item x="1474"/>
        <item x="1475"/>
        <item x="1479"/>
        <item x="1478"/>
        <item x="448"/>
        <item x="1482"/>
        <item x="833"/>
        <item x="1481"/>
        <item x="1476"/>
        <item x="1483"/>
        <item x="1477"/>
        <item x="1480"/>
        <item x="1843"/>
        <item x="1133"/>
        <item x="1924"/>
        <item x="1493"/>
        <item x="1487"/>
        <item x="1490"/>
        <item x="1484"/>
        <item x="1488"/>
        <item x="1491"/>
        <item x="1541"/>
        <item x="1485"/>
        <item x="1489"/>
        <item x="1492"/>
        <item x="1486"/>
        <item x="1518"/>
        <item x="1494"/>
        <item x="1495"/>
        <item x="1496"/>
        <item x="1514"/>
        <item x="1501"/>
        <item x="1517"/>
        <item x="486"/>
        <item x="1513"/>
        <item x="1532"/>
        <item x="509"/>
        <item x="1502"/>
        <item x="1510"/>
        <item x="1512"/>
        <item x="1511"/>
        <item x="1525"/>
        <item x="1533"/>
        <item x="172"/>
        <item x="1531"/>
        <item x="1529"/>
        <item x="1530"/>
        <item x="1527"/>
        <item x="1528"/>
        <item x="1535"/>
        <item x="1537"/>
        <item x="1543"/>
        <item x="1536"/>
        <item x="1638"/>
        <item x="1545"/>
        <item x="1735"/>
        <item x="617"/>
        <item x="1558"/>
        <item x="261"/>
        <item x="1568"/>
        <item x="797"/>
        <item x="771"/>
        <item x="772"/>
        <item x="1569"/>
        <item x="1574"/>
        <item x="1089"/>
        <item x="1575"/>
        <item x="1313"/>
        <item x="1830"/>
        <item x="1978"/>
        <item x="1571"/>
        <item x="1573"/>
        <item x="1572"/>
        <item x="1576"/>
        <item x="2208"/>
        <item x="291"/>
        <item x="2411"/>
        <item x="1725"/>
        <item x="1730"/>
        <item x="1727"/>
        <item x="1728"/>
        <item x="1726"/>
        <item x="1582"/>
        <item x="1589"/>
        <item x="1586"/>
        <item x="1588"/>
        <item x="1592"/>
        <item x="1580"/>
        <item x="1578"/>
        <item x="1581"/>
        <item x="1579"/>
        <item x="1577"/>
        <item x="1595"/>
        <item x="1217"/>
        <item x="1249"/>
        <item x="1618"/>
        <item x="1734"/>
        <item x="1620"/>
        <item x="1621"/>
        <item x="1622"/>
        <item x="1623"/>
        <item x="1624"/>
        <item x="1632"/>
        <item x="1628"/>
        <item x="1629"/>
        <item x="1631"/>
        <item x="1630"/>
        <item x="1633"/>
        <item x="1635"/>
        <item x="1634"/>
        <item x="1732"/>
        <item x="1733"/>
        <item x="1736"/>
        <item x="438"/>
        <item x="1659"/>
        <item x="207"/>
        <item x="224"/>
        <item x="237"/>
        <item x="150"/>
        <item x="1685"/>
        <item x="168"/>
        <item x="294"/>
        <item x="327"/>
        <item x="252"/>
        <item x="490"/>
        <item x="1362"/>
        <item x="811"/>
        <item x="674"/>
        <item x="890"/>
        <item x="971"/>
        <item x="1086"/>
        <item x="1662"/>
        <item x="1661"/>
        <item x="1334"/>
        <item x="1335"/>
        <item x="1660"/>
        <item x="175"/>
        <item x="174"/>
        <item x="1508"/>
        <item x="442"/>
        <item x="1851"/>
        <item x="1850"/>
        <item x="1852"/>
        <item x="1859"/>
        <item x="1867"/>
        <item x="1868"/>
        <item x="1691"/>
        <item x="1692"/>
        <item x="1941"/>
        <item x="2178"/>
        <item x="2177"/>
        <item x="2013"/>
        <item x="2293"/>
        <item x="1658"/>
        <item x="2231"/>
        <item x="2232"/>
        <item x="1663"/>
        <item x="1683"/>
        <item x="1648"/>
        <item x="1679"/>
        <item x="1678"/>
        <item x="1680"/>
        <item x="1681"/>
        <item x="1682"/>
        <item x="169"/>
        <item x="171"/>
        <item x="1647"/>
        <item x="1664"/>
        <item x="1698"/>
        <item x="1699"/>
        <item x="1689"/>
        <item x="1169"/>
        <item x="1684"/>
        <item x="1665"/>
        <item x="236"/>
        <item x="234"/>
        <item x="235"/>
        <item x="529"/>
        <item x="822"/>
        <item x="835"/>
        <item x="842"/>
        <item x="926"/>
        <item x="927"/>
        <item x="964"/>
        <item x="1056"/>
        <item x="1057"/>
        <item x="1206"/>
        <item x="1363"/>
        <item x="1331"/>
        <item x="1333"/>
        <item x="1343"/>
        <item x="1667"/>
        <item x="1431"/>
        <item x="1548"/>
        <item x="1549"/>
        <item x="1669"/>
        <item x="1636"/>
        <item x="1737"/>
        <item x="1673"/>
        <item x="1714"/>
        <item x="1671"/>
        <item x="2009"/>
        <item x="1914"/>
        <item x="1668"/>
        <item x="1666"/>
        <item x="1649"/>
        <item x="1674"/>
        <item x="2252"/>
        <item x="1672"/>
        <item x="2253"/>
        <item x="2277"/>
        <item x="1670"/>
        <item x="1150"/>
        <item x="1625"/>
        <item x="1626"/>
        <item x="1627"/>
        <item x="1554"/>
        <item x="1738"/>
        <item x="2165"/>
        <item x="2164"/>
        <item x="2418"/>
        <item x="826"/>
        <item x="1751"/>
        <item x="1752"/>
        <item x="1772"/>
        <item x="1775"/>
        <item x="1776"/>
        <item x="1773"/>
        <item x="1774"/>
        <item x="1777"/>
        <item x="1781"/>
        <item x="241"/>
        <item x="157"/>
        <item x="260"/>
        <item x="1783"/>
        <item x="155"/>
        <item x="156"/>
        <item x="242"/>
        <item x="243"/>
        <item x="164"/>
        <item x="170"/>
        <item x="297"/>
        <item x="891"/>
        <item x="1230"/>
        <item x="1304"/>
        <item x="777"/>
        <item x="378"/>
        <item x="230"/>
        <item x="393"/>
        <item x="401"/>
        <item x="198"/>
        <item x="121"/>
        <item x="562"/>
        <item x="563"/>
        <item x="536"/>
        <item x="537"/>
        <item x="671"/>
        <item x="716"/>
        <item x="770"/>
        <item x="1782"/>
        <item x="838"/>
        <item x="849"/>
        <item x="878"/>
        <item x="1786"/>
        <item x="1787"/>
        <item x="757"/>
        <item x="758"/>
        <item x="1060"/>
        <item x="1061"/>
        <item x="1225"/>
        <item x="1226"/>
        <item x="1227"/>
        <item x="1180"/>
        <item x="1179"/>
        <item x="1784"/>
        <item x="1196"/>
        <item x="1785"/>
        <item x="1349"/>
        <item x="1283"/>
        <item x="1300"/>
        <item x="1318"/>
        <item x="1344"/>
        <item x="1417"/>
        <item x="1520"/>
        <item x="1521"/>
        <item x="1551"/>
        <item x="1584"/>
        <item x="1611"/>
        <item x="1644"/>
        <item x="1645"/>
        <item x="1853"/>
        <item x="530"/>
        <item x="1749"/>
        <item x="1754"/>
        <item x="1757"/>
        <item x="217"/>
        <item x="1880"/>
        <item x="1900"/>
        <item x="1861"/>
        <item x="1862"/>
        <item x="1865"/>
        <item x="1866"/>
        <item x="1909"/>
        <item x="1979"/>
        <item x="1980"/>
        <item x="1889"/>
        <item x="1716"/>
        <item x="1717"/>
        <item x="1962"/>
        <item x="2093"/>
        <item x="2109"/>
        <item x="2166"/>
        <item x="2181"/>
        <item x="2006"/>
        <item x="2120"/>
        <item x="2057"/>
        <item x="1780"/>
        <item x="1779"/>
        <item x="2224"/>
        <item x="2239"/>
        <item x="2264"/>
        <item x="2312"/>
        <item x="2276"/>
        <item x="2280"/>
        <item x="2279"/>
        <item x="2331"/>
        <item x="1798"/>
        <item x="1799"/>
        <item x="1800"/>
        <item x="1793"/>
        <item x="1803"/>
        <item x="1804"/>
        <item x="1797"/>
        <item x="1794"/>
        <item x="1801"/>
        <item x="1802"/>
        <item x="423"/>
        <item x="424"/>
        <item x="425"/>
        <item x="2147"/>
        <item x="1805"/>
        <item x="1833"/>
        <item x="1834"/>
        <item x="829"/>
        <item x="828"/>
        <item x="630"/>
        <item x="427"/>
        <item x="418"/>
        <item x="416"/>
        <item x="417"/>
        <item x="419"/>
        <item x="407"/>
        <item x="409"/>
        <item x="292"/>
        <item x="426"/>
        <item x="408"/>
        <item x="412"/>
        <item x="413"/>
        <item x="410"/>
        <item x="415"/>
        <item x="411"/>
        <item x="406"/>
        <item x="441"/>
        <item x="440"/>
        <item x="435"/>
        <item x="436"/>
        <item x="429"/>
        <item x="422"/>
        <item x="421"/>
        <item x="420"/>
        <item x="430"/>
        <item x="1839"/>
        <item x="332"/>
        <item x="1831"/>
        <item x="1832"/>
        <item x="1825"/>
        <item x="215"/>
        <item x="1823"/>
        <item x="615"/>
        <item x="616"/>
        <item x="620"/>
        <item x="1819"/>
        <item x="923"/>
        <item x="1231"/>
        <item x="1890"/>
        <item x="1892"/>
        <item x="1891"/>
        <item x="1893"/>
        <item x="1895"/>
        <item x="1894"/>
        <item x="1516"/>
        <item x="1821"/>
        <item x="1820"/>
        <item x="1856"/>
        <item x="1854"/>
        <item x="1855"/>
        <item x="1838"/>
        <item x="1840"/>
        <item x="1827"/>
        <item x="1829"/>
        <item x="1010"/>
        <item x="998"/>
        <item x="1006"/>
        <item x="1007"/>
        <item x="1001"/>
        <item x="1011"/>
        <item x="1012"/>
        <item x="1005"/>
        <item x="1008"/>
        <item x="1009"/>
        <item x="2068"/>
        <item x="1003"/>
        <item x="993"/>
        <item x="994"/>
        <item x="995"/>
        <item x="1004"/>
        <item x="997"/>
        <item x="996"/>
        <item x="992"/>
        <item x="991"/>
        <item x="990"/>
        <item x="1002"/>
        <item x="999"/>
        <item x="1000"/>
        <item x="989"/>
        <item x="1863"/>
        <item x="1901"/>
        <item x="1902"/>
        <item x="1903"/>
        <item x="1904"/>
        <item x="1872"/>
        <item x="1876"/>
        <item x="1875"/>
        <item x="1874"/>
        <item x="1835"/>
        <item x="1836"/>
        <item x="1837"/>
        <item x="2419"/>
        <item x="1130"/>
        <item x="1134"/>
        <item x="1135"/>
        <item x="1131"/>
        <item x="1122"/>
        <item x="1128"/>
        <item x="1123"/>
        <item x="1124"/>
        <item x="1129"/>
        <item x="1121"/>
        <item x="1127"/>
        <item x="1132"/>
        <item x="1126"/>
        <item x="1125"/>
        <item x="414"/>
        <item x="1259"/>
        <item x="1152"/>
        <item x="1260"/>
        <item x="1242"/>
        <item x="618"/>
        <item x="619"/>
        <item x="1255"/>
        <item x="1258"/>
        <item x="1221"/>
        <item x="1241"/>
        <item x="1187"/>
        <item x="1256"/>
        <item x="1257"/>
        <item x="1252"/>
        <item x="1253"/>
        <item x="1254"/>
        <item x="1216"/>
        <item x="1248"/>
        <item x="1404"/>
        <item x="1401"/>
        <item x="1405"/>
        <item x="1403"/>
        <item x="1402"/>
        <item x="1400"/>
        <item x="1882"/>
        <item x="1881"/>
        <item x="1883"/>
        <item x="1887"/>
        <item x="1885"/>
        <item x="1886"/>
        <item x="2223"/>
        <item x="1497"/>
        <item x="1703"/>
        <item x="1704"/>
        <item x="1705"/>
        <item x="1710"/>
        <item x="1706"/>
        <item x="1707"/>
        <item x="1708"/>
        <item x="1709"/>
        <item x="1564"/>
        <item x="1731"/>
        <item x="1729"/>
        <item x="1719"/>
        <item x="1220"/>
        <item x="1655"/>
        <item x="1656"/>
        <item x="1650"/>
        <item x="1654"/>
        <item x="1653"/>
        <item x="1652"/>
        <item x="1651"/>
        <item x="1761"/>
        <item x="1760"/>
        <item x="1762"/>
        <item x="1759"/>
        <item x="1938"/>
        <item x="1965"/>
        <item x="1948"/>
        <item x="1943"/>
        <item x="1940"/>
        <item x="1944"/>
        <item x="1951"/>
        <item x="1942"/>
        <item x="1947"/>
        <item x="1950"/>
        <item x="1916"/>
        <item x="1917"/>
        <item x="1919"/>
        <item x="1918"/>
        <item x="1945"/>
        <item x="1946"/>
        <item x="1935"/>
        <item x="1933"/>
        <item x="1934"/>
        <item x="1936"/>
        <item x="1949"/>
        <item x="1925"/>
        <item x="1954"/>
        <item x="1952"/>
        <item x="1953"/>
        <item x="1956"/>
        <item x="2072"/>
        <item x="1969"/>
        <item x="2082"/>
        <item x="2073"/>
        <item x="2083"/>
        <item x="2081"/>
        <item x="2086"/>
        <item x="1957"/>
        <item x="1964"/>
        <item x="1968"/>
        <item x="1960"/>
        <item x="1966"/>
        <item x="1961"/>
        <item x="1967"/>
        <item x="2087"/>
        <item x="2091"/>
        <item x="2088"/>
        <item x="2090"/>
        <item x="2089"/>
        <item x="2094"/>
        <item x="2098"/>
        <item x="2097"/>
        <item x="2096"/>
        <item x="2095"/>
        <item x="2099"/>
        <item x="2101"/>
        <item x="2107"/>
        <item x="2104"/>
        <item x="2105"/>
        <item x="2103"/>
        <item x="2102"/>
        <item x="2106"/>
        <item x="1985"/>
        <item x="2146"/>
        <item x="1958"/>
        <item x="1058"/>
        <item x="1059"/>
        <item x="2157"/>
        <item x="1320"/>
        <item x="1319"/>
        <item x="1398"/>
        <item x="1471"/>
        <item x="444"/>
        <item x="1864"/>
        <item x="1926"/>
        <item x="1927"/>
        <item x="1984"/>
        <item x="2158"/>
        <item x="2045"/>
        <item x="2156"/>
        <item x="231"/>
        <item x="232"/>
        <item x="233"/>
        <item x="660"/>
        <item x="821"/>
        <item x="874"/>
        <item x="289"/>
        <item x="2159"/>
        <item x="2160"/>
        <item x="2162"/>
        <item x="2169"/>
        <item x="2173"/>
        <item x="2175"/>
        <item x="2174"/>
        <item x="2171"/>
        <item x="2172"/>
        <item x="2184"/>
        <item x="820"/>
        <item x="2183"/>
        <item x="1411"/>
        <item x="2265"/>
        <item x="1594"/>
        <item x="1603"/>
        <item x="1646"/>
        <item x="1740"/>
        <item x="1695"/>
        <item x="2182"/>
        <item x="2190"/>
        <item x="810"/>
        <item x="2185"/>
        <item x="1367"/>
        <item x="2188"/>
        <item x="1542"/>
        <item x="1619"/>
        <item x="1700"/>
        <item x="2189"/>
        <item x="1795"/>
        <item x="2187"/>
        <item x="2186"/>
        <item x="2313"/>
        <item x="153"/>
        <item x="1712"/>
        <item x="1562"/>
        <item x="2121"/>
        <item x="2364"/>
        <item x="2369"/>
        <item x="2368"/>
        <item x="2362"/>
        <item x="2365"/>
        <item x="2373"/>
        <item x="2366"/>
        <item x="2371"/>
        <item x="2367"/>
        <item x="2370"/>
        <item x="2372"/>
        <item x="2363"/>
        <item x="2319"/>
        <item x="2327"/>
        <item x="2361"/>
        <item x="2360"/>
        <item x="2402"/>
        <item x="2405"/>
        <item x="1547"/>
        <item x="2406"/>
        <item x="2404"/>
        <item x="2403"/>
        <item x="2408"/>
        <item x="2407"/>
        <item x="2409"/>
        <item x="2410"/>
        <item x="1955"/>
        <item x="2110"/>
        <item x="2002"/>
        <item x="2003"/>
        <item x="2130"/>
        <item x="2128"/>
        <item x="2127"/>
        <item x="1546"/>
        <item x="2010"/>
        <item x="2021"/>
        <item x="1910"/>
        <item x="1912"/>
        <item x="2028"/>
        <item x="2029"/>
        <item x="2024"/>
        <item x="2025"/>
        <item x="2041"/>
        <item x="2034"/>
        <item x="2042"/>
        <item x="2038"/>
        <item x="824"/>
        <item x="2035"/>
        <item x="2036"/>
        <item x="2032"/>
        <item x="2033"/>
        <item x="675"/>
        <item x="2050"/>
        <item x="1224"/>
        <item x="1317"/>
        <item x="1506"/>
        <item x="2051"/>
        <item x="1639"/>
        <item x="2037"/>
        <item x="2039"/>
        <item x="2011"/>
        <item x="2059"/>
        <item x="2061"/>
        <item x="2062"/>
        <item x="2058"/>
        <item x="2060"/>
        <item x="2145"/>
        <item x="2052"/>
        <item x="1185"/>
        <item x="2134"/>
        <item x="2138"/>
        <item x="911"/>
        <item x="2133"/>
        <item x="2135"/>
        <item x="2136"/>
        <item x="1540"/>
        <item x="1920"/>
        <item x="2140"/>
        <item x="2137"/>
        <item x="2139"/>
        <item x="638"/>
        <item x="738"/>
        <item x="773"/>
        <item x="2150"/>
        <item x="2153"/>
        <item x="2151"/>
        <item x="2152"/>
        <item x="2154"/>
        <item x="2155"/>
        <item x="1198"/>
        <item x="1928"/>
        <item x="2161"/>
        <item x="449"/>
        <item x="2141"/>
        <item x="2144"/>
        <item x="1844"/>
        <item x="2142"/>
        <item x="2143"/>
        <item x="2070"/>
        <item x="2199"/>
        <item x="2200"/>
        <item x="2201"/>
        <item x="2203"/>
        <item x="2202"/>
        <item x="947"/>
        <item x="2211"/>
        <item x="2288"/>
        <item x="2289"/>
        <item x="2285"/>
        <item x="2284"/>
        <item x="2209"/>
        <item x="2210"/>
        <item x="2212"/>
        <item x="2213"/>
        <item x="2297"/>
        <item x="2299"/>
        <item x="2295"/>
        <item x="2300"/>
        <item x="2296"/>
        <item x="2294"/>
        <item x="2001"/>
        <item x="2226"/>
        <item x="2227"/>
        <item x="2228"/>
        <item x="2217"/>
        <item x="487"/>
        <item x="2235"/>
        <item x="2236"/>
        <item x="2248"/>
        <item x="2302"/>
        <item x="2301"/>
        <item x="2251"/>
        <item x="2304"/>
        <item x="2258"/>
        <item x="2256"/>
        <item x="2257"/>
        <item x="2267"/>
        <item x="2307"/>
        <item x="2308"/>
        <item x="2306"/>
        <item x="2310"/>
        <item x="2311"/>
        <item x="2268"/>
        <item x="2269"/>
        <item x="948"/>
        <item x="2272"/>
        <item x="2283"/>
        <item x="2278"/>
        <item x="2348"/>
        <item x="2328"/>
        <item x="2329"/>
        <item x="2352"/>
        <item x="2350"/>
        <item x="2351"/>
        <item x="2349"/>
        <item x="623"/>
        <item x="622"/>
        <item x="1015"/>
        <item x="1016"/>
        <item x="1018"/>
        <item x="1017"/>
        <item x="2325"/>
        <item x="2326"/>
        <item x="2320"/>
        <item x="2321"/>
        <item x="2322"/>
        <item x="2324"/>
        <item x="2323"/>
        <item x="1013"/>
        <item x="1014"/>
        <item x="2007"/>
        <item x="1657"/>
        <item x="2314"/>
        <item x="2317"/>
        <item x="2315"/>
        <item x="2318"/>
        <item x="2316"/>
        <item x="2354"/>
        <item x="2355"/>
        <item x="2335"/>
        <item x="2336"/>
        <item x="2334"/>
        <item x="1922"/>
        <item x="2359"/>
        <item x="2356"/>
        <item x="2357"/>
        <item x="2353"/>
        <item x="2358"/>
        <item x="2343"/>
        <item x="2337"/>
        <item x="2342"/>
        <item x="2341"/>
        <item x="2340"/>
        <item x="2338"/>
        <item x="2339"/>
        <item x="2344"/>
        <item x="2346"/>
        <item x="2347"/>
        <item x="2345"/>
        <item x="2424"/>
        <item x="1149"/>
      </items>
    </pivotField>
    <pivotField name="어원" compact="0" outline="0" showAll="0">
      <items count="871">
        <item x="29"/>
        <item x="30"/>
        <item x="73"/>
        <item x="704"/>
        <item x="706"/>
        <item x="707"/>
        <item x="705"/>
        <item x="631"/>
        <item x="632"/>
        <item x="708"/>
        <item x="783"/>
        <item x="9"/>
        <item x="10"/>
        <item x="0"/>
        <item x="11"/>
        <item x="12"/>
        <item x="13"/>
        <item x="14"/>
        <item x="15"/>
        <item x="2"/>
        <item x="16"/>
        <item x="17"/>
        <item x="1"/>
        <item x="18"/>
        <item x="19"/>
        <item x="3"/>
        <item x="20"/>
        <item x="21"/>
        <item x="4"/>
        <item x="22"/>
        <item x="23"/>
        <item x="25"/>
        <item x="24"/>
        <item x="28"/>
        <item x="26"/>
        <item x="27"/>
        <item x="5"/>
        <item x="6"/>
        <item x="7"/>
        <item x="8"/>
        <item x="34"/>
        <item x="35"/>
        <item x="36"/>
        <item x="37"/>
        <item x="38"/>
        <item x="39"/>
        <item x="42"/>
        <item x="41"/>
        <item x="40"/>
        <item x="52"/>
        <item x="54"/>
        <item x="53"/>
        <item x="55"/>
        <item x="58"/>
        <item x="59"/>
        <item x="63"/>
        <item x="64"/>
        <item x="60"/>
        <item x="66"/>
        <item x="69"/>
        <item x="68"/>
        <item x="67"/>
        <item x="79"/>
        <item x="80"/>
        <item x="82"/>
        <item x="83"/>
        <item x="84"/>
        <item x="81"/>
        <item x="85"/>
        <item x="86"/>
        <item x="43"/>
        <item x="46"/>
        <item x="44"/>
        <item x="47"/>
        <item x="45"/>
        <item x="72"/>
        <item x="74"/>
        <item x="75"/>
        <item x="70"/>
        <item x="71"/>
        <item x="87"/>
        <item x="77"/>
        <item x="76"/>
        <item x="78"/>
        <item x="88"/>
        <item x="89"/>
        <item x="90"/>
        <item x="48"/>
        <item x="49"/>
        <item x="31"/>
        <item x="32"/>
        <item x="33"/>
        <item x="91"/>
        <item x="92"/>
        <item x="96"/>
        <item x="93"/>
        <item x="94"/>
        <item x="95"/>
        <item x="97"/>
        <item x="98"/>
        <item x="99"/>
        <item x="101"/>
        <item x="100"/>
        <item x="102"/>
        <item x="103"/>
        <item x="104"/>
        <item x="105"/>
        <item x="106"/>
        <item x="108"/>
        <item x="110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65"/>
        <item x="122"/>
        <item x="128"/>
        <item x="123"/>
        <item x="124"/>
        <item x="125"/>
        <item x="127"/>
        <item x="126"/>
        <item x="107"/>
        <item x="50"/>
        <item x="51"/>
        <item x="56"/>
        <item x="57"/>
        <item x="62"/>
        <item x="61"/>
        <item x="171"/>
        <item x="172"/>
        <item x="173"/>
        <item x="139"/>
        <item x="140"/>
        <item x="141"/>
        <item x="174"/>
        <item x="175"/>
        <item x="176"/>
        <item x="177"/>
        <item x="178"/>
        <item x="179"/>
        <item x="142"/>
        <item x="144"/>
        <item x="145"/>
        <item x="146"/>
        <item x="148"/>
        <item x="147"/>
        <item x="180"/>
        <item x="181"/>
        <item x="149"/>
        <item x="150"/>
        <item x="151"/>
        <item x="153"/>
        <item x="154"/>
        <item x="152"/>
        <item x="218"/>
        <item x="143"/>
        <item x="182"/>
        <item x="183"/>
        <item x="155"/>
        <item x="156"/>
        <item x="157"/>
        <item x="158"/>
        <item x="159"/>
        <item x="160"/>
        <item x="161"/>
        <item x="162"/>
        <item x="184"/>
        <item x="163"/>
        <item x="164"/>
        <item x="168"/>
        <item x="167"/>
        <item x="169"/>
        <item x="165"/>
        <item x="166"/>
        <item x="170"/>
        <item x="185"/>
        <item x="186"/>
        <item x="187"/>
        <item x="195"/>
        <item x="196"/>
        <item x="268"/>
        <item x="267"/>
        <item x="188"/>
        <item x="190"/>
        <item x="194"/>
        <item x="189"/>
        <item x="192"/>
        <item x="191"/>
        <item x="193"/>
        <item x="618"/>
        <item x="619"/>
        <item x="197"/>
        <item x="199"/>
        <item x="200"/>
        <item x="202"/>
        <item x="201"/>
        <item x="203"/>
        <item x="204"/>
        <item x="853"/>
        <item x="855"/>
        <item x="856"/>
        <item x="854"/>
        <item x="857"/>
        <item x="859"/>
        <item x="858"/>
        <item x="205"/>
        <item x="207"/>
        <item x="208"/>
        <item x="209"/>
        <item x="211"/>
        <item x="252"/>
        <item x="278"/>
        <item x="258"/>
        <item x="261"/>
        <item x="259"/>
        <item x="260"/>
        <item x="262"/>
        <item x="265"/>
        <item x="264"/>
        <item x="266"/>
        <item x="263"/>
        <item x="269"/>
        <item x="206"/>
        <item x="210"/>
        <item x="212"/>
        <item x="213"/>
        <item x="214"/>
        <item x="216"/>
        <item x="219"/>
        <item x="217"/>
        <item x="215"/>
        <item x="221"/>
        <item x="220"/>
        <item x="271"/>
        <item x="273"/>
        <item x="272"/>
        <item x="270"/>
        <item x="253"/>
        <item x="254"/>
        <item x="279"/>
        <item x="860"/>
        <item x="222"/>
        <item x="223"/>
        <item x="227"/>
        <item x="224"/>
        <item x="225"/>
        <item x="228"/>
        <item x="226"/>
        <item x="230"/>
        <item x="231"/>
        <item x="232"/>
        <item x="233"/>
        <item x="235"/>
        <item x="236"/>
        <item x="234"/>
        <item x="229"/>
        <item x="237"/>
        <item x="238"/>
        <item x="240"/>
        <item x="239"/>
        <item x="246"/>
        <item x="247"/>
        <item x="241"/>
        <item x="243"/>
        <item x="248"/>
        <item x="250"/>
        <item x="249"/>
        <item x="251"/>
        <item x="242"/>
        <item x="244"/>
        <item x="245"/>
        <item x="255"/>
        <item x="256"/>
        <item x="257"/>
        <item x="280"/>
        <item x="281"/>
        <item x="282"/>
        <item x="274"/>
        <item x="275"/>
        <item x="276"/>
        <item x="283"/>
        <item x="292"/>
        <item x="289"/>
        <item x="284"/>
        <item x="286"/>
        <item x="285"/>
        <item x="288"/>
        <item x="290"/>
        <item x="287"/>
        <item x="291"/>
        <item x="293"/>
        <item x="294"/>
        <item x="295"/>
        <item x="296"/>
        <item x="297"/>
        <item x="298"/>
        <item x="299"/>
        <item x="301"/>
        <item x="302"/>
        <item x="300"/>
        <item x="303"/>
        <item x="304"/>
        <item x="307"/>
        <item x="305"/>
        <item x="306"/>
        <item x="308"/>
        <item x="309"/>
        <item x="316"/>
        <item x="317"/>
        <item x="310"/>
        <item x="312"/>
        <item x="313"/>
        <item x="311"/>
        <item x="314"/>
        <item x="315"/>
        <item x="318"/>
        <item x="324"/>
        <item x="320"/>
        <item x="319"/>
        <item x="322"/>
        <item x="321"/>
        <item x="323"/>
        <item x="325"/>
        <item x="328"/>
        <item x="329"/>
        <item x="330"/>
        <item x="331"/>
        <item x="332"/>
        <item x="333"/>
        <item x="334"/>
        <item x="336"/>
        <item x="335"/>
        <item x="326"/>
        <item x="327"/>
        <item x="337"/>
        <item x="339"/>
        <item x="338"/>
        <item x="345"/>
        <item x="346"/>
        <item x="347"/>
        <item x="348"/>
        <item x="349"/>
        <item x="353"/>
        <item x="350"/>
        <item x="351"/>
        <item x="352"/>
        <item x="354"/>
        <item x="356"/>
        <item x="357"/>
        <item x="359"/>
        <item x="358"/>
        <item x="355"/>
        <item x="360"/>
        <item x="363"/>
        <item x="364"/>
        <item x="365"/>
        <item x="366"/>
        <item x="367"/>
        <item x="368"/>
        <item x="361"/>
        <item x="362"/>
        <item x="369"/>
        <item x="371"/>
        <item x="370"/>
        <item x="372"/>
        <item x="373"/>
        <item x="376"/>
        <item x="375"/>
        <item x="374"/>
        <item x="377"/>
        <item x="380"/>
        <item x="379"/>
        <item x="378"/>
        <item x="381"/>
        <item x="388"/>
        <item x="389"/>
        <item x="390"/>
        <item x="394"/>
        <item x="395"/>
        <item x="396"/>
        <item x="397"/>
        <item x="423"/>
        <item x="424"/>
        <item x="420"/>
        <item x="425"/>
        <item x="426"/>
        <item x="398"/>
        <item x="404"/>
        <item x="399"/>
        <item x="402"/>
        <item x="403"/>
        <item x="400"/>
        <item x="401"/>
        <item x="405"/>
        <item x="407"/>
        <item x="406"/>
        <item x="408"/>
        <item x="427"/>
        <item x="428"/>
        <item x="429"/>
        <item x="430"/>
        <item x="409"/>
        <item x="412"/>
        <item x="411"/>
        <item x="410"/>
        <item x="413"/>
        <item x="414"/>
        <item x="415"/>
        <item x="416"/>
        <item x="391"/>
        <item x="392"/>
        <item x="393"/>
        <item x="417"/>
        <item x="418"/>
        <item x="419"/>
        <item x="421"/>
        <item x="422"/>
        <item x="431"/>
        <item x="432"/>
        <item x="442"/>
        <item x="474"/>
        <item x="475"/>
        <item x="476"/>
        <item x="477"/>
        <item x="469"/>
        <item x="470"/>
        <item x="471"/>
        <item x="472"/>
        <item x="473"/>
        <item x="436"/>
        <item x="437"/>
        <item x="438"/>
        <item x="439"/>
        <item x="441"/>
        <item x="440"/>
        <item x="443"/>
        <item x="444"/>
        <item x="445"/>
        <item x="446"/>
        <item x="450"/>
        <item x="451"/>
        <item x="452"/>
        <item x="453"/>
        <item x="478"/>
        <item x="454"/>
        <item x="462"/>
        <item x="464"/>
        <item x="463"/>
        <item x="461"/>
        <item x="459"/>
        <item x="460"/>
        <item x="455"/>
        <item x="458"/>
        <item x="456"/>
        <item x="457"/>
        <item x="447"/>
        <item x="449"/>
        <item x="448"/>
        <item x="465"/>
        <item x="467"/>
        <item x="468"/>
        <item x="466"/>
        <item x="479"/>
        <item x="499"/>
        <item x="493"/>
        <item x="494"/>
        <item x="495"/>
        <item x="496"/>
        <item x="480"/>
        <item x="481"/>
        <item x="482"/>
        <item x="483"/>
        <item x="487"/>
        <item x="489"/>
        <item x="485"/>
        <item x="486"/>
        <item x="488"/>
        <item x="484"/>
        <item x="490"/>
        <item x="491"/>
        <item x="500"/>
        <item x="501"/>
        <item x="502"/>
        <item x="503"/>
        <item x="497"/>
        <item x="498"/>
        <item x="504"/>
        <item x="505"/>
        <item x="507"/>
        <item x="506"/>
        <item x="508"/>
        <item x="509"/>
        <item x="510"/>
        <item x="511"/>
        <item x="512"/>
        <item x="513"/>
        <item x="516"/>
        <item x="514"/>
        <item x="515"/>
        <item x="517"/>
        <item x="518"/>
        <item x="519"/>
        <item x="520"/>
        <item x="521"/>
        <item x="522"/>
        <item x="523"/>
        <item x="525"/>
        <item x="524"/>
        <item x="526"/>
        <item x="527"/>
        <item x="528"/>
        <item x="529"/>
        <item x="544"/>
        <item x="530"/>
        <item x="531"/>
        <item x="532"/>
        <item x="534"/>
        <item x="535"/>
        <item x="533"/>
        <item x="536"/>
        <item x="537"/>
        <item x="538"/>
        <item x="540"/>
        <item x="539"/>
        <item x="541"/>
        <item x="543"/>
        <item x="542"/>
        <item x="545"/>
        <item x="546"/>
        <item x="547"/>
        <item x="548"/>
        <item x="549"/>
        <item x="550"/>
        <item x="551"/>
        <item x="552"/>
        <item x="554"/>
        <item x="553"/>
        <item x="555"/>
        <item x="556"/>
        <item x="557"/>
        <item x="558"/>
        <item x="607"/>
        <item x="559"/>
        <item x="561"/>
        <item x="560"/>
        <item x="562"/>
        <item x="563"/>
        <item x="564"/>
        <item x="565"/>
        <item x="567"/>
        <item x="568"/>
        <item x="569"/>
        <item x="573"/>
        <item x="574"/>
        <item x="566"/>
        <item x="570"/>
        <item x="571"/>
        <item x="572"/>
        <item x="575"/>
        <item x="576"/>
        <item x="578"/>
        <item x="579"/>
        <item x="580"/>
        <item x="608"/>
        <item x="612"/>
        <item x="610"/>
        <item x="609"/>
        <item x="611"/>
        <item x="581"/>
        <item x="582"/>
        <item x="583"/>
        <item x="584"/>
        <item x="585"/>
        <item x="586"/>
        <item x="587"/>
        <item x="588"/>
        <item x="597"/>
        <item x="592"/>
        <item x="595"/>
        <item x="594"/>
        <item x="593"/>
        <item x="589"/>
        <item x="590"/>
        <item x="591"/>
        <item x="598"/>
        <item x="599"/>
        <item x="596"/>
        <item x="577"/>
        <item x="613"/>
        <item x="614"/>
        <item x="615"/>
        <item x="616"/>
        <item x="620"/>
        <item x="622"/>
        <item x="621"/>
        <item x="623"/>
        <item x="624"/>
        <item x="625"/>
        <item x="626"/>
        <item x="627"/>
        <item x="628"/>
        <item x="133"/>
        <item x="629"/>
        <item x="630"/>
        <item x="643"/>
        <item x="711"/>
        <item x="277"/>
        <item x="198"/>
        <item x="129"/>
        <item x="134"/>
        <item x="131"/>
        <item x="130"/>
        <item x="135"/>
        <item x="136"/>
        <item x="132"/>
        <item x="137"/>
        <item x="138"/>
        <item x="633"/>
        <item x="634"/>
        <item x="635"/>
        <item x="636"/>
        <item x="637"/>
        <item x="638"/>
        <item x="639"/>
        <item x="640"/>
        <item x="641"/>
        <item x="642"/>
        <item x="662"/>
        <item x="663"/>
        <item x="667"/>
        <item x="668"/>
        <item x="648"/>
        <item x="649"/>
        <item x="646"/>
        <item x="647"/>
        <item x="650"/>
        <item x="651"/>
        <item x="652"/>
        <item x="653"/>
        <item x="340"/>
        <item x="342"/>
        <item x="341"/>
        <item x="655"/>
        <item x="658"/>
        <item x="657"/>
        <item x="656"/>
        <item x="654"/>
        <item x="669"/>
        <item x="671"/>
        <item x="670"/>
        <item x="659"/>
        <item x="661"/>
        <item x="660"/>
        <item x="697"/>
        <item x="698"/>
        <item x="700"/>
        <item x="701"/>
        <item x="699"/>
        <item x="644"/>
        <item x="645"/>
        <item x="382"/>
        <item x="383"/>
        <item x="384"/>
        <item x="386"/>
        <item x="385"/>
        <item x="387"/>
        <item x="433"/>
        <item x="435"/>
        <item x="434"/>
        <item x="492"/>
        <item x="664"/>
        <item x="665"/>
        <item x="666"/>
        <item x="600"/>
        <item x="602"/>
        <item x="603"/>
        <item x="601"/>
        <item x="604"/>
        <item x="605"/>
        <item x="606"/>
        <item x="617"/>
        <item x="674"/>
        <item x="684"/>
        <item x="683"/>
        <item x="685"/>
        <item x="694"/>
        <item x="677"/>
        <item x="678"/>
        <item x="679"/>
        <item x="675"/>
        <item x="676"/>
        <item x="680"/>
        <item x="687"/>
        <item x="682"/>
        <item x="681"/>
        <item x="686"/>
        <item x="688"/>
        <item x="689"/>
        <item x="690"/>
        <item x="696"/>
        <item x="695"/>
        <item x="691"/>
        <item x="692"/>
        <item x="693"/>
        <item x="736"/>
        <item x="737"/>
        <item x="738"/>
        <item x="740"/>
        <item x="739"/>
        <item x="741"/>
        <item x="702"/>
        <item x="745"/>
        <item x="742"/>
        <item x="744"/>
        <item x="743"/>
        <item x="746"/>
        <item x="747"/>
        <item x="748"/>
        <item x="750"/>
        <item x="751"/>
        <item x="749"/>
        <item x="703"/>
        <item x="770"/>
        <item x="771"/>
        <item x="772"/>
        <item x="773"/>
        <item x="774"/>
        <item x="775"/>
        <item x="776"/>
        <item x="777"/>
        <item x="778"/>
        <item x="780"/>
        <item x="779"/>
        <item x="781"/>
        <item x="782"/>
        <item x="851"/>
        <item x="852"/>
        <item x="861"/>
        <item x="862"/>
        <item x="863"/>
        <item x="672"/>
        <item x="752"/>
        <item x="754"/>
        <item x="755"/>
        <item x="756"/>
        <item x="753"/>
        <item x="710"/>
        <item x="757"/>
        <item x="758"/>
        <item x="759"/>
        <item x="760"/>
        <item x="761"/>
        <item x="762"/>
        <item x="763"/>
        <item x="712"/>
        <item x="713"/>
        <item x="714"/>
        <item x="715"/>
        <item x="716"/>
        <item x="717"/>
        <item x="673"/>
        <item x="718"/>
        <item x="719"/>
        <item x="720"/>
        <item x="721"/>
        <item x="722"/>
        <item x="723"/>
        <item x="724"/>
        <item x="733"/>
        <item x="734"/>
        <item x="725"/>
        <item x="726"/>
        <item x="727"/>
        <item x="728"/>
        <item x="732"/>
        <item x="735"/>
        <item x="731"/>
        <item x="729"/>
        <item x="730"/>
        <item x="766"/>
        <item x="767"/>
        <item x="764"/>
        <item x="768"/>
        <item x="769"/>
        <item x="765"/>
        <item x="709"/>
        <item x="784"/>
        <item x="785"/>
        <item x="786"/>
        <item x="818"/>
        <item x="821"/>
        <item x="822"/>
        <item x="819"/>
        <item x="820"/>
        <item x="787"/>
        <item x="788"/>
        <item x="789"/>
        <item x="823"/>
        <item x="824"/>
        <item x="825"/>
        <item x="790"/>
        <item x="792"/>
        <item x="791"/>
        <item x="793"/>
        <item x="795"/>
        <item x="794"/>
        <item x="796"/>
        <item x="797"/>
        <item x="798"/>
        <item x="799"/>
        <item x="800"/>
        <item x="801"/>
        <item x="802"/>
        <item x="826"/>
        <item x="827"/>
        <item x="828"/>
        <item x="803"/>
        <item x="805"/>
        <item x="804"/>
        <item x="806"/>
        <item x="808"/>
        <item x="807"/>
        <item x="809"/>
        <item x="810"/>
        <item x="829"/>
        <item x="830"/>
        <item x="831"/>
        <item x="811"/>
        <item x="812"/>
        <item x="813"/>
        <item x="814"/>
        <item x="815"/>
        <item x="817"/>
        <item x="816"/>
        <item x="834"/>
        <item x="835"/>
        <item x="850"/>
        <item x="840"/>
        <item x="343"/>
        <item x="344"/>
        <item x="836"/>
        <item x="838"/>
        <item x="837"/>
        <item x="839"/>
        <item x="833"/>
        <item x="832"/>
        <item x="847"/>
        <item x="841"/>
        <item x="842"/>
        <item x="843"/>
        <item x="845"/>
        <item x="846"/>
        <item x="848"/>
        <item x="844"/>
        <item x="849"/>
        <item x="869"/>
        <item x="864"/>
        <item x="865"/>
        <item x="866"/>
        <item x="868"/>
        <item x="867"/>
        <item t="default" sd="0"/>
      </items>
    </pivotField>
    <pivotField name="구분" compact="0" outline="0" showAll="0">
      <items count="306">
        <item x="13"/>
        <item x="238"/>
        <item x="219"/>
        <item x="239"/>
        <item x="269"/>
        <item x="11"/>
        <item x="0"/>
        <item x="5"/>
        <item x="6"/>
        <item x="7"/>
        <item x="2"/>
        <item x="8"/>
        <item x="1"/>
        <item x="9"/>
        <item x="10"/>
        <item x="3"/>
        <item x="12"/>
        <item x="4"/>
        <item x="16"/>
        <item x="17"/>
        <item x="18"/>
        <item x="22"/>
        <item x="24"/>
        <item x="27"/>
        <item x="25"/>
        <item x="29"/>
        <item x="31"/>
        <item x="33"/>
        <item x="32"/>
        <item x="34"/>
        <item x="19"/>
        <item x="35"/>
        <item x="30"/>
        <item x="36"/>
        <item x="20"/>
        <item x="14"/>
        <item x="15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28"/>
        <item x="51"/>
        <item x="43"/>
        <item x="21"/>
        <item x="23"/>
        <item x="26"/>
        <item x="68"/>
        <item x="56"/>
        <item x="57"/>
        <item x="69"/>
        <item x="58"/>
        <item x="59"/>
        <item x="60"/>
        <item x="70"/>
        <item x="61"/>
        <item x="62"/>
        <item x="71"/>
        <item x="63"/>
        <item x="64"/>
        <item x="65"/>
        <item x="66"/>
        <item x="67"/>
        <item x="72"/>
        <item x="74"/>
        <item x="73"/>
        <item x="213"/>
        <item x="75"/>
        <item x="77"/>
        <item x="296"/>
        <item x="297"/>
        <item x="91"/>
        <item x="93"/>
        <item x="97"/>
        <item x="99"/>
        <item x="78"/>
        <item x="79"/>
        <item x="80"/>
        <item x="98"/>
        <item x="81"/>
        <item x="82"/>
        <item x="100"/>
        <item x="94"/>
        <item x="102"/>
        <item x="298"/>
        <item x="83"/>
        <item x="84"/>
        <item x="85"/>
        <item x="86"/>
        <item x="87"/>
        <item x="90"/>
        <item x="88"/>
        <item x="92"/>
        <item x="89"/>
        <item x="95"/>
        <item x="96"/>
        <item x="103"/>
        <item x="104"/>
        <item x="101"/>
        <item x="105"/>
        <item x="106"/>
        <item x="107"/>
        <item x="108"/>
        <item x="109"/>
        <item x="110"/>
        <item x="111"/>
        <item x="113"/>
        <item x="112"/>
        <item x="114"/>
        <item x="116"/>
        <item x="117"/>
        <item x="118"/>
        <item x="115"/>
        <item x="119"/>
        <item x="122"/>
        <item x="123"/>
        <item x="124"/>
        <item x="126"/>
        <item x="125"/>
        <item x="127"/>
        <item x="129"/>
        <item x="130"/>
        <item x="128"/>
        <item x="131"/>
        <item x="132"/>
        <item x="133"/>
        <item x="135"/>
        <item x="138"/>
        <item x="146"/>
        <item x="144"/>
        <item x="147"/>
        <item x="139"/>
        <item x="140"/>
        <item x="148"/>
        <item x="149"/>
        <item x="141"/>
        <item x="142"/>
        <item x="136"/>
        <item x="137"/>
        <item x="143"/>
        <item x="145"/>
        <item x="150"/>
        <item x="165"/>
        <item x="163"/>
        <item x="164"/>
        <item x="152"/>
        <item x="153"/>
        <item x="154"/>
        <item x="156"/>
        <item x="157"/>
        <item x="166"/>
        <item x="158"/>
        <item x="161"/>
        <item x="160"/>
        <item x="159"/>
        <item x="155"/>
        <item x="162"/>
        <item x="167"/>
        <item x="171"/>
        <item x="168"/>
        <item x="169"/>
        <item x="173"/>
        <item x="174"/>
        <item x="172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207"/>
        <item x="193"/>
        <item x="194"/>
        <item x="195"/>
        <item x="197"/>
        <item x="208"/>
        <item x="198"/>
        <item x="199"/>
        <item x="203"/>
        <item x="201"/>
        <item x="200"/>
        <item x="204"/>
        <item x="202"/>
        <item x="196"/>
        <item x="209"/>
        <item x="210"/>
        <item x="211"/>
        <item x="214"/>
        <item x="215"/>
        <item x="216"/>
        <item x="217"/>
        <item x="53"/>
        <item x="218"/>
        <item x="242"/>
        <item x="76"/>
        <item x="52"/>
        <item x="54"/>
        <item x="55"/>
        <item x="220"/>
        <item x="221"/>
        <item x="228"/>
        <item x="231"/>
        <item x="224"/>
        <item x="223"/>
        <item x="225"/>
        <item x="120"/>
        <item x="226"/>
        <item x="232"/>
        <item x="227"/>
        <item x="235"/>
        <item x="222"/>
        <item x="134"/>
        <item x="151"/>
        <item x="170"/>
        <item x="229"/>
        <item x="230"/>
        <item x="205"/>
        <item x="206"/>
        <item x="212"/>
        <item x="234"/>
        <item x="252"/>
        <item x="236"/>
        <item x="253"/>
        <item x="237"/>
        <item x="261"/>
        <item x="262"/>
        <item x="263"/>
        <item x="264"/>
        <item x="265"/>
        <item x="266"/>
        <item x="267"/>
        <item x="268"/>
        <item x="295"/>
        <item x="299"/>
        <item x="254"/>
        <item x="241"/>
        <item x="255"/>
        <item x="256"/>
        <item x="243"/>
        <item x="244"/>
        <item x="233"/>
        <item x="245"/>
        <item x="246"/>
        <item x="247"/>
        <item x="248"/>
        <item x="250"/>
        <item x="251"/>
        <item x="249"/>
        <item x="259"/>
        <item x="257"/>
        <item x="260"/>
        <item x="258"/>
        <item x="240"/>
        <item x="270"/>
        <item x="271"/>
        <item x="281"/>
        <item x="272"/>
        <item x="282"/>
        <item x="273"/>
        <item x="274"/>
        <item x="275"/>
        <item x="276"/>
        <item x="283"/>
        <item x="277"/>
        <item x="278"/>
        <item x="284"/>
        <item x="285"/>
        <item x="279"/>
        <item x="280"/>
        <item x="293"/>
        <item x="294"/>
        <item x="289"/>
        <item x="121"/>
        <item x="288"/>
        <item x="286"/>
        <item x="287"/>
        <item x="292"/>
        <item x="290"/>
        <item x="291"/>
        <item x="304"/>
        <item x="300"/>
        <item x="301"/>
        <item x="303"/>
        <item x="302"/>
        <item t="default" sd="0"/>
      </items>
    </pivotField>
    <pivotField name="발음" compact="0" outline="0" showAll="0">
      <items count="2411">
        <item x="1515"/>
        <item x="2381"/>
        <item x="1472"/>
        <item x="827"/>
        <item x="1470"/>
        <item x="1471"/>
        <item x="1474"/>
        <item x="1834"/>
        <item x="1127"/>
        <item x="1476"/>
        <item x="1477"/>
        <item x="1914"/>
        <item x="1833"/>
        <item x="1804"/>
        <item x="445"/>
        <item x="1473"/>
        <item x="1475"/>
        <item x="24"/>
        <item x="58"/>
        <item x="34"/>
        <item x="59"/>
        <item x="60"/>
        <item x="1533"/>
        <item x="63"/>
        <item x="61"/>
        <item x="35"/>
        <item x="36"/>
        <item x="40"/>
        <item x="39"/>
        <item x="42"/>
        <item x="55"/>
        <item x="56"/>
        <item x="37"/>
        <item x="7"/>
        <item x="51"/>
        <item x="2"/>
        <item x="10"/>
        <item x="8"/>
        <item x="9"/>
        <item x="3"/>
        <item x="828"/>
        <item x="25"/>
        <item x="949"/>
        <item x="1199"/>
        <item x="2029"/>
        <item x="54"/>
        <item x="17"/>
        <item x="1196"/>
        <item x="79"/>
        <item x="1212"/>
        <item x="11"/>
        <item x="69"/>
        <item x="71"/>
        <item x="74"/>
        <item x="70"/>
        <item x="68"/>
        <item x="15"/>
        <item x="73"/>
        <item x="13"/>
        <item x="12"/>
        <item x="14"/>
        <item x="64"/>
        <item x="65"/>
        <item x="75"/>
        <item x="66"/>
        <item x="67"/>
        <item x="16"/>
        <item x="18"/>
        <item x="76"/>
        <item x="1197"/>
        <item x="78"/>
        <item x="1182"/>
        <item x="94"/>
        <item x="80"/>
        <item x="83"/>
        <item x="82"/>
        <item x="81"/>
        <item x="95"/>
        <item x="87"/>
        <item x="90"/>
        <item x="88"/>
        <item x="98"/>
        <item x="86"/>
        <item x="1183"/>
        <item x="89"/>
        <item x="85"/>
        <item x="84"/>
        <item x="97"/>
        <item x="91"/>
        <item x="4"/>
        <item x="27"/>
        <item x="29"/>
        <item x="49"/>
        <item x="33"/>
        <item x="30"/>
        <item x="28"/>
        <item x="44"/>
        <item x="45"/>
        <item x="43"/>
        <item x="48"/>
        <item x="50"/>
        <item x="1803"/>
        <item x="96"/>
        <item x="0"/>
        <item x="92"/>
        <item x="1"/>
        <item x="26"/>
        <item x="77"/>
        <item x="20"/>
        <item x="5"/>
        <item x="6"/>
        <item x="22"/>
        <item x="23"/>
        <item x="19"/>
        <item x="21"/>
        <item x="38"/>
        <item x="41"/>
        <item x="571"/>
        <item x="469"/>
        <item x="587"/>
        <item x="470"/>
        <item x="882"/>
        <item x="472"/>
        <item x="468"/>
        <item x="471"/>
        <item x="564"/>
        <item x="467"/>
        <item x="550"/>
        <item x="444"/>
        <item x="451"/>
        <item x="549"/>
        <item x="561"/>
        <item x="460"/>
        <item x="463"/>
        <item x="461"/>
        <item x="454"/>
        <item x="548"/>
        <item x="486"/>
        <item x="308"/>
        <item x="1166"/>
        <item x="1962"/>
        <item x="485"/>
        <item x="666"/>
        <item x="811"/>
        <item x="1165"/>
        <item x="543"/>
        <item x="456"/>
        <item x="464"/>
        <item x="465"/>
        <item x="462"/>
        <item x="1518"/>
        <item x="1961"/>
        <item x="637"/>
        <item x="1897"/>
        <item x="1836"/>
        <item x="53"/>
        <item x="532"/>
        <item x="848"/>
        <item x="871"/>
        <item x="524"/>
        <item x="552"/>
        <item x="795"/>
        <item x="652"/>
        <item x="812"/>
        <item x="841"/>
        <item x="708"/>
        <item x="758"/>
        <item x="665"/>
        <item x="915"/>
        <item x="317"/>
        <item x="307"/>
        <item x="395"/>
        <item x="1184"/>
        <item x="563"/>
        <item x="570"/>
        <item x="1233"/>
        <item x="1234"/>
        <item x="1306"/>
        <item x="1267"/>
        <item x="1268"/>
        <item x="1457"/>
        <item x="457"/>
        <item x="555"/>
        <item x="551"/>
        <item x="1426"/>
        <item x="455"/>
        <item x="1553"/>
        <item x="1592"/>
        <item x="1683"/>
        <item x="553"/>
        <item x="540"/>
        <item x="541"/>
        <item x="1681"/>
        <item x="1636"/>
        <item x="1736"/>
        <item x="562"/>
        <item x="1780"/>
        <item x="1781"/>
        <item x="1782"/>
        <item x="285"/>
        <item x="286"/>
        <item x="165"/>
        <item x="287"/>
        <item x="578"/>
        <item x="429"/>
        <item x="431"/>
        <item x="430"/>
        <item x="161"/>
        <item x="1820"/>
        <item x="936"/>
        <item x="1035"/>
        <item x="254"/>
        <item x="263"/>
        <item x="262"/>
        <item x="320"/>
        <item x="440"/>
        <item x="574"/>
        <item x="392"/>
        <item x="821"/>
        <item x="372"/>
        <item x="228"/>
        <item x="577"/>
        <item x="581"/>
        <item x="1323"/>
        <item x="1263"/>
        <item x="1547"/>
        <item x="1559"/>
        <item x="1743"/>
        <item x="573"/>
        <item x="1579"/>
        <item x="1737"/>
        <item x="579"/>
        <item x="580"/>
        <item x="1517"/>
        <item x="1801"/>
        <item x="1864"/>
        <item x="1960"/>
        <item x="2063"/>
        <item x="2065"/>
        <item x="2064"/>
        <item x="2068"/>
        <item x="2088"/>
        <item x="2054"/>
        <item x="2037"/>
        <item x="2038"/>
        <item x="554"/>
        <item x="1978"/>
        <item x="2019"/>
        <item x="2020"/>
        <item x="1461"/>
        <item x="575"/>
        <item x="187"/>
        <item x="1805"/>
        <item x="1993"/>
        <item x="2107"/>
        <item x="1905"/>
        <item x="1045"/>
        <item x="2101"/>
        <item x="546"/>
        <item x="547"/>
        <item x="565"/>
        <item x="568"/>
        <item x="2249"/>
        <item x="560"/>
        <item x="545"/>
        <item x="566"/>
        <item x="572"/>
        <item x="2228"/>
        <item x="2229"/>
        <item x="1896"/>
        <item x="544"/>
        <item x="1849"/>
        <item x="1879"/>
        <item x="542"/>
        <item x="557"/>
        <item x="453"/>
        <item x="664"/>
        <item x="1366"/>
        <item x="576"/>
        <item x="2114"/>
        <item x="824"/>
        <item x="2055"/>
        <item x="1435"/>
        <item x="2202"/>
        <item x="914"/>
        <item x="1245"/>
        <item x="1499"/>
        <item x="1670"/>
        <item x="1870"/>
        <item x="817"/>
        <item x="662"/>
        <item x="663"/>
        <item x="475"/>
        <item x="476"/>
        <item x="473"/>
        <item x="474"/>
        <item x="1154"/>
        <item x="380"/>
        <item x="1189"/>
        <item x="2096"/>
        <item x="1921"/>
        <item x="166"/>
        <item x="567"/>
        <item x="452"/>
        <item x="794"/>
        <item x="279"/>
        <item x="2015"/>
        <item x="516"/>
        <item x="515"/>
        <item x="535"/>
        <item x="586"/>
        <item x="1601"/>
        <item x="517"/>
        <item x="494"/>
        <item x="495"/>
        <item x="503"/>
        <item x="2401"/>
        <item x="502"/>
        <item x="504"/>
        <item x="2406"/>
        <item x="537"/>
        <item x="538"/>
        <item x="2405"/>
        <item x="500"/>
        <item x="501"/>
        <item x="556"/>
        <item x="498"/>
        <item x="514"/>
        <item x="508"/>
        <item x="520"/>
        <item x="585"/>
        <item x="582"/>
        <item x="510"/>
        <item x="511"/>
        <item x="518"/>
        <item x="519"/>
        <item x="512"/>
        <item x="509"/>
        <item x="640"/>
        <item x="1048"/>
        <item x="1047"/>
        <item x="1046"/>
        <item x="850"/>
        <item x="863"/>
        <item x="861"/>
        <item x="854"/>
        <item x="855"/>
        <item x="847"/>
        <item x="849"/>
        <item x="852"/>
        <item x="853"/>
        <item x="858"/>
        <item x="867"/>
        <item x="1049"/>
        <item x="844"/>
        <item x="856"/>
        <item x="859"/>
        <item x="845"/>
        <item x="1078"/>
        <item x="1079"/>
        <item x="1069"/>
        <item x="1082"/>
        <item x="1081"/>
        <item x="1068"/>
        <item x="1066"/>
        <item x="1070"/>
        <item x="1067"/>
        <item x="2402"/>
        <item x="1059"/>
        <item x="1062"/>
        <item x="846"/>
        <item x="1075"/>
        <item x="1065"/>
        <item x="1084"/>
        <item x="1071"/>
        <item x="1074"/>
        <item x="1072"/>
        <item x="1085"/>
        <item x="1086"/>
        <item x="1087"/>
        <item x="1073"/>
        <item x="1063"/>
        <item x="584"/>
        <item x="583"/>
        <item x="513"/>
        <item x="493"/>
        <item x="492"/>
        <item x="491"/>
        <item x="490"/>
        <item x="489"/>
        <item x="496"/>
        <item x="497"/>
        <item x="458"/>
        <item x="610"/>
        <item x="402"/>
        <item x="1581"/>
        <item x="1630"/>
        <item x="2372"/>
        <item x="2366"/>
        <item x="1740"/>
        <item x="1171"/>
        <item x="866"/>
        <item x="2112"/>
        <item x="459"/>
        <item x="531"/>
        <item x="747"/>
        <item x="2375"/>
        <item x="2359"/>
        <item x="101"/>
        <item x="2364"/>
        <item x="2365"/>
        <item x="2380"/>
        <item x="2236"/>
        <item x="272"/>
        <item x="294"/>
        <item x="160"/>
        <item x="1759"/>
        <item x="1157"/>
        <item x="1169"/>
        <item x="1170"/>
        <item x="1355"/>
        <item x="865"/>
        <item x="592"/>
        <item x="593"/>
        <item x="591"/>
        <item x="1694"/>
        <item x="594"/>
        <item x="2247"/>
        <item x="2248"/>
        <item x="1141"/>
        <item x="625"/>
        <item x="627"/>
        <item x="425"/>
        <item x="2073"/>
        <item x="631"/>
        <item x="2241"/>
        <item x="2240"/>
        <item x="629"/>
        <item x="835"/>
        <item x="834"/>
        <item x="837"/>
        <item x="644"/>
        <item x="802"/>
        <item x="650"/>
        <item x="651"/>
        <item x="645"/>
        <item x="655"/>
        <item x="2385"/>
        <item x="826"/>
        <item x="620"/>
        <item x="808"/>
        <item x="1564"/>
        <item x="838"/>
        <item x="839"/>
        <item x="672"/>
        <item x="673"/>
        <item x="1195"/>
        <item x="716"/>
        <item x="675"/>
        <item x="695"/>
        <item x="703"/>
        <item x="704"/>
        <item x="696"/>
        <item x="685"/>
        <item x="683"/>
        <item x="682"/>
        <item x="680"/>
        <item x="681"/>
        <item x="676"/>
        <item x="1241"/>
        <item x="702"/>
        <item x="677"/>
        <item x="692"/>
        <item x="698"/>
        <item x="674"/>
        <item x="684"/>
        <item x="706"/>
        <item x="705"/>
        <item x="707"/>
        <item x="690"/>
        <item x="718"/>
        <item x="717"/>
        <item x="719"/>
        <item x="691"/>
        <item x="679"/>
        <item x="693"/>
        <item x="688"/>
        <item x="689"/>
        <item x="697"/>
        <item x="686"/>
        <item x="687"/>
        <item x="678"/>
        <item x="728"/>
        <item x="754"/>
        <item x="2396"/>
        <item x="776"/>
        <item x="1814"/>
        <item x="773"/>
        <item x="774"/>
        <item x="775"/>
        <item x="777"/>
        <item x="778"/>
        <item x="789"/>
        <item x="782"/>
        <item x="646"/>
        <item x="783"/>
        <item x="784"/>
        <item x="790"/>
        <item x="647"/>
        <item x="648"/>
        <item x="803"/>
        <item x="730"/>
        <item x="729"/>
        <item x="738"/>
        <item x="779"/>
        <item x="733"/>
        <item x="735"/>
        <item x="726"/>
        <item x="727"/>
        <item x="753"/>
        <item x="756"/>
        <item x="748"/>
        <item x="731"/>
        <item x="740"/>
        <item x="737"/>
        <item x="721"/>
        <item x="739"/>
        <item x="734"/>
        <item x="757"/>
        <item x="755"/>
        <item x="736"/>
        <item x="742"/>
        <item x="741"/>
        <item x="720"/>
        <item x="743"/>
        <item x="745"/>
        <item x="630"/>
        <item x="725"/>
        <item x="724"/>
        <item x="788"/>
        <item x="787"/>
        <item x="768"/>
        <item x="657"/>
        <item x="658"/>
        <item x="830"/>
        <item x="831"/>
        <item x="833"/>
        <item x="639"/>
        <item x="643"/>
        <item x="642"/>
        <item x="928"/>
        <item x="931"/>
        <item x="929"/>
        <item x="930"/>
        <item x="2400"/>
        <item x="940"/>
        <item x="946"/>
        <item x="947"/>
        <item x="1237"/>
        <item x="874"/>
        <item x="879"/>
        <item x="875"/>
        <item x="876"/>
        <item x="878"/>
        <item x="880"/>
        <item x="873"/>
        <item x="877"/>
        <item x="881"/>
        <item x="891"/>
        <item x="897"/>
        <item x="1788"/>
        <item x="901"/>
        <item x="890"/>
        <item x="907"/>
        <item x="923"/>
        <item x="909"/>
        <item x="924"/>
        <item x="893"/>
        <item x="887"/>
        <item x="623"/>
        <item x="899"/>
        <item x="895"/>
        <item x="900"/>
        <item x="888"/>
        <item x="898"/>
        <item x="889"/>
        <item x="894"/>
        <item x="892"/>
        <item x="902"/>
        <item x="903"/>
        <item x="904"/>
        <item x="910"/>
        <item x="911"/>
        <item x="925"/>
        <item x="896"/>
        <item x="939"/>
        <item x="938"/>
        <item x="945"/>
        <item x="935"/>
        <item x="933"/>
        <item x="937"/>
        <item x="934"/>
        <item x="932"/>
        <item x="1013"/>
        <item x="1019"/>
        <item x="1014"/>
        <item x="1015"/>
        <item x="973"/>
        <item x="1808"/>
        <item x="971"/>
        <item x="972"/>
        <item x="975"/>
        <item x="1016"/>
        <item x="1017"/>
        <item x="2397"/>
        <item x="980"/>
        <item x="1018"/>
        <item x="590"/>
        <item x="622"/>
        <item x="621"/>
        <item x="1008"/>
        <item x="1996"/>
        <item x="1007"/>
        <item x="1009"/>
        <item x="2311"/>
        <item x="2306"/>
        <item x="1010"/>
        <item x="2308"/>
        <item x="2309"/>
        <item x="2310"/>
        <item x="2312"/>
        <item x="959"/>
        <item x="962"/>
        <item x="951"/>
        <item x="955"/>
        <item x="963"/>
        <item x="961"/>
        <item x="144"/>
        <item x="960"/>
        <item x="964"/>
        <item x="284"/>
        <item x="952"/>
        <item x="981"/>
        <item x="948"/>
        <item x="2137"/>
        <item x="31"/>
        <item x="974"/>
        <item x="1809"/>
        <item x="970"/>
        <item x="976"/>
        <item x="977"/>
        <item x="530"/>
        <item x="1056"/>
        <item x="807"/>
        <item x="798"/>
        <item x="799"/>
        <item x="801"/>
        <item x="1180"/>
        <item x="886"/>
        <item x="2379"/>
        <item x="956"/>
        <item x="1966"/>
        <item x="2370"/>
        <item x="1980"/>
        <item x="1981"/>
        <item x="2376"/>
        <item x="2378"/>
        <item x="2377"/>
        <item x="1840"/>
        <item x="2360"/>
        <item x="2371"/>
        <item x="298"/>
        <item x="271"/>
        <item x="157"/>
        <item x="158"/>
        <item x="159"/>
        <item x="238"/>
        <item x="239"/>
        <item x="237"/>
        <item x="224"/>
        <item x="327"/>
        <item x="329"/>
        <item x="330"/>
        <item x="328"/>
        <item x="396"/>
        <item x="2361"/>
        <item x="201"/>
        <item x="1717"/>
        <item x="1708"/>
        <item x="1546"/>
        <item x="1561"/>
        <item x="2363"/>
        <item x="2362"/>
        <item x="1584"/>
        <item x="2367"/>
        <item x="2373"/>
        <item x="2368"/>
        <item x="1738"/>
        <item x="1739"/>
        <item x="1689"/>
        <item x="1492"/>
        <item x="1493"/>
        <item x="1494"/>
        <item x="1635"/>
        <item x="2006"/>
        <item x="2009"/>
        <item x="2007"/>
        <item x="2008"/>
        <item x="2066"/>
        <item x="2067"/>
        <item x="2369"/>
        <item x="2383"/>
        <item x="2384"/>
        <item x="2033"/>
        <item x="1460"/>
        <item x="2374"/>
        <item x="2382"/>
        <item x="1763"/>
        <item x="1756"/>
        <item x="1762"/>
        <item x="1760"/>
        <item x="1142"/>
        <item x="1229"/>
        <item x="1159"/>
        <item x="1133"/>
        <item x="46"/>
        <item x="47"/>
        <item x="1316"/>
        <item x="1317"/>
        <item x="1278"/>
        <item x="1334"/>
        <item x="1557"/>
        <item x="1587"/>
        <item x="1607"/>
        <item x="1609"/>
        <item x="1608"/>
        <item x="1741"/>
        <item x="1690"/>
        <item x="1668"/>
        <item x="1633"/>
        <item x="1634"/>
        <item x="1528"/>
        <item x="1513"/>
        <item x="1455"/>
        <item x="482"/>
        <item x="507"/>
        <item x="608"/>
        <item x="601"/>
        <item x="479"/>
        <item x="536"/>
        <item x="528"/>
        <item x="1058"/>
        <item x="860"/>
        <item x="1061"/>
        <item x="1088"/>
        <item x="523"/>
        <item x="1023"/>
        <item x="103"/>
        <item x="1406"/>
        <item x="638"/>
        <item x="792"/>
        <item x="793"/>
        <item x="840"/>
        <item x="709"/>
        <item x="710"/>
        <item x="713"/>
        <item x="759"/>
        <item x="761"/>
        <item x="750"/>
        <item x="668"/>
        <item x="772"/>
        <item x="596"/>
        <item x="597"/>
        <item x="926"/>
        <item x="906"/>
        <item x="979"/>
        <item x="957"/>
        <item x="982"/>
        <item x="953"/>
        <item x="954"/>
        <item x="606"/>
        <item x="1021"/>
        <item x="1020"/>
        <item x="385"/>
        <item x="315"/>
        <item x="316"/>
        <item x="321"/>
        <item x="322"/>
        <item x="323"/>
        <item x="436"/>
        <item x="393"/>
        <item x="1748"/>
        <item x="194"/>
        <item x="371"/>
        <item x="195"/>
        <item x="1178"/>
        <item x="609"/>
        <item x="297"/>
        <item x="289"/>
        <item x="1967"/>
        <item x="442"/>
        <item x="1713"/>
        <item x="1706"/>
        <item x="1976"/>
        <item x="1953"/>
        <item x="115"/>
        <item x="1839"/>
        <item x="2156"/>
        <item x="595"/>
        <item x="598"/>
        <item x="1037"/>
        <item x="1155"/>
        <item x="2001"/>
        <item x="2012"/>
        <item x="2011"/>
        <item x="1041"/>
        <item x="1044"/>
        <item x="1038"/>
        <item x="1040"/>
        <item x="2104"/>
        <item x="2117"/>
        <item x="2042"/>
        <item x="2043"/>
        <item x="1043"/>
        <item x="2295"/>
        <item x="599"/>
        <item x="600"/>
        <item x="2194"/>
        <item x="2216"/>
        <item x="2245"/>
        <item x="2246"/>
        <item x="2272"/>
        <item x="2268"/>
        <item x="2284"/>
        <item x="1758"/>
        <item x="219"/>
        <item x="1393"/>
        <item x="2179"/>
        <item x="2181"/>
        <item x="607"/>
        <item x="1439"/>
        <item x="603"/>
        <item x="602"/>
        <item x="1783"/>
        <item x="1175"/>
        <item x="1516"/>
        <item x="1770"/>
        <item x="1802"/>
        <item x="604"/>
        <item x="605"/>
        <item x="143"/>
        <item x="1927"/>
        <item x="2074"/>
        <item x="628"/>
        <item x="2045"/>
        <item x="2195"/>
        <item x="2219"/>
        <item x="2260"/>
        <item x="2192"/>
        <item x="2273"/>
        <item x="2267"/>
        <item x="2193"/>
        <item x="1031"/>
        <item x="588"/>
        <item x="1025"/>
        <item x="1026"/>
        <item x="806"/>
        <item x="1032"/>
        <item x="1322"/>
        <item x="478"/>
        <item x="1554"/>
        <item x="1560"/>
        <item x="569"/>
        <item x="701"/>
        <item x="700"/>
        <item x="760"/>
        <item x="800"/>
        <item x="343"/>
        <item x="1594"/>
        <item x="1895"/>
        <item x="215"/>
        <item x="1714"/>
        <item x="1929"/>
        <item x="258"/>
        <item x="529"/>
        <item x="1194"/>
        <item x="1273"/>
        <item x="1401"/>
        <item x="162"/>
        <item x="2211"/>
        <item x="1798"/>
        <item x="1799"/>
        <item x="247"/>
        <item x="1711"/>
        <item x="1971"/>
        <item x="1761"/>
        <item x="1600"/>
        <item x="1597"/>
        <item x="1549"/>
        <item x="1354"/>
        <item x="1030"/>
        <item x="1028"/>
        <item x="1024"/>
        <item x="699"/>
        <item x="694"/>
        <item x="649"/>
        <item x="669"/>
        <item x="394"/>
        <item x="1029"/>
        <item x="1022"/>
        <item x="1818"/>
        <item x="2069"/>
        <item x="1919"/>
        <item x="1920"/>
        <item x="1972"/>
        <item x="257"/>
        <item x="1036"/>
        <item x="1042"/>
        <item x="2235"/>
        <item x="1034"/>
        <item x="1226"/>
        <item x="1027"/>
        <item x="1033"/>
        <item x="1039"/>
        <item x="2044"/>
        <item x="2259"/>
        <item x="2319"/>
        <item x="278"/>
        <item x="277"/>
        <item x="1412"/>
        <item x="1755"/>
        <item x="635"/>
        <item x="636"/>
        <item x="632"/>
        <item x="633"/>
        <item x="2143"/>
        <item x="2139"/>
        <item x="2141"/>
        <item x="767"/>
        <item x="2138"/>
        <item x="2140"/>
        <item x="2142"/>
        <item x="1099"/>
        <item x="1095"/>
        <item x="377"/>
        <item x="2278"/>
        <item x="175"/>
        <item x="178"/>
        <item x="185"/>
        <item x="382"/>
        <item x="383"/>
        <item x="384"/>
        <item x="129"/>
        <item x="142"/>
        <item x="139"/>
        <item x="1090"/>
        <item x="1096"/>
        <item x="1093"/>
        <item x="1101"/>
        <item x="624"/>
        <item x="617"/>
        <item x="1092"/>
        <item x="1091"/>
        <item x="1100"/>
        <item x="1097"/>
        <item x="1094"/>
        <item x="210"/>
        <item x="212"/>
        <item x="211"/>
        <item x="126"/>
        <item x="127"/>
        <item x="1213"/>
        <item x="332"/>
        <item x="313"/>
        <item x="299"/>
        <item x="305"/>
        <item x="314"/>
        <item x="309"/>
        <item x="310"/>
        <item x="304"/>
        <item x="312"/>
        <item x="318"/>
        <item x="300"/>
        <item x="302"/>
        <item x="306"/>
        <item x="301"/>
        <item x="311"/>
        <item x="319"/>
        <item x="345"/>
        <item x="341"/>
        <item x="342"/>
        <item x="344"/>
        <item x="1464"/>
        <item x="1463"/>
        <item x="1462"/>
        <item x="337"/>
        <item x="1440"/>
        <item x="336"/>
        <item x="339"/>
        <item x="2407"/>
        <item x="399"/>
        <item x="388"/>
        <item x="390"/>
        <item x="389"/>
        <item x="397"/>
        <item x="400"/>
        <item x="303"/>
        <item x="401"/>
        <item x="2136"/>
        <item x="1744"/>
        <item x="1745"/>
        <item x="820"/>
        <item x="122"/>
        <item x="135"/>
        <item x="1140"/>
        <item x="123"/>
        <item x="124"/>
        <item x="130"/>
        <item x="132"/>
        <item x="131"/>
        <item x="145"/>
        <item x="136"/>
        <item x="147"/>
        <item x="140"/>
        <item x="141"/>
        <item x="148"/>
        <item x="146"/>
        <item x="180"/>
        <item x="182"/>
        <item x="181"/>
        <item x="347"/>
        <item x="367"/>
        <item x="373"/>
        <item x="193"/>
        <item x="220"/>
        <item x="368"/>
        <item x="369"/>
        <item x="221"/>
        <item x="222"/>
        <item x="125"/>
        <item x="1238"/>
        <item x="1222"/>
        <item x="1223"/>
        <item x="1134"/>
        <item x="1135"/>
        <item x="354"/>
        <item x="1293"/>
        <item x="1297"/>
        <item x="355"/>
        <item x="1308"/>
        <item x="1310"/>
        <item x="1309"/>
        <item x="350"/>
        <item x="351"/>
        <item x="1283"/>
        <item x="1544"/>
        <item x="356"/>
        <item x="353"/>
        <item x="1603"/>
        <item x="1585"/>
        <item x="1598"/>
        <item x="1593"/>
        <item x="1732"/>
        <item x="1695"/>
        <item x="1686"/>
        <item x="1538"/>
        <item x="1550"/>
        <item x="358"/>
        <item x="1264"/>
        <item x="360"/>
        <item x="128"/>
        <item x="539"/>
        <item x="466"/>
        <item x="488"/>
        <item x="505"/>
        <item x="862"/>
        <item x="869"/>
        <item x="870"/>
        <item x="857"/>
        <item x="1064"/>
        <item x="1364"/>
        <item x="1365"/>
        <item x="842"/>
        <item x="712"/>
        <item x="780"/>
        <item x="762"/>
        <item x="763"/>
        <item x="660"/>
        <item x="770"/>
        <item x="908"/>
        <item x="324"/>
        <item x="325"/>
        <item x="202"/>
        <item x="192"/>
        <item x="292"/>
        <item x="1816"/>
        <item x="1889"/>
        <item x="1888"/>
        <item x="1860"/>
        <item x="1862"/>
        <item x="1861"/>
        <item x="1964"/>
        <item x="1965"/>
        <item x="266"/>
        <item x="261"/>
        <item x="1716"/>
        <item x="2080"/>
        <item x="1979"/>
        <item x="2164"/>
        <item x="362"/>
        <item x="1851"/>
        <item x="2158"/>
        <item x="366"/>
        <item x="2119"/>
        <item x="2105"/>
        <item x="2005"/>
        <item x="2113"/>
        <item x="2053"/>
        <item x="363"/>
        <item x="2120"/>
        <item x="2206"/>
        <item x="2207"/>
        <item x="2289"/>
        <item x="2291"/>
        <item x="2205"/>
        <item x="2208"/>
        <item x="2261"/>
        <item x="2232"/>
        <item x="2233"/>
        <item x="133"/>
        <item x="138"/>
        <item x="137"/>
        <item x="1784"/>
        <item x="184"/>
        <item x="183"/>
        <item x="1800"/>
        <item x="198"/>
        <item x="189"/>
        <item x="1994"/>
        <item x="188"/>
        <item x="199"/>
        <item x="370"/>
        <item x="200"/>
        <item x="191"/>
        <item x="190"/>
        <item x="334"/>
        <item x="333"/>
        <item x="746"/>
        <item x="352"/>
        <item x="1532"/>
        <item x="381"/>
        <item x="348"/>
        <item x="226"/>
        <item x="227"/>
        <item x="340"/>
        <item x="967"/>
        <item x="969"/>
        <item x="968"/>
        <item x="387"/>
        <item x="481"/>
        <item x="480"/>
        <item x="2227"/>
        <item x="346"/>
        <item x="883"/>
        <item x="338"/>
        <item x="1152"/>
        <item x="1599"/>
        <item x="1595"/>
        <item x="1326"/>
        <item x="359"/>
        <item x="1501"/>
        <item x="349"/>
        <item x="357"/>
        <item x="521"/>
        <item x="1407"/>
        <item x="661"/>
        <item x="364"/>
        <item x="1746"/>
        <item x="374"/>
        <item x="150"/>
        <item x="1922"/>
        <item x="1973"/>
        <item x="361"/>
        <item x="365"/>
        <item x="1903"/>
        <item x="386"/>
        <item x="2035"/>
        <item x="2226"/>
        <item x="2016"/>
        <item x="2102"/>
        <item x="2103"/>
        <item x="918"/>
        <item x="919"/>
        <item x="176"/>
        <item x="177"/>
        <item x="179"/>
        <item x="203"/>
        <item x="204"/>
        <item x="205"/>
        <item x="1176"/>
        <item x="1191"/>
        <item x="1202"/>
        <item x="1207"/>
        <item x="1232"/>
        <item x="1177"/>
        <item x="1216"/>
        <item x="1203"/>
        <item x="1161"/>
        <item x="1160"/>
        <item x="1162"/>
        <item x="1150"/>
        <item x="1151"/>
        <item x="1130"/>
        <item x="1217"/>
        <item x="2408"/>
        <item x="1227"/>
        <item x="1172"/>
        <item x="1167"/>
        <item x="1168"/>
        <item x="1204"/>
        <item x="1149"/>
        <item x="1231"/>
        <item x="1230"/>
        <item x="2058"/>
        <item x="1147"/>
        <item x="1148"/>
        <item x="1153"/>
        <item x="1158"/>
        <item x="1239"/>
        <item x="1187"/>
        <item x="1136"/>
        <item x="1186"/>
        <item x="1185"/>
        <item x="1240"/>
        <item x="1131"/>
        <item x="1206"/>
        <item x="1145"/>
        <item x="2151"/>
        <item x="1201"/>
        <item x="1198"/>
        <item x="1132"/>
        <item x="1137"/>
        <item x="1193"/>
        <item x="1205"/>
        <item x="1208"/>
        <item x="1362"/>
        <item x="1358"/>
        <item x="1359"/>
        <item x="1353"/>
        <item x="1341"/>
        <item x="2398"/>
        <item x="1340"/>
        <item x="1352"/>
        <item x="1280"/>
        <item x="1288"/>
        <item x="1276"/>
        <item x="1275"/>
        <item x="1274"/>
        <item x="1344"/>
        <item x="1339"/>
        <item x="1342"/>
        <item x="1347"/>
        <item x="1295"/>
        <item x="1289"/>
        <item x="1290"/>
        <item x="1291"/>
        <item x="1324"/>
        <item x="744"/>
        <item x="522"/>
        <item x="151"/>
        <item x="1577"/>
        <item x="950"/>
        <item x="1911"/>
        <item x="1279"/>
        <item x="1269"/>
        <item x="1299"/>
        <item x="1303"/>
        <item x="1302"/>
        <item x="1300"/>
        <item x="1301"/>
        <item x="1304"/>
        <item x="1320"/>
        <item x="282"/>
        <item x="1321"/>
        <item x="1272"/>
        <item x="1271"/>
        <item x="1270"/>
        <item x="1335"/>
        <item x="1330"/>
        <item x="1331"/>
        <item x="1336"/>
        <item x="1332"/>
        <item x="1333"/>
        <item x="1348"/>
        <item x="1255"/>
        <item x="1346"/>
        <item x="825"/>
        <item x="1349"/>
        <item x="1350"/>
        <item x="1351"/>
        <item x="1265"/>
        <item x="1266"/>
        <item x="1256"/>
        <item x="434"/>
        <item x="1259"/>
        <item x="1262"/>
        <item x="1260"/>
        <item x="213"/>
        <item x="1258"/>
        <item x="1454"/>
        <item x="1345"/>
        <item x="1292"/>
        <item x="1261"/>
        <item x="1610"/>
        <item x="1456"/>
        <item x="1590"/>
        <item x="1591"/>
        <item x="2060"/>
        <item x="1287"/>
        <item x="1281"/>
        <item x="1285"/>
        <item x="1282"/>
        <item x="1286"/>
        <item x="1139"/>
        <item x="1257"/>
        <item x="785"/>
        <item x="786"/>
        <item x="1104"/>
        <item x="1373"/>
        <item x="1114"/>
        <item x="1105"/>
        <item x="1374"/>
        <item x="1103"/>
        <item x="1363"/>
        <item x="1367"/>
        <item x="1382"/>
        <item x="1379"/>
        <item x="1380"/>
        <item x="1156"/>
        <item x="1377"/>
        <item x="1402"/>
        <item x="1400"/>
        <item x="1403"/>
        <item x="1368"/>
        <item x="249"/>
        <item x="1381"/>
        <item x="1228"/>
        <item x="1378"/>
        <item x="1102"/>
        <item x="1108"/>
        <item x="1384"/>
        <item x="1109"/>
        <item x="1385"/>
        <item x="1376"/>
        <item x="1386"/>
        <item x="1430"/>
        <item x="1388"/>
        <item x="1383"/>
        <item x="1110"/>
        <item x="1414"/>
        <item x="1418"/>
        <item x="1422"/>
        <item x="1417"/>
        <item x="1113"/>
        <item x="1421"/>
        <item x="1420"/>
        <item x="1416"/>
        <item x="1413"/>
        <item x="1415"/>
        <item x="1371"/>
        <item x="1106"/>
        <item x="1404"/>
        <item x="1389"/>
        <item x="1390"/>
        <item x="1391"/>
        <item x="250"/>
        <item x="1427"/>
        <item x="1431"/>
        <item x="1428"/>
        <item x="1429"/>
        <item x="1387"/>
        <item x="1107"/>
        <item x="1370"/>
        <item x="1913"/>
        <item x="1372"/>
        <item x="1111"/>
        <item x="1375"/>
        <item x="1410"/>
        <item x="1408"/>
        <item x="1409"/>
        <item x="1434"/>
        <item x="1433"/>
        <item x="1315"/>
        <item x="1484"/>
        <item x="1478"/>
        <item x="1481"/>
        <item x="1482"/>
        <item x="1485"/>
        <item x="1535"/>
        <item x="1483"/>
        <item x="1480"/>
        <item x="1487"/>
        <item x="1486"/>
        <item x="1479"/>
        <item x="1720"/>
        <item x="1721"/>
        <item x="1614"/>
        <item x="1519"/>
        <item x="171"/>
        <item x="1552"/>
        <item x="1568"/>
        <item x="290"/>
        <item x="1718"/>
        <item x="1723"/>
        <item x="613"/>
        <item x="1719"/>
        <item x="1211"/>
        <item x="1243"/>
        <item x="1583"/>
        <item x="1576"/>
        <item x="1575"/>
        <item x="1589"/>
        <item x="1580"/>
        <item x="1586"/>
        <item x="1572"/>
        <item x="1582"/>
        <item x="1574"/>
        <item x="1573"/>
        <item x="1611"/>
        <item x="1571"/>
        <item x="1729"/>
        <item x="1725"/>
        <item x="435"/>
        <item x="1641"/>
        <item x="1671"/>
        <item x="1676"/>
        <item x="1677"/>
        <item x="1657"/>
        <item x="1663"/>
        <item x="1660"/>
        <item x="1642"/>
        <item x="1672"/>
        <item x="1682"/>
        <item x="1684"/>
        <item x="1931"/>
        <item x="1329"/>
        <item x="1843"/>
        <item x="251"/>
        <item x="1080"/>
        <item x="805"/>
        <item x="884"/>
        <item x="1328"/>
        <item x="1651"/>
        <item x="1842"/>
        <item x="1841"/>
        <item x="1859"/>
        <item x="1685"/>
        <item x="1678"/>
        <item x="173"/>
        <item x="174"/>
        <item x="487"/>
        <item x="1356"/>
        <item x="670"/>
        <item x="965"/>
        <item x="326"/>
        <item x="223"/>
        <item x="206"/>
        <item x="1655"/>
        <item x="1654"/>
        <item x="1674"/>
        <item x="1640"/>
        <item x="1502"/>
        <item x="293"/>
        <item x="167"/>
        <item x="236"/>
        <item x="439"/>
        <item x="2002"/>
        <item x="2279"/>
        <item x="2217"/>
        <item x="2218"/>
        <item x="1858"/>
        <item x="2165"/>
        <item x="2166"/>
        <item x="1850"/>
        <item x="1652"/>
        <item x="1673"/>
        <item x="1675"/>
        <item x="170"/>
        <item x="168"/>
        <item x="1163"/>
        <item x="1691"/>
        <item x="1692"/>
        <item x="1653"/>
        <item x="149"/>
        <item x="1656"/>
        <item x="958"/>
        <item x="1659"/>
        <item x="1904"/>
        <item x="1661"/>
        <item x="1667"/>
        <item x="526"/>
        <item x="1051"/>
        <item x="836"/>
        <item x="816"/>
        <item x="921"/>
        <item x="1200"/>
        <item x="1337"/>
        <item x="1425"/>
        <item x="1542"/>
        <item x="1543"/>
        <item x="1730"/>
        <item x="1629"/>
        <item x="233"/>
        <item x="235"/>
        <item x="1998"/>
        <item x="2238"/>
        <item x="2239"/>
        <item x="2263"/>
        <item x="1658"/>
        <item x="1050"/>
        <item x="829"/>
        <item x="1662"/>
        <item x="920"/>
        <item x="1325"/>
        <item x="1327"/>
        <item x="1357"/>
        <item x="234"/>
        <item x="1666"/>
        <item x="1707"/>
        <item x="1664"/>
        <item x="1665"/>
        <item x="1488"/>
        <item x="1529"/>
        <item x="1489"/>
        <item x="1511"/>
        <item x="1506"/>
        <item x="483"/>
        <item x="1507"/>
        <item x="1505"/>
        <item x="1508"/>
        <item x="1530"/>
        <item x="1631"/>
        <item x="1531"/>
        <item x="1537"/>
        <item x="1727"/>
        <item x="1621"/>
        <item x="1626"/>
        <item x="1625"/>
        <item x="1728"/>
        <item x="1624"/>
        <item x="1627"/>
        <item x="1622"/>
        <item x="1623"/>
        <item x="1628"/>
        <item x="1495"/>
        <item x="765"/>
        <item x="766"/>
        <item x="1307"/>
        <item x="1562"/>
        <item x="1968"/>
        <item x="260"/>
        <item x="2153"/>
        <item x="2152"/>
        <item x="1570"/>
        <item x="1523"/>
        <item x="1524"/>
        <item x="2196"/>
        <item x="1726"/>
        <item x="1566"/>
        <item x="1822"/>
        <item x="1567"/>
        <item x="1083"/>
        <item x="791"/>
        <item x="1563"/>
        <item x="1569"/>
        <item x="1731"/>
        <item x="1565"/>
        <item x="1539"/>
        <item x="1618"/>
        <item x="1548"/>
        <item x="1619"/>
        <item x="1620"/>
        <item x="2403"/>
        <item x="1617"/>
        <item x="1616"/>
        <item x="1615"/>
        <item x="1613"/>
        <item x="506"/>
        <item x="1504"/>
        <item x="1526"/>
        <item x="1522"/>
        <item x="1525"/>
        <item x="1521"/>
        <item x="1527"/>
        <item x="1512"/>
        <item x="1496"/>
        <item x="1490"/>
        <item x="2333"/>
        <item x="1792"/>
        <item x="1796"/>
        <item x="1786"/>
        <item x="1766"/>
        <item x="2327"/>
        <item x="2326"/>
        <item x="2324"/>
        <item x="391"/>
        <item x="1224"/>
        <item x="1298"/>
        <item x="1742"/>
        <item x="1844"/>
        <item x="2266"/>
        <item x="872"/>
        <item x="667"/>
        <item x="1764"/>
        <item x="1767"/>
        <item x="1765"/>
        <item x="885"/>
        <item x="1221"/>
        <item x="1174"/>
        <item x="1277"/>
        <item x="1411"/>
        <item x="216"/>
        <item x="2325"/>
        <item x="163"/>
        <item x="2210"/>
        <item x="1857"/>
        <item x="1853"/>
        <item x="1773"/>
        <item x="559"/>
        <item x="558"/>
        <item x="533"/>
        <item x="1054"/>
        <item x="1055"/>
        <item x="534"/>
        <item x="843"/>
        <item x="711"/>
        <item x="1774"/>
        <item x="764"/>
        <item x="832"/>
        <item x="1778"/>
        <item x="398"/>
        <item x="1749"/>
        <item x="1747"/>
        <item x="376"/>
        <item x="197"/>
        <item x="229"/>
        <item x="1777"/>
        <item x="1219"/>
        <item x="1220"/>
        <item x="1776"/>
        <item x="1173"/>
        <item x="1190"/>
        <item x="1343"/>
        <item x="1294"/>
        <item x="1312"/>
        <item x="1338"/>
        <item x="1545"/>
        <item x="1604"/>
        <item x="1578"/>
        <item x="1637"/>
        <item x="1638"/>
        <item x="1514"/>
        <item x="296"/>
        <item x="154"/>
        <item x="155"/>
        <item x="241"/>
        <item x="242"/>
        <item x="169"/>
        <item x="240"/>
        <item x="156"/>
        <item x="259"/>
        <item x="1709"/>
        <item x="1710"/>
        <item x="2332"/>
        <item x="2081"/>
        <item x="2097"/>
        <item x="1952"/>
        <item x="2108"/>
        <item x="2046"/>
        <item x="2298"/>
        <item x="2250"/>
        <item x="1771"/>
        <item x="1772"/>
        <item x="2262"/>
        <item x="2225"/>
        <item x="2265"/>
        <item x="2317"/>
        <item x="1856"/>
        <item x="1899"/>
        <item x="1871"/>
        <item x="1890"/>
        <item x="1969"/>
        <item x="1970"/>
        <item x="2169"/>
        <item x="1852"/>
        <item x="2154"/>
        <item x="1880"/>
        <item x="527"/>
        <item x="120"/>
        <item x="1779"/>
        <item x="751"/>
        <item x="752"/>
        <item x="771"/>
        <item x="2330"/>
        <item x="1775"/>
        <item x="1995"/>
        <item x="1794"/>
        <item x="1790"/>
        <item x="1785"/>
        <item x="1791"/>
        <item x="1795"/>
        <item x="1789"/>
        <item x="1793"/>
        <item x="2323"/>
        <item x="1768"/>
        <item x="1769"/>
        <item x="2329"/>
        <item x="2328"/>
        <item x="2331"/>
        <item x="420"/>
        <item x="422"/>
        <item x="421"/>
        <item x="2135"/>
        <item x="1797"/>
        <item x="1854"/>
        <item x="1144"/>
        <item x="1891"/>
        <item x="295"/>
        <item x="1876"/>
        <item x="1865"/>
        <item x="119"/>
        <item x="121"/>
        <item x="626"/>
        <item x="264"/>
        <item x="1881"/>
        <item x="274"/>
        <item x="1829"/>
        <item x="275"/>
        <item x="1885"/>
        <item x="1811"/>
        <item x="917"/>
        <item x="1825"/>
        <item x="1824"/>
        <item x="1817"/>
        <item x="269"/>
        <item x="265"/>
        <item x="1883"/>
        <item x="1882"/>
        <item x="1886"/>
        <item x="1884"/>
        <item x="276"/>
        <item x="1510"/>
        <item x="1831"/>
        <item x="1819"/>
        <item x="1894"/>
        <item x="214"/>
        <item x="1815"/>
        <item x="331"/>
        <item x="1225"/>
        <item x="2389"/>
        <item x="1827"/>
        <item x="1821"/>
        <item x="611"/>
        <item x="612"/>
        <item x="404"/>
        <item x="616"/>
        <item x="252"/>
        <item x="1830"/>
        <item x="1945"/>
        <item x="1828"/>
        <item x="1892"/>
        <item x="1893"/>
        <item x="2387"/>
        <item x="2391"/>
        <item x="1866"/>
        <item x="1867"/>
        <item x="2388"/>
        <item x="1541"/>
        <item x="1863"/>
        <item x="2390"/>
        <item x="2392"/>
        <item x="2394"/>
        <item x="2395"/>
        <item x="2404"/>
        <item x="291"/>
        <item x="2393"/>
        <item x="1812"/>
        <item x="1823"/>
        <item x="1813"/>
        <item x="267"/>
        <item x="253"/>
        <item x="288"/>
        <item x="1119"/>
        <item x="413"/>
        <item x="411"/>
        <item x="424"/>
        <item x="1124"/>
        <item x="1125"/>
        <item x="406"/>
        <item x="1128"/>
        <item x="1129"/>
        <item x="1122"/>
        <item x="1117"/>
        <item x="1123"/>
        <item x="1115"/>
        <item x="1121"/>
        <item x="1116"/>
        <item x="1118"/>
        <item x="1120"/>
        <item x="437"/>
        <item x="410"/>
        <item x="432"/>
        <item x="408"/>
        <item x="403"/>
        <item x="438"/>
        <item x="433"/>
        <item x="426"/>
        <item x="418"/>
        <item x="417"/>
        <item x="409"/>
        <item x="407"/>
        <item x="412"/>
        <item x="419"/>
        <item x="1753"/>
        <item x="1754"/>
        <item x="1751"/>
        <item x="1752"/>
        <item x="415"/>
        <item x="416"/>
        <item x="405"/>
        <item x="423"/>
        <item x="1126"/>
        <item x="427"/>
        <item x="414"/>
        <item x="1235"/>
        <item x="1251"/>
        <item x="1215"/>
        <item x="1181"/>
        <item x="1210"/>
        <item x="1236"/>
        <item x="1254"/>
        <item x="1252"/>
        <item x="1250"/>
        <item x="1246"/>
        <item x="614"/>
        <item x="1249"/>
        <item x="1247"/>
        <item x="615"/>
        <item x="1242"/>
        <item x="1248"/>
        <item x="1253"/>
        <item x="1146"/>
        <item x="1395"/>
        <item x="1394"/>
        <item x="1398"/>
        <item x="1399"/>
        <item x="1396"/>
        <item x="1397"/>
        <item x="1873"/>
        <item x="1872"/>
        <item x="1722"/>
        <item x="1558"/>
        <item x="1702"/>
        <item x="1701"/>
        <item x="1700"/>
        <item x="1699"/>
        <item x="1696"/>
        <item x="1697"/>
        <item x="1724"/>
        <item x="1703"/>
        <item x="1712"/>
        <item x="1698"/>
        <item x="1214"/>
        <item x="1645"/>
        <item x="1644"/>
        <item x="1649"/>
        <item x="1648"/>
        <item x="1646"/>
        <item x="1643"/>
        <item x="1647"/>
        <item x="1491"/>
        <item x="1958"/>
        <item x="1935"/>
        <item x="1939"/>
        <item x="1930"/>
        <item x="1934"/>
        <item x="1925"/>
        <item x="1943"/>
        <item x="1946"/>
        <item x="1915"/>
        <item x="1928"/>
        <item x="1938"/>
        <item x="1923"/>
        <item x="1924"/>
        <item x="2061"/>
        <item x="1959"/>
        <item x="2062"/>
        <item x="2072"/>
        <item x="2075"/>
        <item x="1942"/>
        <item x="1944"/>
        <item x="2071"/>
        <item x="1947"/>
        <item x="1957"/>
        <item x="2092"/>
        <item x="2093"/>
        <item x="2090"/>
        <item x="2086"/>
        <item x="2079"/>
        <item x="2076"/>
        <item x="2087"/>
        <item x="2089"/>
        <item x="2095"/>
        <item x="2091"/>
        <item x="2085"/>
        <item x="2084"/>
        <item x="2083"/>
        <item x="2094"/>
        <item x="2078"/>
        <item x="2077"/>
        <item x="2082"/>
        <item x="1975"/>
        <item x="1954"/>
        <item x="1933"/>
        <item x="1955"/>
        <item x="1940"/>
        <item x="1906"/>
        <item x="1909"/>
        <item x="1908"/>
        <item x="1937"/>
        <item x="1907"/>
        <item x="1926"/>
        <item x="1932"/>
        <item x="1950"/>
        <item x="1956"/>
        <item x="1951"/>
        <item x="2070"/>
        <item x="1948"/>
        <item x="2134"/>
        <item x="1936"/>
        <item x="1941"/>
        <item x="2172"/>
        <item x="1405"/>
        <item x="2147"/>
        <item x="814"/>
        <item x="2209"/>
        <item x="2251"/>
        <item x="2148"/>
        <item x="2354"/>
        <item x="2353"/>
        <item x="2348"/>
        <item x="2351"/>
        <item x="2355"/>
        <item x="2352"/>
        <item x="2357"/>
        <item x="2349"/>
        <item x="2305"/>
        <item x="2347"/>
        <item x="2356"/>
        <item x="2150"/>
        <item x="2313"/>
        <item x="2350"/>
        <item x="2358"/>
        <item x="1826"/>
        <item x="822"/>
        <item x="2346"/>
        <item x="1053"/>
        <item x="1313"/>
        <item x="1314"/>
        <item x="1855"/>
        <item x="441"/>
        <item x="1917"/>
        <item x="2034"/>
        <item x="1465"/>
        <item x="815"/>
        <item x="868"/>
        <item x="231"/>
        <item x="232"/>
        <item x="230"/>
        <item x="270"/>
        <item x="268"/>
        <item x="1878"/>
        <item x="2171"/>
        <item x="1588"/>
        <item x="1733"/>
        <item x="1688"/>
        <item x="2170"/>
        <item x="1639"/>
        <item x="1787"/>
        <item x="2177"/>
        <item x="1361"/>
        <item x="1693"/>
        <item x="1536"/>
        <item x="819"/>
        <item x="2299"/>
        <item x="2174"/>
        <item x="2175"/>
        <item x="1874"/>
        <item x="152"/>
        <item x="1705"/>
        <item x="1556"/>
        <item x="2109"/>
        <item x="2173"/>
        <item x="1845"/>
        <item x="804"/>
        <item x="116"/>
        <item x="114"/>
        <item x="118"/>
        <item x="117"/>
        <item x="2176"/>
        <item x="1612"/>
        <item x="1846"/>
        <item x="1847"/>
        <item x="1392"/>
        <item x="2161"/>
        <item x="1052"/>
        <item x="2145"/>
        <item x="1916"/>
        <item x="1974"/>
        <item x="2144"/>
        <item x="656"/>
        <item x="2157"/>
        <item x="2160"/>
        <item x="2159"/>
        <item x="2163"/>
        <item x="2162"/>
        <item x="1596"/>
        <item x="2146"/>
        <item x="1877"/>
        <item x="823"/>
        <item x="1991"/>
        <item x="1999"/>
        <item x="1900"/>
        <item x="1992"/>
        <item x="2010"/>
        <item x="1902"/>
        <item x="2050"/>
        <item x="2048"/>
        <item x="2028"/>
        <item x="2024"/>
        <item x="2021"/>
        <item x="2030"/>
        <item x="2000"/>
        <item x="2025"/>
        <item x="2051"/>
        <item x="2049"/>
        <item x="2047"/>
        <item x="2023"/>
        <item x="2022"/>
        <item x="2039"/>
        <item x="671"/>
        <item x="1218"/>
        <item x="1311"/>
        <item x="2040"/>
        <item x="1632"/>
        <item x="1500"/>
        <item x="818"/>
        <item x="2031"/>
        <item x="2026"/>
        <item x="2027"/>
        <item x="2013"/>
        <item x="2014"/>
        <item x="1179"/>
        <item x="2098"/>
        <item x="2118"/>
        <item x="2116"/>
        <item x="2115"/>
        <item x="2017"/>
        <item x="2018"/>
        <item x="1540"/>
        <item x="2041"/>
        <item x="280"/>
        <item x="2133"/>
        <item x="2294"/>
        <item x="2293"/>
        <item x="2292"/>
        <item x="941"/>
        <item x="2189"/>
        <item x="1990"/>
        <item x="2212"/>
        <item x="2213"/>
        <item x="2188"/>
        <item x="2187"/>
        <item x="2203"/>
        <item x="2214"/>
        <item x="2237"/>
        <item x="2288"/>
        <item x="2287"/>
        <item x="2290"/>
        <item x="2297"/>
        <item x="2253"/>
        <item x="2244"/>
        <item x="2242"/>
        <item x="2243"/>
        <item x="2296"/>
        <item x="942"/>
        <item x="2255"/>
        <item x="2254"/>
        <item x="2197"/>
        <item x="2190"/>
        <item x="2274"/>
        <item x="2271"/>
        <item x="2270"/>
        <item x="2275"/>
        <item x="2198"/>
        <item x="2199"/>
        <item x="2258"/>
        <item x="2286"/>
        <item x="2221"/>
        <item x="484"/>
        <item x="2234"/>
        <item x="2222"/>
        <item x="2269"/>
        <item x="2264"/>
        <item x="2281"/>
        <item x="2280"/>
        <item x="2283"/>
        <item x="2285"/>
        <item x="2282"/>
        <item x="2191"/>
        <item x="2340"/>
        <item x="1650"/>
        <item x="2341"/>
        <item x="2300"/>
        <item x="2321"/>
        <item x="2322"/>
        <item x="2320"/>
        <item x="1912"/>
        <item x="2304"/>
        <item x="1012"/>
        <item x="1011"/>
        <item x="619"/>
        <item x="618"/>
        <item x="2301"/>
        <item x="2303"/>
        <item x="2302"/>
        <item x="2307"/>
        <item x="2334"/>
        <item x="2314"/>
        <item x="2338"/>
        <item x="2336"/>
        <item x="2315"/>
        <item x="2337"/>
        <item x="2345"/>
        <item x="2342"/>
        <item x="2339"/>
        <item x="2344"/>
        <item x="2343"/>
        <item x="2335"/>
        <item x="2409"/>
        <item x="1143"/>
        <item x="525"/>
        <item x="105"/>
        <item x="2111"/>
        <item x="2036"/>
        <item x="109"/>
        <item x="108"/>
        <item x="111"/>
        <item x="1318"/>
        <item x="1319"/>
        <item x="2252"/>
        <item x="2215"/>
        <item x="2200"/>
        <item x="2201"/>
        <item x="2223"/>
        <item x="1112"/>
        <item x="273"/>
        <item x="153"/>
        <item x="246"/>
        <item x="248"/>
        <item x="164"/>
        <item x="499"/>
        <item x="110"/>
        <item x="112"/>
        <item x="477"/>
        <item x="1757"/>
        <item x="2220"/>
        <item x="2257"/>
        <item x="2224"/>
        <item x="2231"/>
        <item x="2316"/>
        <item x="916"/>
        <item x="335"/>
        <item x="927"/>
        <item x="218"/>
        <item x="245"/>
        <item x="255"/>
        <item x="1986"/>
        <item x="1983"/>
        <item x="57"/>
        <item x="244"/>
        <item x="1606"/>
        <item x="1832"/>
        <item x="1704"/>
        <item x="2204"/>
        <item x="2183"/>
        <item x="1985"/>
        <item x="2184"/>
        <item x="2186"/>
        <item x="2185"/>
        <item x="2182"/>
        <item x="809"/>
        <item x="810"/>
        <item x="659"/>
        <item x="1982"/>
        <item x="1984"/>
        <item x="1459"/>
        <item x="1458"/>
        <item x="1466"/>
        <item x="1467"/>
        <item x="1453"/>
        <item x="52"/>
        <item x="102"/>
        <item x="107"/>
        <item x="72"/>
        <item x="99"/>
        <item x="100"/>
        <item x="113"/>
        <item x="217"/>
        <item x="1977"/>
        <item x="2106"/>
        <item x="1848"/>
        <item x="32"/>
        <item x="93"/>
        <item x="106"/>
        <item x="104"/>
        <item x="1305"/>
        <item x="864"/>
        <item x="1060"/>
        <item x="1077"/>
        <item x="1089"/>
        <item x="1446"/>
        <item x="1447"/>
        <item x="796"/>
        <item x="797"/>
        <item x="653"/>
        <item x="654"/>
        <item x="2386"/>
        <item x="714"/>
        <item x="715"/>
        <item x="781"/>
        <item x="722"/>
        <item x="723"/>
        <item x="769"/>
        <item x="641"/>
        <item x="922"/>
        <item x="912"/>
        <item x="913"/>
        <item x="378"/>
        <item x="379"/>
        <item x="1098"/>
        <item x="225"/>
        <item x="1750"/>
        <item x="375"/>
        <item x="196"/>
        <item x="1602"/>
        <item x="1284"/>
        <item x="1244"/>
        <item x="1164"/>
        <item x="1209"/>
        <item x="1810"/>
        <item x="1360"/>
        <item x="2399"/>
        <item x="1296"/>
        <item x="1423"/>
        <item x="1424"/>
        <item x="1369"/>
        <item x="634"/>
        <item x="1192"/>
        <item x="2149"/>
        <item x="1555"/>
        <item x="2129"/>
        <item x="1448"/>
        <item x="1498"/>
        <item x="1551"/>
        <item x="1605"/>
        <item x="1734"/>
        <item x="1687"/>
        <item x="1679"/>
        <item x="1680"/>
        <item x="2132"/>
        <item x="1669"/>
        <item x="1503"/>
        <item x="1497"/>
        <item x="1138"/>
        <item x="1520"/>
        <item x="1469"/>
        <item x="1468"/>
        <item x="1898"/>
        <item x="1868"/>
        <item x="1869"/>
        <item x="428"/>
        <item x="1887"/>
        <item x="1963"/>
        <item x="443"/>
        <item x="1875"/>
        <item x="1715"/>
        <item x="1949"/>
        <item x="2167"/>
        <item x="2155"/>
        <item x="1837"/>
        <item x="1838"/>
        <item x="2168"/>
        <item x="2110"/>
        <item x="2003"/>
        <item x="2004"/>
        <item x="1901"/>
        <item x="2052"/>
        <item x="2032"/>
        <item x="2099"/>
        <item x="2100"/>
        <item x="2276"/>
        <item x="2277"/>
        <item x="2230"/>
        <item x="2318"/>
        <item x="2180"/>
        <item x="283"/>
        <item x="2121"/>
        <item x="2124"/>
        <item x="1534"/>
        <item x="2128"/>
        <item x="2127"/>
        <item x="2131"/>
        <item x="2126"/>
        <item x="905"/>
        <item x="2122"/>
        <item x="2125"/>
        <item x="732"/>
        <item x="749"/>
        <item x="984"/>
        <item x="281"/>
        <item x="1000"/>
        <item x="1005"/>
        <item x="999"/>
        <item x="988"/>
        <item x="989"/>
        <item x="998"/>
        <item x="991"/>
        <item x="990"/>
        <item x="997"/>
        <item x="987"/>
        <item x="993"/>
        <item x="994"/>
        <item x="2178"/>
        <item x="985"/>
        <item x="1006"/>
        <item x="1004"/>
        <item x="1001"/>
        <item x="992"/>
        <item x="995"/>
        <item x="2057"/>
        <item x="996"/>
        <item x="986"/>
        <item x="983"/>
        <item x="1002"/>
        <item x="1003"/>
        <item x="1918"/>
        <item x="1835"/>
        <item x="851"/>
        <item x="1076"/>
        <item x="186"/>
        <item x="209"/>
        <item x="208"/>
        <item x="134"/>
        <item x="207"/>
        <item x="2056"/>
        <item x="2123"/>
        <item x="1910"/>
        <item x="2130"/>
        <item x="2059"/>
        <item x="1451"/>
        <item x="1444"/>
        <item x="813"/>
        <item x="1057"/>
        <item x="1432"/>
        <item x="172"/>
        <item x="1441"/>
        <item x="1442"/>
        <item x="1443"/>
        <item x="1452"/>
        <item x="1450"/>
        <item x="1449"/>
        <item x="1437"/>
        <item x="1436"/>
        <item x="1438"/>
        <item x="1735"/>
        <item x="1445"/>
        <item x="944"/>
        <item x="943"/>
        <item x="1997"/>
        <item x="1806"/>
        <item x="1807"/>
        <item x="1988"/>
        <item x="1987"/>
        <item x="1989"/>
        <item x="978"/>
        <item x="256"/>
        <item x="1188"/>
        <item x="62"/>
        <item x="243"/>
        <item x="446"/>
        <item x="448"/>
        <item x="447"/>
        <item x="450"/>
        <item x="449"/>
        <item x="589"/>
        <item x="1419"/>
        <item x="966"/>
        <item x="1509"/>
        <item x="2256"/>
        <item t="default" sd="0"/>
      </items>
    </pivotField>
    <pivotField name="힌트" compact="0" outline="0" showAll="0">
      <items count="2500">
        <item x="2220"/>
        <item x="35"/>
        <item x="132"/>
        <item x="216"/>
        <item x="2219"/>
        <item x="1053"/>
        <item x="12"/>
        <item x="473"/>
        <item x="277"/>
        <item x="276"/>
        <item x="278"/>
        <item x="10"/>
        <item x="228"/>
        <item x="1764"/>
        <item x="258"/>
        <item x="406"/>
        <item x="510"/>
        <item x="540"/>
        <item x="1533"/>
        <item x="1862"/>
        <item x="2292"/>
        <item x="2274"/>
        <item x="2413"/>
        <item x="2318"/>
        <item x="2475"/>
        <item x="2480"/>
        <item x="2477"/>
        <item x="1233"/>
        <item x="1841"/>
        <item x="2303"/>
        <item x="2152"/>
        <item x="2122"/>
        <item x="2118"/>
        <item x="2356"/>
        <item x="2357"/>
        <item x="883"/>
        <item x="1453"/>
        <item x="2049"/>
        <item x="1825"/>
        <item x="804"/>
        <item x="1734"/>
        <item x="1098"/>
        <item x="1073"/>
        <item x="1082"/>
        <item x="1079"/>
        <item x="1231"/>
        <item x="1896"/>
        <item x="2071"/>
        <item x="1803"/>
        <item x="1800"/>
        <item x="1799"/>
        <item x="1918"/>
        <item x="2239"/>
        <item x="1888"/>
        <item x="1806"/>
        <item x="1920"/>
        <item x="1927"/>
        <item x="2020"/>
        <item x="2355"/>
        <item x="2008"/>
        <item x="987"/>
        <item x="705"/>
        <item x="715"/>
        <item x="681"/>
        <item x="1197"/>
        <item x="2233"/>
        <item x="2232"/>
        <item x="2352"/>
        <item x="2351"/>
        <item x="955"/>
        <item x="1804"/>
        <item x="1919"/>
        <item x="1941"/>
        <item x="1917"/>
        <item x="1915"/>
        <item x="1260"/>
        <item x="765"/>
        <item x="1599"/>
        <item x="1709"/>
        <item x="1712"/>
        <item x="1374"/>
        <item x="1717"/>
        <item x="1718"/>
        <item x="1716"/>
        <item x="662"/>
        <item x="763"/>
        <item x="655"/>
        <item x="651"/>
        <item x="628"/>
        <item x="376"/>
        <item x="254"/>
        <item x="197"/>
        <item x="1555"/>
        <item x="1722"/>
        <item x="1181"/>
        <item x="1724"/>
        <item x="1069"/>
        <item x="1909"/>
        <item x="1351"/>
        <item x="968"/>
        <item x="9"/>
        <item x="825"/>
        <item x="806"/>
        <item x="288"/>
        <item x="302"/>
        <item x="344"/>
        <item x="1077"/>
        <item x="1076"/>
        <item x="244"/>
        <item x="929"/>
        <item x="482"/>
        <item x="1956"/>
        <item x="1065"/>
        <item x="1914"/>
        <item x="1616"/>
        <item x="1666"/>
        <item x="1156"/>
        <item x="1645"/>
        <item x="1644"/>
        <item x="291"/>
        <item x="6"/>
        <item x="5"/>
        <item x="128"/>
        <item x="661"/>
        <item x="686"/>
        <item x="1088"/>
        <item x="407"/>
        <item x="760"/>
        <item x="352"/>
        <item x="98"/>
        <item x="96"/>
        <item x="2"/>
        <item x="1303"/>
        <item x="2457"/>
        <item x="134"/>
        <item x="135"/>
        <item x="136"/>
        <item x="604"/>
        <item x="1239"/>
        <item x="1240"/>
        <item x="1277"/>
        <item x="1083"/>
        <item x="777"/>
        <item x="725"/>
        <item x="2043"/>
        <item x="2132"/>
        <item x="2133"/>
        <item x="2418"/>
        <item x="2412"/>
        <item x="2417"/>
        <item x="2416"/>
        <item x="2415"/>
        <item x="466"/>
        <item x="468"/>
        <item x="200"/>
        <item x="201"/>
        <item x="2350"/>
        <item x="1952"/>
        <item x="2022"/>
        <item x="2032"/>
        <item x="1998"/>
        <item x="706"/>
        <item x="195"/>
        <item x="190"/>
        <item x="192"/>
        <item x="180"/>
        <item x="87"/>
        <item x="38"/>
        <item x="596"/>
        <item x="642"/>
        <item x="335"/>
        <item x="2474"/>
        <item x="1204"/>
        <item x="2288"/>
        <item x="2470"/>
        <item x="1677"/>
        <item x="1015"/>
        <item x="988"/>
        <item x="442"/>
        <item x="443"/>
        <item x="438"/>
        <item x="67"/>
        <item x="2155"/>
        <item x="1222"/>
        <item x="1235"/>
        <item x="2158"/>
        <item x="2156"/>
        <item x="2145"/>
        <item x="2151"/>
        <item x="2147"/>
        <item x="2159"/>
        <item x="2148"/>
        <item x="2160"/>
        <item x="1145"/>
        <item x="1226"/>
        <item x="1217"/>
        <item x="1194"/>
        <item x="1221"/>
        <item x="1223"/>
        <item x="1834"/>
        <item x="2487"/>
        <item x="589"/>
        <item x="592"/>
        <item x="557"/>
        <item x="1445"/>
        <item x="1442"/>
        <item x="1443"/>
        <item x="1441"/>
        <item x="1440"/>
        <item x="509"/>
        <item x="1132"/>
        <item x="1314"/>
        <item x="2263"/>
        <item x="2207"/>
        <item x="1190"/>
        <item x="1081"/>
        <item x="1496"/>
        <item x="1495"/>
        <item x="1414"/>
        <item x="1563"/>
        <item x="943"/>
        <item x="944"/>
        <item x="1258"/>
        <item x="949"/>
        <item x="911"/>
        <item x="905"/>
        <item x="904"/>
        <item x="907"/>
        <item x="910"/>
        <item x="1256"/>
        <item x="959"/>
        <item x="945"/>
        <item x="953"/>
        <item x="951"/>
        <item x="952"/>
        <item x="961"/>
        <item x="667"/>
        <item x="846"/>
        <item x="845"/>
        <item x="632"/>
        <item x="459"/>
        <item x="460"/>
        <item x="89"/>
        <item x="239"/>
        <item x="240"/>
        <item x="8"/>
        <item x="97"/>
        <item x="308"/>
        <item x="82"/>
        <item x="88"/>
        <item x="1411"/>
        <item x="2430"/>
        <item x="729"/>
        <item x="728"/>
        <item x="730"/>
        <item x="726"/>
        <item x="65"/>
        <item x="2091"/>
        <item x="2090"/>
        <item x="1760"/>
        <item x="2131"/>
        <item x="2446"/>
        <item x="2381"/>
        <item x="1911"/>
        <item x="1559"/>
        <item x="1549"/>
        <item x="1542"/>
        <item x="1657"/>
        <item x="1664"/>
        <item x="1087"/>
        <item x="1128"/>
        <item x="2106"/>
        <item x="2050"/>
        <item x="2058"/>
        <item x="2072"/>
        <item x="840"/>
        <item x="1177"/>
        <item x="985"/>
        <item x="2294"/>
        <item x="1478"/>
        <item x="1538"/>
        <item x="1524"/>
        <item x="1523"/>
        <item x="1259"/>
        <item x="884"/>
        <item x="694"/>
        <item x="693"/>
        <item x="692"/>
        <item x="682"/>
        <item x="688"/>
        <item x="689"/>
        <item x="687"/>
        <item x="700"/>
        <item x="695"/>
        <item x="714"/>
        <item x="685"/>
        <item x="683"/>
        <item x="684"/>
        <item x="717"/>
        <item x="716"/>
        <item x="641"/>
        <item x="645"/>
        <item x="664"/>
        <item x="644"/>
        <item x="638"/>
        <item x="640"/>
        <item x="590"/>
        <item x="591"/>
        <item x="44"/>
        <item x="573"/>
        <item x="574"/>
        <item x="489"/>
        <item x="93"/>
        <item x="94"/>
        <item x="2191"/>
        <item x="1879"/>
        <item x="171"/>
        <item x="436"/>
        <item x="1246"/>
        <item x="517"/>
        <item x="516"/>
        <item x="2234"/>
        <item x="948"/>
        <item x="919"/>
        <item x="193"/>
        <item x="1516"/>
        <item x="95"/>
        <item x="1518"/>
        <item x="1384"/>
        <item x="2247"/>
        <item x="851"/>
        <item x="958"/>
        <item x="1032"/>
        <item x="2040"/>
        <item x="1031"/>
        <item x="1027"/>
        <item x="2208"/>
        <item x="2484"/>
        <item x="1033"/>
        <item x="1030"/>
        <item x="1028"/>
        <item x="2039"/>
        <item x="629"/>
        <item x="1029"/>
        <item x="2038"/>
        <item x="433"/>
        <item x="1882"/>
        <item x="285"/>
        <item x="1840"/>
        <item x="1768"/>
        <item x="1769"/>
        <item x="1446"/>
        <item x="1726"/>
        <item x="1468"/>
        <item x="1469"/>
        <item x="626"/>
        <item x="892"/>
        <item x="893"/>
        <item x="1130"/>
        <item x="1676"/>
        <item x="1471"/>
        <item x="1472"/>
        <item x="1470"/>
        <item x="1225"/>
        <item x="314"/>
        <item x="18"/>
        <item x="17"/>
        <item x="1572"/>
        <item x="1940"/>
        <item x="1939"/>
        <item x="1935"/>
        <item x="1937"/>
        <item x="1938"/>
        <item x="1936"/>
        <item x="272"/>
        <item x="1412"/>
        <item x="331"/>
        <item x="332"/>
        <item x="1933"/>
        <item x="238"/>
        <item x="176"/>
        <item x="1623"/>
        <item x="1965"/>
        <item x="1903"/>
        <item x="580"/>
        <item x="2044"/>
        <item x="673"/>
        <item x="672"/>
        <item x="1625"/>
        <item x="533"/>
        <item x="261"/>
        <item x="2290"/>
        <item x="1821"/>
        <item x="199"/>
        <item x="676"/>
        <item x="1243"/>
        <item x="1613"/>
        <item x="1238"/>
        <item x="2305"/>
        <item x="1298"/>
        <item x="1192"/>
        <item x="855"/>
        <item x="539"/>
        <item x="2331"/>
        <item x="231"/>
        <item x="2380"/>
        <item x="1436"/>
        <item x="565"/>
        <item x="762"/>
        <item x="2289"/>
        <item x="2401"/>
        <item x="1640"/>
        <item x="1819"/>
        <item x="1209"/>
        <item x="1820"/>
        <item x="2241"/>
        <item x="1320"/>
        <item x="1544"/>
        <item x="898"/>
        <item x="775"/>
        <item x="782"/>
        <item x="2346"/>
        <item x="721"/>
        <item x="1316"/>
        <item x="1751"/>
        <item x="1365"/>
        <item x="2363"/>
        <item x="2368"/>
        <item x="2367"/>
        <item x="2365"/>
        <item x="2364"/>
        <item x="2362"/>
        <item x="2211"/>
        <item x="2212"/>
        <item x="2041"/>
        <item x="1945"/>
        <item x="2009"/>
        <item x="1954"/>
        <item x="1908"/>
        <item x="914"/>
        <item x="917"/>
        <item x="554"/>
        <item x="404"/>
        <item x="396"/>
        <item x="350"/>
        <item x="218"/>
        <item x="165"/>
        <item x="403"/>
        <item x="102"/>
        <item x="57"/>
        <item x="922"/>
        <item x="143"/>
        <item x="1293"/>
        <item x="2270"/>
        <item x="2333"/>
        <item x="1091"/>
        <item x="1112"/>
        <item x="780"/>
        <item x="2256"/>
        <item x="2338"/>
        <item x="2358"/>
        <item x="2295"/>
        <item x="2486"/>
        <item x="724"/>
        <item x="73"/>
        <item x="792"/>
        <item x="247"/>
        <item x="250"/>
        <item x="1126"/>
        <item x="2472"/>
        <item x="930"/>
        <item x="941"/>
        <item x="448"/>
        <item x="381"/>
        <item x="1074"/>
        <item x="2312"/>
        <item x="2337"/>
        <item x="1931"/>
        <item x="1816"/>
        <item x="1444"/>
        <item x="1719"/>
        <item x="1707"/>
        <item x="1757"/>
        <item x="1473"/>
        <item x="1327"/>
        <item x="1794"/>
        <item x="1588"/>
        <item x="1584"/>
        <item x="1383"/>
        <item x="229"/>
        <item x="155"/>
        <item x="220"/>
        <item x="1296"/>
        <item x="668"/>
        <item x="385"/>
        <item x="382"/>
        <item x="1842"/>
        <item x="2427"/>
        <item x="213"/>
        <item x="942"/>
        <item x="24"/>
        <item x="1358"/>
        <item x="1160"/>
        <item x="2210"/>
        <item x="2054"/>
        <item x="1883"/>
        <item x="2005"/>
        <item x="1141"/>
        <item x="1139"/>
        <item x="926"/>
        <item x="566"/>
        <item x="2309"/>
        <item x="1155"/>
        <item x="1424"/>
        <item x="577"/>
        <item x="1971"/>
        <item x="2308"/>
        <item x="2176"/>
        <item x="829"/>
        <item x="1637"/>
        <item x="1868"/>
        <item x="2157"/>
        <item x="1796"/>
        <item x="1728"/>
        <item x="1900"/>
        <item x="1485"/>
        <item x="1337"/>
        <item x="1328"/>
        <item x="1198"/>
        <item x="1166"/>
        <item x="608"/>
        <item x="1120"/>
        <item x="1121"/>
        <item x="572"/>
        <item x="571"/>
        <item x="607"/>
        <item x="671"/>
        <item x="504"/>
        <item x="820"/>
        <item x="198"/>
        <item x="61"/>
        <item x="60"/>
        <item x="56"/>
        <item x="59"/>
        <item x="121"/>
        <item x="512"/>
        <item x="2400"/>
        <item x="440"/>
        <item x="1904"/>
        <item x="1771"/>
        <item x="2262"/>
        <item x="2259"/>
        <item x="2261"/>
        <item x="1782"/>
        <item x="1341"/>
        <item x="29"/>
        <item x="660"/>
        <item x="915"/>
        <item x="617"/>
        <item x="1403"/>
        <item x="1970"/>
        <item x="1997"/>
        <item x="903"/>
        <item x="256"/>
        <item x="1608"/>
        <item x="2173"/>
        <item x="336"/>
        <item x="52"/>
        <item x="55"/>
        <item x="2163"/>
        <item x="1493"/>
        <item x="2004"/>
        <item x="519"/>
        <item x="518"/>
        <item x="595"/>
        <item x="2243"/>
        <item x="2244"/>
        <item x="2332"/>
        <item x="2245"/>
        <item x="2242"/>
        <item x="274"/>
        <item x="2345"/>
        <item x="1811"/>
        <item x="2328"/>
        <item x="1732"/>
        <item x="2429"/>
        <item x="1216"/>
        <item x="2298"/>
        <item x="2257"/>
        <item x="2227"/>
        <item x="2138"/>
        <item x="1891"/>
        <item x="1419"/>
        <item x="1680"/>
        <item x="1582"/>
        <item x="1678"/>
        <item x="1655"/>
        <item x="1152"/>
        <item x="900"/>
        <item x="909"/>
        <item x="912"/>
        <item x="960"/>
        <item x="838"/>
        <item x="819"/>
        <item x="779"/>
        <item x="800"/>
        <item x="795"/>
        <item x="793"/>
        <item x="835"/>
        <item x="206"/>
        <item x="207"/>
        <item x="656"/>
        <item x="635"/>
        <item x="547"/>
        <item x="209"/>
        <item x="210"/>
        <item x="558"/>
        <item x="405"/>
        <item x="391"/>
        <item x="478"/>
        <item x="479"/>
        <item x="496"/>
        <item x="495"/>
        <item x="481"/>
        <item x="319"/>
        <item x="370"/>
        <item x="372"/>
        <item x="353"/>
        <item x="318"/>
        <item x="179"/>
        <item x="187"/>
        <item x="28"/>
        <item x="40"/>
        <item x="41"/>
        <item x="49"/>
        <item x="54"/>
        <item x="1585"/>
        <item x="789"/>
        <item x="454"/>
        <item x="453"/>
        <item x="1710"/>
        <item x="2279"/>
        <item x="2061"/>
        <item x="1711"/>
        <item x="1687"/>
        <item x="1573"/>
        <item x="1996"/>
        <item x="2047"/>
        <item x="879"/>
        <item x="2033"/>
        <item x="1951"/>
        <item x="1386"/>
        <item x="401"/>
        <item x="842"/>
        <item x="770"/>
        <item x="444"/>
        <item x="328"/>
        <item x="648"/>
        <item x="298"/>
        <item x="150"/>
        <item x="137"/>
        <item x="191"/>
        <item x="1312"/>
        <item x="1313"/>
        <item x="1311"/>
        <item x="2136"/>
        <item x="1286"/>
        <item x="2322"/>
        <item x="654"/>
        <item x="2335"/>
        <item x="1867"/>
        <item x="2424"/>
        <item x="2497"/>
        <item x="1857"/>
        <item x="1207"/>
        <item x="1127"/>
        <item x="1789"/>
        <item x="1182"/>
        <item x="983"/>
        <item x="981"/>
        <item x="1228"/>
        <item x="1638"/>
        <item x="2285"/>
        <item x="2268"/>
        <item x="803"/>
        <item x="1532"/>
        <item x="475"/>
        <item x="477"/>
        <item x="894"/>
        <item x="2077"/>
        <item x="1263"/>
        <item x="1921"/>
        <item x="901"/>
        <item x="947"/>
        <item x="58"/>
        <item x="881"/>
        <item x="327"/>
        <item x="766"/>
        <item x="767"/>
        <item x="147"/>
        <item x="144"/>
        <item x="142"/>
        <item x="2007"/>
        <item x="2382"/>
        <item x="2425"/>
        <item x="2386"/>
        <item x="1853"/>
        <item x="1854"/>
        <item x="939"/>
        <item x="1123"/>
        <item x="1810"/>
        <item x="320"/>
        <item x="446"/>
        <item x="499"/>
        <item x="498"/>
        <item x="575"/>
        <item x="1788"/>
        <item x="1404"/>
        <item x="1273"/>
        <item x="712"/>
        <item x="334"/>
        <item x="701"/>
        <item x="708"/>
        <item x="707"/>
        <item x="698"/>
        <item x="208"/>
        <item x="31"/>
        <item x="36"/>
        <item x="39"/>
        <item x="84"/>
        <item x="111"/>
        <item x="127"/>
        <item x="183"/>
        <item x="182"/>
        <item x="2253"/>
        <item x="1660"/>
        <item x="924"/>
        <item x="733"/>
        <item x="807"/>
        <item x="801"/>
        <item x="606"/>
        <item x="1274"/>
        <item x="1267"/>
        <item x="1265"/>
        <item x="1272"/>
        <item x="1270"/>
        <item x="1266"/>
        <item x="744"/>
        <item x="225"/>
        <item x="979"/>
        <item x="2495"/>
        <item x="727"/>
        <item x="295"/>
        <item x="214"/>
        <item x="2455"/>
        <item x="2456"/>
        <item x="329"/>
        <item x="2065"/>
        <item x="2449"/>
        <item x="2094"/>
        <item x="2023"/>
        <item x="970"/>
        <item x="1780"/>
        <item x="450"/>
        <item x="2469"/>
        <item x="2468"/>
        <item x="2460"/>
        <item x="1248"/>
        <item x="2321"/>
        <item x="203"/>
        <item x="2448"/>
        <item x="2447"/>
        <item x="273"/>
        <item x="2450"/>
        <item x="2445"/>
        <item x="1520"/>
        <item x="2461"/>
        <item x="1731"/>
        <item x="1579"/>
        <item x="2465"/>
        <item x="1750"/>
        <item x="1619"/>
        <item x="1594"/>
        <item x="2454"/>
        <item x="2451"/>
        <item x="1781"/>
        <item x="226"/>
        <item x="2458"/>
        <item x="160"/>
        <item x="159"/>
        <item x="2453"/>
        <item x="2462"/>
        <item x="2459"/>
        <item x="1671"/>
        <item x="145"/>
        <item x="1502"/>
        <item x="1969"/>
        <item x="2467"/>
        <item x="2385"/>
        <item x="2384"/>
        <item x="2394"/>
        <item x="2396"/>
        <item x="2392"/>
        <item x="2390"/>
        <item x="2388"/>
        <item x="2393"/>
        <item x="2383"/>
        <item x="2391"/>
        <item x="908"/>
        <item x="63"/>
        <item x="1556"/>
        <item x="2078"/>
        <item x="927"/>
        <item x="1708"/>
        <item x="2281"/>
        <item x="1049"/>
        <item x="1527"/>
        <item x="581"/>
        <item x="585"/>
        <item x="583"/>
        <item x="584"/>
        <item x="1264"/>
        <item x="1482"/>
        <item x="1561"/>
        <item x="1543"/>
        <item x="783"/>
        <item x="2174"/>
        <item x="2366"/>
        <item x="1985"/>
        <item x="1802"/>
        <item x="1587"/>
        <item x="1950"/>
        <item x="1466"/>
        <item x="1593"/>
        <item x="217"/>
        <item x="249"/>
        <item x="2353"/>
        <item x="1102"/>
        <item x="1753"/>
        <item x="1193"/>
        <item x="1247"/>
        <item x="1174"/>
        <item x="1459"/>
        <item x="1457"/>
        <item x="1211"/>
        <item x="1396"/>
        <item x="2304"/>
        <item x="2306"/>
        <item x="485"/>
        <item x="1786"/>
        <item x="2347"/>
        <item x="1822"/>
        <item x="1068"/>
        <item x="1815"/>
        <item x="1578"/>
        <item x="1818"/>
        <item x="2343"/>
        <item x="1823"/>
        <item x="2150"/>
        <item x="2166"/>
        <item x="1629"/>
        <item x="1546"/>
        <item x="1777"/>
        <item x="1817"/>
        <item x="2360"/>
        <item x="1846"/>
        <item x="2311"/>
        <item x="1501"/>
        <item x="1499"/>
        <item x="1763"/>
        <item x="2143"/>
        <item x="2135"/>
        <item x="2134"/>
        <item x="2111"/>
        <item x="2028"/>
        <item x="2026"/>
        <item x="2084"/>
        <item x="1885"/>
        <item x="2042"/>
        <item x="2037"/>
        <item x="2034"/>
        <item x="1023"/>
        <item x="427"/>
        <item x="1836"/>
        <item x="1497"/>
        <item x="1759"/>
        <item x="1743"/>
        <item x="1498"/>
        <item x="1487"/>
        <item x="1488"/>
        <item x="1461"/>
        <item x="1458"/>
        <item x="1460"/>
        <item x="1342"/>
        <item x="1339"/>
        <item x="1449"/>
        <item x="1025"/>
        <item x="387"/>
        <item x="374"/>
        <item x="345"/>
        <item x="390"/>
        <item x="386"/>
        <item x="389"/>
        <item x="34"/>
        <item x="856"/>
        <item x="859"/>
        <item x="861"/>
        <item x="868"/>
        <item x="847"/>
        <item x="849"/>
        <item x="839"/>
        <item x="844"/>
        <item x="657"/>
        <item x="637"/>
        <item x="647"/>
        <item x="310"/>
        <item x="296"/>
        <item x="15"/>
        <item x="2440"/>
        <item x="1642"/>
        <item x="1463"/>
        <item x="1503"/>
        <item x="980"/>
        <item x="1176"/>
        <item x="2223"/>
        <item x="348"/>
        <item x="488"/>
        <item x="1178"/>
        <item x="1095"/>
        <item x="1096"/>
        <item x="1051"/>
        <item x="1957"/>
        <item x="966"/>
        <item x="321"/>
        <item x="1237"/>
        <item x="821"/>
        <item x="1744"/>
        <item x="1674"/>
        <item x="1343"/>
        <item x="1168"/>
        <item x="1171"/>
        <item x="1346"/>
        <item x="2323"/>
        <item x="1742"/>
        <item x="2325"/>
        <item x="1741"/>
        <item x="2334"/>
        <item x="1745"/>
        <item x="1740"/>
        <item x="1591"/>
        <item x="1163"/>
        <item x="1421"/>
        <item x="2324"/>
        <item x="1973"/>
        <item x="1946"/>
        <item x="1899"/>
        <item x="826"/>
        <item x="1422"/>
        <item x="1336"/>
        <item x="665"/>
        <item x="946"/>
        <item x="494"/>
        <item x="612"/>
        <item x="290"/>
        <item x="333"/>
        <item x="260"/>
        <item x="232"/>
        <item x="233"/>
        <item x="161"/>
        <item x="1020"/>
        <item x="1229"/>
        <item x="2387"/>
        <item x="2434"/>
        <item x="2439"/>
        <item x="2436"/>
        <item x="2437"/>
        <item x="2441"/>
        <item x="2442"/>
        <item x="2443"/>
        <item x="2433"/>
        <item x="2435"/>
        <item x="2395"/>
        <item x="2492"/>
        <item x="2444"/>
        <item x="2432"/>
        <item x="2431"/>
        <item x="2329"/>
        <item x="2339"/>
        <item x="2326"/>
        <item x="2221"/>
        <item x="2184"/>
        <item x="2125"/>
        <item x="2124"/>
        <item x="1977"/>
        <item x="1944"/>
        <item x="2017"/>
        <item x="2119"/>
        <item x="1779"/>
        <item x="1848"/>
        <item x="833"/>
        <item x="836"/>
        <item x="1870"/>
        <item x="1592"/>
        <item x="1860"/>
        <item x="1580"/>
        <item x="1859"/>
        <item x="1208"/>
        <item x="1852"/>
        <item x="1871"/>
        <item x="2120"/>
        <item x="2098"/>
        <item x="1014"/>
        <item x="1016"/>
        <item x="1019"/>
        <item x="1519"/>
        <item x="1766"/>
        <item x="1906"/>
        <item x="1877"/>
        <item x="1011"/>
        <item x="1009"/>
        <item x="1000"/>
        <item x="1001"/>
        <item x="999"/>
        <item x="1008"/>
        <item x="1006"/>
        <item x="998"/>
        <item x="1003"/>
        <item x="623"/>
        <item x="621"/>
        <item x="618"/>
        <item x="1002"/>
        <item x="1923"/>
        <item x="1104"/>
        <item x="1560"/>
        <item x="1554"/>
        <item x="1552"/>
        <item x="1558"/>
        <item x="811"/>
        <item x="1974"/>
        <item x="1462"/>
        <item x="1916"/>
        <item x="1540"/>
        <item x="1922"/>
        <item x="1557"/>
        <item x="1420"/>
        <item x="1402"/>
        <item x="1401"/>
        <item x="1400"/>
        <item x="1389"/>
        <item x="1345"/>
        <item x="1284"/>
        <item x="1255"/>
        <item x="1254"/>
        <item x="1067"/>
        <item x="322"/>
        <item x="950"/>
        <item x="588"/>
        <item x="582"/>
        <item x="586"/>
        <item x="397"/>
        <item x="794"/>
        <item x="785"/>
        <item x="784"/>
        <item x="643"/>
        <item x="743"/>
        <item x="587"/>
        <item x="293"/>
        <item x="230"/>
        <item x="271"/>
        <item x="234"/>
        <item x="263"/>
        <item x="91"/>
        <item x="221"/>
        <item x="74"/>
        <item x="16"/>
        <item x="14"/>
        <item x="23"/>
        <item x="21"/>
        <item x="20"/>
        <item x="13"/>
        <item x="7"/>
        <item x="3"/>
        <item x="1"/>
        <item x="0"/>
        <item x="679"/>
        <item x="528"/>
        <item x="2123"/>
        <item x="2483"/>
        <item x="1530"/>
        <item x="1874"/>
        <item x="1873"/>
        <item x="2266"/>
        <item x="2410"/>
        <item x="2265"/>
        <item x="2264"/>
        <item x="887"/>
        <item x="889"/>
        <item x="886"/>
        <item x="888"/>
        <item x="1202"/>
        <item x="885"/>
        <item x="1528"/>
        <item x="891"/>
        <item x="133"/>
        <item x="45"/>
        <item x="46"/>
        <item x="66"/>
        <item x="80"/>
        <item x="1214"/>
        <item x="653"/>
        <item x="788"/>
        <item x="469"/>
        <item x="470"/>
        <item x="167"/>
        <item x="1812"/>
        <item x="1808"/>
        <item x="1813"/>
        <item x="1809"/>
        <item x="2379"/>
        <item x="2378"/>
        <item x="2238"/>
        <item x="2291"/>
        <item x="1602"/>
        <item x="2283"/>
        <item x="2278"/>
        <item x="2276"/>
        <item x="2275"/>
        <item x="2277"/>
        <item x="1650"/>
        <item x="1651"/>
        <item x="1653"/>
        <item x="1391"/>
        <item x="1663"/>
        <item x="2046"/>
        <item x="1534"/>
        <item x="1094"/>
        <item x="1245"/>
        <item x="1845"/>
        <item x="1924"/>
        <item x="1925"/>
        <item x="1926"/>
        <item x="1382"/>
        <item x="1385"/>
        <item x="505"/>
        <item x="619"/>
        <item x="1285"/>
        <item x="834"/>
        <item x="1506"/>
        <item x="817"/>
        <item x="1213"/>
        <item x="1294"/>
        <item x="1426"/>
        <item x="711"/>
        <item x="796"/>
        <item x="1283"/>
        <item x="713"/>
        <item x="1276"/>
        <item x="1282"/>
        <item x="1279"/>
        <item x="1057"/>
        <item x="989"/>
        <item x="659"/>
        <item x="992"/>
        <item x="995"/>
        <item x="994"/>
        <item x="1047"/>
        <item x="1046"/>
        <item x="1048"/>
        <item x="1056"/>
        <item x="1052"/>
        <item x="937"/>
        <item x="954"/>
        <item x="535"/>
        <item x="493"/>
        <item x="480"/>
        <item x="184"/>
        <item x="462"/>
        <item x="461"/>
        <item x="163"/>
        <item x="177"/>
        <item x="266"/>
        <item x="157"/>
        <item x="186"/>
        <item x="439"/>
        <item x="419"/>
        <item x="215"/>
        <item x="122"/>
        <item x="71"/>
        <item x="26"/>
        <item x="19"/>
        <item x="69"/>
        <item x="564"/>
        <item x="1124"/>
        <item x="2317"/>
        <item x="2316"/>
        <item x="871"/>
        <item x="864"/>
        <item x="1080"/>
        <item x="1158"/>
        <item x="2374"/>
        <item x="2375"/>
        <item x="2376"/>
        <item x="1439"/>
        <item x="1435"/>
        <item x="1438"/>
        <item x="1433"/>
        <item x="1399"/>
        <item x="1310"/>
        <item x="797"/>
        <item x="1159"/>
        <item x="402"/>
        <item x="64"/>
        <item x="62"/>
        <item x="1987"/>
        <item x="1982"/>
        <item x="1990"/>
        <item x="1981"/>
        <item x="1991"/>
        <item x="1984"/>
        <item x="1994"/>
        <item x="1962"/>
        <item x="2015"/>
        <item x="1955"/>
        <item x="1305"/>
        <item x="303"/>
        <item x="316"/>
        <item x="1537"/>
        <item x="1071"/>
        <item x="368"/>
        <item x="51"/>
        <item x="486"/>
        <item x="487"/>
        <item x="1539"/>
        <item x="304"/>
        <item x="1055"/>
        <item x="2414"/>
        <item x="986"/>
        <item x="2419"/>
        <item x="2064"/>
        <item x="2096"/>
        <item x="2340"/>
        <item x="2016"/>
        <item x="1999"/>
        <item x="2003"/>
        <item x="2000"/>
        <item x="1979"/>
        <item x="1992"/>
        <item x="2144"/>
        <item x="1989"/>
        <item x="1963"/>
        <item x="1964"/>
        <item x="2013"/>
        <item x="2081"/>
        <item x="2203"/>
        <item x="2204"/>
        <item x="1476"/>
        <item x="1475"/>
        <item x="222"/>
        <item x="1897"/>
        <item x="1898"/>
        <item x="902"/>
        <item x="699"/>
        <item x="2113"/>
        <item x="2114"/>
        <item x="2112"/>
        <item x="2205"/>
        <item x="2428"/>
        <item x="2011"/>
        <item x="2014"/>
        <item x="2012"/>
        <item x="1978"/>
        <item x="1961"/>
        <item x="1434"/>
        <item x="2463"/>
        <item x="2464"/>
        <item x="975"/>
        <item x="976"/>
        <item x="977"/>
        <item x="974"/>
        <item x="1278"/>
        <item x="1280"/>
        <item x="1281"/>
        <item x="1119"/>
        <item x="1118"/>
        <item x="906"/>
        <item x="597"/>
        <item x="275"/>
        <item x="27"/>
        <item x="265"/>
        <item x="146"/>
        <item x="286"/>
        <item x="124"/>
        <item x="181"/>
        <item x="2217"/>
        <item x="2063"/>
        <item x="1960"/>
        <item x="1682"/>
        <item x="1690"/>
        <item x="1545"/>
        <item x="822"/>
        <item x="1451"/>
        <item x="1242"/>
        <item x="749"/>
        <item x="774"/>
        <item x="559"/>
        <item x="115"/>
        <item x="123"/>
        <item x="355"/>
        <item x="997"/>
        <item x="1795"/>
        <item x="1268"/>
        <item x="1131"/>
        <item x="1137"/>
        <item x="1135"/>
        <item x="1136"/>
        <item x="1134"/>
        <item x="1683"/>
        <item x="969"/>
        <item x="2260"/>
        <item x="1344"/>
        <item x="1236"/>
        <item x="2002"/>
        <item x="1369"/>
        <item x="1993"/>
        <item x="1910"/>
        <item x="211"/>
        <item x="594"/>
        <item x="593"/>
        <item x="560"/>
        <item x="1876"/>
        <item x="1875"/>
        <item x="491"/>
        <item x="492"/>
        <item x="813"/>
        <item x="1116"/>
        <item x="1117"/>
        <item x="627"/>
        <item x="799"/>
        <item x="720"/>
        <item x="550"/>
        <item x="375"/>
        <item x="549"/>
        <item x="22"/>
        <item x="2178"/>
        <item x="2359"/>
        <item x="1824"/>
        <item x="2489"/>
        <item x="2493"/>
        <item x="2488"/>
        <item x="2494"/>
        <item x="2330"/>
        <item x="1833"/>
        <item x="2423"/>
        <item x="609"/>
        <item x="1196"/>
        <item x="2255"/>
        <item x="605"/>
        <item x="1075"/>
        <item x="615"/>
        <item x="598"/>
        <item x="613"/>
        <item x="602"/>
        <item x="603"/>
        <item x="940"/>
        <item x="761"/>
        <item x="616"/>
        <item x="2403"/>
        <item x="1976"/>
        <item x="1034"/>
        <item x="2296"/>
        <item x="2137"/>
        <item x="1431"/>
        <item x="1437"/>
        <item x="719"/>
        <item x="2349"/>
        <item x="1072"/>
        <item x="1748"/>
        <item x="2377"/>
        <item x="1792"/>
        <item x="1200"/>
        <item x="1831"/>
        <item x="1636"/>
        <item x="1706"/>
        <item x="1975"/>
        <item x="2029"/>
        <item x="2010"/>
        <item x="2060"/>
        <item x="677"/>
        <item x="2107"/>
        <item x="601"/>
        <item x="600"/>
        <item x="599"/>
        <item x="2182"/>
        <item x="2271"/>
        <item x="723"/>
        <item x="614"/>
        <item x="1199"/>
        <item x="771"/>
        <item x="772"/>
        <item x="1125"/>
        <item x="1797"/>
        <item x="1798"/>
        <item x="2399"/>
        <item x="731"/>
        <item x="747"/>
        <item x="740"/>
        <item x="2297"/>
        <item x="841"/>
        <item x="2361"/>
        <item x="764"/>
        <item x="737"/>
        <item x="759"/>
        <item x="1219"/>
        <item x="2319"/>
        <item x="2344"/>
        <item x="2089"/>
        <item x="2194"/>
        <item x="452"/>
        <item x="458"/>
        <item x="569"/>
        <item x="2165"/>
        <item x="1787"/>
        <item x="508"/>
        <item x="543"/>
        <item x="465"/>
        <item x="2074"/>
        <item x="555"/>
        <item x="568"/>
        <item x="546"/>
        <item x="556"/>
        <item x="281"/>
        <item x="287"/>
        <item x="567"/>
        <item x="552"/>
        <item x="2095"/>
        <item x="2197"/>
        <item x="1066"/>
        <item x="2195"/>
        <item x="1183"/>
        <item x="551"/>
        <item x="309"/>
        <item x="561"/>
        <item x="563"/>
        <item x="2218"/>
        <item x="2179"/>
        <item x="2127"/>
        <item x="2198"/>
        <item x="2216"/>
        <item x="2192"/>
        <item x="2193"/>
        <item x="2196"/>
        <item x="2251"/>
        <item x="2187"/>
        <item x="2228"/>
        <item x="1783"/>
        <item x="2108"/>
        <item x="2070"/>
        <item x="1755"/>
        <item x="1691"/>
        <item x="1693"/>
        <item x="1688"/>
        <item x="1689"/>
        <item x="1531"/>
        <item x="2237"/>
        <item x="1988"/>
        <item x="1694"/>
        <item x="1692"/>
        <item x="1701"/>
        <item x="2057"/>
        <item x="1972"/>
        <item x="2052"/>
        <item x="2035"/>
        <item x="2031"/>
        <item x="1703"/>
        <item x="1959"/>
        <item x="1907"/>
        <item x="1890"/>
        <item x="1893"/>
        <item x="1902"/>
        <item x="1901"/>
        <item x="1886"/>
        <item x="1881"/>
        <item x="1878"/>
        <item x="1699"/>
        <item x="1697"/>
        <item x="1696"/>
        <item x="1772"/>
        <item x="1749"/>
        <item x="1398"/>
        <item x="1397"/>
        <item x="1723"/>
        <item x="1730"/>
        <item x="1484"/>
        <item x="1747"/>
        <item x="1729"/>
        <item x="1695"/>
        <item x="1698"/>
        <item x="1700"/>
        <item x="1705"/>
        <item x="1702"/>
        <item x="1672"/>
        <item x="1627"/>
        <item x="1675"/>
        <item x="1643"/>
        <item x="1670"/>
        <item x="1669"/>
        <item x="1665"/>
        <item x="1492"/>
        <item x="1632"/>
        <item x="1622"/>
        <item x="1614"/>
        <item x="1590"/>
        <item x="1586"/>
        <item x="1589"/>
        <item x="1576"/>
        <item x="1575"/>
        <item x="1567"/>
        <item x="1106"/>
        <item x="1525"/>
        <item x="1450"/>
        <item x="1405"/>
        <item x="1416"/>
        <item x="1413"/>
        <item x="1105"/>
        <item x="1114"/>
        <item x="1394"/>
        <item x="1299"/>
        <item x="323"/>
        <item x="324"/>
        <item x="373"/>
        <item x="388"/>
        <item x="279"/>
        <item x="280"/>
        <item x="299"/>
        <item x="484"/>
        <item x="483"/>
        <item x="1039"/>
        <item x="1037"/>
        <item x="1038"/>
        <item x="1040"/>
        <item x="1044"/>
        <item x="300"/>
        <item x="1356"/>
        <item x="441"/>
        <item x="325"/>
        <item x="996"/>
        <item x="967"/>
        <item x="971"/>
        <item x="542"/>
        <item x="317"/>
        <item x="1042"/>
        <item x="534"/>
        <item x="1377"/>
        <item x="1043"/>
        <item x="529"/>
        <item x="1036"/>
        <item x="1058"/>
        <item x="1054"/>
        <item x="447"/>
        <item x="1350"/>
        <item x="253"/>
        <item x="1347"/>
        <item x="1379"/>
        <item x="235"/>
        <item x="1380"/>
        <item x="827"/>
        <item x="972"/>
        <item x="848"/>
        <item x="934"/>
        <item x="1359"/>
        <item x="1288"/>
        <item x="532"/>
        <item x="1064"/>
        <item x="918"/>
        <item x="434"/>
        <item x="435"/>
        <item x="445"/>
        <item x="400"/>
        <item x="860"/>
        <item x="515"/>
        <item x="520"/>
        <item x="805"/>
        <item x="525"/>
        <item x="880"/>
        <item x="928"/>
        <item x="877"/>
        <item x="815"/>
        <item x="751"/>
        <item x="732"/>
        <item x="736"/>
        <item x="639"/>
        <item x="790"/>
        <item x="750"/>
        <item x="748"/>
        <item x="741"/>
        <item x="745"/>
        <item x="718"/>
        <item x="704"/>
        <item x="709"/>
        <item x="624"/>
        <item x="521"/>
        <item x="398"/>
        <item x="236"/>
        <item x="154"/>
        <item x="189"/>
        <item x="116"/>
        <item x="48"/>
        <item x="47"/>
        <item x="104"/>
        <item x="164"/>
        <item x="175"/>
        <item x="169"/>
        <item x="37"/>
        <item x="1297"/>
        <item x="1331"/>
        <item x="138"/>
        <item x="1012"/>
        <item x="675"/>
        <item x="1172"/>
        <item x="2476"/>
        <item x="1805"/>
        <item x="2491"/>
        <item x="1776"/>
        <item x="174"/>
        <item x="79"/>
        <item x="2093"/>
        <item x="738"/>
        <item x="2075"/>
        <item x="2024"/>
        <item x="1641"/>
        <item x="1210"/>
        <item x="1504"/>
        <item x="2180"/>
        <item x="1770"/>
        <item x="1767"/>
        <item x="2398"/>
        <item x="2254"/>
        <item x="1167"/>
        <item x="1736"/>
        <item x="1408"/>
        <item x="1968"/>
        <item x="1407"/>
        <item x="1393"/>
        <item x="538"/>
        <item x="463"/>
        <item x="476"/>
        <item x="1005"/>
        <item x="219"/>
        <item x="1108"/>
        <item x="938"/>
        <item x="257"/>
        <item x="251"/>
        <item x="252"/>
        <item x="878"/>
        <item x="1388"/>
        <item x="1390"/>
        <item x="1863"/>
        <item x="2471"/>
        <item x="1626"/>
        <item x="1624"/>
        <item x="1647"/>
        <item x="2215"/>
        <item x="2371"/>
        <item x="965"/>
        <item x="2236"/>
        <item x="1785"/>
        <item x="1913"/>
        <item x="852"/>
        <item x="1241"/>
        <item x="2073"/>
        <item x="1146"/>
        <item x="850"/>
        <item x="2067"/>
        <item x="2066"/>
        <item x="2068"/>
        <item x="1756"/>
        <item x="1656"/>
        <item x="1456"/>
        <item x="1455"/>
        <item x="1454"/>
        <item x="1452"/>
        <item x="1566"/>
        <item x="734"/>
        <item x="610"/>
        <item x="666"/>
        <item x="710"/>
        <item x="268"/>
        <item x="340"/>
        <item x="363"/>
        <item x="527"/>
        <item x="742"/>
        <item x="2045"/>
        <item x="824"/>
        <item x="2286"/>
        <item x="42"/>
        <item x="2282"/>
        <item x="1508"/>
        <item x="2229"/>
        <item x="1333"/>
        <item x="2101"/>
        <item x="2103"/>
        <item x="2104"/>
        <item x="2100"/>
        <item x="1668"/>
        <item x="1269"/>
        <item x="1410"/>
        <item x="126"/>
        <item x="1220"/>
        <item x="867"/>
        <item x="1189"/>
        <item x="1185"/>
        <item x="1188"/>
        <item x="1100"/>
        <item x="1099"/>
        <item x="697"/>
        <item x="680"/>
        <item x="514"/>
        <item x="1598"/>
        <item x="1596"/>
        <item x="1630"/>
        <item x="802"/>
        <item x="1773"/>
        <item x="2025"/>
        <item x="1600"/>
        <item x="776"/>
        <item x="1597"/>
        <item x="1605"/>
        <item x="1872"/>
        <item x="1604"/>
        <item x="1603"/>
        <item x="1097"/>
        <item x="1329"/>
        <item x="262"/>
        <item x="242"/>
        <item x="636"/>
        <item x="1713"/>
        <item x="172"/>
        <item x="1715"/>
        <item x="85"/>
        <item x="259"/>
        <item x="1289"/>
        <item x="752"/>
        <item x="754"/>
        <item x="753"/>
        <item x="2235"/>
        <item x="652"/>
        <item x="1355"/>
        <item x="2019"/>
        <item x="1662"/>
        <item x="1658"/>
        <item x="2301"/>
        <item x="1376"/>
        <item x="2485"/>
        <item x="1290"/>
        <item x="1357"/>
        <item x="1353"/>
        <item x="1352"/>
        <item x="1375"/>
        <item x="2128"/>
        <item x="1995"/>
        <item x="1481"/>
        <item x="1354"/>
        <item x="1321"/>
        <item x="1261"/>
        <item x="674"/>
        <item x="70"/>
        <item x="289"/>
        <item x="283"/>
        <item x="119"/>
        <item x="120"/>
        <item x="117"/>
        <item x="118"/>
        <item x="853"/>
        <item x="2473"/>
        <item x="530"/>
        <item x="1807"/>
        <item x="451"/>
        <item x="1568"/>
        <item x="2200"/>
        <item x="2202"/>
        <item x="2199"/>
        <item x="2201"/>
        <item x="1423"/>
        <item x="1224"/>
        <item x="1511"/>
        <item x="1512"/>
        <item x="2056"/>
        <item x="1510"/>
        <item x="1509"/>
        <item x="523"/>
        <item x="1287"/>
        <item x="1514"/>
        <item x="1505"/>
        <item x="1513"/>
        <item x="1735"/>
        <item x="1184"/>
        <item x="1880"/>
        <item x="1864"/>
        <item x="1905"/>
        <item x="1364"/>
        <item x="1010"/>
        <item x="857"/>
        <item x="858"/>
        <item x="870"/>
        <item x="1850"/>
        <item x="11"/>
        <item x="670"/>
        <item x="522"/>
        <item x="1652"/>
        <item x="1826"/>
        <item x="2302"/>
        <item x="383"/>
        <item x="630"/>
        <item x="649"/>
        <item x="570"/>
        <item x="1536"/>
        <item x="1464"/>
        <item x="1147"/>
        <item x="1986"/>
        <item x="758"/>
        <item x="818"/>
        <item x="1983"/>
        <item x="1418"/>
        <item x="1338"/>
        <item x="1175"/>
        <item x="809"/>
        <item x="1814"/>
        <item x="1849"/>
        <item x="2341"/>
        <item x="464"/>
        <item x="1148"/>
        <item x="1827"/>
        <item x="2299"/>
        <item x="2272"/>
        <item x="2269"/>
        <item x="1378"/>
        <item x="611"/>
        <item x="1187"/>
        <item x="536"/>
        <item x="2142"/>
        <item x="2141"/>
        <item x="1180"/>
        <item x="1179"/>
        <item x="1474"/>
        <item x="2354"/>
        <item x="526"/>
        <item x="2086"/>
        <item x="2088"/>
        <item x="2087"/>
        <item x="2085"/>
        <item x="2080"/>
        <item x="2083"/>
        <item x="2082"/>
        <item x="2116"/>
        <item x="2115"/>
        <item x="1173"/>
        <item x="2250"/>
        <item x="223"/>
        <item x="1085"/>
        <item x="2258"/>
        <item x="2109"/>
        <item x="1070"/>
        <item x="2110"/>
        <item x="2105"/>
        <item x="2079"/>
        <item x="1932"/>
        <item x="1480"/>
        <item x="1894"/>
        <item x="1762"/>
        <item x="1417"/>
        <item x="531"/>
        <item x="982"/>
        <item x="43"/>
        <item x="113"/>
        <item x="105"/>
        <item x="109"/>
        <item x="107"/>
        <item x="108"/>
        <item x="110"/>
        <item x="106"/>
        <item x="101"/>
        <item x="1553"/>
        <item x="2327"/>
        <item x="2496"/>
        <item x="267"/>
        <item x="202"/>
        <item x="931"/>
        <item x="1244"/>
        <item x="1966"/>
        <item x="284"/>
        <item x="153"/>
        <item x="1153"/>
        <item x="507"/>
        <item x="622"/>
        <item x="2121"/>
        <item x="2206"/>
        <item x="2092"/>
        <item x="1232"/>
        <item x="2248"/>
        <item x="2249"/>
        <item x="366"/>
        <item x="843"/>
        <item x="1227"/>
        <item x="1017"/>
        <item x="872"/>
        <item x="502"/>
        <item x="503"/>
        <item x="501"/>
        <item x="457"/>
        <item x="326"/>
        <item x="1791"/>
        <item x="2053"/>
        <item x="1866"/>
        <item x="1869"/>
        <item x="1465"/>
        <item x="1858"/>
        <item x="1612"/>
        <item x="1733"/>
        <item x="814"/>
        <item x="1212"/>
        <item x="1429"/>
        <item x="1323"/>
        <item x="1326"/>
        <item x="1324"/>
        <item x="1325"/>
        <item x="1322"/>
        <item x="964"/>
        <item x="130"/>
        <item x="1253"/>
        <item x="313"/>
        <item x="140"/>
        <item x="312"/>
        <item x="205"/>
        <item x="1306"/>
        <item x="297"/>
        <item x="139"/>
        <item x="148"/>
        <item x="149"/>
        <item x="141"/>
        <item x="1349"/>
        <item x="1335"/>
        <item x="1251"/>
        <item x="1250"/>
        <item x="1249"/>
        <item x="1205"/>
        <item x="1206"/>
        <item x="25"/>
        <item x="832"/>
        <item x="755"/>
        <item x="691"/>
        <item x="634"/>
        <item x="2389"/>
        <item x="1704"/>
        <item x="823"/>
        <item x="1500"/>
        <item x="1739"/>
        <item x="2452"/>
        <item x="2426"/>
        <item x="2422"/>
        <item x="2420"/>
        <item x="2421"/>
        <item x="935"/>
        <item x="2280"/>
        <item x="1024"/>
        <item x="1013"/>
        <item x="1050"/>
        <item x="1018"/>
        <item x="1021"/>
        <item x="2315"/>
        <item x="2314"/>
        <item x="1406"/>
        <item x="1548"/>
        <item x="916"/>
        <item x="1086"/>
        <item x="2188"/>
        <item x="2186"/>
        <item x="1101"/>
        <item x="2246"/>
        <item x="2372"/>
        <item x="2370"/>
        <item x="2369"/>
        <item x="1844"/>
        <item x="1161"/>
        <item x="2466"/>
        <item x="544"/>
        <item x="1721"/>
        <item x="1547"/>
        <item x="1059"/>
        <item x="769"/>
        <item x="2170"/>
        <item x="690"/>
        <item x="248"/>
        <item x="426"/>
        <item x="2167"/>
        <item x="2027"/>
        <item x="1980"/>
        <item x="1887"/>
        <item x="1884"/>
        <item x="129"/>
        <item x="1507"/>
        <item x="1252"/>
        <item x="768"/>
        <item x="2320"/>
        <item x="2051"/>
        <item x="330"/>
        <item x="168"/>
        <item x="1895"/>
        <item x="1062"/>
        <item x="798"/>
        <item x="1218"/>
        <item x="1752"/>
        <item x="1801"/>
        <item x="1395"/>
        <item x="1541"/>
        <item x="1143"/>
        <item x="1491"/>
        <item x="1490"/>
        <item x="311"/>
        <item x="437"/>
        <item x="1109"/>
        <item x="432"/>
        <item x="151"/>
        <item x="224"/>
        <item x="984"/>
        <item x="963"/>
        <item x="808"/>
        <item x="786"/>
        <item x="196"/>
        <item x="2490"/>
        <item x="511"/>
        <item x="1084"/>
        <item x="2172"/>
        <item x="920"/>
        <item x="1673"/>
        <item x="2001"/>
        <item x="2154"/>
        <item x="2162"/>
        <item x="1361"/>
        <item x="1363"/>
        <item x="1362"/>
        <item x="658"/>
        <item x="1447"/>
        <item x="1366"/>
        <item x="1368"/>
        <item x="1367"/>
        <item x="2099"/>
        <item x="1889"/>
        <item x="1291"/>
        <item x="1292"/>
        <item x="1300"/>
        <item x="1309"/>
        <item x="1307"/>
        <item x="1301"/>
        <item x="1308"/>
        <item x="1302"/>
        <item x="474"/>
        <item x="497"/>
        <item x="255"/>
        <item x="399"/>
        <item x="1720"/>
        <item x="2498"/>
        <item x="384"/>
        <item x="1526"/>
        <item x="1667"/>
        <item x="1186"/>
        <item x="2062"/>
        <item x="1967"/>
        <item x="895"/>
        <item x="1661"/>
        <item x="1041"/>
        <item x="1483"/>
        <item x="993"/>
        <item x="394"/>
        <item x="541"/>
        <item x="490"/>
        <item x="371"/>
        <item x="264"/>
        <item x="243"/>
        <item x="500"/>
        <item x="506"/>
        <item x="158"/>
        <item x="32"/>
        <item x="1060"/>
        <item x="1061"/>
        <item x="2161"/>
        <item x="2153"/>
        <item x="2164"/>
        <item x="2139"/>
        <item x="2130"/>
        <item x="2129"/>
        <item x="178"/>
        <item x="188"/>
        <item x="1778"/>
        <item x="392"/>
        <item x="2048"/>
        <item x="978"/>
        <item x="830"/>
        <item x="393"/>
        <item x="185"/>
        <item x="816"/>
        <item x="112"/>
        <item x="2273"/>
        <item x="2225"/>
        <item x="2224"/>
        <item x="2407"/>
        <item x="735"/>
        <item x="1035"/>
        <item x="307"/>
        <item x="246"/>
        <item x="4"/>
        <item x="241"/>
        <item x="2252"/>
        <item x="1648"/>
        <item x="1569"/>
        <item x="1430"/>
        <item x="1477"/>
        <item x="1479"/>
        <item x="873"/>
        <item x="2240"/>
        <item x="863"/>
        <item x="875"/>
        <item x="862"/>
        <item x="866"/>
        <item x="678"/>
        <item x="305"/>
        <item x="467"/>
        <item x="1113"/>
        <item x="2438"/>
        <item x="1295"/>
        <item x="1234"/>
        <item x="1373"/>
        <item x="2140"/>
        <item x="990"/>
        <item x="991"/>
        <item x="1022"/>
        <item x="2055"/>
        <item x="282"/>
        <item x="1004"/>
        <item x="1007"/>
        <item x="962"/>
        <item x="973"/>
        <item x="1855"/>
        <item x="1370"/>
        <item x="1381"/>
        <item x="837"/>
        <item x="923"/>
        <item x="913"/>
        <item x="562"/>
        <item x="430"/>
        <item x="646"/>
        <item x="2231"/>
        <item x="1428"/>
        <item x="1432"/>
        <item x="1427"/>
        <item x="897"/>
        <item x="1425"/>
        <item x="125"/>
        <item x="1201"/>
        <item x="30"/>
        <item x="2181"/>
        <item x="50"/>
        <item x="90"/>
        <item x="1892"/>
        <item x="76"/>
        <item x="72"/>
        <item x="81"/>
        <item x="78"/>
        <item x="92"/>
        <item x="1843"/>
        <item x="1215"/>
        <item x="99"/>
        <item x="131"/>
        <item x="2348"/>
        <item x="1157"/>
        <item x="1564"/>
        <item x="1486"/>
        <item x="86"/>
        <item x="2293"/>
        <item x="1686"/>
        <item x="1738"/>
        <item x="1681"/>
        <item x="1679"/>
        <item x="1684"/>
        <item x="1685"/>
        <item x="2267"/>
        <item x="2185"/>
        <item x="1092"/>
        <item x="1093"/>
        <item x="1089"/>
        <item x="1090"/>
        <item x="1851"/>
        <item x="83"/>
        <item x="359"/>
        <item x="77"/>
        <item x="472"/>
        <item x="2069"/>
        <item x="1649"/>
        <item x="1045"/>
        <item x="1861"/>
        <item x="114"/>
        <item x="1610"/>
        <item x="1611"/>
        <item x="1607"/>
        <item x="1621"/>
        <item x="1617"/>
        <item x="1618"/>
        <item x="1609"/>
        <item x="1615"/>
        <item x="1606"/>
        <item x="1535"/>
        <item x="620"/>
        <item x="1230"/>
        <item x="1654"/>
        <item x="1515"/>
        <item x="1562"/>
        <item x="1725"/>
        <item x="1262"/>
        <item x="865"/>
        <item x="739"/>
        <item x="412"/>
        <item x="431"/>
        <item x="410"/>
        <item x="409"/>
        <item x="411"/>
        <item x="421"/>
        <item x="408"/>
        <item x="414"/>
        <item x="413"/>
        <item x="415"/>
        <item x="417"/>
        <item x="429"/>
        <item x="424"/>
        <item x="420"/>
        <item x="428"/>
        <item x="422"/>
        <item x="423"/>
        <item x="1140"/>
        <item x="1129"/>
        <item x="1138"/>
        <item x="1144"/>
        <item x="1830"/>
        <item x="1949"/>
        <item x="1948"/>
        <item x="1947"/>
        <item x="1415"/>
        <item x="1930"/>
        <item x="1929"/>
        <item x="1928"/>
        <item x="2126"/>
        <item x="1761"/>
        <item x="1765"/>
        <item x="631"/>
        <item x="1581"/>
        <item x="1409"/>
        <item x="418"/>
        <item x="1142"/>
        <item x="162"/>
        <item x="1714"/>
        <item x="1953"/>
        <item x="1601"/>
        <item x="2169"/>
        <item x="2117"/>
        <item x="2168"/>
        <item x="1551"/>
        <item x="1570"/>
        <item x="2402"/>
        <item x="1943"/>
        <item x="1828"/>
        <item x="1847"/>
        <item x="1571"/>
        <item x="1774"/>
        <item x="1583"/>
        <item x="1565"/>
        <item x="1620"/>
        <item x="1577"/>
        <item x="1595"/>
        <item x="1631"/>
        <item x="1628"/>
        <item x="1784"/>
        <item x="1639"/>
        <item x="1634"/>
        <item x="1635"/>
        <item x="1958"/>
        <item x="1942"/>
        <item x="2373"/>
        <item x="2175"/>
        <item x="1865"/>
        <item x="1912"/>
        <item x="2183"/>
        <item x="2021"/>
        <item x="2149"/>
        <item x="2171"/>
        <item x="1758"/>
        <item x="2342"/>
        <item x="2482"/>
        <item x="2479"/>
        <item x="2481"/>
        <item x="2478"/>
        <item x="2406"/>
        <item x="2404"/>
        <item x="2405"/>
        <item x="1392"/>
        <item x="1550"/>
        <item x="2006"/>
        <item x="1746"/>
        <item x="2059"/>
        <item x="1195"/>
        <item x="2336"/>
        <item x="2222"/>
        <item x="1275"/>
        <item x="1257"/>
        <item x="1489"/>
        <item x="1467"/>
        <item x="1315"/>
        <item x="1529"/>
        <item x="1517"/>
        <item x="1727"/>
        <item x="1737"/>
        <item x="2284"/>
        <item x="2230"/>
        <item x="2313"/>
        <item x="2214"/>
        <item x="2213"/>
        <item x="2310"/>
        <item x="2307"/>
        <item x="2030"/>
        <item x="2287"/>
        <item x="2209"/>
        <item x="2036"/>
        <item x="2190"/>
        <item x="2189"/>
        <item x="2018"/>
        <item x="1574"/>
        <item x="1659"/>
        <item x="1448"/>
        <item x="1332"/>
        <item x="1330"/>
        <item x="1348"/>
        <item x="1319"/>
        <item x="1387"/>
        <item x="1318"/>
        <item x="1317"/>
        <item x="1304"/>
        <item x="1203"/>
        <item x="537"/>
        <item x="579"/>
        <item x="1111"/>
        <item x="1115"/>
        <item x="1110"/>
        <item x="1107"/>
        <item x="1149"/>
        <item x="1170"/>
        <item x="578"/>
        <item x="416"/>
        <item x="548"/>
        <item x="1133"/>
        <item x="896"/>
        <item x="1078"/>
        <item x="1026"/>
        <item x="957"/>
        <item x="854"/>
        <item x="781"/>
        <item x="791"/>
        <item x="933"/>
        <item x="932"/>
        <item x="925"/>
        <item x="921"/>
        <item x="778"/>
        <item x="876"/>
        <item x="890"/>
        <item x="757"/>
        <item x="874"/>
        <item x="869"/>
        <item x="722"/>
        <item x="669"/>
        <item x="773"/>
        <item x="746"/>
        <item x="650"/>
        <item x="553"/>
        <item x="103"/>
        <item x="471"/>
        <item x="294"/>
        <item x="545"/>
        <item x="227"/>
        <item x="237"/>
        <item x="270"/>
        <item x="269"/>
        <item x="455"/>
        <item x="456"/>
        <item x="170"/>
        <item x="173"/>
        <item x="346"/>
        <item x="380"/>
        <item x="204"/>
        <item x="395"/>
        <item x="378"/>
        <item x="351"/>
        <item x="338"/>
        <item x="349"/>
        <item x="339"/>
        <item x="343"/>
        <item x="342"/>
        <item x="341"/>
        <item x="347"/>
        <item x="369"/>
        <item x="360"/>
        <item x="357"/>
        <item x="362"/>
        <item x="356"/>
        <item x="354"/>
        <item x="361"/>
        <item x="358"/>
        <item x="377"/>
        <item x="152"/>
        <item x="365"/>
        <item x="364"/>
        <item x="194"/>
        <item x="367"/>
        <item x="33"/>
        <item x="53"/>
        <item x="100"/>
        <item x="337"/>
        <item x="1856"/>
        <item x="2177"/>
        <item x="1494"/>
        <item x="524"/>
        <item x="449"/>
        <item x="1063"/>
        <item x="2102"/>
        <item x="2146"/>
        <item x="756"/>
        <item x="292"/>
        <item x="75"/>
        <item x="787"/>
        <item x="1122"/>
        <item x="1164"/>
        <item x="1162"/>
        <item x="1165"/>
        <item x="1775"/>
        <item x="2300"/>
        <item x="2097"/>
        <item x="1633"/>
        <item x="166"/>
        <item x="1150"/>
        <item x="1271"/>
        <item x="1754"/>
        <item x="576"/>
        <item x="1154"/>
        <item x="936"/>
        <item x="245"/>
        <item x="1646"/>
        <item x="899"/>
        <item x="882"/>
        <item x="1372"/>
        <item x="1371"/>
        <item x="1522"/>
        <item x="1521"/>
        <item x="2397"/>
        <item x="956"/>
        <item x="831"/>
        <item x="663"/>
        <item x="513"/>
        <item x="633"/>
        <item x="212"/>
        <item x="2076"/>
        <item x="1151"/>
        <item x="315"/>
        <item x="1340"/>
        <item x="1837"/>
        <item x="1829"/>
        <item x="1835"/>
        <item x="1832"/>
        <item x="2408"/>
        <item x="2409"/>
        <item x="2411"/>
        <item x="1839"/>
        <item x="1838"/>
        <item x="828"/>
        <item x="812"/>
        <item x="810"/>
        <item x="1169"/>
        <item x="696"/>
        <item x="702"/>
        <item x="703"/>
        <item x="301"/>
        <item x="306"/>
        <item x="68"/>
        <item x="425"/>
        <item x="1103"/>
        <item x="156"/>
        <item x="379"/>
        <item x="1191"/>
        <item x="625"/>
        <item x="1360"/>
        <item x="1934"/>
        <item x="1334"/>
        <item x="1793"/>
        <item x="1790"/>
        <item x="2226"/>
        <item t="default" sd="0"/>
      </items>
    </pivotField>
    <pivotField name="뜻" compact="0" outline="0" showAll="0">
      <items count="2429">
        <item x="728"/>
        <item x="835"/>
        <item x="643"/>
        <item x="130"/>
        <item x="1966"/>
        <item x="759"/>
        <item x="84"/>
        <item x="228"/>
        <item x="214"/>
        <item x="1120"/>
        <item x="1034"/>
        <item x="619"/>
        <item x="180"/>
        <item x="235"/>
        <item x="197"/>
        <item x="533"/>
        <item x="1037"/>
        <item x="119"/>
        <item x="128"/>
        <item x="86"/>
        <item x="77"/>
        <item x="190"/>
        <item x="156"/>
        <item x="277"/>
        <item x="275"/>
        <item x="622"/>
        <item x="59"/>
        <item x="2066"/>
        <item x="2064"/>
        <item x="317"/>
        <item x="1561"/>
        <item x="2123"/>
        <item x="2190"/>
        <item x="1548"/>
        <item x="1819"/>
        <item x="1809"/>
        <item x="2286"/>
        <item x="1751"/>
        <item x="2097"/>
        <item x="2391"/>
        <item x="985"/>
        <item x="1962"/>
        <item x="1212"/>
        <item x="1121"/>
        <item x="2181"/>
        <item x="2095"/>
        <item x="949"/>
        <item x="2285"/>
        <item x="1881"/>
        <item x="1897"/>
        <item x="1899"/>
        <item x="1900"/>
        <item x="1956"/>
        <item x="1772"/>
        <item x="1878"/>
        <item x="1674"/>
        <item x="1492"/>
        <item x="1682"/>
        <item x="1743"/>
        <item x="1722"/>
        <item x="1431"/>
        <item x="1489"/>
        <item x="1725"/>
        <item x="1719"/>
        <item x="1693"/>
        <item x="1336"/>
        <item x="1688"/>
        <item x="1690"/>
        <item x="1253"/>
        <item x="1229"/>
        <item x="976"/>
        <item x="293"/>
        <item x="302"/>
        <item x="891"/>
        <item x="940"/>
        <item x="911"/>
        <item x="536"/>
        <item x="398"/>
        <item x="793"/>
        <item x="789"/>
        <item x="553"/>
        <item x="769"/>
        <item x="754"/>
        <item x="753"/>
        <item x="319"/>
        <item x="163"/>
        <item x="689"/>
        <item x="274"/>
        <item x="292"/>
        <item x="53"/>
        <item x="267"/>
        <item x="114"/>
        <item x="104"/>
        <item x="99"/>
        <item x="40"/>
        <item x="334"/>
        <item x="151"/>
        <item x="1419"/>
        <item x="1679"/>
        <item x="573"/>
        <item x="1532"/>
        <item x="2145"/>
        <item x="1578"/>
        <item x="1298"/>
        <item x="2267"/>
        <item x="598"/>
        <item x="2362"/>
        <item x="1398"/>
        <item x="907"/>
        <item x="2100"/>
        <item x="2010"/>
        <item x="1959"/>
        <item x="975"/>
        <item x="1055"/>
        <item x="843"/>
        <item x="318"/>
        <item x="955"/>
        <item x="954"/>
        <item x="702"/>
        <item x="66"/>
        <item x="20"/>
        <item x="549"/>
        <item x="2426"/>
        <item x="371"/>
        <item x="150"/>
        <item x="1353"/>
        <item x="2142"/>
        <item x="1391"/>
        <item x="1925"/>
        <item x="539"/>
        <item x="587"/>
        <item x="1711"/>
        <item x="2169"/>
        <item x="799"/>
        <item x="324"/>
        <item x="36"/>
        <item x="1896"/>
        <item x="795"/>
        <item x="796"/>
        <item x="325"/>
        <item x="288"/>
        <item x="286"/>
        <item x="1077"/>
        <item x="1368"/>
        <item x="2158"/>
        <item x="354"/>
        <item x="1367"/>
        <item x="341"/>
        <item x="1060"/>
        <item x="2153"/>
        <item x="1488"/>
        <item x="2352"/>
        <item x="243"/>
        <item x="1952"/>
        <item x="1207"/>
        <item x="184"/>
        <item x="1822"/>
        <item x="932"/>
        <item x="1248"/>
        <item x="585"/>
        <item x="1257"/>
        <item x="1917"/>
        <item x="356"/>
        <item x="2018"/>
        <item x="2013"/>
        <item x="2379"/>
        <item x="2315"/>
        <item x="1018"/>
        <item x="1955"/>
        <item x="1179"/>
        <item x="383"/>
        <item x="379"/>
        <item x="2129"/>
        <item x="2050"/>
        <item x="1591"/>
        <item x="1051"/>
        <item x="2092"/>
        <item x="2385"/>
        <item x="1286"/>
        <item x="1552"/>
        <item x="2407"/>
        <item x="2266"/>
        <item x="2402"/>
        <item x="2115"/>
        <item x="2170"/>
        <item x="1134"/>
        <item x="1133"/>
        <item x="1728"/>
        <item x="1311"/>
        <item x="1539"/>
        <item x="1686"/>
        <item x="1630"/>
        <item x="1421"/>
        <item x="1769"/>
        <item x="1641"/>
        <item x="2202"/>
        <item x="1603"/>
        <item x="1992"/>
        <item x="899"/>
        <item x="1994"/>
        <item x="1010"/>
        <item x="1874"/>
        <item x="1227"/>
        <item x="909"/>
        <item x="2031"/>
        <item x="1017"/>
        <item x="1619"/>
        <item x="1618"/>
        <item x="2105"/>
        <item x="890"/>
        <item x="1831"/>
        <item x="1823"/>
        <item x="1602"/>
        <item x="923"/>
        <item x="751"/>
        <item x="756"/>
        <item x="518"/>
        <item x="785"/>
        <item x="707"/>
        <item x="424"/>
        <item x="660"/>
        <item x="765"/>
        <item x="351"/>
        <item x="758"/>
        <item x="719"/>
        <item x="717"/>
        <item x="644"/>
        <item x="652"/>
        <item x="651"/>
        <item x="403"/>
        <item x="349"/>
        <item x="314"/>
        <item x="226"/>
        <item x="189"/>
        <item x="0"/>
        <item x="1222"/>
        <item x="1176"/>
        <item x="1223"/>
        <item x="1175"/>
        <item x="600"/>
        <item x="362"/>
        <item x="2027"/>
        <item x="853"/>
        <item x="2200"/>
        <item x="1258"/>
        <item x="1040"/>
        <item x="1922"/>
        <item x="1862"/>
        <item x="1712"/>
        <item x="2248"/>
        <item x="2022"/>
        <item x="1582"/>
        <item x="874"/>
        <item x="1448"/>
        <item x="2413"/>
        <item x="729"/>
        <item x="2398"/>
        <item x="2388"/>
        <item x="2387"/>
        <item x="718"/>
        <item x="1704"/>
        <item x="493"/>
        <item x="1261"/>
        <item x="534"/>
        <item x="169"/>
        <item x="818"/>
        <item x="2040"/>
        <item x="2408"/>
        <item x="779"/>
        <item x="2392"/>
        <item x="1713"/>
        <item x="1459"/>
        <item x="2149"/>
        <item x="1795"/>
        <item x="2229"/>
        <item x="2081"/>
        <item x="2080"/>
        <item x="2084"/>
        <item x="2079"/>
        <item x="1910"/>
        <item x="1976"/>
        <item x="1984"/>
        <item x="1742"/>
        <item x="1986"/>
        <item x="1664"/>
        <item x="1405"/>
        <item x="1154"/>
        <item x="1316"/>
        <item x="443"/>
        <item x="986"/>
        <item x="1297"/>
        <item x="920"/>
        <item x="332"/>
        <item x="579"/>
        <item x="700"/>
        <item x="757"/>
        <item x="501"/>
        <item x="462"/>
        <item x="699"/>
        <item x="217"/>
        <item x="38"/>
        <item x="98"/>
        <item x="2036"/>
        <item x="592"/>
        <item x="554"/>
        <item x="1113"/>
        <item x="637"/>
        <item x="636"/>
        <item x="2155"/>
        <item x="1672"/>
        <item x="2401"/>
        <item x="2400"/>
        <item x="1778"/>
        <item x="2360"/>
        <item x="2318"/>
        <item x="1001"/>
        <item x="1002"/>
        <item x="2130"/>
        <item x="221"/>
        <item x="413"/>
        <item x="410"/>
        <item x="80"/>
        <item x="959"/>
        <item x="1652"/>
        <item x="1386"/>
        <item x="1403"/>
        <item x="1364"/>
        <item x="1246"/>
        <item x="2226"/>
        <item x="2394"/>
        <item x="1200"/>
        <item x="2023"/>
        <item x="1802"/>
        <item x="1206"/>
        <item x="1202"/>
        <item x="2103"/>
        <item x="1294"/>
        <item x="1295"/>
        <item x="1787"/>
        <item x="1720"/>
        <item x="2053"/>
        <item x="2001"/>
        <item x="1961"/>
        <item x="1205"/>
        <item x="1714"/>
        <item x="1418"/>
        <item x="872"/>
        <item x="833"/>
        <item x="1186"/>
        <item x="1677"/>
        <item x="1293"/>
        <item x="1707"/>
        <item x="1598"/>
        <item x="858"/>
        <item x="1473"/>
        <item x="1393"/>
        <item x="948"/>
        <item x="1490"/>
        <item x="1450"/>
        <item x="1052"/>
        <item x="929"/>
        <item x="677"/>
        <item x="836"/>
        <item x="661"/>
        <item x="565"/>
        <item x="495"/>
        <item x="496"/>
        <item x="377"/>
        <item x="264"/>
        <item x="208"/>
        <item x="507"/>
        <item x="505"/>
        <item x="392"/>
        <item x="485"/>
        <item x="504"/>
        <item x="442"/>
        <item x="506"/>
        <item x="456"/>
        <item x="455"/>
        <item x="8"/>
        <item x="1950"/>
        <item x="81"/>
        <item x="774"/>
        <item x="90"/>
        <item x="989"/>
        <item x="2004"/>
        <item x="1735"/>
        <item x="720"/>
        <item x="65"/>
        <item x="723"/>
        <item x="312"/>
        <item x="939"/>
        <item x="977"/>
        <item x="1376"/>
        <item x="97"/>
        <item x="253"/>
        <item x="916"/>
        <item x="2228"/>
        <item x="1852"/>
        <item x="570"/>
        <item x="918"/>
        <item x="569"/>
        <item x="951"/>
        <item x="2347"/>
        <item x="1457"/>
        <item x="1701"/>
        <item x="1519"/>
        <item x="1456"/>
        <item x="1516"/>
        <item x="1969"/>
        <item x="2317"/>
        <item x="2114"/>
        <item x="2068"/>
        <item x="1938"/>
        <item x="1502"/>
        <item x="1066"/>
        <item x="1505"/>
        <item x="1858"/>
        <item x="451"/>
        <item x="543"/>
        <item x="693"/>
        <item x="675"/>
        <item x="446"/>
        <item x="336"/>
        <item x="709"/>
        <item x="1241"/>
        <item x="659"/>
        <item x="640"/>
        <item x="628"/>
        <item x="449"/>
        <item x="202"/>
        <item x="382"/>
        <item x="234"/>
        <item x="107"/>
        <item x="108"/>
        <item x="32"/>
        <item x="538"/>
        <item x="686"/>
        <item x="431"/>
        <item x="2252"/>
        <item x="2088"/>
        <item x="365"/>
        <item x="1042"/>
        <item x="1556"/>
        <item x="1378"/>
        <item x="2294"/>
        <item x="2211"/>
        <item x="1661"/>
        <item x="139"/>
        <item x="1660"/>
        <item x="575"/>
        <item x="2020"/>
        <item x="2192"/>
        <item x="95"/>
        <item x="93"/>
        <item x="92"/>
        <item x="2243"/>
        <item x="1137"/>
        <item x="945"/>
        <item x="944"/>
        <item x="2416"/>
        <item x="1014"/>
        <item x="1015"/>
        <item x="1172"/>
        <item x="1991"/>
        <item x="1843"/>
        <item x="881"/>
        <item x="1805"/>
        <item x="838"/>
        <item x="1754"/>
        <item x="1706"/>
        <item x="749"/>
        <item x="604"/>
        <item x="54"/>
        <item x="291"/>
        <item x="335"/>
        <item x="31"/>
        <item x="1399"/>
        <item x="2423"/>
        <item x="1185"/>
        <item x="453"/>
        <item x="1926"/>
        <item x="2261"/>
        <item x="2262"/>
        <item x="1447"/>
        <item x="18"/>
        <item x="1765"/>
        <item x="1696"/>
        <item x="633"/>
        <item x="103"/>
        <item x="791"/>
        <item x="802"/>
        <item x="2371"/>
        <item x="623"/>
        <item x="1243"/>
        <item x="1218"/>
        <item x="2395"/>
        <item x="1657"/>
        <item x="1944"/>
        <item x="1851"/>
        <item x="1824"/>
        <item x="2369"/>
        <item x="1203"/>
        <item x="1601"/>
        <item x="2300"/>
        <item x="2244"/>
        <item x="2297"/>
        <item x="2295"/>
        <item x="902"/>
        <item x="551"/>
        <item x="550"/>
        <item x="974"/>
        <item x="315"/>
        <item x="804"/>
        <item x="770"/>
        <item x="2157"/>
        <item x="776"/>
        <item x="984"/>
        <item x="683"/>
        <item x="1885"/>
        <item x="1370"/>
        <item x="1005"/>
        <item x="667"/>
        <item x="666"/>
        <item x="655"/>
        <item x="472"/>
        <item x="198"/>
        <item x="469"/>
        <item x="470"/>
        <item x="100"/>
        <item x="144"/>
        <item x="68"/>
        <item x="47"/>
        <item x="24"/>
        <item x="39"/>
        <item x="1615"/>
        <item x="1347"/>
        <item x="1352"/>
        <item x="2221"/>
        <item x="716"/>
        <item x="1635"/>
        <item x="434"/>
        <item x="1599"/>
        <item x="1589"/>
        <item x="1997"/>
        <item x="141"/>
        <item x="1273"/>
        <item x="1985"/>
        <item x="2406"/>
        <item x="1873"/>
        <item x="132"/>
        <item x="1167"/>
        <item x="2208"/>
        <item x="338"/>
        <item x="905"/>
        <item x="2293"/>
        <item x="1140"/>
        <item x="568"/>
        <item x="2187"/>
        <item x="673"/>
        <item x="1967"/>
        <item x="1622"/>
        <item x="512"/>
        <item x="1402"/>
        <item x="1264"/>
        <item x="227"/>
        <item x="1676"/>
        <item x="705"/>
        <item x="1564"/>
        <item x="265"/>
        <item x="1139"/>
        <item x="564"/>
        <item x="478"/>
        <item x="1621"/>
        <item x="860"/>
        <item x="1960"/>
        <item x="1736"/>
        <item x="2280"/>
        <item x="347"/>
        <item x="2247"/>
        <item x="204"/>
        <item x="2063"/>
        <item x="1803"/>
        <item x="1723"/>
        <item x="23"/>
        <item x="1337"/>
        <item x="1338"/>
        <item x="1770"/>
        <item x="2289"/>
        <item x="1153"/>
        <item x="339"/>
        <item x="1144"/>
        <item x="193"/>
        <item x="2410"/>
        <item x="1608"/>
        <item x="2126"/>
        <item x="2237"/>
        <item x="2009"/>
        <item x="2002"/>
        <item x="1975"/>
        <item x="1954"/>
        <item x="1889"/>
        <item x="1939"/>
        <item x="1879"/>
        <item x="1902"/>
        <item x="203"/>
        <item x="1098"/>
        <item x="1472"/>
        <item x="1460"/>
        <item x="1020"/>
        <item x="1234"/>
        <item x="936"/>
        <item x="935"/>
        <item x="647"/>
        <item x="562"/>
        <item x="1365"/>
        <item x="1799"/>
        <item x="1798"/>
        <item x="1533"/>
        <item x="1360"/>
        <item x="1105"/>
        <item x="1796"/>
        <item x="1050"/>
        <item x="589"/>
        <item x="603"/>
        <item x="116"/>
        <item x="5"/>
        <item x="497"/>
        <item x="429"/>
        <item x="322"/>
        <item x="2086"/>
        <item x="2331"/>
        <item x="1849"/>
        <item x="146"/>
        <item x="2168"/>
        <item x="594"/>
        <item x="2198"/>
        <item x="1748"/>
        <item x="597"/>
        <item x="1321"/>
        <item x="596"/>
        <item x="595"/>
        <item x="1320"/>
        <item x="526"/>
        <item x="901"/>
        <item x="613"/>
        <item x="612"/>
        <item x="1230"/>
        <item x="2245"/>
        <item x="2368"/>
        <item x="2354"/>
        <item x="2119"/>
        <item x="1614"/>
        <item x="1404"/>
        <item x="1583"/>
        <item x="2109"/>
        <item x="50"/>
        <item x="55"/>
        <item x="566"/>
        <item x="706"/>
        <item x="2144"/>
        <item x="2125"/>
        <item x="1528"/>
        <item x="1934"/>
        <item x="1197"/>
        <item x="1866"/>
        <item x="2117"/>
        <item x="1766"/>
        <item x="515"/>
        <item x="1065"/>
        <item x="1482"/>
        <item x="1359"/>
        <item x="273"/>
        <item x="272"/>
        <item x="1775"/>
        <item x="2341"/>
        <item x="1774"/>
        <item x="1806"/>
        <item x="1198"/>
        <item x="1988"/>
        <item x="2234"/>
        <item x="1947"/>
        <item x="2077"/>
        <item x="942"/>
        <item x="2134"/>
        <item x="910"/>
        <item x="1600"/>
        <item x="2361"/>
        <item x="2345"/>
        <item x="586"/>
        <item x="475"/>
        <item x="2335"/>
        <item x="1089"/>
        <item x="1072"/>
        <item x="415"/>
        <item x="316"/>
        <item x="857"/>
        <item x="654"/>
        <item x="656"/>
        <item x="823"/>
        <item x="822"/>
        <item x="630"/>
        <item x="708"/>
        <item x="183"/>
        <item x="28"/>
        <item x="143"/>
        <item x="2324"/>
        <item x="2378"/>
        <item x="1558"/>
        <item x="778"/>
        <item x="738"/>
        <item x="2375"/>
        <item x="1565"/>
        <item x="1259"/>
        <item x="1356"/>
        <item x="1142"/>
        <item x="311"/>
        <item x="1103"/>
        <item x="174"/>
        <item x="1970"/>
        <item x="1953"/>
        <item x="1739"/>
        <item x="1484"/>
        <item x="1340"/>
        <item x="1290"/>
        <item x="1292"/>
        <item x="937"/>
        <item x="1326"/>
        <item x="421"/>
        <item x="2396"/>
        <item x="1894"/>
        <item x="2083"/>
        <item x="1464"/>
        <item x="1266"/>
        <item x="477"/>
        <item x="1504"/>
        <item x="2257"/>
        <item x="2384"/>
        <item x="307"/>
        <item x="1797"/>
        <item x="648"/>
        <item x="1945"/>
        <item x="1061"/>
        <item x="287"/>
        <item x="1366"/>
        <item x="1141"/>
        <item x="2274"/>
        <item x="2270"/>
        <item x="2171"/>
        <item x="2222"/>
        <item x="2232"/>
        <item x="1974"/>
        <item x="1883"/>
        <item x="1639"/>
        <item x="1003"/>
        <item x="1491"/>
        <item x="483"/>
        <item x="484"/>
        <item x="1000"/>
        <item x="1225"/>
        <item x="919"/>
        <item x="1332"/>
        <item x="867"/>
        <item x="900"/>
        <item x="635"/>
        <item x="755"/>
        <item x="782"/>
        <item x="894"/>
        <item x="401"/>
        <item x="178"/>
        <item x="175"/>
        <item x="326"/>
        <item x="136"/>
        <item x="1779"/>
        <item x="2364"/>
        <item x="582"/>
        <item x="924"/>
        <item x="1108"/>
        <item x="1109"/>
        <item x="2357"/>
        <item x="1383"/>
        <item x="886"/>
        <item x="1817"/>
        <item x="2120"/>
        <item x="494"/>
        <item x="1901"/>
        <item x="1668"/>
        <item x="423"/>
        <item x="422"/>
        <item x="333"/>
        <item x="1759"/>
        <item x="1658"/>
        <item x="1755"/>
        <item x="278"/>
        <item x="1467"/>
        <item x="35"/>
        <item x="30"/>
        <item x="26"/>
        <item x="241"/>
        <item x="16"/>
        <item x="1122"/>
        <item x="965"/>
        <item x="1536"/>
        <item x="2415"/>
        <item x="734"/>
        <item x="2163"/>
        <item x="1322"/>
        <item x="2425"/>
        <item x="153"/>
        <item x="732"/>
        <item x="459"/>
        <item x="721"/>
        <item x="467"/>
        <item x="2139"/>
        <item x="2399"/>
        <item x="2091"/>
        <item x="2313"/>
        <item x="1750"/>
        <item x="1695"/>
        <item x="1126"/>
        <item x="2240"/>
        <item x="2242"/>
        <item x="1745"/>
        <item x="1744"/>
        <item x="1436"/>
        <item x="1057"/>
        <item x="715"/>
        <item x="875"/>
        <item x="1441"/>
        <item x="1863"/>
        <item x="2233"/>
        <item x="1319"/>
        <item x="1777"/>
        <item x="1318"/>
        <item x="1478"/>
        <item x="847"/>
        <item x="1429"/>
        <item x="2150"/>
        <item x="2045"/>
        <item x="849"/>
        <item x="1631"/>
        <item x="878"/>
        <item x="887"/>
        <item x="893"/>
        <item x="2269"/>
        <item x="1995"/>
        <item x="2213"/>
        <item x="1857"/>
        <item x="1776"/>
        <item x="1767"/>
        <item x="1811"/>
        <item x="1199"/>
        <item x="1810"/>
        <item x="674"/>
        <item x="1389"/>
        <item x="694"/>
        <item x="830"/>
        <item x="588"/>
        <item x="1804"/>
        <item x="1260"/>
        <item x="1382"/>
        <item x="1792"/>
        <item x="1011"/>
        <item x="492"/>
        <item x="384"/>
        <item x="388"/>
        <item x="556"/>
        <item x="624"/>
        <item x="991"/>
        <item x="777"/>
        <item x="488"/>
        <item x="482"/>
        <item x="260"/>
        <item x="154"/>
        <item x="229"/>
        <item x="161"/>
        <item x="309"/>
        <item x="473"/>
        <item x="46"/>
        <item x="7"/>
        <item x="41"/>
        <item x="2206"/>
        <item x="2370"/>
        <item x="523"/>
        <item x="1236"/>
        <item x="571"/>
        <item x="1211"/>
        <item x="2043"/>
        <item x="399"/>
        <item x="701"/>
        <item x="1081"/>
        <item x="1481"/>
        <item x="1747"/>
        <item x="1400"/>
        <item x="330"/>
        <item x="329"/>
        <item x="1996"/>
        <item x="1178"/>
        <item x="1220"/>
        <item x="1675"/>
        <item x="724"/>
        <item x="2355"/>
        <item x="1850"/>
        <item x="1162"/>
        <item x="1161"/>
        <item x="1159"/>
        <item x="1782"/>
        <item x="514"/>
        <item x="952"/>
        <item x="1650"/>
        <item x="346"/>
        <item x="1390"/>
        <item x="2231"/>
        <item x="11"/>
        <item x="88"/>
        <item x="320"/>
        <item x="691"/>
        <item x="1127"/>
        <item x="1789"/>
        <item x="2299"/>
        <item x="2298"/>
        <item x="2054"/>
        <item x="2296"/>
        <item x="2250"/>
        <item x="1417"/>
        <item x="2328"/>
        <item x="1372"/>
        <item x="685"/>
        <item x="225"/>
        <item x="395"/>
        <item x="2332"/>
        <item x="2124"/>
        <item x="2194"/>
        <item x="2353"/>
        <item x="1210"/>
        <item x="502"/>
        <item x="1781"/>
        <item x="1610"/>
        <item x="1043"/>
        <item x="1612"/>
        <item x="2085"/>
        <item x="1684"/>
        <item x="1039"/>
        <item x="2279"/>
        <item x="1932"/>
        <item x="359"/>
        <item x="992"/>
        <item x="933"/>
        <item x="2195"/>
        <item x="682"/>
        <item x="2196"/>
        <item x="2011"/>
        <item x="15"/>
        <item x="670"/>
        <item x="1929"/>
        <item x="614"/>
        <item x="1865"/>
        <item x="1864"/>
        <item x="608"/>
        <item x="607"/>
        <item x="1654"/>
        <item x="1860"/>
        <item x="1859"/>
        <item x="1648"/>
        <item x="1566"/>
        <item x="1572"/>
        <item x="1606"/>
        <item x="1607"/>
        <item x="1534"/>
        <item x="1465"/>
        <item x="1440"/>
        <item x="1396"/>
        <item x="1342"/>
        <item x="1314"/>
        <item x="1174"/>
        <item x="1461"/>
        <item x="2265"/>
        <item x="2264"/>
        <item x="1503"/>
        <item x="2272"/>
        <item x="1768"/>
        <item x="1812"/>
        <item x="2372"/>
        <item x="2284"/>
        <item x="1764"/>
        <item x="1833"/>
        <item x="1438"/>
        <item x="2071"/>
        <item x="2070"/>
        <item x="394"/>
        <item x="1898"/>
        <item x="584"/>
        <item x="841"/>
        <item x="2074"/>
        <item x="559"/>
        <item x="837"/>
        <item x="1047"/>
        <item x="1884"/>
        <item x="1088"/>
        <item x="2276"/>
        <item x="2277"/>
        <item x="824"/>
        <item x="1160"/>
        <item x="1935"/>
        <item x="1550"/>
        <item x="1942"/>
        <item x="1605"/>
        <item x="2082"/>
        <item x="2219"/>
        <item x="1681"/>
        <item x="1596"/>
        <item x="1569"/>
        <item x="2116"/>
        <item x="1006"/>
        <item x="1527"/>
        <item x="1025"/>
        <item x="1562"/>
        <item x="2067"/>
        <item x="1518"/>
        <item x="1380"/>
        <item x="1331"/>
        <item x="1155"/>
        <item x="746"/>
        <item x="578"/>
        <item x="914"/>
        <item x="580"/>
        <item x="896"/>
        <item x="519"/>
        <item x="679"/>
        <item x="249"/>
        <item x="259"/>
        <item x="510"/>
        <item x="555"/>
        <item x="220"/>
        <item x="813"/>
        <item x="73"/>
        <item x="14"/>
        <item x="44"/>
        <item x="216"/>
        <item x="206"/>
        <item x="49"/>
        <item x="72"/>
        <item x="34"/>
        <item x="147"/>
        <item x="113"/>
        <item x="13"/>
        <item x="3"/>
        <item x="12"/>
        <item x="1508"/>
        <item x="1430"/>
        <item x="2254"/>
        <item x="1439"/>
        <item x="1836"/>
        <item x="1466"/>
        <item x="1837"/>
        <item x="2203"/>
        <item x="1640"/>
        <item x="2305"/>
        <item x="2342"/>
        <item x="2340"/>
        <item x="2326"/>
        <item x="1592"/>
        <item x="1931"/>
        <item x="1177"/>
        <item x="1184"/>
        <item x="358"/>
        <item x="542"/>
        <item x="427"/>
        <item x="185"/>
        <item x="67"/>
        <item x="1180"/>
        <item x="876"/>
        <item x="662"/>
        <item x="676"/>
        <item x="2099"/>
        <item x="1024"/>
        <item x="110"/>
        <item x="2048"/>
        <item x="2049"/>
        <item x="527"/>
        <item x="466"/>
        <item x="465"/>
        <item x="2012"/>
        <item x="1731"/>
        <item x="419"/>
        <item x="1780"/>
        <item x="2148"/>
        <item x="2152"/>
        <item x="2312"/>
        <item x="2127"/>
        <item x="2065"/>
        <item x="2366"/>
        <item x="2333"/>
        <item x="2263"/>
        <item x="2006"/>
        <item x="2411"/>
        <item x="2403"/>
        <item x="1138"/>
        <item x="1887"/>
        <item x="1462"/>
        <item x="1463"/>
        <item x="2212"/>
        <item x="1506"/>
        <item x="2215"/>
        <item x="2180"/>
        <item x="1195"/>
        <item x="1694"/>
        <item x="1913"/>
        <item x="1888"/>
        <item x="1886"/>
        <item x="1362"/>
        <item x="1361"/>
        <item x="1029"/>
        <item x="1870"/>
        <item x="1345"/>
        <item x="290"/>
        <item x="1689"/>
        <item x="1663"/>
        <item x="1315"/>
        <item x="856"/>
        <item x="1876"/>
        <item x="1872"/>
        <item x="385"/>
        <item x="1595"/>
        <item x="980"/>
        <item x="979"/>
        <item x="428"/>
        <item x="357"/>
        <item x="416"/>
        <item x="1136"/>
        <item x="1842"/>
        <item x="645"/>
        <item x="1576"/>
        <item x="808"/>
        <item x="1079"/>
        <item x="810"/>
        <item x="1082"/>
        <item x="1078"/>
        <item x="807"/>
        <item x="783"/>
        <item x="563"/>
        <item x="258"/>
        <item x="25"/>
        <item x="213"/>
        <item x="255"/>
        <item x="546"/>
        <item x="476"/>
        <item x="457"/>
        <item x="340"/>
        <item x="170"/>
        <item x="131"/>
        <item x="1031"/>
        <item x="561"/>
        <item x="1296"/>
        <item x="2310"/>
        <item x="1317"/>
        <item x="2307"/>
        <item x="2306"/>
        <item x="62"/>
        <item x="1480"/>
        <item x="529"/>
        <item x="786"/>
        <item x="1143"/>
        <item x="927"/>
        <item x="444"/>
        <item x="1094"/>
        <item x="452"/>
        <item x="1007"/>
        <item x="1629"/>
        <item x="1451"/>
        <item x="1662"/>
        <item x="1581"/>
        <item x="1943"/>
        <item x="1965"/>
        <item x="1983"/>
        <item x="2191"/>
        <item x="1613"/>
        <item x="2108"/>
        <item x="1920"/>
        <item x="1916"/>
        <item x="1285"/>
        <item x="1196"/>
        <item x="1908"/>
        <item x="245"/>
        <item x="1231"/>
        <item x="650"/>
        <item x="244"/>
        <item x="237"/>
        <item x="834"/>
        <item x="547"/>
        <item x="1027"/>
        <item x="439"/>
        <item x="956"/>
        <item x="400"/>
        <item x="232"/>
        <item x="231"/>
        <item x="863"/>
        <item x="435"/>
        <item x="889"/>
        <item x="888"/>
        <item x="376"/>
        <item x="806"/>
        <item x="780"/>
        <item x="284"/>
        <item x="118"/>
        <item x="2358"/>
        <item x="378"/>
        <item x="850"/>
        <item x="2359"/>
        <item x="1793"/>
        <item x="632"/>
        <item x="938"/>
        <item x="276"/>
        <item x="987"/>
        <item x="2393"/>
        <item x="1147"/>
        <item x="1201"/>
        <item x="960"/>
        <item x="1107"/>
        <item x="947"/>
        <item x="2348"/>
        <item x="2311"/>
        <item x="2325"/>
        <item x="2323"/>
        <item x="1761"/>
        <item x="2122"/>
        <item x="1104"/>
        <item x="961"/>
        <item x="541"/>
        <item x="1117"/>
        <item x="1106"/>
        <item x="2275"/>
        <item x="532"/>
        <item x="1732"/>
        <item x="411"/>
        <item x="2008"/>
        <item x="1579"/>
        <item x="2179"/>
        <item x="1571"/>
        <item x="809"/>
        <item x="2164"/>
        <item x="2143"/>
        <item x="209"/>
        <item x="1537"/>
        <item x="1521"/>
        <item x="1494"/>
        <item x="1250"/>
        <item x="1412"/>
        <item x="285"/>
        <item x="871"/>
        <item x="263"/>
        <item x="162"/>
        <item x="179"/>
        <item x="1416"/>
        <item x="1643"/>
        <item x="2320"/>
        <item x="2365"/>
        <item x="2227"/>
        <item x="1644"/>
        <item x="1287"/>
        <item x="1794"/>
        <item x="1957"/>
        <item x="2251"/>
        <item x="816"/>
        <item x="1118"/>
        <item x="1933"/>
        <item x="993"/>
        <item x="995"/>
        <item x="1030"/>
        <item x="1646"/>
        <item x="1276"/>
        <item x="1543"/>
        <item x="1541"/>
        <item x="1523"/>
        <item x="1522"/>
        <item x="1224"/>
        <item x="978"/>
        <item x="279"/>
        <item x="763"/>
        <item x="764"/>
        <item x="737"/>
        <item x="125"/>
        <item x="142"/>
        <item x="155"/>
        <item x="138"/>
        <item x="712"/>
        <item x="629"/>
        <item x="120"/>
        <item x="117"/>
        <item x="2363"/>
        <item x="1255"/>
        <item x="1252"/>
        <item x="1584"/>
        <item x="1542"/>
        <item x="2301"/>
        <item x="2166"/>
        <item x="1680"/>
        <item x="1123"/>
        <item x="1124"/>
        <item x="1125"/>
        <item x="1116"/>
        <item x="621"/>
        <item x="953"/>
        <item x="94"/>
        <item x="1649"/>
        <item x="855"/>
        <item x="898"/>
        <item x="1053"/>
        <item x="2381"/>
        <item x="2380"/>
        <item x="2035"/>
        <item x="2101"/>
        <item x="1930"/>
        <item x="1847"/>
        <item x="1914"/>
        <item x="1838"/>
        <item x="1907"/>
        <item x="1131"/>
        <item x="581"/>
        <item x="1597"/>
        <item x="1449"/>
        <item x="1349"/>
        <item x="1235"/>
        <item x="1247"/>
        <item x="1145"/>
        <item x="447"/>
        <item x="788"/>
        <item x="1022"/>
        <item x="355"/>
        <item x="1049"/>
        <item x="345"/>
        <item x="1026"/>
        <item x="988"/>
        <item x="752"/>
        <item x="722"/>
        <item x="74"/>
        <item x="2339"/>
        <item x="21"/>
        <item x="60"/>
        <item x="1807"/>
        <item x="1237"/>
        <item x="2078"/>
        <item x="2373"/>
        <item x="2349"/>
        <item x="2292"/>
        <item x="2291"/>
        <item x="1568"/>
        <item x="425"/>
        <item x="301"/>
        <item x="1717"/>
        <item x="2414"/>
        <item x="641"/>
        <item x="1046"/>
        <item x="928"/>
        <item x="963"/>
        <item x="2334"/>
        <item x="2024"/>
        <item x="1828"/>
        <item x="215"/>
        <item x="1941"/>
        <item x="1045"/>
        <item x="1840"/>
        <item x="969"/>
        <item x="1110"/>
        <item x="1289"/>
        <item x="1611"/>
        <item x="1485"/>
        <item x="1697"/>
        <item x="2104"/>
        <item x="1698"/>
        <item x="2217"/>
        <item x="2330"/>
        <item x="2073"/>
        <item x="1090"/>
        <item x="2287"/>
        <item x="2060"/>
        <item x="760"/>
        <item x="297"/>
        <item x="480"/>
        <item x="481"/>
        <item x="438"/>
        <item x="468"/>
        <item x="726"/>
        <item x="725"/>
        <item x="1666"/>
        <item x="1428"/>
        <item x="1426"/>
        <item x="1427"/>
        <item x="1425"/>
        <item x="1240"/>
        <item x="1373"/>
        <item x="711"/>
        <item x="82"/>
        <item x="58"/>
        <item x="218"/>
        <item x="1853"/>
        <item x="1512"/>
        <item x="798"/>
        <item x="1277"/>
        <item x="1183"/>
        <item x="1327"/>
        <item x="913"/>
        <item x="773"/>
        <item x="52"/>
        <item x="2140"/>
        <item x="678"/>
        <item x="1217"/>
        <item x="998"/>
        <item x="61"/>
        <item x="1433"/>
        <item x="999"/>
        <item x="996"/>
        <item x="10"/>
        <item x="1699"/>
        <item x="958"/>
        <item x="2336"/>
        <item x="2197"/>
        <item x="1700"/>
        <item x="1555"/>
        <item x="1019"/>
        <item x="1146"/>
        <item x="1948"/>
        <item x="1214"/>
        <item x="2133"/>
        <item x="1834"/>
        <item x="2111"/>
        <item x="1557"/>
        <item x="2132"/>
        <item x="994"/>
        <item x="2089"/>
        <item x="925"/>
        <item x="1854"/>
        <item x="817"/>
        <item x="803"/>
        <item x="210"/>
        <item x="454"/>
        <item x="199"/>
        <item x="105"/>
        <item x="866"/>
        <item x="865"/>
        <item x="1171"/>
        <item x="1514"/>
        <item x="486"/>
        <item x="1095"/>
        <item x="1740"/>
        <item x="2118"/>
        <item x="233"/>
        <item x="767"/>
        <item x="91"/>
        <item x="1064"/>
        <item x="606"/>
        <item x="1727"/>
        <item x="2417"/>
        <item x="1132"/>
        <item x="605"/>
        <item x="1726"/>
        <item x="877"/>
        <item x="157"/>
        <item x="1434"/>
        <item x="1435"/>
        <item x="2427"/>
        <item x="2174"/>
        <item x="2062"/>
        <item x="1832"/>
        <item x="1971"/>
        <item x="2026"/>
        <item x="2039"/>
        <item x="1936"/>
        <item x="1826"/>
        <item x="1829"/>
        <item x="2021"/>
        <item x="2019"/>
        <item x="2034"/>
        <item x="498"/>
        <item x="797"/>
        <item x="1791"/>
        <item x="1642"/>
        <item x="1623"/>
        <item x="1575"/>
        <item x="1549"/>
        <item x="1580"/>
        <item x="727"/>
        <item x="669"/>
        <item x="616"/>
        <item x="634"/>
        <item x="704"/>
        <item x="703"/>
        <item x="733"/>
        <item x="1746"/>
        <item x="2235"/>
        <item x="224"/>
        <item x="1665"/>
        <item x="22"/>
        <item x="165"/>
        <item x="1673"/>
        <item x="490"/>
        <item x="160"/>
        <item x="409"/>
        <item x="736"/>
        <item x="735"/>
        <item x="854"/>
        <item x="1170"/>
        <item x="1590"/>
        <item x="1510"/>
        <item x="2329"/>
        <item x="126"/>
        <item x="124"/>
        <item x="2199"/>
        <item x="1483"/>
        <item x="690"/>
        <item x="511"/>
        <item x="2136"/>
        <item x="1333"/>
        <item x="1442"/>
        <item x="152"/>
        <item x="1924"/>
        <item x="1288"/>
        <item x="792"/>
        <item x="1895"/>
        <item x="111"/>
        <item x="1101"/>
        <item x="1685"/>
        <item x="2033"/>
        <item x="331"/>
        <item x="1013"/>
        <item x="827"/>
        <item x="1487"/>
        <item x="2253"/>
        <item x="1270"/>
        <item x="1269"/>
        <item x="742"/>
        <item x="744"/>
        <item x="743"/>
        <item x="784"/>
        <item x="2177"/>
        <item x="2178"/>
        <item x="1891"/>
        <item x="1893"/>
        <item x="1656"/>
        <item x="646"/>
        <item x="1760"/>
        <item x="548"/>
        <item x="370"/>
        <item x="372"/>
        <item x="509"/>
        <item x="508"/>
        <item x="2151"/>
        <item x="2159"/>
        <item x="2028"/>
        <item x="1800"/>
        <item x="1973"/>
        <item x="747"/>
        <item x="1937"/>
        <item x="1667"/>
        <item x="500"/>
        <item x="386"/>
        <item x="544"/>
        <item x="1544"/>
        <item x="295"/>
        <item x="1443"/>
        <item x="1334"/>
        <item x="463"/>
        <item x="281"/>
        <item x="257"/>
        <item x="256"/>
        <item x="181"/>
        <item x="182"/>
        <item x="134"/>
        <item x="115"/>
        <item x="1474"/>
        <item x="1905"/>
        <item x="1687"/>
        <item x="171"/>
        <item x="1208"/>
        <item x="748"/>
        <item x="525"/>
        <item x="2321"/>
        <item x="1348"/>
        <item x="1312"/>
        <item x="1267"/>
        <item x="1166"/>
        <item x="1310"/>
        <item x="730"/>
        <item x="1083"/>
        <item x="2146"/>
        <item x="1189"/>
        <item x="1191"/>
        <item x="207"/>
        <item x="611"/>
        <item x="1091"/>
        <item x="528"/>
        <item x="140"/>
        <item x="2154"/>
        <item x="873"/>
        <item x="2218"/>
        <item x="271"/>
        <item x="649"/>
        <item x="531"/>
        <item x="1877"/>
        <item x="1152"/>
        <item x="981"/>
        <item x="653"/>
        <item x="698"/>
        <item x="982"/>
        <item x="846"/>
        <item x="844"/>
        <item x="845"/>
        <item x="2303"/>
        <item x="1100"/>
        <item x="943"/>
        <item x="2047"/>
        <item x="1546"/>
        <item x="1818"/>
        <item x="2029"/>
        <item x="1476"/>
        <item x="1371"/>
        <item x="1375"/>
        <item x="1329"/>
        <item x="1344"/>
        <item x="1343"/>
        <item x="839"/>
        <item x="620"/>
        <item x="696"/>
        <item x="461"/>
        <item x="599"/>
        <item x="2138"/>
        <item x="1215"/>
        <item x="1617"/>
        <item x="897"/>
        <item x="1454"/>
        <item x="1904"/>
        <item x="664"/>
        <item x="1741"/>
        <item x="520"/>
        <item x="1268"/>
        <item x="1560"/>
        <item x="350"/>
        <item x="1129"/>
        <item x="590"/>
        <item x="591"/>
        <item x="864"/>
        <item x="1563"/>
        <item x="1278"/>
        <item x="1511"/>
        <item x="2377"/>
        <item x="2304"/>
        <item x="2367"/>
        <item x="2424"/>
        <item x="2246"/>
        <item x="2000"/>
        <item x="1628"/>
        <item x="1627"/>
        <item x="1626"/>
        <item x="1790"/>
        <item x="1256"/>
        <item x="895"/>
        <item x="1703"/>
        <item x="1651"/>
        <item x="883"/>
        <item x="296"/>
        <item x="1112"/>
        <item x="885"/>
        <item x="261"/>
        <item x="2015"/>
        <item x="2061"/>
        <item x="2059"/>
        <item x="1033"/>
        <item x="343"/>
        <item x="342"/>
        <item x="2032"/>
        <item x="450"/>
        <item x="1262"/>
        <item x="1538"/>
        <item x="1475"/>
        <item x="360"/>
        <item x="593"/>
        <item x="1130"/>
        <item x="1323"/>
        <item x="1567"/>
        <item x="1357"/>
        <item x="884"/>
        <item x="2075"/>
        <item x="2055"/>
        <item x="2056"/>
        <item x="1963"/>
        <item x="1998"/>
        <item x="1875"/>
        <item x="1923"/>
        <item x="1835"/>
        <item x="1903"/>
        <item x="1163"/>
        <item x="1453"/>
        <item x="1452"/>
        <item x="1855"/>
        <item x="1397"/>
        <item x="1221"/>
        <item x="1032"/>
        <item x="828"/>
        <item x="741"/>
        <item x="545"/>
        <item x="829"/>
        <item x="968"/>
        <item x="814"/>
        <item x="714"/>
        <item x="912"/>
        <item x="576"/>
        <item x="262"/>
        <item x="127"/>
        <item x="106"/>
        <item x="2314"/>
        <item x="2210"/>
        <item x="2162"/>
        <item x="966"/>
        <item x="2096"/>
        <item x="2220"/>
        <item x="2044"/>
        <item x="2037"/>
        <item x="2087"/>
        <item x="1204"/>
        <item x="1999"/>
        <item x="926"/>
        <item x="821"/>
        <item x="820"/>
        <item x="602"/>
        <item x="1158"/>
        <item x="831"/>
        <item x="1655"/>
        <item x="1653"/>
        <item x="1194"/>
        <item x="1846"/>
        <item x="1737"/>
        <item x="1784"/>
        <item x="1869"/>
        <item x="1305"/>
        <item x="517"/>
        <item x="1301"/>
        <item x="1263"/>
        <item x="1830"/>
        <item x="1588"/>
        <item x="1193"/>
        <item x="1249"/>
        <item x="503"/>
        <item x="617"/>
        <item x="1401"/>
        <item x="1306"/>
        <item x="811"/>
        <item x="1351"/>
        <item x="1587"/>
        <item x="1841"/>
        <item x="1827"/>
        <item x="1188"/>
        <item x="1437"/>
        <item x="1517"/>
        <item x="1407"/>
        <item x="1408"/>
        <item x="1233"/>
        <item x="1232"/>
        <item x="572"/>
        <item x="298"/>
        <item x="289"/>
        <item x="433"/>
        <item x="137"/>
        <item x="407"/>
        <item x="404"/>
        <item x="56"/>
        <item x="45"/>
        <item x="2184"/>
        <item x="906"/>
        <item x="1192"/>
        <item x="2374"/>
        <item x="1940"/>
        <item x="745"/>
        <item x="530"/>
        <item x="2072"/>
        <item x="2420"/>
        <item x="1244"/>
        <item x="2042"/>
        <item x="2005"/>
        <item x="168"/>
        <item x="1076"/>
        <item x="772"/>
        <item x="121"/>
        <item x="826"/>
        <item x="1773"/>
        <item x="2241"/>
        <item x="1616"/>
        <item x="812"/>
        <item x="2165"/>
        <item x="2282"/>
        <item x="1497"/>
        <item x="1377"/>
        <item x="64"/>
        <item x="2094"/>
        <item x="2259"/>
        <item x="2382"/>
        <item x="1709"/>
        <item x="2383"/>
        <item x="1493"/>
        <item x="1604"/>
        <item x="1151"/>
        <item x="957"/>
        <item x="577"/>
        <item x="794"/>
        <item x="2135"/>
        <item x="2350"/>
        <item x="1577"/>
        <item x="1009"/>
        <item x="2041"/>
        <item x="2224"/>
        <item x="2249"/>
        <item x="1385"/>
        <item x="1525"/>
        <item x="1526"/>
        <item x="1182"/>
        <item x="1369"/>
        <item x="1586"/>
        <item x="1087"/>
        <item x="1086"/>
        <item x="2003"/>
        <item x="761"/>
        <item x="1757"/>
        <item x="762"/>
        <item x="2175"/>
        <item x="1981"/>
        <item x="1982"/>
        <item x="1980"/>
        <item x="1763"/>
        <item x="1724"/>
        <item x="1374"/>
        <item x="1085"/>
        <item x="1084"/>
        <item x="1479"/>
        <item x="1921"/>
        <item x="1074"/>
        <item x="1358"/>
        <item x="1867"/>
        <item x="1313"/>
        <item x="1330"/>
        <item x="1062"/>
        <item x="1063"/>
        <item x="1073"/>
        <item x="1335"/>
        <item x="1845"/>
        <item x="639"/>
        <item x="540"/>
        <item x="252"/>
        <item x="51"/>
        <item x="236"/>
        <item x="408"/>
        <item x="246"/>
        <item x="248"/>
        <item x="247"/>
        <item x="420"/>
        <item x="387"/>
        <item x="294"/>
        <item x="219"/>
        <item x="1265"/>
        <item x="663"/>
        <item x="2255"/>
        <item x="1993"/>
        <item x="768"/>
        <item x="1209"/>
        <item x="868"/>
        <item x="159"/>
        <item x="327"/>
        <item x="158"/>
        <item x="166"/>
        <item x="787"/>
        <item x="2098"/>
        <item x="1048"/>
        <item x="2113"/>
        <item x="1721"/>
        <item x="2419"/>
        <item x="1990"/>
        <item x="2351"/>
        <item x="2173"/>
        <item x="1978"/>
        <item x="904"/>
        <item x="1786"/>
        <item x="851"/>
        <item x="1099"/>
        <item x="2160"/>
        <item x="430"/>
        <item x="775"/>
        <item x="412"/>
        <item x="491"/>
        <item x="1882"/>
        <item x="1856"/>
        <item x="1477"/>
        <item x="1758"/>
        <item x="1718"/>
        <item x="1710"/>
        <item x="1471"/>
        <item x="1620"/>
        <item x="625"/>
        <item x="1469"/>
        <item x="1468"/>
        <item x="971"/>
        <item x="618"/>
        <item x="280"/>
        <item x="186"/>
        <item x="145"/>
        <item x="164"/>
        <item x="223"/>
        <item x="2"/>
        <item x="1844"/>
        <item x="1705"/>
        <item x="2346"/>
        <item x="2273"/>
        <item x="1729"/>
        <item x="2256"/>
        <item x="1213"/>
        <item x="1946"/>
        <item x="2102"/>
        <item x="2107"/>
        <item x="1054"/>
        <item x="1692"/>
        <item x="1069"/>
        <item x="1683"/>
        <item x="2017"/>
        <item x="2052"/>
        <item x="1058"/>
        <item x="840"/>
        <item x="1165"/>
        <item x="1979"/>
        <item x="1509"/>
        <item x="479"/>
        <item x="1016"/>
        <item x="1909"/>
        <item x="282"/>
        <item x="1004"/>
        <item x="1871"/>
        <item x="1645"/>
        <item x="1341"/>
        <item x="1424"/>
        <item x="1423"/>
        <item x="1387"/>
        <item x="1346"/>
        <item x="1308"/>
        <item x="1275"/>
        <item x="1272"/>
        <item x="1281"/>
        <item x="1274"/>
        <item x="417"/>
        <item x="373"/>
        <item x="254"/>
        <item x="367"/>
        <item x="205"/>
        <item x="222"/>
        <item x="85"/>
        <item x="1671"/>
        <item x="1280"/>
        <item x="2128"/>
        <item x="1070"/>
        <item x="2389"/>
        <item x="396"/>
        <item x="2258"/>
        <item x="397"/>
        <item x="1972"/>
        <item x="819"/>
        <item x="1678"/>
        <item x="458"/>
        <item x="1915"/>
        <item x="2404"/>
        <item x="2409"/>
        <item x="2422"/>
        <item x="1691"/>
        <item x="2205"/>
        <item x="1756"/>
        <item x="1634"/>
        <item x="2223"/>
        <item x="1540"/>
        <item x="1486"/>
        <item x="1169"/>
        <item x="1168"/>
        <item x="1911"/>
        <item x="1156"/>
        <item x="1111"/>
        <item x="2112"/>
        <item x="1545"/>
        <item x="2161"/>
        <item x="781"/>
        <item x="194"/>
        <item x="1038"/>
        <item x="1825"/>
        <item x="2141"/>
        <item x="931"/>
        <item x="930"/>
        <item x="2137"/>
        <item x="921"/>
        <item x="922"/>
        <item x="882"/>
        <item x="574"/>
        <item x="861"/>
        <item x="740"/>
        <item x="2025"/>
        <item x="499"/>
        <item x="1977"/>
        <item x="441"/>
        <item x="1987"/>
        <item x="1307"/>
        <item x="1228"/>
        <item x="567"/>
        <item x="1282"/>
        <item x="516"/>
        <item x="524"/>
        <item x="471"/>
        <item x="474"/>
        <item x="460"/>
        <item x="313"/>
        <item x="368"/>
        <item x="369"/>
        <item x="300"/>
        <item x="240"/>
        <item x="266"/>
        <item x="188"/>
        <item x="9"/>
        <item x="2007"/>
        <item x="1762"/>
        <item x="1102"/>
        <item x="1216"/>
        <item x="2172"/>
        <item x="176"/>
        <item x="1848"/>
        <item x="1531"/>
        <item x="1413"/>
        <item x="601"/>
        <item x="2316"/>
        <item x="934"/>
        <item x="903"/>
        <item x="671"/>
        <item x="668"/>
        <item x="391"/>
        <item x="390"/>
        <item x="389"/>
        <item x="615"/>
        <item x="173"/>
        <item x="172"/>
        <item x="1783"/>
        <item x="552"/>
        <item x="187"/>
        <item x="1734"/>
        <item x="268"/>
        <item x="859"/>
        <item x="2271"/>
        <item x="2356"/>
        <item x="2338"/>
        <item x="2337"/>
        <item x="306"/>
        <item x="305"/>
        <item x="1067"/>
        <item x="2201"/>
        <item x="1021"/>
        <item x="1958"/>
        <item x="1951"/>
        <item x="967"/>
        <item x="2308"/>
        <item x="1638"/>
        <item x="1547"/>
        <item x="1409"/>
        <item x="1339"/>
        <item x="946"/>
        <item x="1363"/>
        <item x="917"/>
        <item x="414"/>
        <item x="239"/>
        <item x="238"/>
        <item x="195"/>
        <item x="402"/>
        <item x="4"/>
        <item x="2185"/>
        <item x="2188"/>
        <item x="1785"/>
        <item x="1219"/>
        <item x="1458"/>
        <item x="1354"/>
        <item x="1303"/>
        <item x="1304"/>
        <item x="1302"/>
        <item x="448"/>
        <item x="1455"/>
        <item x="2397"/>
        <item x="2376"/>
        <item x="2268"/>
        <item x="1647"/>
        <item x="2051"/>
        <item x="2167"/>
        <item x="2183"/>
        <item x="2182"/>
        <item x="1949"/>
        <item x="2016"/>
        <item x="1559"/>
        <item x="1553"/>
        <item x="1535"/>
        <item x="1300"/>
        <item x="1239"/>
        <item x="941"/>
        <item x="75"/>
        <item x="537"/>
        <item x="908"/>
        <item x="535"/>
        <item x="672"/>
        <item x="610"/>
        <item x="328"/>
        <item x="437"/>
        <item x="270"/>
        <item x="303"/>
        <item x="304"/>
        <item x="29"/>
        <item x="2278"/>
        <item x="1868"/>
        <item x="1716"/>
        <item x="1028"/>
        <item x="1096"/>
        <item x="1097"/>
        <item x="2209"/>
        <item x="1041"/>
        <item x="1299"/>
        <item x="2386"/>
        <item x="464"/>
        <item x="1279"/>
        <item x="211"/>
        <item x="212"/>
        <item x="196"/>
        <item x="1114"/>
        <item x="70"/>
        <item x="353"/>
        <item x="1752"/>
        <item x="1609"/>
        <item x="201"/>
        <item x="393"/>
        <item x="1092"/>
        <item x="374"/>
        <item x="361"/>
        <item x="364"/>
        <item x="337"/>
        <item x="1254"/>
        <item x="692"/>
        <item x="6"/>
        <item x="2090"/>
        <item x="2189"/>
        <item x="122"/>
        <item x="310"/>
        <item x="79"/>
        <item x="2319"/>
        <item x="2110"/>
        <item x="2290"/>
        <item x="1432"/>
        <item x="1669"/>
        <item x="1056"/>
        <item x="2069"/>
        <item x="862"/>
        <item x="983"/>
        <item x="1411"/>
        <item x="1410"/>
        <item x="1328"/>
        <item x="627"/>
        <item x="557"/>
        <item x="348"/>
        <item x="445"/>
        <item x="2131"/>
        <item x="1384"/>
        <item x="1157"/>
        <item x="1406"/>
        <item x="123"/>
        <item x="513"/>
        <item x="109"/>
        <item x="87"/>
        <item x="1551"/>
        <item x="687"/>
        <item x="129"/>
        <item x="48"/>
        <item x="1044"/>
        <item x="1470"/>
        <item x="363"/>
        <item x="1420"/>
        <item x="2412"/>
        <item x="2405"/>
        <item x="1035"/>
        <item x="200"/>
        <item x="192"/>
        <item x="848"/>
        <item x="2076"/>
        <item x="1507"/>
        <item x="2057"/>
        <item x="1023"/>
        <item x="1670"/>
        <item x="2046"/>
        <item x="2038"/>
        <item x="1164"/>
        <item x="1715"/>
        <item x="1708"/>
        <item x="27"/>
        <item x="1989"/>
        <item x="2343"/>
        <item x="2239"/>
        <item x="2147"/>
        <item x="1075"/>
        <item x="1816"/>
        <item x="1815"/>
        <item x="1808"/>
        <item x="1733"/>
        <item x="739"/>
        <item x="1625"/>
        <item x="1624"/>
        <item x="558"/>
        <item x="83"/>
        <item x="1529"/>
        <item x="1530"/>
        <item x="560"/>
        <item x="487"/>
        <item x="1513"/>
        <item x="790"/>
        <item x="1495"/>
        <item x="1500"/>
        <item x="713"/>
        <item x="1573"/>
        <item x="2421"/>
        <item x="681"/>
        <item x="710"/>
        <item x="688"/>
        <item x="57"/>
        <item x="1080"/>
        <item x="2225"/>
        <item x="1753"/>
        <item x="2288"/>
        <item x="2106"/>
        <item x="1173"/>
        <item x="638"/>
        <item x="1515"/>
        <item x="1771"/>
        <item x="1738"/>
        <item x="1659"/>
        <item x="1594"/>
        <item x="1071"/>
        <item x="1749"/>
        <item x="2390"/>
        <item x="970"/>
        <item x="852"/>
        <item x="33"/>
        <item x="148"/>
        <item x="731"/>
        <item x="2283"/>
        <item x="323"/>
        <item x="2121"/>
        <item x="321"/>
        <item x="1814"/>
        <item x="78"/>
        <item x="76"/>
        <item x="1968"/>
        <item x="1422"/>
        <item x="805"/>
        <item x="426"/>
        <item x="2186"/>
        <item x="308"/>
        <item x="69"/>
        <item x="1906"/>
        <item x="149"/>
        <item x="1283"/>
        <item x="1394"/>
        <item x="1395"/>
        <item x="1702"/>
        <item x="892"/>
        <item x="1890"/>
        <item x="112"/>
        <item x="1414"/>
        <item x="1"/>
        <item x="1554"/>
        <item x="680"/>
        <item x="626"/>
        <item x="2207"/>
        <item x="1730"/>
        <item x="1570"/>
        <item x="1388"/>
        <item x="990"/>
        <item x="1115"/>
        <item x="815"/>
        <item x="642"/>
        <item x="436"/>
        <item x="251"/>
        <item x="250"/>
        <item x="71"/>
        <item x="1150"/>
        <item x="1498"/>
        <item x="2156"/>
        <item x="1520"/>
        <item x="1271"/>
        <item x="2014"/>
        <item x="1190"/>
        <item x="1912"/>
        <item x="2176"/>
        <item x="1632"/>
        <item x="1918"/>
        <item x="432"/>
        <item x="1119"/>
        <item x="1861"/>
        <item x="1093"/>
        <item x="381"/>
        <item x="684"/>
        <item x="1059"/>
        <item x="972"/>
        <item x="973"/>
        <item x="915"/>
        <item x="962"/>
        <item x="366"/>
        <item x="405"/>
        <item x="269"/>
        <item x="37"/>
        <item x="102"/>
        <item x="63"/>
        <item x="2238"/>
        <item x="2236"/>
        <item x="1128"/>
        <item x="1892"/>
        <item x="1821"/>
        <item x="1820"/>
        <item x="283"/>
        <item x="997"/>
        <item x="101"/>
        <item x="1181"/>
        <item x="521"/>
        <item x="1036"/>
        <item x="2093"/>
        <item x="1392"/>
        <item x="964"/>
        <item x="950"/>
        <item x="1593"/>
        <item x="1325"/>
        <item x="766"/>
        <item x="135"/>
        <item x="609"/>
        <item x="1574"/>
        <item x="1309"/>
        <item x="1245"/>
        <item x="2216"/>
        <item x="489"/>
        <item x="43"/>
        <item x="2214"/>
        <item x="19"/>
        <item x="1148"/>
        <item x="2281"/>
        <item x="1415"/>
        <item x="1636"/>
        <item x="1284"/>
        <item x="191"/>
        <item x="1187"/>
        <item x="2418"/>
        <item x="1919"/>
        <item x="1446"/>
        <item x="1381"/>
        <item x="1149"/>
        <item x="133"/>
        <item x="1135"/>
        <item x="842"/>
        <item x="1813"/>
        <item x="1251"/>
        <item x="870"/>
        <item x="869"/>
        <item x="695"/>
        <item x="631"/>
        <item x="96"/>
        <item x="2344"/>
        <item x="1927"/>
        <item x="825"/>
        <item x="1350"/>
        <item x="1355"/>
        <item x="2193"/>
        <item x="771"/>
        <item x="1501"/>
        <item x="1499"/>
        <item x="1928"/>
        <item x="2230"/>
        <item x="832"/>
        <item x="1068"/>
        <item x="2260"/>
        <item x="2309"/>
        <item x="1238"/>
        <item x="658"/>
        <item x="657"/>
        <item x="406"/>
        <item x="177"/>
        <item x="344"/>
        <item x="375"/>
        <item x="89"/>
        <item x="2030"/>
        <item x="380"/>
        <item x="1291"/>
        <item x="1585"/>
        <item x="1964"/>
        <item x="1524"/>
        <item x="230"/>
        <item x="352"/>
        <item x="1496"/>
        <item x="1226"/>
        <item x="665"/>
        <item x="2058"/>
        <item x="1801"/>
        <item x="2327"/>
        <item x="801"/>
        <item x="800"/>
        <item x="1445"/>
        <item x="1444"/>
        <item x="1788"/>
        <item x="167"/>
        <item x="418"/>
        <item x="2322"/>
        <item x="1012"/>
        <item x="440"/>
        <item x="2204"/>
        <item x="1880"/>
        <item x="1324"/>
        <item x="1637"/>
        <item x="1633"/>
        <item x="242"/>
        <item x="1379"/>
        <item x="1242"/>
        <item x="880"/>
        <item x="697"/>
        <item x="522"/>
        <item x="299"/>
        <item x="42"/>
        <item x="583"/>
        <item x="17"/>
        <item x="1839"/>
        <item x="2302"/>
        <item x="1008"/>
        <item x="879"/>
        <item x="750"/>
        <item t="default" sd="0"/>
      </items>
    </pivotField>
    <pivotField name="문장" compact="0" outline="0" showAll="0">
      <items count="2424">
        <item x="74"/>
        <item x="1218"/>
        <item x="480"/>
        <item x="1200"/>
        <item x="941"/>
        <item x="1365"/>
        <item x="1159"/>
        <item x="2419"/>
        <item x="237"/>
        <item x="2078"/>
        <item x="569"/>
        <item x="1277"/>
        <item x="2206"/>
        <item x="1000"/>
        <item x="1186"/>
        <item x="679"/>
        <item x="2183"/>
        <item x="2057"/>
        <item x="476"/>
        <item x="1728"/>
        <item x="2399"/>
        <item x="2113"/>
        <item x="1017"/>
        <item x="703"/>
        <item x="2179"/>
        <item x="2391"/>
        <item x="1483"/>
        <item x="1518"/>
        <item x="1761"/>
        <item x="1716"/>
        <item x="1609"/>
        <item x="94"/>
        <item x="1837"/>
        <item x="296"/>
        <item x="2174"/>
        <item x="381"/>
        <item x="1142"/>
        <item x="1679"/>
        <item x="780"/>
        <item x="366"/>
        <item x="1059"/>
        <item x="390"/>
        <item x="2247"/>
        <item x="1418"/>
        <item x="2032"/>
        <item x="1566"/>
        <item x="700"/>
        <item x="357"/>
        <item x="2364"/>
        <item x="2110"/>
        <item x="1271"/>
        <item x="1466"/>
        <item x="798"/>
        <item x="543"/>
        <item x="567"/>
        <item x="327"/>
        <item x="1621"/>
        <item x="1949"/>
        <item x="81"/>
        <item x="1030"/>
        <item x="1251"/>
        <item x="2144"/>
        <item x="2071"/>
        <item x="205"/>
        <item x="394"/>
        <item x="860"/>
        <item x="2347"/>
        <item x="1650"/>
        <item x="795"/>
        <item x="1501"/>
        <item x="59"/>
        <item x="2214"/>
        <item x="948"/>
        <item x="453"/>
        <item x="2351"/>
        <item x="676"/>
        <item x="507"/>
        <item x="1331"/>
        <item x="2003"/>
        <item x="2090"/>
        <item x="1499"/>
        <item x="682"/>
        <item x="2128"/>
        <item x="747"/>
        <item x="728"/>
        <item x="379"/>
        <item x="443"/>
        <item x="668"/>
        <item x="2398"/>
        <item x="946"/>
        <item x="594"/>
        <item x="181"/>
        <item x="1192"/>
        <item x="1829"/>
        <item x="615"/>
        <item x="874"/>
        <item x="2173"/>
        <item x="1223"/>
        <item x="1818"/>
        <item x="1687"/>
        <item x="501"/>
        <item x="899"/>
        <item x="642"/>
        <item x="993"/>
        <item x="2130"/>
        <item x="1438"/>
        <item x="746"/>
        <item x="1227"/>
        <item x="889"/>
        <item x="1256"/>
        <item x="1240"/>
        <item x="279"/>
        <item x="392"/>
        <item x="2361"/>
        <item x="881"/>
        <item x="646"/>
        <item x="131"/>
        <item x="1071"/>
        <item x="1399"/>
        <item x="2317"/>
        <item x="2201"/>
        <item x="2011"/>
        <item x="843"/>
        <item x="242"/>
        <item x="115"/>
        <item x="1001"/>
        <item x="1714"/>
        <item x="1130"/>
        <item x="1127"/>
        <item x="1190"/>
        <item x="2357"/>
        <item x="647"/>
        <item x="1439"/>
        <item x="1912"/>
        <item x="1565"/>
        <item x="1992"/>
        <item x="1363"/>
        <item x="762"/>
        <item x="2080"/>
        <item x="361"/>
        <item x="802"/>
        <item x="1324"/>
        <item x="355"/>
        <item x="1417"/>
        <item x="602"/>
        <item x="769"/>
        <item x="1301"/>
        <item x="1166"/>
        <item x="2352"/>
        <item x="1994"/>
        <item x="1462"/>
        <item x="2135"/>
        <item x="2168"/>
        <item x="1272"/>
        <item x="388"/>
        <item x="1965"/>
        <item x="1806"/>
        <item x="789"/>
        <item x="1788"/>
        <item x="1769"/>
        <item x="2325"/>
        <item x="1475"/>
        <item x="2387"/>
        <item x="446"/>
        <item x="2382"/>
        <item x="829"/>
        <item x="1590"/>
        <item x="1220"/>
        <item x="333"/>
        <item x="1456"/>
        <item x="1292"/>
        <item x="2147"/>
        <item x="1308"/>
        <item x="471"/>
        <item x="979"/>
        <item x="1693"/>
        <item x="1426"/>
        <item x="260"/>
        <item x="891"/>
        <item x="2076"/>
        <item x="1667"/>
        <item x="637"/>
        <item x="611"/>
        <item x="821"/>
        <item x="918"/>
        <item x="1974"/>
        <item x="1880"/>
        <item x="1888"/>
        <item x="1161"/>
        <item x="226"/>
        <item x="2177"/>
        <item x="1221"/>
        <item x="2421"/>
        <item x="1380"/>
        <item x="1605"/>
        <item x="848"/>
        <item x="1689"/>
        <item x="458"/>
        <item x="239"/>
        <item x="47"/>
        <item x="2383"/>
        <item x="731"/>
        <item x="1522"/>
        <item x="892"/>
        <item x="718"/>
        <item x="1266"/>
        <item x="1491"/>
        <item x="2126"/>
        <item x="2046"/>
        <item x="1233"/>
        <item x="1320"/>
        <item x="1490"/>
        <item x="1485"/>
        <item x="2275"/>
        <item x="1898"/>
        <item x="1258"/>
        <item x="412"/>
        <item x="263"/>
        <item x="2134"/>
        <item x="2259"/>
        <item x="2332"/>
        <item x="2356"/>
        <item x="2405"/>
        <item x="2085"/>
        <item x="201"/>
        <item x="1247"/>
        <item x="108"/>
        <item x="1612"/>
        <item x="1171"/>
        <item x="166"/>
        <item x="856"/>
        <item x="573"/>
        <item x="1536"/>
        <item x="1570"/>
        <item x="1009"/>
        <item x="667"/>
        <item x="197"/>
        <item x="13"/>
        <item x="1148"/>
        <item x="544"/>
        <item x="895"/>
        <item x="580"/>
        <item x="1707"/>
        <item x="1175"/>
        <item x="1449"/>
        <item x="1881"/>
        <item x="865"/>
        <item x="830"/>
        <item x="1151"/>
        <item x="363"/>
        <item x="2302"/>
        <item x="635"/>
        <item x="1091"/>
        <item x="914"/>
        <item x="1453"/>
        <item x="158"/>
        <item x="1291"/>
        <item x="498"/>
        <item x="421"/>
        <item x="1321"/>
        <item x="1985"/>
        <item x="335"/>
        <item x="662"/>
        <item x="983"/>
        <item x="982"/>
        <item x="1248"/>
        <item x="515"/>
        <item x="1228"/>
        <item x="2088"/>
        <item x="963"/>
        <item x="1339"/>
        <item x="2401"/>
        <item x="481"/>
        <item x="1843"/>
        <item x="1094"/>
        <item x="759"/>
        <item x="1885"/>
        <item x="1514"/>
        <item x="217"/>
        <item x="2075"/>
        <item x="1055"/>
        <item x="1617"/>
        <item x="688"/>
        <item x="912"/>
        <item x="2041"/>
        <item x="1649"/>
        <item x="734"/>
        <item x="935"/>
        <item x="1782"/>
        <item x="599"/>
        <item x="1917"/>
        <item x="672"/>
        <item x="1841"/>
        <item x="1802"/>
        <item x="2293"/>
        <item x="2257"/>
        <item x="1684"/>
        <item x="2329"/>
        <item x="1469"/>
        <item x="1307"/>
        <item x="1341"/>
        <item x="1461"/>
        <item x="610"/>
        <item x="1435"/>
        <item x="1718"/>
        <item x="794"/>
        <item x="117"/>
        <item x="2225"/>
        <item x="2114"/>
        <item x="87"/>
        <item x="547"/>
        <item x="779"/>
        <item x="1136"/>
        <item x="1670"/>
        <item x="232"/>
        <item x="1856"/>
        <item x="633"/>
        <item x="1781"/>
        <item x="701"/>
        <item x="1844"/>
        <item x="1634"/>
        <item x="2288"/>
        <item x="2069"/>
        <item x="6"/>
        <item x="1554"/>
        <item x="1810"/>
        <item x="24"/>
        <item x="999"/>
        <item x="555"/>
        <item x="1907"/>
        <item x="216"/>
        <item x="1011"/>
        <item x="1378"/>
        <item x="1601"/>
        <item x="967"/>
        <item x="318"/>
        <item x="2336"/>
        <item x="1362"/>
        <item x="1300"/>
        <item x="1117"/>
        <item x="820"/>
        <item x="693"/>
        <item x="1925"/>
        <item x="743"/>
        <item x="650"/>
        <item x="280"/>
        <item x="434"/>
        <item x="911"/>
        <item x="193"/>
        <item x="1415"/>
        <item x="1528"/>
        <item x="749"/>
        <item x="873"/>
        <item x="1476"/>
        <item x="1919"/>
        <item x="1448"/>
        <item x="1144"/>
        <item x="285"/>
        <item x="1735"/>
        <item x="375"/>
        <item x="977"/>
        <item x="953"/>
        <item x="1113"/>
        <item x="258"/>
        <item x="1336"/>
        <item x="1697"/>
        <item x="1777"/>
        <item x="670"/>
        <item x="944"/>
        <item x="1535"/>
        <item x="1231"/>
        <item x="868"/>
        <item x="175"/>
        <item x="1313"/>
        <item x="136"/>
        <item x="992"/>
        <item x="2157"/>
        <item x="128"/>
        <item x="2038"/>
        <item x="2191"/>
        <item x="1436"/>
        <item x="1098"/>
        <item x="764"/>
        <item x="696"/>
        <item x="1995"/>
        <item x="1845"/>
        <item x="2284"/>
        <item x="80"/>
        <item x="139"/>
        <item x="1157"/>
        <item x="702"/>
        <item x="320"/>
        <item x="1425"/>
        <item x="1676"/>
        <item x="606"/>
        <item x="947"/>
        <item x="885"/>
        <item x="651"/>
        <item x="190"/>
        <item x="32"/>
        <item x="1035"/>
        <item x="1465"/>
        <item x="1413"/>
        <item x="1455"/>
        <item x="160"/>
        <item x="772"/>
        <item x="785"/>
        <item x="1541"/>
        <item x="1600"/>
        <item x="867"/>
        <item x="2290"/>
        <item x="17"/>
        <item x="2192"/>
        <item x="1973"/>
        <item x="1691"/>
        <item x="550"/>
        <item x="373"/>
        <item x="2033"/>
        <item x="1537"/>
        <item x="103"/>
        <item x="2178"/>
        <item x="1143"/>
        <item x="1544"/>
        <item x="19"/>
        <item x="206"/>
        <item x="185"/>
        <item x="210"/>
        <item x="2384"/>
        <item x="109"/>
        <item x="1078"/>
        <item x="712"/>
        <item x="293"/>
        <item x="264"/>
        <item x="162"/>
        <item x="288"/>
        <item x="489"/>
        <item x="329"/>
        <item x="2379"/>
        <item x="343"/>
        <item x="652"/>
        <item x="1104"/>
        <item x="315"/>
        <item x="627"/>
        <item x="958"/>
        <item x="198"/>
        <item x="1051"/>
        <item x="1020"/>
        <item x="1344"/>
        <item x="225"/>
        <item x="1311"/>
        <item x="2296"/>
        <item x="71"/>
        <item x="482"/>
        <item x="1263"/>
        <item x="1849"/>
        <item x="1662"/>
        <item x="658"/>
        <item x="787"/>
        <item x="168"/>
        <item x="2166"/>
        <item x="415"/>
        <item x="1010"/>
        <item x="1254"/>
        <item x="298"/>
        <item x="385"/>
        <item x="1403"/>
        <item x="1910"/>
        <item x="2211"/>
        <item x="145"/>
        <item x="2355"/>
        <item x="1923"/>
        <item x="96"/>
        <item x="1765"/>
        <item x="171"/>
        <item x="396"/>
        <item x="1092"/>
        <item x="1563"/>
        <item x="1121"/>
        <item x="1879"/>
        <item x="1402"/>
        <item x="1165"/>
        <item x="154"/>
        <item x="1582"/>
        <item x="590"/>
        <item x="1685"/>
        <item x="1882"/>
        <item x="1014"/>
        <item x="180"/>
        <item x="1517"/>
        <item x="1628"/>
        <item x="2221"/>
        <item x="1754"/>
        <item x="2190"/>
        <item x="1909"/>
        <item x="129"/>
        <item x="1229"/>
        <item x="508"/>
        <item x="209"/>
        <item x="203"/>
        <item x="980"/>
        <item x="1913"/>
        <item x="657"/>
        <item x="581"/>
        <item x="1918"/>
        <item x="591"/>
        <item x="2258"/>
        <item x="624"/>
        <item x="16"/>
        <item x="1877"/>
        <item x="1532"/>
        <item x="1045"/>
        <item x="111"/>
        <item x="465"/>
        <item x="1295"/>
        <item x="1386"/>
        <item x="1420"/>
        <item x="954"/>
        <item x="1222"/>
        <item x="2010"/>
        <item x="1116"/>
        <item x="1329"/>
        <item x="710"/>
        <item x="1408"/>
        <item x="354"/>
        <item x="552"/>
        <item x="1958"/>
        <item x="380"/>
        <item x="1507"/>
        <item x="5"/>
        <item x="990"/>
        <item x="629"/>
        <item x="1529"/>
        <item x="1379"/>
        <item x="674"/>
        <item x="2175"/>
        <item x="1330"/>
        <item x="1997"/>
        <item x="1303"/>
        <item x="849"/>
        <item x="1784"/>
        <item x="413"/>
        <item x="444"/>
        <item x="1738"/>
        <item x="123"/>
        <item x="82"/>
        <item x="25"/>
        <item x="2016"/>
        <item x="322"/>
        <item x="1008"/>
        <item x="623"/>
        <item x="1752"/>
        <item x="1299"/>
        <item x="2112"/>
        <item x="884"/>
        <item x="915"/>
        <item x="317"/>
        <item x="64"/>
        <item x="1135"/>
        <item x="1610"/>
        <item x="2188"/>
        <item x="694"/>
        <item x="1828"/>
        <item x="2314"/>
        <item x="1241"/>
        <item x="959"/>
        <item x="714"/>
        <item x="715"/>
        <item x="706"/>
        <item x="1215"/>
        <item x="1846"/>
        <item x="1928"/>
        <item x="358"/>
        <item x="223"/>
        <item x="1164"/>
        <item x="371"/>
        <item x="753"/>
        <item x="877"/>
        <item x="906"/>
        <item x="2120"/>
        <item x="230"/>
        <item x="1502"/>
        <item x="1868"/>
        <item x="1464"/>
        <item x="2420"/>
        <item x="586"/>
        <item x="916"/>
        <item x="151"/>
        <item x="788"/>
        <item x="486"/>
        <item x="1169"/>
        <item x="350"/>
        <item x="86"/>
        <item x="973"/>
        <item x="2072"/>
        <item x="1430"/>
        <item x="1977"/>
        <item x="2362"/>
        <item x="439"/>
        <item x="1640"/>
        <item x="730"/>
        <item x="520"/>
        <item x="250"/>
        <item x="1395"/>
        <item x="2343"/>
        <item x="460"/>
        <item x="383"/>
        <item x="1405"/>
        <item x="1639"/>
        <item x="334"/>
        <item x="857"/>
        <item x="1061"/>
        <item x="2097"/>
        <item x="2291"/>
        <item x="1073"/>
        <item x="1515"/>
        <item x="157"/>
        <item x="449"/>
        <item x="621"/>
        <item x="1244"/>
        <item x="399"/>
        <item x="2358"/>
        <item x="403"/>
        <item x="2213"/>
        <item x="807"/>
        <item x="45"/>
        <item x="1345"/>
        <item x="1153"/>
        <item x="799"/>
        <item x="2341"/>
        <item x="823"/>
        <item x="2021"/>
        <item x="1419"/>
        <item x="307"/>
        <item x="1589"/>
        <item x="532"/>
        <item x="359"/>
        <item x="40"/>
        <item x="1734"/>
        <item x="2360"/>
        <item x="1183"/>
        <item x="1744"/>
        <item x="1210"/>
        <item x="1155"/>
        <item x="215"/>
        <item x="2389"/>
        <item x="1355"/>
        <item x="1036"/>
        <item x="750"/>
        <item x="1245"/>
        <item x="1089"/>
        <item x="1607"/>
        <item x="492"/>
        <item x="1085"/>
        <item x="1178"/>
        <item x="2406"/>
        <item x="974"/>
        <item x="719"/>
        <item x="2193"/>
        <item x="740"/>
        <item x="1739"/>
        <item x="644"/>
        <item x="1079"/>
        <item x="2169"/>
        <item x="1460"/>
        <item x="349"/>
        <item x="436"/>
        <item x="1279"/>
        <item x="660"/>
        <item x="1226"/>
        <item x="1573"/>
        <item x="2023"/>
        <item x="1720"/>
        <item x="1945"/>
        <item x="1314"/>
        <item x="1587"/>
        <item x="1349"/>
        <item x="1058"/>
        <item x="75"/>
        <item x="276"/>
        <item x="1813"/>
        <item x="490"/>
        <item x="846"/>
        <item x="1482"/>
        <item x="1950"/>
        <item x="545"/>
        <item x="2410"/>
        <item x="824"/>
        <item x="504"/>
        <item x="2353"/>
        <item x="1038"/>
        <item x="618"/>
        <item x="1793"/>
        <item x="1737"/>
        <item x="1542"/>
        <item x="1423"/>
        <item x="245"/>
        <item x="2140"/>
        <item x="10"/>
        <item x="755"/>
        <item x="176"/>
        <item x="1158"/>
        <item x="341"/>
        <item x="340"/>
        <item x="297"/>
        <item x="30"/>
        <item x="859"/>
        <item x="1108"/>
        <item x="548"/>
        <item x="55"/>
        <item x="1072"/>
        <item x="991"/>
        <item x="815"/>
        <item x="101"/>
        <item x="910"/>
        <item x="1106"/>
        <item x="2186"/>
        <item x="1719"/>
        <item x="1549"/>
        <item x="2415"/>
        <item x="1471"/>
        <item x="389"/>
        <item x="1593"/>
        <item x="736"/>
        <item x="797"/>
        <item x="1375"/>
        <item x="1921"/>
        <item x="845"/>
        <item x="1393"/>
        <item x="1543"/>
        <item x="2008"/>
        <item x="1273"/>
        <item x="1029"/>
        <item x="1412"/>
        <item x="943"/>
        <item x="1285"/>
        <item x="781"/>
        <item x="2315"/>
        <item x="1075"/>
        <item x="384"/>
        <item x="291"/>
        <item x="677"/>
        <item x="735"/>
        <item x="1066"/>
        <item x="2093"/>
        <item x="666"/>
        <item x="238"/>
        <item x="408"/>
        <item x="1056"/>
        <item x="1597"/>
        <item x="608"/>
        <item x="2305"/>
        <item x="2137"/>
        <item x="509"/>
        <item x="534"/>
        <item x="704"/>
        <item x="1895"/>
        <item x="1434"/>
        <item x="1832"/>
        <item x="372"/>
        <item x="1645"/>
        <item x="1970"/>
        <item x="649"/>
        <item x="2002"/>
        <item x="902"/>
        <item x="2202"/>
        <item x="261"/>
        <item x="473"/>
        <item x="2268"/>
        <item x="1225"/>
        <item x="1991"/>
        <item x="1726"/>
        <item x="110"/>
        <item x="2409"/>
        <item x="725"/>
        <item x="894"/>
        <item x="1389"/>
        <item x="1123"/>
        <item x="100"/>
        <item x="593"/>
        <item x="1708"/>
        <item x="305"/>
        <item x="319"/>
        <item x="1598"/>
        <item x="776"/>
        <item x="1867"/>
        <item x="2062"/>
        <item x="1742"/>
        <item x="513"/>
        <item x="1804"/>
        <item x="67"/>
        <item x="1077"/>
        <item x="2067"/>
        <item x="522"/>
        <item x="595"/>
        <item x="726"/>
        <item x="765"/>
        <item x="1753"/>
        <item x="1421"/>
        <item x="199"/>
        <item x="1646"/>
        <item x="1180"/>
        <item x="1463"/>
        <item x="425"/>
        <item x="1780"/>
        <item x="878"/>
        <item x="1348"/>
        <item x="1317"/>
        <item x="1859"/>
        <item x="989"/>
        <item x="494"/>
        <item x="1899"/>
        <item x="1833"/>
        <item x="1914"/>
        <item x="2369"/>
        <item x="2281"/>
        <item x="2345"/>
        <item x="972"/>
        <item x="1340"/>
        <item x="2253"/>
        <item x="2117"/>
        <item x="756"/>
        <item x="773"/>
        <item x="583"/>
        <item x="616"/>
        <item x="46"/>
        <item x="1710"/>
        <item x="1811"/>
        <item x="1937"/>
        <item x="612"/>
        <item x="1202"/>
        <item x="720"/>
        <item x="1062"/>
        <item x="2230"/>
        <item x="222"/>
        <item x="2337"/>
        <item x="346"/>
        <item x="1150"/>
        <item x="1948"/>
        <item x="1580"/>
        <item x="1604"/>
        <item x="1671"/>
        <item x="2242"/>
        <item x="1316"/>
        <item x="965"/>
        <item x="1724"/>
        <item x="149"/>
        <item x="1264"/>
        <item x="957"/>
        <item x="1678"/>
        <item x="1032"/>
        <item x="684"/>
        <item x="1207"/>
        <item x="834"/>
        <item x="1255"/>
        <item x="1346"/>
        <item x="2229"/>
        <item x="2306"/>
        <item x="295"/>
        <item x="1674"/>
        <item x="2099"/>
        <item x="2359"/>
        <item x="565"/>
        <item x="2005"/>
        <item x="801"/>
        <item x="896"/>
        <item x="2081"/>
        <item x="423"/>
        <item x="1663"/>
        <item x="741"/>
        <item x="605"/>
        <item x="84"/>
        <item x="211"/>
        <item x="2152"/>
        <item x="1137"/>
        <item x="229"/>
        <item x="851"/>
        <item x="1354"/>
        <item x="1772"/>
        <item x="1855"/>
        <item x="1530"/>
        <item x="530"/>
        <item x="2320"/>
        <item x="429"/>
        <item x="760"/>
        <item x="631"/>
        <item x="1230"/>
        <item x="98"/>
        <item x="1825"/>
        <item x="2014"/>
        <item x="1608"/>
        <item x="438"/>
        <item x="1481"/>
        <item x="1526"/>
        <item x="833"/>
        <item x="1"/>
        <item x="625"/>
        <item x="1080"/>
        <item x="994"/>
        <item x="1703"/>
        <item x="272"/>
        <item x="488"/>
        <item x="505"/>
        <item x="2163"/>
        <item x="2309"/>
        <item x="636"/>
        <item x="2068"/>
        <item x="2276"/>
        <item x="1304"/>
        <item x="514"/>
        <item x="921"/>
        <item x="814"/>
        <item x="1695"/>
        <item x="917"/>
        <item x="574"/>
        <item x="745"/>
        <item x="42"/>
        <item x="1139"/>
        <item x="2413"/>
        <item x="214"/>
        <item x="339"/>
        <item x="1189"/>
        <item x="1473"/>
        <item x="312"/>
        <item x="1732"/>
        <item x="287"/>
        <item x="628"/>
        <item x="1112"/>
        <item x="1963"/>
        <item x="2327"/>
        <item x="1411"/>
        <item x="184"/>
        <item x="1278"/>
        <item x="1262"/>
        <item x="2260"/>
        <item x="378"/>
        <item x="1626"/>
        <item x="1114"/>
        <item x="1975"/>
        <item x="1102"/>
        <item x="1407"/>
        <item x="2269"/>
        <item x="102"/>
        <item x="2378"/>
        <item x="705"/>
        <item x="140"/>
        <item x="1043"/>
        <item x="822"/>
        <item x="1361"/>
        <item x="969"/>
        <item x="2322"/>
        <item x="1820"/>
        <item x="805"/>
        <item x="386"/>
        <item x="681"/>
        <item x="179"/>
        <item x="1252"/>
        <item x="1922"/>
        <item x="2330"/>
        <item x="56"/>
        <item x="1274"/>
        <item x="1546"/>
        <item x="803"/>
        <item x="2092"/>
        <item x="474"/>
        <item x="62"/>
        <item x="2153"/>
        <item x="23"/>
        <item x="886"/>
        <item x="1575"/>
        <item x="2102"/>
        <item x="1648"/>
        <item x="470"/>
        <item x="2344"/>
        <item x="985"/>
        <item x="1848"/>
        <item x="1683"/>
        <item x="1213"/>
        <item x="66"/>
        <item x="249"/>
        <item x="1557"/>
        <item x="1132"/>
        <item x="417"/>
        <item x="12"/>
        <item x="1286"/>
        <item x="687"/>
        <item x="39"/>
        <item x="451"/>
        <item x="2086"/>
        <item x="1872"/>
        <item x="1253"/>
        <item x="1129"/>
        <item x="1282"/>
        <item x="221"/>
        <item x="1814"/>
        <item x="1334"/>
        <item x="1364"/>
        <item x="1013"/>
        <item x="2047"/>
        <item x="1276"/>
        <item x="173"/>
        <item x="1815"/>
        <item x="105"/>
        <item x="852"/>
        <item x="869"/>
        <item x="2121"/>
        <item x="1969"/>
        <item x="1545"/>
        <item x="1889"/>
        <item x="2054"/>
        <item x="923"/>
        <item x="987"/>
        <item x="1111"/>
        <item x="1046"/>
        <item x="784"/>
        <item x="2279"/>
        <item x="1653"/>
        <item x="1757"/>
        <item x="455"/>
        <item x="2256"/>
        <item x="2226"/>
        <item x="1700"/>
        <item x="1952"/>
        <item x="757"/>
        <item x="2079"/>
        <item x="691"/>
        <item x="125"/>
        <item x="1198"/>
        <item x="933"/>
        <item x="531"/>
        <item x="35"/>
        <item x="2312"/>
        <item x="146"/>
        <item x="2392"/>
        <item x="172"/>
        <item x="768"/>
        <item x="1908"/>
        <item x="2394"/>
        <item x="936"/>
        <item x="2262"/>
        <item x="1318"/>
        <item x="2043"/>
        <item x="1886"/>
        <item x="2007"/>
        <item x="1191"/>
        <item x="2311"/>
        <item x="336"/>
        <item x="393"/>
        <item x="135"/>
        <item x="1388"/>
        <item x="1602"/>
        <item x="1993"/>
        <item x="1954"/>
        <item x="1176"/>
        <item x="2154"/>
        <item x="1280"/>
        <item x="2267"/>
        <item x="345"/>
        <item x="2212"/>
        <item x="924"/>
        <item x="1152"/>
        <item x="692"/>
        <item x="2292"/>
        <item x="2198"/>
        <item x="1641"/>
        <item x="1105"/>
        <item x="461"/>
        <item x="723"/>
        <item x="1293"/>
        <item x="326"/>
        <item x="309"/>
        <item x="1792"/>
        <item x="2277"/>
        <item x="1795"/>
        <item x="1729"/>
        <item x="1267"/>
        <item x="133"/>
        <item x="1353"/>
        <item x="2196"/>
        <item x="1381"/>
        <item x="661"/>
        <item x="678"/>
        <item x="2026"/>
        <item x="301"/>
        <item x="2180"/>
        <item x="1521"/>
        <item x="1595"/>
        <item x="1827"/>
        <item x="464"/>
        <item x="1385"/>
        <item x="407"/>
        <item x="648"/>
        <item x="970"/>
        <item x="1145"/>
        <item x="1938"/>
        <item x="1294"/>
        <item x="435"/>
        <item x="1452"/>
        <item x="2232"/>
        <item x="922"/>
        <item x="523"/>
        <item x="405"/>
        <item x="400"/>
        <item x="1586"/>
        <item x="1019"/>
        <item x="1406"/>
        <item x="1821"/>
        <item x="1770"/>
        <item x="51"/>
        <item x="748"/>
        <item x="437"/>
        <item x="1668"/>
        <item x="1955"/>
        <item x="978"/>
        <item x="2096"/>
        <item x="2218"/>
        <item x="643"/>
        <item x="1288"/>
        <item x="2197"/>
        <item x="1560"/>
        <item x="235"/>
        <item x="1599"/>
        <item x="1834"/>
        <item x="1134"/>
        <item x="2006"/>
        <item x="1904"/>
        <item x="467"/>
        <item x="1427"/>
        <item x="1333"/>
        <item x="1812"/>
        <item x="2187"/>
        <item x="1236"/>
        <item x="2109"/>
        <item x="2204"/>
        <item x="401"/>
        <item x="1745"/>
        <item x="671"/>
        <item x="1996"/>
        <item x="2104"/>
        <item x="1131"/>
        <item x="1391"/>
        <item x="1275"/>
        <item x="300"/>
        <item x="1632"/>
        <item x="186"/>
        <item x="1326"/>
        <item x="137"/>
        <item x="1652"/>
        <item x="1677"/>
        <item x="1437"/>
        <item x="827"/>
        <item x="525"/>
        <item x="1851"/>
        <item x="2195"/>
        <item x="904"/>
        <item x="445"/>
        <item x="811"/>
        <item x="1034"/>
        <item x="27"/>
        <item x="254"/>
        <item x="1978"/>
        <item x="1842"/>
        <item x="1791"/>
        <item x="78"/>
        <item x="771"/>
        <item x="31"/>
        <item x="2185"/>
        <item x="49"/>
        <item x="41"/>
        <item x="1962"/>
        <item x="50"/>
        <item x="338"/>
        <item x="512"/>
        <item x="11"/>
        <item x="126"/>
        <item x="463"/>
        <item x="2252"/>
        <item x="2316"/>
        <item x="689"/>
        <item x="521"/>
        <item x="732"/>
        <item x="18"/>
        <item x="15"/>
        <item x="1037"/>
        <item x="1015"/>
        <item x="1675"/>
        <item x="2217"/>
        <item x="1335"/>
        <item x="2386"/>
        <item x="227"/>
        <item x="2064"/>
        <item x="2289"/>
        <item x="2227"/>
        <item x="196"/>
        <item x="2373"/>
        <item x="654"/>
        <item x="454"/>
        <item x="95"/>
        <item x="1990"/>
        <item x="1369"/>
        <item x="289"/>
        <item x="758"/>
        <item x="1496"/>
        <item x="540"/>
        <item x="1934"/>
        <item x="1618"/>
        <item x="2044"/>
        <item x="2244"/>
        <item x="1347"/>
        <item x="1920"/>
        <item x="1799"/>
        <item x="1966"/>
        <item x="645"/>
        <item x="2403"/>
        <item x="2365"/>
        <item x="1269"/>
        <item x="141"/>
        <item x="256"/>
        <item x="79"/>
        <item x="1128"/>
        <item x="274"/>
        <item x="871"/>
        <item x="1016"/>
        <item x="491"/>
        <item x="178"/>
        <item x="182"/>
        <item x="277"/>
        <item x="695"/>
        <item x="410"/>
        <item x="302"/>
        <item x="3"/>
        <item x="683"/>
        <item x="2319"/>
        <item x="1620"/>
        <item x="497"/>
        <item x="271"/>
        <item x="1576"/>
        <item x="1298"/>
        <item x="1865"/>
        <item x="836"/>
        <item x="208"/>
        <item x="2065"/>
        <item x="2182"/>
        <item x="2374"/>
        <item x="2323"/>
        <item x="281"/>
        <item x="1201"/>
        <item x="20"/>
        <item x="1878"/>
        <item x="68"/>
        <item x="617"/>
        <item x="2143"/>
        <item x="893"/>
        <item x="441"/>
        <item x="1367"/>
        <item x="2411"/>
        <item x="1959"/>
        <item x="1101"/>
        <item x="0"/>
        <item x="411"/>
        <item x="607"/>
        <item x="118"/>
        <item x="283"/>
        <item x="790"/>
        <item x="976"/>
        <item x="1705"/>
        <item x="603"/>
        <item x="699"/>
        <item x="2422"/>
        <item x="2106"/>
        <item x="1373"/>
        <item x="872"/>
        <item x="1387"/>
        <item x="2246"/>
        <item x="1801"/>
        <item x="207"/>
        <item x="556"/>
        <item x="328"/>
        <item x="240"/>
        <item x="1357"/>
        <item x="122"/>
        <item x="1794"/>
        <item x="1235"/>
        <item x="1510"/>
        <item x="1511"/>
        <item x="2122"/>
        <item x="1701"/>
        <item x="1972"/>
        <item x="1894"/>
        <item x="1060"/>
        <item x="1315"/>
        <item x="2285"/>
        <item x="352"/>
        <item x="2184"/>
        <item x="2052"/>
        <item x="1905"/>
        <item x="2087"/>
        <item x="2240"/>
        <item x="353"/>
        <item x="2381"/>
        <item x="2161"/>
        <item x="1270"/>
        <item x="1616"/>
        <item x="321"/>
        <item x="1571"/>
        <item x="1731"/>
        <item x="571"/>
        <item x="1756"/>
        <item x="367"/>
        <item x="1497"/>
        <item x="1196"/>
        <item x="2048"/>
        <item x="1853"/>
        <item x="1638"/>
        <item x="1615"/>
        <item x="1884"/>
        <item x="817"/>
        <item x="835"/>
        <item x="2271"/>
        <item x="1118"/>
        <item x="2058"/>
        <item x="1174"/>
        <item x="632"/>
        <item x="1809"/>
        <item x="2243"/>
        <item x="1428"/>
        <item x="360"/>
        <item x="1987"/>
        <item x="527"/>
        <item x="2377"/>
        <item x="2015"/>
        <item x="1603"/>
        <item x="195"/>
        <item x="1027"/>
        <item x="663"/>
        <item x="1342"/>
        <item x="1785"/>
        <item x="1778"/>
        <item x="2138"/>
        <item x="2118"/>
        <item x="1396"/>
        <item x="1839"/>
        <item x="2254"/>
        <item x="1873"/>
        <item x="2060"/>
        <item x="2397"/>
        <item x="356"/>
        <item x="717"/>
        <item x="428"/>
        <item x="925"/>
        <item x="1070"/>
        <item x="1751"/>
        <item x="1930"/>
        <item x="742"/>
        <item x="1312"/>
        <item x="2024"/>
        <item x="2025"/>
        <item x="114"/>
        <item x="2245"/>
        <item x="1005"/>
        <item x="368"/>
        <item x="1940"/>
        <item x="1862"/>
        <item x="598"/>
        <item x="1384"/>
        <item x="170"/>
        <item x="1383"/>
        <item x="1559"/>
        <item x="48"/>
        <item x="243"/>
        <item x="1642"/>
        <item x="576"/>
        <item x="395"/>
        <item x="1897"/>
        <item x="561"/>
        <item x="1746"/>
        <item x="2274"/>
        <item x="775"/>
        <item x="1067"/>
        <item x="587"/>
        <item x="391"/>
        <item x="402"/>
        <item x="33"/>
        <item x="1721"/>
        <item x="2150"/>
        <item x="2416"/>
        <item x="1764"/>
        <item x="2009"/>
        <item x="452"/>
        <item x="1474"/>
        <item x="2324"/>
        <item x="1562"/>
        <item x="554"/>
        <item x="546"/>
        <item x="1556"/>
        <item x="1172"/>
        <item x="1531"/>
        <item x="2207"/>
        <item x="468"/>
        <item x="457"/>
        <item x="981"/>
        <item x="1953"/>
        <item x="535"/>
        <item x="4"/>
        <item x="588"/>
        <item x="2039"/>
        <item x="673"/>
        <item x="1883"/>
        <item x="2132"/>
        <item x="1577"/>
        <item x="641"/>
        <item x="564"/>
        <item x="568"/>
        <item x="472"/>
        <item x="1044"/>
        <item x="809"/>
        <item x="479"/>
        <item x="1160"/>
        <item x="1787"/>
        <item x="1260"/>
        <item x="1902"/>
        <item x="257"/>
        <item x="1655"/>
        <item x="1440"/>
        <item x="584"/>
        <item x="2074"/>
        <item x="1672"/>
        <item x="570"/>
        <item x="2107"/>
        <item x="1553"/>
        <item x="1704"/>
        <item x="1727"/>
        <item x="236"/>
        <item x="1064"/>
        <item x="930"/>
        <item x="888"/>
        <item x="106"/>
        <item x="63"/>
        <item x="475"/>
        <item x="188"/>
        <item x="442"/>
        <item x="418"/>
        <item x="664"/>
        <item x="1021"/>
        <item x="767"/>
        <item x="928"/>
        <item x="903"/>
        <item x="686"/>
        <item x="2000"/>
        <item x="2400"/>
        <item x="1588"/>
        <item x="1162"/>
        <item x="931"/>
        <item x="511"/>
        <item x="518"/>
        <item x="1767"/>
        <item x="861"/>
        <item x="130"/>
        <item x="374"/>
        <item x="1480"/>
        <item x="844"/>
        <item x="1444"/>
        <item x="2372"/>
        <item x="968"/>
        <item x="1614"/>
        <item x="866"/>
        <item x="2261"/>
        <item x="597"/>
        <item x="1147"/>
        <item x="1211"/>
        <item x="1903"/>
        <item x="2203"/>
        <item x="1467"/>
        <item x="233"/>
        <item x="2349"/>
        <item x="112"/>
        <item x="1606"/>
        <item x="2303"/>
        <item x="1926"/>
        <item x="93"/>
        <item x="2172"/>
        <item x="738"/>
        <item x="842"/>
        <item x="294"/>
        <item x="1673"/>
        <item x="828"/>
        <item x="2396"/>
        <item x="76"/>
        <item x="2395"/>
        <item x="2248"/>
        <item x="1613"/>
        <item x="1479"/>
        <item x="1377"/>
        <item x="1194"/>
        <item x="2073"/>
        <item x="1195"/>
        <item x="1451"/>
        <item x="905"/>
        <item x="2036"/>
        <item x="1863"/>
        <item x="255"/>
        <item x="1074"/>
        <item x="1003"/>
        <item x="2040"/>
        <item x="43"/>
        <item x="38"/>
        <item x="986"/>
        <item x="2148"/>
        <item x="253"/>
        <item x="2264"/>
        <item x="420"/>
        <item x="1816"/>
        <item x="1931"/>
        <item x="882"/>
        <item x="1099"/>
        <item x="2127"/>
        <item x="52"/>
        <item x="2156"/>
        <item x="680"/>
        <item x="1584"/>
        <item x="558"/>
        <item x="241"/>
        <item x="724"/>
        <item x="721"/>
        <item x="21"/>
        <item x="819"/>
        <item x="1656"/>
        <item x="462"/>
        <item x="2129"/>
        <item x="72"/>
        <item x="466"/>
        <item x="2388"/>
        <item x="763"/>
        <item x="365"/>
        <item x="840"/>
        <item x="782"/>
        <item x="1725"/>
        <item x="1018"/>
        <item x="1115"/>
        <item x="1654"/>
        <item x="850"/>
        <item x="858"/>
        <item x="864"/>
        <item x="1203"/>
        <item x="1368"/>
        <item x="879"/>
        <item x="2066"/>
        <item x="1776"/>
        <item x="194"/>
        <item x="729"/>
        <item x="770"/>
        <item x="1322"/>
        <item x="485"/>
        <item x="898"/>
        <item x="1896"/>
        <item x="940"/>
        <item x="2089"/>
        <item x="1093"/>
        <item x="2251"/>
        <item x="995"/>
        <item x="539"/>
        <item x="431"/>
        <item x="1500"/>
        <item x="183"/>
        <item x="855"/>
        <item x="2149"/>
        <item x="1281"/>
        <item x="1941"/>
        <item x="2326"/>
        <item x="369"/>
        <item x="901"/>
        <item x="862"/>
        <item x="426"/>
        <item x="1289"/>
        <item x="1581"/>
        <item x="330"/>
        <item x="2250"/>
        <item x="1495"/>
        <item x="187"/>
        <item x="1669"/>
        <item x="1287"/>
        <item x="1259"/>
        <item x="841"/>
        <item x="1498"/>
        <item x="592"/>
        <item x="549"/>
        <item x="1338"/>
        <item x="1986"/>
        <item x="2059"/>
        <item x="1031"/>
        <item x="2278"/>
        <item x="778"/>
        <item x="2283"/>
        <item x="1824"/>
        <item x="1550"/>
        <item x="2380"/>
        <item x="228"/>
        <item x="1659"/>
        <item x="1050"/>
        <item x="1983"/>
        <item x="1696"/>
        <item x="1686"/>
        <item x="2367"/>
        <item x="1052"/>
        <item x="1053"/>
        <item x="932"/>
        <item x="1319"/>
        <item x="2331"/>
        <item x="1328"/>
        <item x="1533"/>
        <item x="1081"/>
        <item x="542"/>
        <item x="1893"/>
        <item x="1084"/>
        <item x="278"/>
        <item x="1087"/>
        <item x="487"/>
        <item x="2301"/>
        <item x="1238"/>
        <item x="1096"/>
        <item x="528"/>
        <item x="1989"/>
        <item x="1107"/>
        <item x="29"/>
        <item x="2340"/>
        <item x="2224"/>
        <item x="1100"/>
        <item x="1068"/>
        <item x="70"/>
        <item x="589"/>
        <item x="1749"/>
        <item x="2151"/>
        <item x="847"/>
        <item x="1760"/>
        <item x="1798"/>
        <item x="2234"/>
        <item x="347"/>
        <item x="314"/>
        <item x="950"/>
        <item x="656"/>
        <item x="1838"/>
        <item x="1208"/>
        <item x="1489"/>
        <item x="1146"/>
        <item x="2017"/>
        <item x="1740"/>
        <item x="1154"/>
        <item x="268"/>
        <item x="1193"/>
        <item x="619"/>
        <item x="304"/>
        <item x="880"/>
        <item x="161"/>
        <item x="1504"/>
        <item x="2210"/>
        <item x="267"/>
        <item x="1957"/>
        <item x="2418"/>
        <item x="1998"/>
        <item x="1350"/>
        <item x="1470"/>
        <item x="2263"/>
        <item x="478"/>
        <item x="1488"/>
        <item x="2124"/>
        <item x="938"/>
        <item x="792"/>
        <item x="2390"/>
        <item x="430"/>
        <item x="1762"/>
        <item x="774"/>
        <item x="1356"/>
        <item x="1352"/>
        <item x="218"/>
        <item x="1711"/>
        <item x="1519"/>
        <item x="313"/>
        <item x="2051"/>
        <item x="1694"/>
        <item x="1179"/>
        <item x="1205"/>
        <item x="804"/>
        <item x="2235"/>
        <item x="516"/>
        <item x="132"/>
        <item x="440"/>
        <item x="870"/>
        <item x="1688"/>
        <item x="99"/>
        <item x="1297"/>
        <item x="2407"/>
        <item x="7"/>
        <item x="1722"/>
        <item x="1306"/>
        <item x="1658"/>
        <item x="2028"/>
        <item x="1325"/>
        <item x="1730"/>
        <item x="942"/>
        <item x="36"/>
        <item x="2170"/>
        <item x="622"/>
        <item x="2159"/>
        <item x="1410"/>
        <item x="1097"/>
        <item x="913"/>
        <item x="563"/>
        <item x="2034"/>
        <item x="2123"/>
        <item x="406"/>
        <item x="213"/>
        <item x="1284"/>
        <item x="1633"/>
        <item x="2018"/>
        <item x="577"/>
        <item x="962"/>
        <item x="1960"/>
        <item x="259"/>
        <item x="2056"/>
        <item x="1665"/>
        <item x="685"/>
        <item x="1748"/>
        <item x="247"/>
        <item x="2342"/>
        <item x="1538"/>
        <item x="1167"/>
        <item x="252"/>
        <item x="1358"/>
        <item x="2181"/>
        <item x="2238"/>
        <item x="2222"/>
        <item x="752"/>
        <item x="1774"/>
        <item x="299"/>
        <item x="1956"/>
        <item x="220"/>
        <item x="1170"/>
        <item x="1119"/>
        <item x="1414"/>
        <item x="1692"/>
        <item x="1432"/>
        <item x="1999"/>
        <item x="34"/>
        <item x="1390"/>
        <item x="1310"/>
        <item x="1971"/>
        <item x="1433"/>
        <item x="456"/>
        <item x="1041"/>
        <item x="1525"/>
        <item x="2414"/>
        <item x="90"/>
        <item x="1892"/>
        <item x="1803"/>
        <item x="2029"/>
        <item x="806"/>
        <item x="2146"/>
        <item x="1840"/>
        <item x="1443"/>
        <item x="1446"/>
        <item x="1454"/>
        <item x="2404"/>
        <item x="698"/>
        <item x="1472"/>
        <item x="1477"/>
        <item x="579"/>
        <item x="1492"/>
        <item x="1540"/>
        <item x="909"/>
        <item x="2045"/>
        <item x="2282"/>
        <item x="1635"/>
        <item x="1083"/>
        <item x="2216"/>
        <item x="1647"/>
        <item x="1509"/>
        <item x="1699"/>
        <item x="502"/>
        <item x="926"/>
        <item x="2049"/>
        <item x="344"/>
        <item x="2136"/>
        <item x="1397"/>
        <item x="1936"/>
        <item x="1076"/>
        <item x="1234"/>
        <item x="1891"/>
        <item x="1568"/>
        <item x="1743"/>
        <item x="147"/>
        <item x="1199"/>
        <item x="364"/>
        <item x="432"/>
        <item x="1337"/>
        <item x="212"/>
        <item x="1216"/>
        <item x="2082"/>
        <item x="1988"/>
        <item x="2233"/>
        <item x="2241"/>
        <item x="816"/>
        <item x="996"/>
        <item x="1759"/>
        <item x="116"/>
        <item x="163"/>
        <item x="1447"/>
        <item x="1431"/>
        <item x="77"/>
        <item x="1622"/>
        <item x="1623"/>
        <item x="398"/>
        <item x="1629"/>
        <item x="1239"/>
        <item x="1805"/>
        <item x="1478"/>
        <item x="890"/>
        <item x="1660"/>
        <item x="1850"/>
        <item x="2273"/>
        <item x="1866"/>
        <item x="2160"/>
        <item x="2176"/>
        <item x="1657"/>
        <item x="324"/>
        <item x="1682"/>
        <item x="1309"/>
        <item x="984"/>
        <item x="1680"/>
        <item x="1681"/>
        <item x="1302"/>
        <item x="144"/>
        <item x="265"/>
        <item x="1698"/>
        <item x="2027"/>
        <item x="998"/>
        <item x="1976"/>
        <item x="800"/>
        <item x="1424"/>
        <item x="2308"/>
        <item x="1232"/>
        <item x="1184"/>
        <item x="524"/>
        <item x="1984"/>
        <item x="1468"/>
        <item x="2280"/>
        <item x="653"/>
        <item x="1869"/>
        <item x="737"/>
        <item x="244"/>
        <item x="1548"/>
        <item x="1712"/>
        <item x="1625"/>
        <item x="1237"/>
        <item x="1736"/>
        <item x="2162"/>
        <item x="1351"/>
        <item x="37"/>
        <item x="1943"/>
        <item x="1775"/>
        <item x="2287"/>
        <item x="156"/>
        <item x="1874"/>
        <item x="2321"/>
        <item x="1250"/>
        <item x="493"/>
        <item x="150"/>
        <item x="248"/>
        <item x="1520"/>
        <item x="92"/>
        <item x="1552"/>
        <item x="975"/>
        <item x="1644"/>
        <item x="1690"/>
        <item x="1980"/>
        <item x="495"/>
        <item x="1860"/>
        <item x="1747"/>
        <item x="282"/>
        <item x="1450"/>
        <item x="273"/>
        <item x="1852"/>
        <item x="61"/>
        <item x="191"/>
        <item x="1246"/>
        <item x="2368"/>
        <item x="189"/>
        <item x="316"/>
        <item x="1796"/>
        <item x="2313"/>
        <item x="433"/>
        <item x="1763"/>
        <item x="1188"/>
        <item x="1951"/>
        <item x="65"/>
        <item x="1854"/>
        <item x="1249"/>
        <item x="964"/>
        <item x="2189"/>
        <item x="397"/>
        <item x="927"/>
        <item x="2194"/>
        <item x="2"/>
        <item x="1374"/>
        <item x="28"/>
        <item x="2105"/>
        <item x="1915"/>
        <item x="1561"/>
        <item x="837"/>
        <item x="169"/>
        <item x="337"/>
        <item x="1768"/>
        <item x="1551"/>
        <item x="1040"/>
        <item x="665"/>
        <item x="2402"/>
        <item x="2376"/>
        <item x="1643"/>
        <item x="945"/>
        <item x="1830"/>
        <item x="551"/>
        <item x="937"/>
        <item x="2091"/>
        <item x="1004"/>
        <item x="997"/>
        <item x="177"/>
        <item x="2098"/>
        <item x="1627"/>
        <item x="1265"/>
        <item x="83"/>
        <item x="2004"/>
        <item x="2294"/>
        <item x="949"/>
        <item x="2348"/>
        <item x="2270"/>
        <item x="2167"/>
        <item x="1283"/>
        <item x="1124"/>
        <item x="73"/>
        <item x="1125"/>
        <item x="1513"/>
        <item x="414"/>
        <item x="1047"/>
        <item x="960"/>
        <item x="1979"/>
        <item x="1400"/>
        <item x="348"/>
        <item x="812"/>
        <item x="818"/>
        <item x="2272"/>
        <item x="2350"/>
        <item x="727"/>
        <item x="1578"/>
        <item x="600"/>
        <item x="1706"/>
        <item x="1429"/>
        <item x="793"/>
        <item x="1651"/>
        <item x="1392"/>
        <item x="951"/>
        <item x="1168"/>
        <item x="1932"/>
        <item x="2417"/>
        <item x="716"/>
        <item x="1126"/>
        <item x="537"/>
        <item x="1261"/>
        <item x="382"/>
        <item x="838"/>
        <item x="2298"/>
        <item x="1508"/>
        <item x="2220"/>
        <item x="1964"/>
        <item x="541"/>
        <item x="2339"/>
        <item x="2142"/>
        <item x="53"/>
        <item x="1807"/>
        <item x="2020"/>
        <item x="1359"/>
        <item x="1459"/>
        <item x="2094"/>
        <item x="1484"/>
        <item x="1876"/>
        <item x="1458"/>
        <item x="956"/>
        <item x="1422"/>
        <item x="1715"/>
        <item x="1800"/>
        <item x="900"/>
        <item x="2155"/>
        <item x="2131"/>
        <item x="1558"/>
        <item x="1944"/>
        <item x="966"/>
        <item x="2171"/>
        <item x="2053"/>
        <item x="1773"/>
        <item x="1836"/>
        <item x="450"/>
        <item x="1503"/>
        <item x="887"/>
        <item x="143"/>
        <item x="810"/>
        <item x="2084"/>
        <item x="1592"/>
        <item x="1442"/>
        <item x="1305"/>
        <item x="416"/>
        <item x="58"/>
        <item x="2205"/>
        <item x="2165"/>
        <item x="1242"/>
        <item x="2370"/>
        <item x="2408"/>
        <item x="638"/>
        <item x="2001"/>
        <item x="1007"/>
        <item x="499"/>
        <item x="1750"/>
        <item x="2013"/>
        <item x="1819"/>
        <item x="1982"/>
        <item x="1779"/>
        <item x="2223"/>
        <item x="2083"/>
        <item x="955"/>
        <item x="1224"/>
        <item x="1057"/>
        <item x="1214"/>
        <item x="1906"/>
        <item x="1790"/>
        <item x="459"/>
        <item x="533"/>
        <item x="907"/>
        <item x="1666"/>
        <item x="2299"/>
        <item x="2095"/>
        <item x="1717"/>
        <item x="883"/>
        <item x="1822"/>
        <item x="500"/>
        <item x="342"/>
        <item x="1961"/>
        <item x="2385"/>
        <item x="200"/>
        <item x="269"/>
        <item x="1831"/>
        <item x="1382"/>
        <item x="1323"/>
        <item x="138"/>
        <item x="1401"/>
        <item x="971"/>
        <item x="708"/>
        <item x="2100"/>
        <item x="424"/>
        <item x="934"/>
        <item x="1786"/>
        <item x="1758"/>
        <item x="1177"/>
        <item x="1900"/>
        <item x="2030"/>
        <item x="409"/>
        <item x="1539"/>
        <item x="566"/>
        <item x="1534"/>
        <item x="2031"/>
        <item x="1049"/>
        <item x="1505"/>
        <item x="376"/>
        <item x="2363"/>
        <item x="1516"/>
        <item x="2237"/>
        <item x="1404"/>
        <item x="1870"/>
        <item x="2236"/>
        <item x="1243"/>
        <item x="1140"/>
        <item x="919"/>
        <item x="1506"/>
        <item x="609"/>
        <item x="2077"/>
        <item x="1512"/>
        <item x="1445"/>
        <item x="1939"/>
        <item x="796"/>
        <item x="1360"/>
        <item x="1864"/>
        <item x="1257"/>
        <item x="1090"/>
        <item x="2300"/>
        <item x="2249"/>
        <item x="2412"/>
        <item x="640"/>
        <item x="582"/>
        <item x="2255"/>
        <item x="2266"/>
        <item x="1808"/>
        <item x="503"/>
        <item x="2037"/>
        <item x="2346"/>
        <item x="1048"/>
        <item x="120"/>
        <item x="1967"/>
        <item x="510"/>
        <item x="739"/>
        <item x="766"/>
        <item x="1630"/>
        <item x="155"/>
        <item x="2215"/>
        <item x="1296"/>
        <item x="2231"/>
        <item x="311"/>
        <item x="1398"/>
        <item x="2366"/>
        <item x="754"/>
        <item x="2208"/>
        <item x="14"/>
        <item x="1942"/>
        <item x="1911"/>
        <item x="2334"/>
        <item x="1181"/>
        <item x="484"/>
        <item x="404"/>
        <item x="655"/>
        <item x="1579"/>
        <item x="2103"/>
        <item x="2354"/>
        <item x="1409"/>
        <item x="1332"/>
        <item x="323"/>
        <item x="148"/>
        <item x="961"/>
        <item x="1871"/>
        <item x="2209"/>
        <item x="1141"/>
        <item x="601"/>
        <item x="377"/>
        <item x="159"/>
        <item x="2310"/>
        <item x="2141"/>
        <item x="1023"/>
        <item x="152"/>
        <item x="483"/>
        <item x="578"/>
        <item x="1063"/>
        <item x="1370"/>
        <item x="1103"/>
        <item x="988"/>
        <item x="1766"/>
        <item x="1487"/>
        <item x="2019"/>
        <item x="1733"/>
        <item x="303"/>
        <item x="920"/>
        <item x="908"/>
        <item x="1187"/>
        <item x="1217"/>
        <item x="1327"/>
        <item x="1039"/>
        <item x="783"/>
        <item x="1371"/>
        <item x="1156"/>
        <item x="1661"/>
        <item x="1204"/>
        <item x="538"/>
        <item x="1564"/>
        <item x="2119"/>
        <item x="832"/>
        <item x="1981"/>
        <item x="1212"/>
        <item x="88"/>
        <item x="2219"/>
        <item x="2125"/>
        <item x="1219"/>
        <item x="1968"/>
        <item x="1033"/>
        <item x="1206"/>
        <item x="1024"/>
        <item x="1935"/>
        <item x="1343"/>
        <item x="1133"/>
        <item x="1523"/>
        <item x="791"/>
        <item x="559"/>
        <item x="1416"/>
        <item x="1122"/>
        <item x="2101"/>
        <item x="1887"/>
        <item x="332"/>
        <item x="929"/>
        <item x="202"/>
        <item x="447"/>
        <item x="262"/>
        <item x="26"/>
        <item x="517"/>
        <item x="526"/>
        <item x="863"/>
        <item x="2115"/>
        <item x="1088"/>
        <item x="448"/>
        <item x="572"/>
        <item x="529"/>
        <item x="2297"/>
        <item x="1927"/>
        <item x="1572"/>
        <item x="275"/>
        <item x="1755"/>
        <item x="331"/>
        <item x="164"/>
        <item x="1823"/>
        <item x="1817"/>
        <item x="306"/>
        <item x="104"/>
        <item x="1574"/>
        <item x="2158"/>
        <item x="2228"/>
        <item x="174"/>
        <item x="1946"/>
        <item x="113"/>
        <item x="1109"/>
        <item x="813"/>
        <item x="585"/>
        <item x="1702"/>
        <item x="142"/>
        <item x="875"/>
        <item x="1569"/>
        <item x="1916"/>
        <item x="876"/>
        <item x="1138"/>
        <item x="2375"/>
        <item x="1054"/>
        <item x="634"/>
        <item x="1042"/>
        <item x="939"/>
        <item x="57"/>
        <item x="1069"/>
        <item x="2050"/>
        <item x="1858"/>
        <item x="1182"/>
        <item x="1110"/>
        <item x="1567"/>
        <item x="1596"/>
        <item x="119"/>
        <item x="839"/>
        <item x="614"/>
        <item x="310"/>
        <item x="477"/>
        <item x="1493"/>
        <item x="831"/>
        <item x="1723"/>
        <item x="1120"/>
        <item x="2070"/>
        <item x="2108"/>
        <item x="2200"/>
        <item x="2338"/>
        <item x="69"/>
        <item x="1082"/>
        <item x="290"/>
        <item x="292"/>
        <item x="427"/>
        <item x="1173"/>
        <item x="1197"/>
        <item x="1012"/>
        <item x="744"/>
        <item x="733"/>
        <item x="2042"/>
        <item x="709"/>
        <item x="134"/>
        <item x="557"/>
        <item x="2304"/>
        <item x="2063"/>
        <item x="1826"/>
        <item x="808"/>
        <item x="620"/>
        <item x="1924"/>
        <item x="697"/>
        <item x="1591"/>
        <item x="165"/>
        <item x="1636"/>
        <item x="1619"/>
        <item x="1441"/>
        <item x="2061"/>
        <item x="127"/>
        <item x="325"/>
        <item x="234"/>
        <item x="270"/>
        <item x="351"/>
        <item x="1929"/>
        <item x="1022"/>
        <item x="1494"/>
        <item x="1713"/>
        <item x="387"/>
        <item x="711"/>
        <item x="54"/>
        <item x="2239"/>
        <item x="107"/>
        <item x="952"/>
        <item x="1594"/>
        <item x="362"/>
        <item x="2145"/>
        <item x="85"/>
        <item x="2307"/>
        <item x="1771"/>
        <item x="1624"/>
        <item x="786"/>
        <item x="1086"/>
        <item x="1857"/>
        <item x="604"/>
        <item x="91"/>
        <item x="2133"/>
        <item x="1709"/>
        <item x="22"/>
        <item x="286"/>
        <item x="1835"/>
        <item x="1457"/>
        <item x="536"/>
        <item x="1583"/>
        <item x="1664"/>
        <item x="2139"/>
        <item x="1025"/>
        <item x="1947"/>
        <item x="2265"/>
        <item x="124"/>
        <item x="1006"/>
        <item x="553"/>
        <item x="1631"/>
        <item x="669"/>
        <item x="121"/>
        <item x="9"/>
        <item x="44"/>
        <item x="266"/>
        <item x="89"/>
        <item x="2022"/>
        <item x="659"/>
        <item x="2035"/>
        <item x="60"/>
        <item x="1376"/>
        <item x="1002"/>
        <item x="496"/>
        <item x="1185"/>
        <item x="2328"/>
        <item x="751"/>
        <item x="1527"/>
        <item x="639"/>
        <item x="2199"/>
        <item x="2164"/>
        <item x="1486"/>
        <item x="1890"/>
        <item x="1555"/>
        <item x="1394"/>
        <item x="224"/>
        <item x="630"/>
        <item x="1933"/>
        <item x="1372"/>
        <item x="1585"/>
        <item x="2055"/>
        <item x="1524"/>
        <item x="1861"/>
        <item x="2318"/>
        <item x="1797"/>
        <item x="2012"/>
        <item x="2295"/>
        <item x="853"/>
        <item x="1547"/>
        <item x="419"/>
        <item x="690"/>
        <item x="1366"/>
        <item x="854"/>
        <item x="2371"/>
        <item x="707"/>
        <item x="1875"/>
        <item x="560"/>
        <item x="1268"/>
        <item x="1789"/>
        <item x="2393"/>
        <item x="1065"/>
        <item x="2335"/>
        <item x="1026"/>
        <item x="370"/>
        <item x="284"/>
        <item x="2111"/>
        <item x="613"/>
        <item x="1209"/>
        <item x="2116"/>
        <item x="562"/>
        <item x="1783"/>
        <item x="2333"/>
        <item x="1290"/>
        <item x="308"/>
        <item x="1741"/>
        <item x="246"/>
        <item x="1637"/>
        <item x="167"/>
        <item x="826"/>
        <item x="1095"/>
        <item x="97"/>
        <item x="469"/>
        <item x="713"/>
        <item x="192"/>
        <item x="1847"/>
        <item x="897"/>
        <item x="8"/>
        <item x="422"/>
        <item x="675"/>
        <item x="722"/>
        <item x="1611"/>
        <item x="626"/>
        <item x="777"/>
        <item x="204"/>
        <item x="761"/>
        <item x="825"/>
        <item x="231"/>
        <item x="1163"/>
        <item x="153"/>
        <item x="251"/>
        <item x="519"/>
        <item x="596"/>
        <item x="506"/>
        <item x="1028"/>
        <item x="2286"/>
        <item x="575"/>
        <item x="1901"/>
        <item x="219"/>
        <item x="1149"/>
        <item t="default" sd="0"/>
      </items>
    </pivotField>
    <pivotField name="영어문장" compact="0" outline="0" showAll="0">
      <items count="2416">
        <item x="2052"/>
        <item x="74"/>
        <item x="2178"/>
        <item x="1157"/>
        <item x="1198"/>
        <item x="999"/>
        <item x="941"/>
        <item x="1216"/>
        <item x="480"/>
        <item x="1363"/>
        <item x="2411"/>
        <item x="237"/>
        <item x="2073"/>
        <item x="569"/>
        <item x="1275"/>
        <item x="2201"/>
        <item x="1184"/>
        <item x="679"/>
        <item x="476"/>
        <item x="1725"/>
        <item x="2392"/>
        <item x="2108"/>
        <item x="1016"/>
        <item x="703"/>
        <item x="2174"/>
        <item x="2384"/>
        <item x="1480"/>
        <item x="1515"/>
        <item x="1758"/>
        <item x="1713"/>
        <item x="1605"/>
        <item x="94"/>
        <item x="1833"/>
        <item x="296"/>
        <item x="2169"/>
        <item x="381"/>
        <item x="1141"/>
        <item x="1675"/>
        <item x="780"/>
        <item x="366"/>
        <item x="1058"/>
        <item x="390"/>
        <item x="2241"/>
        <item x="1415"/>
        <item x="1563"/>
        <item x="2357"/>
        <item x="700"/>
        <item x="2027"/>
        <item x="357"/>
        <item x="2105"/>
        <item x="1269"/>
        <item x="1463"/>
        <item x="798"/>
        <item x="543"/>
        <item x="567"/>
        <item x="327"/>
        <item x="1617"/>
        <item x="2340"/>
        <item x="205"/>
        <item x="394"/>
        <item x="860"/>
        <item x="1944"/>
        <item x="1249"/>
        <item x="2139"/>
        <item x="81"/>
        <item x="1029"/>
        <item x="2066"/>
        <item x="1646"/>
        <item x="795"/>
        <item x="59"/>
        <item x="1498"/>
        <item x="2208"/>
        <item x="948"/>
        <item x="676"/>
        <item x="453"/>
        <item x="2344"/>
        <item x="507"/>
        <item x="1329"/>
        <item x="1998"/>
        <item x="2085"/>
        <item x="1496"/>
        <item x="682"/>
        <item x="2123"/>
        <item x="747"/>
        <item x="874"/>
        <item x="668"/>
        <item x="2391"/>
        <item x="594"/>
        <item x="2168"/>
        <item x="379"/>
        <item x="443"/>
        <item x="615"/>
        <item x="1221"/>
        <item x="728"/>
        <item x="946"/>
        <item x="1189"/>
        <item x="181"/>
        <item x="1825"/>
        <item x="1814"/>
        <item x="1683"/>
        <item x="501"/>
        <item x="899"/>
        <item x="642"/>
        <item x="992"/>
        <item x="2125"/>
        <item x="1435"/>
        <item x="1225"/>
        <item x="1126"/>
        <item x="1129"/>
        <item x="746"/>
        <item x="889"/>
        <item x="1254"/>
        <item x="1238"/>
        <item x="392"/>
        <item x="279"/>
        <item x="2354"/>
        <item x="881"/>
        <item x="646"/>
        <item x="1070"/>
        <item x="2310"/>
        <item x="131"/>
        <item x="1396"/>
        <item x="2196"/>
        <item x="2006"/>
        <item x="843"/>
        <item x="242"/>
        <item x="115"/>
        <item x="1711"/>
        <item x="1000"/>
        <item x="1187"/>
        <item x="2350"/>
        <item x="647"/>
        <item x="1908"/>
        <item x="1436"/>
        <item x="1562"/>
        <item x="1987"/>
        <item x="1361"/>
        <item x="762"/>
        <item x="2075"/>
        <item x="361"/>
        <item x="802"/>
        <item x="1322"/>
        <item x="355"/>
        <item x="1414"/>
        <item x="602"/>
        <item x="769"/>
        <item x="1299"/>
        <item x="1164"/>
        <item x="2345"/>
        <item x="1989"/>
        <item x="1459"/>
        <item x="2130"/>
        <item x="2163"/>
        <item x="1270"/>
        <item x="388"/>
        <item x="1960"/>
        <item x="1802"/>
        <item x="789"/>
        <item x="1785"/>
        <item x="1766"/>
        <item x="2318"/>
        <item x="1472"/>
        <item x="2380"/>
        <item x="446"/>
        <item x="2375"/>
        <item x="829"/>
        <item x="1586"/>
        <item x="1218"/>
        <item x="333"/>
        <item x="1453"/>
        <item x="1290"/>
        <item x="2142"/>
        <item x="1306"/>
        <item x="471"/>
        <item x="979"/>
        <item x="1689"/>
        <item x="891"/>
        <item x="1423"/>
        <item x="260"/>
        <item x="2071"/>
        <item x="1663"/>
        <item x="637"/>
        <item x="611"/>
        <item x="821"/>
        <item x="918"/>
        <item x="1969"/>
        <item x="1876"/>
        <item x="1884"/>
        <item x="1159"/>
        <item x="2349"/>
        <item x="1318"/>
        <item x="2325"/>
        <item x="1894"/>
        <item x="226"/>
        <item x="2172"/>
        <item x="1487"/>
        <item x="2376"/>
        <item x="2269"/>
        <item x="1256"/>
        <item x="848"/>
        <item x="892"/>
        <item x="1601"/>
        <item x="731"/>
        <item x="718"/>
        <item x="2129"/>
        <item x="458"/>
        <item x="1231"/>
        <item x="47"/>
        <item x="1482"/>
        <item x="1685"/>
        <item x="1219"/>
        <item x="2413"/>
        <item x="1378"/>
        <item x="239"/>
        <item x="1194"/>
        <item x="1519"/>
        <item x="1264"/>
        <item x="1488"/>
        <item x="2121"/>
        <item x="2041"/>
        <item x="412"/>
        <item x="263"/>
        <item x="2253"/>
        <item x="2398"/>
        <item x="2080"/>
        <item x="201"/>
        <item x="1245"/>
        <item x="108"/>
        <item x="856"/>
        <item x="166"/>
        <item x="573"/>
        <item x="1533"/>
        <item x="1608"/>
        <item x="1008"/>
        <item x="1169"/>
        <item x="667"/>
        <item x="197"/>
        <item x="13"/>
        <item x="1147"/>
        <item x="895"/>
        <item x="544"/>
        <item x="580"/>
        <item x="1704"/>
        <item x="1173"/>
        <item x="1446"/>
        <item x="1877"/>
        <item x="865"/>
        <item x="830"/>
        <item x="1150"/>
        <item x="363"/>
        <item x="2296"/>
        <item x="635"/>
        <item x="1090"/>
        <item x="914"/>
        <item x="1450"/>
        <item x="158"/>
        <item x="1289"/>
        <item x="498"/>
        <item x="421"/>
        <item x="1319"/>
        <item x="1980"/>
        <item x="662"/>
        <item x="335"/>
        <item x="983"/>
        <item x="982"/>
        <item x="1246"/>
        <item x="515"/>
        <item x="1226"/>
        <item x="2083"/>
        <item x="963"/>
        <item x="1337"/>
        <item x="2394"/>
        <item x="481"/>
        <item x="1839"/>
        <item x="1093"/>
        <item x="759"/>
        <item x="1881"/>
        <item x="1511"/>
        <item x="217"/>
        <item x="2070"/>
        <item x="1054"/>
        <item x="1613"/>
        <item x="688"/>
        <item x="912"/>
        <item x="2036"/>
        <item x="1645"/>
        <item x="734"/>
        <item x="935"/>
        <item x="1779"/>
        <item x="599"/>
        <item x="1912"/>
        <item x="672"/>
        <item x="1837"/>
        <item x="1798"/>
        <item x="2287"/>
        <item x="2251"/>
        <item x="1680"/>
        <item x="1432"/>
        <item x="2219"/>
        <item x="2322"/>
        <item x="1466"/>
        <item x="1305"/>
        <item x="1339"/>
        <item x="1458"/>
        <item x="610"/>
        <item x="1715"/>
        <item x="794"/>
        <item x="117"/>
        <item x="2109"/>
        <item x="87"/>
        <item x="547"/>
        <item x="779"/>
        <item x="1135"/>
        <item x="1666"/>
        <item x="232"/>
        <item x="1852"/>
        <item x="633"/>
        <item x="1778"/>
        <item x="701"/>
        <item x="2282"/>
        <item x="1840"/>
        <item x="1630"/>
        <item x="2064"/>
        <item x="6"/>
        <item x="1551"/>
        <item x="1806"/>
        <item x="24"/>
        <item x="998"/>
        <item x="555"/>
        <item x="1903"/>
        <item x="216"/>
        <item x="1010"/>
        <item x="1376"/>
        <item x="1597"/>
        <item x="967"/>
        <item x="2329"/>
        <item x="318"/>
        <item x="1360"/>
        <item x="1298"/>
        <item x="1116"/>
        <item x="820"/>
        <item x="693"/>
        <item x="1920"/>
        <item x="743"/>
        <item x="280"/>
        <item x="650"/>
        <item x="434"/>
        <item x="911"/>
        <item x="193"/>
        <item x="1412"/>
        <item x="1525"/>
        <item x="749"/>
        <item x="873"/>
        <item x="1473"/>
        <item x="1914"/>
        <item x="1445"/>
        <item x="1143"/>
        <item x="285"/>
        <item x="1732"/>
        <item x="375"/>
        <item x="977"/>
        <item x="953"/>
        <item x="1112"/>
        <item x="258"/>
        <item x="1334"/>
        <item x="1693"/>
        <item x="1774"/>
        <item x="670"/>
        <item x="944"/>
        <item x="1532"/>
        <item x="1229"/>
        <item x="868"/>
        <item x="175"/>
        <item x="1311"/>
        <item x="136"/>
        <item x="991"/>
        <item x="2152"/>
        <item x="128"/>
        <item x="2033"/>
        <item x="2186"/>
        <item x="1097"/>
        <item x="1433"/>
        <item x="764"/>
        <item x="696"/>
        <item x="1841"/>
        <item x="139"/>
        <item x="32"/>
        <item x="651"/>
        <item x="606"/>
        <item x="80"/>
        <item x="1452"/>
        <item x="772"/>
        <item x="1034"/>
        <item x="320"/>
        <item x="1990"/>
        <item x="1672"/>
        <item x="1410"/>
        <item x="2278"/>
        <item x="1156"/>
        <item x="702"/>
        <item x="1422"/>
        <item x="947"/>
        <item x="885"/>
        <item x="190"/>
        <item x="1462"/>
        <item x="160"/>
        <item x="785"/>
        <item x="1538"/>
        <item x="1596"/>
        <item x="867"/>
        <item x="2284"/>
        <item x="17"/>
        <item x="2187"/>
        <item x="1968"/>
        <item x="1687"/>
        <item x="373"/>
        <item x="550"/>
        <item x="2028"/>
        <item x="1534"/>
        <item x="1845"/>
        <item x="264"/>
        <item x="210"/>
        <item x="1009"/>
        <item x="19"/>
        <item x="293"/>
        <item x="627"/>
        <item x="329"/>
        <item x="1906"/>
        <item x="2372"/>
        <item x="1019"/>
        <item x="652"/>
        <item x="1658"/>
        <item x="958"/>
        <item x="288"/>
        <item x="185"/>
        <item x="2205"/>
        <item x="206"/>
        <item x="2348"/>
        <item x="2290"/>
        <item x="103"/>
        <item x="489"/>
        <item x="415"/>
        <item x="162"/>
        <item x="2173"/>
        <item x="1142"/>
        <item x="1541"/>
        <item x="2377"/>
        <item x="109"/>
        <item x="1077"/>
        <item x="712"/>
        <item x="343"/>
        <item x="1103"/>
        <item x="315"/>
        <item x="198"/>
        <item x="1050"/>
        <item x="1342"/>
        <item x="225"/>
        <item x="1309"/>
        <item x="71"/>
        <item x="482"/>
        <item x="1261"/>
        <item x="658"/>
        <item x="787"/>
        <item x="168"/>
        <item x="2161"/>
        <item x="1252"/>
        <item x="298"/>
        <item x="385"/>
        <item x="1400"/>
        <item x="145"/>
        <item x="1918"/>
        <item x="96"/>
        <item x="1762"/>
        <item x="171"/>
        <item x="396"/>
        <item x="1091"/>
        <item x="1560"/>
        <item x="1120"/>
        <item x="1875"/>
        <item x="1399"/>
        <item x="1163"/>
        <item x="2252"/>
        <item x="1526"/>
        <item x="624"/>
        <item x="413"/>
        <item x="1781"/>
        <item x="129"/>
        <item x="674"/>
        <item x="591"/>
        <item x="1115"/>
        <item x="209"/>
        <item x="1301"/>
        <item x="1878"/>
        <item x="849"/>
        <item x="2005"/>
        <item x="1328"/>
        <item x="444"/>
        <item x="954"/>
        <item x="581"/>
        <item x="1735"/>
        <item x="203"/>
        <item x="2170"/>
        <item x="154"/>
        <item x="1681"/>
        <item x="1578"/>
        <item x="590"/>
        <item x="1013"/>
        <item x="180"/>
        <item x="1514"/>
        <item x="1624"/>
        <item x="2215"/>
        <item x="1751"/>
        <item x="1905"/>
        <item x="2185"/>
        <item x="1227"/>
        <item x="508"/>
        <item x="980"/>
        <item x="657"/>
        <item x="1913"/>
        <item x="16"/>
        <item x="1873"/>
        <item x="111"/>
        <item x="1384"/>
        <item x="1529"/>
        <item x="1044"/>
        <item x="465"/>
        <item x="1293"/>
        <item x="1417"/>
        <item x="1220"/>
        <item x="1327"/>
        <item x="710"/>
        <item x="1405"/>
        <item x="354"/>
        <item x="1504"/>
        <item x="989"/>
        <item x="552"/>
        <item x="1953"/>
        <item x="380"/>
        <item x="5"/>
        <item x="629"/>
        <item x="1377"/>
        <item x="1992"/>
        <item x="123"/>
        <item x="82"/>
        <item x="25"/>
        <item x="2011"/>
        <item x="322"/>
        <item x="1007"/>
        <item x="623"/>
        <item x="1749"/>
        <item x="2107"/>
        <item x="1297"/>
        <item x="1134"/>
        <item x="915"/>
        <item x="2183"/>
        <item x="884"/>
        <item x="317"/>
        <item x="64"/>
        <item x="1606"/>
        <item x="1824"/>
        <item x="694"/>
        <item x="2307"/>
        <item x="1239"/>
        <item x="959"/>
        <item x="714"/>
        <item x="715"/>
        <item x="706"/>
        <item x="1213"/>
        <item x="1842"/>
        <item x="1923"/>
        <item x="358"/>
        <item x="223"/>
        <item x="1162"/>
        <item x="753"/>
        <item x="371"/>
        <item x="906"/>
        <item x="877"/>
        <item x="2115"/>
        <item x="230"/>
        <item x="1864"/>
        <item x="1499"/>
        <item x="1461"/>
        <item x="916"/>
        <item x="2412"/>
        <item x="586"/>
        <item x="1636"/>
        <item x="350"/>
        <item x="250"/>
        <item x="2336"/>
        <item x="486"/>
        <item x="788"/>
        <item x="1167"/>
        <item x="151"/>
        <item x="2067"/>
        <item x="1427"/>
        <item x="1972"/>
        <item x="2355"/>
        <item x="86"/>
        <item x="973"/>
        <item x="730"/>
        <item x="439"/>
        <item x="520"/>
        <item x="460"/>
        <item x="383"/>
        <item x="1402"/>
        <item x="1635"/>
        <item x="334"/>
        <item x="857"/>
        <item x="2092"/>
        <item x="1060"/>
        <item x="2285"/>
        <item x="1072"/>
        <item x="1512"/>
        <item x="157"/>
        <item x="449"/>
        <item x="621"/>
        <item x="1242"/>
        <item x="399"/>
        <item x="2351"/>
        <item x="403"/>
        <item x="2207"/>
        <item x="807"/>
        <item x="45"/>
        <item x="1343"/>
        <item x="1152"/>
        <item x="799"/>
        <item x="2334"/>
        <item x="823"/>
        <item x="2016"/>
        <item x="1416"/>
        <item x="1585"/>
        <item x="307"/>
        <item x="532"/>
        <item x="2353"/>
        <item x="359"/>
        <item x="1731"/>
        <item x="40"/>
        <item x="1181"/>
        <item x="1741"/>
        <item x="1208"/>
        <item x="1154"/>
        <item x="215"/>
        <item x="2382"/>
        <item x="1353"/>
        <item x="1035"/>
        <item x="750"/>
        <item x="1243"/>
        <item x="1088"/>
        <item x="1084"/>
        <item x="1603"/>
        <item x="492"/>
        <item x="1176"/>
        <item x="2399"/>
        <item x="974"/>
        <item x="719"/>
        <item x="1224"/>
        <item x="2018"/>
        <item x="2188"/>
        <item x="740"/>
        <item x="1736"/>
        <item x="644"/>
        <item x="1078"/>
        <item x="2164"/>
        <item x="349"/>
        <item x="660"/>
        <item x="1277"/>
        <item x="1457"/>
        <item x="436"/>
        <item x="1569"/>
        <item x="1717"/>
        <item x="1940"/>
        <item x="1312"/>
        <item x="1583"/>
        <item x="1347"/>
        <item x="1057"/>
        <item x="75"/>
        <item x="276"/>
        <item x="1809"/>
        <item x="490"/>
        <item x="846"/>
        <item x="1479"/>
        <item x="1945"/>
        <item x="545"/>
        <item x="2403"/>
        <item x="824"/>
        <item x="504"/>
        <item x="2346"/>
        <item x="1037"/>
        <item x="618"/>
        <item x="1790"/>
        <item x="1734"/>
        <item x="1539"/>
        <item x="1420"/>
        <item x="245"/>
        <item x="1071"/>
        <item x="2181"/>
        <item x="341"/>
        <item x="340"/>
        <item x="815"/>
        <item x="176"/>
        <item x="2135"/>
        <item x="10"/>
        <item x="755"/>
        <item x="297"/>
        <item x="30"/>
        <item x="859"/>
        <item x="1107"/>
        <item x="548"/>
        <item x="55"/>
        <item x="990"/>
        <item x="101"/>
        <item x="910"/>
        <item x="1105"/>
        <item x="1716"/>
        <item x="1546"/>
        <item x="2408"/>
        <item x="1468"/>
        <item x="389"/>
        <item x="1589"/>
        <item x="736"/>
        <item x="797"/>
        <item x="1373"/>
        <item x="1916"/>
        <item x="845"/>
        <item x="1391"/>
        <item x="2003"/>
        <item x="1540"/>
        <item x="1271"/>
        <item x="1028"/>
        <item x="1409"/>
        <item x="943"/>
        <item x="1283"/>
        <item x="781"/>
        <item x="2308"/>
        <item x="1074"/>
        <item x="384"/>
        <item x="291"/>
        <item x="677"/>
        <item x="735"/>
        <item x="1065"/>
        <item x="2088"/>
        <item x="666"/>
        <item x="238"/>
        <item x="408"/>
        <item x="1055"/>
        <item x="1593"/>
        <item x="608"/>
        <item x="2132"/>
        <item x="509"/>
        <item x="1641"/>
        <item x="1431"/>
        <item x="534"/>
        <item x="704"/>
        <item x="1891"/>
        <item x="1828"/>
        <item x="372"/>
        <item x="649"/>
        <item x="1965"/>
        <item x="1997"/>
        <item x="902"/>
        <item x="2197"/>
        <item x="261"/>
        <item x="473"/>
        <item x="2262"/>
        <item x="1223"/>
        <item x="1986"/>
        <item x="1723"/>
        <item x="110"/>
        <item x="894"/>
        <item x="1387"/>
        <item x="725"/>
        <item x="2402"/>
        <item x="1122"/>
        <item x="1855"/>
        <item x="1863"/>
        <item x="1750"/>
        <item x="1777"/>
        <item x="1829"/>
        <item x="765"/>
        <item x="726"/>
        <item x="1739"/>
        <item x="878"/>
        <item x="1315"/>
        <item x="1346"/>
        <item x="319"/>
        <item x="2362"/>
        <item x="1594"/>
        <item x="522"/>
        <item x="100"/>
        <item x="2057"/>
        <item x="1418"/>
        <item x="1909"/>
        <item x="776"/>
        <item x="2338"/>
        <item x="1642"/>
        <item x="1895"/>
        <item x="595"/>
        <item x="305"/>
        <item x="593"/>
        <item x="1705"/>
        <item x="513"/>
        <item x="1800"/>
        <item x="2062"/>
        <item x="67"/>
        <item x="1076"/>
        <item x="199"/>
        <item x="1178"/>
        <item x="1460"/>
        <item x="425"/>
        <item x="494"/>
        <item x="2275"/>
        <item x="2112"/>
        <item x="1707"/>
        <item x="972"/>
        <item x="756"/>
        <item x="616"/>
        <item x="1338"/>
        <item x="2247"/>
        <item x="773"/>
        <item x="583"/>
        <item x="46"/>
        <item x="1807"/>
        <item x="1932"/>
        <item x="612"/>
        <item x="1200"/>
        <item x="720"/>
        <item x="1061"/>
        <item x="2224"/>
        <item x="222"/>
        <item x="2330"/>
        <item x="346"/>
        <item x="1149"/>
        <item x="1943"/>
        <item x="1576"/>
        <item x="1600"/>
        <item x="1667"/>
        <item x="2236"/>
        <item x="1314"/>
        <item x="965"/>
        <item x="1721"/>
        <item x="1262"/>
        <item x="149"/>
        <item x="957"/>
        <item x="1674"/>
        <item x="1031"/>
        <item x="684"/>
        <item x="295"/>
        <item x="1205"/>
        <item x="834"/>
        <item x="1344"/>
        <item x="2223"/>
        <item x="1253"/>
        <item x="2299"/>
        <item x="1670"/>
        <item x="2094"/>
        <item x="2352"/>
        <item x="565"/>
        <item x="2000"/>
        <item x="801"/>
        <item x="896"/>
        <item x="2076"/>
        <item x="423"/>
        <item x="1659"/>
        <item x="741"/>
        <item x="605"/>
        <item x="1851"/>
        <item x="229"/>
        <item x="84"/>
        <item x="211"/>
        <item x="2147"/>
        <item x="1136"/>
        <item x="1700"/>
        <item x="851"/>
        <item x="1769"/>
        <item x="1352"/>
        <item x="1527"/>
        <item x="530"/>
        <item x="2313"/>
        <item x="429"/>
        <item x="760"/>
        <item x="631"/>
        <item x="1228"/>
        <item x="98"/>
        <item x="1821"/>
        <item x="2009"/>
        <item x="514"/>
        <item x="2406"/>
        <item x="1691"/>
        <item x="1604"/>
        <item x="1970"/>
        <item x="438"/>
        <item x="1478"/>
        <item x="1523"/>
        <item x="833"/>
        <item x="1"/>
        <item x="625"/>
        <item x="1079"/>
        <item x="993"/>
        <item x="1699"/>
        <item x="272"/>
        <item x="2158"/>
        <item x="488"/>
        <item x="505"/>
        <item x="2302"/>
        <item x="2063"/>
        <item x="636"/>
        <item x="1302"/>
        <item x="2270"/>
        <item x="921"/>
        <item x="814"/>
        <item x="917"/>
        <item x="574"/>
        <item x="745"/>
        <item x="42"/>
        <item x="1138"/>
        <item x="214"/>
        <item x="339"/>
        <item x="1186"/>
        <item x="1470"/>
        <item x="312"/>
        <item x="1729"/>
        <item x="1276"/>
        <item x="287"/>
        <item x="1111"/>
        <item x="628"/>
        <item x="1958"/>
        <item x="1408"/>
        <item x="2320"/>
        <item x="184"/>
        <item x="1260"/>
        <item x="2254"/>
        <item x="378"/>
        <item x="1622"/>
        <item x="1113"/>
        <item x="1101"/>
        <item x="822"/>
        <item x="140"/>
        <item x="102"/>
        <item x="1404"/>
        <item x="2263"/>
        <item x="2371"/>
        <item x="705"/>
        <item x="1042"/>
        <item x="1359"/>
        <item x="969"/>
        <item x="2315"/>
        <item x="1816"/>
        <item x="805"/>
        <item x="386"/>
        <item x="681"/>
        <item x="179"/>
        <item x="1250"/>
        <item x="2323"/>
        <item x="1917"/>
        <item x="56"/>
        <item x="1272"/>
        <item x="1543"/>
        <item x="803"/>
        <item x="2087"/>
        <item x="474"/>
        <item x="62"/>
        <item x="2148"/>
        <item x="23"/>
        <item x="886"/>
        <item x="1571"/>
        <item x="2097"/>
        <item x="1644"/>
        <item x="470"/>
        <item x="2337"/>
        <item x="1844"/>
        <item x="985"/>
        <item x="1679"/>
        <item x="1211"/>
        <item x="66"/>
        <item x="417"/>
        <item x="249"/>
        <item x="1554"/>
        <item x="1131"/>
        <item x="12"/>
        <item x="1284"/>
        <item x="687"/>
        <item x="39"/>
        <item x="451"/>
        <item x="2081"/>
        <item x="1868"/>
        <item x="1251"/>
        <item x="1128"/>
        <item x="1280"/>
        <item x="221"/>
        <item x="1810"/>
        <item x="1332"/>
        <item x="1362"/>
        <item x="1012"/>
        <item x="1274"/>
        <item x="2042"/>
        <item x="173"/>
        <item x="1811"/>
        <item x="105"/>
        <item x="852"/>
        <item x="869"/>
        <item x="2116"/>
        <item x="1964"/>
        <item x="1542"/>
        <item x="1885"/>
        <item x="2049"/>
        <item x="923"/>
        <item x="987"/>
        <item x="1110"/>
        <item x="1045"/>
        <item x="784"/>
        <item x="2273"/>
        <item x="1649"/>
        <item x="1754"/>
        <item x="455"/>
        <item x="2250"/>
        <item x="1696"/>
        <item x="2220"/>
        <item x="1947"/>
        <item x="757"/>
        <item x="2074"/>
        <item x="691"/>
        <item x="125"/>
        <item x="1196"/>
        <item x="531"/>
        <item x="933"/>
        <item x="2305"/>
        <item x="35"/>
        <item x="146"/>
        <item x="2385"/>
        <item x="172"/>
        <item x="768"/>
        <item x="1904"/>
        <item x="2387"/>
        <item x="936"/>
        <item x="2256"/>
        <item x="1316"/>
        <item x="2038"/>
        <item x="1882"/>
        <item x="2002"/>
        <item x="1188"/>
        <item x="2304"/>
        <item x="336"/>
        <item x="393"/>
        <item x="135"/>
        <item x="1386"/>
        <item x="1988"/>
        <item x="1598"/>
        <item x="1949"/>
        <item x="2149"/>
        <item x="1174"/>
        <item x="1278"/>
        <item x="2261"/>
        <item x="345"/>
        <item x="2206"/>
        <item x="924"/>
        <item x="1151"/>
        <item x="692"/>
        <item x="2286"/>
        <item x="2193"/>
        <item x="1637"/>
        <item x="1104"/>
        <item x="461"/>
        <item x="1069"/>
        <item x="1772"/>
        <item x="1996"/>
        <item x="1350"/>
        <item x="2388"/>
        <item x="2190"/>
        <item x="271"/>
        <item x="2025"/>
        <item x="568"/>
        <item x="717"/>
        <item x="1927"/>
        <item x="721"/>
        <item x="178"/>
        <item x="15"/>
        <item x="2150"/>
        <item x="1354"/>
        <item x="1625"/>
        <item x="2171"/>
        <item x="1959"/>
        <item x="680"/>
        <item x="1429"/>
        <item x="1703"/>
        <item x="1437"/>
        <item x="940"/>
        <item x="1991"/>
        <item x="724"/>
        <item x="1647"/>
        <item x="1808"/>
        <item x="182"/>
        <item x="1489"/>
        <item x="2001"/>
        <item x="414"/>
        <item x="2242"/>
        <item x="778"/>
        <item x="353"/>
        <item x="2249"/>
        <item x="452"/>
        <item x="1517"/>
        <item x="1051"/>
        <item x="1582"/>
        <item x="2089"/>
        <item x="850"/>
        <item x="763"/>
        <item x="1170"/>
        <item x="2239"/>
        <item x="1502"/>
        <item x="156"/>
        <item x="11"/>
        <item x="1565"/>
        <item x="1820"/>
        <item x="1295"/>
        <item x="1846"/>
        <item x="858"/>
        <item x="1640"/>
        <item x="2347"/>
        <item x="1430"/>
        <item x="1557"/>
        <item x="996"/>
        <item x="1784"/>
        <item x="41"/>
        <item x="1118"/>
        <item x="405"/>
        <item x="49"/>
        <item x="2339"/>
        <item x="1621"/>
        <item x="18"/>
        <item x="1313"/>
        <item x="925"/>
        <item x="2260"/>
        <item x="402"/>
        <item x="898"/>
        <item x="1443"/>
        <item x="1153"/>
        <item x="1925"/>
        <item x="1619"/>
        <item x="1653"/>
        <item x="2060"/>
        <item x="782"/>
        <item x="2157"/>
        <item x="95"/>
        <item x="570"/>
        <item x="281"/>
        <item x="584"/>
        <item x="1748"/>
        <item x="1348"/>
        <item x="2294"/>
        <item x="368"/>
        <item x="1049"/>
        <item x="472"/>
        <item x="1862"/>
        <item x="840"/>
        <item x="1678"/>
        <item x="1190"/>
        <item x="1469"/>
        <item x="1474"/>
        <item x="2226"/>
        <item x="810"/>
        <item x="2020"/>
        <item x="1411"/>
        <item x="1214"/>
        <item x="1206"/>
        <item x="864"/>
        <item x="1656"/>
        <item x="141"/>
        <item x="1545"/>
        <item x="1733"/>
        <item x="457"/>
        <item x="2401"/>
        <item x="391"/>
        <item x="1709"/>
        <item x="2327"/>
        <item x="2166"/>
        <item x="879"/>
        <item x="468"/>
        <item x="1836"/>
        <item x="792"/>
        <item x="352"/>
        <item x="518"/>
        <item x="1506"/>
        <item x="2198"/>
        <item x="1095"/>
        <item x="1099"/>
        <item x="1449"/>
        <item x="2069"/>
        <item x="1537"/>
        <item x="2026"/>
        <item x="1610"/>
        <item x="1856"/>
        <item x="208"/>
        <item x="546"/>
        <item x="1086"/>
        <item x="1052"/>
        <item x="2363"/>
        <item x="1146"/>
        <item x="1106"/>
        <item x="479"/>
        <item x="1826"/>
        <item x="922"/>
        <item x="2243"/>
        <item x="1397"/>
        <item x="31"/>
        <item x="554"/>
        <item x="1158"/>
        <item x="1123"/>
        <item x="511"/>
        <item x="1030"/>
        <item x="1083"/>
        <item x="1451"/>
        <item x="597"/>
        <item x="1792"/>
        <item x="1677"/>
        <item x="1304"/>
        <item x="1124"/>
        <item x="1323"/>
        <item x="1694"/>
        <item x="1003"/>
        <item x="1080"/>
        <item x="1676"/>
        <item x="890"/>
        <item x="1440"/>
        <item x="564"/>
        <item x="641"/>
        <item x="723"/>
        <item x="1291"/>
        <item x="326"/>
        <item x="309"/>
        <item x="2271"/>
        <item x="1726"/>
        <item x="1789"/>
        <item x="1265"/>
        <item x="1351"/>
        <item x="133"/>
        <item x="2191"/>
        <item x="1379"/>
        <item x="661"/>
        <item x="678"/>
        <item x="2021"/>
        <item x="301"/>
        <item x="2175"/>
        <item x="464"/>
        <item x="407"/>
        <item x="1518"/>
        <item x="1823"/>
        <item x="1591"/>
        <item x="1383"/>
        <item x="648"/>
        <item x="970"/>
        <item x="1144"/>
        <item x="1933"/>
        <item x="1292"/>
        <item x="435"/>
        <item x="523"/>
        <item x="400"/>
        <item x="1018"/>
        <item x="1767"/>
        <item x="1403"/>
        <item x="1817"/>
        <item x="1664"/>
        <item x="748"/>
        <item x="51"/>
        <item x="437"/>
        <item x="1950"/>
        <item x="978"/>
        <item x="2091"/>
        <item x="2212"/>
        <item x="643"/>
        <item x="1286"/>
        <item x="2192"/>
        <item x="235"/>
        <item x="1595"/>
        <item x="1830"/>
        <item x="1133"/>
        <item x="1900"/>
        <item x="1424"/>
        <item x="467"/>
        <item x="1331"/>
        <item x="2182"/>
        <item x="1234"/>
        <item x="2104"/>
        <item x="401"/>
        <item x="2199"/>
        <item x="1742"/>
        <item x="671"/>
        <item x="2099"/>
        <item x="1130"/>
        <item x="1389"/>
        <item x="1273"/>
        <item x="300"/>
        <item x="1628"/>
        <item x="186"/>
        <item x="1324"/>
        <item x="137"/>
        <item x="1648"/>
        <item x="1673"/>
        <item x="1434"/>
        <item x="827"/>
        <item x="525"/>
        <item x="1847"/>
        <item x="904"/>
        <item x="445"/>
        <item x="811"/>
        <item x="1033"/>
        <item x="27"/>
        <item x="254"/>
        <item x="1973"/>
        <item x="1838"/>
        <item x="1788"/>
        <item x="78"/>
        <item x="771"/>
        <item x="2180"/>
        <item x="1957"/>
        <item x="50"/>
        <item x="338"/>
        <item x="512"/>
        <item x="126"/>
        <item x="463"/>
        <item x="2246"/>
        <item x="2309"/>
        <item x="689"/>
        <item x="521"/>
        <item x="732"/>
        <item x="1014"/>
        <item x="1036"/>
        <item x="1671"/>
        <item x="2211"/>
        <item x="1333"/>
        <item x="2379"/>
        <item x="227"/>
        <item x="2059"/>
        <item x="2283"/>
        <item x="2221"/>
        <item x="196"/>
        <item x="2366"/>
        <item x="654"/>
        <item x="454"/>
        <item x="1985"/>
        <item x="1367"/>
        <item x="1493"/>
        <item x="289"/>
        <item x="758"/>
        <item x="540"/>
        <item x="1929"/>
        <item x="1614"/>
        <item x="2039"/>
        <item x="2238"/>
        <item x="1345"/>
        <item x="1915"/>
        <item x="1795"/>
        <item x="1961"/>
        <item x="645"/>
        <item x="2396"/>
        <item x="2358"/>
        <item x="1267"/>
        <item x="256"/>
        <item x="871"/>
        <item x="79"/>
        <item x="1127"/>
        <item x="274"/>
        <item x="1015"/>
        <item x="491"/>
        <item x="277"/>
        <item x="695"/>
        <item x="410"/>
        <item x="302"/>
        <item x="3"/>
        <item x="2312"/>
        <item x="683"/>
        <item x="1616"/>
        <item x="497"/>
        <item x="1572"/>
        <item x="1296"/>
        <item x="1861"/>
        <item x="836"/>
        <item x="2177"/>
        <item x="2367"/>
        <item x="2316"/>
        <item x="1874"/>
        <item x="1199"/>
        <item x="20"/>
        <item x="68"/>
        <item x="617"/>
        <item x="2138"/>
        <item x="441"/>
        <item x="893"/>
        <item x="411"/>
        <item x="1365"/>
        <item x="2404"/>
        <item x="1954"/>
        <item x="1100"/>
        <item x="0"/>
        <item x="607"/>
        <item x="118"/>
        <item x="283"/>
        <item x="790"/>
        <item x="976"/>
        <item x="1702"/>
        <item x="603"/>
        <item x="699"/>
        <item x="2414"/>
        <item x="2101"/>
        <item x="1371"/>
        <item x="872"/>
        <item x="1385"/>
        <item x="2240"/>
        <item x="1797"/>
        <item x="207"/>
        <item x="556"/>
        <item x="328"/>
        <item x="240"/>
        <item x="1355"/>
        <item x="122"/>
        <item x="1791"/>
        <item x="1233"/>
        <item x="1507"/>
        <item x="1508"/>
        <item x="2117"/>
        <item x="1697"/>
        <item x="1967"/>
        <item x="1890"/>
        <item x="1059"/>
        <item x="2279"/>
        <item x="1901"/>
        <item x="2053"/>
        <item x="2374"/>
        <item x="2179"/>
        <item x="2047"/>
        <item x="2082"/>
        <item x="2234"/>
        <item x="2156"/>
        <item x="1612"/>
        <item x="1268"/>
        <item x="321"/>
        <item x="1567"/>
        <item x="1728"/>
        <item x="571"/>
        <item x="2043"/>
        <item x="1494"/>
        <item x="367"/>
        <item x="1753"/>
        <item x="1193"/>
        <item x="1634"/>
        <item x="1849"/>
        <item x="1611"/>
        <item x="1880"/>
        <item x="817"/>
        <item x="835"/>
        <item x="2265"/>
        <item x="1117"/>
        <item x="1172"/>
        <item x="632"/>
        <item x="1805"/>
        <item x="2133"/>
        <item x="1982"/>
        <item x="360"/>
        <item x="1782"/>
        <item x="195"/>
        <item x="2010"/>
        <item x="527"/>
        <item x="1599"/>
        <item x="1775"/>
        <item x="1425"/>
        <item x="2237"/>
        <item x="1026"/>
        <item x="2370"/>
        <item x="1340"/>
        <item x="663"/>
        <item x="2113"/>
        <item x="1393"/>
        <item x="2248"/>
        <item x="1835"/>
        <item x="1869"/>
        <item x="2390"/>
        <item x="2055"/>
        <item x="356"/>
        <item x="428"/>
        <item x="742"/>
        <item x="1310"/>
        <item x="2019"/>
        <item x="114"/>
        <item x="1004"/>
        <item x="1935"/>
        <item x="1858"/>
        <item x="598"/>
        <item x="1382"/>
        <item x="170"/>
        <item x="1381"/>
        <item x="1556"/>
        <item x="48"/>
        <item x="243"/>
        <item x="1638"/>
        <item x="576"/>
        <item x="395"/>
        <item x="1743"/>
        <item x="561"/>
        <item x="1893"/>
        <item x="2268"/>
        <item x="1066"/>
        <item x="775"/>
        <item x="587"/>
        <item x="33"/>
        <item x="1718"/>
        <item x="2145"/>
        <item x="2409"/>
        <item x="2004"/>
        <item x="1761"/>
        <item x="1471"/>
        <item x="2317"/>
        <item x="1559"/>
        <item x="1553"/>
        <item x="2202"/>
        <item x="1528"/>
        <item x="981"/>
        <item x="1948"/>
        <item x="535"/>
        <item x="4"/>
        <item x="588"/>
        <item x="2034"/>
        <item x="673"/>
        <item x="2127"/>
        <item x="1879"/>
        <item x="1573"/>
        <item x="1043"/>
        <item x="809"/>
        <item x="1258"/>
        <item x="1898"/>
        <item x="257"/>
        <item x="1651"/>
        <item x="1668"/>
        <item x="2102"/>
        <item x="1550"/>
        <item x="1701"/>
        <item x="1724"/>
        <item x="236"/>
        <item x="1063"/>
        <item x="930"/>
        <item x="888"/>
        <item x="106"/>
        <item x="63"/>
        <item x="442"/>
        <item x="418"/>
        <item x="475"/>
        <item x="188"/>
        <item x="664"/>
        <item x="1020"/>
        <item x="767"/>
        <item x="928"/>
        <item x="903"/>
        <item x="686"/>
        <item x="1995"/>
        <item x="2393"/>
        <item x="1584"/>
        <item x="1160"/>
        <item x="931"/>
        <item x="1764"/>
        <item x="861"/>
        <item x="130"/>
        <item x="374"/>
        <item x="1477"/>
        <item x="844"/>
        <item x="1441"/>
        <item x="2365"/>
        <item x="968"/>
        <item x="866"/>
        <item x="2255"/>
        <item x="1209"/>
        <item x="1899"/>
        <item x="1464"/>
        <item x="233"/>
        <item x="1602"/>
        <item x="2342"/>
        <item x="112"/>
        <item x="2297"/>
        <item x="1921"/>
        <item x="93"/>
        <item x="2167"/>
        <item x="738"/>
        <item x="842"/>
        <item x="294"/>
        <item x="1669"/>
        <item x="828"/>
        <item x="2389"/>
        <item x="76"/>
        <item x="1609"/>
        <item x="1476"/>
        <item x="1375"/>
        <item x="1191"/>
        <item x="2068"/>
        <item x="1192"/>
        <item x="1859"/>
        <item x="1448"/>
        <item x="905"/>
        <item x="2031"/>
        <item x="255"/>
        <item x="1073"/>
        <item x="1002"/>
        <item x="2035"/>
        <item x="43"/>
        <item x="38"/>
        <item x="986"/>
        <item x="2143"/>
        <item x="253"/>
        <item x="2258"/>
        <item x="420"/>
        <item x="1926"/>
        <item x="1812"/>
        <item x="882"/>
        <item x="1098"/>
        <item x="2122"/>
        <item x="52"/>
        <item x="2151"/>
        <item x="1580"/>
        <item x="558"/>
        <item x="241"/>
        <item x="21"/>
        <item x="819"/>
        <item x="462"/>
        <item x="1652"/>
        <item x="2124"/>
        <item x="72"/>
        <item x="466"/>
        <item x="2381"/>
        <item x="365"/>
        <item x="1722"/>
        <item x="1017"/>
        <item x="1650"/>
        <item x="1114"/>
        <item x="1201"/>
        <item x="1366"/>
        <item x="2061"/>
        <item x="1773"/>
        <item x="194"/>
        <item x="729"/>
        <item x="770"/>
        <item x="1320"/>
        <item x="485"/>
        <item x="1892"/>
        <item x="2084"/>
        <item x="1092"/>
        <item x="2245"/>
        <item x="994"/>
        <item x="539"/>
        <item x="431"/>
        <item x="1497"/>
        <item x="183"/>
        <item x="2319"/>
        <item x="1936"/>
        <item x="855"/>
        <item x="2144"/>
        <item x="1279"/>
        <item x="369"/>
        <item x="901"/>
        <item x="862"/>
        <item x="426"/>
        <item x="2244"/>
        <item x="1287"/>
        <item x="1577"/>
        <item x="330"/>
        <item x="1492"/>
        <item x="187"/>
        <item x="1665"/>
        <item x="1285"/>
        <item x="1257"/>
        <item x="841"/>
        <item x="1495"/>
        <item x="592"/>
        <item x="549"/>
        <item x="1336"/>
        <item x="1981"/>
        <item x="2054"/>
        <item x="2272"/>
        <item x="2277"/>
        <item x="1547"/>
        <item x="2373"/>
        <item x="1655"/>
        <item x="228"/>
        <item x="1978"/>
        <item x="1692"/>
        <item x="1682"/>
        <item x="2360"/>
        <item x="932"/>
        <item x="1317"/>
        <item x="2324"/>
        <item x="1326"/>
        <item x="1530"/>
        <item x="1889"/>
        <item x="542"/>
        <item x="278"/>
        <item x="487"/>
        <item x="1236"/>
        <item x="2295"/>
        <item x="528"/>
        <item x="1984"/>
        <item x="29"/>
        <item x="2333"/>
        <item x="2218"/>
        <item x="1067"/>
        <item x="70"/>
        <item x="589"/>
        <item x="1746"/>
        <item x="2146"/>
        <item x="847"/>
        <item x="1794"/>
        <item x="1757"/>
        <item x="2228"/>
        <item x="347"/>
        <item x="314"/>
        <item x="950"/>
        <item x="656"/>
        <item x="1834"/>
        <item x="1145"/>
        <item x="1486"/>
        <item x="2012"/>
        <item x="1737"/>
        <item x="268"/>
        <item x="619"/>
        <item x="304"/>
        <item x="880"/>
        <item x="161"/>
        <item x="1501"/>
        <item x="267"/>
        <item x="1952"/>
        <item x="1993"/>
        <item x="2257"/>
        <item x="1467"/>
        <item x="478"/>
        <item x="1485"/>
        <item x="2119"/>
        <item x="938"/>
        <item x="2383"/>
        <item x="430"/>
        <item x="1759"/>
        <item x="774"/>
        <item x="218"/>
        <item x="1516"/>
        <item x="1708"/>
        <item x="313"/>
        <item x="2046"/>
        <item x="1690"/>
        <item x="1177"/>
        <item x="1203"/>
        <item x="804"/>
        <item x="2229"/>
        <item x="440"/>
        <item x="516"/>
        <item x="132"/>
        <item x="870"/>
        <item x="1684"/>
        <item x="99"/>
        <item x="2400"/>
        <item x="7"/>
        <item x="1719"/>
        <item x="1654"/>
        <item x="2023"/>
        <item x="1727"/>
        <item x="942"/>
        <item x="36"/>
        <item x="2165"/>
        <item x="622"/>
        <item x="2029"/>
        <item x="2154"/>
        <item x="1407"/>
        <item x="1096"/>
        <item x="913"/>
        <item x="563"/>
        <item x="2118"/>
        <item x="406"/>
        <item x="213"/>
        <item x="1282"/>
        <item x="1629"/>
        <item x="2013"/>
        <item x="577"/>
        <item x="962"/>
        <item x="1955"/>
        <item x="259"/>
        <item x="2051"/>
        <item x="1661"/>
        <item x="685"/>
        <item x="1745"/>
        <item x="1165"/>
        <item x="1356"/>
        <item x="247"/>
        <item x="2335"/>
        <item x="1535"/>
        <item x="252"/>
        <item x="2176"/>
        <item x="2232"/>
        <item x="2216"/>
        <item x="752"/>
        <item x="1771"/>
        <item x="299"/>
        <item x="1951"/>
        <item x="220"/>
        <item x="1168"/>
        <item x="1688"/>
        <item x="1994"/>
        <item x="34"/>
        <item x="1388"/>
        <item x="1966"/>
        <item x="1308"/>
        <item x="456"/>
        <item x="1040"/>
        <item x="1522"/>
        <item x="2407"/>
        <item x="90"/>
        <item x="1888"/>
        <item x="1799"/>
        <item x="2024"/>
        <item x="806"/>
        <item x="2141"/>
        <item x="2397"/>
        <item x="698"/>
        <item x="579"/>
        <item x="909"/>
        <item x="2040"/>
        <item x="2276"/>
        <item x="1631"/>
        <item x="1082"/>
        <item x="2210"/>
        <item x="1643"/>
        <item x="1695"/>
        <item x="502"/>
        <item x="926"/>
        <item x="2044"/>
        <item x="344"/>
        <item x="2131"/>
        <item x="1394"/>
        <item x="1931"/>
        <item x="1075"/>
        <item x="1232"/>
        <item x="1887"/>
        <item x="1740"/>
        <item x="147"/>
        <item x="1197"/>
        <item x="364"/>
        <item x="432"/>
        <item x="1335"/>
        <item x="212"/>
        <item x="2077"/>
        <item x="1983"/>
        <item x="2227"/>
        <item x="1756"/>
        <item x="816"/>
        <item x="2235"/>
        <item x="995"/>
        <item x="116"/>
        <item x="163"/>
        <item x="1444"/>
        <item x="1428"/>
        <item x="77"/>
        <item x="1618"/>
        <item x="398"/>
        <item x="1237"/>
        <item x="1801"/>
        <item x="1475"/>
        <item x="2267"/>
        <item x="2155"/>
        <item x="324"/>
        <item x="1307"/>
        <item x="984"/>
        <item x="1300"/>
        <item x="144"/>
        <item x="265"/>
        <item x="2022"/>
        <item x="997"/>
        <item x="1971"/>
        <item x="800"/>
        <item x="1421"/>
        <item x="2301"/>
        <item x="1230"/>
        <item x="1182"/>
        <item x="524"/>
        <item x="1979"/>
        <item x="1465"/>
        <item x="2274"/>
        <item x="653"/>
        <item x="1865"/>
        <item x="737"/>
        <item x="244"/>
        <item x="1235"/>
        <item x="1349"/>
        <item x="37"/>
        <item x="1938"/>
        <item x="2281"/>
        <item x="1870"/>
        <item x="2314"/>
        <item x="1248"/>
        <item x="150"/>
        <item x="493"/>
        <item x="248"/>
        <item x="92"/>
        <item x="1549"/>
        <item x="975"/>
        <item x="1686"/>
        <item x="1975"/>
        <item x="495"/>
        <item x="1848"/>
        <item x="1744"/>
        <item x="282"/>
        <item x="1447"/>
        <item x="273"/>
        <item x="191"/>
        <item x="1244"/>
        <item x="61"/>
        <item x="2361"/>
        <item x="189"/>
        <item x="316"/>
        <item x="2306"/>
        <item x="433"/>
        <item x="1760"/>
        <item x="1185"/>
        <item x="1946"/>
        <item x="65"/>
        <item x="1850"/>
        <item x="1247"/>
        <item x="964"/>
        <item x="2184"/>
        <item x="397"/>
        <item x="2"/>
        <item x="2189"/>
        <item x="169"/>
        <item x="927"/>
        <item x="1372"/>
        <item x="28"/>
        <item x="2100"/>
        <item x="1910"/>
        <item x="1558"/>
        <item x="837"/>
        <item x="337"/>
        <item x="1765"/>
        <item x="1548"/>
        <item x="1039"/>
        <item x="2395"/>
        <item x="665"/>
        <item x="2369"/>
        <item x="1639"/>
        <item x="945"/>
        <item x="937"/>
        <item x="551"/>
        <item x="2086"/>
        <item x="177"/>
        <item x="2093"/>
        <item x="1623"/>
        <item x="1263"/>
        <item x="83"/>
        <item x="1999"/>
        <item x="2288"/>
        <item x="949"/>
        <item x="2341"/>
        <item x="2162"/>
        <item x="2264"/>
        <item x="1281"/>
        <item x="73"/>
        <item x="1510"/>
        <item x="1046"/>
        <item x="960"/>
        <item x="1974"/>
        <item x="348"/>
        <item x="812"/>
        <item x="818"/>
        <item x="2266"/>
        <item x="2343"/>
        <item x="727"/>
        <item x="1574"/>
        <item x="600"/>
        <item x="1426"/>
        <item x="793"/>
        <item x="1390"/>
        <item x="951"/>
        <item x="1166"/>
        <item x="2410"/>
        <item x="716"/>
        <item x="1125"/>
        <item x="1259"/>
        <item x="537"/>
        <item x="382"/>
        <item x="838"/>
        <item x="2292"/>
        <item x="1505"/>
        <item x="2214"/>
        <item x="541"/>
        <item x="2332"/>
        <item x="2137"/>
        <item x="2015"/>
        <item x="53"/>
        <item x="1803"/>
        <item x="1357"/>
        <item x="1456"/>
        <item x="1481"/>
        <item x="1872"/>
        <item x="1455"/>
        <item x="956"/>
        <item x="1419"/>
        <item x="1712"/>
        <item x="1796"/>
        <item x="900"/>
        <item x="2126"/>
        <item x="1555"/>
        <item x="1939"/>
        <item x="966"/>
        <item x="2048"/>
        <item x="1770"/>
        <item x="1832"/>
        <item x="450"/>
        <item x="1500"/>
        <item x="887"/>
        <item x="143"/>
        <item x="2079"/>
        <item x="1439"/>
        <item x="1588"/>
        <item x="1303"/>
        <item x="416"/>
        <item x="58"/>
        <item x="2200"/>
        <item x="2160"/>
        <item x="1240"/>
        <item x="638"/>
        <item x="499"/>
        <item x="1006"/>
        <item x="1747"/>
        <item x="2008"/>
        <item x="1815"/>
        <item x="1977"/>
        <item x="1776"/>
        <item x="2217"/>
        <item x="2078"/>
        <item x="955"/>
        <item x="1222"/>
        <item x="1056"/>
        <item x="533"/>
        <item x="1212"/>
        <item x="1902"/>
        <item x="459"/>
        <item x="1787"/>
        <item x="907"/>
        <item x="1662"/>
        <item x="2293"/>
        <item x="2090"/>
        <item x="1714"/>
        <item x="883"/>
        <item x="1818"/>
        <item x="500"/>
        <item x="342"/>
        <item x="1956"/>
        <item x="2378"/>
        <item x="200"/>
        <item x="269"/>
        <item x="1827"/>
        <item x="1380"/>
        <item x="1321"/>
        <item x="138"/>
        <item x="1398"/>
        <item x="971"/>
        <item x="708"/>
        <item x="2095"/>
        <item x="424"/>
        <item x="934"/>
        <item x="1783"/>
        <item x="1755"/>
        <item x="1175"/>
        <item x="1896"/>
        <item x="409"/>
        <item x="1536"/>
        <item x="566"/>
        <item x="1531"/>
        <item x="1048"/>
        <item x="376"/>
        <item x="2356"/>
        <item x="1513"/>
        <item x="2231"/>
        <item x="1401"/>
        <item x="1866"/>
        <item x="2230"/>
        <item x="1241"/>
        <item x="1139"/>
        <item x="919"/>
        <item x="1503"/>
        <item x="609"/>
        <item x="2072"/>
        <item x="1509"/>
        <item x="1442"/>
        <item x="796"/>
        <item x="1934"/>
        <item x="1358"/>
        <item x="1860"/>
        <item x="1255"/>
        <item x="1089"/>
        <item x="2405"/>
        <item x="640"/>
        <item x="582"/>
        <item x="1804"/>
        <item x="503"/>
        <item x="2032"/>
        <item x="1047"/>
        <item x="120"/>
        <item x="1962"/>
        <item x="510"/>
        <item x="739"/>
        <item x="766"/>
        <item x="1626"/>
        <item x="2209"/>
        <item x="155"/>
        <item x="1294"/>
        <item x="2225"/>
        <item x="311"/>
        <item x="1395"/>
        <item x="2359"/>
        <item x="754"/>
        <item x="2203"/>
        <item x="14"/>
        <item x="1937"/>
        <item x="1907"/>
        <item x="1179"/>
        <item x="484"/>
        <item x="655"/>
        <item x="404"/>
        <item x="1575"/>
        <item x="2098"/>
        <item x="1406"/>
        <item x="1330"/>
        <item x="323"/>
        <item x="148"/>
        <item x="961"/>
        <item x="1140"/>
        <item x="601"/>
        <item x="1867"/>
        <item x="2204"/>
        <item x="377"/>
        <item x="159"/>
        <item x="2303"/>
        <item x="2136"/>
        <item x="2014"/>
        <item x="483"/>
        <item x="578"/>
        <item x="1022"/>
        <item x="152"/>
        <item x="1062"/>
        <item x="1102"/>
        <item x="1368"/>
        <item x="988"/>
        <item x="1763"/>
        <item x="1484"/>
        <item x="920"/>
        <item x="303"/>
        <item x="908"/>
        <item x="1730"/>
        <item x="1215"/>
        <item x="1325"/>
        <item x="1038"/>
        <item x="1369"/>
        <item x="783"/>
        <item x="1155"/>
        <item x="1657"/>
        <item x="1202"/>
        <item x="538"/>
        <item x="1561"/>
        <item x="2114"/>
        <item x="832"/>
        <item x="1976"/>
        <item x="791"/>
        <item x="1963"/>
        <item x="1883"/>
        <item x="1210"/>
        <item x="88"/>
        <item x="2213"/>
        <item x="2120"/>
        <item x="1217"/>
        <item x="1032"/>
        <item x="1204"/>
        <item x="1023"/>
        <item x="1930"/>
        <item x="1341"/>
        <item x="1132"/>
        <item x="1520"/>
        <item x="1121"/>
        <item x="559"/>
        <item x="1413"/>
        <item x="2096"/>
        <item x="332"/>
        <item x="929"/>
        <item x="202"/>
        <item x="447"/>
        <item x="262"/>
        <item x="526"/>
        <item x="517"/>
        <item x="26"/>
        <item x="863"/>
        <item x="164"/>
        <item x="1819"/>
        <item x="1813"/>
        <item x="2110"/>
        <item x="1087"/>
        <item x="448"/>
        <item x="572"/>
        <item x="529"/>
        <item x="2291"/>
        <item x="1922"/>
        <item x="1568"/>
        <item x="275"/>
        <item x="1752"/>
        <item x="331"/>
        <item x="306"/>
        <item x="104"/>
        <item x="1570"/>
        <item x="2153"/>
        <item x="2222"/>
        <item x="174"/>
        <item x="1941"/>
        <item x="113"/>
        <item x="1108"/>
        <item x="813"/>
        <item x="585"/>
        <item x="1698"/>
        <item x="142"/>
        <item x="875"/>
        <item x="1566"/>
        <item x="876"/>
        <item x="1911"/>
        <item x="1137"/>
        <item x="2368"/>
        <item x="1053"/>
        <item x="634"/>
        <item x="1041"/>
        <item x="939"/>
        <item x="57"/>
        <item x="1068"/>
        <item x="2045"/>
        <item x="1854"/>
        <item x="1180"/>
        <item x="1109"/>
        <item x="1564"/>
        <item x="1592"/>
        <item x="119"/>
        <item x="839"/>
        <item x="614"/>
        <item x="290"/>
        <item x="69"/>
        <item x="292"/>
        <item x="2103"/>
        <item x="2195"/>
        <item x="310"/>
        <item x="477"/>
        <item x="1720"/>
        <item x="2065"/>
        <item x="2331"/>
        <item x="1490"/>
        <item x="831"/>
        <item x="1119"/>
        <item x="1081"/>
        <item x="1171"/>
        <item x="427"/>
        <item x="1011"/>
        <item x="1195"/>
        <item x="733"/>
        <item x="744"/>
        <item x="2037"/>
        <item x="709"/>
        <item x="134"/>
        <item x="557"/>
        <item x="2298"/>
        <item x="2058"/>
        <item x="1822"/>
        <item x="808"/>
        <item x="620"/>
        <item x="1919"/>
        <item x="697"/>
        <item x="1587"/>
        <item x="270"/>
        <item x="165"/>
        <item x="2056"/>
        <item x="351"/>
        <item x="1710"/>
        <item x="2030"/>
        <item x="2300"/>
        <item x="1632"/>
        <item x="1615"/>
        <item x="1438"/>
        <item x="127"/>
        <item x="325"/>
        <item x="234"/>
        <item x="1924"/>
        <item x="1021"/>
        <item x="1491"/>
        <item x="711"/>
        <item x="387"/>
        <item x="54"/>
        <item x="2233"/>
        <item x="107"/>
        <item x="1590"/>
        <item x="952"/>
        <item x="362"/>
        <item x="2140"/>
        <item x="85"/>
        <item x="1768"/>
        <item x="1620"/>
        <item x="1853"/>
        <item x="786"/>
        <item x="1085"/>
        <item x="604"/>
        <item x="91"/>
        <item x="286"/>
        <item x="2134"/>
        <item x="536"/>
        <item x="1579"/>
        <item x="1454"/>
        <item x="2128"/>
        <item x="1706"/>
        <item x="22"/>
        <item x="1831"/>
        <item x="1660"/>
        <item x="2259"/>
        <item x="1942"/>
        <item x="1024"/>
        <item x="124"/>
        <item x="1005"/>
        <item x="1627"/>
        <item x="553"/>
        <item x="121"/>
        <item x="669"/>
        <item x="9"/>
        <item x="44"/>
        <item x="266"/>
        <item x="89"/>
        <item x="2017"/>
        <item x="659"/>
        <item x="60"/>
        <item x="1374"/>
        <item x="1001"/>
        <item x="496"/>
        <item x="1183"/>
        <item x="2321"/>
        <item x="751"/>
        <item x="1524"/>
        <item x="639"/>
        <item x="2194"/>
        <item x="2159"/>
        <item x="1483"/>
        <item x="1886"/>
        <item x="1552"/>
        <item x="1392"/>
        <item x="224"/>
        <item x="1928"/>
        <item x="630"/>
        <item x="1370"/>
        <item x="1581"/>
        <item x="2050"/>
        <item x="1521"/>
        <item x="1857"/>
        <item x="2311"/>
        <item x="1793"/>
        <item x="2007"/>
        <item x="2289"/>
        <item x="853"/>
        <item x="419"/>
        <item x="1544"/>
        <item x="690"/>
        <item x="1364"/>
        <item x="854"/>
        <item x="2364"/>
        <item x="707"/>
        <item x="1871"/>
        <item x="560"/>
        <item x="1786"/>
        <item x="1266"/>
        <item x="2386"/>
        <item x="1064"/>
        <item x="2328"/>
        <item x="1025"/>
        <item x="370"/>
        <item x="2111"/>
        <item x="2326"/>
        <item x="613"/>
        <item x="1780"/>
        <item x="2106"/>
        <item x="1207"/>
        <item x="284"/>
        <item x="562"/>
        <item x="1288"/>
        <item x="308"/>
        <item x="1738"/>
        <item x="167"/>
        <item x="246"/>
        <item x="1633"/>
        <item x="826"/>
        <item x="1843"/>
        <item x="713"/>
        <item x="897"/>
        <item x="422"/>
        <item x="1094"/>
        <item x="97"/>
        <item x="675"/>
        <item x="469"/>
        <item x="192"/>
        <item x="8"/>
        <item x="722"/>
        <item x="1607"/>
        <item x="626"/>
        <item x="777"/>
        <item x="204"/>
        <item x="761"/>
        <item x="231"/>
        <item x="825"/>
        <item x="1161"/>
        <item x="153"/>
        <item x="1897"/>
        <item x="1027"/>
        <item x="506"/>
        <item x="251"/>
        <item x="519"/>
        <item x="596"/>
        <item x="2280"/>
        <item x="575"/>
        <item x="219"/>
        <item x="1148"/>
        <item t="default" sd="0"/>
      </items>
    </pivotField>
    <pivotField name="외운것" axis="axisRow" compact="0" outline="0" showAll="0" sortType="ascending">
      <items count="3">
        <item x="1"/>
        <item x="0"/>
        <item t="default" sd="0"/>
      </items>
    </pivotField>
    <pivotField name="틀린것" axis="axisRow" compact="0" outline="0" showAll="0" sortType="descending" defaultSubtotal="0">
      <items count="2">
        <item h="1" x="0"/>
        <item sd="0" x="1"/>
      </items>
    </pivotField>
    <pivotField name="날짜" compact="0" outline="0" showAll="0">
      <items count="2">
        <item sd="0" x="0"/>
        <item t="default" sd="0"/>
      </items>
    </pivotField>
  </pivotFields>
  <rowFields count="3">
    <field x="10"/>
    <field x="1"/>
    <field x="9"/>
  </rowFields>
  <rowItems count="1">
    <i>
      <x v="1"/>
    </i>
  </rowItems>
  <colItems count="1">
    <i/>
  </colItems>
  <dataFields count="1">
    <dataField name="개수(전체 항목)/No" fld="0" subtotal="count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1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503"/>
  <sheetViews>
    <sheetView workbookViewId="0" showGridLines="0" defaultGridColor="1"/>
  </sheetViews>
  <sheetFormatPr defaultColWidth="16.3333" defaultRowHeight="14" customHeight="1" outlineLevelRow="0" outlineLevelCol="0"/>
  <cols>
    <col min="1" max="1" width="5.67188" style="1" customWidth="1"/>
    <col min="2" max="2" width="16.3516" style="1" customWidth="1"/>
    <col min="3" max="3" width="11.3516" style="1" customWidth="1"/>
    <col min="4" max="5" width="19.8516" style="1" customWidth="1"/>
    <col min="6" max="6" width="50.6719" style="1" customWidth="1"/>
    <col min="7" max="7" width="23.3516" style="1" customWidth="1"/>
    <col min="8" max="9" width="51" style="1" customWidth="1"/>
    <col min="10" max="11" width="5.17188" style="1" customWidth="1"/>
    <col min="12" max="12" width="14.6406" style="1" customWidth="1"/>
    <col min="13" max="16384" width="16.3516" style="1" customWidth="1"/>
  </cols>
  <sheetData>
    <row r="1" ht="17.8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23.45" customHeight="1">
      <c r="A2" s="3">
        <v>1</v>
      </c>
      <c r="B2" t="s" s="4">
        <v>12</v>
      </c>
      <c r="C2" t="s" s="5">
        <v>12</v>
      </c>
      <c r="D2" t="s" s="5">
        <v>13</v>
      </c>
      <c r="E2" t="s" s="5">
        <v>14</v>
      </c>
      <c r="F2" t="s" s="6">
        <v>15</v>
      </c>
      <c r="G2" t="s" s="7">
        <v>16</v>
      </c>
      <c r="H2" t="s" s="7">
        <v>17</v>
      </c>
      <c r="I2" t="str" s="8" cm="1">
        <f t="array" ref="I2">SUBSTITUTE(H2,B2,"(          )")</f>
        <v>The children played with a colorful (          ) in the park.</v>
      </c>
      <c r="J2" s="9" cm="1">
        <f t="array" ref="J2">SUMIF('외운 것 - 엑셀다운로드 파일(붙여넣기)'!A3:A562,A2,'외운 것 - 엑셀다운로드 파일(붙여넣기)'!D3:D562)</f>
        <v>3</v>
      </c>
      <c r="K2" s="9" cm="1">
        <f t="array" ref="K2">_xlfn.COUNTIFS('외운 것 - 엑셀다운로드 파일(붙여넣기)'!A3:A562,A2,'외운 것 - 엑셀다운로드 파일(붙여넣기)'!D3:D562,0)</f>
        <v>0</v>
      </c>
      <c r="L2" t="str" s="8" cm="1">
        <f t="array" ref="L2">IF(J2&gt;=3,_xlfn.XLOOKUP(A2,'외운 것 - 엑셀다운로드 파일(붙여넣기)'!A3:A562,'외운 것 - 엑셀다운로드 파일(붙여넣기)'!C3:C562,0,-1),0)</f>
        <v>2026-03-14</v>
      </c>
    </row>
    <row r="3" ht="38.45" customHeight="1">
      <c r="A3" s="3">
        <v>2</v>
      </c>
      <c r="B3" t="s" s="4">
        <v>20</v>
      </c>
      <c r="C3" t="s" s="5">
        <v>12</v>
      </c>
      <c r="D3" t="s" s="5">
        <v>13</v>
      </c>
      <c r="E3" t="s" s="5">
        <v>21</v>
      </c>
      <c r="F3" t="s" s="6">
        <v>22</v>
      </c>
      <c r="G3" t="s" s="7">
        <v>23</v>
      </c>
      <c r="H3" t="s" s="7">
        <v>24</v>
      </c>
      <c r="I3" t="str" s="8" cm="1">
        <f t="array" ref="I3">SUBSTITUTE(H3,B3,"(          )")</f>
        <v>She bought a red (          ) for her birthday party.</v>
      </c>
      <c r="J3" s="9" cm="1">
        <f t="array" ref="J3">SUMIF('외운 것 - 엑셀다운로드 파일(붙여넣기)'!A3:A562,A3,'외운 것 - 엑셀다운로드 파일(붙여넣기)'!D3:D562)</f>
        <v>3</v>
      </c>
      <c r="K3" s="9" cm="1">
        <f t="array" ref="K3">_xlfn.COUNTIFS('외운 것 - 엑셀다운로드 파일(붙여넣기)'!A3:A562,A3,'외운 것 - 엑셀다운로드 파일(붙여넣기)'!D3:D562,0)</f>
        <v>1</v>
      </c>
      <c r="L3" t="str" s="8" cm="1">
        <f t="array" ref="L3">IF(J3&gt;=3,_xlfn.XLOOKUP(A3,'외운 것 - 엑셀다운로드 파일(붙여넣기)'!A3:A562,'외운 것 - 엑셀다운로드 파일(붙여넣기)'!C3:C562,0,-1),0)</f>
        <v>2026-03-16</v>
      </c>
    </row>
    <row r="4" ht="23.45" customHeight="1">
      <c r="A4" s="3">
        <v>3</v>
      </c>
      <c r="B4" t="s" s="4">
        <v>27</v>
      </c>
      <c r="C4" t="s" s="5">
        <v>27</v>
      </c>
      <c r="D4" t="s" s="5">
        <v>28</v>
      </c>
      <c r="E4" t="s" s="5">
        <v>29</v>
      </c>
      <c r="F4" t="s" s="6">
        <v>30</v>
      </c>
      <c r="G4" t="s" s="7">
        <v>31</v>
      </c>
      <c r="H4" t="s" s="7">
        <v>32</v>
      </c>
      <c r="I4" t="str" s="8" cm="1">
        <f t="array" ref="I4">SUBSTITUTE(H4,B4,"(          )")</f>
        <v>The school (          ) rang to signal the end of class.</v>
      </c>
      <c r="J4" s="9" cm="1">
        <f t="array" ref="J4">SUMIF('외운 것 - 엑셀다운로드 파일(붙여넣기)'!A3:A562,A4,'외운 것 - 엑셀다운로드 파일(붙여넣기)'!D3:D562)</f>
        <v>3</v>
      </c>
      <c r="K4" s="9" cm="1">
        <f t="array" ref="K4">_xlfn.COUNTIFS('외운 것 - 엑셀다운로드 파일(붙여넣기)'!A3:A562,A4,'외운 것 - 엑셀다운로드 파일(붙여넣기)'!D3:D562,0)</f>
        <v>0</v>
      </c>
      <c r="L4" t="str" s="8" cm="1">
        <f t="array" ref="L4">IF(J4&gt;=3,_xlfn.XLOOKUP(A4,'외운 것 - 엑셀다운로드 파일(붙여넣기)'!A3:A562,'외운 것 - 엑셀다운로드 파일(붙여넣기)'!C3:C562,0,-1),0)</f>
        <v>2026-03-14</v>
      </c>
    </row>
    <row r="5" ht="38.45" customHeight="1">
      <c r="A5" s="3">
        <v>4</v>
      </c>
      <c r="B5" t="s" s="4">
        <v>34</v>
      </c>
      <c r="C5" t="s" s="5">
        <v>27</v>
      </c>
      <c r="D5" t="s" s="5">
        <v>28</v>
      </c>
      <c r="E5" t="s" s="5">
        <v>35</v>
      </c>
      <c r="F5" t="s" s="6">
        <v>36</v>
      </c>
      <c r="G5" t="s" s="7">
        <v>37</v>
      </c>
      <c r="H5" t="s" s="7">
        <v>38</v>
      </c>
      <c r="I5" t="str" s="8" cm="1">
        <f t="array" ref="I5">SUBSTITUTE(H5,B5,"(          )")</f>
        <v>The cat's (          ) was soft and warm.</v>
      </c>
      <c r="J5" s="9" cm="1">
        <f t="array" ref="J5">SUMIF('외운 것 - 엑셀다운로드 파일(붙여넣기)'!A3:A562,A5,'외운 것 - 엑셀다운로드 파일(붙여넣기)'!D3:D562)</f>
        <v>3</v>
      </c>
      <c r="K5" s="9" cm="1">
        <f t="array" ref="K5">_xlfn.COUNTIFS('외운 것 - 엑셀다운로드 파일(붙여넣기)'!A3:A562,A5,'외운 것 - 엑셀다운로드 파일(붙여넣기)'!D3:D562,0)</f>
        <v>0</v>
      </c>
      <c r="L5" t="str" s="8" cm="1">
        <f t="array" ref="L5">IF(J5&gt;=3,_xlfn.XLOOKUP(A5,'외운 것 - 엑셀다운로드 파일(붙여넣기)'!A3:A562,'외운 것 - 엑셀다운로드 파일(붙여넣기)'!C3:C562,0,-1),0)</f>
        <v>2026-03-14</v>
      </c>
    </row>
    <row r="6" ht="23.45" customHeight="1">
      <c r="A6" s="3">
        <v>5</v>
      </c>
      <c r="B6" t="s" s="4">
        <v>40</v>
      </c>
      <c r="C6" t="s" s="5">
        <v>12</v>
      </c>
      <c r="D6" t="s" s="5">
        <v>13</v>
      </c>
      <c r="E6" t="s" s="5">
        <v>41</v>
      </c>
      <c r="F6" t="s" s="6">
        <v>42</v>
      </c>
      <c r="G6" t="s" s="7">
        <v>43</v>
      </c>
      <c r="H6" t="s" s="7">
        <v>44</v>
      </c>
      <c r="I6" t="str" s="8" cm="1">
        <f t="array" ref="I6">SUBSTITUTE(H6,B6,"(          )")</f>
        <v>The detective found a (          ) at the crime scene.</v>
      </c>
      <c r="J6" s="9" cm="1">
        <f t="array" ref="J6">SUMIF('외운 것 - 엑셀다운로드 파일(붙여넣기)'!A3:A562,A6,'외운 것 - 엑셀다운로드 파일(붙여넣기)'!D3:D562)</f>
        <v>3</v>
      </c>
      <c r="K6" s="9" cm="1">
        <f t="array" ref="K6">_xlfn.COUNTIFS('외운 것 - 엑셀다운로드 파일(붙여넣기)'!A3:A562,A6,'외운 것 - 엑셀다운로드 파일(붙여넣기)'!D3:D562,0)</f>
        <v>0</v>
      </c>
      <c r="L6" t="str" s="8" cm="1">
        <f t="array" ref="L6">IF(J6&gt;=3,_xlfn.XLOOKUP(A6,'외운 것 - 엑셀다운로드 파일(붙여넣기)'!A3:A562,'외운 것 - 엑셀다운로드 파일(붙여넣기)'!C3:C562,0,-1),0)</f>
        <v>2026-03-14</v>
      </c>
    </row>
    <row r="7" ht="23.45" customHeight="1">
      <c r="A7" s="3">
        <v>6</v>
      </c>
      <c r="B7" t="s" s="4">
        <v>46</v>
      </c>
      <c r="C7" t="s" s="5">
        <v>12</v>
      </c>
      <c r="D7" t="s" s="5">
        <v>13</v>
      </c>
      <c r="E7" t="s" s="5">
        <v>47</v>
      </c>
      <c r="F7" t="s" s="6">
        <v>48</v>
      </c>
      <c r="G7" t="s" s="7">
        <v>49</v>
      </c>
      <c r="H7" t="s" s="7">
        <v>50</v>
      </c>
      <c r="I7" t="str" s="8" cm="1">
        <f t="array" ref="I7">SUBSTITUTE(H7,B7,"(          )")</f>
        <v>I need to replace the light (          ) in the kitchen.</v>
      </c>
      <c r="J7" s="9" cm="1">
        <f t="array" ref="J7">SUMIF('외운 것 - 엑셀다운로드 파일(붙여넣기)'!A3:A562,A7,'외운 것 - 엑셀다운로드 파일(붙여넣기)'!D3:D562)</f>
        <v>3</v>
      </c>
      <c r="K7" s="9" cm="1">
        <f t="array" ref="K7">_xlfn.COUNTIFS('외운 것 - 엑셀다운로드 파일(붙여넣기)'!A3:A562,A7,'외운 것 - 엑셀다운로드 파일(붙여넣기)'!D3:D562,0)</f>
        <v>0</v>
      </c>
      <c r="L7" t="str" s="8" cm="1">
        <f t="array" ref="L7">IF(J7&gt;=3,_xlfn.XLOOKUP(A7,'외운 것 - 엑셀다운로드 파일(붙여넣기)'!A3:A562,'외운 것 - 엑셀다운로드 파일(붙여넣기)'!C3:C562,0,-1),0)</f>
        <v>2026-03-14</v>
      </c>
    </row>
    <row r="8" ht="38.45" customHeight="1">
      <c r="A8" s="3">
        <v>7</v>
      </c>
      <c r="B8" t="s" s="4">
        <v>52</v>
      </c>
      <c r="C8" t="s" s="5">
        <v>12</v>
      </c>
      <c r="D8" t="s" s="5">
        <v>13</v>
      </c>
      <c r="E8" t="s" s="5">
        <v>53</v>
      </c>
      <c r="F8" t="s" s="6">
        <v>54</v>
      </c>
      <c r="G8" t="s" s="7">
        <v>55</v>
      </c>
      <c r="H8" t="s" s="7">
        <v>56</v>
      </c>
      <c r="I8" t="str" s="8" cm="1">
        <f t="array" ref="I8">SUBSTITUTE(H8,B8,"(          )")</f>
        <v>He bought rice in (          ) to save money.</v>
      </c>
      <c r="J8" s="9" cm="1">
        <f t="array" ref="J8">SUMIF('외운 것 - 엑셀다운로드 파일(붙여넣기)'!A3:A562,A8,'외운 것 - 엑셀다운로드 파일(붙여넣기)'!D3:D562)</f>
        <v>3</v>
      </c>
      <c r="K8" s="9" cm="1">
        <f t="array" ref="K8">_xlfn.COUNTIFS('외운 것 - 엑셀다운로드 파일(붙여넣기)'!A3:A562,A8,'외운 것 - 엑셀다운로드 파일(붙여넣기)'!D3:D562,0)</f>
        <v>0</v>
      </c>
      <c r="L8" t="str" s="8" cm="1">
        <f t="array" ref="L8">IF(J8&gt;=3,_xlfn.XLOOKUP(A8,'외운 것 - 엑셀다운로드 파일(붙여넣기)'!A3:A562,'외운 것 - 엑셀다운로드 파일(붙여넣기)'!C3:C562,0,-1),0)</f>
        <v>2026-03-14</v>
      </c>
    </row>
    <row r="9" ht="23.45" customHeight="1">
      <c r="A9" s="3">
        <v>8</v>
      </c>
      <c r="B9" t="s" s="4">
        <v>58</v>
      </c>
      <c r="C9" t="s" s="5">
        <v>58</v>
      </c>
      <c r="D9" t="s" s="5">
        <v>59</v>
      </c>
      <c r="E9" t="s" s="5">
        <v>60</v>
      </c>
      <c r="F9" t="s" s="6">
        <v>61</v>
      </c>
      <c r="G9" t="s" s="7">
        <v>62</v>
      </c>
      <c r="H9" t="s" s="7">
        <v>63</v>
      </c>
      <c r="I9" t="str" s="8" cm="1">
        <f t="array" ref="I9">SUBSTITUTE(H9,B9,"(          )")</f>
        <v>The military (          ) is located near the mountain.</v>
      </c>
      <c r="J9" s="9" cm="1">
        <f t="array" ref="J9">SUMIF('외운 것 - 엑셀다운로드 파일(붙여넣기)'!A3:A562,A9,'외운 것 - 엑셀다운로드 파일(붙여넣기)'!D3:D562)</f>
        <v>3</v>
      </c>
      <c r="K9" s="9" cm="1">
        <f t="array" ref="K9">_xlfn.COUNTIFS('외운 것 - 엑셀다운로드 파일(붙여넣기)'!A3:A562,A9,'외운 것 - 엑셀다운로드 파일(붙여넣기)'!D3:D562,0)</f>
        <v>0</v>
      </c>
      <c r="L9" t="str" s="8" cm="1">
        <f t="array" ref="L9">IF(J9&gt;=3,_xlfn.XLOOKUP(A9,'외운 것 - 엑셀다운로드 파일(붙여넣기)'!A3:A562,'외운 것 - 엑셀다운로드 파일(붙여넣기)'!C3:C562,0,-1),0)</f>
        <v>2026-03-14</v>
      </c>
    </row>
    <row r="10" ht="23.45" customHeight="1">
      <c r="A10" s="3">
        <v>9</v>
      </c>
      <c r="B10" t="s" s="4">
        <v>65</v>
      </c>
      <c r="C10" t="s" s="5">
        <v>58</v>
      </c>
      <c r="D10" t="s" s="5">
        <v>59</v>
      </c>
      <c r="E10" t="s" s="5">
        <v>66</v>
      </c>
      <c r="F10" t="s" s="6">
        <v>67</v>
      </c>
      <c r="G10" t="s" s="7">
        <v>68</v>
      </c>
      <c r="H10" t="s" s="7">
        <v>69</v>
      </c>
      <c r="I10" t="str" s="8" cm="1">
        <f t="array" ref="I10">SUBSTITUTE(H10,B10,"(          )")</f>
        <v>You need to learn the (          ) principles of mathematics.</v>
      </c>
      <c r="J10" s="9" cm="1">
        <f t="array" ref="J10">SUMIF('외운 것 - 엑셀다운로드 파일(붙여넣기)'!A3:A562,A10,'외운 것 - 엑셀다운로드 파일(붙여넣기)'!D3:D562)</f>
        <v>3</v>
      </c>
      <c r="K10" s="9" cm="1">
        <f t="array" ref="K10">_xlfn.COUNTIFS('외운 것 - 엑셀다운로드 파일(붙여넣기)'!A3:A562,A10,'외운 것 - 엑셀다운로드 파일(붙여넣기)'!D3:D562,0)</f>
        <v>0</v>
      </c>
      <c r="L10" t="str" s="8" cm="1">
        <f t="array" ref="L10">IF(J10&gt;=3,_xlfn.XLOOKUP(A10,'외운 것 - 엑셀다운로드 파일(붙여넣기)'!A3:A562,'외운 것 - 엑셀다운로드 파일(붙여넣기)'!C3:C562,0,-1),0)</f>
        <v>2026-03-14</v>
      </c>
    </row>
    <row r="11" ht="23.45" customHeight="1">
      <c r="A11" s="3">
        <v>10</v>
      </c>
      <c r="B11" t="s" s="4">
        <v>71</v>
      </c>
      <c r="C11" t="s" s="5">
        <v>58</v>
      </c>
      <c r="D11" t="s" s="5">
        <v>59</v>
      </c>
      <c r="E11" t="s" s="5">
        <v>72</v>
      </c>
      <c r="F11" t="s" s="6">
        <v>73</v>
      </c>
      <c r="G11" t="s" s="7">
        <v>74</v>
      </c>
      <c r="H11" t="s" s="7">
        <v>75</v>
      </c>
      <c r="I11" t="str" s="8" cm="1">
        <f t="array" ref="I11">SUBSTITUTE(H11,B11,"(          )")</f>
        <v>We store old furniture in our (          ).</v>
      </c>
      <c r="J11" s="9" cm="1">
        <f t="array" ref="J11">SUMIF('외운 것 - 엑셀다운로드 파일(붙여넣기)'!A3:A562,A11,'외운 것 - 엑셀다운로드 파일(붙여넣기)'!D3:D562)</f>
        <v>3</v>
      </c>
      <c r="K11" s="9" cm="1">
        <f t="array" ref="K11">_xlfn.COUNTIFS('외운 것 - 엑셀다운로드 파일(붙여넣기)'!A3:A562,A11,'외운 것 - 엑셀다운로드 파일(붙여넣기)'!D3:D562,0)</f>
        <v>0</v>
      </c>
      <c r="L11" t="str" s="8" cm="1">
        <f t="array" ref="L11">IF(J11&gt;=3,_xlfn.XLOOKUP(A11,'외운 것 - 엑셀다운로드 파일(붙여넣기)'!A3:A562,'외운 것 - 엑셀다운로드 파일(붙여넣기)'!C3:C562,0,-1),0)</f>
        <v>2026-03-14</v>
      </c>
    </row>
    <row r="12" ht="38.45" customHeight="1">
      <c r="A12" s="3">
        <v>11</v>
      </c>
      <c r="B12" t="s" s="4">
        <v>77</v>
      </c>
      <c r="C12" t="s" s="5">
        <v>58</v>
      </c>
      <c r="D12" t="s" s="5">
        <v>59</v>
      </c>
      <c r="E12" t="s" s="5">
        <v>78</v>
      </c>
      <c r="F12" t="s" s="6">
        <v>79</v>
      </c>
      <c r="G12" t="s" s="7">
        <v>80</v>
      </c>
      <c r="H12" t="s" s="7">
        <v>81</v>
      </c>
      <c r="I12" t="str" s="8" cm="1">
        <f t="array" ref="I12">SUBSTITUTE(H12,B12,"(          )")</f>
        <v>My brother plays (          ) every weekend.</v>
      </c>
      <c r="J12" s="9" cm="1">
        <f t="array" ref="J12">SUMIF('외운 것 - 엑셀다운로드 파일(붙여넣기)'!A3:A562,A12,'외운 것 - 엑셀다운로드 파일(붙여넣기)'!D3:D562)</f>
        <v>3</v>
      </c>
      <c r="K12" s="9" cm="1">
        <f t="array" ref="K12">_xlfn.COUNTIFS('외운 것 - 엑셀다운로드 파일(붙여넣기)'!A3:A562,A12,'외운 것 - 엑셀다운로드 파일(붙여넣기)'!D3:D562,0)</f>
        <v>0</v>
      </c>
      <c r="L12" t="str" s="8" cm="1">
        <f t="array" ref="L12">IF(J12&gt;=3,_xlfn.XLOOKUP(A12,'외운 것 - 엑셀다운로드 파일(붙여넣기)'!A3:A562,'외운 것 - 엑셀다운로드 파일(붙여넣기)'!C3:C562,0,-1),0)</f>
        <v>2026-03-14</v>
      </c>
    </row>
    <row r="13" ht="38.45" customHeight="1">
      <c r="A13" s="3">
        <v>12</v>
      </c>
      <c r="B13" t="s" s="4">
        <v>83</v>
      </c>
      <c r="C13" t="s" s="5">
        <v>58</v>
      </c>
      <c r="D13" t="s" s="5">
        <v>59</v>
      </c>
      <c r="E13" t="s" s="5">
        <v>60</v>
      </c>
      <c r="F13" t="s" s="6">
        <v>84</v>
      </c>
      <c r="G13" t="s" s="7">
        <v>85</v>
      </c>
      <c r="H13" t="s" s="7">
        <v>86</v>
      </c>
      <c r="I13" t="str" s="8" cm="1">
        <f t="array" ref="I13">SUBSTITUTE(H13,B13,"(          )")</f>
        <v>The (          ) guitar creates deep, low sounds in the band.</v>
      </c>
      <c r="J13" s="9" cm="1">
        <f t="array" ref="J13">SUMIF('외운 것 - 엑셀다운로드 파일(붙여넣기)'!A3:A562,A13,'외운 것 - 엑셀다운로드 파일(붙여넣기)'!D3:D562)</f>
        <v>3</v>
      </c>
      <c r="K13" s="9" cm="1">
        <f t="array" ref="K13">_xlfn.COUNTIFS('외운 것 - 엑셀다운로드 파일(붙여넣기)'!A3:A562,A13,'외운 것 - 엑셀다운로드 파일(붙여넣기)'!D3:D562,0)</f>
        <v>0</v>
      </c>
      <c r="L13" t="str" s="8" cm="1">
        <f t="array" ref="L13">IF(J13&gt;=3,_xlfn.XLOOKUP(A13,'외운 것 - 엑셀다운로드 파일(붙여넣기)'!A3:A562,'외운 것 - 엑셀다운로드 파일(붙여넣기)'!C3:C562,0,-1),0)</f>
        <v>2026-03-14</v>
      </c>
    </row>
    <row r="14" ht="38.45" customHeight="1">
      <c r="A14" s="3">
        <v>13</v>
      </c>
      <c r="B14" t="s" s="4">
        <v>88</v>
      </c>
      <c r="C14" t="s" s="5">
        <v>89</v>
      </c>
      <c r="D14" t="s" s="5">
        <v>90</v>
      </c>
      <c r="E14" t="s" s="5">
        <v>91</v>
      </c>
      <c r="F14" t="s" s="6">
        <v>92</v>
      </c>
      <c r="G14" t="s" s="7">
        <v>93</v>
      </c>
      <c r="H14" t="s" s="7">
        <v>94</v>
      </c>
      <c r="I14" t="str" s="8" cm="1">
        <f t="array" ref="I14">SUBSTITUTE(H14,B14,"(          )")</f>
        <v>She wore a silk (          ) to the interview.</v>
      </c>
      <c r="J14" s="9" cm="1">
        <f t="array" ref="J14">SUMIF('외운 것 - 엑셀다운로드 파일(붙여넣기)'!A3:A562,A14,'외운 것 - 엑셀다운로드 파일(붙여넣기)'!D3:D562)</f>
        <v>3</v>
      </c>
      <c r="K14" s="9" cm="1">
        <f t="array" ref="K14">_xlfn.COUNTIFS('외운 것 - 엑셀다운로드 파일(붙여넣기)'!A3:A562,A14,'외운 것 - 엑셀다운로드 파일(붙여넣기)'!D3:D562,0)</f>
        <v>0</v>
      </c>
      <c r="L14" t="str" s="8" cm="1">
        <f t="array" ref="L14">IF(J14&gt;=3,_xlfn.XLOOKUP(A14,'외운 것 - 엑셀다운로드 파일(붙여넣기)'!A3:A562,'외운 것 - 엑셀다운로드 파일(붙여넣기)'!C3:C562,0,-1),0)</f>
        <v>2026-03-14</v>
      </c>
    </row>
    <row r="15" ht="23.45" customHeight="1">
      <c r="A15" s="3">
        <v>14</v>
      </c>
      <c r="B15" t="s" s="4">
        <v>96</v>
      </c>
      <c r="C15" t="s" s="5">
        <v>89</v>
      </c>
      <c r="D15" t="s" s="5">
        <v>90</v>
      </c>
      <c r="E15" t="s" s="5">
        <v>97</v>
      </c>
      <c r="F15" t="s" s="6">
        <v>98</v>
      </c>
      <c r="G15" t="s" s="7">
        <v>99</v>
      </c>
      <c r="H15" t="s" s="7">
        <v>100</v>
      </c>
      <c r="I15" t="str" s="8" cm="1">
        <f t="array" ref="I15">SUBSTITUTE(H15,B15,"(          )")</f>
        <v>Eating too fast can cause your stomach to (          ).</v>
      </c>
      <c r="J15" s="9" cm="1">
        <f t="array" ref="J15">SUMIF('외운 것 - 엑셀다운로드 파일(붙여넣기)'!A3:A562,A15,'외운 것 - 엑셀다운로드 파일(붙여넣기)'!D3:D562)</f>
        <v>3</v>
      </c>
      <c r="K15" s="9" cm="1">
        <f t="array" ref="K15">_xlfn.COUNTIFS('외운 것 - 엑셀다운로드 파일(붙여넣기)'!A3:A562,A15,'외운 것 - 엑셀다운로드 파일(붙여넣기)'!D3:D562,0)</f>
        <v>0</v>
      </c>
      <c r="L15" t="str" s="8" cm="1">
        <f t="array" ref="L15">IF(J15&gt;=3,_xlfn.XLOOKUP(A15,'외운 것 - 엑셀다운로드 파일(붙여넣기)'!A3:A562,'외운 것 - 엑셀다운로드 파일(붙여넣기)'!C3:C562,0,-1),0)</f>
        <v>2026-03-14</v>
      </c>
    </row>
    <row r="16" ht="23.45" customHeight="1">
      <c r="A16" s="3">
        <v>15</v>
      </c>
      <c r="B16" t="s" s="4">
        <v>102</v>
      </c>
      <c r="C16" t="s" s="5">
        <v>89</v>
      </c>
      <c r="D16" t="s" s="5">
        <v>90</v>
      </c>
      <c r="E16" t="s" s="5">
        <v>103</v>
      </c>
      <c r="F16" t="s" s="6">
        <v>104</v>
      </c>
      <c r="G16" t="s" s="7">
        <v>105</v>
      </c>
      <c r="H16" t="s" s="7">
        <v>106</v>
      </c>
      <c r="I16" t="str" s="8" cm="1">
        <f t="array" ref="I16">SUBSTITUTE(H16,B16,"(          )")</f>
        <v>The wind will (          ) strongly tonight.</v>
      </c>
      <c r="J16" s="9" cm="1">
        <f t="array" ref="J16">SUMIF('외운 것 - 엑셀다운로드 파일(붙여넣기)'!A3:A562,A16,'외운 것 - 엑셀다운로드 파일(붙여넣기)'!D3:D562)</f>
        <v>3</v>
      </c>
      <c r="K16" s="9" cm="1">
        <f t="array" ref="K16">_xlfn.COUNTIFS('외운 것 - 엑셀다운로드 파일(붙여넣기)'!A3:A562,A16,'외운 것 - 엑셀다운로드 파일(붙여넣기)'!D3:D562,0)</f>
        <v>0</v>
      </c>
      <c r="L16" t="str" s="8" cm="1">
        <f t="array" ref="L16">IF(J16&gt;=3,_xlfn.XLOOKUP(A16,'외운 것 - 엑셀다운로드 파일(붙여넣기)'!A3:A562,'외운 것 - 엑셀다운로드 파일(붙여넣기)'!C3:C562,0,-1),0)</f>
        <v>2026-03-14</v>
      </c>
    </row>
    <row r="17" ht="23.45" customHeight="1">
      <c r="A17" s="3">
        <v>16</v>
      </c>
      <c r="B17" t="s" s="4">
        <v>108</v>
      </c>
      <c r="C17" t="s" s="5">
        <v>109</v>
      </c>
      <c r="D17" t="s" s="5">
        <v>89</v>
      </c>
      <c r="E17" t="s" s="5">
        <v>110</v>
      </c>
      <c r="F17" t="s" s="6">
        <v>111</v>
      </c>
      <c r="G17" t="s" s="7">
        <v>112</v>
      </c>
      <c r="H17" t="s" s="7">
        <v>113</v>
      </c>
      <c r="I17" t="str" s="8" cm="1">
        <f t="array" ref="I17">SUBSTITUTE(H17,B17,"(          )")</f>
        <v>The (          ) can expand to twice its normal size.</v>
      </c>
      <c r="J17" s="9" cm="1">
        <f t="array" ref="J17">SUMIF('외운 것 - 엑셀다운로드 파일(붙여넣기)'!A3:A562,A17,'외운 것 - 엑셀다운로드 파일(붙여넣기)'!D3:D562)</f>
        <v>3</v>
      </c>
      <c r="K17" s="9" cm="1">
        <f t="array" ref="K17">_xlfn.COUNTIFS('외운 것 - 엑셀다운로드 파일(붙여넣기)'!A3:A562,A17,'외운 것 - 엑셀다운로드 파일(붙여넣기)'!D3:D562,0)</f>
        <v>0</v>
      </c>
      <c r="L17" t="str" s="8" cm="1">
        <f t="array" ref="L17">IF(J17&gt;=3,_xlfn.XLOOKUP(A17,'외운 것 - 엑셀다운로드 파일(붙여넣기)'!A3:A562,'외운 것 - 엑셀다운로드 파일(붙여넣기)'!C3:C562,0,-1),0)</f>
        <v>2026-03-14</v>
      </c>
    </row>
    <row r="18" ht="38.45" customHeight="1">
      <c r="A18" s="3">
        <v>17</v>
      </c>
      <c r="B18" t="s" s="4">
        <v>115</v>
      </c>
      <c r="C18" t="s" s="5">
        <v>89</v>
      </c>
      <c r="D18" t="s" s="5">
        <v>90</v>
      </c>
      <c r="E18" t="s" s="5">
        <v>116</v>
      </c>
      <c r="F18" t="s" s="10">
        <v>117</v>
      </c>
      <c r="G18" t="s" s="7">
        <v>118</v>
      </c>
      <c r="H18" t="s" s="7">
        <v>119</v>
      </c>
      <c r="I18" t="str" s="8" cm="1">
        <f t="array" ref="I18">SUBSTITUTE(H18,B18,"(          )")</f>
        <v>I got a (          ) on my heel from my new shoes.</v>
      </c>
      <c r="J18" s="9" cm="1">
        <f t="array" ref="J18">SUMIF('외운 것 - 엑셀다운로드 파일(붙여넣기)'!A3:A562,A18,'외운 것 - 엑셀다운로드 파일(붙여넣기)'!D3:D562)</f>
        <v>3</v>
      </c>
      <c r="K18" s="9" cm="1">
        <f t="array" ref="K18">_xlfn.COUNTIFS('외운 것 - 엑셀다운로드 파일(붙여넣기)'!A3:A562,A18,'외운 것 - 엑셀다운로드 파일(붙여넣기)'!D3:D562,0)</f>
        <v>0</v>
      </c>
      <c r="L18" t="str" s="8" cm="1">
        <f t="array" ref="L18">IF(J18&gt;=3,_xlfn.XLOOKUP(A18,'외운 것 - 엑셀다운로드 파일(붙여넣기)'!A3:A562,'외운 것 - 엑셀다운로드 파일(붙여넣기)'!C3:C562,0,-1),0)</f>
        <v>2026-03-14</v>
      </c>
    </row>
    <row r="19" ht="38.45" customHeight="1">
      <c r="A19" s="3">
        <v>18</v>
      </c>
      <c r="B19" t="s" s="4">
        <v>121</v>
      </c>
      <c r="C19" t="s" s="5">
        <v>89</v>
      </c>
      <c r="D19" t="s" s="5">
        <v>90</v>
      </c>
      <c r="E19" t="s" s="5">
        <v>122</v>
      </c>
      <c r="F19" t="s" s="6">
        <v>123</v>
      </c>
      <c r="G19" t="s" s="7">
        <v>124</v>
      </c>
      <c r="H19" t="s" s="7">
        <v>125</v>
      </c>
      <c r="I19" t="str" s="8" cm="1">
        <f t="array" ref="I19">SUBSTITUTE(H19,B19,"(          )")</f>
        <v>Her vision became a (          ) without her glasses.</v>
      </c>
      <c r="J19" s="9" cm="1">
        <f t="array" ref="J19">SUMIF('외운 것 - 엑셀다운로드 파일(붙여넣기)'!A3:A562,A19,'외운 것 - 엑셀다운로드 파일(붙여넣기)'!D3:D562)</f>
        <v>3</v>
      </c>
      <c r="K19" s="9" cm="1">
        <f t="array" ref="K19">_xlfn.COUNTIFS('외운 것 - 엑셀다운로드 파일(붙여넣기)'!A3:A562,A19,'외운 것 - 엑셀다운로드 파일(붙여넣기)'!D3:D562,0)</f>
        <v>0</v>
      </c>
      <c r="L19" t="str" s="8" cm="1">
        <f t="array" ref="L19">IF(J19&gt;=3,_xlfn.XLOOKUP(A19,'외운 것 - 엑셀다운로드 파일(붙여넣기)'!A3:A562,'외운 것 - 엑셀다운로드 파일(붙여넣기)'!C3:C562,0,-1),0)</f>
        <v>2026-03-14</v>
      </c>
    </row>
    <row r="20" ht="38.45" customHeight="1">
      <c r="A20" s="3">
        <v>19</v>
      </c>
      <c r="B20" t="s" s="4">
        <v>127</v>
      </c>
      <c r="C20" t="s" s="5">
        <v>89</v>
      </c>
      <c r="D20" t="s" s="5">
        <v>90</v>
      </c>
      <c r="E20" t="s" s="5">
        <v>128</v>
      </c>
      <c r="F20" t="s" s="6">
        <v>129</v>
      </c>
      <c r="G20" t="s" s="7">
        <v>130</v>
      </c>
      <c r="H20" t="s" s="7">
        <v>131</v>
      </c>
      <c r="I20" t="str" s="8" cm="1">
        <f t="array" ref="I20">SUBSTITUTE(H20,B20,"(          )")</f>
        <v>The (          ) man navigated with his white cane.</v>
      </c>
      <c r="J20" s="9" cm="1">
        <f t="array" ref="J20">SUMIF('외운 것 - 엑셀다운로드 파일(붙여넣기)'!A3:A562,A20,'외운 것 - 엑셀다운로드 파일(붙여넣기)'!D3:D562)</f>
        <v>3</v>
      </c>
      <c r="K20" s="9" cm="1">
        <f t="array" ref="K20">_xlfn.COUNTIFS('외운 것 - 엑셀다운로드 파일(붙여넣기)'!A3:A562,A20,'외운 것 - 엑셀다운로드 파일(붙여넣기)'!D3:D562,0)</f>
        <v>0</v>
      </c>
      <c r="L20" t="str" s="8" cm="1">
        <f t="array" ref="L20">IF(J20&gt;=3,_xlfn.XLOOKUP(A20,'외운 것 - 엑셀다운로드 파일(붙여넣기)'!A3:A562,'외운 것 - 엑셀다운로드 파일(붙여넣기)'!C3:C562,0,-1),0)</f>
        <v>2026-03-14</v>
      </c>
    </row>
    <row r="21" ht="23.45" customHeight="1">
      <c r="A21" s="3">
        <v>20</v>
      </c>
      <c r="B21" t="s" s="4">
        <v>133</v>
      </c>
      <c r="C21" t="s" s="5">
        <v>89</v>
      </c>
      <c r="D21" t="s" s="5">
        <v>90</v>
      </c>
      <c r="E21" t="s" s="5">
        <v>134</v>
      </c>
      <c r="F21" t="s" s="6">
        <v>135</v>
      </c>
      <c r="G21" t="s" s="7">
        <v>136</v>
      </c>
      <c r="H21" t="s" s="7">
        <v>137</v>
      </c>
      <c r="I21" t="str" s="8" cm="1">
        <f t="array" ref="I21">SUBSTITUTE(H21,B21,"(          )")</f>
        <v>His (          ) didn't work because everyone knew he was lying.</v>
      </c>
      <c r="J21" s="9" cm="1">
        <f t="array" ref="J21">SUMIF('외운 것 - 엑셀다운로드 파일(붙여넣기)'!A3:A562,A21,'외운 것 - 엑셀다운로드 파일(붙여넣기)'!D3:D562)</f>
        <v>3</v>
      </c>
      <c r="K21" s="9" cm="1">
        <f t="array" ref="K21">_xlfn.COUNTIFS('외운 것 - 엑셀다운로드 파일(붙여넣기)'!A3:A562,A21,'외운 것 - 엑셀다운로드 파일(붙여넣기)'!D3:D562,0)</f>
        <v>0</v>
      </c>
      <c r="L21" t="str" s="8" cm="1">
        <f t="array" ref="L21">IF(J21&gt;=3,_xlfn.XLOOKUP(A21,'외운 것 - 엑셀다운로드 파일(붙여넣기)'!A3:A562,'외운 것 - 엑셀다운로드 파일(붙여넣기)'!C3:C562,0,-1),0)</f>
        <v>2026-03-14</v>
      </c>
    </row>
    <row r="22" ht="23.45" customHeight="1">
      <c r="A22" s="3">
        <v>21</v>
      </c>
      <c r="B22" t="s" s="4">
        <v>139</v>
      </c>
      <c r="C22" t="s" s="5">
        <v>140</v>
      </c>
      <c r="D22" t="s" s="5">
        <v>141</v>
      </c>
      <c r="E22" t="s" s="5">
        <v>142</v>
      </c>
      <c r="F22" t="s" s="6">
        <v>143</v>
      </c>
      <c r="G22" t="s" s="7">
        <v>144</v>
      </c>
      <c r="H22" t="s" s="7">
        <v>145</v>
      </c>
      <c r="I22" t="str" s="8" cm="1">
        <f t="array" ref="I22">SUBSTITUTE(H22,B22,"(          )")</f>
        <v>The child laughed as she blew a large soap (          ).</v>
      </c>
      <c r="J22" s="9" cm="1">
        <f t="array" ref="J22">SUMIF('외운 것 - 엑셀다운로드 파일(붙여넣기)'!A3:A562,A22,'외운 것 - 엑셀다운로드 파일(붙여넣기)'!D3:D562)</f>
        <v>3</v>
      </c>
      <c r="K22" s="9" cm="1">
        <f t="array" ref="K22">_xlfn.COUNTIFS('외운 것 - 엑셀다운로드 파일(붙여넣기)'!A3:A562,A22,'외운 것 - 엑셀다운로드 파일(붙여넣기)'!D3:D562,0)</f>
        <v>0</v>
      </c>
      <c r="L22" t="str" s="8" cm="1">
        <f t="array" ref="L22">IF(J22&gt;=3,_xlfn.XLOOKUP(A22,'외운 것 - 엑셀다운로드 파일(붙여넣기)'!A3:A562,'외운 것 - 엑셀다운로드 파일(붙여넣기)'!C3:C562,0,-1),0)</f>
        <v>2026-03-14</v>
      </c>
    </row>
    <row r="23" ht="23.45" customHeight="1">
      <c r="A23" s="3">
        <v>22</v>
      </c>
      <c r="B23" t="s" s="4">
        <v>147</v>
      </c>
      <c r="C23" t="s" s="5">
        <v>140</v>
      </c>
      <c r="D23" t="s" s="5">
        <v>141</v>
      </c>
      <c r="E23" t="s" s="5">
        <v>148</v>
      </c>
      <c r="F23" t="s" s="6">
        <v>149</v>
      </c>
      <c r="G23" t="s" s="7">
        <v>150</v>
      </c>
      <c r="H23" t="s" s="7">
        <v>151</v>
      </c>
      <c r="I23" t="str" s="8" cm="1">
        <f t="array" ref="I23">SUBSTITUTE(H23,B23,"(          )")</f>
        <v>The flower (          ) will soon bloom in spring.</v>
      </c>
      <c r="J23" s="9" cm="1">
        <f t="array" ref="J23">SUMIF('외운 것 - 엑셀다운로드 파일(붙여넣기)'!A3:A562,A23,'외운 것 - 엑셀다운로드 파일(붙여넣기)'!D3:D562)</f>
        <v>3</v>
      </c>
      <c r="K23" s="9" cm="1">
        <f t="array" ref="K23">_xlfn.COUNTIFS('외운 것 - 엑셀다운로드 파일(붙여넣기)'!A3:A562,A23,'외운 것 - 엑셀다운로드 파일(붙여넣기)'!D3:D562,0)</f>
        <v>0</v>
      </c>
      <c r="L23" t="str" s="8" cm="1">
        <f t="array" ref="L23">IF(J23&gt;=3,_xlfn.XLOOKUP(A23,'외운 것 - 엑셀다운로드 파일(붙여넣기)'!A3:A562,'외운 것 - 엑셀다운로드 파일(붙여넣기)'!C3:C562,0,-1),0)</f>
        <v>2026-03-14</v>
      </c>
    </row>
    <row r="24" ht="23.45" customHeight="1">
      <c r="A24" s="3">
        <v>23</v>
      </c>
      <c r="B24" t="s" s="4">
        <v>153</v>
      </c>
      <c r="C24" t="s" s="5">
        <v>154</v>
      </c>
      <c r="D24" t="s" s="5">
        <v>140</v>
      </c>
      <c r="E24" t="s" s="5">
        <v>155</v>
      </c>
      <c r="F24" t="s" s="6">
        <v>156</v>
      </c>
      <c r="G24" t="s" s="7">
        <v>157</v>
      </c>
      <c r="H24" t="s" s="7">
        <v>158</v>
      </c>
      <c r="I24" t="str" s="8" cm="1">
        <f t="array" ref="I24">SUBSTITUTE(H24,B24,"(          )")</f>
        <v>We need to create a (          ) for our vacation.</v>
      </c>
      <c r="J24" s="9" cm="1">
        <f t="array" ref="J24">SUMIF('외운 것 - 엑셀다운로드 파일(붙여넣기)'!A3:A562,A24,'외운 것 - 엑셀다운로드 파일(붙여넣기)'!D3:D562)</f>
        <v>3</v>
      </c>
      <c r="K24" s="9" cm="1">
        <f t="array" ref="K24">_xlfn.COUNTIFS('외운 것 - 엑셀다운로드 파일(붙여넣기)'!A3:A562,A24,'외운 것 - 엑셀다운로드 파일(붙여넣기)'!D3:D562,0)</f>
        <v>1</v>
      </c>
      <c r="L24" t="str" s="8" cm="1">
        <f t="array" ref="L24">IF(J24&gt;=3,_xlfn.XLOOKUP(A24,'외운 것 - 엑셀다운로드 파일(붙여넣기)'!A3:A562,'외운 것 - 엑셀다운로드 파일(붙여넣기)'!C3:C562,0,-1),0)</f>
        <v>2026-03-16</v>
      </c>
    </row>
    <row r="25" ht="23.45" customHeight="1">
      <c r="A25" s="3">
        <v>24</v>
      </c>
      <c r="B25" t="s" s="4">
        <v>160</v>
      </c>
      <c r="C25" t="s" s="5">
        <v>140</v>
      </c>
      <c r="D25" t="s" s="5">
        <v>141</v>
      </c>
      <c r="E25" t="s" s="5">
        <v>161</v>
      </c>
      <c r="F25" t="s" s="6">
        <v>162</v>
      </c>
      <c r="G25" t="s" s="7">
        <v>163</v>
      </c>
      <c r="H25" t="s" s="7">
        <v>164</v>
      </c>
      <c r="I25" t="str" s="8" cm="1">
        <f t="array" ref="I25">SUBSTITUTE(H25,B25,"(          )")</f>
        <v>She tied her hair in a neat (          ) for the dance recital.</v>
      </c>
      <c r="J25" s="9" cm="1">
        <f t="array" ref="J25">SUMIF('외운 것 - 엑셀다운로드 파일(붙여넣기)'!A3:A562,A25,'외운 것 - 엑셀다운로드 파일(붙여넣기)'!D3:D562)</f>
        <v>3</v>
      </c>
      <c r="K25" s="9" cm="1">
        <f t="array" ref="K25">_xlfn.COUNTIFS('외운 것 - 엑셀다운로드 파일(붙여넣기)'!A3:A562,A25,'외운 것 - 엑셀다운로드 파일(붙여넣기)'!D3:D562,0)</f>
        <v>0</v>
      </c>
      <c r="L25" t="str" s="8" cm="1">
        <f t="array" ref="L25">IF(J25&gt;=3,_xlfn.XLOOKUP(A25,'외운 것 - 엑셀다운로드 파일(붙여넣기)'!A3:A562,'외운 것 - 엑셀다운로드 파일(붙여넣기)'!C3:C562,0,-1),0)</f>
        <v>2026-03-14</v>
      </c>
    </row>
    <row r="26" ht="38.45" customHeight="1">
      <c r="A26" s="3">
        <v>25</v>
      </c>
      <c r="B26" t="s" s="4">
        <v>166</v>
      </c>
      <c r="C26" t="s" s="5">
        <v>167</v>
      </c>
      <c r="D26" t="s" s="5">
        <v>140</v>
      </c>
      <c r="E26" t="s" s="5">
        <v>168</v>
      </c>
      <c r="F26" t="s" s="6">
        <v>169</v>
      </c>
      <c r="G26" t="s" s="7">
        <v>170</v>
      </c>
      <c r="H26" t="s" s="7">
        <v>171</v>
      </c>
      <c r="I26" t="str" s="8" cm="1">
        <f t="array" ref="I26">SUBSTITUTE(H26,B26,"(          )")</f>
        <v>He brought a (          ) of red roses for our anniversary.</v>
      </c>
      <c r="J26" s="9" cm="1">
        <f t="array" ref="J26">SUMIF('외운 것 - 엑셀다운로드 파일(붙여넣기)'!A3:A562,A26,'외운 것 - 엑셀다운로드 파일(붙여넣기)'!D3:D562)</f>
        <v>3</v>
      </c>
      <c r="K26" s="9" cm="1">
        <f t="array" ref="K26">_xlfn.COUNTIFS('외운 것 - 엑셀다운로드 파일(붙여넣기)'!A3:A562,A26,'외운 것 - 엑셀다운로드 파일(붙여넣기)'!D3:D562,0)</f>
        <v>0</v>
      </c>
      <c r="L26" t="str" s="8" cm="1">
        <f t="array" ref="L26">IF(J26&gt;=3,_xlfn.XLOOKUP(A26,'외운 것 - 엑셀다운로드 파일(붙여넣기)'!A3:A562,'외운 것 - 엑셀다운로드 파일(붙여넣기)'!C3:C562,0,-1),0)</f>
        <v>2026-03-14</v>
      </c>
    </row>
    <row r="27" ht="38.45" customHeight="1">
      <c r="A27" s="3">
        <v>26</v>
      </c>
      <c r="B27" t="s" s="4">
        <v>173</v>
      </c>
      <c r="C27" t="s" s="5">
        <v>140</v>
      </c>
      <c r="D27" t="s" s="5">
        <v>141</v>
      </c>
      <c r="E27" t="s" s="5">
        <v>174</v>
      </c>
      <c r="F27" t="s" s="6">
        <v>175</v>
      </c>
      <c r="G27" t="s" s="7">
        <v>176</v>
      </c>
      <c r="H27" t="s" s="7">
        <v>177</v>
      </c>
      <c r="I27" t="str" s="8" cm="1">
        <f t="array" ref="I27">SUBSTITUTE(H27,B27,"(          )")</f>
        <v>I want to (          ) a new computer next month.</v>
      </c>
      <c r="J27" s="9" cm="1">
        <f t="array" ref="J27">SUMIF('외운 것 - 엑셀다운로드 파일(붙여넣기)'!A3:A562,A27,'외운 것 - 엑셀다운로드 파일(붙여넣기)'!D3:D562)</f>
        <v>3</v>
      </c>
      <c r="K27" s="9" cm="1">
        <f t="array" ref="K27">_xlfn.COUNTIFS('외운 것 - 엑셀다운로드 파일(붙여넣기)'!A3:A562,A27,'외운 것 - 엑셀다운로드 파일(붙여넣기)'!D3:D562,0)</f>
        <v>0</v>
      </c>
      <c r="L27" t="str" s="8" cm="1">
        <f t="array" ref="L27">IF(J27&gt;=3,_xlfn.XLOOKUP(A27,'외운 것 - 엑셀다운로드 파일(붙여넣기)'!A3:A562,'외운 것 - 엑셀다운로드 파일(붙여넣기)'!C3:C562,0,-1),0)</f>
        <v>2026-03-14</v>
      </c>
    </row>
    <row r="28" ht="23.45" customHeight="1">
      <c r="A28" s="3">
        <v>27</v>
      </c>
      <c r="B28" t="s" s="4">
        <v>179</v>
      </c>
      <c r="C28" t="s" s="5">
        <v>180</v>
      </c>
      <c r="D28" t="s" s="5">
        <v>140</v>
      </c>
      <c r="E28" t="s" s="5">
        <v>181</v>
      </c>
      <c r="F28" t="s" s="6">
        <v>182</v>
      </c>
      <c r="G28" t="s" s="7">
        <v>183</v>
      </c>
      <c r="H28" t="s" s="7">
        <v>184</v>
      </c>
      <c r="I28" t="str" s="8" cm="1">
        <f t="array" ref="I28">SUBSTITUTE(H28,B28,"(          )")</f>
        <v>They will (          ) the time capsule in the school yard.</v>
      </c>
      <c r="J28" s="9" cm="1">
        <f t="array" ref="J28">SUMIF('외운 것 - 엑셀다운로드 파일(붙여넣기)'!A3:A562,A28,'외운 것 - 엑셀다운로드 파일(붙여넣기)'!D3:D562)</f>
        <v>1</v>
      </c>
      <c r="K28" s="9" cm="1">
        <f t="array" ref="K28">_xlfn.COUNTIFS('외운 것 - 엑셀다운로드 파일(붙여넣기)'!A3:A562,A28,'외운 것 - 엑셀다운로드 파일(붙여넣기)'!D3:D562,0)</f>
        <v>4</v>
      </c>
      <c r="L28" s="9" cm="1">
        <f t="array" ref="L28">IF(J28&gt;=3,_xlfn.XLOOKUP(A28,'외운 것 - 엑셀다운로드 파일(붙여넣기)'!A3:A562,'외운 것 - 엑셀다운로드 파일(붙여넣기)'!C3:C562,0,-1),0)</f>
        <v>0</v>
      </c>
    </row>
    <row r="29" ht="38.45" customHeight="1">
      <c r="A29" s="3">
        <v>28</v>
      </c>
      <c r="B29" t="s" s="4">
        <v>186</v>
      </c>
      <c r="C29" t="s" s="5">
        <v>140</v>
      </c>
      <c r="D29" t="s" s="5">
        <v>141</v>
      </c>
      <c r="E29" t="s" s="5">
        <v>187</v>
      </c>
      <c r="F29" t="s" s="6">
        <v>188</v>
      </c>
      <c r="G29" t="s" s="7">
        <v>189</v>
      </c>
      <c r="H29" t="s" s="7">
        <v>190</v>
      </c>
      <c r="I29" t="str" s="8" cm="1">
        <f t="array" ref="I29">SUBSTITUTE(H29,B29,"(          )")</f>
        <v>The baby needs to (          ) after drinking milk.</v>
      </c>
      <c r="J29" s="9" cm="1">
        <f t="array" ref="J29">SUMIF('외운 것 - 엑셀다운로드 파일(붙여넣기)'!A3:A562,A29,'외운 것 - 엑셀다운로드 파일(붙여넣기)'!D3:D562)</f>
        <v>3</v>
      </c>
      <c r="K29" s="9" cm="1">
        <f t="array" ref="K29">_xlfn.COUNTIFS('외운 것 - 엑셀다운로드 파일(붙여넣기)'!A3:A562,A29,'외운 것 - 엑셀다운로드 파일(붙여넣기)'!D3:D562,0)</f>
        <v>0</v>
      </c>
      <c r="L29" t="str" s="8" cm="1">
        <f t="array" ref="L29">IF(J29&gt;=3,_xlfn.XLOOKUP(A29,'외운 것 - 엑셀다운로드 파일(붙여넣기)'!A3:A562,'외운 것 - 엑셀다운로드 파일(붙여넣기)'!C3:C562,0,-1),0)</f>
        <v>2026-03-14</v>
      </c>
    </row>
    <row r="30" ht="23.45" customHeight="1">
      <c r="A30" s="3">
        <v>29</v>
      </c>
      <c r="B30" t="s" s="4">
        <v>192</v>
      </c>
      <c r="C30" t="s" s="5">
        <v>193</v>
      </c>
      <c r="D30" t="s" s="5">
        <v>192</v>
      </c>
      <c r="E30" t="s" s="5">
        <v>194</v>
      </c>
      <c r="F30" t="s" s="6">
        <v>195</v>
      </c>
      <c r="G30" t="s" s="7">
        <v>196</v>
      </c>
      <c r="H30" t="s" s="7">
        <v>197</v>
      </c>
      <c r="I30" t="str" s="8" cm="1">
        <f t="array" ref="I30">SUBSTITUTE(H30,B30,"(          )")</f>
        <v>The school decided to (          ) mobile phones during class.</v>
      </c>
      <c r="J30" s="9" cm="1">
        <f t="array" ref="J30">SUMIF('외운 것 - 엑셀다운로드 파일(붙여넣기)'!A3:A562,A30,'외운 것 - 엑셀다운로드 파일(붙여넣기)'!D3:D562)</f>
        <v>3</v>
      </c>
      <c r="K30" s="9" cm="1">
        <f t="array" ref="K30">_xlfn.COUNTIFS('외운 것 - 엑셀다운로드 파일(붙여넣기)'!A3:A562,A30,'외운 것 - 엑셀다운로드 파일(붙여넣기)'!D3:D562,0)</f>
        <v>0</v>
      </c>
      <c r="L30" t="str" s="8" cm="1">
        <f t="array" ref="L30">IF(J30&gt;=3,_xlfn.XLOOKUP(A30,'외운 것 - 엑셀다운로드 파일(붙여넣기)'!A3:A562,'외운 것 - 엑셀다운로드 파일(붙여넣기)'!C3:C562,0,-1),0)</f>
        <v>2026-03-14</v>
      </c>
    </row>
    <row r="31" ht="23.45" customHeight="1">
      <c r="A31" s="3">
        <v>30</v>
      </c>
      <c r="B31" t="s" s="4">
        <v>199</v>
      </c>
      <c r="C31" t="s" s="5">
        <v>200</v>
      </c>
      <c r="D31" t="s" s="5">
        <v>192</v>
      </c>
      <c r="E31" t="s" s="5">
        <v>201</v>
      </c>
      <c r="F31" t="s" s="6">
        <v>202</v>
      </c>
      <c r="G31" t="s" s="7">
        <v>203</v>
      </c>
      <c r="H31" t="s" s="7">
        <v>204</v>
      </c>
      <c r="I31" t="str" s="8" cm="1">
        <f t="array" ref="I31">SUBSTITUTE(H31,B31,"(          )")</f>
        <v>The king will (          ) anyone who breaks the law.</v>
      </c>
      <c r="J31" s="9" cm="1">
        <f t="array" ref="J31">SUMIF('외운 것 - 엑셀다운로드 파일(붙여넣기)'!A3:A562,A31,'외운 것 - 엑셀다운로드 파일(붙여넣기)'!D3:D562)</f>
        <v>3</v>
      </c>
      <c r="K31" s="9" cm="1">
        <f t="array" ref="K31">_xlfn.COUNTIFS('외운 것 - 엑셀다운로드 파일(붙여넣기)'!A3:A562,A31,'외운 것 - 엑셀다운로드 파일(붙여넣기)'!D3:D562,0)</f>
        <v>0</v>
      </c>
      <c r="L31" t="str" s="8" cm="1">
        <f t="array" ref="L31">IF(J31&gt;=3,_xlfn.XLOOKUP(A31,'외운 것 - 엑셀다운로드 파일(붙여넣기)'!A3:A562,'외운 것 - 엑셀다운로드 파일(붙여넣기)'!C3:C562,0,-1),0)</f>
        <v>2026-03-14</v>
      </c>
    </row>
    <row r="32" ht="38.45" customHeight="1">
      <c r="A32" s="3">
        <v>31</v>
      </c>
      <c r="B32" t="s" s="4">
        <v>206</v>
      </c>
      <c r="C32" t="s" s="5">
        <v>193</v>
      </c>
      <c r="D32" t="s" s="5">
        <v>207</v>
      </c>
      <c r="E32" t="s" s="5">
        <v>208</v>
      </c>
      <c r="F32" t="s" s="6">
        <v>209</v>
      </c>
      <c r="G32" t="s" s="7">
        <v>210</v>
      </c>
      <c r="H32" t="s" s="7">
        <v>211</v>
      </c>
      <c r="I32" t="str" s="8" cm="1">
        <f t="array" ref="I32">SUBSTITUTE(H32,B32,"(          )")</f>
        <v>My favorite (          ) is performing at the concert tonight.</v>
      </c>
      <c r="J32" s="9" cm="1">
        <f t="array" ref="J32">SUMIF('외운 것 - 엑셀다운로드 파일(붙여넣기)'!A3:A562,A32,'외운 것 - 엑셀다운로드 파일(붙여넣기)'!D3:D562)</f>
        <v>3</v>
      </c>
      <c r="K32" s="9" cm="1">
        <f t="array" ref="K32">_xlfn.COUNTIFS('외운 것 - 엑셀다운로드 파일(붙여넣기)'!A3:A562,A32,'외운 것 - 엑셀다운로드 파일(붙여넣기)'!D3:D562,0)</f>
        <v>0</v>
      </c>
      <c r="L32" t="str" s="8" cm="1">
        <f t="array" ref="L32">IF(J32&gt;=3,_xlfn.XLOOKUP(A32,'외운 것 - 엑셀다운로드 파일(붙여넣기)'!A3:A562,'외운 것 - 엑셀다운로드 파일(붙여넣기)'!C3:C562,0,-1),0)</f>
        <v>2026-03-14</v>
      </c>
    </row>
    <row r="33" ht="23.45" customHeight="1">
      <c r="A33" s="3">
        <v>32</v>
      </c>
      <c r="B33" t="s" s="4">
        <v>213</v>
      </c>
      <c r="C33" t="s" s="5">
        <v>206</v>
      </c>
      <c r="D33" t="s" s="5">
        <v>214</v>
      </c>
      <c r="E33" t="s" s="5">
        <v>215</v>
      </c>
      <c r="F33" t="s" s="6">
        <v>216</v>
      </c>
      <c r="G33" t="s" s="7">
        <v>217</v>
      </c>
      <c r="H33" t="s" s="7">
        <v>218</v>
      </c>
      <c r="I33" t="str" s="8" cm="1">
        <f t="array" ref="I33">SUBSTITUTE(H33,B33,"(          )")</f>
        <v>The (          ) stole money from the stagecoach.</v>
      </c>
      <c r="J33" s="9" cm="1">
        <f t="array" ref="J33">SUMIF('외운 것 - 엑셀다운로드 파일(붙여넣기)'!A3:A562,A33,'외운 것 - 엑셀다운로드 파일(붙여넣기)'!D3:D562)</f>
        <v>3</v>
      </c>
      <c r="K33" s="9" cm="1">
        <f t="array" ref="K33">_xlfn.COUNTIFS('외운 것 - 엑셀다운로드 파일(붙여넣기)'!A3:A562,A33,'외운 것 - 엑셀다운로드 파일(붙여넣기)'!D3:D562,0)</f>
        <v>0</v>
      </c>
      <c r="L33" t="str" s="8" cm="1">
        <f t="array" ref="L33">IF(J33&gt;=3,_xlfn.XLOOKUP(A33,'외운 것 - 엑셀다운로드 파일(붙여넣기)'!A3:A562,'외운 것 - 엑셀다운로드 파일(붙여넣기)'!C3:C562,0,-1),0)</f>
        <v>2026-03-14</v>
      </c>
    </row>
    <row r="34" ht="23.45" customHeight="1">
      <c r="A34" s="3">
        <v>33</v>
      </c>
      <c r="B34" t="s" s="4">
        <v>220</v>
      </c>
      <c r="C34" t="s" s="5">
        <v>206</v>
      </c>
      <c r="D34" t="s" s="5">
        <v>214</v>
      </c>
      <c r="E34" t="s" s="5">
        <v>221</v>
      </c>
      <c r="F34" t="s" s="6">
        <v>222</v>
      </c>
      <c r="G34" t="s" s="7">
        <v>223</v>
      </c>
      <c r="H34" t="s" s="7">
        <v>224</v>
      </c>
      <c r="I34" t="str" s="8" cm="1">
        <f t="array" ref="I34">SUBSTITUTE(H34,B34,"(          )")</f>
        <v>Her (          ) cooks dinner every Friday night.</v>
      </c>
      <c r="J34" s="9" cm="1">
        <f t="array" ref="J34">SUMIF('외운 것 - 엑셀다운로드 파일(붙여넣기)'!A3:A562,A34,'외운 것 - 엑셀다운로드 파일(붙여넣기)'!D3:D562)</f>
        <v>3</v>
      </c>
      <c r="K34" s="9" cm="1">
        <f t="array" ref="K34">_xlfn.COUNTIFS('외운 것 - 엑셀다운로드 파일(붙여넣기)'!A3:A562,A34,'외운 것 - 엑셀다운로드 파일(붙여넣기)'!D3:D562,0)</f>
        <v>2</v>
      </c>
      <c r="L34" t="str" s="8" cm="1">
        <f t="array" ref="L34">IF(J34&gt;=3,_xlfn.XLOOKUP(A34,'외운 것 - 엑셀다운로드 파일(붙여넣기)'!A3:A562,'외운 것 - 엑셀다운로드 파일(붙여넣기)'!C3:C562,0,-1),0)</f>
        <v>2026-03-17</v>
      </c>
    </row>
    <row r="35" ht="23.45" customHeight="1">
      <c r="A35" s="3">
        <v>34</v>
      </c>
      <c r="B35" t="s" s="4">
        <v>227</v>
      </c>
      <c r="C35" t="s" s="5">
        <v>206</v>
      </c>
      <c r="D35" t="s" s="5">
        <v>214</v>
      </c>
      <c r="E35" t="s" s="5">
        <v>228</v>
      </c>
      <c r="F35" t="s" s="6">
        <v>229</v>
      </c>
      <c r="G35" t="s" s="7">
        <v>230</v>
      </c>
      <c r="H35" t="s" s="7">
        <v>231</v>
      </c>
      <c r="I35" t="str" s="8" cm="1">
        <f t="array" ref="I35">SUBSTITUTE(H35,B35,"(          )")</f>
        <v>The crew had to (          ) the sinking ship.</v>
      </c>
      <c r="J35" s="9" cm="1">
        <f t="array" ref="J35">SUMIF('외운 것 - 엑셀다운로드 파일(붙여넣기)'!A3:A562,A35,'외운 것 - 엑셀다운로드 파일(붙여넣기)'!D3:D562)</f>
        <v>3</v>
      </c>
      <c r="K35" s="9" cm="1">
        <f t="array" ref="K35">_xlfn.COUNTIFS('외운 것 - 엑셀다운로드 파일(붙여넣기)'!A3:A562,A35,'외운 것 - 엑셀다운로드 파일(붙여넣기)'!D3:D562,0)</f>
        <v>1</v>
      </c>
      <c r="L35" t="str" s="8" cm="1">
        <f t="array" ref="L35">IF(J35&gt;=3,_xlfn.XLOOKUP(A35,'외운 것 - 엑셀다운로드 파일(붙여넣기)'!A3:A562,'외운 것 - 엑셀다운로드 파일(붙여넣기)'!C3:C562,0,-1),0)</f>
        <v>2026-03-16</v>
      </c>
    </row>
    <row r="36" ht="23.45" customHeight="1">
      <c r="A36" s="3">
        <v>35</v>
      </c>
      <c r="B36" t="s" s="4">
        <v>233</v>
      </c>
      <c r="C36" t="s" s="5">
        <v>206</v>
      </c>
      <c r="D36" t="s" s="5">
        <v>214</v>
      </c>
      <c r="E36" t="s" s="5">
        <v>234</v>
      </c>
      <c r="F36" t="s" s="6">
        <v>235</v>
      </c>
      <c r="G36" t="s" s="7">
        <v>236</v>
      </c>
      <c r="H36" t="s" s="7">
        <v>237</v>
      </c>
      <c r="I36" t="str" s="8" cm="1">
        <f t="array" ref="I36">SUBSTITUTE(H36,B36,"(          )")</f>
        <v>The nurse put a (          ) on my cut.</v>
      </c>
      <c r="J36" s="9" cm="1">
        <f t="array" ref="J36">SUMIF('외운 것 - 엑셀다운로드 파일(붙여넣기)'!A3:A562,A36,'외운 것 - 엑셀다운로드 파일(붙여넣기)'!D3:D562)</f>
        <v>3</v>
      </c>
      <c r="K36" s="9" cm="1">
        <f t="array" ref="K36">_xlfn.COUNTIFS('외운 것 - 엑셀다운로드 파일(붙여넣기)'!A3:A562,A36,'외운 것 - 엑셀다운로드 파일(붙여넣기)'!D3:D562,0)</f>
        <v>0</v>
      </c>
      <c r="L36" t="str" s="8" cm="1">
        <f t="array" ref="L36">IF(J36&gt;=3,_xlfn.XLOOKUP(A36,'외운 것 - 엑셀다운로드 파일(붙여넣기)'!A3:A562,'외운 것 - 엑셀다운로드 파일(붙여넣기)'!C3:C562,0,-1),0)</f>
        <v>2026-03-14</v>
      </c>
    </row>
    <row r="37" ht="23.45" customHeight="1">
      <c r="A37" s="3">
        <v>36</v>
      </c>
      <c r="B37" t="s" s="4">
        <v>239</v>
      </c>
      <c r="C37" t="s" s="5">
        <v>206</v>
      </c>
      <c r="D37" t="s" s="5">
        <v>214</v>
      </c>
      <c r="E37" t="s" s="5">
        <v>240</v>
      </c>
      <c r="F37" t="s" s="6">
        <v>241</v>
      </c>
      <c r="G37" t="s" s="7">
        <v>242</v>
      </c>
      <c r="H37" t="s" s="7">
        <v>243</v>
      </c>
      <c r="I37" t="str" s="8" cm="1">
        <f t="array" ref="I37">SUBSTITUTE(H37,B37,"(          )")</f>
        <v>Strong rope will (          ) the packages together securely.</v>
      </c>
      <c r="J37" s="9" cm="1">
        <f t="array" ref="J37">SUMIF('외운 것 - 엑셀다운로드 파일(붙여넣기)'!A3:A562,A37,'외운 것 - 엑셀다운로드 파일(붙여넣기)'!D3:D562)</f>
        <v>3</v>
      </c>
      <c r="K37" s="9" cm="1">
        <f t="array" ref="K37">_xlfn.COUNTIFS('외운 것 - 엑셀다운로드 파일(붙여넣기)'!A3:A562,A37,'외운 것 - 엑셀다운로드 파일(붙여넣기)'!D3:D562,0)</f>
        <v>0</v>
      </c>
      <c r="L37" t="str" s="8" cm="1">
        <f t="array" ref="L37">IF(J37&gt;=3,_xlfn.XLOOKUP(A37,'외운 것 - 엑셀다운로드 파일(붙여넣기)'!A3:A562,'외운 것 - 엑셀다운로드 파일(붙여넣기)'!C3:C562,0,-1),0)</f>
        <v>2026-03-14</v>
      </c>
    </row>
    <row r="38" ht="23.45" customHeight="1">
      <c r="A38" s="3">
        <v>37</v>
      </c>
      <c r="B38" t="s" s="4">
        <v>245</v>
      </c>
      <c r="C38" t="s" s="5">
        <v>206</v>
      </c>
      <c r="D38" t="s" s="5">
        <v>214</v>
      </c>
      <c r="E38" t="s" s="5">
        <v>246</v>
      </c>
      <c r="F38" t="s" s="6">
        <v>247</v>
      </c>
      <c r="G38" t="s" s="7">
        <v>248</v>
      </c>
      <c r="H38" t="s" s="7">
        <v>249</v>
      </c>
      <c r="I38" t="str" s="8" cm="1">
        <f t="array" ref="I38">SUBSTITUTE(H38,B38,"(          )")</f>
        <v>The mother and child share a special (          ).</v>
      </c>
      <c r="J38" s="9" cm="1">
        <f t="array" ref="J38">SUMIF('외운 것 - 엑셀다운로드 파일(붙여넣기)'!A3:A562,A38,'외운 것 - 엑셀다운로드 파일(붙여넣기)'!D3:D562)</f>
        <v>3</v>
      </c>
      <c r="K38" s="9" cm="1">
        <f t="array" ref="K38">_xlfn.COUNTIFS('외운 것 - 엑셀다운로드 파일(붙여넣기)'!A3:A562,A38,'외운 것 - 엑셀다운로드 파일(붙여넣기)'!D3:D562,0)</f>
        <v>1</v>
      </c>
      <c r="L38" t="str" s="8" cm="1">
        <f t="array" ref="L38">IF(J38&gt;=3,_xlfn.XLOOKUP(A38,'외운 것 - 엑셀다운로드 파일(붙여넣기)'!A3:A562,'외운 것 - 엑셀다운로드 파일(붙여넣기)'!C3:C562,0,-1),0)</f>
        <v>2026-03-16</v>
      </c>
    </row>
    <row r="39" ht="38.45" customHeight="1">
      <c r="A39" s="3">
        <v>38</v>
      </c>
      <c r="B39" t="s" s="4">
        <v>251</v>
      </c>
      <c r="C39" t="s" s="5">
        <v>252</v>
      </c>
      <c r="D39" t="s" s="5">
        <v>206</v>
      </c>
      <c r="E39" t="s" s="5">
        <v>253</v>
      </c>
      <c r="F39" t="s" s="6">
        <v>254</v>
      </c>
      <c r="G39" t="s" s="7">
        <v>255</v>
      </c>
      <c r="H39" t="s" s="7">
        <v>256</v>
      </c>
      <c r="I39" t="str" s="8" cm="1">
        <f t="array" ref="I39">SUBSTITUTE(H39,B39,"(          )")</f>
        <v>The rabbit (          ) across the field quickly.</v>
      </c>
      <c r="J39" s="9" cm="1">
        <f t="array" ref="J39">SUMIF('외운 것 - 엑셀다운로드 파일(붙여넣기)'!A3:A562,A39,'외운 것 - 엑셀다운로드 파일(붙여넣기)'!D3:D562)</f>
        <v>3</v>
      </c>
      <c r="K39" s="9" cm="1">
        <f t="array" ref="K39">_xlfn.COUNTIFS('외운 것 - 엑셀다운로드 파일(붙여넣기)'!A3:A562,A39,'외운 것 - 엑셀다운로드 파일(붙여넣기)'!D3:D562,0)</f>
        <v>0</v>
      </c>
      <c r="L39" t="str" s="8" cm="1">
        <f t="array" ref="L39">IF(J39&gt;=3,_xlfn.XLOOKUP(A39,'외운 것 - 엑셀다운로드 파일(붙여넣기)'!A3:A562,'외운 것 - 엑셀다운로드 파일(붙여넣기)'!C3:C562,0,-1),0)</f>
        <v>2026-03-14</v>
      </c>
    </row>
    <row r="40" ht="50.45" customHeight="1">
      <c r="A40" s="3">
        <v>39</v>
      </c>
      <c r="B40" t="s" s="4">
        <v>258</v>
      </c>
      <c r="C40" t="s" s="5">
        <v>259</v>
      </c>
      <c r="D40" t="s" s="5">
        <v>206</v>
      </c>
      <c r="E40" t="s" s="5">
        <v>260</v>
      </c>
      <c r="F40" t="s" s="6">
        <v>261</v>
      </c>
      <c r="G40" t="s" s="7">
        <v>262</v>
      </c>
      <c r="H40" t="s" s="7">
        <v>263</v>
      </c>
      <c r="I40" t="str" s="8" cm="1">
        <f t="array" ref="I40">SUBSTITUTE(H40,B40,"(          )")</f>
        <v>The fence marks the (          ) between the two properties.</v>
      </c>
      <c r="J40" s="9" cm="1">
        <f t="array" ref="J40">SUMIF('외운 것 - 엑셀다운로드 파일(붙여넣기)'!A3:A562,A40,'외운 것 - 엑셀다운로드 파일(붙여넣기)'!D3:D562)</f>
        <v>3</v>
      </c>
      <c r="K40" s="9" cm="1">
        <f t="array" ref="K40">_xlfn.COUNTIFS('외운 것 - 엑셀다운로드 파일(붙여넣기)'!A3:A562,A40,'외운 것 - 엑셀다운로드 파일(붙여넣기)'!D3:D562,0)</f>
        <v>0</v>
      </c>
      <c r="L40" t="str" s="8" cm="1">
        <f t="array" ref="L40">IF(J40&gt;=3,_xlfn.XLOOKUP(A40,'외운 것 - 엑셀다운로드 파일(붙여넣기)'!A3:A562,'외운 것 - 엑셀다운로드 파일(붙여넣기)'!C3:C562,0,-1),0)</f>
        <v>2026-03-14</v>
      </c>
    </row>
    <row r="41" ht="36.4" customHeight="1">
      <c r="A41" s="3">
        <v>40</v>
      </c>
      <c r="B41" t="s" s="4">
        <v>265</v>
      </c>
      <c r="C41" t="s" s="5">
        <v>266</v>
      </c>
      <c r="D41" t="s" s="5">
        <v>206</v>
      </c>
      <c r="E41" t="s" s="5">
        <v>267</v>
      </c>
      <c r="F41" t="s" s="6">
        <v>268</v>
      </c>
      <c r="G41" t="s" s="7">
        <v>269</v>
      </c>
      <c r="H41" t="s" s="7">
        <v>270</v>
      </c>
      <c r="I41" t="str" s="8" cm="1">
        <f t="array" ref="I41">SUBSTITUTE(H41,B41,"(          )")</f>
        <v>She wrapped the baby in a (          ) of warm blankets.</v>
      </c>
      <c r="J41" s="9" cm="1">
        <f t="array" ref="J41">SUMIF('외운 것 - 엑셀다운로드 파일(붙여넣기)'!A3:A562,A41,'외운 것 - 엑셀다운로드 파일(붙여넣기)'!D3:D562)</f>
        <v>3</v>
      </c>
      <c r="K41" s="9" cm="1">
        <f t="array" ref="K41">_xlfn.COUNTIFS('외운 것 - 엑셀다운로드 파일(붙여넣기)'!A3:A562,A41,'외운 것 - 엑셀다운로드 파일(붙여넣기)'!D3:D562,0)</f>
        <v>0</v>
      </c>
      <c r="L41" t="str" s="8" cm="1">
        <f t="array" ref="L41">IF(J41&gt;=3,_xlfn.XLOOKUP(A41,'외운 것 - 엑셀다운로드 파일(붙여넣기)'!A3:A562,'외운 것 - 엑셀다운로드 파일(붙여넣기)'!C3:C562,0,-1),0)</f>
        <v>2026-03-14</v>
      </c>
    </row>
    <row r="42" ht="38.45" customHeight="1">
      <c r="A42" s="3">
        <v>41</v>
      </c>
      <c r="B42" t="s" s="4">
        <v>272</v>
      </c>
      <c r="C42" t="s" s="5">
        <v>193</v>
      </c>
      <c r="D42" t="s" s="5">
        <v>273</v>
      </c>
      <c r="E42" t="s" s="5">
        <v>274</v>
      </c>
      <c r="F42" t="s" s="6">
        <v>275</v>
      </c>
      <c r="G42" t="s" s="7">
        <v>276</v>
      </c>
      <c r="H42" t="s" s="7">
        <v>277</v>
      </c>
      <c r="I42" t="str" s="8" cm="1">
        <f t="array" ref="I42">SUBSTITUTE(H42,B42,"(          )")</f>
        <v>Let's meet at the coffee (          ) after work.</v>
      </c>
      <c r="J42" s="9" cm="1">
        <f t="array" ref="J42">SUMIF('외운 것 - 엑셀다운로드 파일(붙여넣기)'!A3:A562,A42,'외운 것 - 엑셀다운로드 파일(붙여넣기)'!D3:D562)</f>
        <v>3</v>
      </c>
      <c r="K42" s="9" cm="1">
        <f t="array" ref="K42">_xlfn.COUNTIFS('외운 것 - 엑셀다운로드 파일(붙여넣기)'!A3:A562,A42,'외운 것 - 엑셀다운로드 파일(붙여넣기)'!D3:D562,0)</f>
        <v>0</v>
      </c>
      <c r="L42" t="str" s="8" cm="1">
        <f t="array" ref="L42">IF(J42&gt;=3,_xlfn.XLOOKUP(A42,'외운 것 - 엑셀다운로드 파일(붙여넣기)'!A3:A562,'외운 것 - 엑셀다운로드 파일(붙여넣기)'!C3:C562,0,-1),0)</f>
        <v>2026-03-14</v>
      </c>
    </row>
    <row r="43" ht="53.45" customHeight="1">
      <c r="A43" s="3">
        <v>42</v>
      </c>
      <c r="B43" t="s" s="4">
        <v>279</v>
      </c>
      <c r="C43" t="s" s="5">
        <v>272</v>
      </c>
      <c r="D43" t="s" s="5">
        <v>273</v>
      </c>
      <c r="E43" t="s" s="5">
        <v>280</v>
      </c>
      <c r="F43" t="s" s="6">
        <v>281</v>
      </c>
      <c r="G43" t="s" s="7">
        <v>282</v>
      </c>
      <c r="H43" t="s" s="7">
        <v>283</v>
      </c>
      <c r="I43" t="str" s="8" cm="1">
        <f t="array" ref="I43">SUBSTITUTE(H43,B43,"(          )")</f>
        <v>The (          ) knew how to make all kinds of drinks.</v>
      </c>
      <c r="J43" s="9" cm="1">
        <f t="array" ref="J43">SUMIF('외운 것 - 엑셀다운로드 파일(붙여넣기)'!A3:A562,A43,'외운 것 - 엑셀다운로드 파일(붙여넣기)'!D3:D562)</f>
        <v>3</v>
      </c>
      <c r="K43" s="9" cm="1">
        <f t="array" ref="K43">_xlfn.COUNTIFS('외운 것 - 엑셀다운로드 파일(붙여넣기)'!A3:A562,A43,'외운 것 - 엑셀다운로드 파일(붙여넣기)'!D3:D562,0)</f>
        <v>0</v>
      </c>
      <c r="L43" t="str" s="8" cm="1">
        <f t="array" ref="L43">IF(J43&gt;=3,_xlfn.XLOOKUP(A43,'외운 것 - 엑셀다운로드 파일(붙여넣기)'!A3:A562,'외운 것 - 엑셀다운로드 파일(붙여넣기)'!C3:C562,0,-1),0)</f>
        <v>2026-03-14</v>
      </c>
    </row>
    <row r="44" ht="38.45" customHeight="1">
      <c r="A44" s="3">
        <v>43</v>
      </c>
      <c r="B44" t="s" s="4">
        <v>285</v>
      </c>
      <c r="C44" t="s" s="5">
        <v>272</v>
      </c>
      <c r="D44" t="s" s="5">
        <v>273</v>
      </c>
      <c r="E44" t="s" s="5">
        <v>286</v>
      </c>
      <c r="F44" t="s" s="6">
        <v>287</v>
      </c>
      <c r="G44" t="s" s="7">
        <v>288</v>
      </c>
      <c r="H44" t="s" s="7">
        <v>289</v>
      </c>
      <c r="I44" t="str" s="8" cm="1">
        <f t="array" ref="I44">SUBSTITUTE(H44,B44,"(          )")</f>
        <v>She found a real (          ) at the shoe sale.</v>
      </c>
      <c r="J44" s="9" cm="1">
        <f t="array" ref="J44">SUMIF('외운 것 - 엑셀다운로드 파일(붙여넣기)'!A3:A562,A44,'외운 것 - 엑셀다운로드 파일(붙여넣기)'!D3:D562)</f>
        <v>0</v>
      </c>
      <c r="K44" s="9" cm="1">
        <f t="array" ref="K44">_xlfn.COUNTIFS('외운 것 - 엑셀다운로드 파일(붙여넣기)'!A3:A562,A44,'외운 것 - 엑셀다운로드 파일(붙여넣기)'!D3:D562,0)</f>
        <v>5</v>
      </c>
      <c r="L44" s="9" cm="1">
        <f t="array" ref="L44">IF(J44&gt;=3,_xlfn.XLOOKUP(A44,'외운 것 - 엑셀다운로드 파일(붙여넣기)'!A3:A562,'외운 것 - 엑셀다운로드 파일(붙여넣기)'!C3:C562,0,-1),0)</f>
        <v>0</v>
      </c>
    </row>
    <row r="45" ht="23.45" customHeight="1">
      <c r="A45" s="3">
        <v>44</v>
      </c>
      <c r="B45" t="s" s="4">
        <v>291</v>
      </c>
      <c r="C45" t="s" s="5">
        <v>272</v>
      </c>
      <c r="D45" t="s" s="5">
        <v>273</v>
      </c>
      <c r="E45" t="s" s="5">
        <v>292</v>
      </c>
      <c r="F45" t="s" s="6">
        <v>293</v>
      </c>
      <c r="G45" t="s" s="7">
        <v>294</v>
      </c>
      <c r="H45" t="s" s="7">
        <v>295</v>
      </c>
      <c r="I45" t="str" s="8" cm="1">
        <f t="array" ref="I45">SUBSTITUTE(H45,B45,"(          )")</f>
        <v>The farmers keep their animals in the (          ) during winter.</v>
      </c>
      <c r="J45" s="9" cm="1">
        <f t="array" ref="J45">SUMIF('외운 것 - 엑셀다운로드 파일(붙여넣기)'!A3:A562,A45,'외운 것 - 엑셀다운로드 파일(붙여넣기)'!D3:D562)</f>
        <v>3</v>
      </c>
      <c r="K45" s="9" cm="1">
        <f t="array" ref="K45">_xlfn.COUNTIFS('외운 것 - 엑셀다운로드 파일(붙여넣기)'!A3:A562,A45,'외운 것 - 엑셀다운로드 파일(붙여넣기)'!D3:D562,0)</f>
        <v>0</v>
      </c>
      <c r="L45" t="str" s="8" cm="1">
        <f t="array" ref="L45">IF(J45&gt;=3,_xlfn.XLOOKUP(A45,'외운 것 - 엑셀다운로드 파일(붙여넣기)'!A3:A562,'외운 것 - 엑셀다운로드 파일(붙여넣기)'!C3:C562,0,-1),0)</f>
        <v>2026-03-14</v>
      </c>
    </row>
    <row r="46" ht="38.45" customHeight="1">
      <c r="A46" s="3">
        <v>45</v>
      </c>
      <c r="B46" t="s" s="4">
        <v>297</v>
      </c>
      <c r="C46" t="s" s="5">
        <v>272</v>
      </c>
      <c r="D46" t="s" s="5">
        <v>273</v>
      </c>
      <c r="E46" t="s" s="5">
        <v>298</v>
      </c>
      <c r="F46" t="s" s="6">
        <v>299</v>
      </c>
      <c r="G46" t="s" s="7">
        <v>300</v>
      </c>
      <c r="H46" t="s" s="7">
        <v>301</v>
      </c>
      <c r="I46" t="str" s="8" cm="1">
        <f t="array" ref="I46">SUBSTITUTE(H46,B46,"(          )")</f>
        <v>We store rainwater in a large (          ) outside.</v>
      </c>
      <c r="J46" s="9" cm="1">
        <f t="array" ref="J46">SUMIF('외운 것 - 엑셀다운로드 파일(붙여넣기)'!A3:A562,A46,'외운 것 - 엑셀다운로드 파일(붙여넣기)'!D3:D562)</f>
        <v>3</v>
      </c>
      <c r="K46" s="9" cm="1">
        <f t="array" ref="K46">_xlfn.COUNTIFS('외운 것 - 엑셀다운로드 파일(붙여넣기)'!A3:A562,A46,'외운 것 - 엑셀다운로드 파일(붙여넣기)'!D3:D562,0)</f>
        <v>0</v>
      </c>
      <c r="L46" t="str" s="8" cm="1">
        <f t="array" ref="L46">IF(J46&gt;=3,_xlfn.XLOOKUP(A46,'외운 것 - 엑셀다운로드 파일(붙여넣기)'!A3:A562,'외운 것 - 엑셀다운로드 파일(붙여넣기)'!C3:C562,0,-1),0)</f>
        <v>2026-03-14</v>
      </c>
    </row>
    <row r="47" ht="38.45" customHeight="1">
      <c r="A47" s="3">
        <v>46</v>
      </c>
      <c r="B47" t="s" s="4">
        <v>303</v>
      </c>
      <c r="C47" t="s" s="5">
        <v>272</v>
      </c>
      <c r="D47" t="s" s="5">
        <v>273</v>
      </c>
      <c r="E47" t="s" s="5">
        <v>304</v>
      </c>
      <c r="F47" t="s" s="6">
        <v>305</v>
      </c>
      <c r="G47" t="s" s="7">
        <v>306</v>
      </c>
      <c r="H47" t="s" s="7">
        <v>307</v>
      </c>
      <c r="I47" t="str" s="8" cm="1">
        <f t="array" ref="I47">SUBSTITUTE(H47,B47,"(          )")</f>
        <v>Language can be a (          ) when traveling abroad.</v>
      </c>
      <c r="J47" s="9" cm="1">
        <f t="array" ref="J47">SUMIF('외운 것 - 엑셀다운로드 파일(붙여넣기)'!A3:A562,A47,'외운 것 - 엑셀다운로드 파일(붙여넣기)'!D3:D562)</f>
        <v>3</v>
      </c>
      <c r="K47" s="9" cm="1">
        <f t="array" ref="K47">_xlfn.COUNTIFS('외운 것 - 엑셀다운로드 파일(붙여넣기)'!A3:A562,A47,'외운 것 - 엑셀다운로드 파일(붙여넣기)'!D3:D562,0)</f>
        <v>0</v>
      </c>
      <c r="L47" t="str" s="8" cm="1">
        <f t="array" ref="L47">IF(J47&gt;=3,_xlfn.XLOOKUP(A47,'외운 것 - 엑셀다운로드 파일(붙여넣기)'!A3:A562,'외운 것 - 엑셀다운로드 파일(붙여넣기)'!C3:C562,0,-1),0)</f>
        <v>2026-03-14</v>
      </c>
    </row>
    <row r="48" ht="38.45" customHeight="1">
      <c r="A48" s="3">
        <v>47</v>
      </c>
      <c r="B48" t="s" s="4">
        <v>309</v>
      </c>
      <c r="C48" t="s" s="5">
        <v>272</v>
      </c>
      <c r="D48" t="s" s="5">
        <v>273</v>
      </c>
      <c r="E48" t="s" s="5">
        <v>310</v>
      </c>
      <c r="F48" t="s" s="6">
        <v>311</v>
      </c>
      <c r="G48" t="s" s="7">
        <v>312</v>
      </c>
      <c r="H48" t="s" s="7">
        <v>313</v>
      </c>
      <c r="I48" t="str" s="8" cm="1">
        <f t="array" ref="I48">SUBSTITUTE(H48,B48,"(          )")</f>
        <v>Police set up a (          ) around the accident scene.</v>
      </c>
      <c r="J48" s="9" cm="1">
        <f t="array" ref="J48">SUMIF('외운 것 - 엑셀다운로드 파일(붙여넣기)'!A3:A562,A48,'외운 것 - 엑셀다운로드 파일(붙여넣기)'!D3:D562)</f>
        <v>1</v>
      </c>
      <c r="K48" s="9" cm="1">
        <f t="array" ref="K48">_xlfn.COUNTIFS('외운 것 - 엑셀다운로드 파일(붙여넣기)'!A3:A562,A48,'외운 것 - 엑셀다운로드 파일(붙여넣기)'!D3:D562,0)</f>
        <v>4</v>
      </c>
      <c r="L48" s="9" cm="1">
        <f t="array" ref="L48">IF(J48&gt;=3,_xlfn.XLOOKUP(A48,'외운 것 - 엑셀다운로드 파일(붙여넣기)'!A3:A562,'외운 것 - 엑셀다운로드 파일(붙여넣기)'!C3:C562,0,-1),0)</f>
        <v>0</v>
      </c>
    </row>
    <row r="49" ht="38.45" customHeight="1">
      <c r="A49" s="3">
        <v>48</v>
      </c>
      <c r="B49" t="s" s="4">
        <v>315</v>
      </c>
      <c r="C49" t="s" s="5">
        <v>272</v>
      </c>
      <c r="D49" t="s" s="5">
        <v>273</v>
      </c>
      <c r="E49" t="s" s="5">
        <v>316</v>
      </c>
      <c r="F49" t="s" s="6">
        <v>317</v>
      </c>
      <c r="G49" t="s" s="7">
        <v>318</v>
      </c>
      <c r="H49" t="s" s="7">
        <v>319</v>
      </c>
      <c r="I49" t="str" s="8" cm="1">
        <f t="array" ref="I49">SUBSTITUTE(H49,B49,"(          )")</f>
        <v>Don't (          ) your sister by showing her baby photos.</v>
      </c>
      <c r="J49" s="9" cm="1">
        <f t="array" ref="J49">SUMIF('외운 것 - 엑셀다운로드 파일(붙여넣기)'!A3:A562,A49,'외운 것 - 엑셀다운로드 파일(붙여넣기)'!D3:D562)</f>
        <v>3</v>
      </c>
      <c r="K49" s="9" cm="1">
        <f t="array" ref="K49">_xlfn.COUNTIFS('외운 것 - 엑셀다운로드 파일(붙여넣기)'!A3:A562,A49,'외운 것 - 엑셀다운로드 파일(붙여넣기)'!D3:D562,0)</f>
        <v>1</v>
      </c>
      <c r="L49" t="str" s="8" cm="1">
        <f t="array" ref="L49">IF(J49&gt;=3,_xlfn.XLOOKUP(A49,'외운 것 - 엑셀다운로드 파일(붙여넣기)'!A3:A562,'외운 것 - 엑셀다운로드 파일(붙여넣기)'!C3:C562,0,-1),0)</f>
        <v>2026-03-16</v>
      </c>
    </row>
    <row r="50" ht="38.45" customHeight="1">
      <c r="A50" s="3">
        <v>49</v>
      </c>
      <c r="B50" t="s" s="4">
        <v>321</v>
      </c>
      <c r="C50" t="s" s="5">
        <v>272</v>
      </c>
      <c r="D50" t="s" s="5">
        <v>273</v>
      </c>
      <c r="E50" t="s" s="5">
        <v>322</v>
      </c>
      <c r="F50" t="s" s="6">
        <v>323</v>
      </c>
      <c r="G50" t="s" s="7">
        <v>324</v>
      </c>
      <c r="H50" t="s" s="7">
        <v>325</v>
      </c>
      <c r="I50" t="str" s="8" cm="1">
        <f t="array" ref="I50">SUBSTITUTE(H50,B50,"(          )")</f>
        <v>The country faced an economic (          ) for many years.</v>
      </c>
      <c r="J50" s="9" cm="1">
        <f t="array" ref="J50">SUMIF('외운 것 - 엑셀다운로드 파일(붙여넣기)'!A3:A562,A50,'외운 것 - 엑셀다운로드 파일(붙여넣기)'!D3:D562)</f>
        <v>3</v>
      </c>
      <c r="K50" s="9" cm="1">
        <f t="array" ref="K50">_xlfn.COUNTIFS('외운 것 - 엑셀다운로드 파일(붙여넣기)'!A3:A562,A50,'외운 것 - 엑셀다운로드 파일(붙여넣기)'!D3:D562,0)</f>
        <v>2</v>
      </c>
      <c r="L50" t="str" s="8" cm="1">
        <f t="array" ref="L50">IF(J50&gt;=3,_xlfn.XLOOKUP(A50,'외운 것 - 엑셀다운로드 파일(붙여넣기)'!A3:A562,'외운 것 - 엑셀다운로드 파일(붙여넣기)'!C3:C562,0,-1),0)</f>
        <v>2026-03-17</v>
      </c>
    </row>
    <row r="51" ht="38.45" customHeight="1">
      <c r="A51" s="3">
        <v>50</v>
      </c>
      <c r="B51" t="s" s="4">
        <v>327</v>
      </c>
      <c r="C51" t="s" s="5">
        <v>272</v>
      </c>
      <c r="D51" t="s" s="5">
        <v>273</v>
      </c>
      <c r="E51" t="s" s="5">
        <v>328</v>
      </c>
      <c r="F51" t="s" s="6">
        <v>329</v>
      </c>
      <c r="G51" t="s" s="7">
        <v>330</v>
      </c>
      <c r="H51" t="s" s="7">
        <v>331</v>
      </c>
      <c r="I51" t="str" s="8" cm="1">
        <f t="array" ref="I51">SUBSTITUTE(H51,B51,"(          )")</f>
        <v>The (          ) landscape had no trees or plants.</v>
      </c>
      <c r="J51" s="9" cm="1">
        <f t="array" ref="J51">SUMIF('외운 것 - 엑셀다운로드 파일(붙여넣기)'!A3:A562,A51,'외운 것 - 엑셀다운로드 파일(붙여넣기)'!D3:D562)</f>
        <v>3</v>
      </c>
      <c r="K51" s="9" cm="1">
        <f t="array" ref="K51">_xlfn.COUNTIFS('외운 것 - 엑셀다운로드 파일(붙여넣기)'!A3:A562,A51,'외운 것 - 엑셀다운로드 파일(붙여넣기)'!D3:D562,0)</f>
        <v>1</v>
      </c>
      <c r="L51" t="str" s="8" cm="1">
        <f t="array" ref="L51">IF(J51&gt;=3,_xlfn.XLOOKUP(A51,'외운 것 - 엑셀다운로드 파일(붙여넣기)'!A3:A562,'외운 것 - 엑셀다운로드 파일(붙여넣기)'!C3:C562,0,-1),0)</f>
        <v>2026-03-16</v>
      </c>
    </row>
    <row r="52" ht="23.45" customHeight="1">
      <c r="A52" s="3">
        <v>51</v>
      </c>
      <c r="B52" t="s" s="4">
        <v>333</v>
      </c>
      <c r="C52" t="s" s="5">
        <v>193</v>
      </c>
      <c r="D52" t="s" s="5">
        <v>334</v>
      </c>
      <c r="E52" t="s" s="5">
        <v>335</v>
      </c>
      <c r="F52" t="s" s="6">
        <v>336</v>
      </c>
      <c r="G52" t="s" s="7">
        <v>337</v>
      </c>
      <c r="H52" t="s" s="7">
        <v>338</v>
      </c>
      <c r="I52" t="str" s="8" cm="1">
        <f t="array" ref="I52">SUBSTITUTE(H52,B52,"(          )")</f>
        <v>The baseball player swung the (          ) and hit a home run.</v>
      </c>
      <c r="J52" s="9" cm="1">
        <f t="array" ref="J52">SUMIF('외운 것 - 엑셀다운로드 파일(붙여넣기)'!A3:A562,A52,'외운 것 - 엑셀다운로드 파일(붙여넣기)'!D3:D562)</f>
        <v>3</v>
      </c>
      <c r="K52" s="9" cm="1">
        <f t="array" ref="K52">_xlfn.COUNTIFS('외운 것 - 엑셀다운로드 파일(붙여넣기)'!A3:A562,A52,'외운 것 - 엑셀다운로드 파일(붙여넣기)'!D3:D562,0)</f>
        <v>0</v>
      </c>
      <c r="L52" t="str" s="8" cm="1">
        <f t="array" ref="L52">IF(J52&gt;=3,_xlfn.XLOOKUP(A52,'외운 것 - 엑셀다운로드 파일(붙여넣기)'!A3:A562,'외운 것 - 엑셀다운로드 파일(붙여넣기)'!C3:C562,0,-1),0)</f>
        <v>2026-03-14</v>
      </c>
    </row>
    <row r="53" ht="23.45" customHeight="1">
      <c r="A53" s="3">
        <v>52</v>
      </c>
      <c r="B53" t="s" s="4">
        <v>340</v>
      </c>
      <c r="C53" t="s" s="5">
        <v>333</v>
      </c>
      <c r="D53" t="s" s="5">
        <v>334</v>
      </c>
      <c r="E53" t="s" s="5">
        <v>341</v>
      </c>
      <c r="F53" t="s" s="6">
        <v>342</v>
      </c>
      <c r="G53" t="s" s="7">
        <v>343</v>
      </c>
      <c r="H53" t="s" s="7">
        <v>344</v>
      </c>
      <c r="I53" t="str" s="8" cm="1">
        <f t="array" ref="I53">SUBSTITUTE(H53,B53,"(          )")</f>
        <v>The ancient (          ) took place on this very field.</v>
      </c>
      <c r="J53" s="9" cm="1">
        <f t="array" ref="J53">SUMIF('외운 것 - 엑셀다운로드 파일(붙여넣기)'!A3:A562,A53,'외운 것 - 엑셀다운로드 파일(붙여넣기)'!D3:D562)</f>
        <v>3</v>
      </c>
      <c r="K53" s="9" cm="1">
        <f t="array" ref="K53">_xlfn.COUNTIFS('외운 것 - 엑셀다운로드 파일(붙여넣기)'!A3:A562,A53,'외운 것 - 엑셀다운로드 파일(붙여넣기)'!D3:D562,0)</f>
        <v>0</v>
      </c>
      <c r="L53" t="str" s="8" cm="1">
        <f t="array" ref="L53">IF(J53&gt;=3,_xlfn.XLOOKUP(A53,'외운 것 - 엑셀다운로드 파일(붙여넣기)'!A3:A562,'외운 것 - 엑셀다운로드 파일(붙여넣기)'!C3:C562,0,-1),0)</f>
        <v>2026-03-14</v>
      </c>
    </row>
    <row r="54" ht="23.45" customHeight="1">
      <c r="A54" s="3">
        <v>53</v>
      </c>
      <c r="B54" t="s" s="4">
        <v>346</v>
      </c>
      <c r="C54" t="s" s="5">
        <v>333</v>
      </c>
      <c r="D54" t="s" s="5">
        <v>334</v>
      </c>
      <c r="E54" t="s" s="5">
        <v>347</v>
      </c>
      <c r="F54" t="s" s="6">
        <v>348</v>
      </c>
      <c r="G54" t="s" s="7">
        <v>349</v>
      </c>
      <c r="H54" t="s" s="7">
        <v>350</v>
      </c>
      <c r="I54" t="str" s="8" cm="1">
        <f t="array" ref="I54">SUBSTITUTE(H54,B54,"(          )")</f>
        <v>The fisherman used worms to (          ) his hook.</v>
      </c>
      <c r="J54" s="9" cm="1">
        <f t="array" ref="J54">SUMIF('외운 것 - 엑셀다운로드 파일(붙여넣기)'!A3:A562,A54,'외운 것 - 엑셀다운로드 파일(붙여넣기)'!D3:D562)</f>
        <v>3</v>
      </c>
      <c r="K54" s="9" cm="1">
        <f t="array" ref="K54">_xlfn.COUNTIFS('외운 것 - 엑셀다운로드 파일(붙여넣기)'!A3:A562,A54,'외운 것 - 엑셀다운로드 파일(붙여넣기)'!D3:D562,0)</f>
        <v>0</v>
      </c>
      <c r="L54" t="str" s="8" cm="1">
        <f t="array" ref="L54">IF(J54&gt;=3,_xlfn.XLOOKUP(A54,'외운 것 - 엑셀다운로드 파일(붙여넣기)'!A3:A562,'외운 것 - 엑셀다운로드 파일(붙여넣기)'!C3:C562,0,-1),0)</f>
        <v>2026-03-14</v>
      </c>
    </row>
    <row r="55" ht="38.45" customHeight="1">
      <c r="A55" s="3">
        <v>54</v>
      </c>
      <c r="B55" t="s" s="4">
        <v>352</v>
      </c>
      <c r="C55" t="s" s="5">
        <v>353</v>
      </c>
      <c r="D55" t="s" s="5">
        <v>333</v>
      </c>
      <c r="E55" t="s" s="5">
        <v>354</v>
      </c>
      <c r="F55" t="s" s="6">
        <v>355</v>
      </c>
      <c r="G55" t="s" s="7">
        <v>356</v>
      </c>
      <c r="H55" t="s" s="7">
        <v>357</v>
      </c>
      <c r="I55" t="str" s="8" cm="1">
        <f t="array" ref="I55">SUBSTITUTE(H55,B55,"(          )")</f>
        <v>The storm will (          ) by morning.</v>
      </c>
      <c r="J55" s="9" cm="1">
        <f t="array" ref="J55">SUMIF('외운 것 - 엑셀다운로드 파일(붙여넣기)'!A3:A562,A55,'외운 것 - 엑셀다운로드 파일(붙여넣기)'!D3:D562)</f>
        <v>3</v>
      </c>
      <c r="K55" s="9" cm="1">
        <f t="array" ref="K55">_xlfn.COUNTIFS('외운 것 - 엑셀다운로드 파일(붙여넣기)'!A3:A562,A55,'외운 것 - 엑셀다운로드 파일(붙여넣기)'!D3:D562,0)</f>
        <v>0</v>
      </c>
      <c r="L55" t="str" s="8" cm="1">
        <f t="array" ref="L55">IF(J55&gt;=3,_xlfn.XLOOKUP(A55,'외운 것 - 엑셀다운로드 파일(붙여넣기)'!A3:A562,'외운 것 - 엑셀다운로드 파일(붙여넣기)'!C3:C562,0,-1),0)</f>
        <v>2026-03-14</v>
      </c>
    </row>
    <row r="56" ht="38.45" customHeight="1">
      <c r="A56" s="3">
        <v>55</v>
      </c>
      <c r="B56" t="s" s="4">
        <v>359</v>
      </c>
      <c r="C56" t="s" s="5">
        <v>353</v>
      </c>
      <c r="D56" t="s" s="5">
        <v>333</v>
      </c>
      <c r="E56" t="s" s="5">
        <v>360</v>
      </c>
      <c r="F56" t="s" s="6">
        <v>361</v>
      </c>
      <c r="G56" t="s" s="7">
        <v>362</v>
      </c>
      <c r="H56" t="s" s="7">
        <v>363</v>
      </c>
      <c r="I56" t="str" s="8" cm="1">
        <f t="array" ref="I56">SUBSTITUTE(H56,B56,"(          )")</f>
        <v>We had a lively (          ) about climate change.</v>
      </c>
      <c r="J56" s="9" cm="1">
        <f t="array" ref="J56">SUMIF('외운 것 - 엑셀다운로드 파일(붙여넣기)'!A3:A562,A56,'외운 것 - 엑셀다운로드 파일(붙여넣기)'!D3:D562)</f>
        <v>3</v>
      </c>
      <c r="K56" s="9" cm="1">
        <f t="array" ref="K56">_xlfn.COUNTIFS('외운 것 - 엑셀다운로드 파일(붙여넣기)'!A3:A562,A56,'외운 것 - 엑셀다운로드 파일(붙여넣기)'!D3:D562,0)</f>
        <v>1</v>
      </c>
      <c r="L56" t="str" s="8" cm="1">
        <f t="array" ref="L56">IF(J56&gt;=3,_xlfn.XLOOKUP(A56,'외운 것 - 엑셀다운로드 파일(붙여넣기)'!A3:A562,'외운 것 - 엑셀다운로드 파일(붙여넣기)'!C3:C562,0,-1),0)</f>
        <v>2026-03-16</v>
      </c>
    </row>
    <row r="57" ht="38.45" customHeight="1">
      <c r="A57" s="3">
        <v>56</v>
      </c>
      <c r="B57" t="s" s="4">
        <v>365</v>
      </c>
      <c r="C57" t="s" s="5">
        <v>333</v>
      </c>
      <c r="D57" t="s" s="5">
        <v>334</v>
      </c>
      <c r="E57" t="s" s="5">
        <v>366</v>
      </c>
      <c r="F57" t="s" s="6">
        <v>367</v>
      </c>
      <c r="G57" t="s" s="7">
        <v>368</v>
      </c>
      <c r="H57" t="s" s="7">
        <v>369</v>
      </c>
      <c r="I57" t="str" s="8" cm="1">
        <f t="array" ref="I57">SUBSTITUTE(H57,B57,"(          )")</f>
        <v>My heart began to (          ) faster when I saw the test results.</v>
      </c>
      <c r="J57" s="9" cm="1">
        <f t="array" ref="J57">SUMIF('외운 것 - 엑셀다운로드 파일(붙여넣기)'!A3:A562,A57,'외운 것 - 엑셀다운로드 파일(붙여넣기)'!D3:D562)</f>
        <v>3</v>
      </c>
      <c r="K57" s="9" cm="1">
        <f t="array" ref="K57">_xlfn.COUNTIFS('외운 것 - 엑셀다운로드 파일(붙여넣기)'!A3:A562,A57,'외운 것 - 엑셀다운로드 파일(붙여넣기)'!D3:D562,0)</f>
        <v>0</v>
      </c>
      <c r="L57" t="str" s="8" cm="1">
        <f t="array" ref="L57">IF(J57&gt;=3,_xlfn.XLOOKUP(A57,'외운 것 - 엑셀다운로드 파일(붙여넣기)'!A3:A562,'외운 것 - 엑셀다운로드 파일(붙여넣기)'!C3:C562,0,-1),0)</f>
        <v>2026-03-14</v>
      </c>
    </row>
    <row r="58" ht="23.45" customHeight="1">
      <c r="A58" s="3">
        <v>57</v>
      </c>
      <c r="B58" t="s" s="4">
        <v>371</v>
      </c>
      <c r="C58" t="s" s="5">
        <v>372</v>
      </c>
      <c r="D58" t="s" s="5">
        <v>373</v>
      </c>
      <c r="E58" t="s" s="5">
        <v>374</v>
      </c>
      <c r="F58" t="s" s="6">
        <v>375</v>
      </c>
      <c r="G58" t="s" s="7">
        <v>376</v>
      </c>
      <c r="H58" t="s" s="7">
        <v>377</v>
      </c>
      <c r="I58" t="str" s="8" cm="1">
        <f t="array" ref="I58">SUBSTITUTE(H58,B58,"(          )")</f>
        <v>She rides her (          ) to school every day.</v>
      </c>
      <c r="J58" s="9" cm="1">
        <f t="array" ref="J58">SUMIF('외운 것 - 엑셀다운로드 파일(붙여넣기)'!A3:A562,A58,'외운 것 - 엑셀다운로드 파일(붙여넣기)'!D3:D562)</f>
        <v>3</v>
      </c>
      <c r="K58" s="9" cm="1">
        <f t="array" ref="K58">_xlfn.COUNTIFS('외운 것 - 엑셀다운로드 파일(붙여넣기)'!A3:A562,A58,'외운 것 - 엑셀다운로드 파일(붙여넣기)'!D3:D562,0)</f>
        <v>0</v>
      </c>
      <c r="L58" t="str" s="8" cm="1">
        <f t="array" ref="L58">IF(J58&gt;=3,_xlfn.XLOOKUP(A58,'외운 것 - 엑셀다운로드 파일(붙여넣기)'!A3:A562,'외운 것 - 엑셀다운로드 파일(붙여넣기)'!C3:C562,0,-1),0)</f>
        <v>2026-03-14</v>
      </c>
    </row>
    <row r="59" ht="23.45" customHeight="1">
      <c r="A59" s="3">
        <v>58</v>
      </c>
      <c r="B59" t="s" s="4">
        <v>379</v>
      </c>
      <c r="C59" t="s" s="5">
        <v>372</v>
      </c>
      <c r="D59" t="s" s="5">
        <v>373</v>
      </c>
      <c r="E59" t="s" s="5">
        <v>380</v>
      </c>
      <c r="F59" t="s" s="6">
        <v>381</v>
      </c>
      <c r="G59" t="s" s="7">
        <v>382</v>
      </c>
      <c r="H59" t="s" s="7">
        <v>383</v>
      </c>
      <c r="I59" t="str" s="8" cm="1">
        <f t="array" ref="I59">SUBSTITUTE(H59,B59,"(          )")</f>
        <v>Try not to show (          ) when judging the competition.</v>
      </c>
      <c r="J59" s="9" cm="1">
        <f t="array" ref="J59">SUMIF('외운 것 - 엑셀다운로드 파일(붙여넣기)'!A3:A562,A59,'외운 것 - 엑셀다운로드 파일(붙여넣기)'!D3:D562)</f>
        <v>3</v>
      </c>
      <c r="K59" s="9" cm="1">
        <f t="array" ref="K59">_xlfn.COUNTIFS('외운 것 - 엑셀다운로드 파일(붙여넣기)'!A3:A562,A59,'외운 것 - 엑셀다운로드 파일(붙여넣기)'!D3:D562,0)</f>
        <v>0</v>
      </c>
      <c r="L59" t="str" s="8" cm="1">
        <f t="array" ref="L59">IF(J59&gt;=3,_xlfn.XLOOKUP(A59,'외운 것 - 엑셀다운로드 파일(붙여넣기)'!A3:A562,'외운 것 - 엑셀다운로드 파일(붙여넣기)'!C3:C562,0,-1),0)</f>
        <v>2026-03-14</v>
      </c>
    </row>
    <row r="60" ht="38.45" customHeight="1">
      <c r="A60" s="3">
        <v>59</v>
      </c>
      <c r="B60" t="s" s="4">
        <v>385</v>
      </c>
      <c r="C60" t="s" s="5">
        <v>372</v>
      </c>
      <c r="D60" t="s" s="5">
        <v>373</v>
      </c>
      <c r="E60" t="s" s="5">
        <v>386</v>
      </c>
      <c r="F60" t="s" s="6">
        <v>387</v>
      </c>
      <c r="G60" t="s" s="7">
        <v>388</v>
      </c>
      <c r="H60" t="s" s="7">
        <v>389</v>
      </c>
      <c r="I60" t="str" s="8" cm="1">
        <f t="array" ref="I60">SUBSTITUTE(H60,B60,"(          )")</f>
        <v>The suspect had a strong (          ) for the night of the crime.</v>
      </c>
      <c r="J60" s="9" cm="1">
        <f t="array" ref="J60">SUMIF('외운 것 - 엑셀다운로드 파일(붙여넣기)'!A3:A562,A60,'외운 것 - 엑셀다운로드 파일(붙여넣기)'!D3:D562)</f>
        <v>3</v>
      </c>
      <c r="K60" s="9" cm="1">
        <f t="array" ref="K60">_xlfn.COUNTIFS('외운 것 - 엑셀다운로드 파일(붙여넣기)'!A3:A562,A60,'외운 것 - 엑셀다운로드 파일(붙여넣기)'!D3:D562,0)</f>
        <v>0</v>
      </c>
      <c r="L60" t="str" s="8" cm="1">
        <f t="array" ref="L60">IF(J60&gt;=3,_xlfn.XLOOKUP(A60,'외운 것 - 엑셀다운로드 파일(붙여넣기)'!A3:A562,'외운 것 - 엑셀다운로드 파일(붙여넣기)'!C3:C562,0,-1),0)</f>
        <v>2026-03-14</v>
      </c>
    </row>
    <row r="61" ht="23.45" customHeight="1">
      <c r="A61" s="3">
        <v>60</v>
      </c>
      <c r="B61" t="s" s="4">
        <v>391</v>
      </c>
      <c r="C61" t="s" s="5">
        <v>372</v>
      </c>
      <c r="D61" t="s" s="5">
        <v>373</v>
      </c>
      <c r="E61" t="s" s="5">
        <v>392</v>
      </c>
      <c r="F61" t="s" s="6">
        <v>393</v>
      </c>
      <c r="G61" t="s" s="7">
        <v>394</v>
      </c>
      <c r="H61" t="s" s="7">
        <v>395</v>
      </c>
      <c r="I61" t="str" s="8" cm="1">
        <f t="array" ref="I61">SUBSTITUTE(H61,B61,"(          )")</f>
        <v>Being (          ) can help you find better job opportunities.</v>
      </c>
      <c r="J61" s="9" cm="1">
        <f t="array" ref="J61">SUMIF('외운 것 - 엑셀다운로드 파일(붙여넣기)'!A3:A562,A61,'외운 것 - 엑셀다운로드 파일(붙여넣기)'!D3:D562)</f>
        <v>3</v>
      </c>
      <c r="K61" s="9" cm="1">
        <f t="array" ref="K61">_xlfn.COUNTIFS('외운 것 - 엑셀다운로드 파일(붙여넣기)'!A3:A562,A61,'외운 것 - 엑셀다운로드 파일(붙여넣기)'!D3:D562,0)</f>
        <v>1</v>
      </c>
      <c r="L61" t="str" s="8" cm="1">
        <f t="array" ref="L61">IF(J61&gt;=3,_xlfn.XLOOKUP(A61,'외운 것 - 엑셀다운로드 파일(붙여넣기)'!A3:A562,'외운 것 - 엑셀다운로드 파일(붙여넣기)'!C3:C562,0,-1),0)</f>
        <v>2026-03-16</v>
      </c>
    </row>
    <row r="62" ht="23.45" customHeight="1">
      <c r="A62" s="3">
        <v>61</v>
      </c>
      <c r="B62" t="s" s="4">
        <v>397</v>
      </c>
      <c r="C62" t="s" s="5">
        <v>372</v>
      </c>
      <c r="D62" t="s" s="5">
        <v>373</v>
      </c>
      <c r="E62" t="s" s="5">
        <v>398</v>
      </c>
      <c r="F62" t="s" s="6">
        <v>399</v>
      </c>
      <c r="G62" t="s" s="7">
        <v>400</v>
      </c>
      <c r="H62" t="s" s="7">
        <v>401</v>
      </c>
      <c r="I62" t="str" s="8" cm="1">
        <f t="array" ref="I62">SUBSTITUTE(H62,B62,"(          )")</f>
        <v>We used (          ) to watch birds at the lake.</v>
      </c>
      <c r="J62" s="9" cm="1">
        <f t="array" ref="J62">SUMIF('외운 것 - 엑셀다운로드 파일(붙여넣기)'!A3:A562,A62,'외운 것 - 엑셀다운로드 파일(붙여넣기)'!D3:D562)</f>
        <v>2</v>
      </c>
      <c r="K62" s="9" cm="1">
        <f t="array" ref="K62">_xlfn.COUNTIFS('외운 것 - 엑셀다운로드 파일(붙여넣기)'!A3:A562,A62,'외운 것 - 엑셀다운로드 파일(붙여넣기)'!D3:D562,0)</f>
        <v>3</v>
      </c>
      <c r="L62" s="9" cm="1">
        <f t="array" ref="L62">IF(J62&gt;=3,_xlfn.XLOOKUP(A62,'외운 것 - 엑셀다운로드 파일(붙여넣기)'!A3:A562,'외운 것 - 엑셀다운로드 파일(붙여넣기)'!C3:C562,0,-1),0)</f>
        <v>0</v>
      </c>
    </row>
    <row r="63" ht="23.45" customHeight="1">
      <c r="A63" s="3">
        <v>62</v>
      </c>
      <c r="B63" t="s" s="4">
        <v>403</v>
      </c>
      <c r="C63" t="s" s="5">
        <v>372</v>
      </c>
      <c r="D63" t="s" s="5">
        <v>373</v>
      </c>
      <c r="E63" t="s" s="5">
        <v>404</v>
      </c>
      <c r="F63" t="s" s="6">
        <v>405</v>
      </c>
      <c r="G63" t="s" s="7">
        <v>406</v>
      </c>
      <c r="H63" t="s" s="7">
        <v>407</v>
      </c>
      <c r="I63" t="str" s="8" cm="1">
        <f t="array" ref="I63">SUBSTITUTE(H63,B63,"(          )")</f>
        <v>The river (          )s the city into north and south regions.</v>
      </c>
      <c r="J63" s="9" cm="1">
        <f t="array" ref="J63">SUMIF('외운 것 - 엑셀다운로드 파일(붙여넣기)'!A3:A562,A63,'외운 것 - 엑셀다운로드 파일(붙여넣기)'!D3:D562)</f>
        <v>3</v>
      </c>
      <c r="K63" s="9" cm="1">
        <f t="array" ref="K63">_xlfn.COUNTIFS('외운 것 - 엑셀다운로드 파일(붙여넣기)'!A3:A562,A63,'외운 것 - 엑셀다운로드 파일(붙여넣기)'!D3:D562,0)</f>
        <v>0</v>
      </c>
      <c r="L63" t="str" s="8" cm="1">
        <f t="array" ref="L63">IF(J63&gt;=3,_xlfn.XLOOKUP(A63,'외운 것 - 엑셀다운로드 파일(붙여넣기)'!A3:A562,'외운 것 - 엑셀다운로드 파일(붙여넣기)'!C3:C562,0,-1),0)</f>
        <v>2026-03-14</v>
      </c>
    </row>
    <row r="64" ht="23.45" customHeight="1">
      <c r="A64" s="3">
        <v>63</v>
      </c>
      <c r="B64" t="s" s="4">
        <v>409</v>
      </c>
      <c r="C64" t="s" s="5">
        <v>410</v>
      </c>
      <c r="D64" t="s" s="5">
        <v>411</v>
      </c>
      <c r="E64" t="s" s="5">
        <v>412</v>
      </c>
      <c r="F64" t="s" s="6">
        <v>413</v>
      </c>
      <c r="G64" t="s" s="7">
        <v>414</v>
      </c>
      <c r="H64" t="s" s="7">
        <v>415</v>
      </c>
      <c r="I64" t="str" s="8" cm="1">
        <f t="array" ref="I64">SUBSTITUTE(H64,B64,"(          )")</f>
        <v>She studies (          ) at the university.</v>
      </c>
      <c r="J64" s="9" cm="1">
        <f t="array" ref="J64">SUMIF('외운 것 - 엑셀다운로드 파일(붙여넣기)'!A3:A562,A64,'외운 것 - 엑셀다운로드 파일(붙여넣기)'!D3:D562)</f>
        <v>3</v>
      </c>
      <c r="K64" s="9" cm="1">
        <f t="array" ref="K64">_xlfn.COUNTIFS('외운 것 - 엑셀다운로드 파일(붙여넣기)'!A3:A562,A64,'외운 것 - 엑셀다운로드 파일(붙여넣기)'!D3:D562,0)</f>
        <v>2</v>
      </c>
      <c r="L64" t="str" s="8" cm="1">
        <f t="array" ref="L64">IF(J64&gt;=3,_xlfn.XLOOKUP(A64,'외운 것 - 엑셀다운로드 파일(붙여넣기)'!A3:A562,'외운 것 - 엑셀다운로드 파일(붙여넣기)'!C3:C562,0,-1),0)</f>
        <v>2026-03-17</v>
      </c>
    </row>
    <row r="65" ht="23.45" customHeight="1">
      <c r="A65" s="3">
        <v>64</v>
      </c>
      <c r="B65" t="s" s="4">
        <v>417</v>
      </c>
      <c r="C65" t="s" s="5">
        <v>410</v>
      </c>
      <c r="D65" t="s" s="5">
        <v>411</v>
      </c>
      <c r="E65" t="s" s="5">
        <v>418</v>
      </c>
      <c r="F65" t="s" s="6">
        <v>419</v>
      </c>
      <c r="G65" t="s" s="7">
        <v>420</v>
      </c>
      <c r="H65" t="s" s="7">
        <v>421</v>
      </c>
      <c r="I65" t="str" s="8" cm="1">
        <f t="array" ref="I65">SUBSTITUTE(H65,B65,"(          )")</f>
        <v>The doctor prescribed an (          ) for my infection.</v>
      </c>
      <c r="J65" s="9" cm="1">
        <f t="array" ref="J65">SUMIF('외운 것 - 엑셀다운로드 파일(붙여넣기)'!A3:A562,A65,'외운 것 - 엑셀다운로드 파일(붙여넣기)'!D3:D562)</f>
        <v>1</v>
      </c>
      <c r="K65" s="9" cm="1">
        <f t="array" ref="K65">_xlfn.COUNTIFS('외운 것 - 엑셀다운로드 파일(붙여넣기)'!A3:A562,A65,'외운 것 - 엑셀다운로드 파일(붙여넣기)'!D3:D562,0)</f>
        <v>4</v>
      </c>
      <c r="L65" s="9" cm="1">
        <f t="array" ref="L65">IF(J65&gt;=3,_xlfn.XLOOKUP(A65,'외운 것 - 엑셀다운로드 파일(붙여넣기)'!A3:A562,'외운 것 - 엑셀다운로드 파일(붙여넣기)'!C3:C562,0,-1),0)</f>
        <v>0</v>
      </c>
    </row>
    <row r="66" ht="38.45" customHeight="1">
      <c r="A66" s="3">
        <v>65</v>
      </c>
      <c r="B66" t="s" s="4">
        <v>423</v>
      </c>
      <c r="C66" t="s" s="5">
        <v>410</v>
      </c>
      <c r="D66" t="s" s="5">
        <v>411</v>
      </c>
      <c r="E66" t="s" s="5">
        <v>424</v>
      </c>
      <c r="F66" t="s" s="6">
        <v>425</v>
      </c>
      <c r="G66" t="s" s="7">
        <v>426</v>
      </c>
      <c r="H66" t="s" s="7">
        <v>427</v>
      </c>
      <c r="I66" t="str" s="8" cm="1">
        <f t="array" ref="I66">SUBSTITUTE(H66,B66,"(          )")</f>
        <v>I'm reading a (          ) about Albert Einstein.</v>
      </c>
      <c r="J66" s="9" cm="1">
        <f t="array" ref="J66">SUMIF('외운 것 - 엑셀다운로드 파일(붙여넣기)'!A3:A562,A66,'외운 것 - 엑셀다운로드 파일(붙여넣기)'!D3:D562)</f>
        <v>3</v>
      </c>
      <c r="K66" s="9" cm="1">
        <f t="array" ref="K66">_xlfn.COUNTIFS('외운 것 - 엑셀다운로드 파일(붙여넣기)'!A3:A562,A66,'외운 것 - 엑셀다운로드 파일(붙여넣기)'!D3:D562,0)</f>
        <v>2</v>
      </c>
      <c r="L66" t="str" s="8" cm="1">
        <f t="array" ref="L66">IF(J66&gt;=3,_xlfn.XLOOKUP(A66,'외운 것 - 엑셀다운로드 파일(붙여넣기)'!A3:A562,'외운 것 - 엑셀다운로드 파일(붙여넣기)'!C3:C562,0,-1),0)</f>
        <v>2026-03-17</v>
      </c>
    </row>
    <row r="67" ht="38.45" customHeight="1">
      <c r="A67" s="3">
        <v>66</v>
      </c>
      <c r="B67" t="s" s="4">
        <v>429</v>
      </c>
      <c r="C67" t="s" s="5">
        <v>89</v>
      </c>
      <c r="D67" t="s" s="5">
        <v>90</v>
      </c>
      <c r="E67" t="s" s="5">
        <v>430</v>
      </c>
      <c r="F67" t="s" s="6">
        <v>431</v>
      </c>
      <c r="G67" t="s" s="7">
        <v>432</v>
      </c>
      <c r="H67" t="s" s="7">
        <v>433</v>
      </c>
      <c r="I67" t="str" s="8" cm="1">
        <f t="array" ref="I67">SUBSTITUTE(H67,B67,"(          )")</f>
        <v>The roses (          ) beautifully in our garden each summer.</v>
      </c>
      <c r="J67" s="9" cm="1">
        <f t="array" ref="J67">SUMIF('외운 것 - 엑셀다운로드 파일(붙여넣기)'!A3:A562,A67,'외운 것 - 엑셀다운로드 파일(붙여넣기)'!D3:D562)</f>
        <v>3</v>
      </c>
      <c r="K67" s="9" cm="1">
        <f t="array" ref="K67">_xlfn.COUNTIFS('외운 것 - 엑셀다운로드 파일(붙여넣기)'!A3:A562,A67,'외운 것 - 엑셀다운로드 파일(붙여넣기)'!D3:D562,0)</f>
        <v>0</v>
      </c>
      <c r="L67" t="str" s="8" cm="1">
        <f t="array" ref="L67">IF(J67&gt;=3,_xlfn.XLOOKUP(A67,'외운 것 - 엑셀다운로드 파일(붙여넣기)'!A3:A562,'외운 것 - 엑셀다운로드 파일(붙여넣기)'!C3:C562,0,-1),0)</f>
        <v>2026-03-14</v>
      </c>
    </row>
    <row r="68" ht="38.45" customHeight="1">
      <c r="A68" s="3">
        <v>67</v>
      </c>
      <c r="B68" t="s" s="4">
        <v>435</v>
      </c>
      <c r="C68" t="s" s="5">
        <v>89</v>
      </c>
      <c r="D68" t="s" s="5">
        <v>90</v>
      </c>
      <c r="E68" t="s" s="5">
        <v>436</v>
      </c>
      <c r="F68" t="s" s="6">
        <v>437</v>
      </c>
      <c r="G68" t="s" s="7">
        <v>438</v>
      </c>
      <c r="H68" t="s" s="7">
        <v>439</v>
      </c>
      <c r="I68" t="str" s="8" cm="1">
        <f t="array" ref="I68">SUBSTITUTE(H68,B68,"(          )")</f>
        <v>She wore a (          ) dress to the formal dinner.</v>
      </c>
      <c r="J68" s="9" cm="1">
        <f t="array" ref="J68">SUMIF('외운 것 - 엑셀다운로드 파일(붙여넣기)'!A3:A562,A68,'외운 것 - 엑셀다운로드 파일(붙여넣기)'!D3:D562)</f>
        <v>3</v>
      </c>
      <c r="K68" s="9" cm="1">
        <f t="array" ref="K68">_xlfn.COUNTIFS('외운 것 - 엑셀다운로드 파일(붙여넣기)'!A3:A562,A68,'외운 것 - 엑셀다운로드 파일(붙여넣기)'!D3:D562,0)</f>
        <v>0</v>
      </c>
      <c r="L68" t="str" s="8" cm="1">
        <f t="array" ref="L68">IF(J68&gt;=3,_xlfn.XLOOKUP(A68,'외운 것 - 엑셀다운로드 파일(붙여넣기)'!A3:A562,'외운 것 - 엑셀다운로드 파일(붙여넣기)'!C3:C562,0,-1),0)</f>
        <v>2026-03-14</v>
      </c>
    </row>
    <row r="69" ht="38.45" customHeight="1">
      <c r="A69" s="3">
        <v>68</v>
      </c>
      <c r="B69" t="s" s="4">
        <v>441</v>
      </c>
      <c r="C69" t="s" s="5">
        <v>89</v>
      </c>
      <c r="D69" t="s" s="5">
        <v>90</v>
      </c>
      <c r="E69" t="s" s="5">
        <v>442</v>
      </c>
      <c r="F69" t="s" s="6">
        <v>443</v>
      </c>
      <c r="G69" t="s" s="7">
        <v>444</v>
      </c>
      <c r="H69" t="s" s="7">
        <v>445</v>
      </c>
      <c r="I69" t="str" s="8" cm="1">
        <f t="array" ref="I69">SUBSTITUTE(H69,B69,"(          )")</f>
        <v>Please don't leave any (          ) spaces on the application form.</v>
      </c>
      <c r="J69" s="9" cm="1">
        <f t="array" ref="J69">SUMIF('외운 것 - 엑셀다운로드 파일(붙여넣기)'!A3:A562,A69,'외운 것 - 엑셀다운로드 파일(붙여넣기)'!D3:D562)</f>
        <v>3</v>
      </c>
      <c r="K69" s="9" cm="1">
        <f t="array" ref="K69">_xlfn.COUNTIFS('외운 것 - 엑셀다운로드 파일(붙여넣기)'!A3:A562,A69,'외운 것 - 엑셀다운로드 파일(붙여넣기)'!D3:D562,0)</f>
        <v>0</v>
      </c>
      <c r="L69" t="str" s="8" cm="1">
        <f t="array" ref="L69">IF(J69&gt;=3,_xlfn.XLOOKUP(A69,'외운 것 - 엑셀다운로드 파일(붙여넣기)'!A3:A562,'외운 것 - 엑셀다운로드 파일(붙여넣기)'!C3:C562,0,-1),0)</f>
        <v>2026-03-14</v>
      </c>
    </row>
    <row r="70" ht="23.45" customHeight="1">
      <c r="A70" s="3">
        <v>69</v>
      </c>
      <c r="B70" t="s" s="4">
        <v>447</v>
      </c>
      <c r="C70" t="s" s="5">
        <v>448</v>
      </c>
      <c r="D70" t="s" s="5">
        <v>89</v>
      </c>
      <c r="E70" t="s" s="5">
        <v>449</v>
      </c>
      <c r="F70" t="s" s="6">
        <v>450</v>
      </c>
      <c r="G70" t="s" s="7">
        <v>451</v>
      </c>
      <c r="H70" t="s" s="7">
        <v>452</v>
      </c>
      <c r="I70" t="str" s="8" cm="1">
        <f t="array" ref="I70">SUBSTITUTE(H70,B70,"(          )")</f>
        <v>The child slept peacefully under a warm (          ).</v>
      </c>
      <c r="J70" s="9" cm="1">
        <f t="array" ref="J70">SUMIF('외운 것 - 엑셀다운로드 파일(붙여넣기)'!A3:A562,A70,'외운 것 - 엑셀다운로드 파일(붙여넣기)'!D3:D562)</f>
        <v>1</v>
      </c>
      <c r="K70" s="9" cm="1">
        <f t="array" ref="K70">_xlfn.COUNTIFS('외운 것 - 엑셀다운로드 파일(붙여넣기)'!A3:A562,A70,'외운 것 - 엑셀다운로드 파일(붙여넣기)'!D3:D562,0)</f>
        <v>4</v>
      </c>
      <c r="L70" s="9" cm="1">
        <f t="array" ref="L70">IF(J70&gt;=3,_xlfn.XLOOKUP(A70,'외운 것 - 엑셀다운로드 파일(붙여넣기)'!A3:A562,'외운 것 - 엑셀다운로드 파일(붙여넣기)'!C3:C562,0,-1),0)</f>
        <v>0</v>
      </c>
    </row>
    <row r="71" ht="23.45" customHeight="1">
      <c r="A71" s="3">
        <v>70</v>
      </c>
      <c r="B71" t="s" s="4">
        <v>454</v>
      </c>
      <c r="C71" t="s" s="5">
        <v>89</v>
      </c>
      <c r="D71" t="s" s="5">
        <v>90</v>
      </c>
      <c r="E71" t="s" s="5">
        <v>455</v>
      </c>
      <c r="F71" t="s" s="6">
        <v>456</v>
      </c>
      <c r="G71" t="s" s="7">
        <v>457</v>
      </c>
      <c r="H71" t="s" s="7">
        <v>458</v>
      </c>
      <c r="I71" t="str" s="8" cm="1">
        <f t="array" ref="I71">SUBSTITUTE(H71,B71,"(          )")</f>
        <v>Use (          ) carefully when washing white clothes.</v>
      </c>
      <c r="J71" s="9" cm="1">
        <f t="array" ref="J71">SUMIF('외운 것 - 엑셀다운로드 파일(붙여넣기)'!A3:A562,A71,'외운 것 - 엑셀다운로드 파일(붙여넣기)'!D3:D562)</f>
        <v>3</v>
      </c>
      <c r="K71" s="9" cm="1">
        <f t="array" ref="K71">_xlfn.COUNTIFS('외운 것 - 엑셀다운로드 파일(붙여넣기)'!A3:A562,A71,'외운 것 - 엑셀다운로드 파일(붙여넣기)'!D3:D562,0)</f>
        <v>0</v>
      </c>
      <c r="L71" t="str" s="8" cm="1">
        <f t="array" ref="L71">IF(J71&gt;=3,_xlfn.XLOOKUP(A71,'외운 것 - 엑셀다운로드 파일(붙여넣기)'!A3:A562,'외운 것 - 엑셀다운로드 파일(붙여넣기)'!C3:C562,0,-1),0)</f>
        <v>2026-03-14</v>
      </c>
    </row>
    <row r="72" ht="38.45" customHeight="1">
      <c r="A72" s="3">
        <v>71</v>
      </c>
      <c r="B72" t="s" s="4">
        <v>460</v>
      </c>
      <c r="C72" t="s" s="5">
        <v>89</v>
      </c>
      <c r="D72" t="s" s="5">
        <v>90</v>
      </c>
      <c r="E72" t="s" s="5">
        <v>461</v>
      </c>
      <c r="F72" t="s" s="6">
        <v>462</v>
      </c>
      <c r="G72" t="s" s="7">
        <v>463</v>
      </c>
      <c r="H72" t="s" s="7">
        <v>464</v>
      </c>
      <c r="I72" t="str" s="8" cm="1">
        <f t="array" ref="I72">SUBSTITUTE(H72,B72,"(          )")</f>
        <v>The knife (          ) needs to be sharpened.</v>
      </c>
      <c r="J72" s="9" cm="1">
        <f t="array" ref="J72">SUMIF('외운 것 - 엑셀다운로드 파일(붙여넣기)'!A3:A562,A72,'외운 것 - 엑셀다운로드 파일(붙여넣기)'!D3:D562)</f>
        <v>3</v>
      </c>
      <c r="K72" s="9" cm="1">
        <f t="array" ref="K72">_xlfn.COUNTIFS('외운 것 - 엑셀다운로드 파일(붙여넣기)'!A3:A562,A72,'외운 것 - 엑셀다운로드 파일(붙여넣기)'!D3:D562,0)</f>
        <v>0</v>
      </c>
      <c r="L72" t="str" s="8" cm="1">
        <f t="array" ref="L72">IF(J72&gt;=3,_xlfn.XLOOKUP(A72,'외운 것 - 엑셀다운로드 파일(붙여넣기)'!A3:A562,'외운 것 - 엑셀다운로드 파일(붙여넣기)'!C3:C562,0,-1),0)</f>
        <v>2026-03-14</v>
      </c>
    </row>
    <row r="73" ht="38.45" customHeight="1">
      <c r="A73" s="3">
        <v>72</v>
      </c>
      <c r="B73" t="s" s="4">
        <v>466</v>
      </c>
      <c r="C73" t="s" s="5">
        <v>89</v>
      </c>
      <c r="D73" t="s" s="5">
        <v>90</v>
      </c>
      <c r="E73" t="s" s="5">
        <v>467</v>
      </c>
      <c r="F73" t="s" s="6">
        <v>468</v>
      </c>
      <c r="G73" t="s" s="7">
        <v>469</v>
      </c>
      <c r="H73" t="s" s="7">
        <v>470</v>
      </c>
      <c r="I73" t="str" s="8" cm="1">
        <f t="array" ref="I73">SUBSTITUTE(H73,B73,"(          )")</f>
        <v>His knee started to (          ) after he fell off his bike.</v>
      </c>
      <c r="J73" s="9" cm="1">
        <f t="array" ref="J73">SUMIF('외운 것 - 엑셀다운로드 파일(붙여넣기)'!A3:A562,A73,'외운 것 - 엑셀다운로드 파일(붙여넣기)'!D3:D562)</f>
        <v>3</v>
      </c>
      <c r="K73" s="9" cm="1">
        <f t="array" ref="K73">_xlfn.COUNTIFS('외운 것 - 엑셀다운로드 파일(붙여넣기)'!A3:A562,A73,'외운 것 - 엑셀다운로드 파일(붙여넣기)'!D3:D562,0)</f>
        <v>0</v>
      </c>
      <c r="L73" t="str" s="8" cm="1">
        <f t="array" ref="L73">IF(J73&gt;=3,_xlfn.XLOOKUP(A73,'외운 것 - 엑셀다운로드 파일(붙여넣기)'!A3:A562,'외운 것 - 엑셀다운로드 파일(붙여넣기)'!C3:C562,0,-1),0)</f>
        <v>2026-03-14</v>
      </c>
    </row>
    <row r="74" ht="38.45" customHeight="1">
      <c r="A74" s="3">
        <v>73</v>
      </c>
      <c r="B74" t="s" s="4">
        <v>472</v>
      </c>
      <c r="C74" t="s" s="5">
        <v>89</v>
      </c>
      <c r="D74" t="s" s="5">
        <v>90</v>
      </c>
      <c r="E74" t="s" s="5">
        <v>473</v>
      </c>
      <c r="F74" t="s" s="6">
        <v>474</v>
      </c>
      <c r="G74" t="s" s="7">
        <v>475</v>
      </c>
      <c r="H74" t="s" s="7">
        <v>476</v>
      </c>
      <c r="I74" t="str" s="8" cm="1">
        <f t="array" ref="I74">SUBSTITUTE(H74,B74,"(          )")</f>
        <v>The forest (          ) destroyed thousands of acres.</v>
      </c>
      <c r="J74" s="9" cm="1">
        <f t="array" ref="J74">SUMIF('외운 것 - 엑셀다운로드 파일(붙여넣기)'!A3:A562,A74,'외운 것 - 엑셀다운로드 파일(붙여넣기)'!D3:D562)</f>
        <v>3</v>
      </c>
      <c r="K74" s="9" cm="1">
        <f t="array" ref="K74">_xlfn.COUNTIFS('외운 것 - 엑셀다운로드 파일(붙여넣기)'!A3:A562,A74,'외운 것 - 엑셀다운로드 파일(붙여넣기)'!D3:D562,0)</f>
        <v>0</v>
      </c>
      <c r="L74" t="str" s="8" cm="1">
        <f t="array" ref="L74">IF(J74&gt;=3,_xlfn.XLOOKUP(A74,'외운 것 - 엑셀다운로드 파일(붙여넣기)'!A3:A562,'외운 것 - 엑셀다운로드 파일(붙여넣기)'!C3:C562,0,-1),0)</f>
        <v>2026-03-14</v>
      </c>
    </row>
    <row r="75" ht="23.45" customHeight="1">
      <c r="A75" s="3">
        <v>74</v>
      </c>
      <c r="B75" t="s" s="4">
        <v>478</v>
      </c>
      <c r="C75" t="s" s="5">
        <v>479</v>
      </c>
      <c r="D75" t="s" s="5">
        <v>89</v>
      </c>
      <c r="E75" t="s" s="5">
        <v>480</v>
      </c>
      <c r="F75" t="s" s="6">
        <v>481</v>
      </c>
      <c r="G75" t="s" s="7">
        <v>482</v>
      </c>
      <c r="H75" t="s" s="7">
        <v>483</v>
      </c>
      <c r="I75" t="str" s="8" cm="1">
        <f t="array" ref="I75">SUBSTITUTE(H75,B75,"(          )")</f>
        <v>The sky was (          ) with colorful fireworks.</v>
      </c>
      <c r="J75" s="9" cm="1">
        <f t="array" ref="J75">SUMIF('외운 것 - 엑셀다운로드 파일(붙여넣기)'!A3:A562,A75,'외운 것 - 엑셀다운로드 파일(붙여넣기)'!D3:D562)</f>
        <v>3</v>
      </c>
      <c r="K75" s="9" cm="1">
        <f t="array" ref="K75">_xlfn.COUNTIFS('외운 것 - 엑셀다운로드 파일(붙여넣기)'!A3:A562,A75,'외운 것 - 엑셀다운로드 파일(붙여넣기)'!D3:D562,0)</f>
        <v>0</v>
      </c>
      <c r="L75" t="str" s="8" cm="1">
        <f t="array" ref="L75">IF(J75&gt;=3,_xlfn.XLOOKUP(A75,'외운 것 - 엑셀다운로드 파일(붙여넣기)'!A3:A562,'외운 것 - 엑셀다운로드 파일(붙여넣기)'!C3:C562,0,-1),0)</f>
        <v>2026-03-14</v>
      </c>
    </row>
    <row r="76" ht="23.45" customHeight="1">
      <c r="A76" s="3">
        <v>75</v>
      </c>
      <c r="B76" t="s" s="4">
        <v>485</v>
      </c>
      <c r="C76" t="s" s="5">
        <v>479</v>
      </c>
      <c r="D76" t="s" s="5">
        <v>89</v>
      </c>
      <c r="E76" t="s" s="5">
        <v>486</v>
      </c>
      <c r="F76" t="s" s="6">
        <v>487</v>
      </c>
      <c r="G76" t="s" s="7">
        <v>488</v>
      </c>
      <c r="H76" t="s" s="7">
        <v>489</v>
      </c>
      <c r="I76" t="str" s="8" cm="1">
        <f t="array" ref="I76">SUBSTITUTE(H76,B76,"(          )")</f>
        <v>A (          ) is forecast for this weekend.</v>
      </c>
      <c r="J76" s="9" cm="1">
        <f t="array" ref="J76">SUMIF('외운 것 - 엑셀다운로드 파일(붙여넣기)'!A3:A562,A76,'외운 것 - 엑셀다운로드 파일(붙여넣기)'!D3:D562)</f>
        <v>1</v>
      </c>
      <c r="K76" s="9" cm="1">
        <f t="array" ref="K76">_xlfn.COUNTIFS('외운 것 - 엑셀다운로드 파일(붙여넣기)'!A3:A562,A76,'외운 것 - 엑셀다운로드 파일(붙여넣기)'!D3:D562,0)</f>
        <v>4</v>
      </c>
      <c r="L76" s="9" cm="1">
        <f t="array" ref="L76">IF(J76&gt;=3,_xlfn.XLOOKUP(A76,'외운 것 - 엑셀다운로드 파일(붙여넣기)'!A3:A562,'외운 것 - 엑셀다운로드 파일(붙여넣기)'!C3:C562,0,-1),0)</f>
        <v>0</v>
      </c>
    </row>
    <row r="77" ht="23.45" customHeight="1">
      <c r="A77" s="3">
        <v>76</v>
      </c>
      <c r="B77" t="s" s="4">
        <v>491</v>
      </c>
      <c r="C77" t="s" s="5">
        <v>89</v>
      </c>
      <c r="D77" t="s" s="5">
        <v>90</v>
      </c>
      <c r="E77" t="s" s="5">
        <v>492</v>
      </c>
      <c r="F77" t="s" s="6">
        <v>493</v>
      </c>
      <c r="G77" t="s" s="7">
        <v>494</v>
      </c>
      <c r="H77" t="s" s="7">
        <v>495</v>
      </c>
      <c r="I77" t="str" s="8" cm="1">
        <f t="array" ref="I77">SUBSTITUTE(H77,B77,"(          )")</f>
        <v>May God (          ) you and your family.</v>
      </c>
      <c r="J77" s="9" cm="1">
        <f t="array" ref="J77">SUMIF('외운 것 - 엑셀다운로드 파일(붙여넣기)'!A3:A562,A77,'외운 것 - 엑셀다운로드 파일(붙여넣기)'!D3:D562)</f>
        <v>3</v>
      </c>
      <c r="K77" s="9" cm="1">
        <f t="array" ref="K77">_xlfn.COUNTIFS('외운 것 - 엑셀다운로드 파일(붙여넣기)'!A3:A562,A77,'외운 것 - 엑셀다운로드 파일(붙여넣기)'!D3:D562,0)</f>
        <v>0</v>
      </c>
      <c r="L77" t="str" s="8" cm="1">
        <f t="array" ref="L77">IF(J77&gt;=3,_xlfn.XLOOKUP(A77,'외운 것 - 엑셀다운로드 파일(붙여넣기)'!A3:A562,'외운 것 - 엑셀다운로드 파일(붙여넣기)'!C3:C562,0,-1),0)</f>
        <v>2026-03-14</v>
      </c>
    </row>
    <row r="78" ht="23.45" customHeight="1">
      <c r="A78" s="3">
        <v>77</v>
      </c>
      <c r="B78" t="s" s="4">
        <v>497</v>
      </c>
      <c r="C78" t="s" s="5">
        <v>89</v>
      </c>
      <c r="D78" t="s" s="5">
        <v>90</v>
      </c>
      <c r="E78" t="s" s="5">
        <v>498</v>
      </c>
      <c r="F78" t="s" s="6">
        <v>499</v>
      </c>
      <c r="G78" t="s" s="7">
        <v>500</v>
      </c>
      <c r="H78" t="s" s="7">
        <v>501</v>
      </c>
      <c r="I78" t="str" s="8" cm="1">
        <f t="array" ref="I78">SUBSTITUTE(H78,B78,"(          )")</f>
        <v>The explosion (          ) could be heard for miles.</v>
      </c>
      <c r="J78" s="9" cm="1">
        <f t="array" ref="J78">SUMIF('외운 것 - 엑셀다운로드 파일(붙여넣기)'!A3:A562,A78,'외운 것 - 엑셀다운로드 파일(붙여넣기)'!D3:D562)</f>
        <v>3</v>
      </c>
      <c r="K78" s="9" cm="1">
        <f t="array" ref="K78">_xlfn.COUNTIFS('외운 것 - 엑셀다운로드 파일(붙여넣기)'!A3:A562,A78,'외운 것 - 엑셀다운로드 파일(붙여넣기)'!D3:D562,0)</f>
        <v>0</v>
      </c>
      <c r="L78" t="str" s="8" cm="1">
        <f t="array" ref="L78">IF(J78&gt;=3,_xlfn.XLOOKUP(A78,'외운 것 - 엑셀다운로드 파일(붙여넣기)'!A3:A562,'외운 것 - 엑셀다운로드 파일(붙여넣기)'!C3:C562,0,-1),0)</f>
        <v>2026-03-14</v>
      </c>
    </row>
    <row r="79" ht="38.45" customHeight="1">
      <c r="A79" s="3">
        <v>78</v>
      </c>
      <c r="B79" t="s" s="4">
        <v>503</v>
      </c>
      <c r="C79" t="s" s="5">
        <v>89</v>
      </c>
      <c r="D79" t="s" s="5">
        <v>90</v>
      </c>
      <c r="E79" t="s" s="5">
        <v>504</v>
      </c>
      <c r="F79" t="s" s="6">
        <v>505</v>
      </c>
      <c r="G79" t="s" s="7">
        <v>506</v>
      </c>
      <c r="H79" t="s" s="7">
        <v>507</v>
      </c>
      <c r="I79" t="str" s="8" cm="1">
        <f t="array" ref="I79">SUBSTITUTE(H79,B79,"(          )")</f>
        <v>The politician's (          ) didn't convince the voters.</v>
      </c>
      <c r="J79" s="9" cm="1">
        <f t="array" ref="J79">SUMIF('외운 것 - 엑셀다운로드 파일(붙여넣기)'!A3:A562,A79,'외운 것 - 엑셀다운로드 파일(붙여넣기)'!D3:D562)</f>
        <v>3</v>
      </c>
      <c r="K79" s="9" cm="1">
        <f t="array" ref="K79">_xlfn.COUNTIFS('외운 것 - 엑셀다운로드 파일(붙여넣기)'!A3:A562,A79,'외운 것 - 엑셀다운로드 파일(붙여넣기)'!D3:D562,0)</f>
        <v>1</v>
      </c>
      <c r="L79" t="str" s="8" cm="1">
        <f t="array" ref="L79">IF(J79&gt;=3,_xlfn.XLOOKUP(A79,'외운 것 - 엑셀다운로드 파일(붙여넣기)'!A3:A562,'외운 것 - 엑셀다운로드 파일(붙여넣기)'!C3:C562,0,-1),0)</f>
        <v>2026-03-16</v>
      </c>
    </row>
    <row r="80" ht="38.45" customHeight="1">
      <c r="A80" s="3">
        <v>79</v>
      </c>
      <c r="B80" t="s" s="4">
        <v>509</v>
      </c>
      <c r="C80" t="s" s="5">
        <v>193</v>
      </c>
      <c r="D80" t="s" s="5">
        <v>510</v>
      </c>
      <c r="E80" t="s" s="5">
        <v>511</v>
      </c>
      <c r="F80" t="s" s="6">
        <v>512</v>
      </c>
      <c r="G80" t="s" s="7">
        <v>513</v>
      </c>
      <c r="H80" t="s" s="7">
        <v>514</v>
      </c>
      <c r="I80" t="str" s="8" cm="1">
        <f t="array" ref="I80">SUBSTITUTE(H80,B80,"(          )")</f>
        <v>The balloon will (          ) if you blow too much air into it.</v>
      </c>
      <c r="J80" s="9" cm="1">
        <f t="array" ref="J80">SUMIF('외운 것 - 엑셀다운로드 파일(붙여넣기)'!A3:A562,A80,'외운 것 - 엑셀다운로드 파일(붙여넣기)'!D3:D562)</f>
        <v>3</v>
      </c>
      <c r="K80" s="9" cm="1">
        <f t="array" ref="K80">_xlfn.COUNTIFS('외운 것 - 엑셀다운로드 파일(붙여넣기)'!A3:A562,A80,'외운 것 - 엑셀다운로드 파일(붙여넣기)'!D3:D562,0)</f>
        <v>1</v>
      </c>
      <c r="L80" t="str" s="8" cm="1">
        <f t="array" ref="L80">IF(J80&gt;=3,_xlfn.XLOOKUP(A80,'외운 것 - 엑셀다운로드 파일(붙여넣기)'!A3:A562,'외운 것 - 엑셀다운로드 파일(붙여넣기)'!C3:C562,0,-1),0)</f>
        <v>2026-03-16</v>
      </c>
    </row>
    <row r="81" ht="38.45" customHeight="1">
      <c r="A81" s="3">
        <v>80</v>
      </c>
      <c r="B81" t="s" s="4">
        <v>516</v>
      </c>
      <c r="C81" t="s" s="5">
        <v>89</v>
      </c>
      <c r="D81" t="s" s="5">
        <v>90</v>
      </c>
      <c r="E81" t="s" s="5">
        <v>517</v>
      </c>
      <c r="F81" t="s" s="6">
        <v>518</v>
      </c>
      <c r="G81" t="s" s="7">
        <v>519</v>
      </c>
      <c r="H81" t="s" s="7">
        <v>520</v>
      </c>
      <c r="I81" t="str" s="8" cm="1">
        <f t="array" ref="I81">SUBSTITUTE(H81,B81,"(          )")</f>
        <v>The car alarms (          ) was annoying the neighbors.</v>
      </c>
      <c r="J81" s="9" cm="1">
        <f t="array" ref="J81">SUMIF('외운 것 - 엑셀다운로드 파일(붙여넣기)'!A3:A562,A81,'외운 것 - 엑셀다운로드 파일(붙여넣기)'!D3:D562)</f>
        <v>3</v>
      </c>
      <c r="K81" s="9" cm="1">
        <f t="array" ref="K81">_xlfn.COUNTIFS('외운 것 - 엑셀다운로드 파일(붙여넣기)'!A3:A562,A81,'외운 것 - 엑셀다운로드 파일(붙여넣기)'!D3:D562,0)</f>
        <v>1</v>
      </c>
      <c r="L81" t="str" s="8" cm="1">
        <f t="array" ref="L81">IF(J81&gt;=3,_xlfn.XLOOKUP(A81,'외운 것 - 엑셀다운로드 파일(붙여넣기)'!A3:A562,'외운 것 - 엑셀다운로드 파일(붙여넣기)'!C3:C562,0,-1),0)</f>
        <v>2026-03-16</v>
      </c>
    </row>
    <row r="82" ht="38.45" customHeight="1">
      <c r="A82" s="3">
        <v>81</v>
      </c>
      <c r="B82" t="s" s="4">
        <v>522</v>
      </c>
      <c r="C82" t="s" s="5">
        <v>89</v>
      </c>
      <c r="D82" t="s" s="5">
        <v>90</v>
      </c>
      <c r="E82" t="s" s="5">
        <v>523</v>
      </c>
      <c r="F82" t="s" s="6">
        <v>524</v>
      </c>
      <c r="G82" t="s" s="7">
        <v>525</v>
      </c>
      <c r="H82" t="s" s="7">
        <v>526</v>
      </c>
      <c r="I82" t="str" s="8" cm="1">
        <f t="array" ref="I82">SUBSTITUTE(H82,B82,"(          )")</f>
        <v>Her (          ) hair shines in the sunlight.</v>
      </c>
      <c r="J82" s="9" cm="1">
        <f t="array" ref="J82">SUMIF('외운 것 - 엑셀다운로드 파일(붙여넣기)'!A3:A562,A82,'외운 것 - 엑셀다운로드 파일(붙여넣기)'!D3:D562)</f>
        <v>3</v>
      </c>
      <c r="K82" s="9" cm="1">
        <f t="array" ref="K82">_xlfn.COUNTIFS('외운 것 - 엑셀다운로드 파일(붙여넣기)'!A3:A562,A82,'외운 것 - 엑셀다운로드 파일(붙여넣기)'!D3:D562,0)</f>
        <v>1</v>
      </c>
      <c r="L82" t="str" s="8" cm="1">
        <f t="array" ref="L82">IF(J82&gt;=3,_xlfn.XLOOKUP(A82,'외운 것 - 엑셀다운로드 파일(붙여넣기)'!A3:A562,'외운 것 - 엑셀다운로드 파일(붙여넣기)'!C3:C562,0,-1),0)</f>
        <v>2026-03-16</v>
      </c>
    </row>
    <row r="83" ht="38.45" customHeight="1">
      <c r="A83" s="3">
        <v>82</v>
      </c>
      <c r="B83" t="s" s="4">
        <v>528</v>
      </c>
      <c r="C83" t="s" s="5">
        <v>529</v>
      </c>
      <c r="D83" t="s" s="5">
        <v>530</v>
      </c>
      <c r="E83" t="s" s="5">
        <v>531</v>
      </c>
      <c r="F83" t="s" s="6">
        <v>532</v>
      </c>
      <c r="G83" t="s" s="7">
        <v>533</v>
      </c>
      <c r="H83" t="s" s="7">
        <v>534</v>
      </c>
      <c r="I83" t="str" s="8" cm="1">
        <f t="array" ref="I83">SUBSTITUTE(H83,B83,"(          )")</f>
        <v>Be careful not to (          ) the glass vase.</v>
      </c>
      <c r="J83" s="9" cm="1">
        <f t="array" ref="J83">SUMIF('외운 것 - 엑셀다운로드 파일(붙여넣기)'!A3:A562,A83,'외운 것 - 엑셀다운로드 파일(붙여넣기)'!D3:D562)</f>
        <v>3</v>
      </c>
      <c r="K83" s="9" cm="1">
        <f t="array" ref="K83">_xlfn.COUNTIFS('외운 것 - 엑셀다운로드 파일(붙여넣기)'!A3:A562,A83,'외운 것 - 엑셀다운로드 파일(붙여넣기)'!D3:D562,0)</f>
        <v>0</v>
      </c>
      <c r="L83" t="str" s="8" cm="1">
        <f t="array" ref="L83">IF(J83&gt;=3,_xlfn.XLOOKUP(A83,'외운 것 - 엑셀다운로드 파일(붙여넣기)'!A3:A562,'외운 것 - 엑셀다운로드 파일(붙여넣기)'!C3:C562,0,-1),0)</f>
        <v>2026-03-14</v>
      </c>
    </row>
    <row r="84" ht="38.45" customHeight="1">
      <c r="A84" s="3">
        <v>83</v>
      </c>
      <c r="B84" t="s" s="4">
        <v>536</v>
      </c>
      <c r="C84" t="s" s="5">
        <v>537</v>
      </c>
      <c r="D84" t="s" s="5">
        <v>529</v>
      </c>
      <c r="E84" t="s" s="5">
        <v>538</v>
      </c>
      <c r="F84" t="s" s="6">
        <v>539</v>
      </c>
      <c r="G84" t="s" s="7">
        <v>540</v>
      </c>
      <c r="H84" t="s" s="7">
        <v>541</v>
      </c>
      <c r="I84" t="str" s="8" cm="1">
        <f t="array" ref="I84">SUBSTITUTE(H84,B84,"(          )")</f>
        <v>I usually eat (          ) at 7:30 every morning.</v>
      </c>
      <c r="J84" s="9" cm="1">
        <f t="array" ref="J84">SUMIF('외운 것 - 엑셀다운로드 파일(붙여넣기)'!A3:A562,A84,'외운 것 - 엑셀다운로드 파일(붙여넣기)'!D3:D562)</f>
        <v>3</v>
      </c>
      <c r="K84" s="9" cm="1">
        <f t="array" ref="K84">_xlfn.COUNTIFS('외운 것 - 엑셀다운로드 파일(붙여넣기)'!A3:A562,A84,'외운 것 - 엑셀다운로드 파일(붙여넣기)'!D3:D562,0)</f>
        <v>2</v>
      </c>
      <c r="L84" t="str" s="8" cm="1">
        <f t="array" ref="L84">IF(J84&gt;=3,_xlfn.XLOOKUP(A84,'외운 것 - 엑셀다운로드 파일(붙여넣기)'!A3:A562,'외운 것 - 엑셀다운로드 파일(붙여넣기)'!C3:C562,0,-1),0)</f>
        <v>2026-03-17</v>
      </c>
    </row>
    <row r="85" ht="38.45" customHeight="1">
      <c r="A85" s="3">
        <v>84</v>
      </c>
      <c r="B85" t="s" s="4">
        <v>543</v>
      </c>
      <c r="C85" t="s" s="5">
        <v>537</v>
      </c>
      <c r="D85" t="s" s="5">
        <v>529</v>
      </c>
      <c r="E85" t="s" s="5">
        <v>544</v>
      </c>
      <c r="F85" t="s" s="6">
        <v>545</v>
      </c>
      <c r="G85" t="s" s="7">
        <v>546</v>
      </c>
      <c r="H85" t="s" s="7">
        <v>547</v>
      </c>
      <c r="I85" t="str" s="8" cm="1">
        <f t="array" ref="I85">SUBSTITUTE(H85,B85,"(          )")</f>
        <v>The shipping company is responsible for any (          ) during transit.</v>
      </c>
      <c r="J85" s="9" cm="1">
        <f t="array" ref="J85">SUMIF('외운 것 - 엑셀다운로드 파일(붙여넣기)'!A3:A562,A85,'외운 것 - 엑셀다운로드 파일(붙여넣기)'!D3:D562)</f>
        <v>0</v>
      </c>
      <c r="K85" s="9" cm="1">
        <f t="array" ref="K85">_xlfn.COUNTIFS('외운 것 - 엑셀다운로드 파일(붙여넣기)'!A3:A562,A85,'외운 것 - 엑셀다운로드 파일(붙여넣기)'!D3:D562,0)</f>
        <v>5</v>
      </c>
      <c r="L85" s="9" cm="1">
        <f t="array" ref="L85">IF(J85&gt;=3,_xlfn.XLOOKUP(A85,'외운 것 - 엑셀다운로드 파일(붙여넣기)'!A3:A562,'외운 것 - 엑셀다운로드 파일(붙여넣기)'!C3:C562,0,-1),0)</f>
        <v>0</v>
      </c>
    </row>
    <row r="86" ht="38.45" customHeight="1">
      <c r="A86" s="3">
        <v>85</v>
      </c>
      <c r="B86" t="s" s="4">
        <v>549</v>
      </c>
      <c r="C86" t="s" s="5">
        <v>537</v>
      </c>
      <c r="D86" t="s" s="5">
        <v>529</v>
      </c>
      <c r="E86" t="s" s="5">
        <v>550</v>
      </c>
      <c r="F86" t="s" s="6">
        <v>551</v>
      </c>
      <c r="G86" t="s" s="7">
        <v>552</v>
      </c>
      <c r="H86" t="s" s="7">
        <v>553</v>
      </c>
      <c r="I86" t="str" s="8" cm="1">
        <f t="array" ref="I86">SUBSTITUTE(H86,B86,"(          )")</f>
        <v>Scientists announced a (          ) in cancer research.</v>
      </c>
      <c r="J86" s="9" cm="1">
        <f t="array" ref="J86">SUMIF('외운 것 - 엑셀다운로드 파일(붙여넣기)'!A3:A562,A86,'외운 것 - 엑셀다운로드 파일(붙여넣기)'!D3:D562)</f>
        <v>3</v>
      </c>
      <c r="K86" s="9" cm="1">
        <f t="array" ref="K86">_xlfn.COUNTIFS('외운 것 - 엑셀다운로드 파일(붙여넣기)'!A3:A562,A86,'외운 것 - 엑셀다운로드 파일(붙여넣기)'!D3:D562,0)</f>
        <v>0</v>
      </c>
      <c r="L86" t="str" s="8" cm="1">
        <f t="array" ref="L86">IF(J86&gt;=3,_xlfn.XLOOKUP(A86,'외운 것 - 엑셀다운로드 파일(붙여넣기)'!A3:A562,'외운 것 - 엑셀다운로드 파일(붙여넣기)'!C3:C562,0,-1),0)</f>
        <v>2026-03-14</v>
      </c>
    </row>
    <row r="87" ht="23.45" customHeight="1">
      <c r="A87" s="3">
        <v>86</v>
      </c>
      <c r="B87" t="s" s="4">
        <v>555</v>
      </c>
      <c r="C87" t="s" s="5">
        <v>537</v>
      </c>
      <c r="D87" t="s" s="5">
        <v>529</v>
      </c>
      <c r="E87" t="s" s="5">
        <v>556</v>
      </c>
      <c r="F87" t="s" s="6">
        <v>557</v>
      </c>
      <c r="G87" t="s" s="7">
        <v>558</v>
      </c>
      <c r="H87" t="s" s="7">
        <v>559</v>
      </c>
      <c r="I87" t="str" s="8" cm="1">
        <f t="array" ref="I87">SUBSTITUTE(H87,B87,"(          )")</f>
        <v>We hired a real estate (          ) to help sell our house.</v>
      </c>
      <c r="J87" s="9" cm="1">
        <f t="array" ref="J87">SUMIF('외운 것 - 엑셀다운로드 파일(붙여넣기)'!A3:A562,A87,'외운 것 - 엑셀다운로드 파일(붙여넣기)'!D3:D562)</f>
        <v>3</v>
      </c>
      <c r="K87" s="9" cm="1">
        <f t="array" ref="K87">_xlfn.COUNTIFS('외운 것 - 엑셀다운로드 파일(붙여넣기)'!A3:A562,A87,'외운 것 - 엑셀다운로드 파일(붙여넣기)'!D3:D562,0)</f>
        <v>1</v>
      </c>
      <c r="L87" t="str" s="8" cm="1">
        <f t="array" ref="L87">IF(J87&gt;=3,_xlfn.XLOOKUP(A87,'외운 것 - 엑셀다운로드 파일(붙여넣기)'!A3:A562,'외운 것 - 엑셀다운로드 파일(붙여넣기)'!C3:C562,0,-1),0)</f>
        <v>2026-03-16</v>
      </c>
    </row>
    <row r="88" ht="53.45" customHeight="1">
      <c r="A88" s="3">
        <v>87</v>
      </c>
      <c r="B88" t="s" s="4">
        <v>561</v>
      </c>
      <c r="C88" t="s" s="5">
        <v>562</v>
      </c>
      <c r="D88" t="s" s="5">
        <v>529</v>
      </c>
      <c r="E88" t="s" s="5">
        <v>563</v>
      </c>
      <c r="F88" t="s" s="6">
        <v>564</v>
      </c>
      <c r="G88" t="s" s="7">
        <v>565</v>
      </c>
      <c r="H88" t="s" s="7">
        <v>566</v>
      </c>
      <c r="I88" t="str" s="8" cm="1">
        <f t="array" ref="I88">SUBSTITUTE(H88,B88,"(          )")</f>
        <v>It's difficult to (          ) such a sensitive topic.</v>
      </c>
      <c r="J88" s="9" cm="1">
        <f t="array" ref="J88">SUMIF('외운 것 - 엑셀다운로드 파일(붙여넣기)'!A3:A562,A88,'외운 것 - 엑셀다운로드 파일(붙여넣기)'!D3:D562)</f>
        <v>3</v>
      </c>
      <c r="K88" s="9" cm="1">
        <f t="array" ref="K88">_xlfn.COUNTIFS('외운 것 - 엑셀다운로드 파일(붙여넣기)'!A3:A562,A88,'외운 것 - 엑셀다운로드 파일(붙여넣기)'!D3:D562,0)</f>
        <v>1</v>
      </c>
      <c r="L88" t="str" s="8" cm="1">
        <f t="array" ref="L88">IF(J88&gt;=3,_xlfn.XLOOKUP(A88,'외운 것 - 엑셀다운로드 파일(붙여넣기)'!A3:A562,'외운 것 - 엑셀다운로드 파일(붙여넣기)'!C3:C562,0,-1),0)</f>
        <v>2026-03-16</v>
      </c>
    </row>
    <row r="89" ht="38.45" customHeight="1">
      <c r="A89" s="3">
        <v>88</v>
      </c>
      <c r="B89" t="s" s="4">
        <v>568</v>
      </c>
      <c r="C89" t="s" s="5">
        <v>569</v>
      </c>
      <c r="D89" t="s" s="5">
        <v>529</v>
      </c>
      <c r="E89" t="s" s="5">
        <v>570</v>
      </c>
      <c r="F89" t="s" s="6">
        <v>571</v>
      </c>
      <c r="G89" t="s" s="7">
        <v>572</v>
      </c>
      <c r="H89" t="s" s="7">
        <v>573</v>
      </c>
      <c r="I89" t="str" s="8" cm="1">
        <f t="array" ref="I89">SUBSTITUTE(H89,B89,"(          )")</f>
        <v>Hackers caused a security (          ) in the system.</v>
      </c>
      <c r="J89" s="9" cm="1">
        <f t="array" ref="J89">SUMIF('외운 것 - 엑셀다운로드 파일(붙여넣기)'!A3:A562,A89,'외운 것 - 엑셀다운로드 파일(붙여넣기)'!D3:D562)</f>
        <v>3</v>
      </c>
      <c r="K89" s="9" cm="1">
        <f t="array" ref="K89">_xlfn.COUNTIFS('외운 것 - 엑셀다운로드 파일(붙여넣기)'!A3:A562,A89,'외운 것 - 엑셀다운로드 파일(붙여넣기)'!D3:D562,0)</f>
        <v>0</v>
      </c>
      <c r="L89" t="str" s="8" cm="1">
        <f t="array" ref="L89">IF(J89&gt;=3,_xlfn.XLOOKUP(A89,'외운 것 - 엑셀다운로드 파일(붙여넣기)'!A3:A562,'외운 것 - 엑셀다운로드 파일(붙여넣기)'!C3:C562,0,-1),0)</f>
        <v>2026-03-14</v>
      </c>
    </row>
    <row r="90" ht="23.45" customHeight="1">
      <c r="A90" s="3">
        <v>89</v>
      </c>
      <c r="B90" t="s" s="4">
        <v>575</v>
      </c>
      <c r="C90" t="s" s="5">
        <v>537</v>
      </c>
      <c r="D90" t="s" s="5">
        <v>529</v>
      </c>
      <c r="E90" t="s" s="5">
        <v>576</v>
      </c>
      <c r="F90" t="s" s="6">
        <v>577</v>
      </c>
      <c r="G90" t="s" s="7">
        <v>578</v>
      </c>
      <c r="H90" t="s" s="7">
        <v>579</v>
      </c>
      <c r="I90" t="str" s="8" cm="1">
        <f t="array" ref="I90">SUBSTITUTE(H90,B90,"(          )")</f>
        <v>They built a (          ) wall around their garden.</v>
      </c>
      <c r="J90" s="9" cm="1">
        <f t="array" ref="J90">SUMIF('외운 것 - 엑셀다운로드 파일(붙여넣기)'!A3:A562,A90,'외운 것 - 엑셀다운로드 파일(붙여넣기)'!D3:D562)</f>
        <v>3</v>
      </c>
      <c r="K90" s="9" cm="1">
        <f t="array" ref="K90">_xlfn.COUNTIFS('외운 것 - 엑셀다운로드 파일(붙여넣기)'!A3:A562,A90,'외운 것 - 엑셀다운로드 파일(붙여넣기)'!D3:D562,0)</f>
        <v>0</v>
      </c>
      <c r="L90" t="str" s="8" cm="1">
        <f t="array" ref="L90">IF(J90&gt;=3,_xlfn.XLOOKUP(A90,'외운 것 - 엑셀다운로드 파일(붙여넣기)'!A3:A562,'외운 것 - 엑셀다운로드 파일(붙여넣기)'!C3:C562,0,-1),0)</f>
        <v>2026-03-14</v>
      </c>
    </row>
    <row r="91" ht="38.45" customHeight="1">
      <c r="A91" s="3">
        <v>90</v>
      </c>
      <c r="B91" t="s" s="4">
        <v>581</v>
      </c>
      <c r="C91" t="s" s="5">
        <v>537</v>
      </c>
      <c r="D91" t="s" s="5">
        <v>529</v>
      </c>
      <c r="E91" t="s" s="5">
        <v>582</v>
      </c>
      <c r="F91" t="s" s="6">
        <v>583</v>
      </c>
      <c r="G91" t="s" s="7">
        <v>584</v>
      </c>
      <c r="H91" t="s" s="7">
        <v>585</v>
      </c>
      <c r="I91" t="str" s="8" cm="1">
        <f t="array" ref="I91">SUBSTITUTE(H91,B91,"(          )")</f>
        <v>We took a (          ) walk in the cool morning air.</v>
      </c>
      <c r="J91" s="9" cm="1">
        <f t="array" ref="J91">SUMIF('외운 것 - 엑셀다운로드 파일(붙여넣기)'!A3:A562,A91,'외운 것 - 엑셀다운로드 파일(붙여넣기)'!D3:D562)</f>
        <v>3</v>
      </c>
      <c r="K91" s="9" cm="1">
        <f t="array" ref="K91">_xlfn.COUNTIFS('외운 것 - 엑셀다운로드 파일(붙여넣기)'!A3:A562,A91,'외운 것 - 엑셀다운로드 파일(붙여넣기)'!D3:D562,0)</f>
        <v>0</v>
      </c>
      <c r="L91" t="str" s="8" cm="1">
        <f t="array" ref="L91">IF(J91&gt;=3,_xlfn.XLOOKUP(A91,'외운 것 - 엑셀다운로드 파일(붙여넣기)'!A3:A562,'외운 것 - 엑셀다운로드 파일(붙여넣기)'!C3:C562,0,-1),0)</f>
        <v>2026-03-14</v>
      </c>
    </row>
    <row r="92" ht="38.45" customHeight="1">
      <c r="A92" s="3">
        <v>91</v>
      </c>
      <c r="B92" t="s" s="4">
        <v>587</v>
      </c>
      <c r="C92" t="s" s="5">
        <v>537</v>
      </c>
      <c r="D92" t="s" s="5">
        <v>529</v>
      </c>
      <c r="E92" t="s" s="5">
        <v>588</v>
      </c>
      <c r="F92" t="s" s="6">
        <v>589</v>
      </c>
      <c r="G92" t="s" s="7">
        <v>590</v>
      </c>
      <c r="H92" t="s" s="7">
        <v>591</v>
      </c>
      <c r="I92" t="str" s="8" cm="1">
        <f t="array" ref="I92">SUBSTITUTE(H92,B92,"(          )")</f>
        <v>The old paper was yellow and (          ) with age.</v>
      </c>
      <c r="J92" s="9" cm="1">
        <f t="array" ref="J92">SUMIF('외운 것 - 엑셀다운로드 파일(붙여넣기)'!A3:A562,A92,'외운 것 - 엑셀다운로드 파일(붙여넣기)'!D3:D562)</f>
        <v>3</v>
      </c>
      <c r="K92" s="9" cm="1">
        <f t="array" ref="K92">_xlfn.COUNTIFS('외운 것 - 엑셀다운로드 파일(붙여넣기)'!A3:A562,A92,'외운 것 - 엑셀다운로드 파일(붙여넣기)'!D3:D562,0)</f>
        <v>0</v>
      </c>
      <c r="L92" t="str" s="8" cm="1">
        <f t="array" ref="L92">IF(J92&gt;=3,_xlfn.XLOOKUP(A92,'외운 것 - 엑셀다운로드 파일(붙여넣기)'!A3:A562,'외운 것 - 엑셀다운로드 파일(붙여넣기)'!C3:C562,0,-1),0)</f>
        <v>2026-03-14</v>
      </c>
    </row>
    <row r="93" ht="38.45" customHeight="1">
      <c r="A93" s="3">
        <v>92</v>
      </c>
      <c r="B93" t="s" s="4">
        <v>593</v>
      </c>
      <c r="C93" t="s" s="5">
        <v>537</v>
      </c>
      <c r="D93" t="s" s="5">
        <v>529</v>
      </c>
      <c r="E93" t="s" s="5">
        <v>594</v>
      </c>
      <c r="F93" t="s" s="6">
        <v>595</v>
      </c>
      <c r="G93" t="s" s="7">
        <v>596</v>
      </c>
      <c r="H93" t="s" s="7">
        <v>597</v>
      </c>
      <c r="I93" t="str" s="8" cm="1">
        <f t="array" ref="I93">SUBSTITUTE(H93,B93,"(          )")</f>
        <v>We need more (          ) for the barbecue.</v>
      </c>
      <c r="J93" s="9" cm="1">
        <f t="array" ref="J93">SUMIF('외운 것 - 엑셀다운로드 파일(붙여넣기)'!A3:A562,A93,'외운 것 - 엑셀다운로드 파일(붙여넣기)'!D3:D562)</f>
        <v>3</v>
      </c>
      <c r="K93" s="9" cm="1">
        <f t="array" ref="K93">_xlfn.COUNTIFS('외운 것 - 엑셀다운로드 파일(붙여넣기)'!A3:A562,A93,'외운 것 - 엑셀다운로드 파일(붙여넣기)'!D3:D562,0)</f>
        <v>0</v>
      </c>
      <c r="L93" t="str" s="8" cm="1">
        <f t="array" ref="L93">IF(J93&gt;=3,_xlfn.XLOOKUP(A93,'외운 것 - 엑셀다운로드 파일(붙여넣기)'!A3:A562,'외운 것 - 엑셀다운로드 파일(붙여넣기)'!C3:C562,0,-1),0)</f>
        <v>2026-03-14</v>
      </c>
    </row>
    <row r="94" ht="23.45" customHeight="1">
      <c r="A94" s="3">
        <v>93</v>
      </c>
      <c r="B94" t="s" s="4">
        <v>599</v>
      </c>
      <c r="C94" t="s" s="5">
        <v>529</v>
      </c>
      <c r="D94" t="s" s="5">
        <v>530</v>
      </c>
      <c r="E94" t="s" s="5">
        <v>600</v>
      </c>
      <c r="F94" t="s" s="6">
        <v>601</v>
      </c>
      <c r="G94" t="s" s="7">
        <v>602</v>
      </c>
      <c r="H94" t="s" s="7">
        <v>603</v>
      </c>
      <c r="I94" t="str" s="8" cm="1">
        <f t="array" ref="I94">SUBSTITUTE(H94,B94,"(          )")</f>
        <v>The report covers a (          ) range of topics.</v>
      </c>
      <c r="J94" s="9" cm="1">
        <f t="array" ref="J94">SUMIF('외운 것 - 엑셀다운로드 파일(붙여넣기)'!A3:A562,A94,'외운 것 - 엑셀다운로드 파일(붙여넣기)'!D3:D562)</f>
        <v>3</v>
      </c>
      <c r="K94" s="9" cm="1">
        <f t="array" ref="K94">_xlfn.COUNTIFS('외운 것 - 엑셀다운로드 파일(붙여넣기)'!A3:A562,A94,'외운 것 - 엑셀다운로드 파일(붙여넣기)'!D3:D562,0)</f>
        <v>2</v>
      </c>
      <c r="L94" t="str" s="8" cm="1">
        <f t="array" ref="L94">IF(J94&gt;=3,_xlfn.XLOOKUP(A94,'외운 것 - 엑셀다운로드 파일(붙여넣기)'!A3:A562,'외운 것 - 엑셀다운로드 파일(붙여넣기)'!C3:C562,0,-1),0)</f>
        <v>2026-03-17</v>
      </c>
    </row>
    <row r="95" ht="23.45" customHeight="1">
      <c r="A95" s="3">
        <v>94</v>
      </c>
      <c r="B95" t="s" s="4">
        <v>605</v>
      </c>
      <c r="C95" t="s" s="5">
        <v>606</v>
      </c>
      <c r="D95" t="s" s="5">
        <v>529</v>
      </c>
      <c r="E95" t="s" s="5">
        <v>607</v>
      </c>
      <c r="F95" t="s" s="6">
        <v>608</v>
      </c>
      <c r="G95" t="s" s="7">
        <v>609</v>
      </c>
      <c r="H95" t="s" s="7">
        <v>610</v>
      </c>
      <c r="I95" t="str" s="8" cm="1">
        <f t="array" ref="I95">SUBSTITUTE(H95,B95,"(          )")</f>
        <v>The executive (          ) meets every Tuesday morning.</v>
      </c>
      <c r="J95" s="9" cm="1">
        <f t="array" ref="J95">SUMIF('외운 것 - 엑셀다운로드 파일(붙여넣기)'!A3:A562,A95,'외운 것 - 엑셀다운로드 파일(붙여넣기)'!D3:D562)</f>
        <v>3</v>
      </c>
      <c r="K95" s="9" cm="1">
        <f t="array" ref="K95">_xlfn.COUNTIFS('외운 것 - 엑셀다운로드 파일(붙여넣기)'!A3:A562,A95,'외운 것 - 엑셀다운로드 파일(붙여넣기)'!D3:D562,0)</f>
        <v>0</v>
      </c>
      <c r="L95" t="str" s="8" cm="1">
        <f t="array" ref="L95">IF(J95&gt;=3,_xlfn.XLOOKUP(A95,'외운 것 - 엑셀다운로드 파일(붙여넣기)'!A3:A562,'외운 것 - 엑셀다운로드 파일(붙여넣기)'!C3:C562,0,-1),0)</f>
        <v>2026-03-14</v>
      </c>
    </row>
    <row r="96" ht="38.45" customHeight="1">
      <c r="A96" s="3">
        <v>95</v>
      </c>
      <c r="B96" t="s" s="4">
        <v>612</v>
      </c>
      <c r="C96" t="s" s="5">
        <v>613</v>
      </c>
      <c r="D96" t="s" s="5">
        <v>529</v>
      </c>
      <c r="E96" t="s" s="5">
        <v>614</v>
      </c>
      <c r="F96" t="s" s="6">
        <v>615</v>
      </c>
      <c r="G96" t="s" s="7">
        <v>616</v>
      </c>
      <c r="H96" t="s" s="7">
        <v>617</v>
      </c>
      <c r="I96" t="str" s="8" cm="1">
        <f t="array" ref="I96">SUBSTITUTE(H96,B96,"(          )")</f>
        <v>All passengers must be (          ) the ship by 5:00 PM.</v>
      </c>
      <c r="J96" s="9" cm="1">
        <f t="array" ref="J96">SUMIF('외운 것 - 엑셀다운로드 파일(붙여넣기)'!A3:A562,A96,'외운 것 - 엑셀다운로드 파일(붙여넣기)'!D3:D562)</f>
        <v>3</v>
      </c>
      <c r="K96" s="9" cm="1">
        <f t="array" ref="K96">_xlfn.COUNTIFS('외운 것 - 엑셀다운로드 파일(붙여넣기)'!A3:A562,A96,'외운 것 - 엑셀다운로드 파일(붙여넣기)'!D3:D562,0)</f>
        <v>0</v>
      </c>
      <c r="L96" t="str" s="8" cm="1">
        <f t="array" ref="L96">IF(J96&gt;=3,_xlfn.XLOOKUP(A96,'외운 것 - 엑셀다운로드 파일(붙여넣기)'!A3:A562,'외운 것 - 엑셀다운로드 파일(붙여넣기)'!C3:C562,0,-1),0)</f>
        <v>2026-03-14</v>
      </c>
    </row>
    <row r="97" ht="23.45" customHeight="1">
      <c r="A97" s="3">
        <v>96</v>
      </c>
      <c r="B97" t="s" s="4">
        <v>619</v>
      </c>
      <c r="C97" t="s" s="5">
        <v>606</v>
      </c>
      <c r="D97" t="s" s="5">
        <v>529</v>
      </c>
      <c r="E97" t="s" s="5">
        <v>620</v>
      </c>
      <c r="F97" t="s" s="6">
        <v>621</v>
      </c>
      <c r="G97" t="s" s="7">
        <v>622</v>
      </c>
      <c r="H97" t="s" s="7">
        <v>623</v>
      </c>
      <c r="I97" t="str" s="8" cm="1">
        <f t="array" ref="I97">SUBSTITUTE(H97,B97,"(          )")</f>
        <v>The (          ) of his knowledge on history is impressive.</v>
      </c>
      <c r="J97" s="9" cm="1">
        <f t="array" ref="J97">SUMIF('외운 것 - 엑셀다운로드 파일(붙여넣기)'!A3:A562,A97,'외운 것 - 엑셀다운로드 파일(붙여넣기)'!D3:D562)</f>
        <v>3</v>
      </c>
      <c r="K97" s="9" cm="1">
        <f t="array" ref="K97">_xlfn.COUNTIFS('외운 것 - 엑셀다운로드 파일(붙여넣기)'!A3:A562,A97,'외운 것 - 엑셀다운로드 파일(붙여넣기)'!D3:D562,0)</f>
        <v>2</v>
      </c>
      <c r="L97" t="str" s="8" cm="1">
        <f t="array" ref="L97">IF(J97&gt;=3,_xlfn.XLOOKUP(A97,'외운 것 - 엑셀다운로드 파일(붙여넣기)'!A3:A562,'외운 것 - 엑셀다운로드 파일(붙여넣기)'!C3:C562,0,-1),0)</f>
        <v>2026-03-17</v>
      </c>
    </row>
    <row r="98" ht="23.45" customHeight="1">
      <c r="A98" s="3">
        <v>97</v>
      </c>
      <c r="B98" t="s" s="4">
        <v>625</v>
      </c>
      <c r="C98" t="s" s="5">
        <v>529</v>
      </c>
      <c r="D98" t="s" s="5">
        <v>530</v>
      </c>
      <c r="E98" t="s" s="5">
        <v>626</v>
      </c>
      <c r="F98" t="s" s="6">
        <v>627</v>
      </c>
      <c r="G98" t="s" s="7">
        <v>628</v>
      </c>
      <c r="H98" t="s" s="7">
        <v>629</v>
      </c>
      <c r="I98" t="str" s="8" cm="1">
        <f t="array" ref="I98">SUBSTITUTE(H98,B98,"(          )")</f>
        <v>Hold your (          ) when you swim underwater.</v>
      </c>
      <c r="J98" s="9" cm="1">
        <f t="array" ref="J98">SUMIF('외운 것 - 엑셀다운로드 파일(붙여넣기)'!A3:A562,A98,'외운 것 - 엑셀다운로드 파일(붙여넣기)'!D3:D562)</f>
        <v>3</v>
      </c>
      <c r="K98" s="9" cm="1">
        <f t="array" ref="K98">_xlfn.COUNTIFS('외운 것 - 엑셀다운로드 파일(붙여넣기)'!A3:A562,A98,'외운 것 - 엑셀다운로드 파일(붙여넣기)'!D3:D562,0)</f>
        <v>0</v>
      </c>
      <c r="L98" t="str" s="8" cm="1">
        <f t="array" ref="L98">IF(J98&gt;=3,_xlfn.XLOOKUP(A98,'외운 것 - 엑셀다운로드 파일(붙여넣기)'!A3:A562,'외운 것 - 엑셀다운로드 파일(붙여넣기)'!C3:C562,0,-1),0)</f>
        <v>2026-03-14</v>
      </c>
    </row>
    <row r="99" ht="38.45" customHeight="1">
      <c r="A99" s="3">
        <v>98</v>
      </c>
      <c r="B99" t="s" s="4">
        <v>631</v>
      </c>
      <c r="C99" t="s" s="5">
        <v>193</v>
      </c>
      <c r="D99" t="s" s="5">
        <v>510</v>
      </c>
      <c r="E99" t="s" s="5">
        <v>632</v>
      </c>
      <c r="F99" t="s" s="6">
        <v>633</v>
      </c>
      <c r="G99" t="s" s="7">
        <v>634</v>
      </c>
      <c r="H99" t="s" s="7">
        <v>635</v>
      </c>
      <c r="I99" t="str" s="8" cm="1">
        <f t="array" ref="I99">SUBSTITUTE(H99,B99,"(          )")</f>
        <v>You need to (          ) the water before drinking it.</v>
      </c>
      <c r="J99" s="9" cm="1">
        <f t="array" ref="J99">SUMIF('외운 것 - 엑셀다운로드 파일(붙여넣기)'!A3:A562,A99,'외운 것 - 엑셀다운로드 파일(붙여넣기)'!D3:D562)</f>
        <v>3</v>
      </c>
      <c r="K99" s="9" cm="1">
        <f t="array" ref="K99">_xlfn.COUNTIFS('외운 것 - 엑셀다운로드 파일(붙여넣기)'!A3:A562,A99,'외운 것 - 엑셀다운로드 파일(붙여넣기)'!D3:D562,0)</f>
        <v>0</v>
      </c>
      <c r="L99" t="str" s="8" cm="1">
        <f t="array" ref="L99">IF(J99&gt;=3,_xlfn.XLOOKUP(A99,'외운 것 - 엑셀다운로드 파일(붙여넣기)'!A3:A562,'외운 것 - 엑셀다운로드 파일(붙여넣기)'!C3:C562,0,-1),0)</f>
        <v>2026-03-14</v>
      </c>
    </row>
    <row r="100" ht="23.45" customHeight="1">
      <c r="A100" s="3">
        <v>99</v>
      </c>
      <c r="B100" t="s" s="4">
        <v>637</v>
      </c>
      <c r="C100" t="s" s="5">
        <v>529</v>
      </c>
      <c r="D100" t="s" s="5">
        <v>530</v>
      </c>
      <c r="E100" t="s" s="5">
        <v>638</v>
      </c>
      <c r="F100" t="s" s="6">
        <v>639</v>
      </c>
      <c r="G100" t="s" s="7">
        <v>640</v>
      </c>
      <c r="H100" t="s" s="7">
        <v>641</v>
      </c>
      <c r="I100" t="str" s="8" cm="1">
        <f t="array" ref="I100">SUBSTITUTE(H100,B100,"(          )")</f>
        <v>Set the oven to (          ) when cooking the fish.</v>
      </c>
      <c r="J100" s="9" cm="1">
        <f t="array" ref="J100">SUMIF('외운 것 - 엑셀다운로드 파일(붙여넣기)'!A3:A562,A100,'외운 것 - 엑셀다운로드 파일(붙여넣기)'!D3:D562)</f>
        <v>3</v>
      </c>
      <c r="K100" s="9" cm="1">
        <f t="array" ref="K100">_xlfn.COUNTIFS('외운 것 - 엑셀다운로드 파일(붙여넣기)'!A3:A562,A100,'외운 것 - 엑셀다운로드 파일(붙여넣기)'!D3:D562,0)</f>
        <v>0</v>
      </c>
      <c r="L100" t="str" s="8" cm="1">
        <f t="array" ref="L100">IF(J100&gt;=3,_xlfn.XLOOKUP(A100,'외운 것 - 엑셀다운로드 파일(붙여넣기)'!A3:A562,'외운 것 - 엑셀다운로드 파일(붙여넣기)'!C3:C562,0,-1),0)</f>
        <v>2026-03-14</v>
      </c>
    </row>
    <row r="101" ht="38.45" customHeight="1">
      <c r="A101" s="3">
        <v>100</v>
      </c>
      <c r="B101" t="s" s="4">
        <v>643</v>
      </c>
      <c r="C101" t="s" s="5">
        <v>529</v>
      </c>
      <c r="D101" t="s" s="5">
        <v>530</v>
      </c>
      <c r="E101" t="s" s="5">
        <v>644</v>
      </c>
      <c r="F101" t="s" s="6">
        <v>645</v>
      </c>
      <c r="G101" t="s" s="7">
        <v>646</v>
      </c>
      <c r="H101" t="s" s="7">
        <v>647</v>
      </c>
      <c r="I101" t="str" s="8" cm="1">
        <f t="array" ref="I101">SUBSTITUTE(H101,B101,"(          )")</f>
        <v>The meeting was (          ), lasting only fifteen minutes.</v>
      </c>
      <c r="J101" s="9" cm="1">
        <f t="array" ref="J101">SUMIF('외운 것 - 엑셀다운로드 파일(붙여넣기)'!A3:A562,A101,'외운 것 - 엑셀다운로드 파일(붙여넣기)'!D3:D562)</f>
        <v>3</v>
      </c>
      <c r="K101" s="9" cm="1">
        <f t="array" ref="K101">_xlfn.COUNTIFS('외운 것 - 엑셀다운로드 파일(붙여넣기)'!A3:A562,A101,'외운 것 - 엑셀다운로드 파일(붙여넣기)'!D3:D562,0)</f>
        <v>0</v>
      </c>
      <c r="L101" t="str" s="8" cm="1">
        <f t="array" ref="L101">IF(J101&gt;=3,_xlfn.XLOOKUP(A101,'외운 것 - 엑셀다운로드 파일(붙여넣기)'!A3:A562,'외운 것 - 엑셀다운로드 파일(붙여넣기)'!C3:C562,0,-1),0)</f>
        <v>2026-03-14</v>
      </c>
    </row>
    <row r="102" ht="38.45" customHeight="1">
      <c r="A102" s="3">
        <v>101</v>
      </c>
      <c r="B102" t="s" s="4">
        <v>649</v>
      </c>
      <c r="C102" t="s" s="5">
        <v>650</v>
      </c>
      <c r="D102" t="s" s="5">
        <v>529</v>
      </c>
      <c r="E102" t="s" s="5">
        <v>651</v>
      </c>
      <c r="F102" t="s" s="6">
        <v>652</v>
      </c>
      <c r="G102" t="s" s="7">
        <v>653</v>
      </c>
      <c r="H102" t="s" s="7">
        <v>654</v>
      </c>
      <c r="I102" t="str" s="8" cm="1">
        <f t="array" ref="I102">SUBSTITUTE(H102,B102,"(          )")</f>
        <v>Please (          ) the month names in your report.</v>
      </c>
      <c r="J102" s="9" cm="1">
        <f t="array" ref="J102">SUMIF('외운 것 - 엑셀다운로드 파일(붙여넣기)'!A3:A562,A102,'외운 것 - 엑셀다운로드 파일(붙여넣기)'!D3:D562)</f>
        <v>1</v>
      </c>
      <c r="K102" s="9" cm="1">
        <f t="array" ref="K102">_xlfn.COUNTIFS('외운 것 - 엑셀다운로드 파일(붙여넣기)'!A3:A562,A102,'외운 것 - 엑셀다운로드 파일(붙여넣기)'!D3:D562,0)</f>
        <v>1</v>
      </c>
      <c r="L102" s="9" cm="1">
        <f t="array" ref="L102">IF(J102&gt;=3,_xlfn.XLOOKUP(A102,'외운 것 - 엑셀다운로드 파일(붙여넣기)'!A3:A562,'외운 것 - 엑셀다운로드 파일(붙여넣기)'!C3:C562,0,-1),0)</f>
        <v>0</v>
      </c>
    </row>
    <row r="103" ht="38.45" customHeight="1">
      <c r="A103" s="3">
        <v>102</v>
      </c>
      <c r="B103" t="s" s="4">
        <v>656</v>
      </c>
      <c r="C103" t="s" s="5">
        <v>657</v>
      </c>
      <c r="D103" t="s" s="5">
        <v>658</v>
      </c>
      <c r="E103" t="s" s="5">
        <v>659</v>
      </c>
      <c r="F103" t="s" s="6">
        <v>660</v>
      </c>
      <c r="G103" t="s" s="7">
        <v>661</v>
      </c>
      <c r="H103" t="s" s="7">
        <v>662</v>
      </c>
      <c r="I103" t="str" s="8" cm="1">
        <f t="array" ref="I103">SUBSTITUTE(H103,B103,"(          )")</f>
        <v>My sister is studying (          ) for a semester.</v>
      </c>
      <c r="J103" s="9" cm="1">
        <f t="array" ref="J103">SUMIF('외운 것 - 엑셀다운로드 파일(붙여넣기)'!A3:A562,A103,'외운 것 - 엑셀다운로드 파일(붙여넣기)'!D3:D562)</f>
        <v>2</v>
      </c>
      <c r="K103" s="9" cm="1">
        <f t="array" ref="K103">_xlfn.COUNTIFS('외운 것 - 엑셀다운로드 파일(붙여넣기)'!A3:A562,A103,'외운 것 - 엑셀다운로드 파일(붙여넣기)'!D3:D562,0)</f>
        <v>0</v>
      </c>
      <c r="L103" s="9" cm="1">
        <f t="array" ref="L103">IF(J103&gt;=3,_xlfn.XLOOKUP(A103,'외운 것 - 엑셀다운로드 파일(붙여넣기)'!A3:A562,'외운 것 - 엑셀다운로드 파일(붙여넣기)'!C3:C562,0,-1),0)</f>
        <v>0</v>
      </c>
    </row>
    <row r="104" ht="38.45" customHeight="1">
      <c r="A104" s="3">
        <v>103</v>
      </c>
      <c r="B104" t="s" s="4">
        <v>664</v>
      </c>
      <c r="C104" t="s" s="5">
        <v>657</v>
      </c>
      <c r="D104" t="s" s="5">
        <v>658</v>
      </c>
      <c r="E104" t="s" s="5">
        <v>665</v>
      </c>
      <c r="F104" t="s" s="6">
        <v>666</v>
      </c>
      <c r="G104" t="s" s="7">
        <v>667</v>
      </c>
      <c r="H104" t="s" s="7">
        <v>668</v>
      </c>
      <c r="I104" t="str" s="8" cm="1">
        <f t="array" ref="I104">SUBSTITUTE(H104,B104,"(          )")</f>
        <v>She is (          ) to speak three languages fluently.</v>
      </c>
      <c r="J104" s="9" cm="1">
        <f t="array" ref="J104">SUMIF('외운 것 - 엑셀다운로드 파일(붙여넣기)'!A3:A562,A104,'외운 것 - 엑셀다운로드 파일(붙여넣기)'!D3:D562)</f>
        <v>2</v>
      </c>
      <c r="K104" s="9" cm="1">
        <f t="array" ref="K104">_xlfn.COUNTIFS('외운 것 - 엑셀다운로드 파일(붙여넣기)'!A3:A562,A104,'외운 것 - 엑셀다운로드 파일(붙여넣기)'!D3:D562,0)</f>
        <v>0</v>
      </c>
      <c r="L104" s="9" cm="1">
        <f t="array" ref="L104">IF(J104&gt;=3,_xlfn.XLOOKUP(A104,'외운 것 - 엑셀다운로드 파일(붙여넣기)'!A3:A562,'외운 것 - 엑셀다운로드 파일(붙여넣기)'!C3:C562,0,-1),0)</f>
        <v>0</v>
      </c>
    </row>
    <row r="105" ht="38.45" customHeight="1">
      <c r="A105" s="3">
        <v>104</v>
      </c>
      <c r="B105" t="s" s="4">
        <v>670</v>
      </c>
      <c r="C105" t="s" s="5">
        <v>671</v>
      </c>
      <c r="D105" t="s" s="5">
        <v>657</v>
      </c>
      <c r="E105" t="s" s="5">
        <v>672</v>
      </c>
      <c r="F105" t="s" s="6">
        <v>673</v>
      </c>
      <c r="G105" t="s" s="7">
        <v>674</v>
      </c>
      <c r="H105" t="s" s="7">
        <v>675</v>
      </c>
      <c r="I105" t="str" s="8" cm="1">
        <f t="array" ref="I105">SUBSTITUTE(H105,B105,"(          )")</f>
        <v>His (          ) to solve complex problems quickly is remarkable.</v>
      </c>
      <c r="J105" s="9" cm="1">
        <f t="array" ref="J105">SUMIF('외운 것 - 엑셀다운로드 파일(붙여넣기)'!A3:A562,A105,'외운 것 - 엑셀다운로드 파일(붙여넣기)'!D3:D562)</f>
        <v>1</v>
      </c>
      <c r="K105" s="9" cm="1">
        <f t="array" ref="K105">_xlfn.COUNTIFS('외운 것 - 엑셀다운로드 파일(붙여넣기)'!A3:A562,A105,'외운 것 - 엑셀다운로드 파일(붙여넣기)'!D3:D562,0)</f>
        <v>1</v>
      </c>
      <c r="L105" s="9" cm="1">
        <f t="array" ref="L105">IF(J105&gt;=3,_xlfn.XLOOKUP(A105,'외운 것 - 엑셀다운로드 파일(붙여넣기)'!A3:A562,'외운 것 - 엑셀다운로드 파일(붙여넣기)'!C3:C562,0,-1),0)</f>
        <v>0</v>
      </c>
    </row>
    <row r="106" ht="38.45" customHeight="1">
      <c r="A106" s="3">
        <v>105</v>
      </c>
      <c r="B106" t="s" s="4">
        <v>677</v>
      </c>
      <c r="C106" t="s" s="5">
        <v>671</v>
      </c>
      <c r="D106" t="s" s="5">
        <v>657</v>
      </c>
      <c r="E106" t="s" s="5">
        <v>678</v>
      </c>
      <c r="F106" t="s" s="6">
        <v>679</v>
      </c>
      <c r="G106" t="s" s="7">
        <v>680</v>
      </c>
      <c r="H106" t="s" s="7">
        <v>681</v>
      </c>
      <c r="I106" t="str" s="8" cm="1">
        <f t="array" ref="I106">SUBSTITUTE(H106,B106,"(          )")</f>
        <v>This software will (          ) you to edit photos easily.</v>
      </c>
      <c r="J106" s="9" cm="1">
        <f t="array" ref="J106">SUMIF('외운 것 - 엑셀다운로드 파일(붙여넣기)'!A3:A562,A106,'외운 것 - 엑셀다운로드 파일(붙여넣기)'!D3:D562)</f>
        <v>2</v>
      </c>
      <c r="K106" s="9" cm="1">
        <f t="array" ref="K106">_xlfn.COUNTIFS('외운 것 - 엑셀다운로드 파일(붙여넣기)'!A3:A562,A106,'외운 것 - 엑셀다운로드 파일(붙여넣기)'!D3:D562,0)</f>
        <v>0</v>
      </c>
      <c r="L106" s="9" cm="1">
        <f t="array" ref="L106">IF(J106&gt;=3,_xlfn.XLOOKUP(A106,'외운 것 - 엑셀다운로드 파일(붙여넣기)'!A3:A562,'외운 것 - 엑셀다운로드 파일(붙여넣기)'!C3:C562,0,-1),0)</f>
        <v>0</v>
      </c>
    </row>
    <row r="107" ht="38.45" customHeight="1">
      <c r="A107" s="3">
        <v>106</v>
      </c>
      <c r="B107" t="s" s="4">
        <v>683</v>
      </c>
      <c r="C107" t="s" s="5">
        <v>657</v>
      </c>
      <c r="D107" t="s" s="5">
        <v>658</v>
      </c>
      <c r="E107" t="s" s="5">
        <v>684</v>
      </c>
      <c r="F107" t="s" s="6">
        <v>685</v>
      </c>
      <c r="G107" t="s" s="7">
        <v>686</v>
      </c>
      <c r="H107" t="s" s="7">
        <v>687</v>
      </c>
      <c r="I107" t="str" s="8" cm="1">
        <f t="array" ref="I107">SUBSTITUTE(H107,B107,"(          )")</f>
        <v>Some countries have decided to (          ) the death penalty.</v>
      </c>
      <c r="J107" s="9" cm="1">
        <f t="array" ref="J107">SUMIF('외운 것 - 엑셀다운로드 파일(붙여넣기)'!A3:A562,A107,'외운 것 - 엑셀다운로드 파일(붙여넣기)'!D3:D562)</f>
        <v>0</v>
      </c>
      <c r="K107" s="9" cm="1">
        <f t="array" ref="K107">_xlfn.COUNTIFS('외운 것 - 엑셀다운로드 파일(붙여넣기)'!A3:A562,A107,'외운 것 - 엑셀다운로드 파일(붙여넣기)'!D3:D562,0)</f>
        <v>2</v>
      </c>
      <c r="L107" s="9" cm="1">
        <f t="array" ref="L107">IF(J107&gt;=3,_xlfn.XLOOKUP(A107,'외운 것 - 엑셀다운로드 파일(붙여넣기)'!A3:A562,'외운 것 - 엑셀다운로드 파일(붙여넣기)'!C3:C562,0,-1),0)</f>
        <v>0</v>
      </c>
    </row>
    <row r="108" ht="38.45" customHeight="1">
      <c r="A108" s="3">
        <v>107</v>
      </c>
      <c r="B108" t="s" s="4">
        <v>689</v>
      </c>
      <c r="C108" t="s" s="5">
        <v>657</v>
      </c>
      <c r="D108" t="s" s="5">
        <v>658</v>
      </c>
      <c r="E108" t="s" s="5">
        <v>690</v>
      </c>
      <c r="F108" t="s" s="6">
        <v>691</v>
      </c>
      <c r="G108" t="s" s="7">
        <v>692</v>
      </c>
      <c r="H108" t="s" s="7">
        <v>693</v>
      </c>
      <c r="I108" t="str" s="8" cm="1">
        <f t="array" ref="I108">SUBSTITUTE(H108,B108,"(          )")</f>
        <v>The doctor noticed (          ) cells in the test results.</v>
      </c>
      <c r="J108" s="9" cm="1">
        <f t="array" ref="J108">SUMIF('외운 것 - 엑셀다운로드 파일(붙여넣기)'!A3:A562,A108,'외운 것 - 엑셀다운로드 파일(붙여넣기)'!D3:D562)</f>
        <v>2</v>
      </c>
      <c r="K108" s="9" cm="1">
        <f t="array" ref="K108">_xlfn.COUNTIFS('외운 것 - 엑셀다운로드 파일(붙여넣기)'!A3:A562,A108,'외운 것 - 엑셀다운로드 파일(붙여넣기)'!D3:D562,0)</f>
        <v>0</v>
      </c>
      <c r="L108" s="9" cm="1">
        <f t="array" ref="L108">IF(J108&gt;=3,_xlfn.XLOOKUP(A108,'외운 것 - 엑셀다운로드 파일(붙여넣기)'!A3:A562,'외운 것 - 엑셀다운로드 파일(붙여넣기)'!C3:C562,0,-1),0)</f>
        <v>0</v>
      </c>
    </row>
    <row r="109" ht="38.45" customHeight="1">
      <c r="A109" s="3">
        <v>108</v>
      </c>
      <c r="B109" t="s" s="4">
        <v>695</v>
      </c>
      <c r="C109" t="s" s="5">
        <v>657</v>
      </c>
      <c r="D109" t="s" s="5">
        <v>658</v>
      </c>
      <c r="E109" t="s" s="5">
        <v>696</v>
      </c>
      <c r="F109" t="s" s="6">
        <v>697</v>
      </c>
      <c r="G109" t="s" s="7">
        <v>698</v>
      </c>
      <c r="H109" t="s" s="7">
        <v>699</v>
      </c>
      <c r="I109" t="str" s="8" cm="1">
        <f t="array" ref="I109">SUBSTITUTE(H109,B109,"(          )")</f>
        <v>We had to (          ) the mission due to bad weather.</v>
      </c>
      <c r="J109" s="9" cm="1">
        <f t="array" ref="J109">SUMIF('외운 것 - 엑셀다운로드 파일(붙여넣기)'!A3:A562,A109,'외운 것 - 엑셀다운로드 파일(붙여넣기)'!D3:D562)</f>
        <v>2</v>
      </c>
      <c r="K109" s="9" cm="1">
        <f t="array" ref="K109">_xlfn.COUNTIFS('외운 것 - 엑셀다운로드 파일(붙여넣기)'!A3:A562,A109,'외운 것 - 엑셀다운로드 파일(붙여넣기)'!D3:D562,0)</f>
        <v>0</v>
      </c>
      <c r="L109" s="9" cm="1">
        <f t="array" ref="L109">IF(J109&gt;=3,_xlfn.XLOOKUP(A109,'외운 것 - 엑셀다운로드 파일(붙여넣기)'!A3:A562,'외운 것 - 엑셀다운로드 파일(붙여넣기)'!C3:C562,0,-1),0)</f>
        <v>0</v>
      </c>
    </row>
    <row r="110" ht="23.45" customHeight="1">
      <c r="A110" s="3">
        <v>109</v>
      </c>
      <c r="B110" t="s" s="4">
        <v>701</v>
      </c>
      <c r="C110" t="s" s="5">
        <v>657</v>
      </c>
      <c r="D110" t="s" s="5">
        <v>658</v>
      </c>
      <c r="E110" t="s" s="5">
        <v>702</v>
      </c>
      <c r="F110" t="s" s="6">
        <v>703</v>
      </c>
      <c r="G110" t="s" s="7">
        <v>704</v>
      </c>
      <c r="H110" t="s" s="7">
        <v>705</v>
      </c>
      <c r="I110" t="str" s="8" cm="1">
        <f t="array" ref="I110">SUBSTITUTE(H110,B110,"(          )")</f>
        <v>Drug (          ) can lead to serious health problems.</v>
      </c>
      <c r="J110" s="9" cm="1">
        <f t="array" ref="J110">SUMIF('외운 것 - 엑셀다운로드 파일(붙여넣기)'!A3:A562,A110,'외운 것 - 엑셀다운로드 파일(붙여넣기)'!D3:D562)</f>
        <v>1</v>
      </c>
      <c r="K110" s="9" cm="1">
        <f t="array" ref="K110">_xlfn.COUNTIFS('외운 것 - 엑셀다운로드 파일(붙여넣기)'!A3:A562,A110,'외운 것 - 엑셀다운로드 파일(붙여넣기)'!D3:D562,0)</f>
        <v>1</v>
      </c>
      <c r="L110" s="9" cm="1">
        <f t="array" ref="L110">IF(J110&gt;=3,_xlfn.XLOOKUP(A110,'외운 것 - 엑셀다운로드 파일(붙여넣기)'!A3:A562,'외운 것 - 엑셀다운로드 파일(붙여넣기)'!C3:C562,0,-1),0)</f>
        <v>0</v>
      </c>
    </row>
    <row r="111" ht="38.45" customHeight="1">
      <c r="A111" s="3">
        <v>110</v>
      </c>
      <c r="B111" t="s" s="4">
        <v>707</v>
      </c>
      <c r="C111" t="s" s="5">
        <v>657</v>
      </c>
      <c r="D111" t="s" s="5">
        <v>658</v>
      </c>
      <c r="E111" t="s" s="5">
        <v>708</v>
      </c>
      <c r="F111" t="s" s="6">
        <v>709</v>
      </c>
      <c r="G111" t="s" s="7">
        <v>710</v>
      </c>
      <c r="H111" t="s" s="7">
        <v>711</v>
      </c>
      <c r="I111" t="str" s="8" cm="1">
        <f t="array" ref="I111">SUBSTITUTE(H111,B111,"(          )")</f>
        <v>His claim that he could fly was completely (          ).</v>
      </c>
      <c r="J111" s="9" cm="1">
        <f t="array" ref="J111">SUMIF('외운 것 - 엑셀다운로드 파일(붙여넣기)'!A3:A562,A111,'외운 것 - 엑셀다운로드 파일(붙여넣기)'!D3:D562)</f>
        <v>2</v>
      </c>
      <c r="K111" s="9" cm="1">
        <f t="array" ref="K111">_xlfn.COUNTIFS('외운 것 - 엑셀다운로드 파일(붙여넣기)'!A3:A562,A111,'외운 것 - 엑셀다운로드 파일(붙여넣기)'!D3:D562,0)</f>
        <v>0</v>
      </c>
      <c r="L111" s="9" cm="1">
        <f t="array" ref="L111">IF(J111&gt;=3,_xlfn.XLOOKUP(A111,'외운 것 - 엑셀다운로드 파일(붙여넣기)'!A3:A562,'외운 것 - 엑셀다운로드 파일(붙여넣기)'!C3:C562,0,-1),0)</f>
        <v>0</v>
      </c>
    </row>
    <row r="112" ht="23.45" customHeight="1">
      <c r="A112" s="3">
        <v>111</v>
      </c>
      <c r="B112" t="s" s="4">
        <v>713</v>
      </c>
      <c r="C112" t="s" s="5">
        <v>657</v>
      </c>
      <c r="D112" t="s" s="5">
        <v>658</v>
      </c>
      <c r="E112" t="s" s="5">
        <v>714</v>
      </c>
      <c r="F112" t="s" s="6">
        <v>715</v>
      </c>
      <c r="G112" t="s" s="7">
        <v>716</v>
      </c>
      <c r="H112" t="s" s="7">
        <v>717</v>
      </c>
      <c r="I112" t="str" s="8" cm="1">
        <f t="array" ref="I112">SUBSTITUTE(H112,B112,"(          )")</f>
        <v>Plants (          ) carbon dioxide from the air.</v>
      </c>
      <c r="J112" s="9" cm="1">
        <f t="array" ref="J112">SUMIF('외운 것 - 엑셀다운로드 파일(붙여넣기)'!A3:A562,A112,'외운 것 - 엑셀다운로드 파일(붙여넣기)'!D3:D562)</f>
        <v>0</v>
      </c>
      <c r="K112" s="9" cm="1">
        <f t="array" ref="K112">_xlfn.COUNTIFS('외운 것 - 엑셀다운로드 파일(붙여넣기)'!A3:A562,A112,'외운 것 - 엑셀다운로드 파일(붙여넣기)'!D3:D562,0)</f>
        <v>2</v>
      </c>
      <c r="L112" s="9" cm="1">
        <f t="array" ref="L112">IF(J112&gt;=3,_xlfn.XLOOKUP(A112,'외운 것 - 엑셀다운로드 파일(붙여넣기)'!A3:A562,'외운 것 - 엑셀다운로드 파일(붙여넣기)'!C3:C562,0,-1),0)</f>
        <v>0</v>
      </c>
    </row>
    <row r="113" ht="38.45" customHeight="1">
      <c r="A113" s="3">
        <v>112</v>
      </c>
      <c r="B113" t="s" s="4">
        <v>719</v>
      </c>
      <c r="C113" t="s" s="5">
        <v>657</v>
      </c>
      <c r="D113" t="s" s="5">
        <v>658</v>
      </c>
      <c r="E113" t="s" s="5">
        <v>720</v>
      </c>
      <c r="F113" t="s" s="6">
        <v>721</v>
      </c>
      <c r="G113" t="s" s="7">
        <v>722</v>
      </c>
      <c r="H113" t="s" s="7">
        <v>723</v>
      </c>
      <c r="I113" t="str" s="8" cm="1">
        <f t="array" ref="I113">SUBSTITUTE(H113,B113,"(          )")</f>
        <v>I have (          ) confidence in her abilities.</v>
      </c>
      <c r="J113" s="9" cm="1">
        <f t="array" ref="J113">SUMIF('외운 것 - 엑셀다운로드 파일(붙여넣기)'!A3:A562,A113,'외운 것 - 엑셀다운로드 파일(붙여넣기)'!D3:D562)</f>
        <v>2</v>
      </c>
      <c r="K113" s="9" cm="1">
        <f t="array" ref="K113">_xlfn.COUNTIFS('외운 것 - 엑셀다운로드 파일(붙여넣기)'!A3:A562,A113,'외운 것 - 엑셀다운로드 파일(붙여넣기)'!D3:D562,0)</f>
        <v>0</v>
      </c>
      <c r="L113" s="9" cm="1">
        <f t="array" ref="L113">IF(J113&gt;=3,_xlfn.XLOOKUP(A113,'외운 것 - 엑셀다운로드 파일(붙여넣기)'!A3:A562,'외운 것 - 엑셀다운로드 파일(붙여넣기)'!C3:C562,0,-1),0)</f>
        <v>0</v>
      </c>
    </row>
    <row r="114" ht="38.45" customHeight="1">
      <c r="A114" s="3">
        <v>113</v>
      </c>
      <c r="B114" t="s" s="4">
        <v>725</v>
      </c>
      <c r="C114" t="s" s="5">
        <v>657</v>
      </c>
      <c r="D114" t="s" s="5">
        <v>658</v>
      </c>
      <c r="E114" t="s" s="5">
        <v>726</v>
      </c>
      <c r="F114" t="s" s="6">
        <v>727</v>
      </c>
      <c r="G114" t="s" s="7">
        <v>728</v>
      </c>
      <c r="H114" t="s" s="7">
        <v>729</v>
      </c>
      <c r="I114" t="str" s="8" cm="1">
        <f t="array" ref="I114">SUBSTITUTE(H114,B114,"(          )")</f>
        <v>The evidence helped to (          ) him of any blame.</v>
      </c>
      <c r="J114" s="9" cm="1">
        <f t="array" ref="J114">SUMIF('외운 것 - 엑셀다운로드 파일(붙여넣기)'!A3:A562,A114,'외운 것 - 엑셀다운로드 파일(붙여넣기)'!D3:D562)</f>
        <v>2</v>
      </c>
      <c r="K114" s="9" cm="1">
        <f t="array" ref="K114">_xlfn.COUNTIFS('외운 것 - 엑셀다운로드 파일(붙여넣기)'!A3:A562,A114,'외운 것 - 엑셀다운로드 파일(붙여넣기)'!D3:D562,0)</f>
        <v>0</v>
      </c>
      <c r="L114" s="9" cm="1">
        <f t="array" ref="L114">IF(J114&gt;=3,_xlfn.XLOOKUP(A114,'외운 것 - 엑셀다운로드 파일(붙여넣기)'!A3:A562,'외운 것 - 엑셀다운로드 파일(붙여넣기)'!C3:C562,0,-1),0)</f>
        <v>0</v>
      </c>
    </row>
    <row r="115" ht="38.45" customHeight="1">
      <c r="A115" s="3">
        <v>114</v>
      </c>
      <c r="B115" t="s" s="4">
        <v>731</v>
      </c>
      <c r="C115" t="s" s="5">
        <v>657</v>
      </c>
      <c r="D115" t="s" s="5">
        <v>658</v>
      </c>
      <c r="E115" t="s" s="5">
        <v>732</v>
      </c>
      <c r="F115" t="s" s="6">
        <v>733</v>
      </c>
      <c r="G115" t="s" s="7">
        <v>734</v>
      </c>
      <c r="H115" t="s" s="7">
        <v>735</v>
      </c>
      <c r="I115" t="str" s="8" cm="1">
        <f t="array" ref="I115">SUBSTITUTE(H115,B115,"(          )")</f>
        <v>Three students were (          ) from class today.</v>
      </c>
      <c r="J115" s="9" cm="1">
        <f t="array" ref="J115">SUMIF('외운 것 - 엑셀다운로드 파일(붙여넣기)'!A3:A562,A115,'외운 것 - 엑셀다운로드 파일(붙여넣기)'!D3:D562)</f>
        <v>1</v>
      </c>
      <c r="K115" s="9" cm="1">
        <f t="array" ref="K115">_xlfn.COUNTIFS('외운 것 - 엑셀다운로드 파일(붙여넣기)'!A3:A562,A115,'외운 것 - 엑셀다운로드 파일(붙여넣기)'!D3:D562,0)</f>
        <v>1</v>
      </c>
      <c r="L115" s="9" cm="1">
        <f t="array" ref="L115">IF(J115&gt;=3,_xlfn.XLOOKUP(A115,'외운 것 - 엑셀다운로드 파일(붙여넣기)'!A3:A562,'외운 것 - 엑셀다운로드 파일(붙여넣기)'!C3:C562,0,-1),0)</f>
        <v>0</v>
      </c>
    </row>
    <row r="116" ht="38.45" customHeight="1">
      <c r="A116" s="3">
        <v>115</v>
      </c>
      <c r="B116" t="s" s="4">
        <v>737</v>
      </c>
      <c r="C116" t="s" s="5">
        <v>657</v>
      </c>
      <c r="D116" t="s" s="5">
        <v>658</v>
      </c>
      <c r="E116" t="s" s="5">
        <v>738</v>
      </c>
      <c r="F116" t="s" s="6">
        <v>739</v>
      </c>
      <c r="G116" t="s" s="7">
        <v>740</v>
      </c>
      <c r="H116" t="s" s="7">
        <v>741</v>
      </c>
      <c r="I116" t="str" s="8" cm="1">
        <f t="array" ref="I116">SUBSTITUTE(H116,B116,"(          )")</f>
        <v>The conversation came to an (          ) end when she left.</v>
      </c>
      <c r="J116" s="9" cm="1">
        <f t="array" ref="J116">SUMIF('외운 것 - 엑셀다운로드 파일(붙여넣기)'!A3:A562,A116,'외운 것 - 엑셀다운로드 파일(붙여넣기)'!D3:D562)</f>
        <v>1</v>
      </c>
      <c r="K116" s="9" cm="1">
        <f t="array" ref="K116">_xlfn.COUNTIFS('외운 것 - 엑셀다운로드 파일(붙여넣기)'!A3:A562,A116,'외운 것 - 엑셀다운로드 파일(붙여넣기)'!D3:D562,0)</f>
        <v>1</v>
      </c>
      <c r="L116" s="9" cm="1">
        <f t="array" ref="L116">IF(J116&gt;=3,_xlfn.XLOOKUP(A116,'외운 것 - 엑셀다운로드 파일(붙여넣기)'!A3:A562,'외운 것 - 엑셀다운로드 파일(붙여넣기)'!C3:C562,0,-1),0)</f>
        <v>0</v>
      </c>
    </row>
    <row r="117" ht="23.45" customHeight="1">
      <c r="A117" s="3">
        <v>116</v>
      </c>
      <c r="B117" t="s" s="4">
        <v>743</v>
      </c>
      <c r="C117" t="s" s="5">
        <v>744</v>
      </c>
      <c r="D117" t="s" s="5">
        <v>745</v>
      </c>
      <c r="E117" t="s" s="5">
        <v>746</v>
      </c>
      <c r="F117" t="s" s="6">
        <v>747</v>
      </c>
      <c r="G117" t="s" s="7">
        <v>748</v>
      </c>
      <c r="H117" t="s" s="7">
        <v>749</v>
      </c>
      <c r="I117" t="str" s="8" cm="1">
        <f t="array" ref="I117">SUBSTITUTE(H117,B117,"(          )")</f>
        <v>Children sat in a (          ) during story time.</v>
      </c>
      <c r="J117" s="9" cm="1">
        <f t="array" ref="J117">SUMIF('외운 것 - 엑셀다운로드 파일(붙여넣기)'!A3:A562,A117,'외운 것 - 엑셀다운로드 파일(붙여넣기)'!D3:D562)</f>
        <v>2</v>
      </c>
      <c r="K117" s="9" cm="1">
        <f t="array" ref="K117">_xlfn.COUNTIFS('외운 것 - 엑셀다운로드 파일(붙여넣기)'!A3:A562,A117,'외운 것 - 엑셀다운로드 파일(붙여넣기)'!D3:D562,0)</f>
        <v>0</v>
      </c>
      <c r="L117" s="9" cm="1">
        <f t="array" ref="L117">IF(J117&gt;=3,_xlfn.XLOOKUP(A117,'외운 것 - 엑셀다운로드 파일(붙여넣기)'!A3:A562,'외운 것 - 엑셀다운로드 파일(붙여넣기)'!C3:C562,0,-1),0)</f>
        <v>0</v>
      </c>
    </row>
    <row r="118" ht="36.4" customHeight="1">
      <c r="A118" s="3">
        <v>117</v>
      </c>
      <c r="B118" t="s" s="4">
        <v>751</v>
      </c>
      <c r="C118" t="s" s="5">
        <v>752</v>
      </c>
      <c r="D118" t="s" s="5">
        <v>744</v>
      </c>
      <c r="E118" t="s" s="5">
        <v>753</v>
      </c>
      <c r="F118" t="s" s="6">
        <v>754</v>
      </c>
      <c r="G118" t="s" s="7">
        <v>755</v>
      </c>
      <c r="H118" t="s" s="7">
        <v>756</v>
      </c>
      <c r="I118" t="str" s="8" cm="1">
        <f t="array" ref="I118">SUBSTITUTE(H118,B118,"(          )")</f>
        <v>The police will (          ) the building to catch the thief.</v>
      </c>
      <c r="J118" s="9" cm="1">
        <f t="array" ref="J118">SUMIF('외운 것 - 엑셀다운로드 파일(붙여넣기)'!A3:A562,A118,'외운 것 - 엑셀다운로드 파일(붙여넣기)'!D3:D562)</f>
        <v>2</v>
      </c>
      <c r="K118" s="9" cm="1">
        <f t="array" ref="K118">_xlfn.COUNTIFS('외운 것 - 엑셀다운로드 파일(붙여넣기)'!A3:A562,A118,'외운 것 - 엑셀다운로드 파일(붙여넣기)'!D3:D562,0)</f>
        <v>0</v>
      </c>
      <c r="L118" s="9" cm="1">
        <f t="array" ref="L118">IF(J118&gt;=3,_xlfn.XLOOKUP(A118,'외운 것 - 엑셀다운로드 파일(붙여넣기)'!A3:A562,'외운 것 - 엑셀다운로드 파일(붙여넣기)'!C3:C562,0,-1),0)</f>
        <v>0</v>
      </c>
    </row>
    <row r="119" ht="36.4" customHeight="1">
      <c r="A119" s="3">
        <v>118</v>
      </c>
      <c r="B119" t="s" s="4">
        <v>758</v>
      </c>
      <c r="C119" t="s" s="5">
        <v>752</v>
      </c>
      <c r="D119" t="s" s="5">
        <v>744</v>
      </c>
      <c r="E119" t="s" s="5">
        <v>759</v>
      </c>
      <c r="F119" t="s" s="6">
        <v>760</v>
      </c>
      <c r="G119" t="s" s="7">
        <v>761</v>
      </c>
      <c r="H119" t="s" s="7">
        <v>762</v>
      </c>
      <c r="I119" t="str" s="8" cm="1">
        <f t="array" ref="I119">SUBSTITUTE(H119,B119,"(          )")</f>
        <v>Good ventilation helps air (          ) in the room.</v>
      </c>
      <c r="J119" s="9" cm="1">
        <f t="array" ref="J119">SUMIF('외운 것 - 엑셀다운로드 파일(붙여넣기)'!A3:A562,A119,'외운 것 - 엑셀다운로드 파일(붙여넣기)'!D3:D562)</f>
        <v>2</v>
      </c>
      <c r="K119" s="9" cm="1">
        <f t="array" ref="K119">_xlfn.COUNTIFS('외운 것 - 엑셀다운로드 파일(붙여넣기)'!A3:A562,A119,'외운 것 - 엑셀다운로드 파일(붙여넣기)'!D3:D562,0)</f>
        <v>0</v>
      </c>
      <c r="L119" s="9" cm="1">
        <f t="array" ref="L119">IF(J119&gt;=3,_xlfn.XLOOKUP(A119,'외운 것 - 엑셀다운로드 파일(붙여넣기)'!A3:A562,'외운 것 - 엑셀다운로드 파일(붙여넣기)'!C3:C562,0,-1),0)</f>
        <v>0</v>
      </c>
    </row>
    <row r="120" ht="36.4" customHeight="1">
      <c r="A120" s="3">
        <v>119</v>
      </c>
      <c r="B120" t="s" s="4">
        <v>764</v>
      </c>
      <c r="C120" t="s" s="5">
        <v>752</v>
      </c>
      <c r="D120" t="s" s="5">
        <v>744</v>
      </c>
      <c r="E120" t="s" s="5">
        <v>765</v>
      </c>
      <c r="F120" t="s" s="6">
        <v>766</v>
      </c>
      <c r="G120" t="s" s="7">
        <v>767</v>
      </c>
      <c r="H120" t="s" s="7">
        <v>768</v>
      </c>
      <c r="I120" t="str" s="8" cm="1">
        <f t="array" ref="I120">SUBSTITUTE(H120,B120,"(          )")</f>
        <v>The children were excited to visit the (          ).</v>
      </c>
      <c r="J120" s="9" cm="1">
        <f t="array" ref="J120">SUMIF('외운 것 - 엑셀다운로드 파일(붙여넣기)'!A3:A562,A120,'외운 것 - 엑셀다운로드 파일(붙여넣기)'!D3:D562)</f>
        <v>2</v>
      </c>
      <c r="K120" s="9" cm="1">
        <f t="array" ref="K120">_xlfn.COUNTIFS('외운 것 - 엑셀다운로드 파일(붙여넣기)'!A3:A562,A120,'외운 것 - 엑셀다운로드 파일(붙여넣기)'!D3:D562,0)</f>
        <v>0</v>
      </c>
      <c r="L120" s="9" cm="1">
        <f t="array" ref="L120">IF(J120&gt;=3,_xlfn.XLOOKUP(A120,'외운 것 - 엑셀다운로드 파일(붙여넣기)'!A3:A562,'외운 것 - 엑셀다운로드 파일(붙여넣기)'!C3:C562,0,-1),0)</f>
        <v>0</v>
      </c>
    </row>
    <row r="121" ht="38.45" customHeight="1">
      <c r="A121" s="3">
        <v>120</v>
      </c>
      <c r="B121" t="s" s="4">
        <v>770</v>
      </c>
      <c r="C121" t="s" s="5">
        <v>752</v>
      </c>
      <c r="D121" t="s" s="5">
        <v>744</v>
      </c>
      <c r="E121" t="s" s="5">
        <v>771</v>
      </c>
      <c r="F121" t="s" s="6">
        <v>772</v>
      </c>
      <c r="G121" t="s" s="7">
        <v>773</v>
      </c>
      <c r="H121" t="s" s="7">
        <v>774</v>
      </c>
      <c r="I121" t="str" s="8" cm="1">
        <f t="array" ref="I121">SUBSTITUTE(H121,B121,"(          )")</f>
        <v>Under no (          ) should you open this door.</v>
      </c>
      <c r="J121" s="9" cm="1">
        <f t="array" ref="J121">SUMIF('외운 것 - 엑셀다운로드 파일(붙여넣기)'!A3:A562,A121,'외운 것 - 엑셀다운로드 파일(붙여넣기)'!D3:D562)</f>
        <v>2</v>
      </c>
      <c r="K121" s="9" cm="1">
        <f t="array" ref="K121">_xlfn.COUNTIFS('외운 것 - 엑셀다운로드 파일(붙여넣기)'!A3:A562,A121,'외운 것 - 엑셀다운로드 파일(붙여넣기)'!D3:D562,0)</f>
        <v>0</v>
      </c>
      <c r="L121" s="9" cm="1">
        <f t="array" ref="L121">IF(J121&gt;=3,_xlfn.XLOOKUP(A121,'외운 것 - 엑셀다운로드 파일(붙여넣기)'!A3:A562,'외운 것 - 엑셀다운로드 파일(붙여넣기)'!C3:C562,0,-1),0)</f>
        <v>0</v>
      </c>
    </row>
    <row r="122" ht="36.4" customHeight="1">
      <c r="A122" s="3">
        <v>121</v>
      </c>
      <c r="B122" t="s" s="4">
        <v>776</v>
      </c>
      <c r="C122" t="s" s="5">
        <v>752</v>
      </c>
      <c r="D122" t="s" s="5">
        <v>744</v>
      </c>
      <c r="E122" t="s" s="5">
        <v>777</v>
      </c>
      <c r="F122" t="s" s="6">
        <v>778</v>
      </c>
      <c r="G122" t="s" s="7">
        <v>779</v>
      </c>
      <c r="H122" t="s" s="7">
        <v>780</v>
      </c>
      <c r="I122" t="str" s="8" cm="1">
        <f t="array" ref="I122">SUBSTITUTE(H122,B122,"(          )")</f>
        <v>The water (          ) is an important natural process.</v>
      </c>
      <c r="J122" s="9" cm="1">
        <f t="array" ref="J122">SUMIF('외운 것 - 엑셀다운로드 파일(붙여넣기)'!A3:A562,A122,'외운 것 - 엑셀다운로드 파일(붙여넣기)'!D3:D562)</f>
        <v>2</v>
      </c>
      <c r="K122" s="9" cm="1">
        <f t="array" ref="K122">_xlfn.COUNTIFS('외운 것 - 엑셀다운로드 파일(붙여넣기)'!A3:A562,A122,'외운 것 - 엑셀다운로드 파일(붙여넣기)'!D3:D562,0)</f>
        <v>0</v>
      </c>
      <c r="L122" s="9" cm="1">
        <f t="array" ref="L122">IF(J122&gt;=3,_xlfn.XLOOKUP(A122,'외운 것 - 엑셀다운로드 파일(붙여넣기)'!A3:A562,'외운 것 - 엑셀다운로드 파일(붙여넣기)'!C3:C562,0,-1),0)</f>
        <v>0</v>
      </c>
    </row>
    <row r="123" ht="36.4" customHeight="1">
      <c r="A123" s="3">
        <v>122</v>
      </c>
      <c r="B123" t="s" s="4">
        <v>371</v>
      </c>
      <c r="C123" t="s" s="5">
        <v>782</v>
      </c>
      <c r="D123" t="s" s="5">
        <v>743</v>
      </c>
      <c r="E123" t="s" s="5">
        <v>374</v>
      </c>
      <c r="F123" t="s" s="6">
        <v>783</v>
      </c>
      <c r="G123" t="s" s="7">
        <v>376</v>
      </c>
      <c r="H123" t="s" s="7">
        <v>377</v>
      </c>
      <c r="I123" t="str" s="8" cm="1">
        <f t="array" ref="I123">SUBSTITUTE(H123,B123,"(          )")</f>
        <v>She rides her (          ) to school every day.</v>
      </c>
      <c r="J123" s="9" cm="1">
        <f t="array" ref="J123">SUMIF('외운 것 - 엑셀다운로드 파일(붙여넣기)'!A3:A562,A123,'외운 것 - 엑셀다운로드 파일(붙여넣기)'!D3:D562)</f>
        <v>2</v>
      </c>
      <c r="K123" s="9" cm="1">
        <f t="array" ref="K123">_xlfn.COUNTIFS('외운 것 - 엑셀다운로드 파일(붙여넣기)'!A3:A562,A123,'외운 것 - 엑셀다운로드 파일(붙여넣기)'!D3:D562,0)</f>
        <v>0</v>
      </c>
      <c r="L123" s="9" cm="1">
        <f t="array" ref="L123">IF(J123&gt;=3,_xlfn.XLOOKUP(A123,'외운 것 - 엑셀다운로드 파일(붙여넣기)'!A3:A562,'외운 것 - 엑셀다운로드 파일(붙여넣기)'!C3:C562,0,-1),0)</f>
        <v>0</v>
      </c>
    </row>
    <row r="124" ht="36.4" customHeight="1">
      <c r="A124" s="3">
        <v>123</v>
      </c>
      <c r="B124" t="s" s="4">
        <v>784</v>
      </c>
      <c r="C124" t="s" s="5">
        <v>782</v>
      </c>
      <c r="D124" t="s" s="5">
        <v>743</v>
      </c>
      <c r="E124" t="s" s="5">
        <v>785</v>
      </c>
      <c r="F124" t="s" s="6">
        <v>786</v>
      </c>
      <c r="G124" t="s" s="7">
        <v>787</v>
      </c>
      <c r="H124" t="s" s="7">
        <v>788</v>
      </c>
      <c r="I124" t="str" s="8" cm="1">
        <f t="array" ref="I124">SUBSTITUTE(H124,B124,"(          )")</f>
        <v>We should (          ) paper, glass, and plastic.</v>
      </c>
      <c r="J124" s="9" cm="1">
        <f t="array" ref="J124">SUMIF('외운 것 - 엑셀다운로드 파일(붙여넣기)'!A3:A562,A124,'외운 것 - 엑셀다운로드 파일(붙여넣기)'!D3:D562)</f>
        <v>2</v>
      </c>
      <c r="K124" s="9" cm="1">
        <f t="array" ref="K124">_xlfn.COUNTIFS('외운 것 - 엑셀다운로드 파일(붙여넣기)'!A3:A562,A124,'외운 것 - 엑셀다운로드 파일(붙여넣기)'!D3:D562,0)</f>
        <v>0</v>
      </c>
      <c r="L124" s="9" cm="1">
        <f t="array" ref="L124">IF(J124&gt;=3,_xlfn.XLOOKUP(A124,'외운 것 - 엑셀다운로드 파일(붙여넣기)'!A3:A562,'외운 것 - 엑셀다운로드 파일(붙여넣기)'!C3:C562,0,-1),0)</f>
        <v>0</v>
      </c>
    </row>
    <row r="125" ht="38.45" customHeight="1">
      <c r="A125" s="3">
        <v>124</v>
      </c>
      <c r="B125" t="s" s="4">
        <v>790</v>
      </c>
      <c r="C125" t="s" s="5">
        <v>782</v>
      </c>
      <c r="D125" t="s" s="5">
        <v>743</v>
      </c>
      <c r="E125" t="s" s="5">
        <v>791</v>
      </c>
      <c r="F125" t="s" s="6">
        <v>792</v>
      </c>
      <c r="G125" t="s" s="7">
        <v>793</v>
      </c>
      <c r="H125" t="s" s="7">
        <v>794</v>
      </c>
      <c r="I125" t="str" s="8" cm="1">
        <f t="array" ref="I125">SUBSTITUTE(H125,B125,"(          )")</f>
        <v>The coastal regions prepared for the approaching (          ).</v>
      </c>
      <c r="J125" s="9" cm="1">
        <f t="array" ref="J125">SUMIF('외운 것 - 엑셀다운로드 파일(붙여넣기)'!A3:A562,A125,'외운 것 - 엑셀다운로드 파일(붙여넣기)'!D3:D562)</f>
        <v>2</v>
      </c>
      <c r="K125" s="9" cm="1">
        <f t="array" ref="K125">_xlfn.COUNTIFS('외운 것 - 엑셀다운로드 파일(붙여넣기)'!A3:A562,A125,'외운 것 - 엑셀다운로드 파일(붙여넣기)'!D3:D562,0)</f>
        <v>0</v>
      </c>
      <c r="L125" s="9" cm="1">
        <f t="array" ref="L125">IF(J125&gt;=3,_xlfn.XLOOKUP(A125,'외운 것 - 엑셀다운로드 파일(붙여넣기)'!A3:A562,'외운 것 - 엑셀다운로드 파일(붙여넣기)'!C3:C562,0,-1),0)</f>
        <v>0</v>
      </c>
    </row>
    <row r="126" ht="38.45" customHeight="1">
      <c r="A126" s="3">
        <v>125</v>
      </c>
      <c r="B126" t="s" s="4">
        <v>796</v>
      </c>
      <c r="C126" t="s" s="5">
        <v>796</v>
      </c>
      <c r="D126" t="s" s="5">
        <v>797</v>
      </c>
      <c r="E126" t="s" s="5">
        <v>798</v>
      </c>
      <c r="F126" t="s" s="6">
        <v>799</v>
      </c>
      <c r="G126" t="s" s="7">
        <v>800</v>
      </c>
      <c r="H126" t="s" s="7">
        <v>801</v>
      </c>
      <c r="I126" t="str" s="8" cm="1">
        <f t="array" ref="I126">SUBSTITUTE(H126,B126,"(          )")</f>
        <v>I took a (          ) from the airport to my hotel.</v>
      </c>
      <c r="J126" s="9" cm="1">
        <f t="array" ref="J126">SUMIF('외운 것 - 엑셀다운로드 파일(붙여넣기)'!A3:A562,A126,'외운 것 - 엑셀다운로드 파일(붙여넣기)'!D3:D562)</f>
        <v>2</v>
      </c>
      <c r="K126" s="9" cm="1">
        <f t="array" ref="K126">_xlfn.COUNTIFS('외운 것 - 엑셀다운로드 파일(붙여넣기)'!A3:A562,A126,'외운 것 - 엑셀다운로드 파일(붙여넣기)'!D3:D562,0)</f>
        <v>0</v>
      </c>
      <c r="L126" s="9" cm="1">
        <f t="array" ref="L126">IF(J126&gt;=3,_xlfn.XLOOKUP(A126,'외운 것 - 엑셀다운로드 파일(붙여넣기)'!A3:A562,'외운 것 - 엑셀다운로드 파일(붙여넣기)'!C3:C562,0,-1),0)</f>
        <v>0</v>
      </c>
    </row>
    <row r="127" ht="38.45" customHeight="1">
      <c r="A127" s="3">
        <v>126</v>
      </c>
      <c r="B127" t="s" s="4">
        <v>803</v>
      </c>
      <c r="C127" t="s" s="5">
        <v>796</v>
      </c>
      <c r="D127" t="s" s="5">
        <v>797</v>
      </c>
      <c r="E127" t="s" s="5">
        <v>804</v>
      </c>
      <c r="F127" t="s" s="6">
        <v>805</v>
      </c>
      <c r="G127" t="s" s="7">
        <v>806</v>
      </c>
      <c r="H127" t="s" s="7">
        <v>807</v>
      </c>
      <c r="I127" t="str" s="8" cm="1">
        <f t="array" ref="I127">SUBSTITUTE(H127,B127,"(          )")</f>
        <v>We rented a (          ) in the mountains for our vacation.</v>
      </c>
      <c r="J127" s="9" cm="1">
        <f t="array" ref="J127">SUMIF('외운 것 - 엑셀다운로드 파일(붙여넣기)'!A3:A562,A127,'외운 것 - 엑셀다운로드 파일(붙여넣기)'!D3:D562)</f>
        <v>2</v>
      </c>
      <c r="K127" s="9" cm="1">
        <f t="array" ref="K127">_xlfn.COUNTIFS('외운 것 - 엑셀다운로드 파일(붙여넣기)'!A3:A562,A127,'외운 것 - 엑셀다운로드 파일(붙여넣기)'!D3:D562,0)</f>
        <v>0</v>
      </c>
      <c r="L127" s="9" cm="1">
        <f t="array" ref="L127">IF(J127&gt;=3,_xlfn.XLOOKUP(A127,'외운 것 - 엑셀다운로드 파일(붙여넣기)'!A3:A562,'외운 것 - 엑셀다운로드 파일(붙여넣기)'!C3:C562,0,-1),0)</f>
        <v>0</v>
      </c>
    </row>
    <row r="128" ht="38.45" customHeight="1">
      <c r="A128" s="3">
        <v>127</v>
      </c>
      <c r="B128" t="s" s="4">
        <v>809</v>
      </c>
      <c r="C128" t="s" s="5">
        <v>810</v>
      </c>
      <c r="D128" t="s" s="5">
        <v>796</v>
      </c>
      <c r="E128" t="s" s="5">
        <v>811</v>
      </c>
      <c r="F128" t="s" s="6">
        <v>812</v>
      </c>
      <c r="G128" t="s" s="7">
        <v>813</v>
      </c>
      <c r="H128" t="s" s="7">
        <v>814</v>
      </c>
      <c r="I128" t="str" s="8" cm="1">
        <f t="array" ref="I128">SUBSTITUTE(H128,B128,"(          )")</f>
        <v>Store the dishes in the kitchen (          ).</v>
      </c>
      <c r="J128" s="9" cm="1">
        <f t="array" ref="J128">SUMIF('외운 것 - 엑셀다운로드 파일(붙여넣기)'!A3:A562,A128,'외운 것 - 엑셀다운로드 파일(붙여넣기)'!D3:D562)</f>
        <v>0</v>
      </c>
      <c r="K128" s="9" cm="1">
        <f t="array" ref="K128">_xlfn.COUNTIFS('외운 것 - 엑셀다운로드 파일(붙여넣기)'!A3:A562,A128,'외운 것 - 엑셀다운로드 파일(붙여넣기)'!D3:D562,0)</f>
        <v>2</v>
      </c>
      <c r="L128" s="9" cm="1">
        <f t="array" ref="L128">IF(J128&gt;=3,_xlfn.XLOOKUP(A128,'외운 것 - 엑셀다운로드 파일(붙여넣기)'!A3:A562,'외운 것 - 엑셀다운로드 파일(붙여넣기)'!C3:C562,0,-1),0)</f>
        <v>0</v>
      </c>
    </row>
    <row r="129" ht="38.45" customHeight="1">
      <c r="A129" s="3">
        <v>128</v>
      </c>
      <c r="B129" t="s" s="4">
        <v>816</v>
      </c>
      <c r="C129" t="s" s="5">
        <v>810</v>
      </c>
      <c r="D129" t="s" s="5">
        <v>796</v>
      </c>
      <c r="E129" t="s" s="5">
        <v>817</v>
      </c>
      <c r="F129" t="s" s="6">
        <v>818</v>
      </c>
      <c r="G129" t="s" s="7">
        <v>819</v>
      </c>
      <c r="H129" t="s" s="7">
        <v>820</v>
      </c>
      <c r="I129" t="str" s="8" cm="1">
        <f t="array" ref="I129">SUBSTITUTE(H129,B129,"(          )")</f>
        <v>The beach resort has private (          )s for guests.</v>
      </c>
      <c r="J129" s="9" cm="1">
        <f t="array" ref="J129">SUMIF('외운 것 - 엑셀다운로드 파일(붙여넣기)'!A3:A562,A129,'외운 것 - 엑셀다운로드 파일(붙여넣기)'!D3:D562)</f>
        <v>1</v>
      </c>
      <c r="K129" s="9" cm="1">
        <f t="array" ref="K129">_xlfn.COUNTIFS('외운 것 - 엑셀다운로드 파일(붙여넣기)'!A3:A562,A129,'외운 것 - 엑셀다운로드 파일(붙여넣기)'!D3:D562,0)</f>
        <v>1</v>
      </c>
      <c r="L129" s="9" cm="1">
        <f t="array" ref="L129">IF(J129&gt;=3,_xlfn.XLOOKUP(A129,'외운 것 - 엑셀다운로드 파일(붙여넣기)'!A3:A562,'외운 것 - 엑셀다운로드 파일(붙여넣기)'!C3:C562,0,-1),0)</f>
        <v>0</v>
      </c>
    </row>
    <row r="130" ht="23.45" customHeight="1">
      <c r="A130" s="3">
        <v>129</v>
      </c>
      <c r="B130" t="s" s="4">
        <v>822</v>
      </c>
      <c r="C130" t="s" s="5">
        <v>796</v>
      </c>
      <c r="D130" t="s" s="5">
        <v>797</v>
      </c>
      <c r="E130" t="s" s="5">
        <v>823</v>
      </c>
      <c r="F130" t="s" s="6">
        <v>824</v>
      </c>
      <c r="G130" t="s" s="7">
        <v>825</v>
      </c>
      <c r="H130" t="s" s="7">
        <v>826</v>
      </c>
      <c r="I130" t="str" s="8" cm="1">
        <f t="array" ref="I130">SUBSTITUTE(H130,B130,"(          )")</f>
        <v>We calculated the (          ) volume of the room.</v>
      </c>
      <c r="J130" s="9" cm="1">
        <f t="array" ref="J130">SUMIF('외운 것 - 엑셀다운로드 파일(붙여넣기)'!A3:A562,A130,'외운 것 - 엑셀다운로드 파일(붙여넣기)'!D3:D562)</f>
        <v>2</v>
      </c>
      <c r="K130" s="9" cm="1">
        <f t="array" ref="K130">_xlfn.COUNTIFS('외운 것 - 엑셀다운로드 파일(붙여넣기)'!A3:A562,A130,'외운 것 - 엑셀다운로드 파일(붙여넣기)'!D3:D562,0)</f>
        <v>0</v>
      </c>
      <c r="L130" s="9" cm="1">
        <f t="array" ref="L130">IF(J130&gt;=3,_xlfn.XLOOKUP(A130,'외운 것 - 엑셀다운로드 파일(붙여넣기)'!A3:A562,'외운 것 - 엑셀다운로드 파일(붙여넣기)'!C3:C562,0,-1),0)</f>
        <v>0</v>
      </c>
    </row>
    <row r="131" ht="38.45" customHeight="1">
      <c r="A131" s="3">
        <v>130</v>
      </c>
      <c r="B131" t="s" s="4">
        <v>828</v>
      </c>
      <c r="C131" t="s" s="5">
        <v>829</v>
      </c>
      <c r="D131" t="s" s="5">
        <v>796</v>
      </c>
      <c r="E131" t="s" s="5">
        <v>830</v>
      </c>
      <c r="F131" t="s" s="6">
        <v>831</v>
      </c>
      <c r="G131" t="s" s="7">
        <v>832</v>
      </c>
      <c r="H131" t="s" s="7">
        <v>833</v>
      </c>
      <c r="I131" t="str" s="8" cm="1">
        <f t="array" ref="I131">SUBSTITUTE(H131,B131,"(          )")</f>
        <v>He works in a small (          ) in the office.</v>
      </c>
      <c r="J131" s="9" cm="1">
        <f t="array" ref="J131">SUMIF('외운 것 - 엑셀다운로드 파일(붙여넣기)'!A3:A562,A131,'외운 것 - 엑셀다운로드 파일(붙여넣기)'!D3:D562)</f>
        <v>2</v>
      </c>
      <c r="K131" s="9" cm="1">
        <f t="array" ref="K131">_xlfn.COUNTIFS('외운 것 - 엑셀다운로드 파일(붙여넣기)'!A3:A562,A131,'외운 것 - 엑셀다운로드 파일(붙여넣기)'!D3:D562,0)</f>
        <v>0</v>
      </c>
      <c r="L131" s="9" cm="1">
        <f t="array" ref="L131">IF(J131&gt;=3,_xlfn.XLOOKUP(A131,'외운 것 - 엑셀다운로드 파일(붙여넣기)'!A3:A562,'외운 것 - 엑셀다운로드 파일(붙여넣기)'!C3:C562,0,-1),0)</f>
        <v>0</v>
      </c>
    </row>
    <row r="132" ht="38.45" customHeight="1">
      <c r="A132" s="3">
        <v>131</v>
      </c>
      <c r="B132" t="s" s="4">
        <v>835</v>
      </c>
      <c r="C132" t="s" s="5">
        <v>835</v>
      </c>
      <c r="D132" t="s" s="5">
        <v>836</v>
      </c>
      <c r="E132" t="s" s="5">
        <v>837</v>
      </c>
      <c r="F132" t="s" s="6">
        <v>838</v>
      </c>
      <c r="G132" t="s" s="7">
        <v>839</v>
      </c>
      <c r="H132" t="s" s="7">
        <v>840</v>
      </c>
      <c r="I132" t="str" s="8" cm="1">
        <f t="array" ref="I132">SUBSTITUTE(H132,B132,"(          )")</f>
        <v>I (          ) swim across the lake easily.</v>
      </c>
      <c r="J132" s="9" cm="1">
        <f t="array" ref="J132">SUMIF('외운 것 - 엑셀다운로드 파일(붙여넣기)'!A3:A562,A132,'외운 것 - 엑셀다운로드 파일(붙여넣기)'!D3:D562)</f>
        <v>2</v>
      </c>
      <c r="K132" s="9" cm="1">
        <f t="array" ref="K132">_xlfn.COUNTIFS('외운 것 - 엑셀다운로드 파일(붙여넣기)'!A3:A562,A132,'외운 것 - 엑셀다운로드 파일(붙여넣기)'!D3:D562,0)</f>
        <v>0</v>
      </c>
      <c r="L132" s="9" cm="1">
        <f t="array" ref="L132">IF(J132&gt;=3,_xlfn.XLOOKUP(A132,'외운 것 - 엑셀다운로드 파일(붙여넣기)'!A3:A562,'외운 것 - 엑셀다운로드 파일(붙여넣기)'!C3:C562,0,-1),0)</f>
        <v>0</v>
      </c>
    </row>
    <row r="133" ht="39.4" customHeight="1">
      <c r="A133" s="3">
        <v>132</v>
      </c>
      <c r="B133" t="s" s="4">
        <v>842</v>
      </c>
      <c r="C133" t="s" s="5">
        <v>835</v>
      </c>
      <c r="D133" t="s" s="5">
        <v>836</v>
      </c>
      <c r="E133" t="s" s="5">
        <v>843</v>
      </c>
      <c r="F133" t="s" s="6">
        <v>844</v>
      </c>
      <c r="G133" t="s" s="7">
        <v>845</v>
      </c>
      <c r="H133" t="s" s="7">
        <v>846</v>
      </c>
      <c r="I133" t="str" s="8" cm="1">
        <f t="array" ref="I133">SUBSTITUTE(H133,B133,"(          )")</f>
        <v>The elderly man used a (          ) to help him walk.</v>
      </c>
      <c r="J133" s="9" cm="1">
        <f t="array" ref="J133">SUMIF('외운 것 - 엑셀다운로드 파일(붙여넣기)'!A3:A562,A133,'외운 것 - 엑셀다운로드 파일(붙여넣기)'!D3:D562)</f>
        <v>2</v>
      </c>
      <c r="K133" s="9" cm="1">
        <f t="array" ref="K133">_xlfn.COUNTIFS('외운 것 - 엑셀다운로드 파일(붙여넣기)'!A3:A562,A133,'외운 것 - 엑셀다운로드 파일(붙여넣기)'!D3:D562,0)</f>
        <v>0</v>
      </c>
      <c r="L133" s="9" cm="1">
        <f t="array" ref="L133">IF(J133&gt;=3,_xlfn.XLOOKUP(A133,'외운 것 - 엑셀다운로드 파일(붙여넣기)'!A3:A562,'외운 것 - 엑셀다운로드 파일(붙여넣기)'!C3:C562,0,-1),0)</f>
        <v>0</v>
      </c>
    </row>
    <row r="134" ht="23.45" customHeight="1">
      <c r="A134" s="3">
        <v>133</v>
      </c>
      <c r="B134" t="s" s="4">
        <v>848</v>
      </c>
      <c r="C134" t="s" s="5">
        <v>849</v>
      </c>
      <c r="D134" t="s" s="5">
        <v>835</v>
      </c>
      <c r="E134" t="s" s="5">
        <v>850</v>
      </c>
      <c r="F134" t="s" s="6">
        <v>851</v>
      </c>
      <c r="G134" t="s" s="7">
        <v>852</v>
      </c>
      <c r="H134" t="s" s="7">
        <v>853</v>
      </c>
      <c r="I134" t="str" s="8" cm="1">
        <f t="array" ref="I134">SUBSTITUTE(H134,B134,"(          )")</f>
        <v>Children love to eat (          ) on Halloween.</v>
      </c>
      <c r="J134" s="9" cm="1">
        <f t="array" ref="J134">SUMIF('외운 것 - 엑셀다운로드 파일(붙여넣기)'!A3:A562,A134,'외운 것 - 엑셀다운로드 파일(붙여넣기)'!D3:D562)</f>
        <v>2</v>
      </c>
      <c r="K134" s="9" cm="1">
        <f t="array" ref="K134">_xlfn.COUNTIFS('외운 것 - 엑셀다운로드 파일(붙여넣기)'!A3:A562,A134,'외운 것 - 엑셀다운로드 파일(붙여넣기)'!D3:D562,0)</f>
        <v>0</v>
      </c>
      <c r="L134" s="9" cm="1">
        <f t="array" ref="L134">IF(J134&gt;=3,_xlfn.XLOOKUP(A134,'외운 것 - 엑셀다운로드 파일(붙여넣기)'!A3:A562,'외운 것 - 엑셀다운로드 파일(붙여넣기)'!C3:C562,0,-1),0)</f>
        <v>0</v>
      </c>
    </row>
    <row r="135" ht="38.45" customHeight="1">
      <c r="A135" s="3">
        <v>134</v>
      </c>
      <c r="B135" t="s" s="4">
        <v>855</v>
      </c>
      <c r="C135" t="s" s="5">
        <v>835</v>
      </c>
      <c r="D135" t="s" s="5">
        <v>836</v>
      </c>
      <c r="E135" t="s" s="5">
        <v>856</v>
      </c>
      <c r="F135" t="s" s="10">
        <v>857</v>
      </c>
      <c r="G135" t="s" s="7">
        <v>858</v>
      </c>
      <c r="H135" t="s" s="7">
        <v>859</v>
      </c>
      <c r="I135" t="str" s="8" cm="1">
        <f t="array" ref="I135">SUBSTITUTE(H135,B135,"(          )")</f>
        <v>The medieval castle had several (          ) for defense.</v>
      </c>
      <c r="J135" s="9" cm="1">
        <f t="array" ref="J135">SUMIF('외운 것 - 엑셀다운로드 파일(붙여넣기)'!A3:A562,A135,'외운 것 - 엑셀다운로드 파일(붙여넣기)'!D3:D562)</f>
        <v>2</v>
      </c>
      <c r="K135" s="9" cm="1">
        <f t="array" ref="K135">_xlfn.COUNTIFS('외운 것 - 엑셀다운로드 파일(붙여넣기)'!A3:A562,A135,'외운 것 - 엑셀다운로드 파일(붙여넣기)'!D3:D562,0)</f>
        <v>0</v>
      </c>
      <c r="L135" s="9" cm="1">
        <f t="array" ref="L135">IF(J135&gt;=3,_xlfn.XLOOKUP(A135,'외운 것 - 엑셀다운로드 파일(붙여넣기)'!A3:A562,'외운 것 - 엑셀다운로드 파일(붙여넣기)'!C3:C562,0,-1),0)</f>
        <v>0</v>
      </c>
    </row>
    <row r="136" ht="23.45" customHeight="1">
      <c r="A136" s="3">
        <v>135</v>
      </c>
      <c r="B136" t="s" s="4">
        <v>861</v>
      </c>
      <c r="C136" t="s" s="5">
        <v>835</v>
      </c>
      <c r="D136" t="s" s="5">
        <v>836</v>
      </c>
      <c r="E136" t="s" s="5">
        <v>862</v>
      </c>
      <c r="F136" t="s" s="6">
        <v>863</v>
      </c>
      <c r="G136" t="s" s="7">
        <v>864</v>
      </c>
      <c r="H136" t="s" s="7">
        <v>865</v>
      </c>
      <c r="I136" t="str" s="8" cm="1">
        <f t="array" ref="I136">SUBSTITUTE(H136,B136,"(          )")</f>
        <v>The Grand Canyon is a famous natural wonder in Arizona.</v>
      </c>
      <c r="J136" s="9" cm="1">
        <f t="array" ref="J136">SUMIF('외운 것 - 엑셀다운로드 파일(붙여넣기)'!A3:A562,A136,'외운 것 - 엑셀다운로드 파일(붙여넣기)'!D3:D562)</f>
        <v>2</v>
      </c>
      <c r="K136" s="9" cm="1">
        <f t="array" ref="K136">_xlfn.COUNTIFS('외운 것 - 엑셀다운로드 파일(붙여넣기)'!A3:A562,A136,'외운 것 - 엑셀다운로드 파일(붙여넣기)'!D3:D562,0)</f>
        <v>0</v>
      </c>
      <c r="L136" s="9" cm="1">
        <f t="array" ref="L136">IF(J136&gt;=3,_xlfn.XLOOKUP(A136,'외운 것 - 엑셀다운로드 파일(붙여넣기)'!A3:A562,'외운 것 - 엑셀다운로드 파일(붙여넣기)'!C3:C562,0,-1),0)</f>
        <v>0</v>
      </c>
    </row>
    <row r="137" ht="23.45" customHeight="1">
      <c r="A137" s="3">
        <v>136</v>
      </c>
      <c r="B137" t="s" s="4">
        <v>867</v>
      </c>
      <c r="C137" t="s" s="5">
        <v>835</v>
      </c>
      <c r="D137" t="s" s="5">
        <v>836</v>
      </c>
      <c r="E137" t="s" s="5">
        <v>868</v>
      </c>
      <c r="F137" t="s" s="10">
        <v>869</v>
      </c>
      <c r="G137" t="s" s="7">
        <v>870</v>
      </c>
      <c r="H137" t="s" s="7">
        <v>871</v>
      </c>
      <c r="I137" t="str" s="8" cm="1">
        <f t="array" ref="I137">SUBSTITUTE(H137,B137,"(          )")</f>
        <v>Venice is known for its beautiful (          )s.</v>
      </c>
      <c r="J137" s="9" cm="1">
        <f t="array" ref="J137">SUMIF('외운 것 - 엑셀다운로드 파일(붙여넣기)'!A3:A562,A137,'외운 것 - 엑셀다운로드 파일(붙여넣기)'!D3:D562)</f>
        <v>2</v>
      </c>
      <c r="K137" s="9" cm="1">
        <f t="array" ref="K137">_xlfn.COUNTIFS('외운 것 - 엑셀다운로드 파일(붙여넣기)'!A3:A562,A137,'외운 것 - 엑셀다운로드 파일(붙여넣기)'!D3:D562,0)</f>
        <v>0</v>
      </c>
      <c r="L137" s="9" cm="1">
        <f t="array" ref="L137">IF(J137&gt;=3,_xlfn.XLOOKUP(A137,'외운 것 - 엑셀다운로드 파일(붙여넣기)'!A3:A562,'외운 것 - 엑셀다운로드 파일(붙여넣기)'!C3:C562,0,-1),0)</f>
        <v>0</v>
      </c>
    </row>
    <row r="138" ht="53.45" customHeight="1">
      <c r="A138" s="3">
        <v>137</v>
      </c>
      <c r="B138" t="s" s="4">
        <v>873</v>
      </c>
      <c r="C138" t="s" s="5">
        <v>835</v>
      </c>
      <c r="D138" t="s" s="5">
        <v>836</v>
      </c>
      <c r="E138" t="s" s="5">
        <v>874</v>
      </c>
      <c r="F138" t="s" s="10">
        <v>875</v>
      </c>
      <c r="G138" t="s" s="7">
        <v>876</v>
      </c>
      <c r="H138" t="s" s="7">
        <v>877</v>
      </c>
      <c r="I138" t="str" s="8" cm="1">
        <f t="array" ref="I138">SUBSTITUTE(H138,B138,"(          )")</f>
        <v>Switch to (          ) five to watch the news.</v>
      </c>
      <c r="J138" s="9" cm="1">
        <f t="array" ref="J138">SUMIF('외운 것 - 엑셀다운로드 파일(붙여넣기)'!A3:A562,A138,'외운 것 - 엑셀다운로드 파일(붙여넣기)'!D3:D562)</f>
        <v>2</v>
      </c>
      <c r="K138" s="9" cm="1">
        <f t="array" ref="K138">_xlfn.COUNTIFS('외운 것 - 엑셀다운로드 파일(붙여넣기)'!A3:A562,A138,'외운 것 - 엑셀다운로드 파일(붙여넣기)'!D3:D562,0)</f>
        <v>0</v>
      </c>
      <c r="L138" s="9" cm="1">
        <f t="array" ref="L138">IF(J138&gt;=3,_xlfn.XLOOKUP(A138,'외운 것 - 엑셀다운로드 파일(붙여넣기)'!A3:A562,'외운 것 - 엑셀다운로드 파일(붙여넣기)'!C3:C562,0,-1),0)</f>
        <v>0</v>
      </c>
    </row>
    <row r="139" ht="23.45" customHeight="1">
      <c r="A139" s="3">
        <v>138</v>
      </c>
      <c r="B139" t="s" s="4">
        <v>879</v>
      </c>
      <c r="C139" t="s" s="5">
        <v>879</v>
      </c>
      <c r="D139" t="s" s="5">
        <v>880</v>
      </c>
      <c r="E139" t="s" s="5">
        <v>881</v>
      </c>
      <c r="F139" t="s" s="10">
        <v>882</v>
      </c>
      <c r="G139" t="s" s="7">
        <v>883</v>
      </c>
      <c r="H139" t="s" s="7">
        <v>884</v>
      </c>
      <c r="I139" t="str" s="8" cm="1">
        <f t="array" ref="I139">SUBSTITUTE(H139,B139,"(          )")</f>
        <v>He wore a baseball (          ) to protect himself from the sun.</v>
      </c>
      <c r="J139" s="9" cm="1">
        <f t="array" ref="J139">SUMIF('외운 것 - 엑셀다운로드 파일(붙여넣기)'!A3:A562,A139,'외운 것 - 엑셀다운로드 파일(붙여넣기)'!D3:D562)</f>
        <v>2</v>
      </c>
      <c r="K139" s="9" cm="1">
        <f t="array" ref="K139">_xlfn.COUNTIFS('외운 것 - 엑셀다운로드 파일(붙여넣기)'!A3:A562,A139,'외운 것 - 엑셀다운로드 파일(붙여넣기)'!D3:D562,0)</f>
        <v>0</v>
      </c>
      <c r="L139" s="9" cm="1">
        <f t="array" ref="L139">IF(J139&gt;=3,_xlfn.XLOOKUP(A139,'외운 것 - 엑셀다운로드 파일(붙여넣기)'!A3:A562,'외운 것 - 엑셀다운로드 파일(붙여넣기)'!C3:C562,0,-1),0)</f>
        <v>0</v>
      </c>
    </row>
    <row r="140" ht="38.45" customHeight="1">
      <c r="A140" s="3">
        <v>139</v>
      </c>
      <c r="B140" t="s" s="4">
        <v>886</v>
      </c>
      <c r="C140" t="s" s="5">
        <v>879</v>
      </c>
      <c r="D140" t="s" s="5">
        <v>880</v>
      </c>
      <c r="E140" t="s" s="5">
        <v>887</v>
      </c>
      <c r="F140" t="s" s="10">
        <v>888</v>
      </c>
      <c r="G140" t="s" s="7">
        <v>889</v>
      </c>
      <c r="H140" t="s" s="7">
        <v>890</v>
      </c>
      <c r="I140" t="str" s="8" cm="1">
        <f t="array" ref="I140">SUBSTITUTE(H140,B140,"(          )")</f>
        <v>The astronauts returned to Earth in a space (          ).</v>
      </c>
      <c r="J140" s="9" cm="1">
        <f t="array" ref="J140">SUMIF('외운 것 - 엑셀다운로드 파일(붙여넣기)'!A3:A562,A140,'외운 것 - 엑셀다운로드 파일(붙여넣기)'!D3:D562)</f>
        <v>0</v>
      </c>
      <c r="K140" s="9" cm="1">
        <f t="array" ref="K140">_xlfn.COUNTIFS('외운 것 - 엑셀다운로드 파일(붙여넣기)'!A3:A562,A140,'외운 것 - 엑셀다운로드 파일(붙여넣기)'!D3:D562,0)</f>
        <v>2</v>
      </c>
      <c r="L140" s="9" cm="1">
        <f t="array" ref="L140">IF(J140&gt;=3,_xlfn.XLOOKUP(A140,'외운 것 - 엑셀다운로드 파일(붙여넣기)'!A3:A562,'외운 것 - 엑셀다운로드 파일(붙여넣기)'!C3:C562,0,-1),0)</f>
        <v>0</v>
      </c>
    </row>
    <row r="141" ht="23.45" customHeight="1">
      <c r="A141" s="3">
        <v>140</v>
      </c>
      <c r="B141" t="s" s="4">
        <v>892</v>
      </c>
      <c r="C141" t="s" s="5">
        <v>879</v>
      </c>
      <c r="D141" t="s" s="5">
        <v>880</v>
      </c>
      <c r="E141" t="s" s="5">
        <v>893</v>
      </c>
      <c r="F141" t="s" s="10">
        <v>894</v>
      </c>
      <c r="G141" t="s" s="7">
        <v>895</v>
      </c>
      <c r="H141" t="s" s="7">
        <v>896</v>
      </c>
      <c r="I141" t="str" s="8" cm="1">
        <f t="array" ref="I141">SUBSTITUTE(H141,B141,"(          )")</f>
        <v>The theater has a (          ) of 500 people.</v>
      </c>
      <c r="J141" s="9" cm="1">
        <f t="array" ref="J141">SUMIF('외운 것 - 엑셀다운로드 파일(붙여넣기)'!A3:A562,A141,'외운 것 - 엑셀다운로드 파일(붙여넣기)'!D3:D562)</f>
        <v>1</v>
      </c>
      <c r="K141" s="9" cm="1">
        <f t="array" ref="K141">_xlfn.COUNTIFS('외운 것 - 엑셀다운로드 파일(붙여넣기)'!A3:A562,A141,'외운 것 - 엑셀다운로드 파일(붙여넣기)'!D3:D562,0)</f>
        <v>1</v>
      </c>
      <c r="L141" s="9" cm="1">
        <f t="array" ref="L141">IF(J141&gt;=3,_xlfn.XLOOKUP(A141,'외운 것 - 엑셀다운로드 파일(붙여넣기)'!A3:A562,'외운 것 - 엑셀다운로드 파일(붙여넣기)'!C3:C562,0,-1),0)</f>
        <v>0</v>
      </c>
    </row>
    <row r="142" ht="23.45" customHeight="1">
      <c r="A142" s="3">
        <v>141</v>
      </c>
      <c r="B142" t="s" s="4">
        <v>898</v>
      </c>
      <c r="C142" t="s" s="5">
        <v>879</v>
      </c>
      <c r="D142" t="s" s="5">
        <v>880</v>
      </c>
      <c r="E142" t="s" s="5">
        <v>899</v>
      </c>
      <c r="F142" t="s" s="10">
        <v>900</v>
      </c>
      <c r="G142" t="s" s="7">
        <v>901</v>
      </c>
      <c r="H142" t="s" s="7">
        <v>902</v>
      </c>
      <c r="I142" t="str" s="8" cm="1">
        <f t="array" ref="I142">SUBSTITUTE(H142,B142,"(          )")</f>
        <v>Her (          ) bag held all her shopping purchases.</v>
      </c>
      <c r="J142" s="9" cm="1">
        <f t="array" ref="J142">SUMIF('외운 것 - 엑셀다운로드 파일(붙여넣기)'!A3:A562,A142,'외운 것 - 엑셀다운로드 파일(붙여넣기)'!D3:D562)</f>
        <v>2</v>
      </c>
      <c r="K142" s="9" cm="1">
        <f t="array" ref="K142">_xlfn.COUNTIFS('외운 것 - 엑셀다운로드 파일(붙여넣기)'!A3:A562,A142,'외운 것 - 엑셀다운로드 파일(붙여넣기)'!D3:D562,0)</f>
        <v>0</v>
      </c>
      <c r="L142" s="9" cm="1">
        <f t="array" ref="L142">IF(J142&gt;=3,_xlfn.XLOOKUP(A142,'외운 것 - 엑셀다운로드 파일(붙여넣기)'!A3:A562,'외운 것 - 엑셀다운로드 파일(붙여넣기)'!C3:C562,0,-1),0)</f>
        <v>0</v>
      </c>
    </row>
    <row r="143" ht="23.45" customHeight="1">
      <c r="A143" s="3">
        <v>142</v>
      </c>
      <c r="B143" t="s" s="4">
        <v>904</v>
      </c>
      <c r="C143" t="s" s="5">
        <v>879</v>
      </c>
      <c r="D143" t="s" s="5">
        <v>880</v>
      </c>
      <c r="E143" t="s" s="5">
        <v>905</v>
      </c>
      <c r="F143" t="s" s="10">
        <v>906</v>
      </c>
      <c r="G143" t="s" s="7">
        <v>907</v>
      </c>
      <c r="H143" t="s" s="7">
        <v>908</v>
      </c>
      <c r="I143" t="str" s="8" cm="1">
        <f t="array" ref="I143">SUBSTITUTE(H143,B143,"(          )")</f>
        <v>She is (          ) of running a marathon.</v>
      </c>
      <c r="J143" s="9" cm="1">
        <f t="array" ref="J143">SUMIF('외운 것 - 엑셀다운로드 파일(붙여넣기)'!A3:A562,A143,'외운 것 - 엑셀다운로드 파일(붙여넣기)'!D3:D562)</f>
        <v>1</v>
      </c>
      <c r="K143" s="9" cm="1">
        <f t="array" ref="K143">_xlfn.COUNTIFS('외운 것 - 엑셀다운로드 파일(붙여넣기)'!A3:A562,A143,'외운 것 - 엑셀다운로드 파일(붙여넣기)'!D3:D562,0)</f>
        <v>1</v>
      </c>
      <c r="L143" s="9" cm="1">
        <f t="array" ref="L143">IF(J143&gt;=3,_xlfn.XLOOKUP(A143,'외운 것 - 엑셀다운로드 파일(붙여넣기)'!A3:A562,'외운 것 - 엑셀다운로드 파일(붙여넣기)'!C3:C562,0,-1),0)</f>
        <v>0</v>
      </c>
    </row>
    <row r="144" ht="38.45" customHeight="1">
      <c r="A144" s="3">
        <v>143</v>
      </c>
      <c r="B144" t="s" s="4">
        <v>910</v>
      </c>
      <c r="C144" t="s" s="5">
        <v>879</v>
      </c>
      <c r="D144" t="s" s="5">
        <v>880</v>
      </c>
      <c r="E144" t="s" s="5">
        <v>911</v>
      </c>
      <c r="F144" t="s" s="10">
        <v>912</v>
      </c>
      <c r="G144" t="s" s="7">
        <v>913</v>
      </c>
      <c r="H144" t="s" s="7">
        <v>914</v>
      </c>
      <c r="I144" t="str" s="8" cm="1">
        <f t="array" ref="I144">SUBSTITUTE(H144,B144,"(          )")</f>
        <v>The (          ) of the ship has years of experience.</v>
      </c>
      <c r="J144" s="9" cm="1">
        <f t="array" ref="J144">SUMIF('외운 것 - 엑셀다운로드 파일(붙여넣기)'!A3:A562,A144,'외운 것 - 엑셀다운로드 파일(붙여넣기)'!D3:D562)</f>
        <v>1</v>
      </c>
      <c r="K144" s="9" cm="1">
        <f t="array" ref="K144">_xlfn.COUNTIFS('외운 것 - 엑셀다운로드 파일(붙여넣기)'!A3:A562,A144,'외운 것 - 엑셀다운로드 파일(붙여넣기)'!D3:D562,0)</f>
        <v>1</v>
      </c>
      <c r="L144" s="9" cm="1">
        <f t="array" ref="L144">IF(J144&gt;=3,_xlfn.XLOOKUP(A144,'외운 것 - 엑셀다운로드 파일(붙여넣기)'!A3:A562,'외운 것 - 엑셀다운로드 파일(붙여넣기)'!C3:C562,0,-1),0)</f>
        <v>0</v>
      </c>
    </row>
    <row r="145" ht="53.45" customHeight="1">
      <c r="A145" s="3">
        <v>144</v>
      </c>
      <c r="B145" t="s" s="4">
        <v>916</v>
      </c>
      <c r="C145" t="s" s="5">
        <v>917</v>
      </c>
      <c r="D145" t="s" s="5">
        <v>879</v>
      </c>
      <c r="E145" t="s" s="5">
        <v>918</v>
      </c>
      <c r="F145" t="s" s="10">
        <v>919</v>
      </c>
      <c r="G145" t="s" s="7">
        <v>920</v>
      </c>
      <c r="H145" t="s" s="7">
        <v>921</v>
      </c>
      <c r="I145" t="str" s="8" cm="1">
        <f t="array" ref="I145">SUBSTITUTE(H145,B145,"(          )")</f>
        <v>Tokyo is the (          ) city of Japan.</v>
      </c>
      <c r="J145" s="9" cm="1">
        <f t="array" ref="J145">SUMIF('외운 것 - 엑셀다운로드 파일(붙여넣기)'!A3:A562,A145,'외운 것 - 엑셀다운로드 파일(붙여넣기)'!D3:D562)</f>
        <v>1</v>
      </c>
      <c r="K145" s="9" cm="1">
        <f t="array" ref="K145">_xlfn.COUNTIFS('외운 것 - 엑셀다운로드 파일(붙여넣기)'!A3:A562,A145,'외운 것 - 엑셀다운로드 파일(붙여넣기)'!D3:D562,0)</f>
        <v>1</v>
      </c>
      <c r="L145" s="9" cm="1">
        <f t="array" ref="L145">IF(J145&gt;=3,_xlfn.XLOOKUP(A145,'외운 것 - 엑셀다운로드 파일(붙여넣기)'!A3:A562,'외운 것 - 엑셀다운로드 파일(붙여넣기)'!C3:C562,0,-1),0)</f>
        <v>0</v>
      </c>
    </row>
    <row r="146" ht="23.45" customHeight="1">
      <c r="A146" s="3">
        <v>145</v>
      </c>
      <c r="B146" t="s" s="4">
        <v>923</v>
      </c>
      <c r="C146" t="s" s="5">
        <v>879</v>
      </c>
      <c r="D146" t="s" s="5">
        <v>880</v>
      </c>
      <c r="E146" t="s" s="5">
        <v>924</v>
      </c>
      <c r="F146" t="s" s="10">
        <v>925</v>
      </c>
      <c r="G146" t="s" s="7">
        <v>926</v>
      </c>
      <c r="H146" t="s" s="7">
        <v>927</v>
      </c>
      <c r="I146" t="str" s="8" cm="1">
        <f t="array" ref="I146">SUBSTITUTE(H146,B146,"(          )")</f>
        <v>The superhero wore a flowing (          ).</v>
      </c>
      <c r="J146" s="9" cm="1">
        <f t="array" ref="J146">SUMIF('외운 것 - 엑셀다운로드 파일(붙여넣기)'!A3:A562,A146,'외운 것 - 엑셀다운로드 파일(붙여넣기)'!D3:D562)</f>
        <v>0</v>
      </c>
      <c r="K146" s="9" cm="1">
        <f t="array" ref="K146">_xlfn.COUNTIFS('외운 것 - 엑셀다운로드 파일(붙여넣기)'!A3:A562,A146,'외운 것 - 엑셀다운로드 파일(붙여넣기)'!D3:D562,0)</f>
        <v>2</v>
      </c>
      <c r="L146" s="9" cm="1">
        <f t="array" ref="L146">IF(J146&gt;=3,_xlfn.XLOOKUP(A146,'외운 것 - 엑셀다운로드 파일(붙여넣기)'!A3:A562,'외운 것 - 엑셀다운로드 파일(붙여넣기)'!C3:C562,0,-1),0)</f>
        <v>0</v>
      </c>
    </row>
    <row r="147" ht="23.45" customHeight="1">
      <c r="A147" s="3">
        <v>146</v>
      </c>
      <c r="B147" t="s" s="4">
        <v>929</v>
      </c>
      <c r="C147" t="s" s="5">
        <v>930</v>
      </c>
      <c r="D147" t="s" s="5">
        <v>879</v>
      </c>
      <c r="E147" t="s" s="5">
        <v>931</v>
      </c>
      <c r="F147" t="s" s="10">
        <v>932</v>
      </c>
      <c r="G147" t="s" s="7">
        <v>933</v>
      </c>
      <c r="H147" t="s" s="7">
        <v>934</v>
      </c>
      <c r="I147" t="str" s="8" cm="1">
        <f t="array" ref="I147">SUBSTITUTE(H147,B147,"(          )")</f>
        <v>The prisoner planned his (          ) carefully.</v>
      </c>
      <c r="J147" s="9" cm="1">
        <f t="array" ref="J147">SUMIF('외운 것 - 엑셀다운로드 파일(붙여넣기)'!A3:A562,A147,'외운 것 - 엑셀다운로드 파일(붙여넣기)'!D3:D562)</f>
        <v>1</v>
      </c>
      <c r="K147" s="9" cm="1">
        <f t="array" ref="K147">_xlfn.COUNTIFS('외운 것 - 엑셀다운로드 파일(붙여넣기)'!A3:A562,A147,'외운 것 - 엑셀다운로드 파일(붙여넣기)'!D3:D562,0)</f>
        <v>1</v>
      </c>
      <c r="L147" s="9" cm="1">
        <f t="array" ref="L147">IF(J147&gt;=3,_xlfn.XLOOKUP(A147,'외운 것 - 엑셀다운로드 파일(붙여넣기)'!A3:A562,'외운 것 - 엑셀다운로드 파일(붙여넣기)'!C3:C562,0,-1),0)</f>
        <v>0</v>
      </c>
    </row>
    <row r="148" ht="23.45" customHeight="1">
      <c r="A148" s="3">
        <v>147</v>
      </c>
      <c r="B148" t="s" s="4">
        <v>936</v>
      </c>
      <c r="C148" t="s" s="5">
        <v>879</v>
      </c>
      <c r="D148" t="s" s="5">
        <v>880</v>
      </c>
      <c r="E148" t="s" s="5">
        <v>937</v>
      </c>
      <c r="F148" t="s" s="10">
        <v>938</v>
      </c>
      <c r="G148" t="s" s="7">
        <v>939</v>
      </c>
      <c r="H148" t="s" s="7">
        <v>940</v>
      </c>
      <c r="I148" t="str" s="8" cm="1">
        <f t="array" ref="I148">SUBSTITUTE(H148,B148,"(          )")</f>
        <v>His visual impairment is not a (          ) in his profession.</v>
      </c>
      <c r="J148" s="9" cm="1">
        <f t="array" ref="J148">SUMIF('외운 것 - 엑셀다운로드 파일(붙여넣기)'!A3:A562,A148,'외운 것 - 엑셀다운로드 파일(붙여넣기)'!D3:D562)</f>
        <v>2</v>
      </c>
      <c r="K148" s="9" cm="1">
        <f t="array" ref="K148">_xlfn.COUNTIFS('외운 것 - 엑셀다운로드 파일(붙여넣기)'!A3:A562,A148,'외운 것 - 엑셀다운로드 파일(붙여넣기)'!D3:D562,0)</f>
        <v>0</v>
      </c>
      <c r="L148" s="9" cm="1">
        <f t="array" ref="L148">IF(J148&gt;=3,_xlfn.XLOOKUP(A148,'외운 것 - 엑셀다운로드 파일(붙여넣기)'!A3:A562,'외운 것 - 엑셀다운로드 파일(붙여넣기)'!C3:C562,0,-1),0)</f>
        <v>0</v>
      </c>
    </row>
    <row r="149" ht="38.45" customHeight="1">
      <c r="A149" s="3">
        <v>148</v>
      </c>
      <c r="B149" t="s" s="4">
        <v>942</v>
      </c>
      <c r="C149" t="s" s="5">
        <v>879</v>
      </c>
      <c r="D149" t="s" s="5">
        <v>880</v>
      </c>
      <c r="E149" t="s" s="5">
        <v>943</v>
      </c>
      <c r="F149" t="s" s="10">
        <v>944</v>
      </c>
      <c r="G149" t="s" s="7">
        <v>945</v>
      </c>
      <c r="H149" t="s" s="7">
        <v>946</v>
      </c>
      <c r="I149" t="str" s="8" cm="1">
        <f t="array" ref="I149">SUBSTITUTE(H149,B149,"(          )")</f>
        <v>Strong winds could cause small boats to (          ).</v>
      </c>
      <c r="J149" s="9" cm="1">
        <f t="array" ref="J149">SUMIF('외운 것 - 엑셀다운로드 파일(붙여넣기)'!A3:A562,A149,'외운 것 - 엑셀다운로드 파일(붙여넣기)'!D3:D562)</f>
        <v>2</v>
      </c>
      <c r="K149" s="9" cm="1">
        <f t="array" ref="K149">_xlfn.COUNTIFS('외운 것 - 엑셀다운로드 파일(붙여넣기)'!A3:A562,A149,'외운 것 - 엑셀다운로드 파일(붙여넣기)'!D3:D562,0)</f>
        <v>0</v>
      </c>
      <c r="L149" s="9" cm="1">
        <f t="array" ref="L149">IF(J149&gt;=3,_xlfn.XLOOKUP(A149,'외운 것 - 엑셀다운로드 파일(붙여넣기)'!A3:A562,'외운 것 - 엑셀다운로드 파일(붙여넣기)'!C3:C562,0,-1),0)</f>
        <v>0</v>
      </c>
    </row>
    <row r="150" ht="23.45" customHeight="1">
      <c r="A150" s="3">
        <v>149</v>
      </c>
      <c r="B150" t="s" s="4">
        <v>948</v>
      </c>
      <c r="C150" t="s" s="5">
        <v>879</v>
      </c>
      <c r="D150" t="s" s="5">
        <v>880</v>
      </c>
      <c r="E150" t="s" s="5">
        <v>949</v>
      </c>
      <c r="F150" t="s" s="10">
        <v>950</v>
      </c>
      <c r="G150" t="s" s="7">
        <v>951</v>
      </c>
      <c r="H150" t="s" s="7">
        <v>952</v>
      </c>
      <c r="I150" t="str" s="8" cm="1">
        <f t="array" ref="I150">SUBSTITUTE(H150,B150,"(          )")</f>
        <v>The photographer managed to (          ) the perfect sunset.</v>
      </c>
      <c r="J150" s="9" cm="1">
        <f t="array" ref="J150">SUMIF('외운 것 - 엑셀다운로드 파일(붙여넣기)'!A3:A562,A150,'외운 것 - 엑셀다운로드 파일(붙여넣기)'!D3:D562)</f>
        <v>2</v>
      </c>
      <c r="K150" s="9" cm="1">
        <f t="array" ref="K150">_xlfn.COUNTIFS('외운 것 - 엑셀다운로드 파일(붙여넣기)'!A3:A562,A150,'외운 것 - 엑셀다운로드 파일(붙여넣기)'!D3:D562,0)</f>
        <v>0</v>
      </c>
      <c r="L150" s="9" cm="1">
        <f t="array" ref="L150">IF(J150&gt;=3,_xlfn.XLOOKUP(A150,'외운 것 - 엑셀다운로드 파일(붙여넣기)'!A3:A562,'외운 것 - 엑셀다운로드 파일(붙여넣기)'!C3:C562,0,-1),0)</f>
        <v>0</v>
      </c>
    </row>
    <row r="151" ht="38.45" customHeight="1">
      <c r="A151" s="3">
        <v>150</v>
      </c>
      <c r="B151" t="s" s="4">
        <v>954</v>
      </c>
      <c r="C151" t="s" s="5">
        <v>879</v>
      </c>
      <c r="D151" t="s" s="5">
        <v>880</v>
      </c>
      <c r="E151" t="s" s="5">
        <v>955</v>
      </c>
      <c r="F151" t="s" s="10">
        <v>956</v>
      </c>
      <c r="G151" t="s" s="7">
        <v>957</v>
      </c>
      <c r="H151" t="s" s="7">
        <v>958</v>
      </c>
      <c r="I151" t="str" s="8" cm="1">
        <f t="array" ref="I151">SUBSTITUTE(H151,B151,"(          )")</f>
        <v>The zoo kept the lion (          ) in a large enclosure.</v>
      </c>
      <c r="J151" s="9" cm="1">
        <f t="array" ref="J151">SUMIF('외운 것 - 엑셀다운로드 파일(붙여넣기)'!A3:A562,A151,'외운 것 - 엑셀다운로드 파일(붙여넣기)'!D3:D562)</f>
        <v>2</v>
      </c>
      <c r="K151" s="9" cm="1">
        <f t="array" ref="K151">_xlfn.COUNTIFS('외운 것 - 엑셀다운로드 파일(붙여넣기)'!A3:A562,A151,'외운 것 - 엑셀다운로드 파일(붙여넣기)'!D3:D562,0)</f>
        <v>0</v>
      </c>
      <c r="L151" s="9" cm="1">
        <f t="array" ref="L151">IF(J151&gt;=3,_xlfn.XLOOKUP(A151,'외운 것 - 엑셀다운로드 파일(붙여넣기)'!A3:A562,'외운 것 - 엑셀다운로드 파일(붙여넣기)'!C3:C562,0,-1),0)</f>
        <v>0</v>
      </c>
    </row>
    <row r="152" ht="38.45" customHeight="1">
      <c r="A152" s="3">
        <v>151</v>
      </c>
      <c r="B152" t="s" s="4">
        <v>960</v>
      </c>
      <c r="C152" t="s" s="5">
        <v>961</v>
      </c>
      <c r="D152" t="s" s="5">
        <v>879</v>
      </c>
      <c r="E152" t="s" s="5">
        <v>962</v>
      </c>
      <c r="F152" t="s" s="10">
        <v>963</v>
      </c>
      <c r="G152" t="s" s="7">
        <v>964</v>
      </c>
      <c r="H152" t="s" s="7">
        <v>965</v>
      </c>
      <c r="I152" t="str" s="8" cm="1">
        <f t="array" ref="I152">SUBSTITUTE(H152,B152,"(          )")</f>
        <v>Read the (          ) under the photograph for more information.</v>
      </c>
      <c r="J152" s="9" cm="1">
        <f t="array" ref="J152">SUMIF('외운 것 - 엑셀다운로드 파일(붙여넣기)'!A3:A562,A152,'외운 것 - 엑셀다운로드 파일(붙여넣기)'!D3:D562)</f>
        <v>2</v>
      </c>
      <c r="K152" s="9" cm="1">
        <f t="array" ref="K152">_xlfn.COUNTIFS('외운 것 - 엑셀다운로드 파일(붙여넣기)'!A3:A562,A152,'외운 것 - 엑셀다운로드 파일(붙여넣기)'!D3:D562,0)</f>
        <v>0</v>
      </c>
      <c r="L152" s="9" cm="1">
        <f t="array" ref="L152">IF(J152&gt;=3,_xlfn.XLOOKUP(A152,'외운 것 - 엑셀다운로드 파일(붙여넣기)'!A3:A562,'외운 것 - 엑셀다운로드 파일(붙여넣기)'!C3:C562,0,-1),0)</f>
        <v>0</v>
      </c>
    </row>
    <row r="153" ht="38.45" customHeight="1">
      <c r="A153" s="3">
        <v>152</v>
      </c>
      <c r="B153" t="s" s="4">
        <v>967</v>
      </c>
      <c r="C153" t="s" s="5">
        <v>968</v>
      </c>
      <c r="D153" t="s" s="5">
        <v>969</v>
      </c>
      <c r="E153" t="s" s="5">
        <v>970</v>
      </c>
      <c r="F153" t="s" s="10">
        <v>971</v>
      </c>
      <c r="G153" t="s" s="7">
        <v>972</v>
      </c>
      <c r="H153" t="s" s="7">
        <v>973</v>
      </c>
      <c r="I153" t="str" s="8" cm="1">
        <f t="array" ref="I153">SUBSTITUTE(H153,B153,"(          )")</f>
        <v>The religious (          ) guided her daily decisions.</v>
      </c>
      <c r="J153" s="9" cm="1">
        <f t="array" ref="J153">SUMIF('외운 것 - 엑셀다운로드 파일(붙여넣기)'!A3:A562,A153,'외운 것 - 엑셀다운로드 파일(붙여넣기)'!D3:D562)</f>
        <v>2</v>
      </c>
      <c r="K153" s="9" cm="1">
        <f t="array" ref="K153">_xlfn.COUNTIFS('외운 것 - 엑셀다운로드 파일(붙여넣기)'!A3:A562,A153,'외운 것 - 엑셀다운로드 파일(붙여넣기)'!D3:D562,0)</f>
        <v>0</v>
      </c>
      <c r="L153" s="9" cm="1">
        <f t="array" ref="L153">IF(J153&gt;=3,_xlfn.XLOOKUP(A153,'외운 것 - 엑셀다운로드 파일(붙여넣기)'!A3:A562,'외운 것 - 엑셀다운로드 파일(붙여넣기)'!C3:C562,0,-1),0)</f>
        <v>0</v>
      </c>
    </row>
    <row r="154" ht="23.45" customHeight="1">
      <c r="A154" s="3">
        <v>153</v>
      </c>
      <c r="B154" t="s" s="4">
        <v>975</v>
      </c>
      <c r="C154" t="s" s="5">
        <v>968</v>
      </c>
      <c r="D154" t="s" s="5">
        <v>969</v>
      </c>
      <c r="E154" t="s" s="5">
        <v>976</v>
      </c>
      <c r="F154" t="s" s="10">
        <v>977</v>
      </c>
      <c r="G154" t="s" s="7">
        <v>978</v>
      </c>
      <c r="H154" t="s" s="7">
        <v>979</v>
      </c>
      <c r="I154" t="str" s="8" cm="1">
        <f t="array" ref="I154">SUBSTITUTE(H154,B154,"(          )")</f>
        <v>It's a difficult (          ) to understand at first.</v>
      </c>
      <c r="J154" s="9" cm="1">
        <f t="array" ref="J154">SUMIF('외운 것 - 엑셀다운로드 파일(붙여넣기)'!A3:A562,A154,'외운 것 - 엑셀다운로드 파일(붙여넣기)'!D3:D562)</f>
        <v>2</v>
      </c>
      <c r="K154" s="9" cm="1">
        <f t="array" ref="K154">_xlfn.COUNTIFS('외운 것 - 엑셀다운로드 파일(붙여넣기)'!A3:A562,A154,'외운 것 - 엑셀다운로드 파일(붙여넣기)'!D3:D562,0)</f>
        <v>0</v>
      </c>
      <c r="L154" s="9" cm="1">
        <f t="array" ref="L154">IF(J154&gt;=3,_xlfn.XLOOKUP(A154,'외운 것 - 엑셀다운로드 파일(붙여넣기)'!A3:A562,'외운 것 - 엑셀다운로드 파일(붙여넣기)'!C3:C562,0,-1),0)</f>
        <v>0</v>
      </c>
    </row>
    <row r="155" ht="38.45" customHeight="1">
      <c r="A155" s="3">
        <v>154</v>
      </c>
      <c r="B155" t="s" s="4">
        <v>981</v>
      </c>
      <c r="C155" t="s" s="5">
        <v>982</v>
      </c>
      <c r="D155" t="s" s="5">
        <v>968</v>
      </c>
      <c r="E155" t="s" s="5">
        <v>983</v>
      </c>
      <c r="F155" t="s" s="10">
        <v>984</v>
      </c>
      <c r="G155" t="s" s="7">
        <v>985</v>
      </c>
      <c r="H155" t="s" s="7">
        <v>986</v>
      </c>
      <c r="I155" t="str" s="8" cm="1">
        <f t="array" ref="I155">SUBSTITUTE(H155,B155,"(          )")</f>
        <v>There is a common (          ) that bats are blind.</v>
      </c>
      <c r="J155" s="9" cm="1">
        <f t="array" ref="J155">SUMIF('외운 것 - 엑셀다운로드 파일(붙여넣기)'!A3:A562,A155,'외운 것 - 엑셀다운로드 파일(붙여넣기)'!D3:D562)</f>
        <v>0</v>
      </c>
      <c r="K155" s="9" cm="1">
        <f t="array" ref="K155">_xlfn.COUNTIFS('외운 것 - 엑셀다운로드 파일(붙여넣기)'!A3:A562,A155,'외운 것 - 엑셀다운로드 파일(붙여넣기)'!D3:D562,0)</f>
        <v>2</v>
      </c>
      <c r="L155" s="9" cm="1">
        <f t="array" ref="L155">IF(J155&gt;=3,_xlfn.XLOOKUP(A155,'외운 것 - 엑셀다운로드 파일(붙여넣기)'!A3:A562,'외운 것 - 엑셀다운로드 파일(붙여넣기)'!C3:C562,0,-1),0)</f>
        <v>0</v>
      </c>
    </row>
    <row r="156" ht="38.45" customHeight="1">
      <c r="A156" s="3">
        <v>155</v>
      </c>
      <c r="B156" t="s" s="4">
        <v>988</v>
      </c>
      <c r="C156" t="s" s="5">
        <v>968</v>
      </c>
      <c r="D156" t="s" s="5">
        <v>969</v>
      </c>
      <c r="E156" t="s" s="5">
        <v>989</v>
      </c>
      <c r="F156" t="s" s="10">
        <v>990</v>
      </c>
      <c r="G156" t="s" s="7">
        <v>991</v>
      </c>
      <c r="H156" t="s" s="7">
        <v>992</v>
      </c>
      <c r="I156" t="str" s="8" cm="1">
        <f t="array" ref="I156">SUBSTITUTE(H156,B156,"(          )")</f>
        <v>Young children are (          ) to many illnesses.</v>
      </c>
      <c r="J156" s="9" cm="1">
        <f t="array" ref="J156">SUMIF('외운 것 - 엑셀다운로드 파일(붙여넣기)'!A3:A562,A156,'외운 것 - 엑셀다운로드 파일(붙여넣기)'!D3:D562)</f>
        <v>0</v>
      </c>
      <c r="K156" s="9" cm="1">
        <f t="array" ref="K156">_xlfn.COUNTIFS('외운 것 - 엑셀다운로드 파일(붙여넣기)'!A3:A562,A156,'외운 것 - 엑셀다운로드 파일(붙여넣기)'!D3:D562,0)</f>
        <v>2</v>
      </c>
      <c r="L156" s="9" cm="1">
        <f t="array" ref="L156">IF(J156&gt;=3,_xlfn.XLOOKUP(A156,'외운 것 - 엑셀다운로드 파일(붙여넣기)'!A3:A562,'외운 것 - 엑셀다운로드 파일(붙여넣기)'!C3:C562,0,-1),0)</f>
        <v>0</v>
      </c>
    </row>
    <row r="157" ht="23.45" customHeight="1">
      <c r="A157" s="3">
        <v>156</v>
      </c>
      <c r="B157" t="s" s="4">
        <v>994</v>
      </c>
      <c r="C157" t="s" s="5">
        <v>968</v>
      </c>
      <c r="D157" t="s" s="5">
        <v>969</v>
      </c>
      <c r="E157" t="s" s="5">
        <v>995</v>
      </c>
      <c r="F157" t="s" s="10">
        <v>996</v>
      </c>
      <c r="G157" t="s" s="7">
        <v>997</v>
      </c>
      <c r="H157" t="s" s="7">
        <v>998</v>
      </c>
      <c r="I157" t="str" s="8" cm="1">
        <f t="array" ref="I157">SUBSTITUTE(H157,B157,"(          )")</f>
        <v>I (          ) your apology for being late.</v>
      </c>
      <c r="J157" s="9" cm="1">
        <f t="array" ref="J157">SUMIF('외운 것 - 엑셀다운로드 파일(붙여넣기)'!A3:A562,A157,'외운 것 - 엑셀다운로드 파일(붙여넣기)'!D3:D562)</f>
        <v>1</v>
      </c>
      <c r="K157" s="9" cm="1">
        <f t="array" ref="K157">_xlfn.COUNTIFS('외운 것 - 엑셀다운로드 파일(붙여넣기)'!A3:A562,A157,'외운 것 - 엑셀다운로드 파일(붙여넣기)'!D3:D562,0)</f>
        <v>1</v>
      </c>
      <c r="L157" s="9" cm="1">
        <f t="array" ref="L157">IF(J157&gt;=3,_xlfn.XLOOKUP(A157,'외운 것 - 엑셀다운로드 파일(붙여넣기)'!A3:A562,'외운 것 - 엑셀다운로드 파일(붙여넣기)'!C3:C562,0,-1),0)</f>
        <v>0</v>
      </c>
    </row>
    <row r="158" ht="38.45" customHeight="1">
      <c r="A158" s="3">
        <v>157</v>
      </c>
      <c r="B158" t="s" s="4">
        <v>1000</v>
      </c>
      <c r="C158" t="s" s="5">
        <v>968</v>
      </c>
      <c r="D158" t="s" s="5">
        <v>969</v>
      </c>
      <c r="E158" t="s" s="5">
        <v>1001</v>
      </c>
      <c r="F158" t="s" s="10">
        <v>1002</v>
      </c>
      <c r="G158" t="s" s="7">
        <v>1003</v>
      </c>
      <c r="H158" t="s" s="7">
        <v>1004</v>
      </c>
      <c r="I158" t="str" s="8" cm="1">
        <f t="array" ref="I158">SUBSTITUTE(H158,B158,"(          )")</f>
        <v>The wedding (          ) was held at a beautiful hotel.</v>
      </c>
      <c r="J158" s="9" cm="1">
        <f t="array" ref="J158">SUMIF('외운 것 - 엑셀다운로드 파일(붙여넣기)'!A3:A562,A158,'외운 것 - 엑셀다운로드 파일(붙여넣기)'!D3:D562)</f>
        <v>2</v>
      </c>
      <c r="K158" s="9" cm="1">
        <f t="array" ref="K158">_xlfn.COUNTIFS('외운 것 - 엑셀다운로드 파일(붙여넣기)'!A3:A562,A158,'외운 것 - 엑셀다운로드 파일(붙여넣기)'!D3:D562,0)</f>
        <v>0</v>
      </c>
      <c r="L158" s="9" cm="1">
        <f t="array" ref="L158">IF(J158&gt;=3,_xlfn.XLOOKUP(A158,'외운 것 - 엑셀다운로드 파일(붙여넣기)'!A3:A562,'외운 것 - 엑셀다운로드 파일(붙여넣기)'!C3:C562,0,-1),0)</f>
        <v>0</v>
      </c>
    </row>
    <row r="159" ht="38.45" customHeight="1">
      <c r="A159" s="3">
        <v>158</v>
      </c>
      <c r="B159" t="s" s="4">
        <v>1006</v>
      </c>
      <c r="C159" t="s" s="5">
        <v>1007</v>
      </c>
      <c r="D159" t="s" s="5">
        <v>968</v>
      </c>
      <c r="E159" t="s" s="5">
        <v>1008</v>
      </c>
      <c r="F159" t="s" s="10">
        <v>1009</v>
      </c>
      <c r="G159" t="s" s="7">
        <v>1010</v>
      </c>
      <c r="H159" t="s" s="7">
        <v>1011</v>
      </c>
      <c r="I159" t="str" s="8" cm="1">
        <f t="array" ref="I159">SUBSTITUTE(H159,B159,"(          )")</f>
        <v>The (          ) greeted us warmly when we arrived.</v>
      </c>
      <c r="J159" s="9" cm="1">
        <f t="array" ref="J159">SUMIF('외운 것 - 엑셀다운로드 파일(붙여넣기)'!A3:A562,A159,'외운 것 - 엑셀다운로드 파일(붙여넣기)'!D3:D562)</f>
        <v>2</v>
      </c>
      <c r="K159" s="9" cm="1">
        <f t="array" ref="K159">_xlfn.COUNTIFS('외운 것 - 엑셀다운로드 파일(붙여넣기)'!A3:A562,A159,'외운 것 - 엑셀다운로드 파일(붙여넣기)'!D3:D562,0)</f>
        <v>0</v>
      </c>
      <c r="L159" s="9" cm="1">
        <f t="array" ref="L159">IF(J159&gt;=3,_xlfn.XLOOKUP(A159,'외운 것 - 엑셀다운로드 파일(붙여넣기)'!A3:A562,'외운 것 - 엑셀다운로드 파일(붙여넣기)'!C3:C562,0,-1),0)</f>
        <v>0</v>
      </c>
    </row>
    <row r="160" ht="38.45" customHeight="1">
      <c r="A160" s="3">
        <v>159</v>
      </c>
      <c r="B160" t="s" s="4">
        <v>1013</v>
      </c>
      <c r="C160" t="s" s="5">
        <v>1014</v>
      </c>
      <c r="D160" t="s" s="5">
        <v>968</v>
      </c>
      <c r="E160" t="s" s="5">
        <v>1015</v>
      </c>
      <c r="F160" t="s" s="10">
        <v>1016</v>
      </c>
      <c r="G160" t="s" s="7">
        <v>1017</v>
      </c>
      <c r="H160" t="s" s="7">
        <v>1018</v>
      </c>
      <c r="I160" t="str" s="8" cm="1">
        <f t="array" ref="I160">SUBSTITUTE(H160,B160,"(          )")</f>
        <v>Keep your (          ) in case you need to return the item.</v>
      </c>
      <c r="J160" s="9" cm="1">
        <f t="array" ref="J160">SUMIF('외운 것 - 엑셀다운로드 파일(붙여넣기)'!A3:A562,A160,'외운 것 - 엑셀다운로드 파일(붙여넣기)'!D3:D562)</f>
        <v>2</v>
      </c>
      <c r="K160" s="9" cm="1">
        <f t="array" ref="K160">_xlfn.COUNTIFS('외운 것 - 엑셀다운로드 파일(붙여넣기)'!A3:A562,A160,'외운 것 - 엑셀다운로드 파일(붙여넣기)'!D3:D562,0)</f>
        <v>0</v>
      </c>
      <c r="L160" s="9" cm="1">
        <f t="array" ref="L160">IF(J160&gt;=3,_xlfn.XLOOKUP(A160,'외운 것 - 엑셀다운로드 파일(붙여넣기)'!A3:A562,'외운 것 - 엑셀다운로드 파일(붙여넣기)'!C3:C562,0,-1),0)</f>
        <v>0</v>
      </c>
    </row>
    <row r="161" ht="23.45" customHeight="1">
      <c r="A161" s="3">
        <v>160</v>
      </c>
      <c r="B161" t="s" s="4">
        <v>1020</v>
      </c>
      <c r="C161" t="s" s="5">
        <v>968</v>
      </c>
      <c r="D161" t="s" s="5">
        <v>969</v>
      </c>
      <c r="E161" t="s" s="5">
        <v>1021</v>
      </c>
      <c r="F161" t="s" s="10">
        <v>1022</v>
      </c>
      <c r="G161" t="s" s="7">
        <v>1023</v>
      </c>
      <c r="H161" t="s" s="7">
        <v>1024</v>
      </c>
      <c r="I161" t="str" s="8" cm="1">
        <f t="array" ref="I161">SUBSTITUTE(H161,B161,"(          )")</f>
        <v>Everyone went to the party (          ) John.</v>
      </c>
      <c r="J161" s="9" cm="1">
        <f t="array" ref="J161">SUMIF('외운 것 - 엑셀다운로드 파일(붙여넣기)'!A3:A562,A161,'외운 것 - 엑셀다운로드 파일(붙여넣기)'!D3:D562)</f>
        <v>2</v>
      </c>
      <c r="K161" s="9" cm="1">
        <f t="array" ref="K161">_xlfn.COUNTIFS('외운 것 - 엑셀다운로드 파일(붙여넣기)'!A3:A562,A161,'외운 것 - 엑셀다운로드 파일(붙여넣기)'!D3:D562,0)</f>
        <v>0</v>
      </c>
      <c r="L161" s="9" cm="1">
        <f t="array" ref="L161">IF(J161&gt;=3,_xlfn.XLOOKUP(A161,'외운 것 - 엑셀다운로드 파일(붙여넣기)'!A3:A562,'외운 것 - 엑셀다운로드 파일(붙여넣기)'!C3:C562,0,-1),0)</f>
        <v>0</v>
      </c>
    </row>
    <row r="162" ht="38.45" customHeight="1">
      <c r="A162" s="3">
        <v>161</v>
      </c>
      <c r="B162" t="s" s="4">
        <v>1026</v>
      </c>
      <c r="C162" t="s" s="5">
        <v>968</v>
      </c>
      <c r="D162" t="s" s="5">
        <v>969</v>
      </c>
      <c r="E162" t="s" s="5">
        <v>1027</v>
      </c>
      <c r="F162" t="s" s="10">
        <v>1028</v>
      </c>
      <c r="G162" t="s" s="7">
        <v>1029</v>
      </c>
      <c r="H162" t="s" s="7">
        <v>1030</v>
      </c>
      <c r="I162" t="str" s="8" cm="1">
        <f t="array" ref="I162">SUBSTITUTE(H162,B162,"(          )")</f>
        <v>There are always (          )s to every rule.</v>
      </c>
      <c r="J162" s="9" cm="1">
        <f t="array" ref="J162">SUMIF('외운 것 - 엑셀다운로드 파일(붙여넣기)'!A3:A562,A162,'외운 것 - 엑셀다운로드 파일(붙여넣기)'!D3:D562)</f>
        <v>2</v>
      </c>
      <c r="K162" s="9" cm="1">
        <f t="array" ref="K162">_xlfn.COUNTIFS('외운 것 - 엑셀다운로드 파일(붙여넣기)'!A3:A562,A162,'외운 것 - 엑셀다운로드 파일(붙여넣기)'!D3:D562,0)</f>
        <v>0</v>
      </c>
      <c r="L162" s="9" cm="1">
        <f t="array" ref="L162">IF(J162&gt;=3,_xlfn.XLOOKUP(A162,'외운 것 - 엑셀다운로드 파일(붙여넣기)'!A3:A562,'외운 것 - 엑셀다운로드 파일(붙여넣기)'!C3:C562,0,-1),0)</f>
        <v>0</v>
      </c>
    </row>
    <row r="163" ht="38.45" customHeight="1">
      <c r="A163" s="3">
        <v>162</v>
      </c>
      <c r="B163" t="s" s="4">
        <v>1032</v>
      </c>
      <c r="C163" t="s" s="5">
        <v>1033</v>
      </c>
      <c r="D163" t="s" s="5">
        <v>968</v>
      </c>
      <c r="E163" t="s" s="5">
        <v>1034</v>
      </c>
      <c r="F163" t="s" s="10">
        <v>1035</v>
      </c>
      <c r="G163" t="s" s="7">
        <v>1036</v>
      </c>
      <c r="H163" t="s" s="7">
        <v>1037</v>
      </c>
      <c r="I163" t="str" s="8" cm="1">
        <f t="array" ref="I163">SUBSTITUTE(H163,B163,"(          )")</f>
        <v>Her performance in the competition was (          ).</v>
      </c>
      <c r="J163" s="9" cm="1">
        <f t="array" ref="J163">SUMIF('외운 것 - 엑셀다운로드 파일(붙여넣기)'!A3:A562,A163,'외운 것 - 엑셀다운로드 파일(붙여넣기)'!D3:D562)</f>
        <v>2</v>
      </c>
      <c r="K163" s="9" cm="1">
        <f t="array" ref="K163">_xlfn.COUNTIFS('외운 것 - 엑셀다운로드 파일(붙여넣기)'!A3:A562,A163,'외운 것 - 엑셀다운로드 파일(붙여넣기)'!D3:D562,0)</f>
        <v>0</v>
      </c>
      <c r="L163" s="9" cm="1">
        <f t="array" ref="L163">IF(J163&gt;=3,_xlfn.XLOOKUP(A163,'외운 것 - 엑셀다운로드 파일(붙여넣기)'!A3:A562,'외운 것 - 엑셀다운로드 파일(붙여넣기)'!C3:C562,0,-1),0)</f>
        <v>0</v>
      </c>
    </row>
    <row r="164" ht="38.45" customHeight="1">
      <c r="A164" s="3">
        <v>163</v>
      </c>
      <c r="B164" t="s" s="4">
        <v>1039</v>
      </c>
      <c r="C164" t="s" s="5">
        <v>1033</v>
      </c>
      <c r="D164" t="s" s="5">
        <v>968</v>
      </c>
      <c r="E164" t="s" s="5">
        <v>1040</v>
      </c>
      <c r="F164" t="s" s="10">
        <v>1041</v>
      </c>
      <c r="G164" t="s" s="7">
        <v>1042</v>
      </c>
      <c r="H164" t="s" s="7">
        <v>1043</v>
      </c>
      <c r="I164" t="str" s="8" cm="1">
        <f t="array" ref="I164">SUBSTITUTE(H164,B164,"(          )")</f>
        <v>The magazine published an (          ) from his new novel.</v>
      </c>
      <c r="J164" s="9" cm="1">
        <f t="array" ref="J164">SUMIF('외운 것 - 엑셀다운로드 파일(붙여넣기)'!A3:A562,A164,'외운 것 - 엑셀다운로드 파일(붙여넣기)'!D3:D562)</f>
        <v>0</v>
      </c>
      <c r="K164" s="9" cm="1">
        <f t="array" ref="K164">_xlfn.COUNTIFS('외운 것 - 엑셀다운로드 파일(붙여넣기)'!A3:A562,A164,'외운 것 - 엑셀다운로드 파일(붙여넣기)'!D3:D562,0)</f>
        <v>2</v>
      </c>
      <c r="L164" s="9" cm="1">
        <f t="array" ref="L164">IF(J164&gt;=3,_xlfn.XLOOKUP(A164,'외운 것 - 엑셀다운로드 파일(붙여넣기)'!A3:A562,'외운 것 - 엑셀다운로드 파일(붙여넣기)'!C3:C562,0,-1),0)</f>
        <v>0</v>
      </c>
    </row>
    <row r="165" ht="38.45" customHeight="1">
      <c r="A165" s="3">
        <v>164</v>
      </c>
      <c r="B165" t="s" s="4">
        <v>1045</v>
      </c>
      <c r="C165" t="s" s="5">
        <v>968</v>
      </c>
      <c r="D165" t="s" s="5">
        <v>969</v>
      </c>
      <c r="E165" t="s" s="5">
        <v>1046</v>
      </c>
      <c r="F165" t="s" s="10">
        <v>1047</v>
      </c>
      <c r="G165" t="s" s="7">
        <v>1048</v>
      </c>
      <c r="H165" t="s" s="7">
        <v>1049</v>
      </c>
      <c r="I165" t="str" s="8" cm="1">
        <f t="array" ref="I165">SUBSTITUTE(H165,B165,"(          )")</f>
        <v>His (          ) was discovered when the truth came out.</v>
      </c>
      <c r="J165" s="9" cm="1">
        <f t="array" ref="J165">SUMIF('외운 것 - 엑셀다운로드 파일(붙여넣기)'!A3:A562,A165,'외운 것 - 엑셀다운로드 파일(붙여넣기)'!D3:D562)</f>
        <v>0</v>
      </c>
      <c r="K165" s="9" cm="1">
        <f t="array" ref="K165">_xlfn.COUNTIFS('외운 것 - 엑셀다운로드 파일(붙여넣기)'!A3:A562,A165,'외운 것 - 엑셀다운로드 파일(붙여넣기)'!D3:D562,0)</f>
        <v>2</v>
      </c>
      <c r="L165" s="9" cm="1">
        <f t="array" ref="L165">IF(J165&gt;=3,_xlfn.XLOOKUP(A165,'외운 것 - 엑셀다운로드 파일(붙여넣기)'!A3:A562,'외운 것 - 엑셀다운로드 파일(붙여넣기)'!C3:C562,0,-1),0)</f>
        <v>0</v>
      </c>
    </row>
    <row r="166" ht="23.45" customHeight="1">
      <c r="A166" s="3">
        <v>165</v>
      </c>
      <c r="B166" t="s" s="4">
        <v>1051</v>
      </c>
      <c r="C166" t="s" s="5">
        <v>968</v>
      </c>
      <c r="D166" t="s" s="5">
        <v>969</v>
      </c>
      <c r="E166" t="s" s="5">
        <v>1052</v>
      </c>
      <c r="F166" t="s" s="10">
        <v>1053</v>
      </c>
      <c r="G166" t="s" s="7">
        <v>1054</v>
      </c>
      <c r="H166" t="s" s="7">
        <v>1055</v>
      </c>
      <c r="I166" t="str" s="8" cm="1">
        <f t="array" ref="I166">SUBSTITUTE(H166,B166,"(          )")</f>
        <v>The police will (          ) the smugglers at the border.</v>
      </c>
      <c r="J166" s="9" cm="1">
        <f t="array" ref="J166">SUMIF('외운 것 - 엑셀다운로드 파일(붙여넣기)'!A3:A562,A166,'외운 것 - 엑셀다운로드 파일(붙여넣기)'!D3:D562)</f>
        <v>2</v>
      </c>
      <c r="K166" s="9" cm="1">
        <f t="array" ref="K166">_xlfn.COUNTIFS('외운 것 - 엑셀다운로드 파일(붙여넣기)'!A3:A562,A166,'외운 것 - 엑셀다운로드 파일(붙여넣기)'!D3:D562,0)</f>
        <v>0</v>
      </c>
      <c r="L166" s="9" cm="1">
        <f t="array" ref="L166">IF(J166&gt;=3,_xlfn.XLOOKUP(A166,'외운 것 - 엑셀다운로드 파일(붙여넣기)'!A3:A562,'외운 것 - 엑셀다운로드 파일(붙여넣기)'!C3:C562,0,-1),0)</f>
        <v>0</v>
      </c>
    </row>
    <row r="167" ht="38.45" customHeight="1">
      <c r="A167" s="3">
        <v>166</v>
      </c>
      <c r="B167" t="s" s="4">
        <v>1057</v>
      </c>
      <c r="C167" t="s" s="5">
        <v>1058</v>
      </c>
      <c r="D167" t="s" s="5">
        <v>1059</v>
      </c>
      <c r="E167" t="s" s="5">
        <v>1060</v>
      </c>
      <c r="F167" t="s" s="10">
        <v>1061</v>
      </c>
      <c r="G167" t="s" s="7">
        <v>1062</v>
      </c>
      <c r="H167" t="s" s="7">
        <v>1063</v>
      </c>
      <c r="I167" t="str" s="8" cm="1">
        <f t="array" ref="I167">SUBSTITUTE(H167,B167,"(          )")</f>
        <v>This (          ) for chocolate cake is simple to follow.</v>
      </c>
      <c r="J167" s="9" cm="1">
        <f t="array" ref="J167">SUMIF('외운 것 - 엑셀다운로드 파일(붙여넣기)'!A3:A562,A167,'외운 것 - 엑셀다운로드 파일(붙여넣기)'!D3:D562)</f>
        <v>0</v>
      </c>
      <c r="K167" s="9" cm="1">
        <f t="array" ref="K167">_xlfn.COUNTIFS('외운 것 - 엑셀다운로드 파일(붙여넣기)'!A3:A562,A167,'외운 것 - 엑셀다운로드 파일(붙여넣기)'!D3:D562,0)</f>
        <v>2</v>
      </c>
      <c r="L167" s="9" cm="1">
        <f t="array" ref="L167">IF(J167&gt;=3,_xlfn.XLOOKUP(A167,'외운 것 - 엑셀다운로드 파일(붙여넣기)'!A3:A562,'외운 것 - 엑셀다운로드 파일(붙여넣기)'!C3:C562,0,-1),0)</f>
        <v>0</v>
      </c>
    </row>
    <row r="168" ht="38.45" customHeight="1">
      <c r="A168" s="3">
        <v>167</v>
      </c>
      <c r="B168" t="s" s="4">
        <v>1065</v>
      </c>
      <c r="C168" t="s" s="5">
        <v>1058</v>
      </c>
      <c r="D168" t="s" s="5">
        <v>1059</v>
      </c>
      <c r="E168" t="s" s="5">
        <v>1066</v>
      </c>
      <c r="F168" t="s" s="10">
        <v>1067</v>
      </c>
      <c r="G168" t="s" s="7">
        <v>1068</v>
      </c>
      <c r="H168" t="s" s="7">
        <v>1069</v>
      </c>
      <c r="I168" t="str" s="8" cm="1">
        <f t="array" ref="I168">SUBSTITUTE(H168,B168,"(          )")</f>
        <v>We (          ) heavy traffic during the holiday season.</v>
      </c>
      <c r="J168" s="9" cm="1">
        <f t="array" ref="J168">SUMIF('외운 것 - 엑셀다운로드 파일(붙여넣기)'!A3:A562,A168,'외운 것 - 엑셀다운로드 파일(붙여넣기)'!D3:D562)</f>
        <v>2</v>
      </c>
      <c r="K168" s="9" cm="1">
        <f t="array" ref="K168">_xlfn.COUNTIFS('외운 것 - 엑셀다운로드 파일(붙여넣기)'!A3:A562,A168,'외운 것 - 엑셀다운로드 파일(붙여넣기)'!D3:D562,0)</f>
        <v>0</v>
      </c>
      <c r="L168" s="9" cm="1">
        <f t="array" ref="L168">IF(J168&gt;=3,_xlfn.XLOOKUP(A168,'외운 것 - 엑셀다운로드 파일(붙여넣기)'!A3:A562,'외운 것 - 엑셀다운로드 파일(붙여넣기)'!C3:C562,0,-1),0)</f>
        <v>0</v>
      </c>
    </row>
    <row r="169" ht="38.45" customHeight="1">
      <c r="A169" s="3">
        <v>168</v>
      </c>
      <c r="B169" t="s" s="4">
        <v>1071</v>
      </c>
      <c r="C169" t="s" s="5">
        <v>1058</v>
      </c>
      <c r="D169" t="s" s="5">
        <v>1059</v>
      </c>
      <c r="E169" t="s" s="5">
        <v>1072</v>
      </c>
      <c r="F169" t="s" s="10">
        <v>1073</v>
      </c>
      <c r="G169" t="s" s="7">
        <v>1074</v>
      </c>
      <c r="H169" t="s" s="7">
        <v>1075</v>
      </c>
      <c r="I169" t="str" s="8" cm="1">
        <f t="array" ref="I169">SUBSTITUTE(H169,B169,"(          )")</f>
        <v>Each (          ) followed the teacher's instructions carefully.</v>
      </c>
      <c r="J169" s="9" cm="1">
        <f t="array" ref="J169">SUMIF('외운 것 - 엑셀다운로드 파일(붙여넣기)'!A3:A562,A169,'외운 것 - 엑셀다운로드 파일(붙여넣기)'!D3:D562)</f>
        <v>2</v>
      </c>
      <c r="K169" s="9" cm="1">
        <f t="array" ref="K169">_xlfn.COUNTIFS('외운 것 - 엑셀다운로드 파일(붙여넣기)'!A3:A562,A169,'외운 것 - 엑셀다운로드 파일(붙여넣기)'!D3:D562,0)</f>
        <v>0</v>
      </c>
      <c r="L169" s="9" cm="1">
        <f t="array" ref="L169">IF(J169&gt;=3,_xlfn.XLOOKUP(A169,'외운 것 - 엑셀다운로드 파일(붙여넣기)'!A3:A562,'외운 것 - 엑셀다운로드 파일(붙여넣기)'!C3:C562,0,-1),0)</f>
        <v>0</v>
      </c>
    </row>
    <row r="170" ht="38.45" customHeight="1">
      <c r="A170" s="3">
        <v>169</v>
      </c>
      <c r="B170" t="s" s="4">
        <v>1077</v>
      </c>
      <c r="C170" t="s" s="5">
        <v>1078</v>
      </c>
      <c r="D170" t="s" s="5">
        <v>1058</v>
      </c>
      <c r="E170" t="s" s="5">
        <v>1079</v>
      </c>
      <c r="F170" t="s" s="10">
        <v>1080</v>
      </c>
      <c r="G170" t="s" s="7">
        <v>1081</v>
      </c>
      <c r="H170" t="s" s="7">
        <v>1082</v>
      </c>
      <c r="I170" t="str" s="8" cm="1">
        <f t="array" ref="I170">SUBSTITUTE(H170,B170,"(          )")</f>
        <v>You need (          ) to practice piano every day.</v>
      </c>
      <c r="J170" s="9" cm="1">
        <f t="array" ref="J170">SUMIF('외운 것 - 엑셀다운로드 파일(붙여넣기)'!A3:A562,A170,'외운 것 - 엑셀다운로드 파일(붙여넣기)'!D3:D562)</f>
        <v>0</v>
      </c>
      <c r="K170" s="9" cm="1">
        <f t="array" ref="K170">_xlfn.COUNTIFS('외운 것 - 엑셀다운로드 파일(붙여넣기)'!A3:A562,A170,'외운 것 - 엑셀다운로드 파일(붙여넣기)'!D3:D562,0)</f>
        <v>2</v>
      </c>
      <c r="L170" s="9" cm="1">
        <f t="array" ref="L170">IF(J170&gt;=3,_xlfn.XLOOKUP(A170,'외운 것 - 엑셀다운로드 파일(붙여넣기)'!A3:A562,'외운 것 - 엑셀다운로드 파일(붙여넣기)'!C3:C562,0,-1),0)</f>
        <v>0</v>
      </c>
    </row>
    <row r="171" ht="38.45" customHeight="1">
      <c r="A171" s="3">
        <v>170</v>
      </c>
      <c r="B171" t="s" s="4">
        <v>1084</v>
      </c>
      <c r="C171" t="s" s="5">
        <v>1058</v>
      </c>
      <c r="D171" t="s" s="5">
        <v>1059</v>
      </c>
      <c r="E171" t="s" s="5">
        <v>1085</v>
      </c>
      <c r="F171" t="s" s="10">
        <v>1086</v>
      </c>
      <c r="G171" t="s" s="7">
        <v>1087</v>
      </c>
      <c r="H171" t="s" s="7">
        <v>1088</v>
      </c>
      <c r="I171" t="str" s="8" cm="1">
        <f t="array" ref="I171">SUBSTITUTE(H171,B171,"(          )")</f>
        <v>His rude comments (          ) her decision to leave.</v>
      </c>
      <c r="J171" s="9" cm="1">
        <f t="array" ref="J171">SUMIF('외운 것 - 엑셀다운로드 파일(붙여넣기)'!A3:A562,A171,'외운 것 - 엑셀다운로드 파일(붙여넣기)'!D3:D562)</f>
        <v>0</v>
      </c>
      <c r="K171" s="9" cm="1">
        <f t="array" ref="K171">_xlfn.COUNTIFS('외운 것 - 엑셀다운로드 파일(붙여넣기)'!A3:A562,A171,'외운 것 - 엑셀다운로드 파일(붙여넣기)'!D3:D562,0)</f>
        <v>2</v>
      </c>
      <c r="L171" s="9" cm="1">
        <f t="array" ref="L171">IF(J171&gt;=3,_xlfn.XLOOKUP(A171,'외운 것 - 엑셀다운로드 파일(붙여넣기)'!A3:A562,'외운 것 - 엑셀다운로드 파일(붙여넣기)'!C3:C562,0,-1),0)</f>
        <v>0</v>
      </c>
    </row>
    <row r="172" ht="38.45" customHeight="1">
      <c r="A172" s="3">
        <v>171</v>
      </c>
      <c r="B172" t="s" s="4">
        <v>1090</v>
      </c>
      <c r="C172" t="s" s="5">
        <v>1058</v>
      </c>
      <c r="D172" t="s" s="5">
        <v>1059</v>
      </c>
      <c r="E172" t="s" s="5">
        <v>1091</v>
      </c>
      <c r="F172" t="s" s="10">
        <v>1092</v>
      </c>
      <c r="G172" t="s" s="7">
        <v>1093</v>
      </c>
      <c r="H172" t="s" s="7">
        <v>1094</v>
      </c>
      <c r="I172" t="str" s="8" cm="1">
        <f t="array" ref="I172">SUBSTITUTE(H172,B172,"(          )")</f>
        <v>The school (          ) spoke at the graduation ceremony.</v>
      </c>
      <c r="J172" s="9" cm="1">
        <f t="array" ref="J172">SUMIF('외운 것 - 엑셀다운로드 파일(붙여넣기)'!A3:A562,A172,'외운 것 - 엑셀다운로드 파일(붙여넣기)'!D3:D562)</f>
        <v>0</v>
      </c>
      <c r="K172" s="9" cm="1">
        <f t="array" ref="K172">_xlfn.COUNTIFS('외운 것 - 엑셀다운로드 파일(붙여넣기)'!A3:A562,A172,'외운 것 - 엑셀다운로드 파일(붙여넣기)'!D3:D562,0)</f>
        <v>2</v>
      </c>
      <c r="L172" s="9" cm="1">
        <f t="array" ref="L172">IF(J172&gt;=3,_xlfn.XLOOKUP(A172,'외운 것 - 엑셀다운로드 파일(붙여넣기)'!A3:A562,'외운 것 - 엑셀다운로드 파일(붙여넣기)'!C3:C562,0,-1),0)</f>
        <v>0</v>
      </c>
    </row>
    <row r="173" ht="38.45" customHeight="1">
      <c r="A173" s="3">
        <v>172</v>
      </c>
      <c r="B173" t="s" s="4">
        <v>1096</v>
      </c>
      <c r="C173" t="s" s="5">
        <v>1058</v>
      </c>
      <c r="D173" t="s" s="5">
        <v>1059</v>
      </c>
      <c r="E173" t="s" s="5">
        <v>1097</v>
      </c>
      <c r="F173" t="s" s="10">
        <v>1098</v>
      </c>
      <c r="G173" t="s" s="7">
        <v>1099</v>
      </c>
      <c r="H173" t="s" s="7">
        <v>1100</v>
      </c>
      <c r="I173" t="str" s="8" cm="1">
        <f t="array" ref="I173">SUBSTITUTE(H173,B173,"(          )")</f>
        <v>The countries signed a (          ) trade agreement.</v>
      </c>
      <c r="J173" s="9" cm="1">
        <f t="array" ref="J173">SUMIF('외운 것 - 엑셀다운로드 파일(붙여넣기)'!A3:A562,A173,'외운 것 - 엑셀다운로드 파일(붙여넣기)'!D3:D562)</f>
        <v>0</v>
      </c>
      <c r="K173" s="9" cm="1">
        <f t="array" ref="K173">_xlfn.COUNTIFS('외운 것 - 엑셀다운로드 파일(붙여넣기)'!A3:A562,A173,'외운 것 - 엑셀다운로드 파일(붙여넣기)'!D3:D562,0)</f>
        <v>1</v>
      </c>
      <c r="L173" s="9" cm="1">
        <f t="array" ref="L173">IF(J173&gt;=3,_xlfn.XLOOKUP(A173,'외운 것 - 엑셀다운로드 파일(붙여넣기)'!A3:A562,'외운 것 - 엑셀다운로드 파일(붙여넣기)'!C3:C562,0,-1),0)</f>
        <v>0</v>
      </c>
    </row>
    <row r="174" ht="38.45" customHeight="1">
      <c r="A174" s="3">
        <v>173</v>
      </c>
      <c r="B174" t="s" s="4">
        <v>1102</v>
      </c>
      <c r="C174" t="s" s="5">
        <v>1058</v>
      </c>
      <c r="D174" t="s" s="5">
        <v>1059</v>
      </c>
      <c r="E174" t="s" s="5">
        <v>1103</v>
      </c>
      <c r="F174" t="s" s="10">
        <v>1104</v>
      </c>
      <c r="G174" t="s" s="7">
        <v>1105</v>
      </c>
      <c r="H174" t="s" s="7">
        <v>1106</v>
      </c>
      <c r="I174" t="str" s="8" cm="1">
        <f t="array" ref="I174">SUBSTITUTE(H174,B174,"(          )")</f>
        <v>Honesty is an important (          ) in journalism.</v>
      </c>
      <c r="J174" s="9" cm="1">
        <f t="array" ref="J174">SUMIF('외운 것 - 엑셀다운로드 파일(붙여넣기)'!A3:A562,A174,'외운 것 - 엑셀다운로드 파일(붙여넣기)'!D3:D562)</f>
        <v>1</v>
      </c>
      <c r="K174" s="9" cm="1">
        <f t="array" ref="K174">_xlfn.COUNTIFS('외운 것 - 엑셀다운로드 파일(붙여넣기)'!A3:A562,A174,'외운 것 - 엑셀다운로드 파일(붙여넣기)'!D3:D562,0)</f>
        <v>0</v>
      </c>
      <c r="L174" s="9" cm="1">
        <f t="array" ref="L174">IF(J174&gt;=3,_xlfn.XLOOKUP(A174,'외운 것 - 엑셀다운로드 파일(붙여넣기)'!A3:A562,'외운 것 - 엑셀다운로드 파일(붙여넣기)'!C3:C562,0,-1),0)</f>
        <v>0</v>
      </c>
    </row>
    <row r="175" ht="38.45" customHeight="1">
      <c r="A175" s="3">
        <v>174</v>
      </c>
      <c r="B175" t="s" s="4">
        <v>1108</v>
      </c>
      <c r="C175" t="s" s="5">
        <v>1058</v>
      </c>
      <c r="D175" t="s" s="5">
        <v>1059</v>
      </c>
      <c r="E175" t="s" s="5">
        <v>1109</v>
      </c>
      <c r="F175" t="s" s="10">
        <v>1110</v>
      </c>
      <c r="G175" t="s" s="7">
        <v>1111</v>
      </c>
      <c r="H175" t="s" s="7">
        <v>1112</v>
      </c>
      <c r="I175" t="str" s="8" cm="1">
        <f t="array" ref="I175">SUBSTITUTE(H175,B175,"(          )")</f>
        <v>Students eagerly (          ) in the science fair.</v>
      </c>
      <c r="J175" s="9" cm="1">
        <f t="array" ref="J175">SUMIF('외운 것 - 엑셀다운로드 파일(붙여넣기)'!A3:A562,A175,'외운 것 - 엑셀다운로드 파일(붙여넣기)'!D3:D562)</f>
        <v>1</v>
      </c>
      <c r="K175" s="9" cm="1">
        <f t="array" ref="K175">_xlfn.COUNTIFS('외운 것 - 엑셀다운로드 파일(붙여넣기)'!A3:A562,A175,'외운 것 - 엑셀다운로드 파일(붙여넣기)'!D3:D562,0)</f>
        <v>0</v>
      </c>
      <c r="L175" s="9" cm="1">
        <f t="array" ref="L175">IF(J175&gt;=3,_xlfn.XLOOKUP(A175,'외운 것 - 엑셀다운로드 파일(붙여넣기)'!A3:A562,'외운 것 - 엑셀다운로드 파일(붙여넣기)'!C3:C562,0,-1),0)</f>
        <v>0</v>
      </c>
    </row>
    <row r="176" ht="38.45" customHeight="1">
      <c r="A176" s="3">
        <v>175</v>
      </c>
      <c r="B176" t="s" s="4">
        <v>1114</v>
      </c>
      <c r="C176" t="s" s="5">
        <v>1115</v>
      </c>
      <c r="D176" t="s" s="5">
        <v>1116</v>
      </c>
      <c r="E176" t="s" s="5">
        <v>1117</v>
      </c>
      <c r="F176" t="s" s="10">
        <v>1118</v>
      </c>
      <c r="G176" t="s" s="7">
        <v>1119</v>
      </c>
      <c r="H176" t="s" s="7">
        <v>1120</v>
      </c>
      <c r="I176" t="str" s="8" cm="1">
        <f t="array" ref="I176">SUBSTITUTE(H176,B176,"(          )")</f>
        <v>Soldiers (          ) the abandoned building during the exercise.</v>
      </c>
      <c r="J176" s="9" cm="1">
        <f t="array" ref="J176">SUMIF('외운 것 - 엑셀다운로드 파일(붙여넣기)'!A3:A562,A176,'외운 것 - 엑셀다운로드 파일(붙여넣기)'!D3:D562)</f>
        <v>1</v>
      </c>
      <c r="K176" s="9" cm="1">
        <f t="array" ref="K176">_xlfn.COUNTIFS('외운 것 - 엑셀다운로드 파일(붙여넣기)'!A3:A562,A176,'외운 것 - 엑셀다운로드 파일(붙여넣기)'!D3:D562,0)</f>
        <v>0</v>
      </c>
      <c r="L176" s="9" cm="1">
        <f t="array" ref="L176">IF(J176&gt;=3,_xlfn.XLOOKUP(A176,'외운 것 - 엑셀다운로드 파일(붙여넣기)'!A3:A562,'외운 것 - 엑셀다운로드 파일(붙여넣기)'!C3:C562,0,-1),0)</f>
        <v>0</v>
      </c>
    </row>
    <row r="177" ht="38.45" customHeight="1">
      <c r="A177" s="3">
        <v>176</v>
      </c>
      <c r="B177" t="s" s="4">
        <v>1122</v>
      </c>
      <c r="C177" t="s" s="5">
        <v>1123</v>
      </c>
      <c r="D177" t="s" s="5">
        <v>1115</v>
      </c>
      <c r="E177" t="s" s="5">
        <v>1124</v>
      </c>
      <c r="F177" t="s" s="10">
        <v>1125</v>
      </c>
      <c r="G177" t="s" s="7">
        <v>1126</v>
      </c>
      <c r="H177" t="s" s="7">
        <v>1127</v>
      </c>
      <c r="I177" t="str" s="8" cm="1">
        <f t="array" ref="I177">SUBSTITUTE(H177,B177,"(          )")</f>
        <v>Thoughts of the upcoming exam (          ) her mind.</v>
      </c>
      <c r="J177" s="9" cm="1">
        <f t="array" ref="J177">SUMIF('외운 것 - 엑셀다운로드 파일(붙여넣기)'!A3:A562,A177,'외운 것 - 엑셀다운로드 파일(붙여넣기)'!D3:D562)</f>
        <v>1</v>
      </c>
      <c r="K177" s="9" cm="1">
        <f t="array" ref="K177">_xlfn.COUNTIFS('외운 것 - 엑셀다운로드 파일(붙여넣기)'!A3:A562,A177,'외운 것 - 엑셀다운로드 파일(붙여넣기)'!D3:D562,0)</f>
        <v>0</v>
      </c>
      <c r="L177" s="9" cm="1">
        <f t="array" ref="L177">IF(J177&gt;=3,_xlfn.XLOOKUP(A177,'외운 것 - 엑셀다운로드 파일(붙여넣기)'!A3:A562,'외운 것 - 엑셀다운로드 파일(붙여넣기)'!C3:C562,0,-1),0)</f>
        <v>0</v>
      </c>
    </row>
    <row r="178" ht="38.45" customHeight="1">
      <c r="A178" s="3">
        <v>177</v>
      </c>
      <c r="B178" t="s" s="4">
        <v>1129</v>
      </c>
      <c r="C178" t="s" s="5">
        <v>1123</v>
      </c>
      <c r="D178" t="s" s="5">
        <v>1115</v>
      </c>
      <c r="E178" t="s" s="5">
        <v>1130</v>
      </c>
      <c r="F178" t="s" s="10">
        <v>1131</v>
      </c>
      <c r="G178" t="s" s="7">
        <v>1132</v>
      </c>
      <c r="H178" t="s" s="7">
        <v>1133</v>
      </c>
      <c r="I178" t="str" s="8" cm="1">
        <f t="array" ref="I178">SUBSTITUTE(H178,B178,"(          )")</f>
        <v>He was too (          ) with work to notice the time.</v>
      </c>
      <c r="J178" s="9" cm="1">
        <f t="array" ref="J178">SUMIF('외운 것 - 엑셀다운로드 파일(붙여넣기)'!A3:A562,A178,'외운 것 - 엑셀다운로드 파일(붙여넣기)'!D3:D562)</f>
        <v>1</v>
      </c>
      <c r="K178" s="9" cm="1">
        <f t="array" ref="K178">_xlfn.COUNTIFS('외운 것 - 엑셀다운로드 파일(붙여넣기)'!A3:A562,A178,'외운 것 - 엑셀다운로드 파일(붙여넣기)'!D3:D562,0)</f>
        <v>0</v>
      </c>
      <c r="L178" s="9" cm="1">
        <f t="array" ref="L178">IF(J178&gt;=3,_xlfn.XLOOKUP(A178,'외운 것 - 엑셀다운로드 파일(붙여넣기)'!A3:A562,'외운 것 - 엑셀다운로드 파일(붙여넣기)'!C3:C562,0,-1),0)</f>
        <v>0</v>
      </c>
    </row>
    <row r="179" ht="38.45" customHeight="1">
      <c r="A179" s="3">
        <v>178</v>
      </c>
      <c r="B179" t="s" s="4">
        <v>1135</v>
      </c>
      <c r="C179" t="s" s="5">
        <v>1135</v>
      </c>
      <c r="D179" t="s" s="5">
        <v>1136</v>
      </c>
      <c r="E179" t="s" s="5">
        <v>1137</v>
      </c>
      <c r="F179" t="s" s="10">
        <v>1138</v>
      </c>
      <c r="G179" t="s" s="7">
        <v>1139</v>
      </c>
      <c r="H179" t="s" s="7">
        <v>1140</v>
      </c>
      <c r="I179" t="str" s="8" cm="1">
        <f t="array" ref="I179">SUBSTITUTE(H179,B179,"(          )")</f>
        <v>My (          ) needs new tires before winter.</v>
      </c>
      <c r="J179" s="9" cm="1">
        <f t="array" ref="J179">SUMIF('외운 것 - 엑셀다운로드 파일(붙여넣기)'!A3:A562,A179,'외운 것 - 엑셀다운로드 파일(붙여넣기)'!D3:D562)</f>
        <v>1</v>
      </c>
      <c r="K179" s="9" cm="1">
        <f t="array" ref="K179">_xlfn.COUNTIFS('외운 것 - 엑셀다운로드 파일(붙여넣기)'!A3:A562,A179,'외운 것 - 엑셀다운로드 파일(붙여넣기)'!D3:D562,0)</f>
        <v>0</v>
      </c>
      <c r="L179" s="9" cm="1">
        <f t="array" ref="L179">IF(J179&gt;=3,_xlfn.XLOOKUP(A179,'외운 것 - 엑셀다운로드 파일(붙여넣기)'!A3:A562,'외운 것 - 엑셀다운로드 파일(붙여넣기)'!C3:C562,0,-1),0)</f>
        <v>0</v>
      </c>
    </row>
    <row r="180" ht="23.45" customHeight="1">
      <c r="A180" s="3">
        <v>179</v>
      </c>
      <c r="B180" t="s" s="4">
        <v>1142</v>
      </c>
      <c r="C180" t="s" s="5">
        <v>1135</v>
      </c>
      <c r="D180" t="s" s="5">
        <v>1136</v>
      </c>
      <c r="E180" t="s" s="5">
        <v>1143</v>
      </c>
      <c r="F180" t="s" s="10">
        <v>1144</v>
      </c>
      <c r="G180" t="s" s="7">
        <v>1145</v>
      </c>
      <c r="H180" t="s" s="7">
        <v>1146</v>
      </c>
      <c r="I180" t="str" s="8" cm="1">
        <f t="array" ref="I180">SUBSTITUTE(H180,B180,"(          )")</f>
        <v>The ship carries (          ) between international ports.</v>
      </c>
      <c r="J180" s="9" cm="1">
        <f t="array" ref="J180">SUMIF('외운 것 - 엑셀다운로드 파일(붙여넣기)'!A3:A562,A180,'외운 것 - 엑셀다운로드 파일(붙여넣기)'!D3:D562)</f>
        <v>1</v>
      </c>
      <c r="K180" s="9" cm="1">
        <f t="array" ref="K180">_xlfn.COUNTIFS('외운 것 - 엑셀다운로드 파일(붙여넣기)'!A3:A562,A180,'외운 것 - 엑셀다운로드 파일(붙여넣기)'!D3:D562,0)</f>
        <v>0</v>
      </c>
      <c r="L180" s="9" cm="1">
        <f t="array" ref="L180">IF(J180&gt;=3,_xlfn.XLOOKUP(A180,'외운 것 - 엑셀다운로드 파일(붙여넣기)'!A3:A562,'외운 것 - 엑셀다운로드 파일(붙여넣기)'!C3:C562,0,-1),0)</f>
        <v>0</v>
      </c>
    </row>
    <row r="181" ht="38.45" customHeight="1">
      <c r="A181" s="3">
        <v>180</v>
      </c>
      <c r="B181" t="s" s="4">
        <v>1148</v>
      </c>
      <c r="C181" t="s" s="5">
        <v>1135</v>
      </c>
      <c r="D181" t="s" s="5">
        <v>1136</v>
      </c>
      <c r="E181" t="s" s="5">
        <v>1149</v>
      </c>
      <c r="F181" t="s" s="10">
        <v>1150</v>
      </c>
      <c r="G181" t="s" s="7">
        <v>1151</v>
      </c>
      <c r="H181" t="s" s="7">
        <v>1152</v>
      </c>
      <c r="I181" t="str" s="8" cm="1">
        <f t="array" ref="I181">SUBSTITUTE(H181,B181,"(          )")</f>
        <v>The (          ) built beautiful wooden furniture.</v>
      </c>
      <c r="J181" s="9" cm="1">
        <f t="array" ref="J181">SUMIF('외운 것 - 엑셀다운로드 파일(붙여넣기)'!A3:A562,A181,'외운 것 - 엑셀다운로드 파일(붙여넣기)'!D3:D562)</f>
        <v>0</v>
      </c>
      <c r="K181" s="9" cm="1">
        <f t="array" ref="K181">_xlfn.COUNTIFS('외운 것 - 엑셀다운로드 파일(붙여넣기)'!A3:A562,A181,'외운 것 - 엑셀다운로드 파일(붙여넣기)'!D3:D562,0)</f>
        <v>1</v>
      </c>
      <c r="L181" s="9" cm="1">
        <f t="array" ref="L181">IF(J181&gt;=3,_xlfn.XLOOKUP(A181,'외운 것 - 엑셀다운로드 파일(붙여넣기)'!A3:A562,'외운 것 - 엑셀다운로드 파일(붙여넣기)'!C3:C562,0,-1),0)</f>
        <v>0</v>
      </c>
    </row>
    <row r="182" ht="23.45" customHeight="1">
      <c r="A182" s="3">
        <v>181</v>
      </c>
      <c r="B182" t="s" s="4">
        <v>1154</v>
      </c>
      <c r="C182" t="s" s="5">
        <v>1135</v>
      </c>
      <c r="D182" t="s" s="5">
        <v>1136</v>
      </c>
      <c r="E182" t="s" s="5">
        <v>1155</v>
      </c>
      <c r="F182" t="s" s="10">
        <v>1156</v>
      </c>
      <c r="G182" t="s" s="7">
        <v>1157</v>
      </c>
      <c r="H182" t="s" s="7">
        <v>1158</v>
      </c>
      <c r="I182" t="str" s="8" cm="1">
        <f t="array" ref="I182">SUBSTITUTE(H182,B182,"(          )")</f>
        <v>She pushed the shopping (          ) through the grocery store.</v>
      </c>
      <c r="J182" s="9" cm="1">
        <f t="array" ref="J182">SUMIF('외운 것 - 엑셀다운로드 파일(붙여넣기)'!A3:A562,A182,'외운 것 - 엑셀다운로드 파일(붙여넣기)'!D3:D562)</f>
        <v>1</v>
      </c>
      <c r="K182" s="9" cm="1">
        <f t="array" ref="K182">_xlfn.COUNTIFS('외운 것 - 엑셀다운로드 파일(붙여넣기)'!A3:A562,A182,'외운 것 - 엑셀다운로드 파일(붙여넣기)'!D3:D562,0)</f>
        <v>0</v>
      </c>
      <c r="L182" s="9" cm="1">
        <f t="array" ref="L182">IF(J182&gt;=3,_xlfn.XLOOKUP(A182,'외운 것 - 엑셀다운로드 파일(붙여넣기)'!A3:A562,'외운 것 - 엑셀다운로드 파일(붙여넣기)'!C3:C562,0,-1),0)</f>
        <v>0</v>
      </c>
    </row>
    <row r="183" ht="38.45" customHeight="1">
      <c r="A183" s="3">
        <v>182</v>
      </c>
      <c r="B183" t="s" s="4">
        <v>1160</v>
      </c>
      <c r="C183" t="s" s="5">
        <v>1161</v>
      </c>
      <c r="D183" t="s" s="5">
        <v>1135</v>
      </c>
      <c r="E183" t="s" s="5">
        <v>1162</v>
      </c>
      <c r="F183" t="s" s="10">
        <v>1163</v>
      </c>
      <c r="G183" t="s" s="7">
        <v>1164</v>
      </c>
      <c r="H183" t="s" s="7">
        <v>1165</v>
      </c>
      <c r="I183" t="str" s="8" cm="1">
        <f t="array" ref="I183">SUBSTITUTE(H183,B183,"(          )")</f>
        <v>I bought a (          ) of milk at the supermarket.</v>
      </c>
      <c r="J183" s="9" cm="1">
        <f t="array" ref="J183">SUMIF('외운 것 - 엑셀다운로드 파일(붙여넣기)'!A3:A562,A183,'외운 것 - 엑셀다운로드 파일(붙여넣기)'!D3:D562)</f>
        <v>1</v>
      </c>
      <c r="K183" s="9" cm="1">
        <f t="array" ref="K183">_xlfn.COUNTIFS('외운 것 - 엑셀다운로드 파일(붙여넣기)'!A3:A562,A183,'외운 것 - 엑셀다운로드 파일(붙여넣기)'!D3:D562,0)</f>
        <v>0</v>
      </c>
      <c r="L183" s="9" cm="1">
        <f t="array" ref="L183">IF(J183&gt;=3,_xlfn.XLOOKUP(A183,'외운 것 - 엑셀다운로드 파일(붙여넣기)'!A3:A562,'외운 것 - 엑셀다운로드 파일(붙여넣기)'!C3:C562,0,-1),0)</f>
        <v>0</v>
      </c>
    </row>
    <row r="184" ht="53.45" customHeight="1">
      <c r="A184" s="3">
        <v>183</v>
      </c>
      <c r="B184" t="s" s="4">
        <v>1167</v>
      </c>
      <c r="C184" t="s" s="5">
        <v>1135</v>
      </c>
      <c r="D184" t="s" s="5">
        <v>1136</v>
      </c>
      <c r="E184" t="s" s="5">
        <v>1168</v>
      </c>
      <c r="F184" t="s" s="10">
        <v>1169</v>
      </c>
      <c r="G184" t="s" s="7">
        <v>1170</v>
      </c>
      <c r="H184" t="s" s="7">
        <v>1171</v>
      </c>
      <c r="I184" t="str" s="8" cm="1">
        <f t="array" ref="I184">SUBSTITUTE(H184,B184,"(          )")</f>
        <v>Can you help me (          ) these heavy boxes?</v>
      </c>
      <c r="J184" s="9" cm="1">
        <f t="array" ref="J184">SUMIF('외운 것 - 엑셀다운로드 파일(붙여넣기)'!A3:A562,A184,'외운 것 - 엑셀다운로드 파일(붙여넣기)'!D3:D562)</f>
        <v>1</v>
      </c>
      <c r="K184" s="9" cm="1">
        <f t="array" ref="K184">_xlfn.COUNTIFS('외운 것 - 엑셀다운로드 파일(붙여넣기)'!A3:A562,A184,'외운 것 - 엑셀다운로드 파일(붙여넣기)'!D3:D562,0)</f>
        <v>0</v>
      </c>
      <c r="L184" s="9" cm="1">
        <f t="array" ref="L184">IF(J184&gt;=3,_xlfn.XLOOKUP(A184,'외운 것 - 엑셀다운로드 파일(붙여넣기)'!A3:A562,'외운 것 - 엑셀다운로드 파일(붙여넣기)'!C3:C562,0,-1),0)</f>
        <v>0</v>
      </c>
    </row>
    <row r="185" ht="23.45" customHeight="1">
      <c r="A185" s="3">
        <v>184</v>
      </c>
      <c r="B185" t="s" s="4">
        <v>1173</v>
      </c>
      <c r="C185" t="s" s="5">
        <v>1174</v>
      </c>
      <c r="D185" t="s" s="5">
        <v>1135</v>
      </c>
      <c r="E185" t="s" s="5">
        <v>1175</v>
      </c>
      <c r="F185" t="s" s="10">
        <v>1176</v>
      </c>
      <c r="G185" t="s" s="7">
        <v>1177</v>
      </c>
      <c r="H185" t="s" s="7">
        <v>1178</v>
      </c>
      <c r="I185" t="str" s="8" cm="1">
        <f t="array" ref="I185">SUBSTITUTE(H185,B185,"(          )")</f>
        <v>The (          ) delivered the package to the wrong address.</v>
      </c>
      <c r="J185" s="9" cm="1">
        <f t="array" ref="J185">SUMIF('외운 것 - 엑셀다운로드 파일(붙여넣기)'!A3:A562,A185,'외운 것 - 엑셀다운로드 파일(붙여넣기)'!D3:D562)</f>
        <v>1</v>
      </c>
      <c r="K185" s="9" cm="1">
        <f t="array" ref="K185">_xlfn.COUNTIFS('외운 것 - 엑셀다운로드 파일(붙여넣기)'!A3:A562,A185,'외운 것 - 엑셀다운로드 파일(붙여넣기)'!D3:D562,0)</f>
        <v>0</v>
      </c>
      <c r="L185" s="9" cm="1">
        <f t="array" ref="L185">IF(J185&gt;=3,_xlfn.XLOOKUP(A185,'외운 것 - 엑셀다운로드 파일(붙여넣기)'!A3:A562,'외운 것 - 엑셀다운로드 파일(붙여넣기)'!C3:C562,0,-1),0)</f>
        <v>0</v>
      </c>
    </row>
    <row r="186" ht="38.45" customHeight="1">
      <c r="A186" s="3">
        <v>185</v>
      </c>
      <c r="B186" t="s" s="4">
        <v>1180</v>
      </c>
      <c r="C186" t="s" s="5">
        <v>1174</v>
      </c>
      <c r="D186" t="s" s="5">
        <v>1135</v>
      </c>
      <c r="E186" t="s" s="5">
        <v>1181</v>
      </c>
      <c r="F186" t="s" s="10">
        <v>1182</v>
      </c>
      <c r="G186" t="s" s="7">
        <v>1183</v>
      </c>
      <c r="H186" t="s" s="7">
        <v>1184</v>
      </c>
      <c r="I186" t="str" s="8" cm="1">
        <f t="array" ref="I186">SUBSTITUTE(H186,B186,"(          )")</f>
        <v>The horse-drawn (          ) took the tourists around the old city.</v>
      </c>
      <c r="J186" s="9" cm="1">
        <f t="array" ref="J186">SUMIF('외운 것 - 엑셀다운로드 파일(붙여넣기)'!A3:A562,A186,'외운 것 - 엑셀다운로드 파일(붙여넣기)'!D3:D562)</f>
        <v>1</v>
      </c>
      <c r="K186" s="9" cm="1">
        <f t="array" ref="K186">_xlfn.COUNTIFS('외운 것 - 엑셀다운로드 파일(붙여넣기)'!A3:A562,A186,'외운 것 - 엑셀다운로드 파일(붙여넣기)'!D3:D562,0)</f>
        <v>0</v>
      </c>
      <c r="L186" s="9" cm="1">
        <f t="array" ref="L186">IF(J186&gt;=3,_xlfn.XLOOKUP(A186,'외운 것 - 엑셀다운로드 파일(붙여넣기)'!A3:A562,'외운 것 - 엑셀다운로드 파일(붙여넣기)'!C3:C562,0,-1),0)</f>
        <v>0</v>
      </c>
    </row>
    <row r="187" ht="38.45" customHeight="1">
      <c r="A187" s="3">
        <v>186</v>
      </c>
      <c r="B187" t="s" s="4">
        <v>1186</v>
      </c>
      <c r="C187" t="s" s="5">
        <v>1135</v>
      </c>
      <c r="D187" t="s" s="5">
        <v>1136</v>
      </c>
      <c r="E187" t="s" s="5">
        <v>1187</v>
      </c>
      <c r="F187" t="s" s="6">
        <v>1188</v>
      </c>
      <c r="G187" t="s" s="7">
        <v>1189</v>
      </c>
      <c r="H187" t="s" s="7">
        <v>1190</v>
      </c>
      <c r="I187" t="str" s="8" cm="1">
        <f t="array" ref="I187">SUBSTITUTE(H187,B187,"(          )")</f>
        <v>She has had a successful (          ) in medicine.</v>
      </c>
      <c r="J187" s="9" cm="1">
        <f t="array" ref="J187">SUMIF('외운 것 - 엑셀다운로드 파일(붙여넣기)'!A3:A562,A187,'외운 것 - 엑셀다운로드 파일(붙여넣기)'!D3:D562)</f>
        <v>0</v>
      </c>
      <c r="K187" s="9" cm="1">
        <f t="array" ref="K187">_xlfn.COUNTIFS('외운 것 - 엑셀다운로드 파일(붙여넣기)'!A3:A562,A187,'외운 것 - 엑셀다운로드 파일(붙여넣기)'!D3:D562,0)</f>
        <v>0</v>
      </c>
      <c r="L187" s="9" cm="1">
        <f t="array" ref="L187">IF(J187&gt;=3,_xlfn.XLOOKUP(A187,'외운 것 - 엑셀다운로드 파일(붙여넣기)'!A3:A562,'외운 것 - 엑셀다운로드 파일(붙여넣기)'!C3:C562,0,-1),0)</f>
        <v>0</v>
      </c>
    </row>
    <row r="188" ht="38.45" customHeight="1">
      <c r="A188" s="3">
        <v>187</v>
      </c>
      <c r="B188" t="s" s="4">
        <v>1192</v>
      </c>
      <c r="C188" t="s" s="5">
        <v>1135</v>
      </c>
      <c r="D188" t="s" s="5">
        <v>1136</v>
      </c>
      <c r="E188" t="s" s="5">
        <v>1193</v>
      </c>
      <c r="F188" t="s" s="10">
        <v>1194</v>
      </c>
      <c r="G188" t="s" s="7">
        <v>1195</v>
      </c>
      <c r="H188" t="s" s="7">
        <v>1196</v>
      </c>
      <c r="I188" t="str" s="8" cm="1">
        <f t="array" ref="I188">SUBSTITUTE(H188,B188,"(          )")</f>
        <v>His (          ) made him popular among voters.</v>
      </c>
      <c r="J188" s="9" cm="1">
        <f t="array" ref="J188">SUMIF('외운 것 - 엑셀다운로드 파일(붙여넣기)'!A3:A562,A188,'외운 것 - 엑셀다운로드 파일(붙여넣기)'!D3:D562)</f>
        <v>0</v>
      </c>
      <c r="K188" s="9" cm="1">
        <f t="array" ref="K188">_xlfn.COUNTIFS('외운 것 - 엑셀다운로드 파일(붙여넣기)'!A3:A562,A188,'외운 것 - 엑셀다운로드 파일(붙여넣기)'!D3:D562,0)</f>
        <v>0</v>
      </c>
      <c r="L188" s="9" cm="1">
        <f t="array" ref="L188">IF(J188&gt;=3,_xlfn.XLOOKUP(A188,'외운 것 - 엑셀다운로드 파일(붙여넣기)'!A3:A562,'외운 것 - 엑셀다운로드 파일(붙여넣기)'!C3:C562,0,-1),0)</f>
        <v>0</v>
      </c>
    </row>
    <row r="189" ht="23.45" customHeight="1">
      <c r="A189" s="3">
        <v>188</v>
      </c>
      <c r="B189" t="s" s="4">
        <v>1198</v>
      </c>
      <c r="C189" t="s" s="5">
        <v>1135</v>
      </c>
      <c r="D189" t="s" s="5">
        <v>1136</v>
      </c>
      <c r="E189" t="s" s="5">
        <v>1199</v>
      </c>
      <c r="F189" t="s" s="10">
        <v>1200</v>
      </c>
      <c r="G189" t="s" s="7">
        <v>1201</v>
      </c>
      <c r="H189" t="s" s="7">
        <v>1202</v>
      </c>
      <c r="I189" t="str" s="8" cm="1">
        <f t="array" ref="I189">SUBSTITUTE(H189,B189,"(          )")</f>
        <v>The artist will (          ) a statue from the marble block.</v>
      </c>
      <c r="J189" s="9" cm="1">
        <f t="array" ref="J189">SUMIF('외운 것 - 엑셀다운로드 파일(붙여넣기)'!A3:A562,A189,'외운 것 - 엑셀다운로드 파일(붙여넣기)'!D3:D562)</f>
        <v>0</v>
      </c>
      <c r="K189" s="9" cm="1">
        <f t="array" ref="K189">_xlfn.COUNTIFS('외운 것 - 엑셀다운로드 파일(붙여넣기)'!A3:A562,A189,'외운 것 - 엑셀다운로드 파일(붙여넣기)'!D3:D562,0)</f>
        <v>0</v>
      </c>
      <c r="L189" s="9" cm="1">
        <f t="array" ref="L189">IF(J189&gt;=3,_xlfn.XLOOKUP(A189,'외운 것 - 엑셀다운로드 파일(붙여넣기)'!A3:A562,'외운 것 - 엑셀다운로드 파일(붙여넣기)'!C3:C562,0,-1),0)</f>
        <v>0</v>
      </c>
    </row>
    <row r="190" ht="38.45" customHeight="1">
      <c r="A190" s="3">
        <v>189</v>
      </c>
      <c r="B190" t="s" s="4">
        <v>1204</v>
      </c>
      <c r="C190" t="s" s="5">
        <v>1135</v>
      </c>
      <c r="D190" t="s" s="5">
        <v>1136</v>
      </c>
      <c r="E190" t="s" s="5">
        <v>1205</v>
      </c>
      <c r="F190" t="s" s="10">
        <v>1206</v>
      </c>
      <c r="G190" t="s" s="7">
        <v>1207</v>
      </c>
      <c r="H190" t="s" s="7">
        <v>1208</v>
      </c>
      <c r="I190" t="str" s="8" cm="1">
        <f t="array" ref="I190">SUBSTITUTE(H190,B190,"(          )")</f>
        <v>The hotel will (          ) you for room service.</v>
      </c>
      <c r="J190" s="9" cm="1">
        <f t="array" ref="J190">SUMIF('외운 것 - 엑셀다운로드 파일(붙여넣기)'!A3:A562,A190,'외운 것 - 엑셀다운로드 파일(붙여넣기)'!D3:D562)</f>
        <v>0</v>
      </c>
      <c r="K190" s="9" cm="1">
        <f t="array" ref="K190">_xlfn.COUNTIFS('외운 것 - 엑셀다운로드 파일(붙여넣기)'!A3:A562,A190,'외운 것 - 엑셀다운로드 파일(붙여넣기)'!D3:D562,0)</f>
        <v>0</v>
      </c>
      <c r="L190" s="9" cm="1">
        <f t="array" ref="L190">IF(J190&gt;=3,_xlfn.XLOOKUP(A190,'외운 것 - 엑셀다운로드 파일(붙여넣기)'!A3:A562,'외운 것 - 엑셀다운로드 파일(붙여넣기)'!C3:C562,0,-1),0)</f>
        <v>0</v>
      </c>
    </row>
    <row r="191" ht="38.45" customHeight="1">
      <c r="A191" s="3">
        <v>190</v>
      </c>
      <c r="B191" t="s" s="4">
        <v>1210</v>
      </c>
      <c r="C191" t="s" s="5">
        <v>1211</v>
      </c>
      <c r="D191" t="s" s="5">
        <v>1135</v>
      </c>
      <c r="E191" t="s" s="5">
        <v>1212</v>
      </c>
      <c r="F191" t="s" s="10">
        <v>1213</v>
      </c>
      <c r="G191" t="s" s="7">
        <v>1214</v>
      </c>
      <c r="H191" t="s" s="7">
        <v>1215</v>
      </c>
      <c r="I191" t="str" s="8" cm="1">
        <f t="array" ref="I191">SUBSTITUTE(H191,B191,"(          )")</f>
        <v>The doctor will (          ) the patient tomorrow.</v>
      </c>
      <c r="J191" s="9" cm="1">
        <f t="array" ref="J191">SUMIF('외운 것 - 엑셀다운로드 파일(붙여넣기)'!A3:A562,A191,'외운 것 - 엑셀다운로드 파일(붙여넣기)'!D3:D562)</f>
        <v>0</v>
      </c>
      <c r="K191" s="9" cm="1">
        <f t="array" ref="K191">_xlfn.COUNTIFS('외운 것 - 엑셀다운로드 파일(붙여넣기)'!A3:A562,A191,'외운 것 - 엑셀다운로드 파일(붙여넣기)'!D3:D562,0)</f>
        <v>0</v>
      </c>
      <c r="L191" s="9" cm="1">
        <f t="array" ref="L191">IF(J191&gt;=3,_xlfn.XLOOKUP(A191,'외운 것 - 엑셀다운로드 파일(붙여넣기)'!A3:A562,'외운 것 - 엑셀다운로드 파일(붙여넣기)'!C3:C562,0,-1),0)</f>
        <v>0</v>
      </c>
    </row>
    <row r="192" ht="38.45" customHeight="1">
      <c r="A192" s="3">
        <v>191</v>
      </c>
      <c r="B192" t="s" s="4">
        <v>1217</v>
      </c>
      <c r="C192" t="s" s="5">
        <v>1218</v>
      </c>
      <c r="D192" t="s" s="5">
        <v>1219</v>
      </c>
      <c r="E192" t="s" s="5">
        <v>1220</v>
      </c>
      <c r="F192" t="s" s="10">
        <v>1221</v>
      </c>
      <c r="G192" t="s" s="7">
        <v>1222</v>
      </c>
      <c r="H192" t="s" s="7">
        <v>1223</v>
      </c>
      <c r="I192" t="str" s="8" cm="1">
        <f t="array" ref="I192">SUBSTITUTE(H192,B192,"(          )")</f>
        <v>The road has a dangerous (          ) ahead.</v>
      </c>
      <c r="J192" s="9" cm="1">
        <f t="array" ref="J192">SUMIF('외운 것 - 엑셀다운로드 파일(붙여넣기)'!A3:A562,A192,'외운 것 - 엑셀다운로드 파일(붙여넣기)'!D3:D562)</f>
        <v>0</v>
      </c>
      <c r="K192" s="9" cm="1">
        <f t="array" ref="K192">_xlfn.COUNTIFS('외운 것 - 엑셀다운로드 파일(붙여넣기)'!A3:A562,A192,'외운 것 - 엑셀다운로드 파일(붙여넣기)'!D3:D562,0)</f>
        <v>0</v>
      </c>
      <c r="L192" s="9" cm="1">
        <f t="array" ref="L192">IF(J192&gt;=3,_xlfn.XLOOKUP(A192,'외운 것 - 엑셀다운로드 파일(붙여넣기)'!A3:A562,'외운 것 - 엑셀다운로드 파일(붙여넣기)'!C3:C562,0,-1),0)</f>
        <v>0</v>
      </c>
    </row>
    <row r="193" ht="38.45" customHeight="1">
      <c r="A193" s="3">
        <v>192</v>
      </c>
      <c r="B193" t="s" s="4">
        <v>1225</v>
      </c>
      <c r="C193" t="s" s="5">
        <v>1218</v>
      </c>
      <c r="D193" t="s" s="5">
        <v>1219</v>
      </c>
      <c r="E193" t="s" s="5">
        <v>1226</v>
      </c>
      <c r="F193" t="s" s="10">
        <v>1227</v>
      </c>
      <c r="G193" t="s" s="7">
        <v>1228</v>
      </c>
      <c r="H193" t="s" s="7">
        <v>1229</v>
      </c>
      <c r="I193" t="str" s="8" cm="1">
        <f t="array" ref="I193">SUBSTITUTE(H193,B193,"(          )")</f>
        <v>Her hair tends to (          ) in humid weather.</v>
      </c>
      <c r="J193" s="9" cm="1">
        <f t="array" ref="J193">SUMIF('외운 것 - 엑셀다운로드 파일(붙여넣기)'!A3:A562,A193,'외운 것 - 엑셀다운로드 파일(붙여넣기)'!D3:D562)</f>
        <v>0</v>
      </c>
      <c r="K193" s="9" cm="1">
        <f t="array" ref="K193">_xlfn.COUNTIFS('외운 것 - 엑셀다운로드 파일(붙여넣기)'!A3:A562,A193,'외운 것 - 엑셀다운로드 파일(붙여넣기)'!D3:D562,0)</f>
        <v>0</v>
      </c>
      <c r="L193" s="9" cm="1">
        <f t="array" ref="L193">IF(J193&gt;=3,_xlfn.XLOOKUP(A193,'외운 것 - 엑셀다운로드 파일(붙여넣기)'!A3:A562,'외운 것 - 엑셀다운로드 파일(붙여넣기)'!C3:C562,0,-1),0)</f>
        <v>0</v>
      </c>
    </row>
    <row r="194" ht="38.45" customHeight="1">
      <c r="A194" s="3">
        <v>193</v>
      </c>
      <c r="B194" t="s" s="4">
        <v>1231</v>
      </c>
      <c r="C194" t="s" s="5">
        <v>1218</v>
      </c>
      <c r="D194" t="s" s="5">
        <v>1219</v>
      </c>
      <c r="E194" t="s" s="5">
        <v>1232</v>
      </c>
      <c r="F194" t="s" s="10">
        <v>1233</v>
      </c>
      <c r="G194" t="s" s="7">
        <v>1234</v>
      </c>
      <c r="H194" t="s" s="7">
        <v>1235</v>
      </c>
      <c r="I194" t="str" s="8" cm="1">
        <f t="array" ref="I194">SUBSTITUTE(H194,B194,"(          )")</f>
        <v>The river (          ) is too strong for swimming.</v>
      </c>
      <c r="J194" s="9" cm="1">
        <f t="array" ref="J194">SUMIF('외운 것 - 엑셀다운로드 파일(붙여넣기)'!A3:A562,A194,'외운 것 - 엑셀다운로드 파일(붙여넣기)'!D3:D562)</f>
        <v>0</v>
      </c>
      <c r="K194" s="9" cm="1">
        <f t="array" ref="K194">_xlfn.COUNTIFS('외운 것 - 엑셀다운로드 파일(붙여넣기)'!A3:A562,A194,'외운 것 - 엑셀다운로드 파일(붙여넣기)'!D3:D562,0)</f>
        <v>0</v>
      </c>
      <c r="L194" s="9" cm="1">
        <f t="array" ref="L194">IF(J194&gt;=3,_xlfn.XLOOKUP(A194,'외운 것 - 엑셀다운로드 파일(붙여넣기)'!A3:A562,'외운 것 - 엑셀다운로드 파일(붙여넣기)'!C3:C562,0,-1),0)</f>
        <v>0</v>
      </c>
    </row>
    <row r="195" ht="38.45" customHeight="1">
      <c r="A195" s="3">
        <v>194</v>
      </c>
      <c r="B195" t="s" s="4">
        <v>1237</v>
      </c>
      <c r="C195" t="s" s="5">
        <v>1238</v>
      </c>
      <c r="D195" t="s" s="5">
        <v>1218</v>
      </c>
      <c r="E195" t="s" s="5">
        <v>1239</v>
      </c>
      <c r="F195" t="s" s="10">
        <v>1240</v>
      </c>
      <c r="G195" t="s" s="7">
        <v>1241</v>
      </c>
      <c r="H195" t="s" s="7">
        <v>1242</v>
      </c>
      <c r="I195" t="str" s="8" cm="1">
        <f t="array" ref="I195">SUBSTITUTE(H195,B195,"(          )")</f>
        <v>You need to exchange your (          ) before traveling abroad.</v>
      </c>
      <c r="J195" s="9" cm="1">
        <f t="array" ref="J195">SUMIF('외운 것 - 엑셀다운로드 파일(붙여넣기)'!A3:A562,A195,'외운 것 - 엑셀다운로드 파일(붙여넣기)'!D3:D562)</f>
        <v>0</v>
      </c>
      <c r="K195" s="9" cm="1">
        <f t="array" ref="K195">_xlfn.COUNTIFS('외운 것 - 엑셀다운로드 파일(붙여넣기)'!A3:A562,A195,'외운 것 - 엑셀다운로드 파일(붙여넣기)'!D3:D562,0)</f>
        <v>0</v>
      </c>
      <c r="L195" s="9" cm="1">
        <f t="array" ref="L195">IF(J195&gt;=3,_xlfn.XLOOKUP(A195,'외운 것 - 엑셀다운로드 파일(붙여넣기)'!A3:A562,'외운 것 - 엑셀다운로드 파일(붙여넣기)'!C3:C562,0,-1),0)</f>
        <v>0</v>
      </c>
    </row>
    <row r="196" ht="38.45" customHeight="1">
      <c r="A196" s="3">
        <v>195</v>
      </c>
      <c r="B196" t="s" s="4">
        <v>1244</v>
      </c>
      <c r="C196" t="s" s="5">
        <v>1238</v>
      </c>
      <c r="D196" t="s" s="5">
        <v>1218</v>
      </c>
      <c r="E196" t="s" s="5">
        <v>1245</v>
      </c>
      <c r="F196" t="s" s="10">
        <v>1246</v>
      </c>
      <c r="G196" t="s" s="7">
        <v>1247</v>
      </c>
      <c r="H196" t="s" s="7">
        <v>1248</v>
      </c>
      <c r="I196" t="str" s="8" cm="1">
        <f t="array" ref="I196">SUBSTITUTE(H196,B196,"(          )")</f>
        <v>He is serving two (          ) prison sentences.</v>
      </c>
      <c r="J196" s="9" cm="1">
        <f t="array" ref="J196">SUMIF('외운 것 - 엑셀다운로드 파일(붙여넣기)'!A3:A562,A196,'외운 것 - 엑셀다운로드 파일(붙여넣기)'!D3:D562)</f>
        <v>0</v>
      </c>
      <c r="K196" s="9" cm="1">
        <f t="array" ref="K196">_xlfn.COUNTIFS('외운 것 - 엑셀다운로드 파일(붙여넣기)'!A3:A562,A196,'외운 것 - 엑셀다운로드 파일(붙여넣기)'!D3:D562,0)</f>
        <v>0</v>
      </c>
      <c r="L196" s="9" cm="1">
        <f t="array" ref="L196">IF(J196&gt;=3,_xlfn.XLOOKUP(A196,'외운 것 - 엑셀다운로드 파일(붙여넣기)'!A3:A562,'외운 것 - 엑셀다운로드 파일(붙여넣기)'!C3:C562,0,-1),0)</f>
        <v>0</v>
      </c>
    </row>
    <row r="197" ht="38.45" customHeight="1">
      <c r="A197" s="3">
        <v>196</v>
      </c>
      <c r="B197" t="s" s="4">
        <v>1250</v>
      </c>
      <c r="C197" t="s" s="5">
        <v>1218</v>
      </c>
      <c r="D197" t="s" s="5">
        <v>1219</v>
      </c>
      <c r="E197" t="s" s="5">
        <v>1251</v>
      </c>
      <c r="F197" t="s" s="10">
        <v>1252</v>
      </c>
      <c r="G197" t="s" s="7">
        <v>1253</v>
      </c>
      <c r="H197" t="s" s="7">
        <v>1254</v>
      </c>
      <c r="I197" t="str" s="8" cm="1">
        <f t="array" ref="I197">SUBSTITUTE(H197,B197,"(          )")</f>
        <v>The golf (          ) has eighteen holes.</v>
      </c>
      <c r="J197" s="9" cm="1">
        <f t="array" ref="J197">SUMIF('외운 것 - 엑셀다운로드 파일(붙여넣기)'!A3:A562,A197,'외운 것 - 엑셀다운로드 파일(붙여넣기)'!D3:D562)</f>
        <v>0</v>
      </c>
      <c r="K197" s="9" cm="1">
        <f t="array" ref="K197">_xlfn.COUNTIFS('외운 것 - 엑셀다운로드 파일(붙여넣기)'!A3:A562,A197,'외운 것 - 엑셀다운로드 파일(붙여넣기)'!D3:D562,0)</f>
        <v>0</v>
      </c>
      <c r="L197" s="9" cm="1">
        <f t="array" ref="L197">IF(J197&gt;=3,_xlfn.XLOOKUP(A197,'외운 것 - 엑셀다운로드 파일(붙여넣기)'!A3:A562,'외운 것 - 엑셀다운로드 파일(붙여넣기)'!C3:C562,0,-1),0)</f>
        <v>0</v>
      </c>
    </row>
    <row r="198" ht="23.45" customHeight="1">
      <c r="A198" s="3">
        <v>197</v>
      </c>
      <c r="B198" t="s" s="4">
        <v>1256</v>
      </c>
      <c r="C198" t="s" s="5">
        <v>1218</v>
      </c>
      <c r="D198" t="s" s="5">
        <v>1219</v>
      </c>
      <c r="E198" t="s" s="5">
        <v>1257</v>
      </c>
      <c r="F198" t="s" s="10">
        <v>1258</v>
      </c>
      <c r="G198" t="s" s="7">
        <v>1259</v>
      </c>
      <c r="H198" t="s" s="7">
        <v>1260</v>
      </c>
      <c r="I198" t="str" s="8" cm="1">
        <f t="array" ref="I198">SUBSTITUTE(H198,B198,"(          )")</f>
        <v>The company will (          ) expenses during the expansion.</v>
      </c>
      <c r="J198" s="9" cm="1">
        <f t="array" ref="J198">SUMIF('외운 것 - 엑셀다운로드 파일(붙여넣기)'!A3:A562,A198,'외운 것 - 엑셀다운로드 파일(붙여넣기)'!D3:D562)</f>
        <v>0</v>
      </c>
      <c r="K198" s="9" cm="1">
        <f t="array" ref="K198">_xlfn.COUNTIFS('외운 것 - 엑셀다운로드 파일(붙여넣기)'!A3:A562,A198,'외운 것 - 엑셀다운로드 파일(붙여넣기)'!D3:D562,0)</f>
        <v>0</v>
      </c>
      <c r="L198" s="9" cm="1">
        <f t="array" ref="L198">IF(J198&gt;=3,_xlfn.XLOOKUP(A198,'외운 것 - 엑셀다운로드 파일(붙여넣기)'!A3:A562,'외운 것 - 엑셀다운로드 파일(붙여넣기)'!C3:C562,0,-1),0)</f>
        <v>0</v>
      </c>
    </row>
    <row r="199" ht="38.45" customHeight="1">
      <c r="A199" s="3">
        <v>198</v>
      </c>
      <c r="B199" t="s" s="4">
        <v>1262</v>
      </c>
      <c r="C199" t="s" s="5">
        <v>1218</v>
      </c>
      <c r="D199" t="s" s="5">
        <v>1219</v>
      </c>
      <c r="E199" t="s" s="5">
        <v>1263</v>
      </c>
      <c r="F199" t="s" s="10">
        <v>1264</v>
      </c>
      <c r="G199" t="s" s="7">
        <v>1265</v>
      </c>
      <c r="H199" t="s" s="7">
        <v>1266</v>
      </c>
      <c r="I199" t="str" s="8" cm="1">
        <f t="array" ref="I199">SUBSTITUTE(H199,B199,"(          )")</f>
        <v>The border (          ) created tension between the countries.</v>
      </c>
      <c r="J199" s="9" cm="1">
        <f t="array" ref="J199">SUMIF('외운 것 - 엑셀다운로드 파일(붙여넣기)'!A3:A562,A199,'외운 것 - 엑셀다운로드 파일(붙여넣기)'!D3:D562)</f>
        <v>0</v>
      </c>
      <c r="K199" s="9" cm="1">
        <f t="array" ref="K199">_xlfn.COUNTIFS('외운 것 - 엑셀다운로드 파일(붙여넣기)'!A3:A562,A199,'외운 것 - 엑셀다운로드 파일(붙여넣기)'!D3:D562,0)</f>
        <v>0</v>
      </c>
      <c r="L199" s="9" cm="1">
        <f t="array" ref="L199">IF(J199&gt;=3,_xlfn.XLOOKUP(A199,'외운 것 - 엑셀다운로드 파일(붙여넣기)'!A3:A562,'외운 것 - 엑셀다운로드 파일(붙여넣기)'!C3:C562,0,-1),0)</f>
        <v>0</v>
      </c>
    </row>
    <row r="200" ht="38.45" customHeight="1">
      <c r="A200" s="3">
        <v>199</v>
      </c>
      <c r="B200" t="s" s="4">
        <v>1268</v>
      </c>
      <c r="C200" t="s" s="5">
        <v>1218</v>
      </c>
      <c r="D200" t="s" s="5">
        <v>1219</v>
      </c>
      <c r="E200" t="s" s="5">
        <v>1269</v>
      </c>
      <c r="F200" t="s" s="10">
        <v>1270</v>
      </c>
      <c r="G200" t="s" s="7">
        <v>1271</v>
      </c>
      <c r="H200" t="s" s="7">
        <v>1272</v>
      </c>
      <c r="I200" t="str" s="8" cm="1">
        <f t="array" ref="I200">SUBSTITUTE(H200,B200,"(          )")</f>
        <v>Earthquakes (          ) frequently in this region.</v>
      </c>
      <c r="J200" s="9" cm="1">
        <f t="array" ref="J200">SUMIF('외운 것 - 엑셀다운로드 파일(붙여넣기)'!A3:A562,A200,'외운 것 - 엑셀다운로드 파일(붙여넣기)'!D3:D562)</f>
        <v>0</v>
      </c>
      <c r="K200" s="9" cm="1">
        <f t="array" ref="K200">_xlfn.COUNTIFS('외운 것 - 엑셀다운로드 파일(붙여넣기)'!A3:A562,A200,'외운 것 - 엑셀다운로드 파일(붙여넣기)'!D3:D562,0)</f>
        <v>0</v>
      </c>
      <c r="L200" s="9" cm="1">
        <f t="array" ref="L200">IF(J200&gt;=3,_xlfn.XLOOKUP(A200,'외운 것 - 엑셀다운로드 파일(붙여넣기)'!A3:A562,'외운 것 - 엑셀다운로드 파일(붙여넣기)'!C3:C562,0,-1),0)</f>
        <v>0</v>
      </c>
    </row>
    <row r="201" ht="23.45" customHeight="1">
      <c r="A201" s="3">
        <v>200</v>
      </c>
      <c r="B201" t="s" s="4">
        <v>1274</v>
      </c>
      <c r="C201" t="s" s="5">
        <v>1218</v>
      </c>
      <c r="D201" t="s" s="5">
        <v>1219</v>
      </c>
      <c r="E201" t="s" s="5">
        <v>1275</v>
      </c>
      <c r="F201" t="s" s="10">
        <v>1276</v>
      </c>
      <c r="G201" t="s" s="7">
        <v>1277</v>
      </c>
      <c r="H201" t="s" s="7">
        <v>1278</v>
      </c>
      <c r="I201" t="str" s="8" cm="1">
        <f t="array" ref="I201">SUBSTITUTE(H201,B201,"(          )")</f>
        <v>His headaches tend to (          ) every month.</v>
      </c>
      <c r="J201" s="9" cm="1">
        <f t="array" ref="J201">SUMIF('외운 것 - 엑셀다운로드 파일(붙여넣기)'!A3:A562,A201,'외운 것 - 엑셀다운로드 파일(붙여넣기)'!D3:D562)</f>
        <v>0</v>
      </c>
      <c r="K201" s="9" cm="1">
        <f t="array" ref="K201">_xlfn.COUNTIFS('외운 것 - 엑셀다운로드 파일(붙여넣기)'!A3:A562,A201,'외운 것 - 엑셀다운로드 파일(붙여넣기)'!D3:D562,0)</f>
        <v>0</v>
      </c>
      <c r="L201" s="9" cm="1">
        <f t="array" ref="L201">IF(J201&gt;=3,_xlfn.XLOOKUP(A201,'외운 것 - 엑셀다운로드 파일(붙여넣기)'!A3:A562,'외운 것 - 엑셀다운로드 파일(붙여넣기)'!C3:C562,0,-1),0)</f>
        <v>0</v>
      </c>
    </row>
    <row r="202" ht="23.45" customHeight="1">
      <c r="A202" s="3">
        <v>201</v>
      </c>
      <c r="B202" t="s" s="4">
        <v>1280</v>
      </c>
      <c r="C202" t="s" s="5">
        <v>1218</v>
      </c>
      <c r="D202" t="s" s="5">
        <v>1219</v>
      </c>
      <c r="E202" t="s" s="5">
        <v>1281</v>
      </c>
      <c r="F202" t="s" s="10">
        <v>1282</v>
      </c>
      <c r="G202" t="s" s="7">
        <v>1283</v>
      </c>
      <c r="H202" t="s" s="7">
        <v>1284</v>
      </c>
      <c r="I202" t="str" s="8" cm="1">
        <f t="array" ref="I202">SUBSTITUTE(H202,B202,"(          )")</f>
        <v>Please park your car next to the (          ).</v>
      </c>
      <c r="J202" s="9" cm="1">
        <f t="array" ref="J202">SUMIF('외운 것 - 엑셀다운로드 파일(붙여넣기)'!A3:A562,A202,'외운 것 - 엑셀다운로드 파일(붙여넣기)'!D3:D562)</f>
        <v>0</v>
      </c>
      <c r="K202" s="9" cm="1">
        <f t="array" ref="K202">_xlfn.COUNTIFS('외운 것 - 엑셀다운로드 파일(붙여넣기)'!A3:A562,A202,'외운 것 - 엑셀다운로드 파일(붙여넣기)'!D3:D562,0)</f>
        <v>0</v>
      </c>
      <c r="L202" s="9" cm="1">
        <f t="array" ref="L202">IF(J202&gt;=3,_xlfn.XLOOKUP(A202,'외운 것 - 엑셀다운로드 파일(붙여넣기)'!A3:A562,'외운 것 - 엑셀다운로드 파일(붙여넣기)'!C3:C562,0,-1),0)</f>
        <v>0</v>
      </c>
    </row>
    <row r="203" ht="38.45" customHeight="1">
      <c r="A203" s="3">
        <v>202</v>
      </c>
      <c r="B203" t="s" s="4">
        <v>1286</v>
      </c>
      <c r="C203" t="s" s="5">
        <v>1218</v>
      </c>
      <c r="D203" t="s" s="5">
        <v>1219</v>
      </c>
      <c r="E203" t="s" s="5">
        <v>1287</v>
      </c>
      <c r="F203" t="s" s="10">
        <v>1288</v>
      </c>
      <c r="G203" t="s" s="7">
        <v>1289</v>
      </c>
      <c r="H203" t="s" s="7">
        <v>1290</v>
      </c>
      <c r="I203" t="str" s="8" cm="1">
        <f t="array" ref="I203">SUBSTITUTE(H203,B203,"(          )")</f>
        <v>The teenager had to be home before (          ) at 10:00 PM.</v>
      </c>
      <c r="J203" s="9" cm="1">
        <f t="array" ref="J203">SUMIF('외운 것 - 엑셀다운로드 파일(붙여넣기)'!A3:A562,A203,'외운 것 - 엑셀다운로드 파일(붙여넣기)'!D3:D562)</f>
        <v>0</v>
      </c>
      <c r="K203" s="9" cm="1">
        <f t="array" ref="K203">_xlfn.COUNTIFS('외운 것 - 엑셀다운로드 파일(붙여넣기)'!A3:A562,A203,'외운 것 - 엑셀다운로드 파일(붙여넣기)'!D3:D562,0)</f>
        <v>0</v>
      </c>
      <c r="L203" s="9" cm="1">
        <f t="array" ref="L203">IF(J203&gt;=3,_xlfn.XLOOKUP(A203,'외운 것 - 엑셀다운로드 파일(붙여넣기)'!A3:A562,'외운 것 - 엑셀다운로드 파일(붙여넣기)'!C3:C562,0,-1),0)</f>
        <v>0</v>
      </c>
    </row>
    <row r="204" ht="38.45" customHeight="1">
      <c r="A204" s="3">
        <v>203</v>
      </c>
      <c r="B204" t="s" s="4">
        <v>1292</v>
      </c>
      <c r="C204" t="s" s="5">
        <v>1218</v>
      </c>
      <c r="D204" t="s" s="5">
        <v>1219</v>
      </c>
      <c r="E204" t="s" s="5">
        <v>1293</v>
      </c>
      <c r="F204" t="s" s="10">
        <v>1294</v>
      </c>
      <c r="G204" t="s" s="7">
        <v>1295</v>
      </c>
      <c r="H204" t="s" s="7">
        <v>1296</v>
      </c>
      <c r="I204" t="str" s="8" cm="1">
        <f t="array" ref="I204">SUBSTITUTE(H204,B204,"(          )")</f>
        <v>Draw the (          ) to block the bright sunlight.</v>
      </c>
      <c r="J204" s="9" cm="1">
        <f t="array" ref="J204">SUMIF('외운 것 - 엑셀다운로드 파일(붙여넣기)'!A3:A562,A204,'외운 것 - 엑셀다운로드 파일(붙여넣기)'!D3:D562)</f>
        <v>0</v>
      </c>
      <c r="K204" s="9" cm="1">
        <f t="array" ref="K204">_xlfn.COUNTIFS('외운 것 - 엑셀다운로드 파일(붙여넣기)'!A3:A562,A204,'외운 것 - 엑셀다운로드 파일(붙여넣기)'!D3:D562,0)</f>
        <v>0</v>
      </c>
      <c r="L204" s="9" cm="1">
        <f t="array" ref="L204">IF(J204&gt;=3,_xlfn.XLOOKUP(A204,'외운 것 - 엑셀다운로드 파일(붙여넣기)'!A3:A562,'외운 것 - 엑셀다운로드 파일(붙여넣기)'!C3:C562,0,-1),0)</f>
        <v>0</v>
      </c>
    </row>
    <row r="205" ht="38.45" customHeight="1">
      <c r="A205" s="3">
        <v>204</v>
      </c>
      <c r="B205" t="s" s="4">
        <v>1298</v>
      </c>
      <c r="C205" t="s" s="5">
        <v>1218</v>
      </c>
      <c r="D205" t="s" s="5">
        <v>1219</v>
      </c>
      <c r="E205" t="s" s="5">
        <v>1299</v>
      </c>
      <c r="F205" t="s" s="10">
        <v>1300</v>
      </c>
      <c r="G205" t="s" s="7">
        <v>1301</v>
      </c>
      <c r="H205" t="s" s="7">
        <v>1302</v>
      </c>
      <c r="I205" t="str" s="8" cm="1">
        <f t="array" ref="I205">SUBSTITUTE(H205,B205,"(          )")</f>
        <v>They went on a day (          ) to the nearby island.</v>
      </c>
      <c r="J205" s="9" cm="1">
        <f t="array" ref="J205">SUMIF('외운 것 - 엑셀다운로드 파일(붙여넣기)'!A3:A562,A205,'외운 것 - 엑셀다운로드 파일(붙여넣기)'!D3:D562)</f>
        <v>0</v>
      </c>
      <c r="K205" s="9" cm="1">
        <f t="array" ref="K205">_xlfn.COUNTIFS('외운 것 - 엑셀다운로드 파일(붙여넣기)'!A3:A562,A205,'외운 것 - 엑셀다운로드 파일(붙여넣기)'!D3:D562,0)</f>
        <v>0</v>
      </c>
      <c r="L205" s="9" cm="1">
        <f t="array" ref="L205">IF(J205&gt;=3,_xlfn.XLOOKUP(A205,'외운 것 - 엑셀다운로드 파일(붙여넣기)'!A3:A562,'외운 것 - 엑셀다운로드 파일(붙여넣기)'!C3:C562,0,-1),0)</f>
        <v>0</v>
      </c>
    </row>
    <row r="206" ht="23.45" customHeight="1">
      <c r="A206" s="3">
        <v>205</v>
      </c>
      <c r="B206" t="s" s="4">
        <v>1304</v>
      </c>
      <c r="C206" t="s" s="5">
        <v>1218</v>
      </c>
      <c r="D206" t="s" s="5">
        <v>1219</v>
      </c>
      <c r="E206" t="s" s="5">
        <v>1305</v>
      </c>
      <c r="F206" t="s" s="10">
        <v>1306</v>
      </c>
      <c r="G206" t="s" s="7">
        <v>1307</v>
      </c>
      <c r="H206" t="s" s="7">
        <v>1308</v>
      </c>
      <c r="I206" t="str" s="8" cm="1">
        <f t="array" ref="I206">SUBSTITUTE(H206,B206,"(          )")</f>
        <v>I (          ) with your assessment of the situation.</v>
      </c>
      <c r="J206" s="9" cm="1">
        <f t="array" ref="J206">SUMIF('외운 것 - 엑셀다운로드 파일(붙여넣기)'!A3:A562,A206,'외운 것 - 엑셀다운로드 파일(붙여넣기)'!D3:D562)</f>
        <v>0</v>
      </c>
      <c r="K206" s="9" cm="1">
        <f t="array" ref="K206">_xlfn.COUNTIFS('외운 것 - 엑셀다운로드 파일(붙여넣기)'!A3:A562,A206,'외운 것 - 엑셀다운로드 파일(붙여넣기)'!D3:D562,0)</f>
        <v>0</v>
      </c>
      <c r="L206" s="9" cm="1">
        <f t="array" ref="L206">IF(J206&gt;=3,_xlfn.XLOOKUP(A206,'외운 것 - 엑셀다운로드 파일(붙여넣기)'!A3:A562,'외운 것 - 엑셀다운로드 파일(붙여넣기)'!C3:C562,0,-1),0)</f>
        <v>0</v>
      </c>
    </row>
    <row r="207" ht="38.45" customHeight="1">
      <c r="A207" s="3">
        <v>206</v>
      </c>
      <c r="B207" t="s" s="4">
        <v>1310</v>
      </c>
      <c r="C207" t="s" s="5">
        <v>1310</v>
      </c>
      <c r="D207" t="s" s="5">
        <v>1311</v>
      </c>
      <c r="E207" t="s" s="5">
        <v>1312</v>
      </c>
      <c r="F207" t="s" s="10">
        <v>1313</v>
      </c>
      <c r="G207" t="s" s="7">
        <v>1314</v>
      </c>
      <c r="H207" t="s" s="7">
        <v>1315</v>
      </c>
      <c r="I207" t="str" s="8" cm="1">
        <f t="array" ref="I207">SUBSTITUTE(H207,B207,"(          )")</f>
        <v>You should take (          ) of your health.</v>
      </c>
      <c r="J207" s="9" cm="1">
        <f t="array" ref="J207">SUMIF('외운 것 - 엑셀다운로드 파일(붙여넣기)'!A3:A562,A207,'외운 것 - 엑셀다운로드 파일(붙여넣기)'!D3:D562)</f>
        <v>0</v>
      </c>
      <c r="K207" s="9" cm="1">
        <f t="array" ref="K207">_xlfn.COUNTIFS('외운 것 - 엑셀다운로드 파일(붙여넣기)'!A3:A562,A207,'외운 것 - 엑셀다운로드 파일(붙여넣기)'!D3:D562,0)</f>
        <v>0</v>
      </c>
      <c r="L207" s="9" cm="1">
        <f t="array" ref="L207">IF(J207&gt;=3,_xlfn.XLOOKUP(A207,'외운 것 - 엑셀다운로드 파일(붙여넣기)'!A3:A562,'외운 것 - 엑셀다운로드 파일(붙여넣기)'!C3:C562,0,-1),0)</f>
        <v>0</v>
      </c>
    </row>
    <row r="208" ht="38.45" customHeight="1">
      <c r="A208" s="3">
        <v>207</v>
      </c>
      <c r="B208" t="s" s="4">
        <v>1317</v>
      </c>
      <c r="C208" t="s" s="5">
        <v>1310</v>
      </c>
      <c r="D208" t="s" s="5">
        <v>1311</v>
      </c>
      <c r="E208" t="s" s="5">
        <v>1318</v>
      </c>
      <c r="F208" t="s" s="10">
        <v>1319</v>
      </c>
      <c r="G208" t="s" s="7">
        <v>1320</v>
      </c>
      <c r="H208" t="s" s="7">
        <v>1321</v>
      </c>
      <c r="I208" t="str" s="8" cm="1">
        <f t="array" ref="I208">SUBSTITUTE(H208,B208,"(          )")</f>
        <v>Be (          ) when crossing the street.</v>
      </c>
      <c r="J208" s="9" cm="1">
        <f t="array" ref="J208">SUMIF('외운 것 - 엑셀다운로드 파일(붙여넣기)'!A3:A562,A208,'외운 것 - 엑셀다운로드 파일(붙여넣기)'!D3:D562)</f>
        <v>0</v>
      </c>
      <c r="K208" s="9" cm="1">
        <f t="array" ref="K208">_xlfn.COUNTIFS('외운 것 - 엑셀다운로드 파일(붙여넣기)'!A3:A562,A208,'외운 것 - 엑셀다운로드 파일(붙여넣기)'!D3:D562,0)</f>
        <v>0</v>
      </c>
      <c r="L208" s="9" cm="1">
        <f t="array" ref="L208">IF(J208&gt;=3,_xlfn.XLOOKUP(A208,'외운 것 - 엑셀다운로드 파일(붙여넣기)'!A3:A562,'외운 것 - 엑셀다운로드 파일(붙여넣기)'!C3:C562,0,-1),0)</f>
        <v>0</v>
      </c>
    </row>
    <row r="209" ht="38.45" customHeight="1">
      <c r="A209" s="3">
        <v>208</v>
      </c>
      <c r="B209" t="s" s="4">
        <v>1323</v>
      </c>
      <c r="C209" t="s" s="5">
        <v>1310</v>
      </c>
      <c r="D209" t="s" s="5">
        <v>1311</v>
      </c>
      <c r="E209" t="s" s="5">
        <v>1324</v>
      </c>
      <c r="F209" t="s" s="10">
        <v>1325</v>
      </c>
      <c r="G209" t="s" s="7">
        <v>1326</v>
      </c>
      <c r="H209" t="s" s="7">
        <v>1327</v>
      </c>
      <c r="I209" t="str" s="8" cm="1">
        <f t="array" ref="I209">SUBSTITUTE(H209,B209,"(          )")</f>
        <v>His (          ) mistake cost the team the game.</v>
      </c>
      <c r="J209" s="9" cm="1">
        <f t="array" ref="J209">SUMIF('외운 것 - 엑셀다운로드 파일(붙여넣기)'!A3:A562,A209,'외운 것 - 엑셀다운로드 파일(붙여넣기)'!D3:D562)</f>
        <v>0</v>
      </c>
      <c r="K209" s="9" cm="1">
        <f t="array" ref="K209">_xlfn.COUNTIFS('외운 것 - 엑셀다운로드 파일(붙여넣기)'!A3:A562,A209,'외운 것 - 엑셀다운로드 파일(붙여넣기)'!D3:D562,0)</f>
        <v>0</v>
      </c>
      <c r="L209" s="9" cm="1">
        <f t="array" ref="L209">IF(J209&gt;=3,_xlfn.XLOOKUP(A209,'외운 것 - 엑셀다운로드 파일(붙여넣기)'!A3:A562,'외운 것 - 엑셀다운로드 파일(붙여넣기)'!C3:C562,0,-1),0)</f>
        <v>0</v>
      </c>
    </row>
    <row r="210" ht="38.45" customHeight="1">
      <c r="A210" s="3">
        <v>209</v>
      </c>
      <c r="B210" t="s" s="4">
        <v>1329</v>
      </c>
      <c r="C210" t="s" s="5">
        <v>1310</v>
      </c>
      <c r="D210" t="s" s="5">
        <v>1311</v>
      </c>
      <c r="E210" t="s" s="5">
        <v>1330</v>
      </c>
      <c r="F210" t="s" s="10">
        <v>1331</v>
      </c>
      <c r="G210" t="s" s="7">
        <v>1332</v>
      </c>
      <c r="H210" t="s" s="7">
        <v>1333</v>
      </c>
      <c r="I210" t="str" s="8" cm="1">
        <f t="array" ref="I210">SUBSTITUTE(H210,B210,"(          )")</f>
        <v>The climber was in a (          ) position on the cliff.</v>
      </c>
      <c r="J210" s="9" cm="1">
        <f t="array" ref="J210">SUMIF('외운 것 - 엑셀다운로드 파일(붙여넣기)'!A3:A562,A210,'외운 것 - 엑셀다운로드 파일(붙여넣기)'!D3:D562)</f>
        <v>0</v>
      </c>
      <c r="K210" s="9" cm="1">
        <f t="array" ref="K210">_xlfn.COUNTIFS('외운 것 - 엑셀다운로드 파일(붙여넣기)'!A3:A562,A210,'외운 것 - 엑셀다운로드 파일(붙여넣기)'!D3:D562,0)</f>
        <v>0</v>
      </c>
      <c r="L210" s="9" cm="1">
        <f t="array" ref="L210">IF(J210&gt;=3,_xlfn.XLOOKUP(A210,'외운 것 - 엑셀다운로드 파일(붙여넣기)'!A3:A562,'외운 것 - 엑셀다운로드 파일(붙여넣기)'!C3:C562,0,-1),0)</f>
        <v>0</v>
      </c>
    </row>
    <row r="211" ht="38.45" customHeight="1">
      <c r="A211" s="3">
        <v>210</v>
      </c>
      <c r="B211" t="s" s="4">
        <v>1335</v>
      </c>
      <c r="C211" t="s" s="5">
        <v>1310</v>
      </c>
      <c r="D211" t="s" s="5">
        <v>1311</v>
      </c>
      <c r="E211" t="s" s="5">
        <v>1336</v>
      </c>
      <c r="F211" t="s" s="10">
        <v>1337</v>
      </c>
      <c r="G211" t="s" s="7">
        <v>1338</v>
      </c>
      <c r="H211" t="s" s="7">
        <v>1339</v>
      </c>
      <c r="I211" t="str" s="8" cm="1">
        <f t="array" ref="I211">SUBSTITUTE(H211,B211,"(          )")</f>
        <v>The (          ) raises money to help homeless people.</v>
      </c>
      <c r="J211" s="9" cm="1">
        <f t="array" ref="J211">SUMIF('외운 것 - 엑셀다운로드 파일(붙여넣기)'!A3:A562,A211,'외운 것 - 엑셀다운로드 파일(붙여넣기)'!D3:D562)</f>
        <v>0</v>
      </c>
      <c r="K211" s="9" cm="1">
        <f t="array" ref="K211">_xlfn.COUNTIFS('외운 것 - 엑셀다운로드 파일(붙여넣기)'!A3:A562,A211,'외운 것 - 엑셀다운로드 파일(붙여넣기)'!D3:D562,0)</f>
        <v>0</v>
      </c>
      <c r="L211" s="9" cm="1">
        <f t="array" ref="L211">IF(J211&gt;=3,_xlfn.XLOOKUP(A211,'외운 것 - 엑셀다운로드 파일(붙여넣기)'!A3:A562,'외운 것 - 엑셀다운로드 파일(붙여넣기)'!C3:C562,0,-1),0)</f>
        <v>0</v>
      </c>
    </row>
    <row r="212" ht="23.45" customHeight="1">
      <c r="A212" s="3">
        <v>211</v>
      </c>
      <c r="B212" t="s" s="4">
        <v>1341</v>
      </c>
      <c r="C212" t="s" s="5">
        <v>1310</v>
      </c>
      <c r="D212" t="s" s="5">
        <v>1311</v>
      </c>
      <c r="E212" t="s" s="5">
        <v>1342</v>
      </c>
      <c r="F212" t="s" s="10">
        <v>1343</v>
      </c>
      <c r="G212" t="s" s="7">
        <v>1344</v>
      </c>
      <c r="H212" t="s" s="7">
        <v>1345</v>
      </c>
      <c r="I212" t="str" s="8" cm="1">
        <f t="array" ref="I212">SUBSTITUTE(H212,B212,"(          )")</f>
        <v>I (          ) the memories of my childhood.</v>
      </c>
      <c r="J212" s="9" cm="1">
        <f t="array" ref="J212">SUMIF('외운 것 - 엑셀다운로드 파일(붙여넣기)'!A3:A562,A212,'외운 것 - 엑셀다운로드 파일(붙여넣기)'!D3:D562)</f>
        <v>0</v>
      </c>
      <c r="K212" s="9" cm="1">
        <f t="array" ref="K212">_xlfn.COUNTIFS('외운 것 - 엑셀다운로드 파일(붙여넣기)'!A3:A562,A212,'외운 것 - 엑셀다운로드 파일(붙여넣기)'!D3:D562,0)</f>
        <v>0</v>
      </c>
      <c r="L212" s="9" cm="1">
        <f t="array" ref="L212">IF(J212&gt;=3,_xlfn.XLOOKUP(A212,'외운 것 - 엑셀다운로드 파일(붙여넣기)'!A3:A562,'외운 것 - 엑셀다운로드 파일(붙여넣기)'!C3:C562,0,-1),0)</f>
        <v>0</v>
      </c>
    </row>
    <row r="213" ht="38.45" customHeight="1">
      <c r="A213" s="3">
        <v>212</v>
      </c>
      <c r="B213" t="s" s="4">
        <v>1347</v>
      </c>
      <c r="C213" t="s" s="5">
        <v>1310</v>
      </c>
      <c r="D213" t="s" s="5">
        <v>1311</v>
      </c>
      <c r="E213" t="s" s="5">
        <v>1348</v>
      </c>
      <c r="F213" t="s" s="10">
        <v>1349</v>
      </c>
      <c r="G213" t="s" s="7">
        <v>1350</v>
      </c>
      <c r="H213" t="s" s="7">
        <v>1351</v>
      </c>
      <c r="I213" t="str" s="8" cm="1">
        <f t="array" ref="I213">SUBSTITUTE(H213,B213,"(          )")</f>
        <v>His (          ) behavior surprised everyone at the meeting.</v>
      </c>
      <c r="J213" s="9" cm="1">
        <f t="array" ref="J213">SUMIF('외운 것 - 엑셀다운로드 파일(붙여넣기)'!A3:A562,A213,'외운 것 - 엑셀다운로드 파일(붙여넣기)'!D3:D562)</f>
        <v>0</v>
      </c>
      <c r="K213" s="9" cm="1">
        <f t="array" ref="K213">_xlfn.COUNTIFS('외운 것 - 엑셀다운로드 파일(붙여넣기)'!A3:A562,A213,'외운 것 - 엑셀다운로드 파일(붙여넣기)'!D3:D562,0)</f>
        <v>0</v>
      </c>
      <c r="L213" s="9" cm="1">
        <f t="array" ref="L213">IF(J213&gt;=3,_xlfn.XLOOKUP(A213,'외운 것 - 엑셀다운로드 파일(붙여넣기)'!A3:A562,'외운 것 - 엑셀다운로드 파일(붙여넣기)'!C3:C562,0,-1),0)</f>
        <v>0</v>
      </c>
    </row>
    <row r="214" ht="23.45" customHeight="1">
      <c r="A214" s="3">
        <v>213</v>
      </c>
      <c r="B214" t="s" s="4">
        <v>1353</v>
      </c>
      <c r="C214" t="s" s="5">
        <v>1310</v>
      </c>
      <c r="D214" t="s" s="5">
        <v>1311</v>
      </c>
      <c r="E214" t="s" s="5">
        <v>1354</v>
      </c>
      <c r="F214" t="s" s="10">
        <v>1355</v>
      </c>
      <c r="G214" t="s" s="7">
        <v>1356</v>
      </c>
      <c r="H214" t="s" s="7">
        <v>1357</v>
      </c>
      <c r="I214" t="str" s="8" cm="1">
        <f t="array" ref="I214">SUBSTITUTE(H214,B214,"(          )")</f>
        <v>Scientists are working to find a (          ) for cancer.</v>
      </c>
      <c r="J214" s="9" cm="1">
        <f t="array" ref="J214">SUMIF('외운 것 - 엑셀다운로드 파일(붙여넣기)'!A3:A562,A214,'외운 것 - 엑셀다운로드 파일(붙여넣기)'!D3:D562)</f>
        <v>0</v>
      </c>
      <c r="K214" s="9" cm="1">
        <f t="array" ref="K214">_xlfn.COUNTIFS('외운 것 - 엑셀다운로드 파일(붙여넣기)'!A3:A562,A214,'외운 것 - 엑셀다운로드 파일(붙여넣기)'!D3:D562,0)</f>
        <v>0</v>
      </c>
      <c r="L214" s="9" cm="1">
        <f t="array" ref="L214">IF(J214&gt;=3,_xlfn.XLOOKUP(A214,'외운 것 - 엑셀다운로드 파일(붙여넣기)'!A3:A562,'외운 것 - 엑셀다운로드 파일(붙여넣기)'!C3:C562,0,-1),0)</f>
        <v>0</v>
      </c>
    </row>
    <row r="215" ht="38.45" customHeight="1">
      <c r="A215" s="3">
        <v>214</v>
      </c>
      <c r="B215" t="s" s="4">
        <v>1359</v>
      </c>
      <c r="C215" t="s" s="5">
        <v>1360</v>
      </c>
      <c r="D215" t="s" s="5">
        <v>1310</v>
      </c>
      <c r="E215" t="s" s="5">
        <v>1361</v>
      </c>
      <c r="F215" t="s" s="10">
        <v>1362</v>
      </c>
      <c r="G215" t="s" s="7">
        <v>1363</v>
      </c>
      <c r="H215" t="s" s="7">
        <v>1364</v>
      </c>
      <c r="I215" t="str" s="8" cm="1">
        <f t="array" ref="I215">SUBSTITUTE(H215,B215,"(          )")</f>
        <v>The plant has (          ) properties for skin conditions.</v>
      </c>
      <c r="J215" s="9" cm="1">
        <f t="array" ref="J215">SUMIF('외운 것 - 엑셀다운로드 파일(붙여넣기)'!A3:A562,A215,'외운 것 - 엑셀다운로드 파일(붙여넣기)'!D3:D562)</f>
        <v>0</v>
      </c>
      <c r="K215" s="9" cm="1">
        <f t="array" ref="K215">_xlfn.COUNTIFS('외운 것 - 엑셀다운로드 파일(붙여넣기)'!A3:A562,A215,'외운 것 - 엑셀다운로드 파일(붙여넣기)'!D3:D562,0)</f>
        <v>0</v>
      </c>
      <c r="L215" s="9" cm="1">
        <f t="array" ref="L215">IF(J215&gt;=3,_xlfn.XLOOKUP(A215,'외운 것 - 엑셀다운로드 파일(붙여넣기)'!A3:A562,'외운 것 - 엑셀다운로드 파일(붙여넣기)'!C3:C562,0,-1),0)</f>
        <v>0</v>
      </c>
    </row>
    <row r="216" ht="38.45" customHeight="1">
      <c r="A216" s="3">
        <v>215</v>
      </c>
      <c r="B216" t="s" s="4">
        <v>1366</v>
      </c>
      <c r="C216" t="s" s="5">
        <v>1367</v>
      </c>
      <c r="D216" t="s" s="5">
        <v>1368</v>
      </c>
      <c r="E216" t="s" s="5">
        <v>1369</v>
      </c>
      <c r="F216" t="s" s="10">
        <v>1370</v>
      </c>
      <c r="G216" t="s" s="7">
        <v>1371</v>
      </c>
      <c r="H216" t="s" s="7">
        <v>1372</v>
      </c>
      <c r="I216" t="str" s="8" cm="1">
        <f t="array" ref="I216">SUBSTITUTE(H216,B216,"(          )")</f>
        <v>The museum (          ) organized the new exhibition.</v>
      </c>
      <c r="J216" s="9" cm="1">
        <f t="array" ref="J216">SUMIF('외운 것 - 엑셀다운로드 파일(붙여넣기)'!A3:A562,A216,'외운 것 - 엑셀다운로드 파일(붙여넣기)'!D3:D562)</f>
        <v>0</v>
      </c>
      <c r="K216" s="9" cm="1">
        <f t="array" ref="K216">_xlfn.COUNTIFS('외운 것 - 엑셀다운로드 파일(붙여넣기)'!A3:A562,A216,'외운 것 - 엑셀다운로드 파일(붙여넣기)'!D3:D562,0)</f>
        <v>0</v>
      </c>
      <c r="L216" s="9" cm="1">
        <f t="array" ref="L216">IF(J216&gt;=3,_xlfn.XLOOKUP(A216,'외운 것 - 엑셀다운로드 파일(붙여넣기)'!A3:A562,'외운 것 - 엑셀다운로드 파일(붙여넣기)'!C3:C562,0,-1),0)</f>
        <v>0</v>
      </c>
    </row>
    <row r="217" ht="38.45" customHeight="1">
      <c r="A217" s="3">
        <v>216</v>
      </c>
      <c r="B217" t="s" s="4">
        <v>1374</v>
      </c>
      <c r="C217" t="s" s="5">
        <v>1360</v>
      </c>
      <c r="D217" t="s" s="5">
        <v>1310</v>
      </c>
      <c r="E217" t="s" s="5">
        <v>1375</v>
      </c>
      <c r="F217" t="s" s="10">
        <v>1376</v>
      </c>
      <c r="G217" t="s" s="7">
        <v>1377</v>
      </c>
      <c r="H217" t="s" s="7">
        <v>1378</v>
      </c>
      <c r="I217" t="str" s="8" cm="1">
        <f t="array" ref="I217">SUBSTITUTE(H217,B217,"(          )")</f>
        <v>She gets a (          ) every two weeks.</v>
      </c>
      <c r="J217" s="9" cm="1">
        <f t="array" ref="J217">SUMIF('외운 것 - 엑셀다운로드 파일(붙여넣기)'!A3:A562,A217,'외운 것 - 엑셀다운로드 파일(붙여넣기)'!D3:D562)</f>
        <v>0</v>
      </c>
      <c r="K217" s="9" cm="1">
        <f t="array" ref="K217">_xlfn.COUNTIFS('외운 것 - 엑셀다운로드 파일(붙여넣기)'!A3:A562,A217,'외운 것 - 엑셀다운로드 파일(붙여넣기)'!D3:D562,0)</f>
        <v>0</v>
      </c>
      <c r="L217" s="9" cm="1">
        <f t="array" ref="L217">IF(J217&gt;=3,_xlfn.XLOOKUP(A217,'외운 것 - 엑셀다운로드 파일(붙여넣기)'!A3:A562,'외운 것 - 엑셀다운로드 파일(붙여넣기)'!C3:C562,0,-1),0)</f>
        <v>0</v>
      </c>
    </row>
    <row r="218" ht="38.45" customHeight="1">
      <c r="A218" s="3">
        <v>217</v>
      </c>
      <c r="B218" t="s" s="4">
        <v>1380</v>
      </c>
      <c r="C218" t="s" s="5">
        <v>1360</v>
      </c>
      <c r="D218" t="s" s="5">
        <v>1310</v>
      </c>
      <c r="E218" t="s" s="5">
        <v>1381</v>
      </c>
      <c r="F218" t="s" s="10">
        <v>1382</v>
      </c>
      <c r="G218" t="s" s="7">
        <v>1383</v>
      </c>
      <c r="H218" t="s" s="7">
        <v>1384</v>
      </c>
      <c r="I218" t="str" s="8" cm="1">
        <f t="array" ref="I218">SUBSTITUTE(H218,B218,"(          )")</f>
        <v>Lock all doors and windows to (          ) your home.</v>
      </c>
      <c r="J218" s="9" cm="1">
        <f t="array" ref="J218">SUMIF('외운 것 - 엑셀다운로드 파일(붙여넣기)'!A3:A562,A218,'외운 것 - 엑셀다운로드 파일(붙여넣기)'!D3:D562)</f>
        <v>0</v>
      </c>
      <c r="K218" s="9" cm="1">
        <f t="array" ref="K218">_xlfn.COUNTIFS('외운 것 - 엑셀다운로드 파일(붙여넣기)'!A3:A562,A218,'외운 것 - 엑셀다운로드 파일(붙여넣기)'!D3:D562,0)</f>
        <v>0</v>
      </c>
      <c r="L218" s="9" cm="1">
        <f t="array" ref="L218">IF(J218&gt;=3,_xlfn.XLOOKUP(A218,'외운 것 - 엑셀다운로드 파일(붙여넣기)'!A3:A562,'외운 것 - 엑셀다운로드 파일(붙여넣기)'!C3:C562,0,-1),0)</f>
        <v>0</v>
      </c>
    </row>
    <row r="219" ht="38.45" customHeight="1">
      <c r="A219" s="3">
        <v>218</v>
      </c>
      <c r="B219" t="s" s="4">
        <v>1386</v>
      </c>
      <c r="C219" t="s" s="5">
        <v>1387</v>
      </c>
      <c r="D219" t="s" s="5">
        <v>1353</v>
      </c>
      <c r="E219" t="s" s="5">
        <v>1388</v>
      </c>
      <c r="F219" t="s" s="10">
        <v>1389</v>
      </c>
      <c r="G219" t="s" s="7">
        <v>1390</v>
      </c>
      <c r="H219" t="s" s="7">
        <v>1391</v>
      </c>
      <c r="I219" t="str" s="8" cm="1">
        <f t="array" ref="I219">SUBSTITUTE(H219,B219,"(          )")</f>
        <v>He feels (          ) about speaking in public.</v>
      </c>
      <c r="J219" s="9" cm="1">
        <f t="array" ref="J219">SUMIF('외운 것 - 엑셀다운로드 파일(붙여넣기)'!A3:A562,A219,'외운 것 - 엑셀다운로드 파일(붙여넣기)'!D3:D562)</f>
        <v>0</v>
      </c>
      <c r="K219" s="9" cm="1">
        <f t="array" ref="K219">_xlfn.COUNTIFS('외운 것 - 엑셀다운로드 파일(붙여넣기)'!A3:A562,A219,'외운 것 - 엑셀다운로드 파일(붙여넣기)'!D3:D562,0)</f>
        <v>0</v>
      </c>
      <c r="L219" s="9" cm="1">
        <f t="array" ref="L219">IF(J219&gt;=3,_xlfn.XLOOKUP(A219,'외운 것 - 엑셀다운로드 파일(붙여넣기)'!A3:A562,'외운 것 - 엑셀다운로드 파일(붙여넣기)'!C3:C562,0,-1),0)</f>
        <v>0</v>
      </c>
    </row>
    <row r="220" ht="38.45" customHeight="1">
      <c r="A220" s="3">
        <v>219</v>
      </c>
      <c r="B220" t="s" s="4">
        <v>1393</v>
      </c>
      <c r="C220" t="s" s="5">
        <v>1387</v>
      </c>
      <c r="D220" t="s" s="5">
        <v>1353</v>
      </c>
      <c r="E220" t="s" s="5">
        <v>1394</v>
      </c>
      <c r="F220" t="s" s="10">
        <v>1395</v>
      </c>
      <c r="G220" t="s" s="7">
        <v>1396</v>
      </c>
      <c r="H220" t="s" s="7">
        <v>1397</v>
      </c>
      <c r="I220" t="str" s="8" cm="1">
        <f t="array" ref="I220">SUBSTITUTE(H220,B220,"(          )")</f>
        <v>Firefighters will (          ) the cat from the tree.</v>
      </c>
      <c r="J220" s="9" cm="1">
        <f t="array" ref="J220">SUMIF('외운 것 - 엑셀다운로드 파일(붙여넣기)'!A3:A562,A220,'외운 것 - 엑셀다운로드 파일(붙여넣기)'!D3:D562)</f>
        <v>0</v>
      </c>
      <c r="K220" s="9" cm="1">
        <f t="array" ref="K220">_xlfn.COUNTIFS('외운 것 - 엑셀다운로드 파일(붙여넣기)'!A3:A562,A220,'외운 것 - 엑셀다운로드 파일(붙여넣기)'!D3:D562,0)</f>
        <v>0</v>
      </c>
      <c r="L220" s="9" cm="1">
        <f t="array" ref="L220">IF(J220&gt;=3,_xlfn.XLOOKUP(A220,'외운 것 - 엑셀다운로드 파일(붙여넣기)'!A3:A562,'외운 것 - 엑셀다운로드 파일(붙여넣기)'!C3:C562,0,-1),0)</f>
        <v>0</v>
      </c>
    </row>
    <row r="221" ht="38.45" customHeight="1">
      <c r="A221" s="3">
        <v>220</v>
      </c>
      <c r="B221" t="s" s="4">
        <v>1399</v>
      </c>
      <c r="C221" t="s" s="5">
        <v>1360</v>
      </c>
      <c r="D221" t="s" s="5">
        <v>1310</v>
      </c>
      <c r="E221" t="s" s="5">
        <v>1400</v>
      </c>
      <c r="F221" t="s" s="10">
        <v>1401</v>
      </c>
      <c r="G221" t="s" s="7">
        <v>1402</v>
      </c>
      <c r="H221" t="s" s="7">
        <v>1403</v>
      </c>
      <c r="I221" t="str" s="8" cm="1">
        <f t="array" ref="I221">SUBSTITUTE(H221,B221,"(          )")</f>
        <v>The meaning of the poem is (          ) to many readers.</v>
      </c>
      <c r="J221" s="9" cm="1">
        <f t="array" ref="J221">SUMIF('외운 것 - 엑셀다운로드 파일(붙여넣기)'!A3:A562,A221,'외운 것 - 엑셀다운로드 파일(붙여넣기)'!D3:D562)</f>
        <v>0</v>
      </c>
      <c r="K221" s="9" cm="1">
        <f t="array" ref="K221">_xlfn.COUNTIFS('외운 것 - 엑셀다운로드 파일(붙여넣기)'!A3:A562,A221,'외운 것 - 엑셀다운로드 파일(붙여넣기)'!D3:D562,0)</f>
        <v>0</v>
      </c>
      <c r="L221" s="9" cm="1">
        <f t="array" ref="L221">IF(J221&gt;=3,_xlfn.XLOOKUP(A221,'외운 것 - 엑셀다운로드 파일(붙여넣기)'!A3:A562,'외운 것 - 엑셀다운로드 파일(붙여넣기)'!C3:C562,0,-1),0)</f>
        <v>0</v>
      </c>
    </row>
    <row r="222" ht="36.4" customHeight="1">
      <c r="A222" s="3">
        <v>221</v>
      </c>
      <c r="B222" t="s" s="4">
        <v>1405</v>
      </c>
      <c r="C222" t="s" s="5">
        <v>1360</v>
      </c>
      <c r="D222" t="s" s="5">
        <v>1310</v>
      </c>
      <c r="E222" t="s" s="5">
        <v>1406</v>
      </c>
      <c r="F222" t="s" s="10">
        <v>1407</v>
      </c>
      <c r="G222" t="s" s="7">
        <v>1408</v>
      </c>
      <c r="H222" t="s" s="7">
        <v>1409</v>
      </c>
      <c r="I222" t="str" s="8" cm="1">
        <f t="array" ref="I222">SUBSTITUTE(H222,B222,"(          )")</f>
        <v>Your translation must be (          ) and complete.</v>
      </c>
      <c r="J222" s="9" cm="1">
        <f t="array" ref="J222">SUMIF('외운 것 - 엑셀다운로드 파일(붙여넣기)'!A3:A562,A222,'외운 것 - 엑셀다운로드 파일(붙여넣기)'!D3:D562)</f>
        <v>0</v>
      </c>
      <c r="K222" s="9" cm="1">
        <f t="array" ref="K222">_xlfn.COUNTIFS('외운 것 - 엑셀다운로드 파일(붙여넣기)'!A3:A562,A222,'외운 것 - 엑셀다운로드 파일(붙여넣기)'!D3:D562,0)</f>
        <v>0</v>
      </c>
      <c r="L222" s="9" cm="1">
        <f t="array" ref="L222">IF(J222&gt;=3,_xlfn.XLOOKUP(A222,'외운 것 - 엑셀다운로드 파일(붙여넣기)'!A3:A562,'외운 것 - 엑셀다운로드 파일(붙여넣기)'!C3:C562,0,-1),0)</f>
        <v>0</v>
      </c>
    </row>
    <row r="223" ht="38.45" customHeight="1">
      <c r="A223" s="3">
        <v>222</v>
      </c>
      <c r="B223" t="s" s="4">
        <v>1411</v>
      </c>
      <c r="C223" t="s" s="5">
        <v>1412</v>
      </c>
      <c r="D223" t="s" s="5">
        <v>1353</v>
      </c>
      <c r="E223" t="s" s="5">
        <v>1413</v>
      </c>
      <c r="F223" t="s" s="10">
        <v>1414</v>
      </c>
      <c r="G223" t="s" s="7">
        <v>1415</v>
      </c>
      <c r="H223" t="s" s="7">
        <v>1416</v>
      </c>
      <c r="I223" t="str" s="8" cm="1">
        <f t="array" ref="I223">SUBSTITUTE(H223,B223,"(          )")</f>
        <v>The news report contained (          ) information.</v>
      </c>
      <c r="J223" s="9" cm="1">
        <f t="array" ref="J223">SUMIF('외운 것 - 엑셀다운로드 파일(붙여넣기)'!A3:A562,A223,'외운 것 - 엑셀다운로드 파일(붙여넣기)'!D3:D562)</f>
        <v>0</v>
      </c>
      <c r="K223" s="9" cm="1">
        <f t="array" ref="K223">_xlfn.COUNTIFS('외운 것 - 엑셀다운로드 파일(붙여넣기)'!A3:A562,A223,'외운 것 - 엑셀다운로드 파일(붙여넣기)'!D3:D562,0)</f>
        <v>0</v>
      </c>
      <c r="L223" s="9" cm="1">
        <f t="array" ref="L223">IF(J223&gt;=3,_xlfn.XLOOKUP(A223,'외운 것 - 엑셀다운로드 파일(붙여넣기)'!A3:A562,'외운 것 - 엑셀다운로드 파일(붙여넣기)'!C3:C562,0,-1),0)</f>
        <v>0</v>
      </c>
    </row>
    <row r="224" ht="23.45" customHeight="1">
      <c r="A224" s="3">
        <v>223</v>
      </c>
      <c r="B224" t="s" s="4">
        <v>1418</v>
      </c>
      <c r="C224" t="s" s="5">
        <v>1418</v>
      </c>
      <c r="D224" t="s" s="5">
        <v>1419</v>
      </c>
      <c r="E224" t="s" s="5">
        <v>1420</v>
      </c>
      <c r="F224" t="s" s="10">
        <v>1421</v>
      </c>
      <c r="G224" t="s" s="7">
        <v>1422</v>
      </c>
      <c r="H224" t="s" s="7">
        <v>1423</v>
      </c>
      <c r="I224" t="str" s="8" cm="1">
        <f t="array" ref="I224">SUBSTITUTE(H224,B224,"(          )")</f>
        <v>Smoking can (          ) serious health problems.</v>
      </c>
      <c r="J224" s="9" cm="1">
        <f t="array" ref="J224">SUMIF('외운 것 - 엑셀다운로드 파일(붙여넣기)'!A3:A562,A224,'외운 것 - 엑셀다운로드 파일(붙여넣기)'!D3:D562)</f>
        <v>0</v>
      </c>
      <c r="K224" s="9" cm="1">
        <f t="array" ref="K224">_xlfn.COUNTIFS('외운 것 - 엑셀다운로드 파일(붙여넣기)'!A3:A562,A224,'외운 것 - 엑셀다운로드 파일(붙여넣기)'!D3:D562,0)</f>
        <v>0</v>
      </c>
      <c r="L224" s="9" cm="1">
        <f t="array" ref="L224">IF(J224&gt;=3,_xlfn.XLOOKUP(A224,'외운 것 - 엑셀다운로드 파일(붙여넣기)'!A3:A562,'외운 것 - 엑셀다운로드 파일(붙여넣기)'!C3:C562,0,-1),0)</f>
        <v>0</v>
      </c>
    </row>
    <row r="225" ht="23.45" customHeight="1">
      <c r="A225" s="3">
        <v>224</v>
      </c>
      <c r="B225" t="s" s="4">
        <v>1425</v>
      </c>
      <c r="C225" t="s" s="5">
        <v>1418</v>
      </c>
      <c r="D225" t="s" s="5">
        <v>1419</v>
      </c>
      <c r="E225" t="s" s="5">
        <v>1426</v>
      </c>
      <c r="F225" t="s" s="10">
        <v>1427</v>
      </c>
      <c r="G225" t="s" s="7">
        <v>1428</v>
      </c>
      <c r="H225" t="s" s="7">
        <v>1429</v>
      </c>
      <c r="I225" t="str" s="8" cm="1">
        <f t="array" ref="I225">SUBSTITUTE(H225,B225,"(          )")</f>
        <v>Proceed with (          ) on the icy road.</v>
      </c>
      <c r="J225" s="9" cm="1">
        <f t="array" ref="J225">SUMIF('외운 것 - 엑셀다운로드 파일(붙여넣기)'!A3:A562,A225,'외운 것 - 엑셀다운로드 파일(붙여넣기)'!D3:D562)</f>
        <v>0</v>
      </c>
      <c r="K225" s="9" cm="1">
        <f t="array" ref="K225">_xlfn.COUNTIFS('외운 것 - 엑셀다운로드 파일(붙여넣기)'!A3:A562,A225,'외운 것 - 엑셀다운로드 파일(붙여넣기)'!D3:D562,0)</f>
        <v>0</v>
      </c>
      <c r="L225" s="9" cm="1">
        <f t="array" ref="L225">IF(J225&gt;=3,_xlfn.XLOOKUP(A225,'외운 것 - 엑셀다운로드 파일(붙여넣기)'!A3:A562,'외운 것 - 엑셀다운로드 파일(붙여넣기)'!C3:C562,0,-1),0)</f>
        <v>0</v>
      </c>
    </row>
    <row r="226" ht="36.4" customHeight="1">
      <c r="A226" s="3">
        <v>225</v>
      </c>
      <c r="B226" t="s" s="4">
        <v>1431</v>
      </c>
      <c r="C226" t="s" s="5">
        <v>1432</v>
      </c>
      <c r="D226" t="s" s="5">
        <v>1418</v>
      </c>
      <c r="E226" t="s" s="5">
        <v>1433</v>
      </c>
      <c r="F226" t="s" s="10">
        <v>1434</v>
      </c>
      <c r="G226" t="s" s="7">
        <v>1435</v>
      </c>
      <c r="H226" t="s" s="7">
        <v>1436</v>
      </c>
      <c r="I226" t="str" s="8" cm="1">
        <f t="array" ref="I226">SUBSTITUTE(H226,B226,"(          )")</f>
        <v>Investors are (          ) about the new stock market trend.</v>
      </c>
      <c r="J226" s="9" cm="1">
        <f t="array" ref="J226">SUMIF('외운 것 - 엑셀다운로드 파일(붙여넣기)'!A3:A562,A226,'외운 것 - 엑셀다운로드 파일(붙여넣기)'!D3:D562)</f>
        <v>0</v>
      </c>
      <c r="K226" s="9" cm="1">
        <f t="array" ref="K226">_xlfn.COUNTIFS('외운 것 - 엑셀다운로드 파일(붙여넣기)'!A3:A562,A226,'외운 것 - 엑셀다운로드 파일(붙여넣기)'!D3:D562,0)</f>
        <v>0</v>
      </c>
      <c r="L226" s="9" cm="1">
        <f t="array" ref="L226">IF(J226&gt;=3,_xlfn.XLOOKUP(A226,'외운 것 - 엑셀다운로드 파일(붙여넣기)'!A3:A562,'외운 것 - 엑셀다운로드 파일(붙여넣기)'!C3:C562,0,-1),0)</f>
        <v>0</v>
      </c>
    </row>
    <row r="227" ht="36.4" customHeight="1">
      <c r="A227" s="3">
        <v>226</v>
      </c>
      <c r="B227" t="s" s="4">
        <v>1438</v>
      </c>
      <c r="C227" t="s" s="5">
        <v>1432</v>
      </c>
      <c r="D227" t="s" s="5">
        <v>1418</v>
      </c>
      <c r="E227" t="s" s="5">
        <v>1439</v>
      </c>
      <c r="F227" t="s" s="10">
        <v>1440</v>
      </c>
      <c r="G227" t="s" s="7">
        <v>1441</v>
      </c>
      <c r="H227" t="s" s="7">
        <v>1442</v>
      </c>
      <c r="I227" t="str" s="8" cm="1">
        <f t="array" ref="I227">SUBSTITUTE(H227,B227,"(          )")</f>
        <v>Wearing sunscreen is a good (          ) against sunburn.</v>
      </c>
      <c r="J227" s="9" cm="1">
        <f t="array" ref="J227">SUMIF('외운 것 - 엑셀다운로드 파일(붙여넣기)'!A3:A562,A227,'외운 것 - 엑셀다운로드 파일(붙여넣기)'!D3:D562)</f>
        <v>0</v>
      </c>
      <c r="K227" s="9" cm="1">
        <f t="array" ref="K227">_xlfn.COUNTIFS('외운 것 - 엑셀다운로드 파일(붙여넣기)'!A3:A562,A227,'외운 것 - 엑셀다운로드 파일(붙여넣기)'!D3:D562,0)</f>
        <v>0</v>
      </c>
      <c r="L227" s="9" cm="1">
        <f t="array" ref="L227">IF(J227&gt;=3,_xlfn.XLOOKUP(A227,'외운 것 - 엑셀다운로드 파일(붙여넣기)'!A3:A562,'외운 것 - 엑셀다운로드 파일(붙여넣기)'!C3:C562,0,-1),0)</f>
        <v>0</v>
      </c>
    </row>
    <row r="228" ht="36.4" customHeight="1">
      <c r="A228" s="3">
        <v>227</v>
      </c>
      <c r="B228" t="s" s="4">
        <v>1444</v>
      </c>
      <c r="C228" t="s" s="5">
        <v>1432</v>
      </c>
      <c r="D228" t="s" s="5">
        <v>1418</v>
      </c>
      <c r="E228" t="s" s="5">
        <v>1445</v>
      </c>
      <c r="F228" t="s" s="10">
        <v>1446</v>
      </c>
      <c r="G228" t="s" s="7">
        <v>1447</v>
      </c>
      <c r="H228" t="s" s="7">
        <v>1448</v>
      </c>
      <c r="I228" t="str" s="8" cm="1">
        <f t="array" ref="I228">SUBSTITUTE(H228,B228,"(          )")</f>
        <v>His illness was a valid (          ) for missing class.</v>
      </c>
      <c r="J228" s="9" cm="1">
        <f t="array" ref="J228">SUMIF('외운 것 - 엑셀다운로드 파일(붙여넣기)'!A3:A562,A228,'외운 것 - 엑셀다운로드 파일(붙여넣기)'!D3:D562)</f>
        <v>0</v>
      </c>
      <c r="K228" s="9" cm="1">
        <f t="array" ref="K228">_xlfn.COUNTIFS('외운 것 - 엑셀다운로드 파일(붙여넣기)'!A3:A562,A228,'외운 것 - 엑셀다운로드 파일(붙여넣기)'!D3:D562,0)</f>
        <v>0</v>
      </c>
      <c r="L228" s="9" cm="1">
        <f t="array" ref="L228">IF(J228&gt;=3,_xlfn.XLOOKUP(A228,'외운 것 - 엑셀다운로드 파일(붙여넣기)'!A3:A562,'외운 것 - 엑셀다운로드 파일(붙여넣기)'!C3:C562,0,-1),0)</f>
        <v>0</v>
      </c>
    </row>
    <row r="229" ht="38.45" customHeight="1">
      <c r="A229" s="3">
        <v>228</v>
      </c>
      <c r="B229" t="s" s="4">
        <v>1450</v>
      </c>
      <c r="C229" t="s" s="5">
        <v>1418</v>
      </c>
      <c r="D229" t="s" s="5">
        <v>1419</v>
      </c>
      <c r="E229" t="s" s="5">
        <v>1451</v>
      </c>
      <c r="F229" t="s" s="10">
        <v>1452</v>
      </c>
      <c r="G229" t="s" s="7">
        <v>1453</v>
      </c>
      <c r="H229" t="s" s="7">
        <v>1454</v>
      </c>
      <c r="I229" t="str" s="8" cm="1">
        <f t="array" ref="I229">SUBSTITUTE(H229,B229,"(          )")</f>
        <v>Don't (          ) someone without evidence.</v>
      </c>
      <c r="J229" s="9" cm="1">
        <f t="array" ref="J229">SUMIF('외운 것 - 엑셀다운로드 파일(붙여넣기)'!A3:A562,A229,'외운 것 - 엑셀다운로드 파일(붙여넣기)'!D3:D562)</f>
        <v>0</v>
      </c>
      <c r="K229" s="9" cm="1">
        <f t="array" ref="K229">_xlfn.COUNTIFS('외운 것 - 엑셀다운로드 파일(붙여넣기)'!A3:A562,A229,'외운 것 - 엑셀다운로드 파일(붙여넣기)'!D3:D562,0)</f>
        <v>0</v>
      </c>
      <c r="L229" s="9" cm="1">
        <f t="array" ref="L229">IF(J229&gt;=3,_xlfn.XLOOKUP(A229,'외운 것 - 엑셀다운로드 파일(붙여넣기)'!A3:A562,'외운 것 - 엑셀다운로드 파일(붙여넣기)'!C3:C562,0,-1),0)</f>
        <v>0</v>
      </c>
    </row>
    <row r="230" ht="23.45" customHeight="1">
      <c r="A230" s="3">
        <v>229</v>
      </c>
      <c r="B230" t="s" s="4">
        <v>1456</v>
      </c>
      <c r="C230" t="s" s="5">
        <v>1456</v>
      </c>
      <c r="D230" t="s" s="5">
        <v>1457</v>
      </c>
      <c r="E230" t="s" s="5">
        <v>1458</v>
      </c>
      <c r="F230" t="s" s="10">
        <v>1459</v>
      </c>
      <c r="G230" t="s" s="7">
        <v>1460</v>
      </c>
      <c r="H230" t="s" s="7">
        <v>1461</v>
      </c>
      <c r="I230" t="str" s="8" cm="1">
        <f t="array" ref="I230">SUBSTITUTE(H230,B230,"(          )")</f>
        <v>The book (          ) features a beautiful landscape.</v>
      </c>
      <c r="J230" s="9" cm="1">
        <f t="array" ref="J230">SUMIF('외운 것 - 엑셀다운로드 파일(붙여넣기)'!A3:A562,A230,'외운 것 - 엑셀다운로드 파일(붙여넣기)'!D3:D562)</f>
        <v>0</v>
      </c>
      <c r="K230" s="9" cm="1">
        <f t="array" ref="K230">_xlfn.COUNTIFS('외운 것 - 엑셀다운로드 파일(붙여넣기)'!A3:A562,A230,'외운 것 - 엑셀다운로드 파일(붙여넣기)'!D3:D562,0)</f>
        <v>0</v>
      </c>
      <c r="L230" s="9" cm="1">
        <f t="array" ref="L230">IF(J230&gt;=3,_xlfn.XLOOKUP(A230,'외운 것 - 엑셀다운로드 파일(붙여넣기)'!A3:A562,'외운 것 - 엑셀다운로드 파일(붙여넣기)'!C3:C562,0,-1),0)</f>
        <v>0</v>
      </c>
    </row>
    <row r="231" ht="38.45" customHeight="1">
      <c r="A231" s="3">
        <v>230</v>
      </c>
      <c r="B231" t="s" s="4">
        <v>1463</v>
      </c>
      <c r="C231" t="s" s="5">
        <v>1456</v>
      </c>
      <c r="D231" t="s" s="5">
        <v>1457</v>
      </c>
      <c r="E231" t="s" s="5">
        <v>1464</v>
      </c>
      <c r="F231" t="s" s="10">
        <v>1465</v>
      </c>
      <c r="G231" t="s" s="7">
        <v>1466</v>
      </c>
      <c r="H231" t="s" s="7">
        <v>1467</v>
      </c>
      <c r="I231" t="str" s="8" cm="1">
        <f t="array" ref="I231">SUBSTITUTE(H231,B231,"(          )")</f>
        <v>The insurance policy provides (          ) for flood damage.</v>
      </c>
      <c r="J231" s="9" cm="1">
        <f t="array" ref="J231">SUMIF('외운 것 - 엑셀다운로드 파일(붙여넣기)'!A3:A562,A231,'외운 것 - 엑셀다운로드 파일(붙여넣기)'!D3:D562)</f>
        <v>0</v>
      </c>
      <c r="K231" s="9" cm="1">
        <f t="array" ref="K231">_xlfn.COUNTIFS('외운 것 - 엑셀다운로드 파일(붙여넣기)'!A3:A562,A231,'외운 것 - 엑셀다운로드 파일(붙여넣기)'!D3:D562,0)</f>
        <v>0</v>
      </c>
      <c r="L231" s="9" cm="1">
        <f t="array" ref="L231">IF(J231&gt;=3,_xlfn.XLOOKUP(A231,'외운 것 - 엑셀다운로드 파일(붙여넣기)'!A3:A562,'외운 것 - 엑셀다운로드 파일(붙여넣기)'!C3:C562,0,-1),0)</f>
        <v>0</v>
      </c>
    </row>
    <row r="232" ht="38.45" customHeight="1">
      <c r="A232" s="3">
        <v>231</v>
      </c>
      <c r="B232" t="s" s="4">
        <v>1469</v>
      </c>
      <c r="C232" t="s" s="5">
        <v>1456</v>
      </c>
      <c r="D232" t="s" s="5">
        <v>1457</v>
      </c>
      <c r="E232" t="s" s="5">
        <v>1470</v>
      </c>
      <c r="F232" t="s" s="10">
        <v>1471</v>
      </c>
      <c r="G232" t="s" s="7">
        <v>1472</v>
      </c>
      <c r="H232" t="s" s="7">
        <v>1473</v>
      </c>
      <c r="I232" t="str" s="8" cm="1">
        <f t="array" ref="I232">SUBSTITUTE(H232,B232,"(          )")</f>
        <v>Scientists (          ) new species in the rainforest every year.</v>
      </c>
      <c r="J232" s="9" cm="1">
        <f t="array" ref="J232">SUMIF('외운 것 - 엑셀다운로드 파일(붙여넣기)'!A3:A562,A232,'외운 것 - 엑셀다운로드 파일(붙여넣기)'!D3:D562)</f>
        <v>0</v>
      </c>
      <c r="K232" s="9" cm="1">
        <f t="array" ref="K232">_xlfn.COUNTIFS('외운 것 - 엑셀다운로드 파일(붙여넣기)'!A3:A562,A232,'외운 것 - 엑셀다운로드 파일(붙여넣기)'!D3:D562,0)</f>
        <v>0</v>
      </c>
      <c r="L232" s="9" cm="1">
        <f t="array" ref="L232">IF(J232&gt;=3,_xlfn.XLOOKUP(A232,'외운 것 - 엑셀다운로드 파일(붙여넣기)'!A3:A562,'외운 것 - 엑셀다운로드 파일(붙여넣기)'!C3:C562,0,-1),0)</f>
        <v>0</v>
      </c>
    </row>
    <row r="233" ht="38.45" customHeight="1">
      <c r="A233" s="3">
        <v>232</v>
      </c>
      <c r="B233" t="s" s="4">
        <v>1475</v>
      </c>
      <c r="C233" t="s" s="5">
        <v>1456</v>
      </c>
      <c r="D233" t="s" s="5">
        <v>1457</v>
      </c>
      <c r="E233" t="s" s="5">
        <v>1476</v>
      </c>
      <c r="F233" t="s" s="10">
        <v>1477</v>
      </c>
      <c r="G233" t="s" s="7">
        <v>1478</v>
      </c>
      <c r="H233" t="s" s="7">
        <v>1479</v>
      </c>
      <c r="I233" t="str" s="8" cm="1">
        <f t="array" ref="I233">SUBSTITUTE(H233,B233,"(          )")</f>
        <v>It took her months to (          ) from the accident.</v>
      </c>
      <c r="J233" s="9" cm="1">
        <f t="array" ref="J233">SUMIF('외운 것 - 엑셀다운로드 파일(붙여넣기)'!A3:A562,A233,'외운 것 - 엑셀다운로드 파일(붙여넣기)'!D3:D562)</f>
        <v>0</v>
      </c>
      <c r="K233" s="9" cm="1">
        <f t="array" ref="K233">_xlfn.COUNTIFS('외운 것 - 엑셀다운로드 파일(붙여넣기)'!A3:A562,A233,'외운 것 - 엑셀다운로드 파일(붙여넣기)'!D3:D562,0)</f>
        <v>0</v>
      </c>
      <c r="L233" s="9" cm="1">
        <f t="array" ref="L233">IF(J233&gt;=3,_xlfn.XLOOKUP(A233,'외운 것 - 엑셀다운로드 파일(붙여넣기)'!A3:A562,'외운 것 - 엑셀다운로드 파일(붙여넣기)'!C3:C562,0,-1),0)</f>
        <v>0</v>
      </c>
    </row>
    <row r="234" ht="38.45" customHeight="1">
      <c r="A234" s="3">
        <v>233</v>
      </c>
      <c r="B234" t="s" s="4">
        <v>1481</v>
      </c>
      <c r="C234" t="s" s="5">
        <v>1482</v>
      </c>
      <c r="D234" t="s" s="5">
        <v>1483</v>
      </c>
      <c r="E234" t="s" s="5">
        <v>1484</v>
      </c>
      <c r="F234" t="s" s="10">
        <v>1485</v>
      </c>
      <c r="G234" t="s" s="7">
        <v>1486</v>
      </c>
      <c r="H234" t="s" s="7">
        <v>1487</v>
      </c>
      <c r="I234" t="str" s="8" cm="1">
        <f t="array" ref="I234">SUBSTITUTE(H234,B234,"(          )")</f>
        <v>You will (          ) if you work hard and stay focused.</v>
      </c>
      <c r="J234" s="9" cm="1">
        <f t="array" ref="J234">SUMIF('외운 것 - 엑셀다운로드 파일(붙여넣기)'!A3:A562,A234,'외운 것 - 엑셀다운로드 파일(붙여넣기)'!D3:D562)</f>
        <v>0</v>
      </c>
      <c r="K234" s="9" cm="1">
        <f t="array" ref="K234">_xlfn.COUNTIFS('외운 것 - 엑셀다운로드 파일(붙여넣기)'!A3:A562,A234,'외운 것 - 엑셀다운로드 파일(붙여넣기)'!D3:D562,0)</f>
        <v>0</v>
      </c>
      <c r="L234" s="9" cm="1">
        <f t="array" ref="L234">IF(J234&gt;=3,_xlfn.XLOOKUP(A234,'외운 것 - 엑셀다운로드 파일(붙여넣기)'!A3:A562,'외운 것 - 엑셀다운로드 파일(붙여넣기)'!C3:C562,0,-1),0)</f>
        <v>0</v>
      </c>
    </row>
    <row r="235" ht="38.45" customHeight="1">
      <c r="A235" s="3">
        <v>234</v>
      </c>
      <c r="B235" t="s" s="4">
        <v>1489</v>
      </c>
      <c r="C235" t="s" s="5">
        <v>1490</v>
      </c>
      <c r="D235" t="s" s="5">
        <v>1483</v>
      </c>
      <c r="E235" t="s" s="5">
        <v>1491</v>
      </c>
      <c r="F235" t="s" s="10">
        <v>1492</v>
      </c>
      <c r="G235" t="s" s="7">
        <v>1493</v>
      </c>
      <c r="H235" t="s" s="7">
        <v>1494</v>
      </c>
      <c r="I235" t="str" s="8" cm="1">
        <f t="array" ref="I235">SUBSTITUTE(H235,B235,"(          )")</f>
        <v>Hard work was the key to his (          ).</v>
      </c>
      <c r="J235" s="9" cm="1">
        <f t="array" ref="J235">SUMIF('외운 것 - 엑셀다운로드 파일(붙여넣기)'!A3:A562,A235,'외운 것 - 엑셀다운로드 파일(붙여넣기)'!D3:D562)</f>
        <v>0</v>
      </c>
      <c r="K235" s="9" cm="1">
        <f t="array" ref="K235">_xlfn.COUNTIFS('외운 것 - 엑셀다운로드 파일(붙여넣기)'!A3:A562,A235,'외운 것 - 엑셀다운로드 파일(붙여넣기)'!D3:D562,0)</f>
        <v>0</v>
      </c>
      <c r="L235" s="9" cm="1">
        <f t="array" ref="L235">IF(J235&gt;=3,_xlfn.XLOOKUP(A235,'외운 것 - 엑셀다운로드 파일(붙여넣기)'!A3:A562,'외운 것 - 엑셀다운로드 파일(붙여넣기)'!C3:C562,0,-1),0)</f>
        <v>0</v>
      </c>
    </row>
    <row r="236" ht="38.45" customHeight="1">
      <c r="A236" s="3">
        <v>235</v>
      </c>
      <c r="B236" t="s" s="4">
        <v>1496</v>
      </c>
      <c r="C236" t="s" s="5">
        <v>1490</v>
      </c>
      <c r="D236" t="s" s="5">
        <v>1483</v>
      </c>
      <c r="E236" t="s" s="5">
        <v>1497</v>
      </c>
      <c r="F236" t="s" s="10">
        <v>1498</v>
      </c>
      <c r="G236" t="s" s="7">
        <v>1499</v>
      </c>
      <c r="H236" t="s" s="7">
        <v>1500</v>
      </c>
      <c r="I236" t="str" s="8" cm="1">
        <f t="array" ref="I236">SUBSTITUTE(H236,B236,"(          )")</f>
        <v>The events occurred in rapid (          ).</v>
      </c>
      <c r="J236" s="9" cm="1">
        <f t="array" ref="J236">SUMIF('외운 것 - 엑셀다운로드 파일(붙여넣기)'!A3:A562,A236,'외운 것 - 엑셀다운로드 파일(붙여넣기)'!D3:D562)</f>
        <v>0</v>
      </c>
      <c r="K236" s="9" cm="1">
        <f t="array" ref="K236">_xlfn.COUNTIFS('외운 것 - 엑셀다운로드 파일(붙여넣기)'!A3:A562,A236,'외운 것 - 엑셀다운로드 파일(붙여넣기)'!D3:D562,0)</f>
        <v>0</v>
      </c>
      <c r="L236" s="9" cm="1">
        <f t="array" ref="L236">IF(J236&gt;=3,_xlfn.XLOOKUP(A236,'외운 것 - 엑셀다운로드 파일(붙여넣기)'!A3:A562,'외운 것 - 엑셀다운로드 파일(붙여넣기)'!C3:C562,0,-1),0)</f>
        <v>0</v>
      </c>
    </row>
    <row r="237" ht="23.45" customHeight="1">
      <c r="A237" s="3">
        <v>236</v>
      </c>
      <c r="B237" t="s" s="4">
        <v>1502</v>
      </c>
      <c r="C237" t="s" s="5">
        <v>1482</v>
      </c>
      <c r="D237" t="s" s="5">
        <v>1483</v>
      </c>
      <c r="E237" t="s" s="5">
        <v>1503</v>
      </c>
      <c r="F237" t="s" s="10">
        <v>1504</v>
      </c>
      <c r="G237" t="s" s="7">
        <v>1505</v>
      </c>
      <c r="H237" t="s" s="7">
        <v>1506</v>
      </c>
      <c r="I237" t="str" s="8" cm="1">
        <f t="array" ref="I237">SUBSTITUTE(H237,B237,"(          )")</f>
        <v>We can (          ) with the project after getting approval.</v>
      </c>
      <c r="J237" s="9" cm="1">
        <f t="array" ref="J237">SUMIF('외운 것 - 엑셀다운로드 파일(붙여넣기)'!A3:A562,A237,'외운 것 - 엑셀다운로드 파일(붙여넣기)'!D3:D562)</f>
        <v>0</v>
      </c>
      <c r="K237" s="9" cm="1">
        <f t="array" ref="K237">_xlfn.COUNTIFS('외운 것 - 엑셀다운로드 파일(붙여넣기)'!A3:A562,A237,'외운 것 - 엑셀다운로드 파일(붙여넣기)'!D3:D562,0)</f>
        <v>0</v>
      </c>
      <c r="L237" s="9" cm="1">
        <f t="array" ref="L237">IF(J237&gt;=3,_xlfn.XLOOKUP(A237,'외운 것 - 엑셀다운로드 파일(붙여넣기)'!A3:A562,'외운 것 - 엑셀다운로드 파일(붙여넣기)'!C3:C562,0,-1),0)</f>
        <v>0</v>
      </c>
    </row>
    <row r="238" ht="38.45" customHeight="1">
      <c r="A238" s="3">
        <v>237</v>
      </c>
      <c r="B238" t="s" s="4">
        <v>1508</v>
      </c>
      <c r="C238" t="s" s="5">
        <v>1490</v>
      </c>
      <c r="D238" t="s" s="5">
        <v>1483</v>
      </c>
      <c r="E238" t="s" s="5">
        <v>1509</v>
      </c>
      <c r="F238" t="s" s="10">
        <v>1510</v>
      </c>
      <c r="G238" t="s" s="7">
        <v>1511</v>
      </c>
      <c r="H238" t="s" s="7">
        <v>1512</v>
      </c>
      <c r="I238" t="str" s="8" cm="1">
        <f t="array" ref="I238">SUBSTITUTE(H238,B238,"(          )")</f>
        <v>The application (          ) takes about two weeks.</v>
      </c>
      <c r="J238" s="9" cm="1">
        <f t="array" ref="J238">SUMIF('외운 것 - 엑셀다운로드 파일(붙여넣기)'!A3:A562,A238,'외운 것 - 엑셀다운로드 파일(붙여넣기)'!D3:D562)</f>
        <v>0</v>
      </c>
      <c r="K238" s="9" cm="1">
        <f t="array" ref="K238">_xlfn.COUNTIFS('외운 것 - 엑셀다운로드 파일(붙여넣기)'!A3:A562,A238,'외운 것 - 엑셀다운로드 파일(붙여넣기)'!D3:D562,0)</f>
        <v>0</v>
      </c>
      <c r="L238" s="9" cm="1">
        <f t="array" ref="L238">IF(J238&gt;=3,_xlfn.XLOOKUP(A238,'외운 것 - 엑셀다운로드 파일(붙여넣기)'!A3:A562,'외운 것 - 엑셀다운로드 파일(붙여넣기)'!C3:C562,0,-1),0)</f>
        <v>0</v>
      </c>
    </row>
    <row r="239" ht="36.4" customHeight="1">
      <c r="A239" s="3">
        <v>238</v>
      </c>
      <c r="B239" t="s" s="4">
        <v>1514</v>
      </c>
      <c r="C239" t="s" s="5">
        <v>1515</v>
      </c>
      <c r="D239" t="s" s="5">
        <v>1483</v>
      </c>
      <c r="E239" t="s" s="5">
        <v>1516</v>
      </c>
      <c r="F239" t="s" s="10">
        <v>1517</v>
      </c>
      <c r="G239" t="s" s="7">
        <v>1518</v>
      </c>
      <c r="H239" t="s" s="7">
        <v>1519</v>
      </c>
      <c r="I239" t="str" s="8" cm="1">
        <f t="array" ref="I239">SUBSTITUTE(H239,B239,"(          )")</f>
        <v>The doctor explained the surgical (          ) in detail.</v>
      </c>
      <c r="J239" s="9" cm="1">
        <f t="array" ref="J239">SUMIF('외운 것 - 엑셀다운로드 파일(붙여넣기)'!A3:A562,A239,'외운 것 - 엑셀다운로드 파일(붙여넣기)'!D3:D562)</f>
        <v>0</v>
      </c>
      <c r="K239" s="9" cm="1">
        <f t="array" ref="K239">_xlfn.COUNTIFS('외운 것 - 엑셀다운로드 파일(붙여넣기)'!A3:A562,A239,'외운 것 - 엑셀다운로드 파일(붙여넣기)'!D3:D562,0)</f>
        <v>0</v>
      </c>
      <c r="L239" s="9" cm="1">
        <f t="array" ref="L239">IF(J239&gt;=3,_xlfn.XLOOKUP(A239,'외운 것 - 엑셀다운로드 파일(붙여넣기)'!A3:A562,'외운 것 - 엑셀다운로드 파일(붙여넣기)'!C3:C562,0,-1),0)</f>
        <v>0</v>
      </c>
    </row>
    <row r="240" ht="36.4" customHeight="1">
      <c r="A240" s="3">
        <v>239</v>
      </c>
      <c r="B240" t="s" s="4">
        <v>1521</v>
      </c>
      <c r="C240" t="s" s="5">
        <v>1522</v>
      </c>
      <c r="D240" t="s" s="5">
        <v>1483</v>
      </c>
      <c r="E240" t="s" s="5">
        <v>1523</v>
      </c>
      <c r="F240" t="s" s="10">
        <v>1524</v>
      </c>
      <c r="G240" t="s" s="7">
        <v>1525</v>
      </c>
      <c r="H240" t="s" s="7">
        <v>1526</v>
      </c>
      <c r="I240" t="str" s="8" cm="1">
        <f t="array" ref="I240">SUBSTITUTE(H240,B240,"(          )")</f>
        <v>A moment of silence will (          ) the concert.</v>
      </c>
      <c r="J240" s="9" cm="1">
        <f t="array" ref="J240">SUMIF('외운 것 - 엑셀다운로드 파일(붙여넣기)'!A3:A562,A240,'외운 것 - 엑셀다운로드 파일(붙여넣기)'!D3:D562)</f>
        <v>0</v>
      </c>
      <c r="K240" s="9" cm="1">
        <f t="array" ref="K240">_xlfn.COUNTIFS('외운 것 - 엑셀다운로드 파일(붙여넣기)'!A3:A562,A240,'외운 것 - 엑셀다운로드 파일(붙여넣기)'!D3:D562,0)</f>
        <v>0</v>
      </c>
      <c r="L240" s="9" cm="1">
        <f t="array" ref="L240">IF(J240&gt;=3,_xlfn.XLOOKUP(A240,'외운 것 - 엑셀다운로드 파일(붙여넣기)'!A3:A562,'외운 것 - 엑셀다운로드 파일(붙여넣기)'!C3:C562,0,-1),0)</f>
        <v>0</v>
      </c>
    </row>
    <row r="241" ht="38.45" customHeight="1">
      <c r="A241" s="3">
        <v>240</v>
      </c>
      <c r="B241" t="s" s="4">
        <v>1528</v>
      </c>
      <c r="C241" t="s" s="5">
        <v>1482</v>
      </c>
      <c r="D241" t="s" s="5">
        <v>1483</v>
      </c>
      <c r="E241" t="s" s="5">
        <v>1529</v>
      </c>
      <c r="F241" t="s" s="10">
        <v>1530</v>
      </c>
      <c r="G241" t="s" s="7">
        <v>1531</v>
      </c>
      <c r="H241" t="s" s="7">
        <v>1532</v>
      </c>
      <c r="I241" t="str" s="8" cm="1">
        <f t="array" ref="I241">SUBSTITUTE(H241,B241,"(          )")</f>
        <v>Our sales this month (          ) our expectations.</v>
      </c>
      <c r="J241" s="9" cm="1">
        <f t="array" ref="J241">SUMIF('외운 것 - 엑셀다운로드 파일(붙여넣기)'!A3:A562,A241,'외운 것 - 엑셀다운로드 파일(붙여넣기)'!D3:D562)</f>
        <v>0</v>
      </c>
      <c r="K241" s="9" cm="1">
        <f t="array" ref="K241">_xlfn.COUNTIFS('외운 것 - 엑셀다운로드 파일(붙여넣기)'!A3:A562,A241,'외운 것 - 엑셀다운로드 파일(붙여넣기)'!D3:D562,0)</f>
        <v>0</v>
      </c>
      <c r="L241" s="9" cm="1">
        <f t="array" ref="L241">IF(J241&gt;=3,_xlfn.XLOOKUP(A241,'외운 것 - 엑셀다운로드 파일(붙여넣기)'!A3:A562,'외운 것 - 엑셀다운로드 파일(붙여넣기)'!C3:C562,0,-1),0)</f>
        <v>0</v>
      </c>
    </row>
    <row r="242" ht="23.45" customHeight="1">
      <c r="A242" s="3">
        <v>241</v>
      </c>
      <c r="B242" t="s" s="4">
        <v>1534</v>
      </c>
      <c r="C242" t="s" s="5">
        <v>1490</v>
      </c>
      <c r="D242" t="s" s="5">
        <v>1483</v>
      </c>
      <c r="E242" t="s" s="5">
        <v>1535</v>
      </c>
      <c r="F242" t="s" s="10">
        <v>1536</v>
      </c>
      <c r="G242" t="s" s="7">
        <v>1537</v>
      </c>
      <c r="H242" t="s" s="7">
        <v>1538</v>
      </c>
      <c r="I242" t="str" s="8" cm="1">
        <f t="array" ref="I242">SUBSTITUTE(H242,B242,"(          )")</f>
        <v>Don't eat (          ) sugar if you want to stay healthy.</v>
      </c>
      <c r="J242" s="9" cm="1">
        <f t="array" ref="J242">SUMIF('외운 것 - 엑셀다운로드 파일(붙여넣기)'!A3:A562,A242,'외운 것 - 엑셀다운로드 파일(붙여넣기)'!D3:D562)</f>
        <v>0</v>
      </c>
      <c r="K242" s="9" cm="1">
        <f t="array" ref="K242">_xlfn.COUNTIFS('외운 것 - 엑셀다운로드 파일(붙여넣기)'!A3:A562,A242,'외운 것 - 엑셀다운로드 파일(붙여넣기)'!D3:D562,0)</f>
        <v>0</v>
      </c>
      <c r="L242" s="9" cm="1">
        <f t="array" ref="L242">IF(J242&gt;=3,_xlfn.XLOOKUP(A242,'외운 것 - 엑셀다운로드 파일(붙여넣기)'!A3:A562,'외운 것 - 엑셀다운로드 파일(붙여넣기)'!C3:C562,0,-1),0)</f>
        <v>0</v>
      </c>
    </row>
    <row r="243" ht="36.4" customHeight="1">
      <c r="A243" s="3">
        <v>242</v>
      </c>
      <c r="B243" t="s" s="4">
        <v>1540</v>
      </c>
      <c r="C243" t="s" s="5">
        <v>1541</v>
      </c>
      <c r="D243" t="s" s="5">
        <v>1483</v>
      </c>
      <c r="E243" t="s" s="5">
        <v>1542</v>
      </c>
      <c r="F243" t="s" s="10">
        <v>1543</v>
      </c>
      <c r="G243" t="s" s="7">
        <v>1544</v>
      </c>
      <c r="H243" t="s" s="7">
        <v>1545</v>
      </c>
      <c r="I243" t="str" s="8" cm="1">
        <f t="array" ref="I243">SUBSTITUTE(H243,B243,"(          )")</f>
        <v>The coach criticized the team for (          ) penalties.</v>
      </c>
      <c r="J243" s="9" cm="1">
        <f t="array" ref="J243">SUMIF('외운 것 - 엑셀다운로드 파일(붙여넣기)'!A3:A562,A243,'외운 것 - 엑셀다운로드 파일(붙여넣기)'!D3:D562)</f>
        <v>0</v>
      </c>
      <c r="K243" s="9" cm="1">
        <f t="array" ref="K243">_xlfn.COUNTIFS('외운 것 - 엑셀다운로드 파일(붙여넣기)'!A3:A562,A243,'외운 것 - 엑셀다운로드 파일(붙여넣기)'!D3:D562,0)</f>
        <v>0</v>
      </c>
      <c r="L243" s="9" cm="1">
        <f t="array" ref="L243">IF(J243&gt;=3,_xlfn.XLOOKUP(A243,'외운 것 - 엑셀다운로드 파일(붙여넣기)'!A3:A562,'외운 것 - 엑셀다운로드 파일(붙여넣기)'!C3:C562,0,-1),0)</f>
        <v>0</v>
      </c>
    </row>
    <row r="244" ht="38.45" customHeight="1">
      <c r="A244" s="3">
        <v>243</v>
      </c>
      <c r="B244" t="s" s="4">
        <v>1547</v>
      </c>
      <c r="C244" t="s" s="5">
        <v>1522</v>
      </c>
      <c r="D244" t="s" s="5">
        <v>1483</v>
      </c>
      <c r="E244" t="s" s="5">
        <v>1548</v>
      </c>
      <c r="F244" t="s" s="10">
        <v>1549</v>
      </c>
      <c r="G244" t="s" s="7">
        <v>1550</v>
      </c>
      <c r="H244" t="s" s="7">
        <v>1551</v>
      </c>
      <c r="I244" t="str" s="8" cm="1">
        <f t="array" ref="I244">SUBSTITUTE(H244,B244,"(          )")</f>
        <v>The floodwaters began to (          ) after the rain stopped.</v>
      </c>
      <c r="J244" s="9" cm="1">
        <f t="array" ref="J244">SUMIF('외운 것 - 엑셀다운로드 파일(붙여넣기)'!A3:A562,A244,'외운 것 - 엑셀다운로드 파일(붙여넣기)'!D3:D562)</f>
        <v>0</v>
      </c>
      <c r="K244" s="9" cm="1">
        <f t="array" ref="K244">_xlfn.COUNTIFS('외운 것 - 엑셀다운로드 파일(붙여넣기)'!A3:A562,A244,'외운 것 - 엑셀다운로드 파일(붙여넣기)'!D3:D562,0)</f>
        <v>0</v>
      </c>
      <c r="L244" s="9" cm="1">
        <f t="array" ref="L244">IF(J244&gt;=3,_xlfn.XLOOKUP(A244,'외운 것 - 엑셀다운로드 파일(붙여넣기)'!A3:A562,'외운 것 - 엑셀다운로드 파일(붙여넣기)'!C3:C562,0,-1),0)</f>
        <v>0</v>
      </c>
    </row>
    <row r="245" ht="38.45" customHeight="1">
      <c r="A245" s="3">
        <v>244</v>
      </c>
      <c r="B245" t="s" s="4">
        <v>1553</v>
      </c>
      <c r="C245" t="s" s="5">
        <v>1490</v>
      </c>
      <c r="D245" t="s" s="5">
        <v>1483</v>
      </c>
      <c r="E245" t="s" s="5">
        <v>1554</v>
      </c>
      <c r="F245" t="s" s="10">
        <v>1555</v>
      </c>
      <c r="G245" t="s" s="7">
        <v>1556</v>
      </c>
      <c r="H245" t="s" s="7">
        <v>1557</v>
      </c>
      <c r="I245" t="str" s="8" cm="1">
        <f t="array" ref="I245">SUBSTITUTE(H245,B245,"(          )")</f>
        <v>Children play outside during (          ) at school.</v>
      </c>
      <c r="J245" s="9" cm="1">
        <f t="array" ref="J245">SUMIF('외운 것 - 엑셀다운로드 파일(붙여넣기)'!A3:A562,A245,'외운 것 - 엑셀다운로드 파일(붙여넣기)'!D3:D562)</f>
        <v>0</v>
      </c>
      <c r="K245" s="9" cm="1">
        <f t="array" ref="K245">_xlfn.COUNTIFS('외운 것 - 엑셀다운로드 파일(붙여넣기)'!A3:A562,A245,'외운 것 - 엑셀다운로드 파일(붙여넣기)'!D3:D562,0)</f>
        <v>0</v>
      </c>
      <c r="L245" s="9" cm="1">
        <f t="array" ref="L245">IF(J245&gt;=3,_xlfn.XLOOKUP(A245,'외운 것 - 엑셀다운로드 파일(붙여넣기)'!A3:A562,'외운 것 - 엑셀다운로드 파일(붙여넣기)'!C3:C562,0,-1),0)</f>
        <v>0</v>
      </c>
    </row>
    <row r="246" ht="38.45" customHeight="1">
      <c r="A246" s="3">
        <v>245</v>
      </c>
      <c r="B246" t="s" s="4">
        <v>1559</v>
      </c>
      <c r="C246" t="s" s="5">
        <v>1560</v>
      </c>
      <c r="D246" t="s" s="5">
        <v>1483</v>
      </c>
      <c r="E246" t="s" s="5">
        <v>1561</v>
      </c>
      <c r="F246" t="s" s="10">
        <v>1562</v>
      </c>
      <c r="G246" t="s" s="7">
        <v>1563</v>
      </c>
      <c r="H246" t="s" s="7">
        <v>1564</v>
      </c>
      <c r="I246" t="str" s="8" cm="1">
        <f t="array" ref="I246">SUBSTITUTE(H246,B246,"(          )")</f>
        <v>The country is still recovering from the economic (          ).</v>
      </c>
      <c r="J246" s="9" cm="1">
        <f t="array" ref="J246">SUMIF('외운 것 - 엑셀다운로드 파일(붙여넣기)'!A3:A562,A246,'외운 것 - 엑셀다운로드 파일(붙여넣기)'!D3:D562)</f>
        <v>0</v>
      </c>
      <c r="K246" s="9" cm="1">
        <f t="array" ref="K246">_xlfn.COUNTIFS('외운 것 - 엑셀다운로드 파일(붙여넣기)'!A3:A562,A246,'외운 것 - 엑셀다운로드 파일(붙여넣기)'!D3:D562,0)</f>
        <v>0</v>
      </c>
      <c r="L246" s="9" cm="1">
        <f t="array" ref="L246">IF(J246&gt;=3,_xlfn.XLOOKUP(A246,'외운 것 - 엑셀다운로드 파일(붙여넣기)'!A3:A562,'외운 것 - 엑셀다운로드 파일(붙여넣기)'!C3:C562,0,-1),0)</f>
        <v>0</v>
      </c>
    </row>
    <row r="247" ht="38.45" customHeight="1">
      <c r="A247" s="3">
        <v>246</v>
      </c>
      <c r="B247" t="s" s="4">
        <v>1566</v>
      </c>
      <c r="C247" t="s" s="5">
        <v>1522</v>
      </c>
      <c r="D247" t="s" s="5">
        <v>1483</v>
      </c>
      <c r="E247" t="s" s="5">
        <v>1567</v>
      </c>
      <c r="F247" t="s" s="10">
        <v>1568</v>
      </c>
      <c r="G247" t="s" s="7">
        <v>1569</v>
      </c>
      <c r="H247" t="s" s="7">
        <v>1570</v>
      </c>
      <c r="I247" t="str" s="8" cm="1">
        <f t="array" ref="I247">SUBSTITUTE(H247,B247,"(          )")</f>
        <v>The pronoun should agree with its (          ) in a sentence.</v>
      </c>
      <c r="J247" s="9" cm="1">
        <f t="array" ref="J247">SUMIF('외운 것 - 엑셀다운로드 파일(붙여넣기)'!A3:A562,A247,'외운 것 - 엑셀다운로드 파일(붙여넣기)'!D3:D562)</f>
        <v>0</v>
      </c>
      <c r="K247" s="9" cm="1">
        <f t="array" ref="K247">_xlfn.COUNTIFS('외운 것 - 엑셀다운로드 파일(붙여넣기)'!A3:A562,A247,'외운 것 - 엑셀다운로드 파일(붙여넣기)'!D3:D562,0)</f>
        <v>0</v>
      </c>
      <c r="L247" s="9" cm="1">
        <f t="array" ref="L247">IF(J247&gt;=3,_xlfn.XLOOKUP(A247,'외운 것 - 엑셀다운로드 파일(붙여넣기)'!A3:A562,'외운 것 - 엑셀다운로드 파일(붙여넣기)'!C3:C562,0,-1),0)</f>
        <v>0</v>
      </c>
    </row>
    <row r="248" ht="23.45" customHeight="1">
      <c r="A248" s="3">
        <v>247</v>
      </c>
      <c r="B248" t="s" s="4">
        <v>1572</v>
      </c>
      <c r="C248" t="s" s="5">
        <v>1490</v>
      </c>
      <c r="D248" t="s" s="5">
        <v>1483</v>
      </c>
      <c r="E248" t="s" s="5">
        <v>1573</v>
      </c>
      <c r="F248" t="s" s="10">
        <v>1574</v>
      </c>
      <c r="G248" t="s" s="7">
        <v>1575</v>
      </c>
      <c r="H248" t="s" s="7">
        <v>1576</v>
      </c>
      <c r="I248" t="str" s="8" cm="1">
        <f t="array" ref="I248">SUBSTITUTE(H248,B248,"(          )")</f>
        <v>My (          ) came to America in the 1800s.</v>
      </c>
      <c r="J248" s="9" cm="1">
        <f t="array" ref="J248">SUMIF('외운 것 - 엑셀다운로드 파일(붙여넣기)'!A3:A562,A248,'외운 것 - 엑셀다운로드 파일(붙여넣기)'!D3:D562)</f>
        <v>0</v>
      </c>
      <c r="K248" s="9" cm="1">
        <f t="array" ref="K248">_xlfn.COUNTIFS('외운 것 - 엑셀다운로드 파일(붙여넣기)'!A3:A562,A248,'외운 것 - 엑셀다운로드 파일(붙여넣기)'!D3:D562,0)</f>
        <v>0</v>
      </c>
      <c r="L248" s="9" cm="1">
        <f t="array" ref="L248">IF(J248&gt;=3,_xlfn.XLOOKUP(A248,'외운 것 - 엑셀다운로드 파일(붙여넣기)'!A3:A562,'외운 것 - 엑셀다운로드 파일(붙여넣기)'!C3:C562,0,-1),0)</f>
        <v>0</v>
      </c>
    </row>
    <row r="249" ht="23.45" customHeight="1">
      <c r="A249" s="3">
        <v>248</v>
      </c>
      <c r="B249" t="s" s="4">
        <v>1578</v>
      </c>
      <c r="C249" t="s" s="5">
        <v>1490</v>
      </c>
      <c r="D249" t="s" s="5">
        <v>1483</v>
      </c>
      <c r="E249" t="s" s="5">
        <v>1579</v>
      </c>
      <c r="F249" t="s" s="10">
        <v>1580</v>
      </c>
      <c r="G249" t="s" s="7">
        <v>1581</v>
      </c>
      <c r="H249" t="s" s="7">
        <v>1582</v>
      </c>
      <c r="I249" t="str" s="8" cm="1">
        <f t="array" ref="I249">SUBSTITUTE(H249,B249,"(          )")</f>
        <v>You need a password to (          ) the secure website.</v>
      </c>
      <c r="J249" s="9" cm="1">
        <f t="array" ref="J249">SUMIF('외운 것 - 엑셀다운로드 파일(붙여넣기)'!A3:A562,A249,'외운 것 - 엑셀다운로드 파일(붙여넣기)'!D3:D562)</f>
        <v>0</v>
      </c>
      <c r="K249" s="9" cm="1">
        <f t="array" ref="K249">_xlfn.COUNTIFS('외운 것 - 엑셀다운로드 파일(붙여넣기)'!A3:A562,A249,'외운 것 - 엑셀다운로드 파일(붙여넣기)'!D3:D562,0)</f>
        <v>0</v>
      </c>
      <c r="L249" s="9" cm="1">
        <f t="array" ref="L249">IF(J249&gt;=3,_xlfn.XLOOKUP(A249,'외운 것 - 엑셀다운로드 파일(붙여넣기)'!A3:A562,'외운 것 - 엑셀다운로드 파일(붙여넣기)'!C3:C562,0,-1),0)</f>
        <v>0</v>
      </c>
    </row>
    <row r="250" ht="38.45" customHeight="1">
      <c r="A250" s="3">
        <v>249</v>
      </c>
      <c r="B250" t="s" s="4">
        <v>1584</v>
      </c>
      <c r="C250" t="s" s="5">
        <v>1585</v>
      </c>
      <c r="D250" t="s" s="5">
        <v>1483</v>
      </c>
      <c r="E250" t="s" s="5">
        <v>1586</v>
      </c>
      <c r="F250" t="s" s="10">
        <v>1587</v>
      </c>
      <c r="G250" t="s" s="7">
        <v>1588</v>
      </c>
      <c r="H250" t="s" s="7">
        <v>1589</v>
      </c>
      <c r="I250" t="str" s="8" cm="1">
        <f t="array" ref="I250">SUBSTITUTE(H250,B250,"(          )")</f>
        <v>The new building is fully (          ) for people with disabilities.</v>
      </c>
      <c r="J250" s="9" cm="1">
        <f t="array" ref="J250">SUMIF('외운 것 - 엑셀다운로드 파일(붙여넣기)'!A3:A562,A250,'외운 것 - 엑셀다운로드 파일(붙여넣기)'!D3:D562)</f>
        <v>0</v>
      </c>
      <c r="K250" s="9" cm="1">
        <f t="array" ref="K250">_xlfn.COUNTIFS('외운 것 - 엑셀다운로드 파일(붙여넣기)'!A3:A562,A250,'외운 것 - 엑셀다운로드 파일(붙여넣기)'!D3:D562,0)</f>
        <v>0</v>
      </c>
      <c r="L250" s="9" cm="1">
        <f t="array" ref="L250">IF(J250&gt;=3,_xlfn.XLOOKUP(A250,'외운 것 - 엑셀다운로드 파일(붙여넣기)'!A3:A562,'외운 것 - 엑셀다운로드 파일(붙여넣기)'!C3:C562,0,-1),0)</f>
        <v>0</v>
      </c>
    </row>
    <row r="251" ht="38.45" customHeight="1">
      <c r="A251" s="3">
        <v>250</v>
      </c>
      <c r="B251" t="s" s="4">
        <v>1591</v>
      </c>
      <c r="C251" t="s" s="5">
        <v>1592</v>
      </c>
      <c r="D251" t="s" s="5">
        <v>1483</v>
      </c>
      <c r="E251" t="s" s="5">
        <v>1593</v>
      </c>
      <c r="F251" t="s" s="10">
        <v>1594</v>
      </c>
      <c r="G251" t="s" s="7">
        <v>1595</v>
      </c>
      <c r="H251" t="s" s="7">
        <v>1596</v>
      </c>
      <c r="I251" t="str" s="8" cm="1">
        <f t="array" ref="I251">SUBSTITUTE(H251,B251,"(          )")</f>
        <v>The remote village was (          ) during the rainy season.</v>
      </c>
      <c r="J251" s="9" cm="1">
        <f t="array" ref="J251">SUMIF('외운 것 - 엑셀다운로드 파일(붙여넣기)'!A3:A562,A251,'외운 것 - 엑셀다운로드 파일(붙여넣기)'!D3:D562)</f>
        <v>0</v>
      </c>
      <c r="K251" s="9" cm="1">
        <f t="array" ref="K251">_xlfn.COUNTIFS('외운 것 - 엑셀다운로드 파일(붙여넣기)'!A3:A562,A251,'외운 것 - 엑셀다운로드 파일(붙여넣기)'!D3:D562,0)</f>
        <v>0</v>
      </c>
      <c r="L251" s="9" cm="1">
        <f t="array" ref="L251">IF(J251&gt;=3,_xlfn.XLOOKUP(A251,'외운 것 - 엑셀다운로드 파일(붙여넣기)'!A3:A562,'외운 것 - 엑셀다운로드 파일(붙여넣기)'!C3:C562,0,-1),0)</f>
        <v>0</v>
      </c>
    </row>
    <row r="252" ht="23.45" customHeight="1">
      <c r="A252" s="3">
        <v>251</v>
      </c>
      <c r="B252" t="s" s="4">
        <v>1598</v>
      </c>
      <c r="C252" t="s" s="5">
        <v>1490</v>
      </c>
      <c r="D252" t="s" s="5">
        <v>1483</v>
      </c>
      <c r="E252" t="s" s="5">
        <v>1599</v>
      </c>
      <c r="F252" t="s" s="10">
        <v>1600</v>
      </c>
      <c r="G252" t="s" s="7">
        <v>1601</v>
      </c>
      <c r="H252" t="s" s="7">
        <v>1602</v>
      </c>
      <c r="I252" t="str" s="8" cm="1">
        <f t="array" ref="I252">SUBSTITUTE(H252,B252,"(          )")</f>
        <v>She wore a colorful scarf as an (          ) to her outfit.</v>
      </c>
      <c r="J252" s="9" cm="1">
        <f t="array" ref="J252">SUMIF('외운 것 - 엑셀다운로드 파일(붙여넣기)'!A3:A562,A252,'외운 것 - 엑셀다운로드 파일(붙여넣기)'!D3:D562)</f>
        <v>0</v>
      </c>
      <c r="K252" s="9" cm="1">
        <f t="array" ref="K252">_xlfn.COUNTIFS('외운 것 - 엑셀다운로드 파일(붙여넣기)'!A3:A562,A252,'외운 것 - 엑셀다운로드 파일(붙여넣기)'!D3:D562,0)</f>
        <v>0</v>
      </c>
      <c r="L252" s="9" cm="1">
        <f t="array" ref="L252">IF(J252&gt;=3,_xlfn.XLOOKUP(A252,'외운 것 - 엑셀다운로드 파일(붙여넣기)'!A3:A562,'외운 것 - 엑셀다운로드 파일(붙여넣기)'!C3:C562,0,-1),0)</f>
        <v>0</v>
      </c>
    </row>
    <row r="253" ht="38.45" customHeight="1">
      <c r="A253" s="3">
        <v>252</v>
      </c>
      <c r="B253" t="s" s="4">
        <v>1604</v>
      </c>
      <c r="C253" t="s" s="5">
        <v>1490</v>
      </c>
      <c r="D253" t="s" s="5">
        <v>1483</v>
      </c>
      <c r="E253" t="s" s="5">
        <v>1605</v>
      </c>
      <c r="F253" t="s" s="10">
        <v>1606</v>
      </c>
      <c r="G253" t="s" s="7">
        <v>1607</v>
      </c>
      <c r="H253" t="s" s="7">
        <v>1608</v>
      </c>
      <c r="I253" t="str" s="8" cm="1">
        <f t="array" ref="I253">SUBSTITUTE(H253,B253,"(          )")</f>
        <v>It's (          ) to have a passport for international travel.</v>
      </c>
      <c r="J253" s="9" cm="1">
        <f t="array" ref="J253">SUMIF('외운 것 - 엑셀다운로드 파일(붙여넣기)'!A3:A562,A253,'외운 것 - 엑셀다운로드 파일(붙여넣기)'!D3:D562)</f>
        <v>0</v>
      </c>
      <c r="K253" s="9" cm="1">
        <f t="array" ref="K253">_xlfn.COUNTIFS('외운 것 - 엑셀다운로드 파일(붙여넣기)'!A3:A562,A253,'외운 것 - 엑셀다운로드 파일(붙여넣기)'!D3:D562,0)</f>
        <v>0</v>
      </c>
      <c r="L253" s="9" cm="1">
        <f t="array" ref="L253">IF(J253&gt;=3,_xlfn.XLOOKUP(A253,'외운 것 - 엑셀다운로드 파일(붙여넣기)'!A3:A562,'외운 것 - 엑셀다운로드 파일(붙여넣기)'!C3:C562,0,-1),0)</f>
        <v>0</v>
      </c>
    </row>
    <row r="254" ht="38.45" customHeight="1">
      <c r="A254" s="3">
        <v>253</v>
      </c>
      <c r="B254" t="s" s="4">
        <v>1610</v>
      </c>
      <c r="C254" t="s" s="5">
        <v>1490</v>
      </c>
      <c r="D254" t="s" s="5">
        <v>1483</v>
      </c>
      <c r="E254" t="s" s="5">
        <v>1611</v>
      </c>
      <c r="F254" t="s" s="10">
        <v>1612</v>
      </c>
      <c r="G254" t="s" s="7">
        <v>1613</v>
      </c>
      <c r="H254" t="s" s="7">
        <v>1614</v>
      </c>
      <c r="I254" t="str" s="8" cm="1">
        <f t="array" ref="I254">SUBSTITUTE(H254,B254,"(          )")</f>
        <v>Your absence will (          ) a change in our plans.</v>
      </c>
      <c r="J254" s="9" cm="1">
        <f t="array" ref="J254">SUMIF('외운 것 - 엑셀다운로드 파일(붙여넣기)'!A3:A562,A254,'외운 것 - 엑셀다운로드 파일(붙여넣기)'!D3:D562)</f>
        <v>0</v>
      </c>
      <c r="K254" s="9" cm="1">
        <f t="array" ref="K254">_xlfn.COUNTIFS('외운 것 - 엑셀다운로드 파일(붙여넣기)'!A3:A562,A254,'외운 것 - 엑셀다운로드 파일(붙여넣기)'!D3:D562,0)</f>
        <v>0</v>
      </c>
      <c r="L254" s="9" cm="1">
        <f t="array" ref="L254">IF(J254&gt;=3,_xlfn.XLOOKUP(A254,'외운 것 - 엑셀다운로드 파일(붙여넣기)'!A3:A562,'외운 것 - 엑셀다운로드 파일(붙여넣기)'!C3:C562,0,-1),0)</f>
        <v>0</v>
      </c>
    </row>
    <row r="255" ht="23.45" customHeight="1">
      <c r="A255" s="3">
        <v>254</v>
      </c>
      <c r="B255" t="s" s="4">
        <v>1616</v>
      </c>
      <c r="C255" t="s" s="5">
        <v>1490</v>
      </c>
      <c r="D255" t="s" s="5">
        <v>1483</v>
      </c>
      <c r="E255" t="s" s="5">
        <v>1617</v>
      </c>
      <c r="F255" t="s" s="10">
        <v>1618</v>
      </c>
      <c r="G255" t="s" s="7">
        <v>1619</v>
      </c>
      <c r="H255" t="s" s="7">
        <v>1620</v>
      </c>
      <c r="I255" t="str" s="8" cm="1">
        <f t="array" ref="I255">SUBSTITUTE(H255,B255,"(          )")</f>
        <v>The new manager is more efficient than his (          ).</v>
      </c>
      <c r="J255" s="9" cm="1">
        <f t="array" ref="J255">SUMIF('외운 것 - 엑셀다운로드 파일(붙여넣기)'!A3:A562,A255,'외운 것 - 엑셀다운로드 파일(붙여넣기)'!D3:D562)</f>
        <v>0</v>
      </c>
      <c r="K255" s="9" cm="1">
        <f t="array" ref="K255">_xlfn.COUNTIFS('외운 것 - 엑셀다운로드 파일(붙여넣기)'!A3:A562,A255,'외운 것 - 엑셀다운로드 파일(붙여넣기)'!D3:D562,0)</f>
        <v>0</v>
      </c>
      <c r="L255" s="9" cm="1">
        <f t="array" ref="L255">IF(J255&gt;=3,_xlfn.XLOOKUP(A255,'외운 것 - 엑셀다운로드 파일(붙여넣기)'!A3:A562,'외운 것 - 엑셀다운로드 파일(붙여넣기)'!C3:C562,0,-1),0)</f>
        <v>0</v>
      </c>
    </row>
    <row r="256" ht="38.45" customHeight="1">
      <c r="A256" s="3">
        <v>255</v>
      </c>
      <c r="B256" t="s" s="4">
        <v>1622</v>
      </c>
      <c r="C256" t="s" s="5">
        <v>1490</v>
      </c>
      <c r="D256" t="s" s="5">
        <v>1483</v>
      </c>
      <c r="E256" t="s" s="5">
        <v>1623</v>
      </c>
      <c r="F256" t="s" s="10">
        <v>1624</v>
      </c>
      <c r="G256" t="s" s="7">
        <v>1625</v>
      </c>
      <c r="H256" t="s" s="7">
        <v>1626</v>
      </c>
      <c r="I256" t="str" s="8" cm="1">
        <f t="array" ref="I256">SUBSTITUTE(H256,B256,"(          )")</f>
        <v>The fighting will (          ) once the peace agreement is signed.</v>
      </c>
      <c r="J256" s="9" cm="1">
        <f t="array" ref="J256">SUMIF('외운 것 - 엑셀다운로드 파일(붙여넣기)'!A3:A562,A256,'외운 것 - 엑셀다운로드 파일(붙여넣기)'!D3:D562)</f>
        <v>0</v>
      </c>
      <c r="K256" s="9" cm="1">
        <f t="array" ref="K256">_xlfn.COUNTIFS('외운 것 - 엑셀다운로드 파일(붙여넣기)'!A3:A562,A256,'외운 것 - 엑셀다운로드 파일(붙여넣기)'!D3:D562,0)</f>
        <v>0</v>
      </c>
      <c r="L256" s="9" cm="1">
        <f t="array" ref="L256">IF(J256&gt;=3,_xlfn.XLOOKUP(A256,'외운 것 - 엑셀다운로드 파일(붙여넣기)'!A3:A562,'외운 것 - 엑셀다운로드 파일(붙여넣기)'!C3:C562,0,-1),0)</f>
        <v>0</v>
      </c>
    </row>
    <row r="257" ht="36.4" customHeight="1">
      <c r="A257" s="3">
        <v>256</v>
      </c>
      <c r="B257" t="s" s="4">
        <v>1628</v>
      </c>
      <c r="C257" t="s" s="5">
        <v>1629</v>
      </c>
      <c r="D257" t="s" s="5">
        <v>1483</v>
      </c>
      <c r="E257" t="s" s="5">
        <v>1630</v>
      </c>
      <c r="F257" t="s" s="10">
        <v>1631</v>
      </c>
      <c r="G257" t="s" s="7">
        <v>1632</v>
      </c>
      <c r="H257" t="s" s="7">
        <v>1633</v>
      </c>
      <c r="I257" t="str" s="8" cm="1">
        <f t="array" ref="I257">SUBSTITUTE(H257,B257,"(          )")</f>
        <v>The baby's (          ) crying kept everyone awake.</v>
      </c>
      <c r="J257" s="9" cm="1">
        <f t="array" ref="J257">SUMIF('외운 것 - 엑셀다운로드 파일(붙여넣기)'!A3:A562,A257,'외운 것 - 엑셀다운로드 파일(붙여넣기)'!D3:D562)</f>
        <v>0</v>
      </c>
      <c r="K257" s="9" cm="1">
        <f t="array" ref="K257">_xlfn.COUNTIFS('외운 것 - 엑셀다운로드 파일(붙여넣기)'!A3:A562,A257,'외운 것 - 엑셀다운로드 파일(붙여넣기)'!D3:D562,0)</f>
        <v>0</v>
      </c>
      <c r="L257" s="9" cm="1">
        <f t="array" ref="L257">IF(J257&gt;=3,_xlfn.XLOOKUP(A257,'외운 것 - 엑셀다운로드 파일(붙여넣기)'!A3:A562,'외운 것 - 엑셀다운로드 파일(붙여넣기)'!C3:C562,0,-1),0)</f>
        <v>0</v>
      </c>
    </row>
    <row r="258" ht="36.4" customHeight="1">
      <c r="A258" s="3">
        <v>257</v>
      </c>
      <c r="B258" t="s" s="4">
        <v>1635</v>
      </c>
      <c r="C258" t="s" s="5">
        <v>1629</v>
      </c>
      <c r="D258" t="s" s="5">
        <v>1483</v>
      </c>
      <c r="E258" t="s" s="5">
        <v>1636</v>
      </c>
      <c r="F258" t="s" s="10">
        <v>1637</v>
      </c>
      <c r="G258" t="s" s="7">
        <v>1638</v>
      </c>
      <c r="H258" t="s" s="7">
        <v>1639</v>
      </c>
      <c r="I258" t="str" s="8" cm="1">
        <f t="array" ref="I258">SUBSTITUTE(H258,B258,"(          )")</f>
        <v>The family was notified of his (          ) while abroad.</v>
      </c>
      <c r="J258" s="9" cm="1">
        <f t="array" ref="J258">SUMIF('외운 것 - 엑셀다운로드 파일(붙여넣기)'!A3:A562,A258,'외운 것 - 엑셀다운로드 파일(붙여넣기)'!D3:D562)</f>
        <v>0</v>
      </c>
      <c r="K258" s="9" cm="1">
        <f t="array" ref="K258">_xlfn.COUNTIFS('외운 것 - 엑셀다운로드 파일(붙여넣기)'!A3:A562,A258,'외운 것 - 엑셀다운로드 파일(붙여넣기)'!D3:D562,0)</f>
        <v>0</v>
      </c>
      <c r="L258" s="9" cm="1">
        <f t="array" ref="L258">IF(J258&gt;=3,_xlfn.XLOOKUP(A258,'외운 것 - 엑셀다운로드 파일(붙여넣기)'!A3:A562,'외운 것 - 엑셀다운로드 파일(붙여넣기)'!C3:C562,0,-1),0)</f>
        <v>0</v>
      </c>
    </row>
    <row r="259" ht="38.45" customHeight="1">
      <c r="A259" s="3">
        <v>258</v>
      </c>
      <c r="B259" t="s" s="4">
        <v>1641</v>
      </c>
      <c r="C259" t="s" s="5">
        <v>1642</v>
      </c>
      <c r="D259" t="s" s="5">
        <v>1483</v>
      </c>
      <c r="E259" t="s" s="5">
        <v>1643</v>
      </c>
      <c r="F259" t="s" s="10">
        <v>1644</v>
      </c>
      <c r="G259" t="s" s="7">
        <v>1645</v>
      </c>
      <c r="H259" t="s" s="7">
        <v>1646</v>
      </c>
      <c r="I259" t="str" s="8" cm="1">
        <f t="array" ref="I259">SUBSTITUTE(H259,B259,"(          )")</f>
        <v>The car (          ) happened on a rainy night.</v>
      </c>
      <c r="J259" s="9" cm="1">
        <f t="array" ref="J259">SUMIF('외운 것 - 엑셀다운로드 파일(붙여넣기)'!A3:A562,A259,'외운 것 - 엑셀다운로드 파일(붙여넣기)'!D3:D562)</f>
        <v>0</v>
      </c>
      <c r="K259" s="9" cm="1">
        <f t="array" ref="K259">_xlfn.COUNTIFS('외운 것 - 엑셀다운로드 파일(붙여넣기)'!A3:A562,A259,'외운 것 - 엑셀다운로드 파일(붙여넣기)'!D3:D562,0)</f>
        <v>0</v>
      </c>
      <c r="L259" s="9" cm="1">
        <f t="array" ref="L259">IF(J259&gt;=3,_xlfn.XLOOKUP(A259,'외운 것 - 엑셀다운로드 파일(붙여넣기)'!A3:A562,'외운 것 - 엑셀다운로드 파일(붙여넣기)'!C3:C562,0,-1),0)</f>
        <v>0</v>
      </c>
    </row>
    <row r="260" ht="36.4" customHeight="1">
      <c r="A260" s="3">
        <v>259</v>
      </c>
      <c r="B260" t="s" s="4">
        <v>1648</v>
      </c>
      <c r="C260" t="s" s="5">
        <v>1649</v>
      </c>
      <c r="D260" t="s" s="5">
        <v>1650</v>
      </c>
      <c r="E260" t="s" s="5">
        <v>1651</v>
      </c>
      <c r="F260" t="s" s="10">
        <v>1652</v>
      </c>
      <c r="G260" t="s" s="7">
        <v>1653</v>
      </c>
      <c r="H260" t="s" s="7">
        <v>1654</v>
      </c>
      <c r="I260" t="str" s="8" cm="1">
        <f t="array" ref="I260">SUBSTITUTE(H260,B260,"(          )")</f>
        <v>The discovery was (          ) but very important.</v>
      </c>
      <c r="J260" s="9" cm="1">
        <f t="array" ref="J260">SUMIF('외운 것 - 엑셀다운로드 파일(붙여넣기)'!A3:A562,A260,'외운 것 - 엑셀다운로드 파일(붙여넣기)'!D3:D562)</f>
        <v>0</v>
      </c>
      <c r="K260" s="9" cm="1">
        <f t="array" ref="K260">_xlfn.COUNTIFS('외운 것 - 엑셀다운로드 파일(붙여넣기)'!A3:A562,A260,'외운 것 - 엑셀다운로드 파일(붙여넣기)'!D3:D562,0)</f>
        <v>0</v>
      </c>
      <c r="L260" s="9" cm="1">
        <f t="array" ref="L260">IF(J260&gt;=3,_xlfn.XLOOKUP(A260,'외운 것 - 엑셀다운로드 파일(붙여넣기)'!A3:A562,'외운 것 - 엑셀다운로드 파일(붙여넣기)'!C3:C562,0,-1),0)</f>
        <v>0</v>
      </c>
    </row>
    <row r="261" ht="23.45" customHeight="1">
      <c r="A261" s="3">
        <v>260</v>
      </c>
      <c r="B261" t="s" s="4">
        <v>1656</v>
      </c>
      <c r="C261" t="s" s="5">
        <v>1650</v>
      </c>
      <c r="D261" t="s" s="5">
        <v>1657</v>
      </c>
      <c r="E261" t="s" s="5">
        <v>1658</v>
      </c>
      <c r="F261" t="s" s="10">
        <v>1659</v>
      </c>
      <c r="G261" t="s" s="7">
        <v>1660</v>
      </c>
      <c r="H261" t="s" s="7">
        <v>1661</v>
      </c>
      <c r="I261" t="str" s="8" cm="1">
        <f t="array" ref="I261">SUBSTITUTE(H261,B261,"(          )")</f>
        <v>He reported the (          ) to the police immediately.</v>
      </c>
      <c r="J261" s="9" cm="1">
        <f t="array" ref="J261">SUMIF('외운 것 - 엑셀다운로드 파일(붙여넣기)'!A3:A562,A261,'외운 것 - 엑셀다운로드 파일(붙여넣기)'!D3:D562)</f>
        <v>0</v>
      </c>
      <c r="K261" s="9" cm="1">
        <f t="array" ref="K261">_xlfn.COUNTIFS('외운 것 - 엑셀다운로드 파일(붙여넣기)'!A3:A562,A261,'외운 것 - 엑셀다운로드 파일(붙여넣기)'!D3:D562,0)</f>
        <v>0</v>
      </c>
      <c r="L261" s="9" cm="1">
        <f t="array" ref="L261">IF(J261&gt;=3,_xlfn.XLOOKUP(A261,'외운 것 - 엑셀다운로드 파일(붙여넣기)'!A3:A562,'외운 것 - 엑셀다운로드 파일(붙여넣기)'!C3:C562,0,-1),0)</f>
        <v>0</v>
      </c>
    </row>
    <row r="262" ht="36.4" customHeight="1">
      <c r="A262" s="3">
        <v>261</v>
      </c>
      <c r="B262" t="s" s="4">
        <v>1663</v>
      </c>
      <c r="C262" t="s" s="5">
        <v>1664</v>
      </c>
      <c r="D262" t="s" s="5">
        <v>1650</v>
      </c>
      <c r="E262" t="s" s="5">
        <v>1665</v>
      </c>
      <c r="F262" t="s" s="10">
        <v>1666</v>
      </c>
      <c r="G262" t="s" s="7">
        <v>1667</v>
      </c>
      <c r="H262" t="s" s="7">
        <v>1668</v>
      </c>
      <c r="I262" t="str" s="8" cm="1">
        <f t="array" ref="I262">SUBSTITUTE(H262,B262,"(          )")</f>
        <v>The music is (          ) to the main story in the film.</v>
      </c>
      <c r="J262" s="9" cm="1">
        <f t="array" ref="J262">SUMIF('외운 것 - 엑셀다운로드 파일(붙여넣기)'!A3:A562,A262,'외운 것 - 엑셀다운로드 파일(붙여넣기)'!D3:D562)</f>
        <v>0</v>
      </c>
      <c r="K262" s="9" cm="1">
        <f t="array" ref="K262">_xlfn.COUNTIFS('외운 것 - 엑셀다운로드 파일(붙여넣기)'!A3:A562,A262,'외운 것 - 엑셀다운로드 파일(붙여넣기)'!D3:D562,0)</f>
        <v>0</v>
      </c>
      <c r="L262" s="9" cm="1">
        <f t="array" ref="L262">IF(J262&gt;=3,_xlfn.XLOOKUP(A262,'외운 것 - 엑셀다운로드 파일(붙여넣기)'!A3:A562,'외운 것 - 엑셀다운로드 파일(붙여넣기)'!C3:C562,0,-1),0)</f>
        <v>0</v>
      </c>
    </row>
    <row r="263" ht="23.45" customHeight="1">
      <c r="A263" s="3">
        <v>262</v>
      </c>
      <c r="B263" t="s" s="4">
        <v>1670</v>
      </c>
      <c r="C263" t="s" s="5">
        <v>1671</v>
      </c>
      <c r="D263" t="s" s="5">
        <v>1672</v>
      </c>
      <c r="E263" t="s" s="5">
        <v>1673</v>
      </c>
      <c r="F263" t="s" s="10">
        <v>1674</v>
      </c>
      <c r="G263" t="s" s="7">
        <v>1675</v>
      </c>
      <c r="H263" t="s" s="7">
        <v>1676</v>
      </c>
      <c r="I263" t="str" s="8" cm="1">
        <f t="array" ref="I263">SUBSTITUTE(H263,B263,"(          )")</f>
        <v>Did you (          ) the package I sent?</v>
      </c>
      <c r="J263" s="9" cm="1">
        <f t="array" ref="J263">SUMIF('외운 것 - 엑셀다운로드 파일(붙여넣기)'!A3:A562,A263,'외운 것 - 엑셀다운로드 파일(붙여넣기)'!D3:D562)</f>
        <v>0</v>
      </c>
      <c r="K263" s="9" cm="1">
        <f t="array" ref="K263">_xlfn.COUNTIFS('외운 것 - 엑셀다운로드 파일(붙여넣기)'!A3:A562,A263,'외운 것 - 엑셀다운로드 파일(붙여넣기)'!D3:D562,0)</f>
        <v>0</v>
      </c>
      <c r="L263" s="9" cm="1">
        <f t="array" ref="L263">IF(J263&gt;=3,_xlfn.XLOOKUP(A263,'외운 것 - 엑셀다운로드 파일(붙여넣기)'!A3:A562,'외운 것 - 엑셀다운로드 파일(붙여넣기)'!C3:C562,0,-1),0)</f>
        <v>0</v>
      </c>
    </row>
    <row r="264" ht="38.45" customHeight="1">
      <c r="A264" s="3">
        <v>263</v>
      </c>
      <c r="B264" t="s" s="4">
        <v>1678</v>
      </c>
      <c r="C264" t="s" s="5">
        <v>1671</v>
      </c>
      <c r="D264" t="s" s="5">
        <v>1672</v>
      </c>
      <c r="E264" t="s" s="5">
        <v>1679</v>
      </c>
      <c r="F264" t="s" s="10">
        <v>1680</v>
      </c>
      <c r="G264" t="s" s="7">
        <v>1681</v>
      </c>
      <c r="H264" t="s" s="7">
        <v>1682</v>
      </c>
      <c r="I264" t="str" s="8" cm="1">
        <f t="array" ref="I264">SUBSTITUTE(H264,B264,"(          )")</f>
        <v>People often (          ) things differently based on their experiences.</v>
      </c>
      <c r="J264" s="9" cm="1">
        <f t="array" ref="J264">SUMIF('외운 것 - 엑셀다운로드 파일(붙여넣기)'!A3:A562,A264,'외운 것 - 엑셀다운로드 파일(붙여넣기)'!D3:D562)</f>
        <v>0</v>
      </c>
      <c r="K264" s="9" cm="1">
        <f t="array" ref="K264">_xlfn.COUNTIFS('외운 것 - 엑셀다운로드 파일(붙여넣기)'!A3:A562,A264,'외운 것 - 엑셀다운로드 파일(붙여넣기)'!D3:D562,0)</f>
        <v>0</v>
      </c>
      <c r="L264" s="9" cm="1">
        <f t="array" ref="L264">IF(J264&gt;=3,_xlfn.XLOOKUP(A264,'외운 것 - 엑셀다운로드 파일(붙여넣기)'!A3:A562,'외운 것 - 엑셀다운로드 파일(붙여넣기)'!C3:C562,0,-1),0)</f>
        <v>0</v>
      </c>
    </row>
    <row r="265" ht="38.45" customHeight="1">
      <c r="A265" s="3">
        <v>264</v>
      </c>
      <c r="B265" t="s" s="4">
        <v>1684</v>
      </c>
      <c r="C265" t="s" s="5">
        <v>1671</v>
      </c>
      <c r="D265" t="s" s="5">
        <v>1672</v>
      </c>
      <c r="E265" t="s" s="5">
        <v>1685</v>
      </c>
      <c r="F265" t="s" s="10">
        <v>1686</v>
      </c>
      <c r="G265" t="s" s="7">
        <v>1687</v>
      </c>
      <c r="H265" t="s" s="7">
        <v>1688</v>
      </c>
      <c r="I265" t="str" s="8" cm="1">
        <f t="array" ref="I265">SUBSTITUTE(H265,B265,"(          )")</f>
        <v>They were unable to (          ) a child naturally.</v>
      </c>
      <c r="J265" s="9" cm="1">
        <f t="array" ref="J265">SUMIF('외운 것 - 엑셀다운로드 파일(붙여넣기)'!A3:A562,A265,'외운 것 - 엑셀다운로드 파일(붙여넣기)'!D3:D562)</f>
        <v>0</v>
      </c>
      <c r="K265" s="9" cm="1">
        <f t="array" ref="K265">_xlfn.COUNTIFS('외운 것 - 엑셀다운로드 파일(붙여넣기)'!A3:A562,A265,'외운 것 - 엑셀다운로드 파일(붙여넣기)'!D3:D562,0)</f>
        <v>0</v>
      </c>
      <c r="L265" s="9" cm="1">
        <f t="array" ref="L265">IF(J265&gt;=3,_xlfn.XLOOKUP(A265,'외운 것 - 엑셀다운로드 파일(붙여넣기)'!A3:A562,'외운 것 - 엑셀다운로드 파일(붙여넣기)'!C3:C562,0,-1),0)</f>
        <v>0</v>
      </c>
    </row>
    <row r="266" ht="23.45" customHeight="1">
      <c r="A266" s="3">
        <v>265</v>
      </c>
      <c r="B266" t="s" s="4">
        <v>1690</v>
      </c>
      <c r="C266" t="s" s="5">
        <v>1671</v>
      </c>
      <c r="D266" t="s" s="5">
        <v>1672</v>
      </c>
      <c r="E266" t="s" s="5">
        <v>1691</v>
      </c>
      <c r="F266" t="s" s="10">
        <v>1692</v>
      </c>
      <c r="G266" t="s" s="7">
        <v>1693</v>
      </c>
      <c r="H266" t="s" s="7">
        <v>1694</v>
      </c>
      <c r="I266" t="str" s="8" cm="1">
        <f t="array" ref="I266">SUBSTITUTE(H266,B266,"(          )")</f>
        <v>Don't try to (          ) me with false promises.</v>
      </c>
      <c r="J266" s="9" cm="1">
        <f t="array" ref="J266">SUMIF('외운 것 - 엑셀다운로드 파일(붙여넣기)'!A3:A562,A266,'외운 것 - 엑셀다운로드 파일(붙여넣기)'!D3:D562)</f>
        <v>0</v>
      </c>
      <c r="K266" s="9" cm="1">
        <f t="array" ref="K266">_xlfn.COUNTIFS('외운 것 - 엑셀다운로드 파일(붙여넣기)'!A3:A562,A266,'외운 것 - 엑셀다운로드 파일(붙여넣기)'!D3:D562,0)</f>
        <v>0</v>
      </c>
      <c r="L266" s="9" cm="1">
        <f t="array" ref="L266">IF(J266&gt;=3,_xlfn.XLOOKUP(A266,'외운 것 - 엑셀다운로드 파일(붙여넣기)'!A3:A562,'외운 것 - 엑셀다운로드 파일(붙여넣기)'!C3:C562,0,-1),0)</f>
        <v>0</v>
      </c>
    </row>
    <row r="267" ht="36.4" customHeight="1">
      <c r="A267" s="3">
        <v>266</v>
      </c>
      <c r="B267" t="s" s="4">
        <v>1696</v>
      </c>
      <c r="C267" t="s" s="5">
        <v>1697</v>
      </c>
      <c r="D267" t="s" s="5">
        <v>1671</v>
      </c>
      <c r="E267" t="s" s="5">
        <v>1698</v>
      </c>
      <c r="F267" t="s" s="10">
        <v>1699</v>
      </c>
      <c r="G267" t="s" s="7">
        <v>1700</v>
      </c>
      <c r="H267" t="s" s="7">
        <v>1701</v>
      </c>
      <c r="I267" t="str" s="8" cm="1">
        <f t="array" ref="I267">SUBSTITUTE(H267,B267,"(          )")</f>
        <v>His (          ) behavior destroyed their trust.</v>
      </c>
      <c r="J267" s="9" cm="1">
        <f t="array" ref="J267">SUMIF('외운 것 - 엑셀다운로드 파일(붙여넣기)'!A3:A562,A267,'외운 것 - 엑셀다운로드 파일(붙여넣기)'!D3:D562)</f>
        <v>0</v>
      </c>
      <c r="K267" s="9" cm="1">
        <f t="array" ref="K267">_xlfn.COUNTIFS('외운 것 - 엑셀다운로드 파일(붙여넣기)'!A3:A562,A267,'외운 것 - 엑셀다운로드 파일(붙여넣기)'!D3:D562,0)</f>
        <v>0</v>
      </c>
      <c r="L267" s="9" cm="1">
        <f t="array" ref="L267">IF(J267&gt;=3,_xlfn.XLOOKUP(A267,'외운 것 - 엑셀다운로드 파일(붙여넣기)'!A3:A562,'외운 것 - 엑셀다운로드 파일(붙여넣기)'!C3:C562,0,-1),0)</f>
        <v>0</v>
      </c>
    </row>
    <row r="268" ht="38.45" customHeight="1">
      <c r="A268" s="3">
        <v>267</v>
      </c>
      <c r="B268" t="s" s="4">
        <v>1703</v>
      </c>
      <c r="C268" t="s" s="5">
        <v>1703</v>
      </c>
      <c r="D268" t="s" s="5">
        <v>1704</v>
      </c>
      <c r="E268" t="s" s="5">
        <v>1705</v>
      </c>
      <c r="F268" t="s" s="6">
        <v>1706</v>
      </c>
      <c r="G268" t="s" s="7">
        <v>1707</v>
      </c>
      <c r="H268" t="s" s="7">
        <v>1708</v>
      </c>
      <c r="I268" t="str" s="8" cm="1">
        <f t="array" ref="I268">SUBSTITUTE(H268,B268,"(          )")</f>
        <v>The prisoner was confined to his (          ) for 23 hours daily.</v>
      </c>
      <c r="J268" s="9" cm="1">
        <f t="array" ref="J268">SUMIF('외운 것 - 엑셀다운로드 파일(붙여넣기)'!A3:A562,A268,'외운 것 - 엑셀다운로드 파일(붙여넣기)'!D3:D562)</f>
        <v>0</v>
      </c>
      <c r="K268" s="9" cm="1">
        <f t="array" ref="K268">_xlfn.COUNTIFS('외운 것 - 엑셀다운로드 파일(붙여넣기)'!A3:A562,A268,'외운 것 - 엑셀다운로드 파일(붙여넣기)'!D3:D562,0)</f>
        <v>0</v>
      </c>
      <c r="L268" s="9" cm="1">
        <f t="array" ref="L268">IF(J268&gt;=3,_xlfn.XLOOKUP(A268,'외운 것 - 엑셀다운로드 파일(붙여넣기)'!A3:A562,'외운 것 - 엑셀다운로드 파일(붙여넣기)'!C3:C562,0,-1),0)</f>
        <v>0</v>
      </c>
    </row>
    <row r="269" ht="23.45" customHeight="1">
      <c r="A269" s="3">
        <v>268</v>
      </c>
      <c r="B269" t="s" s="4">
        <v>1710</v>
      </c>
      <c r="C269" t="s" s="5">
        <v>1703</v>
      </c>
      <c r="D269" t="s" s="5">
        <v>1704</v>
      </c>
      <c r="E269" t="s" s="5">
        <v>1711</v>
      </c>
      <c r="F269" t="s" s="10">
        <v>1712</v>
      </c>
      <c r="G269" t="s" s="7">
        <v>1713</v>
      </c>
      <c r="H269" t="s" s="7">
        <v>1714</v>
      </c>
      <c r="I269" t="str" s="8" cm="1">
        <f t="array" ref="I269">SUBSTITUTE(H269,B269,"(          )")</f>
        <v>We store wine in the cool (          ) beneath the house.</v>
      </c>
      <c r="J269" s="9" cm="1">
        <f t="array" ref="J269">SUMIF('외운 것 - 엑셀다운로드 파일(붙여넣기)'!A3:A562,A269,'외운 것 - 엑셀다운로드 파일(붙여넣기)'!D3:D562)</f>
        <v>0</v>
      </c>
      <c r="K269" s="9" cm="1">
        <f t="array" ref="K269">_xlfn.COUNTIFS('외운 것 - 엑셀다운로드 파일(붙여넣기)'!A3:A562,A269,'외운 것 - 엑셀다운로드 파일(붙여넣기)'!D3:D562,0)</f>
        <v>0</v>
      </c>
      <c r="L269" s="9" cm="1">
        <f t="array" ref="L269">IF(J269&gt;=3,_xlfn.XLOOKUP(A269,'외운 것 - 엑셀다운로드 파일(붙여넣기)'!A3:A562,'외운 것 - 엑셀다운로드 파일(붙여넣기)'!C3:C562,0,-1),0)</f>
        <v>0</v>
      </c>
    </row>
    <row r="270" ht="38.45" customHeight="1">
      <c r="A270" s="3">
        <v>269</v>
      </c>
      <c r="B270" t="s" s="4">
        <v>1716</v>
      </c>
      <c r="C270" t="s" s="5">
        <v>1703</v>
      </c>
      <c r="D270" t="s" s="5">
        <v>1704</v>
      </c>
      <c r="E270" t="s" s="5">
        <v>1717</v>
      </c>
      <c r="F270" t="s" s="10">
        <v>1718</v>
      </c>
      <c r="G270" t="s" s="7">
        <v>1719</v>
      </c>
      <c r="H270" t="s" s="7">
        <v>1720</v>
      </c>
      <c r="I270" t="str" s="8" cm="1">
        <f t="array" ref="I270">SUBSTITUTE(H270,B270,"(          )")</f>
        <v>The magician will (          ) the rabbit under his hat.</v>
      </c>
      <c r="J270" s="9" cm="1">
        <f t="array" ref="J270">SUMIF('외운 것 - 엑셀다운로드 파일(붙여넣기)'!A3:A562,A270,'외운 것 - 엑셀다운로드 파일(붙여넣기)'!D3:D562)</f>
        <v>0</v>
      </c>
      <c r="K270" s="9" cm="1">
        <f t="array" ref="K270">_xlfn.COUNTIFS('외운 것 - 엑셀다운로드 파일(붙여넣기)'!A3:A562,A270,'외운 것 - 엑셀다운로드 파일(붙여넣기)'!D3:D562,0)</f>
        <v>0</v>
      </c>
      <c r="L270" s="9" cm="1">
        <f t="array" ref="L270">IF(J270&gt;=3,_xlfn.XLOOKUP(A270,'외운 것 - 엑셀다운로드 파일(붙여넣기)'!A3:A562,'외운 것 - 엑셀다운로드 파일(붙여넣기)'!C3:C562,0,-1),0)</f>
        <v>0</v>
      </c>
    </row>
    <row r="271" ht="38.45" customHeight="1">
      <c r="A271" s="3">
        <v>270</v>
      </c>
      <c r="B271" t="s" s="4">
        <v>1722</v>
      </c>
      <c r="C271" t="s" s="5">
        <v>1703</v>
      </c>
      <c r="D271" t="s" s="5">
        <v>1704</v>
      </c>
      <c r="E271" t="s" s="5">
        <v>1723</v>
      </c>
      <c r="F271" t="s" s="10">
        <v>1724</v>
      </c>
      <c r="G271" t="s" s="7">
        <v>1725</v>
      </c>
      <c r="H271" t="s" s="7">
        <v>1726</v>
      </c>
      <c r="I271" t="str" s="8" cm="1">
        <f t="array" ref="I271">SUBSTITUTE(H271,B271,"(          )")</f>
        <v>The living room has a high (          ) with decorative molding.</v>
      </c>
      <c r="J271" s="9" cm="1">
        <f t="array" ref="J271">SUMIF('외운 것 - 엑셀다운로드 파일(붙여넣기)'!A3:A562,A271,'외운 것 - 엑셀다운로드 파일(붙여넣기)'!D3:D562)</f>
        <v>0</v>
      </c>
      <c r="K271" s="9" cm="1">
        <f t="array" ref="K271">_xlfn.COUNTIFS('외운 것 - 엑셀다운로드 파일(붙여넣기)'!A3:A562,A271,'외운 것 - 엑셀다운로드 파일(붙여넣기)'!D3:D562,0)</f>
        <v>0</v>
      </c>
      <c r="L271" s="9" cm="1">
        <f t="array" ref="L271">IF(J271&gt;=3,_xlfn.XLOOKUP(A271,'외운 것 - 엑셀다운로드 파일(붙여넣기)'!A3:A562,'외운 것 - 엑셀다운로드 파일(붙여넣기)'!C3:C562,0,-1),0)</f>
        <v>0</v>
      </c>
    </row>
    <row r="272" ht="23.45" customHeight="1">
      <c r="A272" s="3">
        <v>271</v>
      </c>
      <c r="B272" t="s" s="4">
        <v>1728</v>
      </c>
      <c r="C272" t="s" s="5">
        <v>1729</v>
      </c>
      <c r="D272" t="s" s="5">
        <v>1730</v>
      </c>
      <c r="E272" t="s" s="5">
        <v>1731</v>
      </c>
      <c r="F272" t="s" s="10">
        <v>1732</v>
      </c>
      <c r="G272" t="s" s="7">
        <v>1733</v>
      </c>
      <c r="H272" t="s" s="7">
        <v>1734</v>
      </c>
      <c r="I272" t="str" s="8" cm="1">
        <f t="array" ref="I272">SUBSTITUTE(H272,B272,"(          )")</f>
        <v>The telescope provides a clear view of (          ) bodies.</v>
      </c>
      <c r="J272" s="9" cm="1">
        <f t="array" ref="J272">SUMIF('외운 것 - 엑셀다운로드 파일(붙여넣기)'!A3:A562,A272,'외운 것 - 엑셀다운로드 파일(붙여넣기)'!D3:D562)</f>
        <v>0</v>
      </c>
      <c r="K272" s="9" cm="1">
        <f t="array" ref="K272">_xlfn.COUNTIFS('외운 것 - 엑셀다운로드 파일(붙여넣기)'!A3:A562,A272,'외운 것 - 엑셀다운로드 파일(붙여넣기)'!D3:D562,0)</f>
        <v>0</v>
      </c>
      <c r="L272" s="9" cm="1">
        <f t="array" ref="L272">IF(J272&gt;=3,_xlfn.XLOOKUP(A272,'외운 것 - 엑셀다운로드 파일(붙여넣기)'!A3:A562,'외운 것 - 엑셀다운로드 파일(붙여넣기)'!C3:C562,0,-1),0)</f>
        <v>0</v>
      </c>
    </row>
    <row r="273" ht="38.45" customHeight="1">
      <c r="A273" s="3">
        <v>272</v>
      </c>
      <c r="B273" t="s" s="4">
        <v>1736</v>
      </c>
      <c r="C273" t="s" s="5">
        <v>1729</v>
      </c>
      <c r="D273" t="s" s="5">
        <v>1730</v>
      </c>
      <c r="E273" t="s" s="5">
        <v>1737</v>
      </c>
      <c r="F273" t="s" s="10">
        <v>1738</v>
      </c>
      <c r="G273" t="s" s="7">
        <v>1739</v>
      </c>
      <c r="H273" t="s" s="7">
        <v>1740</v>
      </c>
      <c r="I273" t="str" s="8" cm="1">
        <f t="array" ref="I273">SUBSTITUTE(H273,B273,"(          )")</f>
        <v>We (          ) Independence Day on July 4th.</v>
      </c>
      <c r="J273" s="9" cm="1">
        <f t="array" ref="J273">SUMIF('외운 것 - 엑셀다운로드 파일(붙여넣기)'!A3:A562,A273,'외운 것 - 엑셀다운로드 파일(붙여넣기)'!D3:D562)</f>
        <v>0</v>
      </c>
      <c r="K273" s="9" cm="1">
        <f t="array" ref="K273">_xlfn.COUNTIFS('외운 것 - 엑셀다운로드 파일(붙여넣기)'!A3:A562,A273,'외운 것 - 엑셀다운로드 파일(붙여넣기)'!D3:D562,0)</f>
        <v>0</v>
      </c>
      <c r="L273" s="9" cm="1">
        <f t="array" ref="L273">IF(J273&gt;=3,_xlfn.XLOOKUP(A273,'외운 것 - 엑셀다운로드 파일(붙여넣기)'!A3:A562,'외운 것 - 엑셀다운로드 파일(붙여넣기)'!C3:C562,0,-1),0)</f>
        <v>0</v>
      </c>
    </row>
    <row r="274" ht="36.4" customHeight="1">
      <c r="A274" s="3">
        <v>273</v>
      </c>
      <c r="B274" t="s" s="4">
        <v>1742</v>
      </c>
      <c r="C274" t="s" s="5">
        <v>1743</v>
      </c>
      <c r="D274" t="s" s="5">
        <v>1729</v>
      </c>
      <c r="E274" t="s" s="5">
        <v>1744</v>
      </c>
      <c r="F274" t="s" s="10">
        <v>1745</v>
      </c>
      <c r="G274" t="s" s="7">
        <v>1746</v>
      </c>
      <c r="H274" t="s" s="7">
        <v>1747</v>
      </c>
      <c r="I274" t="str" s="8" cm="1">
        <f t="array" ref="I274">SUBSTITUTE(H274,B274,"(          )")</f>
        <v>The (          ) arrived surrounded by photographers.</v>
      </c>
      <c r="J274" s="9" cm="1">
        <f t="array" ref="J274">SUMIF('외운 것 - 엑셀다운로드 파일(붙여넣기)'!A3:A562,A274,'외운 것 - 엑셀다운로드 파일(붙여넣기)'!D3:D562)</f>
        <v>0</v>
      </c>
      <c r="K274" s="9" cm="1">
        <f t="array" ref="K274">_xlfn.COUNTIFS('외운 것 - 엑셀다운로드 파일(붙여넣기)'!A3:A562,A274,'외운 것 - 엑셀다운로드 파일(붙여넣기)'!D3:D562,0)</f>
        <v>0</v>
      </c>
      <c r="L274" s="9" cm="1">
        <f t="array" ref="L274">IF(J274&gt;=3,_xlfn.XLOOKUP(A274,'외운 것 - 엑셀다운로드 파일(붙여넣기)'!A3:A562,'외운 것 - 엑셀다운로드 파일(붙여넣기)'!C3:C562,0,-1),0)</f>
        <v>0</v>
      </c>
    </row>
    <row r="275" ht="38.45" customHeight="1">
      <c r="A275" s="3">
        <v>274</v>
      </c>
      <c r="B275" t="s" s="4">
        <v>1749</v>
      </c>
      <c r="C275" t="s" s="5">
        <v>1729</v>
      </c>
      <c r="D275" t="s" s="5">
        <v>1730</v>
      </c>
      <c r="E275" t="s" s="5">
        <v>1750</v>
      </c>
      <c r="F275" t="s" s="10">
        <v>1751</v>
      </c>
      <c r="G275" t="s" s="7">
        <v>1752</v>
      </c>
      <c r="H275" t="s" s="7">
        <v>1753</v>
      </c>
      <c r="I275" t="str" s="8" cm="1">
        <f t="array" ref="I275">SUBSTITUTE(H275,B275,"(          )")</f>
        <v>She continues to (          ) in mathematics competitions.</v>
      </c>
      <c r="J275" s="9" cm="1">
        <f t="array" ref="J275">SUMIF('외운 것 - 엑셀다운로드 파일(붙여넣기)'!A3:A562,A275,'외운 것 - 엑셀다운로드 파일(붙여넣기)'!D3:D562)</f>
        <v>0</v>
      </c>
      <c r="K275" s="9" cm="1">
        <f t="array" ref="K275">_xlfn.COUNTIFS('외운 것 - 엑셀다운로드 파일(붙여넣기)'!A3:A562,A275,'외운 것 - 엑셀다운로드 파일(붙여넣기)'!D3:D562,0)</f>
        <v>0</v>
      </c>
      <c r="L275" s="9" cm="1">
        <f t="array" ref="L275">IF(J275&gt;=3,_xlfn.XLOOKUP(A275,'외운 것 - 엑셀다운로드 파일(붙여넣기)'!A3:A562,'외운 것 - 엑셀다운로드 파일(붙여넣기)'!C3:C562,0,-1),0)</f>
        <v>0</v>
      </c>
    </row>
    <row r="276" ht="23.45" customHeight="1">
      <c r="A276" s="3">
        <v>275</v>
      </c>
      <c r="B276" t="s" s="4">
        <v>1755</v>
      </c>
      <c r="C276" t="s" s="5">
        <v>1756</v>
      </c>
      <c r="D276" t="s" s="5">
        <v>1729</v>
      </c>
      <c r="E276" t="s" s="5">
        <v>1757</v>
      </c>
      <c r="F276" t="s" s="10">
        <v>1758</v>
      </c>
      <c r="G276" t="s" s="7">
        <v>1759</v>
      </c>
      <c r="H276" t="s" s="7">
        <v>1760</v>
      </c>
      <c r="I276" t="str" s="8" cm="1">
        <f t="array" ref="I276">SUBSTITUTE(H276,B276,"(          )")</f>
        <v>The restaurant serves (          ) food at reasonable prices.</v>
      </c>
      <c r="J276" s="9" cm="1">
        <f t="array" ref="J276">SUMIF('외운 것 - 엑셀다운로드 파일(붙여넣기)'!A3:A562,A276,'외운 것 - 엑셀다운로드 파일(붙여넣기)'!D3:D562)</f>
        <v>0</v>
      </c>
      <c r="K276" s="9" cm="1">
        <f t="array" ref="K276">_xlfn.COUNTIFS('외운 것 - 엑셀다운로드 파일(붙여넣기)'!A3:A562,A276,'외운 것 - 엑셀다운로드 파일(붙여넣기)'!D3:D562,0)</f>
        <v>0</v>
      </c>
      <c r="L276" s="9" cm="1">
        <f t="array" ref="L276">IF(J276&gt;=3,_xlfn.XLOOKUP(A276,'외운 것 - 엑셀다운로드 파일(붙여넣기)'!A3:A562,'외운 것 - 엑셀다운로드 파일(붙여넣기)'!C3:C562,0,-1),0)</f>
        <v>0</v>
      </c>
    </row>
    <row r="277" ht="38.45" customHeight="1">
      <c r="A277" s="3">
        <v>276</v>
      </c>
      <c r="B277" t="s" s="4">
        <v>1762</v>
      </c>
      <c r="C277" t="s" s="5">
        <v>1729</v>
      </c>
      <c r="D277" t="s" s="5">
        <v>1730</v>
      </c>
      <c r="E277" t="s" s="5">
        <v>1763</v>
      </c>
      <c r="F277" t="s" s="10">
        <v>1764</v>
      </c>
      <c r="G277" t="s" s="7">
        <v>1765</v>
      </c>
      <c r="H277" t="s" s="7">
        <v>1766</v>
      </c>
      <c r="I277" t="str" s="8" cm="1">
        <f t="array" ref="I277">SUBSTITUTE(H277,B277,"(          )")</f>
        <v>The car can (          ) from 0 to 60 mph in six seconds.</v>
      </c>
      <c r="J277" s="9" cm="1">
        <f t="array" ref="J277">SUMIF('외운 것 - 엑셀다운로드 파일(붙여넣기)'!A3:A562,A277,'외운 것 - 엑셀다운로드 파일(붙여넣기)'!D3:D562)</f>
        <v>0</v>
      </c>
      <c r="K277" s="9" cm="1">
        <f t="array" ref="K277">_xlfn.COUNTIFS('외운 것 - 엑셀다운로드 파일(붙여넣기)'!A3:A562,A277,'외운 것 - 엑셀다운로드 파일(붙여넣기)'!D3:D562,0)</f>
        <v>0</v>
      </c>
      <c r="L277" s="9" cm="1">
        <f t="array" ref="L277">IF(J277&gt;=3,_xlfn.XLOOKUP(A277,'외운 것 - 엑셀다운로드 파일(붙여넣기)'!A3:A562,'외운 것 - 엑셀다운로드 파일(붙여넣기)'!C3:C562,0,-1),0)</f>
        <v>0</v>
      </c>
    </row>
    <row r="278" ht="23.45" customHeight="1">
      <c r="A278" s="3">
        <v>277</v>
      </c>
      <c r="B278" t="s" s="4">
        <v>1768</v>
      </c>
      <c r="C278" t="s" s="5">
        <v>1768</v>
      </c>
      <c r="D278" t="s" s="5">
        <v>1769</v>
      </c>
      <c r="E278" t="s" s="5">
        <v>1770</v>
      </c>
      <c r="F278" t="s" s="10">
        <v>1771</v>
      </c>
      <c r="G278" t="s" s="7">
        <v>1772</v>
      </c>
      <c r="H278" t="s" s="7">
        <v>1773</v>
      </c>
      <c r="I278" t="str" s="8" cm="1">
        <f t="array" ref="I278">SUBSTITUTE(H278,B278,"(          )")</f>
        <v>This old coin is worth more than one (          ).</v>
      </c>
      <c r="J278" s="9" cm="1">
        <f t="array" ref="J278">SUMIF('외운 것 - 엑셀다운로드 파일(붙여넣기)'!A3:A562,A278,'외운 것 - 엑셀다운로드 파일(붙여넣기)'!D3:D562)</f>
        <v>0</v>
      </c>
      <c r="K278" s="9" cm="1">
        <f t="array" ref="K278">_xlfn.COUNTIFS('외운 것 - 엑셀다운로드 파일(붙여넣기)'!A3:A562,A278,'외운 것 - 엑셀다운로드 파일(붙여넣기)'!D3:D562,0)</f>
        <v>0</v>
      </c>
      <c r="L278" s="9" cm="1">
        <f t="array" ref="L278">IF(J278&gt;=3,_xlfn.XLOOKUP(A278,'외운 것 - 엑셀다운로드 파일(붙여넣기)'!A3:A562,'외운 것 - 엑셀다운로드 파일(붙여넣기)'!C3:C562,0,-1),0)</f>
        <v>0</v>
      </c>
    </row>
    <row r="279" ht="23.45" customHeight="1">
      <c r="A279" s="3">
        <v>278</v>
      </c>
      <c r="B279" t="s" s="4">
        <v>1775</v>
      </c>
      <c r="C279" t="s" s="5">
        <v>1768</v>
      </c>
      <c r="D279" t="s" s="5">
        <v>1769</v>
      </c>
      <c r="E279" t="s" s="5">
        <v>1776</v>
      </c>
      <c r="F279" t="s" s="10">
        <v>1777</v>
      </c>
      <c r="G279" t="s" s="7">
        <v>1778</v>
      </c>
      <c r="H279" t="s" s="7">
        <v>1779</v>
      </c>
      <c r="I279" t="str" s="8" cm="1">
        <f t="array" ref="I279">SUBSTITUTE(H279,B279,"(          )")</f>
        <v>Measure the length in (          ) for more accuracy.</v>
      </c>
      <c r="J279" s="9" cm="1">
        <f t="array" ref="J279">SUMIF('외운 것 - 엑셀다운로드 파일(붙여넣기)'!A3:A562,A279,'외운 것 - 엑셀다운로드 파일(붙여넣기)'!D3:D562)</f>
        <v>0</v>
      </c>
      <c r="K279" s="9" cm="1">
        <f t="array" ref="K279">_xlfn.COUNTIFS('외운 것 - 엑셀다운로드 파일(붙여넣기)'!A3:A562,A279,'외운 것 - 엑셀다운로드 파일(붙여넣기)'!D3:D562,0)</f>
        <v>0</v>
      </c>
      <c r="L279" s="9" cm="1">
        <f t="array" ref="L279">IF(J279&gt;=3,_xlfn.XLOOKUP(A279,'외운 것 - 엑셀다운로드 파일(붙여넣기)'!A3:A562,'외운 것 - 엑셀다운로드 파일(붙여넣기)'!C3:C562,0,-1),0)</f>
        <v>0</v>
      </c>
    </row>
    <row r="280" ht="23.45" customHeight="1">
      <c r="A280" s="3">
        <v>279</v>
      </c>
      <c r="B280" t="s" s="4">
        <v>1781</v>
      </c>
      <c r="C280" t="s" s="5">
        <v>1768</v>
      </c>
      <c r="D280" t="s" s="5">
        <v>1769</v>
      </c>
      <c r="E280" t="s" s="5">
        <v>1782</v>
      </c>
      <c r="F280" t="s" s="10">
        <v>1783</v>
      </c>
      <c r="G280" t="s" s="7">
        <v>1784</v>
      </c>
      <c r="H280" t="s" s="7">
        <v>1785</v>
      </c>
      <c r="I280" t="str" s="8" cm="1">
        <f t="array" ref="I280">SUBSTITUTE(H280,B280,"(          )")</f>
        <v>The castle was built in the 16th (          ).</v>
      </c>
      <c r="J280" s="9" cm="1">
        <f t="array" ref="J280">SUMIF('외운 것 - 엑셀다운로드 파일(붙여넣기)'!A3:A562,A280,'외운 것 - 엑셀다운로드 파일(붙여넣기)'!D3:D562)</f>
        <v>0</v>
      </c>
      <c r="K280" s="9" cm="1">
        <f t="array" ref="K280">_xlfn.COUNTIFS('외운 것 - 엑셀다운로드 파일(붙여넣기)'!A3:A562,A280,'외운 것 - 엑셀다운로드 파일(붙여넣기)'!D3:D562,0)</f>
        <v>0</v>
      </c>
      <c r="L280" s="9" cm="1">
        <f t="array" ref="L280">IF(J280&gt;=3,_xlfn.XLOOKUP(A280,'외운 것 - 엑셀다운로드 파일(붙여넣기)'!A3:A562,'외운 것 - 엑셀다운로드 파일(붙여넣기)'!C3:C562,0,-1),0)</f>
        <v>0</v>
      </c>
    </row>
    <row r="281" ht="38.45" customHeight="1">
      <c r="A281" s="3">
        <v>280</v>
      </c>
      <c r="B281" t="s" s="4">
        <v>1787</v>
      </c>
      <c r="C281" t="s" s="5">
        <v>1768</v>
      </c>
      <c r="D281" t="s" s="5">
        <v>1769</v>
      </c>
      <c r="E281" t="s" s="5">
        <v>1788</v>
      </c>
      <c r="F281" t="s" s="10">
        <v>1789</v>
      </c>
      <c r="G281" t="s" s="7">
        <v>1790</v>
      </c>
      <c r="H281" t="s" s="7">
        <v>1791</v>
      </c>
      <c r="I281" t="str" s="8" cm="1">
        <f t="array" ref="I281">SUBSTITUTE(H281,B281,"(          )")</f>
        <v>The jury found the defendant (          ) of all charges.</v>
      </c>
      <c r="J281" s="9" cm="1">
        <f t="array" ref="J281">SUMIF('외운 것 - 엑셀다운로드 파일(붙여넣기)'!A3:A562,A281,'외운 것 - 엑셀다운로드 파일(붙여넣기)'!D3:D562)</f>
        <v>0</v>
      </c>
      <c r="K281" s="9" cm="1">
        <f t="array" ref="K281">_xlfn.COUNTIFS('외운 것 - 엑셀다운로드 파일(붙여넣기)'!A3:A562,A281,'외운 것 - 엑셀다운로드 파일(붙여넣기)'!D3:D562,0)</f>
        <v>0</v>
      </c>
      <c r="L281" s="9" cm="1">
        <f t="array" ref="L281">IF(J281&gt;=3,_xlfn.XLOOKUP(A281,'외운 것 - 엑셀다운로드 파일(붙여넣기)'!A3:A562,'외운 것 - 엑셀다운로드 파일(붙여넣기)'!C3:C562,0,-1),0)</f>
        <v>0</v>
      </c>
    </row>
    <row r="282" ht="38.45" customHeight="1">
      <c r="A282" s="3">
        <v>281</v>
      </c>
      <c r="B282" t="s" s="4">
        <v>1793</v>
      </c>
      <c r="C282" t="s" s="5">
        <v>1794</v>
      </c>
      <c r="D282" t="s" s="5">
        <v>1768</v>
      </c>
      <c r="E282" t="s" s="5">
        <v>1795</v>
      </c>
      <c r="F282" t="s" s="10">
        <v>1796</v>
      </c>
      <c r="G282" t="s" s="7">
        <v>1797</v>
      </c>
      <c r="H282" t="s" s="7">
        <v>1798</v>
      </c>
      <c r="I282" t="str" s="8" cm="1">
        <f t="array" ref="I282">SUBSTITUTE(H282,B282,"(          )")</f>
        <v>Children have a natural (          ) about the world.</v>
      </c>
      <c r="J282" s="9" cm="1">
        <f t="array" ref="J282">SUMIF('외운 것 - 엑셀다운로드 파일(붙여넣기)'!A3:A562,A282,'외운 것 - 엑셀다운로드 파일(붙여넣기)'!D3:D562)</f>
        <v>0</v>
      </c>
      <c r="K282" s="9" cm="1">
        <f t="array" ref="K282">_xlfn.COUNTIFS('외운 것 - 엑셀다운로드 파일(붙여넣기)'!A3:A562,A282,'외운 것 - 엑셀다운로드 파일(붙여넣기)'!D3:D562,0)</f>
        <v>0</v>
      </c>
      <c r="L282" s="9" cm="1">
        <f t="array" ref="L282">IF(J282&gt;=3,_xlfn.XLOOKUP(A282,'외운 것 - 엑셀다운로드 파일(붙여넣기)'!A3:A562,'외운 것 - 엑셀다운로드 파일(붙여넣기)'!C3:C562,0,-1),0)</f>
        <v>0</v>
      </c>
    </row>
    <row r="283" ht="23.45" customHeight="1">
      <c r="A283" s="3">
        <v>282</v>
      </c>
      <c r="B283" t="s" s="4">
        <v>1800</v>
      </c>
      <c r="C283" t="s" s="5">
        <v>1768</v>
      </c>
      <c r="D283" t="s" s="5">
        <v>1769</v>
      </c>
      <c r="E283" t="s" s="5">
        <v>1801</v>
      </c>
      <c r="F283" t="s" s="10">
        <v>1802</v>
      </c>
      <c r="G283" t="s" s="7">
        <v>1803</v>
      </c>
      <c r="H283" t="s" s="7">
        <v>1804</v>
      </c>
      <c r="I283" t="str" s="8" cm="1">
        <f t="array" ref="I283">SUBSTITUTE(H283,B283,"(          )")</f>
        <v>He is a (          ) man who always helps others.</v>
      </c>
      <c r="J283" s="9" cm="1">
        <f t="array" ref="J283">SUMIF('외운 것 - 엑셀다운로드 파일(붙여넣기)'!A3:A562,A283,'외운 것 - 엑셀다운로드 파일(붙여넣기)'!D3:D562)</f>
        <v>0</v>
      </c>
      <c r="K283" s="9" cm="1">
        <f t="array" ref="K283">_xlfn.COUNTIFS('외운 것 - 엑셀다운로드 파일(붙여넣기)'!A3:A562,A283,'외운 것 - 엑셀다운로드 파일(붙여넣기)'!D3:D562,0)</f>
        <v>0</v>
      </c>
      <c r="L283" s="9" cm="1">
        <f t="array" ref="L283">IF(J283&gt;=3,_xlfn.XLOOKUP(A283,'외운 것 - 엑셀다운로드 파일(붙여넣기)'!A3:A562,'외운 것 - 엑셀다운로드 파일(붙여넣기)'!C3:C562,0,-1),0)</f>
        <v>0</v>
      </c>
    </row>
    <row r="284" ht="23.45" customHeight="1">
      <c r="A284" s="3">
        <v>283</v>
      </c>
      <c r="B284" t="s" s="4">
        <v>1806</v>
      </c>
      <c r="C284" t="s" s="5">
        <v>1806</v>
      </c>
      <c r="D284" t="s" s="5">
        <v>1807</v>
      </c>
      <c r="E284" t="s" s="5">
        <v>1808</v>
      </c>
      <c r="F284" t="s" s="6">
        <v>1809</v>
      </c>
      <c r="G284" t="s" s="7">
        <v>1810</v>
      </c>
      <c r="H284" t="s" s="7">
        <v>1811</v>
      </c>
      <c r="I284" t="str" s="8" cm="1">
        <f t="array" ref="I284">SUBSTITUTE(H284,B284,"(          )")</f>
        <v>The (          ) of police announced new safety measures.</v>
      </c>
      <c r="J284" s="9" cm="1">
        <f t="array" ref="J284">SUMIF('외운 것 - 엑셀다운로드 파일(붙여넣기)'!A3:A562,A284,'외운 것 - 엑셀다운로드 파일(붙여넣기)'!D3:D562)</f>
        <v>0</v>
      </c>
      <c r="K284" s="9" cm="1">
        <f t="array" ref="K284">_xlfn.COUNTIFS('외운 것 - 엑셀다운로드 파일(붙여넣기)'!A3:A562,A284,'외운 것 - 엑셀다운로드 파일(붙여넣기)'!D3:D562,0)</f>
        <v>0</v>
      </c>
      <c r="L284" s="9" cm="1">
        <f t="array" ref="L284">IF(J284&gt;=3,_xlfn.XLOOKUP(A284,'외운 것 - 엑셀다운로드 파일(붙여넣기)'!A3:A562,'외운 것 - 엑셀다운로드 파일(붙여넣기)'!C3:C562,0,-1),0)</f>
        <v>0</v>
      </c>
    </row>
    <row r="285" ht="38.45" customHeight="1">
      <c r="A285" s="3">
        <v>284</v>
      </c>
      <c r="B285" t="s" s="4">
        <v>1813</v>
      </c>
      <c r="C285" t="s" s="5">
        <v>1806</v>
      </c>
      <c r="D285" t="s" s="5">
        <v>1807</v>
      </c>
      <c r="E285" t="s" s="5">
        <v>1814</v>
      </c>
      <c r="F285" t="s" s="10">
        <v>1815</v>
      </c>
      <c r="G285" t="s" s="7">
        <v>1816</v>
      </c>
      <c r="H285" t="s" s="7">
        <v>1817</v>
      </c>
      <c r="I285" t="str" s="8" cm="1">
        <f t="array" ref="I285">SUBSTITUTE(H285,B285,"(          )")</f>
        <v>The restaurant hired a French (          ).</v>
      </c>
      <c r="J285" s="9" cm="1">
        <f t="array" ref="J285">SUMIF('외운 것 - 엑셀다운로드 파일(붙여넣기)'!A3:A562,A285,'외운 것 - 엑셀다운로드 파일(붙여넣기)'!D3:D562)</f>
        <v>0</v>
      </c>
      <c r="K285" s="9" cm="1">
        <f t="array" ref="K285">_xlfn.COUNTIFS('외운 것 - 엑셀다운로드 파일(붙여넣기)'!A3:A562,A285,'외운 것 - 엑셀다운로드 파일(붙여넣기)'!D3:D562,0)</f>
        <v>0</v>
      </c>
      <c r="L285" s="9" cm="1">
        <f t="array" ref="L285">IF(J285&gt;=3,_xlfn.XLOOKUP(A285,'외운 것 - 엑셀다운로드 파일(붙여넣기)'!A3:A562,'외운 것 - 엑셀다운로드 파일(붙여넣기)'!C3:C562,0,-1),0)</f>
        <v>0</v>
      </c>
    </row>
    <row r="286" ht="38.45" customHeight="1">
      <c r="A286" s="3">
        <v>285</v>
      </c>
      <c r="B286" t="s" s="4">
        <v>1819</v>
      </c>
      <c r="C286" t="s" s="5">
        <v>1806</v>
      </c>
      <c r="D286" t="s" s="5">
        <v>1807</v>
      </c>
      <c r="E286" t="s" s="5">
        <v>1820</v>
      </c>
      <c r="F286" t="s" s="10">
        <v>1821</v>
      </c>
      <c r="G286" t="s" s="7">
        <v>1822</v>
      </c>
      <c r="H286" t="s" s="7">
        <v>1823</v>
      </c>
      <c r="I286" t="str" s="8" cm="1">
        <f t="array" ref="I286">SUBSTITUTE(H286,B286,"(          )")</f>
        <v>The children were full of (          ) during the sleepover.</v>
      </c>
      <c r="J286" s="9" cm="1">
        <f t="array" ref="J286">SUMIF('외운 것 - 엑셀다운로드 파일(붙여넣기)'!A3:A562,A286,'외운 것 - 엑셀다운로드 파일(붙여넣기)'!D3:D562)</f>
        <v>0</v>
      </c>
      <c r="K286" s="9" cm="1">
        <f t="array" ref="K286">_xlfn.COUNTIFS('외운 것 - 엑셀다운로드 파일(붙여넣기)'!A3:A562,A286,'외운 것 - 엑셀다운로드 파일(붙여넣기)'!D3:D562,0)</f>
        <v>0</v>
      </c>
      <c r="L286" s="9" cm="1">
        <f t="array" ref="L286">IF(J286&gt;=3,_xlfn.XLOOKUP(A286,'외운 것 - 엑셀다운로드 파일(붙여넣기)'!A3:A562,'외운 것 - 엑셀다운로드 파일(붙여넣기)'!C3:C562,0,-1),0)</f>
        <v>0</v>
      </c>
    </row>
    <row r="287" ht="38.45" customHeight="1">
      <c r="A287" s="3">
        <v>286</v>
      </c>
      <c r="B287" t="s" s="4">
        <v>1825</v>
      </c>
      <c r="C287" t="s" s="5">
        <v>1806</v>
      </c>
      <c r="D287" t="s" s="5">
        <v>1807</v>
      </c>
      <c r="E287" t="s" s="5">
        <v>1826</v>
      </c>
      <c r="F287" t="s" s="10">
        <v>1827</v>
      </c>
      <c r="G287" t="s" s="7">
        <v>1828</v>
      </c>
      <c r="H287" t="s" s="7">
        <v>1829</v>
      </c>
      <c r="I287" t="str" s="8" cm="1">
        <f t="array" ref="I287">SUBSTITUTE(H287,B287,"(          )")</f>
        <v>You can (          ) your goals with determination.</v>
      </c>
      <c r="J287" s="9" cm="1">
        <f t="array" ref="J287">SUMIF('외운 것 - 엑셀다운로드 파일(붙여넣기)'!A3:A562,A287,'외운 것 - 엑셀다운로드 파일(붙여넣기)'!D3:D562)</f>
        <v>0</v>
      </c>
      <c r="K287" s="9" cm="1">
        <f t="array" ref="K287">_xlfn.COUNTIFS('외운 것 - 엑셀다운로드 파일(붙여넣기)'!A3:A562,A287,'외운 것 - 엑셀다운로드 파일(붙여넣기)'!D3:D562,0)</f>
        <v>0</v>
      </c>
      <c r="L287" s="9" cm="1">
        <f t="array" ref="L287">IF(J287&gt;=3,_xlfn.XLOOKUP(A287,'외운 것 - 엑셀다운로드 파일(붙여넣기)'!A3:A562,'외운 것 - 엑셀다운로드 파일(붙여넣기)'!C3:C562,0,-1),0)</f>
        <v>0</v>
      </c>
    </row>
    <row r="288" ht="38.45" customHeight="1">
      <c r="A288" s="3">
        <v>287</v>
      </c>
      <c r="B288" t="s" s="4">
        <v>1831</v>
      </c>
      <c r="C288" t="s" s="5">
        <v>1806</v>
      </c>
      <c r="D288" t="s" s="5">
        <v>1807</v>
      </c>
      <c r="E288" t="s" s="5">
        <v>1832</v>
      </c>
      <c r="F288" t="s" s="10">
        <v>1833</v>
      </c>
      <c r="G288" t="s" s="7">
        <v>1834</v>
      </c>
      <c r="H288" t="s" s="7">
        <v>1835</v>
      </c>
      <c r="I288" t="str" s="8" cm="1">
        <f t="array" ref="I288">SUBSTITUTE(H288,B288,"(          )")</f>
        <v>He offered her a (          ) to dry her tears.</v>
      </c>
      <c r="J288" s="9" cm="1">
        <f t="array" ref="J288">SUMIF('외운 것 - 엑셀다운로드 파일(붙여넣기)'!A3:A562,A288,'외운 것 - 엑셀다운로드 파일(붙여넣기)'!D3:D562)</f>
        <v>0</v>
      </c>
      <c r="K288" s="9" cm="1">
        <f t="array" ref="K288">_xlfn.COUNTIFS('외운 것 - 엑셀다운로드 파일(붙여넣기)'!A3:A562,A288,'외운 것 - 엑셀다운로드 파일(붙여넣기)'!D3:D562,0)</f>
        <v>0</v>
      </c>
      <c r="L288" s="9" cm="1">
        <f t="array" ref="L288">IF(J288&gt;=3,_xlfn.XLOOKUP(A288,'외운 것 - 엑셀다운로드 파일(붙여넣기)'!A3:A562,'외운 것 - 엑셀다운로드 파일(붙여넣기)'!C3:C562,0,-1),0)</f>
        <v>0</v>
      </c>
    </row>
    <row r="289" ht="23.45" customHeight="1">
      <c r="A289" s="3">
        <v>288</v>
      </c>
      <c r="B289" t="s" s="4">
        <v>1837</v>
      </c>
      <c r="C289" t="s" s="5">
        <v>1838</v>
      </c>
      <c r="D289" t="s" s="5">
        <v>1839</v>
      </c>
      <c r="E289" t="s" s="5">
        <v>1840</v>
      </c>
      <c r="F289" t="s" s="10">
        <v>1841</v>
      </c>
      <c r="G289" t="s" s="7">
        <v>1842</v>
      </c>
      <c r="H289" t="s" s="7">
        <v>1843</v>
      </c>
      <c r="I289" t="str" s="8" cm="1">
        <f t="array" ref="I289">SUBSTITUTE(H289,B289,"(          )")</f>
        <v>We need to (          ) on a location for the conference.</v>
      </c>
      <c r="J289" s="9" cm="1">
        <f t="array" ref="J289">SUMIF('외운 것 - 엑셀다운로드 파일(붙여넣기)'!A3:A562,A289,'외운 것 - 엑셀다운로드 파일(붙여넣기)'!D3:D562)</f>
        <v>0</v>
      </c>
      <c r="K289" s="9" cm="1">
        <f t="array" ref="K289">_xlfn.COUNTIFS('외운 것 - 엑셀다운로드 파일(붙여넣기)'!A3:A562,A289,'외운 것 - 엑셀다운로드 파일(붙여넣기)'!D3:D562,0)</f>
        <v>0</v>
      </c>
      <c r="L289" s="9" cm="1">
        <f t="array" ref="L289">IF(J289&gt;=3,_xlfn.XLOOKUP(A289,'외운 것 - 엑셀다운로드 파일(붙여넣기)'!A3:A562,'외운 것 - 엑셀다운로드 파일(붙여넣기)'!C3:C562,0,-1),0)</f>
        <v>0</v>
      </c>
    </row>
    <row r="290" ht="36.4" customHeight="1">
      <c r="A290" s="3">
        <v>289</v>
      </c>
      <c r="B290" t="s" s="4">
        <v>1845</v>
      </c>
      <c r="C290" t="s" s="5">
        <v>1846</v>
      </c>
      <c r="D290" t="s" s="5">
        <v>1838</v>
      </c>
      <c r="E290" t="s" s="5">
        <v>1847</v>
      </c>
      <c r="F290" t="s" s="10">
        <v>1848</v>
      </c>
      <c r="G290" t="s" s="7">
        <v>1849</v>
      </c>
      <c r="H290" t="s" s="7">
        <v>1850</v>
      </c>
      <c r="I290" t="str" s="8" cm="1">
        <f t="array" ref="I290">SUBSTITUTE(H290,B290,"(          )")</f>
        <v>She has a (          ) advantage in the competition.</v>
      </c>
      <c r="J290" s="9" cm="1">
        <f t="array" ref="J290">SUMIF('외운 것 - 엑셀다운로드 파일(붙여넣기)'!A3:A562,A290,'외운 것 - 엑셀다운로드 파일(붙여넣기)'!D3:D562)</f>
        <v>0</v>
      </c>
      <c r="K290" s="9" cm="1">
        <f t="array" ref="K290">_xlfn.COUNTIFS('외운 것 - 엑셀다운로드 파일(붙여넣기)'!A3:A562,A290,'외운 것 - 엑셀다운로드 파일(붙여넣기)'!D3:D562,0)</f>
        <v>0</v>
      </c>
      <c r="L290" s="9" cm="1">
        <f t="array" ref="L290">IF(J290&gt;=3,_xlfn.XLOOKUP(A290,'외운 것 - 엑셀다운로드 파일(붙여넣기)'!A3:A562,'외운 것 - 엑셀다운로드 파일(붙여넣기)'!C3:C562,0,-1),0)</f>
        <v>0</v>
      </c>
    </row>
    <row r="291" ht="38.45" customHeight="1">
      <c r="A291" s="3">
        <v>290</v>
      </c>
      <c r="B291" t="s" s="4">
        <v>1852</v>
      </c>
      <c r="C291" t="s" s="5">
        <v>1846</v>
      </c>
      <c r="D291" t="s" s="5">
        <v>1838</v>
      </c>
      <c r="E291" t="s" s="5">
        <v>1853</v>
      </c>
      <c r="F291" t="s" s="10">
        <v>1854</v>
      </c>
      <c r="G291" t="s" s="7">
        <v>1855</v>
      </c>
      <c r="H291" t="s" s="7">
        <v>1856</v>
      </c>
      <c r="I291" t="str" s="8" cm="1">
        <f t="array" ref="I291">SUBSTITUTE(H291,B291,"(          )")</f>
        <v>His (          ) leadership helped during the crisis.</v>
      </c>
      <c r="J291" s="9" cm="1">
        <f t="array" ref="J291">SUMIF('외운 것 - 엑셀다운로드 파일(붙여넣기)'!A3:A562,A291,'외운 것 - 엑셀다운로드 파일(붙여넣기)'!D3:D562)</f>
        <v>0</v>
      </c>
      <c r="K291" s="9" cm="1">
        <f t="array" ref="K291">_xlfn.COUNTIFS('외운 것 - 엑셀다운로드 파일(붙여넣기)'!A3:A562,A291,'외운 것 - 엑셀다운로드 파일(붙여넣기)'!D3:D562,0)</f>
        <v>0</v>
      </c>
      <c r="L291" s="9" cm="1">
        <f t="array" ref="L291">IF(J291&gt;=3,_xlfn.XLOOKUP(A291,'외운 것 - 엑셀다운로드 파일(붙여넣기)'!A3:A562,'외운 것 - 엑셀다운로드 파일(붙여넣기)'!C3:C562,0,-1),0)</f>
        <v>0</v>
      </c>
    </row>
    <row r="292" ht="23.45" customHeight="1">
      <c r="A292" s="3">
        <v>291</v>
      </c>
      <c r="B292" t="s" s="4">
        <v>1858</v>
      </c>
      <c r="C292" t="s" s="5">
        <v>1838</v>
      </c>
      <c r="D292" t="s" s="5">
        <v>1839</v>
      </c>
      <c r="E292" t="s" s="5">
        <v>1859</v>
      </c>
      <c r="F292" t="s" s="10">
        <v>1860</v>
      </c>
      <c r="G292" t="s" s="7">
        <v>1861</v>
      </c>
      <c r="H292" t="s" s="7">
        <v>1862</v>
      </c>
      <c r="I292" t="str" s="8" cm="1">
        <f t="array" ref="I292">SUBSTITUTE(H292,B292,"(          )")</f>
        <v>The bridge has barriers to prevent (          ) attempts.</v>
      </c>
      <c r="J292" s="9" cm="1">
        <f t="array" ref="J292">SUMIF('외운 것 - 엑셀다운로드 파일(붙여넣기)'!A3:A562,A292,'외운 것 - 엑셀다운로드 파일(붙여넣기)'!D3:D562)</f>
        <v>0</v>
      </c>
      <c r="K292" s="9" cm="1">
        <f t="array" ref="K292">_xlfn.COUNTIFS('외운 것 - 엑셀다운로드 파일(붙여넣기)'!A3:A562,A292,'외운 것 - 엑셀다운로드 파일(붙여넣기)'!D3:D562,0)</f>
        <v>0</v>
      </c>
      <c r="L292" s="9" cm="1">
        <f t="array" ref="L292">IF(J292&gt;=3,_xlfn.XLOOKUP(A292,'외운 것 - 엑셀다운로드 파일(붙여넣기)'!A3:A562,'외운 것 - 엑셀다운로드 파일(붙여넣기)'!C3:C562,0,-1),0)</f>
        <v>0</v>
      </c>
    </row>
    <row r="293" ht="23.45" customHeight="1">
      <c r="A293" s="3">
        <v>292</v>
      </c>
      <c r="B293" t="s" s="4">
        <v>1864</v>
      </c>
      <c r="C293" t="s" s="5">
        <v>1838</v>
      </c>
      <c r="D293" t="s" s="5">
        <v>1839</v>
      </c>
      <c r="E293" t="s" s="5">
        <v>1865</v>
      </c>
      <c r="F293" t="s" s="10">
        <v>1866</v>
      </c>
      <c r="G293" t="s" s="7">
        <v>1867</v>
      </c>
      <c r="H293" t="s" s="7">
        <v>1868</v>
      </c>
      <c r="I293" t="str" s="8" cm="1">
        <f t="array" ref="I293">SUBSTITUTE(H293,B293,"(          )")</f>
        <v>Use (          ) carefully around pets and children.</v>
      </c>
      <c r="J293" s="9" cm="1">
        <f t="array" ref="J293">SUMIF('외운 것 - 엑셀다운로드 파일(붙여넣기)'!A3:A562,A293,'외운 것 - 엑셀다운로드 파일(붙여넣기)'!D3:D562)</f>
        <v>0</v>
      </c>
      <c r="K293" s="9" cm="1">
        <f t="array" ref="K293">_xlfn.COUNTIFS('외운 것 - 엑셀다운로드 파일(붙여넣기)'!A3:A562,A293,'외운 것 - 엑셀다운로드 파일(붙여넣기)'!D3:D562,0)</f>
        <v>0</v>
      </c>
      <c r="L293" s="9" cm="1">
        <f t="array" ref="L293">IF(J293&gt;=3,_xlfn.XLOOKUP(A293,'외운 것 - 엑셀다운로드 파일(붙여넣기)'!A3:A562,'외운 것 - 엑셀다운로드 파일(붙여넣기)'!C3:C562,0,-1),0)</f>
        <v>0</v>
      </c>
    </row>
    <row r="294" ht="23.45" customHeight="1">
      <c r="A294" s="3">
        <v>293</v>
      </c>
      <c r="B294" t="s" s="4">
        <v>1870</v>
      </c>
      <c r="C294" t="s" s="5">
        <v>1838</v>
      </c>
      <c r="D294" t="s" s="5">
        <v>1839</v>
      </c>
      <c r="E294" t="s" s="5">
        <v>1871</v>
      </c>
      <c r="F294" t="s" s="10">
        <v>1872</v>
      </c>
      <c r="G294" t="s" s="7">
        <v>1873</v>
      </c>
      <c r="H294" t="s" s="7">
        <v>1874</v>
      </c>
      <c r="I294" t="str" s="8" cm="1">
        <f t="array" ref="I294">SUBSTITUTE(H294,B294,"(          )")</f>
        <v>Organic farmers avoid using chemical (          ).</v>
      </c>
      <c r="J294" s="9" cm="1">
        <f t="array" ref="J294">SUMIF('외운 것 - 엑셀다운로드 파일(붙여넣기)'!A3:A562,A294,'외운 것 - 엑셀다운로드 파일(붙여넣기)'!D3:D562)</f>
        <v>0</v>
      </c>
      <c r="K294" s="9" cm="1">
        <f t="array" ref="K294">_xlfn.COUNTIFS('외운 것 - 엑셀다운로드 파일(붙여넣기)'!A3:A562,A294,'외운 것 - 엑셀다운로드 파일(붙여넣기)'!D3:D562,0)</f>
        <v>0</v>
      </c>
      <c r="L294" s="9" cm="1">
        <f t="array" ref="L294">IF(J294&gt;=3,_xlfn.XLOOKUP(A294,'외운 것 - 엑셀다운로드 파일(붙여넣기)'!A3:A562,'외운 것 - 엑셀다운로드 파일(붙여넣기)'!C3:C562,0,-1),0)</f>
        <v>0</v>
      </c>
    </row>
    <row r="295" ht="23.45" customHeight="1">
      <c r="A295" s="3">
        <v>294</v>
      </c>
      <c r="B295" t="s" s="4">
        <v>1876</v>
      </c>
      <c r="C295" t="s" s="5">
        <v>1877</v>
      </c>
      <c r="D295" t="s" s="5">
        <v>1839</v>
      </c>
      <c r="E295" t="s" s="5">
        <v>1878</v>
      </c>
      <c r="F295" t="s" s="10">
        <v>1879</v>
      </c>
      <c r="G295" t="s" s="7">
        <v>1880</v>
      </c>
      <c r="H295" t="s" s="7">
        <v>1881</v>
      </c>
      <c r="I295" t="str" s="8" cm="1">
        <f t="array" ref="I295">SUBSTITUTE(H295,B295,"(          )")</f>
        <v>Use (          ) to cut along the dotted line.</v>
      </c>
      <c r="J295" s="9" cm="1">
        <f t="array" ref="J295">SUMIF('외운 것 - 엑셀다운로드 파일(붙여넣기)'!A3:A562,A295,'외운 것 - 엑셀다운로드 파일(붙여넣기)'!D3:D562)</f>
        <v>0</v>
      </c>
      <c r="K295" s="9" cm="1">
        <f t="array" ref="K295">_xlfn.COUNTIFS('외운 것 - 엑셀다운로드 파일(붙여넣기)'!A3:A562,A295,'외운 것 - 엑셀다운로드 파일(붙여넣기)'!D3:D562,0)</f>
        <v>0</v>
      </c>
      <c r="L295" s="9" cm="1">
        <f t="array" ref="L295">IF(J295&gt;=3,_xlfn.XLOOKUP(A295,'외운 것 - 엑셀다운로드 파일(붙여넣기)'!A3:A562,'외운 것 - 엑셀다운로드 파일(붙여넣기)'!C3:C562,0,-1),0)</f>
        <v>0</v>
      </c>
    </row>
    <row r="296" ht="23.45" customHeight="1">
      <c r="A296" s="3">
        <v>295</v>
      </c>
      <c r="B296" t="s" s="4">
        <v>1883</v>
      </c>
      <c r="C296" t="s" s="5">
        <v>1877</v>
      </c>
      <c r="D296" t="s" s="5">
        <v>1839</v>
      </c>
      <c r="E296" t="s" s="5">
        <v>1884</v>
      </c>
      <c r="F296" t="s" s="10">
        <v>1885</v>
      </c>
      <c r="G296" t="s" s="7">
        <v>1886</v>
      </c>
      <c r="H296" t="s" s="7">
        <v>1887</v>
      </c>
      <c r="I296" t="str" s="8" cm="1">
        <f t="array" ref="I296">SUBSTITUTE(H296,B296,"(          )")</f>
        <v>His (          ) explanation was easy to understand.</v>
      </c>
      <c r="J296" s="9" cm="1">
        <f t="array" ref="J296">SUMIF('외운 것 - 엑셀다운로드 파일(붙여넣기)'!A3:A562,A296,'외운 것 - 엑셀다운로드 파일(붙여넣기)'!D3:D562)</f>
        <v>0</v>
      </c>
      <c r="K296" s="9" cm="1">
        <f t="array" ref="K296">_xlfn.COUNTIFS('외운 것 - 엑셀다운로드 파일(붙여넣기)'!A3:A562,A296,'외운 것 - 엑셀다운로드 파일(붙여넣기)'!D3:D562,0)</f>
        <v>0</v>
      </c>
      <c r="L296" s="9" cm="1">
        <f t="array" ref="L296">IF(J296&gt;=3,_xlfn.XLOOKUP(A296,'외운 것 - 엑셀다운로드 파일(붙여넣기)'!A3:A562,'외운 것 - 엑셀다운로드 파일(붙여넣기)'!C3:C562,0,-1),0)</f>
        <v>0</v>
      </c>
    </row>
    <row r="297" ht="23.45" customHeight="1">
      <c r="A297" s="3">
        <v>296</v>
      </c>
      <c r="B297" t="s" s="4">
        <v>1889</v>
      </c>
      <c r="C297" t="s" s="5">
        <v>1877</v>
      </c>
      <c r="D297" t="s" s="5">
        <v>1839</v>
      </c>
      <c r="E297" t="s" s="5">
        <v>1890</v>
      </c>
      <c r="F297" t="s" s="10">
        <v>1891</v>
      </c>
      <c r="G297" t="s" s="7">
        <v>1892</v>
      </c>
      <c r="H297" t="s" s="7">
        <v>1893</v>
      </c>
      <c r="I297" t="str" s="8" cm="1">
        <f t="array" ref="I297">SUBSTITUTE(H297,B297,"(          )")</f>
        <v>The experiment requires (          ) measurements.</v>
      </c>
      <c r="J297" s="9" cm="1">
        <f t="array" ref="J297">SUMIF('외운 것 - 엑셀다운로드 파일(붙여넣기)'!A3:A562,A297,'외운 것 - 엑셀다운로드 파일(붙여넣기)'!D3:D562)</f>
        <v>0</v>
      </c>
      <c r="K297" s="9" cm="1">
        <f t="array" ref="K297">_xlfn.COUNTIFS('외운 것 - 엑셀다운로드 파일(붙여넣기)'!A3:A562,A297,'외운 것 - 엑셀다운로드 파일(붙여넣기)'!D3:D562,0)</f>
        <v>0</v>
      </c>
      <c r="L297" s="9" cm="1">
        <f t="array" ref="L297">IF(J297&gt;=3,_xlfn.XLOOKUP(A297,'외운 것 - 엑셀다운로드 파일(붙여넣기)'!A3:A562,'외운 것 - 엑셀다운로드 파일(붙여넣기)'!C3:C562,0,-1),0)</f>
        <v>0</v>
      </c>
    </row>
    <row r="298" ht="38.45" customHeight="1">
      <c r="A298" s="3">
        <v>297</v>
      </c>
      <c r="B298" t="s" s="4">
        <v>1895</v>
      </c>
      <c r="C298" t="s" s="5">
        <v>1877</v>
      </c>
      <c r="D298" t="s" s="5">
        <v>1839</v>
      </c>
      <c r="E298" t="s" s="5">
        <v>1896</v>
      </c>
      <c r="F298" t="s" s="10">
        <v>1897</v>
      </c>
      <c r="G298" t="s" s="7">
        <v>1898</v>
      </c>
      <c r="H298" t="s" s="7">
        <v>1899</v>
      </c>
      <c r="I298" t="str" s="8" cm="1">
        <f t="array" ref="I298">SUBSTITUTE(H298,B298,"(          )")</f>
        <v>Regular (          ) is important for good health.</v>
      </c>
      <c r="J298" s="9" cm="1">
        <f t="array" ref="J298">SUMIF('외운 것 - 엑셀다운로드 파일(붙여넣기)'!A3:A562,A298,'외운 것 - 엑셀다운로드 파일(붙여넣기)'!D3:D562)</f>
        <v>0</v>
      </c>
      <c r="K298" s="9" cm="1">
        <f t="array" ref="K298">_xlfn.COUNTIFS('외운 것 - 엑셀다운로드 파일(붙여넣기)'!A3:A562,A298,'외운 것 - 엑셀다운로드 파일(붙여넣기)'!D3:D562,0)</f>
        <v>0</v>
      </c>
      <c r="L298" s="9" cm="1">
        <f t="array" ref="L298">IF(J298&gt;=3,_xlfn.XLOOKUP(A298,'외운 것 - 엑셀다운로드 파일(붙여넣기)'!A3:A562,'외운 것 - 엑셀다운로드 파일(붙여넣기)'!C3:C562,0,-1),0)</f>
        <v>0</v>
      </c>
    </row>
    <row r="299" ht="38.45" customHeight="1">
      <c r="A299" s="3">
        <v>298</v>
      </c>
      <c r="B299" t="s" s="4">
        <v>1901</v>
      </c>
      <c r="C299" t="s" s="5">
        <v>1901</v>
      </c>
      <c r="D299" t="s" s="5">
        <v>1902</v>
      </c>
      <c r="E299" t="s" s="5">
        <v>1903</v>
      </c>
      <c r="F299" t="s" s="6">
        <v>1904</v>
      </c>
      <c r="G299" t="s" s="7">
        <v>1905</v>
      </c>
      <c r="H299" t="s" s="7">
        <v>1906</v>
      </c>
      <c r="I299" t="str" s="8" cm="1">
        <f t="array" ref="I299">SUBSTITUTE(H299,B299,"(          )")</f>
        <v>Always (          ) your sources in a research paper.</v>
      </c>
      <c r="J299" s="9" cm="1">
        <f t="array" ref="J299">SUMIF('외운 것 - 엑셀다운로드 파일(붙여넣기)'!A3:A562,A299,'외운 것 - 엑셀다운로드 파일(붙여넣기)'!D3:D562)</f>
        <v>0</v>
      </c>
      <c r="K299" s="9" cm="1">
        <f t="array" ref="K299">_xlfn.COUNTIFS('외운 것 - 엑셀다운로드 파일(붙여넣기)'!A3:A562,A299,'외운 것 - 엑셀다운로드 파일(붙여넣기)'!D3:D562,0)</f>
        <v>0</v>
      </c>
      <c r="L299" s="9" cm="1">
        <f t="array" ref="L299">IF(J299&gt;=3,_xlfn.XLOOKUP(A299,'외운 것 - 엑셀다운로드 파일(붙여넣기)'!A3:A562,'외운 것 - 엑셀다운로드 파일(붙여넣기)'!C3:C562,0,-1),0)</f>
        <v>0</v>
      </c>
    </row>
    <row r="300" ht="23.45" customHeight="1">
      <c r="A300" s="3">
        <v>299</v>
      </c>
      <c r="B300" t="s" s="4">
        <v>1908</v>
      </c>
      <c r="C300" t="s" s="5">
        <v>1901</v>
      </c>
      <c r="D300" t="s" s="5">
        <v>1902</v>
      </c>
      <c r="E300" t="s" s="5">
        <v>1909</v>
      </c>
      <c r="F300" t="s" s="10">
        <v>1910</v>
      </c>
      <c r="G300" t="s" s="7">
        <v>1911</v>
      </c>
      <c r="H300" t="s" s="7">
        <v>1912</v>
      </c>
      <c r="I300" t="str" s="8" cm="1">
        <f t="array" ref="I300">SUBSTITUTE(H300,B300,"(          )")</f>
        <v>My daughter has a piano (          ) next Saturday.</v>
      </c>
      <c r="J300" s="9" cm="1">
        <f t="array" ref="J300">SUMIF('외운 것 - 엑셀다운로드 파일(붙여넣기)'!A3:A562,A300,'외운 것 - 엑셀다운로드 파일(붙여넣기)'!D3:D562)</f>
        <v>0</v>
      </c>
      <c r="K300" s="9" cm="1">
        <f t="array" ref="K300">_xlfn.COUNTIFS('외운 것 - 엑셀다운로드 파일(붙여넣기)'!A3:A562,A300,'외운 것 - 엑셀다운로드 파일(붙여넣기)'!D3:D562,0)</f>
        <v>0</v>
      </c>
      <c r="L300" s="9" cm="1">
        <f t="array" ref="L300">IF(J300&gt;=3,_xlfn.XLOOKUP(A300,'외운 것 - 엑셀다운로드 파일(붙여넣기)'!A3:A562,'외운 것 - 엑셀다운로드 파일(붙여넣기)'!C3:C562,0,-1),0)</f>
        <v>0</v>
      </c>
    </row>
    <row r="301" ht="23.45" customHeight="1">
      <c r="A301" s="3">
        <v>300</v>
      </c>
      <c r="B301" t="s" s="4">
        <v>1914</v>
      </c>
      <c r="C301" t="s" s="5">
        <v>1901</v>
      </c>
      <c r="D301" t="s" s="5">
        <v>1902</v>
      </c>
      <c r="E301" t="s" s="5">
        <v>1915</v>
      </c>
      <c r="F301" t="s" s="10">
        <v>1916</v>
      </c>
      <c r="G301" t="s" s="7">
        <v>1917</v>
      </c>
      <c r="H301" t="s" s="7">
        <v>1918</v>
      </c>
      <c r="I301" t="str" s="8" cm="1">
        <f t="array" ref="I301">SUBSTITUTE(H301,B301,"(          )")</f>
        <v>His speech might (          ) violence among the protesters.</v>
      </c>
      <c r="J301" s="9" cm="1">
        <f t="array" ref="J301">SUMIF('외운 것 - 엑셀다운로드 파일(붙여넣기)'!A3:A562,A301,'외운 것 - 엑셀다운로드 파일(붙여넣기)'!D3:D562)</f>
        <v>0</v>
      </c>
      <c r="K301" s="9" cm="1">
        <f t="array" ref="K301">_xlfn.COUNTIFS('외운 것 - 엑셀다운로드 파일(붙여넣기)'!A3:A562,A301,'외운 것 - 엑셀다운로드 파일(붙여넣기)'!D3:D562,0)</f>
        <v>0</v>
      </c>
      <c r="L301" s="9" cm="1">
        <f t="array" ref="L301">IF(J301&gt;=3,_xlfn.XLOOKUP(A301,'외운 것 - 엑셀다운로드 파일(붙여넣기)'!A3:A562,'외운 것 - 엑셀다운로드 파일(붙여넣기)'!C3:C562,0,-1),0)</f>
        <v>0</v>
      </c>
    </row>
    <row r="302" ht="23.45" customHeight="1">
      <c r="A302" s="3">
        <v>301</v>
      </c>
      <c r="B302" t="s" s="4">
        <v>1920</v>
      </c>
      <c r="C302" t="s" s="5">
        <v>1901</v>
      </c>
      <c r="D302" t="s" s="5">
        <v>1902</v>
      </c>
      <c r="E302" t="s" s="5">
        <v>1921</v>
      </c>
      <c r="F302" t="s" s="10">
        <v>1922</v>
      </c>
      <c r="G302" t="s" s="7">
        <v>1923</v>
      </c>
      <c r="H302" t="s" s="7">
        <v>1924</v>
      </c>
      <c r="I302" t="str" s="8" cm="1">
        <f t="array" ref="I302">SUBSTITUTE(H302,B302,"(          )")</f>
        <v>The news about the school trip will (          ) the children.</v>
      </c>
      <c r="J302" s="9" cm="1">
        <f t="array" ref="J302">SUMIF('외운 것 - 엑셀다운로드 파일(붙여넣기)'!A3:A562,A302,'외운 것 - 엑셀다운로드 파일(붙여넣기)'!D3:D562)</f>
        <v>0</v>
      </c>
      <c r="K302" s="9" cm="1">
        <f t="array" ref="K302">_xlfn.COUNTIFS('외운 것 - 엑셀다운로드 파일(붙여넣기)'!A3:A562,A302,'외운 것 - 엑셀다운로드 파일(붙여넣기)'!D3:D562,0)</f>
        <v>0</v>
      </c>
      <c r="L302" s="9" cm="1">
        <f t="array" ref="L302">IF(J302&gt;=3,_xlfn.XLOOKUP(A302,'외운 것 - 엑셀다운로드 파일(붙여넣기)'!A3:A562,'외운 것 - 엑셀다운로드 파일(붙여넣기)'!C3:C562,0,-1),0)</f>
        <v>0</v>
      </c>
    </row>
    <row r="303" ht="23.45" customHeight="1">
      <c r="A303" s="3">
        <v>302</v>
      </c>
      <c r="B303" t="s" s="4">
        <v>1926</v>
      </c>
      <c r="C303" t="s" s="5">
        <v>1927</v>
      </c>
      <c r="D303" t="s" s="5">
        <v>1928</v>
      </c>
      <c r="E303" t="s" s="5">
        <v>1929</v>
      </c>
      <c r="F303" t="s" s="10">
        <v>1930</v>
      </c>
      <c r="G303" t="s" s="7">
        <v>1931</v>
      </c>
      <c r="H303" t="s" s="7">
        <v>1932</v>
      </c>
      <c r="I303" t="str" s="8" cm="1">
        <f t="array" ref="I303">SUBSTITUTE(H303,B303,"(          )")</f>
        <v>The artist sculpted a beautiful vase from (          ).</v>
      </c>
      <c r="J303" s="9" cm="1">
        <f t="array" ref="J303">SUMIF('외운 것 - 엑셀다운로드 파일(붙여넣기)'!A3:A562,A303,'외운 것 - 엑셀다운로드 파일(붙여넣기)'!D3:D562)</f>
        <v>0</v>
      </c>
      <c r="K303" s="9" cm="1">
        <f t="array" ref="K303">_xlfn.COUNTIFS('외운 것 - 엑셀다운로드 파일(붙여넣기)'!A3:A562,A303,'외운 것 - 엑셀다운로드 파일(붙여넣기)'!D3:D562,0)</f>
        <v>0</v>
      </c>
      <c r="L303" s="9" cm="1">
        <f t="array" ref="L303">IF(J303&gt;=3,_xlfn.XLOOKUP(A303,'외운 것 - 엑셀다운로드 파일(붙여넣기)'!A3:A562,'외운 것 - 엑셀다운로드 파일(붙여넣기)'!C3:C562,0,-1),0)</f>
        <v>0</v>
      </c>
    </row>
    <row r="304" ht="23.45" customHeight="1">
      <c r="A304" s="3">
        <v>303</v>
      </c>
      <c r="B304" t="s" s="4">
        <v>1934</v>
      </c>
      <c r="C304" t="s" s="5">
        <v>1927</v>
      </c>
      <c r="D304" t="s" s="5">
        <v>1928</v>
      </c>
      <c r="E304" t="s" s="5">
        <v>1935</v>
      </c>
      <c r="F304" t="s" s="10">
        <v>1936</v>
      </c>
      <c r="G304" t="s" s="7">
        <v>1937</v>
      </c>
      <c r="H304" t="s" s="7">
        <v>1938</v>
      </c>
      <c r="I304" t="str" s="8" cm="1">
        <f t="array" ref="I304">SUBSTITUTE(H304,B304,"(          )")</f>
        <v>The Scottish (          ) has its own tartan pattern.</v>
      </c>
      <c r="J304" s="9" cm="1">
        <f t="array" ref="J304">SUMIF('외운 것 - 엑셀다운로드 파일(붙여넣기)'!A3:A562,A304,'외운 것 - 엑셀다운로드 파일(붙여넣기)'!D3:D562)</f>
        <v>0</v>
      </c>
      <c r="K304" s="9" cm="1">
        <f t="array" ref="K304">_xlfn.COUNTIFS('외운 것 - 엑셀다운로드 파일(붙여넣기)'!A3:A562,A304,'외운 것 - 엑셀다운로드 파일(붙여넣기)'!D3:D562,0)</f>
        <v>0</v>
      </c>
      <c r="L304" s="9" cm="1">
        <f t="array" ref="L304">IF(J304&gt;=3,_xlfn.XLOOKUP(A304,'외운 것 - 엑셀다운로드 파일(붙여넣기)'!A3:A562,'외운 것 - 엑셀다운로드 파일(붙여넣기)'!C3:C562,0,-1),0)</f>
        <v>0</v>
      </c>
    </row>
    <row r="305" ht="38.45" customHeight="1">
      <c r="A305" s="3">
        <v>304</v>
      </c>
      <c r="B305" t="s" s="4">
        <v>1940</v>
      </c>
      <c r="C305" t="s" s="5">
        <v>1927</v>
      </c>
      <c r="D305" t="s" s="5">
        <v>1928</v>
      </c>
      <c r="E305" t="s" s="5">
        <v>1941</v>
      </c>
      <c r="F305" t="s" s="10">
        <v>1942</v>
      </c>
      <c r="G305" t="s" s="7">
        <v>1943</v>
      </c>
      <c r="H305" t="s" s="7">
        <v>1944</v>
      </c>
      <c r="I305" t="str" s="8" cm="1">
        <f t="array" ref="I305">SUBSTITUTE(H305,B305,"(          )")</f>
        <v>The cat used its sharp (          ) to catch the mouse.</v>
      </c>
      <c r="J305" s="9" cm="1">
        <f t="array" ref="J305">SUMIF('외운 것 - 엑셀다운로드 파일(붙여넣기)'!A3:A562,A305,'외운 것 - 엑셀다운로드 파일(붙여넣기)'!D3:D562)</f>
        <v>0</v>
      </c>
      <c r="K305" s="9" cm="1">
        <f t="array" ref="K305">_xlfn.COUNTIFS('외운 것 - 엑셀다운로드 파일(붙여넣기)'!A3:A562,A305,'외운 것 - 엑셀다운로드 파일(붙여넣기)'!D3:D562,0)</f>
        <v>0</v>
      </c>
      <c r="L305" s="9" cm="1">
        <f t="array" ref="L305">IF(J305&gt;=3,_xlfn.XLOOKUP(A305,'외운 것 - 엑셀다운로드 파일(붙여넣기)'!A3:A562,'외운 것 - 엑셀다운로드 파일(붙여넣기)'!C3:C562,0,-1),0)</f>
        <v>0</v>
      </c>
    </row>
    <row r="306" ht="38.45" customHeight="1">
      <c r="A306" s="3">
        <v>305</v>
      </c>
      <c r="B306" t="s" s="4">
        <v>1946</v>
      </c>
      <c r="C306" t="s" s="5">
        <v>1927</v>
      </c>
      <c r="D306" t="s" s="5">
        <v>1928</v>
      </c>
      <c r="E306" t="s" s="5">
        <v>1947</v>
      </c>
      <c r="F306" t="s" s="10">
        <v>1948</v>
      </c>
      <c r="G306" t="s" s="7">
        <v>1949</v>
      </c>
      <c r="H306" t="s" s="7">
        <v>1950</v>
      </c>
      <c r="I306" t="str" s="8" cm="1">
        <f t="array" ref="I306">SUBSTITUTE(H306,B306,"(          )")</f>
        <v>There was a (          ) between protesters and police.</v>
      </c>
      <c r="J306" s="9" cm="1">
        <f t="array" ref="J306">SUMIF('외운 것 - 엑셀다운로드 파일(붙여넣기)'!A3:A562,A306,'외운 것 - 엑셀다운로드 파일(붙여넣기)'!D3:D562)</f>
        <v>0</v>
      </c>
      <c r="K306" s="9" cm="1">
        <f t="array" ref="K306">_xlfn.COUNTIFS('외운 것 - 엑셀다운로드 파일(붙여넣기)'!A3:A562,A306,'외운 것 - 엑셀다운로드 파일(붙여넣기)'!D3:D562,0)</f>
        <v>0</v>
      </c>
      <c r="L306" s="9" cm="1">
        <f t="array" ref="L306">IF(J306&gt;=3,_xlfn.XLOOKUP(A306,'외운 것 - 엑셀다운로드 파일(붙여넣기)'!A3:A562,'외운 것 - 엑셀다운로드 파일(붙여넣기)'!C3:C562,0,-1),0)</f>
        <v>0</v>
      </c>
    </row>
    <row r="307" ht="38.45" customHeight="1">
      <c r="A307" s="3">
        <v>306</v>
      </c>
      <c r="B307" t="s" s="4">
        <v>1952</v>
      </c>
      <c r="C307" t="s" s="5">
        <v>1953</v>
      </c>
      <c r="D307" t="s" s="5">
        <v>1927</v>
      </c>
      <c r="E307" t="s" s="5">
        <v>1954</v>
      </c>
      <c r="F307" t="s" s="10">
        <v>1955</v>
      </c>
      <c r="G307" t="s" s="7">
        <v>1956</v>
      </c>
      <c r="H307" t="s" s="7">
        <v>1957</v>
      </c>
      <c r="I307" t="str" s="8" cm="1">
        <f t="array" ref="I307">SUBSTITUTE(H307,B307,"(          )")</f>
        <v>The loud (          ) woke everyone up.</v>
      </c>
      <c r="J307" s="9" cm="1">
        <f t="array" ref="J307">SUMIF('외운 것 - 엑셀다운로드 파일(붙여넣기)'!A3:A562,A307,'외운 것 - 엑셀다운로드 파일(붙여넣기)'!D3:D562)</f>
        <v>0</v>
      </c>
      <c r="K307" s="9" cm="1">
        <f t="array" ref="K307">_xlfn.COUNTIFS('외운 것 - 엑셀다운로드 파일(붙여넣기)'!A3:A562,A307,'외운 것 - 엑셀다운로드 파일(붙여넣기)'!D3:D562,0)</f>
        <v>0</v>
      </c>
      <c r="L307" s="9" cm="1">
        <f t="array" ref="L307">IF(J307&gt;=3,_xlfn.XLOOKUP(A307,'외운 것 - 엑셀다운로드 파일(붙여넣기)'!A3:A562,'외운 것 - 엑셀다운로드 파일(붙여넣기)'!C3:C562,0,-1),0)</f>
        <v>0</v>
      </c>
    </row>
    <row r="308" ht="38.45" customHeight="1">
      <c r="A308" s="3">
        <v>307</v>
      </c>
      <c r="B308" t="s" s="4">
        <v>1959</v>
      </c>
      <c r="C308" t="s" s="5">
        <v>1960</v>
      </c>
      <c r="D308" t="s" s="5">
        <v>1927</v>
      </c>
      <c r="E308" t="s" s="5">
        <v>1961</v>
      </c>
      <c r="F308" t="s" s="10">
        <v>1962</v>
      </c>
      <c r="G308" t="s" s="7">
        <v>1963</v>
      </c>
      <c r="H308" t="s" s="7">
        <v>1964</v>
      </c>
      <c r="I308" t="str" s="8" cm="1">
        <f t="array" ref="I308">SUBSTITUTE(H308,B308,"(          )")</f>
        <v>Please (          ) your room before guests arrive.</v>
      </c>
      <c r="J308" s="9" cm="1">
        <f t="array" ref="J308">SUMIF('외운 것 - 엑셀다운로드 파일(붙여넣기)'!A3:A562,A308,'외운 것 - 엑셀다운로드 파일(붙여넣기)'!D3:D562)</f>
        <v>0</v>
      </c>
      <c r="K308" s="9" cm="1">
        <f t="array" ref="K308">_xlfn.COUNTIFS('외운 것 - 엑셀다운로드 파일(붙여넣기)'!A3:A562,A308,'외운 것 - 엑셀다운로드 파일(붙여넣기)'!D3:D562,0)</f>
        <v>0</v>
      </c>
      <c r="L308" s="9" cm="1">
        <f t="array" ref="L308">IF(J308&gt;=3,_xlfn.XLOOKUP(A308,'외운 것 - 엑셀다운로드 파일(붙여넣기)'!A3:A562,'외운 것 - 엑셀다운로드 파일(붙여넣기)'!C3:C562,0,-1),0)</f>
        <v>0</v>
      </c>
    </row>
    <row r="309" ht="36.4" customHeight="1">
      <c r="A309" s="3">
        <v>308</v>
      </c>
      <c r="B309" t="s" s="4">
        <v>1966</v>
      </c>
      <c r="C309" t="s" s="5">
        <v>1967</v>
      </c>
      <c r="D309" t="s" s="5">
        <v>1927</v>
      </c>
      <c r="E309" t="s" s="5">
        <v>1968</v>
      </c>
      <c r="F309" t="s" s="10">
        <v>1969</v>
      </c>
      <c r="G309" t="s" s="7">
        <v>1970</v>
      </c>
      <c r="H309" t="s" s="7">
        <v>1971</v>
      </c>
      <c r="I309" t="str" s="8" cm="1">
        <f t="array" ref="I309">SUBSTITUTE(H309,B309,"(          )")</f>
        <v>This soap will (          ) and moisturize your skin.</v>
      </c>
      <c r="J309" s="9" cm="1">
        <f t="array" ref="J309">SUMIF('외운 것 - 엑셀다운로드 파일(붙여넣기)'!A3:A562,A309,'외운 것 - 엑셀다운로드 파일(붙여넣기)'!D3:D562)</f>
        <v>0</v>
      </c>
      <c r="K309" s="9" cm="1">
        <f t="array" ref="K309">_xlfn.COUNTIFS('외운 것 - 엑셀다운로드 파일(붙여넣기)'!A3:A562,A309,'외운 것 - 엑셀다운로드 파일(붙여넣기)'!D3:D562,0)</f>
        <v>0</v>
      </c>
      <c r="L309" s="9" cm="1">
        <f t="array" ref="L309">IF(J309&gt;=3,_xlfn.XLOOKUP(A309,'외운 것 - 엑셀다운로드 파일(붙여넣기)'!A3:A562,'외운 것 - 엑셀다운로드 파일(붙여넣기)'!C3:C562,0,-1),0)</f>
        <v>0</v>
      </c>
    </row>
    <row r="310" ht="23.45" customHeight="1">
      <c r="A310" s="3">
        <v>309</v>
      </c>
      <c r="B310" t="s" s="4">
        <v>1973</v>
      </c>
      <c r="C310" t="s" s="5">
        <v>1974</v>
      </c>
      <c r="D310" t="s" s="5">
        <v>1927</v>
      </c>
      <c r="E310" t="s" s="5">
        <v>1975</v>
      </c>
      <c r="F310" t="s" s="10">
        <v>1976</v>
      </c>
      <c r="G310" t="s" s="7">
        <v>1977</v>
      </c>
      <c r="H310" t="s" s="7">
        <v>1978</v>
      </c>
      <c r="I310" t="str" s="8" cm="1">
        <f t="array" ref="I310">SUBSTITUTE(H310,B310,"(          )")</f>
        <v>Let me (          ) what I meant in my previous email.</v>
      </c>
      <c r="J310" s="9" cm="1">
        <f t="array" ref="J310">SUMIF('외운 것 - 엑셀다운로드 파일(붙여넣기)'!A3:A562,A310,'외운 것 - 엑셀다운로드 파일(붙여넣기)'!D3:D562)</f>
        <v>0</v>
      </c>
      <c r="K310" s="9" cm="1">
        <f t="array" ref="K310">_xlfn.COUNTIFS('외운 것 - 엑셀다운로드 파일(붙여넣기)'!A3:A562,A310,'외운 것 - 엑셀다운로드 파일(붙여넣기)'!D3:D562,0)</f>
        <v>0</v>
      </c>
      <c r="L310" s="9" cm="1">
        <f t="array" ref="L310">IF(J310&gt;=3,_xlfn.XLOOKUP(A310,'외운 것 - 엑셀다운로드 파일(붙여넣기)'!A3:A562,'외운 것 - 엑셀다운로드 파일(붙여넣기)'!C3:C562,0,-1),0)</f>
        <v>0</v>
      </c>
    </row>
    <row r="311" ht="38.45" customHeight="1">
      <c r="A311" s="3">
        <v>310</v>
      </c>
      <c r="B311" t="s" s="4">
        <v>1980</v>
      </c>
      <c r="C311" t="s" s="5">
        <v>1974</v>
      </c>
      <c r="D311" t="s" s="5">
        <v>1927</v>
      </c>
      <c r="E311" t="s" s="5">
        <v>1981</v>
      </c>
      <c r="F311" t="s" s="10">
        <v>1982</v>
      </c>
      <c r="G311" t="s" s="7">
        <v>1983</v>
      </c>
      <c r="H311" t="s" s="7">
        <v>1984</v>
      </c>
      <c r="I311" t="str" s="8" cm="1">
        <f t="array" ref="I311">SUBSTITUTE(H311,B311,"(          )")</f>
        <v>You must (          ) all items when going through customs.</v>
      </c>
      <c r="J311" s="9" cm="1">
        <f t="array" ref="J311">SUMIF('외운 것 - 엑셀다운로드 파일(붙여넣기)'!A3:A562,A311,'외운 것 - 엑셀다운로드 파일(붙여넣기)'!D3:D562)</f>
        <v>0</v>
      </c>
      <c r="K311" s="9" cm="1">
        <f t="array" ref="K311">_xlfn.COUNTIFS('외운 것 - 엑셀다운로드 파일(붙여넣기)'!A3:A562,A311,'외운 것 - 엑셀다운로드 파일(붙여넣기)'!D3:D562,0)</f>
        <v>0</v>
      </c>
      <c r="L311" s="9" cm="1">
        <f t="array" ref="L311">IF(J311&gt;=3,_xlfn.XLOOKUP(A311,'외운 것 - 엑셀다운로드 파일(붙여넣기)'!A3:A562,'외운 것 - 엑셀다운로드 파일(붙여넣기)'!C3:C562,0,-1),0)</f>
        <v>0</v>
      </c>
    </row>
    <row r="312" ht="36.4" customHeight="1">
      <c r="A312" s="3">
        <v>311</v>
      </c>
      <c r="B312" t="s" s="4">
        <v>1986</v>
      </c>
      <c r="C312" t="s" s="5">
        <v>1987</v>
      </c>
      <c r="D312" t="s" s="5">
        <v>1988</v>
      </c>
      <c r="E312" t="s" s="5">
        <v>1989</v>
      </c>
      <c r="F312" t="s" s="10">
        <v>1990</v>
      </c>
      <c r="G312" t="s" s="7">
        <v>1991</v>
      </c>
      <c r="H312" t="s" s="7">
        <v>1992</v>
      </c>
      <c r="I312" t="str" s="8" cm="1">
        <f t="array" ref="I312">SUBSTITUTE(H312,B312,"(          )")</f>
        <v>The Declaration of Independence was signed in 1776.</v>
      </c>
      <c r="J312" s="9" cm="1">
        <f t="array" ref="J312">SUMIF('외운 것 - 엑셀다운로드 파일(붙여넣기)'!A3:A562,A312,'외운 것 - 엑셀다운로드 파일(붙여넣기)'!D3:D562)</f>
        <v>0</v>
      </c>
      <c r="K312" s="9" cm="1">
        <f t="array" ref="K312">_xlfn.COUNTIFS('외운 것 - 엑셀다운로드 파일(붙여넣기)'!A3:A562,A312,'외운 것 - 엑셀다운로드 파일(붙여넣기)'!D3:D562,0)</f>
        <v>0</v>
      </c>
      <c r="L312" s="9" cm="1">
        <f t="array" ref="L312">IF(J312&gt;=3,_xlfn.XLOOKUP(A312,'외운 것 - 엑셀다운로드 파일(붙여넣기)'!A3:A562,'외운 것 - 엑셀다운로드 파일(붙여넣기)'!C3:C562,0,-1),0)</f>
        <v>0</v>
      </c>
    </row>
    <row r="313" ht="23.45" customHeight="1">
      <c r="A313" s="3">
        <v>312</v>
      </c>
      <c r="B313" t="s" s="4">
        <v>1994</v>
      </c>
      <c r="C313" t="s" s="5">
        <v>1995</v>
      </c>
      <c r="D313" t="s" s="5">
        <v>1988</v>
      </c>
      <c r="E313" t="s" s="5">
        <v>1996</v>
      </c>
      <c r="F313" t="s" s="10">
        <v>1997</v>
      </c>
      <c r="G313" t="s" s="7">
        <v>1998</v>
      </c>
      <c r="H313" t="s" s="7">
        <v>1999</v>
      </c>
      <c r="I313" t="str" s="8" cm="1">
        <f t="array" ref="I313">SUBSTITUTE(H313,B313,"(          )")</f>
        <v>Use a (          ) to keep the papers together.</v>
      </c>
      <c r="J313" s="9" cm="1">
        <f t="array" ref="J313">SUMIF('외운 것 - 엑셀다운로드 파일(붙여넣기)'!A3:A562,A313,'외운 것 - 엑셀다운로드 파일(붙여넣기)'!D3:D562)</f>
        <v>0</v>
      </c>
      <c r="K313" s="9" cm="1">
        <f t="array" ref="K313">_xlfn.COUNTIFS('외운 것 - 엑셀다운로드 파일(붙여넣기)'!A3:A562,A313,'외운 것 - 엑셀다운로드 파일(붙여넣기)'!D3:D562,0)</f>
        <v>0</v>
      </c>
      <c r="L313" s="9" cm="1">
        <f t="array" ref="L313">IF(J313&gt;=3,_xlfn.XLOOKUP(A313,'외운 것 - 엑셀다운로드 파일(붙여넣기)'!A3:A562,'외운 것 - 엑셀다운로드 파일(붙여넣기)'!C3:C562,0,-1),0)</f>
        <v>0</v>
      </c>
    </row>
    <row r="314" ht="23.45" customHeight="1">
      <c r="A314" s="3">
        <v>313</v>
      </c>
      <c r="B314" t="s" s="4">
        <v>2001</v>
      </c>
      <c r="C314" t="s" s="5">
        <v>1995</v>
      </c>
      <c r="D314" t="s" s="5">
        <v>1988</v>
      </c>
      <c r="E314" t="s" s="5">
        <v>2002</v>
      </c>
      <c r="F314" t="s" s="10">
        <v>2003</v>
      </c>
      <c r="G314" t="s" s="7">
        <v>2004</v>
      </c>
      <c r="H314" t="s" s="7">
        <v>2005</v>
      </c>
      <c r="I314" t="str" s="8" cm="1">
        <f t="array" ref="I314">SUBSTITUTE(H314,B314,"(          )")</f>
        <v>The wet shirt will (          ) to your body.</v>
      </c>
      <c r="J314" s="9" cm="1">
        <f t="array" ref="J314">SUMIF('외운 것 - 엑셀다운로드 파일(붙여넣기)'!A3:A562,A314,'외운 것 - 엑셀다운로드 파일(붙여넣기)'!D3:D562)</f>
        <v>0</v>
      </c>
      <c r="K314" s="9" cm="1">
        <f t="array" ref="K314">_xlfn.COUNTIFS('외운 것 - 엑셀다운로드 파일(붙여넣기)'!A3:A562,A314,'외운 것 - 엑셀다운로드 파일(붙여넣기)'!D3:D562,0)</f>
        <v>0</v>
      </c>
      <c r="L314" s="9" cm="1">
        <f t="array" ref="L314">IF(J314&gt;=3,_xlfn.XLOOKUP(A314,'외운 것 - 엑셀다운로드 파일(붙여넣기)'!A3:A562,'외운 것 - 엑셀다운로드 파일(붙여넣기)'!C3:C562,0,-1),0)</f>
        <v>0</v>
      </c>
    </row>
    <row r="315" ht="23.45" customHeight="1">
      <c r="A315" s="3">
        <v>314</v>
      </c>
      <c r="B315" t="s" s="4">
        <v>2007</v>
      </c>
      <c r="C315" t="s" s="5">
        <v>1995</v>
      </c>
      <c r="D315" t="s" s="5">
        <v>1988</v>
      </c>
      <c r="E315" t="s" s="5">
        <v>2008</v>
      </c>
      <c r="F315" t="s" s="10">
        <v>2009</v>
      </c>
      <c r="G315" t="s" s="7">
        <v>2010</v>
      </c>
      <c r="H315" t="s" s="7">
        <v>2011</v>
      </c>
      <c r="I315" t="str" s="8" cm="1">
        <f t="array" ref="I315">SUBSTITUTE(H315,B315,"(          )")</f>
        <v>She had to (          ) the railing during the earthquake.</v>
      </c>
      <c r="J315" s="9" cm="1">
        <f t="array" ref="J315">SUMIF('외운 것 - 엑셀다운로드 파일(붙여넣기)'!A3:A562,A315,'외운 것 - 엑셀다운로드 파일(붙여넣기)'!D3:D562)</f>
        <v>0</v>
      </c>
      <c r="K315" s="9" cm="1">
        <f t="array" ref="K315">_xlfn.COUNTIFS('외운 것 - 엑셀다운로드 파일(붙여넣기)'!A3:A562,A315,'외운 것 - 엑셀다운로드 파일(붙여넣기)'!D3:D562,0)</f>
        <v>0</v>
      </c>
      <c r="L315" s="9" cm="1">
        <f t="array" ref="L315">IF(J315&gt;=3,_xlfn.XLOOKUP(A315,'외운 것 - 엑셀다운로드 파일(붙여넣기)'!A3:A562,'외운 것 - 엑셀다운로드 파일(붙여넣기)'!C3:C562,0,-1),0)</f>
        <v>0</v>
      </c>
    </row>
    <row r="316" ht="38.45" customHeight="1">
      <c r="A316" s="3">
        <v>315</v>
      </c>
      <c r="B316" t="s" s="4">
        <v>2013</v>
      </c>
      <c r="C316" t="s" s="5">
        <v>2014</v>
      </c>
      <c r="D316" t="s" s="5">
        <v>2015</v>
      </c>
      <c r="E316" t="s" s="5">
        <v>2016</v>
      </c>
      <c r="F316" t="s" s="10">
        <v>2017</v>
      </c>
      <c r="G316" t="s" s="7">
        <v>2018</v>
      </c>
      <c r="H316" t="s" s="7">
        <v>2019</v>
      </c>
      <c r="I316" t="str" s="8" cm="1">
        <f t="array" ref="I316">SUBSTITUTE(H316,B316,"(          )")</f>
        <v>The medical (          ) offers free vaccinations.</v>
      </c>
      <c r="J316" s="9" cm="1">
        <f t="array" ref="J316">SUMIF('외운 것 - 엑셀다운로드 파일(붙여넣기)'!A3:A562,A316,'외운 것 - 엑셀다운로드 파일(붙여넣기)'!D3:D562)</f>
        <v>0</v>
      </c>
      <c r="K316" s="9" cm="1">
        <f t="array" ref="K316">_xlfn.COUNTIFS('외운 것 - 엑셀다운로드 파일(붙여넣기)'!A3:A562,A316,'외운 것 - 엑셀다운로드 파일(붙여넣기)'!D3:D562,0)</f>
        <v>0</v>
      </c>
      <c r="L316" s="9" cm="1">
        <f t="array" ref="L316">IF(J316&gt;=3,_xlfn.XLOOKUP(A316,'외운 것 - 엑셀다운로드 파일(붙여넣기)'!A3:A562,'외운 것 - 엑셀다운로드 파일(붙여넣기)'!C3:C562,0,-1),0)</f>
        <v>0</v>
      </c>
    </row>
    <row r="317" ht="38.45" customHeight="1">
      <c r="A317" s="3">
        <v>316</v>
      </c>
      <c r="B317" t="s" s="4">
        <v>2021</v>
      </c>
      <c r="C317" t="s" s="5">
        <v>2022</v>
      </c>
      <c r="D317" t="s" s="5">
        <v>2015</v>
      </c>
      <c r="E317" t="s" s="5">
        <v>2023</v>
      </c>
      <c r="F317" t="s" s="10">
        <v>2024</v>
      </c>
      <c r="G317" t="s" s="7">
        <v>2025</v>
      </c>
      <c r="H317" t="s" s="7">
        <v>2026</v>
      </c>
      <c r="I317" t="str" s="8" cm="1">
        <f t="array" ref="I317">SUBSTITUTE(H317,B317,"(          )")</f>
        <v>The lawyer met with her (          ) to discuss the case.</v>
      </c>
      <c r="J317" s="9" cm="1">
        <f t="array" ref="J317">SUMIF('외운 것 - 엑셀다운로드 파일(붙여넣기)'!A3:A562,A317,'외운 것 - 엑셀다운로드 파일(붙여넣기)'!D3:D562)</f>
        <v>0</v>
      </c>
      <c r="K317" s="9" cm="1">
        <f t="array" ref="K317">_xlfn.COUNTIFS('외운 것 - 엑셀다운로드 파일(붙여넣기)'!A3:A562,A317,'외운 것 - 엑셀다운로드 파일(붙여넣기)'!D3:D562,0)</f>
        <v>0</v>
      </c>
      <c r="L317" s="9" cm="1">
        <f t="array" ref="L317">IF(J317&gt;=3,_xlfn.XLOOKUP(A317,'외운 것 - 엑셀다운로드 파일(붙여넣기)'!A3:A562,'외운 것 - 엑셀다운로드 파일(붙여넣기)'!C3:C562,0,-1),0)</f>
        <v>0</v>
      </c>
    </row>
    <row r="318" ht="23.45" customHeight="1">
      <c r="A318" s="3">
        <v>317</v>
      </c>
      <c r="B318" t="s" s="4">
        <v>2028</v>
      </c>
      <c r="C318" t="s" s="5">
        <v>2022</v>
      </c>
      <c r="D318" t="s" s="5">
        <v>2015</v>
      </c>
      <c r="E318" t="s" s="5">
        <v>2029</v>
      </c>
      <c r="F318" t="s" s="10">
        <v>2030</v>
      </c>
      <c r="G318" t="s" s="7">
        <v>2031</v>
      </c>
      <c r="H318" t="s" s="7">
        <v>2032</v>
      </c>
      <c r="I318" t="str" s="8" cm="1">
        <f t="array" ref="I318">SUBSTITUTE(H318,B318,"(          )")</f>
        <v>His final argument helped (          ) the debate.</v>
      </c>
      <c r="J318" s="9" cm="1">
        <f t="array" ref="J318">SUMIF('외운 것 - 엑셀다운로드 파일(붙여넣기)'!A3:A562,A318,'외운 것 - 엑셀다운로드 파일(붙여넣기)'!D3:D562)</f>
        <v>0</v>
      </c>
      <c r="K318" s="9" cm="1">
        <f t="array" ref="K318">_xlfn.COUNTIFS('외운 것 - 엑셀다운로드 파일(붙여넣기)'!A3:A562,A318,'외운 것 - 엑셀다운로드 파일(붙여넣기)'!D3:D562,0)</f>
        <v>0</v>
      </c>
      <c r="L318" s="9" cm="1">
        <f t="array" ref="L318">IF(J318&gt;=3,_xlfn.XLOOKUP(A318,'외운 것 - 엑셀다운로드 파일(붙여넣기)'!A3:A562,'외운 것 - 엑셀다운로드 파일(붙여넣기)'!C3:C562,0,-1),0)</f>
        <v>0</v>
      </c>
    </row>
    <row r="319" ht="38.45" customHeight="1">
      <c r="A319" s="3">
        <v>318</v>
      </c>
      <c r="B319" t="s" s="4">
        <v>2034</v>
      </c>
      <c r="C319" t="s" s="5">
        <v>2014</v>
      </c>
      <c r="D319" t="s" s="5">
        <v>2015</v>
      </c>
      <c r="E319" t="s" s="5">
        <v>2035</v>
      </c>
      <c r="F319" t="s" s="10">
        <v>2036</v>
      </c>
      <c r="G319" t="s" s="7">
        <v>2037</v>
      </c>
      <c r="H319" t="s" s="7">
        <v>2038</v>
      </c>
      <c r="I319" t="str" s="8" cm="1">
        <f t="array" ref="I319">SUBSTITUTE(H319,B319,"(          )")</f>
        <v>The road has a steep (          ) that's difficult to climb.</v>
      </c>
      <c r="J319" s="9" cm="1">
        <f t="array" ref="J319">SUMIF('외운 것 - 엑셀다운로드 파일(붙여넣기)'!A3:A562,A319,'외운 것 - 엑셀다운로드 파일(붙여넣기)'!D3:D562)</f>
        <v>0</v>
      </c>
      <c r="K319" s="9" cm="1">
        <f t="array" ref="K319">_xlfn.COUNTIFS('외운 것 - 엑셀다운로드 파일(붙여넣기)'!A3:A562,A319,'외운 것 - 엑셀다운로드 파일(붙여넣기)'!D3:D562,0)</f>
        <v>0</v>
      </c>
      <c r="L319" s="9" cm="1">
        <f t="array" ref="L319">IF(J319&gt;=3,_xlfn.XLOOKUP(A319,'외운 것 - 엑셀다운로드 파일(붙여넣기)'!A3:A562,'외운 것 - 엑셀다운로드 파일(붙여넣기)'!C3:C562,0,-1),0)</f>
        <v>0</v>
      </c>
    </row>
    <row r="320" ht="38.45" customHeight="1">
      <c r="A320" s="3">
        <v>319</v>
      </c>
      <c r="B320" t="s" s="4">
        <v>2040</v>
      </c>
      <c r="C320" t="s" s="5">
        <v>2041</v>
      </c>
      <c r="D320" t="s" s="5">
        <v>2015</v>
      </c>
      <c r="E320" t="s" s="5">
        <v>2042</v>
      </c>
      <c r="F320" t="s" s="10">
        <v>2043</v>
      </c>
      <c r="G320" t="s" s="7">
        <v>2044</v>
      </c>
      <c r="H320" t="s" s="7">
        <v>2045</v>
      </c>
      <c r="I320" t="str" s="8" cm="1">
        <f t="array" ref="I320">SUBSTITUTE(H320,B320,"(          )")</f>
        <v>I'm not (          ) to accept his offer right now.</v>
      </c>
      <c r="J320" s="9" cm="1">
        <f t="array" ref="J320">SUMIF('외운 것 - 엑셀다운로드 파일(붙여넣기)'!A3:A562,A320,'외운 것 - 엑셀다운로드 파일(붙여넣기)'!D3:D562)</f>
        <v>0</v>
      </c>
      <c r="K320" s="9" cm="1">
        <f t="array" ref="K320">_xlfn.COUNTIFS('외운 것 - 엑셀다운로드 파일(붙여넣기)'!A3:A562,A320,'외운 것 - 엑셀다운로드 파일(붙여넣기)'!D3:D562,0)</f>
        <v>0</v>
      </c>
      <c r="L320" s="9" cm="1">
        <f t="array" ref="L320">IF(J320&gt;=3,_xlfn.XLOOKUP(A320,'외운 것 - 엑셀다운로드 파일(붙여넣기)'!A3:A562,'외운 것 - 엑셀다운로드 파일(붙여넣기)'!C3:C562,0,-1),0)</f>
        <v>0</v>
      </c>
    </row>
    <row r="321" ht="38.45" customHeight="1">
      <c r="A321" s="3">
        <v>320</v>
      </c>
      <c r="B321" t="s" s="4">
        <v>2047</v>
      </c>
      <c r="C321" t="s" s="5">
        <v>2014</v>
      </c>
      <c r="D321" t="s" s="5">
        <v>2015</v>
      </c>
      <c r="E321" t="s" s="5">
        <v>2048</v>
      </c>
      <c r="F321" t="s" s="10">
        <v>2049</v>
      </c>
      <c r="G321" t="s" s="7">
        <v>2050</v>
      </c>
      <c r="H321" t="s" s="7">
        <v>2051</v>
      </c>
      <c r="I321" t="str" s="8" cm="1">
        <f t="array" ref="I321">SUBSTITUTE(H321,B321,"(          )")</f>
        <v>He had to (          ) the invitation due to prior commitments.</v>
      </c>
      <c r="J321" s="9" cm="1">
        <f t="array" ref="J321">SUMIF('외운 것 - 엑셀다운로드 파일(붙여넣기)'!A3:A562,A321,'외운 것 - 엑셀다운로드 파일(붙여넣기)'!D3:D562)</f>
        <v>0</v>
      </c>
      <c r="K321" s="9" cm="1">
        <f t="array" ref="K321">_xlfn.COUNTIFS('외운 것 - 엑셀다운로드 파일(붙여넣기)'!A3:A562,A321,'외운 것 - 엑셀다운로드 파일(붙여넣기)'!D3:D562,0)</f>
        <v>0</v>
      </c>
      <c r="L321" s="9" cm="1">
        <f t="array" ref="L321">IF(J321&gt;=3,_xlfn.XLOOKUP(A321,'외운 것 - 엑셀다운로드 파일(붙여넣기)'!A3:A562,'외운 것 - 엑셀다운로드 파일(붙여넣기)'!C3:C562,0,-1),0)</f>
        <v>0</v>
      </c>
    </row>
    <row r="322" ht="38.45" customHeight="1">
      <c r="A322" s="3">
        <v>321</v>
      </c>
      <c r="B322" t="s" s="4">
        <v>2053</v>
      </c>
      <c r="C322" t="s" s="5">
        <v>2053</v>
      </c>
      <c r="D322" t="s" s="5">
        <v>2054</v>
      </c>
      <c r="E322" t="s" s="5">
        <v>2055</v>
      </c>
      <c r="F322" t="s" s="6">
        <v>2056</v>
      </c>
      <c r="G322" t="s" s="11">
        <v>2057</v>
      </c>
      <c r="H322" t="s" s="7">
        <v>2058</v>
      </c>
      <c r="I322" t="str" s="8" cm="1">
        <f t="array" ref="I322">SUBSTITUTE(H322,B322,"(          )")</f>
        <v>Please (          ) the door when you leave.</v>
      </c>
      <c r="J322" s="9" cm="1">
        <f t="array" ref="J322">SUMIF('외운 것 - 엑셀다운로드 파일(붙여넣기)'!A3:A562,A322,'외운 것 - 엑셀다운로드 파일(붙여넣기)'!D3:D562)</f>
        <v>0</v>
      </c>
      <c r="K322" s="9" cm="1">
        <f t="array" ref="K322">_xlfn.COUNTIFS('외운 것 - 엑셀다운로드 파일(붙여넣기)'!A3:A562,A322,'외운 것 - 엑셀다운로드 파일(붙여넣기)'!D3:D562,0)</f>
        <v>0</v>
      </c>
      <c r="L322" s="9" cm="1">
        <f t="array" ref="L322">IF(J322&gt;=3,_xlfn.XLOOKUP(A322,'외운 것 - 엑셀다운로드 파일(붙여넣기)'!A3:A562,'외운 것 - 엑셀다운로드 파일(붙여넣기)'!C3:C562,0,-1),0)</f>
        <v>0</v>
      </c>
    </row>
    <row r="323" ht="23.45" customHeight="1">
      <c r="A323" s="3">
        <v>322</v>
      </c>
      <c r="B323" t="s" s="4">
        <v>2060</v>
      </c>
      <c r="C323" t="s" s="5">
        <v>2053</v>
      </c>
      <c r="D323" t="s" s="5">
        <v>2054</v>
      </c>
      <c r="E323" t="s" s="5">
        <v>2061</v>
      </c>
      <c r="F323" t="s" s="10">
        <v>2062</v>
      </c>
      <c r="G323" t="s" s="7">
        <v>2063</v>
      </c>
      <c r="H323" t="s" s="7">
        <v>2064</v>
      </c>
      <c r="I323" t="str" s="8" cm="1">
        <f t="array" ref="I323">SUBSTITUTE(H323,B323,"(          )")</f>
        <v>Her (          ) is full of shoes and dresses.</v>
      </c>
      <c r="J323" s="9" cm="1">
        <f t="array" ref="J323">SUMIF('외운 것 - 엑셀다운로드 파일(붙여넣기)'!A3:A562,A323,'외운 것 - 엑셀다운로드 파일(붙여넣기)'!D3:D562)</f>
        <v>0</v>
      </c>
      <c r="K323" s="9" cm="1">
        <f t="array" ref="K323">_xlfn.COUNTIFS('외운 것 - 엑셀다운로드 파일(붙여넣기)'!A3:A562,A323,'외운 것 - 엑셀다운로드 파일(붙여넣기)'!D3:D562,0)</f>
        <v>0</v>
      </c>
      <c r="L323" s="9" cm="1">
        <f t="array" ref="L323">IF(J323&gt;=3,_xlfn.XLOOKUP(A323,'외운 것 - 엑셀다운로드 파일(붙여넣기)'!A3:A562,'외운 것 - 엑셀다운로드 파일(붙여넣기)'!C3:C562,0,-1),0)</f>
        <v>0</v>
      </c>
    </row>
    <row r="324" ht="38.45" customHeight="1">
      <c r="A324" s="3">
        <v>323</v>
      </c>
      <c r="B324" t="s" s="4">
        <v>2066</v>
      </c>
      <c r="C324" t="s" s="5">
        <v>2053</v>
      </c>
      <c r="D324" t="s" s="5">
        <v>2054</v>
      </c>
      <c r="E324" t="s" s="5">
        <v>2067</v>
      </c>
      <c r="F324" t="s" s="10">
        <v>2068</v>
      </c>
      <c r="G324" t="s" s="7">
        <v>2069</v>
      </c>
      <c r="H324" t="s" s="7">
        <v>2070</v>
      </c>
      <c r="I324" t="str" s="8" cm="1">
        <f t="array" ref="I324">SUBSTITUTE(H324,B324,"(          )")</f>
        <v>The company must (          ) financial information to investors.</v>
      </c>
      <c r="J324" s="9" cm="1">
        <f t="array" ref="J324">SUMIF('외운 것 - 엑셀다운로드 파일(붙여넣기)'!A3:A562,A324,'외운 것 - 엑셀다운로드 파일(붙여넣기)'!D3:D562)</f>
        <v>0</v>
      </c>
      <c r="K324" s="9" cm="1">
        <f t="array" ref="K324">_xlfn.COUNTIFS('외운 것 - 엑셀다운로드 파일(붙여넣기)'!A3:A562,A324,'외운 것 - 엑셀다운로드 파일(붙여넣기)'!D3:D562,0)</f>
        <v>0</v>
      </c>
      <c r="L324" s="9" cm="1">
        <f t="array" ref="L324">IF(J324&gt;=3,_xlfn.XLOOKUP(A324,'외운 것 - 엑셀다운로드 파일(붙여넣기)'!A3:A562,'외운 것 - 엑셀다운로드 파일(붙여넣기)'!C3:C562,0,-1),0)</f>
        <v>0</v>
      </c>
    </row>
    <row r="325" ht="23.45" customHeight="1">
      <c r="A325" s="3">
        <v>324</v>
      </c>
      <c r="B325" t="s" s="4">
        <v>2072</v>
      </c>
      <c r="C325" t="s" s="5">
        <v>2053</v>
      </c>
      <c r="D325" t="s" s="5">
        <v>2054</v>
      </c>
      <c r="E325" t="s" s="5">
        <v>2073</v>
      </c>
      <c r="F325" t="s" s="10">
        <v>2074</v>
      </c>
      <c r="G325" t="s" s="7">
        <v>755</v>
      </c>
      <c r="H325" t="s" s="7">
        <v>2075</v>
      </c>
      <c r="I325" t="str" s="8" cm="1">
        <f t="array" ref="I325">SUBSTITUTE(H325,B325,"(          )")</f>
        <v>I will (          ) a check with my application form.</v>
      </c>
      <c r="J325" s="9" cm="1">
        <f t="array" ref="J325">SUMIF('외운 것 - 엑셀다운로드 파일(붙여넣기)'!A3:A562,A325,'외운 것 - 엑셀다운로드 파일(붙여넣기)'!D3:D562)</f>
        <v>0</v>
      </c>
      <c r="K325" s="9" cm="1">
        <f t="array" ref="K325">_xlfn.COUNTIFS('외운 것 - 엑셀다운로드 파일(붙여넣기)'!A3:A562,A325,'외운 것 - 엑셀다운로드 파일(붙여넣기)'!D3:D562,0)</f>
        <v>0</v>
      </c>
      <c r="L325" s="9" cm="1">
        <f t="array" ref="L325">IF(J325&gt;=3,_xlfn.XLOOKUP(A325,'외운 것 - 엑셀다운로드 파일(붙여넣기)'!A3:A562,'외운 것 - 엑셀다운로드 파일(붙여넣기)'!C3:C562,0,-1),0)</f>
        <v>0</v>
      </c>
    </row>
    <row r="326" ht="23.45" customHeight="1">
      <c r="A326" s="3">
        <v>325</v>
      </c>
      <c r="B326" t="s" s="4">
        <v>2077</v>
      </c>
      <c r="C326" t="s" s="5">
        <v>2053</v>
      </c>
      <c r="D326" t="s" s="5">
        <v>2054</v>
      </c>
      <c r="E326" t="s" s="5">
        <v>2078</v>
      </c>
      <c r="F326" t="s" s="10">
        <v>2079</v>
      </c>
      <c r="G326" t="s" s="7">
        <v>2080</v>
      </c>
      <c r="H326" t="s" s="7">
        <v>2081</v>
      </c>
      <c r="I326" t="str" s="8" cm="1">
        <f t="array" ref="I326">SUBSTITUTE(H326,B326,"(          )")</f>
        <v>The zoo built a new (          ) for the elephants.</v>
      </c>
      <c r="J326" s="9" cm="1">
        <f t="array" ref="J326">SUMIF('외운 것 - 엑셀다운로드 파일(붙여넣기)'!A3:A562,A326,'외운 것 - 엑셀다운로드 파일(붙여넣기)'!D3:D562)</f>
        <v>0</v>
      </c>
      <c r="K326" s="9" cm="1">
        <f t="array" ref="K326">_xlfn.COUNTIFS('외운 것 - 엑셀다운로드 파일(붙여넣기)'!A3:A562,A326,'외운 것 - 엑셀다운로드 파일(붙여넣기)'!D3:D562,0)</f>
        <v>0</v>
      </c>
      <c r="L326" s="9" cm="1">
        <f t="array" ref="L326">IF(J326&gt;=3,_xlfn.XLOOKUP(A326,'외운 것 - 엑셀다운로드 파일(붙여넣기)'!A3:A562,'외운 것 - 엑셀다운로드 파일(붙여넣기)'!C3:C562,0,-1),0)</f>
        <v>0</v>
      </c>
    </row>
    <row r="327" ht="36.4" customHeight="1">
      <c r="A327" s="3">
        <v>326</v>
      </c>
      <c r="B327" t="s" s="4">
        <v>2083</v>
      </c>
      <c r="C327" t="s" s="5">
        <v>2084</v>
      </c>
      <c r="D327" t="s" s="5">
        <v>2053</v>
      </c>
      <c r="E327" t="s" s="5">
        <v>2085</v>
      </c>
      <c r="F327" t="s" s="10">
        <v>2086</v>
      </c>
      <c r="G327" t="s" s="7">
        <v>2087</v>
      </c>
      <c r="H327" t="s" s="7">
        <v>2088</v>
      </c>
      <c r="I327" t="str" s="8" cm="1">
        <f t="array" ref="I327">SUBSTITUTE(H327,B327,"(          )")</f>
        <v>The price (          )s breakfast and dinner.</v>
      </c>
      <c r="J327" s="9" cm="1">
        <f t="array" ref="J327">SUMIF('외운 것 - 엑셀다운로드 파일(붙여넣기)'!A3:A562,A327,'외운 것 - 엑셀다운로드 파일(붙여넣기)'!D3:D562)</f>
        <v>0</v>
      </c>
      <c r="K327" s="9" cm="1">
        <f t="array" ref="K327">_xlfn.COUNTIFS('외운 것 - 엑셀다운로드 파일(붙여넣기)'!A3:A562,A327,'외운 것 - 엑셀다운로드 파일(붙여넣기)'!D3:D562,0)</f>
        <v>0</v>
      </c>
      <c r="L327" s="9" cm="1">
        <f t="array" ref="L327">IF(J327&gt;=3,_xlfn.XLOOKUP(A327,'외운 것 - 엑셀다운로드 파일(붙여넣기)'!A3:A562,'외운 것 - 엑셀다운로드 파일(붙여넣기)'!C3:C562,0,-1),0)</f>
        <v>0</v>
      </c>
    </row>
    <row r="328" ht="38.45" customHeight="1">
      <c r="A328" s="3">
        <v>327</v>
      </c>
      <c r="B328" t="s" s="4">
        <v>2090</v>
      </c>
      <c r="C328" t="s" s="5">
        <v>2091</v>
      </c>
      <c r="D328" t="s" s="5">
        <v>2092</v>
      </c>
      <c r="E328" t="s" s="5">
        <v>2093</v>
      </c>
      <c r="F328" t="s" s="10">
        <v>2094</v>
      </c>
      <c r="G328" t="s" s="7">
        <v>2095</v>
      </c>
      <c r="H328" t="s" s="7">
        <v>2096</v>
      </c>
      <c r="I328" t="str" s="8" cm="1">
        <f t="array" ref="I328">SUBSTITUTE(H328,B328,"(          )")</f>
        <v>We can (          ) from the evidence that he is innocent.</v>
      </c>
      <c r="J328" s="9" cm="1">
        <f t="array" ref="J328">SUMIF('외운 것 - 엑셀다운로드 파일(붙여넣기)'!A3:A562,A328,'외운 것 - 엑셀다운로드 파일(붙여넣기)'!D3:D562)</f>
        <v>0</v>
      </c>
      <c r="K328" s="9" cm="1">
        <f t="array" ref="K328">_xlfn.COUNTIFS('외운 것 - 엑셀다운로드 파일(붙여넣기)'!A3:A562,A328,'외운 것 - 엑셀다운로드 파일(붙여넣기)'!D3:D562,0)</f>
        <v>0</v>
      </c>
      <c r="L328" s="9" cm="1">
        <f t="array" ref="L328">IF(J328&gt;=3,_xlfn.XLOOKUP(A328,'외운 것 - 엑셀다운로드 파일(붙여넣기)'!A3:A562,'외운 것 - 엑셀다운로드 파일(붙여넣기)'!C3:C562,0,-1),0)</f>
        <v>0</v>
      </c>
    </row>
    <row r="329" ht="36.4" customHeight="1">
      <c r="A329" s="3">
        <v>328</v>
      </c>
      <c r="B329" t="s" s="4">
        <v>2098</v>
      </c>
      <c r="C329" t="s" s="5">
        <v>2099</v>
      </c>
      <c r="D329" t="s" s="5">
        <v>2091</v>
      </c>
      <c r="E329" t="s" s="5">
        <v>2100</v>
      </c>
      <c r="F329" t="s" s="10">
        <v>2101</v>
      </c>
      <c r="G329" t="s" s="7">
        <v>2102</v>
      </c>
      <c r="H329" t="s" s="7">
        <v>2103</v>
      </c>
      <c r="I329" t="str" s="8" cm="1">
        <f t="array" ref="I329">SUBSTITUTE(H329,B329,"(          )")</f>
        <v>The DNA test provided (          ) proof of his identity.</v>
      </c>
      <c r="J329" s="9" cm="1">
        <f t="array" ref="J329">SUMIF('외운 것 - 엑셀다운로드 파일(붙여넣기)'!A3:A562,A329,'외운 것 - 엑셀다운로드 파일(붙여넣기)'!D3:D562)</f>
        <v>0</v>
      </c>
      <c r="K329" s="9" cm="1">
        <f t="array" ref="K329">_xlfn.COUNTIFS('외운 것 - 엑셀다운로드 파일(붙여넣기)'!A3:A562,A329,'외운 것 - 엑셀다운로드 파일(붙여넣기)'!D3:D562,0)</f>
        <v>0</v>
      </c>
      <c r="L329" s="9" cm="1">
        <f t="array" ref="L329">IF(J329&gt;=3,_xlfn.XLOOKUP(A329,'외운 것 - 엑셀다운로드 파일(붙여넣기)'!A3:A562,'외운 것 - 엑셀다운로드 파일(붙여넣기)'!C3:C562,0,-1),0)</f>
        <v>0</v>
      </c>
    </row>
    <row r="330" ht="38.45" customHeight="1">
      <c r="A330" s="3">
        <v>329</v>
      </c>
      <c r="B330" t="s" s="4">
        <v>2105</v>
      </c>
      <c r="C330" t="s" s="5">
        <v>2091</v>
      </c>
      <c r="D330" t="s" s="5">
        <v>2092</v>
      </c>
      <c r="E330" t="s" s="5">
        <v>2106</v>
      </c>
      <c r="F330" t="s" s="10">
        <v>2107</v>
      </c>
      <c r="G330" t="s" s="7">
        <v>2108</v>
      </c>
      <c r="H330" t="s" s="7">
        <v>2109</v>
      </c>
      <c r="I330" t="str" s="8" cm="1">
        <f t="array" ref="I330">SUBSTITUTE(H330,B330,"(          )")</f>
        <v>Bad weather might (          ) our trip to the beach.</v>
      </c>
      <c r="J330" s="9" cm="1">
        <f t="array" ref="J330">SUMIF('외운 것 - 엑셀다운로드 파일(붙여넣기)'!A3:A562,A330,'외운 것 - 엑셀다운로드 파일(붙여넣기)'!D3:D562)</f>
        <v>0</v>
      </c>
      <c r="K330" s="9" cm="1">
        <f t="array" ref="K330">_xlfn.COUNTIFS('외운 것 - 엑셀다운로드 파일(붙여넣기)'!A3:A562,A330,'외운 것 - 엑셀다운로드 파일(붙여넣기)'!D3:D562,0)</f>
        <v>0</v>
      </c>
      <c r="L330" s="9" cm="1">
        <f t="array" ref="L330">IF(J330&gt;=3,_xlfn.XLOOKUP(A330,'외운 것 - 엑셀다운로드 파일(붙여넣기)'!A3:A562,'외운 것 - 엑셀다운로드 파일(붙여넣기)'!C3:C562,0,-1),0)</f>
        <v>0</v>
      </c>
    </row>
    <row r="331" ht="23.45" customHeight="1">
      <c r="A331" s="3">
        <v>330</v>
      </c>
      <c r="B331" t="s" s="4">
        <v>2111</v>
      </c>
      <c r="C331" t="s" s="5">
        <v>2091</v>
      </c>
      <c r="D331" t="s" s="5">
        <v>2092</v>
      </c>
      <c r="E331" t="s" s="5">
        <v>2112</v>
      </c>
      <c r="F331" t="s" s="10">
        <v>2113</v>
      </c>
      <c r="G331" t="s" s="7">
        <v>2114</v>
      </c>
      <c r="H331" t="s" s="7">
        <v>2115</v>
      </c>
      <c r="I331" t="str" s="8" cm="1">
        <f t="array" ref="I331">SUBSTITUTE(H331,B331,"(          )")</f>
        <v>The club decided to (          ) members who break the rules.</v>
      </c>
      <c r="J331" s="9" cm="1">
        <f t="array" ref="J331">SUMIF('외운 것 - 엑셀다운로드 파일(붙여넣기)'!A3:A562,A331,'외운 것 - 엑셀다운로드 파일(붙여넣기)'!D3:D562)</f>
        <v>0</v>
      </c>
      <c r="K331" s="9" cm="1">
        <f t="array" ref="K331">_xlfn.COUNTIFS('외운 것 - 엑셀다운로드 파일(붙여넣기)'!A3:A562,A331,'외운 것 - 엑셀다운로드 파일(붙여넣기)'!D3:D562,0)</f>
        <v>0</v>
      </c>
      <c r="L331" s="9" cm="1">
        <f t="array" ref="L331">IF(J331&gt;=3,_xlfn.XLOOKUP(A331,'외운 것 - 엑셀다운로드 파일(붙여넣기)'!A3:A562,'외운 것 - 엑셀다운로드 파일(붙여넣기)'!C3:C562,0,-1),0)</f>
        <v>0</v>
      </c>
    </row>
    <row r="332" ht="36.4" customHeight="1">
      <c r="A332" s="3">
        <v>331</v>
      </c>
      <c r="B332" t="s" s="4">
        <v>2117</v>
      </c>
      <c r="C332" t="s" s="5">
        <v>2118</v>
      </c>
      <c r="D332" t="s" s="5">
        <v>2091</v>
      </c>
      <c r="E332" t="s" s="5">
        <v>2119</v>
      </c>
      <c r="F332" t="s" s="10">
        <v>2120</v>
      </c>
      <c r="G332" t="s" s="7">
        <v>2121</v>
      </c>
      <c r="H332" t="s" s="7">
        <v>2122</v>
      </c>
      <c r="I332" t="str" s="8" cm="1">
        <f t="array" ref="I332">SUBSTITUTE(H332,B332,"(          )")</f>
        <v>His (          ) from the team was due to poor performance.</v>
      </c>
      <c r="J332" s="9" cm="1">
        <f t="array" ref="J332">SUMIF('외운 것 - 엑셀다운로드 파일(붙여넣기)'!A3:A562,A332,'외운 것 - 엑셀다운로드 파일(붙여넣기)'!D3:D562)</f>
        <v>0</v>
      </c>
      <c r="K332" s="9" cm="1">
        <f t="array" ref="K332">_xlfn.COUNTIFS('외운 것 - 엑셀다운로드 파일(붙여넣기)'!A3:A562,A332,'외운 것 - 엑셀다운로드 파일(붙여넣기)'!D3:D562,0)</f>
        <v>0</v>
      </c>
      <c r="L332" s="9" cm="1">
        <f t="array" ref="L332">IF(J332&gt;=3,_xlfn.XLOOKUP(A332,'외운 것 - 엑셀다운로드 파일(붙여넣기)'!A3:A562,'외운 것 - 엑셀다운로드 파일(붙여넣기)'!C3:C562,0,-1),0)</f>
        <v>0</v>
      </c>
    </row>
    <row r="333" ht="36.4" customHeight="1">
      <c r="A333" s="3">
        <v>332</v>
      </c>
      <c r="B333" t="s" s="4">
        <v>2124</v>
      </c>
      <c r="C333" t="s" s="5">
        <v>2118</v>
      </c>
      <c r="D333" t="s" s="5">
        <v>2091</v>
      </c>
      <c r="E333" t="s" s="5">
        <v>2125</v>
      </c>
      <c r="F333" t="s" s="10">
        <v>2126</v>
      </c>
      <c r="G333" t="s" s="7">
        <v>2127</v>
      </c>
      <c r="H333" t="s" s="7">
        <v>2128</v>
      </c>
      <c r="I333" t="str" s="8" cm="1">
        <f t="array" ref="I333">SUBSTITUTE(H333,B333,"(          )")</f>
        <v>The hotel offers (          ) access to a private beach.</v>
      </c>
      <c r="J333" s="9" cm="1">
        <f t="array" ref="J333">SUMIF('외운 것 - 엑셀다운로드 파일(붙여넣기)'!A3:A562,A333,'외운 것 - 엑셀다운로드 파일(붙여넣기)'!D3:D562)</f>
        <v>0</v>
      </c>
      <c r="K333" s="9" cm="1">
        <f t="array" ref="K333">_xlfn.COUNTIFS('외운 것 - 엑셀다운로드 파일(붙여넣기)'!A3:A562,A333,'외운 것 - 엑셀다운로드 파일(붙여넣기)'!D3:D562,0)</f>
        <v>0</v>
      </c>
      <c r="L333" s="9" cm="1">
        <f t="array" ref="L333">IF(J333&gt;=3,_xlfn.XLOOKUP(A333,'외운 것 - 엑셀다운로드 파일(붙여넣기)'!A3:A562,'외운 것 - 엑셀다운로드 파일(붙여넣기)'!C3:C562,0,-1),0)</f>
        <v>0</v>
      </c>
    </row>
    <row r="334" ht="36.4" customHeight="1">
      <c r="A334" s="3">
        <v>333</v>
      </c>
      <c r="B334" t="s" s="4">
        <v>2130</v>
      </c>
      <c r="C334" t="s" s="5">
        <v>2118</v>
      </c>
      <c r="D334" t="s" s="5">
        <v>2091</v>
      </c>
      <c r="E334" t="s" s="5">
        <v>2131</v>
      </c>
      <c r="F334" t="s" s="10">
        <v>2132</v>
      </c>
      <c r="G334" t="s" s="7">
        <v>2133</v>
      </c>
      <c r="H334" t="s" s="7">
        <v>2134</v>
      </c>
      <c r="I334" t="str" s="8" cm="1">
        <f t="array" ref="I334">SUBSTITUTE(H334,B334,"(          )")</f>
        <v>This product is sold (          ) in our stores.</v>
      </c>
      <c r="J334" s="9" cm="1">
        <f t="array" ref="J334">SUMIF('외운 것 - 엑셀다운로드 파일(붙여넣기)'!A3:A562,A334,'외운 것 - 엑셀다운로드 파일(붙여넣기)'!D3:D562)</f>
        <v>0</v>
      </c>
      <c r="K334" s="9" cm="1">
        <f t="array" ref="K334">_xlfn.COUNTIFS('외운 것 - 엑셀다운로드 파일(붙여넣기)'!A3:A562,A334,'외운 것 - 엑셀다운로드 파일(붙여넣기)'!D3:D562,0)</f>
        <v>0</v>
      </c>
      <c r="L334" s="9" cm="1">
        <f t="array" ref="L334">IF(J334&gt;=3,_xlfn.XLOOKUP(A334,'외운 것 - 엑셀다운로드 파일(붙여넣기)'!A3:A562,'외운 것 - 엑셀다운로드 파일(붙여넣기)'!C3:C562,0,-1),0)</f>
        <v>0</v>
      </c>
    </row>
    <row r="335" ht="23.45" customHeight="1">
      <c r="A335" s="3">
        <v>334</v>
      </c>
      <c r="B335" t="s" s="4">
        <v>2136</v>
      </c>
      <c r="C335" t="s" s="5">
        <v>2091</v>
      </c>
      <c r="D335" t="s" s="5">
        <v>2092</v>
      </c>
      <c r="E335" t="s" s="5">
        <v>2137</v>
      </c>
      <c r="F335" t="s" s="10">
        <v>2138</v>
      </c>
      <c r="G335" t="s" s="7">
        <v>2139</v>
      </c>
      <c r="H335" t="s" s="7">
        <v>2140</v>
      </c>
      <c r="I335" t="str" s="8" cm="1">
        <f t="array" ref="I335">SUBSTITUTE(H335,B335,"(          )")</f>
        <v>They spent their honeymoon in a (          ) beach cottage.</v>
      </c>
      <c r="J335" s="9" cm="1">
        <f t="array" ref="J335">SUMIF('외운 것 - 엑셀다운로드 파일(붙여넣기)'!A3:A562,A335,'외운 것 - 엑셀다운로드 파일(붙여넣기)'!D3:D562)</f>
        <v>0</v>
      </c>
      <c r="K335" s="9" cm="1">
        <f t="array" ref="K335">_xlfn.COUNTIFS('외운 것 - 엑셀다운로드 파일(붙여넣기)'!A3:A562,A335,'외운 것 - 엑셀다운로드 파일(붙여넣기)'!D3:D562,0)</f>
        <v>0</v>
      </c>
      <c r="L335" s="9" cm="1">
        <f t="array" ref="L335">IF(J335&gt;=3,_xlfn.XLOOKUP(A335,'외운 것 - 엑셀다운로드 파일(붙여넣기)'!A3:A562,'외운 것 - 엑셀다운로드 파일(붙여넣기)'!C3:C562,0,-1),0)</f>
        <v>0</v>
      </c>
    </row>
    <row r="336" ht="23.45" customHeight="1">
      <c r="A336" s="3">
        <v>335</v>
      </c>
      <c r="B336" t="s" s="4">
        <v>2142</v>
      </c>
      <c r="C336" t="s" s="5">
        <v>2091</v>
      </c>
      <c r="D336" t="s" s="5">
        <v>2092</v>
      </c>
      <c r="E336" t="s" s="5">
        <v>2143</v>
      </c>
      <c r="F336" t="s" s="10">
        <v>2144</v>
      </c>
      <c r="G336" t="s" s="7">
        <v>2145</v>
      </c>
      <c r="H336" t="s" s="7">
        <v>2146</v>
      </c>
      <c r="I336" t="str" s="8" cm="1">
        <f t="array" ref="I336">SUBSTITUTE(H336,B336,"(          )")</f>
        <v>Dark (          ) gathered before the storm.</v>
      </c>
      <c r="J336" s="9" cm="1">
        <f t="array" ref="J336">SUMIF('외운 것 - 엑셀다운로드 파일(붙여넣기)'!A3:A562,A336,'외운 것 - 엑셀다운로드 파일(붙여넣기)'!D3:D562)</f>
        <v>0</v>
      </c>
      <c r="K336" s="9" cm="1">
        <f t="array" ref="K336">_xlfn.COUNTIFS('외운 것 - 엑셀다운로드 파일(붙여넣기)'!A3:A562,A336,'외운 것 - 엑셀다운로드 파일(붙여넣기)'!D3:D562,0)</f>
        <v>0</v>
      </c>
      <c r="L336" s="9" cm="1">
        <f t="array" ref="L336">IF(J336&gt;=3,_xlfn.XLOOKUP(A336,'외운 것 - 엑셀다운로드 파일(붙여넣기)'!A3:A562,'외운 것 - 엑셀다운로드 파일(붙여넣기)'!C3:C562,0,-1),0)</f>
        <v>0</v>
      </c>
    </row>
    <row r="337" ht="23.45" customHeight="1">
      <c r="A337" s="3">
        <v>336</v>
      </c>
      <c r="B337" t="s" s="4">
        <v>2148</v>
      </c>
      <c r="C337" t="s" s="5">
        <v>2149</v>
      </c>
      <c r="D337" t="s" s="5">
        <v>2150</v>
      </c>
      <c r="E337" t="s" s="5">
        <v>2151</v>
      </c>
      <c r="F337" t="s" s="10">
        <v>2152</v>
      </c>
      <c r="G337" t="s" s="7">
        <v>2153</v>
      </c>
      <c r="H337" t="s" s="7">
        <v>2154</v>
      </c>
      <c r="I337" t="str" s="8" cm="1">
        <f t="array" ref="I337">SUBSTITUTE(H337,B337,"(          )")</f>
        <v>Japanese (          ) has a rich history and traditions.</v>
      </c>
      <c r="J337" s="9" cm="1">
        <f t="array" ref="J337">SUMIF('외운 것 - 엑셀다운로드 파일(붙여넣기)'!A3:A562,A337,'외운 것 - 엑셀다운로드 파일(붙여넣기)'!D3:D562)</f>
        <v>0</v>
      </c>
      <c r="K337" s="9" cm="1">
        <f t="array" ref="K337">_xlfn.COUNTIFS('외운 것 - 엑셀다운로드 파일(붙여넣기)'!A3:A562,A337,'외운 것 - 엑셀다운로드 파일(붙여넣기)'!D3:D562,0)</f>
        <v>0</v>
      </c>
      <c r="L337" s="9" cm="1">
        <f t="array" ref="L337">IF(J337&gt;=3,_xlfn.XLOOKUP(A337,'외운 것 - 엑셀다운로드 파일(붙여넣기)'!A3:A562,'외운 것 - 엑셀다운로드 파일(붙여넣기)'!C3:C562,0,-1),0)</f>
        <v>0</v>
      </c>
    </row>
    <row r="338" ht="38.45" customHeight="1">
      <c r="A338" s="3">
        <v>337</v>
      </c>
      <c r="B338" t="s" s="4">
        <v>2156</v>
      </c>
      <c r="C338" t="s" s="5">
        <v>2149</v>
      </c>
      <c r="D338" t="s" s="5">
        <v>2150</v>
      </c>
      <c r="E338" t="s" s="5">
        <v>2157</v>
      </c>
      <c r="F338" t="s" s="10">
        <v>2158</v>
      </c>
      <c r="G338" t="s" s="7">
        <v>2159</v>
      </c>
      <c r="H338" t="s" s="7">
        <v>2160</v>
      </c>
      <c r="I338" t="str" s="8" cm="1">
        <f t="array" ref="I338">SUBSTITUTE(H338,B338,"(          )")</f>
        <v>Farmers (          ) rice in the fertile valley.</v>
      </c>
      <c r="J338" s="9" cm="1">
        <f t="array" ref="J338">SUMIF('외운 것 - 엑셀다운로드 파일(붙여넣기)'!A3:A562,A338,'외운 것 - 엑셀다운로드 파일(붙여넣기)'!D3:D562)</f>
        <v>0</v>
      </c>
      <c r="K338" s="9" cm="1">
        <f t="array" ref="K338">_xlfn.COUNTIFS('외운 것 - 엑셀다운로드 파일(붙여넣기)'!A3:A562,A338,'외운 것 - 엑셀다운로드 파일(붙여넣기)'!D3:D562,0)</f>
        <v>0</v>
      </c>
      <c r="L338" s="9" cm="1">
        <f t="array" ref="L338">IF(J338&gt;=3,_xlfn.XLOOKUP(A338,'외운 것 - 엑셀다운로드 파일(붙여넣기)'!A3:A562,'외운 것 - 엑셀다운로드 파일(붙여넣기)'!C3:C562,0,-1),0)</f>
        <v>0</v>
      </c>
    </row>
    <row r="339" ht="38.45" customHeight="1">
      <c r="A339" s="3">
        <v>338</v>
      </c>
      <c r="B339" t="s" s="4">
        <v>2162</v>
      </c>
      <c r="C339" t="s" s="5">
        <v>2149</v>
      </c>
      <c r="D339" t="s" s="5">
        <v>2150</v>
      </c>
      <c r="E339" t="s" s="5">
        <v>2163</v>
      </c>
      <c r="F339" t="s" s="10">
        <v>2164</v>
      </c>
      <c r="G339" t="s" s="7">
        <v>2165</v>
      </c>
      <c r="H339" t="s" s="7">
        <v>2166</v>
      </c>
      <c r="I339" t="str" s="8" cm="1">
        <f t="array" ref="I339">SUBSTITUTE(H339,B339,"(          )")</f>
        <v>Sustainable (          ) aims to protect the environment.</v>
      </c>
      <c r="J339" s="9" cm="1">
        <f t="array" ref="J339">SUMIF('외운 것 - 엑셀다운로드 파일(붙여넣기)'!A3:A562,A339,'외운 것 - 엑셀다운로드 파일(붙여넣기)'!D3:D562)</f>
        <v>0</v>
      </c>
      <c r="K339" s="9" cm="1">
        <f t="array" ref="K339">_xlfn.COUNTIFS('외운 것 - 엑셀다운로드 파일(붙여넣기)'!A3:A562,A339,'외운 것 - 엑셀다운로드 파일(붙여넣기)'!D3:D562,0)</f>
        <v>0</v>
      </c>
      <c r="L339" s="9" cm="1">
        <f t="array" ref="L339">IF(J339&gt;=3,_xlfn.XLOOKUP(A339,'외운 것 - 엑셀다운로드 파일(붙여넣기)'!A3:A562,'외운 것 - 엑셀다운로드 파일(붙여넣기)'!C3:C562,0,-1),0)</f>
        <v>0</v>
      </c>
    </row>
    <row r="340" ht="23.45" customHeight="1">
      <c r="A340" s="3">
        <v>339</v>
      </c>
      <c r="B340" t="s" s="4">
        <v>2168</v>
      </c>
      <c r="C340" t="s" s="5">
        <v>2169</v>
      </c>
      <c r="D340" t="s" s="5">
        <v>2170</v>
      </c>
      <c r="E340" t="s" s="5">
        <v>2171</v>
      </c>
      <c r="F340" t="s" s="10">
        <v>2172</v>
      </c>
      <c r="G340" t="s" s="7">
        <v>2173</v>
      </c>
      <c r="H340" t="s" s="7">
        <v>2174</v>
      </c>
      <c r="I340" t="str" s="8" cm="1">
        <f t="array" ref="I340">SUBSTITUTE(H340,B340,"(          )")</f>
        <v>The school switched to (          ) in the 1970s.</v>
      </c>
      <c r="J340" s="9" cm="1">
        <f t="array" ref="J340">SUMIF('외운 것 - 엑셀다운로드 파일(붙여넣기)'!A3:A562,A340,'외운 것 - 엑셀다운로드 파일(붙여넣기)'!D3:D562)</f>
        <v>0</v>
      </c>
      <c r="K340" s="9" cm="1">
        <f t="array" ref="K340">_xlfn.COUNTIFS('외운 것 - 엑셀다운로드 파일(붙여넣기)'!A3:A562,A340,'외운 것 - 엑셀다운로드 파일(붙여넣기)'!D3:D562,0)</f>
        <v>0</v>
      </c>
      <c r="L340" s="9" cm="1">
        <f t="array" ref="L340">IF(J340&gt;=3,_xlfn.XLOOKUP(A340,'외운 것 - 엑셀다운로드 파일(붙여넣기)'!A3:A562,'외운 것 - 엑셀다운로드 파일(붙여넣기)'!C3:C562,0,-1),0)</f>
        <v>0</v>
      </c>
    </row>
    <row r="341" ht="38.45" customHeight="1">
      <c r="A341" s="3">
        <v>340</v>
      </c>
      <c r="B341" t="s" s="4">
        <v>2176</v>
      </c>
      <c r="C341" t="s" s="5">
        <v>2169</v>
      </c>
      <c r="D341" t="s" s="5">
        <v>2170</v>
      </c>
      <c r="E341" t="s" s="5">
        <v>2177</v>
      </c>
      <c r="F341" t="s" s="10">
        <v>2178</v>
      </c>
      <c r="G341" t="s" s="7">
        <v>2179</v>
      </c>
      <c r="H341" t="s" s="7">
        <v>2180</v>
      </c>
      <c r="I341" t="str" s="8" cm="1">
        <f t="array" ref="I341">SUBSTITUTE(H341,B341,"(          )")</f>
        <v>The basketball (          ) gives advice to the players.</v>
      </c>
      <c r="J341" s="9" cm="1">
        <f t="array" ref="J341">SUMIF('외운 것 - 엑셀다운로드 파일(붙여넣기)'!A3:A562,A341,'외운 것 - 엑셀다운로드 파일(붙여넣기)'!D3:D562)</f>
        <v>0</v>
      </c>
      <c r="K341" s="9" cm="1">
        <f t="array" ref="K341">_xlfn.COUNTIFS('외운 것 - 엑셀다운로드 파일(붙여넣기)'!A3:A562,A341,'외운 것 - 엑셀다운로드 파일(붙여넣기)'!D3:D562,0)</f>
        <v>0</v>
      </c>
      <c r="L341" s="9" cm="1">
        <f t="array" ref="L341">IF(J341&gt;=3,_xlfn.XLOOKUP(A341,'외운 것 - 엑셀다운로드 파일(붙여넣기)'!A3:A562,'외운 것 - 엑셀다운로드 파일(붙여넣기)'!C3:C562,0,-1),0)</f>
        <v>0</v>
      </c>
    </row>
    <row r="342" ht="23.45" customHeight="1">
      <c r="A342" s="3">
        <v>341</v>
      </c>
      <c r="B342" t="s" s="4">
        <v>2182</v>
      </c>
      <c r="C342" t="s" s="5">
        <v>2169</v>
      </c>
      <c r="D342" t="s" s="5">
        <v>2170</v>
      </c>
      <c r="E342" t="s" s="5">
        <v>2183</v>
      </c>
      <c r="F342" t="s" s="10">
        <v>2184</v>
      </c>
      <c r="G342" t="s" s="7">
        <v>2185</v>
      </c>
      <c r="H342" t="s" s="7">
        <v>2186</v>
      </c>
      <c r="I342" t="str" s="8" cm="1">
        <f t="array" ref="I342">SUBSTITUTE(H342,B342,"(          )")</f>
        <v>She graduated from (          ) with a degree in engineering.</v>
      </c>
      <c r="J342" s="9" cm="1">
        <f t="array" ref="J342">SUMIF('외운 것 - 엑셀다운로드 파일(붙여넣기)'!A3:A562,A342,'외운 것 - 엑셀다운로드 파일(붙여넣기)'!D3:D562)</f>
        <v>0</v>
      </c>
      <c r="K342" s="9" cm="1">
        <f t="array" ref="K342">_xlfn.COUNTIFS('외운 것 - 엑셀다운로드 파일(붙여넣기)'!A3:A562,A342,'외운 것 - 엑셀다운로드 파일(붙여넣기)'!D3:D562,0)</f>
        <v>0</v>
      </c>
      <c r="L342" s="9" cm="1">
        <f t="array" ref="L342">IF(J342&gt;=3,_xlfn.XLOOKUP(A342,'외운 것 - 엑셀다운로드 파일(붙여넣기)'!A3:A562,'외운 것 - 엑셀다운로드 파일(붙여넣기)'!C3:C562,0,-1),0)</f>
        <v>0</v>
      </c>
    </row>
    <row r="343" ht="23.45" customHeight="1">
      <c r="A343" s="3">
        <v>342</v>
      </c>
      <c r="B343" t="s" s="4">
        <v>2188</v>
      </c>
      <c r="C343" t="s" s="5">
        <v>2169</v>
      </c>
      <c r="D343" t="s" s="5">
        <v>2170</v>
      </c>
      <c r="E343" t="s" s="5">
        <v>2189</v>
      </c>
      <c r="F343" t="s" s="10">
        <v>2190</v>
      </c>
      <c r="G343" t="s" s="7">
        <v>2191</v>
      </c>
      <c r="H343" t="s" s="7">
        <v>2192</v>
      </c>
      <c r="I343" t="str" s="8" cm="1">
        <f t="array" ref="I343">SUBSTITUTE(H343,B343,"(          )")</f>
        <v>My (          ) helped me finish the project on time.</v>
      </c>
      <c r="J343" s="9" cm="1">
        <f t="array" ref="J343">SUMIF('외운 것 - 엑셀다운로드 파일(붙여넣기)'!A3:A562,A343,'외운 것 - 엑셀다운로드 파일(붙여넣기)'!D3:D562)</f>
        <v>0</v>
      </c>
      <c r="K343" s="9" cm="1">
        <f t="array" ref="K343">_xlfn.COUNTIFS('외운 것 - 엑셀다운로드 파일(붙여넣기)'!A3:A562,A343,'외운 것 - 엑셀다운로드 파일(붙여넣기)'!D3:D562,0)</f>
        <v>0</v>
      </c>
      <c r="L343" s="9" cm="1">
        <f t="array" ref="L343">IF(J343&gt;=3,_xlfn.XLOOKUP(A343,'외운 것 - 엑셀다운로드 파일(붙여넣기)'!A3:A562,'외운 것 - 엑셀다운로드 파일(붙여넣기)'!C3:C562,0,-1),0)</f>
        <v>0</v>
      </c>
    </row>
    <row r="344" ht="23.45" customHeight="1">
      <c r="A344" s="3">
        <v>343</v>
      </c>
      <c r="B344" t="s" s="4">
        <v>2194</v>
      </c>
      <c r="C344" t="s" s="5">
        <v>2169</v>
      </c>
      <c r="D344" t="s" s="5">
        <v>2170</v>
      </c>
      <c r="E344" t="s" s="5">
        <v>2195</v>
      </c>
      <c r="F344" t="s" s="10">
        <v>2196</v>
      </c>
      <c r="G344" t="s" s="7">
        <v>2197</v>
      </c>
      <c r="H344" t="s" s="7">
        <v>2198</v>
      </c>
      <c r="I344" t="str" s="8" cm="1">
        <f t="array" ref="I344">SUBSTITUTE(H344,B344,"(          )")</f>
        <v>My (          ) from Canada is visiting us next month.</v>
      </c>
      <c r="J344" s="9" cm="1">
        <f t="array" ref="J344">SUMIF('외운 것 - 엑셀다운로드 파일(붙여넣기)'!A3:A562,A344,'외운 것 - 엑셀다운로드 파일(붙여넣기)'!D3:D562)</f>
        <v>0</v>
      </c>
      <c r="K344" s="9" cm="1">
        <f t="array" ref="K344">_xlfn.COUNTIFS('외운 것 - 엑셀다운로드 파일(붙여넣기)'!A3:A562,A344,'외운 것 - 엑셀다운로드 파일(붙여넣기)'!D3:D562,0)</f>
        <v>0</v>
      </c>
      <c r="L344" s="9" cm="1">
        <f t="array" ref="L344">IF(J344&gt;=3,_xlfn.XLOOKUP(A344,'외운 것 - 엑셀다운로드 파일(붙여넣기)'!A3:A562,'외운 것 - 엑셀다운로드 파일(붙여넣기)'!C3:C562,0,-1),0)</f>
        <v>0</v>
      </c>
    </row>
    <row r="345" ht="23.45" customHeight="1">
      <c r="A345" s="3">
        <v>344</v>
      </c>
      <c r="B345" t="s" s="4">
        <v>2200</v>
      </c>
      <c r="C345" t="s" s="5">
        <v>2169</v>
      </c>
      <c r="D345" t="s" s="5">
        <v>2170</v>
      </c>
      <c r="E345" t="s" s="5">
        <v>2201</v>
      </c>
      <c r="F345" t="s" s="10">
        <v>2202</v>
      </c>
      <c r="G345" t="s" s="7">
        <v>2203</v>
      </c>
      <c r="H345" t="s" s="7">
        <v>2204</v>
      </c>
      <c r="I345" t="str" s="8" cm="1">
        <f t="array" ref="I345">SUBSTITUTE(H345,B345,"(          )")</f>
        <v>The team's strategy needs to (          ) with company goals.</v>
      </c>
      <c r="J345" s="9" cm="1">
        <f t="array" ref="J345">SUMIF('외운 것 - 엑셀다운로드 파일(붙여넣기)'!A3:A562,A345,'외운 것 - 엑셀다운로드 파일(붙여넣기)'!D3:D562)</f>
        <v>0</v>
      </c>
      <c r="K345" s="9" cm="1">
        <f t="array" ref="K345">_xlfn.COUNTIFS('외운 것 - 엑셀다운로드 파일(붙여넣기)'!A3:A562,A345,'외운 것 - 엑셀다운로드 파일(붙여넣기)'!D3:D562,0)</f>
        <v>0</v>
      </c>
      <c r="L345" s="9" cm="1">
        <f t="array" ref="L345">IF(J345&gt;=3,_xlfn.XLOOKUP(A345,'외운 것 - 엑셀다운로드 파일(붙여넣기)'!A3:A562,'외운 것 - 엑셀다운로드 파일(붙여넣기)'!C3:C562,0,-1),0)</f>
        <v>0</v>
      </c>
    </row>
    <row r="346" ht="36.4" customHeight="1">
      <c r="A346" s="3">
        <v>345</v>
      </c>
      <c r="B346" t="s" s="4">
        <v>2206</v>
      </c>
      <c r="C346" t="s" s="5">
        <v>2207</v>
      </c>
      <c r="D346" t="s" s="5">
        <v>2169</v>
      </c>
      <c r="E346" t="s" s="5">
        <v>2208</v>
      </c>
      <c r="F346" t="s" s="10">
        <v>2209</v>
      </c>
      <c r="G346" t="s" s="7">
        <v>2210</v>
      </c>
      <c r="H346" t="s" s="7">
        <v>2211</v>
      </c>
      <c r="I346" t="str" s="8" cm="1">
        <f t="array" ref="I346">SUBSTITUTE(H346,B346,"(          )")</f>
        <v>His explanation was logical and (          ).</v>
      </c>
      <c r="J346" s="9" cm="1">
        <f t="array" ref="J346">SUMIF('외운 것 - 엑셀다운로드 파일(붙여넣기)'!A3:A562,A346,'외운 것 - 엑셀다운로드 파일(붙여넣기)'!D3:D562)</f>
        <v>0</v>
      </c>
      <c r="K346" s="9" cm="1">
        <f t="array" ref="K346">_xlfn.COUNTIFS('외운 것 - 엑셀다운로드 파일(붙여넣기)'!A3:A562,A346,'외운 것 - 엑셀다운로드 파일(붙여넣기)'!D3:D562,0)</f>
        <v>0</v>
      </c>
      <c r="L346" s="9" cm="1">
        <f t="array" ref="L346">IF(J346&gt;=3,_xlfn.XLOOKUP(A346,'외운 것 - 엑셀다운로드 파일(붙여넣기)'!A3:A562,'외운 것 - 엑셀다운로드 파일(붙여넣기)'!C3:C562,0,-1),0)</f>
        <v>0</v>
      </c>
    </row>
    <row r="347" ht="53.45" customHeight="1">
      <c r="A347" s="3">
        <v>346</v>
      </c>
      <c r="B347" t="s" s="4">
        <v>2213</v>
      </c>
      <c r="C347" t="s" s="5">
        <v>2207</v>
      </c>
      <c r="D347" t="s" s="5">
        <v>2169</v>
      </c>
      <c r="E347" t="s" s="5">
        <v>2214</v>
      </c>
      <c r="F347" t="s" s="10">
        <v>2215</v>
      </c>
      <c r="G347" t="s" s="7">
        <v>2216</v>
      </c>
      <c r="H347" t="s" s="7">
        <v>2217</v>
      </c>
      <c r="I347" t="str" s="8" cm="1">
        <f t="array" ref="I347">SUBSTITUTE(H347,B347,"(          )")</f>
        <v>The patient was (          ) after taking the medication.</v>
      </c>
      <c r="J347" s="9" cm="1">
        <f t="array" ref="J347">SUMIF('외운 것 - 엑셀다운로드 파일(붙여넣기)'!A3:A562,A347,'외운 것 - 엑셀다운로드 파일(붙여넣기)'!D3:D562)</f>
        <v>0</v>
      </c>
      <c r="K347" s="9" cm="1">
        <f t="array" ref="K347">_xlfn.COUNTIFS('외운 것 - 엑셀다운로드 파일(붙여넣기)'!A3:A562,A347,'외운 것 - 엑셀다운로드 파일(붙여넣기)'!D3:D562,0)</f>
        <v>0</v>
      </c>
      <c r="L347" s="9" cm="1">
        <f t="array" ref="L347">IF(J347&gt;=3,_xlfn.XLOOKUP(A347,'외운 것 - 엑셀다운로드 파일(붙여넣기)'!A3:A562,'외운 것 - 엑셀다운로드 파일(붙여넣기)'!C3:C562,0,-1),0)</f>
        <v>0</v>
      </c>
    </row>
    <row r="348" ht="36.4" customHeight="1">
      <c r="A348" s="3">
        <v>347</v>
      </c>
      <c r="B348" t="s" s="4">
        <v>2219</v>
      </c>
      <c r="C348" t="s" s="5">
        <v>2207</v>
      </c>
      <c r="D348" t="s" s="5">
        <v>2169</v>
      </c>
      <c r="E348" t="s" s="5">
        <v>2220</v>
      </c>
      <c r="F348" t="s" s="10">
        <v>2221</v>
      </c>
      <c r="G348" t="s" s="7">
        <v>2222</v>
      </c>
      <c r="H348" t="s" s="7">
        <v>2223</v>
      </c>
      <c r="I348" t="str" s="8" cm="1">
        <f t="array" ref="I348">SUBSTITUTE(H348,B348,"(          )")</f>
        <v>Team (          ) is important for successful projects.</v>
      </c>
      <c r="J348" s="9" cm="1">
        <f t="array" ref="J348">SUMIF('외운 것 - 엑셀다운로드 파일(붙여넣기)'!A3:A562,A348,'외운 것 - 엑셀다운로드 파일(붙여넣기)'!D3:D562)</f>
        <v>0</v>
      </c>
      <c r="K348" s="9" cm="1">
        <f t="array" ref="K348">_xlfn.COUNTIFS('외운 것 - 엑셀다운로드 파일(붙여넣기)'!A3:A562,A348,'외운 것 - 엑셀다운로드 파일(붙여넣기)'!D3:D562,0)</f>
        <v>0</v>
      </c>
      <c r="L348" s="9" cm="1">
        <f t="array" ref="L348">IF(J348&gt;=3,_xlfn.XLOOKUP(A348,'외운 것 - 엑셀다운로드 파일(붙여넣기)'!A3:A562,'외운 것 - 엑셀다운로드 파일(붙여넣기)'!C3:C562,0,-1),0)</f>
        <v>0</v>
      </c>
    </row>
    <row r="349" ht="38.45" customHeight="1">
      <c r="A349" s="3">
        <v>348</v>
      </c>
      <c r="B349" t="s" s="4">
        <v>2225</v>
      </c>
      <c r="C349" t="s" s="5">
        <v>2169</v>
      </c>
      <c r="D349" t="s" s="5">
        <v>2170</v>
      </c>
      <c r="E349" t="s" s="5">
        <v>2226</v>
      </c>
      <c r="F349" t="s" s="10">
        <v>2227</v>
      </c>
      <c r="G349" t="s" s="7">
        <v>2228</v>
      </c>
      <c r="H349" t="s" s="7">
        <v>2229</v>
      </c>
      <c r="I349" t="str" s="8" cm="1">
        <f t="array" ref="I349">SUBSTITUTE(H349,B349,"(          )")</f>
        <v>Programmers write (          ) to create software applications.</v>
      </c>
      <c r="J349" s="9" cm="1">
        <f t="array" ref="J349">SUMIF('외운 것 - 엑셀다운로드 파일(붙여넣기)'!A3:A562,A349,'외운 것 - 엑셀다운로드 파일(붙여넣기)'!D3:D562)</f>
        <v>0</v>
      </c>
      <c r="K349" s="9" cm="1">
        <f t="array" ref="K349">_xlfn.COUNTIFS('외운 것 - 엑셀다운로드 파일(붙여넣기)'!A3:A562,A349,'외운 것 - 엑셀다운로드 파일(붙여넣기)'!D3:D562,0)</f>
        <v>0</v>
      </c>
      <c r="L349" s="9" cm="1">
        <f t="array" ref="L349">IF(J349&gt;=3,_xlfn.XLOOKUP(A349,'외운 것 - 엑셀다운로드 파일(붙여넣기)'!A3:A562,'외운 것 - 엑셀다운로드 파일(붙여넣기)'!C3:C562,0,-1),0)</f>
        <v>0</v>
      </c>
    </row>
    <row r="350" ht="23.45" customHeight="1">
      <c r="A350" s="3">
        <v>349</v>
      </c>
      <c r="B350" t="s" s="4">
        <v>2231</v>
      </c>
      <c r="C350" t="s" s="5">
        <v>2232</v>
      </c>
      <c r="D350" t="s" s="5">
        <v>2169</v>
      </c>
      <c r="E350" t="s" s="5">
        <v>2233</v>
      </c>
      <c r="F350" t="s" s="10">
        <v>2234</v>
      </c>
      <c r="G350" t="s" s="7">
        <v>2235</v>
      </c>
      <c r="H350" t="s" s="7">
        <v>2236</v>
      </c>
      <c r="I350" t="str" s="8" cm="1">
        <f t="array" ref="I350">SUBSTITUTE(H350,B350,"(          )")</f>
        <v>The laws were (          ) in the new constitution.</v>
      </c>
      <c r="J350" s="9" cm="1">
        <f t="array" ref="J350">SUMIF('외운 것 - 엑셀다운로드 파일(붙여넣기)'!A3:A562,A350,'외운 것 - 엑셀다운로드 파일(붙여넣기)'!D3:D562)</f>
        <v>0</v>
      </c>
      <c r="K350" s="9" cm="1">
        <f t="array" ref="K350">_xlfn.COUNTIFS('외운 것 - 엑셀다운로드 파일(붙여넣기)'!A3:A562,A350,'외운 것 - 엑셀다운로드 파일(붙여넣기)'!D3:D562,0)</f>
        <v>0</v>
      </c>
      <c r="L350" s="9" cm="1">
        <f t="array" ref="L350">IF(J350&gt;=3,_xlfn.XLOOKUP(A350,'외운 것 - 엑셀다운로드 파일(붙여넣기)'!A3:A562,'외운 것 - 엑셀다운로드 파일(붙여넣기)'!C3:C562,0,-1),0)</f>
        <v>0</v>
      </c>
    </row>
    <row r="351" ht="23.45" customHeight="1">
      <c r="A351" s="3">
        <v>350</v>
      </c>
      <c r="B351" t="s" s="4">
        <v>2238</v>
      </c>
      <c r="C351" t="s" s="5">
        <v>2169</v>
      </c>
      <c r="D351" t="s" s="5">
        <v>2170</v>
      </c>
      <c r="E351" t="s" s="5">
        <v>2239</v>
      </c>
      <c r="F351" t="s" s="10">
        <v>2240</v>
      </c>
      <c r="G351" t="s" s="7">
        <v>2241</v>
      </c>
      <c r="H351" t="s" s="7">
        <v>2242</v>
      </c>
      <c r="I351" t="str" s="8" cm="1">
        <f t="array" ref="I351">SUBSTITUTE(H351,B351,"(          )")</f>
        <v>The snake will (          ) around the branch.</v>
      </c>
      <c r="J351" s="9" cm="1">
        <f t="array" ref="J351">SUMIF('외운 것 - 엑셀다운로드 파일(붙여넣기)'!A3:A562,A351,'외운 것 - 엑셀다운로드 파일(붙여넣기)'!D3:D562)</f>
        <v>0</v>
      </c>
      <c r="K351" s="9" cm="1">
        <f t="array" ref="K351">_xlfn.COUNTIFS('외운 것 - 엑셀다운로드 파일(붙여넣기)'!A3:A562,A351,'외운 것 - 엑셀다운로드 파일(붙여넣기)'!D3:D562,0)</f>
        <v>0</v>
      </c>
      <c r="L351" s="9" cm="1">
        <f t="array" ref="L351">IF(J351&gt;=3,_xlfn.XLOOKUP(A351,'외운 것 - 엑셀다운로드 파일(붙여넣기)'!A3:A562,'외운 것 - 엑셀다운로드 파일(붙여넣기)'!C3:C562,0,-1),0)</f>
        <v>0</v>
      </c>
    </row>
    <row r="352" ht="38.45" customHeight="1">
      <c r="A352" s="3">
        <v>351</v>
      </c>
      <c r="B352" t="s" s="4">
        <v>2244</v>
      </c>
      <c r="C352" t="s" s="5">
        <v>2169</v>
      </c>
      <c r="D352" t="s" s="5">
        <v>2170</v>
      </c>
      <c r="E352" t="s" s="5">
        <v>2245</v>
      </c>
      <c r="F352" t="s" s="10">
        <v>2246</v>
      </c>
      <c r="G352" t="s" s="7">
        <v>2247</v>
      </c>
      <c r="H352" t="s" s="7">
        <v>2248</v>
      </c>
      <c r="I352" t="str" s="8" cm="1">
        <f t="array" ref="I352">SUBSTITUTE(H352,B352,"(          )")</f>
        <v>Many people (          ) fame and fortune.</v>
      </c>
      <c r="J352" s="9" cm="1">
        <f t="array" ref="J352">SUMIF('외운 것 - 엑셀다운로드 파일(붙여넣기)'!A3:A562,A352,'외운 것 - 엑셀다운로드 파일(붙여넣기)'!D3:D562)</f>
        <v>0</v>
      </c>
      <c r="K352" s="9" cm="1">
        <f t="array" ref="K352">_xlfn.COUNTIFS('외운 것 - 엑셀다운로드 파일(붙여넣기)'!A3:A562,A352,'외운 것 - 엑셀다운로드 파일(붙여넣기)'!D3:D562,0)</f>
        <v>0</v>
      </c>
      <c r="L352" s="9" cm="1">
        <f t="array" ref="L352">IF(J352&gt;=3,_xlfn.XLOOKUP(A352,'외운 것 - 엑셀다운로드 파일(붙여넣기)'!A3:A562,'외운 것 - 엑셀다운로드 파일(붙여넣기)'!C3:C562,0,-1),0)</f>
        <v>0</v>
      </c>
    </row>
    <row r="353" ht="23.45" customHeight="1">
      <c r="A353" s="3">
        <v>352</v>
      </c>
      <c r="B353" t="s" s="4">
        <v>2250</v>
      </c>
      <c r="C353" t="s" s="5">
        <v>2251</v>
      </c>
      <c r="D353" t="s" s="5">
        <v>2252</v>
      </c>
      <c r="E353" t="s" s="5">
        <v>2253</v>
      </c>
      <c r="F353" t="s" s="10">
        <v>2254</v>
      </c>
      <c r="G353" t="s" s="7">
        <v>2255</v>
      </c>
      <c r="H353" t="s" s="7">
        <v>2256</v>
      </c>
      <c r="I353" t="str" s="8" cm="1">
        <f t="array" ref="I353">SUBSTITUTE(H353,B353,"(          )")</f>
        <v>It's (          ) to feel nervous before a presentation.</v>
      </c>
      <c r="J353" s="9" cm="1">
        <f t="array" ref="J353">SUMIF('외운 것 - 엑셀다운로드 파일(붙여넣기)'!A3:A562,A353,'외운 것 - 엑셀다운로드 파일(붙여넣기)'!D3:D562)</f>
        <v>0</v>
      </c>
      <c r="K353" s="9" cm="1">
        <f t="array" ref="K353">_xlfn.COUNTIFS('외운 것 - 엑셀다운로드 파일(붙여넣기)'!A3:A562,A353,'외운 것 - 엑셀다운로드 파일(붙여넣기)'!D3:D562,0)</f>
        <v>0</v>
      </c>
      <c r="L353" s="9" cm="1">
        <f t="array" ref="L353">IF(J353&gt;=3,_xlfn.XLOOKUP(A353,'외운 것 - 엑셀다운로드 파일(붙여넣기)'!A3:A562,'외운 것 - 엑셀다운로드 파일(붙여넣기)'!C3:C562,0,-1),0)</f>
        <v>0</v>
      </c>
    </row>
    <row r="354" ht="50.45" customHeight="1">
      <c r="A354" s="3">
        <v>353</v>
      </c>
      <c r="B354" t="s" s="4">
        <v>2258</v>
      </c>
      <c r="C354" t="s" s="5">
        <v>2259</v>
      </c>
      <c r="D354" t="s" s="5">
        <v>2251</v>
      </c>
      <c r="E354" t="s" s="5">
        <v>2260</v>
      </c>
      <c r="F354" t="s" s="10">
        <v>2261</v>
      </c>
      <c r="G354" t="s" s="7">
        <v>2262</v>
      </c>
      <c r="H354" t="s" s="7">
        <v>2263</v>
      </c>
      <c r="I354" t="str" s="8" cm="1">
        <f t="array" ref="I354">SUBSTITUTE(H354,B354,"(          )")</f>
        <v>We (          ) primarily by email at work.</v>
      </c>
      <c r="J354" s="9" cm="1">
        <f t="array" ref="J354">SUMIF('외운 것 - 엑셀다운로드 파일(붙여넣기)'!A3:A562,A354,'외운 것 - 엑셀다운로드 파일(붙여넣기)'!D3:D562)</f>
        <v>0</v>
      </c>
      <c r="K354" s="9" cm="1">
        <f t="array" ref="K354">_xlfn.COUNTIFS('외운 것 - 엑셀다운로드 파일(붙여넣기)'!A3:A562,A354,'외운 것 - 엑셀다운로드 파일(붙여넣기)'!D3:D562,0)</f>
        <v>0</v>
      </c>
      <c r="L354" s="9" cm="1">
        <f t="array" ref="L354">IF(J354&gt;=3,_xlfn.XLOOKUP(A354,'외운 것 - 엑셀다운로드 파일(붙여넣기)'!A3:A562,'외운 것 - 엑셀다운로드 파일(붙여넣기)'!C3:C562,0,-1),0)</f>
        <v>0</v>
      </c>
    </row>
    <row r="355" ht="50.45" customHeight="1">
      <c r="A355" s="3">
        <v>354</v>
      </c>
      <c r="B355" t="s" s="4">
        <v>2265</v>
      </c>
      <c r="C355" t="s" s="5">
        <v>2259</v>
      </c>
      <c r="D355" t="s" s="5">
        <v>2251</v>
      </c>
      <c r="E355" t="s" s="5">
        <v>2266</v>
      </c>
      <c r="F355" t="s" s="10">
        <v>2267</v>
      </c>
      <c r="G355" t="s" s="7">
        <v>2268</v>
      </c>
      <c r="H355" t="s" s="7">
        <v>2269</v>
      </c>
      <c r="I355" t="str" s="8" cm="1">
        <f t="array" ref="I355">SUBSTITUTE(H355,B355,"(          )")</f>
        <v>The (          ) organized a cleanup day at the local park.</v>
      </c>
      <c r="J355" s="9" cm="1">
        <f t="array" ref="J355">SUMIF('외운 것 - 엑셀다운로드 파일(붙여넣기)'!A3:A562,A355,'외운 것 - 엑셀다운로드 파일(붙여넣기)'!D3:D562)</f>
        <v>0</v>
      </c>
      <c r="K355" s="9" cm="1">
        <f t="array" ref="K355">_xlfn.COUNTIFS('외운 것 - 엑셀다운로드 파일(붙여넣기)'!A3:A562,A355,'외운 것 - 엑셀다운로드 파일(붙여넣기)'!D3:D562,0)</f>
        <v>0</v>
      </c>
      <c r="L355" s="9" cm="1">
        <f t="array" ref="L355">IF(J355&gt;=3,_xlfn.XLOOKUP(A355,'외운 것 - 엑셀다운로드 파일(붙여넣기)'!A3:A562,'외운 것 - 엑셀다운로드 파일(붙여넣기)'!C3:C562,0,-1),0)</f>
        <v>0</v>
      </c>
    </row>
    <row r="356" ht="23.45" customHeight="1">
      <c r="A356" s="3">
        <v>355</v>
      </c>
      <c r="B356" t="s" s="4">
        <v>2271</v>
      </c>
      <c r="C356" t="s" s="5">
        <v>2251</v>
      </c>
      <c r="D356" t="s" s="5">
        <v>2252</v>
      </c>
      <c r="E356" t="s" s="5">
        <v>2272</v>
      </c>
      <c r="F356" t="s" s="10">
        <v>2273</v>
      </c>
      <c r="G356" t="s" s="7">
        <v>2274</v>
      </c>
      <c r="H356" t="s" s="7">
        <v>2275</v>
      </c>
      <c r="I356" t="str" s="8" cm="1">
        <f t="array" ref="I356">SUBSTITUTE(H356,B356,"(          )")</f>
        <v>The (          ) employs over 500 people.</v>
      </c>
      <c r="J356" s="9" cm="1">
        <f t="array" ref="J356">SUMIF('외운 것 - 엑셀다운로드 파일(붙여넣기)'!A3:A562,A356,'외운 것 - 엑셀다운로드 파일(붙여넣기)'!D3:D562)</f>
        <v>0</v>
      </c>
      <c r="K356" s="9" cm="1">
        <f t="array" ref="K356">_xlfn.COUNTIFS('외운 것 - 엑셀다운로드 파일(붙여넣기)'!A3:A562,A356,'외운 것 - 엑셀다운로드 파일(붙여넣기)'!D3:D562,0)</f>
        <v>0</v>
      </c>
      <c r="L356" s="9" cm="1">
        <f t="array" ref="L356">IF(J356&gt;=3,_xlfn.XLOOKUP(A356,'외운 것 - 엑셀다운로드 파일(붙여넣기)'!A3:A562,'외운 것 - 엑셀다운로드 파일(붙여넣기)'!C3:C562,0,-1),0)</f>
        <v>0</v>
      </c>
    </row>
    <row r="357" ht="38.45" customHeight="1">
      <c r="A357" s="3">
        <v>356</v>
      </c>
      <c r="B357" t="s" s="4">
        <v>2277</v>
      </c>
      <c r="C357" t="s" s="5">
        <v>2251</v>
      </c>
      <c r="D357" t="s" s="5">
        <v>2252</v>
      </c>
      <c r="E357" t="s" s="5">
        <v>2278</v>
      </c>
      <c r="F357" t="s" s="10">
        <v>2279</v>
      </c>
      <c r="G357" t="s" s="7">
        <v>2280</v>
      </c>
      <c r="H357" t="s" s="7">
        <v>2281</v>
      </c>
      <c r="I357" t="str" s="8" cm="1">
        <f t="array" ref="I357">SUBSTITUTE(H357,B357,"(          )")</f>
        <v>I need a new (          ) for my graphic design work.</v>
      </c>
      <c r="J357" s="9" cm="1">
        <f t="array" ref="J357">SUMIF('외운 것 - 엑셀다운로드 파일(붙여넣기)'!A3:A562,A357,'외운 것 - 엑셀다운로드 파일(붙여넣기)'!D3:D562)</f>
        <v>0</v>
      </c>
      <c r="K357" s="9" cm="1">
        <f t="array" ref="K357">_xlfn.COUNTIFS('외운 것 - 엑셀다운로드 파일(붙여넣기)'!A3:A562,A357,'외운 것 - 엑셀다운로드 파일(붙여넣기)'!D3:D562,0)</f>
        <v>0</v>
      </c>
      <c r="L357" s="9" cm="1">
        <f t="array" ref="L357">IF(J357&gt;=3,_xlfn.XLOOKUP(A357,'외운 것 - 엑셀다운로드 파일(붙여넣기)'!A3:A562,'외운 것 - 엑셀다운로드 파일(붙여넣기)'!C3:C562,0,-1),0)</f>
        <v>0</v>
      </c>
    </row>
    <row r="358" ht="23.45" customHeight="1">
      <c r="A358" s="3">
        <v>357</v>
      </c>
      <c r="B358" t="s" s="4">
        <v>2283</v>
      </c>
      <c r="C358" t="s" s="5">
        <v>2251</v>
      </c>
      <c r="D358" t="s" s="5">
        <v>2252</v>
      </c>
      <c r="E358" t="s" s="5">
        <v>2284</v>
      </c>
      <c r="F358" t="s" s="10">
        <v>2285</v>
      </c>
      <c r="G358" t="s" s="7">
        <v>2286</v>
      </c>
      <c r="H358" t="s" s="7">
        <v>2287</v>
      </c>
      <c r="I358" t="str" s="8" cm="1">
        <f t="array" ref="I358">SUBSTITUTE(H358,B358,"(          )")</f>
        <v>Combine flour and butter to make the pastry dough.</v>
      </c>
      <c r="J358" s="9" cm="1">
        <f t="array" ref="J358">SUMIF('외운 것 - 엑셀다운로드 파일(붙여넣기)'!A3:A562,A358,'외운 것 - 엑셀다운로드 파일(붙여넣기)'!D3:D562)</f>
        <v>0</v>
      </c>
      <c r="K358" s="9" cm="1">
        <f t="array" ref="K358">_xlfn.COUNTIFS('외운 것 - 엑셀다운로드 파일(붙여넣기)'!A3:A562,A358,'외운 것 - 엑셀다운로드 파일(붙여넣기)'!D3:D562,0)</f>
        <v>0</v>
      </c>
      <c r="L358" s="9" cm="1">
        <f t="array" ref="L358">IF(J358&gt;=3,_xlfn.XLOOKUP(A358,'외운 것 - 엑셀다운로드 파일(붙여넣기)'!A3:A562,'외운 것 - 엑셀다운로드 파일(붙여넣기)'!C3:C562,0,-1),0)</f>
        <v>0</v>
      </c>
    </row>
    <row r="359" ht="38.45" customHeight="1">
      <c r="A359" s="3">
        <v>358</v>
      </c>
      <c r="B359" t="s" s="4">
        <v>2289</v>
      </c>
      <c r="C359" t="s" s="5">
        <v>2251</v>
      </c>
      <c r="D359" t="s" s="5">
        <v>2252</v>
      </c>
      <c r="E359" t="s" s="5">
        <v>2290</v>
      </c>
      <c r="F359" t="s" s="10">
        <v>2291</v>
      </c>
      <c r="G359" t="s" s="7">
        <v>2292</v>
      </c>
      <c r="H359" t="s" s="7">
        <v>2293</v>
      </c>
      <c r="I359" t="str" s="8" cm="1">
        <f t="array" ref="I359">SUBSTITUTE(H359,B359,"(          )")</f>
        <v>The concert will (          ) at 8:00 PM.</v>
      </c>
      <c r="J359" s="9" cm="1">
        <f t="array" ref="J359">SUMIF('외운 것 - 엑셀다운로드 파일(붙여넣기)'!A3:A562,A359,'외운 것 - 엑셀다운로드 파일(붙여넣기)'!D3:D562)</f>
        <v>0</v>
      </c>
      <c r="K359" s="9" cm="1">
        <f t="array" ref="K359">_xlfn.COUNTIFS('외운 것 - 엑셀다운로드 파일(붙여넣기)'!A3:A562,A359,'외운 것 - 엑셀다운로드 파일(붙여넣기)'!D3:D562,0)</f>
        <v>0</v>
      </c>
      <c r="L359" s="9" cm="1">
        <f t="array" ref="L359">IF(J359&gt;=3,_xlfn.XLOOKUP(A359,'외운 것 - 엑셀다운로드 파일(붙여넣기)'!A3:A562,'외운 것 - 엑셀다운로드 파일(붙여넣기)'!C3:C562,0,-1),0)</f>
        <v>0</v>
      </c>
    </row>
    <row r="360" ht="23.45" customHeight="1">
      <c r="A360" s="3">
        <v>359</v>
      </c>
      <c r="B360" t="s" s="4">
        <v>2295</v>
      </c>
      <c r="C360" t="s" s="5">
        <v>2251</v>
      </c>
      <c r="D360" t="s" s="5">
        <v>2252</v>
      </c>
      <c r="E360" t="s" s="5">
        <v>2296</v>
      </c>
      <c r="F360" t="s" s="10">
        <v>2297</v>
      </c>
      <c r="G360" t="s" s="7">
        <v>2298</v>
      </c>
      <c r="H360" t="s" s="7">
        <v>2299</v>
      </c>
      <c r="I360" t="str" s="8" cm="1">
        <f t="array" ref="I360">SUBSTITUTE(H360,B360,"(          )")</f>
        <v>Athletes from many countries (          ) in the Olympics.</v>
      </c>
      <c r="J360" s="9" cm="1">
        <f t="array" ref="J360">SUMIF('외운 것 - 엑셀다운로드 파일(붙여넣기)'!A3:A562,A360,'외운 것 - 엑셀다운로드 파일(붙여넣기)'!D3:D562)</f>
        <v>0</v>
      </c>
      <c r="K360" s="9" cm="1">
        <f t="array" ref="K360">_xlfn.COUNTIFS('외운 것 - 엑셀다운로드 파일(붙여넣기)'!A3:A562,A360,'외운 것 - 엑셀다운로드 파일(붙여넣기)'!D3:D562,0)</f>
        <v>0</v>
      </c>
      <c r="L360" s="9" cm="1">
        <f t="array" ref="L360">IF(J360&gt;=3,_xlfn.XLOOKUP(A360,'외운 것 - 엑셀다운로드 파일(붙여넣기)'!A3:A562,'외운 것 - 엑셀다운로드 파일(붙여넣기)'!C3:C562,0,-1),0)</f>
        <v>0</v>
      </c>
    </row>
    <row r="361" ht="38.45" customHeight="1">
      <c r="A361" s="3">
        <v>360</v>
      </c>
      <c r="B361" t="s" s="4">
        <v>2301</v>
      </c>
      <c r="C361" t="s" s="5">
        <v>2251</v>
      </c>
      <c r="D361" t="s" s="5">
        <v>2252</v>
      </c>
      <c r="E361" t="s" s="5">
        <v>2302</v>
      </c>
      <c r="F361" t="s" s="10">
        <v>2303</v>
      </c>
      <c r="G361" t="s" s="7">
        <v>2304</v>
      </c>
      <c r="H361" t="s" s="7">
        <v>2305</v>
      </c>
      <c r="I361" t="str" s="8" cm="1">
        <f t="array" ref="I361">SUBSTITUTE(H361,B361,"(          )")</f>
        <v>International (          ) has increased with globalization.</v>
      </c>
      <c r="J361" s="9" cm="1">
        <f t="array" ref="J361">SUMIF('외운 것 - 엑셀다운로드 파일(붙여넣기)'!A3:A562,A361,'외운 것 - 엑셀다운로드 파일(붙여넣기)'!D3:D562)</f>
        <v>0</v>
      </c>
      <c r="K361" s="9" cm="1">
        <f t="array" ref="K361">_xlfn.COUNTIFS('외운 것 - 엑셀다운로드 파일(붙여넣기)'!A3:A562,A361,'외운 것 - 엑셀다운로드 파일(붙여넣기)'!D3:D562,0)</f>
        <v>0</v>
      </c>
      <c r="L361" s="9" cm="1">
        <f t="array" ref="L361">IF(J361&gt;=3,_xlfn.XLOOKUP(A361,'외운 것 - 엑셀다운로드 파일(붙여넣기)'!A3:A562,'외운 것 - 엑셀다운로드 파일(붙여넣기)'!C3:C562,0,-1),0)</f>
        <v>0</v>
      </c>
    </row>
    <row r="362" ht="23.45" customHeight="1">
      <c r="A362" s="3">
        <v>361</v>
      </c>
      <c r="B362" t="s" s="4">
        <v>2307</v>
      </c>
      <c r="C362" t="s" s="5">
        <v>2251</v>
      </c>
      <c r="D362" t="s" s="5">
        <v>2252</v>
      </c>
      <c r="E362" t="s" s="5">
        <v>2308</v>
      </c>
      <c r="F362" t="s" s="10">
        <v>2309</v>
      </c>
      <c r="G362" t="s" s="7">
        <v>2310</v>
      </c>
      <c r="H362" t="s" s="7">
        <v>2311</v>
      </c>
      <c r="I362" t="str" s="8" cm="1">
        <f t="array" ref="I362">SUBSTITUTE(H362,B362,"(          )")</f>
        <v>Let's (          ) prices before making a decision.</v>
      </c>
      <c r="J362" s="9" cm="1">
        <f t="array" ref="J362">SUMIF('외운 것 - 엑셀다운로드 파일(붙여넣기)'!A3:A562,A362,'외운 것 - 엑셀다운로드 파일(붙여넣기)'!D3:D562)</f>
        <v>0</v>
      </c>
      <c r="K362" s="9" cm="1">
        <f t="array" ref="K362">_xlfn.COUNTIFS('외운 것 - 엑셀다운로드 파일(붙여넣기)'!A3:A562,A362,'외운 것 - 엑셀다운로드 파일(붙여넣기)'!D3:D562,0)</f>
        <v>0</v>
      </c>
      <c r="L362" s="9" cm="1">
        <f t="array" ref="L362">IF(J362&gt;=3,_xlfn.XLOOKUP(A362,'외운 것 - 엑셀다운로드 파일(붙여넣기)'!A3:A562,'외운 것 - 엑셀다운로드 파일(붙여넣기)'!C3:C562,0,-1),0)</f>
        <v>0</v>
      </c>
    </row>
    <row r="363" ht="38.45" customHeight="1">
      <c r="A363" s="3">
        <v>362</v>
      </c>
      <c r="B363" t="s" s="4">
        <v>2313</v>
      </c>
      <c r="C363" t="s" s="5">
        <v>2251</v>
      </c>
      <c r="D363" t="s" s="5">
        <v>2252</v>
      </c>
      <c r="E363" t="s" s="5">
        <v>2314</v>
      </c>
      <c r="F363" t="s" s="10">
        <v>2315</v>
      </c>
      <c r="G363" t="s" s="7">
        <v>2316</v>
      </c>
      <c r="H363" t="s" s="7">
        <v>2317</v>
      </c>
      <c r="I363" t="str" s="8" cm="1">
        <f t="array" ref="I363">SUBSTITUTE(H363,B363,"(          )")</f>
        <v>The company will (          ) employees for overtime work.</v>
      </c>
      <c r="J363" s="9" cm="1">
        <f t="array" ref="J363">SUMIF('외운 것 - 엑셀다운로드 파일(붙여넣기)'!A3:A562,A363,'외운 것 - 엑셀다운로드 파일(붙여넣기)'!D3:D562)</f>
        <v>0</v>
      </c>
      <c r="K363" s="9" cm="1">
        <f t="array" ref="K363">_xlfn.COUNTIFS('외운 것 - 엑셀다운로드 파일(붙여넣기)'!A3:A562,A363,'외운 것 - 엑셀다운로드 파일(붙여넣기)'!D3:D562,0)</f>
        <v>0</v>
      </c>
      <c r="L363" s="9" cm="1">
        <f t="array" ref="L363">IF(J363&gt;=3,_xlfn.XLOOKUP(A363,'외운 것 - 엑셀다운로드 파일(붙여넣기)'!A3:A562,'외운 것 - 엑셀다운로드 파일(붙여넣기)'!C3:C562,0,-1),0)</f>
        <v>0</v>
      </c>
    </row>
    <row r="364" ht="38.45" customHeight="1">
      <c r="A364" s="3">
        <v>363</v>
      </c>
      <c r="B364" t="s" s="4">
        <v>2319</v>
      </c>
      <c r="C364" t="s" s="5">
        <v>2251</v>
      </c>
      <c r="D364" t="s" s="5">
        <v>2252</v>
      </c>
      <c r="E364" t="s" s="5">
        <v>2320</v>
      </c>
      <c r="F364" t="s" s="10">
        <v>2321</v>
      </c>
      <c r="G364" t="s" s="7">
        <v>2322</v>
      </c>
      <c r="H364" t="s" s="7">
        <v>2323</v>
      </c>
      <c r="I364" t="str" s="8" cm="1">
        <f t="array" ref="I364">SUBSTITUTE(H364,B364,"(          )")</f>
        <v>Coffee is an important (          ) for many countries.</v>
      </c>
      <c r="J364" s="9" cm="1">
        <f t="array" ref="J364">SUMIF('외운 것 - 엑셀다운로드 파일(붙여넣기)'!A3:A562,A364,'외운 것 - 엑셀다운로드 파일(붙여넣기)'!D3:D562)</f>
        <v>0</v>
      </c>
      <c r="K364" s="9" cm="1">
        <f t="array" ref="K364">_xlfn.COUNTIFS('외운 것 - 엑셀다운로드 파일(붙여넣기)'!A3:A562,A364,'외운 것 - 엑셀다운로드 파일(붙여넣기)'!D3:D562,0)</f>
        <v>0</v>
      </c>
      <c r="L364" s="9" cm="1">
        <f t="array" ref="L364">IF(J364&gt;=3,_xlfn.XLOOKUP(A364,'외운 것 - 엑셀다운로드 파일(붙여넣기)'!A3:A562,'외운 것 - 엑셀다운로드 파일(붙여넣기)'!C3:C562,0,-1),0)</f>
        <v>0</v>
      </c>
    </row>
    <row r="365" ht="38.45" customHeight="1">
      <c r="A365" s="3">
        <v>364</v>
      </c>
      <c r="B365" t="s" s="4">
        <v>2325</v>
      </c>
      <c r="C365" t="s" s="5">
        <v>2326</v>
      </c>
      <c r="D365" t="s" s="5">
        <v>2327</v>
      </c>
      <c r="E365" t="s" s="5">
        <v>2328</v>
      </c>
      <c r="F365" t="s" s="10">
        <v>2329</v>
      </c>
      <c r="G365" t="s" s="7">
        <v>2330</v>
      </c>
      <c r="H365" t="s" s="7">
        <v>2331</v>
      </c>
      <c r="I365" t="str" s="8" cm="1">
        <f t="array" ref="I365">SUBSTITUTE(H365,B365,"(          )")</f>
        <v>We have tickets for the rock (          ) next weekend.</v>
      </c>
      <c r="J365" s="9" cm="1">
        <f t="array" ref="J365">SUMIF('외운 것 - 엑셀다운로드 파일(붙여넣기)'!A3:A562,A365,'외운 것 - 엑셀다운로드 파일(붙여넣기)'!D3:D562)</f>
        <v>0</v>
      </c>
      <c r="K365" s="9" cm="1">
        <f t="array" ref="K365">_xlfn.COUNTIFS('외운 것 - 엑셀다운로드 파일(붙여넣기)'!A3:A562,A365,'외운 것 - 엑셀다운로드 파일(붙여넣기)'!D3:D562,0)</f>
        <v>0</v>
      </c>
      <c r="L365" s="9" cm="1">
        <f t="array" ref="L365">IF(J365&gt;=3,_xlfn.XLOOKUP(A365,'외운 것 - 엑셀다운로드 파일(붙여넣기)'!A3:A562,'외운 것 - 엑셀다운로드 파일(붙여넣기)'!C3:C562,0,-1),0)</f>
        <v>0</v>
      </c>
    </row>
    <row r="366" ht="38.45" customHeight="1">
      <c r="A366" s="3">
        <v>365</v>
      </c>
      <c r="B366" t="s" s="4">
        <v>2333</v>
      </c>
      <c r="C366" t="s" s="5">
        <v>2326</v>
      </c>
      <c r="D366" t="s" s="5">
        <v>2327</v>
      </c>
      <c r="E366" t="s" s="5">
        <v>2334</v>
      </c>
      <c r="F366" t="s" s="10">
        <v>2335</v>
      </c>
      <c r="G366" t="s" s="7">
        <v>2336</v>
      </c>
      <c r="H366" t="s" s="7">
        <v>2337</v>
      </c>
      <c r="I366" t="str" s="8" cm="1">
        <f t="array" ref="I366">SUBSTITUTE(H366,B366,"(          )")</f>
        <v>Environmental pollution is a major (          ) worldwide.</v>
      </c>
      <c r="J366" s="9" cm="1">
        <f t="array" ref="J366">SUMIF('외운 것 - 엑셀다운로드 파일(붙여넣기)'!A3:A562,A366,'외운 것 - 엑셀다운로드 파일(붙여넣기)'!D3:D562)</f>
        <v>0</v>
      </c>
      <c r="K366" s="9" cm="1">
        <f t="array" ref="K366">_xlfn.COUNTIFS('외운 것 - 엑셀다운로드 파일(붙여넣기)'!A3:A562,A366,'외운 것 - 엑셀다운로드 파일(붙여넣기)'!D3:D562,0)</f>
        <v>0</v>
      </c>
      <c r="L366" s="9" cm="1">
        <f t="array" ref="L366">IF(J366&gt;=3,_xlfn.XLOOKUP(A366,'외운 것 - 엑셀다운로드 파일(붙여넣기)'!A3:A562,'외운 것 - 엑셀다운로드 파일(붙여넣기)'!C3:C562,0,-1),0)</f>
        <v>0</v>
      </c>
    </row>
    <row r="367" ht="38.45" customHeight="1">
      <c r="A367" s="3">
        <v>366</v>
      </c>
      <c r="B367" t="s" s="4">
        <v>2339</v>
      </c>
      <c r="C367" t="s" s="5">
        <v>2326</v>
      </c>
      <c r="D367" t="s" s="5">
        <v>2327</v>
      </c>
      <c r="E367" t="s" s="5">
        <v>2340</v>
      </c>
      <c r="F367" t="s" s="10">
        <v>2341</v>
      </c>
      <c r="G367" t="s" s="7">
        <v>2342</v>
      </c>
      <c r="H367" t="s" s="7">
        <v>2343</v>
      </c>
      <c r="I367" t="str" s="8" cm="1">
        <f t="array" ref="I367">SUBSTITUTE(H367,B367,"(          )")</f>
        <v>The pilot must maintain (          ) of the aircraft at all times.</v>
      </c>
      <c r="J367" s="9" cm="1">
        <f t="array" ref="J367">SUMIF('외운 것 - 엑셀다운로드 파일(붙여넣기)'!A3:A562,A367,'외운 것 - 엑셀다운로드 파일(붙여넣기)'!D3:D562)</f>
        <v>0</v>
      </c>
      <c r="K367" s="9" cm="1">
        <f t="array" ref="K367">_xlfn.COUNTIFS('외운 것 - 엑셀다운로드 파일(붙여넣기)'!A3:A562,A367,'외운 것 - 엑셀다운로드 파일(붙여넣기)'!D3:D562,0)</f>
        <v>0</v>
      </c>
      <c r="L367" s="9" cm="1">
        <f t="array" ref="L367">IF(J367&gt;=3,_xlfn.XLOOKUP(A367,'외운 것 - 엑셀다운로드 파일(붙여넣기)'!A3:A562,'외운 것 - 엑셀다운로드 파일(붙여넣기)'!C3:C562,0,-1),0)</f>
        <v>0</v>
      </c>
    </row>
    <row r="368" ht="38.45" customHeight="1">
      <c r="A368" s="3">
        <v>367</v>
      </c>
      <c r="B368" t="s" s="4">
        <v>2345</v>
      </c>
      <c r="C368" t="s" s="5">
        <v>2326</v>
      </c>
      <c r="D368" t="s" s="5">
        <v>2327</v>
      </c>
      <c r="E368" t="s" s="5">
        <v>2346</v>
      </c>
      <c r="F368" t="s" s="10">
        <v>2347</v>
      </c>
      <c r="G368" t="s" s="7">
        <v>2348</v>
      </c>
      <c r="H368" t="s" s="7">
        <v>2349</v>
      </c>
      <c r="I368" t="str" s="8" cm="1">
        <f t="array" ref="I368">SUBSTITUTE(H368,B368,"(          )")</f>
        <v>The foundation of the building is made of (          ).</v>
      </c>
      <c r="J368" s="9" cm="1">
        <f t="array" ref="J368">SUMIF('외운 것 - 엑셀다운로드 파일(붙여넣기)'!A3:A562,A368,'외운 것 - 엑셀다운로드 파일(붙여넣기)'!D3:D562)</f>
        <v>0</v>
      </c>
      <c r="K368" s="9" cm="1">
        <f t="array" ref="K368">_xlfn.COUNTIFS('외운 것 - 엑셀다운로드 파일(붙여넣기)'!A3:A562,A368,'외운 것 - 엑셀다운로드 파일(붙여넣기)'!D3:D562,0)</f>
        <v>0</v>
      </c>
      <c r="L368" s="9" cm="1">
        <f t="array" ref="L368">IF(J368&gt;=3,_xlfn.XLOOKUP(A368,'외운 것 - 엑셀다운로드 파일(붙여넣기)'!A3:A562,'외운 것 - 엑셀다운로드 파일(붙여넣기)'!C3:C562,0,-1),0)</f>
        <v>0</v>
      </c>
    </row>
    <row r="369" ht="38.45" customHeight="1">
      <c r="A369" s="3">
        <v>368</v>
      </c>
      <c r="B369" t="s" s="4">
        <v>2351</v>
      </c>
      <c r="C369" t="s" s="5">
        <v>2326</v>
      </c>
      <c r="D369" t="s" s="5">
        <v>2327</v>
      </c>
      <c r="E369" t="s" s="5">
        <v>2352</v>
      </c>
      <c r="F369" t="s" s="10">
        <v>2353</v>
      </c>
      <c r="G369" t="s" s="7">
        <v>2354</v>
      </c>
      <c r="H369" t="s" s="7">
        <v>2355</v>
      </c>
      <c r="I369" t="str" s="8" cm="1">
        <f t="array" ref="I369">SUBSTITUTE(H369,B369,"(          )")</f>
        <v>Are you (          ) with your current job?</v>
      </c>
      <c r="J369" s="9" cm="1">
        <f t="array" ref="J369">SUMIF('외운 것 - 엑셀다운로드 파일(붙여넣기)'!A3:A562,A369,'외운 것 - 엑셀다운로드 파일(붙여넣기)'!D3:D562)</f>
        <v>0</v>
      </c>
      <c r="K369" s="9" cm="1">
        <f t="array" ref="K369">_xlfn.COUNTIFS('외운 것 - 엑셀다운로드 파일(붙여넣기)'!A3:A562,A369,'외운 것 - 엑셀다운로드 파일(붙여넣기)'!D3:D562,0)</f>
        <v>0</v>
      </c>
      <c r="L369" s="9" cm="1">
        <f t="array" ref="L369">IF(J369&gt;=3,_xlfn.XLOOKUP(A369,'외운 것 - 엑셀다운로드 파일(붙여넣기)'!A3:A562,'외운 것 - 엑셀다운로드 파일(붙여넣기)'!C3:C562,0,-1),0)</f>
        <v>0</v>
      </c>
    </row>
    <row r="370" ht="38.45" customHeight="1">
      <c r="A370" s="3">
        <v>369</v>
      </c>
      <c r="B370" t="s" s="4">
        <v>2357</v>
      </c>
      <c r="C370" t="s" s="5">
        <v>2326</v>
      </c>
      <c r="D370" t="s" s="5">
        <v>2327</v>
      </c>
      <c r="E370" t="s" s="5">
        <v>2358</v>
      </c>
      <c r="F370" t="s" s="10">
        <v>2359</v>
      </c>
      <c r="G370" t="s" s="7">
        <v>2360</v>
      </c>
      <c r="H370" t="s" s="7">
        <v>2361</v>
      </c>
      <c r="I370" t="str" s="8" cm="1">
        <f t="array" ref="I370">SUBSTITUTE(H370,B370,"(          )")</f>
        <v>The company plans to (          ) its operations in one location.</v>
      </c>
      <c r="J370" s="9" cm="1">
        <f t="array" ref="J370">SUMIF('외운 것 - 엑셀다운로드 파일(붙여넣기)'!A3:A562,A370,'외운 것 - 엑셀다운로드 파일(붙여넣기)'!D3:D562)</f>
        <v>0</v>
      </c>
      <c r="K370" s="9" cm="1">
        <f t="array" ref="K370">_xlfn.COUNTIFS('외운 것 - 엑셀다운로드 파일(붙여넣기)'!A3:A562,A370,'외운 것 - 엑셀다운로드 파일(붙여넣기)'!D3:D562,0)</f>
        <v>0</v>
      </c>
      <c r="L370" s="9" cm="1">
        <f t="array" ref="L370">IF(J370&gt;=3,_xlfn.XLOOKUP(A370,'외운 것 - 엑셀다운로드 파일(붙여넣기)'!A3:A562,'외운 것 - 엑셀다운로드 파일(붙여넣기)'!C3:C562,0,-1),0)</f>
        <v>0</v>
      </c>
    </row>
    <row r="371" ht="23.45" customHeight="1">
      <c r="A371" s="3">
        <v>370</v>
      </c>
      <c r="B371" t="s" s="4">
        <v>2363</v>
      </c>
      <c r="C371" t="s" s="5">
        <v>2364</v>
      </c>
      <c r="D371" t="s" s="5">
        <v>2365</v>
      </c>
      <c r="E371" t="s" s="5">
        <v>2366</v>
      </c>
      <c r="F371" t="s" s="10">
        <v>2367</v>
      </c>
      <c r="G371" t="s" s="7">
        <v>2368</v>
      </c>
      <c r="H371" t="s" s="7">
        <v>2369</v>
      </c>
      <c r="I371" t="str" s="8" cm="1">
        <f t="array" ref="I371">SUBSTITUTE(H371,B371,"(          )")</f>
        <v>The (          ) of the apple contains seeds.</v>
      </c>
      <c r="J371" s="9" cm="1">
        <f t="array" ref="J371">SUMIF('외운 것 - 엑셀다운로드 파일(붙여넣기)'!A3:A562,A371,'외운 것 - 엑셀다운로드 파일(붙여넣기)'!D3:D562)</f>
        <v>0</v>
      </c>
      <c r="K371" s="9" cm="1">
        <f t="array" ref="K371">_xlfn.COUNTIFS('외운 것 - 엑셀다운로드 파일(붙여넣기)'!A3:A562,A371,'외운 것 - 엑셀다운로드 파일(붙여넣기)'!D3:D562,0)</f>
        <v>0</v>
      </c>
      <c r="L371" s="9" cm="1">
        <f t="array" ref="L371">IF(J371&gt;=3,_xlfn.XLOOKUP(A371,'외운 것 - 엑셀다운로드 파일(붙여넣기)'!A3:A562,'외운 것 - 엑셀다운로드 파일(붙여넣기)'!C3:C562,0,-1),0)</f>
        <v>0</v>
      </c>
    </row>
    <row r="372" ht="38.45" customHeight="1">
      <c r="A372" s="3">
        <v>371</v>
      </c>
      <c r="B372" t="s" s="4">
        <v>2371</v>
      </c>
      <c r="C372" t="s" s="5">
        <v>2364</v>
      </c>
      <c r="D372" t="s" s="5">
        <v>2365</v>
      </c>
      <c r="E372" t="s" s="5">
        <v>2372</v>
      </c>
      <c r="F372" t="s" s="10">
        <v>2373</v>
      </c>
      <c r="G372" t="s" s="7">
        <v>2374</v>
      </c>
      <c r="H372" t="s" s="7">
        <v>2375</v>
      </c>
      <c r="I372" t="str" s="8" cm="1">
        <f t="array" ref="I372">SUBSTITUTE(H372,B372,"(          )")</f>
        <v>The host gave us a (          ) welcome.</v>
      </c>
      <c r="J372" s="9" cm="1">
        <f t="array" ref="J372">SUMIF('외운 것 - 엑셀다운로드 파일(붙여넣기)'!A3:A562,A372,'외운 것 - 엑셀다운로드 파일(붙여넣기)'!D3:D562)</f>
        <v>0</v>
      </c>
      <c r="K372" s="9" cm="1">
        <f t="array" ref="K372">_xlfn.COUNTIFS('외운 것 - 엑셀다운로드 파일(붙여넣기)'!A3:A562,A372,'외운 것 - 엑셀다운로드 파일(붙여넣기)'!D3:D562,0)</f>
        <v>0</v>
      </c>
      <c r="L372" s="9" cm="1">
        <f t="array" ref="L372">IF(J372&gt;=3,_xlfn.XLOOKUP(A372,'외운 것 - 엑셀다운로드 파일(붙여넣기)'!A3:A562,'외운 것 - 엑셀다운로드 파일(붙여넣기)'!C3:C562,0,-1),0)</f>
        <v>0</v>
      </c>
    </row>
    <row r="373" ht="36.4" customHeight="1">
      <c r="A373" s="3">
        <v>372</v>
      </c>
      <c r="B373" t="s" s="4">
        <v>2377</v>
      </c>
      <c r="C373" t="s" s="5">
        <v>2378</v>
      </c>
      <c r="D373" t="s" s="5">
        <v>2364</v>
      </c>
      <c r="E373" t="s" s="5">
        <v>2379</v>
      </c>
      <c r="F373" t="s" s="10">
        <v>2380</v>
      </c>
      <c r="G373" t="s" s="7">
        <v>2381</v>
      </c>
      <c r="H373" t="s" s="7">
        <v>2382</v>
      </c>
      <c r="I373" t="str" s="8" cm="1">
        <f t="array" ref="I373">SUBSTITUTE(H373,B373,"(          )")</f>
        <v>You are (          ) invited to attend the wedding ceremony.</v>
      </c>
      <c r="J373" s="9" cm="1">
        <f t="array" ref="J373">SUMIF('외운 것 - 엑셀다운로드 파일(붙여넣기)'!A3:A562,A373,'외운 것 - 엑셀다운로드 파일(붙여넣기)'!D3:D562)</f>
        <v>0</v>
      </c>
      <c r="K373" s="9" cm="1">
        <f t="array" ref="K373">_xlfn.COUNTIFS('외운 것 - 엑셀다운로드 파일(붙여넣기)'!A3:A562,A373,'외운 것 - 엑셀다운로드 파일(붙여넣기)'!D3:D562,0)</f>
        <v>0</v>
      </c>
      <c r="L373" s="9" cm="1">
        <f t="array" ref="L373">IF(J373&gt;=3,_xlfn.XLOOKUP(A373,'외운 것 - 엑셀다운로드 파일(붙여넣기)'!A3:A562,'외운 것 - 엑셀다운로드 파일(붙여넣기)'!C3:C562,0,-1),0)</f>
        <v>0</v>
      </c>
    </row>
    <row r="374" ht="23.45" customHeight="1">
      <c r="A374" s="3">
        <v>373</v>
      </c>
      <c r="B374" t="s" s="4">
        <v>2384</v>
      </c>
      <c r="C374" t="s" s="5">
        <v>2385</v>
      </c>
      <c r="D374" t="s" s="5">
        <v>2364</v>
      </c>
      <c r="E374" t="s" s="5">
        <v>2386</v>
      </c>
      <c r="F374" t="s" s="10">
        <v>2387</v>
      </c>
      <c r="G374" t="s" s="7">
        <v>2388</v>
      </c>
      <c r="H374" t="s" s="7">
        <v>2389</v>
      </c>
      <c r="I374" t="str" s="8" cm="1">
        <f t="array" ref="I374">SUBSTITUTE(H374,B374,"(          )")</f>
        <v>It takes (          ) to stand up for what you believe in.</v>
      </c>
      <c r="J374" s="9" cm="1">
        <f t="array" ref="J374">SUMIF('외운 것 - 엑셀다운로드 파일(붙여넣기)'!A3:A562,A374,'외운 것 - 엑셀다운로드 파일(붙여넣기)'!D3:D562)</f>
        <v>0</v>
      </c>
      <c r="K374" s="9" cm="1">
        <f t="array" ref="K374">_xlfn.COUNTIFS('외운 것 - 엑셀다운로드 파일(붙여넣기)'!A3:A562,A374,'외운 것 - 엑셀다운로드 파일(붙여넣기)'!D3:D562,0)</f>
        <v>0</v>
      </c>
      <c r="L374" s="9" cm="1">
        <f t="array" ref="L374">IF(J374&gt;=3,_xlfn.XLOOKUP(A374,'외운 것 - 엑셀다운로드 파일(붙여넣기)'!A3:A562,'외운 것 - 엑셀다운로드 파일(붙여넣기)'!C3:C562,0,-1),0)</f>
        <v>0</v>
      </c>
    </row>
    <row r="375" ht="23.45" customHeight="1">
      <c r="A375" s="3">
        <v>374</v>
      </c>
      <c r="B375" t="s" s="4">
        <v>2391</v>
      </c>
      <c r="C375" t="s" s="5">
        <v>2385</v>
      </c>
      <c r="D375" t="s" s="5">
        <v>2364</v>
      </c>
      <c r="E375" t="s" s="5">
        <v>2392</v>
      </c>
      <c r="F375" t="s" s="10">
        <v>2393</v>
      </c>
      <c r="G375" t="s" s="7">
        <v>2394</v>
      </c>
      <c r="H375" t="s" s="7">
        <v>2395</v>
      </c>
      <c r="I375" t="str" s="8" cm="1">
        <f t="array" ref="I375">SUBSTITUTE(H375,B375,"(          )")</f>
        <v>Parents should (          ) their children to read.</v>
      </c>
      <c r="J375" s="9" cm="1">
        <f t="array" ref="J375">SUMIF('외운 것 - 엑셀다운로드 파일(붙여넣기)'!A3:A562,A375,'외운 것 - 엑셀다운로드 파일(붙여넣기)'!D3:D562)</f>
        <v>0</v>
      </c>
      <c r="K375" s="9" cm="1">
        <f t="array" ref="K375">_xlfn.COUNTIFS('외운 것 - 엑셀다운로드 파일(붙여넣기)'!A3:A562,A375,'외운 것 - 엑셀다운로드 파일(붙여넣기)'!D3:D562,0)</f>
        <v>0</v>
      </c>
      <c r="L375" s="9" cm="1">
        <f t="array" ref="L375">IF(J375&gt;=3,_xlfn.XLOOKUP(A375,'외운 것 - 엑셀다운로드 파일(붙여넣기)'!A3:A562,'외운 것 - 엑셀다운로드 파일(붙여넣기)'!C3:C562,0,-1),0)</f>
        <v>0</v>
      </c>
    </row>
    <row r="376" ht="38.45" customHeight="1">
      <c r="A376" s="3">
        <v>375</v>
      </c>
      <c r="B376" t="s" s="4">
        <v>2397</v>
      </c>
      <c r="C376" t="s" s="5">
        <v>2385</v>
      </c>
      <c r="D376" t="s" s="5">
        <v>2364</v>
      </c>
      <c r="E376" t="s" s="5">
        <v>2398</v>
      </c>
      <c r="F376" t="s" s="10">
        <v>2399</v>
      </c>
      <c r="G376" t="s" s="7">
        <v>2400</v>
      </c>
      <c r="H376" t="s" s="7">
        <v>2401</v>
      </c>
      <c r="I376" t="str" s="8" cm="1">
        <f t="array" ref="I376">SUBSTITUTE(H376,B376,"(          )")</f>
        <v>High prices (          ) many potential buyers.</v>
      </c>
      <c r="J376" s="9" cm="1">
        <f t="array" ref="J376">SUMIF('외운 것 - 엑셀다운로드 파일(붙여넣기)'!A3:A562,A376,'외운 것 - 엑셀다운로드 파일(붙여넣기)'!D3:D562)</f>
        <v>0</v>
      </c>
      <c r="K376" s="9" cm="1">
        <f t="array" ref="K376">_xlfn.COUNTIFS('외운 것 - 엑셀다운로드 파일(붙여넣기)'!A3:A562,A376,'외운 것 - 엑셀다운로드 파일(붙여넣기)'!D3:D562,0)</f>
        <v>0</v>
      </c>
      <c r="L376" s="9" cm="1">
        <f t="array" ref="L376">IF(J376&gt;=3,_xlfn.XLOOKUP(A376,'외운 것 - 엑셀다운로드 파일(붙여넣기)'!A3:A562,'외운 것 - 엑셀다운로드 파일(붙여넣기)'!C3:C562,0,-1),0)</f>
        <v>0</v>
      </c>
    </row>
    <row r="377" ht="23.45" customHeight="1">
      <c r="A377" s="3">
        <v>376</v>
      </c>
      <c r="B377" t="s" s="4">
        <v>2403</v>
      </c>
      <c r="C377" t="s" s="5">
        <v>2364</v>
      </c>
      <c r="D377" t="s" s="5">
        <v>2365</v>
      </c>
      <c r="E377" t="s" s="5">
        <v>2404</v>
      </c>
      <c r="F377" t="s" s="10">
        <v>2405</v>
      </c>
      <c r="G377" t="s" s="7">
        <v>2406</v>
      </c>
      <c r="H377" t="s" s="7">
        <v>2407</v>
      </c>
      <c r="I377" t="str" s="8" cm="1">
        <f t="array" ref="I377">SUBSTITUTE(H377,B377,"(          )")</f>
        <v>The electrical (          ) is too short to reach the outlet.</v>
      </c>
      <c r="J377" s="9" cm="1">
        <f t="array" ref="J377">SUMIF('외운 것 - 엑셀다운로드 파일(붙여넣기)'!A3:A562,A377,'외운 것 - 엑셀다운로드 파일(붙여넣기)'!D3:D562)</f>
        <v>0</v>
      </c>
      <c r="K377" s="9" cm="1">
        <f t="array" ref="K377">_xlfn.COUNTIFS('외운 것 - 엑셀다운로드 파일(붙여넣기)'!A3:A562,A377,'외운 것 - 엑셀다운로드 파일(붙여넣기)'!D3:D562,0)</f>
        <v>0</v>
      </c>
      <c r="L377" s="9" cm="1">
        <f t="array" ref="L377">IF(J377&gt;=3,_xlfn.XLOOKUP(A377,'외운 것 - 엑셀다운로드 파일(붙여넣기)'!A3:A562,'외운 것 - 엑셀다운로드 파일(붙여넣기)'!C3:C562,0,-1),0)</f>
        <v>0</v>
      </c>
    </row>
    <row r="378" ht="23.45" customHeight="1">
      <c r="A378" s="3">
        <v>377</v>
      </c>
      <c r="B378" t="s" s="4">
        <v>2409</v>
      </c>
      <c r="C378" t="s" s="5">
        <v>2403</v>
      </c>
      <c r="D378" t="s" s="5">
        <v>2410</v>
      </c>
      <c r="E378" t="s" s="5">
        <v>2404</v>
      </c>
      <c r="F378" t="s" s="10">
        <v>2411</v>
      </c>
      <c r="G378" t="s" s="7">
        <v>2412</v>
      </c>
      <c r="H378" t="s" s="7">
        <v>2413</v>
      </c>
      <c r="I378" t="str" s="8" cm="1">
        <f t="array" ref="I378">SUBSTITUTE(H378,B378,"(          )")</f>
        <v>He played a G major (          ) on the guitar.</v>
      </c>
      <c r="J378" s="9" cm="1">
        <f t="array" ref="J378">SUMIF('외운 것 - 엑셀다운로드 파일(붙여넣기)'!A3:A562,A378,'외운 것 - 엑셀다운로드 파일(붙여넣기)'!D3:D562)</f>
        <v>0</v>
      </c>
      <c r="K378" s="9" cm="1">
        <f t="array" ref="K378">_xlfn.COUNTIFS('외운 것 - 엑셀다운로드 파일(붙여넣기)'!A3:A562,A378,'외운 것 - 엑셀다운로드 파일(붙여넣기)'!D3:D562,0)</f>
        <v>0</v>
      </c>
      <c r="L378" s="9" cm="1">
        <f t="array" ref="L378">IF(J378&gt;=3,_xlfn.XLOOKUP(A378,'외운 것 - 엑셀다운로드 파일(붙여넣기)'!A3:A562,'외운 것 - 엑셀다운로드 파일(붙여넣기)'!C3:C562,0,-1),0)</f>
        <v>0</v>
      </c>
    </row>
    <row r="379" ht="38.45" customHeight="1">
      <c r="A379" s="3">
        <v>378</v>
      </c>
      <c r="B379" t="s" s="4">
        <v>2415</v>
      </c>
      <c r="C379" t="s" s="5">
        <v>2403</v>
      </c>
      <c r="D379" t="s" s="5">
        <v>2410</v>
      </c>
      <c r="E379" t="s" s="5">
        <v>2416</v>
      </c>
      <c r="F379" t="s" s="10">
        <v>2417</v>
      </c>
      <c r="G379" t="s" s="7">
        <v>2418</v>
      </c>
      <c r="H379" t="s" s="7">
        <v>2419</v>
      </c>
      <c r="I379" t="str" s="8" cm="1">
        <f t="array" ref="I379">SUBSTITUTE(H379,B379,"(          )")</f>
        <v>The treaty established (          ) between the two nations.</v>
      </c>
      <c r="J379" s="9" cm="1">
        <f t="array" ref="J379">SUMIF('외운 것 - 엑셀다운로드 파일(붙여넣기)'!A3:A562,A379,'외운 것 - 엑셀다운로드 파일(붙여넣기)'!D3:D562)</f>
        <v>0</v>
      </c>
      <c r="K379" s="9" cm="1">
        <f t="array" ref="K379">_xlfn.COUNTIFS('외운 것 - 엑셀다운로드 파일(붙여넣기)'!A3:A562,A379,'외운 것 - 엑셀다운로드 파일(붙여넣기)'!D3:D562,0)</f>
        <v>0</v>
      </c>
      <c r="L379" s="9" cm="1">
        <f t="array" ref="L379">IF(J379&gt;=3,_xlfn.XLOOKUP(A379,'외운 것 - 엑셀다운로드 파일(붙여넣기)'!A3:A562,'외운 것 - 엑셀다운로드 파일(붙여넣기)'!C3:C562,0,-1),0)</f>
        <v>0</v>
      </c>
    </row>
    <row r="380" ht="23.45" customHeight="1">
      <c r="A380" s="3">
        <v>379</v>
      </c>
      <c r="B380" t="s" s="4">
        <v>2421</v>
      </c>
      <c r="C380" t="s" s="5">
        <v>2403</v>
      </c>
      <c r="D380" t="s" s="5">
        <v>2410</v>
      </c>
      <c r="E380" t="s" s="5">
        <v>2422</v>
      </c>
      <c r="F380" t="s" s="10">
        <v>2423</v>
      </c>
      <c r="G380" t="s" s="7">
        <v>2424</v>
      </c>
      <c r="H380" t="s" s="7">
        <v>2425</v>
      </c>
      <c r="I380" t="str" s="8" cm="1">
        <f t="array" ref="I380">SUBSTITUTE(H380,B380,"(          )")</f>
        <v>Their views are in (          ) with our policies.</v>
      </c>
      <c r="J380" s="9" cm="1">
        <f t="array" ref="J380">SUMIF('외운 것 - 엑셀다운로드 파일(붙여넣기)'!A3:A562,A380,'외운 것 - 엑셀다운로드 파일(붙여넣기)'!D3:D562)</f>
        <v>0</v>
      </c>
      <c r="K380" s="9" cm="1">
        <f t="array" ref="K380">_xlfn.COUNTIFS('외운 것 - 엑셀다운로드 파일(붙여넣기)'!A3:A562,A380,'외운 것 - 엑셀다운로드 파일(붙여넣기)'!D3:D562,0)</f>
        <v>0</v>
      </c>
      <c r="L380" s="9" cm="1">
        <f t="array" ref="L380">IF(J380&gt;=3,_xlfn.XLOOKUP(A380,'외운 것 - 엑셀다운로드 파일(붙여넣기)'!A3:A562,'외운 것 - 엑셀다운로드 파일(붙여넣기)'!C3:C562,0,-1),0)</f>
        <v>0</v>
      </c>
    </row>
    <row r="381" ht="38.45" customHeight="1">
      <c r="A381" s="3">
        <v>380</v>
      </c>
      <c r="B381" t="s" s="4">
        <v>2427</v>
      </c>
      <c r="C381" t="s" s="5">
        <v>2403</v>
      </c>
      <c r="D381" t="s" s="5">
        <v>2410</v>
      </c>
      <c r="E381" t="s" s="5">
        <v>2428</v>
      </c>
      <c r="F381" t="s" s="10">
        <v>2429</v>
      </c>
      <c r="G381" t="s" s="7">
        <v>2430</v>
      </c>
      <c r="H381" t="s" s="7">
        <v>2431</v>
      </c>
      <c r="I381" t="str" s="8" cm="1">
        <f t="array" ref="I381">SUBSTITUTE(H381,B381,"(          )")</f>
        <v>She holds the world (          ) for the marathon.</v>
      </c>
      <c r="J381" s="9" cm="1">
        <f t="array" ref="J381">SUMIF('외운 것 - 엑셀다운로드 파일(붙여넣기)'!A3:A562,A381,'외운 것 - 엑셀다운로드 파일(붙여넣기)'!D3:D562)</f>
        <v>0</v>
      </c>
      <c r="K381" s="9" cm="1">
        <f t="array" ref="K381">_xlfn.COUNTIFS('외운 것 - 엑셀다운로드 파일(붙여넣기)'!A3:A562,A381,'외운 것 - 엑셀다운로드 파일(붙여넣기)'!D3:D562,0)</f>
        <v>0</v>
      </c>
      <c r="L381" s="9" cm="1">
        <f t="array" ref="L381">IF(J381&gt;=3,_xlfn.XLOOKUP(A381,'외운 것 - 엑셀다운로드 파일(붙여넣기)'!A3:A562,'외운 것 - 엑셀다운로드 파일(붙여넣기)'!C3:C562,0,-1),0)</f>
        <v>0</v>
      </c>
    </row>
    <row r="382" ht="38.45" customHeight="1">
      <c r="A382" s="3">
        <v>381</v>
      </c>
      <c r="B382" t="s" s="4">
        <v>2433</v>
      </c>
      <c r="C382" t="s" s="5">
        <v>2169</v>
      </c>
      <c r="D382" t="s" s="5">
        <v>2434</v>
      </c>
      <c r="E382" t="s" s="5">
        <v>2435</v>
      </c>
      <c r="F382" t="s" s="10">
        <v>2436</v>
      </c>
      <c r="G382" t="s" s="7">
        <v>2437</v>
      </c>
      <c r="H382" t="s" s="7">
        <v>2438</v>
      </c>
      <c r="I382" t="str" s="8" cm="1">
        <f t="array" ref="I382">SUBSTITUTE(H382,B382,"(          )")</f>
        <v>Can you (          ) the number of stars in the sky?</v>
      </c>
      <c r="J382" s="9" cm="1">
        <f t="array" ref="J382">SUMIF('외운 것 - 엑셀다운로드 파일(붙여넣기)'!A3:A562,A382,'외운 것 - 엑셀다운로드 파일(붙여넣기)'!D3:D562)</f>
        <v>0</v>
      </c>
      <c r="K382" s="9" cm="1">
        <f t="array" ref="K382">_xlfn.COUNTIFS('외운 것 - 엑셀다운로드 파일(붙여넣기)'!A3:A562,A382,'외운 것 - 엑셀다운로드 파일(붙여넣기)'!D3:D562,0)</f>
        <v>0</v>
      </c>
      <c r="L382" s="9" cm="1">
        <f t="array" ref="L382">IF(J382&gt;=3,_xlfn.XLOOKUP(A382,'외운 것 - 엑셀다운로드 파일(붙여넣기)'!A3:A562,'외운 것 - 엑셀다운로드 파일(붙여넣기)'!C3:C562,0,-1),0)</f>
        <v>0</v>
      </c>
    </row>
    <row r="383" ht="38.45" customHeight="1">
      <c r="A383" s="3">
        <v>382</v>
      </c>
      <c r="B383" t="s" s="4">
        <v>2440</v>
      </c>
      <c r="C383" t="s" s="5">
        <v>2433</v>
      </c>
      <c r="D383" t="s" s="5">
        <v>2434</v>
      </c>
      <c r="E383" t="s" s="5">
        <v>2441</v>
      </c>
      <c r="F383" t="s" s="10">
        <v>2442</v>
      </c>
      <c r="G383" t="s" s="7">
        <v>2443</v>
      </c>
      <c r="H383" t="s" s="7">
        <v>2444</v>
      </c>
      <c r="I383" t="str" s="8" cm="1">
        <f t="array" ref="I383">SUBSTITUTE(H383,B383,"(          )")</f>
        <v>I need to open a bank (          ).</v>
      </c>
      <c r="J383" s="9" cm="1">
        <f t="array" ref="J383">SUMIF('외운 것 - 엑셀다운로드 파일(붙여넣기)'!A3:A562,A383,'외운 것 - 엑셀다운로드 파일(붙여넣기)'!D3:D562)</f>
        <v>0</v>
      </c>
      <c r="K383" s="9" cm="1">
        <f t="array" ref="K383">_xlfn.COUNTIFS('외운 것 - 엑셀다운로드 파일(붙여넣기)'!A3:A562,A383,'외운 것 - 엑셀다운로드 파일(붙여넣기)'!D3:D562,0)</f>
        <v>0</v>
      </c>
      <c r="L383" s="9" cm="1">
        <f t="array" ref="L383">IF(J383&gt;=3,_xlfn.XLOOKUP(A383,'외운 것 - 엑셀다운로드 파일(붙여넣기)'!A3:A562,'외운 것 - 엑셀다운로드 파일(붙여넣기)'!C3:C562,0,-1),0)</f>
        <v>0</v>
      </c>
    </row>
    <row r="384" ht="38.45" customHeight="1">
      <c r="A384" s="3">
        <v>383</v>
      </c>
      <c r="B384" t="s" s="4">
        <v>2446</v>
      </c>
      <c r="C384" t="s" s="5">
        <v>2433</v>
      </c>
      <c r="D384" t="s" s="5">
        <v>2434</v>
      </c>
      <c r="E384" t="s" s="5">
        <v>2447</v>
      </c>
      <c r="F384" t="s" s="10">
        <v>2448</v>
      </c>
      <c r="G384" t="s" s="7">
        <v>2449</v>
      </c>
      <c r="H384" t="s" s="7">
        <v>2450</v>
      </c>
      <c r="I384" t="str" s="8" cm="1">
        <f t="array" ref="I384">SUBSTITUTE(H384,B384,"(          )")</f>
        <v>An (          ) helps with tax preparation and financial planning.</v>
      </c>
      <c r="J384" s="9" cm="1">
        <f t="array" ref="J384">SUMIF('외운 것 - 엑셀다운로드 파일(붙여넣기)'!A3:A562,A384,'외운 것 - 엑셀다운로드 파일(붙여넣기)'!D3:D562)</f>
        <v>0</v>
      </c>
      <c r="K384" s="9" cm="1">
        <f t="array" ref="K384">_xlfn.COUNTIFS('외운 것 - 엑셀다운로드 파일(붙여넣기)'!A3:A562,A384,'외운 것 - 엑셀다운로드 파일(붙여넣기)'!D3:D562,0)</f>
        <v>0</v>
      </c>
      <c r="L384" s="9" cm="1">
        <f t="array" ref="L384">IF(J384&gt;=3,_xlfn.XLOOKUP(A384,'외운 것 - 엑셀다운로드 파일(붙여넣기)'!A3:A562,'외운 것 - 엑셀다운로드 파일(붙여넣기)'!C3:C562,0,-1),0)</f>
        <v>0</v>
      </c>
    </row>
    <row r="385" ht="23.45" customHeight="1">
      <c r="A385" s="3">
        <v>384</v>
      </c>
      <c r="B385" t="s" s="4">
        <v>2452</v>
      </c>
      <c r="C385" t="s" s="5">
        <v>2433</v>
      </c>
      <c r="D385" t="s" s="5">
        <v>2434</v>
      </c>
      <c r="E385" t="s" s="5">
        <v>2453</v>
      </c>
      <c r="F385" t="s" s="10">
        <v>2454</v>
      </c>
      <c r="G385" t="s" s="7">
        <v>2455</v>
      </c>
      <c r="H385" t="s" s="7">
        <v>2456</v>
      </c>
      <c r="I385" t="str" s="8" cm="1">
        <f t="array" ref="I385">SUBSTITUTE(H385,B385,"(          )")</f>
        <v>The store offers a 20% (          ) on all shoes.</v>
      </c>
      <c r="J385" s="9" cm="1">
        <f t="array" ref="J385">SUMIF('외운 것 - 엑셀다운로드 파일(붙여넣기)'!A3:A562,A385,'외운 것 - 엑셀다운로드 파일(붙여넣기)'!D3:D562)</f>
        <v>0</v>
      </c>
      <c r="K385" s="9" cm="1">
        <f t="array" ref="K385">_xlfn.COUNTIFS('외운 것 - 엑셀다운로드 파일(붙여넣기)'!A3:A562,A385,'외운 것 - 엑셀다운로드 파일(붙여넣기)'!D3:D562,0)</f>
        <v>0</v>
      </c>
      <c r="L385" s="9" cm="1">
        <f t="array" ref="L385">IF(J385&gt;=3,_xlfn.XLOOKUP(A385,'외운 것 - 엑셀다운로드 파일(붙여넣기)'!A3:A562,'외운 것 - 엑셀다운로드 파일(붙여넣기)'!C3:C562,0,-1),0)</f>
        <v>0</v>
      </c>
    </row>
    <row r="386" ht="38.45" customHeight="1">
      <c r="A386" s="3">
        <v>385</v>
      </c>
      <c r="B386" t="s" s="4">
        <v>2458</v>
      </c>
      <c r="C386" t="s" s="5">
        <v>2433</v>
      </c>
      <c r="D386" t="s" s="5">
        <v>2434</v>
      </c>
      <c r="E386" t="s" s="5">
        <v>2459</v>
      </c>
      <c r="F386" t="s" s="10">
        <v>2460</v>
      </c>
      <c r="G386" t="s" s="7">
        <v>2461</v>
      </c>
      <c r="H386" t="s" s="7">
        <v>2462</v>
      </c>
      <c r="I386" t="str" s="8" cm="1">
        <f t="array" ref="I386">SUBSTITUTE(H386,B386,"(          )")</f>
        <v>Japan is a beautiful (          ) with rich traditions.</v>
      </c>
      <c r="J386" s="9" cm="1">
        <f t="array" ref="J386">SUMIF('외운 것 - 엑셀다운로드 파일(붙여넣기)'!A3:A562,A386,'외운 것 - 엑셀다운로드 파일(붙여넣기)'!D3:D562)</f>
        <v>0</v>
      </c>
      <c r="K386" s="9" cm="1">
        <f t="array" ref="K386">_xlfn.COUNTIFS('외운 것 - 엑셀다운로드 파일(붙여넣기)'!A3:A562,A386,'외운 것 - 엑셀다운로드 파일(붙여넣기)'!D3:D562,0)</f>
        <v>0</v>
      </c>
      <c r="L386" s="9" cm="1">
        <f t="array" ref="L386">IF(J386&gt;=3,_xlfn.XLOOKUP(A386,'외운 것 - 엑셀다운로드 파일(붙여넣기)'!A3:A562,'외운 것 - 엑셀다운로드 파일(붙여넣기)'!C3:C562,0,-1),0)</f>
        <v>0</v>
      </c>
    </row>
    <row r="387" ht="38.45" customHeight="1">
      <c r="A387" s="3">
        <v>386</v>
      </c>
      <c r="B387" t="s" s="4">
        <v>2464</v>
      </c>
      <c r="C387" t="s" s="5">
        <v>2433</v>
      </c>
      <c r="D387" t="s" s="5">
        <v>2434</v>
      </c>
      <c r="E387" t="s" s="5">
        <v>2465</v>
      </c>
      <c r="F387" t="s" s="10">
        <v>2466</v>
      </c>
      <c r="G387" t="s" s="7">
        <v>2467</v>
      </c>
      <c r="H387" t="s" s="7">
        <v>2468</v>
      </c>
      <c r="I387" t="str" s="8" cm="1">
        <f t="array" ref="I387">SUBSTITUTE(H387,B387,"(          )")</f>
        <v>Order your coffee at the (          ) over there.</v>
      </c>
      <c r="J387" s="9" cm="1">
        <f t="array" ref="J387">SUMIF('외운 것 - 엑셀다운로드 파일(붙여넣기)'!A3:A562,A387,'외운 것 - 엑셀다운로드 파일(붙여넣기)'!D3:D562)</f>
        <v>0</v>
      </c>
      <c r="K387" s="9" cm="1">
        <f t="array" ref="K387">_xlfn.COUNTIFS('외운 것 - 엑셀다운로드 파일(붙여넣기)'!A3:A562,A387,'외운 것 - 엑셀다운로드 파일(붙여넣기)'!D3:D562,0)</f>
        <v>0</v>
      </c>
      <c r="L387" s="9" cm="1">
        <f t="array" ref="L387">IF(J387&gt;=3,_xlfn.XLOOKUP(A387,'외운 것 - 엑셀다운로드 파일(붙여넣기)'!A3:A562,'외운 것 - 엑셀다운로드 파일(붙여넣기)'!C3:C562,0,-1),0)</f>
        <v>0</v>
      </c>
    </row>
    <row r="388" ht="36.4" customHeight="1">
      <c r="A388" s="3">
        <v>387</v>
      </c>
      <c r="B388" t="s" s="4">
        <v>2470</v>
      </c>
      <c r="C388" t="s" s="5">
        <v>2471</v>
      </c>
      <c r="D388" t="s" s="5">
        <v>2433</v>
      </c>
      <c r="E388" t="s" s="5">
        <v>2472</v>
      </c>
      <c r="F388" t="s" s="10">
        <v>2473</v>
      </c>
      <c r="G388" t="s" s="7">
        <v>2474</v>
      </c>
      <c r="H388" t="s" s="7">
        <v>2475</v>
      </c>
      <c r="I388" t="str" s="8" cm="1">
        <f t="array" ref="I388">SUBSTITUTE(H388,B388,"(          )")</f>
        <v>His strong (          ) surprised his opponent.</v>
      </c>
      <c r="J388" s="9" cm="1">
        <f t="array" ref="J388">SUMIF('외운 것 - 엑셀다운로드 파일(붙여넣기)'!A3:A562,A388,'외운 것 - 엑셀다운로드 파일(붙여넣기)'!D3:D562)</f>
        <v>0</v>
      </c>
      <c r="K388" s="9" cm="1">
        <f t="array" ref="K388">_xlfn.COUNTIFS('외운 것 - 엑셀다운로드 파일(붙여넣기)'!A3:A562,A388,'외운 것 - 엑셀다운로드 파일(붙여넣기)'!D3:D562,0)</f>
        <v>0</v>
      </c>
      <c r="L388" s="9" cm="1">
        <f t="array" ref="L388">IF(J388&gt;=3,_xlfn.XLOOKUP(A388,'외운 것 - 엑셀다운로드 파일(붙여넣기)'!A3:A562,'외운 것 - 엑셀다운로드 파일(붙여넣기)'!C3:C562,0,-1),0)</f>
        <v>0</v>
      </c>
    </row>
    <row r="389" ht="23.45" customHeight="1">
      <c r="A389" s="3">
        <v>388</v>
      </c>
      <c r="B389" t="s" s="4">
        <v>2477</v>
      </c>
      <c r="C389" t="s" s="5">
        <v>2464</v>
      </c>
      <c r="D389" t="s" s="5">
        <v>2478</v>
      </c>
      <c r="E389" t="s" s="5">
        <v>2479</v>
      </c>
      <c r="F389" t="s" s="10">
        <v>2480</v>
      </c>
      <c r="G389" t="s" s="7">
        <v>2481</v>
      </c>
      <c r="H389" t="s" s="7">
        <v>2482</v>
      </c>
      <c r="I389" t="str" s="8" cm="1">
        <f t="array" ref="I389">SUBSTITUTE(H389,B389,"(          )")</f>
        <v>She met with her (          ) from the French company.</v>
      </c>
      <c r="J389" s="9" cm="1">
        <f t="array" ref="J389">SUMIF('외운 것 - 엑셀다운로드 파일(붙여넣기)'!A3:A562,A389,'외운 것 - 엑셀다운로드 파일(붙여넣기)'!D3:D562)</f>
        <v>0</v>
      </c>
      <c r="K389" s="9" cm="1">
        <f t="array" ref="K389">_xlfn.COUNTIFS('외운 것 - 엑셀다운로드 파일(붙여넣기)'!A3:A562,A389,'외운 것 - 엑셀다운로드 파일(붙여넣기)'!D3:D562,0)</f>
        <v>0</v>
      </c>
      <c r="L389" s="9" cm="1">
        <f t="array" ref="L389">IF(J389&gt;=3,_xlfn.XLOOKUP(A389,'외운 것 - 엑셀다운로드 파일(붙여넣기)'!A3:A562,'외운 것 - 엑셀다운로드 파일(붙여넣기)'!C3:C562,0,-1),0)</f>
        <v>0</v>
      </c>
    </row>
    <row r="390" ht="38.45" customHeight="1">
      <c r="A390" s="3">
        <v>389</v>
      </c>
      <c r="B390" t="s" s="4">
        <v>2484</v>
      </c>
      <c r="C390" t="s" s="5">
        <v>2464</v>
      </c>
      <c r="D390" t="s" s="5">
        <v>2478</v>
      </c>
      <c r="E390" t="s" s="5">
        <v>2485</v>
      </c>
      <c r="F390" t="s" s="10">
        <v>2486</v>
      </c>
      <c r="G390" t="s" s="7">
        <v>2487</v>
      </c>
      <c r="H390" t="s" s="7">
        <v>2488</v>
      </c>
      <c r="I390" t="str" s="8" cm="1">
        <f t="array" ref="I390">SUBSTITUTE(H390,B390,"(          )")</f>
        <v>We had a chance (          ) with an old friend at the airport.</v>
      </c>
      <c r="J390" s="9" cm="1">
        <f t="array" ref="J390">SUMIF('외운 것 - 엑셀다운로드 파일(붙여넣기)'!A3:A562,A390,'외운 것 - 엑셀다운로드 파일(붙여넣기)'!D3:D562)</f>
        <v>0</v>
      </c>
      <c r="K390" s="9" cm="1">
        <f t="array" ref="K390">_xlfn.COUNTIFS('외운 것 - 엑셀다운로드 파일(붙여넣기)'!A3:A562,A390,'외운 것 - 엑셀다운로드 파일(붙여넣기)'!D3:D562,0)</f>
        <v>0</v>
      </c>
      <c r="L390" s="9" cm="1">
        <f t="array" ref="L390">IF(J390&gt;=3,_xlfn.XLOOKUP(A390,'외운 것 - 엑셀다운로드 파일(붙여넣기)'!A3:A562,'외운 것 - 엑셀다운로드 파일(붙여넣기)'!C3:C562,0,-1),0)</f>
        <v>0</v>
      </c>
    </row>
    <row r="391" ht="36.4" customHeight="1">
      <c r="A391" s="3">
        <v>390</v>
      </c>
      <c r="B391" t="s" s="4">
        <v>2490</v>
      </c>
      <c r="C391" t="s" s="5">
        <v>2491</v>
      </c>
      <c r="D391" t="s" s="5">
        <v>2478</v>
      </c>
      <c r="E391" t="s" s="5">
        <v>2492</v>
      </c>
      <c r="F391" t="s" s="10">
        <v>2493</v>
      </c>
      <c r="G391" t="s" s="7">
        <v>2494</v>
      </c>
      <c r="H391" t="s" s="7">
        <v>2495</v>
      </c>
      <c r="I391" t="str" s="8" cm="1">
        <f t="array" ref="I391">SUBSTITUTE(H391,B391,"(          )")</f>
        <v>Contrary to popular belief, bats are not blind.</v>
      </c>
      <c r="J391" s="9" cm="1">
        <f t="array" ref="J391">SUMIF('외운 것 - 엑셀다운로드 파일(붙여넣기)'!A3:A562,A391,'외운 것 - 엑셀다운로드 파일(붙여넣기)'!D3:D562)</f>
        <v>0</v>
      </c>
      <c r="K391" s="9" cm="1">
        <f t="array" ref="K391">_xlfn.COUNTIFS('외운 것 - 엑셀다운로드 파일(붙여넣기)'!A3:A562,A391,'외운 것 - 엑셀다운로드 파일(붙여넣기)'!D3:D562,0)</f>
        <v>0</v>
      </c>
      <c r="L391" s="9" cm="1">
        <f t="array" ref="L391">IF(J391&gt;=3,_xlfn.XLOOKUP(A391,'외운 것 - 엑셀다운로드 파일(붙여넣기)'!A3:A562,'외운 것 - 엑셀다운로드 파일(붙여넣기)'!C3:C562,0,-1),0)</f>
        <v>0</v>
      </c>
    </row>
    <row r="392" ht="36.4" customHeight="1">
      <c r="A392" s="3">
        <v>391</v>
      </c>
      <c r="B392" t="s" s="4">
        <v>2497</v>
      </c>
      <c r="C392" t="s" s="5">
        <v>2491</v>
      </c>
      <c r="D392" t="s" s="5">
        <v>2478</v>
      </c>
      <c r="E392" t="s" s="5">
        <v>2498</v>
      </c>
      <c r="F392" t="s" s="10">
        <v>2499</v>
      </c>
      <c r="G392" t="s" s="7">
        <v>2500</v>
      </c>
      <c r="H392" t="s" s="7">
        <v>2501</v>
      </c>
      <c r="I392" t="str" s="8" cm="1">
        <f t="array" ref="I392">SUBSTITUTE(H392,B392,"(          )")</f>
        <v>New evidence seems to (          ) his earlier statement.</v>
      </c>
      <c r="J392" s="9" cm="1">
        <f t="array" ref="J392">SUMIF('외운 것 - 엑셀다운로드 파일(붙여넣기)'!A3:A562,A392,'외운 것 - 엑셀다운로드 파일(붙여넣기)'!D3:D562)</f>
        <v>0</v>
      </c>
      <c r="K392" s="9" cm="1">
        <f t="array" ref="K392">_xlfn.COUNTIFS('외운 것 - 엑셀다운로드 파일(붙여넣기)'!A3:A562,A392,'외운 것 - 엑셀다운로드 파일(붙여넣기)'!D3:D562,0)</f>
        <v>0</v>
      </c>
      <c r="L392" s="9" cm="1">
        <f t="array" ref="L392">IF(J392&gt;=3,_xlfn.XLOOKUP(A392,'외운 것 - 엑셀다운로드 파일(붙여넣기)'!A3:A562,'외운 것 - 엑셀다운로드 파일(붙여넣기)'!C3:C562,0,-1),0)</f>
        <v>0</v>
      </c>
    </row>
    <row r="393" ht="23.45" customHeight="1">
      <c r="A393" s="3">
        <v>392</v>
      </c>
      <c r="B393" t="s" s="4">
        <v>2503</v>
      </c>
      <c r="C393" t="s" s="5">
        <v>2504</v>
      </c>
      <c r="D393" t="s" s="5">
        <v>2505</v>
      </c>
      <c r="E393" t="s" s="5">
        <v>2506</v>
      </c>
      <c r="F393" t="s" s="10">
        <v>2507</v>
      </c>
      <c r="G393" t="s" s="7">
        <v>2508</v>
      </c>
      <c r="H393" t="s" s="7">
        <v>2509</v>
      </c>
      <c r="I393" t="str" s="8" cm="1">
        <f t="array" ref="I393">SUBSTITUTE(H393,B393,"(          )")</f>
        <v>Artists (          ) beautiful works from simple materials.</v>
      </c>
      <c r="J393" s="9" cm="1">
        <f t="array" ref="J393">SUMIF('외운 것 - 엑셀다운로드 파일(붙여넣기)'!A3:A562,A393,'외운 것 - 엑셀다운로드 파일(붙여넣기)'!D3:D562)</f>
        <v>0</v>
      </c>
      <c r="K393" s="9" cm="1">
        <f t="array" ref="K393">_xlfn.COUNTIFS('외운 것 - 엑셀다운로드 파일(붙여넣기)'!A3:A562,A393,'외운 것 - 엑셀다운로드 파일(붙여넣기)'!D3:D562,0)</f>
        <v>0</v>
      </c>
      <c r="L393" s="9" cm="1">
        <f t="array" ref="L393">IF(J393&gt;=3,_xlfn.XLOOKUP(A393,'외운 것 - 엑셀다운로드 파일(붙여넣기)'!A3:A562,'외운 것 - 엑셀다운로드 파일(붙여넣기)'!C3:C562,0,-1),0)</f>
        <v>0</v>
      </c>
    </row>
    <row r="394" ht="36.4" customHeight="1">
      <c r="A394" s="3">
        <v>393</v>
      </c>
      <c r="B394" t="s" s="4">
        <v>2511</v>
      </c>
      <c r="C394" t="s" s="5">
        <v>2512</v>
      </c>
      <c r="D394" t="s" s="5">
        <v>2504</v>
      </c>
      <c r="E394" t="s" s="5">
        <v>2513</v>
      </c>
      <c r="F394" t="s" s="10">
        <v>2514</v>
      </c>
      <c r="G394" t="s" s="7">
        <v>2515</v>
      </c>
      <c r="H394" t="s" s="7">
        <v>2516</v>
      </c>
      <c r="I394" t="str" s="8" cm="1">
        <f t="array" ref="I394">SUBSTITUTE(H394,B394,"(          )")</f>
        <v>The (          ) of this painting is unknown.</v>
      </c>
      <c r="J394" s="9" cm="1">
        <f t="array" ref="J394">SUMIF('외운 것 - 엑셀다운로드 파일(붙여넣기)'!A3:A562,A394,'외운 것 - 엑셀다운로드 파일(붙여넣기)'!D3:D562)</f>
        <v>0</v>
      </c>
      <c r="K394" s="9" cm="1">
        <f t="array" ref="K394">_xlfn.COUNTIFS('외운 것 - 엑셀다운로드 파일(붙여넣기)'!A3:A562,A394,'외운 것 - 엑셀다운로드 파일(붙여넣기)'!D3:D562,0)</f>
        <v>0</v>
      </c>
      <c r="L394" s="9" cm="1">
        <f t="array" ref="L394">IF(J394&gt;=3,_xlfn.XLOOKUP(A394,'외운 것 - 엑셀다운로드 파일(붙여넣기)'!A3:A562,'외운 것 - 엑셀다운로드 파일(붙여넣기)'!C3:C562,0,-1),0)</f>
        <v>0</v>
      </c>
    </row>
    <row r="395" ht="36.4" customHeight="1">
      <c r="A395" s="3">
        <v>394</v>
      </c>
      <c r="B395" t="s" s="4">
        <v>2518</v>
      </c>
      <c r="C395" t="s" s="5">
        <v>2512</v>
      </c>
      <c r="D395" t="s" s="5">
        <v>2504</v>
      </c>
      <c r="E395" t="s" s="5">
        <v>2519</v>
      </c>
      <c r="F395" t="s" s="10">
        <v>2520</v>
      </c>
      <c r="G395" t="s" s="7">
        <v>2521</v>
      </c>
      <c r="H395" t="s" s="7">
        <v>2522</v>
      </c>
      <c r="I395" t="str" s="8" cm="1">
        <f t="array" ref="I395">SUBSTITUTE(H395,B395,"(          )")</f>
        <v>Children have (          ) minds full of imagination.</v>
      </c>
      <c r="J395" s="9" cm="1">
        <f t="array" ref="J395">SUMIF('외운 것 - 엑셀다운로드 파일(붙여넣기)'!A3:A562,A395,'외운 것 - 엑셀다운로드 파일(붙여넣기)'!D3:D562)</f>
        <v>0</v>
      </c>
      <c r="K395" s="9" cm="1">
        <f t="array" ref="K395">_xlfn.COUNTIFS('외운 것 - 엑셀다운로드 파일(붙여넣기)'!A3:A562,A395,'외운 것 - 엑셀다운로드 파일(붙여넣기)'!D3:D562,0)</f>
        <v>0</v>
      </c>
      <c r="L395" s="9" cm="1">
        <f t="array" ref="L395">IF(J395&gt;=3,_xlfn.XLOOKUP(A395,'외운 것 - 엑셀다운로드 파일(붙여넣기)'!A3:A562,'외운 것 - 엑셀다운로드 파일(붙여넣기)'!C3:C562,0,-1),0)</f>
        <v>0</v>
      </c>
    </row>
    <row r="396" ht="38.45" customHeight="1">
      <c r="A396" s="3">
        <v>395</v>
      </c>
      <c r="B396" t="s" s="4">
        <v>2524</v>
      </c>
      <c r="C396" t="s" s="5">
        <v>2512</v>
      </c>
      <c r="D396" t="s" s="5">
        <v>2504</v>
      </c>
      <c r="E396" t="s" s="5">
        <v>2525</v>
      </c>
      <c r="F396" t="s" s="10">
        <v>2526</v>
      </c>
      <c r="G396" t="s" s="7">
        <v>2527</v>
      </c>
      <c r="H396" t="s" s="7">
        <v>2528</v>
      </c>
      <c r="I396" t="str" s="8" cm="1">
        <f t="array" ref="I396">SUBSTITUTE(H396,B396,"(          )")</f>
        <v>Swimming is a popular (          ) activity in summer.</v>
      </c>
      <c r="J396" s="9" cm="1">
        <f t="array" ref="J396">SUMIF('외운 것 - 엑셀다운로드 파일(붙여넣기)'!A3:A562,A396,'외운 것 - 엑셀다운로드 파일(붙여넣기)'!D3:D562)</f>
        <v>0</v>
      </c>
      <c r="K396" s="9" cm="1">
        <f t="array" ref="K396">_xlfn.COUNTIFS('외운 것 - 엑셀다운로드 파일(붙여넣기)'!A3:A562,A396,'외운 것 - 엑셀다운로드 파일(붙여넣기)'!D3:D562,0)</f>
        <v>0</v>
      </c>
      <c r="L396" s="9" cm="1">
        <f t="array" ref="L396">IF(J396&gt;=3,_xlfn.XLOOKUP(A396,'외운 것 - 엑셀다운로드 파일(붙여넣기)'!A3:A562,'외운 것 - 엑셀다운로드 파일(붙여넣기)'!C3:C562,0,-1),0)</f>
        <v>0</v>
      </c>
    </row>
    <row r="397" ht="38.45" customHeight="1">
      <c r="A397" s="3">
        <v>396</v>
      </c>
      <c r="B397" t="s" s="4">
        <v>2345</v>
      </c>
      <c r="C397" t="s" s="5">
        <v>2512</v>
      </c>
      <c r="D397" t="s" s="5">
        <v>2504</v>
      </c>
      <c r="E397" t="s" s="5">
        <v>2346</v>
      </c>
      <c r="F397" t="s" s="10">
        <v>2530</v>
      </c>
      <c r="G397" t="s" s="7">
        <v>2531</v>
      </c>
      <c r="H397" t="s" s="7">
        <v>2349</v>
      </c>
      <c r="I397" t="str" s="8" cm="1">
        <f t="array" ref="I397">SUBSTITUTE(H397,B397,"(          )")</f>
        <v>The foundation of the building is made of (          ).</v>
      </c>
      <c r="J397" s="9" cm="1">
        <f t="array" ref="J397">SUMIF('외운 것 - 엑셀다운로드 파일(붙여넣기)'!A3:A562,A397,'외운 것 - 엑셀다운로드 파일(붙여넣기)'!D3:D562)</f>
        <v>0</v>
      </c>
      <c r="K397" s="9" cm="1">
        <f t="array" ref="K397">_xlfn.COUNTIFS('외운 것 - 엑셀다운로드 파일(붙여넣기)'!A3:A562,A397,'외운 것 - 엑셀다운로드 파일(붙여넣기)'!D3:D562,0)</f>
        <v>0</v>
      </c>
      <c r="L397" s="9" cm="1">
        <f t="array" ref="L397">IF(J397&gt;=3,_xlfn.XLOOKUP(A397,'외운 것 - 엑셀다운로드 파일(붙여넣기)'!A3:A562,'외운 것 - 엑셀다운로드 파일(붙여넣기)'!C3:C562,0,-1),0)</f>
        <v>0</v>
      </c>
    </row>
    <row r="398" ht="50.45" customHeight="1">
      <c r="A398" s="3">
        <v>397</v>
      </c>
      <c r="B398" t="s" s="4">
        <v>2532</v>
      </c>
      <c r="C398" t="s" s="5">
        <v>2533</v>
      </c>
      <c r="D398" t="s" s="5">
        <v>2504</v>
      </c>
      <c r="E398" t="s" s="5">
        <v>2534</v>
      </c>
      <c r="F398" t="s" s="10">
        <v>2535</v>
      </c>
      <c r="G398" t="s" s="7">
        <v>2536</v>
      </c>
      <c r="H398" t="s" s="7">
        <v>2537</v>
      </c>
      <c r="I398" t="str" s="8" cm="1">
        <f t="array" ref="I398">SUBSTITUTE(H398,B398,"(          )")</f>
        <v>Be (          ) when discussing confidential information.</v>
      </c>
      <c r="J398" s="9" cm="1">
        <f t="array" ref="J398">SUMIF('외운 것 - 엑셀다운로드 파일(붙여넣기)'!A3:A562,A398,'외운 것 - 엑셀다운로드 파일(붙여넣기)'!D3:D562)</f>
        <v>0</v>
      </c>
      <c r="K398" s="9" cm="1">
        <f t="array" ref="K398">_xlfn.COUNTIFS('외운 것 - 엑셀다운로드 파일(붙여넣기)'!A3:A562,A398,'외운 것 - 엑셀다운로드 파일(붙여넣기)'!D3:D562,0)</f>
        <v>0</v>
      </c>
      <c r="L398" s="9" cm="1">
        <f t="array" ref="L398">IF(J398&gt;=3,_xlfn.XLOOKUP(A398,'외운 것 - 엑셀다운로드 파일(붙여넣기)'!A3:A562,'외운 것 - 엑셀다운로드 파일(붙여넣기)'!C3:C562,0,-1),0)</f>
        <v>0</v>
      </c>
    </row>
    <row r="399" ht="50.45" customHeight="1">
      <c r="A399" s="3">
        <v>398</v>
      </c>
      <c r="B399" t="s" s="4">
        <v>2539</v>
      </c>
      <c r="C399" t="s" s="5">
        <v>2540</v>
      </c>
      <c r="D399" t="s" s="5">
        <v>2504</v>
      </c>
      <c r="E399" t="s" s="5">
        <v>2534</v>
      </c>
      <c r="F399" t="s" s="10">
        <v>2541</v>
      </c>
      <c r="G399" t="s" s="7">
        <v>2542</v>
      </c>
      <c r="H399" t="s" s="7">
        <v>2543</v>
      </c>
      <c r="I399" t="str" s="8" cm="1">
        <f t="array" ref="I399">SUBSTITUTE(H399,B399,"(          )")</f>
        <v>The course is divided into five (          ) sections.</v>
      </c>
      <c r="J399" s="9" cm="1">
        <f t="array" ref="J399">SUMIF('외운 것 - 엑셀다운로드 파일(붙여넣기)'!A3:A562,A399,'외운 것 - 엑셀다운로드 파일(붙여넣기)'!D3:D562)</f>
        <v>0</v>
      </c>
      <c r="K399" s="9" cm="1">
        <f t="array" ref="K399">_xlfn.COUNTIFS('외운 것 - 엑셀다운로드 파일(붙여넣기)'!A3:A562,A399,'외운 것 - 엑셀다운로드 파일(붙여넣기)'!D3:D562,0)</f>
        <v>0</v>
      </c>
      <c r="L399" s="9" cm="1">
        <f t="array" ref="L399">IF(J399&gt;=3,_xlfn.XLOOKUP(A399,'외운 것 - 엑셀다운로드 파일(붙여넣기)'!A3:A562,'외운 것 - 엑셀다운로드 파일(붙여넣기)'!C3:C562,0,-1),0)</f>
        <v>0</v>
      </c>
    </row>
    <row r="400" ht="23.45" customHeight="1">
      <c r="A400" s="3">
        <v>399</v>
      </c>
      <c r="B400" t="s" s="4">
        <v>2545</v>
      </c>
      <c r="C400" t="s" s="5">
        <v>2504</v>
      </c>
      <c r="D400" t="s" s="5">
        <v>2505</v>
      </c>
      <c r="E400" t="s" s="5">
        <v>2546</v>
      </c>
      <c r="F400" t="s" s="10">
        <v>2547</v>
      </c>
      <c r="G400" t="s" s="7">
        <v>2548</v>
      </c>
      <c r="H400" t="s" s="7">
        <v>2549</v>
      </c>
      <c r="I400" t="str" s="8" cm="1">
        <f t="array" ref="I400">SUBSTITUTE(H400,B400,"(          )")</f>
        <v>House prices (          ) every year in this neighborhood.</v>
      </c>
      <c r="J400" s="9" cm="1">
        <f t="array" ref="J400">SUMIF('외운 것 - 엑셀다운로드 파일(붙여넣기)'!A3:A562,A400,'외운 것 - 엑셀다운로드 파일(붙여넣기)'!D3:D562)</f>
        <v>0</v>
      </c>
      <c r="K400" s="9" cm="1">
        <f t="array" ref="K400">_xlfn.COUNTIFS('외운 것 - 엑셀다운로드 파일(붙여넣기)'!A3:A562,A400,'외운 것 - 엑셀다운로드 파일(붙여넣기)'!D3:D562,0)</f>
        <v>0</v>
      </c>
      <c r="L400" s="9" cm="1">
        <f t="array" ref="L400">IF(J400&gt;=3,_xlfn.XLOOKUP(A400,'외운 것 - 엑셀다운로드 파일(붙여넣기)'!A3:A562,'외운 것 - 엑셀다운로드 파일(붙여넣기)'!C3:C562,0,-1),0)</f>
        <v>0</v>
      </c>
    </row>
    <row r="401" ht="36.4" customHeight="1">
      <c r="A401" s="3">
        <v>400</v>
      </c>
      <c r="B401" t="s" s="4">
        <v>2551</v>
      </c>
      <c r="C401" t="s" s="5">
        <v>2552</v>
      </c>
      <c r="D401" t="s" s="5">
        <v>2504</v>
      </c>
      <c r="E401" t="s" s="5">
        <v>2553</v>
      </c>
      <c r="F401" t="s" s="10">
        <v>2554</v>
      </c>
      <c r="G401" t="s" s="7">
        <v>2555</v>
      </c>
      <c r="H401" t="s" s="7">
        <v>2556</v>
      </c>
      <c r="I401" t="str" s="8" cm="1">
        <f t="array" ref="I401">SUBSTITUTE(H401,B401,"(          )")</f>
        <v>The salary (          ) was less than expected.</v>
      </c>
      <c r="J401" s="9" cm="1">
        <f t="array" ref="J401">SUMIF('외운 것 - 엑셀다운로드 파일(붙여넣기)'!A3:A562,A401,'외운 것 - 엑셀다운로드 파일(붙여넣기)'!D3:D562)</f>
        <v>0</v>
      </c>
      <c r="K401" s="9" cm="1">
        <f t="array" ref="K401">_xlfn.COUNTIFS('외운 것 - 엑셀다운로드 파일(붙여넣기)'!A3:A562,A401,'외운 것 - 엑셀다운로드 파일(붙여넣기)'!D3:D562,0)</f>
        <v>0</v>
      </c>
      <c r="L401" s="9" cm="1">
        <f t="array" ref="L401">IF(J401&gt;=3,_xlfn.XLOOKUP(A401,'외운 것 - 엑셀다운로드 파일(붙여넣기)'!A3:A562,'외운 것 - 엑셀다운로드 파일(붙여넣기)'!C3:C562,0,-1),0)</f>
        <v>0</v>
      </c>
    </row>
    <row r="402" ht="23.45" customHeight="1">
      <c r="A402" s="3">
        <v>401</v>
      </c>
      <c r="B402" t="s" s="4">
        <v>2558</v>
      </c>
      <c r="C402" t="s" s="5">
        <v>2504</v>
      </c>
      <c r="D402" t="s" s="5">
        <v>2505</v>
      </c>
      <c r="E402" t="s" s="5">
        <v>2559</v>
      </c>
      <c r="F402" t="s" s="10">
        <v>2560</v>
      </c>
      <c r="G402" t="s" s="7">
        <v>2561</v>
      </c>
      <c r="H402" t="s" s="7">
        <v>2562</v>
      </c>
      <c r="I402" t="str" s="8" cm="1">
        <f t="array" ref="I402">SUBSTITUTE(H402,B402,"(          )")</f>
        <v>The population of the village continues to (          ).</v>
      </c>
      <c r="J402" s="9" cm="1">
        <f t="array" ref="J402">SUMIF('외운 것 - 엑셀다운로드 파일(붙여넣기)'!A3:A562,A402,'외운 것 - 엑셀다운로드 파일(붙여넣기)'!D3:D562)</f>
        <v>0</v>
      </c>
      <c r="K402" s="9" cm="1">
        <f t="array" ref="K402">_xlfn.COUNTIFS('외운 것 - 엑셀다운로드 파일(붙여넣기)'!A3:A562,A402,'외운 것 - 엑셀다운로드 파일(붙여넣기)'!D3:D562,0)</f>
        <v>0</v>
      </c>
      <c r="L402" s="9" cm="1">
        <f t="array" ref="L402">IF(J402&gt;=3,_xlfn.XLOOKUP(A402,'외운 것 - 엑셀다운로드 파일(붙여넣기)'!A3:A562,'외운 것 - 엑셀다운로드 파일(붙여넣기)'!C3:C562,0,-1),0)</f>
        <v>0</v>
      </c>
    </row>
    <row r="403" ht="50.45" customHeight="1">
      <c r="A403" s="3">
        <v>402</v>
      </c>
      <c r="B403" t="s" s="4">
        <v>2564</v>
      </c>
      <c r="C403" t="s" s="5">
        <v>2540</v>
      </c>
      <c r="D403" t="s" s="5">
        <v>2504</v>
      </c>
      <c r="E403" t="s" s="5">
        <v>2565</v>
      </c>
      <c r="F403" t="s" s="10">
        <v>2566</v>
      </c>
      <c r="G403" t="s" s="7">
        <v>2567</v>
      </c>
      <c r="H403" t="s" s="7">
        <v>2568</v>
      </c>
      <c r="I403" t="str" s="8" cm="1">
        <f t="array" ref="I403">SUBSTITUTE(H403,B403,"(          )")</f>
        <v>Kidneys (          ) waste products from the body.</v>
      </c>
      <c r="J403" s="9" cm="1">
        <f t="array" ref="J403">SUMIF('외운 것 - 엑셀다운로드 파일(붙여넣기)'!A3:A562,A403,'외운 것 - 엑셀다운로드 파일(붙여넣기)'!D3:D562)</f>
        <v>0</v>
      </c>
      <c r="K403" s="9" cm="1">
        <f t="array" ref="K403">_xlfn.COUNTIFS('외운 것 - 엑셀다운로드 파일(붙여넣기)'!A3:A562,A403,'외운 것 - 엑셀다운로드 파일(붙여넣기)'!D3:D562,0)</f>
        <v>0</v>
      </c>
      <c r="L403" s="9" cm="1">
        <f t="array" ref="L403">IF(J403&gt;=3,_xlfn.XLOOKUP(A403,'외운 것 - 엑셀다운로드 파일(붙여넣기)'!A3:A562,'외운 것 - 엑셀다운로드 파일(붙여넣기)'!C3:C562,0,-1),0)</f>
        <v>0</v>
      </c>
    </row>
    <row r="404" ht="38.45" customHeight="1">
      <c r="A404" s="3">
        <v>403</v>
      </c>
      <c r="B404" t="s" s="4">
        <v>2570</v>
      </c>
      <c r="C404" t="s" s="5">
        <v>2504</v>
      </c>
      <c r="D404" t="s" s="5">
        <v>2505</v>
      </c>
      <c r="E404" t="s" s="5">
        <v>2571</v>
      </c>
      <c r="F404" t="s" s="10">
        <v>2572</v>
      </c>
      <c r="G404" t="s" s="7">
        <v>2573</v>
      </c>
      <c r="H404" t="s" s="7">
        <v>2574</v>
      </c>
      <c r="I404" t="str" s="8" cm="1">
        <f t="array" ref="I404">SUBSTITUTE(H404,B404,"(          )")</f>
        <v>The airplane (          ) includes pilots and flight attendants.</v>
      </c>
      <c r="J404" s="9" cm="1">
        <f t="array" ref="J404">SUMIF('외운 것 - 엑셀다운로드 파일(붙여넣기)'!A3:A562,A404,'외운 것 - 엑셀다운로드 파일(붙여넣기)'!D3:D562)</f>
        <v>0</v>
      </c>
      <c r="K404" s="9" cm="1">
        <f t="array" ref="K404">_xlfn.COUNTIFS('외운 것 - 엑셀다운로드 파일(붙여넣기)'!A3:A562,A404,'외운 것 - 엑셀다운로드 파일(붙여넣기)'!D3:D562,0)</f>
        <v>0</v>
      </c>
      <c r="L404" s="9" cm="1">
        <f t="array" ref="L404">IF(J404&gt;=3,_xlfn.XLOOKUP(A404,'외운 것 - 엑셀다운로드 파일(붙여넣기)'!A3:A562,'외운 것 - 엑셀다운로드 파일(붙여넣기)'!C3:C562,0,-1),0)</f>
        <v>0</v>
      </c>
    </row>
    <row r="405" ht="36.4" customHeight="1">
      <c r="A405" s="3">
        <v>404</v>
      </c>
      <c r="B405" t="s" s="4">
        <v>2576</v>
      </c>
      <c r="C405" t="s" s="5">
        <v>2577</v>
      </c>
      <c r="D405" t="s" s="5">
        <v>2504</v>
      </c>
      <c r="E405" t="s" s="5">
        <v>2578</v>
      </c>
      <c r="F405" t="s" s="10">
        <v>2579</v>
      </c>
      <c r="G405" t="s" s="7">
        <v>2580</v>
      </c>
      <c r="H405" t="s" s="7">
        <v>2581</v>
      </c>
      <c r="I405" t="str" s="8" cm="1">
        <f t="array" ref="I405">SUBSTITUTE(H405,B405,"(          )")</f>
        <v>The army will (          ) new soldiers this month.</v>
      </c>
      <c r="J405" s="9" cm="1">
        <f t="array" ref="J405">SUMIF('외운 것 - 엑셀다운로드 파일(붙여넣기)'!A3:A562,A405,'외운 것 - 엑셀다운로드 파일(붙여넣기)'!D3:D562)</f>
        <v>0</v>
      </c>
      <c r="K405" s="9" cm="1">
        <f t="array" ref="K405">_xlfn.COUNTIFS('외운 것 - 엑셀다운로드 파일(붙여넣기)'!A3:A562,A405,'외운 것 - 엑셀다운로드 파일(붙여넣기)'!D3:D562,0)</f>
        <v>0</v>
      </c>
      <c r="L405" s="9" cm="1">
        <f t="array" ref="L405">IF(J405&gt;=3,_xlfn.XLOOKUP(A405,'외운 것 - 엑셀다운로드 파일(붙여넣기)'!A3:A562,'외운 것 - 엑셀다운로드 파일(붙여넣기)'!C3:C562,0,-1),0)</f>
        <v>0</v>
      </c>
    </row>
    <row r="406" ht="38.45" customHeight="1">
      <c r="A406" s="3">
        <v>405</v>
      </c>
      <c r="B406" t="s" s="4">
        <v>2583</v>
      </c>
      <c r="C406" t="s" s="5">
        <v>2504</v>
      </c>
      <c r="D406" t="s" s="5">
        <v>2505</v>
      </c>
      <c r="E406" t="s" s="5">
        <v>2584</v>
      </c>
      <c r="F406" t="s" s="10">
        <v>2585</v>
      </c>
      <c r="G406" t="s" s="7">
        <v>2586</v>
      </c>
      <c r="H406" t="s" s="7">
        <v>2587</v>
      </c>
      <c r="I406" t="str" s="8" cm="1">
        <f t="array" ref="I406">SUBSTITUTE(H406,B406,"(          )")</f>
        <v>The (          ) moon was visible in the night sky.</v>
      </c>
      <c r="J406" s="9" cm="1">
        <f t="array" ref="J406">SUMIF('외운 것 - 엑셀다운로드 파일(붙여넣기)'!A3:A562,A406,'외운 것 - 엑셀다운로드 파일(붙여넣기)'!D3:D562)</f>
        <v>0</v>
      </c>
      <c r="K406" s="9" cm="1">
        <f t="array" ref="K406">_xlfn.COUNTIFS('외운 것 - 엑셀다운로드 파일(붙여넣기)'!A3:A562,A406,'외운 것 - 엑셀다운로드 파일(붙여넣기)'!D3:D562,0)</f>
        <v>0</v>
      </c>
      <c r="L406" s="9" cm="1">
        <f t="array" ref="L406">IF(J406&gt;=3,_xlfn.XLOOKUP(A406,'외운 것 - 엑셀다운로드 파일(붙여넣기)'!A3:A562,'외운 것 - 엑셀다운로드 파일(붙여넣기)'!C3:C562,0,-1),0)</f>
        <v>0</v>
      </c>
    </row>
    <row r="407" ht="23.45" customHeight="1">
      <c r="A407" s="3">
        <v>406</v>
      </c>
      <c r="B407" t="s" s="4">
        <v>2589</v>
      </c>
      <c r="C407" t="s" s="5">
        <v>2504</v>
      </c>
      <c r="D407" t="s" s="5">
        <v>2505</v>
      </c>
      <c r="E407" t="s" s="5">
        <v>2590</v>
      </c>
      <c r="F407" t="s" s="10">
        <v>2591</v>
      </c>
      <c r="G407" t="s" s="7">
        <v>2592</v>
      </c>
      <c r="H407" t="s" s="7">
        <v>2593</v>
      </c>
      <c r="I407" t="str" s="8" cm="1">
        <f t="array" ref="I407">SUBSTITUTE(H407,B407,"(          )")</f>
        <v>Knitting is a traditional (          ) that remains popular.</v>
      </c>
      <c r="J407" s="9" cm="1">
        <f t="array" ref="J407">SUMIF('외운 것 - 엑셀다운로드 파일(붙여넣기)'!A3:A562,A407,'외운 것 - 엑셀다운로드 파일(붙여넣기)'!D3:D562)</f>
        <v>0</v>
      </c>
      <c r="K407" s="9" cm="1">
        <f t="array" ref="K407">_xlfn.COUNTIFS('외운 것 - 엑셀다운로드 파일(붙여넣기)'!A3:A562,A407,'외운 것 - 엑셀다운로드 파일(붙여넣기)'!D3:D562,0)</f>
        <v>0</v>
      </c>
      <c r="L407" s="9" cm="1">
        <f t="array" ref="L407">IF(J407&gt;=3,_xlfn.XLOOKUP(A407,'외운 것 - 엑셀다운로드 파일(붙여넣기)'!A3:A562,'외운 것 - 엑셀다운로드 파일(붙여넣기)'!C3:C562,0,-1),0)</f>
        <v>0</v>
      </c>
    </row>
    <row r="408" ht="23.45" customHeight="1">
      <c r="A408" s="3">
        <v>407</v>
      </c>
      <c r="B408" t="s" s="4">
        <v>2595</v>
      </c>
      <c r="C408" t="s" s="5">
        <v>2596</v>
      </c>
      <c r="D408" t="s" s="5">
        <v>2504</v>
      </c>
      <c r="E408" t="s" s="5">
        <v>2597</v>
      </c>
      <c r="F408" t="s" s="10">
        <v>2598</v>
      </c>
      <c r="G408" t="s" s="7">
        <v>2599</v>
      </c>
      <c r="H408" t="s" s="7">
        <v>2600</v>
      </c>
      <c r="I408" t="str" s="8" cm="1">
        <f t="array" ref="I408">SUBSTITUTE(H408,B408,"(          )")</f>
        <v>The wooden cabinet was made by a skilled (          ).</v>
      </c>
      <c r="J408" s="9" cm="1">
        <f t="array" ref="J408">SUMIF('외운 것 - 엑셀다운로드 파일(붙여넣기)'!A3:A562,A408,'외운 것 - 엑셀다운로드 파일(붙여넣기)'!D3:D562)</f>
        <v>0</v>
      </c>
      <c r="K408" s="9" cm="1">
        <f t="array" ref="K408">_xlfn.COUNTIFS('외운 것 - 엑셀다운로드 파일(붙여넣기)'!A3:A562,A408,'외운 것 - 엑셀다운로드 파일(붙여넣기)'!D3:D562,0)</f>
        <v>0</v>
      </c>
      <c r="L408" s="9" cm="1">
        <f t="array" ref="L408">IF(J408&gt;=3,_xlfn.XLOOKUP(A408,'외운 것 - 엑셀다운로드 파일(붙여넣기)'!A3:A562,'외운 것 - 엑셀다운로드 파일(붙여넣기)'!C3:C562,0,-1),0)</f>
        <v>0</v>
      </c>
    </row>
    <row r="409" ht="23.45" customHeight="1">
      <c r="A409" s="3">
        <v>408</v>
      </c>
      <c r="B409" t="s" s="4">
        <v>2602</v>
      </c>
      <c r="C409" t="s" s="5">
        <v>2596</v>
      </c>
      <c r="D409" t="s" s="5">
        <v>2504</v>
      </c>
      <c r="E409" t="s" s="5">
        <v>2603</v>
      </c>
      <c r="F409" t="s" s="10">
        <v>2604</v>
      </c>
      <c r="G409" t="s" s="7">
        <v>2605</v>
      </c>
      <c r="H409" t="s" s="7">
        <v>2606</v>
      </c>
      <c r="I409" t="str" s="8" cm="1">
        <f t="array" ref="I409">SUBSTITUTE(H409,B409,"(          )")</f>
        <v>The (          ) landed safely despite the storm.</v>
      </c>
      <c r="J409" s="9" cm="1">
        <f t="array" ref="J409">SUMIF('외운 것 - 엑셀다운로드 파일(붙여넣기)'!A3:A562,A409,'외운 것 - 엑셀다운로드 파일(붙여넣기)'!D3:D562)</f>
        <v>0</v>
      </c>
      <c r="K409" s="9" cm="1">
        <f t="array" ref="K409">_xlfn.COUNTIFS('외운 것 - 엑셀다운로드 파일(붙여넣기)'!A3:A562,A409,'외운 것 - 엑셀다운로드 파일(붙여넣기)'!D3:D562,0)</f>
        <v>0</v>
      </c>
      <c r="L409" s="9" cm="1">
        <f t="array" ref="L409">IF(J409&gt;=3,_xlfn.XLOOKUP(A409,'외운 것 - 엑셀다운로드 파일(붙여넣기)'!A3:A562,'외운 것 - 엑셀다운로드 파일(붙여넣기)'!C3:C562,0,-1),0)</f>
        <v>0</v>
      </c>
    </row>
    <row r="410" ht="23.45" customHeight="1">
      <c r="A410" s="3">
        <v>409</v>
      </c>
      <c r="B410" t="s" s="4">
        <v>2608</v>
      </c>
      <c r="C410" t="s" s="5">
        <v>2609</v>
      </c>
      <c r="D410" t="s" s="5">
        <v>2610</v>
      </c>
      <c r="E410" t="s" s="5">
        <v>2611</v>
      </c>
      <c r="F410" t="s" s="10">
        <v>2612</v>
      </c>
      <c r="G410" t="s" s="7">
        <v>2613</v>
      </c>
      <c r="H410" t="s" s="7">
        <v>2614</v>
      </c>
      <c r="I410" t="str" s="8" cm="1">
        <f t="array" ref="I410">SUBSTITUTE(H410,B410,"(          )")</f>
        <v>The movie will (          ) at the local theater next week.</v>
      </c>
      <c r="J410" s="9" cm="1">
        <f t="array" ref="J410">SUMIF('외운 것 - 엑셀다운로드 파일(붙여넣기)'!A3:A562,A410,'외운 것 - 엑셀다운로드 파일(붙여넣기)'!D3:D562)</f>
        <v>0</v>
      </c>
      <c r="K410" s="9" cm="1">
        <f t="array" ref="K410">_xlfn.COUNTIFS('외운 것 - 엑셀다운로드 파일(붙여넣기)'!A3:A562,A410,'외운 것 - 엑셀다운로드 파일(붙여넣기)'!D3:D562,0)</f>
        <v>0</v>
      </c>
      <c r="L410" s="9" cm="1">
        <f t="array" ref="L410">IF(J410&gt;=3,_xlfn.XLOOKUP(A410,'외운 것 - 엑셀다운로드 파일(붙여넣기)'!A3:A562,'외운 것 - 엑셀다운로드 파일(붙여넣기)'!C3:C562,0,-1),0)</f>
        <v>0</v>
      </c>
    </row>
    <row r="411" ht="23.45" customHeight="1">
      <c r="A411" s="3">
        <v>410</v>
      </c>
      <c r="B411" t="s" s="4">
        <v>2616</v>
      </c>
      <c r="C411" t="s" s="5">
        <v>2609</v>
      </c>
      <c r="D411" t="s" s="5">
        <v>2610</v>
      </c>
      <c r="E411" t="s" s="5">
        <v>2617</v>
      </c>
      <c r="F411" t="s" s="10">
        <v>2618</v>
      </c>
      <c r="G411" t="s" s="7">
        <v>2619</v>
      </c>
      <c r="H411" t="s" s="7">
        <v>2620</v>
      </c>
      <c r="I411" t="str" s="8" cm="1">
        <f t="array" ref="I411">SUBSTITUTE(H411,B411,"(          )")</f>
        <v>The accident (          ) was cordoned off by police.</v>
      </c>
      <c r="J411" s="9" cm="1">
        <f t="array" ref="J411">SUMIF('외운 것 - 엑셀다운로드 파일(붙여넣기)'!A3:A562,A411,'외운 것 - 엑셀다운로드 파일(붙여넣기)'!D3:D562)</f>
        <v>0</v>
      </c>
      <c r="K411" s="9" cm="1">
        <f t="array" ref="K411">_xlfn.COUNTIFS('외운 것 - 엑셀다운로드 파일(붙여넣기)'!A3:A562,A411,'외운 것 - 엑셀다운로드 파일(붙여넣기)'!D3:D562,0)</f>
        <v>0</v>
      </c>
      <c r="L411" s="9" cm="1">
        <f t="array" ref="L411">IF(J411&gt;=3,_xlfn.XLOOKUP(A411,'외운 것 - 엑셀다운로드 파일(붙여넣기)'!A3:A562,'외운 것 - 엑셀다운로드 파일(붙여넣기)'!C3:C562,0,-1),0)</f>
        <v>0</v>
      </c>
    </row>
    <row r="412" ht="23.45" customHeight="1">
      <c r="A412" s="3">
        <v>411</v>
      </c>
      <c r="B412" t="s" s="4">
        <v>2622</v>
      </c>
      <c r="C412" t="s" s="5">
        <v>2609</v>
      </c>
      <c r="D412" t="s" s="5">
        <v>2610</v>
      </c>
      <c r="E412" t="s" s="5">
        <v>2623</v>
      </c>
      <c r="F412" t="s" s="10">
        <v>2624</v>
      </c>
      <c r="G412" t="s" s="7">
        <v>2625</v>
      </c>
      <c r="H412" t="s" s="7">
        <v>2626</v>
      </c>
      <c r="I412" t="str" s="8" cm="1">
        <f t="array" ref="I412">SUBSTITUTE(H412,B412,"(          )")</f>
        <v>Our team needs one more goal to tie the (          ).</v>
      </c>
      <c r="J412" s="9" cm="1">
        <f t="array" ref="J412">SUMIF('외운 것 - 엑셀다운로드 파일(붙여넣기)'!A3:A562,A412,'외운 것 - 엑셀다운로드 파일(붙여넣기)'!D3:D562)</f>
        <v>0</v>
      </c>
      <c r="K412" s="9" cm="1">
        <f t="array" ref="K412">_xlfn.COUNTIFS('외운 것 - 엑셀다운로드 파일(붙여넣기)'!A3:A562,A412,'외운 것 - 엑셀다운로드 파일(붙여넣기)'!D3:D562,0)</f>
        <v>0</v>
      </c>
      <c r="L412" s="9" cm="1">
        <f t="array" ref="L412">IF(J412&gt;=3,_xlfn.XLOOKUP(A412,'외운 것 - 엑셀다운로드 파일(붙여넣기)'!A3:A562,'외운 것 - 엑셀다운로드 파일(붙여넣기)'!C3:C562,0,-1),0)</f>
        <v>0</v>
      </c>
    </row>
    <row r="413" ht="38.45" customHeight="1">
      <c r="A413" s="3">
        <v>412</v>
      </c>
      <c r="B413" t="s" s="4">
        <v>2628</v>
      </c>
      <c r="C413" t="s" s="5">
        <v>2609</v>
      </c>
      <c r="D413" t="s" s="5">
        <v>2610</v>
      </c>
      <c r="E413" t="s" s="5">
        <v>2629</v>
      </c>
      <c r="F413" t="s" s="10">
        <v>2630</v>
      </c>
      <c r="G413" t="s" s="7">
        <v>2631</v>
      </c>
      <c r="H413" t="s" s="7">
        <v>2632</v>
      </c>
      <c r="I413" t="str" s="8" cm="1">
        <f t="array" ref="I413">SUBSTITUTE(H413,B413,"(          )")</f>
        <v>The train (          ) shows arrival and departure times.</v>
      </c>
      <c r="J413" s="9" cm="1">
        <f t="array" ref="J413">SUMIF('외운 것 - 엑셀다운로드 파일(붙여넣기)'!A3:A562,A413,'외운 것 - 엑셀다운로드 파일(붙여넣기)'!D3:D562)</f>
        <v>0</v>
      </c>
      <c r="K413" s="9" cm="1">
        <f t="array" ref="K413">_xlfn.COUNTIFS('외운 것 - 엑셀다운로드 파일(붙여넣기)'!A3:A562,A413,'외운 것 - 엑셀다운로드 파일(붙여넣기)'!D3:D562,0)</f>
        <v>0</v>
      </c>
      <c r="L413" s="9" cm="1">
        <f t="array" ref="L413">IF(J413&gt;=3,_xlfn.XLOOKUP(A413,'외운 것 - 엑셀다운로드 파일(붙여넣기)'!A3:A562,'외운 것 - 엑셀다운로드 파일(붙여넣기)'!C3:C562,0,-1),0)</f>
        <v>0</v>
      </c>
    </row>
    <row r="414" ht="23.45" customHeight="1">
      <c r="A414" s="3">
        <v>413</v>
      </c>
      <c r="B414" t="s" s="4">
        <v>2634</v>
      </c>
      <c r="C414" t="s" s="5">
        <v>2609</v>
      </c>
      <c r="D414" t="s" s="5">
        <v>2610</v>
      </c>
      <c r="E414" t="s" s="5">
        <v>2635</v>
      </c>
      <c r="F414" t="s" s="10">
        <v>2636</v>
      </c>
      <c r="G414" t="s" s="7">
        <v>2637</v>
      </c>
      <c r="H414" t="s" s="7">
        <v>2638</v>
      </c>
      <c r="I414" t="str" s="8" cm="1">
        <f t="array" ref="I414">SUBSTITUTE(H414,B414,"(          )")</f>
        <v>The cat left a deep (          ) on the wooden table.</v>
      </c>
      <c r="J414" s="9" cm="1">
        <f t="array" ref="J414">SUMIF('외운 것 - 엑셀다운로드 파일(붙여넣기)'!A3:A562,A414,'외운 것 - 엑셀다운로드 파일(붙여넣기)'!D3:D562)</f>
        <v>0</v>
      </c>
      <c r="K414" s="9" cm="1">
        <f t="array" ref="K414">_xlfn.COUNTIFS('외운 것 - 엑셀다운로드 파일(붙여넣기)'!A3:A562,A414,'외운 것 - 엑셀다운로드 파일(붙여넣기)'!D3:D562,0)</f>
        <v>0</v>
      </c>
      <c r="L414" s="9" cm="1">
        <f t="array" ref="L414">IF(J414&gt;=3,_xlfn.XLOOKUP(A414,'외운 것 - 엑셀다운로드 파일(붙여넣기)'!A3:A562,'외운 것 - 엑셀다운로드 파일(붙여넣기)'!C3:C562,0,-1),0)</f>
        <v>0</v>
      </c>
    </row>
    <row r="415" ht="38.45" customHeight="1">
      <c r="A415" s="3">
        <v>414</v>
      </c>
      <c r="B415" t="s" s="4">
        <v>2640</v>
      </c>
      <c r="C415" t="s" s="5">
        <v>2609</v>
      </c>
      <c r="D415" t="s" s="5">
        <v>2610</v>
      </c>
      <c r="E415" t="s" s="5">
        <v>2641</v>
      </c>
      <c r="F415" t="s" s="10">
        <v>2642</v>
      </c>
      <c r="G415" t="s" s="7">
        <v>2643</v>
      </c>
      <c r="H415" t="s" s="7">
        <v>2644</v>
      </c>
      <c r="I415" t="str" s="8" cm="1">
        <f t="array" ref="I415">SUBSTITUTE(H415,B415,"(          )")</f>
        <v>The children (          ) with delight on the roller coaster.</v>
      </c>
      <c r="J415" s="9" cm="1">
        <f t="array" ref="J415">SUMIF('외운 것 - 엑셀다운로드 파일(붙여넣기)'!A3:A562,A415,'외운 것 - 엑셀다운로드 파일(붙여넣기)'!D3:D562)</f>
        <v>0</v>
      </c>
      <c r="K415" s="9" cm="1">
        <f t="array" ref="K415">_xlfn.COUNTIFS('외운 것 - 엑셀다운로드 파일(붙여넣기)'!A3:A562,A415,'외운 것 - 엑셀다운로드 파일(붙여넣기)'!D3:D562,0)</f>
        <v>0</v>
      </c>
      <c r="L415" s="9" cm="1">
        <f t="array" ref="L415">IF(J415&gt;=3,_xlfn.XLOOKUP(A415,'외운 것 - 엑셀다운로드 파일(붙여넣기)'!A3:A562,'외운 것 - 엑셀다운로드 파일(붙여넣기)'!C3:C562,0,-1),0)</f>
        <v>0</v>
      </c>
    </row>
    <row r="416" ht="38.45" customHeight="1">
      <c r="A416" s="3">
        <v>415</v>
      </c>
      <c r="B416" t="s" s="4">
        <v>2646</v>
      </c>
      <c r="C416" t="s" s="5">
        <v>2609</v>
      </c>
      <c r="D416" t="s" s="5">
        <v>2610</v>
      </c>
      <c r="E416" t="s" s="5">
        <v>2647</v>
      </c>
      <c r="F416" t="s" s="10">
        <v>2648</v>
      </c>
      <c r="G416" t="s" s="7">
        <v>2649</v>
      </c>
      <c r="H416" t="s" s="7">
        <v>2650</v>
      </c>
      <c r="I416" t="str" s="8" cm="1">
        <f t="array" ref="I416">SUBSTITUTE(H416,B416,"(          )")</f>
        <v>Don't throw away that (          ) of paper with the phone number.</v>
      </c>
      <c r="J416" s="9" cm="1">
        <f t="array" ref="J416">SUMIF('외운 것 - 엑셀다운로드 파일(붙여넣기)'!A3:A562,A416,'외운 것 - 엑셀다운로드 파일(붙여넣기)'!D3:D562)</f>
        <v>0</v>
      </c>
      <c r="K416" s="9" cm="1">
        <f t="array" ref="K416">_xlfn.COUNTIFS('외운 것 - 엑셀다운로드 파일(붙여넣기)'!A3:A562,A416,'외운 것 - 엑셀다운로드 파일(붙여넣기)'!D3:D562,0)</f>
        <v>0</v>
      </c>
      <c r="L416" s="9" cm="1">
        <f t="array" ref="L416">IF(J416&gt;=3,_xlfn.XLOOKUP(A416,'외운 것 - 엑셀다운로드 파일(붙여넣기)'!A3:A562,'외운 것 - 엑셀다운로드 파일(붙여넣기)'!C3:C562,0,-1),0)</f>
        <v>0</v>
      </c>
    </row>
    <row r="417" ht="38.45" customHeight="1">
      <c r="A417" s="3">
        <v>416</v>
      </c>
      <c r="B417" t="s" s="4">
        <v>2652</v>
      </c>
      <c r="C417" t="s" s="5">
        <v>2609</v>
      </c>
      <c r="D417" t="s" s="5">
        <v>2610</v>
      </c>
      <c r="E417" t="s" s="5">
        <v>2653</v>
      </c>
      <c r="F417" t="s" s="10">
        <v>2654</v>
      </c>
      <c r="G417" t="s" s="7">
        <v>2655</v>
      </c>
      <c r="H417" t="s" s="7">
        <v>2656</v>
      </c>
      <c r="I417" t="str" s="8" cm="1">
        <f t="array" ref="I417">SUBSTITUTE(H417,B417,"(          )")</f>
        <v>I (          ) my knee when I fell off the bicycle.</v>
      </c>
      <c r="J417" s="9" cm="1">
        <f t="array" ref="J417">SUMIF('외운 것 - 엑셀다운로드 파일(붙여넣기)'!A3:A562,A417,'외운 것 - 엑셀다운로드 파일(붙여넣기)'!D3:D562)</f>
        <v>0</v>
      </c>
      <c r="K417" s="9" cm="1">
        <f t="array" ref="K417">_xlfn.COUNTIFS('외운 것 - 엑셀다운로드 파일(붙여넣기)'!A3:A562,A417,'외운 것 - 엑셀다운로드 파일(붙여넣기)'!D3:D562,0)</f>
        <v>0</v>
      </c>
      <c r="L417" s="9" cm="1">
        <f t="array" ref="L417">IF(J417&gt;=3,_xlfn.XLOOKUP(A417,'외운 것 - 엑셀다운로드 파일(붙여넣기)'!A3:A562,'외운 것 - 엑셀다운로드 파일(붙여넣기)'!C3:C562,0,-1),0)</f>
        <v>0</v>
      </c>
    </row>
    <row r="418" ht="36.4" customHeight="1">
      <c r="A418" s="3">
        <v>417</v>
      </c>
      <c r="B418" t="s" s="4">
        <v>2658</v>
      </c>
      <c r="C418" t="s" s="5">
        <v>2659</v>
      </c>
      <c r="D418" t="s" s="5">
        <v>2609</v>
      </c>
      <c r="E418" t="s" s="5">
        <v>2660</v>
      </c>
      <c r="F418" t="s" s="10">
        <v>2661</v>
      </c>
      <c r="G418" t="s" s="7">
        <v>2662</v>
      </c>
      <c r="H418" t="s" s="7">
        <v>2663</v>
      </c>
      <c r="I418" t="str" s="8" cm="1">
        <f t="array" ref="I418">SUBSTITUTE(H418,B418,"(          )")</f>
        <v>The (          ) dominates the city skyline.</v>
      </c>
      <c r="J418" s="9" cm="1">
        <f t="array" ref="J418">SUMIF('외운 것 - 엑셀다운로드 파일(붙여넣기)'!A3:A562,A418,'외운 것 - 엑셀다운로드 파일(붙여넣기)'!D3:D562)</f>
        <v>0</v>
      </c>
      <c r="K418" s="9" cm="1">
        <f t="array" ref="K418">_xlfn.COUNTIFS('외운 것 - 엑셀다운로드 파일(붙여넣기)'!A3:A562,A418,'외운 것 - 엑셀다운로드 파일(붙여넣기)'!D3:D562,0)</f>
        <v>0</v>
      </c>
      <c r="L418" s="9" cm="1">
        <f t="array" ref="L418">IF(J418&gt;=3,_xlfn.XLOOKUP(A418,'외운 것 - 엑셀다운로드 파일(붙여넣기)'!A3:A562,'외운 것 - 엑셀다운로드 파일(붙여넣기)'!C3:C562,0,-1),0)</f>
        <v>0</v>
      </c>
    </row>
    <row r="419" ht="38.45" customHeight="1">
      <c r="A419" s="3">
        <v>418</v>
      </c>
      <c r="B419" t="s" s="4">
        <v>2665</v>
      </c>
      <c r="C419" t="s" s="5">
        <v>2609</v>
      </c>
      <c r="D419" t="s" s="5">
        <v>2610</v>
      </c>
      <c r="E419" t="s" s="5">
        <v>2666</v>
      </c>
      <c r="F419" t="s" s="10">
        <v>2667</v>
      </c>
      <c r="G419" t="s" s="7">
        <v>2668</v>
      </c>
      <c r="H419" t="s" s="7">
        <v>2669</v>
      </c>
      <c r="I419" t="str" s="8" cm="1">
        <f t="array" ref="I419">SUBSTITUTE(H419,B419,"(          )")</f>
        <v>His (          ) was almost impossible to read.</v>
      </c>
      <c r="J419" s="9" cm="1">
        <f t="array" ref="J419">SUMIF('외운 것 - 엑셀다운로드 파일(붙여넣기)'!A3:A562,A419,'외운 것 - 엑셀다운로드 파일(붙여넣기)'!D3:D562)</f>
        <v>0</v>
      </c>
      <c r="K419" s="9" cm="1">
        <f t="array" ref="K419">_xlfn.COUNTIFS('외운 것 - 엑셀다운로드 파일(붙여넣기)'!A3:A562,A419,'외운 것 - 엑셀다운로드 파일(붙여넣기)'!D3:D562,0)</f>
        <v>0</v>
      </c>
      <c r="L419" s="9" cm="1">
        <f t="array" ref="L419">IF(J419&gt;=3,_xlfn.XLOOKUP(A419,'외운 것 - 엑셀다운로드 파일(붙여넣기)'!A3:A562,'외운 것 - 엑셀다운로드 파일(붙여넣기)'!C3:C562,0,-1),0)</f>
        <v>0</v>
      </c>
    </row>
    <row r="420" ht="23.45" customHeight="1">
      <c r="A420" s="3">
        <v>419</v>
      </c>
      <c r="B420" t="s" s="4">
        <v>2671</v>
      </c>
      <c r="C420" t="s" s="5">
        <v>2609</v>
      </c>
      <c r="D420" t="s" s="5">
        <v>2610</v>
      </c>
      <c r="E420" t="s" s="5">
        <v>2672</v>
      </c>
      <c r="F420" t="s" s="10">
        <v>2673</v>
      </c>
      <c r="G420" t="s" s="7">
        <v>2674</v>
      </c>
      <c r="H420" t="s" s="7">
        <v>2675</v>
      </c>
      <c r="I420" t="str" s="8" cm="1">
        <f t="array" ref="I420">SUBSTITUTE(H420,B420,"(          )")</f>
        <v>The surgery left a small (          ) on his arm.</v>
      </c>
      <c r="J420" s="9" cm="1">
        <f t="array" ref="J420">SUMIF('외운 것 - 엑셀다운로드 파일(붙여넣기)'!A3:A562,A420,'외운 것 - 엑셀다운로드 파일(붙여넣기)'!D3:D562)</f>
        <v>0</v>
      </c>
      <c r="K420" s="9" cm="1">
        <f t="array" ref="K420">_xlfn.COUNTIFS('외운 것 - 엑셀다운로드 파일(붙여넣기)'!A3:A562,A420,'외운 것 - 엑셀다운로드 파일(붙여넣기)'!D3:D562,0)</f>
        <v>0</v>
      </c>
      <c r="L420" s="9" cm="1">
        <f t="array" ref="L420">IF(J420&gt;=3,_xlfn.XLOOKUP(A420,'외운 것 - 엑셀다운로드 파일(붙여넣기)'!A3:A562,'외운 것 - 엑셀다운로드 파일(붙여넣기)'!C3:C562,0,-1),0)</f>
        <v>0</v>
      </c>
    </row>
    <row r="421" ht="23.45" customHeight="1">
      <c r="A421" s="3">
        <v>420</v>
      </c>
      <c r="B421" t="s" s="4">
        <v>2677</v>
      </c>
      <c r="C421" t="s" s="5">
        <v>2678</v>
      </c>
      <c r="D421" t="s" s="5">
        <v>2609</v>
      </c>
      <c r="E421" t="s" s="5">
        <v>2679</v>
      </c>
      <c r="F421" t="s" s="10">
        <v>2680</v>
      </c>
      <c r="G421" t="s" s="7">
        <v>2681</v>
      </c>
      <c r="H421" t="s" s="7">
        <v>2682</v>
      </c>
      <c r="I421" t="str" s="8" cm="1">
        <f t="array" ref="I421">SUBSTITUTE(H421,B421,"(          )")</f>
        <v>She wore a (          ) dress to the holiday party.</v>
      </c>
      <c r="J421" s="9" cm="1">
        <f t="array" ref="J421">SUMIF('외운 것 - 엑셀다운로드 파일(붙여넣기)'!A3:A562,A421,'외운 것 - 엑셀다운로드 파일(붙여넣기)'!D3:D562)</f>
        <v>0</v>
      </c>
      <c r="K421" s="9" cm="1">
        <f t="array" ref="K421">_xlfn.COUNTIFS('외운 것 - 엑셀다운로드 파일(붙여넣기)'!A3:A562,A421,'외운 것 - 엑셀다운로드 파일(붙여넣기)'!D3:D562,0)</f>
        <v>0</v>
      </c>
      <c r="L421" s="9" cm="1">
        <f t="array" ref="L421">IF(J421&gt;=3,_xlfn.XLOOKUP(A421,'외운 것 - 엑셀다운로드 파일(붙여넣기)'!A3:A562,'외운 것 - 엑셀다운로드 파일(붙여넣기)'!C3:C562,0,-1),0)</f>
        <v>0</v>
      </c>
    </row>
    <row r="422" ht="23.45" customHeight="1">
      <c r="A422" s="3">
        <v>421</v>
      </c>
      <c r="B422" t="s" s="4">
        <v>2684</v>
      </c>
      <c r="C422" t="s" s="5">
        <v>2609</v>
      </c>
      <c r="D422" t="s" s="5">
        <v>2610</v>
      </c>
      <c r="E422" t="s" s="5">
        <v>2685</v>
      </c>
      <c r="F422" t="s" s="10">
        <v>2686</v>
      </c>
      <c r="G422" t="s" s="7">
        <v>2687</v>
      </c>
      <c r="H422" t="s" s="7">
        <v>2688</v>
      </c>
      <c r="I422" t="str" s="8" cm="1">
        <f t="array" ref="I422">SUBSTITUTE(H422,B422,"(          )")</f>
        <v>The doctor will (          ) her brain to check for abnormalities.</v>
      </c>
      <c r="J422" s="9" cm="1">
        <f t="array" ref="J422">SUMIF('외운 것 - 엑셀다운로드 파일(붙여넣기)'!A3:A562,A422,'외운 것 - 엑셀다운로드 파일(붙여넣기)'!D3:D562)</f>
        <v>0</v>
      </c>
      <c r="K422" s="9" cm="1">
        <f t="array" ref="K422">_xlfn.COUNTIFS('외운 것 - 엑셀다운로드 파일(붙여넣기)'!A3:A562,A422,'외운 것 - 엑셀다운로드 파일(붙여넣기)'!D3:D562,0)</f>
        <v>0</v>
      </c>
      <c r="L422" s="9" cm="1">
        <f t="array" ref="L422">IF(J422&gt;=3,_xlfn.XLOOKUP(A422,'외운 것 - 엑셀다운로드 파일(붙여넣기)'!A3:A562,'외운 것 - 엑셀다운로드 파일(붙여넣기)'!C3:C562,0,-1),0)</f>
        <v>0</v>
      </c>
    </row>
    <row r="423" ht="23.45" customHeight="1">
      <c r="A423" s="3">
        <v>422</v>
      </c>
      <c r="B423" t="s" s="4">
        <v>2690</v>
      </c>
      <c r="C423" t="s" s="5">
        <v>2609</v>
      </c>
      <c r="D423" t="s" s="5">
        <v>2610</v>
      </c>
      <c r="E423" t="s" s="5">
        <v>2691</v>
      </c>
      <c r="F423" t="s" s="10">
        <v>2692</v>
      </c>
      <c r="G423" t="s" s="7">
        <v>2693</v>
      </c>
      <c r="H423" t="s" s="7">
        <v>2694</v>
      </c>
      <c r="I423" t="str" s="8" cm="1">
        <f t="array" ref="I423">SUBSTITUTE(H423,B423,"(          )")</f>
        <v>Wind will (          ) leaves across the yard.</v>
      </c>
      <c r="J423" s="9" cm="1">
        <f t="array" ref="J423">SUMIF('외운 것 - 엑셀다운로드 파일(붙여넣기)'!A3:A562,A423,'외운 것 - 엑셀다운로드 파일(붙여넣기)'!D3:D562)</f>
        <v>0</v>
      </c>
      <c r="K423" s="9" cm="1">
        <f t="array" ref="K423">_xlfn.COUNTIFS('외운 것 - 엑셀다운로드 파일(붙여넣기)'!A3:A562,A423,'외운 것 - 엑셀다운로드 파일(붙여넣기)'!D3:D562,0)</f>
        <v>0</v>
      </c>
      <c r="L423" s="9" cm="1">
        <f t="array" ref="L423">IF(J423&gt;=3,_xlfn.XLOOKUP(A423,'외운 것 - 엑셀다운로드 파일(붙여넣기)'!A3:A562,'외운 것 - 엑셀다운로드 파일(붙여넣기)'!C3:C562,0,-1),0)</f>
        <v>0</v>
      </c>
    </row>
    <row r="424" ht="38.45" customHeight="1">
      <c r="A424" s="3">
        <v>423</v>
      </c>
      <c r="B424" t="s" s="4">
        <v>2696</v>
      </c>
      <c r="C424" t="s" s="5">
        <v>2697</v>
      </c>
      <c r="D424" t="s" s="5">
        <v>2610</v>
      </c>
      <c r="E424" t="s" s="5">
        <v>2698</v>
      </c>
      <c r="F424" t="s" s="10">
        <v>2699</v>
      </c>
      <c r="G424" t="s" s="7">
        <v>2700</v>
      </c>
      <c r="H424" t="s" s="7">
        <v>2701</v>
      </c>
      <c r="I424" t="str" s="8" cm="1">
        <f t="array" ref="I424">SUBSTITUTE(H424,B424,"(          )")</f>
        <v>The financial records are under close (          ).</v>
      </c>
      <c r="J424" s="9" cm="1">
        <f t="array" ref="J424">SUMIF('외운 것 - 엑셀다운로드 파일(붙여넣기)'!A3:A562,A424,'외운 것 - 엑셀다운로드 파일(붙여넣기)'!D3:D562)</f>
        <v>0</v>
      </c>
      <c r="K424" s="9" cm="1">
        <f t="array" ref="K424">_xlfn.COUNTIFS('외운 것 - 엑셀다운로드 파일(붙여넣기)'!A3:A562,A424,'외운 것 - 엑셀다운로드 파일(붙여넣기)'!D3:D562,0)</f>
        <v>0</v>
      </c>
      <c r="L424" s="9" cm="1">
        <f t="array" ref="L424">IF(J424&gt;=3,_xlfn.XLOOKUP(A424,'외운 것 - 엑셀다운로드 파일(붙여넣기)'!A3:A562,'외운 것 - 엑셀다운로드 파일(붙여넣기)'!C3:C562,0,-1),0)</f>
        <v>0</v>
      </c>
    </row>
    <row r="425" ht="38.45" customHeight="1">
      <c r="A425" s="3">
        <v>424</v>
      </c>
      <c r="B425" t="s" s="4">
        <v>2703</v>
      </c>
      <c r="C425" t="s" s="5">
        <v>2659</v>
      </c>
      <c r="D425" t="s" s="5">
        <v>2609</v>
      </c>
      <c r="E425" t="s" s="5">
        <v>2704</v>
      </c>
      <c r="F425" t="s" s="10">
        <v>2705</v>
      </c>
      <c r="G425" t="s" s="7">
        <v>2706</v>
      </c>
      <c r="H425" t="s" s="7">
        <v>2707</v>
      </c>
      <c r="I425" t="str" s="8" cm="1">
        <f t="array" ref="I425">SUBSTITUTE(H425,B425,"(          )")</f>
        <v>Experts (          ) the painting to determine if it's authentic.</v>
      </c>
      <c r="J425" s="9" cm="1">
        <f t="array" ref="J425">SUMIF('외운 것 - 엑셀다운로드 파일(붙여넣기)'!A3:A562,A425,'외운 것 - 엑셀다운로드 파일(붙여넣기)'!D3:D562)</f>
        <v>0</v>
      </c>
      <c r="K425" s="9" cm="1">
        <f t="array" ref="K425">_xlfn.COUNTIFS('외운 것 - 엑셀다운로드 파일(붙여넣기)'!A3:A562,A425,'외운 것 - 엑셀다운로드 파일(붙여넣기)'!D3:D562,0)</f>
        <v>0</v>
      </c>
      <c r="L425" s="9" cm="1">
        <f t="array" ref="L425">IF(J425&gt;=3,_xlfn.XLOOKUP(A425,'외운 것 - 엑셀다운로드 파일(붙여넣기)'!A3:A562,'외운 것 - 엑셀다운로드 파일(붙여넣기)'!C3:C562,0,-1),0)</f>
        <v>0</v>
      </c>
    </row>
    <row r="426" ht="23.45" customHeight="1">
      <c r="A426" s="3">
        <v>425</v>
      </c>
      <c r="B426" t="s" s="4">
        <v>2709</v>
      </c>
      <c r="C426" t="s" s="5">
        <v>2609</v>
      </c>
      <c r="D426" t="s" s="5">
        <v>2610</v>
      </c>
      <c r="E426" t="s" s="5">
        <v>2710</v>
      </c>
      <c r="F426" t="s" s="10">
        <v>2711</v>
      </c>
      <c r="G426" t="s" s="7">
        <v>2712</v>
      </c>
      <c r="H426" t="s" s="7">
        <v>2713</v>
      </c>
      <c r="I426" t="str" s="8" cm="1">
        <f t="array" ref="I426">SUBSTITUTE(H426,B426,"(          )")</f>
        <v>You need to (          ) the floor to remove the stain.</v>
      </c>
      <c r="J426" s="9" cm="1">
        <f t="array" ref="J426">SUMIF('외운 것 - 엑셀다운로드 파일(붙여넣기)'!A3:A562,A426,'외운 것 - 엑셀다운로드 파일(붙여넣기)'!D3:D562)</f>
        <v>0</v>
      </c>
      <c r="K426" s="9" cm="1">
        <f t="array" ref="K426">_xlfn.COUNTIFS('외운 것 - 엑셀다운로드 파일(붙여넣기)'!A3:A562,A426,'외운 것 - 엑셀다운로드 파일(붙여넣기)'!D3:D562,0)</f>
        <v>0</v>
      </c>
      <c r="L426" s="9" cm="1">
        <f t="array" ref="L426">IF(J426&gt;=3,_xlfn.XLOOKUP(A426,'외운 것 - 엑셀다운로드 파일(붙여넣기)'!A3:A562,'외운 것 - 엑셀다운로드 파일(붙여넣기)'!C3:C562,0,-1),0)</f>
        <v>0</v>
      </c>
    </row>
    <row r="427" ht="23.45" customHeight="1">
      <c r="A427" s="3">
        <v>426</v>
      </c>
      <c r="B427" t="s" s="4">
        <v>2715</v>
      </c>
      <c r="C427" t="s" s="5">
        <v>2715</v>
      </c>
      <c r="D427" t="s" s="5">
        <v>2716</v>
      </c>
      <c r="E427" t="s" s="5">
        <v>2717</v>
      </c>
      <c r="F427" t="s" s="6">
        <v>2718</v>
      </c>
      <c r="G427" t="s" s="7">
        <v>2719</v>
      </c>
      <c r="H427" t="s" s="7">
        <v>2720</v>
      </c>
      <c r="I427" t="str" s="8" cm="1">
        <f t="array" ref="I427">SUBSTITUTE(H427,B427,"(          )")</f>
        <v>Rub some lotion on your sunburned skin.</v>
      </c>
      <c r="J427" s="9" cm="1">
        <f t="array" ref="J427">SUMIF('외운 것 - 엑셀다운로드 파일(붙여넣기)'!A3:A562,A427,'외운 것 - 엑셀다운로드 파일(붙여넣기)'!D3:D562)</f>
        <v>0</v>
      </c>
      <c r="K427" s="9" cm="1">
        <f t="array" ref="K427">_xlfn.COUNTIFS('외운 것 - 엑셀다운로드 파일(붙여넣기)'!A3:A562,A427,'외운 것 - 엑셀다운로드 파일(붙여넣기)'!D3:D562,0)</f>
        <v>0</v>
      </c>
      <c r="L427" s="9" cm="1">
        <f t="array" ref="L427">IF(J427&gt;=3,_xlfn.XLOOKUP(A427,'외운 것 - 엑셀다운로드 파일(붙여넣기)'!A3:A562,'외운 것 - 엑셀다운로드 파일(붙여넣기)'!C3:C562,0,-1),0)</f>
        <v>0</v>
      </c>
    </row>
    <row r="428" ht="38.45" customHeight="1">
      <c r="A428" s="3">
        <v>427</v>
      </c>
      <c r="B428" t="s" s="4">
        <v>2722</v>
      </c>
      <c r="C428" t="s" s="5">
        <v>2715</v>
      </c>
      <c r="D428" t="s" s="5">
        <v>2716</v>
      </c>
      <c r="E428" t="s" s="5">
        <v>2723</v>
      </c>
      <c r="F428" t="s" s="10">
        <v>2724</v>
      </c>
      <c r="G428" t="s" s="7">
        <v>2725</v>
      </c>
      <c r="H428" t="s" s="7">
        <v>2726</v>
      </c>
      <c r="I428" t="str" s="8" cm="1">
        <f t="array" ref="I428">SUBSTITUTE(H428,B428,"(          )")</f>
        <v>The tires are made of durable (          ).</v>
      </c>
      <c r="J428" s="9" cm="1">
        <f t="array" ref="J428">SUMIF('외운 것 - 엑셀다운로드 파일(붙여넣기)'!A3:A562,A428,'외운 것 - 엑셀다운로드 파일(붙여넣기)'!D3:D562)</f>
        <v>0</v>
      </c>
      <c r="K428" s="9" cm="1">
        <f t="array" ref="K428">_xlfn.COUNTIFS('외운 것 - 엑셀다운로드 파일(붙여넣기)'!A3:A562,A428,'외운 것 - 엑셀다운로드 파일(붙여넣기)'!D3:D562,0)</f>
        <v>0</v>
      </c>
      <c r="L428" s="9" cm="1">
        <f t="array" ref="L428">IF(J428&gt;=3,_xlfn.XLOOKUP(A428,'외운 것 - 엑셀다운로드 파일(붙여넣기)'!A3:A562,'외운 것 - 엑셀다운로드 파일(붙여넣기)'!C3:C562,0,-1),0)</f>
        <v>0</v>
      </c>
    </row>
    <row r="429" ht="38.45" customHeight="1">
      <c r="A429" s="3">
        <v>428</v>
      </c>
      <c r="B429" t="s" s="4">
        <v>2728</v>
      </c>
      <c r="C429" t="s" s="5">
        <v>2715</v>
      </c>
      <c r="D429" t="s" s="5">
        <v>2716</v>
      </c>
      <c r="E429" t="s" s="5">
        <v>2729</v>
      </c>
      <c r="F429" t="s" s="10">
        <v>2730</v>
      </c>
      <c r="G429" t="s" s="7">
        <v>2731</v>
      </c>
      <c r="H429" t="s" s="7">
        <v>2732</v>
      </c>
      <c r="I429" t="str" s="8" cm="1">
        <f t="array" ref="I429">SUBSTITUTE(H429,B429,"(          )")</f>
        <v>Please put your (          ) in the bin.</v>
      </c>
      <c r="J429" s="9" cm="1">
        <f t="array" ref="J429">SUMIF('외운 것 - 엑셀다운로드 파일(붙여넣기)'!A3:A562,A429,'외운 것 - 엑셀다운로드 파일(붙여넣기)'!D3:D562)</f>
        <v>0</v>
      </c>
      <c r="K429" s="9" cm="1">
        <f t="array" ref="K429">_xlfn.COUNTIFS('외운 것 - 엑셀다운로드 파일(붙여넣기)'!A3:A562,A429,'외운 것 - 엑셀다운로드 파일(붙여넣기)'!D3:D562,0)</f>
        <v>0</v>
      </c>
      <c r="L429" s="9" cm="1">
        <f t="array" ref="L429">IF(J429&gt;=3,_xlfn.XLOOKUP(A429,'외운 것 - 엑셀다운로드 파일(붙여넣기)'!A3:A562,'외운 것 - 엑셀다운로드 파일(붙여넣기)'!C3:C562,0,-1),0)</f>
        <v>0</v>
      </c>
    </row>
    <row r="430" ht="23.45" customHeight="1">
      <c r="A430" s="3">
        <v>429</v>
      </c>
      <c r="B430" t="s" s="4">
        <v>2734</v>
      </c>
      <c r="C430" t="s" s="5">
        <v>2609</v>
      </c>
      <c r="D430" t="s" s="5">
        <v>2610</v>
      </c>
      <c r="E430" t="s" s="5">
        <v>2735</v>
      </c>
      <c r="F430" t="s" s="10">
        <v>2736</v>
      </c>
      <c r="G430" t="s" s="7">
        <v>2737</v>
      </c>
      <c r="H430" t="s" s="7">
        <v>2738</v>
      </c>
      <c r="I430" t="str" s="8" cm="1">
        <f t="array" ref="I430">SUBSTITUTE(H430,B430,"(          )")</f>
        <v>The hot pan will (          ) the tablecloth.</v>
      </c>
      <c r="J430" s="9" cm="1">
        <f t="array" ref="J430">SUMIF('외운 것 - 엑셀다운로드 파일(붙여넣기)'!A3:A562,A430,'외운 것 - 엑셀다운로드 파일(붙여넣기)'!D3:D562)</f>
        <v>0</v>
      </c>
      <c r="K430" s="9" cm="1">
        <f t="array" ref="K430">_xlfn.COUNTIFS('외운 것 - 엑셀다운로드 파일(붙여넣기)'!A3:A562,A430,'외운 것 - 엑셀다운로드 파일(붙여넣기)'!D3:D562,0)</f>
        <v>0</v>
      </c>
      <c r="L430" s="9" cm="1">
        <f t="array" ref="L430">IF(J430&gt;=3,_xlfn.XLOOKUP(A430,'외운 것 - 엑셀다운로드 파일(붙여넣기)'!A3:A562,'외운 것 - 엑셀다운로드 파일(붙여넣기)'!C3:C562,0,-1),0)</f>
        <v>0</v>
      </c>
    </row>
    <row r="431" ht="38.45" customHeight="1">
      <c r="A431" s="3">
        <v>430</v>
      </c>
      <c r="B431" t="s" s="4">
        <v>2740</v>
      </c>
      <c r="C431" t="s" s="5">
        <v>2609</v>
      </c>
      <c r="D431" t="s" s="5">
        <v>2610</v>
      </c>
      <c r="E431" t="s" s="5">
        <v>2741</v>
      </c>
      <c r="F431" t="s" s="10">
        <v>2742</v>
      </c>
      <c r="G431" t="s" s="7">
        <v>2743</v>
      </c>
      <c r="H431" t="s" s="7">
        <v>2744</v>
      </c>
      <c r="I431" t="str" s="8" cm="1">
        <f t="array" ref="I431">SUBSTITUTE(H431,B431,"(          )")</f>
        <v>Use the bathroom (          ) to check your weight.</v>
      </c>
      <c r="J431" s="9" cm="1">
        <f t="array" ref="J431">SUMIF('외운 것 - 엑셀다운로드 파일(붙여넣기)'!A3:A562,A431,'외운 것 - 엑셀다운로드 파일(붙여넣기)'!D3:D562)</f>
        <v>0</v>
      </c>
      <c r="K431" s="9" cm="1">
        <f t="array" ref="K431">_xlfn.COUNTIFS('외운 것 - 엑셀다운로드 파일(붙여넣기)'!A3:A562,A431,'외운 것 - 엑셀다운로드 파일(붙여넣기)'!D3:D562,0)</f>
        <v>0</v>
      </c>
      <c r="L431" s="9" cm="1">
        <f t="array" ref="L431">IF(J431&gt;=3,_xlfn.XLOOKUP(A431,'외운 것 - 엑셀다운로드 파일(붙여넣기)'!A3:A562,'외운 것 - 엑셀다운로드 파일(붙여넣기)'!C3:C562,0,-1),0)</f>
        <v>0</v>
      </c>
    </row>
    <row r="432" ht="38.45" customHeight="1">
      <c r="A432" s="3">
        <v>431</v>
      </c>
      <c r="B432" t="s" s="4">
        <v>2746</v>
      </c>
      <c r="C432" t="s" s="5">
        <v>2747</v>
      </c>
      <c r="D432" t="s" s="5">
        <v>2609</v>
      </c>
      <c r="E432" t="s" s="5">
        <v>2748</v>
      </c>
      <c r="F432" t="s" s="10">
        <v>2749</v>
      </c>
      <c r="G432" t="s" s="7">
        <v>2750</v>
      </c>
      <c r="H432" t="s" s="7">
        <v>2751</v>
      </c>
      <c r="I432" t="str" s="8" cm="1">
        <f t="array" ref="I432">SUBSTITUTE(H432,B432,"(          )")</f>
        <v>The conflict could (          ) into a serious war.</v>
      </c>
      <c r="J432" s="9" cm="1">
        <f t="array" ref="J432">SUMIF('외운 것 - 엑셀다운로드 파일(붙여넣기)'!A3:A562,A432,'외운 것 - 엑셀다운로드 파일(붙여넣기)'!D3:D562)</f>
        <v>0</v>
      </c>
      <c r="K432" s="9" cm="1">
        <f t="array" ref="K432">_xlfn.COUNTIFS('외운 것 - 엑셀다운로드 파일(붙여넣기)'!A3:A562,A432,'외운 것 - 엑셀다운로드 파일(붙여넣기)'!D3:D562,0)</f>
        <v>0</v>
      </c>
      <c r="L432" s="9" cm="1">
        <f t="array" ref="L432">IF(J432&gt;=3,_xlfn.XLOOKUP(A432,'외운 것 - 엑셀다운로드 파일(붙여넣기)'!A3:A562,'외운 것 - 엑셀다운로드 파일(붙여넣기)'!C3:C562,0,-1),0)</f>
        <v>0</v>
      </c>
    </row>
    <row r="433" ht="23.45" customHeight="1">
      <c r="A433" s="3">
        <v>432</v>
      </c>
      <c r="B433" t="s" s="4">
        <v>2753</v>
      </c>
      <c r="C433" t="s" s="5">
        <v>2609</v>
      </c>
      <c r="D433" t="s" s="5">
        <v>2610</v>
      </c>
      <c r="E433" t="s" s="5">
        <v>2754</v>
      </c>
      <c r="F433" t="s" s="10">
        <v>2755</v>
      </c>
      <c r="G433" t="s" s="7">
        <v>2756</v>
      </c>
      <c r="H433" t="s" s="7">
        <v>2757</v>
      </c>
      <c r="I433" t="str" s="8" cm="1">
        <f t="array" ref="I433">SUBSTITUTE(H433,B433,"(          )")</f>
        <v>Scroll down the page to read more information.</v>
      </c>
      <c r="J433" s="9" cm="1">
        <f t="array" ref="J433">SUMIF('외운 것 - 엑셀다운로드 파일(붙여넣기)'!A3:A562,A433,'외운 것 - 엑셀다운로드 파일(붙여넣기)'!D3:D562)</f>
        <v>0</v>
      </c>
      <c r="K433" s="9" cm="1">
        <f t="array" ref="K433">_xlfn.COUNTIFS('외운 것 - 엑셀다운로드 파일(붙여넣기)'!A3:A562,A433,'외운 것 - 엑셀다운로드 파일(붙여넣기)'!D3:D562,0)</f>
        <v>0</v>
      </c>
      <c r="L433" s="9" cm="1">
        <f t="array" ref="L433">IF(J433&gt;=3,_xlfn.XLOOKUP(A433,'외운 것 - 엑셀다운로드 파일(붙여넣기)'!A3:A562,'외운 것 - 엑셀다운로드 파일(붙여넣기)'!C3:C562,0,-1),0)</f>
        <v>0</v>
      </c>
    </row>
    <row r="434" ht="38.45" customHeight="1">
      <c r="A434" s="3">
        <v>433</v>
      </c>
      <c r="B434" t="s" s="4">
        <v>2759</v>
      </c>
      <c r="C434" t="s" s="5">
        <v>2609</v>
      </c>
      <c r="D434" t="s" s="5">
        <v>2610</v>
      </c>
      <c r="E434" t="s" s="5">
        <v>2760</v>
      </c>
      <c r="F434" t="s" s="10">
        <v>2761</v>
      </c>
      <c r="G434" t="s" s="7">
        <v>2762</v>
      </c>
      <c r="H434" t="s" s="7">
        <v>2763</v>
      </c>
      <c r="I434" t="str" s="8" cm="1">
        <f t="array" ref="I434">SUBSTITUTE(H434,B434,"(          )")</f>
        <v>The marble (          ) depicts a Greek goddess.</v>
      </c>
      <c r="J434" s="9" cm="1">
        <f t="array" ref="J434">SUMIF('외운 것 - 엑셀다운로드 파일(붙여넣기)'!A3:A562,A434,'외운 것 - 엑셀다운로드 파일(붙여넣기)'!D3:D562)</f>
        <v>0</v>
      </c>
      <c r="K434" s="9" cm="1">
        <f t="array" ref="K434">_xlfn.COUNTIFS('외운 것 - 엑셀다운로드 파일(붙여넣기)'!A3:A562,A434,'외운 것 - 엑셀다운로드 파일(붙여넣기)'!D3:D562,0)</f>
        <v>0</v>
      </c>
      <c r="L434" s="9" cm="1">
        <f t="array" ref="L434">IF(J434&gt;=3,_xlfn.XLOOKUP(A434,'외운 것 - 엑셀다운로드 파일(붙여넣기)'!A3:A562,'외운 것 - 엑셀다운로드 파일(붙여넣기)'!C3:C562,0,-1),0)</f>
        <v>0</v>
      </c>
    </row>
    <row r="435" ht="23.45" customHeight="1">
      <c r="A435" s="3">
        <v>434</v>
      </c>
      <c r="B435" t="s" s="4">
        <v>2765</v>
      </c>
      <c r="C435" t="s" s="5">
        <v>2766</v>
      </c>
      <c r="D435" t="s" s="5">
        <v>2767</v>
      </c>
      <c r="E435" t="s" s="5">
        <v>2768</v>
      </c>
      <c r="F435" t="s" s="10">
        <v>2769</v>
      </c>
      <c r="G435" t="s" s="7">
        <v>2750</v>
      </c>
      <c r="H435" t="s" s="7">
        <v>2770</v>
      </c>
      <c r="I435" t="str" s="8" cm="1">
        <f t="array" ref="I435">SUBSTITUTE(H435,B435,"(          )")</f>
        <v>The hikers will (          ) the mountain tomorrow.</v>
      </c>
      <c r="J435" s="9" cm="1">
        <f t="array" ref="J435">SUMIF('외운 것 - 엑셀다운로드 파일(붙여넣기)'!A3:A562,A435,'외운 것 - 엑셀다운로드 파일(붙여넣기)'!D3:D562)</f>
        <v>0</v>
      </c>
      <c r="K435" s="9" cm="1">
        <f t="array" ref="K435">_xlfn.COUNTIFS('외운 것 - 엑셀다운로드 파일(붙여넣기)'!A3:A562,A435,'외운 것 - 엑셀다운로드 파일(붙여넣기)'!D3:D562,0)</f>
        <v>0</v>
      </c>
      <c r="L435" s="9" cm="1">
        <f t="array" ref="L435">IF(J435&gt;=3,_xlfn.XLOOKUP(A435,'외운 것 - 엑셀다운로드 파일(붙여넣기)'!A3:A562,'외운 것 - 엑셀다운로드 파일(붙여넣기)'!C3:C562,0,-1),0)</f>
        <v>0</v>
      </c>
    </row>
    <row r="436" ht="23.45" customHeight="1">
      <c r="A436" s="3">
        <v>435</v>
      </c>
      <c r="B436" t="s" s="4">
        <v>2772</v>
      </c>
      <c r="C436" t="s" s="5">
        <v>2766</v>
      </c>
      <c r="D436" t="s" s="5">
        <v>2767</v>
      </c>
      <c r="E436" t="s" s="5">
        <v>2773</v>
      </c>
      <c r="F436" t="s" s="10">
        <v>2774</v>
      </c>
      <c r="G436" t="s" s="7">
        <v>2775</v>
      </c>
      <c r="H436" t="s" s="7">
        <v>2776</v>
      </c>
      <c r="I436" t="str" s="8" cm="1">
        <f t="array" ref="I436">SUBSTITUTE(H436,B436,"(          )")</f>
        <v>The plane began to (          ) toward the airport.</v>
      </c>
      <c r="J436" s="9" cm="1">
        <f t="array" ref="J436">SUMIF('외운 것 - 엑셀다운로드 파일(붙여넣기)'!A3:A562,A436,'외운 것 - 엑셀다운로드 파일(붙여넣기)'!D3:D562)</f>
        <v>0</v>
      </c>
      <c r="K436" s="9" cm="1">
        <f t="array" ref="K436">_xlfn.COUNTIFS('외운 것 - 엑셀다운로드 파일(붙여넣기)'!A3:A562,A436,'외운 것 - 엑셀다운로드 파일(붙여넣기)'!D3:D562,0)</f>
        <v>0</v>
      </c>
      <c r="L436" s="9" cm="1">
        <f t="array" ref="L436">IF(J436&gt;=3,_xlfn.XLOOKUP(A436,'외운 것 - 엑셀다운로드 파일(붙여넣기)'!A3:A562,'외운 것 - 엑셀다운로드 파일(붙여넣기)'!C3:C562,0,-1),0)</f>
        <v>0</v>
      </c>
    </row>
    <row r="437" ht="23.45" customHeight="1">
      <c r="A437" s="3">
        <v>436</v>
      </c>
      <c r="B437" t="s" s="4">
        <v>2778</v>
      </c>
      <c r="C437" t="s" s="5">
        <v>2766</v>
      </c>
      <c r="D437" t="s" s="5">
        <v>2767</v>
      </c>
      <c r="E437" t="s" s="5">
        <v>2779</v>
      </c>
      <c r="F437" t="s" s="10">
        <v>2780</v>
      </c>
      <c r="G437" t="s" s="7">
        <v>2781</v>
      </c>
      <c r="H437" t="s" s="7">
        <v>2782</v>
      </c>
      <c r="I437" t="str" s="8" cm="1">
        <f t="array" ref="I437">SUBSTITUTE(H437,B437,"(          )")</f>
        <v>The roller coaster's steep (          ) terrified the children.</v>
      </c>
      <c r="J437" s="9" cm="1">
        <f t="array" ref="J437">SUMIF('외운 것 - 엑셀다운로드 파일(붙여넣기)'!A3:A562,A437,'외운 것 - 엑셀다운로드 파일(붙여넣기)'!D3:D562)</f>
        <v>0</v>
      </c>
      <c r="K437" s="9" cm="1">
        <f t="array" ref="K437">_xlfn.COUNTIFS('외운 것 - 엑셀다운로드 파일(붙여넣기)'!A3:A562,A437,'외운 것 - 엑셀다운로드 파일(붙여넣기)'!D3:D562,0)</f>
        <v>0</v>
      </c>
      <c r="L437" s="9" cm="1">
        <f t="array" ref="L437">IF(J437&gt;=3,_xlfn.XLOOKUP(A437,'외운 것 - 엑셀다운로드 파일(붙여넣기)'!A3:A562,'외운 것 - 엑셀다운로드 파일(붙여넣기)'!C3:C562,0,-1),0)</f>
        <v>0</v>
      </c>
    </row>
    <row r="438" ht="36.4" customHeight="1">
      <c r="A438" s="3">
        <v>437</v>
      </c>
      <c r="B438" t="s" s="4">
        <v>2784</v>
      </c>
      <c r="C438" t="s" s="5">
        <v>2785</v>
      </c>
      <c r="D438" t="s" s="5">
        <v>2766</v>
      </c>
      <c r="E438" t="s" s="5">
        <v>2786</v>
      </c>
      <c r="F438" t="s" s="10">
        <v>2787</v>
      </c>
      <c r="G438" t="s" s="7">
        <v>2788</v>
      </c>
      <c r="H438" t="s" s="7">
        <v>2789</v>
      </c>
      <c r="I438" t="str" s="8" cm="1">
        <f t="array" ref="I438">SUBSTITUTE(H438,B438,"(          )")</f>
        <v>He is a direct (          ) of the royal family.</v>
      </c>
      <c r="J438" s="9" cm="1">
        <f t="array" ref="J438">SUMIF('외운 것 - 엑셀다운로드 파일(붙여넣기)'!A3:A562,A438,'외운 것 - 엑셀다운로드 파일(붙여넣기)'!D3:D562)</f>
        <v>0</v>
      </c>
      <c r="K438" s="9" cm="1">
        <f t="array" ref="K438">_xlfn.COUNTIFS('외운 것 - 엑셀다운로드 파일(붙여넣기)'!A3:A562,A438,'외운 것 - 엑셀다운로드 파일(붙여넣기)'!D3:D562,0)</f>
        <v>0</v>
      </c>
      <c r="L438" s="9" cm="1">
        <f t="array" ref="L438">IF(J438&gt;=3,_xlfn.XLOOKUP(A438,'외운 것 - 엑셀다운로드 파일(붙여넣기)'!A3:A562,'외운 것 - 엑셀다운로드 파일(붙여넣기)'!C3:C562,0,-1),0)</f>
        <v>0</v>
      </c>
    </row>
    <row r="439" ht="38.45" customHeight="1">
      <c r="A439" s="3">
        <v>438</v>
      </c>
      <c r="B439" t="s" s="4">
        <v>2791</v>
      </c>
      <c r="C439" t="s" s="5">
        <v>2609</v>
      </c>
      <c r="D439" t="s" s="5">
        <v>2792</v>
      </c>
      <c r="E439" t="s" s="5">
        <v>2793</v>
      </c>
      <c r="F439" t="s" s="10">
        <v>2794</v>
      </c>
      <c r="G439" t="s" s="7">
        <v>2795</v>
      </c>
      <c r="H439" t="s" s="7">
        <v>2796</v>
      </c>
      <c r="I439" t="str" s="8" cm="1">
        <f t="array" ref="I439">SUBSTITUTE(H439,B439,"(          )")</f>
        <v>The actress memorized her (          ) before filming.</v>
      </c>
      <c r="J439" s="9" cm="1">
        <f t="array" ref="J439">SUMIF('외운 것 - 엑셀다운로드 파일(붙여넣기)'!A3:A562,A439,'외운 것 - 엑셀다운로드 파일(붙여넣기)'!D3:D562)</f>
        <v>0</v>
      </c>
      <c r="K439" s="9" cm="1">
        <f t="array" ref="K439">_xlfn.COUNTIFS('외운 것 - 엑셀다운로드 파일(붙여넣기)'!A3:A562,A439,'외운 것 - 엑셀다운로드 파일(붙여넣기)'!D3:D562,0)</f>
        <v>0</v>
      </c>
      <c r="L439" s="9" cm="1">
        <f t="array" ref="L439">IF(J439&gt;=3,_xlfn.XLOOKUP(A439,'외운 것 - 엑셀다운로드 파일(붙여넣기)'!A3:A562,'외운 것 - 엑셀다운로드 파일(붙여넣기)'!C3:C562,0,-1),0)</f>
        <v>0</v>
      </c>
    </row>
    <row r="440" ht="23.45" customHeight="1">
      <c r="A440" s="3">
        <v>439</v>
      </c>
      <c r="B440" t="s" s="4">
        <v>2798</v>
      </c>
      <c r="C440" t="s" s="5">
        <v>2791</v>
      </c>
      <c r="D440" t="s" s="5">
        <v>2792</v>
      </c>
      <c r="E440" t="s" s="5">
        <v>2799</v>
      </c>
      <c r="F440" t="s" s="10">
        <v>2800</v>
      </c>
      <c r="G440" t="s" s="7">
        <v>2801</v>
      </c>
      <c r="H440" t="s" s="7">
        <v>2802</v>
      </c>
      <c r="I440" t="str" s="8" cm="1">
        <f t="array" ref="I440">SUBSTITUTE(H440,B440,"(          )")</f>
        <v>Many people find guidance in religious (          ).</v>
      </c>
      <c r="J440" s="9" cm="1">
        <f t="array" ref="J440">SUMIF('외운 것 - 엑셀다운로드 파일(붙여넣기)'!A3:A562,A440,'외운 것 - 엑셀다운로드 파일(붙여넣기)'!D3:D562)</f>
        <v>0</v>
      </c>
      <c r="K440" s="9" cm="1">
        <f t="array" ref="K440">_xlfn.COUNTIFS('외운 것 - 엑셀다운로드 파일(붙여넣기)'!A3:A562,A440,'외운 것 - 엑셀다운로드 파일(붙여넣기)'!D3:D562,0)</f>
        <v>0</v>
      </c>
      <c r="L440" s="9" cm="1">
        <f t="array" ref="L440">IF(J440&gt;=3,_xlfn.XLOOKUP(A440,'외운 것 - 엑셀다운로드 파일(붙여넣기)'!A3:A562,'외운 것 - 엑셀다운로드 파일(붙여넣기)'!C3:C562,0,-1),0)</f>
        <v>0</v>
      </c>
    </row>
    <row r="441" ht="23.45" customHeight="1">
      <c r="A441" s="3">
        <v>440</v>
      </c>
      <c r="B441" t="s" s="4">
        <v>2804</v>
      </c>
      <c r="C441" t="s" s="5">
        <v>2791</v>
      </c>
      <c r="D441" t="s" s="5">
        <v>2792</v>
      </c>
      <c r="E441" t="s" s="5">
        <v>2805</v>
      </c>
      <c r="F441" t="s" s="10">
        <v>2806</v>
      </c>
      <c r="G441" t="s" s="7">
        <v>2807</v>
      </c>
      <c r="H441" t="s" s="7">
        <v>2808</v>
      </c>
      <c r="I441" t="str" s="8" cm="1">
        <f t="array" ref="I441">SUBSTITUTE(H441,B441,"(          )")</f>
        <v>The ancient (          ) was discovered in a monastery.</v>
      </c>
      <c r="J441" s="9" cm="1">
        <f t="array" ref="J441">SUMIF('외운 것 - 엑셀다운로드 파일(붙여넣기)'!A3:A562,A441,'외운 것 - 엑셀다운로드 파일(붙여넣기)'!D3:D562)</f>
        <v>0</v>
      </c>
      <c r="K441" s="9" cm="1">
        <f t="array" ref="K441">_xlfn.COUNTIFS('외운 것 - 엑셀다운로드 파일(붙여넣기)'!A3:A562,A441,'외운 것 - 엑셀다운로드 파일(붙여넣기)'!D3:D562,0)</f>
        <v>0</v>
      </c>
      <c r="L441" s="9" cm="1">
        <f t="array" ref="L441">IF(J441&gt;=3,_xlfn.XLOOKUP(A441,'외운 것 - 엑셀다운로드 파일(붙여넣기)'!A3:A562,'외운 것 - 엑셀다운로드 파일(붙여넣기)'!C3:C562,0,-1),0)</f>
        <v>0</v>
      </c>
    </row>
    <row r="442" ht="23.45" customHeight="1">
      <c r="A442" s="3">
        <v>441</v>
      </c>
      <c r="B442" t="s" s="4">
        <v>2810</v>
      </c>
      <c r="C442" t="s" s="5">
        <v>2791</v>
      </c>
      <c r="D442" t="s" s="5">
        <v>2792</v>
      </c>
      <c r="E442" t="s" s="5">
        <v>2811</v>
      </c>
      <c r="F442" t="s" s="10">
        <v>2812</v>
      </c>
      <c r="G442" t="s" s="7">
        <v>2813</v>
      </c>
      <c r="H442" t="s" s="7">
        <v>2814</v>
      </c>
      <c r="I442" t="str" s="8" cm="1">
        <f t="array" ref="I442">SUBSTITUTE(H442,B442,"(          )")</f>
        <v>She added a (          ) at the end of her letter.</v>
      </c>
      <c r="J442" s="9" cm="1">
        <f t="array" ref="J442">SUMIF('외운 것 - 엑셀다운로드 파일(붙여넣기)'!A3:A562,A442,'외운 것 - 엑셀다운로드 파일(붙여넣기)'!D3:D562)</f>
        <v>0</v>
      </c>
      <c r="K442" s="9" cm="1">
        <f t="array" ref="K442">_xlfn.COUNTIFS('외운 것 - 엑셀다운로드 파일(붙여넣기)'!A3:A562,A442,'외운 것 - 엑셀다운로드 파일(붙여넣기)'!D3:D562,0)</f>
        <v>0</v>
      </c>
      <c r="L442" s="9" cm="1">
        <f t="array" ref="L442">IF(J442&gt;=3,_xlfn.XLOOKUP(A442,'외운 것 - 엑셀다운로드 파일(붙여넣기)'!A3:A562,'외운 것 - 엑셀다운로드 파일(붙여넣기)'!C3:C562,0,-1),0)</f>
        <v>0</v>
      </c>
    </row>
    <row r="443" ht="23.45" customHeight="1">
      <c r="A443" s="3">
        <v>442</v>
      </c>
      <c r="B443" t="s" s="4">
        <v>2816</v>
      </c>
      <c r="C443" t="s" s="5">
        <v>2791</v>
      </c>
      <c r="D443" t="s" s="5">
        <v>2792</v>
      </c>
      <c r="E443" t="s" s="5">
        <v>2817</v>
      </c>
      <c r="F443" t="s" s="10">
        <v>2818</v>
      </c>
      <c r="G443" t="s" s="7">
        <v>2819</v>
      </c>
      <c r="H443" t="s" s="7">
        <v>2820</v>
      </c>
      <c r="I443" t="str" s="8" cm="1">
        <f t="array" ref="I443">SUBSTITUTE(H443,B443,"(          )")</f>
        <v>It's important to (          ) sensitive data for security.</v>
      </c>
      <c r="J443" s="9" cm="1">
        <f t="array" ref="J443">SUMIF('외운 것 - 엑셀다운로드 파일(붙여넣기)'!A3:A562,A443,'외운 것 - 엑셀다운로드 파일(붙여넣기)'!D3:D562)</f>
        <v>0</v>
      </c>
      <c r="K443" s="9" cm="1">
        <f t="array" ref="K443">_xlfn.COUNTIFS('외운 것 - 엑셀다운로드 파일(붙여넣기)'!A3:A562,A443,'외운 것 - 엑셀다운로드 파일(붙여넣기)'!D3:D562,0)</f>
        <v>0</v>
      </c>
      <c r="L443" s="9" cm="1">
        <f t="array" ref="L443">IF(J443&gt;=3,_xlfn.XLOOKUP(A443,'외운 것 - 엑셀다운로드 파일(붙여넣기)'!A3:A562,'외운 것 - 엑셀다운로드 파일(붙여넣기)'!C3:C562,0,-1),0)</f>
        <v>0</v>
      </c>
    </row>
    <row r="444" ht="36.4" customHeight="1">
      <c r="A444" s="3">
        <v>443</v>
      </c>
      <c r="B444" t="s" s="4">
        <v>2822</v>
      </c>
      <c r="C444" t="s" s="5">
        <v>2823</v>
      </c>
      <c r="D444" t="s" s="5">
        <v>2792</v>
      </c>
      <c r="E444" t="s" s="5">
        <v>2824</v>
      </c>
      <c r="F444" t="s" s="10">
        <v>2825</v>
      </c>
      <c r="G444" t="s" s="7">
        <v>2826</v>
      </c>
      <c r="H444" t="s" s="7">
        <v>2827</v>
      </c>
      <c r="I444" t="str" s="8" cm="1">
        <f t="array" ref="I444">SUBSTITUTE(H444,B444,"(          )")</f>
        <v>The medieval (          ) copied religious texts by hand.</v>
      </c>
      <c r="J444" s="9" cm="1">
        <f t="array" ref="J444">SUMIF('외운 것 - 엑셀다운로드 파일(붙여넣기)'!A3:A562,A444,'외운 것 - 엑셀다운로드 파일(붙여넣기)'!D3:D562)</f>
        <v>0</v>
      </c>
      <c r="K444" s="9" cm="1">
        <f t="array" ref="K444">_xlfn.COUNTIFS('외운 것 - 엑셀다운로드 파일(붙여넣기)'!A3:A562,A444,'외운 것 - 엑셀다운로드 파일(붙여넣기)'!D3:D562,0)</f>
        <v>0</v>
      </c>
      <c r="L444" s="9" cm="1">
        <f t="array" ref="L444">IF(J444&gt;=3,_xlfn.XLOOKUP(A444,'외운 것 - 엑셀다운로드 파일(붙여넣기)'!A3:A562,'외운 것 - 엑셀다운로드 파일(붙여넣기)'!C3:C562,0,-1),0)</f>
        <v>0</v>
      </c>
    </row>
    <row r="445" ht="38.45" customHeight="1">
      <c r="A445" s="3">
        <v>444</v>
      </c>
      <c r="B445" t="s" s="4">
        <v>2829</v>
      </c>
      <c r="C445" t="s" s="5">
        <v>2823</v>
      </c>
      <c r="D445" t="s" s="5">
        <v>2792</v>
      </c>
      <c r="E445" t="s" s="5">
        <v>2830</v>
      </c>
      <c r="F445" t="s" s="10">
        <v>2831</v>
      </c>
      <c r="G445" t="s" s="7">
        <v>2832</v>
      </c>
      <c r="H445" t="s" s="7">
        <v>2833</v>
      </c>
      <c r="I445" t="str" s="8" cm="1">
        <f t="array" ref="I445">SUBSTITUTE(H445,B445,"(          )")</f>
        <v>The child's (          ) looked like a face to his parents.</v>
      </c>
      <c r="J445" s="9" cm="1">
        <f t="array" ref="J445">SUMIF('외운 것 - 엑셀다운로드 파일(붙여넣기)'!A3:A562,A445,'외운 것 - 엑셀다운로드 파일(붙여넣기)'!D3:D562)</f>
        <v>0</v>
      </c>
      <c r="K445" s="9" cm="1">
        <f t="array" ref="K445">_xlfn.COUNTIFS('외운 것 - 엑셀다운로드 파일(붙여넣기)'!A3:A562,A445,'외운 것 - 엑셀다운로드 파일(붙여넣기)'!D3:D562,0)</f>
        <v>0</v>
      </c>
      <c r="L445" s="9" cm="1">
        <f t="array" ref="L445">IF(J445&gt;=3,_xlfn.XLOOKUP(A445,'외운 것 - 엑셀다운로드 파일(붙여넣기)'!A3:A562,'외운 것 - 엑셀다운로드 파일(붙여넣기)'!C3:C562,0,-1),0)</f>
        <v>0</v>
      </c>
    </row>
    <row r="446" ht="36.4" customHeight="1">
      <c r="A446" s="3">
        <v>445</v>
      </c>
      <c r="B446" t="s" s="4">
        <v>2835</v>
      </c>
      <c r="C446" t="s" s="5">
        <v>2823</v>
      </c>
      <c r="D446" t="s" s="5">
        <v>2792</v>
      </c>
      <c r="E446" t="s" s="5">
        <v>2836</v>
      </c>
      <c r="F446" t="s" s="10">
        <v>2837</v>
      </c>
      <c r="G446" t="s" s="7">
        <v>2838</v>
      </c>
      <c r="H446" t="s" s="7">
        <v>2839</v>
      </c>
      <c r="I446" t="str" s="8" cm="1">
        <f t="array" ref="I446">SUBSTITUTE(H446,B446,"(          )")</f>
        <v>The doctor will (          ) antibiotics for your infection.</v>
      </c>
      <c r="J446" s="9" cm="1">
        <f t="array" ref="J446">SUMIF('외운 것 - 엑셀다운로드 파일(붙여넣기)'!A3:A562,A446,'외운 것 - 엑셀다운로드 파일(붙여넣기)'!D3:D562)</f>
        <v>0</v>
      </c>
      <c r="K446" s="9" cm="1">
        <f t="array" ref="K446">_xlfn.COUNTIFS('외운 것 - 엑셀다운로드 파일(붙여넣기)'!A3:A562,A446,'외운 것 - 엑셀다운로드 파일(붙여넣기)'!D3:D562,0)</f>
        <v>0</v>
      </c>
      <c r="L446" s="9" cm="1">
        <f t="array" ref="L446">IF(J446&gt;=3,_xlfn.XLOOKUP(A446,'외운 것 - 엑셀다운로드 파일(붙여넣기)'!A3:A562,'외운 것 - 엑셀다운로드 파일(붙여넣기)'!C3:C562,0,-1),0)</f>
        <v>0</v>
      </c>
    </row>
    <row r="447" ht="38.45" customHeight="1">
      <c r="A447" s="3">
        <v>446</v>
      </c>
      <c r="B447" t="s" s="4">
        <v>2841</v>
      </c>
      <c r="C447" t="s" s="5">
        <v>2823</v>
      </c>
      <c r="D447" t="s" s="5">
        <v>2792</v>
      </c>
      <c r="E447" t="s" s="5">
        <v>2842</v>
      </c>
      <c r="F447" t="s" s="10">
        <v>2843</v>
      </c>
      <c r="G447" t="s" s="7">
        <v>2844</v>
      </c>
      <c r="H447" t="s" s="7">
        <v>2845</v>
      </c>
      <c r="I447" t="str" s="8" cm="1">
        <f t="array" ref="I447">SUBSTITUTE(H447,B447,"(          )")</f>
        <v>Can you (          ) the person who took your bag?</v>
      </c>
      <c r="J447" s="9" cm="1">
        <f t="array" ref="J447">SUMIF('외운 것 - 엑셀다운로드 파일(붙여넣기)'!A3:A562,A447,'외운 것 - 엑셀다운로드 파일(붙여넣기)'!D3:D562)</f>
        <v>0</v>
      </c>
      <c r="K447" s="9" cm="1">
        <f t="array" ref="K447">_xlfn.COUNTIFS('외운 것 - 엑셀다운로드 파일(붙여넣기)'!A3:A562,A447,'외운 것 - 엑셀다운로드 파일(붙여넣기)'!D3:D562,0)</f>
        <v>0</v>
      </c>
      <c r="L447" s="9" cm="1">
        <f t="array" ref="L447">IF(J447&gt;=3,_xlfn.XLOOKUP(A447,'외운 것 - 엑셀다운로드 파일(붙여넣기)'!A3:A562,'외운 것 - 엑셀다운로드 파일(붙여넣기)'!C3:C562,0,-1),0)</f>
        <v>0</v>
      </c>
    </row>
    <row r="448" ht="38.45" customHeight="1">
      <c r="A448" s="3">
        <v>447</v>
      </c>
      <c r="B448" t="s" s="4">
        <v>2847</v>
      </c>
      <c r="C448" t="s" s="5">
        <v>2823</v>
      </c>
      <c r="D448" t="s" s="5">
        <v>2792</v>
      </c>
      <c r="E448" t="s" s="5">
        <v>2848</v>
      </c>
      <c r="F448" t="s" s="10">
        <v>2849</v>
      </c>
      <c r="G448" t="s" s="7">
        <v>2850</v>
      </c>
      <c r="H448" t="s" s="7">
        <v>2851</v>
      </c>
      <c r="I448" t="str" s="8" cm="1">
        <f t="array" ref="I448">SUBSTITUTE(H448,B448,"(          )")</f>
        <v>I (          ) to several digital news services.</v>
      </c>
      <c r="J448" s="9" cm="1">
        <f t="array" ref="J448">SUMIF('외운 것 - 엑셀다운로드 파일(붙여넣기)'!A3:A562,A448,'외운 것 - 엑셀다운로드 파일(붙여넣기)'!D3:D562)</f>
        <v>0</v>
      </c>
      <c r="K448" s="9" cm="1">
        <f t="array" ref="K448">_xlfn.COUNTIFS('외운 것 - 엑셀다운로드 파일(붙여넣기)'!A3:A562,A448,'외운 것 - 엑셀다운로드 파일(붙여넣기)'!D3:D562,0)</f>
        <v>0</v>
      </c>
      <c r="L448" s="9" cm="1">
        <f t="array" ref="L448">IF(J448&gt;=3,_xlfn.XLOOKUP(A448,'외운 것 - 엑셀다운로드 파일(붙여넣기)'!A3:A562,'외운 것 - 엑셀다운로드 파일(붙여넣기)'!C3:C562,0,-1),0)</f>
        <v>0</v>
      </c>
    </row>
    <row r="449" ht="38.45" customHeight="1">
      <c r="A449" s="3">
        <v>448</v>
      </c>
      <c r="B449" t="s" s="4">
        <v>2853</v>
      </c>
      <c r="C449" t="s" s="5">
        <v>2823</v>
      </c>
      <c r="D449" t="s" s="5">
        <v>2792</v>
      </c>
      <c r="E449" t="s" s="5">
        <v>2854</v>
      </c>
      <c r="F449" t="s" s="10">
        <v>2855</v>
      </c>
      <c r="G449" t="s" s="7">
        <v>2856</v>
      </c>
      <c r="H449" t="s" s="7">
        <v>2857</v>
      </c>
      <c r="I449" t="str" s="8" cm="1">
        <f t="array" ref="I449">SUBSTITUTE(H449,B449,"(          )")</f>
        <v>The author will (          ) your book with a personal message.</v>
      </c>
      <c r="J449" s="9" cm="1">
        <f t="array" ref="J449">SUMIF('외운 것 - 엑셀다운로드 파일(붙여넣기)'!A3:A562,A449,'외운 것 - 엑셀다운로드 파일(붙여넣기)'!D3:D562)</f>
        <v>0</v>
      </c>
      <c r="K449" s="9" cm="1">
        <f t="array" ref="K449">_xlfn.COUNTIFS('외운 것 - 엑셀다운로드 파일(붙여넣기)'!A3:A562,A449,'외운 것 - 엑셀다운로드 파일(붙여넣기)'!D3:D562,0)</f>
        <v>0</v>
      </c>
      <c r="L449" s="9" cm="1">
        <f t="array" ref="L449">IF(J449&gt;=3,_xlfn.XLOOKUP(A449,'외운 것 - 엑셀다운로드 파일(붙여넣기)'!A3:A562,'외운 것 - 엑셀다운로드 파일(붙여넣기)'!C3:C562,0,-1),0)</f>
        <v>0</v>
      </c>
    </row>
    <row r="450" ht="38.45" customHeight="1">
      <c r="A450" s="3">
        <v>449</v>
      </c>
      <c r="B450" t="s" s="4">
        <v>2859</v>
      </c>
      <c r="C450" t="s" s="5">
        <v>2823</v>
      </c>
      <c r="D450" t="s" s="5">
        <v>2792</v>
      </c>
      <c r="E450" t="s" s="5">
        <v>2860</v>
      </c>
      <c r="F450" t="s" s="10">
        <v>2861</v>
      </c>
      <c r="G450" t="s" s="7">
        <v>2862</v>
      </c>
      <c r="H450" t="s" s="7">
        <v>2863</v>
      </c>
      <c r="I450" t="str" s="8" cm="1">
        <f t="array" ref="I450">SUBSTITUTE(H450,B450,"(          )")</f>
        <v>Critics (          ) the painting's success to its unique use of color.</v>
      </c>
      <c r="J450" s="9" cm="1">
        <f t="array" ref="J450">SUMIF('외운 것 - 엑셀다운로드 파일(붙여넣기)'!A3:A562,A450,'외운 것 - 엑셀다운로드 파일(붙여넣기)'!D3:D562)</f>
        <v>0</v>
      </c>
      <c r="K450" s="9" cm="1">
        <f t="array" ref="K450">_xlfn.COUNTIFS('외운 것 - 엑셀다운로드 파일(붙여넣기)'!A3:A562,A450,'외운 것 - 엑셀다운로드 파일(붙여넣기)'!D3:D562,0)</f>
        <v>0</v>
      </c>
      <c r="L450" s="9" cm="1">
        <f t="array" ref="L450">IF(J450&gt;=3,_xlfn.XLOOKUP(A450,'외운 것 - 엑셀다운로드 파일(붙여넣기)'!A3:A562,'외운 것 - 엑셀다운로드 파일(붙여넣기)'!C3:C562,0,-1),0)</f>
        <v>0</v>
      </c>
    </row>
    <row r="451" ht="38.45" customHeight="1">
      <c r="A451" s="3">
        <v>450</v>
      </c>
      <c r="B451" t="s" s="4">
        <v>2865</v>
      </c>
      <c r="C451" t="s" s="5">
        <v>2865</v>
      </c>
      <c r="D451" t="s" s="5">
        <v>2866</v>
      </c>
      <c r="E451" t="s" s="5">
        <v>2867</v>
      </c>
      <c r="F451" t="s" s="6">
        <v>2868</v>
      </c>
      <c r="G451" t="s" s="7">
        <v>11</v>
      </c>
      <c r="H451" t="s" s="7">
        <v>2869</v>
      </c>
      <c r="I451" t="str" s="8" cm="1">
        <f t="array" ref="I451">SUBSTITUTE(H451,B451,"(          )")</f>
        <v>They went on their first (          ) to a nice restaurant.</v>
      </c>
      <c r="J451" s="9" cm="1">
        <f t="array" ref="J451">SUMIF('외운 것 - 엑셀다운로드 파일(붙여넣기)'!A3:A562,A451,'외운 것 - 엑셀다운로드 파일(붙여넣기)'!D3:D562)</f>
        <v>0</v>
      </c>
      <c r="K451" s="9" cm="1">
        <f t="array" ref="K451">_xlfn.COUNTIFS('외운 것 - 엑셀다운로드 파일(붙여넣기)'!A3:A562,A451,'외운 것 - 엑셀다운로드 파일(붙여넣기)'!D3:D562,0)</f>
        <v>0</v>
      </c>
      <c r="L451" s="9" cm="1">
        <f t="array" ref="L451">IF(J451&gt;=3,_xlfn.XLOOKUP(A451,'외운 것 - 엑셀다운로드 파일(붙여넣기)'!A3:A562,'외운 것 - 엑셀다운로드 파일(붙여넣기)'!C3:C562,0,-1),0)</f>
        <v>0</v>
      </c>
    </row>
    <row r="452" ht="23.45" customHeight="1">
      <c r="A452" s="3">
        <v>451</v>
      </c>
      <c r="B452" t="s" s="4">
        <v>2871</v>
      </c>
      <c r="C452" t="s" s="5">
        <v>2865</v>
      </c>
      <c r="D452" t="s" s="5">
        <v>2866</v>
      </c>
      <c r="E452" t="s" s="5">
        <v>2872</v>
      </c>
      <c r="F452" t="s" s="10">
        <v>2873</v>
      </c>
      <c r="G452" t="s" s="7">
        <v>2874</v>
      </c>
      <c r="H452" t="s" s="7">
        <v>2875</v>
      </c>
      <c r="I452" t="str" s="8" cm="1">
        <f t="array" ref="I452">SUBSTITUTE(H452,B452,"(          )")</f>
        <v>This computer manual is (          ) and no longer useful.</v>
      </c>
      <c r="J452" s="9" cm="1">
        <f t="array" ref="J452">SUMIF('외운 것 - 엑셀다운로드 파일(붙여넣기)'!A3:A562,A452,'외운 것 - 엑셀다운로드 파일(붙여넣기)'!D3:D562)</f>
        <v>0</v>
      </c>
      <c r="K452" s="9" cm="1">
        <f t="array" ref="K452">_xlfn.COUNTIFS('외운 것 - 엑셀다운로드 파일(붙여넣기)'!A3:A562,A452,'외운 것 - 엑셀다운로드 파일(붙여넣기)'!D3:D562,0)</f>
        <v>0</v>
      </c>
      <c r="L452" s="9" cm="1">
        <f t="array" ref="L452">IF(J452&gt;=3,_xlfn.XLOOKUP(A452,'외운 것 - 엑셀다운로드 파일(붙여넣기)'!A3:A562,'외운 것 - 엑셀다운로드 파일(붙여넣기)'!C3:C562,0,-1),0)</f>
        <v>0</v>
      </c>
    </row>
    <row r="453" ht="38.45" customHeight="1">
      <c r="A453" s="3">
        <v>452</v>
      </c>
      <c r="B453" t="s" s="4">
        <v>2877</v>
      </c>
      <c r="C453" t="s" s="5">
        <v>2865</v>
      </c>
      <c r="D453" t="s" s="5">
        <v>2866</v>
      </c>
      <c r="E453" s="12"/>
      <c r="F453" t="s" s="10">
        <v>2878</v>
      </c>
      <c r="G453" t="s" s="7">
        <v>2879</v>
      </c>
      <c r="H453" t="s" s="7">
        <v>2880</v>
      </c>
      <c r="I453" t="str" s="8" cm="1">
        <f t="array" ref="I453">SUBSTITUTE(H453,B453,"(          )")</f>
        <v>Keep your software (          ) to protect against viruses.</v>
      </c>
      <c r="J453" s="9" cm="1">
        <f t="array" ref="J453">SUMIF('외운 것 - 엑셀다운로드 파일(붙여넣기)'!A3:A562,A453,'외운 것 - 엑셀다운로드 파일(붙여넣기)'!D3:D562)</f>
        <v>0</v>
      </c>
      <c r="K453" s="9" cm="1">
        <f t="array" ref="K453">_xlfn.COUNTIFS('외운 것 - 엑셀다운로드 파일(붙여넣기)'!A3:A562,A453,'외운 것 - 엑셀다운로드 파일(붙여넣기)'!D3:D562,0)</f>
        <v>0</v>
      </c>
      <c r="L453" s="9" cm="1">
        <f t="array" ref="L453">IF(J453&gt;=3,_xlfn.XLOOKUP(A453,'외운 것 - 엑셀다운로드 파일(붙여넣기)'!A3:A562,'외운 것 - 엑셀다운로드 파일(붙여넣기)'!C3:C562,0,-1),0)</f>
        <v>0</v>
      </c>
    </row>
    <row r="454" ht="38.45" customHeight="1">
      <c r="A454" s="3">
        <v>453</v>
      </c>
      <c r="B454" t="s" s="4">
        <v>2882</v>
      </c>
      <c r="C454" t="s" s="5">
        <v>2882</v>
      </c>
      <c r="D454" t="s" s="5">
        <v>2883</v>
      </c>
      <c r="E454" t="s" s="5">
        <v>2884</v>
      </c>
      <c r="F454" t="s" s="6">
        <v>2885</v>
      </c>
      <c r="G454" t="s" s="7">
        <v>2886</v>
      </c>
      <c r="H454" t="s" s="7">
        <v>2887</v>
      </c>
      <c r="I454" t="str" s="8" cm="1">
        <f t="array" ref="I454">SUBSTITUTE(H454,B454,"(          )")</f>
        <v>The sun shines brightly during the (          ).</v>
      </c>
      <c r="J454" s="9" cm="1">
        <f t="array" ref="J454">SUMIF('외운 것 - 엑셀다운로드 파일(붙여넣기)'!A3:A562,A454,'외운 것 - 엑셀다운로드 파일(붙여넣기)'!D3:D562)</f>
        <v>0</v>
      </c>
      <c r="K454" s="9" cm="1">
        <f t="array" ref="K454">_xlfn.COUNTIFS('외운 것 - 엑셀다운로드 파일(붙여넣기)'!A3:A562,A454,'외운 것 - 엑셀다운로드 파일(붙여넣기)'!D3:D562,0)</f>
        <v>0</v>
      </c>
      <c r="L454" s="9" cm="1">
        <f t="array" ref="L454">IF(J454&gt;=3,_xlfn.XLOOKUP(A454,'외운 것 - 엑셀다운로드 파일(붙여넣기)'!A3:A562,'외운 것 - 엑셀다운로드 파일(붙여넣기)'!C3:C562,0,-1),0)</f>
        <v>0</v>
      </c>
    </row>
    <row r="455" ht="23.45" customHeight="1">
      <c r="A455" s="3">
        <v>454</v>
      </c>
      <c r="B455" t="s" s="4">
        <v>2889</v>
      </c>
      <c r="C455" t="s" s="5">
        <v>2882</v>
      </c>
      <c r="D455" t="s" s="5">
        <v>2883</v>
      </c>
      <c r="E455" t="s" s="5">
        <v>2890</v>
      </c>
      <c r="F455" t="s" s="10">
        <v>2891</v>
      </c>
      <c r="G455" t="s" s="7">
        <v>2892</v>
      </c>
      <c r="H455" t="s" s="7">
        <v>2893</v>
      </c>
      <c r="I455" t="str" s="8" cm="1">
        <f t="array" ref="I455">SUBSTITUTE(H455,B455,"(          )")</f>
        <v>She writes in her (          ) every night before bed.</v>
      </c>
      <c r="J455" s="9" cm="1">
        <f t="array" ref="J455">SUMIF('외운 것 - 엑셀다운로드 파일(붙여넣기)'!A3:A562,A455,'외운 것 - 엑셀다운로드 파일(붙여넣기)'!D3:D562)</f>
        <v>0</v>
      </c>
      <c r="K455" s="9" cm="1">
        <f t="array" ref="K455">_xlfn.COUNTIFS('외운 것 - 엑셀다운로드 파일(붙여넣기)'!A3:A562,A455,'외운 것 - 엑셀다운로드 파일(붙여넣기)'!D3:D562,0)</f>
        <v>0</v>
      </c>
      <c r="L455" s="9" cm="1">
        <f t="array" ref="L455">IF(J455&gt;=3,_xlfn.XLOOKUP(A455,'외운 것 - 엑셀다운로드 파일(붙여넣기)'!A3:A562,'외운 것 - 엑셀다운로드 파일(붙여넣기)'!C3:C562,0,-1),0)</f>
        <v>0</v>
      </c>
    </row>
    <row r="456" ht="23.45" customHeight="1">
      <c r="A456" s="3">
        <v>455</v>
      </c>
      <c r="B456" t="s" s="4">
        <v>2895</v>
      </c>
      <c r="C456" t="s" s="5">
        <v>2882</v>
      </c>
      <c r="D456" t="s" s="5">
        <v>2883</v>
      </c>
      <c r="E456" t="s" s="5">
        <v>2896</v>
      </c>
      <c r="F456" t="s" s="10">
        <v>2897</v>
      </c>
      <c r="G456" t="s" s="7">
        <v>2898</v>
      </c>
      <c r="H456" t="s" s="7">
        <v>2899</v>
      </c>
      <c r="I456" t="str" s="8" cm="1">
        <f t="array" ref="I456">SUBSTITUTE(H456,B456,"(          )")</f>
        <v>The (          ) farm produces milk, cheese, and yogurt.</v>
      </c>
      <c r="J456" s="9" cm="1">
        <f t="array" ref="J456">SUMIF('외운 것 - 엑셀다운로드 파일(붙여넣기)'!A3:A562,A456,'외운 것 - 엑셀다운로드 파일(붙여넣기)'!D3:D562)</f>
        <v>0</v>
      </c>
      <c r="K456" s="9" cm="1">
        <f t="array" ref="K456">_xlfn.COUNTIFS('외운 것 - 엑셀다운로드 파일(붙여넣기)'!A3:A562,A456,'외운 것 - 엑셀다운로드 파일(붙여넣기)'!D3:D562,0)</f>
        <v>0</v>
      </c>
      <c r="L456" s="9" cm="1">
        <f t="array" ref="L456">IF(J456&gt;=3,_xlfn.XLOOKUP(A456,'외운 것 - 엑셀다운로드 파일(붙여넣기)'!A3:A562,'외운 것 - 엑셀다운로드 파일(붙여넣기)'!C3:C562,0,-1),0)</f>
        <v>0</v>
      </c>
    </row>
    <row r="457" ht="38.45" customHeight="1">
      <c r="A457" s="3">
        <v>456</v>
      </c>
      <c r="B457" t="s" s="4">
        <v>2901</v>
      </c>
      <c r="C457" t="s" s="5">
        <v>2882</v>
      </c>
      <c r="D457" t="s" s="5">
        <v>2883</v>
      </c>
      <c r="E457" t="s" s="5">
        <v>2902</v>
      </c>
      <c r="F457" t="s" s="10">
        <v>2903</v>
      </c>
      <c r="G457" t="s" s="7">
        <v>2904</v>
      </c>
      <c r="H457" t="s" s="7">
        <v>2905</v>
      </c>
      <c r="I457" t="str" s="8" cm="1">
        <f t="array" ref="I457">SUBSTITUTE(H457,B457,"(          )")</f>
        <v>Birds begin singing at (          ).</v>
      </c>
      <c r="J457" s="9" cm="1">
        <f t="array" ref="J457">SUMIF('외운 것 - 엑셀다운로드 파일(붙여넣기)'!A3:A562,A457,'외운 것 - 엑셀다운로드 파일(붙여넣기)'!D3:D562)</f>
        <v>0</v>
      </c>
      <c r="K457" s="9" cm="1">
        <f t="array" ref="K457">_xlfn.COUNTIFS('외운 것 - 엑셀다운로드 파일(붙여넣기)'!A3:A562,A457,'외운 것 - 엑셀다운로드 파일(붙여넣기)'!D3:D562,0)</f>
        <v>0</v>
      </c>
      <c r="L457" s="9" cm="1">
        <f t="array" ref="L457">IF(J457&gt;=3,_xlfn.XLOOKUP(A457,'외운 것 - 엑셀다운로드 파일(붙여넣기)'!A3:A562,'외운 것 - 엑셀다운로드 파일(붙여넣기)'!C3:C562,0,-1),0)</f>
        <v>0</v>
      </c>
    </row>
    <row r="458" ht="38.45" customHeight="1">
      <c r="A458" s="3">
        <v>457</v>
      </c>
      <c r="B458" t="s" s="4">
        <v>2907</v>
      </c>
      <c r="C458" t="s" s="5">
        <v>2882</v>
      </c>
      <c r="D458" t="s" s="5">
        <v>2883</v>
      </c>
      <c r="E458" t="s" s="5">
        <v>2908</v>
      </c>
      <c r="F458" t="s" s="10">
        <v>2909</v>
      </c>
      <c r="G458" t="s" s="7">
        <v>2910</v>
      </c>
      <c r="H458" t="s" s="7">
        <v>2911</v>
      </c>
      <c r="I458" t="str" s="8" cm="1">
        <f t="array" ref="I458">SUBSTITUTE(H458,B458,"(          )")</f>
        <v>The boxer was in a (          ) after being hit.</v>
      </c>
      <c r="J458" s="9" cm="1">
        <f t="array" ref="J458">SUMIF('외운 것 - 엑셀다운로드 파일(붙여넣기)'!A3:A562,A458,'외운 것 - 엑셀다운로드 파일(붙여넣기)'!D3:D562)</f>
        <v>0</v>
      </c>
      <c r="K458" s="9" cm="1">
        <f t="array" ref="K458">_xlfn.COUNTIFS('외운 것 - 엑셀다운로드 파일(붙여넣기)'!A3:A562,A458,'외운 것 - 엑셀다운로드 파일(붙여넣기)'!D3:D562,0)</f>
        <v>0</v>
      </c>
      <c r="L458" s="9" cm="1">
        <f t="array" ref="L458">IF(J458&gt;=3,_xlfn.XLOOKUP(A458,'외운 것 - 엑셀다운로드 파일(붙여넣기)'!A3:A562,'외운 것 - 엑셀다운로드 파일(붙여넣기)'!C3:C562,0,-1),0)</f>
        <v>0</v>
      </c>
    </row>
    <row r="459" ht="38.45" customHeight="1">
      <c r="A459" s="3">
        <v>458</v>
      </c>
      <c r="B459" t="s" s="4">
        <v>2913</v>
      </c>
      <c r="C459" t="s" s="5">
        <v>2914</v>
      </c>
      <c r="D459" t="s" s="5">
        <v>2882</v>
      </c>
      <c r="E459" t="s" s="5">
        <v>2915</v>
      </c>
      <c r="F459" t="s" s="10">
        <v>2916</v>
      </c>
      <c r="G459" t="s" s="7">
        <v>2917</v>
      </c>
      <c r="H459" t="s" s="7">
        <v>2918</v>
      </c>
      <c r="I459" t="str" s="8" cm="1">
        <f t="array" ref="I459">SUBSTITUTE(H459,B459,"(          )")</f>
        <v>Standing up too quickly made me feel (          ).</v>
      </c>
      <c r="J459" s="9" cm="1">
        <f t="array" ref="J459">SUMIF('외운 것 - 엑셀다운로드 파일(붙여넣기)'!A3:A562,A459,'외운 것 - 엑셀다운로드 파일(붙여넣기)'!D3:D562)</f>
        <v>0</v>
      </c>
      <c r="K459" s="9" cm="1">
        <f t="array" ref="K459">_xlfn.COUNTIFS('외운 것 - 엑셀다운로드 파일(붙여넣기)'!A3:A562,A459,'외운 것 - 엑셀다운로드 파일(붙여넣기)'!D3:D562,0)</f>
        <v>0</v>
      </c>
      <c r="L459" s="9" cm="1">
        <f t="array" ref="L459">IF(J459&gt;=3,_xlfn.XLOOKUP(A459,'외운 것 - 엑셀다운로드 파일(붙여넣기)'!A3:A562,'외운 것 - 엑셀다운로드 파일(붙여넣기)'!C3:C562,0,-1),0)</f>
        <v>0</v>
      </c>
    </row>
    <row r="460" ht="38.45" customHeight="1">
      <c r="A460" s="3">
        <v>459</v>
      </c>
      <c r="B460" t="s" s="4">
        <v>2920</v>
      </c>
      <c r="C460" t="s" s="5">
        <v>2920</v>
      </c>
      <c r="D460" t="s" s="5">
        <v>2921</v>
      </c>
      <c r="E460" t="s" s="5">
        <v>2922</v>
      </c>
      <c r="F460" t="s" s="6">
        <v>2923</v>
      </c>
      <c r="G460" t="s" s="7">
        <v>2924</v>
      </c>
      <c r="H460" t="s" s="7">
        <v>2925</v>
      </c>
      <c r="I460" t="str" s="8" cm="1">
        <f t="array" ref="I460">SUBSTITUTE(H460,B460,"(          )")</f>
        <v>The ocean is very (          ) in this area.</v>
      </c>
      <c r="J460" s="9" cm="1">
        <f t="array" ref="J460">SUMIF('외운 것 - 엑셀다운로드 파일(붙여넣기)'!A3:A562,A460,'외운 것 - 엑셀다운로드 파일(붙여넣기)'!D3:D562)</f>
        <v>0</v>
      </c>
      <c r="K460" s="9" cm="1">
        <f t="array" ref="K460">_xlfn.COUNTIFS('외운 것 - 엑셀다운로드 파일(붙여넣기)'!A3:A562,A460,'외운 것 - 엑셀다운로드 파일(붙여넣기)'!D3:D562,0)</f>
        <v>0</v>
      </c>
      <c r="L460" s="9" cm="1">
        <f t="array" ref="L460">IF(J460&gt;=3,_xlfn.XLOOKUP(A460,'외운 것 - 엑셀다운로드 파일(붙여넣기)'!A3:A562,'외운 것 - 엑셀다운로드 파일(붙여넣기)'!C3:C562,0,-1),0)</f>
        <v>0</v>
      </c>
    </row>
    <row r="461" ht="23.45" customHeight="1">
      <c r="A461" s="3">
        <v>460</v>
      </c>
      <c r="B461" t="s" s="4">
        <v>2927</v>
      </c>
      <c r="C461" t="s" s="5">
        <v>2920</v>
      </c>
      <c r="D461" t="s" s="5">
        <v>2921</v>
      </c>
      <c r="E461" t="s" s="5">
        <v>2928</v>
      </c>
      <c r="F461" t="s" s="10">
        <v>2929</v>
      </c>
      <c r="G461" t="s" s="7">
        <v>2930</v>
      </c>
      <c r="H461" t="s" s="7">
        <v>2931</v>
      </c>
      <c r="I461" t="str" s="8" cm="1">
        <f t="array" ref="I461">SUBSTITUTE(H461,B461,"(          )")</f>
        <v>The (          ) of the swimming pool increases gradually.</v>
      </c>
      <c r="J461" s="9" cm="1">
        <f t="array" ref="J461">SUMIF('외운 것 - 엑셀다운로드 파일(붙여넣기)'!A3:A562,A461,'외운 것 - 엑셀다운로드 파일(붙여넣기)'!D3:D562)</f>
        <v>0</v>
      </c>
      <c r="K461" s="9" cm="1">
        <f t="array" ref="K461">_xlfn.COUNTIFS('외운 것 - 엑셀다운로드 파일(붙여넣기)'!A3:A562,A461,'외운 것 - 엑셀다운로드 파일(붙여넣기)'!D3:D562,0)</f>
        <v>0</v>
      </c>
      <c r="L461" s="9" cm="1">
        <f t="array" ref="L461">IF(J461&gt;=3,_xlfn.XLOOKUP(A461,'외운 것 - 엑셀다운로드 파일(붙여넣기)'!A3:A562,'외운 것 - 엑셀다운로드 파일(붙여넣기)'!C3:C562,0,-1),0)</f>
        <v>0</v>
      </c>
    </row>
    <row r="462" ht="23.45" customHeight="1">
      <c r="A462" s="3">
        <v>461</v>
      </c>
      <c r="B462" t="s" s="4">
        <v>2933</v>
      </c>
      <c r="C462" t="s" s="5">
        <v>2933</v>
      </c>
      <c r="D462" t="s" s="5">
        <v>2921</v>
      </c>
      <c r="E462" t="s" s="5">
        <v>2934</v>
      </c>
      <c r="F462" t="s" s="6">
        <v>2935</v>
      </c>
      <c r="G462" t="s" s="7">
        <v>2936</v>
      </c>
      <c r="H462" t="s" s="7">
        <v>2937</v>
      </c>
      <c r="I462" t="str" s="8" cm="1">
        <f t="array" ref="I462">SUBSTITUTE(H462,B462,"(          )")</f>
        <v>Don't (          ) your fingers in the chocolate fountain.</v>
      </c>
      <c r="J462" s="9" cm="1">
        <f t="array" ref="J462">SUMIF('외운 것 - 엑셀다운로드 파일(붙여넣기)'!A3:A562,A462,'외운 것 - 엑셀다운로드 파일(붙여넣기)'!D3:D562)</f>
        <v>0</v>
      </c>
      <c r="K462" s="9" cm="1">
        <f t="array" ref="K462">_xlfn.COUNTIFS('외운 것 - 엑셀다운로드 파일(붙여넣기)'!A3:A562,A462,'외운 것 - 엑셀다운로드 파일(붙여넣기)'!D3:D562,0)</f>
        <v>0</v>
      </c>
      <c r="L462" s="9" cm="1">
        <f t="array" ref="L462">IF(J462&gt;=3,_xlfn.XLOOKUP(A462,'외운 것 - 엑셀다운로드 파일(붙여넣기)'!A3:A562,'외운 것 - 엑셀다운로드 파일(붙여넣기)'!C3:C562,0,-1),0)</f>
        <v>0</v>
      </c>
    </row>
    <row r="463" ht="38.45" customHeight="1">
      <c r="A463" s="3">
        <v>462</v>
      </c>
      <c r="B463" t="s" s="4">
        <v>2939</v>
      </c>
      <c r="C463" t="s" s="5">
        <v>2940</v>
      </c>
      <c r="D463" t="s" s="5">
        <v>2941</v>
      </c>
      <c r="E463" t="s" s="5">
        <v>2942</v>
      </c>
      <c r="F463" t="s" s="10">
        <v>2943</v>
      </c>
      <c r="G463" t="s" s="7">
        <v>2944</v>
      </c>
      <c r="H463" t="s" s="7">
        <v>2945</v>
      </c>
      <c r="I463" t="str" s="8" cm="1">
        <f t="array" ref="I463">SUBSTITUTE(H463,B463,"(          )")</f>
        <v>The teacher will (          ) how to solve the equation.</v>
      </c>
      <c r="J463" s="9" cm="1">
        <f t="array" ref="J463">SUMIF('외운 것 - 엑셀다운로드 파일(붙여넣기)'!A3:A562,A463,'외운 것 - 엑셀다운로드 파일(붙여넣기)'!D3:D562)</f>
        <v>0</v>
      </c>
      <c r="K463" s="9" cm="1">
        <f t="array" ref="K463">_xlfn.COUNTIFS('외운 것 - 엑셀다운로드 파일(붙여넣기)'!A3:A562,A463,'외운 것 - 엑셀다운로드 파일(붙여넣기)'!D3:D562,0)</f>
        <v>0</v>
      </c>
      <c r="L463" s="9" cm="1">
        <f t="array" ref="L463">IF(J463&gt;=3,_xlfn.XLOOKUP(A463,'외운 것 - 엑셀다운로드 파일(붙여넣기)'!A3:A562,'외운 것 - 엑셀다운로드 파일(붙여넣기)'!C3:C562,0,-1),0)</f>
        <v>0</v>
      </c>
    </row>
    <row r="464" ht="23.45" customHeight="1">
      <c r="A464" s="3">
        <v>463</v>
      </c>
      <c r="B464" t="s" s="4">
        <v>2947</v>
      </c>
      <c r="C464" t="s" s="5">
        <v>2940</v>
      </c>
      <c r="D464" t="s" s="5">
        <v>2941</v>
      </c>
      <c r="E464" t="s" s="5">
        <v>2948</v>
      </c>
      <c r="F464" t="s" s="10">
        <v>2949</v>
      </c>
      <c r="G464" t="s" s="7">
        <v>2950</v>
      </c>
      <c r="H464" t="s" s="7">
        <v>2951</v>
      </c>
      <c r="I464" t="str" s="8" cm="1">
        <f t="array" ref="I464">SUBSTITUTE(H464,B464,"(          )")</f>
        <v>Japan has been a (          ) since after World War II.</v>
      </c>
      <c r="J464" s="9" cm="1">
        <f t="array" ref="J464">SUMIF('외운 것 - 엑셀다운로드 파일(붙여넣기)'!A3:A562,A464,'외운 것 - 엑셀다운로드 파일(붙여넣기)'!D3:D562)</f>
        <v>0</v>
      </c>
      <c r="K464" s="9" cm="1">
        <f t="array" ref="K464">_xlfn.COUNTIFS('외운 것 - 엑셀다운로드 파일(붙여넣기)'!A3:A562,A464,'외운 것 - 엑셀다운로드 파일(붙여넣기)'!D3:D562,0)</f>
        <v>0</v>
      </c>
      <c r="L464" s="9" cm="1">
        <f t="array" ref="L464">IF(J464&gt;=3,_xlfn.XLOOKUP(A464,'외운 것 - 엑셀다운로드 파일(붙여넣기)'!A3:A562,'외운 것 - 엑셀다운로드 파일(붙여넣기)'!C3:C562,0,-1),0)</f>
        <v>0</v>
      </c>
    </row>
    <row r="465" ht="38.45" customHeight="1">
      <c r="A465" s="3">
        <v>464</v>
      </c>
      <c r="B465" t="s" s="4">
        <v>2953</v>
      </c>
      <c r="C465" t="s" s="5">
        <v>2954</v>
      </c>
      <c r="D465" t="s" s="5">
        <v>2941</v>
      </c>
      <c r="E465" t="s" s="5">
        <v>2955</v>
      </c>
      <c r="F465" t="s" s="10">
        <v>2956</v>
      </c>
      <c r="G465" t="s" s="7">
        <v>2957</v>
      </c>
      <c r="H465" t="s" s="7">
        <v>2958</v>
      </c>
      <c r="I465" t="str" s="8" cm="1">
        <f t="array" ref="I465">SUBSTITUTE(H465,B465,"(          )")</f>
        <v>That bird species is (          ) to the Hawaiian islands.</v>
      </c>
      <c r="J465" s="9" cm="1">
        <f t="array" ref="J465">SUMIF('외운 것 - 엑셀다운로드 파일(붙여넣기)'!A3:A562,A465,'외운 것 - 엑셀다운로드 파일(붙여넣기)'!D3:D562)</f>
        <v>0</v>
      </c>
      <c r="K465" s="9" cm="1">
        <f t="array" ref="K465">_xlfn.COUNTIFS('외운 것 - 엑셀다운로드 파일(붙여넣기)'!A3:A562,A465,'외운 것 - 엑셀다운로드 파일(붙여넣기)'!D3:D562,0)</f>
        <v>0</v>
      </c>
      <c r="L465" s="9" cm="1">
        <f t="array" ref="L465">IF(J465&gt;=3,_xlfn.XLOOKUP(A465,'외운 것 - 엑셀다운로드 파일(붙여넣기)'!A3:A562,'외운 것 - 엑셀다운로드 파일(붙여넣기)'!C3:C562,0,-1),0)</f>
        <v>0</v>
      </c>
    </row>
    <row r="466" ht="38.45" customHeight="1">
      <c r="A466" s="3">
        <v>465</v>
      </c>
      <c r="B466" t="s" s="4">
        <v>2960</v>
      </c>
      <c r="C466" t="s" s="5">
        <v>2954</v>
      </c>
      <c r="D466" t="s" s="5">
        <v>2941</v>
      </c>
      <c r="E466" t="s" s="5">
        <v>2961</v>
      </c>
      <c r="F466" t="s" s="10">
        <v>2962</v>
      </c>
      <c r="G466" t="s" s="7">
        <v>2963</v>
      </c>
      <c r="H466" t="s" s="7">
        <v>2964</v>
      </c>
      <c r="I466" t="str" s="8" cm="1">
        <f t="array" ref="I466">SUBSTITUTE(H466,B466,"(          )")</f>
        <v>The flu (          ) affected thousands of people.</v>
      </c>
      <c r="J466" s="9" cm="1">
        <f t="array" ref="J466">SUMIF('외운 것 - 엑셀다운로드 파일(붙여넣기)'!A3:A562,A466,'외운 것 - 엑셀다운로드 파일(붙여넣기)'!D3:D562)</f>
        <v>0</v>
      </c>
      <c r="K466" s="9" cm="1">
        <f t="array" ref="K466">_xlfn.COUNTIFS('외운 것 - 엑셀다운로드 파일(붙여넣기)'!A3:A562,A466,'외운 것 - 엑셀다운로드 파일(붙여넣기)'!D3:D562,0)</f>
        <v>0</v>
      </c>
      <c r="L466" s="9" cm="1">
        <f t="array" ref="L466">IF(J466&gt;=3,_xlfn.XLOOKUP(A466,'외운 것 - 엑셀다운로드 파일(붙여넣기)'!A3:A562,'외운 것 - 엑셀다운로드 파일(붙여넣기)'!C3:C562,0,-1),0)</f>
        <v>0</v>
      </c>
    </row>
    <row r="467" ht="23.45" customHeight="1">
      <c r="A467" s="3">
        <v>466</v>
      </c>
      <c r="B467" t="s" s="4">
        <v>2966</v>
      </c>
      <c r="C467" t="s" s="5">
        <v>2966</v>
      </c>
      <c r="D467" t="s" s="5">
        <v>2967</v>
      </c>
      <c r="E467" t="s" s="5">
        <v>2968</v>
      </c>
      <c r="F467" t="s" s="6">
        <v>2969</v>
      </c>
      <c r="G467" t="s" s="7">
        <v>2970</v>
      </c>
      <c r="H467" t="s" s="7">
        <v>2971</v>
      </c>
      <c r="I467" t="str" s="8" cm="1">
        <f t="array" ref="I467">SUBSTITUTE(H467,B467,"(          )")</f>
        <v>The bear hibernates in its (          ) during winter.</v>
      </c>
      <c r="J467" s="9" cm="1">
        <f t="array" ref="J467">SUMIF('외운 것 - 엑셀다운로드 파일(붙여넣기)'!A3:A562,A467,'외운 것 - 엑셀다운로드 파일(붙여넣기)'!D3:D562)</f>
        <v>0</v>
      </c>
      <c r="K467" s="9" cm="1">
        <f t="array" ref="K467">_xlfn.COUNTIFS('외운 것 - 엑셀다운로드 파일(붙여넣기)'!A3:A562,A467,'외운 것 - 엑셀다운로드 파일(붙여넣기)'!D3:D562,0)</f>
        <v>0</v>
      </c>
      <c r="L467" s="9" cm="1">
        <f t="array" ref="L467">IF(J467&gt;=3,_xlfn.XLOOKUP(A467,'외운 것 - 엑셀다운로드 파일(붙여넣기)'!A3:A562,'외운 것 - 엑셀다운로드 파일(붙여넣기)'!C3:C562,0,-1),0)</f>
        <v>0</v>
      </c>
    </row>
    <row r="468" ht="38.45" customHeight="1">
      <c r="A468" s="3">
        <v>467</v>
      </c>
      <c r="B468" t="s" s="4">
        <v>2973</v>
      </c>
      <c r="C468" t="s" s="5">
        <v>2966</v>
      </c>
      <c r="D468" t="s" s="5">
        <v>2967</v>
      </c>
      <c r="E468" t="s" s="5">
        <v>2974</v>
      </c>
      <c r="F468" t="s" s="10">
        <v>2975</v>
      </c>
      <c r="G468" t="s" s="7">
        <v>2976</v>
      </c>
      <c r="H468" t="s" s="7">
        <v>2977</v>
      </c>
      <c r="I468" t="str" s="8" cm="1">
        <f t="array" ref="I468">SUBSTITUTE(H468,B468,"(          )")</f>
        <v>The acci(          ) left a small (          ) in my car door.</v>
      </c>
      <c r="J468" s="9" cm="1">
        <f t="array" ref="J468">SUMIF('외운 것 - 엑셀다운로드 파일(붙여넣기)'!A3:A562,A468,'외운 것 - 엑셀다운로드 파일(붙여넣기)'!D3:D562)</f>
        <v>0</v>
      </c>
      <c r="K468" s="9" cm="1">
        <f t="array" ref="K468">_xlfn.COUNTIFS('외운 것 - 엑셀다운로드 파일(붙여넣기)'!A3:A562,A468,'외운 것 - 엑셀다운로드 파일(붙여넣기)'!D3:D562,0)</f>
        <v>0</v>
      </c>
      <c r="L468" s="9" cm="1">
        <f t="array" ref="L468">IF(J468&gt;=3,_xlfn.XLOOKUP(A468,'외운 것 - 엑셀다운로드 파일(붙여넣기)'!A3:A562,'외운 것 - 엑셀다운로드 파일(붙여넣기)'!C3:C562,0,-1),0)</f>
        <v>0</v>
      </c>
    </row>
    <row r="469" ht="23.45" customHeight="1">
      <c r="A469" s="3">
        <v>468</v>
      </c>
      <c r="B469" t="s" s="4">
        <v>2979</v>
      </c>
      <c r="C469" t="s" s="5">
        <v>2980</v>
      </c>
      <c r="D469" t="s" s="5">
        <v>2966</v>
      </c>
      <c r="E469" t="s" s="5">
        <v>2981</v>
      </c>
      <c r="F469" t="s" s="10">
        <v>2982</v>
      </c>
      <c r="G469" t="s" s="7">
        <v>2983</v>
      </c>
      <c r="H469" t="s" s="7">
        <v>2984</v>
      </c>
      <c r="I469" t="str" s="8" cm="1">
        <f t="array" ref="I469">SUBSTITUTE(H469,B469,"(          )")</f>
        <v>I have an appointment with my (          ) next Tuesday.</v>
      </c>
      <c r="J469" s="9" cm="1">
        <f t="array" ref="J469">SUMIF('외운 것 - 엑셀다운로드 파일(붙여넣기)'!A3:A562,A469,'외운 것 - 엑셀다운로드 파일(붙여넣기)'!D3:D562)</f>
        <v>0</v>
      </c>
      <c r="K469" s="9" cm="1">
        <f t="array" ref="K469">_xlfn.COUNTIFS('외운 것 - 엑셀다운로드 파일(붙여넣기)'!A3:A562,A469,'외운 것 - 엑셀다운로드 파일(붙여넣기)'!D3:D562,0)</f>
        <v>0</v>
      </c>
      <c r="L469" s="9" cm="1">
        <f t="array" ref="L469">IF(J469&gt;=3,_xlfn.XLOOKUP(A469,'외운 것 - 엑셀다운로드 파일(붙여넣기)'!A3:A562,'외운 것 - 엑셀다운로드 파일(붙여넣기)'!C3:C562,0,-1),0)</f>
        <v>0</v>
      </c>
    </row>
    <row r="470" ht="38.45" customHeight="1">
      <c r="A470" s="3">
        <v>469</v>
      </c>
      <c r="B470" t="s" s="4">
        <v>2986</v>
      </c>
      <c r="C470" t="s" s="5">
        <v>2966</v>
      </c>
      <c r="D470" t="s" s="5">
        <v>2967</v>
      </c>
      <c r="E470" t="s" s="5">
        <v>2987</v>
      </c>
      <c r="F470" t="s" s="10">
        <v>2988</v>
      </c>
      <c r="G470" t="s" s="7">
        <v>2989</v>
      </c>
      <c r="H470" t="s" s="7">
        <v>2990</v>
      </c>
      <c r="I470" t="str" s="8" cm="1">
        <f t="array" ref="I470">SUBSTITUTE(H470,B470,"(          )")</f>
        <v>The forest is too (          ) to walk through easily.</v>
      </c>
      <c r="J470" s="9" cm="1">
        <f t="array" ref="J470">SUMIF('외운 것 - 엑셀다운로드 파일(붙여넣기)'!A3:A562,A470,'외운 것 - 엑셀다운로드 파일(붙여넣기)'!D3:D562)</f>
        <v>0</v>
      </c>
      <c r="K470" s="9" cm="1">
        <f t="array" ref="K470">_xlfn.COUNTIFS('외운 것 - 엑셀다운로드 파일(붙여넣기)'!A3:A562,A470,'외운 것 - 엑셀다운로드 파일(붙여넣기)'!D3:D562,0)</f>
        <v>0</v>
      </c>
      <c r="L470" s="9" cm="1">
        <f t="array" ref="L470">IF(J470&gt;=3,_xlfn.XLOOKUP(A470,'외운 것 - 엑셀다운로드 파일(붙여넣기)'!A3:A562,'외운 것 - 엑셀다운로드 파일(붙여넣기)'!C3:C562,0,-1),0)</f>
        <v>0</v>
      </c>
    </row>
    <row r="471" ht="36.4" customHeight="1">
      <c r="A471" s="3">
        <v>470</v>
      </c>
      <c r="B471" t="s" s="4">
        <v>2992</v>
      </c>
      <c r="C471" t="s" s="5">
        <v>2993</v>
      </c>
      <c r="D471" t="s" s="5">
        <v>2966</v>
      </c>
      <c r="E471" t="s" s="5">
        <v>2994</v>
      </c>
      <c r="F471" t="s" s="10">
        <v>2995</v>
      </c>
      <c r="G471" t="s" s="7">
        <v>2996</v>
      </c>
      <c r="H471" t="s" s="7">
        <v>2997</v>
      </c>
      <c r="I471" t="str" s="8" cm="1">
        <f t="array" ref="I471">SUBSTITUTE(H471,B471,"(          )")</f>
        <v>The area is (          ) populated with high-rise apartments.</v>
      </c>
      <c r="J471" s="9" cm="1">
        <f t="array" ref="J471">SUMIF('외운 것 - 엑셀다운로드 파일(붙여넣기)'!A3:A562,A471,'외운 것 - 엑셀다운로드 파일(붙여넣기)'!D3:D562)</f>
        <v>0</v>
      </c>
      <c r="K471" s="9" cm="1">
        <f t="array" ref="K471">_xlfn.COUNTIFS('외운 것 - 엑셀다운로드 파일(붙여넣기)'!A3:A562,A471,'외운 것 - 엑셀다운로드 파일(붙여넣기)'!D3:D562,0)</f>
        <v>0</v>
      </c>
      <c r="L471" s="9" cm="1">
        <f t="array" ref="L471">IF(J471&gt;=3,_xlfn.XLOOKUP(A471,'외운 것 - 엑셀다운로드 파일(붙여넣기)'!A3:A562,'외운 것 - 엑셀다운로드 파일(붙여넣기)'!C3:C562,0,-1),0)</f>
        <v>0</v>
      </c>
    </row>
    <row r="472" ht="36.4" customHeight="1">
      <c r="A472" s="3">
        <v>471</v>
      </c>
      <c r="B472" t="s" s="4">
        <v>2999</v>
      </c>
      <c r="C472" t="s" s="5">
        <v>2993</v>
      </c>
      <c r="D472" t="s" s="5">
        <v>2966</v>
      </c>
      <c r="E472" t="s" s="5">
        <v>3000</v>
      </c>
      <c r="F472" t="s" s="10">
        <v>3001</v>
      </c>
      <c r="G472" t="s" s="7">
        <v>3002</v>
      </c>
      <c r="H472" t="s" s="7">
        <v>3003</v>
      </c>
      <c r="I472" t="str" s="8" cm="1">
        <f t="array" ref="I472">SUBSTITUTE(H472,B472,"(          )")</f>
        <v>The (          ) of water is one gram per cubic centimeter.</v>
      </c>
      <c r="J472" s="9" cm="1">
        <f t="array" ref="J472">SUMIF('외운 것 - 엑셀다운로드 파일(붙여넣기)'!A3:A562,A472,'외운 것 - 엑셀다운로드 파일(붙여넣기)'!D3:D562)</f>
        <v>0</v>
      </c>
      <c r="K472" s="9" cm="1">
        <f t="array" ref="K472">_xlfn.COUNTIFS('외운 것 - 엑셀다운로드 파일(붙여넣기)'!A3:A562,A472,'외운 것 - 엑셀다운로드 파일(붙여넣기)'!D3:D562,0)</f>
        <v>0</v>
      </c>
      <c r="L472" s="9" cm="1">
        <f t="array" ref="L472">IF(J472&gt;=3,_xlfn.XLOOKUP(A472,'외운 것 - 엑셀다운로드 파일(붙여넣기)'!A3:A562,'외운 것 - 엑셀다운로드 파일(붙여넣기)'!C3:C562,0,-1),0)</f>
        <v>0</v>
      </c>
    </row>
    <row r="473" ht="36.4" customHeight="1">
      <c r="A473" s="3">
        <v>472</v>
      </c>
      <c r="B473" t="s" s="4">
        <v>3005</v>
      </c>
      <c r="C473" t="s" s="5">
        <v>2993</v>
      </c>
      <c r="D473" t="s" s="5">
        <v>2966</v>
      </c>
      <c r="E473" t="s" s="5">
        <v>3006</v>
      </c>
      <c r="F473" t="s" s="10">
        <v>3007</v>
      </c>
      <c r="G473" t="s" s="7">
        <v>3008</v>
      </c>
      <c r="H473" t="s" s="7">
        <v>3009</v>
      </c>
      <c r="I473" t="str" s="8" cm="1">
        <f t="array" ref="I473">SUBSTITUTE(H473,B473,"(          )")</f>
        <v>You need to (          ) your essay to 500 words.</v>
      </c>
      <c r="J473" s="9" cm="1">
        <f t="array" ref="J473">SUMIF('외운 것 - 엑셀다운로드 파일(붙여넣기)'!A3:A562,A473,'외운 것 - 엑셀다운로드 파일(붙여넣기)'!D3:D562)</f>
        <v>0</v>
      </c>
      <c r="K473" s="9" cm="1">
        <f t="array" ref="K473">_xlfn.COUNTIFS('외운 것 - 엑셀다운로드 파일(붙여넣기)'!A3:A562,A473,'외운 것 - 엑셀다운로드 파일(붙여넣기)'!D3:D562,0)</f>
        <v>0</v>
      </c>
      <c r="L473" s="9" cm="1">
        <f t="array" ref="L473">IF(J473&gt;=3,_xlfn.XLOOKUP(A473,'외운 것 - 엑셀다운로드 파일(붙여넣기)'!A3:A562,'외운 것 - 엑셀다운로드 파일(붙여넣기)'!C3:C562,0,-1),0)</f>
        <v>0</v>
      </c>
    </row>
    <row r="474" ht="38.45" customHeight="1">
      <c r="A474" s="3">
        <v>473</v>
      </c>
      <c r="B474" t="s" s="4">
        <v>3011</v>
      </c>
      <c r="C474" t="s" s="5">
        <v>3012</v>
      </c>
      <c r="D474" t="s" s="5">
        <v>3013</v>
      </c>
      <c r="E474" t="s" s="5">
        <v>3014</v>
      </c>
      <c r="F474" t="s" s="10">
        <v>3015</v>
      </c>
      <c r="G474" t="s" s="7">
        <v>3016</v>
      </c>
      <c r="H474" t="s" s="7">
        <v>3017</v>
      </c>
      <c r="I474" t="str" s="8" cm="1">
        <f t="array" ref="I474">SUBSTITUTE(H474,B474,"(          )")</f>
        <v>She wears a beautiful (          ) ring on her finger.</v>
      </c>
      <c r="J474" s="9" cm="1">
        <f t="array" ref="J474">SUMIF('외운 것 - 엑셀다운로드 파일(붙여넣기)'!A3:A562,A474,'외운 것 - 엑셀다운로드 파일(붙여넣기)'!D3:D562)</f>
        <v>0</v>
      </c>
      <c r="K474" s="9" cm="1">
        <f t="array" ref="K474">_xlfn.COUNTIFS('외운 것 - 엑셀다운로드 파일(붙여넣기)'!A3:A562,A474,'외운 것 - 엑셀다운로드 파일(붙여넣기)'!D3:D562,0)</f>
        <v>0</v>
      </c>
      <c r="L474" s="9" cm="1">
        <f t="array" ref="L474">IF(J474&gt;=3,_xlfn.XLOOKUP(A474,'외운 것 - 엑셀다운로드 파일(붙여넣기)'!A3:A562,'외운 것 - 엑셀다운로드 파일(붙여넣기)'!C3:C562,0,-1),0)</f>
        <v>0</v>
      </c>
    </row>
    <row r="475" ht="23.45" customHeight="1">
      <c r="A475" s="3">
        <v>474</v>
      </c>
      <c r="B475" t="s" s="4">
        <v>3019</v>
      </c>
      <c r="C475" t="s" s="5">
        <v>3012</v>
      </c>
      <c r="D475" t="s" s="5">
        <v>3013</v>
      </c>
      <c r="E475" t="s" s="5">
        <v>3020</v>
      </c>
      <c r="F475" t="s" s="10">
        <v>3021</v>
      </c>
      <c r="G475" t="s" s="7">
        <v>3022</v>
      </c>
      <c r="H475" t="s" s="7">
        <v>3023</v>
      </c>
      <c r="I475" t="str" s="8" cm="1">
        <f t="array" ref="I475">SUBSTITUTE(H475,B475,"(          )")</f>
        <v>Dial 911 in case of emergency.</v>
      </c>
      <c r="J475" s="9" cm="1">
        <f t="array" ref="J475">SUMIF('외운 것 - 엑셀다운로드 파일(붙여넣기)'!A3:A562,A475,'외운 것 - 엑셀다운로드 파일(붙여넣기)'!D3:D562)</f>
        <v>0</v>
      </c>
      <c r="K475" s="9" cm="1">
        <f t="array" ref="K475">_xlfn.COUNTIFS('외운 것 - 엑셀다운로드 파일(붙여넣기)'!A3:A562,A475,'외운 것 - 엑셀다운로드 파일(붙여넣기)'!D3:D562,0)</f>
        <v>0</v>
      </c>
      <c r="L475" s="9" cm="1">
        <f t="array" ref="L475">IF(J475&gt;=3,_xlfn.XLOOKUP(A475,'외운 것 - 엑셀다운로드 파일(붙여넣기)'!A3:A562,'외운 것 - 엑셀다운로드 파일(붙여넣기)'!C3:C562,0,-1),0)</f>
        <v>0</v>
      </c>
    </row>
    <row r="476" ht="23.45" customHeight="1">
      <c r="A476" s="3">
        <v>475</v>
      </c>
      <c r="B476" t="s" s="4">
        <v>3025</v>
      </c>
      <c r="C476" t="s" s="5">
        <v>3012</v>
      </c>
      <c r="D476" t="s" s="5">
        <v>3013</v>
      </c>
      <c r="E476" t="s" s="5">
        <v>3026</v>
      </c>
      <c r="F476" t="s" s="10">
        <v>3027</v>
      </c>
      <c r="G476" t="s" s="7">
        <v>3028</v>
      </c>
      <c r="H476" t="s" s="7">
        <v>3029</v>
      </c>
      <c r="I476" t="str" s="8" cm="1">
        <f t="array" ref="I476">SUBSTITUTE(H476,B476,"(          )")</f>
        <v>The (          ) of the circle is twice its radius.</v>
      </c>
      <c r="J476" s="9" cm="1">
        <f t="array" ref="J476">SUMIF('외운 것 - 엑셀다운로드 파일(붙여넣기)'!A3:A562,A476,'외운 것 - 엑셀다운로드 파일(붙여넣기)'!D3:D562)</f>
        <v>0</v>
      </c>
      <c r="K476" s="9" cm="1">
        <f t="array" ref="K476">_xlfn.COUNTIFS('외운 것 - 엑셀다운로드 파일(붙여넣기)'!A3:A562,A476,'외운 것 - 엑셀다운로드 파일(붙여넣기)'!D3:D562,0)</f>
        <v>0</v>
      </c>
      <c r="L476" s="9" cm="1">
        <f t="array" ref="L476">IF(J476&gt;=3,_xlfn.XLOOKUP(A476,'외운 것 - 엑셀다운로드 파일(붙여넣기)'!A3:A562,'외운 것 - 엑셀다운로드 파일(붙여넣기)'!C3:C562,0,-1),0)</f>
        <v>0</v>
      </c>
    </row>
    <row r="477" ht="38.45" customHeight="1">
      <c r="A477" s="3">
        <v>476</v>
      </c>
      <c r="B477" t="s" s="4">
        <v>3031</v>
      </c>
      <c r="C477" t="s" s="5">
        <v>3012</v>
      </c>
      <c r="D477" t="s" s="5">
        <v>3013</v>
      </c>
      <c r="E477" t="s" s="5">
        <v>3032</v>
      </c>
      <c r="F477" t="s" s="10">
        <v>3033</v>
      </c>
      <c r="G477" t="s" s="7">
        <v>3034</v>
      </c>
      <c r="H477" t="s" s="7">
        <v>3035</v>
      </c>
      <c r="I477" t="str" s="8" cm="1">
        <f t="array" ref="I477">SUBSTITUTE(H477,B477,"(          )")</f>
        <v>People with (          ) need to monitor their blood sugar levels.</v>
      </c>
      <c r="J477" s="9" cm="1">
        <f t="array" ref="J477">SUMIF('외운 것 - 엑셀다운로드 파일(붙여넣기)'!A3:A562,A477,'외운 것 - 엑셀다운로드 파일(붙여넣기)'!D3:D562)</f>
        <v>0</v>
      </c>
      <c r="K477" s="9" cm="1">
        <f t="array" ref="K477">_xlfn.COUNTIFS('외운 것 - 엑셀다운로드 파일(붙여넣기)'!A3:A562,A477,'외운 것 - 엑셀다운로드 파일(붙여넣기)'!D3:D562,0)</f>
        <v>0</v>
      </c>
      <c r="L477" s="9" cm="1">
        <f t="array" ref="L477">IF(J477&gt;=3,_xlfn.XLOOKUP(A477,'외운 것 - 엑셀다운로드 파일(붙여넣기)'!A3:A562,'외운 것 - 엑셀다운로드 파일(붙여넣기)'!C3:C562,0,-1),0)</f>
        <v>0</v>
      </c>
    </row>
    <row r="478" ht="38.45" customHeight="1">
      <c r="A478" s="3">
        <v>477</v>
      </c>
      <c r="B478" t="s" s="4">
        <v>3037</v>
      </c>
      <c r="C478" t="s" s="5">
        <v>3012</v>
      </c>
      <c r="D478" t="s" s="5">
        <v>3013</v>
      </c>
      <c r="E478" t="s" s="5">
        <v>3038</v>
      </c>
      <c r="F478" t="s" s="10">
        <v>3039</v>
      </c>
      <c r="G478" t="s" s="7">
        <v>3040</v>
      </c>
      <c r="H478" t="s" s="7">
        <v>3041</v>
      </c>
      <c r="I478" t="str" s="8" cm="1">
        <f t="array" ref="I478">SUBSTITUTE(H478,B478,"(          )")</f>
        <v>She speaks a regional (          ) that I find difficult to understand.</v>
      </c>
      <c r="J478" s="9" cm="1">
        <f t="array" ref="J478">SUMIF('외운 것 - 엑셀다운로드 파일(붙여넣기)'!A3:A562,A478,'외운 것 - 엑셀다운로드 파일(붙여넣기)'!D3:D562)</f>
        <v>0</v>
      </c>
      <c r="K478" s="9" cm="1">
        <f t="array" ref="K478">_xlfn.COUNTIFS('외운 것 - 엑셀다운로드 파일(붙여넣기)'!A3:A562,A478,'외운 것 - 엑셀다운로드 파일(붙여넣기)'!D3:D562,0)</f>
        <v>0</v>
      </c>
      <c r="L478" s="9" cm="1">
        <f t="array" ref="L478">IF(J478&gt;=3,_xlfn.XLOOKUP(A478,'외운 것 - 엑셀다운로드 파일(붙여넣기)'!A3:A562,'외운 것 - 엑셀다운로드 파일(붙여넣기)'!C3:C562,0,-1),0)</f>
        <v>0</v>
      </c>
    </row>
    <row r="479" ht="38.45" customHeight="1">
      <c r="A479" s="3">
        <v>478</v>
      </c>
      <c r="B479" t="s" s="4">
        <v>3043</v>
      </c>
      <c r="C479" t="s" s="5">
        <v>3012</v>
      </c>
      <c r="D479" t="s" s="5">
        <v>3013</v>
      </c>
      <c r="E479" t="s" s="5">
        <v>3044</v>
      </c>
      <c r="F479" t="s" s="10">
        <v>3045</v>
      </c>
      <c r="G479" t="s" s="7">
        <v>3046</v>
      </c>
      <c r="H479" t="s" s="7">
        <v>3047</v>
      </c>
      <c r="I479" t="str" s="8" cm="1">
        <f t="array" ref="I479">SUBSTITUTE(H479,B479,"(          )")</f>
        <v>The doctor will (          ) the cause of your symptoms.</v>
      </c>
      <c r="J479" s="9" cm="1">
        <f t="array" ref="J479">SUMIF('외운 것 - 엑셀다운로드 파일(붙여넣기)'!A3:A562,A479,'외운 것 - 엑셀다운로드 파일(붙여넣기)'!D3:D562)</f>
        <v>0</v>
      </c>
      <c r="K479" s="9" cm="1">
        <f t="array" ref="K479">_xlfn.COUNTIFS('외운 것 - 엑셀다운로드 파일(붙여넣기)'!A3:A562,A479,'외운 것 - 엑셀다운로드 파일(붙여넣기)'!D3:D562,0)</f>
        <v>0</v>
      </c>
      <c r="L479" s="9" cm="1">
        <f t="array" ref="L479">IF(J479&gt;=3,_xlfn.XLOOKUP(A479,'외운 것 - 엑셀다운로드 파일(붙여넣기)'!A3:A562,'외운 것 - 엑셀다운로드 파일(붙여넣기)'!C3:C562,0,-1),0)</f>
        <v>0</v>
      </c>
    </row>
    <row r="480" ht="23.45" customHeight="1">
      <c r="A480" s="3">
        <v>479</v>
      </c>
      <c r="B480" t="s" s="4">
        <v>3049</v>
      </c>
      <c r="C480" t="s" s="5">
        <v>3050</v>
      </c>
      <c r="D480" t="s" s="5">
        <v>3051</v>
      </c>
      <c r="E480" t="s" s="5">
        <v>3052</v>
      </c>
      <c r="F480" t="s" s="10">
        <v>3053</v>
      </c>
      <c r="G480" t="s" s="7">
        <v>3054</v>
      </c>
      <c r="H480" t="s" s="7">
        <v>3055</v>
      </c>
      <c r="I480" t="str" s="8" cm="1">
        <f t="array" ref="I480">SUBSTITUTE(H480,B480,"(          )")</f>
        <v>Actors must have clear (          ) to be understood on stage.</v>
      </c>
      <c r="J480" s="9" cm="1">
        <f t="array" ref="J480">SUMIF('외운 것 - 엑셀다운로드 파일(붙여넣기)'!A3:A562,A480,'외운 것 - 엑셀다운로드 파일(붙여넣기)'!D3:D562)</f>
        <v>0</v>
      </c>
      <c r="K480" s="9" cm="1">
        <f t="array" ref="K480">_xlfn.COUNTIFS('외운 것 - 엑셀다운로드 파일(붙여넣기)'!A3:A562,A480,'외운 것 - 엑셀다운로드 파일(붙여넣기)'!D3:D562,0)</f>
        <v>0</v>
      </c>
      <c r="L480" s="9" cm="1">
        <f t="array" ref="L480">IF(J480&gt;=3,_xlfn.XLOOKUP(A480,'외운 것 - 엑셀다운로드 파일(붙여넣기)'!A3:A562,'외운 것 - 엑셀다운로드 파일(붙여넣기)'!C3:C562,0,-1),0)</f>
        <v>0</v>
      </c>
    </row>
    <row r="481" ht="36.4" customHeight="1">
      <c r="A481" s="3">
        <v>480</v>
      </c>
      <c r="B481" t="s" s="4">
        <v>3057</v>
      </c>
      <c r="C481" t="s" s="5">
        <v>3058</v>
      </c>
      <c r="D481" t="s" s="5">
        <v>3050</v>
      </c>
      <c r="E481" t="s" s="5">
        <v>3059</v>
      </c>
      <c r="F481" t="s" s="10">
        <v>3060</v>
      </c>
      <c r="G481" t="s" s="7">
        <v>3061</v>
      </c>
      <c r="H481" t="s" s="7">
        <v>3062</v>
      </c>
      <c r="I481" t="str" s="8" cm="1">
        <f t="array" ref="I481">SUBSTITUTE(H481,B481,"(          )")</f>
        <v>Use a (          ) to look up words you don't know.</v>
      </c>
      <c r="J481" s="9" cm="1">
        <f t="array" ref="J481">SUMIF('외운 것 - 엑셀다운로드 파일(붙여넣기)'!A3:A562,A481,'외운 것 - 엑셀다운로드 파일(붙여넣기)'!D3:D562)</f>
        <v>0</v>
      </c>
      <c r="K481" s="9" cm="1">
        <f t="array" ref="K481">_xlfn.COUNTIFS('외운 것 - 엑셀다운로드 파일(붙여넣기)'!A3:A562,A481,'외운 것 - 엑셀다운로드 파일(붙여넣기)'!D3:D562,0)</f>
        <v>0</v>
      </c>
      <c r="L481" s="9" cm="1">
        <f t="array" ref="L481">IF(J481&gt;=3,_xlfn.XLOOKUP(A481,'외운 것 - 엑셀다운로드 파일(붙여넣기)'!A3:A562,'외운 것 - 엑셀다운로드 파일(붙여넣기)'!C3:C562,0,-1),0)</f>
        <v>0</v>
      </c>
    </row>
    <row r="482" ht="38.45" customHeight="1">
      <c r="A482" s="3">
        <v>481</v>
      </c>
      <c r="B482" t="s" s="4">
        <v>3064</v>
      </c>
      <c r="C482" t="s" s="5">
        <v>3050</v>
      </c>
      <c r="D482" t="s" s="5">
        <v>3051</v>
      </c>
      <c r="E482" t="s" s="5">
        <v>3065</v>
      </c>
      <c r="F482" t="s" s="10">
        <v>3066</v>
      </c>
      <c r="G482" t="s" s="7">
        <v>3067</v>
      </c>
      <c r="H482" t="s" s="7">
        <v>3068</v>
      </c>
      <c r="I482" t="str" s="8" cm="1">
        <f t="array" ref="I482">SUBSTITUTE(H482,B482,"(          )")</f>
        <v>The manager will (          ) a letter to his secretary.</v>
      </c>
      <c r="J482" s="9" cm="1">
        <f t="array" ref="J482">SUMIF('외운 것 - 엑셀다운로드 파일(붙여넣기)'!A3:A562,A482,'외운 것 - 엑셀다운로드 파일(붙여넣기)'!D3:D562)</f>
        <v>0</v>
      </c>
      <c r="K482" s="9" cm="1">
        <f t="array" ref="K482">_xlfn.COUNTIFS('외운 것 - 엑셀다운로드 파일(붙여넣기)'!A3:A562,A482,'외운 것 - 엑셀다운로드 파일(붙여넣기)'!D3:D562,0)</f>
        <v>0</v>
      </c>
      <c r="L482" s="9" cm="1">
        <f t="array" ref="L482">IF(J482&gt;=3,_xlfn.XLOOKUP(A482,'외운 것 - 엑셀다운로드 파일(붙여넣기)'!A3:A562,'외운 것 - 엑셀다운로드 파일(붙여넣기)'!C3:C562,0,-1),0)</f>
        <v>0</v>
      </c>
    </row>
    <row r="483" ht="38.45" customHeight="1">
      <c r="A483" s="3">
        <v>482</v>
      </c>
      <c r="B483" t="s" s="4">
        <v>3070</v>
      </c>
      <c r="C483" t="s" s="5">
        <v>3050</v>
      </c>
      <c r="D483" t="s" s="5">
        <v>3051</v>
      </c>
      <c r="E483" t="s" s="5">
        <v>3071</v>
      </c>
      <c r="F483" t="s" s="10">
        <v>3072</v>
      </c>
      <c r="G483" t="s" s="7">
        <v>3073</v>
      </c>
      <c r="H483" t="s" s="7">
        <v>3074</v>
      </c>
      <c r="I483" t="str" s="8" cm="1">
        <f t="array" ref="I483">SUBSTITUTE(H483,B483,"(          )")</f>
        <v>The (          ) ruled the country with an iron fist.</v>
      </c>
      <c r="J483" s="9" cm="1">
        <f t="array" ref="J483">SUMIF('외운 것 - 엑셀다운로드 파일(붙여넣기)'!A3:A562,A483,'외운 것 - 엑셀다운로드 파일(붙여넣기)'!D3:D562)</f>
        <v>0</v>
      </c>
      <c r="K483" s="9" cm="1">
        <f t="array" ref="K483">_xlfn.COUNTIFS('외운 것 - 엑셀다운로드 파일(붙여넣기)'!A3:A562,A483,'외운 것 - 엑셀다운로드 파일(붙여넣기)'!D3:D562,0)</f>
        <v>0</v>
      </c>
      <c r="L483" s="9" cm="1">
        <f t="array" ref="L483">IF(J483&gt;=3,_xlfn.XLOOKUP(A483,'외운 것 - 엑셀다운로드 파일(붙여넣기)'!A3:A562,'외운 것 - 엑셀다운로드 파일(붙여넣기)'!C3:C562,0,-1),0)</f>
        <v>0</v>
      </c>
    </row>
    <row r="484" ht="38.45" customHeight="1">
      <c r="A484" s="3">
        <v>483</v>
      </c>
      <c r="B484" t="s" s="4">
        <v>3076</v>
      </c>
      <c r="C484" t="s" s="5">
        <v>3050</v>
      </c>
      <c r="D484" t="s" s="5">
        <v>3051</v>
      </c>
      <c r="E484" t="s" s="5">
        <v>3077</v>
      </c>
      <c r="F484" t="s" s="10">
        <v>3078</v>
      </c>
      <c r="G484" t="s" s="7">
        <v>3079</v>
      </c>
      <c r="H484" t="s" s="7">
        <v>3080</v>
      </c>
      <c r="I484" t="str" s="8" cm="1">
        <f t="array" ref="I484">SUBSTITUTE(H484,B484,"(          )")</f>
        <v>A drug (          ) needs professional help to recover.</v>
      </c>
      <c r="J484" s="9" cm="1">
        <f t="array" ref="J484">SUMIF('외운 것 - 엑셀다운로드 파일(붙여넣기)'!A3:A562,A484,'외운 것 - 엑셀다운로드 파일(붙여넣기)'!D3:D562)</f>
        <v>0</v>
      </c>
      <c r="K484" s="9" cm="1">
        <f t="array" ref="K484">_xlfn.COUNTIFS('외운 것 - 엑셀다운로드 파일(붙여넣기)'!A3:A562,A484,'외운 것 - 엑셀다운로드 파일(붙여넣기)'!D3:D562,0)</f>
        <v>0</v>
      </c>
      <c r="L484" s="9" cm="1">
        <f t="array" ref="L484">IF(J484&gt;=3,_xlfn.XLOOKUP(A484,'외운 것 - 엑셀다운로드 파일(붙여넣기)'!A3:A562,'외운 것 - 엑셀다운로드 파일(붙여넣기)'!C3:C562,0,-1),0)</f>
        <v>0</v>
      </c>
    </row>
    <row r="485" ht="23.45" customHeight="1">
      <c r="A485" s="3">
        <v>484</v>
      </c>
      <c r="B485" t="s" s="4">
        <v>3082</v>
      </c>
      <c r="C485" t="s" s="5">
        <v>3050</v>
      </c>
      <c r="D485" t="s" s="5">
        <v>3051</v>
      </c>
      <c r="E485" t="s" s="5">
        <v>3083</v>
      </c>
      <c r="F485" t="s" s="10">
        <v>3084</v>
      </c>
      <c r="G485" t="s" s="7">
        <v>3085</v>
      </c>
      <c r="H485" t="s" s="7">
        <v>3086</v>
      </c>
      <c r="I485" t="str" s="8" cm="1">
        <f t="array" ref="I485">SUBSTITUTE(H485,B485,"(          )")</f>
        <v>Fever is often an (          ) of infection.</v>
      </c>
      <c r="J485" s="9" cm="1">
        <f t="array" ref="J485">SUMIF('외운 것 - 엑셀다운로드 파일(붙여넣기)'!A3:A562,A485,'외운 것 - 엑셀다운로드 파일(붙여넣기)'!D3:D562)</f>
        <v>0</v>
      </c>
      <c r="K485" s="9" cm="1">
        <f t="array" ref="K485">_xlfn.COUNTIFS('외운 것 - 엑셀다운로드 파일(붙여넣기)'!A3:A562,A485,'외운 것 - 엑셀다운로드 파일(붙여넣기)'!D3:D562,0)</f>
        <v>0</v>
      </c>
      <c r="L485" s="9" cm="1">
        <f t="array" ref="L485">IF(J485&gt;=3,_xlfn.XLOOKUP(A485,'외운 것 - 엑셀다운로드 파일(붙여넣기)'!A3:A562,'외운 것 - 엑셀다운로드 파일(붙여넣기)'!C3:C562,0,-1),0)</f>
        <v>0</v>
      </c>
    </row>
    <row r="486" ht="38.45" customHeight="1">
      <c r="A486" s="3">
        <v>485</v>
      </c>
      <c r="B486" t="s" s="4">
        <v>3088</v>
      </c>
      <c r="C486" t="s" s="5">
        <v>3050</v>
      </c>
      <c r="D486" t="s" s="5">
        <v>3051</v>
      </c>
      <c r="E486" t="s" s="5">
        <v>3089</v>
      </c>
      <c r="F486" t="s" s="10">
        <v>3090</v>
      </c>
      <c r="G486" t="s" s="7">
        <v>3091</v>
      </c>
      <c r="H486" t="s" s="7">
        <v>3092</v>
      </c>
      <c r="I486" t="str" s="8" cm="1">
        <f t="array" ref="I486">SUBSTITUTE(H486,B486,"(          )")</f>
        <v>His nervous behavior was (          ) of guilt.</v>
      </c>
      <c r="J486" s="9" cm="1">
        <f t="array" ref="J486">SUMIF('외운 것 - 엑셀다운로드 파일(붙여넣기)'!A3:A562,A486,'외운 것 - 엑셀다운로드 파일(붙여넣기)'!D3:D562)</f>
        <v>0</v>
      </c>
      <c r="K486" s="9" cm="1">
        <f t="array" ref="K486">_xlfn.COUNTIFS('외운 것 - 엑셀다운로드 파일(붙여넣기)'!A3:A562,A486,'외운 것 - 엑셀다운로드 파일(붙여넣기)'!D3:D562,0)</f>
        <v>0</v>
      </c>
      <c r="L486" s="9" cm="1">
        <f t="array" ref="L486">IF(J486&gt;=3,_xlfn.XLOOKUP(A486,'외운 것 - 엑셀다운로드 파일(붙여넣기)'!A3:A562,'외운 것 - 엑셀다운로드 파일(붙여넣기)'!C3:C562,0,-1),0)</f>
        <v>0</v>
      </c>
    </row>
    <row r="487" ht="23.45" customHeight="1">
      <c r="A487" s="3">
        <v>486</v>
      </c>
      <c r="B487" t="s" s="4">
        <v>2497</v>
      </c>
      <c r="C487" t="s" s="5">
        <v>3050</v>
      </c>
      <c r="D487" t="s" s="5">
        <v>3051</v>
      </c>
      <c r="E487" t="s" s="5">
        <v>2498</v>
      </c>
      <c r="F487" t="s" s="10">
        <v>3094</v>
      </c>
      <c r="G487" t="s" s="7">
        <v>3095</v>
      </c>
      <c r="H487" t="s" s="7">
        <v>2501</v>
      </c>
      <c r="I487" t="str" s="8" cm="1">
        <f t="array" ref="I487">SUBSTITUTE(H487,B487,"(          )")</f>
        <v>New evidence seems to (          ) his earlier statement.</v>
      </c>
      <c r="J487" s="9" cm="1">
        <f t="array" ref="J487">SUMIF('외운 것 - 엑셀다운로드 파일(붙여넣기)'!A3:A562,A487,'외운 것 - 엑셀다운로드 파일(붙여넣기)'!D3:D562)</f>
        <v>0</v>
      </c>
      <c r="K487" s="9" cm="1">
        <f t="array" ref="K487">_xlfn.COUNTIFS('외운 것 - 엑셀다운로드 파일(붙여넣기)'!A3:A562,A487,'외운 것 - 엑셀다운로드 파일(붙여넣기)'!D3:D562,0)</f>
        <v>0</v>
      </c>
      <c r="L487" s="9" cm="1">
        <f t="array" ref="L487">IF(J487&gt;=3,_xlfn.XLOOKUP(A487,'외운 것 - 엑셀다운로드 파일(붙여넣기)'!A3:A562,'외운 것 - 엑셀다운로드 파일(붙여넣기)'!C3:C562,0,-1),0)</f>
        <v>0</v>
      </c>
    </row>
    <row r="488" ht="38.45" customHeight="1">
      <c r="A488" s="3">
        <v>487</v>
      </c>
      <c r="B488" t="s" s="4">
        <v>3096</v>
      </c>
      <c r="C488" t="s" s="5">
        <v>3050</v>
      </c>
      <c r="D488" t="s" s="5">
        <v>3051</v>
      </c>
      <c r="E488" t="s" s="5">
        <v>3097</v>
      </c>
      <c r="F488" t="s" s="10">
        <v>3098</v>
      </c>
      <c r="G488" t="s" s="7">
        <v>3099</v>
      </c>
      <c r="H488" t="s" s="7">
        <v>3100</v>
      </c>
      <c r="I488" t="str" s="8" cm="1">
        <f t="array" ref="I488">SUBSTITUTE(H488,B488,"(          )")</f>
        <v>There is a (          ) between his statement and the evidence.</v>
      </c>
      <c r="J488" s="9" cm="1">
        <f t="array" ref="J488">SUMIF('외운 것 - 엑셀다운로드 파일(붙여넣기)'!A3:A562,A488,'외운 것 - 엑셀다운로드 파일(붙여넣기)'!D3:D562)</f>
        <v>0</v>
      </c>
      <c r="K488" s="9" cm="1">
        <f t="array" ref="K488">_xlfn.COUNTIFS('외운 것 - 엑셀다운로드 파일(붙여넣기)'!A3:A562,A488,'외운 것 - 엑셀다운로드 파일(붙여넣기)'!D3:D562,0)</f>
        <v>0</v>
      </c>
      <c r="L488" s="9" cm="1">
        <f t="array" ref="L488">IF(J488&gt;=3,_xlfn.XLOOKUP(A488,'외운 것 - 엑셀다운로드 파일(붙여넣기)'!A3:A562,'외운 것 - 엑셀다운로드 파일(붙여넣기)'!C3:C562,0,-1),0)</f>
        <v>0</v>
      </c>
    </row>
    <row r="489" ht="38.45" customHeight="1">
      <c r="A489" s="3">
        <v>488</v>
      </c>
      <c r="B489" t="s" s="4">
        <v>3102</v>
      </c>
      <c r="C489" t="s" s="5">
        <v>3050</v>
      </c>
      <c r="D489" t="s" s="5">
        <v>3051</v>
      </c>
      <c r="E489" t="s" s="5">
        <v>3103</v>
      </c>
      <c r="F489" t="s" s="10">
        <v>3104</v>
      </c>
      <c r="G489" t="s" s="7">
        <v>3105</v>
      </c>
      <c r="H489" t="s" s="7">
        <v>3106</v>
      </c>
      <c r="I489" t="str" s="8" cm="1">
        <f t="array" ref="I489">SUBSTITUTE(H489,B489,"(          )")</f>
        <v>The witnesses gave (          ) accounts of the accident.</v>
      </c>
      <c r="J489" s="9" cm="1">
        <f t="array" ref="J489">SUMIF('외운 것 - 엑셀다운로드 파일(붙여넣기)'!A3:A562,A489,'외운 것 - 엑셀다운로드 파일(붙여넣기)'!D3:D562)</f>
        <v>0</v>
      </c>
      <c r="K489" s="9" cm="1">
        <f t="array" ref="K489">_xlfn.COUNTIFS('외운 것 - 엑셀다운로드 파일(붙여넣기)'!A3:A562,A489,'외운 것 - 엑셀다운로드 파일(붙여넣기)'!D3:D562,0)</f>
        <v>0</v>
      </c>
      <c r="L489" s="9" cm="1">
        <f t="array" ref="L489">IF(J489&gt;=3,_xlfn.XLOOKUP(A489,'외운 것 - 엑셀다운로드 파일(붙여넣기)'!A3:A562,'외운 것 - 엑셀다운로드 파일(붙여넣기)'!C3:C562,0,-1),0)</f>
        <v>0</v>
      </c>
    </row>
    <row r="490" ht="38.45" customHeight="1">
      <c r="A490" s="3">
        <v>489</v>
      </c>
      <c r="B490" t="s" s="4">
        <v>3108</v>
      </c>
      <c r="C490" t="s" s="5">
        <v>3050</v>
      </c>
      <c r="D490" t="s" s="5">
        <v>3051</v>
      </c>
      <c r="E490" t="s" s="5">
        <v>3109</v>
      </c>
      <c r="F490" t="s" s="10">
        <v>3110</v>
      </c>
      <c r="G490" t="s" s="7">
        <v>3111</v>
      </c>
      <c r="H490" t="s" s="7">
        <v>3112</v>
      </c>
      <c r="I490" t="str" s="8" cm="1">
        <f t="array" ref="I490">SUBSTITUTE(H490,B490,"(          )")</f>
        <v>The grand jury voted to (          ) the suspect on multiple charges.</v>
      </c>
      <c r="J490" s="9" cm="1">
        <f t="array" ref="J490">SUMIF('외운 것 - 엑셀다운로드 파일(붙여넣기)'!A3:A562,A490,'외운 것 - 엑셀다운로드 파일(붙여넣기)'!D3:D562)</f>
        <v>0</v>
      </c>
      <c r="K490" s="9" cm="1">
        <f t="array" ref="K490">_xlfn.COUNTIFS('외운 것 - 엑셀다운로드 파일(붙여넣기)'!A3:A562,A490,'외운 것 - 엑셀다운로드 파일(붙여넣기)'!D3:D562,0)</f>
        <v>0</v>
      </c>
      <c r="L490" s="9" cm="1">
        <f t="array" ref="L490">IF(J490&gt;=3,_xlfn.XLOOKUP(A490,'외운 것 - 엑셀다운로드 파일(붙여넣기)'!A3:A562,'외운 것 - 엑셀다운로드 파일(붙여넣기)'!C3:C562,0,-1),0)</f>
        <v>0</v>
      </c>
    </row>
    <row r="491" ht="38.45" customHeight="1">
      <c r="A491" s="3">
        <v>490</v>
      </c>
      <c r="B491" t="s" s="4">
        <v>3114</v>
      </c>
      <c r="C491" t="s" s="5">
        <v>3050</v>
      </c>
      <c r="D491" t="s" s="5">
        <v>3051</v>
      </c>
      <c r="E491" t="s" s="5">
        <v>3115</v>
      </c>
      <c r="F491" t="s" s="10">
        <v>3116</v>
      </c>
      <c r="G491" t="s" s="7">
        <v>3117</v>
      </c>
      <c r="H491" t="s" s="7">
        <v>3118</v>
      </c>
      <c r="I491" t="str" s="8" cm="1">
        <f t="array" ref="I491">SUBSTITUTE(H491,B491,"(          )")</f>
        <v>It's a (          ) that the more choices we have, the harder it is to choose.</v>
      </c>
      <c r="J491" s="9" cm="1">
        <f t="array" ref="J491">SUMIF('외운 것 - 엑셀다운로드 파일(붙여넣기)'!A3:A562,A491,'외운 것 - 엑셀다운로드 파일(붙여넣기)'!D3:D562)</f>
        <v>0</v>
      </c>
      <c r="K491" s="9" cm="1">
        <f t="array" ref="K491">_xlfn.COUNTIFS('외운 것 - 엑셀다운로드 파일(붙여넣기)'!A3:A562,A491,'외운 것 - 엑셀다운로드 파일(붙여넣기)'!D3:D562,0)</f>
        <v>0</v>
      </c>
      <c r="L491" s="9" cm="1">
        <f t="array" ref="L491">IF(J491&gt;=3,_xlfn.XLOOKUP(A491,'외운 것 - 엑셀다운로드 파일(붙여넣기)'!A3:A562,'외운 것 - 엑셀다운로드 파일(붙여넣기)'!C3:C562,0,-1),0)</f>
        <v>0</v>
      </c>
    </row>
    <row r="492" ht="23.45" customHeight="1">
      <c r="A492" s="3">
        <v>491</v>
      </c>
      <c r="B492" t="s" s="4">
        <v>3120</v>
      </c>
      <c r="C492" t="s" s="5">
        <v>3050</v>
      </c>
      <c r="D492" t="s" s="5">
        <v>3051</v>
      </c>
      <c r="E492" t="s" s="5">
        <v>3121</v>
      </c>
      <c r="F492" t="s" s="10">
        <v>3122</v>
      </c>
      <c r="G492" t="s" s="7">
        <v>3123</v>
      </c>
      <c r="H492" t="s" s="7">
        <v>3124</v>
      </c>
      <c r="I492" t="str" s="8" cm="1">
        <f t="array" ref="I492">SUBSTITUTE(H492,B492,"(          )")</f>
        <v>The jury reached a (          ) after three days of deliberation.</v>
      </c>
      <c r="J492" s="9" cm="1">
        <f t="array" ref="J492">SUMIF('외운 것 - 엑셀다운로드 파일(붙여넣기)'!A3:A562,A492,'외운 것 - 엑셀다운로드 파일(붙여넣기)'!D3:D562)</f>
        <v>0</v>
      </c>
      <c r="K492" s="9" cm="1">
        <f t="array" ref="K492">_xlfn.COUNTIFS('외운 것 - 엑셀다운로드 파일(붙여넣기)'!A3:A562,A492,'외운 것 - 엑셀다운로드 파일(붙여넣기)'!D3:D562,0)</f>
        <v>0</v>
      </c>
      <c r="L492" s="9" cm="1">
        <f t="array" ref="L492">IF(J492&gt;=3,_xlfn.XLOOKUP(A492,'외운 것 - 엑셀다운로드 파일(붙여넣기)'!A3:A562,'외운 것 - 엑셀다운로드 파일(붙여넣기)'!C3:C562,0,-1),0)</f>
        <v>0</v>
      </c>
    </row>
    <row r="493" ht="38.45" customHeight="1">
      <c r="A493" s="3">
        <v>492</v>
      </c>
      <c r="B493" t="s" s="4">
        <v>3126</v>
      </c>
      <c r="C493" t="s" s="5">
        <v>3050</v>
      </c>
      <c r="D493" t="s" s="5">
        <v>3051</v>
      </c>
      <c r="E493" t="s" s="5">
        <v>3127</v>
      </c>
      <c r="F493" t="s" s="10">
        <v>3128</v>
      </c>
      <c r="G493" t="s" s="7">
        <v>3129</v>
      </c>
      <c r="H493" t="s" s="7">
        <v>3130</v>
      </c>
      <c r="I493" t="str" s="8" cm="1">
        <f t="array" ref="I493">SUBSTITUTE(H493,B493,"(          )")</f>
        <v>She decided to (          ) her life to helping others.</v>
      </c>
      <c r="J493" s="9" cm="1">
        <f t="array" ref="J493">SUMIF('외운 것 - 엑셀다운로드 파일(붙여넣기)'!A3:A562,A493,'외운 것 - 엑셀다운로드 파일(붙여넣기)'!D3:D562)</f>
        <v>0</v>
      </c>
      <c r="K493" s="9" cm="1">
        <f t="array" ref="K493">_xlfn.COUNTIFS('외운 것 - 엑셀다운로드 파일(붙여넣기)'!A3:A562,A493,'외운 것 - 엑셀다운로드 파일(붙여넣기)'!D3:D562,0)</f>
        <v>0</v>
      </c>
      <c r="L493" s="9" cm="1">
        <f t="array" ref="L493">IF(J493&gt;=3,_xlfn.XLOOKUP(A493,'외운 것 - 엑셀다운로드 파일(붙여넣기)'!A3:A562,'외운 것 - 엑셀다운로드 파일(붙여넣기)'!C3:C562,0,-1),0)</f>
        <v>0</v>
      </c>
    </row>
    <row r="494" ht="38.45" customHeight="1">
      <c r="A494" s="3">
        <v>493</v>
      </c>
      <c r="B494" t="s" s="4">
        <v>3132</v>
      </c>
      <c r="C494" t="s" s="5">
        <v>3050</v>
      </c>
      <c r="D494" t="s" s="5">
        <v>3051</v>
      </c>
      <c r="E494" t="s" s="5">
        <v>3133</v>
      </c>
      <c r="F494" t="s" s="10">
        <v>3134</v>
      </c>
      <c r="G494" t="s" s="7">
        <v>3135</v>
      </c>
      <c r="H494" t="s" s="7">
        <v>3136</v>
      </c>
      <c r="I494" t="str" s="8" cm="1">
        <f t="array" ref="I494">SUBSTITUTE(H494,B494,"(          )")</f>
        <v>His (          ) to the project impressed everyone.</v>
      </c>
      <c r="J494" s="9" cm="1">
        <f t="array" ref="J494">SUMIF('외운 것 - 엑셀다운로드 파일(붙여넣기)'!A3:A562,A494,'외운 것 - 엑셀다운로드 파일(붙여넣기)'!D3:D562)</f>
        <v>0</v>
      </c>
      <c r="K494" s="9" cm="1">
        <f t="array" ref="K494">_xlfn.COUNTIFS('외운 것 - 엑셀다운로드 파일(붙여넣기)'!A3:A562,A494,'외운 것 - 엑셀다운로드 파일(붙여넣기)'!D3:D562,0)</f>
        <v>0</v>
      </c>
      <c r="L494" s="9" cm="1">
        <f t="array" ref="L494">IF(J494&gt;=3,_xlfn.XLOOKUP(A494,'외운 것 - 엑셀다운로드 파일(붙여넣기)'!A3:A562,'외운 것 - 엑셀다운로드 파일(붙여넣기)'!C3:C562,0,-1),0)</f>
        <v>0</v>
      </c>
    </row>
    <row r="495" ht="23.45" customHeight="1">
      <c r="A495" s="3">
        <v>494</v>
      </c>
      <c r="B495" t="s" s="4">
        <v>3138</v>
      </c>
      <c r="C495" t="s" s="5">
        <v>3050</v>
      </c>
      <c r="D495" t="s" s="5">
        <v>3051</v>
      </c>
      <c r="E495" t="s" s="5">
        <v>3139</v>
      </c>
      <c r="F495" t="s" s="10">
        <v>3140</v>
      </c>
      <c r="G495" t="s" s="7">
        <v>3141</v>
      </c>
      <c r="H495" t="s" s="7">
        <v>3142</v>
      </c>
      <c r="I495" t="str" s="8" cm="1">
        <f t="array" ref="I495">SUBSTITUTE(H495,B495,"(          )")</f>
        <v>Meteorologists try to (          ) weather patterns accurately.</v>
      </c>
      <c r="J495" s="9" cm="1">
        <f t="array" ref="J495">SUMIF('외운 것 - 엑셀다운로드 파일(붙여넣기)'!A3:A562,A495,'외운 것 - 엑셀다운로드 파일(붙여넣기)'!D3:D562)</f>
        <v>0</v>
      </c>
      <c r="K495" s="9" cm="1">
        <f t="array" ref="K495">_xlfn.COUNTIFS('외운 것 - 엑셀다운로드 파일(붙여넣기)'!A3:A562,A495,'외운 것 - 엑셀다운로드 파일(붙여넣기)'!D3:D562,0)</f>
        <v>0</v>
      </c>
      <c r="L495" s="9" cm="1">
        <f t="array" ref="L495">IF(J495&gt;=3,_xlfn.XLOOKUP(A495,'외운 것 - 엑셀다운로드 파일(붙여넣기)'!A3:A562,'외운 것 - 엑셀다운로드 파일(붙여넣기)'!C3:C562,0,-1),0)</f>
        <v>0</v>
      </c>
    </row>
    <row r="496" ht="23.45" customHeight="1">
      <c r="A496" s="3">
        <v>495</v>
      </c>
      <c r="B496" t="s" s="4">
        <v>3144</v>
      </c>
      <c r="C496" t="s" s="5">
        <v>3050</v>
      </c>
      <c r="D496" t="s" s="5">
        <v>3051</v>
      </c>
      <c r="E496" t="s" s="5">
        <v>3145</v>
      </c>
      <c r="F496" t="s" s="10">
        <v>3146</v>
      </c>
      <c r="G496" t="s" s="7">
        <v>3147</v>
      </c>
      <c r="H496" t="s" s="7">
        <v>3148</v>
      </c>
      <c r="I496" t="str" s="8" cm="1">
        <f t="array" ref="I496">SUBSTITUTE(H496,B496,"(          )")</f>
        <v>The car is in excellent (          ) despite its age.</v>
      </c>
      <c r="J496" s="9" cm="1">
        <f t="array" ref="J496">SUMIF('외운 것 - 엑셀다운로드 파일(붙여넣기)'!A3:A562,A496,'외운 것 - 엑셀다운로드 파일(붙여넣기)'!D3:D562)</f>
        <v>0</v>
      </c>
      <c r="K496" s="9" cm="1">
        <f t="array" ref="K496">_xlfn.COUNTIFS('외운 것 - 엑셀다운로드 파일(붙여넣기)'!A3:A562,A496,'외운 것 - 엑셀다운로드 파일(붙여넣기)'!D3:D562,0)</f>
        <v>0</v>
      </c>
      <c r="L496" s="9" cm="1">
        <f t="array" ref="L496">IF(J496&gt;=3,_xlfn.XLOOKUP(A496,'외운 것 - 엑셀다운로드 파일(붙여넣기)'!A3:A562,'외운 것 - 엑셀다운로드 파일(붙여넣기)'!C3:C562,0,-1),0)</f>
        <v>0</v>
      </c>
    </row>
    <row r="497" ht="38.45" customHeight="1">
      <c r="A497" s="3">
        <v>496</v>
      </c>
      <c r="B497" t="s" s="4">
        <v>3150</v>
      </c>
      <c r="C497" t="s" s="5">
        <v>3050</v>
      </c>
      <c r="D497" t="s" s="5">
        <v>3051</v>
      </c>
      <c r="E497" t="s" s="5">
        <v>3151</v>
      </c>
      <c r="F497" t="s" s="10">
        <v>3152</v>
      </c>
      <c r="G497" t="s" s="7">
        <v>3153</v>
      </c>
      <c r="H497" t="s" s="7">
        <v>3154</v>
      </c>
      <c r="I497" t="str" s="8" cm="1">
        <f t="array" ref="I497">SUBSTITUTE(H497,B497,"(          )")</f>
        <v>Make an appointment with your (          ) if symptoms persist.</v>
      </c>
      <c r="J497" s="9" cm="1">
        <f t="array" ref="J497">SUMIF('외운 것 - 엑셀다운로드 파일(붙여넣기)'!A3:A562,A497,'외운 것 - 엑셀다운로드 파일(붙여넣기)'!D3:D562)</f>
        <v>0</v>
      </c>
      <c r="K497" s="9" cm="1">
        <f t="array" ref="K497">_xlfn.COUNTIFS('외운 것 - 엑셀다운로드 파일(붙여넣기)'!A3:A562,A497,'외운 것 - 엑셀다운로드 파일(붙여넣기)'!D3:D562,0)</f>
        <v>0</v>
      </c>
      <c r="L497" s="9" cm="1">
        <f t="array" ref="L497">IF(J497&gt;=3,_xlfn.XLOOKUP(A497,'외운 것 - 엑셀다운로드 파일(붙여넣기)'!A3:A562,'외운 것 - 엑셀다운로드 파일(붙여넣기)'!C3:C562,0,-1),0)</f>
        <v>0</v>
      </c>
    </row>
    <row r="498" ht="38.45" customHeight="1">
      <c r="A498" s="3">
        <v>497</v>
      </c>
      <c r="B498" t="s" s="4">
        <v>3156</v>
      </c>
      <c r="C498" t="s" s="5">
        <v>3157</v>
      </c>
      <c r="D498" t="s" s="5">
        <v>3051</v>
      </c>
      <c r="E498" t="s" s="5">
        <v>3158</v>
      </c>
      <c r="F498" t="s" s="10">
        <v>3159</v>
      </c>
      <c r="G498" t="s" s="7">
        <v>3160</v>
      </c>
      <c r="H498" t="s" s="7">
        <v>3161</v>
      </c>
      <c r="I498" t="str" s="8" cm="1">
        <f t="array" ref="I498">SUBSTITUTE(H498,B498,"(          )")</f>
        <v>The religious (          ) provides guidance for believers.</v>
      </c>
      <c r="J498" s="9" cm="1">
        <f t="array" ref="J498">SUMIF('외운 것 - 엑셀다운로드 파일(붙여넣기)'!A3:A562,A498,'외운 것 - 엑셀다운로드 파일(붙여넣기)'!D3:D562)</f>
        <v>0</v>
      </c>
      <c r="K498" s="9" cm="1">
        <f t="array" ref="K498">_xlfn.COUNTIFS('외운 것 - 엑셀다운로드 파일(붙여넣기)'!A3:A562,A498,'외운 것 - 엑셀다운로드 파일(붙여넣기)'!D3:D562,0)</f>
        <v>0</v>
      </c>
      <c r="L498" s="9" cm="1">
        <f t="array" ref="L498">IF(J498&gt;=3,_xlfn.XLOOKUP(A498,'외운 것 - 엑셀다운로드 파일(붙여넣기)'!A3:A562,'외운 것 - 엑셀다운로드 파일(붙여넣기)'!C3:C562,0,-1),0)</f>
        <v>0</v>
      </c>
    </row>
    <row r="499" ht="38.45" customHeight="1">
      <c r="A499" s="3">
        <v>498</v>
      </c>
      <c r="B499" t="s" s="4">
        <v>3163</v>
      </c>
      <c r="C499" t="s" s="5">
        <v>3164</v>
      </c>
      <c r="D499" t="s" s="5">
        <v>3051</v>
      </c>
      <c r="E499" t="s" s="5">
        <v>3165</v>
      </c>
      <c r="F499" t="s" s="10">
        <v>3166</v>
      </c>
      <c r="G499" t="s" s="7">
        <v>3167</v>
      </c>
      <c r="H499" t="s" s="7">
        <v>3168</v>
      </c>
      <c r="I499" t="str" s="8" cm="1">
        <f t="array" ref="I499">SUBSTITUTE(H499,B499,"(          )")</f>
        <v>Please sign this (          ) and return it to us.</v>
      </c>
      <c r="J499" s="9" cm="1">
        <f t="array" ref="J499">SUMIF('외운 것 - 엑셀다운로드 파일(붙여넣기)'!A3:A562,A499,'외운 것 - 엑셀다운로드 파일(붙여넣기)'!D3:D562)</f>
        <v>0</v>
      </c>
      <c r="K499" s="9" cm="1">
        <f t="array" ref="K499">_xlfn.COUNTIFS('외운 것 - 엑셀다운로드 파일(붙여넣기)'!A3:A562,A499,'외운 것 - 엑셀다운로드 파일(붙여넣기)'!D3:D562,0)</f>
        <v>0</v>
      </c>
      <c r="L499" s="9" cm="1">
        <f t="array" ref="L499">IF(J499&gt;=3,_xlfn.XLOOKUP(A499,'외운 것 - 엑셀다운로드 파일(붙여넣기)'!A3:A562,'외운 것 - 엑셀다운로드 파일(붙여넣기)'!C3:C562,0,-1),0)</f>
        <v>0</v>
      </c>
    </row>
    <row r="500" ht="36.4" customHeight="1">
      <c r="A500" s="3">
        <v>499</v>
      </c>
      <c r="B500" t="s" s="4">
        <v>3170</v>
      </c>
      <c r="C500" t="s" s="5">
        <v>3171</v>
      </c>
      <c r="D500" t="s" s="5">
        <v>3051</v>
      </c>
      <c r="E500" t="s" s="5">
        <v>3172</v>
      </c>
      <c r="F500" t="s" s="10">
        <v>3173</v>
      </c>
      <c r="G500" t="s" s="7">
        <v>3174</v>
      </c>
      <c r="H500" t="s" s="7">
        <v>3175</v>
      </c>
      <c r="I500" t="str" s="8" cm="1">
        <f t="array" ref="I500">SUBSTITUTE(H500,B500,"(          )")</f>
        <v>The researcher (          ) all his findings carefully.</v>
      </c>
      <c r="J500" s="9" cm="1">
        <f t="array" ref="J500">SUMIF('외운 것 - 엑셀다운로드 파일(붙여넣기)'!A3:A562,A500,'외운 것 - 엑셀다운로드 파일(붙여넣기)'!D3:D562)</f>
        <v>0</v>
      </c>
      <c r="K500" s="9" cm="1">
        <f t="array" ref="K500">_xlfn.COUNTIFS('외운 것 - 엑셀다운로드 파일(붙여넣기)'!A3:A562,A500,'외운 것 - 엑셀다운로드 파일(붙여넣기)'!D3:D562,0)</f>
        <v>0</v>
      </c>
      <c r="L500" s="9" cm="1">
        <f t="array" ref="L500">IF(J500&gt;=3,_xlfn.XLOOKUP(A500,'외운 것 - 엑셀다운로드 파일(붙여넣기)'!A3:A562,'외운 것 - 엑셀다운로드 파일(붙여넣기)'!C3:C562,0,-1),0)</f>
        <v>0</v>
      </c>
    </row>
    <row r="501" ht="38.45" customHeight="1">
      <c r="A501" s="3">
        <v>500</v>
      </c>
      <c r="B501" t="s" s="4">
        <v>3177</v>
      </c>
      <c r="C501" t="s" s="5">
        <v>3171</v>
      </c>
      <c r="D501" t="s" s="5">
        <v>3051</v>
      </c>
      <c r="E501" t="s" s="5">
        <v>3178</v>
      </c>
      <c r="F501" t="s" s="10">
        <v>3179</v>
      </c>
      <c r="G501" t="s" s="7">
        <v>3180</v>
      </c>
      <c r="H501" t="s" s="7">
        <v>3181</v>
      </c>
      <c r="I501" t="str" s="8" cm="1">
        <f t="array" ref="I501">SUBSTITUTE(H501,B501,"(          )")</f>
        <v>We watched an interesting (          ) about ocean life.</v>
      </c>
      <c r="J501" s="9" cm="1">
        <f t="array" ref="J501">SUMIF('외운 것 - 엑셀다운로드 파일(붙여넣기)'!A3:A562,A501,'외운 것 - 엑셀다운로드 파일(붙여넣기)'!D3:D562)</f>
        <v>0</v>
      </c>
      <c r="K501" s="9" cm="1">
        <f t="array" ref="K501">_xlfn.COUNTIFS('외운 것 - 엑셀다운로드 파일(붙여넣기)'!A3:A562,A501,'외운 것 - 엑셀다운로드 파일(붙여넣기)'!D3:D562,0)</f>
        <v>0</v>
      </c>
      <c r="L501" s="9" cm="1">
        <f t="array" ref="L501">IF(J501&gt;=3,_xlfn.XLOOKUP(A501,'외운 것 - 엑셀다운로드 파일(붙여넣기)'!A3:A562,'외운 것 - 엑셀다운로드 파일(붙여넣기)'!C3:C562,0,-1),0)</f>
        <v>0</v>
      </c>
    </row>
    <row r="502" ht="38.45" customHeight="1">
      <c r="A502" s="3">
        <v>501</v>
      </c>
      <c r="B502" t="s" s="4">
        <v>3183</v>
      </c>
      <c r="C502" t="s" s="5">
        <v>3184</v>
      </c>
      <c r="D502" t="s" s="5">
        <v>3185</v>
      </c>
      <c r="E502" t="s" s="5">
        <v>3186</v>
      </c>
      <c r="F502" t="s" s="10">
        <v>3187</v>
      </c>
      <c r="G502" t="s" s="7">
        <v>3188</v>
      </c>
      <c r="H502" t="s" s="7">
        <v>3189</v>
      </c>
      <c r="I502" t="str" s="8" cm="1">
        <f t="array" ref="I502">SUBSTITUTE(H502,B502,"(          )")</f>
        <v>The cathedral has a magnificent (          ).</v>
      </c>
      <c r="J502" s="9" cm="1">
        <f t="array" ref="J502">SUMIF('외운 것 - 엑셀다운로드 파일(붙여넣기)'!A3:A562,A502,'외운 것 - 엑셀다운로드 파일(붙여넣기)'!D3:D562)</f>
        <v>0</v>
      </c>
      <c r="K502" s="9" cm="1">
        <f t="array" ref="K502">_xlfn.COUNTIFS('외운 것 - 엑셀다운로드 파일(붙여넣기)'!A3:A562,A502,'외운 것 - 엑셀다운로드 파일(붙여넣기)'!D3:D562,0)</f>
        <v>0</v>
      </c>
      <c r="L502" s="9" cm="1">
        <f t="array" ref="L502">IF(J502&gt;=3,_xlfn.XLOOKUP(A502,'외운 것 - 엑셀다운로드 파일(붙여넣기)'!A3:A562,'외운 것 - 엑셀다운로드 파일(붙여넣기)'!C3:C562,0,-1),0)</f>
        <v>0</v>
      </c>
    </row>
    <row r="503" ht="23.45" customHeight="1">
      <c r="A503" s="3">
        <v>502</v>
      </c>
      <c r="B503" t="s" s="4">
        <v>3191</v>
      </c>
      <c r="C503" t="s" s="5">
        <v>3184</v>
      </c>
      <c r="D503" t="s" s="5">
        <v>3185</v>
      </c>
      <c r="E503" t="s" s="5">
        <v>3192</v>
      </c>
      <c r="F503" t="s" s="10">
        <v>3193</v>
      </c>
      <c r="G503" t="s" s="7">
        <v>3194</v>
      </c>
      <c r="H503" t="s" s="7">
        <v>3195</v>
      </c>
      <c r="I503" t="str" s="8" cm="1">
        <f t="array" ref="I503">SUBSTITUTE(H503,B503,"(          )")</f>
        <v>Expertise in mathematics is not my (          ).</v>
      </c>
      <c r="J503" s="9" cm="1">
        <f t="array" ref="J503">SUMIF('외운 것 - 엑셀다운로드 파일(붙여넣기)'!A3:A562,A503,'외운 것 - 엑셀다운로드 파일(붙여넣기)'!D3:D562)</f>
        <v>0</v>
      </c>
      <c r="K503" s="9" cm="1">
        <f t="array" ref="K503">_xlfn.COUNTIFS('외운 것 - 엑셀다운로드 파일(붙여넣기)'!A3:A562,A503,'외운 것 - 엑셀다운로드 파일(붙여넣기)'!D3:D562,0)</f>
        <v>0</v>
      </c>
      <c r="L503" s="9" cm="1">
        <f t="array" ref="L503">IF(J503&gt;=3,_xlfn.XLOOKUP(A503,'외운 것 - 엑셀다운로드 파일(붙여넣기)'!A3:A562,'외운 것 - 엑셀다운로드 파일(붙여넣기)'!C3:C562,0,-1),0)</f>
        <v>0</v>
      </c>
    </row>
    <row r="504" ht="23.45" customHeight="1">
      <c r="A504" s="3">
        <v>503</v>
      </c>
      <c r="B504" t="s" s="4">
        <v>3197</v>
      </c>
      <c r="C504" t="s" s="5">
        <v>3184</v>
      </c>
      <c r="D504" t="s" s="5">
        <v>3185</v>
      </c>
      <c r="E504" t="s" s="5">
        <v>3198</v>
      </c>
      <c r="F504" t="s" s="10">
        <v>3199</v>
      </c>
      <c r="G504" t="s" s="7">
        <v>3200</v>
      </c>
      <c r="H504" t="s" s="7">
        <v>3201</v>
      </c>
      <c r="I504" t="str" s="8" cm="1">
        <f t="array" ref="I504">SUBSTITUTE(H504,B504,"(          )")</f>
        <v>The tall buildings (          ) the city skyline.</v>
      </c>
      <c r="J504" s="9" cm="1">
        <f t="array" ref="J504">SUMIF('외운 것 - 엑셀다운로드 파일(붙여넣기)'!A3:A562,A504,'외운 것 - 엑셀다운로드 파일(붙여넣기)'!D3:D562)</f>
        <v>0</v>
      </c>
      <c r="K504" s="9" cm="1">
        <f t="array" ref="K504">_xlfn.COUNTIFS('외운 것 - 엑셀다운로드 파일(붙여넣기)'!A3:A562,A504,'외운 것 - 엑셀다운로드 파일(붙여넣기)'!D3:D562,0)</f>
        <v>0</v>
      </c>
      <c r="L504" s="9" cm="1">
        <f t="array" ref="L504">IF(J504&gt;=3,_xlfn.XLOOKUP(A504,'외운 것 - 엑셀다운로드 파일(붙여넣기)'!A3:A562,'외운 것 - 엑셀다운로드 파일(붙여넣기)'!C3:C562,0,-1),0)</f>
        <v>0</v>
      </c>
    </row>
    <row r="505" ht="23.45" customHeight="1">
      <c r="A505" s="3">
        <v>504</v>
      </c>
      <c r="B505" t="s" s="4">
        <v>3203</v>
      </c>
      <c r="C505" t="s" s="5">
        <v>3184</v>
      </c>
      <c r="D505" t="s" s="5">
        <v>3185</v>
      </c>
      <c r="E505" t="s" s="5">
        <v>3204</v>
      </c>
      <c r="F505" t="s" s="10">
        <v>3205</v>
      </c>
      <c r="G505" t="s" s="7">
        <v>3206</v>
      </c>
      <c r="H505" t="s" s="7">
        <v>3207</v>
      </c>
      <c r="I505" t="str" s="8" cm="1">
        <f t="array" ref="I505">SUBSTITUTE(H505,B505,"(          )")</f>
        <v>The team's (          ) in the league is impressive.</v>
      </c>
      <c r="J505" s="9" cm="1">
        <f t="array" ref="J505">SUMIF('외운 것 - 엑셀다운로드 파일(붙여넣기)'!A3:A562,A505,'외운 것 - 엑셀다운로드 파일(붙여넣기)'!D3:D562)</f>
        <v>0</v>
      </c>
      <c r="K505" s="9" cm="1">
        <f t="array" ref="K505">_xlfn.COUNTIFS('외운 것 - 엑셀다운로드 파일(붙여넣기)'!A3:A562,A505,'외운 것 - 엑셀다운로드 파일(붙여넣기)'!D3:D562,0)</f>
        <v>0</v>
      </c>
      <c r="L505" s="9" cm="1">
        <f t="array" ref="L505">IF(J505&gt;=3,_xlfn.XLOOKUP(A505,'외운 것 - 엑셀다운로드 파일(붙여넣기)'!A3:A562,'외운 것 - 엑셀다운로드 파일(붙여넣기)'!C3:C562,0,-1),0)</f>
        <v>0</v>
      </c>
    </row>
    <row r="506" ht="38.45" customHeight="1">
      <c r="A506" s="3">
        <v>505</v>
      </c>
      <c r="B506" t="s" s="4">
        <v>3209</v>
      </c>
      <c r="C506" t="s" s="5">
        <v>3210</v>
      </c>
      <c r="D506" t="s" s="5">
        <v>3184</v>
      </c>
      <c r="E506" t="s" s="5">
        <v>3211</v>
      </c>
      <c r="F506" t="s" s="10">
        <v>3212</v>
      </c>
      <c r="G506" t="s" s="7">
        <v>3213</v>
      </c>
      <c r="H506" t="s" s="7">
        <v>3214</v>
      </c>
      <c r="I506" t="str" s="8" cm="1">
        <f t="array" ref="I506">SUBSTITUTE(H506,B506,"(          )")</f>
        <v>Cats make wonderful (          ) pets.</v>
      </c>
      <c r="J506" s="9" cm="1">
        <f t="array" ref="J506">SUMIF('외운 것 - 엑셀다운로드 파일(붙여넣기)'!A3:A562,A506,'외운 것 - 엑셀다운로드 파일(붙여넣기)'!D3:D562)</f>
        <v>0</v>
      </c>
      <c r="K506" s="9" cm="1">
        <f t="array" ref="K506">_xlfn.COUNTIFS('외운 것 - 엑셀다운로드 파일(붙여넣기)'!A3:A562,A506,'외운 것 - 엑셀다운로드 파일(붙여넣기)'!D3:D562,0)</f>
        <v>0</v>
      </c>
      <c r="L506" s="9" cm="1">
        <f t="array" ref="L506">IF(J506&gt;=3,_xlfn.XLOOKUP(A506,'외운 것 - 엑셀다운로드 파일(붙여넣기)'!A3:A562,'외운 것 - 엑셀다운로드 파일(붙여넣기)'!C3:C562,0,-1),0)</f>
        <v>0</v>
      </c>
    </row>
    <row r="507" ht="38.45" customHeight="1">
      <c r="A507" s="3">
        <v>506</v>
      </c>
      <c r="B507" t="s" s="4">
        <v>3216</v>
      </c>
      <c r="C507" t="s" s="5">
        <v>3210</v>
      </c>
      <c r="D507" t="s" s="5">
        <v>3184</v>
      </c>
      <c r="E507" t="s" s="5">
        <v>3217</v>
      </c>
      <c r="F507" t="s" s="10">
        <v>3218</v>
      </c>
      <c r="G507" t="s" s="7">
        <v>3219</v>
      </c>
      <c r="H507" t="s" s="7">
        <v>3220</v>
      </c>
      <c r="I507" t="str" s="8" cm="1">
        <f t="array" ref="I507">SUBSTITUTE(H507,B507,"(          )")</f>
        <v>The patient complained of pain in the lower (          ).</v>
      </c>
      <c r="J507" s="9" cm="1">
        <f t="array" ref="J507">SUMIF('외운 것 - 엑셀다운로드 파일(붙여넣기)'!A3:A562,A507,'외운 것 - 엑셀다운로드 파일(붙여넣기)'!D3:D562)</f>
        <v>0</v>
      </c>
      <c r="K507" s="9" cm="1">
        <f t="array" ref="K507">_xlfn.COUNTIFS('외운 것 - 엑셀다운로드 파일(붙여넣기)'!A3:A562,A507,'외운 것 - 엑셀다운로드 파일(붙여넣기)'!D3:D562,0)</f>
        <v>0</v>
      </c>
      <c r="L507" s="9" cm="1">
        <f t="array" ref="L507">IF(J507&gt;=3,_xlfn.XLOOKUP(A507,'외운 것 - 엑셀다운로드 파일(붙여넣기)'!A3:A562,'외운 것 - 엑셀다운로드 파일(붙여넣기)'!C3:C562,0,-1),0)</f>
        <v>0</v>
      </c>
    </row>
    <row r="508" ht="38.45" customHeight="1">
      <c r="A508" s="3">
        <v>507</v>
      </c>
      <c r="B508" t="s" s="4">
        <v>3222</v>
      </c>
      <c r="C508" t="s" s="5">
        <v>3223</v>
      </c>
      <c r="D508" t="s" s="5">
        <v>3184</v>
      </c>
      <c r="E508" t="s" s="5">
        <v>3224</v>
      </c>
      <c r="F508" t="s" s="10">
        <v>3225</v>
      </c>
      <c r="G508" t="s" s="7">
        <v>3226</v>
      </c>
      <c r="H508" t="s" s="7">
        <v>3227</v>
      </c>
      <c r="I508" t="str" s="8" cm="1">
        <f t="array" ref="I508">SUBSTITUTE(H508,B508,"(          )")</f>
        <v>The volcano has been (          ) for centuries.</v>
      </c>
      <c r="J508" s="9" cm="1">
        <f t="array" ref="J508">SUMIF('외운 것 - 엑셀다운로드 파일(붙여넣기)'!A3:A562,A508,'외운 것 - 엑셀다운로드 파일(붙여넣기)'!D3:D562)</f>
        <v>0</v>
      </c>
      <c r="K508" s="9" cm="1">
        <f t="array" ref="K508">_xlfn.COUNTIFS('외운 것 - 엑셀다운로드 파일(붙여넣기)'!A3:A562,A508,'외운 것 - 엑셀다운로드 파일(붙여넣기)'!D3:D562,0)</f>
        <v>0</v>
      </c>
      <c r="L508" s="9" cm="1">
        <f t="array" ref="L508">IF(J508&gt;=3,_xlfn.XLOOKUP(A508,'외운 것 - 엑셀다운로드 파일(붙여넣기)'!A3:A562,'외운 것 - 엑셀다운로드 파일(붙여넣기)'!C3:C562,0,-1),0)</f>
        <v>0</v>
      </c>
    </row>
    <row r="509" ht="38.45" customHeight="1">
      <c r="A509" s="3">
        <v>508</v>
      </c>
      <c r="B509" t="s" s="4">
        <v>3229</v>
      </c>
      <c r="C509" t="s" s="5">
        <v>3223</v>
      </c>
      <c r="D509" t="s" s="5">
        <v>3184</v>
      </c>
      <c r="E509" t="s" s="5">
        <v>3230</v>
      </c>
      <c r="F509" t="s" s="10">
        <v>3231</v>
      </c>
      <c r="G509" t="s" s="7">
        <v>3232</v>
      </c>
      <c r="H509" t="s" s="7">
        <v>3233</v>
      </c>
      <c r="I509" t="str" s="8" cm="1">
        <f t="array" ref="I509">SUBSTITUTE(H509,B509,"(          )")</f>
        <v>Most first-year students live in the university (          ).</v>
      </c>
      <c r="J509" s="9" cm="1">
        <f t="array" ref="J509">SUMIF('외운 것 - 엑셀다운로드 파일(붙여넣기)'!A3:A562,A509,'외운 것 - 엑셀다운로드 파일(붙여넣기)'!D3:D562)</f>
        <v>0</v>
      </c>
      <c r="K509" s="9" cm="1">
        <f t="array" ref="K509">_xlfn.COUNTIFS('외운 것 - 엑셀다운로드 파일(붙여넣기)'!A3:A562,A509,'외운 것 - 엑셀다운로드 파일(붙여넣기)'!D3:D562,0)</f>
        <v>0</v>
      </c>
      <c r="L509" s="9" cm="1">
        <f t="array" ref="L509">IF(J509&gt;=3,_xlfn.XLOOKUP(A509,'외운 것 - 엑셀다운로드 파일(붙여넣기)'!A3:A562,'외운 것 - 엑셀다운로드 파일(붙여넣기)'!C3:C562,0,-1),0)</f>
        <v>0</v>
      </c>
    </row>
    <row r="510" ht="23.45" customHeight="1">
      <c r="A510" s="3">
        <v>509</v>
      </c>
      <c r="B510" t="s" s="4">
        <v>3235</v>
      </c>
      <c r="C510" t="s" s="5">
        <v>3236</v>
      </c>
      <c r="D510" t="s" s="5">
        <v>3237</v>
      </c>
      <c r="E510" t="s" s="5">
        <v>3238</v>
      </c>
      <c r="F510" t="s" s="10">
        <v>3239</v>
      </c>
      <c r="G510" t="s" s="7">
        <v>3240</v>
      </c>
      <c r="H510" t="s" s="7">
        <v>3241</v>
      </c>
      <c r="I510" t="str" s="8" cm="1">
        <f t="array" ref="I510">SUBSTITUTE(H510,B510,"(          )")</f>
        <v>She decided to (          ) money to the children's hospital.</v>
      </c>
      <c r="J510" s="9" cm="1">
        <f t="array" ref="J510">SUMIF('외운 것 - 엑셀다운로드 파일(붙여넣기)'!A3:A562,A510,'외운 것 - 엑셀다운로드 파일(붙여넣기)'!D3:D562)</f>
        <v>0</v>
      </c>
      <c r="K510" s="9" cm="1">
        <f t="array" ref="K510">_xlfn.COUNTIFS('외운 것 - 엑셀다운로드 파일(붙여넣기)'!A3:A562,A510,'외운 것 - 엑셀다운로드 파일(붙여넣기)'!D3:D562,0)</f>
        <v>0</v>
      </c>
      <c r="L510" s="9" cm="1">
        <f t="array" ref="L510">IF(J510&gt;=3,_xlfn.XLOOKUP(A510,'외운 것 - 엑셀다운로드 파일(붙여넣기)'!A3:A562,'외운 것 - 엑셀다운로드 파일(붙여넣기)'!C3:C562,0,-1),0)</f>
        <v>0</v>
      </c>
    </row>
    <row r="511" ht="36.4" customHeight="1">
      <c r="A511" s="3">
        <v>510</v>
      </c>
      <c r="B511" t="s" s="4">
        <v>3243</v>
      </c>
      <c r="C511" t="s" s="5">
        <v>3244</v>
      </c>
      <c r="D511" t="s" s="5">
        <v>3236</v>
      </c>
      <c r="E511" t="s" s="5">
        <v>3245</v>
      </c>
      <c r="F511" t="s" s="10">
        <v>3246</v>
      </c>
      <c r="G511" t="s" s="7">
        <v>3247</v>
      </c>
      <c r="H511" t="s" s="7">
        <v>3248</v>
      </c>
      <c r="I511" t="str" s="8" cm="1">
        <f t="array" ref="I511">SUBSTITUTE(H511,B511,"(          )")</f>
        <v>Your (          ) will help feed homeless families.</v>
      </c>
      <c r="J511" s="9" cm="1">
        <f t="array" ref="J511">SUMIF('외운 것 - 엑셀다운로드 파일(붙여넣기)'!A3:A562,A511,'외운 것 - 엑셀다운로드 파일(붙여넣기)'!D3:D562)</f>
        <v>0</v>
      </c>
      <c r="K511" s="9" cm="1">
        <f t="array" ref="K511">_xlfn.COUNTIFS('외운 것 - 엑셀다운로드 파일(붙여넣기)'!A3:A562,A511,'외운 것 - 엑셀다운로드 파일(붙여넣기)'!D3:D562,0)</f>
        <v>0</v>
      </c>
      <c r="L511" s="9" cm="1">
        <f t="array" ref="L511">IF(J511&gt;=3,_xlfn.XLOOKUP(A511,'외운 것 - 엑셀다운로드 파일(붙여넣기)'!A3:A562,'외운 것 - 엑셀다운로드 파일(붙여넣기)'!C3:C562,0,-1),0)</f>
        <v>0</v>
      </c>
    </row>
    <row r="512" ht="23.45" customHeight="1">
      <c r="A512" s="3">
        <v>511</v>
      </c>
      <c r="B512" t="s" s="4">
        <v>3250</v>
      </c>
      <c r="C512" t="s" s="5">
        <v>3236</v>
      </c>
      <c r="D512" t="s" s="5">
        <v>3237</v>
      </c>
      <c r="E512" t="s" s="5">
        <v>3251</v>
      </c>
      <c r="F512" t="s" s="10">
        <v>3252</v>
      </c>
      <c r="G512" t="s" s="7">
        <v>3253</v>
      </c>
      <c r="H512" t="s" s="7">
        <v>3254</v>
      </c>
      <c r="I512" t="str" s="8" cm="1">
        <f t="array" ref="I512">SUBSTITUTE(H512,B512,"(          )")</f>
        <v>Blood (          )s save many lives every year.</v>
      </c>
      <c r="J512" s="9" cm="1">
        <f t="array" ref="J512">SUMIF('외운 것 - 엑셀다운로드 파일(붙여넣기)'!A3:A562,A512,'외운 것 - 엑셀다운로드 파일(붙여넣기)'!D3:D562)</f>
        <v>0</v>
      </c>
      <c r="K512" s="9" cm="1">
        <f t="array" ref="K512">_xlfn.COUNTIFS('외운 것 - 엑셀다운로드 파일(붙여넣기)'!A3:A562,A512,'외운 것 - 엑셀다운로드 파일(붙여넣기)'!D3:D562,0)</f>
        <v>0</v>
      </c>
      <c r="L512" s="9" cm="1">
        <f t="array" ref="L512">IF(J512&gt;=3,_xlfn.XLOOKUP(A512,'외운 것 - 엑셀다운로드 파일(붙여넣기)'!A3:A562,'외운 것 - 엑셀다운로드 파일(붙여넣기)'!C3:C562,0,-1),0)</f>
        <v>0</v>
      </c>
    </row>
    <row r="513" ht="38.45" customHeight="1">
      <c r="A513" s="3">
        <v>512</v>
      </c>
      <c r="B513" t="s" s="4">
        <v>3256</v>
      </c>
      <c r="C513" t="s" s="5">
        <v>3236</v>
      </c>
      <c r="D513" t="s" s="5">
        <v>3237</v>
      </c>
      <c r="E513" t="s" s="5">
        <v>3257</v>
      </c>
      <c r="F513" t="s" s="10">
        <v>3258</v>
      </c>
      <c r="G513" t="s" s="7">
        <v>3259</v>
      </c>
      <c r="H513" t="s" s="7">
        <v>3260</v>
      </c>
      <c r="I513" t="str" s="8" cm="1">
        <f t="array" ref="I513">SUBSTITUTE(H513,B513,"(          )")</f>
        <v>I cannot (          ) such inappropriate behavior.</v>
      </c>
      <c r="J513" s="9" cm="1">
        <f t="array" ref="J513">SUMIF('외운 것 - 엑셀다운로드 파일(붙여넣기)'!A3:A562,A513,'외운 것 - 엑셀다운로드 파일(붙여넣기)'!D3:D562)</f>
        <v>0</v>
      </c>
      <c r="K513" s="9" cm="1">
        <f t="array" ref="K513">_xlfn.COUNTIFS('외운 것 - 엑셀다운로드 파일(붙여넣기)'!A3:A562,A513,'외운 것 - 엑셀다운로드 파일(붙여넣기)'!D3:D562,0)</f>
        <v>0</v>
      </c>
      <c r="L513" s="9" cm="1">
        <f t="array" ref="L513">IF(J513&gt;=3,_xlfn.XLOOKUP(A513,'외운 것 - 엑셀다운로드 파일(붙여넣기)'!A3:A562,'외운 것 - 엑셀다운로드 파일(붙여넣기)'!C3:C562,0,-1),0)</f>
        <v>0</v>
      </c>
    </row>
    <row r="514" ht="38.45" customHeight="1">
      <c r="A514" s="3">
        <v>513</v>
      </c>
      <c r="B514" t="s" s="4">
        <v>3262</v>
      </c>
      <c r="C514" t="s" s="5">
        <v>3236</v>
      </c>
      <c r="D514" t="s" s="5">
        <v>3237</v>
      </c>
      <c r="E514" t="s" s="5">
        <v>3263</v>
      </c>
      <c r="F514" t="s" s="10">
        <v>3264</v>
      </c>
      <c r="G514" t="s" s="7">
        <v>3265</v>
      </c>
      <c r="H514" t="s" s="7">
        <v>3266</v>
      </c>
      <c r="I514" t="str" s="8" cm="1">
        <f t="array" ref="I514">SUBSTITUTE(H514,B514,"(          )")</f>
        <v>Pardon me, but could you repeat the question?</v>
      </c>
      <c r="J514" s="9" cm="1">
        <f t="array" ref="J514">SUMIF('외운 것 - 엑셀다운로드 파일(붙여넣기)'!A3:A562,A514,'외운 것 - 엑셀다운로드 파일(붙여넣기)'!D3:D562)</f>
        <v>0</v>
      </c>
      <c r="K514" s="9" cm="1">
        <f t="array" ref="K514">_xlfn.COUNTIFS('외운 것 - 엑셀다운로드 파일(붙여넣기)'!A3:A562,A514,'외운 것 - 엑셀다운로드 파일(붙여넣기)'!D3:D562,0)</f>
        <v>0</v>
      </c>
      <c r="L514" s="9" cm="1">
        <f t="array" ref="L514">IF(J514&gt;=3,_xlfn.XLOOKUP(A514,'외운 것 - 엑셀다운로드 파일(붙여넣기)'!A3:A562,'외운 것 - 엑셀다운로드 파일(붙여넣기)'!C3:C562,0,-1),0)</f>
        <v>0</v>
      </c>
    </row>
    <row r="515" ht="38.45" customHeight="1">
      <c r="A515" s="3">
        <v>514</v>
      </c>
      <c r="B515" t="s" s="4">
        <v>3268</v>
      </c>
      <c r="C515" t="s" s="5">
        <v>3269</v>
      </c>
      <c r="D515" t="s" s="5">
        <v>3237</v>
      </c>
      <c r="E515" t="s" s="5">
        <v>3270</v>
      </c>
      <c r="F515" t="s" s="10">
        <v>3271</v>
      </c>
      <c r="G515" t="s" s="7">
        <v>3272</v>
      </c>
      <c r="H515" t="s" s="7">
        <v>3273</v>
      </c>
      <c r="I515" t="str" s="8" cm="1">
        <f t="array" ref="I515">SUBSTITUTE(H515,B515,"(          )")</f>
        <v>The wealthy alumni will (          ) a new scholarship fund.</v>
      </c>
      <c r="J515" s="9" cm="1">
        <f t="array" ref="J515">SUMIF('외운 것 - 엑셀다운로드 파일(붙여넣기)'!A3:A562,A515,'외운 것 - 엑셀다운로드 파일(붙여넣기)'!D3:D562)</f>
        <v>0</v>
      </c>
      <c r="K515" s="9" cm="1">
        <f t="array" ref="K515">_xlfn.COUNTIFS('외운 것 - 엑셀다운로드 파일(붙여넣기)'!A3:A562,A515,'외운 것 - 엑셀다운로드 파일(붙여넣기)'!D3:D562,0)</f>
        <v>0</v>
      </c>
      <c r="L515" s="9" cm="1">
        <f t="array" ref="L515">IF(J515&gt;=3,_xlfn.XLOOKUP(A515,'외운 것 - 엑셀다운로드 파일(붙여넣기)'!A3:A562,'외운 것 - 엑셀다운로드 파일(붙여넣기)'!C3:C562,0,-1),0)</f>
        <v>0</v>
      </c>
    </row>
    <row r="516" ht="38.45" customHeight="1">
      <c r="A516" s="3">
        <v>515</v>
      </c>
      <c r="B516" t="s" s="4">
        <v>3275</v>
      </c>
      <c r="C516" t="s" s="5">
        <v>3276</v>
      </c>
      <c r="D516" t="s" s="5">
        <v>3277</v>
      </c>
      <c r="E516" t="s" s="5">
        <v>3278</v>
      </c>
      <c r="F516" t="s" s="10">
        <v>3279</v>
      </c>
      <c r="G516" t="s" s="7">
        <v>3280</v>
      </c>
      <c r="H516" t="s" s="7">
        <v>3281</v>
      </c>
      <c r="I516" t="str" s="8" cm="1">
        <f t="array" ref="I516">SUBSTITUTE(H516,B516,"(          )")</f>
        <v>The (          ) swam gracefully across the pond.</v>
      </c>
      <c r="J516" s="9" cm="1">
        <f t="array" ref="J516">SUMIF('외운 것 - 엑셀다운로드 파일(붙여넣기)'!A3:A562,A516,'외운 것 - 엑셀다운로드 파일(붙여넣기)'!D3:D562)</f>
        <v>0</v>
      </c>
      <c r="K516" s="9" cm="1">
        <f t="array" ref="K516">_xlfn.COUNTIFS('외운 것 - 엑셀다운로드 파일(붙여넣기)'!A3:A562,A516,'외운 것 - 엑셀다운로드 파일(붙여넣기)'!D3:D562,0)</f>
        <v>0</v>
      </c>
      <c r="L516" s="9" cm="1">
        <f t="array" ref="L516">IF(J516&gt;=3,_xlfn.XLOOKUP(A516,'외운 것 - 엑셀다운로드 파일(붙여넣기)'!A3:A562,'외운 것 - 엑셀다운로드 파일(붙여넣기)'!C3:C562,0,-1),0)</f>
        <v>0</v>
      </c>
    </row>
    <row r="517" ht="38.45" customHeight="1">
      <c r="A517" s="3">
        <v>516</v>
      </c>
      <c r="B517" t="s" s="4">
        <v>3283</v>
      </c>
      <c r="C517" t="s" s="5">
        <v>3276</v>
      </c>
      <c r="D517" t="s" s="5">
        <v>3277</v>
      </c>
      <c r="E517" t="s" s="5">
        <v>3284</v>
      </c>
      <c r="F517" t="s" s="10">
        <v>3285</v>
      </c>
      <c r="G517" t="s" s="7">
        <v>3286</v>
      </c>
      <c r="H517" t="s" s="7">
        <v>3287</v>
      </c>
      <c r="I517" t="str" s="8" cm="1">
        <f t="array" ref="I517">SUBSTITUTE(H517,B517,"(          )")</f>
        <v>The basketball player made an impressive (          ).</v>
      </c>
      <c r="J517" s="9" cm="1">
        <f t="array" ref="J517">SUMIF('외운 것 - 엑셀다운로드 파일(붙여넣기)'!A3:A562,A517,'외운 것 - 엑셀다운로드 파일(붙여넣기)'!D3:D562)</f>
        <v>0</v>
      </c>
      <c r="K517" s="9" cm="1">
        <f t="array" ref="K517">_xlfn.COUNTIFS('외운 것 - 엑셀다운로드 파일(붙여넣기)'!A3:A562,A517,'외운 것 - 엑셀다운로드 파일(붙여넣기)'!D3:D562,0)</f>
        <v>0</v>
      </c>
      <c r="L517" s="9" cm="1">
        <f t="array" ref="L517">IF(J517&gt;=3,_xlfn.XLOOKUP(A517,'외운 것 - 엑셀다운로드 파일(붙여넣기)'!A3:A562,'외운 것 - 엑셀다운로드 파일(붙여넣기)'!C3:C562,0,-1),0)</f>
        <v>0</v>
      </c>
    </row>
    <row r="518" ht="38.45" customHeight="1">
      <c r="A518" s="3">
        <v>517</v>
      </c>
      <c r="B518" t="s" s="4">
        <v>3289</v>
      </c>
      <c r="C518" t="s" s="5">
        <v>3276</v>
      </c>
      <c r="D518" t="s" s="5">
        <v>3277</v>
      </c>
      <c r="E518" t="s" s="5">
        <v>3290</v>
      </c>
      <c r="F518" t="s" s="10">
        <v>3291</v>
      </c>
      <c r="G518" t="s" s="7">
        <v>3292</v>
      </c>
      <c r="H518" t="s" s="7">
        <v>3293</v>
      </c>
      <c r="I518" t="str" s="8" cm="1">
        <f t="array" ref="I518">SUBSTITUTE(H518,B518,"(          )")</f>
        <v>Please don't (          ) trash in the park.</v>
      </c>
      <c r="J518" s="9" cm="1">
        <f t="array" ref="J518">SUMIF('외운 것 - 엑셀다운로드 파일(붙여넣기)'!A3:A562,A518,'외운 것 - 엑셀다운로드 파일(붙여넣기)'!D3:D562)</f>
        <v>0</v>
      </c>
      <c r="K518" s="9" cm="1">
        <f t="array" ref="K518">_xlfn.COUNTIFS('외운 것 - 엑셀다운로드 파일(붙여넣기)'!A3:A562,A518,'외운 것 - 엑셀다운로드 파일(붙여넣기)'!D3:D562,0)</f>
        <v>0</v>
      </c>
      <c r="L518" s="9" cm="1">
        <f t="array" ref="L518">IF(J518&gt;=3,_xlfn.XLOOKUP(A518,'외운 것 - 엑셀다운로드 파일(붙여넣기)'!A3:A562,'외운 것 - 엑셀다운로드 파일(붙여넣기)'!C3:C562,0,-1),0)</f>
        <v>0</v>
      </c>
    </row>
    <row r="519" ht="38.45" customHeight="1">
      <c r="A519" s="3">
        <v>518</v>
      </c>
      <c r="B519" t="s" s="4">
        <v>3295</v>
      </c>
      <c r="C519" t="s" s="5">
        <v>3276</v>
      </c>
      <c r="D519" t="s" s="5">
        <v>3277</v>
      </c>
      <c r="E519" t="s" s="5">
        <v>3296</v>
      </c>
      <c r="F519" t="s" s="10">
        <v>3297</v>
      </c>
      <c r="G519" t="s" s="7">
        <v>3298</v>
      </c>
      <c r="H519" t="s" s="7">
        <v>3299</v>
      </c>
      <c r="I519" t="str" s="8" cm="1">
        <f t="array" ref="I519">SUBSTITUTE(H519,B519,"(          )")</f>
        <v>She (          ) all her old clothes in the donation bin.</v>
      </c>
      <c r="J519" s="9" cm="1">
        <f t="array" ref="J519">SUMIF('외운 것 - 엑셀다운로드 파일(붙여넣기)'!A3:A562,A519,'외운 것 - 엑셀다운로드 파일(붙여넣기)'!D3:D562)</f>
        <v>0</v>
      </c>
      <c r="K519" s="9" cm="1">
        <f t="array" ref="K519">_xlfn.COUNTIFS('외운 것 - 엑셀다운로드 파일(붙여넣기)'!A3:A562,A519,'외운 것 - 엑셀다운로드 파일(붙여넣기)'!D3:D562,0)</f>
        <v>0</v>
      </c>
      <c r="L519" s="9" cm="1">
        <f t="array" ref="L519">IF(J519&gt;=3,_xlfn.XLOOKUP(A519,'외운 것 - 엑셀다운로드 파일(붙여넣기)'!A3:A562,'외운 것 - 엑셀다운로드 파일(붙여넣기)'!C3:C562,0,-1),0)</f>
        <v>0</v>
      </c>
    </row>
    <row r="520" ht="38.45" customHeight="1">
      <c r="A520" s="3">
        <v>519</v>
      </c>
      <c r="B520" t="s" s="4">
        <v>3301</v>
      </c>
      <c r="C520" t="s" s="5">
        <v>3276</v>
      </c>
      <c r="D520" t="s" s="5">
        <v>3277</v>
      </c>
      <c r="E520" t="s" s="5">
        <v>3302</v>
      </c>
      <c r="F520" t="s" s="10">
        <v>3303</v>
      </c>
      <c r="G520" t="s" s="7">
        <v>3304</v>
      </c>
      <c r="H520" t="s" s="7">
        <v>3305</v>
      </c>
      <c r="I520" t="str" s="8" cm="1">
        <f t="array" ref="I520">SUBSTITUTE(H520,B520,"(          )")</f>
        <v>Farmers use animal (          ) as fertilizer.</v>
      </c>
      <c r="J520" s="9" cm="1">
        <f t="array" ref="J520">SUMIF('외운 것 - 엑셀다운로드 파일(붙여넣기)'!A3:A562,A520,'외운 것 - 엑셀다운로드 파일(붙여넣기)'!D3:D562)</f>
        <v>0</v>
      </c>
      <c r="K520" s="9" cm="1">
        <f t="array" ref="K520">_xlfn.COUNTIFS('외운 것 - 엑셀다운로드 파일(붙여넣기)'!A3:A562,A520,'외운 것 - 엑셀다운로드 파일(붙여넣기)'!D3:D562,0)</f>
        <v>0</v>
      </c>
      <c r="L520" s="9" cm="1">
        <f t="array" ref="L520">IF(J520&gt;=3,_xlfn.XLOOKUP(A520,'외운 것 - 엑셀다운로드 파일(붙여넣기)'!A3:A562,'외운 것 - 엑셀다운로드 파일(붙여넣기)'!C3:C562,0,-1),0)</f>
        <v>0</v>
      </c>
    </row>
    <row r="521" ht="38.45" customHeight="1">
      <c r="A521" s="3">
        <v>520</v>
      </c>
      <c r="B521" t="s" s="4">
        <v>3307</v>
      </c>
      <c r="C521" t="s" s="5">
        <v>3308</v>
      </c>
      <c r="D521" t="s" s="5">
        <v>3276</v>
      </c>
      <c r="E521" t="s" s="5">
        <v>3309</v>
      </c>
      <c r="F521" t="s" s="10">
        <v>3310</v>
      </c>
      <c r="G521" t="s" s="7">
        <v>3311</v>
      </c>
      <c r="H521" t="s" s="7">
        <v>3312</v>
      </c>
      <c r="I521" t="str" s="8" cm="1">
        <f t="array" ref="I521">SUBSTITUTE(H521,B521,"(          )")</f>
        <v>The medieval castle had a dark (          ) for prisoners.</v>
      </c>
      <c r="J521" s="9" cm="1">
        <f t="array" ref="J521">SUMIF('외운 것 - 엑셀다운로드 파일(붙여넣기)'!A3:A562,A521,'외운 것 - 엑셀다운로드 파일(붙여넣기)'!D3:D562)</f>
        <v>0</v>
      </c>
      <c r="K521" s="9" cm="1">
        <f t="array" ref="K521">_xlfn.COUNTIFS('외운 것 - 엑셀다운로드 파일(붙여넣기)'!A3:A562,A521,'외운 것 - 엑셀다운로드 파일(붙여넣기)'!D3:D562,0)</f>
        <v>0</v>
      </c>
      <c r="L521" s="9" cm="1">
        <f t="array" ref="L521">IF(J521&gt;=3,_xlfn.XLOOKUP(A521,'외운 것 - 엑셀다운로드 파일(붙여넣기)'!A3:A562,'외운 것 - 엑셀다운로드 파일(붙여넣기)'!C3:C562,0,-1),0)</f>
        <v>0</v>
      </c>
    </row>
    <row r="522" ht="38.45" customHeight="1">
      <c r="A522" s="3">
        <v>521</v>
      </c>
      <c r="B522" t="s" s="4">
        <v>3314</v>
      </c>
      <c r="C522" t="s" s="5">
        <v>3276</v>
      </c>
      <c r="D522" t="s" s="5">
        <v>3277</v>
      </c>
      <c r="E522" t="s" s="5">
        <v>3315</v>
      </c>
      <c r="F522" t="s" s="10">
        <v>3316</v>
      </c>
      <c r="G522" t="s" s="7">
        <v>3317</v>
      </c>
      <c r="H522" t="s" s="7">
        <v>3318</v>
      </c>
      <c r="I522" t="str" s="8" cm="1">
        <f t="array" ref="I522">SUBSTITUTE(H522,B522,"(          )")</f>
        <v>They will (          ) the movie into several languages.</v>
      </c>
      <c r="J522" s="9" cm="1">
        <f t="array" ref="J522">SUMIF('외운 것 - 엑셀다운로드 파일(붙여넣기)'!A3:A562,A522,'외운 것 - 엑셀다운로드 파일(붙여넣기)'!D3:D562)</f>
        <v>0</v>
      </c>
      <c r="K522" s="9" cm="1">
        <f t="array" ref="K522">_xlfn.COUNTIFS('외운 것 - 엑셀다운로드 파일(붙여넣기)'!A3:A562,A522,'외운 것 - 엑셀다운로드 파일(붙여넣기)'!D3:D562,0)</f>
        <v>0</v>
      </c>
      <c r="L522" s="9" cm="1">
        <f t="array" ref="L522">IF(J522&gt;=3,_xlfn.XLOOKUP(A522,'외운 것 - 엑셀다운로드 파일(붙여넣기)'!A3:A562,'외운 것 - 엑셀다운로드 파일(붙여넣기)'!C3:C562,0,-1),0)</f>
        <v>0</v>
      </c>
    </row>
    <row r="523" ht="38.45" customHeight="1">
      <c r="A523" s="3">
        <v>522</v>
      </c>
      <c r="B523" t="s" s="4">
        <v>3320</v>
      </c>
      <c r="C523" t="s" s="5">
        <v>3276</v>
      </c>
      <c r="D523" t="s" s="5">
        <v>3277</v>
      </c>
      <c r="E523" t="s" s="5">
        <v>3321</v>
      </c>
      <c r="F523" t="s" s="10">
        <v>3322</v>
      </c>
      <c r="G523" t="s" s="7">
        <v>3323</v>
      </c>
      <c r="H523" t="s" s="7">
        <v>3324</v>
      </c>
      <c r="I523" t="str" s="8" cm="1">
        <f t="array" ref="I523">SUBSTITUTE(H523,B523,"(          )")</f>
        <v>The (          ) owned large estates in the countryside.</v>
      </c>
      <c r="J523" s="9" cm="1">
        <f t="array" ref="J523">SUMIF('외운 것 - 엑셀다운로드 파일(붙여넣기)'!A3:A562,A523,'외운 것 - 엑셀다운로드 파일(붙여넣기)'!D3:D562)</f>
        <v>0</v>
      </c>
      <c r="K523" s="9" cm="1">
        <f t="array" ref="K523">_xlfn.COUNTIFS('외운 것 - 엑셀다운로드 파일(붙여넣기)'!A3:A562,A523,'외운 것 - 엑셀다운로드 파일(붙여넣기)'!D3:D562,0)</f>
        <v>0</v>
      </c>
      <c r="L523" s="9" cm="1">
        <f t="array" ref="L523">IF(J523&gt;=3,_xlfn.XLOOKUP(A523,'외운 것 - 엑셀다운로드 파일(붙여넣기)'!A3:A562,'외운 것 - 엑셀다운로드 파일(붙여넣기)'!C3:C562,0,-1),0)</f>
        <v>0</v>
      </c>
    </row>
    <row r="524" ht="38.45" customHeight="1">
      <c r="A524" s="3">
        <v>523</v>
      </c>
      <c r="B524" t="s" s="4">
        <v>3326</v>
      </c>
      <c r="C524" t="s" s="5">
        <v>3276</v>
      </c>
      <c r="D524" t="s" s="5">
        <v>3277</v>
      </c>
      <c r="E524" t="s" s="5">
        <v>3327</v>
      </c>
      <c r="F524" t="s" s="10">
        <v>3328</v>
      </c>
      <c r="G524" t="s" s="7">
        <v>3329</v>
      </c>
      <c r="H524" t="s" s="7">
        <v>3330</v>
      </c>
      <c r="I524" t="str" s="8" cm="1">
        <f t="array" ref="I524">SUBSTITUTE(H524,B524,"(          )")</f>
        <v>Your assignment is (          ) next Monday.</v>
      </c>
      <c r="J524" s="9" cm="1">
        <f t="array" ref="J524">SUMIF('외운 것 - 엑셀다운로드 파일(붙여넣기)'!A3:A562,A524,'외운 것 - 엑셀다운로드 파일(붙여넣기)'!D3:D562)</f>
        <v>0</v>
      </c>
      <c r="K524" s="9" cm="1">
        <f t="array" ref="K524">_xlfn.COUNTIFS('외운 것 - 엑셀다운로드 파일(붙여넣기)'!A3:A562,A524,'외운 것 - 엑셀다운로드 파일(붙여넣기)'!D3:D562,0)</f>
        <v>0</v>
      </c>
      <c r="L524" s="9" cm="1">
        <f t="array" ref="L524">IF(J524&gt;=3,_xlfn.XLOOKUP(A524,'외운 것 - 엑셀다운로드 파일(붙여넣기)'!A3:A562,'외운 것 - 엑셀다운로드 파일(붙여넣기)'!C3:C562,0,-1),0)</f>
        <v>0</v>
      </c>
    </row>
    <row r="525" ht="38.45" customHeight="1">
      <c r="A525" s="3">
        <v>524</v>
      </c>
      <c r="B525" t="s" s="4">
        <v>3332</v>
      </c>
      <c r="C525" t="s" s="5">
        <v>3276</v>
      </c>
      <c r="D525" t="s" s="5">
        <v>3277</v>
      </c>
      <c r="E525" t="s" s="5">
        <v>3333</v>
      </c>
      <c r="F525" t="s" s="10">
        <v>3334</v>
      </c>
      <c r="G525" t="s" s="7">
        <v>3335</v>
      </c>
      <c r="H525" t="s" s="7">
        <v>3336</v>
      </c>
      <c r="I525" t="str" s="8" cm="1">
        <f t="array" ref="I525">SUBSTITUTE(H525,B525,"(          )")</f>
        <v>It's my (          ) to report any safety violations.</v>
      </c>
      <c r="J525" s="9" cm="1">
        <f t="array" ref="J525">SUMIF('외운 것 - 엑셀다운로드 파일(붙여넣기)'!A3:A562,A525,'외운 것 - 엑셀다운로드 파일(붙여넣기)'!D3:D562)</f>
        <v>0</v>
      </c>
      <c r="K525" s="9" cm="1">
        <f t="array" ref="K525">_xlfn.COUNTIFS('외운 것 - 엑셀다운로드 파일(붙여넣기)'!A3:A562,A525,'외운 것 - 엑셀다운로드 파일(붙여넣기)'!D3:D562,0)</f>
        <v>0</v>
      </c>
      <c r="L525" s="9" cm="1">
        <f t="array" ref="L525">IF(J525&gt;=3,_xlfn.XLOOKUP(A525,'외운 것 - 엑셀다운로드 파일(붙여넣기)'!A3:A562,'외운 것 - 엑셀다운로드 파일(붙여넣기)'!C3:C562,0,-1),0)</f>
        <v>0</v>
      </c>
    </row>
    <row r="526" ht="38.45" customHeight="1">
      <c r="A526" s="3">
        <v>525</v>
      </c>
      <c r="B526" t="s" s="4">
        <v>3338</v>
      </c>
      <c r="C526" t="s" s="5">
        <v>3276</v>
      </c>
      <c r="D526" t="s" s="5">
        <v>3277</v>
      </c>
      <c r="E526" t="s" s="5">
        <v>3339</v>
      </c>
      <c r="F526" t="s" s="10">
        <v>3340</v>
      </c>
      <c r="G526" t="s" s="7">
        <v>3341</v>
      </c>
      <c r="H526" t="s" s="7">
        <v>3342</v>
      </c>
      <c r="I526" t="str" s="8" cm="1">
        <f t="array" ref="I526">SUBSTITUTE(H526,B526,"(          )")</f>
        <v>The birds return to their nests at (          ).</v>
      </c>
      <c r="J526" s="9" cm="1">
        <f t="array" ref="J526">SUMIF('외운 것 - 엑셀다운로드 파일(붙여넣기)'!A3:A562,A526,'외운 것 - 엑셀다운로드 파일(붙여넣기)'!D3:D562)</f>
        <v>0</v>
      </c>
      <c r="K526" s="9" cm="1">
        <f t="array" ref="K526">_xlfn.COUNTIFS('외운 것 - 엑셀다운로드 파일(붙여넣기)'!A3:A562,A526,'외운 것 - 엑셀다운로드 파일(붙여넣기)'!D3:D562,0)</f>
        <v>0</v>
      </c>
      <c r="L526" s="9" cm="1">
        <f t="array" ref="L526">IF(J526&gt;=3,_xlfn.XLOOKUP(A526,'외운 것 - 엑셀다운로드 파일(붙여넣기)'!A3:A562,'외운 것 - 엑셀다운로드 파일(붙여넣기)'!C3:C562,0,-1),0)</f>
        <v>0</v>
      </c>
    </row>
    <row r="527" ht="23.45" customHeight="1">
      <c r="A527" s="3">
        <v>526</v>
      </c>
      <c r="B527" t="s" s="4">
        <v>3344</v>
      </c>
      <c r="C527" t="s" s="5">
        <v>3276</v>
      </c>
      <c r="D527" t="s" s="5">
        <v>3277</v>
      </c>
      <c r="E527" t="s" s="5">
        <v>3345</v>
      </c>
      <c r="F527" t="s" s="10">
        <v>3346</v>
      </c>
      <c r="G527" t="s" s="7">
        <v>3347</v>
      </c>
      <c r="H527" t="s" s="7">
        <v>3348</v>
      </c>
      <c r="I527" t="str" s="8" cm="1">
        <f t="array" ref="I527">SUBSTITUTE(H527,B527,"(          )")</f>
        <v>Please (          ) the furniture before guests arrive.</v>
      </c>
      <c r="J527" s="9" cm="1">
        <f t="array" ref="J527">SUMIF('외운 것 - 엑셀다운로드 파일(붙여넣기)'!A3:A562,A527,'외운 것 - 엑셀다운로드 파일(붙여넣기)'!D3:D562)</f>
        <v>0</v>
      </c>
      <c r="K527" s="9" cm="1">
        <f t="array" ref="K527">_xlfn.COUNTIFS('외운 것 - 엑셀다운로드 파일(붙여넣기)'!A3:A562,A527,'외운 것 - 엑셀다운로드 파일(붙여넣기)'!D3:D562,0)</f>
        <v>0</v>
      </c>
      <c r="L527" s="9" cm="1">
        <f t="array" ref="L527">IF(J527&gt;=3,_xlfn.XLOOKUP(A527,'외운 것 - 엑셀다운로드 파일(붙여넣기)'!A3:A562,'외운 것 - 엑셀다운로드 파일(붙여넣기)'!C3:C562,0,-1),0)</f>
        <v>0</v>
      </c>
    </row>
    <row r="528" ht="23.45" customHeight="1">
      <c r="A528" s="3">
        <v>527</v>
      </c>
      <c r="B528" t="s" s="4">
        <v>3350</v>
      </c>
      <c r="C528" t="s" s="5">
        <v>3351</v>
      </c>
      <c r="D528" t="s" s="5">
        <v>3352</v>
      </c>
      <c r="E528" t="s" s="5">
        <v>3353</v>
      </c>
      <c r="F528" t="s" s="10">
        <v>3354</v>
      </c>
      <c r="G528" t="s" s="7">
        <v>3355</v>
      </c>
      <c r="H528" t="s" s="7">
        <v>3356</v>
      </c>
      <c r="I528" t="str" s="8" cm="1">
        <f t="array" ref="I528">SUBSTITUTE(H528,B528,"(          )")</f>
        <v>The air conditioning (          ) needs cleaning.</v>
      </c>
      <c r="J528" s="9" cm="1">
        <f t="array" ref="J528">SUMIF('외운 것 - 엑셀다운로드 파일(붙여넣기)'!A3:A562,A528,'외운 것 - 엑셀다운로드 파일(붙여넣기)'!D3:D562)</f>
        <v>0</v>
      </c>
      <c r="K528" s="9" cm="1">
        <f t="array" ref="K528">_xlfn.COUNTIFS('외운 것 - 엑셀다운로드 파일(붙여넣기)'!A3:A562,A528,'외운 것 - 엑셀다운로드 파일(붙여넣기)'!D3:D562,0)</f>
        <v>0</v>
      </c>
      <c r="L528" s="9" cm="1">
        <f t="array" ref="L528">IF(J528&gt;=3,_xlfn.XLOOKUP(A528,'외운 것 - 엑셀다운로드 파일(붙여넣기)'!A3:A562,'외운 것 - 엑셀다운로드 파일(붙여넣기)'!C3:C562,0,-1),0)</f>
        <v>0</v>
      </c>
    </row>
    <row r="529" ht="38.45" customHeight="1">
      <c r="A529" s="3">
        <v>528</v>
      </c>
      <c r="B529" t="s" s="4">
        <v>3358</v>
      </c>
      <c r="C529" t="s" s="5">
        <v>3351</v>
      </c>
      <c r="D529" t="s" s="5">
        <v>3352</v>
      </c>
      <c r="E529" t="s" s="5">
        <v>3359</v>
      </c>
      <c r="F529" t="s" s="10">
        <v>3360</v>
      </c>
      <c r="G529" t="s" s="7">
        <v>3361</v>
      </c>
      <c r="H529" t="s" s="7">
        <v>3362</v>
      </c>
      <c r="I529" t="str" s="8" cm="1">
        <f t="array" ref="I529">SUBSTITUTE(H529,B529,"(          )")</f>
        <v>The professor will (          ) research during the summer.</v>
      </c>
      <c r="J529" s="9" cm="1">
        <f t="array" ref="J529">SUMIF('외운 것 - 엑셀다운로드 파일(붙여넣기)'!A3:A562,A529,'외운 것 - 엑셀다운로드 파일(붙여넣기)'!D3:D562)</f>
        <v>0</v>
      </c>
      <c r="K529" s="9" cm="1">
        <f t="array" ref="K529">_xlfn.COUNTIFS('외운 것 - 엑셀다운로드 파일(붙여넣기)'!A3:A562,A529,'외운 것 - 엑셀다운로드 파일(붙여넣기)'!D3:D562,0)</f>
        <v>0</v>
      </c>
      <c r="L529" s="9" cm="1">
        <f t="array" ref="L529">IF(J529&gt;=3,_xlfn.XLOOKUP(A529,'외운 것 - 엑셀다운로드 파일(붙여넣기)'!A3:A562,'외운 것 - 엑셀다운로드 파일(붙여넣기)'!C3:C562,0,-1),0)</f>
        <v>0</v>
      </c>
    </row>
    <row r="530" ht="36.4" customHeight="1">
      <c r="A530" s="3">
        <v>529</v>
      </c>
      <c r="B530" t="s" s="4">
        <v>3364</v>
      </c>
      <c r="C530" t="s" s="5">
        <v>3365</v>
      </c>
      <c r="D530" t="s" s="5">
        <v>3351</v>
      </c>
      <c r="E530" t="s" s="5">
        <v>3366</v>
      </c>
      <c r="F530" t="s" s="10">
        <v>3367</v>
      </c>
      <c r="G530" t="s" s="7">
        <v>3368</v>
      </c>
      <c r="H530" t="s" s="7">
        <v>3369</v>
      </c>
      <c r="I530" t="str" s="8" cm="1">
        <f t="array" ref="I530">SUBSTITUTE(H530,B530,"(          )")</f>
        <v>The athlete was suspended for (          ).</v>
      </c>
      <c r="J530" s="9" cm="1">
        <f t="array" ref="J530">SUMIF('외운 것 - 엑셀다운로드 파일(붙여넣기)'!A3:A562,A530,'외운 것 - 엑셀다운로드 파일(붙여넣기)'!D3:D562)</f>
        <v>0</v>
      </c>
      <c r="K530" s="9" cm="1">
        <f t="array" ref="K530">_xlfn.COUNTIFS('외운 것 - 엑셀다운로드 파일(붙여넣기)'!A3:A562,A530,'외운 것 - 엑셀다운로드 파일(붙여넣기)'!D3:D562,0)</f>
        <v>0</v>
      </c>
      <c r="L530" s="9" cm="1">
        <f t="array" ref="L530">IF(J530&gt;=3,_xlfn.XLOOKUP(A530,'외운 것 - 엑셀다운로드 파일(붙여넣기)'!A3:A562,'외운 것 - 엑셀다운로드 파일(붙여넣기)'!C3:C562,0,-1),0)</f>
        <v>0</v>
      </c>
    </row>
    <row r="531" ht="23.45" customHeight="1">
      <c r="A531" s="3">
        <v>530</v>
      </c>
      <c r="B531" t="s" s="4">
        <v>3371</v>
      </c>
      <c r="C531" t="s" s="5">
        <v>3372</v>
      </c>
      <c r="D531" t="s" s="5">
        <v>3351</v>
      </c>
      <c r="E531" t="s" s="5">
        <v>3373</v>
      </c>
      <c r="F531" t="s" s="10">
        <v>3374</v>
      </c>
      <c r="G531" t="s" s="7">
        <v>3375</v>
      </c>
      <c r="H531" t="s" s="7">
        <v>3376</v>
      </c>
      <c r="I531" t="str" s="8" cm="1">
        <f t="array" ref="I531">SUBSTITUTE(H531,B531,"(          )")</f>
        <v>They will (          ) new members into the club next month.</v>
      </c>
      <c r="J531" s="9" cm="1">
        <f t="array" ref="J531">SUMIF('외운 것 - 엑셀다운로드 파일(붙여넣기)'!A3:A562,A531,'외운 것 - 엑셀다운로드 파일(붙여넣기)'!D3:D562)</f>
        <v>0</v>
      </c>
      <c r="K531" s="9" cm="1">
        <f t="array" ref="K531">_xlfn.COUNTIFS('외운 것 - 엑셀다운로드 파일(붙여넣기)'!A3:A562,A531,'외운 것 - 엑셀다운로드 파일(붙여넣기)'!D3:D562,0)</f>
        <v>0</v>
      </c>
      <c r="L531" s="9" cm="1">
        <f t="array" ref="L531">IF(J531&gt;=3,_xlfn.XLOOKUP(A531,'외운 것 - 엑셀다운로드 파일(붙여넣기)'!A3:A562,'외운 것 - 엑셀다운로드 파일(붙여넣기)'!C3:C562,0,-1),0)</f>
        <v>0</v>
      </c>
    </row>
    <row r="532" ht="38.45" customHeight="1">
      <c r="A532" s="3">
        <v>531</v>
      </c>
      <c r="B532" t="s" s="4">
        <v>3378</v>
      </c>
      <c r="C532" t="s" s="5">
        <v>3379</v>
      </c>
      <c r="D532" t="s" s="5">
        <v>3351</v>
      </c>
      <c r="E532" t="s" s="5">
        <v>3380</v>
      </c>
      <c r="F532" t="s" s="10">
        <v>3381</v>
      </c>
      <c r="G532" t="s" s="7">
        <v>3382</v>
      </c>
      <c r="H532" t="s" s="7">
        <v>3383</v>
      </c>
      <c r="I532" t="str" s="8" cm="1">
        <f t="array" ref="I532">SUBSTITUTE(H532,B532,"(          )")</f>
        <v>The company will (          ) taxes from your paycheck.</v>
      </c>
      <c r="J532" s="9" cm="1">
        <f t="array" ref="J532">SUMIF('외운 것 - 엑셀다운로드 파일(붙여넣기)'!A3:A562,A532,'외운 것 - 엑셀다운로드 파일(붙여넣기)'!D3:D562)</f>
        <v>0</v>
      </c>
      <c r="K532" s="9" cm="1">
        <f t="array" ref="K532">_xlfn.COUNTIFS('외운 것 - 엑셀다운로드 파일(붙여넣기)'!A3:A562,A532,'외운 것 - 엑셀다운로드 파일(붙여넣기)'!D3:D562,0)</f>
        <v>0</v>
      </c>
      <c r="L532" s="9" cm="1">
        <f t="array" ref="L532">IF(J532&gt;=3,_xlfn.XLOOKUP(A532,'외운 것 - 엑셀다운로드 파일(붙여넣기)'!A3:A562,'외운 것 - 엑셀다운로드 파일(붙여넣기)'!C3:C562,0,-1),0)</f>
        <v>0</v>
      </c>
    </row>
    <row r="533" ht="23.45" customHeight="1">
      <c r="A533" s="3">
        <v>532</v>
      </c>
      <c r="B533" t="s" s="4">
        <v>3385</v>
      </c>
      <c r="C533" t="s" s="5">
        <v>3379</v>
      </c>
      <c r="D533" t="s" s="5">
        <v>3351</v>
      </c>
      <c r="E533" t="s" s="5">
        <v>3386</v>
      </c>
      <c r="F533" t="s" s="10">
        <v>3387</v>
      </c>
      <c r="G533" t="s" s="7">
        <v>3388</v>
      </c>
      <c r="H533" t="s" s="7">
        <v>3389</v>
      </c>
      <c r="I533" t="str" s="8" cm="1">
        <f t="array" ref="I533">SUBSTITUTE(H533,B533,"(          )")</f>
        <v>The kidnappers tried to (          ) the wealthy businessman.</v>
      </c>
      <c r="J533" s="9" cm="1">
        <f t="array" ref="J533">SUMIF('외운 것 - 엑셀다운로드 파일(붙여넣기)'!A3:A562,A533,'외운 것 - 엑셀다운로드 파일(붙여넣기)'!D3:D562)</f>
        <v>0</v>
      </c>
      <c r="K533" s="9" cm="1">
        <f t="array" ref="K533">_xlfn.COUNTIFS('외운 것 - 엑셀다운로드 파일(붙여넣기)'!A3:A562,A533,'외운 것 - 엑셀다운로드 파일(붙여넣기)'!D3:D562,0)</f>
        <v>0</v>
      </c>
      <c r="L533" s="9" cm="1">
        <f t="array" ref="L533">IF(J533&gt;=3,_xlfn.XLOOKUP(A533,'외운 것 - 엑셀다운로드 파일(붙여넣기)'!A3:A562,'외운 것 - 엑셀다운로드 파일(붙여넣기)'!C3:C562,0,-1),0)</f>
        <v>0</v>
      </c>
    </row>
    <row r="534" ht="23.45" customHeight="1">
      <c r="A534" s="3">
        <v>533</v>
      </c>
      <c r="B534" t="s" s="4">
        <v>3391</v>
      </c>
      <c r="C534" t="s" s="5">
        <v>3392</v>
      </c>
      <c r="D534" t="s" s="5">
        <v>3351</v>
      </c>
      <c r="E534" t="s" s="5">
        <v>3393</v>
      </c>
      <c r="F534" t="s" s="10">
        <v>3394</v>
      </c>
      <c r="G534" t="s" s="7">
        <v>3395</v>
      </c>
      <c r="H534" t="s" s="7">
        <v>3396</v>
      </c>
      <c r="I534" t="str" s="8" cm="1">
        <f t="array" ref="I534">SUBSTITUTE(H534,B534,"(          )")</f>
        <v>This farm (          )s organic vegetables year-round.</v>
      </c>
      <c r="J534" s="9" cm="1">
        <f t="array" ref="J534">SUMIF('외운 것 - 엑셀다운로드 파일(붙여넣기)'!A3:A562,A534,'외운 것 - 엑셀다운로드 파일(붙여넣기)'!D3:D562)</f>
        <v>0</v>
      </c>
      <c r="K534" s="9" cm="1">
        <f t="array" ref="K534">_xlfn.COUNTIFS('외운 것 - 엑셀다운로드 파일(붙여넣기)'!A3:A562,A534,'외운 것 - 엑셀다운로드 파일(붙여넣기)'!D3:D562,0)</f>
        <v>0</v>
      </c>
      <c r="L534" s="9" cm="1">
        <f t="array" ref="L534">IF(J534&gt;=3,_xlfn.XLOOKUP(A534,'외운 것 - 엑셀다운로드 파일(붙여넣기)'!A3:A562,'외운 것 - 엑셀다운로드 파일(붙여넣기)'!C3:C562,0,-1),0)</f>
        <v>0</v>
      </c>
    </row>
    <row r="535" ht="36.4" customHeight="1">
      <c r="A535" s="3">
        <v>534</v>
      </c>
      <c r="B535" t="s" s="4">
        <v>3398</v>
      </c>
      <c r="C535" t="s" s="5">
        <v>3399</v>
      </c>
      <c r="D535" t="s" s="5">
        <v>3351</v>
      </c>
      <c r="E535" t="s" s="5">
        <v>3400</v>
      </c>
      <c r="F535" t="s" s="10">
        <v>3401</v>
      </c>
      <c r="G535" t="s" s="7">
        <v>3402</v>
      </c>
      <c r="H535" t="s" s="7">
        <v>3403</v>
      </c>
      <c r="I535" t="str" s="8" cm="1">
        <f t="array" ref="I535">SUBSTITUTE(H535,B535,"(          )")</f>
        <v>Scientists were able to (          ) the experimental results.</v>
      </c>
      <c r="J535" s="9" cm="1">
        <f t="array" ref="J535">SUMIF('외운 것 - 엑셀다운로드 파일(붙여넣기)'!A3:A562,A535,'외운 것 - 엑셀다운로드 파일(붙여넣기)'!D3:D562)</f>
        <v>0</v>
      </c>
      <c r="K535" s="9" cm="1">
        <f t="array" ref="K535">_xlfn.COUNTIFS('외운 것 - 엑셀다운로드 파일(붙여넣기)'!A3:A562,A535,'외운 것 - 엑셀다운로드 파일(붙여넣기)'!D3:D562,0)</f>
        <v>0</v>
      </c>
      <c r="L535" s="9" cm="1">
        <f t="array" ref="L535">IF(J535&gt;=3,_xlfn.XLOOKUP(A535,'외운 것 - 엑셀다운로드 파일(붙여넣기)'!A3:A562,'외운 것 - 엑셀다운로드 파일(붙여넣기)'!C3:C562,0,-1),0)</f>
        <v>0</v>
      </c>
    </row>
    <row r="536" ht="23.45" customHeight="1">
      <c r="A536" s="3">
        <v>535</v>
      </c>
      <c r="B536" t="s" s="4">
        <v>3405</v>
      </c>
      <c r="C536" t="s" s="5">
        <v>3392</v>
      </c>
      <c r="D536" t="s" s="5">
        <v>3351</v>
      </c>
      <c r="E536" t="s" s="5">
        <v>3406</v>
      </c>
      <c r="F536" t="s" s="10">
        <v>3407</v>
      </c>
      <c r="G536" t="s" s="7">
        <v>3408</v>
      </c>
      <c r="H536" t="s" s="7">
        <v>3409</v>
      </c>
      <c r="I536" t="str" s="8" cm="1">
        <f t="array" ref="I536">SUBSTITUTE(H536,B536,"(          )")</f>
        <v>Stress can (          ) headaches in many people.</v>
      </c>
      <c r="J536" s="9" cm="1">
        <f t="array" ref="J536">SUMIF('외운 것 - 엑셀다운로드 파일(붙여넣기)'!A3:A562,A536,'외운 것 - 엑셀다운로드 파일(붙여넣기)'!D3:D562)</f>
        <v>0</v>
      </c>
      <c r="K536" s="9" cm="1">
        <f t="array" ref="K536">_xlfn.COUNTIFS('외운 것 - 엑셀다운로드 파일(붙여넣기)'!A3:A562,A536,'외운 것 - 엑셀다운로드 파일(붙여넣기)'!D3:D562,0)</f>
        <v>0</v>
      </c>
      <c r="L536" s="9" cm="1">
        <f t="array" ref="L536">IF(J536&gt;=3,_xlfn.XLOOKUP(A536,'외운 것 - 엑셀다운로드 파일(붙여넣기)'!A3:A562,'외운 것 - 엑셀다운로드 파일(붙여넣기)'!C3:C562,0,-1),0)</f>
        <v>0</v>
      </c>
    </row>
    <row r="537" ht="38.45" customHeight="1">
      <c r="A537" s="3">
        <v>536</v>
      </c>
      <c r="B537" t="s" s="4">
        <v>3411</v>
      </c>
      <c r="C537" t="s" s="5">
        <v>3392</v>
      </c>
      <c r="D537" t="s" s="5">
        <v>3351</v>
      </c>
      <c r="E537" t="s" s="5">
        <v>3412</v>
      </c>
      <c r="F537" t="s" s="10">
        <v>3413</v>
      </c>
      <c r="G537" t="s" s="7">
        <v>3414</v>
      </c>
      <c r="H537" t="s" s="7">
        <v>3415</v>
      </c>
      <c r="I537" t="str" s="8" cm="1">
        <f t="array" ref="I537">SUBSTITUTE(H537,B537,"(          )")</f>
        <v>Let me (          ) you to my colleague.</v>
      </c>
      <c r="J537" s="9" cm="1">
        <f t="array" ref="J537">SUMIF('외운 것 - 엑셀다운로드 파일(붙여넣기)'!A3:A562,A537,'외운 것 - 엑셀다운로드 파일(붙여넣기)'!D3:D562)</f>
        <v>0</v>
      </c>
      <c r="K537" s="9" cm="1">
        <f t="array" ref="K537">_xlfn.COUNTIFS('외운 것 - 엑셀다운로드 파일(붙여넣기)'!A3:A562,A537,'외운 것 - 엑셀다운로드 파일(붙여넣기)'!D3:D562,0)</f>
        <v>0</v>
      </c>
      <c r="L537" s="9" cm="1">
        <f t="array" ref="L537">IF(J537&gt;=3,_xlfn.XLOOKUP(A537,'외운 것 - 엑셀다운로드 파일(붙여넣기)'!A3:A562,'외운 것 - 엑셀다운로드 파일(붙여넣기)'!C3:C562,0,-1),0)</f>
        <v>0</v>
      </c>
    </row>
    <row r="538" ht="38.45" customHeight="1">
      <c r="A538" s="3">
        <v>537</v>
      </c>
      <c r="B538" t="s" s="4">
        <v>3417</v>
      </c>
      <c r="C538" t="s" s="5">
        <v>3392</v>
      </c>
      <c r="D538" t="s" s="5">
        <v>3351</v>
      </c>
      <c r="E538" t="s" s="5">
        <v>3418</v>
      </c>
      <c r="F538" t="s" s="10">
        <v>3419</v>
      </c>
      <c r="G538" t="s" s="7">
        <v>3420</v>
      </c>
      <c r="H538" t="s" s="7">
        <v>3421</v>
      </c>
      <c r="I538" t="str" s="8" cm="1">
        <f t="array" ref="I538">SUBSTITUTE(H538,B538,"(          )")</f>
        <v>The teacher will (          ) correct answers from the students.</v>
      </c>
      <c r="J538" s="9" cm="1">
        <f t="array" ref="J538">SUMIF('외운 것 - 엑셀다운로드 파일(붙여넣기)'!A3:A562,A538,'외운 것 - 엑셀다운로드 파일(붙여넣기)'!D3:D562)</f>
        <v>0</v>
      </c>
      <c r="K538" s="9" cm="1">
        <f t="array" ref="K538">_xlfn.COUNTIFS('외운 것 - 엑셀다운로드 파일(붙여넣기)'!A3:A562,A538,'외운 것 - 엑셀다운로드 파일(붙여넣기)'!D3:D562,0)</f>
        <v>0</v>
      </c>
      <c r="L538" s="9" cm="1">
        <f t="array" ref="L538">IF(J538&gt;=3,_xlfn.XLOOKUP(A538,'외운 것 - 엑셀다운로드 파일(붙여넣기)'!A3:A562,'외운 것 - 엑셀다운로드 파일(붙여넣기)'!C3:C562,0,-1),0)</f>
        <v>0</v>
      </c>
    </row>
    <row r="539" ht="38.45" customHeight="1">
      <c r="A539" s="3">
        <v>538</v>
      </c>
      <c r="B539" t="s" s="4">
        <v>3423</v>
      </c>
      <c r="C539" t="s" s="5">
        <v>3351</v>
      </c>
      <c r="D539" t="s" s="5">
        <v>3351</v>
      </c>
      <c r="E539" t="s" s="5">
        <v>3424</v>
      </c>
      <c r="F539" t="s" s="10">
        <v>3425</v>
      </c>
      <c r="G539" t="s" s="7">
        <v>3426</v>
      </c>
      <c r="H539" t="s" s="7">
        <v>3427</v>
      </c>
      <c r="I539" t="str" s="8" cm="1">
        <f t="array" ref="I539">SUBSTITUTE(H539,B539,"(          )")</f>
        <v>Parents and teachers work together to (          ) children.</v>
      </c>
      <c r="J539" s="9" cm="1">
        <f t="array" ref="J539">SUMIF('외운 것 - 엑셀다운로드 파일(붙여넣기)'!A3:A562,A539,'외운 것 - 엑셀다운로드 파일(붙여넣기)'!D3:D562)</f>
        <v>0</v>
      </c>
      <c r="K539" s="9" cm="1">
        <f t="array" ref="K539">_xlfn.COUNTIFS('외운 것 - 엑셀다운로드 파일(붙여넣기)'!A3:A562,A539,'외운 것 - 엑셀다운로드 파일(붙여넣기)'!D3:D562,0)</f>
        <v>0</v>
      </c>
      <c r="L539" s="9" cm="1">
        <f t="array" ref="L539">IF(J539&gt;=3,_xlfn.XLOOKUP(A539,'외운 것 - 엑셀다운로드 파일(붙여넣기)'!A3:A562,'외운 것 - 엑셀다운로드 파일(붙여넣기)'!C3:C562,0,-1),0)</f>
        <v>0</v>
      </c>
    </row>
    <row r="540" ht="23.45" customHeight="1">
      <c r="A540" s="3">
        <v>539</v>
      </c>
      <c r="B540" t="s" s="4">
        <v>3429</v>
      </c>
      <c r="C540" t="s" s="5">
        <v>3392</v>
      </c>
      <c r="D540" t="s" s="5">
        <v>3351</v>
      </c>
      <c r="E540" t="s" s="5">
        <v>3430</v>
      </c>
      <c r="F540" t="s" s="10">
        <v>3431</v>
      </c>
      <c r="G540" t="s" s="7">
        <v>3432</v>
      </c>
      <c r="H540" t="s" s="7">
        <v>3433</v>
      </c>
      <c r="I540" t="str" s="8" cm="1">
        <f t="array" ref="I540">SUBSTITUTE(H540,B540,"(          )")</f>
        <v>The detective could (          ) who committed the crime.</v>
      </c>
      <c r="J540" s="9" cm="1">
        <f t="array" ref="J540">SUMIF('외운 것 - 엑셀다운로드 파일(붙여넣기)'!A3:A562,A540,'외운 것 - 엑셀다운로드 파일(붙여넣기)'!D3:D562)</f>
        <v>0</v>
      </c>
      <c r="K540" s="9" cm="1">
        <f t="array" ref="K540">_xlfn.COUNTIFS('외운 것 - 엑셀다운로드 파일(붙여넣기)'!A3:A562,A540,'외운 것 - 엑셀다운로드 파일(붙여넣기)'!D3:D562,0)</f>
        <v>0</v>
      </c>
      <c r="L540" s="9" cm="1">
        <f t="array" ref="L540">IF(J540&gt;=3,_xlfn.XLOOKUP(A540,'외운 것 - 엑셀다운로드 파일(붙여넣기)'!A3:A562,'외운 것 - 엑셀다운로드 파일(붙여넣기)'!C3:C562,0,-1),0)</f>
        <v>0</v>
      </c>
    </row>
    <row r="541" ht="23.45" customHeight="1">
      <c r="A541" s="3">
        <v>540</v>
      </c>
      <c r="B541" t="s" s="4">
        <v>3435</v>
      </c>
      <c r="C541" t="s" s="5">
        <v>3392</v>
      </c>
      <c r="D541" t="s" s="5">
        <v>3351</v>
      </c>
      <c r="E541" t="s" s="5">
        <v>3436</v>
      </c>
      <c r="F541" t="s" s="10">
        <v>3437</v>
      </c>
      <c r="G541" t="s" s="7">
        <v>3438</v>
      </c>
      <c r="H541" t="s" s="7">
        <v>3439</v>
      </c>
      <c r="I541" t="str" s="8" cm="1">
        <f t="array" ref="I541">SUBSTITUTE(H541,B541,"(          )")</f>
        <v>We need to (          ) our energy consumption.</v>
      </c>
      <c r="J541" s="9" cm="1">
        <f t="array" ref="J541">SUMIF('외운 것 - 엑셀다운로드 파일(붙여넣기)'!A3:A562,A541,'외운 것 - 엑셀다운로드 파일(붙여넣기)'!D3:D562)</f>
        <v>0</v>
      </c>
      <c r="K541" s="9" cm="1">
        <f t="array" ref="K541">_xlfn.COUNTIFS('외운 것 - 엑셀다운로드 파일(붙여넣기)'!A3:A562,A541,'외운 것 - 엑셀다운로드 파일(붙여넣기)'!D3:D562,0)</f>
        <v>0</v>
      </c>
      <c r="L541" s="9" cm="1">
        <f t="array" ref="L541">IF(J541&gt;=3,_xlfn.XLOOKUP(A541,'외운 것 - 엑셀다운로드 파일(붙여넣기)'!A3:A562,'외운 것 - 엑셀다운로드 파일(붙여넣기)'!C3:C562,0,-1),0)</f>
        <v>0</v>
      </c>
    </row>
    <row r="542" ht="36.4" customHeight="1">
      <c r="A542" s="3">
        <v>541</v>
      </c>
      <c r="B542" t="s" s="4">
        <v>3441</v>
      </c>
      <c r="C542" t="s" s="5">
        <v>3442</v>
      </c>
      <c r="D542" t="s" s="5">
        <v>3351</v>
      </c>
      <c r="E542" t="s" s="5">
        <v>3443</v>
      </c>
      <c r="F542" t="s" s="10">
        <v>3444</v>
      </c>
      <c r="G542" t="s" s="7">
        <v>3445</v>
      </c>
      <c r="H542" t="s" s="7">
        <v>3446</v>
      </c>
      <c r="I542" t="str" s="8" cm="1">
        <f t="array" ref="I542">SUBSTITUTE(H542,B542,"(          )")</f>
        <v>The store is offering a (          ) in prices this weekend.</v>
      </c>
      <c r="J542" s="9" cm="1">
        <f t="array" ref="J542">SUMIF('외운 것 - 엑셀다운로드 파일(붙여넣기)'!A3:A562,A542,'외운 것 - 엑셀다운로드 파일(붙여넣기)'!D3:D562)</f>
        <v>0</v>
      </c>
      <c r="K542" s="9" cm="1">
        <f t="array" ref="K542">_xlfn.COUNTIFS('외운 것 - 엑셀다운로드 파일(붙여넣기)'!A3:A562,A542,'외운 것 - 엑셀다운로드 파일(붙여넣기)'!D3:D562,0)</f>
        <v>0</v>
      </c>
      <c r="L542" s="9" cm="1">
        <f t="array" ref="L542">IF(J542&gt;=3,_xlfn.XLOOKUP(A542,'외운 것 - 엑셀다운로드 파일(붙여넣기)'!A3:A562,'외운 것 - 엑셀다운로드 파일(붙여넣기)'!C3:C562,0,-1),0)</f>
        <v>0</v>
      </c>
    </row>
    <row r="543" ht="23.45" customHeight="1">
      <c r="A543" s="3">
        <v>542</v>
      </c>
      <c r="B543" t="s" s="4">
        <v>3448</v>
      </c>
      <c r="C543" t="s" s="5">
        <v>3449</v>
      </c>
      <c r="D543" t="s" s="5">
        <v>3450</v>
      </c>
      <c r="E543" t="s" s="5">
        <v>3451</v>
      </c>
      <c r="F543" t="s" s="10">
        <v>3452</v>
      </c>
      <c r="G543" t="s" s="7">
        <v>3453</v>
      </c>
      <c r="H543" t="s" s="7">
        <v>3454</v>
      </c>
      <c r="I543" t="str" s="8" cm="1">
        <f t="array" ref="I543">SUBSTITUTE(H543,B543,"(          )")</f>
        <v>These hiking boots are made of (          ) materials.</v>
      </c>
      <c r="J543" s="9" cm="1">
        <f t="array" ref="J543">SUMIF('외운 것 - 엑셀다운로드 파일(붙여넣기)'!A3:A562,A543,'외운 것 - 엑셀다운로드 파일(붙여넣기)'!D3:D562)</f>
        <v>0</v>
      </c>
      <c r="K543" s="9" cm="1">
        <f t="array" ref="K543">_xlfn.COUNTIFS('외운 것 - 엑셀다운로드 파일(붙여넣기)'!A3:A562,A543,'외운 것 - 엑셀다운로드 파일(붙여넣기)'!D3:D562,0)</f>
        <v>0</v>
      </c>
      <c r="L543" s="9" cm="1">
        <f t="array" ref="L543">IF(J543&gt;=3,_xlfn.XLOOKUP(A543,'외운 것 - 엑셀다운로드 파일(붙여넣기)'!A3:A562,'외운 것 - 엑셀다운로드 파일(붙여넣기)'!C3:C562,0,-1),0)</f>
        <v>0</v>
      </c>
    </row>
    <row r="544" ht="38.45" customHeight="1">
      <c r="A544" s="3">
        <v>543</v>
      </c>
      <c r="B544" t="s" s="4">
        <v>3456</v>
      </c>
      <c r="C544" t="s" s="5">
        <v>3449</v>
      </c>
      <c r="D544" t="s" s="5">
        <v>3450</v>
      </c>
      <c r="E544" t="s" s="5">
        <v>3457</v>
      </c>
      <c r="F544" t="s" s="10">
        <v>3458</v>
      </c>
      <c r="G544" t="s" s="7">
        <v>3459</v>
      </c>
      <c r="H544" t="s" s="7">
        <v>3460</v>
      </c>
      <c r="I544" t="str" s="8" cm="1">
        <f t="array" ref="I544">SUBSTITUTE(H544,B544,"(          )")</f>
        <v>The hikers had to (          ) freezing temperatures on the mountain.</v>
      </c>
      <c r="J544" s="9" cm="1">
        <f t="array" ref="J544">SUMIF('외운 것 - 엑셀다운로드 파일(붙여넣기)'!A3:A562,A544,'외운 것 - 엑셀다운로드 파일(붙여넣기)'!D3:D562)</f>
        <v>0</v>
      </c>
      <c r="K544" s="9" cm="1">
        <f t="array" ref="K544">_xlfn.COUNTIFS('외운 것 - 엑셀다운로드 파일(붙여넣기)'!A3:A562,A544,'외운 것 - 엑셀다운로드 파일(붙여넣기)'!D3:D562,0)</f>
        <v>0</v>
      </c>
      <c r="L544" s="9" cm="1">
        <f t="array" ref="L544">IF(J544&gt;=3,_xlfn.XLOOKUP(A544,'외운 것 - 엑셀다운로드 파일(붙여넣기)'!A3:A562,'외운 것 - 엑셀다운로드 파일(붙여넣기)'!C3:C562,0,-1),0)</f>
        <v>0</v>
      </c>
    </row>
    <row r="545" ht="38.45" customHeight="1">
      <c r="A545" s="3">
        <v>544</v>
      </c>
      <c r="B545" t="s" s="4">
        <v>3462</v>
      </c>
      <c r="C545" t="s" s="5">
        <v>3462</v>
      </c>
      <c r="D545" t="s" s="5">
        <v>3463</v>
      </c>
      <c r="E545" t="s" s="5">
        <v>3464</v>
      </c>
      <c r="F545" t="s" s="6">
        <v>3465</v>
      </c>
      <c r="G545" t="s" s="7">
        <v>3466</v>
      </c>
      <c r="H545" t="s" s="7">
        <v>3467</v>
      </c>
      <c r="I545" t="str" s="8" cm="1">
        <f t="array" ref="I545">SUBSTITUTE(H545,B545,"(          )")</f>
        <v>The broken dam caused flooding in the valley.</v>
      </c>
      <c r="J545" s="9" cm="1">
        <f t="array" ref="J545">SUMIF('외운 것 - 엑셀다운로드 파일(붙여넣기)'!A3:A562,A545,'외운 것 - 엑셀다운로드 파일(붙여넣기)'!D3:D562)</f>
        <v>0</v>
      </c>
      <c r="K545" s="9" cm="1">
        <f t="array" ref="K545">_xlfn.COUNTIFS('외운 것 - 엑셀다운로드 파일(붙여넣기)'!A3:A562,A545,'외운 것 - 엑셀다운로드 파일(붙여넣기)'!D3:D562,0)</f>
        <v>0</v>
      </c>
      <c r="L545" s="9" cm="1">
        <f t="array" ref="L545">IF(J545&gt;=3,_xlfn.XLOOKUP(A545,'외운 것 - 엑셀다운로드 파일(붙여넣기)'!A3:A562,'외운 것 - 엑셀다운로드 파일(붙여넣기)'!C3:C562,0,-1),0)</f>
        <v>0</v>
      </c>
    </row>
    <row r="546" ht="38.45" customHeight="1">
      <c r="A546" s="3">
        <v>545</v>
      </c>
      <c r="B546" t="s" s="4">
        <v>3469</v>
      </c>
      <c r="C546" t="s" s="5">
        <v>3470</v>
      </c>
      <c r="D546" t="s" s="5">
        <v>3463</v>
      </c>
      <c r="E546" t="s" s="5">
        <v>3471</v>
      </c>
      <c r="F546" t="s" s="10">
        <v>3472</v>
      </c>
      <c r="G546" t="s" s="7">
        <v>3473</v>
      </c>
      <c r="H546" t="s" s="7">
        <v>3474</v>
      </c>
      <c r="I546" t="str" s="8" cm="1">
        <f t="array" ref="I546">SUBSTITUTE(H546,B546,"(          )")</f>
        <v>The storm caused significant (          ) to the roof.</v>
      </c>
      <c r="J546" s="9" cm="1">
        <f t="array" ref="J546">SUMIF('외운 것 - 엑셀다운로드 파일(붙여넣기)'!A3:A562,A546,'외운 것 - 엑셀다운로드 파일(붙여넣기)'!D3:D562)</f>
        <v>0</v>
      </c>
      <c r="K546" s="9" cm="1">
        <f t="array" ref="K546">_xlfn.COUNTIFS('외운 것 - 엑셀다운로드 파일(붙여넣기)'!A3:A562,A546,'외운 것 - 엑셀다운로드 파일(붙여넣기)'!D3:D562,0)</f>
        <v>0</v>
      </c>
      <c r="L546" s="9" cm="1">
        <f t="array" ref="L546">IF(J546&gt;=3,_xlfn.XLOOKUP(A546,'외운 것 - 엑셀다운로드 파일(붙여넣기)'!A3:A562,'외운 것 - 엑셀다운로드 파일(붙여넣기)'!C3:C562,0,-1),0)</f>
        <v>0</v>
      </c>
    </row>
    <row r="547" ht="38.45" customHeight="1">
      <c r="A547" s="3">
        <v>546</v>
      </c>
      <c r="B547" t="s" s="4">
        <v>3476</v>
      </c>
      <c r="C547" t="s" s="5">
        <v>3477</v>
      </c>
      <c r="D547" t="s" s="5">
        <v>3463</v>
      </c>
      <c r="E547" t="s" s="5">
        <v>3478</v>
      </c>
      <c r="F547" t="s" s="10">
        <v>3479</v>
      </c>
      <c r="G547" t="s" s="7">
        <v>3480</v>
      </c>
      <c r="H547" t="s" s="7">
        <v>3481</v>
      </c>
      <c r="I547" t="str" s="8" cm="1">
        <f t="array" ref="I547">SUBSTITUTE(H547,B547,"(          )")</f>
        <v>The judge will (          ) the unsafe building.</v>
      </c>
      <c r="J547" s="9" cm="1">
        <f t="array" ref="J547">SUMIF('외운 것 - 엑셀다운로드 파일(붙여넣기)'!A3:A562,A547,'외운 것 - 엑셀다운로드 파일(붙여넣기)'!D3:D562)</f>
        <v>0</v>
      </c>
      <c r="K547" s="9" cm="1">
        <f t="array" ref="K547">_xlfn.COUNTIFS('외운 것 - 엑셀다운로드 파일(붙여넣기)'!A3:A562,A547,'외운 것 - 엑셀다운로드 파일(붙여넣기)'!D3:D562,0)</f>
        <v>0</v>
      </c>
      <c r="L547" s="9" cm="1">
        <f t="array" ref="L547">IF(J547&gt;=3,_xlfn.XLOOKUP(A547,'외운 것 - 엑셀다운로드 파일(붙여넣기)'!A3:A562,'외운 것 - 엑셀다운로드 파일(붙여넣기)'!C3:C562,0,-1),0)</f>
        <v>0</v>
      </c>
    </row>
    <row r="548" ht="23.45" customHeight="1">
      <c r="A548" s="3">
        <v>547</v>
      </c>
      <c r="B548" t="s" s="4">
        <v>3483</v>
      </c>
      <c r="C548" t="s" s="5">
        <v>3484</v>
      </c>
      <c r="D548" t="s" s="5">
        <v>3485</v>
      </c>
      <c r="E548" t="s" s="5">
        <v>3486</v>
      </c>
      <c r="F548" t="s" s="10">
        <v>3487</v>
      </c>
      <c r="G548" t="s" s="7">
        <v>3488</v>
      </c>
      <c r="H548" t="s" s="7">
        <v>3489</v>
      </c>
      <c r="I548" t="str" s="8" cm="1">
        <f t="array" ref="I548">SUBSTITUTE(H548,B548,"(          )")</f>
        <v>Bad news can (          ) your mood.</v>
      </c>
      <c r="J548" s="9" cm="1">
        <f t="array" ref="J548">SUMIF('외운 것 - 엑셀다운로드 파일(붙여넣기)'!A3:A562,A548,'외운 것 - 엑셀다운로드 파일(붙여넣기)'!D3:D562)</f>
        <v>0</v>
      </c>
      <c r="K548" s="9" cm="1">
        <f t="array" ref="K548">_xlfn.COUNTIFS('외운 것 - 엑셀다운로드 파일(붙여넣기)'!A3:A562,A548,'외운 것 - 엑셀다운로드 파일(붙여넣기)'!D3:D562,0)</f>
        <v>0</v>
      </c>
      <c r="L548" s="9" cm="1">
        <f t="array" ref="L548">IF(J548&gt;=3,_xlfn.XLOOKUP(A548,'외운 것 - 엑셀다운로드 파일(붙여넣기)'!A3:A562,'외운 것 - 엑셀다운로드 파일(붙여넣기)'!C3:C562,0,-1),0)</f>
        <v>0</v>
      </c>
    </row>
    <row r="549" ht="36.4" customHeight="1">
      <c r="A549" s="3">
        <v>548</v>
      </c>
      <c r="B549" t="s" s="4">
        <v>3491</v>
      </c>
      <c r="C549" t="s" s="5">
        <v>3492</v>
      </c>
      <c r="D549" t="s" s="5">
        <v>3484</v>
      </c>
      <c r="E549" t="s" s="5">
        <v>3493</v>
      </c>
      <c r="F549" t="s" s="10">
        <v>3494</v>
      </c>
      <c r="G549" t="s" s="7">
        <v>3495</v>
      </c>
      <c r="H549" t="s" s="7">
        <v>3496</v>
      </c>
      <c r="I549" t="str" s="8" cm="1">
        <f t="array" ref="I549">SUBSTITUTE(H549,B549,"(          )")</f>
        <v>Economic (          ) led to high unemployment rates.</v>
      </c>
      <c r="J549" s="9" cm="1">
        <f t="array" ref="J549">SUMIF('외운 것 - 엑셀다운로드 파일(붙여넣기)'!A3:A562,A549,'외운 것 - 엑셀다운로드 파일(붙여넣기)'!D3:D562)</f>
        <v>0</v>
      </c>
      <c r="K549" s="9" cm="1">
        <f t="array" ref="K549">_xlfn.COUNTIFS('외운 것 - 엑셀다운로드 파일(붙여넣기)'!A3:A562,A549,'외운 것 - 엑셀다운로드 파일(붙여넣기)'!D3:D562,0)</f>
        <v>0</v>
      </c>
      <c r="L549" s="9" cm="1">
        <f t="array" ref="L549">IF(J549&gt;=3,_xlfn.XLOOKUP(A549,'외운 것 - 엑셀다운로드 파일(붙여넣기)'!A3:A562,'외운 것 - 엑셀다운로드 파일(붙여넣기)'!C3:C562,0,-1),0)</f>
        <v>0</v>
      </c>
    </row>
    <row r="550" ht="23.45" customHeight="1">
      <c r="A550" s="3">
        <v>549</v>
      </c>
      <c r="B550" t="s" s="4">
        <v>3498</v>
      </c>
      <c r="C550" t="s" s="5">
        <v>3484</v>
      </c>
      <c r="D550" t="s" s="5">
        <v>3485</v>
      </c>
      <c r="E550" t="s" s="5">
        <v>3327</v>
      </c>
      <c r="F550" t="s" s="10">
        <v>3499</v>
      </c>
      <c r="G550" t="s" s="7">
        <v>3500</v>
      </c>
      <c r="H550" t="s" s="7">
        <v>3501</v>
      </c>
      <c r="I550" t="str" s="8" cm="1">
        <f t="array" ref="I550">SUBSTITUTE(H550,B550,"(          )")</f>
        <v>Morning (          ) covered the grass.</v>
      </c>
      <c r="J550" s="9" cm="1">
        <f t="array" ref="J550">SUMIF('외운 것 - 엑셀다운로드 파일(붙여넣기)'!A3:A562,A550,'외운 것 - 엑셀다운로드 파일(붙여넣기)'!D3:D562)</f>
        <v>0</v>
      </c>
      <c r="K550" s="9" cm="1">
        <f t="array" ref="K550">_xlfn.COUNTIFS('외운 것 - 엑셀다운로드 파일(붙여넣기)'!A3:A562,A550,'외운 것 - 엑셀다운로드 파일(붙여넣기)'!D3:D562,0)</f>
        <v>0</v>
      </c>
      <c r="L550" s="9" cm="1">
        <f t="array" ref="L550">IF(J550&gt;=3,_xlfn.XLOOKUP(A550,'외운 것 - 엑셀다운로드 파일(붙여넣기)'!A3:A562,'외운 것 - 엑셀다운로드 파일(붙여넣기)'!C3:C562,0,-1),0)</f>
        <v>0</v>
      </c>
    </row>
    <row r="551" ht="23.45" customHeight="1">
      <c r="A551" s="3">
        <v>550</v>
      </c>
      <c r="B551" t="s" s="4">
        <v>3503</v>
      </c>
      <c r="C551" t="s" s="5">
        <v>3484</v>
      </c>
      <c r="D551" t="s" s="5">
        <v>3485</v>
      </c>
      <c r="E551" t="s" s="5">
        <v>3504</v>
      </c>
      <c r="F551" t="s" s="10">
        <v>3505</v>
      </c>
      <c r="G551" t="s" s="7">
        <v>3506</v>
      </c>
      <c r="H551" t="s" s="7">
        <v>3507</v>
      </c>
      <c r="I551" t="str" s="8" cm="1">
        <f t="array" ref="I551">SUBSTITUTE(H551,B551,"(          )")</f>
        <v>The (          ) ran swiftly through the forest.</v>
      </c>
      <c r="J551" s="9" cm="1">
        <f t="array" ref="J551">SUMIF('외운 것 - 엑셀다운로드 파일(붙여넣기)'!A3:A562,A551,'외운 것 - 엑셀다운로드 파일(붙여넣기)'!D3:D562)</f>
        <v>0</v>
      </c>
      <c r="K551" s="9" cm="1">
        <f t="array" ref="K551">_xlfn.COUNTIFS('외운 것 - 엑셀다운로드 파일(붙여넣기)'!A3:A562,A551,'외운 것 - 엑셀다운로드 파일(붙여넣기)'!D3:D562,0)</f>
        <v>0</v>
      </c>
      <c r="L551" s="9" cm="1">
        <f t="array" ref="L551">IF(J551&gt;=3,_xlfn.XLOOKUP(A551,'외운 것 - 엑셀다운로드 파일(붙여넣기)'!A3:A562,'외운 것 - 엑셀다운로드 파일(붙여넣기)'!C3:C562,0,-1),0)</f>
        <v>0</v>
      </c>
    </row>
    <row r="552" ht="38.45" customHeight="1">
      <c r="A552" s="3">
        <v>551</v>
      </c>
      <c r="B552" t="s" s="4">
        <v>3509</v>
      </c>
      <c r="C552" t="s" s="5">
        <v>3484</v>
      </c>
      <c r="D552" t="s" s="5">
        <v>3485</v>
      </c>
      <c r="E552" t="s" s="5">
        <v>3510</v>
      </c>
      <c r="F552" t="s" s="10">
        <v>3511</v>
      </c>
      <c r="G552" t="s" s="7">
        <v>3512</v>
      </c>
      <c r="H552" t="s" s="7">
        <v>3513</v>
      </c>
      <c r="I552" t="str" s="8" cm="1">
        <f t="array" ref="I552">SUBSTITUTE(H552,B552,"(          )")</f>
        <v>Handle that (          ) glass vase with care.</v>
      </c>
      <c r="J552" s="9" cm="1">
        <f t="array" ref="J552">SUMIF('외운 것 - 엑셀다운로드 파일(붙여넣기)'!A3:A562,A552,'외운 것 - 엑셀다운로드 파일(붙여넣기)'!D3:D562)</f>
        <v>0</v>
      </c>
      <c r="K552" s="9" cm="1">
        <f t="array" ref="K552">_xlfn.COUNTIFS('외운 것 - 엑셀다운로드 파일(붙여넣기)'!A3:A562,A552,'외운 것 - 엑셀다운로드 파일(붙여넣기)'!D3:D562,0)</f>
        <v>0</v>
      </c>
      <c r="L552" s="9" cm="1">
        <f t="array" ref="L552">IF(J552&gt;=3,_xlfn.XLOOKUP(A552,'외운 것 - 엑셀다운로드 파일(붙여넣기)'!A3:A562,'외운 것 - 엑셀다운로드 파일(붙여넣기)'!C3:C562,0,-1),0)</f>
        <v>0</v>
      </c>
    </row>
    <row r="553" ht="38.45" customHeight="1">
      <c r="A553" s="3">
        <v>552</v>
      </c>
      <c r="B553" t="s" s="4">
        <v>3515</v>
      </c>
      <c r="C553" t="s" s="5">
        <v>3484</v>
      </c>
      <c r="D553" t="s" s="5">
        <v>3485</v>
      </c>
      <c r="E553" t="s" s="5">
        <v>3516</v>
      </c>
      <c r="F553" t="s" s="10">
        <v>3517</v>
      </c>
      <c r="G553" t="s" s="7">
        <v>3518</v>
      </c>
      <c r="H553" t="s" s="7">
        <v>3519</v>
      </c>
      <c r="I553" t="str" s="8" cm="1">
        <f t="array" ref="I553">SUBSTITUTE(H553,B553,"(          )")</f>
        <v>My greatest (          ) is to travel around the world.</v>
      </c>
      <c r="J553" s="9" cm="1">
        <f t="array" ref="J553">SUMIF('외운 것 - 엑셀다운로드 파일(붙여넣기)'!A3:A562,A553,'외운 것 - 엑셀다운로드 파일(붙여넣기)'!D3:D562)</f>
        <v>0</v>
      </c>
      <c r="K553" s="9" cm="1">
        <f t="array" ref="K553">_xlfn.COUNTIFS('외운 것 - 엑셀다운로드 파일(붙여넣기)'!A3:A562,A553,'외운 것 - 엑셀다운로드 파일(붙여넣기)'!D3:D562,0)</f>
        <v>0</v>
      </c>
      <c r="L553" s="9" cm="1">
        <f t="array" ref="L553">IF(J553&gt;=3,_xlfn.XLOOKUP(A553,'외운 것 - 엑셀다운로드 파일(붙여넣기)'!A3:A562,'외운 것 - 엑셀다운로드 파일(붙여넣기)'!C3:C562,0,-1),0)</f>
        <v>0</v>
      </c>
    </row>
    <row r="554" ht="38.45" customHeight="1">
      <c r="A554" s="3">
        <v>553</v>
      </c>
      <c r="B554" t="s" s="4">
        <v>3521</v>
      </c>
      <c r="C554" t="s" s="5">
        <v>3484</v>
      </c>
      <c r="D554" t="s" s="5">
        <v>3485</v>
      </c>
      <c r="E554" t="s" s="5">
        <v>3522</v>
      </c>
      <c r="F554" t="s" s="10">
        <v>3523</v>
      </c>
      <c r="G554" t="s" s="7">
        <v>3524</v>
      </c>
      <c r="H554" t="s" s="7">
        <v>3525</v>
      </c>
      <c r="I554" t="str" s="8" cm="1">
        <f t="array" ref="I554">SUBSTITUTE(H554,B554,"(          )")</f>
        <v>The hungry lions (          ) their prey quickly.</v>
      </c>
      <c r="J554" s="9" cm="1">
        <f t="array" ref="J554">SUMIF('외운 것 - 엑셀다운로드 파일(붙여넣기)'!A3:A562,A554,'외운 것 - 엑셀다운로드 파일(붙여넣기)'!D3:D562)</f>
        <v>0</v>
      </c>
      <c r="K554" s="9" cm="1">
        <f t="array" ref="K554">_xlfn.COUNTIFS('외운 것 - 엑셀다운로드 파일(붙여넣기)'!A3:A562,A554,'외운 것 - 엑셀다운로드 파일(붙여넣기)'!D3:D562,0)</f>
        <v>0</v>
      </c>
      <c r="L554" s="9" cm="1">
        <f t="array" ref="L554">IF(J554&gt;=3,_xlfn.XLOOKUP(A554,'외운 것 - 엑셀다운로드 파일(붙여넣기)'!A3:A562,'외운 것 - 엑셀다운로드 파일(붙여넣기)'!C3:C562,0,-1),0)</f>
        <v>0</v>
      </c>
    </row>
    <row r="555" ht="38.45" customHeight="1">
      <c r="A555" s="3">
        <v>554</v>
      </c>
      <c r="B555" t="s" s="4">
        <v>3527</v>
      </c>
      <c r="C555" t="s" s="5">
        <v>3484</v>
      </c>
      <c r="D555" t="s" s="5">
        <v>3485</v>
      </c>
      <c r="E555" t="s" s="5">
        <v>3528</v>
      </c>
      <c r="F555" t="s" s="10">
        <v>3529</v>
      </c>
      <c r="G555" t="s" s="7">
        <v>3530</v>
      </c>
      <c r="H555" t="s" s="7">
        <v>3531</v>
      </c>
      <c r="I555" t="str" s="8" cm="1">
        <f t="array" ref="I555">SUBSTITUTE(H555,B555,"(          )")</f>
        <v>High prices (          ) many potential customers.</v>
      </c>
      <c r="J555" s="9" cm="1">
        <f t="array" ref="J555">SUMIF('외운 것 - 엑셀다운로드 파일(붙여넣기)'!A3:A562,A555,'외운 것 - 엑셀다운로드 파일(붙여넣기)'!D3:D562)</f>
        <v>0</v>
      </c>
      <c r="K555" s="9" cm="1">
        <f t="array" ref="K555">_xlfn.COUNTIFS('외운 것 - 엑셀다운로드 파일(붙여넣기)'!A3:A562,A555,'외운 것 - 엑셀다운로드 파일(붙여넣기)'!D3:D562,0)</f>
        <v>0</v>
      </c>
      <c r="L555" s="9" cm="1">
        <f t="array" ref="L555">IF(J555&gt;=3,_xlfn.XLOOKUP(A555,'외운 것 - 엑셀다운로드 파일(붙여넣기)'!A3:A562,'외운 것 - 엑셀다운로드 파일(붙여넣기)'!C3:C562,0,-1),0)</f>
        <v>0</v>
      </c>
    </row>
    <row r="556" ht="23.45" customHeight="1">
      <c r="A556" s="3">
        <v>555</v>
      </c>
      <c r="B556" t="s" s="4">
        <v>3533</v>
      </c>
      <c r="C556" t="s" s="5">
        <v>3534</v>
      </c>
      <c r="D556" t="s" s="5">
        <v>3484</v>
      </c>
      <c r="E556" t="s" s="5">
        <v>3535</v>
      </c>
      <c r="F556" t="s" s="10">
        <v>3536</v>
      </c>
      <c r="G556" t="s" s="7">
        <v>3537</v>
      </c>
      <c r="H556" t="s" s="7">
        <v>3538</v>
      </c>
      <c r="I556" t="str" s="8" cm="1">
        <f t="array" ref="I556">SUBSTITUTE(H556,B556,"(          )")</f>
        <v>The security camera serves as a (          ) to thieves.</v>
      </c>
      <c r="J556" s="9" cm="1">
        <f t="array" ref="J556">SUMIF('외운 것 - 엑셀다운로드 파일(붙여넣기)'!A3:A562,A556,'외운 것 - 엑셀다운로드 파일(붙여넣기)'!D3:D562)</f>
        <v>0</v>
      </c>
      <c r="K556" s="9" cm="1">
        <f t="array" ref="K556">_xlfn.COUNTIFS('외운 것 - 엑셀다운로드 파일(붙여넣기)'!A3:A562,A556,'외운 것 - 엑셀다운로드 파일(붙여넣기)'!D3:D562,0)</f>
        <v>0</v>
      </c>
      <c r="L556" s="9" cm="1">
        <f t="array" ref="L556">IF(J556&gt;=3,_xlfn.XLOOKUP(A556,'외운 것 - 엑셀다운로드 파일(붙여넣기)'!A3:A562,'외운 것 - 엑셀다운로드 파일(붙여넣기)'!C3:C562,0,-1),0)</f>
        <v>0</v>
      </c>
    </row>
    <row r="557" ht="23.45" customHeight="1">
      <c r="A557" s="3">
        <v>556</v>
      </c>
      <c r="B557" t="s" s="4">
        <v>3540</v>
      </c>
      <c r="C557" t="s" s="5">
        <v>3484</v>
      </c>
      <c r="D557" t="s" s="5">
        <v>3485</v>
      </c>
      <c r="E557" t="s" s="5">
        <v>3541</v>
      </c>
      <c r="F557" t="s" s="10">
        <v>3542</v>
      </c>
      <c r="G557" t="s" s="7">
        <v>3543</v>
      </c>
      <c r="H557" t="s" s="7">
        <v>3544</v>
      </c>
      <c r="I557" t="str" s="8" cm="1">
        <f t="array" ref="I557">SUBSTITUTE(H557,B557,"(          )")</f>
        <v>I need to clean my (          ) before starting work.</v>
      </c>
      <c r="J557" s="9" cm="1">
        <f t="array" ref="J557">SUMIF('외운 것 - 엑셀다운로드 파일(붙여넣기)'!A3:A562,A557,'외운 것 - 엑셀다운로드 파일(붙여넣기)'!D3:D562)</f>
        <v>0</v>
      </c>
      <c r="K557" s="9" cm="1">
        <f t="array" ref="K557">_xlfn.COUNTIFS('외운 것 - 엑셀다운로드 파일(붙여넣기)'!A3:A562,A557,'외운 것 - 엑셀다운로드 파일(붙여넣기)'!D3:D562,0)</f>
        <v>0</v>
      </c>
      <c r="L557" s="9" cm="1">
        <f t="array" ref="L557">IF(J557&gt;=3,_xlfn.XLOOKUP(A557,'외운 것 - 엑셀다운로드 파일(붙여넣기)'!A3:A562,'외운 것 - 엑셀다운로드 파일(붙여넣기)'!C3:C562,0,-1),0)</f>
        <v>0</v>
      </c>
    </row>
    <row r="558" ht="38.45" customHeight="1">
      <c r="A558" s="3">
        <v>557</v>
      </c>
      <c r="B558" t="s" s="4">
        <v>3546</v>
      </c>
      <c r="C558" t="s" s="5">
        <v>3484</v>
      </c>
      <c r="D558" t="s" s="5">
        <v>3485</v>
      </c>
      <c r="E558" t="s" s="5">
        <v>3547</v>
      </c>
      <c r="F558" t="s" s="10">
        <v>3548</v>
      </c>
      <c r="G558" t="s" s="7">
        <v>3549</v>
      </c>
      <c r="H558" t="s" s="7">
        <v>3550</v>
      </c>
      <c r="I558" t="str" s="8" cm="1">
        <f t="array" ref="I558">SUBSTITUTE(H558,B558,"(          )")</f>
        <v>We sat on the (          ) enjoying the ocean view.</v>
      </c>
      <c r="J558" s="9" cm="1">
        <f t="array" ref="J558">SUMIF('외운 것 - 엑셀다운로드 파일(붙여넣기)'!A3:A562,A558,'외운 것 - 엑셀다운로드 파일(붙여넣기)'!D3:D562)</f>
        <v>0</v>
      </c>
      <c r="K558" s="9" cm="1">
        <f t="array" ref="K558">_xlfn.COUNTIFS('외운 것 - 엑셀다운로드 파일(붙여넣기)'!A3:A562,A558,'외운 것 - 엑셀다운로드 파일(붙여넣기)'!D3:D562,0)</f>
        <v>0</v>
      </c>
      <c r="L558" s="9" cm="1">
        <f t="array" ref="L558">IF(J558&gt;=3,_xlfn.XLOOKUP(A558,'외운 것 - 엑셀다운로드 파일(붙여넣기)'!A3:A562,'외운 것 - 엑셀다운로드 파일(붙여넣기)'!C3:C562,0,-1),0)</f>
        <v>0</v>
      </c>
    </row>
    <row r="559" ht="38.45" customHeight="1">
      <c r="A559" s="3">
        <v>558</v>
      </c>
      <c r="B559" t="s" s="4">
        <v>3552</v>
      </c>
      <c r="C559" t="s" s="5">
        <v>3553</v>
      </c>
      <c r="D559" t="s" s="5">
        <v>3485</v>
      </c>
      <c r="E559" t="s" s="5">
        <v>3554</v>
      </c>
      <c r="F559" t="s" s="10">
        <v>3555</v>
      </c>
      <c r="G559" t="s" s="7">
        <v>3556</v>
      </c>
      <c r="H559" t="s" s="7">
        <v>3557</v>
      </c>
      <c r="I559" t="str" s="8" cm="1">
        <f t="array" ref="I559">SUBSTITUTE(H559,B559,"(          )")</f>
        <v>The (          ) student communicates using sign language.</v>
      </c>
      <c r="J559" s="9" cm="1">
        <f t="array" ref="J559">SUMIF('외운 것 - 엑셀다운로드 파일(붙여넣기)'!A3:A562,A559,'외운 것 - 엑셀다운로드 파일(붙여넣기)'!D3:D562)</f>
        <v>0</v>
      </c>
      <c r="K559" s="9" cm="1">
        <f t="array" ref="K559">_xlfn.COUNTIFS('외운 것 - 엑셀다운로드 파일(붙여넣기)'!A3:A562,A559,'외운 것 - 엑셀다운로드 파일(붙여넣기)'!D3:D562,0)</f>
        <v>0</v>
      </c>
      <c r="L559" s="9" cm="1">
        <f t="array" ref="L559">IF(J559&gt;=3,_xlfn.XLOOKUP(A559,'외운 것 - 엑셀다운로드 파일(붙여넣기)'!A3:A562,'외운 것 - 엑셀다운로드 파일(붙여넣기)'!C3:C562,0,-1),0)</f>
        <v>0</v>
      </c>
    </row>
    <row r="560" ht="38.45" customHeight="1">
      <c r="A560" s="3">
        <v>559</v>
      </c>
      <c r="B560" t="s" s="4">
        <v>3559</v>
      </c>
      <c r="C560" t="s" s="5">
        <v>3484</v>
      </c>
      <c r="D560" t="s" s="5">
        <v>3485</v>
      </c>
      <c r="E560" t="s" s="5">
        <v>3560</v>
      </c>
      <c r="F560" t="s" s="10">
        <v>3561</v>
      </c>
      <c r="G560" t="s" s="7">
        <v>3562</v>
      </c>
      <c r="H560" t="s" s="7">
        <v>3563</v>
      </c>
      <c r="I560" t="str" s="8" cm="1">
        <f t="array" ref="I560">SUBSTITUTE(H560,B560,"(          )")</f>
        <v>He continued to (          ) any involvement in the crime.</v>
      </c>
      <c r="J560" s="9" cm="1">
        <f t="array" ref="J560">SUMIF('외운 것 - 엑셀다운로드 파일(붙여넣기)'!A3:A562,A560,'외운 것 - 엑셀다운로드 파일(붙여넣기)'!D3:D562)</f>
        <v>0</v>
      </c>
      <c r="K560" s="9" cm="1">
        <f t="array" ref="K560">_xlfn.COUNTIFS('외운 것 - 엑셀다운로드 파일(붙여넣기)'!A3:A562,A560,'외운 것 - 엑셀다운로드 파일(붙여넣기)'!D3:D562,0)</f>
        <v>0</v>
      </c>
      <c r="L560" s="9" cm="1">
        <f t="array" ref="L560">IF(J560&gt;=3,_xlfn.XLOOKUP(A560,'외운 것 - 엑셀다운로드 파일(붙여넣기)'!A3:A562,'외운 것 - 엑셀다운로드 파일(붙여넣기)'!C3:C562,0,-1),0)</f>
        <v>0</v>
      </c>
    </row>
    <row r="561" ht="23.45" customHeight="1">
      <c r="A561" s="3">
        <v>560</v>
      </c>
      <c r="B561" t="s" s="4">
        <v>3565</v>
      </c>
      <c r="C561" t="s" s="5">
        <v>3484</v>
      </c>
      <c r="D561" t="s" s="5">
        <v>3485</v>
      </c>
      <c r="E561" t="s" s="5">
        <v>3566</v>
      </c>
      <c r="F561" t="s" s="10">
        <v>3567</v>
      </c>
      <c r="G561" t="s" s="7">
        <v>3568</v>
      </c>
      <c r="H561" t="s" s="7">
        <v>3569</v>
      </c>
      <c r="I561" t="str" s="8" cm="1">
        <f t="array" ref="I561">SUBSTITUTE(H561,B561,"(          )")</f>
        <v>The climber will (          ) gravity by scaling the vertical cliff.</v>
      </c>
      <c r="J561" s="9" cm="1">
        <f t="array" ref="J561">SUMIF('외운 것 - 엑셀다운로드 파일(붙여넣기)'!A3:A562,A561,'외운 것 - 엑셀다운로드 파일(붙여넣기)'!D3:D562)</f>
        <v>0</v>
      </c>
      <c r="K561" s="9" cm="1">
        <f t="array" ref="K561">_xlfn.COUNTIFS('외운 것 - 엑셀다운로드 파일(붙여넣기)'!A3:A562,A561,'외운 것 - 엑셀다운로드 파일(붙여넣기)'!D3:D562,0)</f>
        <v>0</v>
      </c>
      <c r="L561" s="9" cm="1">
        <f t="array" ref="L561">IF(J561&gt;=3,_xlfn.XLOOKUP(A561,'외운 것 - 엑셀다운로드 파일(붙여넣기)'!A3:A562,'외운 것 - 엑셀다운로드 파일(붙여넣기)'!C3:C562,0,-1),0)</f>
        <v>0</v>
      </c>
    </row>
    <row r="562" ht="38.45" customHeight="1">
      <c r="A562" s="3">
        <v>561</v>
      </c>
      <c r="B562" t="s" s="4">
        <v>3571</v>
      </c>
      <c r="C562" t="s" s="5">
        <v>3484</v>
      </c>
      <c r="D562" t="s" s="5">
        <v>3485</v>
      </c>
      <c r="E562" t="s" s="5">
        <v>3572</v>
      </c>
      <c r="F562" t="s" s="10">
        <v>3573</v>
      </c>
      <c r="G562" t="s" s="7">
        <v>3574</v>
      </c>
      <c r="H562" t="s" s="7">
        <v>3575</v>
      </c>
      <c r="I562" t="str" s="8" cm="1">
        <f t="array" ref="I562">SUBSTITUTE(H562,B562,"(          )")</f>
        <v>Violent movies might (          ) young minds.</v>
      </c>
      <c r="J562" s="9" cm="1">
        <f t="array" ref="J562">SUMIF('외운 것 - 엑셀다운로드 파일(붙여넣기)'!A3:A562,A562,'외운 것 - 엑셀다운로드 파일(붙여넣기)'!D3:D562)</f>
        <v>0</v>
      </c>
      <c r="K562" s="9" cm="1">
        <f t="array" ref="K562">_xlfn.COUNTIFS('외운 것 - 엑셀다운로드 파일(붙여넣기)'!A3:A562,A562,'외운 것 - 엑셀다운로드 파일(붙여넣기)'!D3:D562,0)</f>
        <v>0</v>
      </c>
      <c r="L562" s="9" cm="1">
        <f t="array" ref="L562">IF(J562&gt;=3,_xlfn.XLOOKUP(A562,'외운 것 - 엑셀다운로드 파일(붙여넣기)'!A3:A562,'외운 것 - 엑셀다운로드 파일(붙여넣기)'!C3:C562,0,-1),0)</f>
        <v>0</v>
      </c>
    </row>
    <row r="563" ht="38.45" customHeight="1">
      <c r="A563" s="3">
        <v>562</v>
      </c>
      <c r="B563" t="s" s="4">
        <v>3577</v>
      </c>
      <c r="C563" t="s" s="5">
        <v>3484</v>
      </c>
      <c r="D563" t="s" s="5">
        <v>3485</v>
      </c>
      <c r="E563" t="s" s="5">
        <v>3578</v>
      </c>
      <c r="F563" t="s" s="10">
        <v>3579</v>
      </c>
      <c r="G563" t="s" s="7">
        <v>3580</v>
      </c>
      <c r="H563" t="s" s="7">
        <v>3581</v>
      </c>
      <c r="I563" t="str" s="8" cm="1">
        <f t="array" ref="I563">SUBSTITUTE(H563,B563,"(          )")</f>
        <v>The flood will (          ) many homes in the area.</v>
      </c>
      <c r="J563" s="9" cm="1">
        <f t="array" ref="J563">SUMIF('외운 것 - 엑셀다운로드 파일(붙여넣기)'!A3:A562,A563,'외운 것 - 엑셀다운로드 파일(붙여넣기)'!D3:D562)</f>
        <v>0</v>
      </c>
      <c r="K563" s="9" cm="1">
        <f t="array" ref="K563">_xlfn.COUNTIFS('외운 것 - 엑셀다운로드 파일(붙여넣기)'!A3:A562,A563,'외운 것 - 엑셀다운로드 파일(붙여넣기)'!D3:D562,0)</f>
        <v>0</v>
      </c>
      <c r="L563" s="9" cm="1">
        <f t="array" ref="L563">IF(J563&gt;=3,_xlfn.XLOOKUP(A563,'외운 것 - 엑셀다운로드 파일(붙여넣기)'!A3:A562,'외운 것 - 엑셀다운로드 파일(붙여넣기)'!C3:C562,0,-1),0)</f>
        <v>0</v>
      </c>
    </row>
    <row r="564" ht="38.45" customHeight="1">
      <c r="A564" s="3">
        <v>563</v>
      </c>
      <c r="B564" t="s" s="4">
        <v>3583</v>
      </c>
      <c r="C564" t="s" s="5">
        <v>3484</v>
      </c>
      <c r="D564" t="s" s="5">
        <v>3485</v>
      </c>
      <c r="E564" t="s" s="5">
        <v>3584</v>
      </c>
      <c r="F564" t="s" s="10">
        <v>3585</v>
      </c>
      <c r="G564" t="s" s="7">
        <v>3586</v>
      </c>
      <c r="H564" t="s" s="7">
        <v>3587</v>
      </c>
      <c r="I564" t="str" s="8" cm="1">
        <f t="array" ref="I564">SUBSTITUTE(H564,B564,"(          )")</f>
        <v>They plan to (          ) the old building next month.</v>
      </c>
      <c r="J564" s="9" cm="1">
        <f t="array" ref="J564">SUMIF('외운 것 - 엑셀다운로드 파일(붙여넣기)'!A3:A562,A564,'외운 것 - 엑셀다운로드 파일(붙여넣기)'!D3:D562)</f>
        <v>0</v>
      </c>
      <c r="K564" s="9" cm="1">
        <f t="array" ref="K564">_xlfn.COUNTIFS('외운 것 - 엑셀다운로드 파일(붙여넣기)'!A3:A562,A564,'외운 것 - 엑셀다운로드 파일(붙여넣기)'!D3:D562,0)</f>
        <v>0</v>
      </c>
      <c r="L564" s="9" cm="1">
        <f t="array" ref="L564">IF(J564&gt;=3,_xlfn.XLOOKUP(A564,'외운 것 - 엑셀다운로드 파일(붙여넣기)'!A3:A562,'외운 것 - 엑셀다운로드 파일(붙여넣기)'!C3:C562,0,-1),0)</f>
        <v>0</v>
      </c>
    </row>
    <row r="565" ht="38.45" customHeight="1">
      <c r="A565" s="3">
        <v>564</v>
      </c>
      <c r="B565" t="s" s="4">
        <v>3589</v>
      </c>
      <c r="C565" t="s" s="5">
        <v>3484</v>
      </c>
      <c r="D565" t="s" s="5">
        <v>3485</v>
      </c>
      <c r="E565" t="s" s="5">
        <v>3590</v>
      </c>
      <c r="F565" t="s" s="10">
        <v>3591</v>
      </c>
      <c r="G565" t="s" s="7">
        <v>3592</v>
      </c>
      <c r="H565" t="s" s="7">
        <v>3593</v>
      </c>
      <c r="I565" t="str" s="8" cm="1">
        <f t="array" ref="I565">SUBSTITUTE(H565,B565,"(          )")</f>
        <v>Workers cleared (          ) from the construction site.</v>
      </c>
      <c r="J565" s="9" cm="1">
        <f t="array" ref="J565">SUMIF('외운 것 - 엑셀다운로드 파일(붙여넣기)'!A3:A562,A565,'외운 것 - 엑셀다운로드 파일(붙여넣기)'!D3:D562)</f>
        <v>0</v>
      </c>
      <c r="K565" s="9" cm="1">
        <f t="array" ref="K565">_xlfn.COUNTIFS('외운 것 - 엑셀다운로드 파일(붙여넣기)'!A3:A562,A565,'외운 것 - 엑셀다운로드 파일(붙여넣기)'!D3:D562,0)</f>
        <v>0</v>
      </c>
      <c r="L565" s="9" cm="1">
        <f t="array" ref="L565">IF(J565&gt;=3,_xlfn.XLOOKUP(A565,'외운 것 - 엑셀다운로드 파일(붙여넣기)'!A3:A562,'외운 것 - 엑셀다운로드 파일(붙여넣기)'!C3:C562,0,-1),0)</f>
        <v>0</v>
      </c>
    </row>
    <row r="566" ht="38.45" customHeight="1">
      <c r="A566" s="3">
        <v>565</v>
      </c>
      <c r="B566" t="s" s="4">
        <v>3595</v>
      </c>
      <c r="C566" t="s" s="5">
        <v>3553</v>
      </c>
      <c r="D566" t="s" s="5">
        <v>3485</v>
      </c>
      <c r="E566" t="s" s="5">
        <v>3596</v>
      </c>
      <c r="F566" t="s" s="10">
        <v>3597</v>
      </c>
      <c r="G566" t="s" s="7">
        <v>3598</v>
      </c>
      <c r="H566" t="s" s="7">
        <v>3599</v>
      </c>
      <c r="I566" t="str" s="8" cm="1">
        <f t="array" ref="I566">SUBSTITUTE(H566,B566,"(          )")</f>
        <v>The court (          )ed the evidence inadmissible.</v>
      </c>
      <c r="J566" s="9" cm="1">
        <f t="array" ref="J566">SUMIF('외운 것 - 엑셀다운로드 파일(붙여넣기)'!A3:A562,A566,'외운 것 - 엑셀다운로드 파일(붙여넣기)'!D3:D562)</f>
        <v>0</v>
      </c>
      <c r="K566" s="9" cm="1">
        <f t="array" ref="K566">_xlfn.COUNTIFS('외운 것 - 엑셀다운로드 파일(붙여넣기)'!A3:A562,A566,'외운 것 - 엑셀다운로드 파일(붙여넣기)'!D3:D562,0)</f>
        <v>0</v>
      </c>
      <c r="L566" s="9" cm="1">
        <f t="array" ref="L566">IF(J566&gt;=3,_xlfn.XLOOKUP(A566,'외운 것 - 엑셀다운로드 파일(붙여넣기)'!A3:A562,'외운 것 - 엑셀다운로드 파일(붙여넣기)'!C3:C562,0,-1),0)</f>
        <v>0</v>
      </c>
    </row>
    <row r="567" ht="36.4" customHeight="1">
      <c r="A567" s="3">
        <v>566</v>
      </c>
      <c r="B567" t="s" s="4">
        <v>3601</v>
      </c>
      <c r="C567" t="s" s="5">
        <v>3602</v>
      </c>
      <c r="D567" t="s" s="5">
        <v>3485</v>
      </c>
      <c r="E567" t="s" s="5">
        <v>3603</v>
      </c>
      <c r="F567" t="s" s="10">
        <v>3604</v>
      </c>
      <c r="G567" t="s" s="7">
        <v>3605</v>
      </c>
      <c r="H567" t="s" s="7">
        <v>3606</v>
      </c>
      <c r="I567" t="str" s="8" cm="1">
        <f t="array" ref="I567">SUBSTITUTE(H567,B567,"(          )")</f>
        <v>You can (          ) your points for free merchandise.</v>
      </c>
      <c r="J567" s="9" cm="1">
        <f t="array" ref="J567">SUMIF('외운 것 - 엑셀다운로드 파일(붙여넣기)'!A3:A562,A567,'외운 것 - 엑셀다운로드 파일(붙여넣기)'!D3:D562)</f>
        <v>0</v>
      </c>
      <c r="K567" s="9" cm="1">
        <f t="array" ref="K567">_xlfn.COUNTIFS('외운 것 - 엑셀다운로드 파일(붙여넣기)'!A3:A562,A567,'외운 것 - 엑셀다운로드 파일(붙여넣기)'!D3:D562,0)</f>
        <v>0</v>
      </c>
      <c r="L567" s="9" cm="1">
        <f t="array" ref="L567">IF(J567&gt;=3,_xlfn.XLOOKUP(A567,'외운 것 - 엑셀다운로드 파일(붙여넣기)'!A3:A562,'외운 것 - 엑셀다운로드 파일(붙여넣기)'!C3:C562,0,-1),0)</f>
        <v>0</v>
      </c>
    </row>
    <row r="568" ht="36.4" customHeight="1">
      <c r="A568" s="3">
        <v>567</v>
      </c>
      <c r="B568" t="s" s="4">
        <v>3608</v>
      </c>
      <c r="C568" t="s" s="5">
        <v>3609</v>
      </c>
      <c r="D568" t="s" s="5">
        <v>3485</v>
      </c>
      <c r="E568" t="s" s="5">
        <v>3610</v>
      </c>
      <c r="F568" t="s" s="10">
        <v>3611</v>
      </c>
      <c r="G568" t="s" s="7">
        <v>3612</v>
      </c>
      <c r="H568" t="s" s="7">
        <v>3613</v>
      </c>
      <c r="I568" t="str" s="8" cm="1">
        <f t="array" ref="I568">SUBSTITUTE(H568,B568,"(          )")</f>
        <v>The movie tells a powerful story of (          ).</v>
      </c>
      <c r="J568" s="9" cm="1">
        <f t="array" ref="J568">SUMIF('외운 것 - 엑셀다운로드 파일(붙여넣기)'!A3:A562,A568,'외운 것 - 엑셀다운로드 파일(붙여넣기)'!D3:D562)</f>
        <v>0</v>
      </c>
      <c r="K568" s="9" cm="1">
        <f t="array" ref="K568">_xlfn.COUNTIFS('외운 것 - 엑셀다운로드 파일(붙여넣기)'!A3:A562,A568,'외운 것 - 엑셀다운로드 파일(붙여넣기)'!D3:D562,0)</f>
        <v>0</v>
      </c>
      <c r="L568" s="9" cm="1">
        <f t="array" ref="L568">IF(J568&gt;=3,_xlfn.XLOOKUP(A568,'외운 것 - 엑셀다운로드 파일(붙여넣기)'!A3:A562,'외운 것 - 엑셀다운로드 파일(붙여넣기)'!C3:C562,0,-1),0)</f>
        <v>0</v>
      </c>
    </row>
    <row r="569" ht="38.45" customHeight="1">
      <c r="A569" s="3">
        <v>568</v>
      </c>
      <c r="B569" t="s" s="4">
        <v>3615</v>
      </c>
      <c r="C569" t="s" s="5">
        <v>3484</v>
      </c>
      <c r="D569" t="s" s="5">
        <v>3485</v>
      </c>
      <c r="E569" t="s" s="5">
        <v>3616</v>
      </c>
      <c r="F569" t="s" s="10">
        <v>3617</v>
      </c>
      <c r="G569" t="s" s="7">
        <v>3618</v>
      </c>
      <c r="H569" t="s" s="7">
        <v>3619</v>
      </c>
      <c r="I569" t="str" s="8" cm="1">
        <f t="array" ref="I569">SUBSTITUTE(H569,B569,"(          )")</f>
        <v>The (          ) worshippers attend services every week.</v>
      </c>
      <c r="J569" s="9" cm="1">
        <f t="array" ref="J569">SUMIF('외운 것 - 엑셀다운로드 파일(붙여넣기)'!A3:A562,A569,'외운 것 - 엑셀다운로드 파일(붙여넣기)'!D3:D562)</f>
        <v>0</v>
      </c>
      <c r="K569" s="9" cm="1">
        <f t="array" ref="K569">_xlfn.COUNTIFS('외운 것 - 엑셀다운로드 파일(붙여넣기)'!A3:A562,A569,'외운 것 - 엑셀다운로드 파일(붙여넣기)'!D3:D562,0)</f>
        <v>0</v>
      </c>
      <c r="L569" s="9" cm="1">
        <f t="array" ref="L569">IF(J569&gt;=3,_xlfn.XLOOKUP(A569,'외운 것 - 엑셀다운로드 파일(붙여넣기)'!A3:A562,'외운 것 - 엑셀다운로드 파일(붙여넣기)'!C3:C562,0,-1),0)</f>
        <v>0</v>
      </c>
    </row>
    <row r="570" ht="38.45" customHeight="1">
      <c r="A570" s="3">
        <v>569</v>
      </c>
      <c r="B570" t="s" s="4">
        <v>3621</v>
      </c>
      <c r="C570" t="s" s="5">
        <v>3484</v>
      </c>
      <c r="D570" t="s" s="5">
        <v>3485</v>
      </c>
      <c r="E570" t="s" s="5">
        <v>3622</v>
      </c>
      <c r="F570" t="s" s="10">
        <v>3623</v>
      </c>
      <c r="G570" t="s" s="7">
        <v>3624</v>
      </c>
      <c r="H570" t="s" s="7">
        <v>3625</v>
      </c>
      <c r="I570" t="str" s="8" cm="1">
        <f t="array" ref="I570">SUBSTITUTE(H570,B570,"(          )")</f>
        <v>Researchers (          ) into the mysteries of the universe.</v>
      </c>
      <c r="J570" s="9" cm="1">
        <f t="array" ref="J570">SUMIF('외운 것 - 엑셀다운로드 파일(붙여넣기)'!A3:A562,A570,'외운 것 - 엑셀다운로드 파일(붙여넣기)'!D3:D562)</f>
        <v>0</v>
      </c>
      <c r="K570" s="9" cm="1">
        <f t="array" ref="K570">_xlfn.COUNTIFS('외운 것 - 엑셀다운로드 파일(붙여넣기)'!A3:A562,A570,'외운 것 - 엑셀다운로드 파일(붙여넣기)'!D3:D562,0)</f>
        <v>0</v>
      </c>
      <c r="L570" s="9" cm="1">
        <f t="array" ref="L570">IF(J570&gt;=3,_xlfn.XLOOKUP(A570,'외운 것 - 엑셀다운로드 파일(붙여넣기)'!A3:A562,'외운 것 - 엑셀다운로드 파일(붙여넣기)'!C3:C562,0,-1),0)</f>
        <v>0</v>
      </c>
    </row>
    <row r="571" ht="38.45" customHeight="1">
      <c r="A571" s="3">
        <v>570</v>
      </c>
      <c r="B571" t="s" s="4">
        <v>3627</v>
      </c>
      <c r="C571" t="s" s="5">
        <v>3484</v>
      </c>
      <c r="D571" t="s" s="5">
        <v>3485</v>
      </c>
      <c r="E571" t="s" s="5">
        <v>3628</v>
      </c>
      <c r="F571" t="s" s="10">
        <v>3629</v>
      </c>
      <c r="G571" t="s" s="7">
        <v>3630</v>
      </c>
      <c r="H571" t="s" s="7">
        <v>3631</v>
      </c>
      <c r="I571" t="str" s="8" cm="1">
        <f t="array" ref="I571">SUBSTITUTE(H571,B571,"(          )")</f>
        <v>The train will (          ) from platform 3.</v>
      </c>
      <c r="J571" s="9" cm="1">
        <f t="array" ref="J571">SUMIF('외운 것 - 엑셀다운로드 파일(붙여넣기)'!A3:A562,A571,'외운 것 - 엑셀다운로드 파일(붙여넣기)'!D3:D562)</f>
        <v>0</v>
      </c>
      <c r="K571" s="9" cm="1">
        <f t="array" ref="K571">_xlfn.COUNTIFS('외운 것 - 엑셀다운로드 파일(붙여넣기)'!A3:A562,A571,'외운 것 - 엑셀다운로드 파일(붙여넣기)'!D3:D562,0)</f>
        <v>0</v>
      </c>
      <c r="L571" s="9" cm="1">
        <f t="array" ref="L571">IF(J571&gt;=3,_xlfn.XLOOKUP(A571,'외운 것 - 엑셀다운로드 파일(붙여넣기)'!A3:A562,'외운 것 - 엑셀다운로드 파일(붙여넣기)'!C3:C562,0,-1),0)</f>
        <v>0</v>
      </c>
    </row>
    <row r="572" ht="23.45" customHeight="1">
      <c r="A572" s="3">
        <v>571</v>
      </c>
      <c r="B572" t="s" s="4">
        <v>3633</v>
      </c>
      <c r="C572" t="s" s="5">
        <v>3484</v>
      </c>
      <c r="D572" t="s" s="5">
        <v>3485</v>
      </c>
      <c r="E572" t="s" s="5">
        <v>3634</v>
      </c>
      <c r="F572" t="s" s="10">
        <v>3635</v>
      </c>
      <c r="G572" t="s" s="7">
        <v>3636</v>
      </c>
      <c r="H572" t="s" s="7">
        <v>3637</v>
      </c>
      <c r="I572" t="str" s="8" cm="1">
        <f t="array" ref="I572">SUBSTITUTE(H572,B572,"(          )")</f>
        <v>Bad weather may (          ) our flight.</v>
      </c>
      <c r="J572" s="9" cm="1">
        <f t="array" ref="J572">SUMIF('외운 것 - 엑셀다운로드 파일(붙여넣기)'!A3:A562,A572,'외운 것 - 엑셀다운로드 파일(붙여넣기)'!D3:D562)</f>
        <v>0</v>
      </c>
      <c r="K572" s="9" cm="1">
        <f t="array" ref="K572">_xlfn.COUNTIFS('외운 것 - 엑셀다운로드 파일(붙여넣기)'!A3:A562,A572,'외운 것 - 엑셀다운로드 파일(붙여넣기)'!D3:D562,0)</f>
        <v>0</v>
      </c>
      <c r="L572" s="9" cm="1">
        <f t="array" ref="L572">IF(J572&gt;=3,_xlfn.XLOOKUP(A572,'외운 것 - 엑셀다운로드 파일(붙여넣기)'!A3:A562,'외운 것 - 엑셀다운로드 파일(붙여넣기)'!C3:C562,0,-1),0)</f>
        <v>0</v>
      </c>
    </row>
    <row r="573" ht="38.45" customHeight="1">
      <c r="A573" s="3">
        <v>572</v>
      </c>
      <c r="B573" t="s" s="4">
        <v>3639</v>
      </c>
      <c r="C573" t="s" s="5">
        <v>3640</v>
      </c>
      <c r="D573" t="s" s="5">
        <v>3641</v>
      </c>
      <c r="E573" t="s" s="5">
        <v>3642</v>
      </c>
      <c r="F573" t="s" s="10">
        <v>3643</v>
      </c>
      <c r="G573" t="s" s="7">
        <v>3644</v>
      </c>
      <c r="H573" t="s" s="7">
        <v>3645</v>
      </c>
      <c r="I573" t="str" s="8" cm="1">
        <f t="array" ref="I573">SUBSTITUTE(H573,B573,"(          )")</f>
        <v>The (          ) between the characters reveals their relationship.</v>
      </c>
      <c r="J573" s="9" cm="1">
        <f t="array" ref="J573">SUMIF('외운 것 - 엑셀다운로드 파일(붙여넣기)'!A3:A562,A573,'외운 것 - 엑셀다운로드 파일(붙여넣기)'!D3:D562)</f>
        <v>0</v>
      </c>
      <c r="K573" s="9" cm="1">
        <f t="array" ref="K573">_xlfn.COUNTIFS('외운 것 - 엑셀다운로드 파일(붙여넣기)'!A3:A562,A573,'외운 것 - 엑셀다운로드 파일(붙여넣기)'!D3:D562,0)</f>
        <v>0</v>
      </c>
      <c r="L573" s="9" cm="1">
        <f t="array" ref="L573">IF(J573&gt;=3,_xlfn.XLOOKUP(A573,'외운 것 - 엑셀다운로드 파일(붙여넣기)'!A3:A562,'외운 것 - 엑셀다운로드 파일(붙여넣기)'!C3:C562,0,-1),0)</f>
        <v>0</v>
      </c>
    </row>
    <row r="574" ht="38.45" customHeight="1">
      <c r="A574" s="3">
        <v>573</v>
      </c>
      <c r="B574" t="s" s="4">
        <v>3647</v>
      </c>
      <c r="C574" t="s" s="5">
        <v>3640</v>
      </c>
      <c r="D574" t="s" s="5">
        <v>3641</v>
      </c>
      <c r="E574" t="s" s="5">
        <v>3648</v>
      </c>
      <c r="F574" t="s" s="10">
        <v>3649</v>
      </c>
      <c r="G574" t="s" s="7">
        <v>3650</v>
      </c>
      <c r="H574" t="s" s="7">
        <v>3651</v>
      </c>
      <c r="I574" t="str" s="8" cm="1">
        <f t="array" ref="I574">SUBSTITUTE(H574,B574,"(          )")</f>
        <v>A mountain range (          )s the two countries.</v>
      </c>
      <c r="J574" s="9" cm="1">
        <f t="array" ref="J574">SUMIF('외운 것 - 엑셀다운로드 파일(붙여넣기)'!A3:A562,A574,'외운 것 - 엑셀다운로드 파일(붙여넣기)'!D3:D562)</f>
        <v>0</v>
      </c>
      <c r="K574" s="9" cm="1">
        <f t="array" ref="K574">_xlfn.COUNTIFS('외운 것 - 엑셀다운로드 파일(붙여넣기)'!A3:A562,A574,'외운 것 - 엑셀다운로드 파일(붙여넣기)'!D3:D562,0)</f>
        <v>0</v>
      </c>
      <c r="L574" s="9" cm="1">
        <f t="array" ref="L574">IF(J574&gt;=3,_xlfn.XLOOKUP(A574,'외운 것 - 엑셀다운로드 파일(붙여넣기)'!A3:A562,'외운 것 - 엑셀다운로드 파일(붙여넣기)'!C3:C562,0,-1),0)</f>
        <v>0</v>
      </c>
    </row>
    <row r="575" ht="23.45" customHeight="1">
      <c r="A575" s="3">
        <v>574</v>
      </c>
      <c r="B575" t="s" s="4">
        <v>3653</v>
      </c>
      <c r="C575" t="s" s="5">
        <v>3654</v>
      </c>
      <c r="D575" t="s" s="5">
        <v>3640</v>
      </c>
      <c r="E575" t="s" s="5">
        <v>3655</v>
      </c>
      <c r="F575" t="s" s="10">
        <v>3656</v>
      </c>
      <c r="G575" t="s" s="7">
        <v>3657</v>
      </c>
      <c r="H575" t="s" s="7">
        <v>3658</v>
      </c>
      <c r="I575" t="str" s="8" cm="1">
        <f t="array" ref="I575">SUBSTITUTE(H575,B575,"(          )")</f>
        <v>The (          ) of labor made the work more efficient.</v>
      </c>
      <c r="J575" s="9" cm="1">
        <f t="array" ref="J575">SUMIF('외운 것 - 엑셀다운로드 파일(붙여넣기)'!A3:A562,A575,'외운 것 - 엑셀다운로드 파일(붙여넣기)'!D3:D562)</f>
        <v>0</v>
      </c>
      <c r="K575" s="9" cm="1">
        <f t="array" ref="K575">_xlfn.COUNTIFS('외운 것 - 엑셀다운로드 파일(붙여넣기)'!A3:A562,A575,'외운 것 - 엑셀다운로드 파일(붙여넣기)'!D3:D562,0)</f>
        <v>0</v>
      </c>
      <c r="L575" s="9" cm="1">
        <f t="array" ref="L575">IF(J575&gt;=3,_xlfn.XLOOKUP(A575,'외운 것 - 엑셀다운로드 파일(붙여넣기)'!A3:A562,'외운 것 - 엑셀다운로드 파일(붙여넣기)'!C3:C562,0,-1),0)</f>
        <v>0</v>
      </c>
    </row>
    <row r="576" ht="23.45" customHeight="1">
      <c r="A576" s="3">
        <v>575</v>
      </c>
      <c r="B576" t="s" s="4">
        <v>3660</v>
      </c>
      <c r="C576" t="s" s="5">
        <v>3654</v>
      </c>
      <c r="D576" t="s" s="5">
        <v>3640</v>
      </c>
      <c r="E576" t="s" s="5">
        <v>3661</v>
      </c>
      <c r="F576" t="s" s="10">
        <v>3662</v>
      </c>
      <c r="G576" t="s" s="7">
        <v>3663</v>
      </c>
      <c r="H576" t="s" s="7">
        <v>3664</v>
      </c>
      <c r="I576" t="str" s="8" cm="1">
        <f t="array" ref="I576">SUBSTITUTE(H576,B576,"(          )")</f>
        <v>The company pays a (          ) to shareholders quarterly.</v>
      </c>
      <c r="J576" s="9" cm="1">
        <f t="array" ref="J576">SUMIF('외운 것 - 엑셀다운로드 파일(붙여넣기)'!A3:A562,A576,'외운 것 - 엑셀다운로드 파일(붙여넣기)'!D3:D562)</f>
        <v>0</v>
      </c>
      <c r="K576" s="9" cm="1">
        <f t="array" ref="K576">_xlfn.COUNTIFS('외운 것 - 엑셀다운로드 파일(붙여넣기)'!A3:A562,A576,'외운 것 - 엑셀다운로드 파일(붙여넣기)'!D3:D562,0)</f>
        <v>0</v>
      </c>
      <c r="L576" s="9" cm="1">
        <f t="array" ref="L576">IF(J576&gt;=3,_xlfn.XLOOKUP(A576,'외운 것 - 엑셀다운로드 파일(붙여넣기)'!A3:A562,'외운 것 - 엑셀다운로드 파일(붙여넣기)'!C3:C562,0,-1),0)</f>
        <v>0</v>
      </c>
    </row>
    <row r="577" ht="38.45" customHeight="1">
      <c r="A577" s="3">
        <v>576</v>
      </c>
      <c r="B577" t="s" s="4">
        <v>3666</v>
      </c>
      <c r="C577" t="s" s="5">
        <v>3654</v>
      </c>
      <c r="D577" t="s" s="5">
        <v>3640</v>
      </c>
      <c r="E577" t="s" s="5">
        <v>3667</v>
      </c>
      <c r="F577" t="s" s="10">
        <v>3668</v>
      </c>
      <c r="G577" t="s" s="7">
        <v>3669</v>
      </c>
      <c r="H577" t="s" s="7">
        <v>3670</v>
      </c>
      <c r="I577" t="str" s="8" cm="1">
        <f t="array" ref="I577">SUBSTITUTE(H577,B577,"(          )")</f>
        <v>This electronic (          ) can translate 50 languages.</v>
      </c>
      <c r="J577" s="9" cm="1">
        <f t="array" ref="J577">SUMIF('외운 것 - 엑셀다운로드 파일(붙여넣기)'!A3:A562,A577,'외운 것 - 엑셀다운로드 파일(붙여넣기)'!D3:D562)</f>
        <v>0</v>
      </c>
      <c r="K577" s="9" cm="1">
        <f t="array" ref="K577">_xlfn.COUNTIFS('외운 것 - 엑셀다운로드 파일(붙여넣기)'!A3:A562,A577,'외운 것 - 엑셀다운로드 파일(붙여넣기)'!D3:D562,0)</f>
        <v>0</v>
      </c>
      <c r="L577" s="9" cm="1">
        <f t="array" ref="L577">IF(J577&gt;=3,_xlfn.XLOOKUP(A577,'외운 것 - 엑셀다운로드 파일(붙여넣기)'!A3:A562,'외운 것 - 엑셀다운로드 파일(붙여넣기)'!C3:C562,0,-1),0)</f>
        <v>0</v>
      </c>
    </row>
    <row r="578" ht="38.45" customHeight="1">
      <c r="A578" s="3">
        <v>577</v>
      </c>
      <c r="B578" t="s" s="4">
        <v>3672</v>
      </c>
      <c r="C578" t="s" s="5">
        <v>3654</v>
      </c>
      <c r="D578" t="s" s="5">
        <v>3640</v>
      </c>
      <c r="E578" t="s" s="5">
        <v>3673</v>
      </c>
      <c r="F578" t="s" s="10">
        <v>3674</v>
      </c>
      <c r="G578" t="s" s="7">
        <v>3675</v>
      </c>
      <c r="H578" t="s" s="7">
        <v>3676</v>
      </c>
      <c r="I578" t="str" s="8" cm="1">
        <f t="array" ref="I578">SUBSTITUTE(H578,B578,"(          )")</f>
        <v>Each (          ) has unique talents and abilities.</v>
      </c>
      <c r="J578" s="9" cm="1">
        <f t="array" ref="J578">SUMIF('외운 것 - 엑셀다운로드 파일(붙여넣기)'!A3:A562,A578,'외운 것 - 엑셀다운로드 파일(붙여넣기)'!D3:D562)</f>
        <v>0</v>
      </c>
      <c r="K578" s="9" cm="1">
        <f t="array" ref="K578">_xlfn.COUNTIFS('외운 것 - 엑셀다운로드 파일(붙여넣기)'!A3:A562,A578,'외운 것 - 엑셀다운로드 파일(붙여넣기)'!D3:D562,0)</f>
        <v>0</v>
      </c>
      <c r="L578" s="9" cm="1">
        <f t="array" ref="L578">IF(J578&gt;=3,_xlfn.XLOOKUP(A578,'외운 것 - 엑셀다운로드 파일(붙여넣기)'!A3:A562,'외운 것 - 엑셀다운로드 파일(붙여넣기)'!C3:C562,0,-1),0)</f>
        <v>0</v>
      </c>
    </row>
    <row r="579" ht="38.45" customHeight="1">
      <c r="A579" s="3">
        <v>578</v>
      </c>
      <c r="B579" t="s" s="4">
        <v>3678</v>
      </c>
      <c r="C579" t="s" s="5">
        <v>3640</v>
      </c>
      <c r="D579" t="s" s="5">
        <v>3641</v>
      </c>
      <c r="E579" t="s" s="5">
        <v>3679</v>
      </c>
      <c r="F579" t="s" s="10">
        <v>3680</v>
      </c>
      <c r="G579" t="s" s="7">
        <v>3681</v>
      </c>
      <c r="H579" t="s" s="7">
        <v>3682</v>
      </c>
      <c r="I579" t="str" s="8" cm="1">
        <f t="array" ref="I579">SUBSTITUTE(H579,B579,"(          )")</f>
        <v>She faced a (          ) when offered two jobs simultaneously.</v>
      </c>
      <c r="J579" s="9" cm="1">
        <f t="array" ref="J579">SUMIF('외운 것 - 엑셀다운로드 파일(붙여넣기)'!A3:A562,A579,'외운 것 - 엑셀다운로드 파일(붙여넣기)'!D3:D562)</f>
        <v>0</v>
      </c>
      <c r="K579" s="9" cm="1">
        <f t="array" ref="K579">_xlfn.COUNTIFS('외운 것 - 엑셀다운로드 파일(붙여넣기)'!A3:A562,A579,'외운 것 - 엑셀다운로드 파일(붙여넣기)'!D3:D562,0)</f>
        <v>0</v>
      </c>
      <c r="L579" s="9" cm="1">
        <f t="array" ref="L579">IF(J579&gt;=3,_xlfn.XLOOKUP(A579,'외운 것 - 엑셀다운로드 파일(붙여넣기)'!A3:A562,'외운 것 - 엑셀다운로드 파일(붙여넣기)'!C3:C562,0,-1),0)</f>
        <v>0</v>
      </c>
    </row>
    <row r="580" ht="38.45" customHeight="1">
      <c r="A580" s="3">
        <v>579</v>
      </c>
      <c r="B580" t="s" s="4">
        <v>3684</v>
      </c>
      <c r="C580" t="s" s="5">
        <v>3640</v>
      </c>
      <c r="D580" t="s" s="5">
        <v>3641</v>
      </c>
      <c r="E580" t="s" s="5">
        <v>3685</v>
      </c>
      <c r="F580" t="s" s="10">
        <v>3686</v>
      </c>
      <c r="G580" t="s" s="7">
        <v>3687</v>
      </c>
      <c r="H580" t="s" s="7">
        <v>3688</v>
      </c>
      <c r="I580" t="str" s="8" cm="1">
        <f t="array" ref="I580">SUBSTITUTE(H580,B580,"(          )")</f>
        <v>Your pupils (          ) in dim light.</v>
      </c>
      <c r="J580" s="9" cm="1">
        <f t="array" ref="J580">SUMIF('외운 것 - 엑셀다운로드 파일(붙여넣기)'!A3:A562,A580,'외운 것 - 엑셀다운로드 파일(붙여넣기)'!D3:D562)</f>
        <v>0</v>
      </c>
      <c r="K580" s="9" cm="1">
        <f t="array" ref="K580">_xlfn.COUNTIFS('외운 것 - 엑셀다운로드 파일(붙여넣기)'!A3:A562,A580,'외운 것 - 엑셀다운로드 파일(붙여넣기)'!D3:D562,0)</f>
        <v>0</v>
      </c>
      <c r="L580" s="9" cm="1">
        <f t="array" ref="L580">IF(J580&gt;=3,_xlfn.XLOOKUP(A580,'외운 것 - 엑셀다운로드 파일(붙여넣기)'!A3:A562,'외운 것 - 엑셀다운로드 파일(붙여넣기)'!C3:C562,0,-1),0)</f>
        <v>0</v>
      </c>
    </row>
    <row r="581" ht="38.45" customHeight="1">
      <c r="A581" s="3">
        <v>580</v>
      </c>
      <c r="B581" t="s" s="4">
        <v>3690</v>
      </c>
      <c r="C581" t="s" s="5">
        <v>3640</v>
      </c>
      <c r="D581" t="s" s="5">
        <v>3641</v>
      </c>
      <c r="E581" t="s" s="5">
        <v>3691</v>
      </c>
      <c r="F581" t="s" s="10">
        <v>3692</v>
      </c>
      <c r="G581" t="s" s="7">
        <v>3693</v>
      </c>
      <c r="H581" t="s" s="7">
        <v>3694</v>
      </c>
      <c r="I581" t="str" s="8" cm="1">
        <f t="array" ref="I581">SUBSTITUTE(H581,B581,"(          )")</f>
        <v>The couple decided to (          ) after ten years of marriage.</v>
      </c>
      <c r="J581" s="9" cm="1">
        <f t="array" ref="J581">SUMIF('외운 것 - 엑셀다운로드 파일(붙여넣기)'!A3:A562,A581,'외운 것 - 엑셀다운로드 파일(붙여넣기)'!D3:D562)</f>
        <v>0</v>
      </c>
      <c r="K581" s="9" cm="1">
        <f t="array" ref="K581">_xlfn.COUNTIFS('외운 것 - 엑셀다운로드 파일(붙여넣기)'!A3:A562,A581,'외운 것 - 엑셀다운로드 파일(붙여넣기)'!D3:D562,0)</f>
        <v>0</v>
      </c>
      <c r="L581" s="9" cm="1">
        <f t="array" ref="L581">IF(J581&gt;=3,_xlfn.XLOOKUP(A581,'외운 것 - 엑셀다운로드 파일(붙여넣기)'!A3:A562,'외운 것 - 엑셀다운로드 파일(붙여넣기)'!C3:C562,0,-1),0)</f>
        <v>0</v>
      </c>
    </row>
    <row r="582" ht="38.45" customHeight="1">
      <c r="A582" s="3">
        <v>581</v>
      </c>
      <c r="B582" t="s" s="4">
        <v>3696</v>
      </c>
      <c r="C582" t="s" s="5">
        <v>3697</v>
      </c>
      <c r="D582" t="s" s="5">
        <v>3698</v>
      </c>
      <c r="E582" t="s" s="5">
        <v>3699</v>
      </c>
      <c r="F582" t="s" s="10">
        <v>3700</v>
      </c>
      <c r="G582" t="s" s="7">
        <v>3701</v>
      </c>
      <c r="H582" t="s" s="7">
        <v>3702</v>
      </c>
      <c r="I582" t="str" s="8" cm="1">
        <f t="array" ref="I582">SUBSTITUTE(H582,B582,"(          )")</f>
        <v>The museum will (          ) ancient artifacts from Egypt.</v>
      </c>
      <c r="J582" s="9" cm="1">
        <f t="array" ref="J582">SUMIF('외운 것 - 엑셀다운로드 파일(붙여넣기)'!A3:A562,A582,'외운 것 - 엑셀다운로드 파일(붙여넣기)'!D3:D562)</f>
        <v>0</v>
      </c>
      <c r="K582" s="9" cm="1">
        <f t="array" ref="K582">_xlfn.COUNTIFS('외운 것 - 엑셀다운로드 파일(붙여넣기)'!A3:A562,A582,'외운 것 - 엑셀다운로드 파일(붙여넣기)'!D3:D562,0)</f>
        <v>0</v>
      </c>
      <c r="L582" s="9" cm="1">
        <f t="array" ref="L582">IF(J582&gt;=3,_xlfn.XLOOKUP(A582,'외운 것 - 엑셀다운로드 파일(붙여넣기)'!A3:A562,'외운 것 - 엑셀다운로드 파일(붙여넣기)'!C3:C562,0,-1),0)</f>
        <v>0</v>
      </c>
    </row>
    <row r="583" ht="23.45" customHeight="1">
      <c r="A583" s="3">
        <v>582</v>
      </c>
      <c r="B583" t="s" s="4">
        <v>3704</v>
      </c>
      <c r="C583" t="s" s="5">
        <v>3697</v>
      </c>
      <c r="D583" t="s" s="5">
        <v>3698</v>
      </c>
      <c r="E583" t="s" s="5">
        <v>3705</v>
      </c>
      <c r="F583" t="s" s="10">
        <v>3706</v>
      </c>
      <c r="G583" t="s" s="7">
        <v>3707</v>
      </c>
      <c r="H583" t="s" s="7">
        <v>3708</v>
      </c>
      <c r="I583" t="str" s="8" cm="1">
        <f t="array" ref="I583">SUBSTITUTE(H583,B583,"(          )")</f>
        <v>There is a (          ) between the two financial reports.</v>
      </c>
      <c r="J583" s="9" cm="1">
        <f t="array" ref="J583">SUMIF('외운 것 - 엑셀다운로드 파일(붙여넣기)'!A3:A562,A583,'외운 것 - 엑셀다운로드 파일(붙여넣기)'!D3:D562)</f>
        <v>0</v>
      </c>
      <c r="K583" s="9" cm="1">
        <f t="array" ref="K583">_xlfn.COUNTIFS('외운 것 - 엑셀다운로드 파일(붙여넣기)'!A3:A562,A583,'외운 것 - 엑셀다운로드 파일(붙여넣기)'!D3:D562,0)</f>
        <v>0</v>
      </c>
      <c r="L583" s="9" cm="1">
        <f t="array" ref="L583">IF(J583&gt;=3,_xlfn.XLOOKUP(A583,'외운 것 - 엑셀다운로드 파일(붙여넣기)'!A3:A562,'외운 것 - 엑셀다운로드 파일(붙여넣기)'!C3:C562,0,-1),0)</f>
        <v>0</v>
      </c>
    </row>
    <row r="584" ht="38.45" customHeight="1">
      <c r="A584" s="3">
        <v>583</v>
      </c>
      <c r="B584" t="s" s="4">
        <v>3710</v>
      </c>
      <c r="C584" t="s" s="5">
        <v>3697</v>
      </c>
      <c r="D584" t="s" s="5">
        <v>3698</v>
      </c>
      <c r="E584" t="s" s="5">
        <v>3711</v>
      </c>
      <c r="F584" t="s" s="10">
        <v>3712</v>
      </c>
      <c r="G584" t="s" s="7">
        <v>3713</v>
      </c>
      <c r="H584" t="s" s="7">
        <v>3714</v>
      </c>
      <c r="I584" t="str" s="8" cm="1">
        <f t="array" ref="I584">SUBSTITUTE(H584,B584,"(          )")</f>
        <v>The outline of the mountains was barely (          ) through the fog.</v>
      </c>
      <c r="J584" s="9" cm="1">
        <f t="array" ref="J584">SUMIF('외운 것 - 엑셀다운로드 파일(붙여넣기)'!A3:A562,A584,'외운 것 - 엑셀다운로드 파일(붙여넣기)'!D3:D562)</f>
        <v>0</v>
      </c>
      <c r="K584" s="9" cm="1">
        <f t="array" ref="K584">_xlfn.COUNTIFS('외운 것 - 엑셀다운로드 파일(붙여넣기)'!A3:A562,A584,'외운 것 - 엑셀다운로드 파일(붙여넣기)'!D3:D562,0)</f>
        <v>0</v>
      </c>
      <c r="L584" s="9" cm="1">
        <f t="array" ref="L584">IF(J584&gt;=3,_xlfn.XLOOKUP(A584,'외운 것 - 엑셀다운로드 파일(붙여넣기)'!A3:A562,'외운 것 - 엑셀다운로드 파일(붙여넣기)'!C3:C562,0,-1),0)</f>
        <v>0</v>
      </c>
    </row>
    <row r="585" ht="23.45" customHeight="1">
      <c r="A585" s="3">
        <v>584</v>
      </c>
      <c r="B585" t="s" s="4">
        <v>3716</v>
      </c>
      <c r="C585" t="s" s="5">
        <v>3697</v>
      </c>
      <c r="D585" t="s" s="5">
        <v>3698</v>
      </c>
      <c r="E585" t="s" s="5">
        <v>3717</v>
      </c>
      <c r="F585" t="s" s="10">
        <v>3718</v>
      </c>
      <c r="G585" t="s" s="7">
        <v>3719</v>
      </c>
      <c r="H585" t="s" s="7">
        <v>3720</v>
      </c>
      <c r="I585" t="str" s="8" cm="1">
        <f t="array" ref="I585">SUBSTITUTE(H585,B585,"(          )")</f>
        <v>Economic hardship leads to (          ) among citizens.</v>
      </c>
      <c r="J585" s="9" cm="1">
        <f t="array" ref="J585">SUMIF('외운 것 - 엑셀다운로드 파일(붙여넣기)'!A3:A562,A585,'외운 것 - 엑셀다운로드 파일(붙여넣기)'!D3:D562)</f>
        <v>0</v>
      </c>
      <c r="K585" s="9" cm="1">
        <f t="array" ref="K585">_xlfn.COUNTIFS('외운 것 - 엑셀다운로드 파일(붙여넣기)'!A3:A562,A585,'외운 것 - 엑셀다운로드 파일(붙여넣기)'!D3:D562,0)</f>
        <v>0</v>
      </c>
      <c r="L585" s="9" cm="1">
        <f t="array" ref="L585">IF(J585&gt;=3,_xlfn.XLOOKUP(A585,'외운 것 - 엑셀다운로드 파일(붙여넣기)'!A3:A562,'외운 것 - 엑셀다운로드 파일(붙여넣기)'!C3:C562,0,-1),0)</f>
        <v>0</v>
      </c>
    </row>
    <row r="586" ht="23.45" customHeight="1">
      <c r="A586" s="3">
        <v>585</v>
      </c>
      <c r="B586" t="s" s="4">
        <v>3722</v>
      </c>
      <c r="C586" t="s" s="5">
        <v>3697</v>
      </c>
      <c r="D586" t="s" s="5">
        <v>3698</v>
      </c>
      <c r="E586" t="s" s="5">
        <v>3723</v>
      </c>
      <c r="F586" t="s" s="10">
        <v>3724</v>
      </c>
      <c r="G586" t="s" s="7">
        <v>3725</v>
      </c>
      <c r="H586" t="s" s="7">
        <v>3726</v>
      </c>
      <c r="I586" t="str" s="8" cm="1">
        <f t="array" ref="I586">SUBSTITUTE(H586,B586,"(          )")</f>
        <v>I (          ) waiting in long lines.</v>
      </c>
      <c r="J586" s="9" cm="1">
        <f t="array" ref="J586">SUMIF('외운 것 - 엑셀다운로드 파일(붙여넣기)'!A3:A562,A586,'외운 것 - 엑셀다운로드 파일(붙여넣기)'!D3:D562)</f>
        <v>0</v>
      </c>
      <c r="K586" s="9" cm="1">
        <f t="array" ref="K586">_xlfn.COUNTIFS('외운 것 - 엑셀다운로드 파일(붙여넣기)'!A3:A562,A586,'외운 것 - 엑셀다운로드 파일(붙여넣기)'!D3:D562,0)</f>
        <v>0</v>
      </c>
      <c r="L586" s="9" cm="1">
        <f t="array" ref="L586">IF(J586&gt;=3,_xlfn.XLOOKUP(A586,'외운 것 - 엑셀다운로드 파일(붙여넣기)'!A3:A562,'외운 것 - 엑셀다운로드 파일(붙여넣기)'!C3:C562,0,-1),0)</f>
        <v>0</v>
      </c>
    </row>
    <row r="587" ht="23.45" customHeight="1">
      <c r="A587" s="3">
        <v>586</v>
      </c>
      <c r="B587" t="s" s="4">
        <v>3728</v>
      </c>
      <c r="C587" t="s" s="5">
        <v>3697</v>
      </c>
      <c r="D587" t="s" s="5">
        <v>3698</v>
      </c>
      <c r="E587" t="s" s="5">
        <v>3729</v>
      </c>
      <c r="F587" t="s" s="10">
        <v>3730</v>
      </c>
      <c r="G587" t="s" s="7">
        <v>3731</v>
      </c>
      <c r="H587" t="s" s="7">
        <v>3732</v>
      </c>
      <c r="I587" t="str" s="8" cm="1">
        <f t="array" ref="I587">SUBSTITUTE(H587,B587,"(          )")</f>
        <v>The virus can (          ) important computer functions.</v>
      </c>
      <c r="J587" s="9" cm="1">
        <f t="array" ref="J587">SUMIF('외운 것 - 엑셀다운로드 파일(붙여넣기)'!A3:A562,A587,'외운 것 - 엑셀다운로드 파일(붙여넣기)'!D3:D562)</f>
        <v>0</v>
      </c>
      <c r="K587" s="9" cm="1">
        <f t="array" ref="K587">_xlfn.COUNTIFS('외운 것 - 엑셀다운로드 파일(붙여넣기)'!A3:A562,A587,'외운 것 - 엑셀다운로드 파일(붙여넣기)'!D3:D562,0)</f>
        <v>0</v>
      </c>
      <c r="L587" s="9" cm="1">
        <f t="array" ref="L587">IF(J587&gt;=3,_xlfn.XLOOKUP(A587,'외운 것 - 엑셀다운로드 파일(붙여넣기)'!A3:A562,'외운 것 - 엑셀다운로드 파일(붙여넣기)'!C3:C562,0,-1),0)</f>
        <v>0</v>
      </c>
    </row>
    <row r="588" ht="38.45" customHeight="1">
      <c r="A588" s="3">
        <v>587</v>
      </c>
      <c r="B588" t="s" s="4">
        <v>3734</v>
      </c>
      <c r="C588" t="s" s="5">
        <v>3697</v>
      </c>
      <c r="D588" t="s" s="5">
        <v>3698</v>
      </c>
      <c r="E588" t="s" s="5">
        <v>3735</v>
      </c>
      <c r="F588" t="s" s="10">
        <v>3736</v>
      </c>
      <c r="G588" t="s" s="7">
        <v>3737</v>
      </c>
      <c r="H588" t="s" s="7">
        <v>3738</v>
      </c>
      <c r="I588" t="str" s="8" cm="1">
        <f t="array" ref="I588">SUBSTITUTE(H588,B588,"(          )")</f>
        <v>Police ordered the crowd to (          ).</v>
      </c>
      <c r="J588" s="9" cm="1">
        <f t="array" ref="J588">SUMIF('외운 것 - 엑셀다운로드 파일(붙여넣기)'!A3:A562,A588,'외운 것 - 엑셀다운로드 파일(붙여넣기)'!D3:D562)</f>
        <v>0</v>
      </c>
      <c r="K588" s="9" cm="1">
        <f t="array" ref="K588">_xlfn.COUNTIFS('외운 것 - 엑셀다운로드 파일(붙여넣기)'!A3:A562,A588,'외운 것 - 엑셀다운로드 파일(붙여넣기)'!D3:D562,0)</f>
        <v>0</v>
      </c>
      <c r="L588" s="9" cm="1">
        <f t="array" ref="L588">IF(J588&gt;=3,_xlfn.XLOOKUP(A588,'외운 것 - 엑셀다운로드 파일(붙여넣기)'!A3:A562,'외운 것 - 엑셀다운로드 파일(붙여넣기)'!C3:C562,0,-1),0)</f>
        <v>0</v>
      </c>
    </row>
    <row r="589" ht="36.4" customHeight="1">
      <c r="A589" s="3">
        <v>588</v>
      </c>
      <c r="B589" t="s" s="4">
        <v>3740</v>
      </c>
      <c r="C589" t="s" s="5">
        <v>3741</v>
      </c>
      <c r="D589" t="s" s="5">
        <v>3697</v>
      </c>
      <c r="E589" t="s" s="5">
        <v>3742</v>
      </c>
      <c r="F589" t="s" s="10">
        <v>3743</v>
      </c>
      <c r="G589" t="s" s="7">
        <v>3744</v>
      </c>
      <c r="H589" t="s" s="7">
        <v>3745</v>
      </c>
      <c r="I589" t="str" s="8" cm="1">
        <f t="array" ref="I589">SUBSTITUTE(H589,B589,"(          )")</f>
        <v>The (          ) of seeds ensures plant survival.</v>
      </c>
      <c r="J589" s="9" cm="1">
        <f t="array" ref="J589">SUMIF('외운 것 - 엑셀다운로드 파일(붙여넣기)'!A3:A562,A589,'외운 것 - 엑셀다운로드 파일(붙여넣기)'!D3:D562)</f>
        <v>0</v>
      </c>
      <c r="K589" s="9" cm="1">
        <f t="array" ref="K589">_xlfn.COUNTIFS('외운 것 - 엑셀다운로드 파일(붙여넣기)'!A3:A562,A589,'외운 것 - 엑셀다운로드 파일(붙여넣기)'!D3:D562,0)</f>
        <v>0</v>
      </c>
      <c r="L589" s="9" cm="1">
        <f t="array" ref="L589">IF(J589&gt;=3,_xlfn.XLOOKUP(A589,'외운 것 - 엑셀다운로드 파일(붙여넣기)'!A3:A562,'외운 것 - 엑셀다운로드 파일(붙여넣기)'!C3:C562,0,-1),0)</f>
        <v>0</v>
      </c>
    </row>
    <row r="590" ht="38.45" customHeight="1">
      <c r="A590" s="3">
        <v>589</v>
      </c>
      <c r="B590" t="s" s="4">
        <v>3747</v>
      </c>
      <c r="C590" t="s" s="5">
        <v>3697</v>
      </c>
      <c r="D590" t="s" s="5">
        <v>3698</v>
      </c>
      <c r="E590" t="s" s="5">
        <v>3748</v>
      </c>
      <c r="F590" t="s" s="10">
        <v>3749</v>
      </c>
      <c r="G590" t="s" s="7">
        <v>3750</v>
      </c>
      <c r="H590" t="s" s="7">
        <v>3751</v>
      </c>
      <c r="I590" t="str" s="8" cm="1">
        <f t="array" ref="I590">SUBSTITUTE(H590,B590,"(          )")</f>
        <v>To our (          ), the concert was canceled.</v>
      </c>
      <c r="J590" s="9" cm="1">
        <f t="array" ref="J590">SUMIF('외운 것 - 엑셀다운로드 파일(붙여넣기)'!A3:A562,A590,'외운 것 - 엑셀다운로드 파일(붙여넣기)'!D3:D562)</f>
        <v>0</v>
      </c>
      <c r="K590" s="9" cm="1">
        <f t="array" ref="K590">_xlfn.COUNTIFS('외운 것 - 엑셀다운로드 파일(붙여넣기)'!A3:A562,A590,'외운 것 - 엑셀다운로드 파일(붙여넣기)'!D3:D562,0)</f>
        <v>0</v>
      </c>
      <c r="L590" s="9" cm="1">
        <f t="array" ref="L590">IF(J590&gt;=3,_xlfn.XLOOKUP(A590,'외운 것 - 엑셀다운로드 파일(붙여넣기)'!A3:A562,'외운 것 - 엑셀다운로드 파일(붙여넣기)'!C3:C562,0,-1),0)</f>
        <v>0</v>
      </c>
    </row>
    <row r="591" ht="23.45" customHeight="1">
      <c r="A591" s="3">
        <v>590</v>
      </c>
      <c r="B591" t="s" s="4">
        <v>3753</v>
      </c>
      <c r="C591" t="s" s="5">
        <v>3276</v>
      </c>
      <c r="D591" t="s" s="5">
        <v>3277</v>
      </c>
      <c r="E591" t="s" s="5">
        <v>3754</v>
      </c>
      <c r="F591" t="s" s="10">
        <v>3755</v>
      </c>
      <c r="G591" t="s" s="7">
        <v>3756</v>
      </c>
      <c r="H591" t="s" s="7">
        <v>3757</v>
      </c>
      <c r="I591" t="str" s="8" cm="1">
        <f t="array" ref="I591">SUBSTITUTE(H591,B591,"(          )")</f>
        <v>It would be (          ) to swim in such dangerous waters.</v>
      </c>
      <c r="J591" s="9" cm="1">
        <f t="array" ref="J591">SUMIF('외운 것 - 엑셀다운로드 파일(붙여넣기)'!A3:A562,A591,'외운 것 - 엑셀다운로드 파일(붙여넣기)'!D3:D562)</f>
        <v>0</v>
      </c>
      <c r="K591" s="9" cm="1">
        <f t="array" ref="K591">_xlfn.COUNTIFS('외운 것 - 엑셀다운로드 파일(붙여넣기)'!A3:A562,A591,'외운 것 - 엑셀다운로드 파일(붙여넣기)'!D3:D562,0)</f>
        <v>0</v>
      </c>
      <c r="L591" s="9" cm="1">
        <f t="array" ref="L591">IF(J591&gt;=3,_xlfn.XLOOKUP(A591,'외운 것 - 엑셀다운로드 파일(붙여넣기)'!A3:A562,'외운 것 - 엑셀다운로드 파일(붙여넣기)'!C3:C562,0,-1),0)</f>
        <v>0</v>
      </c>
    </row>
    <row r="592" ht="23.45" customHeight="1">
      <c r="A592" s="3">
        <v>591</v>
      </c>
      <c r="B592" t="s" s="4">
        <v>3759</v>
      </c>
      <c r="C592" t="s" s="5">
        <v>3276</v>
      </c>
      <c r="D592" t="s" s="5">
        <v>3277</v>
      </c>
      <c r="E592" t="s" s="5">
        <v>3760</v>
      </c>
      <c r="F592" t="s" s="10">
        <v>3761</v>
      </c>
      <c r="G592" t="s" s="7">
        <v>3762</v>
      </c>
      <c r="H592" t="s" s="7">
        <v>3763</v>
      </c>
      <c r="I592" t="str" s="8" cm="1">
        <f t="array" ref="I592">SUBSTITUTE(H592,B592,"(          )")</f>
        <v>The crash test (          ) helps evaluate vehicle safety.</v>
      </c>
      <c r="J592" s="9" cm="1">
        <f t="array" ref="J592">SUMIF('외운 것 - 엑셀다운로드 파일(붙여넣기)'!A3:A562,A592,'외운 것 - 엑셀다운로드 파일(붙여넣기)'!D3:D562)</f>
        <v>0</v>
      </c>
      <c r="K592" s="9" cm="1">
        <f t="array" ref="K592">_xlfn.COUNTIFS('외운 것 - 엑셀다운로드 파일(붙여넣기)'!A3:A562,A592,'외운 것 - 엑셀다운로드 파일(붙여넣기)'!D3:D562,0)</f>
        <v>0</v>
      </c>
      <c r="L592" s="9" cm="1">
        <f t="array" ref="L592">IF(J592&gt;=3,_xlfn.XLOOKUP(A592,'외운 것 - 엑셀다운로드 파일(붙여넣기)'!A3:A562,'외운 것 - 엑셀다운로드 파일(붙여넣기)'!C3:C562,0,-1),0)</f>
        <v>0</v>
      </c>
    </row>
    <row r="593" ht="38.45" customHeight="1">
      <c r="A593" s="3">
        <v>592</v>
      </c>
      <c r="B593" t="s" s="4">
        <v>3765</v>
      </c>
      <c r="C593" t="s" s="5">
        <v>3276</v>
      </c>
      <c r="D593" t="s" s="5">
        <v>3277</v>
      </c>
      <c r="E593" t="s" s="5">
        <v>3766</v>
      </c>
      <c r="F593" t="s" s="10">
        <v>3767</v>
      </c>
      <c r="G593" t="s" s="7">
        <v>3768</v>
      </c>
      <c r="H593" t="s" s="7">
        <v>3769</v>
      </c>
      <c r="I593" t="str" s="8" cm="1">
        <f t="array" ref="I593">SUBSTITUTE(H593,B593,"(          )")</f>
        <v>The detective found a (          ) bullet at the crime scene.</v>
      </c>
      <c r="J593" s="9" cm="1">
        <f t="array" ref="J593">SUMIF('외운 것 - 엑셀다운로드 파일(붙여넣기)'!A3:A562,A593,'외운 것 - 엑셀다운로드 파일(붙여넣기)'!D3:D562)</f>
        <v>0</v>
      </c>
      <c r="K593" s="9" cm="1">
        <f t="array" ref="K593">_xlfn.COUNTIFS('외운 것 - 엑셀다운로드 파일(붙여넣기)'!A3:A562,A593,'외운 것 - 엑셀다운로드 파일(붙여넣기)'!D3:D562,0)</f>
        <v>0</v>
      </c>
      <c r="L593" s="9" cm="1">
        <f t="array" ref="L593">IF(J593&gt;=3,_xlfn.XLOOKUP(A593,'외운 것 - 엑셀다운로드 파일(붙여넣기)'!A3:A562,'외운 것 - 엑셀다운로드 파일(붙여넣기)'!C3:C562,0,-1),0)</f>
        <v>0</v>
      </c>
    </row>
    <row r="594" ht="38.45" customHeight="1">
      <c r="A594" s="3">
        <v>593</v>
      </c>
      <c r="B594" t="s" s="4">
        <v>3771</v>
      </c>
      <c r="C594" t="s" s="5">
        <v>3276</v>
      </c>
      <c r="D594" t="s" s="5">
        <v>3277</v>
      </c>
      <c r="E594" t="s" s="5">
        <v>3772</v>
      </c>
      <c r="F594" t="s" s="10">
        <v>3773</v>
      </c>
      <c r="G594" t="s" s="7">
        <v>3774</v>
      </c>
      <c r="H594" t="s" s="7">
        <v>3775</v>
      </c>
      <c r="I594" t="str" s="8" cm="1">
        <f t="array" ref="I594">SUBSTITUTE(H594,B594,"(          )")</f>
        <v>The knife has become (          ) and needs sharpening.</v>
      </c>
      <c r="J594" s="9" cm="1">
        <f t="array" ref="J594">SUMIF('외운 것 - 엑셀다운로드 파일(붙여넣기)'!A3:A562,A594,'외운 것 - 엑셀다운로드 파일(붙여넣기)'!D3:D562)</f>
        <v>0</v>
      </c>
      <c r="K594" s="9" cm="1">
        <f t="array" ref="K594">_xlfn.COUNTIFS('외운 것 - 엑셀다운로드 파일(붙여넣기)'!A3:A562,A594,'외운 것 - 엑셀다운로드 파일(붙여넣기)'!D3:D562,0)</f>
        <v>0</v>
      </c>
      <c r="L594" s="9" cm="1">
        <f t="array" ref="L594">IF(J594&gt;=3,_xlfn.XLOOKUP(A594,'외운 것 - 엑셀다운로드 파일(붙여넣기)'!A3:A562,'외운 것 - 엑셀다운로드 파일(붙여넣기)'!C3:C562,0,-1),0)</f>
        <v>0</v>
      </c>
    </row>
    <row r="595" ht="38.45" customHeight="1">
      <c r="A595" s="3">
        <v>594</v>
      </c>
      <c r="B595" t="s" s="4">
        <v>3777</v>
      </c>
      <c r="C595" t="s" s="5">
        <v>3276</v>
      </c>
      <c r="D595" t="s" s="5">
        <v>3277</v>
      </c>
      <c r="E595" t="s" s="5">
        <v>3778</v>
      </c>
      <c r="F595" t="s" s="10">
        <v>3779</v>
      </c>
      <c r="G595" t="s" s="7">
        <v>3780</v>
      </c>
      <c r="H595" t="s" s="7">
        <v>3781</v>
      </c>
      <c r="I595" t="str" s="8" cm="1">
        <f t="array" ref="I595">SUBSTITUTE(H595,B595,"(          )")</f>
        <v>I am (          ) about his ability to finish on time.</v>
      </c>
      <c r="J595" s="9" cm="1">
        <f t="array" ref="J595">SUMIF('외운 것 - 엑셀다운로드 파일(붙여넣기)'!A3:A562,A595,'외운 것 - 엑셀다운로드 파일(붙여넣기)'!D3:D562)</f>
        <v>0</v>
      </c>
      <c r="K595" s="9" cm="1">
        <f t="array" ref="K595">_xlfn.COUNTIFS('외운 것 - 엑셀다운로드 파일(붙여넣기)'!A3:A562,A595,'외운 것 - 엑셀다운로드 파일(붙여넣기)'!D3:D562,0)</f>
        <v>0</v>
      </c>
      <c r="L595" s="9" cm="1">
        <f t="array" ref="L595">IF(J595&gt;=3,_xlfn.XLOOKUP(A595,'외운 것 - 엑셀다운로드 파일(붙여넣기)'!A3:A562,'외운 것 - 엑셀다운로드 파일(붙여넣기)'!C3:C562,0,-1),0)</f>
        <v>0</v>
      </c>
    </row>
    <row r="596" ht="38.45" customHeight="1">
      <c r="A596" s="3">
        <v>595</v>
      </c>
      <c r="B596" t="s" s="4">
        <v>3783</v>
      </c>
      <c r="C596" t="s" s="5">
        <v>3784</v>
      </c>
      <c r="D596" t="s" s="5">
        <v>3277</v>
      </c>
      <c r="E596" t="s" s="5">
        <v>3785</v>
      </c>
      <c r="F596" t="s" s="10">
        <v>3786</v>
      </c>
      <c r="G596" t="s" s="7">
        <v>3787</v>
      </c>
      <c r="H596" t="s" s="7">
        <v>3788</v>
      </c>
      <c r="I596" t="str" s="8" cm="1">
        <f t="array" ref="I596">SUBSTITUTE(H596,B596,"(          )")</f>
        <v>I (          ) that it will rain tomorrow.</v>
      </c>
      <c r="J596" s="9" cm="1">
        <f t="array" ref="J596">SUMIF('외운 것 - 엑셀다운로드 파일(붙여넣기)'!A3:A562,A596,'외운 것 - 엑셀다운로드 파일(붙여넣기)'!D3:D562)</f>
        <v>0</v>
      </c>
      <c r="K596" s="9" cm="1">
        <f t="array" ref="K596">_xlfn.COUNTIFS('외운 것 - 엑셀다운로드 파일(붙여넣기)'!A3:A562,A596,'외운 것 - 엑셀다운로드 파일(붙여넣기)'!D3:D562,0)</f>
        <v>0</v>
      </c>
      <c r="L596" s="9" cm="1">
        <f t="array" ref="L596">IF(J596&gt;=3,_xlfn.XLOOKUP(A596,'외운 것 - 엑셀다운로드 파일(붙여넣기)'!A3:A562,'외운 것 - 엑셀다운로드 파일(붙여넣기)'!C3:C562,0,-1),0)</f>
        <v>0</v>
      </c>
    </row>
    <row r="597" ht="23.45" customHeight="1">
      <c r="A597" s="3">
        <v>596</v>
      </c>
      <c r="B597" t="s" s="4">
        <v>3790</v>
      </c>
      <c r="C597" t="s" s="5">
        <v>3791</v>
      </c>
      <c r="D597" t="s" s="5">
        <v>3792</v>
      </c>
      <c r="E597" t="s" s="5">
        <v>3793</v>
      </c>
      <c r="F597" t="s" s="10">
        <v>3794</v>
      </c>
      <c r="G597" t="s" s="7">
        <v>3795</v>
      </c>
      <c r="H597" t="s" s="7">
        <v>3796</v>
      </c>
      <c r="I597" t="str" s="8" cm="1">
        <f t="array" ref="I597">SUBSTITUTE(H597,B597,"(          )")</f>
        <v>The human (          ) can detect a wide range of sounds.</v>
      </c>
      <c r="J597" s="9" cm="1">
        <f t="array" ref="J597">SUMIF('외운 것 - 엑셀다운로드 파일(붙여넣기)'!A3:A562,A597,'외운 것 - 엑셀다운로드 파일(붙여넣기)'!D3:D562)</f>
        <v>0</v>
      </c>
      <c r="K597" s="9" cm="1">
        <f t="array" ref="K597">_xlfn.COUNTIFS('외운 것 - 엑셀다운로드 파일(붙여넣기)'!A3:A562,A597,'외운 것 - 엑셀다운로드 파일(붙여넣기)'!D3:D562,0)</f>
        <v>0</v>
      </c>
      <c r="L597" s="9" cm="1">
        <f t="array" ref="L597">IF(J597&gt;=3,_xlfn.XLOOKUP(A597,'외운 것 - 엑셀다운로드 파일(붙여넣기)'!A3:A562,'외운 것 - 엑셀다운로드 파일(붙여넣기)'!C3:C562,0,-1),0)</f>
        <v>0</v>
      </c>
    </row>
    <row r="598" ht="38.45" customHeight="1">
      <c r="A598" s="3">
        <v>597</v>
      </c>
      <c r="B598" t="s" s="4">
        <v>3798</v>
      </c>
      <c r="C598" t="s" s="5">
        <v>3799</v>
      </c>
      <c r="D598" t="s" s="5">
        <v>3790</v>
      </c>
      <c r="E598" t="s" s="5">
        <v>3800</v>
      </c>
      <c r="F598" t="s" s="10">
        <v>3801</v>
      </c>
      <c r="G598" t="s" s="7">
        <v>3802</v>
      </c>
      <c r="H598" t="s" s="7">
        <v>3803</v>
      </c>
      <c r="I598" t="str" s="8" cm="1">
        <f t="array" ref="I598">SUBSTITUTE(H598,B598,"(          )")</f>
        <v>Please arrive (          ) for the interview.</v>
      </c>
      <c r="J598" s="9" cm="1">
        <f t="array" ref="J598">SUMIF('외운 것 - 엑셀다운로드 파일(붙여넣기)'!A3:A562,A598,'외운 것 - 엑셀다운로드 파일(붙여넣기)'!D3:D562)</f>
        <v>0</v>
      </c>
      <c r="K598" s="9" cm="1">
        <f t="array" ref="K598">_xlfn.COUNTIFS('외운 것 - 엑셀다운로드 파일(붙여넣기)'!A3:A562,A598,'외운 것 - 엑셀다운로드 파일(붙여넣기)'!D3:D562,0)</f>
        <v>0</v>
      </c>
      <c r="L598" s="9" cm="1">
        <f t="array" ref="L598">IF(J598&gt;=3,_xlfn.XLOOKUP(A598,'외운 것 - 엑셀다운로드 파일(붙여넣기)'!A3:A562,'외운 것 - 엑셀다운로드 파일(붙여넣기)'!C3:C562,0,-1),0)</f>
        <v>0</v>
      </c>
    </row>
    <row r="599" ht="23.45" customHeight="1">
      <c r="A599" s="3">
        <v>598</v>
      </c>
      <c r="B599" t="s" s="4">
        <v>3805</v>
      </c>
      <c r="C599" t="s" s="5">
        <v>3790</v>
      </c>
      <c r="D599" t="s" s="5">
        <v>3790</v>
      </c>
      <c r="E599" t="s" s="5">
        <v>3806</v>
      </c>
      <c r="F599" t="s" s="10">
        <v>3807</v>
      </c>
      <c r="G599" t="s" s="7">
        <v>3808</v>
      </c>
      <c r="H599" t="s" s="7">
        <v>3809</v>
      </c>
      <c r="I599" t="str" s="8" cm="1">
        <f t="array" ref="I599">SUBSTITUTE(H599,B599,"(          )")</f>
        <v>Can you (          ) the birds singing?</v>
      </c>
      <c r="J599" s="9" cm="1">
        <f t="array" ref="J599">SUMIF('외운 것 - 엑셀다운로드 파일(붙여넣기)'!A3:A562,A599,'외운 것 - 엑셀다운로드 파일(붙여넣기)'!D3:D562)</f>
        <v>0</v>
      </c>
      <c r="K599" s="9" cm="1">
        <f t="array" ref="K599">_xlfn.COUNTIFS('외운 것 - 엑셀다운로드 파일(붙여넣기)'!A3:A562,A599,'외운 것 - 엑셀다운로드 파일(붙여넣기)'!D3:D562,0)</f>
        <v>0</v>
      </c>
      <c r="L599" s="9" cm="1">
        <f t="array" ref="L599">IF(J599&gt;=3,_xlfn.XLOOKUP(A599,'외운 것 - 엑셀다운로드 파일(붙여넣기)'!A3:A562,'외운 것 - 엑셀다운로드 파일(붙여넣기)'!C3:C562,0,-1),0)</f>
        <v>0</v>
      </c>
    </row>
    <row r="600" ht="23.45" customHeight="1">
      <c r="A600" s="3">
        <v>599</v>
      </c>
      <c r="B600" t="s" s="4">
        <v>3811</v>
      </c>
      <c r="C600" t="s" s="5">
        <v>3812</v>
      </c>
      <c r="D600" t="s" s="5">
        <v>3813</v>
      </c>
      <c r="E600" t="s" s="5">
        <v>3814</v>
      </c>
      <c r="F600" t="s" s="10">
        <v>3815</v>
      </c>
      <c r="G600" t="s" s="7">
        <v>3816</v>
      </c>
      <c r="H600" t="s" s="7">
        <v>3817</v>
      </c>
      <c r="I600" t="str" s="8" cm="1">
        <f t="array" ref="I600">SUBSTITUTE(H600,B600,"(          )")</f>
        <v>Please (          ) your password to access the system.</v>
      </c>
      <c r="J600" s="9" cm="1">
        <f t="array" ref="J600">SUMIF('외운 것 - 엑셀다운로드 파일(붙여넣기)'!A3:A562,A600,'외운 것 - 엑셀다운로드 파일(붙여넣기)'!D3:D562)</f>
        <v>0</v>
      </c>
      <c r="K600" s="9" cm="1">
        <f t="array" ref="K600">_xlfn.COUNTIFS('외운 것 - 엑셀다운로드 파일(붙여넣기)'!A3:A562,A600,'외운 것 - 엑셀다운로드 파일(붙여넣기)'!D3:D562,0)</f>
        <v>0</v>
      </c>
      <c r="L600" s="9" cm="1">
        <f t="array" ref="L600">IF(J600&gt;=3,_xlfn.XLOOKUP(A600,'외운 것 - 엑셀다운로드 파일(붙여넣기)'!A3:A562,'외운 것 - 엑셀다운로드 파일(붙여넣기)'!C3:C562,0,-1),0)</f>
        <v>0</v>
      </c>
    </row>
    <row r="601" ht="38.45" customHeight="1">
      <c r="A601" s="3">
        <v>600</v>
      </c>
      <c r="B601" t="s" s="4">
        <v>3819</v>
      </c>
      <c r="C601" t="s" s="5">
        <v>3820</v>
      </c>
      <c r="D601" t="s" s="5">
        <v>3812</v>
      </c>
      <c r="E601" t="s" s="5">
        <v>3821</v>
      </c>
      <c r="F601" t="s" s="10">
        <v>3822</v>
      </c>
      <c r="G601" t="s" s="7">
        <v>3823</v>
      </c>
      <c r="H601" t="s" s="7">
        <v>3824</v>
      </c>
      <c r="I601" t="str" s="8" cm="1">
        <f t="array" ref="I601">SUBSTITUTE(H601,B601,"(          )")</f>
        <v>Your diary (          ) from last year is quite interesting.</v>
      </c>
      <c r="J601" s="9" cm="1">
        <f t="array" ref="J601">SUMIF('외운 것 - 엑셀다운로드 파일(붙여넣기)'!A3:A562,A601,'외운 것 - 엑셀다운로드 파일(붙여넣기)'!D3:D562)</f>
        <v>0</v>
      </c>
      <c r="K601" s="9" cm="1">
        <f t="array" ref="K601">_xlfn.COUNTIFS('외운 것 - 엑셀다운로드 파일(붙여넣기)'!A3:A562,A601,'외운 것 - 엑셀다운로드 파일(붙여넣기)'!D3:D562,0)</f>
        <v>0</v>
      </c>
      <c r="L601" s="9" cm="1">
        <f t="array" ref="L601">IF(J601&gt;=3,_xlfn.XLOOKUP(A601,'외운 것 - 엑셀다운로드 파일(붙여넣기)'!A3:A562,'외운 것 - 엑셀다운로드 파일(붙여넣기)'!C3:C562,0,-1),0)</f>
        <v>0</v>
      </c>
    </row>
    <row r="602" ht="23.45" customHeight="1">
      <c r="A602" s="3">
        <v>601</v>
      </c>
      <c r="B602" t="s" s="4">
        <v>3826</v>
      </c>
      <c r="C602" t="s" s="5">
        <v>3820</v>
      </c>
      <c r="D602" t="s" s="5">
        <v>3812</v>
      </c>
      <c r="E602" t="s" s="5">
        <v>3827</v>
      </c>
      <c r="F602" t="s" s="10">
        <v>3828</v>
      </c>
      <c r="G602" t="s" s="7">
        <v>3829</v>
      </c>
      <c r="H602" t="s" s="7">
        <v>3830</v>
      </c>
      <c r="I602" t="str" s="8" cm="1">
        <f t="array" ref="I602">SUBSTITUTE(H602,B602,"(          )")</f>
        <v>The (          ) to the cave was hidden behind rocks.</v>
      </c>
      <c r="J602" s="9" cm="1">
        <f t="array" ref="J602">SUMIF('외운 것 - 엑셀다운로드 파일(붙여넣기)'!A3:A562,A602,'외운 것 - 엑셀다운로드 파일(붙여넣기)'!D3:D562)</f>
        <v>0</v>
      </c>
      <c r="K602" s="9" cm="1">
        <f t="array" ref="K602">_xlfn.COUNTIFS('외운 것 - 엑셀다운로드 파일(붙여넣기)'!A3:A562,A602,'외운 것 - 엑셀다운로드 파일(붙여넣기)'!D3:D562,0)</f>
        <v>0</v>
      </c>
      <c r="L602" s="9" cm="1">
        <f t="array" ref="L602">IF(J602&gt;=3,_xlfn.XLOOKUP(A602,'외운 것 - 엑셀다운로드 파일(붙여넣기)'!A3:A562,'외운 것 - 엑셀다운로드 파일(붙여넣기)'!C3:C562,0,-1),0)</f>
        <v>0</v>
      </c>
    </row>
    <row r="603" ht="38.45" customHeight="1">
      <c r="A603" s="3">
        <v>602</v>
      </c>
      <c r="B603" t="s" s="4">
        <v>3832</v>
      </c>
      <c r="C603" t="s" s="5">
        <v>3820</v>
      </c>
      <c r="D603" t="s" s="5">
        <v>3812</v>
      </c>
      <c r="E603" t="s" s="5">
        <v>3833</v>
      </c>
      <c r="F603" t="s" s="10">
        <v>3834</v>
      </c>
      <c r="G603" t="s" s="7">
        <v>3835</v>
      </c>
      <c r="H603" t="s" s="7">
        <v>3836</v>
      </c>
      <c r="I603" t="str" s="8" cm="1">
        <f t="array" ref="I603">SUBSTITUTE(H603,B603,"(          )")</f>
        <v>The corporation is a legal (          ) separate from its owners.</v>
      </c>
      <c r="J603" s="9" cm="1">
        <f t="array" ref="J603">SUMIF('외운 것 - 엑셀다운로드 파일(붙여넣기)'!A3:A562,A603,'외운 것 - 엑셀다운로드 파일(붙여넣기)'!D3:D562)</f>
        <v>0</v>
      </c>
      <c r="K603" s="9" cm="1">
        <f t="array" ref="K603">_xlfn.COUNTIFS('외운 것 - 엑셀다운로드 파일(붙여넣기)'!A3:A562,A603,'외운 것 - 엑셀다운로드 파일(붙여넣기)'!D3:D562,0)</f>
        <v>0</v>
      </c>
      <c r="L603" s="9" cm="1">
        <f t="array" ref="L603">IF(J603&gt;=3,_xlfn.XLOOKUP(A603,'외운 것 - 엑셀다운로드 파일(붙여넣기)'!A3:A562,'외운 것 - 엑셀다운로드 파일(붙여넣기)'!C3:C562,0,-1),0)</f>
        <v>0</v>
      </c>
    </row>
    <row r="604" ht="38.45" customHeight="1">
      <c r="A604" s="3">
        <v>603</v>
      </c>
      <c r="B604" t="s" s="4">
        <v>3838</v>
      </c>
      <c r="C604" t="s" s="5">
        <v>3812</v>
      </c>
      <c r="D604" t="s" s="5">
        <v>3813</v>
      </c>
      <c r="E604" t="s" s="5">
        <v>3839</v>
      </c>
      <c r="F604" t="s" s="10">
        <v>3840</v>
      </c>
      <c r="G604" t="s" s="7">
        <v>3841</v>
      </c>
      <c r="H604" t="s" s="7">
        <v>3842</v>
      </c>
      <c r="I604" t="str" s="8" cm="1">
        <f t="array" ref="I604">SUBSTITUTE(H604,B604,"(          )")</f>
        <v>Fresh cookies (          ) customers into the bakery.</v>
      </c>
      <c r="J604" s="9" cm="1">
        <f t="array" ref="J604">SUMIF('외운 것 - 엑셀다운로드 파일(붙여넣기)'!A3:A562,A604,'외운 것 - 엑셀다운로드 파일(붙여넣기)'!D3:D562)</f>
        <v>0</v>
      </c>
      <c r="K604" s="9" cm="1">
        <f t="array" ref="K604">_xlfn.COUNTIFS('외운 것 - 엑셀다운로드 파일(붙여넣기)'!A3:A562,A604,'외운 것 - 엑셀다운로드 파일(붙여넣기)'!D3:D562,0)</f>
        <v>0</v>
      </c>
      <c r="L604" s="9" cm="1">
        <f t="array" ref="L604">IF(J604&gt;=3,_xlfn.XLOOKUP(A604,'외운 것 - 엑셀다운로드 파일(붙여넣기)'!A3:A562,'외운 것 - 엑셀다운로드 파일(붙여넣기)'!C3:C562,0,-1),0)</f>
        <v>0</v>
      </c>
    </row>
    <row r="605" ht="38.45" customHeight="1">
      <c r="A605" s="3">
        <v>604</v>
      </c>
      <c r="B605" t="s" s="4">
        <v>3844</v>
      </c>
      <c r="C605" t="s" s="5">
        <v>3812</v>
      </c>
      <c r="D605" t="s" s="5">
        <v>3813</v>
      </c>
      <c r="E605" t="s" s="5">
        <v>3845</v>
      </c>
      <c r="F605" t="s" s="10">
        <v>3846</v>
      </c>
      <c r="G605" t="s" s="7">
        <v>3847</v>
      </c>
      <c r="H605" t="s" s="7">
        <v>3848</v>
      </c>
      <c r="I605" t="str" s="8" cm="1">
        <f t="array" ref="I605">SUBSTITUTE(H605,B605,"(          )")</f>
        <v>The speaker was able to (          ) the audience throughout the lecture.</v>
      </c>
      <c r="J605" s="9" cm="1">
        <f t="array" ref="J605">SUMIF('외운 것 - 엑셀다운로드 파일(붙여넣기)'!A3:A562,A605,'외운 것 - 엑셀다운로드 파일(붙여넣기)'!D3:D562)</f>
        <v>0</v>
      </c>
      <c r="K605" s="9" cm="1">
        <f t="array" ref="K605">_xlfn.COUNTIFS('외운 것 - 엑셀다운로드 파일(붙여넣기)'!A3:A562,A605,'외운 것 - 엑셀다운로드 파일(붙여넣기)'!D3:D562,0)</f>
        <v>0</v>
      </c>
      <c r="L605" s="9" cm="1">
        <f t="array" ref="L605">IF(J605&gt;=3,_xlfn.XLOOKUP(A605,'외운 것 - 엑셀다운로드 파일(붙여넣기)'!A3:A562,'외운 것 - 엑셀다운로드 파일(붙여넣기)'!C3:C562,0,-1),0)</f>
        <v>0</v>
      </c>
    </row>
    <row r="606" ht="36.4" customHeight="1">
      <c r="A606" s="3">
        <v>605</v>
      </c>
      <c r="B606" t="s" s="4">
        <v>3850</v>
      </c>
      <c r="C606" t="s" s="5">
        <v>3851</v>
      </c>
      <c r="D606" t="s" s="5">
        <v>3812</v>
      </c>
      <c r="E606" t="s" s="5">
        <v>3852</v>
      </c>
      <c r="F606" t="s" s="10">
        <v>3853</v>
      </c>
      <c r="G606" t="s" s="7">
        <v>3854</v>
      </c>
      <c r="H606" t="s" s="7">
        <v>3855</v>
      </c>
      <c r="I606" t="str" s="8" cm="1">
        <f t="array" ref="I606">SUBSTITUTE(H606,B606,"(          )")</f>
        <v>Their (          ) was announced in the local newspaper.</v>
      </c>
      <c r="J606" s="9" cm="1">
        <f t="array" ref="J606">SUMIF('외운 것 - 엑셀다운로드 파일(붙여넣기)'!A3:A562,A606,'외운 것 - 엑셀다운로드 파일(붙여넣기)'!D3:D562)</f>
        <v>0</v>
      </c>
      <c r="K606" s="9" cm="1">
        <f t="array" ref="K606">_xlfn.COUNTIFS('외운 것 - 엑셀다운로드 파일(붙여넣기)'!A3:A562,A606,'외운 것 - 엑셀다운로드 파일(붙여넣기)'!D3:D562,0)</f>
        <v>0</v>
      </c>
      <c r="L606" s="9" cm="1">
        <f t="array" ref="L606">IF(J606&gt;=3,_xlfn.XLOOKUP(A606,'외운 것 - 엑셀다운로드 파일(붙여넣기)'!A3:A562,'외운 것 - 엑셀다운로드 파일(붙여넣기)'!C3:C562,0,-1),0)</f>
        <v>0</v>
      </c>
    </row>
    <row r="607" ht="23.45" customHeight="1">
      <c r="A607" s="3">
        <v>606</v>
      </c>
      <c r="B607" t="s" s="4">
        <v>3857</v>
      </c>
      <c r="C607" t="s" s="5">
        <v>3812</v>
      </c>
      <c r="D607" t="s" s="5">
        <v>3813</v>
      </c>
      <c r="E607" t="s" s="5">
        <v>3858</v>
      </c>
      <c r="F607" t="s" s="10">
        <v>3859</v>
      </c>
      <c r="G607" t="s" s="7">
        <v>3860</v>
      </c>
      <c r="H607" t="s" s="7">
        <v>3861</v>
      </c>
      <c r="I607" t="str" s="8" cm="1">
        <f t="array" ref="I607">SUBSTITUTE(H607,B607,"(          )")</f>
        <v>Completing the course will (          ) you to a certificate.</v>
      </c>
      <c r="J607" s="9" cm="1">
        <f t="array" ref="J607">SUMIF('외운 것 - 엑셀다운로드 파일(붙여넣기)'!A3:A562,A607,'외운 것 - 엑셀다운로드 파일(붙여넣기)'!D3:D562)</f>
        <v>0</v>
      </c>
      <c r="K607" s="9" cm="1">
        <f t="array" ref="K607">_xlfn.COUNTIFS('외운 것 - 엑셀다운로드 파일(붙여넣기)'!A3:A562,A607,'외운 것 - 엑셀다운로드 파일(붙여넣기)'!D3:D562,0)</f>
        <v>0</v>
      </c>
      <c r="L607" s="9" cm="1">
        <f t="array" ref="L607">IF(J607&gt;=3,_xlfn.XLOOKUP(A607,'외운 것 - 엑셀다운로드 파일(붙여넣기)'!A3:A562,'외운 것 - 엑셀다운로드 파일(붙여넣기)'!C3:C562,0,-1),0)</f>
        <v>0</v>
      </c>
    </row>
    <row r="608" ht="38.45" customHeight="1">
      <c r="A608" s="3">
        <v>607</v>
      </c>
      <c r="B608" t="s" s="4">
        <v>3863</v>
      </c>
      <c r="C608" t="s" s="5">
        <v>3812</v>
      </c>
      <c r="D608" t="s" s="5">
        <v>3813</v>
      </c>
      <c r="E608" t="s" s="5">
        <v>3864</v>
      </c>
      <c r="F608" t="s" s="10">
        <v>3865</v>
      </c>
      <c r="G608" t="s" s="7">
        <v>755</v>
      </c>
      <c r="H608" t="s" s="7">
        <v>3866</v>
      </c>
      <c r="I608" t="str" s="8" cm="1">
        <f t="array" ref="I608">SUBSTITUTE(H608,B608,"(          )")</f>
        <v>The city (          )s include several small villages.</v>
      </c>
      <c r="J608" s="9" cm="1">
        <f t="array" ref="J608">SUMIF('외운 것 - 엑셀다운로드 파일(붙여넣기)'!A3:A562,A608,'외운 것 - 엑셀다운로드 파일(붙여넣기)'!D3:D562)</f>
        <v>0</v>
      </c>
      <c r="K608" s="9" cm="1">
        <f t="array" ref="K608">_xlfn.COUNTIFS('외운 것 - 엑셀다운로드 파일(붙여넣기)'!A3:A562,A608,'외운 것 - 엑셀다운로드 파일(붙여넣기)'!D3:D562,0)</f>
        <v>0</v>
      </c>
      <c r="L608" s="9" cm="1">
        <f t="array" ref="L608">IF(J608&gt;=3,_xlfn.XLOOKUP(A608,'외운 것 - 엑셀다운로드 파일(붙여넣기)'!A3:A562,'외운 것 - 엑셀다운로드 파일(붙여넣기)'!C3:C562,0,-1),0)</f>
        <v>0</v>
      </c>
    </row>
    <row r="609" ht="36.4" customHeight="1">
      <c r="A609" s="3">
        <v>608</v>
      </c>
      <c r="B609" t="s" s="4">
        <v>3868</v>
      </c>
      <c r="C609" t="s" s="5">
        <v>3869</v>
      </c>
      <c r="D609" t="s" s="5">
        <v>3812</v>
      </c>
      <c r="E609" t="s" s="5">
        <v>3870</v>
      </c>
      <c r="F609" t="s" s="10">
        <v>3871</v>
      </c>
      <c r="G609" t="s" s="7">
        <v>3872</v>
      </c>
      <c r="H609" t="s" s="7">
        <v>3873</v>
      </c>
      <c r="I609" t="str" s="8" cm="1">
        <f t="array" ref="I609">SUBSTITUTE(H609,B609,"(          )")</f>
        <v>We must protect the (          ) for future generations.</v>
      </c>
      <c r="J609" s="9" cm="1">
        <f t="array" ref="J609">SUMIF('외운 것 - 엑셀다운로드 파일(붙여넣기)'!A3:A562,A609,'외운 것 - 엑셀다운로드 파일(붙여넣기)'!D3:D562)</f>
        <v>0</v>
      </c>
      <c r="K609" s="9" cm="1">
        <f t="array" ref="K609">_xlfn.COUNTIFS('외운 것 - 엑셀다운로드 파일(붙여넣기)'!A3:A562,A609,'외운 것 - 엑셀다운로드 파일(붙여넣기)'!D3:D562,0)</f>
        <v>0</v>
      </c>
      <c r="L609" s="9" cm="1">
        <f t="array" ref="L609">IF(J609&gt;=3,_xlfn.XLOOKUP(A609,'외운 것 - 엑셀다운로드 파일(붙여넣기)'!A3:A562,'외운 것 - 엑셀다운로드 파일(붙여넣기)'!C3:C562,0,-1),0)</f>
        <v>0</v>
      </c>
    </row>
    <row r="610" ht="38.45" customHeight="1">
      <c r="A610" s="3">
        <v>609</v>
      </c>
      <c r="B610" t="s" s="4">
        <v>3875</v>
      </c>
      <c r="C610" t="s" s="5">
        <v>3812</v>
      </c>
      <c r="D610" t="s" s="5">
        <v>3813</v>
      </c>
      <c r="E610" t="s" s="5">
        <v>3876</v>
      </c>
      <c r="F610" t="s" s="10">
        <v>3877</v>
      </c>
      <c r="G610" t="s" s="7">
        <v>3878</v>
      </c>
      <c r="H610" t="s" s="7">
        <v>3879</v>
      </c>
      <c r="I610" t="str" s="8" cm="1">
        <f t="array" ref="I610">SUBSTITUTE(H610,B610,"(          )")</f>
        <v>Scientific research is a worthy (          ).</v>
      </c>
      <c r="J610" s="9" cm="1">
        <f t="array" ref="J610">SUMIF('외운 것 - 엑셀다운로드 파일(붙여넣기)'!A3:A562,A610,'외운 것 - 엑셀다운로드 파일(붙여넣기)'!D3:D562)</f>
        <v>0</v>
      </c>
      <c r="K610" s="9" cm="1">
        <f t="array" ref="K610">_xlfn.COUNTIFS('외운 것 - 엑셀다운로드 파일(붙여넣기)'!A3:A562,A610,'외운 것 - 엑셀다운로드 파일(붙여넣기)'!D3:D562,0)</f>
        <v>0</v>
      </c>
      <c r="L610" s="9" cm="1">
        <f t="array" ref="L610">IF(J610&gt;=3,_xlfn.XLOOKUP(A610,'외운 것 - 엑셀다운로드 파일(붙여넣기)'!A3:A562,'외운 것 - 엑셀다운로드 파일(붙여넣기)'!C3:C562,0,-1),0)</f>
        <v>0</v>
      </c>
    </row>
    <row r="611" ht="38.45" customHeight="1">
      <c r="A611" s="3">
        <v>610</v>
      </c>
      <c r="B611" t="s" s="4">
        <v>3881</v>
      </c>
      <c r="C611" t="s" s="5">
        <v>3812</v>
      </c>
      <c r="D611" t="s" s="5">
        <v>3813</v>
      </c>
      <c r="E611" t="s" s="5">
        <v>3882</v>
      </c>
      <c r="F611" t="s" s="10">
        <v>3883</v>
      </c>
      <c r="G611" t="s" s="7">
        <v>3884</v>
      </c>
      <c r="H611" t="s" s="7">
        <v>3885</v>
      </c>
      <c r="I611" t="str" s="8" cm="1">
        <f t="array" ref="I611">SUBSTITUTE(H611,B611,"(          )")</f>
        <v>Her (          ) for the project inspired the whole team.</v>
      </c>
      <c r="J611" s="9" cm="1">
        <f t="array" ref="J611">SUMIF('외운 것 - 엑셀다운로드 파일(붙여넣기)'!A3:A562,A611,'외운 것 - 엑셀다운로드 파일(붙여넣기)'!D3:D562)</f>
        <v>0</v>
      </c>
      <c r="K611" s="9" cm="1">
        <f t="array" ref="K611">_xlfn.COUNTIFS('외운 것 - 엑셀다운로드 파일(붙여넣기)'!A3:A562,A611,'외운 것 - 엑셀다운로드 파일(붙여넣기)'!D3:D562,0)</f>
        <v>0</v>
      </c>
      <c r="L611" s="9" cm="1">
        <f t="array" ref="L611">IF(J611&gt;=3,_xlfn.XLOOKUP(A611,'외운 것 - 엑셀다운로드 파일(붙여넣기)'!A3:A562,'외운 것 - 엑셀다운로드 파일(붙여넣기)'!C3:C562,0,-1),0)</f>
        <v>0</v>
      </c>
    </row>
    <row r="612" ht="50.45" customHeight="1">
      <c r="A612" s="3">
        <v>611</v>
      </c>
      <c r="B612" t="s" s="4">
        <v>3887</v>
      </c>
      <c r="C612" t="s" s="5">
        <v>3888</v>
      </c>
      <c r="D612" t="s" s="5">
        <v>3812</v>
      </c>
      <c r="E612" t="s" s="5">
        <v>3889</v>
      </c>
      <c r="F612" t="s" s="10">
        <v>3890</v>
      </c>
      <c r="G612" t="s" s="7">
        <v>3891</v>
      </c>
      <c r="H612" t="s" s="7">
        <v>3892</v>
      </c>
      <c r="I612" t="str" s="8" cm="1">
        <f t="array" ref="I612">SUBSTITUTE(H612,B612,"(          )")</f>
        <v>The children were (          ) about the field trip.</v>
      </c>
      <c r="J612" s="9" cm="1">
        <f t="array" ref="J612">SUMIF('외운 것 - 엑셀다운로드 파일(붙여넣기)'!A3:A562,A612,'외운 것 - 엑셀다운로드 파일(붙여넣기)'!D3:D562)</f>
        <v>0</v>
      </c>
      <c r="K612" s="9" cm="1">
        <f t="array" ref="K612">_xlfn.COUNTIFS('외운 것 - 엑셀다운로드 파일(붙여넣기)'!A3:A562,A612,'외운 것 - 엑셀다운로드 파일(붙여넣기)'!D3:D562,0)</f>
        <v>0</v>
      </c>
      <c r="L612" s="9" cm="1">
        <f t="array" ref="L612">IF(J612&gt;=3,_xlfn.XLOOKUP(A612,'외운 것 - 엑셀다운로드 파일(붙여넣기)'!A3:A562,'외운 것 - 엑셀다운로드 파일(붙여넣기)'!C3:C562,0,-1),0)</f>
        <v>0</v>
      </c>
    </row>
    <row r="613" ht="38.45" customHeight="1">
      <c r="A613" s="3">
        <v>612</v>
      </c>
      <c r="B613" t="s" s="4">
        <v>3894</v>
      </c>
      <c r="C613" t="s" s="5">
        <v>3812</v>
      </c>
      <c r="D613" t="s" s="5">
        <v>3813</v>
      </c>
      <c r="E613" t="s" s="5">
        <v>3895</v>
      </c>
      <c r="F613" t="s" s="10">
        <v>3896</v>
      </c>
      <c r="G613" t="s" s="7">
        <v>3897</v>
      </c>
      <c r="H613" t="s" s="7">
        <v>3898</v>
      </c>
      <c r="I613" t="str" s="8" cm="1">
        <f t="array" ref="I613">SUBSTITUTE(H613,B613,"(          )")</f>
        <v>Oxygen is (          ) for human survival.</v>
      </c>
      <c r="J613" s="9" cm="1">
        <f t="array" ref="J613">SUMIF('외운 것 - 엑셀다운로드 파일(붙여넣기)'!A3:A562,A613,'외운 것 - 엑셀다운로드 파일(붙여넣기)'!D3:D562)</f>
        <v>0</v>
      </c>
      <c r="K613" s="9" cm="1">
        <f t="array" ref="K613">_xlfn.COUNTIFS('외운 것 - 엑셀다운로드 파일(붙여넣기)'!A3:A562,A613,'외운 것 - 엑셀다운로드 파일(붙여넣기)'!D3:D562,0)</f>
        <v>0</v>
      </c>
      <c r="L613" s="9" cm="1">
        <f t="array" ref="L613">IF(J613&gt;=3,_xlfn.XLOOKUP(A613,'외운 것 - 엑셀다운로드 파일(붙여넣기)'!A3:A562,'외운 것 - 엑셀다운로드 파일(붙여넣기)'!C3:C562,0,-1),0)</f>
        <v>0</v>
      </c>
    </row>
    <row r="614" ht="36.4" customHeight="1">
      <c r="A614" s="3">
        <v>613</v>
      </c>
      <c r="B614" t="s" s="4">
        <v>3900</v>
      </c>
      <c r="C614" t="s" s="5">
        <v>3901</v>
      </c>
      <c r="D614" t="s" s="5">
        <v>3812</v>
      </c>
      <c r="E614" t="s" s="5">
        <v>3902</v>
      </c>
      <c r="F614" t="s" s="10">
        <v>3903</v>
      </c>
      <c r="G614" t="s" s="7">
        <v>3904</v>
      </c>
      <c r="H614" t="s" s="7">
        <v>3905</v>
      </c>
      <c r="I614" t="str" s="8" cm="1">
        <f t="array" ref="I614">SUBSTITUTE(H614,B614,"(          )")</f>
        <v>The two proposals are (          ) the same.</v>
      </c>
      <c r="J614" s="9" cm="1">
        <f t="array" ref="J614">SUMIF('외운 것 - 엑셀다운로드 파일(붙여넣기)'!A3:A562,A614,'외운 것 - 엑셀다운로드 파일(붙여넣기)'!D3:D562)</f>
        <v>0</v>
      </c>
      <c r="K614" s="9" cm="1">
        <f t="array" ref="K614">_xlfn.COUNTIFS('외운 것 - 엑셀다운로드 파일(붙여넣기)'!A3:A562,A614,'외운 것 - 엑셀다운로드 파일(붙여넣기)'!D3:D562,0)</f>
        <v>0</v>
      </c>
      <c r="L614" s="9" cm="1">
        <f t="array" ref="L614">IF(J614&gt;=3,_xlfn.XLOOKUP(A614,'외운 것 - 엑셀다운로드 파일(붙여넣기)'!A3:A562,'외운 것 - 엑셀다운로드 파일(붙여넣기)'!C3:C562,0,-1),0)</f>
        <v>0</v>
      </c>
    </row>
    <row r="615" ht="38.45" customHeight="1">
      <c r="A615" s="3">
        <v>614</v>
      </c>
      <c r="B615" t="s" s="4">
        <v>3907</v>
      </c>
      <c r="C615" t="s" s="5">
        <v>3812</v>
      </c>
      <c r="D615" t="s" s="5">
        <v>3813</v>
      </c>
      <c r="E615" t="s" s="5">
        <v>3908</v>
      </c>
      <c r="F615" t="s" s="10">
        <v>3909</v>
      </c>
      <c r="G615" t="s" s="7">
        <v>3910</v>
      </c>
      <c r="H615" t="s" s="7">
        <v>3911</v>
      </c>
      <c r="I615" t="str" s="8" cm="1">
        <f t="array" ref="I615">SUBSTITUTE(H615,B615,"(          )")</f>
        <v>Good lighting can (          ) the appearance of a room.</v>
      </c>
      <c r="J615" s="9" cm="1">
        <f t="array" ref="J615">SUMIF('외운 것 - 엑셀다운로드 파일(붙여넣기)'!A3:A562,A615,'외운 것 - 엑셀다운로드 파일(붙여넣기)'!D3:D562)</f>
        <v>0</v>
      </c>
      <c r="K615" s="9" cm="1">
        <f t="array" ref="K615">_xlfn.COUNTIFS('외운 것 - 엑셀다운로드 파일(붙여넣기)'!A3:A562,A615,'외운 것 - 엑셀다운로드 파일(붙여넣기)'!D3:D562,0)</f>
        <v>0</v>
      </c>
      <c r="L615" s="9" cm="1">
        <f t="array" ref="L615">IF(J615&gt;=3,_xlfn.XLOOKUP(A615,'외운 것 - 엑셀다운로드 파일(붙여넣기)'!A3:A562,'외운 것 - 엑셀다운로드 파일(붙여넣기)'!C3:C562,0,-1),0)</f>
        <v>0</v>
      </c>
    </row>
    <row r="616" ht="38.45" customHeight="1">
      <c r="A616" s="3">
        <v>615</v>
      </c>
      <c r="B616" t="s" s="4">
        <v>3913</v>
      </c>
      <c r="C616" t="s" s="5">
        <v>3812</v>
      </c>
      <c r="D616" t="s" s="5">
        <v>3813</v>
      </c>
      <c r="E616" t="s" s="5">
        <v>3914</v>
      </c>
      <c r="F616" t="s" s="10">
        <v>3915</v>
      </c>
      <c r="G616" t="s" s="7">
        <v>3916</v>
      </c>
      <c r="H616" t="s" s="7">
        <v>3917</v>
      </c>
      <c r="I616" t="str" s="8" cm="1">
        <f t="array" ref="I616">SUBSTITUTE(H616,B616,"(          )")</f>
        <v>Do we have (          ) food for everyone?</v>
      </c>
      <c r="J616" s="9" cm="1">
        <f t="array" ref="J616">SUMIF('외운 것 - 엑셀다운로드 파일(붙여넣기)'!A3:A562,A616,'외운 것 - 엑셀다운로드 파일(붙여넣기)'!D3:D562)</f>
        <v>0</v>
      </c>
      <c r="K616" s="9" cm="1">
        <f t="array" ref="K616">_xlfn.COUNTIFS('외운 것 - 엑셀다운로드 파일(붙여넣기)'!A3:A562,A616,'외운 것 - 엑셀다운로드 파일(붙여넣기)'!D3:D562,0)</f>
        <v>0</v>
      </c>
      <c r="L616" s="9" cm="1">
        <f t="array" ref="L616">IF(J616&gt;=3,_xlfn.XLOOKUP(A616,'외운 것 - 엑셀다운로드 파일(붙여넣기)'!A3:A562,'외운 것 - 엑셀다운로드 파일(붙여넣기)'!C3:C562,0,-1),0)</f>
        <v>0</v>
      </c>
    </row>
    <row r="617" ht="38.45" customHeight="1">
      <c r="A617" s="3">
        <v>616</v>
      </c>
      <c r="B617" t="s" s="4">
        <v>3919</v>
      </c>
      <c r="C617" t="s" s="5">
        <v>3812</v>
      </c>
      <c r="D617" t="s" s="5">
        <v>3813</v>
      </c>
      <c r="E617" t="s" s="5">
        <v>3920</v>
      </c>
      <c r="F617" t="s" s="10">
        <v>3921</v>
      </c>
      <c r="G617" t="s" s="7">
        <v>3922</v>
      </c>
      <c r="H617" t="s" s="7">
        <v>3923</v>
      </c>
      <c r="I617" t="str" s="8" cm="1">
        <f t="array" ref="I617">SUBSTITUTE(H617,B617,"(          )")</f>
        <v>Pollution continues to (          ) many species.</v>
      </c>
      <c r="J617" s="9" cm="1">
        <f t="array" ref="J617">SUMIF('외운 것 - 엑셀다운로드 파일(붙여넣기)'!A3:A562,A617,'외운 것 - 엑셀다운로드 파일(붙여넣기)'!D3:D562)</f>
        <v>0</v>
      </c>
      <c r="K617" s="9" cm="1">
        <f t="array" ref="K617">_xlfn.COUNTIFS('외운 것 - 엑셀다운로드 파일(붙여넣기)'!A3:A562,A617,'외운 것 - 엑셀다운로드 파일(붙여넣기)'!D3:D562,0)</f>
        <v>0</v>
      </c>
      <c r="L617" s="9" cm="1">
        <f t="array" ref="L617">IF(J617&gt;=3,_xlfn.XLOOKUP(A617,'외운 것 - 엑셀다운로드 파일(붙여넣기)'!A3:A562,'외운 것 - 엑셀다운로드 파일(붙여넣기)'!C3:C562,0,-1),0)</f>
        <v>0</v>
      </c>
    </row>
    <row r="618" ht="23.45" customHeight="1">
      <c r="A618" s="3">
        <v>617</v>
      </c>
      <c r="B618" t="s" s="4">
        <v>3925</v>
      </c>
      <c r="C618" t="s" s="5">
        <v>3812</v>
      </c>
      <c r="D618" t="s" s="5">
        <v>3813</v>
      </c>
      <c r="E618" t="s" s="5">
        <v>3926</v>
      </c>
      <c r="F618" t="s" s="10">
        <v>3927</v>
      </c>
      <c r="G618" t="s" s="7">
        <v>3928</v>
      </c>
      <c r="H618" t="s" s="7">
        <v>3929</v>
      </c>
      <c r="I618" t="str" s="8" cm="1">
        <f t="array" ref="I618">SUBSTITUTE(H618,B618,"(          )")</f>
        <v>You can (          ) in the course online.</v>
      </c>
      <c r="J618" s="9" cm="1">
        <f t="array" ref="J618">SUMIF('외운 것 - 엑셀다운로드 파일(붙여넣기)'!A3:A562,A618,'외운 것 - 엑셀다운로드 파일(붙여넣기)'!D3:D562)</f>
        <v>0</v>
      </c>
      <c r="K618" s="9" cm="1">
        <f t="array" ref="K618">_xlfn.COUNTIFS('외운 것 - 엑셀다운로드 파일(붙여넣기)'!A3:A562,A618,'외운 것 - 엑셀다운로드 파일(붙여넣기)'!D3:D562,0)</f>
        <v>0</v>
      </c>
      <c r="L618" s="9" cm="1">
        <f t="array" ref="L618">IF(J618&gt;=3,_xlfn.XLOOKUP(A618,'외운 것 - 엑셀다운로드 파일(붙여넣기)'!A3:A562,'외운 것 - 엑셀다운로드 파일(붙여넣기)'!C3:C562,0,-1),0)</f>
        <v>0</v>
      </c>
    </row>
    <row r="619" ht="23.45" customHeight="1">
      <c r="A619" s="3">
        <v>618</v>
      </c>
      <c r="B619" t="s" s="4">
        <v>3931</v>
      </c>
      <c r="C619" t="s" s="5">
        <v>3932</v>
      </c>
      <c r="D619" t="s" s="5">
        <v>3812</v>
      </c>
      <c r="E619" t="s" s="5">
        <v>3933</v>
      </c>
      <c r="F619" t="s" s="10">
        <v>3934</v>
      </c>
      <c r="G619" t="s" s="7">
        <v>3935</v>
      </c>
      <c r="H619" t="s" s="7">
        <v>3936</v>
      </c>
      <c r="I619" t="str" s="8" cm="1">
        <f t="array" ref="I619">SUBSTITUTE(H619,B619,"(          )")</f>
        <v>University (          ) increased significantly this year.</v>
      </c>
      <c r="J619" s="9" cm="1">
        <f t="array" ref="J619">SUMIF('외운 것 - 엑셀다운로드 파일(붙여넣기)'!A3:A562,A619,'외운 것 - 엑셀다운로드 파일(붙여넣기)'!D3:D562)</f>
        <v>0</v>
      </c>
      <c r="K619" s="9" cm="1">
        <f t="array" ref="K619">_xlfn.COUNTIFS('외운 것 - 엑셀다운로드 파일(붙여넣기)'!A3:A562,A619,'외운 것 - 엑셀다운로드 파일(붙여넣기)'!D3:D562,0)</f>
        <v>0</v>
      </c>
      <c r="L619" s="9" cm="1">
        <f t="array" ref="L619">IF(J619&gt;=3,_xlfn.XLOOKUP(A619,'외운 것 - 엑셀다운로드 파일(붙여넣기)'!A3:A562,'외운 것 - 엑셀다운로드 파일(붙여넣기)'!C3:C562,0,-1),0)</f>
        <v>0</v>
      </c>
    </row>
    <row r="620" ht="38.45" customHeight="1">
      <c r="A620" s="3">
        <v>619</v>
      </c>
      <c r="B620" t="s" s="4">
        <v>3938</v>
      </c>
      <c r="C620" t="s" s="5">
        <v>3939</v>
      </c>
      <c r="D620" t="s" s="5">
        <v>3940</v>
      </c>
      <c r="E620" t="s" s="5">
        <v>3941</v>
      </c>
      <c r="F620" t="s" s="10">
        <v>3942</v>
      </c>
      <c r="G620" t="s" s="7">
        <v>3943</v>
      </c>
      <c r="H620" t="s" s="7">
        <v>3944</v>
      </c>
      <c r="I620" t="str" s="8" cm="1">
        <f t="array" ref="I620">SUBSTITUTE(H620,B620,"(          )")</f>
        <v>Can you (          ) the ship on the horizon?</v>
      </c>
      <c r="J620" s="9" cm="1">
        <f t="array" ref="J620">SUMIF('외운 것 - 엑셀다운로드 파일(붙여넣기)'!A3:A562,A620,'외운 것 - 엑셀다운로드 파일(붙여넣기)'!D3:D562)</f>
        <v>0</v>
      </c>
      <c r="K620" s="9" cm="1">
        <f t="array" ref="K620">_xlfn.COUNTIFS('외운 것 - 엑셀다운로드 파일(붙여넣기)'!A3:A562,A620,'외운 것 - 엑셀다운로드 파일(붙여넣기)'!D3:D562,0)</f>
        <v>0</v>
      </c>
      <c r="L620" s="9" cm="1">
        <f t="array" ref="L620">IF(J620&gt;=3,_xlfn.XLOOKUP(A620,'외운 것 - 엑셀다운로드 파일(붙여넣기)'!A3:A562,'외운 것 - 엑셀다운로드 파일(붙여넣기)'!C3:C562,0,-1),0)</f>
        <v>0</v>
      </c>
    </row>
    <row r="621" ht="23.45" customHeight="1">
      <c r="A621" s="3">
        <v>620</v>
      </c>
      <c r="B621" t="s" s="4">
        <v>3946</v>
      </c>
      <c r="C621" t="s" s="5">
        <v>3939</v>
      </c>
      <c r="D621" t="s" s="5">
        <v>3940</v>
      </c>
      <c r="E621" t="s" s="5">
        <v>3947</v>
      </c>
      <c r="F621" t="s" s="10">
        <v>3948</v>
      </c>
      <c r="G621" t="s" s="7">
        <v>3949</v>
      </c>
      <c r="H621" t="s" s="7">
        <v>3950</v>
      </c>
      <c r="I621" t="str" s="8" cm="1">
        <f t="array" ref="I621">SUBSTITUTE(H621,B621,"(          )")</f>
        <v>Police (          ) witnesses to the accident.</v>
      </c>
      <c r="J621" s="9" cm="1">
        <f t="array" ref="J621">SUMIF('외운 것 - 엑셀다운로드 파일(붙여넣기)'!A3:A562,A621,'외운 것 - 엑셀다운로드 파일(붙여넣기)'!D3:D562)</f>
        <v>0</v>
      </c>
      <c r="K621" s="9" cm="1">
        <f t="array" ref="K621">_xlfn.COUNTIFS('외운 것 - 엑셀다운로드 파일(붙여넣기)'!A3:A562,A621,'외운 것 - 엑셀다운로드 파일(붙여넣기)'!D3:D562,0)</f>
        <v>0</v>
      </c>
      <c r="L621" s="9" cm="1">
        <f t="array" ref="L621">IF(J621&gt;=3,_xlfn.XLOOKUP(A621,'외운 것 - 엑셀다운로드 파일(붙여넣기)'!A3:A562,'외운 것 - 엑셀다운로드 파일(붙여넣기)'!C3:C562,0,-1),0)</f>
        <v>0</v>
      </c>
    </row>
    <row r="622" ht="23.45" customHeight="1">
      <c r="A622" s="3">
        <v>621</v>
      </c>
      <c r="B622" t="s" s="4">
        <v>3952</v>
      </c>
      <c r="C622" t="s" s="5">
        <v>3939</v>
      </c>
      <c r="D622" t="s" s="5">
        <v>3940</v>
      </c>
      <c r="E622" t="s" s="5">
        <v>3953</v>
      </c>
      <c r="F622" t="s" s="10">
        <v>3954</v>
      </c>
      <c r="G622" t="s" s="7">
        <v>3955</v>
      </c>
      <c r="H622" t="s" s="7">
        <v>3956</v>
      </c>
      <c r="I622" t="str" s="8" cm="1">
        <f t="array" ref="I622">SUBSTITUTE(H622,B622,"(          )")</f>
        <v>The child took a (          ) at his birthday presents.</v>
      </c>
      <c r="J622" s="9" cm="1">
        <f t="array" ref="J622">SUMIF('외운 것 - 엑셀다운로드 파일(붙여넣기)'!A3:A562,A622,'외운 것 - 엑셀다운로드 파일(붙여넣기)'!D3:D562)</f>
        <v>0</v>
      </c>
      <c r="K622" s="9" cm="1">
        <f t="array" ref="K622">_xlfn.COUNTIFS('외운 것 - 엑셀다운로드 파일(붙여넣기)'!A3:A562,A622,'외운 것 - 엑셀다운로드 파일(붙여넣기)'!D3:D562,0)</f>
        <v>0</v>
      </c>
      <c r="L622" s="9" cm="1">
        <f t="array" ref="L622">IF(J622&gt;=3,_xlfn.XLOOKUP(A622,'외운 것 - 엑셀다운로드 파일(붙여넣기)'!A3:A562,'외운 것 - 엑셀다운로드 파일(붙여넣기)'!C3:C562,0,-1),0)</f>
        <v>0</v>
      </c>
    </row>
    <row r="623" ht="38.45" customHeight="1">
      <c r="A623" s="3">
        <v>622</v>
      </c>
      <c r="B623" t="s" s="4">
        <v>3958</v>
      </c>
      <c r="C623" t="s" s="5">
        <v>3939</v>
      </c>
      <c r="D623" t="s" s="5">
        <v>3940</v>
      </c>
      <c r="E623" t="s" s="5">
        <v>3959</v>
      </c>
      <c r="F623" t="s" s="10">
        <v>3960</v>
      </c>
      <c r="G623" t="s" s="7">
        <v>3961</v>
      </c>
      <c r="H623" t="s" s="7">
        <v>3962</v>
      </c>
      <c r="I623" t="str" s="8" cm="1">
        <f t="array" ref="I623">SUBSTITUTE(H623,B623,"(          )")</f>
        <v>Most people need eight hours of (          ) each night.</v>
      </c>
      <c r="J623" s="9" cm="1">
        <f t="array" ref="J623">SUMIF('외운 것 - 엑셀다운로드 파일(붙여넣기)'!A3:A562,A623,'외운 것 - 엑셀다운로드 파일(붙여넣기)'!D3:D562)</f>
        <v>0</v>
      </c>
      <c r="K623" s="9" cm="1">
        <f t="array" ref="K623">_xlfn.COUNTIFS('외운 것 - 엑셀다운로드 파일(붙여넣기)'!A3:A562,A623,'외운 것 - 엑셀다운로드 파일(붙여넣기)'!D3:D562,0)</f>
        <v>0</v>
      </c>
      <c r="L623" s="9" cm="1">
        <f t="array" ref="L623">IF(J623&gt;=3,_xlfn.XLOOKUP(A623,'외운 것 - 엑셀다운로드 파일(붙여넣기)'!A3:A562,'외운 것 - 엑셀다운로드 파일(붙여넣기)'!C3:C562,0,-1),0)</f>
        <v>0</v>
      </c>
    </row>
    <row r="624" ht="23.45" customHeight="1">
      <c r="A624" s="3">
        <v>623</v>
      </c>
      <c r="B624" t="s" s="4">
        <v>3964</v>
      </c>
      <c r="C624" t="s" s="5">
        <v>3965</v>
      </c>
      <c r="D624" t="s" s="5">
        <v>3939</v>
      </c>
      <c r="E624" t="s" s="5">
        <v>3966</v>
      </c>
      <c r="F624" t="s" s="10">
        <v>3967</v>
      </c>
      <c r="G624" t="s" s="7">
        <v>3968</v>
      </c>
      <c r="H624" t="s" s="7">
        <v>3969</v>
      </c>
      <c r="I624" t="str" s="8" cm="1">
        <f t="array" ref="I624">SUBSTITUTE(H624,B624,"(          )")</f>
        <v>The long drive made me feel (          ).</v>
      </c>
      <c r="J624" s="9" cm="1">
        <f t="array" ref="J624">SUMIF('외운 것 - 엑셀다운로드 파일(붙여넣기)'!A3:A562,A624,'외운 것 - 엑셀다운로드 파일(붙여넣기)'!D3:D562)</f>
        <v>0</v>
      </c>
      <c r="K624" s="9" cm="1">
        <f t="array" ref="K624">_xlfn.COUNTIFS('외운 것 - 엑셀다운로드 파일(붙여넣기)'!A3:A562,A624,'외운 것 - 엑셀다운로드 파일(붙여넣기)'!D3:D562,0)</f>
        <v>0</v>
      </c>
      <c r="L624" s="9" cm="1">
        <f t="array" ref="L624">IF(J624&gt;=3,_xlfn.XLOOKUP(A624,'외운 것 - 엑셀다운로드 파일(붙여넣기)'!A3:A562,'외운 것 - 엑셀다운로드 파일(붙여넣기)'!C3:C562,0,-1),0)</f>
        <v>0</v>
      </c>
    </row>
    <row r="625" ht="23.45" customHeight="1">
      <c r="A625" s="3">
        <v>624</v>
      </c>
      <c r="B625" t="s" s="4">
        <v>3971</v>
      </c>
      <c r="C625" t="s" s="5">
        <v>3939</v>
      </c>
      <c r="D625" t="s" s="5">
        <v>3940</v>
      </c>
      <c r="E625" t="s" s="5">
        <v>3972</v>
      </c>
      <c r="F625" t="s" s="10">
        <v>3973</v>
      </c>
      <c r="G625" t="s" s="7">
        <v>3974</v>
      </c>
      <c r="H625" t="s" s="7">
        <v>3975</v>
      </c>
      <c r="I625" t="str" s="8" cm="1">
        <f t="array" ref="I625">SUBSTITUTE(H625,B625,"(          )")</f>
        <v>Water began to (          ) through the crack in the ceiling.</v>
      </c>
      <c r="J625" s="9" cm="1">
        <f t="array" ref="J625">SUMIF('외운 것 - 엑셀다운로드 파일(붙여넣기)'!A3:A562,A625,'외운 것 - 엑셀다운로드 파일(붙여넣기)'!D3:D562)</f>
        <v>0</v>
      </c>
      <c r="K625" s="9" cm="1">
        <f t="array" ref="K625">_xlfn.COUNTIFS('외운 것 - 엑셀다운로드 파일(붙여넣기)'!A3:A562,A625,'외운 것 - 엑셀다운로드 파일(붙여넣기)'!D3:D562,0)</f>
        <v>0</v>
      </c>
      <c r="L625" s="9" cm="1">
        <f t="array" ref="L625">IF(J625&gt;=3,_xlfn.XLOOKUP(A625,'외운 것 - 엑셀다운로드 파일(붙여넣기)'!A3:A562,'외운 것 - 엑셀다운로드 파일(붙여넣기)'!C3:C562,0,-1),0)</f>
        <v>0</v>
      </c>
    </row>
    <row r="626" ht="23.45" customHeight="1">
      <c r="A626" s="3">
        <v>625</v>
      </c>
      <c r="B626" t="s" s="4">
        <v>2920</v>
      </c>
      <c r="C626" t="s" s="5">
        <v>3939</v>
      </c>
      <c r="D626" t="s" s="5">
        <v>3940</v>
      </c>
      <c r="E626" t="s" s="5">
        <v>2922</v>
      </c>
      <c r="F626" t="s" s="10">
        <v>3977</v>
      </c>
      <c r="G626" t="s" s="7">
        <v>2924</v>
      </c>
      <c r="H626" t="s" s="7">
        <v>2925</v>
      </c>
      <c r="I626" t="str" s="8" cm="1">
        <f t="array" ref="I626">SUBSTITUTE(H626,B626,"(          )")</f>
        <v>The ocean is very (          ) in this area.</v>
      </c>
      <c r="J626" s="9" cm="1">
        <f t="array" ref="J626">SUMIF('외운 것 - 엑셀다운로드 파일(붙여넣기)'!A3:A562,A626,'외운 것 - 엑셀다운로드 파일(붙여넣기)'!D3:D562)</f>
        <v>0</v>
      </c>
      <c r="K626" s="9" cm="1">
        <f t="array" ref="K626">_xlfn.COUNTIFS('외운 것 - 엑셀다운로드 파일(붙여넣기)'!A3:A562,A626,'외운 것 - 엑셀다운로드 파일(붙여넣기)'!D3:D562,0)</f>
        <v>0</v>
      </c>
      <c r="L626" s="9" cm="1">
        <f t="array" ref="L626">IF(J626&gt;=3,_xlfn.XLOOKUP(A626,'외운 것 - 엑셀다운로드 파일(붙여넣기)'!A3:A562,'외운 것 - 엑셀다운로드 파일(붙여넣기)'!C3:C562,0,-1),0)</f>
        <v>0</v>
      </c>
    </row>
    <row r="627" ht="38.45" customHeight="1">
      <c r="A627" s="3">
        <v>626</v>
      </c>
      <c r="B627" t="s" s="4">
        <v>3978</v>
      </c>
      <c r="C627" t="s" s="5">
        <v>3939</v>
      </c>
      <c r="D627" t="s" s="5">
        <v>3940</v>
      </c>
      <c r="E627" t="s" s="5">
        <v>3979</v>
      </c>
      <c r="F627" t="s" s="10">
        <v>3980</v>
      </c>
      <c r="G627" t="s" s="7">
        <v>3981</v>
      </c>
      <c r="H627" t="s" s="7">
        <v>3982</v>
      </c>
      <c r="I627" t="str" s="8" cm="1">
        <f t="array" ref="I627">SUBSTITUTE(H627,B627,"(          )")</f>
        <v>Keep your ticket until the end of the journey.</v>
      </c>
      <c r="J627" s="9" cm="1">
        <f t="array" ref="J627">SUMIF('외운 것 - 엑셀다운로드 파일(붙여넣기)'!A3:A562,A627,'외운 것 - 엑셀다운로드 파일(붙여넣기)'!D3:D562)</f>
        <v>0</v>
      </c>
      <c r="K627" s="9" cm="1">
        <f t="array" ref="K627">_xlfn.COUNTIFS('외운 것 - 엑셀다운로드 파일(붙여넣기)'!A3:A562,A627,'외운 것 - 엑셀다운로드 파일(붙여넣기)'!D3:D562,0)</f>
        <v>0</v>
      </c>
      <c r="L627" s="9" cm="1">
        <f t="array" ref="L627">IF(J627&gt;=3,_xlfn.XLOOKUP(A627,'외운 것 - 엑셀다운로드 파일(붙여넣기)'!A3:A562,'외운 것 - 엑셀다운로드 파일(붙여넣기)'!C3:C562,0,-1),0)</f>
        <v>0</v>
      </c>
    </row>
    <row r="628" ht="23.45" customHeight="1">
      <c r="A628" s="3">
        <v>627</v>
      </c>
      <c r="B628" t="s" s="4">
        <v>3984</v>
      </c>
      <c r="C628" t="s" s="5">
        <v>3939</v>
      </c>
      <c r="D628" t="s" s="5">
        <v>3940</v>
      </c>
      <c r="E628" t="s" s="5">
        <v>3985</v>
      </c>
      <c r="F628" t="s" s="10">
        <v>3986</v>
      </c>
      <c r="G628" t="s" s="7">
        <v>3987</v>
      </c>
      <c r="H628" t="s" s="7">
        <v>3988</v>
      </c>
      <c r="I628" t="str" s="8" cm="1">
        <f t="array" ref="I628">SUBSTITUTE(H628,B628,"(          )")</f>
        <v>The mourners (          ) quietly at the funeral.</v>
      </c>
      <c r="J628" s="9" cm="1">
        <f t="array" ref="J628">SUMIF('외운 것 - 엑셀다운로드 파일(붙여넣기)'!A3:A562,A628,'외운 것 - 엑셀다운로드 파일(붙여넣기)'!D3:D562)</f>
        <v>0</v>
      </c>
      <c r="K628" s="9" cm="1">
        <f t="array" ref="K628">_xlfn.COUNTIFS('외운 것 - 엑셀다운로드 파일(붙여넣기)'!A3:A562,A628,'외운 것 - 엑셀다운로드 파일(붙여넣기)'!D3:D562,0)</f>
        <v>0</v>
      </c>
      <c r="L628" s="9" cm="1">
        <f t="array" ref="L628">IF(J628&gt;=3,_xlfn.XLOOKUP(A628,'외운 것 - 엑셀다운로드 파일(붙여넣기)'!A3:A562,'외운 것 - 엑셀다운로드 파일(붙여넣기)'!C3:C562,0,-1),0)</f>
        <v>0</v>
      </c>
    </row>
    <row r="629" ht="23.45" customHeight="1">
      <c r="A629" s="3">
        <v>628</v>
      </c>
      <c r="B629" t="s" s="4">
        <v>3990</v>
      </c>
      <c r="C629" t="s" s="5">
        <v>3939</v>
      </c>
      <c r="D629" t="s" s="5">
        <v>3940</v>
      </c>
      <c r="E629" t="s" s="5">
        <v>3991</v>
      </c>
      <c r="F629" t="s" s="10">
        <v>3992</v>
      </c>
      <c r="G629" t="s" s="7">
        <v>3993</v>
      </c>
      <c r="H629" t="s" s="7">
        <v>3994</v>
      </c>
      <c r="I629" t="str" s="8" cm="1">
        <f t="array" ref="I629">SUBSTITUTE(H629,B629,"(          )")</f>
        <v>I work five days per (          ).</v>
      </c>
      <c r="J629" s="9" cm="1">
        <f t="array" ref="J629">SUMIF('외운 것 - 엑셀다운로드 파일(붙여넣기)'!A3:A562,A629,'외운 것 - 엑셀다운로드 파일(붙여넣기)'!D3:D562)</f>
        <v>0</v>
      </c>
      <c r="K629" s="9" cm="1">
        <f t="array" ref="K629">_xlfn.COUNTIFS('외운 것 - 엑셀다운로드 파일(붙여넣기)'!A3:A562,A629,'외운 것 - 엑셀다운로드 파일(붙여넣기)'!D3:D562,0)</f>
        <v>0</v>
      </c>
      <c r="L629" s="9" cm="1">
        <f t="array" ref="L629">IF(J629&gt;=3,_xlfn.XLOOKUP(A629,'외운 것 - 엑셀다운로드 파일(붙여넣기)'!A3:A562,'외운 것 - 엑셀다운로드 파일(붙여넣기)'!C3:C562,0,-1),0)</f>
        <v>0</v>
      </c>
    </row>
    <row r="630" ht="23.45" customHeight="1">
      <c r="A630" s="3">
        <v>629</v>
      </c>
      <c r="B630" t="s" s="4">
        <v>3996</v>
      </c>
      <c r="C630" t="s" s="5">
        <v>3939</v>
      </c>
      <c r="D630" t="s" s="5">
        <v>3940</v>
      </c>
      <c r="E630" t="s" s="5">
        <v>3997</v>
      </c>
      <c r="F630" t="s" s="10">
        <v>3998</v>
      </c>
      <c r="G630" t="s" s="7">
        <v>3999</v>
      </c>
      <c r="H630" t="s" s="7">
        <v>4000</v>
      </c>
      <c r="I630" t="str" s="8" cm="1">
        <f t="array" ref="I630">SUBSTITUTE(H630,B630,"(          )")</f>
        <v>I (          ) happy when I listen to this song.</v>
      </c>
      <c r="J630" s="9" cm="1">
        <f t="array" ref="J630">SUMIF('외운 것 - 엑셀다운로드 파일(붙여넣기)'!A3:A562,A630,'외운 것 - 엑셀다운로드 파일(붙여넣기)'!D3:D562)</f>
        <v>0</v>
      </c>
      <c r="K630" s="9" cm="1">
        <f t="array" ref="K630">_xlfn.COUNTIFS('외운 것 - 엑셀다운로드 파일(붙여넣기)'!A3:A562,A630,'외운 것 - 엑셀다운로드 파일(붙여넣기)'!D3:D562,0)</f>
        <v>0</v>
      </c>
      <c r="L630" s="9" cm="1">
        <f t="array" ref="L630">IF(J630&gt;=3,_xlfn.XLOOKUP(A630,'외운 것 - 엑셀다운로드 파일(붙여넣기)'!A3:A562,'외운 것 - 엑셀다운로드 파일(붙여넣기)'!C3:C562,0,-1),0)</f>
        <v>0</v>
      </c>
    </row>
    <row r="631" ht="38.45" customHeight="1">
      <c r="A631" s="3">
        <v>630</v>
      </c>
      <c r="B631" t="s" s="4">
        <v>4002</v>
      </c>
      <c r="C631" t="s" s="5">
        <v>3939</v>
      </c>
      <c r="D631" t="s" s="5">
        <v>3940</v>
      </c>
      <c r="E631" t="s" s="5">
        <v>4003</v>
      </c>
      <c r="F631" t="s" s="10">
        <v>4004</v>
      </c>
      <c r="G631" t="s" s="7">
        <v>4005</v>
      </c>
      <c r="H631" t="s" s="7">
        <v>4006</v>
      </c>
      <c r="I631" t="str" s="8" cm="1">
        <f t="array" ref="I631">SUBSTITUTE(H631,B631,"(          )")</f>
        <v>She broke the (          ) of her shoe while running.</v>
      </c>
      <c r="J631" s="9" cm="1">
        <f t="array" ref="J631">SUMIF('외운 것 - 엑셀다운로드 파일(붙여넣기)'!A3:A562,A631,'외운 것 - 엑셀다운로드 파일(붙여넣기)'!D3:D562)</f>
        <v>0</v>
      </c>
      <c r="K631" s="9" cm="1">
        <f t="array" ref="K631">_xlfn.COUNTIFS('외운 것 - 엑셀다운로드 파일(붙여넣기)'!A3:A562,A631,'외운 것 - 엑셀다운로드 파일(붙여넣기)'!D3:D562,0)</f>
        <v>0</v>
      </c>
      <c r="L631" s="9" cm="1">
        <f t="array" ref="L631">IF(J631&gt;=3,_xlfn.XLOOKUP(A631,'외운 것 - 엑셀다운로드 파일(붙여넣기)'!A3:A562,'외운 것 - 엑셀다운로드 파일(붙여넣기)'!C3:C562,0,-1),0)</f>
        <v>0</v>
      </c>
    </row>
    <row r="632" ht="38.45" customHeight="1">
      <c r="A632" s="3">
        <v>631</v>
      </c>
      <c r="B632" t="s" s="4">
        <v>4008</v>
      </c>
      <c r="C632" t="s" s="5">
        <v>3939</v>
      </c>
      <c r="D632" t="s" s="5">
        <v>3940</v>
      </c>
      <c r="E632" t="s" s="5">
        <v>4009</v>
      </c>
      <c r="F632" t="s" s="10">
        <v>4010</v>
      </c>
      <c r="G632" t="s" s="7">
        <v>4011</v>
      </c>
      <c r="H632" t="s" s="7">
        <v>4012</v>
      </c>
      <c r="I632" t="str" s="8" cm="1">
        <f t="array" ref="I632">SUBSTITUTE(H632,B632,"(          )")</f>
        <v>You should (          ) the weather warning and stay inside.</v>
      </c>
      <c r="J632" s="9" cm="1">
        <f t="array" ref="J632">SUMIF('외운 것 - 엑셀다운로드 파일(붙여넣기)'!A3:A562,A632,'외운 것 - 엑셀다운로드 파일(붙여넣기)'!D3:D562)</f>
        <v>0</v>
      </c>
      <c r="K632" s="9" cm="1">
        <f t="array" ref="K632">_xlfn.COUNTIFS('외운 것 - 엑셀다운로드 파일(붙여넣기)'!A3:A562,A632,'외운 것 - 엑셀다운로드 파일(붙여넣기)'!D3:D562,0)</f>
        <v>0</v>
      </c>
      <c r="L632" s="9" cm="1">
        <f t="array" ref="L632">IF(J632&gt;=3,_xlfn.XLOOKUP(A632,'외운 것 - 엑셀다운로드 파일(붙여넣기)'!A3:A562,'외운 것 - 엑셀다운로드 파일(붙여넣기)'!C3:C562,0,-1),0)</f>
        <v>0</v>
      </c>
    </row>
    <row r="633" ht="38.45" customHeight="1">
      <c r="A633" s="3">
        <v>632</v>
      </c>
      <c r="B633" t="s" s="4">
        <v>466</v>
      </c>
      <c r="C633" t="s" s="5">
        <v>3939</v>
      </c>
      <c r="D633" t="s" s="5">
        <v>3940</v>
      </c>
      <c r="E633" t="s" s="5">
        <v>467</v>
      </c>
      <c r="F633" t="s" s="10">
        <v>4014</v>
      </c>
      <c r="G633" t="s" s="7">
        <v>4015</v>
      </c>
      <c r="H633" t="s" s="7">
        <v>470</v>
      </c>
      <c r="I633" t="str" s="8" cm="1">
        <f t="array" ref="I633">SUBSTITUTE(H633,B633,"(          )")</f>
        <v>His knee started to (          ) after he fell off his bike.</v>
      </c>
      <c r="J633" s="9" cm="1">
        <f t="array" ref="J633">SUMIF('외운 것 - 엑셀다운로드 파일(붙여넣기)'!A3:A562,A633,'외운 것 - 엑셀다운로드 파일(붙여넣기)'!D3:D562)</f>
        <v>0</v>
      </c>
      <c r="K633" s="9" cm="1">
        <f t="array" ref="K633">_xlfn.COUNTIFS('외운 것 - 엑셀다운로드 파일(붙여넣기)'!A3:A562,A633,'외운 것 - 엑셀다운로드 파일(붙여넣기)'!D3:D562,0)</f>
        <v>0</v>
      </c>
      <c r="L633" s="9" cm="1">
        <f t="array" ref="L633">IF(J633&gt;=3,_xlfn.XLOOKUP(A633,'외운 것 - 엑셀다운로드 파일(붙여넣기)'!A3:A562,'외운 것 - 엑셀다운로드 파일(붙여넣기)'!C3:C562,0,-1),0)</f>
        <v>0</v>
      </c>
    </row>
    <row r="634" ht="38.45" customHeight="1">
      <c r="A634" s="3">
        <v>633</v>
      </c>
      <c r="B634" t="s" s="4">
        <v>4016</v>
      </c>
      <c r="C634" t="s" s="5">
        <v>3939</v>
      </c>
      <c r="D634" t="s" s="5">
        <v>3940</v>
      </c>
      <c r="E634" t="s" s="5">
        <v>4017</v>
      </c>
      <c r="F634" t="s" s="10">
        <v>4018</v>
      </c>
      <c r="G634" t="s" s="7">
        <v>4019</v>
      </c>
      <c r="H634" t="s" s="7">
        <v>4020</v>
      </c>
      <c r="I634" t="str" s="8" cm="1">
        <f t="array" ref="I634">SUBSTITUTE(H634,B634,"(          )")</f>
        <v>His (          ) for power led to his downfall.</v>
      </c>
      <c r="J634" s="9" cm="1">
        <f t="array" ref="J634">SUMIF('외운 것 - 엑셀다운로드 파일(붙여넣기)'!A3:A562,A634,'외운 것 - 엑셀다운로드 파일(붙여넣기)'!D3:D562)</f>
        <v>0</v>
      </c>
      <c r="K634" s="9" cm="1">
        <f t="array" ref="K634">_xlfn.COUNTIFS('외운 것 - 엑셀다운로드 파일(붙여넣기)'!A3:A562,A634,'외운 것 - 엑셀다운로드 파일(붙여넣기)'!D3:D562,0)</f>
        <v>0</v>
      </c>
      <c r="L634" s="9" cm="1">
        <f t="array" ref="L634">IF(J634&gt;=3,_xlfn.XLOOKUP(A634,'외운 것 - 엑셀다운로드 파일(붙여넣기)'!A3:A562,'외운 것 - 엑셀다운로드 파일(붙여넣기)'!C3:C562,0,-1),0)</f>
        <v>0</v>
      </c>
    </row>
    <row r="635" ht="38.45" customHeight="1">
      <c r="A635" s="3">
        <v>634</v>
      </c>
      <c r="B635" t="s" s="4">
        <v>4022</v>
      </c>
      <c r="C635" t="s" s="5">
        <v>3939</v>
      </c>
      <c r="D635" t="s" s="5">
        <v>3940</v>
      </c>
      <c r="E635" t="s" s="5">
        <v>4023</v>
      </c>
      <c r="F635" t="s" s="10">
        <v>4024</v>
      </c>
      <c r="G635" t="s" s="7">
        <v>4025</v>
      </c>
      <c r="H635" t="s" s="7">
        <v>4026</v>
      </c>
      <c r="I635" t="str" s="8" cm="1">
        <f t="array" ref="I635">SUBSTITUTE(H635,B635,"(          )")</f>
        <v>She has a (          ) interest in modern art.</v>
      </c>
      <c r="J635" s="9" cm="1">
        <f t="array" ref="J635">SUMIF('외운 것 - 엑셀다운로드 파일(붙여넣기)'!A3:A562,A635,'외운 것 - 엑셀다운로드 파일(붙여넣기)'!D3:D562)</f>
        <v>0</v>
      </c>
      <c r="K635" s="9" cm="1">
        <f t="array" ref="K635">_xlfn.COUNTIFS('외운 것 - 엑셀다운로드 파일(붙여넣기)'!A3:A562,A635,'외운 것 - 엑셀다운로드 파일(붙여넣기)'!D3:D562,0)</f>
        <v>0</v>
      </c>
      <c r="L635" s="9" cm="1">
        <f t="array" ref="L635">IF(J635&gt;=3,_xlfn.XLOOKUP(A635,'외운 것 - 엑셀다운로드 파일(붙여넣기)'!A3:A562,'외운 것 - 엑셀다운로드 파일(붙여넣기)'!C3:C562,0,-1),0)</f>
        <v>0</v>
      </c>
    </row>
    <row r="636" ht="38.45" customHeight="1">
      <c r="A636" s="3">
        <v>635</v>
      </c>
      <c r="B636" t="s" s="4">
        <v>4028</v>
      </c>
      <c r="C636" t="s" s="5">
        <v>4029</v>
      </c>
      <c r="D636" t="s" s="5">
        <v>4030</v>
      </c>
      <c r="E636" t="s" s="5">
        <v>4031</v>
      </c>
      <c r="F636" t="s" s="10">
        <v>4032</v>
      </c>
      <c r="G636" t="s" s="7">
        <v>4033</v>
      </c>
      <c r="H636" t="s" s="7">
        <v>4034</v>
      </c>
      <c r="I636" t="str" s="8" cm="1">
        <f t="array" ref="I636">SUBSTITUTE(H636,B636,"(          )")</f>
        <v>I need to write an (          ) about climate change.</v>
      </c>
      <c r="J636" s="9" cm="1">
        <f t="array" ref="J636">SUMIF('외운 것 - 엑셀다운로드 파일(붙여넣기)'!A3:A562,A636,'외운 것 - 엑셀다운로드 파일(붙여넣기)'!D3:D562)</f>
        <v>0</v>
      </c>
      <c r="K636" s="9" cm="1">
        <f t="array" ref="K636">_xlfn.COUNTIFS('외운 것 - 엑셀다운로드 파일(붙여넣기)'!A3:A562,A636,'외운 것 - 엑셀다운로드 파일(붙여넣기)'!D3:D562,0)</f>
        <v>0</v>
      </c>
      <c r="L636" s="9" cm="1">
        <f t="array" ref="L636">IF(J636&gt;=3,_xlfn.XLOOKUP(A636,'외운 것 - 엑셀다운로드 파일(붙여넣기)'!A3:A562,'외운 것 - 엑셀다운로드 파일(붙여넣기)'!C3:C562,0,-1),0)</f>
        <v>0</v>
      </c>
    </row>
    <row r="637" ht="23.45" customHeight="1">
      <c r="A637" s="3">
        <v>636</v>
      </c>
      <c r="B637" t="s" s="4">
        <v>4036</v>
      </c>
      <c r="C637" t="s" s="5">
        <v>4036</v>
      </c>
      <c r="D637" t="s" s="5">
        <v>4037</v>
      </c>
      <c r="E637" t="s" s="5">
        <v>4038</v>
      </c>
      <c r="F637" t="s" s="6">
        <v>4039</v>
      </c>
      <c r="G637" t="s" s="7">
        <v>4040</v>
      </c>
      <c r="H637" t="s" s="7">
        <v>4041</v>
      </c>
      <c r="I637" t="str" s="8" cm="1">
        <f t="array" ref="I637">SUBSTITUTE(H637,B637,"(          )")</f>
        <v>What did the doctor (          ) about your test results?</v>
      </c>
      <c r="J637" s="9" cm="1">
        <f t="array" ref="J637">SUMIF('외운 것 - 엑셀다운로드 파일(붙여넣기)'!A3:A562,A637,'외운 것 - 엑셀다운로드 파일(붙여넣기)'!D3:D562)</f>
        <v>0</v>
      </c>
      <c r="K637" s="9" cm="1">
        <f t="array" ref="K637">_xlfn.COUNTIFS('외운 것 - 엑셀다운로드 파일(붙여넣기)'!A3:A562,A637,'외운 것 - 엑셀다운로드 파일(붙여넣기)'!D3:D562,0)</f>
        <v>0</v>
      </c>
      <c r="L637" s="9" cm="1">
        <f t="array" ref="L637">IF(J637&gt;=3,_xlfn.XLOOKUP(A637,'외운 것 - 엑셀다운로드 파일(붙여넣기)'!A3:A562,'외운 것 - 엑셀다운로드 파일(붙여넣기)'!C3:C562,0,-1),0)</f>
        <v>0</v>
      </c>
    </row>
    <row r="638" ht="23.45" customHeight="1">
      <c r="A638" s="3">
        <v>637</v>
      </c>
      <c r="B638" t="s" s="4">
        <v>4043</v>
      </c>
      <c r="C638" t="s" s="5">
        <v>4029</v>
      </c>
      <c r="D638" t="s" s="5">
        <v>4030</v>
      </c>
      <c r="E638" t="s" s="5">
        <v>4044</v>
      </c>
      <c r="F638" t="s" s="10">
        <v>4045</v>
      </c>
      <c r="G638" t="s" s="7">
        <v>4046</v>
      </c>
      <c r="H638" t="s" s="7">
        <v>4047</v>
      </c>
      <c r="I638" t="str" s="8" cm="1">
        <f t="array" ref="I638">SUBSTITUTE(H638,B638,"(          )")</f>
        <v>Security guards will (          ) the VIP to the hotel.</v>
      </c>
      <c r="J638" s="9" cm="1">
        <f t="array" ref="J638">SUMIF('외운 것 - 엑셀다운로드 파일(붙여넣기)'!A3:A562,A638,'외운 것 - 엑셀다운로드 파일(붙여넣기)'!D3:D562)</f>
        <v>0</v>
      </c>
      <c r="K638" s="9" cm="1">
        <f t="array" ref="K638">_xlfn.COUNTIFS('외운 것 - 엑셀다운로드 파일(붙여넣기)'!A3:A562,A638,'외운 것 - 엑셀다운로드 파일(붙여넣기)'!D3:D562,0)</f>
        <v>0</v>
      </c>
      <c r="L638" s="9" cm="1">
        <f t="array" ref="L638">IF(J638&gt;=3,_xlfn.XLOOKUP(A638,'외운 것 - 엑셀다운로드 파일(붙여넣기)'!A3:A562,'외운 것 - 엑셀다운로드 파일(붙여넣기)'!C3:C562,0,-1),0)</f>
        <v>0</v>
      </c>
    </row>
    <row r="639" ht="38.45" customHeight="1">
      <c r="A639" s="3">
        <v>638</v>
      </c>
      <c r="B639" t="s" s="4">
        <v>4049</v>
      </c>
      <c r="C639" t="s" s="5">
        <v>4050</v>
      </c>
      <c r="D639" t="s" s="5">
        <v>4030</v>
      </c>
      <c r="E639" t="s" s="5">
        <v>4051</v>
      </c>
      <c r="F639" t="s" s="10">
        <v>4052</v>
      </c>
      <c r="G639" t="s" s="7">
        <v>4053</v>
      </c>
      <c r="H639" t="s" s="7">
        <v>4054</v>
      </c>
      <c r="I639" t="str" s="8" cm="1">
        <f t="array" ref="I639">SUBSTITUTE(H639,B639,"(          )")</f>
        <v>The company wants to (          ) a new branch in Asia.</v>
      </c>
      <c r="J639" s="9" cm="1">
        <f t="array" ref="J639">SUMIF('외운 것 - 엑셀다운로드 파일(붙여넣기)'!A3:A562,A639,'외운 것 - 엑셀다운로드 파일(붙여넣기)'!D3:D562)</f>
        <v>0</v>
      </c>
      <c r="K639" s="9" cm="1">
        <f t="array" ref="K639">_xlfn.COUNTIFS('외운 것 - 엑셀다운로드 파일(붙여넣기)'!A3:A562,A639,'외운 것 - 엑셀다운로드 파일(붙여넣기)'!D3:D562,0)</f>
        <v>0</v>
      </c>
      <c r="L639" s="9" cm="1">
        <f t="array" ref="L639">IF(J639&gt;=3,_xlfn.XLOOKUP(A639,'외운 것 - 엑셀다운로드 파일(붙여넣기)'!A3:A562,'외운 것 - 엑셀다운로드 파일(붙여넣기)'!C3:C562,0,-1),0)</f>
        <v>0</v>
      </c>
    </row>
    <row r="640" ht="23.45" customHeight="1">
      <c r="A640" s="3">
        <v>639</v>
      </c>
      <c r="B640" t="s" s="4">
        <v>4056</v>
      </c>
      <c r="C640" t="s" s="5">
        <v>4057</v>
      </c>
      <c r="D640" t="s" s="5">
        <v>4058</v>
      </c>
      <c r="E640" t="s" s="5">
        <v>4059</v>
      </c>
      <c r="F640" t="s" s="10">
        <v>4060</v>
      </c>
      <c r="G640" t="s" s="7">
        <v>4061</v>
      </c>
      <c r="H640" t="s" s="7">
        <v>4062</v>
      </c>
      <c r="I640" t="str" s="8" cm="1">
        <f t="array" ref="I640">SUBSTITUTE(H640,B640,"(          )")</f>
        <v>Have you (          ) visited London?</v>
      </c>
      <c r="J640" s="9" cm="1">
        <f t="array" ref="J640">SUMIF('외운 것 - 엑셀다운로드 파일(붙여넣기)'!A3:A562,A640,'외운 것 - 엑셀다운로드 파일(붙여넣기)'!D3:D562)</f>
        <v>0</v>
      </c>
      <c r="K640" s="9" cm="1">
        <f t="array" ref="K640">_xlfn.COUNTIFS('외운 것 - 엑셀다운로드 파일(붙여넣기)'!A3:A562,A640,'외운 것 - 엑셀다운로드 파일(붙여넣기)'!D3:D562,0)</f>
        <v>0</v>
      </c>
      <c r="L640" s="9" cm="1">
        <f t="array" ref="L640">IF(J640&gt;=3,_xlfn.XLOOKUP(A640,'외운 것 - 엑셀다운로드 파일(붙여넣기)'!A3:A562,'외운 것 - 엑셀다운로드 파일(붙여넣기)'!C3:C562,0,-1),0)</f>
        <v>0</v>
      </c>
    </row>
    <row r="641" ht="23.45" customHeight="1">
      <c r="A641" s="3">
        <v>640</v>
      </c>
      <c r="B641" t="s" s="4">
        <v>4064</v>
      </c>
      <c r="C641" t="s" s="5">
        <v>4065</v>
      </c>
      <c r="D641" t="s" s="5">
        <v>4057</v>
      </c>
      <c r="E641" t="s" s="5">
        <v>4066</v>
      </c>
      <c r="F641" t="s" s="10">
        <v>4067</v>
      </c>
      <c r="G641" t="s" s="7">
        <v>4068</v>
      </c>
      <c r="H641" t="s" s="7">
        <v>4069</v>
      </c>
      <c r="I641" t="str" s="8" cm="1">
        <f t="array" ref="I641">SUBSTITUTE(H641,B641,"(          )")</f>
        <v>True friendship lasts (          ).</v>
      </c>
      <c r="J641" s="9" cm="1">
        <f t="array" ref="J641">SUMIF('외운 것 - 엑셀다운로드 파일(붙여넣기)'!A3:A562,A641,'외운 것 - 엑셀다운로드 파일(붙여넣기)'!D3:D562)</f>
        <v>0</v>
      </c>
      <c r="K641" s="9" cm="1">
        <f t="array" ref="K641">_xlfn.COUNTIFS('외운 것 - 엑셀다운로드 파일(붙여넣기)'!A3:A562,A641,'외운 것 - 엑셀다운로드 파일(붙여넣기)'!D3:D562,0)</f>
        <v>0</v>
      </c>
      <c r="L641" s="9" cm="1">
        <f t="array" ref="L641">IF(J641&gt;=3,_xlfn.XLOOKUP(A641,'외운 것 - 엑셀다운로드 파일(붙여넣기)'!A3:A562,'외운 것 - 엑셀다운로드 파일(붙여넣기)'!C3:C562,0,-1),0)</f>
        <v>0</v>
      </c>
    </row>
    <row r="642" ht="23.45" customHeight="1">
      <c r="A642" s="3">
        <v>641</v>
      </c>
      <c r="B642" t="s" s="4">
        <v>4071</v>
      </c>
      <c r="C642" t="s" s="5">
        <v>4057</v>
      </c>
      <c r="D642" t="s" s="5">
        <v>4058</v>
      </c>
      <c r="E642" t="s" s="5">
        <v>4072</v>
      </c>
      <c r="F642" t="s" s="10">
        <v>4073</v>
      </c>
      <c r="G642" t="s" s="7">
        <v>4074</v>
      </c>
      <c r="H642" t="s" s="7">
        <v>4075</v>
      </c>
      <c r="I642" t="str" s="8" cm="1">
        <f t="array" ref="I642">SUBSTITUTE(H642,B642,"(          )")</f>
        <v>Every child deserves quality education.</v>
      </c>
      <c r="J642" s="9" cm="1">
        <f t="array" ref="J642">SUMIF('외운 것 - 엑셀다운로드 파일(붙여넣기)'!A3:A562,A642,'외운 것 - 엑셀다운로드 파일(붙여넣기)'!D3:D562)</f>
        <v>0</v>
      </c>
      <c r="K642" s="9" cm="1">
        <f t="array" ref="K642">_xlfn.COUNTIFS('외운 것 - 엑셀다운로드 파일(붙여넣기)'!A3:A562,A642,'외운 것 - 엑셀다운로드 파일(붙여넣기)'!D3:D562,0)</f>
        <v>0</v>
      </c>
      <c r="L642" s="9" cm="1">
        <f t="array" ref="L642">IF(J642&gt;=3,_xlfn.XLOOKUP(A642,'외운 것 - 엑셀다운로드 파일(붙여넣기)'!A3:A562,'외운 것 - 엑셀다운로드 파일(붙여넣기)'!C3:C562,0,-1),0)</f>
        <v>0</v>
      </c>
    </row>
    <row r="643" ht="38.45" customHeight="1">
      <c r="A643" s="3">
        <v>642</v>
      </c>
      <c r="B643" t="s" s="4">
        <v>4077</v>
      </c>
      <c r="C643" t="s" s="5">
        <v>4057</v>
      </c>
      <c r="D643" t="s" s="5">
        <v>4058</v>
      </c>
      <c r="E643" t="s" s="5">
        <v>4078</v>
      </c>
      <c r="F643" t="s" s="10">
        <v>4079</v>
      </c>
      <c r="G643" t="s" s="7">
        <v>4080</v>
      </c>
      <c r="H643" t="s" s="7">
        <v>4081</v>
      </c>
      <c r="I643" t="str" s="8" cm="1">
        <f t="array" ref="I643">SUBSTITUTE(H643,B643,"(          )")</f>
        <v>She didn't (          ) call to explain why she was late.</v>
      </c>
      <c r="J643" s="9" cm="1">
        <f t="array" ref="J643">SUMIF('외운 것 - 엑셀다운로드 파일(붙여넣기)'!A3:A562,A643,'외운 것 - 엑셀다운로드 파일(붙여넣기)'!D3:D562)</f>
        <v>0</v>
      </c>
      <c r="K643" s="9" cm="1">
        <f t="array" ref="K643">_xlfn.COUNTIFS('외운 것 - 엑셀다운로드 파일(붙여넣기)'!A3:A562,A643,'외운 것 - 엑셀다운로드 파일(붙여넣기)'!D3:D562,0)</f>
        <v>0</v>
      </c>
      <c r="L643" s="9" cm="1">
        <f t="array" ref="L643">IF(J643&gt;=3,_xlfn.XLOOKUP(A643,'외운 것 - 엑셀다운로드 파일(붙여넣기)'!A3:A562,'외운 것 - 엑셀다운로드 파일(붙여넣기)'!C3:C562,0,-1),0)</f>
        <v>0</v>
      </c>
    </row>
    <row r="644" ht="23.45" customHeight="1">
      <c r="A644" s="3">
        <v>643</v>
      </c>
      <c r="B644" t="s" s="4">
        <v>4083</v>
      </c>
      <c r="C644" t="s" s="5">
        <v>4084</v>
      </c>
      <c r="D644" t="s" s="5">
        <v>4057</v>
      </c>
      <c r="E644" t="s" s="5">
        <v>4085</v>
      </c>
      <c r="F644" t="s" s="10">
        <v>4086</v>
      </c>
      <c r="G644" t="s" s="7">
        <v>4087</v>
      </c>
      <c r="H644" t="s" s="7">
        <v>4088</v>
      </c>
      <c r="I644" t="str" s="8" cm="1">
        <f t="array" ref="I644">SUBSTITUTE(H644,B644,"(          )")</f>
        <v>Distribute the workload (          ) among team members.</v>
      </c>
      <c r="J644" s="9" cm="1">
        <f t="array" ref="J644">SUMIF('외운 것 - 엑셀다운로드 파일(붙여넣기)'!A3:A562,A644,'외운 것 - 엑셀다운로드 파일(붙여넣기)'!D3:D562)</f>
        <v>0</v>
      </c>
      <c r="K644" s="9" cm="1">
        <f t="array" ref="K644">_xlfn.COUNTIFS('외운 것 - 엑셀다운로드 파일(붙여넣기)'!A3:A562,A644,'외운 것 - 엑셀다운로드 파일(붙여넣기)'!D3:D562,0)</f>
        <v>0</v>
      </c>
      <c r="L644" s="9" cm="1">
        <f t="array" ref="L644">IF(J644&gt;=3,_xlfn.XLOOKUP(A644,'외운 것 - 엑셀다운로드 파일(붙여넣기)'!A3:A562,'외운 것 - 엑셀다운로드 파일(붙여넣기)'!C3:C562,0,-1),0)</f>
        <v>0</v>
      </c>
    </row>
    <row r="645" ht="23.45" customHeight="1">
      <c r="A645" s="3">
        <v>644</v>
      </c>
      <c r="B645" t="s" s="4">
        <v>4090</v>
      </c>
      <c r="C645" t="s" s="5">
        <v>4084</v>
      </c>
      <c r="D645" t="s" s="5">
        <v>4057</v>
      </c>
      <c r="E645" t="s" s="5">
        <v>4091</v>
      </c>
      <c r="F645" t="s" s="10">
        <v>4092</v>
      </c>
      <c r="G645" t="s" s="7">
        <v>4093</v>
      </c>
      <c r="H645" t="s" s="7">
        <v>4094</v>
      </c>
      <c r="I645" t="str" s="8" cm="1">
        <f t="array" ref="I645">SUBSTITUTE(H645,B645,"(          )")</f>
        <v>The table wobbles because the legs are (          ).</v>
      </c>
      <c r="J645" s="9" cm="1">
        <f t="array" ref="J645">SUMIF('외운 것 - 엑셀다운로드 파일(붙여넣기)'!A3:A562,A645,'외운 것 - 엑셀다운로드 파일(붙여넣기)'!D3:D562)</f>
        <v>0</v>
      </c>
      <c r="K645" s="9" cm="1">
        <f t="array" ref="K645">_xlfn.COUNTIFS('외운 것 - 엑셀다운로드 파일(붙여넣기)'!A3:A562,A645,'외운 것 - 엑셀다운로드 파일(붙여넣기)'!D3:D562,0)</f>
        <v>0</v>
      </c>
      <c r="L645" s="9" cm="1">
        <f t="array" ref="L645">IF(J645&gt;=3,_xlfn.XLOOKUP(A645,'외운 것 - 엑셀다운로드 파일(붙여넣기)'!A3:A562,'외운 것 - 엑셀다운로드 파일(붙여넣기)'!C3:C562,0,-1),0)</f>
        <v>0</v>
      </c>
    </row>
    <row r="646" ht="23.45" customHeight="1">
      <c r="A646" s="3">
        <v>645</v>
      </c>
      <c r="B646" t="s" s="4">
        <v>4096</v>
      </c>
      <c r="C646" t="s" s="5">
        <v>4084</v>
      </c>
      <c r="D646" t="s" s="5">
        <v>4057</v>
      </c>
      <c r="E646" t="s" s="5">
        <v>4097</v>
      </c>
      <c r="F646" t="s" s="10">
        <v>4098</v>
      </c>
      <c r="G646" t="s" s="7">
        <v>4099</v>
      </c>
      <c r="H646" t="s" s="7">
        <v>4100</v>
      </c>
      <c r="I646" t="str" s="8" cm="1">
        <f t="array" ref="I646">SUBSTITUTE(H646,B646,"(          )")</f>
        <v>We're having dinner guests this (          ).</v>
      </c>
      <c r="J646" s="9" cm="1">
        <f t="array" ref="J646">SUMIF('외운 것 - 엑셀다운로드 파일(붙여넣기)'!A3:A562,A646,'외운 것 - 엑셀다운로드 파일(붙여넣기)'!D3:D562)</f>
        <v>0</v>
      </c>
      <c r="K646" s="9" cm="1">
        <f t="array" ref="K646">_xlfn.COUNTIFS('외운 것 - 엑셀다운로드 파일(붙여넣기)'!A3:A562,A646,'외운 것 - 엑셀다운로드 파일(붙여넣기)'!D3:D562,0)</f>
        <v>0</v>
      </c>
      <c r="L646" s="9" cm="1">
        <f t="array" ref="L646">IF(J646&gt;=3,_xlfn.XLOOKUP(A646,'외운 것 - 엑셀다운로드 파일(붙여넣기)'!A3:A562,'외운 것 - 엑셀다운로드 파일(붙여넣기)'!C3:C562,0,-1),0)</f>
        <v>0</v>
      </c>
    </row>
    <row r="647" ht="38.45" customHeight="1">
      <c r="A647" s="3">
        <v>646</v>
      </c>
      <c r="B647" t="s" s="4">
        <v>4102</v>
      </c>
      <c r="C647" t="s" s="5">
        <v>4057</v>
      </c>
      <c r="D647" t="s" s="5">
        <v>4058</v>
      </c>
      <c r="E647" t="s" s="5">
        <v>4103</v>
      </c>
      <c r="F647" t="s" s="10">
        <v>4104</v>
      </c>
      <c r="G647" t="s" s="7">
        <v>4105</v>
      </c>
      <c r="H647" t="s" s="7">
        <v>4106</v>
      </c>
      <c r="I647" t="str" s="8" cm="1">
        <f t="array" ref="I647">SUBSTITUTE(H647,B647,"(          )")</f>
        <v>The villain in the movie represents (          ).</v>
      </c>
      <c r="J647" s="9" cm="1">
        <f t="array" ref="J647">SUMIF('외운 것 - 엑셀다운로드 파일(붙여넣기)'!A3:A562,A647,'외운 것 - 엑셀다운로드 파일(붙여넣기)'!D3:D562)</f>
        <v>0</v>
      </c>
      <c r="K647" s="9" cm="1">
        <f t="array" ref="K647">_xlfn.COUNTIFS('외운 것 - 엑셀다운로드 파일(붙여넣기)'!A3:A562,A647,'외운 것 - 엑셀다운로드 파일(붙여넣기)'!D3:D562,0)</f>
        <v>0</v>
      </c>
      <c r="L647" s="9" cm="1">
        <f t="array" ref="L647">IF(J647&gt;=3,_xlfn.XLOOKUP(A647,'외운 것 - 엑셀다운로드 파일(붙여넣기)'!A3:A562,'외운 것 - 엑셀다운로드 파일(붙여넣기)'!C3:C562,0,-1),0)</f>
        <v>0</v>
      </c>
    </row>
    <row r="648" ht="23.45" customHeight="1">
      <c r="A648" s="3">
        <v>647</v>
      </c>
      <c r="B648" t="s" s="4">
        <v>4108</v>
      </c>
      <c r="C648" t="s" s="5">
        <v>4109</v>
      </c>
      <c r="D648" t="s" s="5">
        <v>4057</v>
      </c>
      <c r="E648" t="s" s="5">
        <v>4110</v>
      </c>
      <c r="F648" t="s" s="10">
        <v>4111</v>
      </c>
      <c r="G648" t="s" s="7">
        <v>4112</v>
      </c>
      <c r="H648" t="s" s="7">
        <v>4113</v>
      </c>
      <c r="I648" t="str" s="8" cm="1">
        <f t="array" ref="I648">SUBSTITUTE(H648,B648,"(          )")</f>
        <v>The (          )'s advocate argues against popular opinion.</v>
      </c>
      <c r="J648" s="9" cm="1">
        <f t="array" ref="J648">SUMIF('외운 것 - 엑셀다운로드 파일(붙여넣기)'!A3:A562,A648,'외운 것 - 엑셀다운로드 파일(붙여넣기)'!D3:D562)</f>
        <v>0</v>
      </c>
      <c r="K648" s="9" cm="1">
        <f t="array" ref="K648">_xlfn.COUNTIFS('외운 것 - 엑셀다운로드 파일(붙여넣기)'!A3:A562,A648,'외운 것 - 엑셀다운로드 파일(붙여넣기)'!D3:D562,0)</f>
        <v>0</v>
      </c>
      <c r="L648" s="9" cm="1">
        <f t="array" ref="L648">IF(J648&gt;=3,_xlfn.XLOOKUP(A648,'외운 것 - 엑셀다운로드 파일(붙여넣기)'!A3:A562,'외운 것 - 엑셀다운로드 파일(붙여넣기)'!C3:C562,0,-1),0)</f>
        <v>0</v>
      </c>
    </row>
    <row r="649" ht="23.45" customHeight="1">
      <c r="A649" s="3">
        <v>648</v>
      </c>
      <c r="B649" t="s" s="4">
        <v>4115</v>
      </c>
      <c r="C649" t="s" s="5">
        <v>4116</v>
      </c>
      <c r="D649" t="s" s="5">
        <v>4057</v>
      </c>
      <c r="E649" t="s" s="5">
        <v>4117</v>
      </c>
      <c r="F649" t="s" s="10">
        <v>4118</v>
      </c>
      <c r="G649" t="s" s="7">
        <v>4119</v>
      </c>
      <c r="H649" t="s" s="7">
        <v>4120</v>
      </c>
      <c r="I649" t="str" s="8" cm="1">
        <f t="array" ref="I649">SUBSTITUTE(H649,B649,"(          )")</f>
        <v>Change is (          ) in any organization.</v>
      </c>
      <c r="J649" s="9" cm="1">
        <f t="array" ref="J649">SUMIF('외운 것 - 엑셀다운로드 파일(붙여넣기)'!A3:A562,A649,'외운 것 - 엑셀다운로드 파일(붙여넣기)'!D3:D562)</f>
        <v>0</v>
      </c>
      <c r="K649" s="9" cm="1">
        <f t="array" ref="K649">_xlfn.COUNTIFS('외운 것 - 엑셀다운로드 파일(붙여넣기)'!A3:A562,A649,'외운 것 - 엑셀다운로드 파일(붙여넣기)'!D3:D562,0)</f>
        <v>0</v>
      </c>
      <c r="L649" s="9" cm="1">
        <f t="array" ref="L649">IF(J649&gt;=3,_xlfn.XLOOKUP(A649,'외운 것 - 엑셀다운로드 파일(붙여넣기)'!A3:A562,'외운 것 - 엑셀다운로드 파일(붙여넣기)'!C3:C562,0,-1),0)</f>
        <v>0</v>
      </c>
    </row>
    <row r="650" ht="53.45" customHeight="1">
      <c r="A650" s="3">
        <v>649</v>
      </c>
      <c r="B650" t="s" s="4">
        <v>4122</v>
      </c>
      <c r="C650" t="s" s="5">
        <v>4123</v>
      </c>
      <c r="D650" t="s" s="5">
        <v>4122</v>
      </c>
      <c r="E650" t="s" s="5">
        <v>4124</v>
      </c>
      <c r="F650" t="s" s="6">
        <v>4125</v>
      </c>
      <c r="G650" t="s" s="7">
        <v>4126</v>
      </c>
      <c r="H650" t="s" s="7">
        <v>4127</v>
      </c>
      <c r="I650" t="str" s="8" cm="1">
        <f t="array" ref="I650">SUBSTITUTE(H650,B650,"(          )")</f>
        <v>The annual county (          ) attracts thousands of visitors.</v>
      </c>
      <c r="J650" s="9" cm="1">
        <f t="array" ref="J650">SUMIF('외운 것 - 엑셀다운로드 파일(붙여넣기)'!A3:A562,A650,'외운 것 - 엑셀다운로드 파일(붙여넣기)'!D3:D562)</f>
        <v>0</v>
      </c>
      <c r="K650" s="9" cm="1">
        <f t="array" ref="K650">_xlfn.COUNTIFS('외운 것 - 엑셀다운로드 파일(붙여넣기)'!A3:A562,A650,'외운 것 - 엑셀다운로드 파일(붙여넣기)'!D3:D562,0)</f>
        <v>0</v>
      </c>
      <c r="L650" s="9" cm="1">
        <f t="array" ref="L650">IF(J650&gt;=3,_xlfn.XLOOKUP(A650,'외운 것 - 엑셀다운로드 파일(붙여넣기)'!A3:A562,'외운 것 - 엑셀다운로드 파일(붙여넣기)'!C3:C562,0,-1),0)</f>
        <v>0</v>
      </c>
    </row>
    <row r="651" ht="23.45" customHeight="1">
      <c r="A651" s="3">
        <v>650</v>
      </c>
      <c r="B651" t="s" s="4">
        <v>4129</v>
      </c>
      <c r="C651" t="s" s="5">
        <v>4123</v>
      </c>
      <c r="D651" t="s" s="5">
        <v>4122</v>
      </c>
      <c r="E651" t="s" s="5">
        <v>4130</v>
      </c>
      <c r="F651" t="s" s="10">
        <v>4131</v>
      </c>
      <c r="G651" t="s" s="7">
        <v>4132</v>
      </c>
      <c r="H651" t="s" s="7">
        <v>4133</v>
      </c>
      <c r="I651" t="str" s="8" cm="1">
        <f t="array" ref="I651">SUBSTITUTE(H651,B651,"(          )")</f>
        <v>Many companies recruit at the university (          ).</v>
      </c>
      <c r="J651" s="9" cm="1">
        <f t="array" ref="J651">SUMIF('외운 것 - 엑셀다운로드 파일(붙여넣기)'!A3:A562,A651,'외운 것 - 엑셀다운로드 파일(붙여넣기)'!D3:D562)</f>
        <v>0</v>
      </c>
      <c r="K651" s="9" cm="1">
        <f t="array" ref="K651">_xlfn.COUNTIFS('외운 것 - 엑셀다운로드 파일(붙여넣기)'!A3:A562,A651,'외운 것 - 엑셀다운로드 파일(붙여넣기)'!D3:D562,0)</f>
        <v>0</v>
      </c>
      <c r="L651" s="9" cm="1">
        <f t="array" ref="L651">IF(J651&gt;=3,_xlfn.XLOOKUP(A651,'외운 것 - 엑셀다운로드 파일(붙여넣기)'!A3:A562,'외운 것 - 엑셀다운로드 파일(붙여넣기)'!C3:C562,0,-1),0)</f>
        <v>0</v>
      </c>
    </row>
    <row r="652" ht="23.45" customHeight="1">
      <c r="A652" s="3">
        <v>651</v>
      </c>
      <c r="B652" t="s" s="4">
        <v>4135</v>
      </c>
      <c r="C652" t="s" s="5">
        <v>4122</v>
      </c>
      <c r="D652" t="s" s="5">
        <v>4122</v>
      </c>
      <c r="E652" t="s" s="5">
        <v>4136</v>
      </c>
      <c r="F652" t="s" s="10">
        <v>4137</v>
      </c>
      <c r="G652" t="s" s="7">
        <v>4138</v>
      </c>
      <c r="H652" t="s" s="7">
        <v>4139</v>
      </c>
      <c r="I652" t="str" s="8" cm="1">
        <f t="array" ref="I652">SUBSTITUTE(H652,B652,"(          )")</f>
        <v>The business (          ) required careful negotiation.</v>
      </c>
      <c r="J652" s="9" cm="1">
        <f t="array" ref="J652">SUMIF('외운 것 - 엑셀다운로드 파일(붙여넣기)'!A3:A562,A652,'외운 것 - 엑셀다운로드 파일(붙여넣기)'!D3:D562)</f>
        <v>0</v>
      </c>
      <c r="K652" s="9" cm="1">
        <f t="array" ref="K652">_xlfn.COUNTIFS('외운 것 - 엑셀다운로드 파일(붙여넣기)'!A3:A562,A652,'외운 것 - 엑셀다운로드 파일(붙여넣기)'!D3:D562,0)</f>
        <v>0</v>
      </c>
      <c r="L652" s="9" cm="1">
        <f t="array" ref="L652">IF(J652&gt;=3,_xlfn.XLOOKUP(A652,'외운 것 - 엑셀다운로드 파일(붙여넣기)'!A3:A562,'외운 것 - 엑셀다운로드 파일(붙여넣기)'!C3:C562,0,-1),0)</f>
        <v>0</v>
      </c>
    </row>
    <row r="653" ht="38.45" customHeight="1">
      <c r="A653" s="3">
        <v>652</v>
      </c>
      <c r="B653" t="s" s="4">
        <v>4141</v>
      </c>
      <c r="C653" t="s" s="5">
        <v>4123</v>
      </c>
      <c r="D653" t="s" s="5">
        <v>4122</v>
      </c>
      <c r="E653" t="s" s="5">
        <v>4142</v>
      </c>
      <c r="F653" t="s" s="10">
        <v>4143</v>
      </c>
      <c r="G653" t="s" s="7">
        <v>4144</v>
      </c>
      <c r="H653" t="s" s="7">
        <v>4145</v>
      </c>
      <c r="I653" t="str" s="8" cm="1">
        <f t="array" ref="I653">SUBSTITUTE(H653,B653,"(          )")</f>
        <v>Children love stories about fairies and magic.</v>
      </c>
      <c r="J653" s="9" cm="1">
        <f t="array" ref="J653">SUMIF('외운 것 - 엑셀다운로드 파일(붙여넣기)'!A3:A562,A653,'외운 것 - 엑셀다운로드 파일(붙여넣기)'!D3:D562)</f>
        <v>0</v>
      </c>
      <c r="K653" s="9" cm="1">
        <f t="array" ref="K653">_xlfn.COUNTIFS('외운 것 - 엑셀다운로드 파일(붙여넣기)'!A3:A562,A653,'외운 것 - 엑셀다운로드 파일(붙여넣기)'!D3:D562,0)</f>
        <v>0</v>
      </c>
      <c r="L653" s="9" cm="1">
        <f t="array" ref="L653">IF(J653&gt;=3,_xlfn.XLOOKUP(A653,'외운 것 - 엑셀다운로드 파일(붙여넣기)'!A3:A562,'외운 것 - 엑셀다운로드 파일(붙여넣기)'!C3:C562,0,-1),0)</f>
        <v>0</v>
      </c>
    </row>
    <row r="654" ht="23.45" customHeight="1">
      <c r="A654" s="3">
        <v>653</v>
      </c>
      <c r="B654" t="s" s="4">
        <v>4147</v>
      </c>
      <c r="C654" t="s" s="5">
        <v>4148</v>
      </c>
      <c r="D654" t="s" s="5">
        <v>4122</v>
      </c>
      <c r="E654" t="s" s="5">
        <v>4149</v>
      </c>
      <c r="F654" t="s" s="6">
        <v>4150</v>
      </c>
      <c r="G654" t="s" s="7">
        <v>4151</v>
      </c>
      <c r="H654" t="s" s="7">
        <v>4152</v>
      </c>
      <c r="I654" t="str" s="8" cm="1">
        <f t="array" ref="I654">SUBSTITUTE(H654,B654,"(          )")</f>
        <v>Cinderella is a classic (          ).</v>
      </c>
      <c r="J654" s="9" cm="1">
        <f t="array" ref="J654">SUMIF('외운 것 - 엑셀다운로드 파일(붙여넣기)'!A3:A562,A654,'외운 것 - 엑셀다운로드 파일(붙여넣기)'!D3:D562)</f>
        <v>0</v>
      </c>
      <c r="K654" s="9" cm="1">
        <f t="array" ref="K654">_xlfn.COUNTIFS('외운 것 - 엑셀다운로드 파일(붙여넣기)'!A3:A562,A654,'외운 것 - 엑셀다운로드 파일(붙여넣기)'!D3:D562,0)</f>
        <v>0</v>
      </c>
      <c r="L654" s="9" cm="1">
        <f t="array" ref="L654">IF(J654&gt;=3,_xlfn.XLOOKUP(A654,'외운 것 - 엑셀다운로드 파일(붙여넣기)'!A3:A562,'외운 것 - 엑셀다운로드 파일(붙여넣기)'!C3:C562,0,-1),0)</f>
        <v>0</v>
      </c>
    </row>
    <row r="655" ht="23.45" customHeight="1">
      <c r="A655" s="3">
        <v>654</v>
      </c>
      <c r="B655" t="s" s="4">
        <v>4154</v>
      </c>
      <c r="C655" t="s" s="5">
        <v>4123</v>
      </c>
      <c r="D655" t="s" s="5">
        <v>4155</v>
      </c>
      <c r="E655" t="s" s="5">
        <v>4156</v>
      </c>
      <c r="F655" t="s" s="10">
        <v>4157</v>
      </c>
      <c r="G655" t="s" s="7">
        <v>4158</v>
      </c>
      <c r="H655" t="s" s="7">
        <v>4159</v>
      </c>
      <c r="I655" t="str" s="8" cm="1">
        <f t="array" ref="I655">SUBSTITUTE(H655,B655,"(          )")</f>
        <v>The actor achieved international (          ) after the movie.</v>
      </c>
      <c r="J655" s="9" cm="1">
        <f t="array" ref="J655">SUMIF('외운 것 - 엑셀다운로드 파일(붙여넣기)'!A3:A562,A655,'외운 것 - 엑셀다운로드 파일(붙여넣기)'!D3:D562)</f>
        <v>0</v>
      </c>
      <c r="K655" s="9" cm="1">
        <f t="array" ref="K655">_xlfn.COUNTIFS('외운 것 - 엑셀다운로드 파일(붙여넣기)'!A3:A562,A655,'외운 것 - 엑셀다운로드 파일(붙여넣기)'!D3:D562,0)</f>
        <v>0</v>
      </c>
      <c r="L655" s="9" cm="1">
        <f t="array" ref="L655">IF(J655&gt;=3,_xlfn.XLOOKUP(A655,'외운 것 - 엑셀다운로드 파일(붙여넣기)'!A3:A562,'외운 것 - 엑셀다운로드 파일(붙여넣기)'!C3:C562,0,-1),0)</f>
        <v>0</v>
      </c>
    </row>
    <row r="656" ht="23.45" customHeight="1">
      <c r="A656" s="3">
        <v>655</v>
      </c>
      <c r="B656" t="s" s="4">
        <v>4161</v>
      </c>
      <c r="C656" t="s" s="5">
        <v>4162</v>
      </c>
      <c r="D656" t="s" s="5">
        <v>4154</v>
      </c>
      <c r="E656" t="s" s="5">
        <v>4163</v>
      </c>
      <c r="F656" t="s" s="10">
        <v>4164</v>
      </c>
      <c r="G656" t="s" s="7">
        <v>4165</v>
      </c>
      <c r="H656" t="s" s="7">
        <v>4166</v>
      </c>
      <c r="I656" t="str" s="8" cm="1">
        <f t="array" ref="I656">SUBSTITUTE(H656,B656,"(          )")</f>
        <v>Paris is (          ) for its beautiful architecture.</v>
      </c>
      <c r="J656" s="9" cm="1">
        <f t="array" ref="J656">SUMIF('외운 것 - 엑셀다운로드 파일(붙여넣기)'!A3:A562,A656,'외운 것 - 엑셀다운로드 파일(붙여넣기)'!D3:D562)</f>
        <v>0</v>
      </c>
      <c r="K656" s="9" cm="1">
        <f t="array" ref="K656">_xlfn.COUNTIFS('외운 것 - 엑셀다운로드 파일(붙여넣기)'!A3:A562,A656,'외운 것 - 엑셀다운로드 파일(붙여넣기)'!D3:D562,0)</f>
        <v>0</v>
      </c>
      <c r="L656" s="9" cm="1">
        <f t="array" ref="L656">IF(J656&gt;=3,_xlfn.XLOOKUP(A656,'외운 것 - 엑셀다운로드 파일(붙여넣기)'!A3:A562,'외운 것 - 엑셀다운로드 파일(붙여넣기)'!C3:C562,0,-1),0)</f>
        <v>0</v>
      </c>
    </row>
    <row r="657" ht="38.45" customHeight="1">
      <c r="A657" s="3">
        <v>656</v>
      </c>
      <c r="B657" t="s" s="4">
        <v>4168</v>
      </c>
      <c r="C657" t="s" s="5">
        <v>4123</v>
      </c>
      <c r="D657" t="s" s="5">
        <v>4169</v>
      </c>
      <c r="E657" t="s" s="5">
        <v>4170</v>
      </c>
      <c r="F657" t="s" s="10">
        <v>4171</v>
      </c>
      <c r="G657" t="s" s="7">
        <v>4172</v>
      </c>
      <c r="H657" t="s" s="7">
        <v>4173</v>
      </c>
      <c r="I657" t="str" s="8" cm="1">
        <f t="array" ref="I657">SUBSTITUTE(H657,B657,"(          )")</f>
        <v>He is a big (          ) of jazz music.</v>
      </c>
      <c r="J657" s="9" cm="1">
        <f t="array" ref="J657">SUMIF('외운 것 - 엑셀다운로드 파일(붙여넣기)'!A3:A562,A657,'외운 것 - 엑셀다운로드 파일(붙여넣기)'!D3:D562)</f>
        <v>0</v>
      </c>
      <c r="K657" s="9" cm="1">
        <f t="array" ref="K657">_xlfn.COUNTIFS('외운 것 - 엑셀다운로드 파일(붙여넣기)'!A3:A562,A657,'외운 것 - 엑셀다운로드 파일(붙여넣기)'!D3:D562,0)</f>
        <v>0</v>
      </c>
      <c r="L657" s="9" cm="1">
        <f t="array" ref="L657">IF(J657&gt;=3,_xlfn.XLOOKUP(A657,'외운 것 - 엑셀다운로드 파일(붙여넣기)'!A3:A562,'외운 것 - 엑셀다운로드 파일(붙여넣기)'!C3:C562,0,-1),0)</f>
        <v>0</v>
      </c>
    </row>
    <row r="658" ht="38.45" customHeight="1">
      <c r="A658" s="3">
        <v>657</v>
      </c>
      <c r="B658" t="s" s="4">
        <v>4175</v>
      </c>
      <c r="C658" t="s" s="5">
        <v>4176</v>
      </c>
      <c r="D658" t="s" s="5">
        <v>4169</v>
      </c>
      <c r="E658" t="s" s="5">
        <v>4177</v>
      </c>
      <c r="F658" t="s" s="10">
        <v>4178</v>
      </c>
      <c r="G658" t="s" s="7">
        <v>4179</v>
      </c>
      <c r="H658" t="s" s="7">
        <v>4180</v>
      </c>
      <c r="I658" t="str" s="8" cm="1">
        <f t="array" ref="I658">SUBSTITUTE(H658,B658,"(          )")</f>
        <v>Her (          ) dress impressed everyone at the party.</v>
      </c>
      <c r="J658" s="9" cm="1">
        <f t="array" ref="J658">SUMIF('외운 것 - 엑셀다운로드 파일(붙여넣기)'!A3:A562,A658,'외운 것 - 엑셀다운로드 파일(붙여넣기)'!D3:D562)</f>
        <v>0</v>
      </c>
      <c r="K658" s="9" cm="1">
        <f t="array" ref="K658">_xlfn.COUNTIFS('외운 것 - 엑셀다운로드 파일(붙여넣기)'!A3:A562,A658,'외운 것 - 엑셀다운로드 파일(붙여넣기)'!D3:D562,0)</f>
        <v>0</v>
      </c>
      <c r="L658" s="9" cm="1">
        <f t="array" ref="L658">IF(J658&gt;=3,_xlfn.XLOOKUP(A658,'외운 것 - 엑셀다운로드 파일(붙여넣기)'!A3:A562,'외운 것 - 엑셀다운로드 파일(붙여넣기)'!C3:C562,0,-1),0)</f>
        <v>0</v>
      </c>
    </row>
    <row r="659" ht="38.45" customHeight="1">
      <c r="A659" s="3">
        <v>658</v>
      </c>
      <c r="B659" t="s" s="4">
        <v>4182</v>
      </c>
      <c r="C659" t="s" s="5">
        <v>4176</v>
      </c>
      <c r="D659" t="s" s="5">
        <v>4169</v>
      </c>
      <c r="E659" t="s" s="5">
        <v>4183</v>
      </c>
      <c r="F659" t="s" s="10">
        <v>4184</v>
      </c>
      <c r="G659" t="s" s="7">
        <v>4185</v>
      </c>
      <c r="H659" t="s" s="7">
        <v>4186</v>
      </c>
      <c r="I659" t="str" s="8" cm="1">
        <f t="array" ref="I659">SUBSTITUTE(H659,B659,"(          )")</f>
        <v>His (          ) is to become an astronaut.</v>
      </c>
      <c r="J659" s="9" cm="1">
        <f t="array" ref="J659">SUMIF('외운 것 - 엑셀다운로드 파일(붙여넣기)'!A3:A562,A659,'외운 것 - 엑셀다운로드 파일(붙여넣기)'!D3:D562)</f>
        <v>0</v>
      </c>
      <c r="K659" s="9" cm="1">
        <f t="array" ref="K659">_xlfn.COUNTIFS('외운 것 - 엑셀다운로드 파일(붙여넣기)'!A3:A562,A659,'외운 것 - 엑셀다운로드 파일(붙여넣기)'!D3:D562,0)</f>
        <v>0</v>
      </c>
      <c r="L659" s="9" cm="1">
        <f t="array" ref="L659">IF(J659&gt;=3,_xlfn.XLOOKUP(A659,'외운 것 - 엑셀다운로드 파일(붙여넣기)'!A3:A562,'외운 것 - 엑셀다운로드 파일(붙여넣기)'!C3:C562,0,-1),0)</f>
        <v>0</v>
      </c>
    </row>
    <row r="660" ht="38.45" customHeight="1">
      <c r="A660" s="3">
        <v>659</v>
      </c>
      <c r="B660" t="s" s="4">
        <v>4188</v>
      </c>
      <c r="C660" t="s" s="5">
        <v>4189</v>
      </c>
      <c r="D660" t="s" s="5">
        <v>4169</v>
      </c>
      <c r="E660" t="s" s="5">
        <v>4190</v>
      </c>
      <c r="F660" t="s" s="10">
        <v>4191</v>
      </c>
      <c r="G660" t="s" s="7">
        <v>4192</v>
      </c>
      <c r="H660" t="s" s="7">
        <v>4193</v>
      </c>
      <c r="I660" t="str" s="8" cm="1">
        <f t="array" ref="I660">SUBSTITUTE(H660,B660,"(          )")</f>
        <v>The project is still in its (          ).</v>
      </c>
      <c r="J660" s="9" cm="1">
        <f t="array" ref="J660">SUMIF('외운 것 - 엑셀다운로드 파일(붙여넣기)'!A3:A562,A660,'외운 것 - 엑셀다운로드 파일(붙여넣기)'!D3:D562)</f>
        <v>0</v>
      </c>
      <c r="K660" s="9" cm="1">
        <f t="array" ref="K660">_xlfn.COUNTIFS('외운 것 - 엑셀다운로드 파일(붙여넣기)'!A3:A562,A660,'외운 것 - 엑셀다운로드 파일(붙여넣기)'!D3:D562,0)</f>
        <v>0</v>
      </c>
      <c r="L660" s="9" cm="1">
        <f t="array" ref="L660">IF(J660&gt;=3,_xlfn.XLOOKUP(A660,'외운 것 - 엑셀다운로드 파일(붙여넣기)'!A3:A562,'외운 것 - 엑셀다운로드 파일(붙여넣기)'!C3:C562,0,-1),0)</f>
        <v>0</v>
      </c>
    </row>
    <row r="661" ht="38.45" customHeight="1">
      <c r="A661" s="3">
        <v>660</v>
      </c>
      <c r="B661" t="s" s="4">
        <v>4195</v>
      </c>
      <c r="C661" t="s" s="5">
        <v>4123</v>
      </c>
      <c r="D661" t="s" s="5">
        <v>4196</v>
      </c>
      <c r="E661" t="s" s="5">
        <v>4197</v>
      </c>
      <c r="F661" t="s" s="10">
        <v>4198</v>
      </c>
      <c r="G661" t="s" s="7">
        <v>4199</v>
      </c>
      <c r="H661" t="s" s="7">
        <v>4200</v>
      </c>
      <c r="I661" t="str" s="8" cm="1">
        <f t="array" ref="I661">SUBSTITUTE(H661,B661,"(          )")</f>
        <v>The boxer had to (          ) off a series of punches.</v>
      </c>
      <c r="J661" s="9" cm="1">
        <f t="array" ref="J661">SUMIF('외운 것 - 엑셀다운로드 파일(붙여넣기)'!A3:A562,A661,'외운 것 - 엑셀다운로드 파일(붙여넣기)'!D3:D562)</f>
        <v>0</v>
      </c>
      <c r="K661" s="9" cm="1">
        <f t="array" ref="K661">_xlfn.COUNTIFS('외운 것 - 엑셀다운로드 파일(붙여넣기)'!A3:A562,A661,'외운 것 - 엑셀다운로드 파일(붙여넣기)'!D3:D562,0)</f>
        <v>0</v>
      </c>
      <c r="L661" s="9" cm="1">
        <f t="array" ref="L661">IF(J661&gt;=3,_xlfn.XLOOKUP(A661,'외운 것 - 엑셀다운로드 파일(붙여넣기)'!A3:A562,'외운 것 - 엑셀다운로드 파일(붙여넣기)'!C3:C562,0,-1),0)</f>
        <v>0</v>
      </c>
    </row>
    <row r="662" ht="23.45" customHeight="1">
      <c r="A662" s="3">
        <v>661</v>
      </c>
      <c r="B662" t="s" s="4">
        <v>4202</v>
      </c>
      <c r="C662" t="s" s="5">
        <v>4203</v>
      </c>
      <c r="D662" t="s" s="5">
        <v>4196</v>
      </c>
      <c r="E662" t="s" s="5">
        <v>4204</v>
      </c>
      <c r="F662" t="s" s="10">
        <v>4205</v>
      </c>
      <c r="G662" t="s" s="7">
        <v>4206</v>
      </c>
      <c r="H662" t="s" s="7">
        <v>4207</v>
      </c>
      <c r="I662" t="str" s="8" cm="1">
        <f t="array" ref="I662">SUBSTITUTE(H662,B662,"(          )")</f>
        <v>The wooden (          ) surrounds the garden.</v>
      </c>
      <c r="J662" s="9" cm="1">
        <f t="array" ref="J662">SUMIF('외운 것 - 엑셀다운로드 파일(붙여넣기)'!A3:A562,A662,'외운 것 - 엑셀다운로드 파일(붙여넣기)'!D3:D562)</f>
        <v>0</v>
      </c>
      <c r="K662" s="9" cm="1">
        <f t="array" ref="K662">_xlfn.COUNTIFS('외운 것 - 엑셀다운로드 파일(붙여넣기)'!A3:A562,A662,'외운 것 - 엑셀다운로드 파일(붙여넣기)'!D3:D562,0)</f>
        <v>0</v>
      </c>
      <c r="L662" s="9" cm="1">
        <f t="array" ref="L662">IF(J662&gt;=3,_xlfn.XLOOKUP(A662,'외운 것 - 엑셀다운로드 파일(붙여넣기)'!A3:A562,'외운 것 - 엑셀다운로드 파일(붙여넣기)'!C3:C562,0,-1),0)</f>
        <v>0</v>
      </c>
    </row>
    <row r="663" ht="38.45" customHeight="1">
      <c r="A663" s="3">
        <v>662</v>
      </c>
      <c r="B663" t="s" s="4">
        <v>4209</v>
      </c>
      <c r="C663" t="s" s="5">
        <v>4203</v>
      </c>
      <c r="D663" t="s" s="5">
        <v>4196</v>
      </c>
      <c r="E663" t="s" s="5">
        <v>4210</v>
      </c>
      <c r="F663" t="s" s="10">
        <v>4211</v>
      </c>
      <c r="G663" t="s" s="7">
        <v>4212</v>
      </c>
      <c r="H663" t="s" s="7">
        <v>4213</v>
      </c>
      <c r="I663" t="str" s="8" cm="1">
        <f t="array" ref="I663">SUBSTITUTE(H663,B663,"(          )")</f>
        <v>The lawyer will (          ) his client in court.</v>
      </c>
      <c r="J663" s="9" cm="1">
        <f t="array" ref="J663">SUMIF('외운 것 - 엑셀다운로드 파일(붙여넣기)'!A3:A562,A663,'외운 것 - 엑셀다운로드 파일(붙여넣기)'!D3:D562)</f>
        <v>0</v>
      </c>
      <c r="K663" s="9" cm="1">
        <f t="array" ref="K663">_xlfn.COUNTIFS('외운 것 - 엑셀다운로드 파일(붙여넣기)'!A3:A562,A663,'외운 것 - 엑셀다운로드 파일(붙여넣기)'!D3:D562,0)</f>
        <v>0</v>
      </c>
      <c r="L663" s="9" cm="1">
        <f t="array" ref="L663">IF(J663&gt;=3,_xlfn.XLOOKUP(A663,'외운 것 - 엑셀다운로드 파일(붙여넣기)'!A3:A562,'외운 것 - 엑셀다운로드 파일(붙여넣기)'!C3:C562,0,-1),0)</f>
        <v>0</v>
      </c>
    </row>
    <row r="664" ht="38.45" customHeight="1">
      <c r="A664" s="3">
        <v>663</v>
      </c>
      <c r="B664" t="s" s="4">
        <v>4215</v>
      </c>
      <c r="C664" t="s" s="5">
        <v>4195</v>
      </c>
      <c r="D664" t="s" s="5">
        <v>4196</v>
      </c>
      <c r="E664" t="s" s="5">
        <v>4216</v>
      </c>
      <c r="F664" t="s" s="10">
        <v>4217</v>
      </c>
      <c r="G664" t="s" s="7">
        <v>4218</v>
      </c>
      <c r="H664" t="s" s="7">
        <v>4219</v>
      </c>
      <c r="I664" t="str" s="8" cm="1">
        <f t="array" ref="I664">SUBSTITUTE(H664,B664,"(          )")</f>
        <v>I didn't mean to (          ) you with my comment.</v>
      </c>
      <c r="J664" s="9" cm="1">
        <f t="array" ref="J664">SUMIF('외운 것 - 엑셀다운로드 파일(붙여넣기)'!A3:A562,A664,'외운 것 - 엑셀다운로드 파일(붙여넣기)'!D3:D562)</f>
        <v>0</v>
      </c>
      <c r="K664" s="9" cm="1">
        <f t="array" ref="K664">_xlfn.COUNTIFS('외운 것 - 엑셀다운로드 파일(붙여넣기)'!A3:A562,A664,'외운 것 - 엑셀다운로드 파일(붙여넣기)'!D3:D562,0)</f>
        <v>0</v>
      </c>
      <c r="L664" s="9" cm="1">
        <f t="array" ref="L664">IF(J664&gt;=3,_xlfn.XLOOKUP(A664,'외운 것 - 엑셀다운로드 파일(붙여넣기)'!A3:A562,'외운 것 - 엑셀다운로드 파일(붙여넣기)'!C3:C562,0,-1),0)</f>
        <v>0</v>
      </c>
    </row>
    <row r="665" ht="36.4" customHeight="1">
      <c r="A665" s="3">
        <v>664</v>
      </c>
      <c r="B665" t="s" s="4">
        <v>4221</v>
      </c>
      <c r="C665" t="s" s="5">
        <v>4222</v>
      </c>
      <c r="D665" t="s" s="5">
        <v>4195</v>
      </c>
      <c r="E665" t="s" s="5">
        <v>4223</v>
      </c>
      <c r="F665" t="s" s="10">
        <v>4224</v>
      </c>
      <c r="G665" t="s" s="7">
        <v>4225</v>
      </c>
      <c r="H665" t="s" s="7">
        <v>4226</v>
      </c>
      <c r="I665" t="str" s="8" cm="1">
        <f t="array" ref="I665">SUBSTITUTE(H665,B665,"(          )")</f>
        <v>His remarks were considered (          ) by many people.</v>
      </c>
      <c r="J665" s="9" cm="1">
        <f t="array" ref="J665">SUMIF('외운 것 - 엑셀다운로드 파일(붙여넣기)'!A3:A562,A665,'외운 것 - 엑셀다운로드 파일(붙여넣기)'!D3:D562)</f>
        <v>0</v>
      </c>
      <c r="K665" s="9" cm="1">
        <f t="array" ref="K665">_xlfn.COUNTIFS('외운 것 - 엑셀다운로드 파일(붙여넣기)'!A3:A562,A665,'외운 것 - 엑셀다운로드 파일(붙여넣기)'!D3:D562,0)</f>
        <v>0</v>
      </c>
      <c r="L665" s="9" cm="1">
        <f t="array" ref="L665">IF(J665&gt;=3,_xlfn.XLOOKUP(A665,'외운 것 - 엑셀다운로드 파일(붙여넣기)'!A3:A562,'외운 것 - 엑셀다운로드 파일(붙여넣기)'!C3:C562,0,-1),0)</f>
        <v>0</v>
      </c>
    </row>
    <row r="666" ht="38.45" customHeight="1">
      <c r="A666" s="3">
        <v>665</v>
      </c>
      <c r="B666" t="s" s="4">
        <v>4228</v>
      </c>
      <c r="C666" t="s" s="5">
        <v>4229</v>
      </c>
      <c r="D666" t="s" s="5">
        <v>4230</v>
      </c>
      <c r="E666" t="s" s="5">
        <v>4231</v>
      </c>
      <c r="F666" t="s" s="10">
        <v>4232</v>
      </c>
      <c r="G666" t="s" s="7">
        <v>4233</v>
      </c>
      <c r="H666" t="s" s="7">
        <v>4234</v>
      </c>
      <c r="I666" t="str" s="8" cm="1">
        <f t="array" ref="I666">SUBSTITUTE(H666,B666,"(          )")</f>
        <v>We took the (          ) across the river.</v>
      </c>
      <c r="J666" s="9" cm="1">
        <f t="array" ref="J666">SUMIF('외운 것 - 엑셀다운로드 파일(붙여넣기)'!A3:A562,A666,'외운 것 - 엑셀다운로드 파일(붙여넣기)'!D3:D562)</f>
        <v>0</v>
      </c>
      <c r="K666" s="9" cm="1">
        <f t="array" ref="K666">_xlfn.COUNTIFS('외운 것 - 엑셀다운로드 파일(붙여넣기)'!A3:A562,A666,'외운 것 - 엑셀다운로드 파일(붙여넣기)'!D3:D562,0)</f>
        <v>0</v>
      </c>
      <c r="L666" s="9" cm="1">
        <f t="array" ref="L666">IF(J666&gt;=3,_xlfn.XLOOKUP(A666,'외운 것 - 엑셀다운로드 파일(붙여넣기)'!A3:A562,'외운 것 - 엑셀다운로드 파일(붙여넣기)'!C3:C562,0,-1),0)</f>
        <v>0</v>
      </c>
    </row>
    <row r="667" ht="38.45" customHeight="1">
      <c r="A667" s="3">
        <v>666</v>
      </c>
      <c r="B667" t="s" s="4">
        <v>4236</v>
      </c>
      <c r="C667" t="s" s="5">
        <v>4229</v>
      </c>
      <c r="D667" t="s" s="5">
        <v>4230</v>
      </c>
      <c r="E667" t="s" s="5">
        <v>4237</v>
      </c>
      <c r="F667" t="s" s="10">
        <v>4238</v>
      </c>
      <c r="G667" t="s" s="7">
        <v>4239</v>
      </c>
      <c r="H667" t="s" s="7">
        <v>4240</v>
      </c>
      <c r="I667" t="str" s="8" cm="1">
        <f t="array" ref="I667">SUBSTITUTE(H667,B667,"(          )")</f>
        <v>Many people (          ) from back pain.</v>
      </c>
      <c r="J667" s="9" cm="1">
        <f t="array" ref="J667">SUMIF('외운 것 - 엑셀다운로드 파일(붙여넣기)'!A3:A562,A667,'외운 것 - 엑셀다운로드 파일(붙여넣기)'!D3:D562)</f>
        <v>0</v>
      </c>
      <c r="K667" s="9" cm="1">
        <f t="array" ref="K667">_xlfn.COUNTIFS('외운 것 - 엑셀다운로드 파일(붙여넣기)'!A3:A562,A667,'외운 것 - 엑셀다운로드 파일(붙여넣기)'!D3:D562,0)</f>
        <v>0</v>
      </c>
      <c r="L667" s="9" cm="1">
        <f t="array" ref="L667">IF(J667&gt;=3,_xlfn.XLOOKUP(A667,'외운 것 - 엑셀다운로드 파일(붙여넣기)'!A3:A562,'외운 것 - 엑셀다운로드 파일(붙여넣기)'!C3:C562,0,-1),0)</f>
        <v>0</v>
      </c>
    </row>
    <row r="668" ht="38.45" customHeight="1">
      <c r="A668" s="3">
        <v>667</v>
      </c>
      <c r="B668" t="s" s="4">
        <v>4242</v>
      </c>
      <c r="C668" t="s" s="5">
        <v>4229</v>
      </c>
      <c r="D668" t="s" s="5">
        <v>4230</v>
      </c>
      <c r="E668" t="s" s="5">
        <v>4243</v>
      </c>
      <c r="F668" t="s" s="10">
        <v>4244</v>
      </c>
      <c r="G668" t="s" s="7">
        <v>4245</v>
      </c>
      <c r="H668" t="s" s="7">
        <v>4246</v>
      </c>
      <c r="I668" t="str" s="8" cm="1">
        <f t="array" ref="I668">SUBSTITUTE(H668,B668,"(          )")</f>
        <v>The Nile Valley has (          ) soil for agriculture.</v>
      </c>
      <c r="J668" s="9" cm="1">
        <f t="array" ref="J668">SUMIF('외운 것 - 엑셀다운로드 파일(붙여넣기)'!A3:A562,A668,'외운 것 - 엑셀다운로드 파일(붙여넣기)'!D3:D562)</f>
        <v>0</v>
      </c>
      <c r="K668" s="9" cm="1">
        <f t="array" ref="K668">_xlfn.COUNTIFS('외운 것 - 엑셀다운로드 파일(붙여넣기)'!A3:A562,A668,'외운 것 - 엑셀다운로드 파일(붙여넣기)'!D3:D562,0)</f>
        <v>0</v>
      </c>
      <c r="L668" s="9" cm="1">
        <f t="array" ref="L668">IF(J668&gt;=3,_xlfn.XLOOKUP(A668,'외운 것 - 엑셀다운로드 파일(붙여넣기)'!A3:A562,'외운 것 - 엑셀다운로드 파일(붙여넣기)'!C3:C562,0,-1),0)</f>
        <v>0</v>
      </c>
    </row>
    <row r="669" ht="38.45" customHeight="1">
      <c r="A669" s="3">
        <v>668</v>
      </c>
      <c r="B669" t="s" s="4">
        <v>4248</v>
      </c>
      <c r="C669" t="s" s="5">
        <v>4249</v>
      </c>
      <c r="D669" t="s" s="5">
        <v>4229</v>
      </c>
      <c r="E669" t="s" s="5">
        <v>4250</v>
      </c>
      <c r="F669" t="s" s="10">
        <v>4251</v>
      </c>
      <c r="G669" t="s" s="7">
        <v>4252</v>
      </c>
      <c r="H669" t="s" s="7">
        <v>4253</v>
      </c>
      <c r="I669" t="str" s="8" cm="1">
        <f t="array" ref="I669">SUBSTITUTE(H669,B669,"(          )")</f>
        <v>Farmers (          ) crops to increase yields.</v>
      </c>
      <c r="J669" s="9" cm="1">
        <f t="array" ref="J669">SUMIF('외운 것 - 엑셀다운로드 파일(붙여넣기)'!A3:A562,A669,'외운 것 - 엑셀다운로드 파일(붙여넣기)'!D3:D562)</f>
        <v>0</v>
      </c>
      <c r="K669" s="9" cm="1">
        <f t="array" ref="K669">_xlfn.COUNTIFS('외운 것 - 엑셀다운로드 파일(붙여넣기)'!A3:A562,A669,'외운 것 - 엑셀다운로드 파일(붙여넣기)'!D3:D562,0)</f>
        <v>0</v>
      </c>
      <c r="L669" s="9" cm="1">
        <f t="array" ref="L669">IF(J669&gt;=3,_xlfn.XLOOKUP(A669,'외운 것 - 엑셀다운로드 파일(붙여넣기)'!A3:A562,'외운 것 - 엑셀다운로드 파일(붙여넣기)'!C3:C562,0,-1),0)</f>
        <v>0</v>
      </c>
    </row>
    <row r="670" ht="38.45" customHeight="1">
      <c r="A670" s="3">
        <v>669</v>
      </c>
      <c r="B670" t="s" s="4">
        <v>4255</v>
      </c>
      <c r="C670" t="s" s="5">
        <v>4229</v>
      </c>
      <c r="D670" t="s" s="5">
        <v>4230</v>
      </c>
      <c r="E670" t="s" s="5">
        <v>4256</v>
      </c>
      <c r="F670" t="s" s="10">
        <v>4257</v>
      </c>
      <c r="G670" t="s" s="7">
        <v>4258</v>
      </c>
      <c r="H670" t="s" s="7">
        <v>4259</v>
      </c>
      <c r="I670" t="str" s="8" cm="1">
        <f t="array" ref="I670">SUBSTITUTE(H670,B670,"(          )")</f>
        <v>The company will (          ) you a competitive salary.</v>
      </c>
      <c r="J670" s="9" cm="1">
        <f t="array" ref="J670">SUMIF('외운 것 - 엑셀다운로드 파일(붙여넣기)'!A3:A562,A670,'외운 것 - 엑셀다운로드 파일(붙여넣기)'!D3:D562)</f>
        <v>0</v>
      </c>
      <c r="K670" s="9" cm="1">
        <f t="array" ref="K670">_xlfn.COUNTIFS('외운 것 - 엑셀다운로드 파일(붙여넣기)'!A3:A562,A670,'외운 것 - 엑셀다운로드 파일(붙여넣기)'!D3:D562,0)</f>
        <v>0</v>
      </c>
      <c r="L670" s="9" cm="1">
        <f t="array" ref="L670">IF(J670&gt;=3,_xlfn.XLOOKUP(A670,'외운 것 - 엑셀다운로드 파일(붙여넣기)'!A3:A562,'외운 것 - 엑셀다운로드 파일(붙여넣기)'!C3:C562,0,-1),0)</f>
        <v>0</v>
      </c>
    </row>
    <row r="671" ht="38.45" customHeight="1">
      <c r="A671" s="3">
        <v>670</v>
      </c>
      <c r="B671" t="s" s="4">
        <v>4261</v>
      </c>
      <c r="C671" t="s" s="5">
        <v>4229</v>
      </c>
      <c r="D671" t="s" s="5">
        <v>4230</v>
      </c>
      <c r="E671" t="s" s="5">
        <v>4262</v>
      </c>
      <c r="F671" t="s" s="10">
        <v>4263</v>
      </c>
      <c r="G671" t="s" s="7">
        <v>4264</v>
      </c>
      <c r="H671" t="s" s="7">
        <v>4265</v>
      </c>
      <c r="I671" t="str" s="8" cm="1">
        <f t="array" ref="I671">SUBSTITUTE(H671,B671,"(          )")</f>
        <v>The doctors (          ) about the patient's treatment.</v>
      </c>
      <c r="J671" s="9" cm="1">
        <f t="array" ref="J671">SUMIF('외운 것 - 엑셀다운로드 파일(붙여넣기)'!A3:A562,A671,'외운 것 - 엑셀다운로드 파일(붙여넣기)'!D3:D562)</f>
        <v>0</v>
      </c>
      <c r="K671" s="9" cm="1">
        <f t="array" ref="K671">_xlfn.COUNTIFS('외운 것 - 엑셀다운로드 파일(붙여넣기)'!A3:A562,A671,'외운 것 - 엑셀다운로드 파일(붙여넣기)'!D3:D562,0)</f>
        <v>0</v>
      </c>
      <c r="L671" s="9" cm="1">
        <f t="array" ref="L671">IF(J671&gt;=3,_xlfn.XLOOKUP(A671,'외운 것 - 엑셀다운로드 파일(붙여넣기)'!A3:A562,'외운 것 - 엑셀다운로드 파일(붙여넣기)'!C3:C562,0,-1),0)</f>
        <v>0</v>
      </c>
    </row>
    <row r="672" ht="38.45" customHeight="1">
      <c r="A672" s="3">
        <v>671</v>
      </c>
      <c r="B672" t="s" s="4">
        <v>4267</v>
      </c>
      <c r="C672" t="s" s="5">
        <v>4268</v>
      </c>
      <c r="D672" t="s" s="5">
        <v>4229</v>
      </c>
      <c r="E672" t="s" s="5">
        <v>4269</v>
      </c>
      <c r="F672" t="s" s="10">
        <v>4270</v>
      </c>
      <c r="G672" t="s" s="7">
        <v>4271</v>
      </c>
      <c r="H672" t="s" s="7">
        <v>4272</v>
      </c>
      <c r="I672" t="str" s="8" cm="1">
        <f t="array" ref="I672">SUBSTITUTE(H672,B672,"(          )")</f>
        <v>The scientific (          ) attracts researchers from around the world.</v>
      </c>
      <c r="J672" s="9" cm="1">
        <f t="array" ref="J672">SUMIF('외운 것 - 엑셀다운로드 파일(붙여넣기)'!A3:A562,A672,'외운 것 - 엑셀다운로드 파일(붙여넣기)'!D3:D562)</f>
        <v>0</v>
      </c>
      <c r="K672" s="9" cm="1">
        <f t="array" ref="K672">_xlfn.COUNTIFS('외운 것 - 엑셀다운로드 파일(붙여넣기)'!A3:A562,A672,'외운 것 - 엑셀다운로드 파일(붙여넣기)'!D3:D562,0)</f>
        <v>0</v>
      </c>
      <c r="L672" s="9" cm="1">
        <f t="array" ref="L672">IF(J672&gt;=3,_xlfn.XLOOKUP(A672,'외운 것 - 엑셀다운로드 파일(붙여넣기)'!A3:A562,'외운 것 - 엑셀다운로드 파일(붙여넣기)'!C3:C562,0,-1),0)</f>
        <v>0</v>
      </c>
    </row>
    <row r="673" ht="38.45" customHeight="1">
      <c r="A673" s="3">
        <v>672</v>
      </c>
      <c r="B673" t="s" s="4">
        <v>4274</v>
      </c>
      <c r="C673" t="s" s="5">
        <v>4229</v>
      </c>
      <c r="D673" t="s" s="5">
        <v>4230</v>
      </c>
      <c r="E673" t="s" s="5">
        <v>4275</v>
      </c>
      <c r="F673" t="s" s="10">
        <v>4276</v>
      </c>
      <c r="G673" t="s" s="7">
        <v>4277</v>
      </c>
      <c r="H673" t="s" s="7">
        <v>4278</v>
      </c>
      <c r="I673" t="str" s="8" cm="1">
        <f t="array" ref="I673">SUBSTITUTE(H673,B673,"(          )")</f>
        <v>Our opinions (          ) on this issue.</v>
      </c>
      <c r="J673" s="9" cm="1">
        <f t="array" ref="J673">SUMIF('외운 것 - 엑셀다운로드 파일(붙여넣기)'!A3:A562,A673,'외운 것 - 엑셀다운로드 파일(붙여넣기)'!D3:D562)</f>
        <v>0</v>
      </c>
      <c r="K673" s="9" cm="1">
        <f t="array" ref="K673">_xlfn.COUNTIFS('외운 것 - 엑셀다운로드 파일(붙여넣기)'!A3:A562,A673,'외운 것 - 엑셀다운로드 파일(붙여넣기)'!D3:D562,0)</f>
        <v>0</v>
      </c>
      <c r="L673" s="9" cm="1">
        <f t="array" ref="L673">IF(J673&gt;=3,_xlfn.XLOOKUP(A673,'외운 것 - 엑셀다운로드 파일(붙여넣기)'!A3:A562,'외운 것 - 엑셀다운로드 파일(붙여넣기)'!C3:C562,0,-1),0)</f>
        <v>0</v>
      </c>
    </row>
    <row r="674" ht="23.45" customHeight="1">
      <c r="A674" s="3">
        <v>673</v>
      </c>
      <c r="B674" t="s" s="4">
        <v>4280</v>
      </c>
      <c r="C674" t="s" s="5">
        <v>4281</v>
      </c>
      <c r="D674" t="s" s="5">
        <v>4229</v>
      </c>
      <c r="E674" t="s" s="5">
        <v>4282</v>
      </c>
      <c r="F674" t="s" s="10">
        <v>4283</v>
      </c>
      <c r="G674" t="s" s="7">
        <v>4284</v>
      </c>
      <c r="H674" t="s" s="7">
        <v>4285</v>
      </c>
      <c r="I674" t="str" s="8" cm="1">
        <f t="array" ref="I674">SUBSTITUTE(H674,B674,"(          )")</f>
        <v>Each snowflake has a (          ) pattern.</v>
      </c>
      <c r="J674" s="9" cm="1">
        <f t="array" ref="J674">SUMIF('외운 것 - 엑셀다운로드 파일(붙여넣기)'!A3:A562,A674,'외운 것 - 엑셀다운로드 파일(붙여넣기)'!D3:D562)</f>
        <v>0</v>
      </c>
      <c r="K674" s="9" cm="1">
        <f t="array" ref="K674">_xlfn.COUNTIFS('외운 것 - 엑셀다운로드 파일(붙여넣기)'!A3:A562,A674,'외운 것 - 엑셀다운로드 파일(붙여넣기)'!D3:D562,0)</f>
        <v>0</v>
      </c>
      <c r="L674" s="9" cm="1">
        <f t="array" ref="L674">IF(J674&gt;=3,_xlfn.XLOOKUP(A674,'외운 것 - 엑셀다운로드 파일(붙여넣기)'!A3:A562,'외운 것 - 엑셀다운로드 파일(붙여넣기)'!C3:C562,0,-1),0)</f>
        <v>0</v>
      </c>
    </row>
    <row r="675" ht="36.4" customHeight="1">
      <c r="A675" s="3">
        <v>674</v>
      </c>
      <c r="B675" t="s" s="4">
        <v>4287</v>
      </c>
      <c r="C675" t="s" s="5">
        <v>4288</v>
      </c>
      <c r="D675" t="s" s="5">
        <v>4229</v>
      </c>
      <c r="E675" t="s" s="5">
        <v>4289</v>
      </c>
      <c r="F675" t="s" s="10">
        <v>4290</v>
      </c>
      <c r="G675" t="s" s="7">
        <v>4291</v>
      </c>
      <c r="H675" t="s" s="7">
        <v>4292</v>
      </c>
      <c r="I675" t="str" s="8" cm="1">
        <f t="array" ref="I675">SUBSTITUTE(H675,B675,"(          )")</f>
        <v>Can you (          ) between the twins?</v>
      </c>
      <c r="J675" s="9" cm="1">
        <f t="array" ref="J675">SUMIF('외운 것 - 엑셀다운로드 파일(붙여넣기)'!A3:A562,A675,'외운 것 - 엑셀다운로드 파일(붙여넣기)'!D3:D562)</f>
        <v>0</v>
      </c>
      <c r="K675" s="9" cm="1">
        <f t="array" ref="K675">_xlfn.COUNTIFS('외운 것 - 엑셀다운로드 파일(붙여넣기)'!A3:A562,A675,'외운 것 - 엑셀다운로드 파일(붙여넣기)'!D3:D562,0)</f>
        <v>0</v>
      </c>
      <c r="L675" s="9" cm="1">
        <f t="array" ref="L675">IF(J675&gt;=3,_xlfn.XLOOKUP(A675,'외운 것 - 엑셀다운로드 파일(붙여넣기)'!A3:A562,'외운 것 - 엑셀다운로드 파일(붙여넣기)'!C3:C562,0,-1),0)</f>
        <v>0</v>
      </c>
    </row>
    <row r="676" ht="38.45" customHeight="1">
      <c r="A676" s="3">
        <v>675</v>
      </c>
      <c r="B676" t="s" s="4">
        <v>4294</v>
      </c>
      <c r="C676" t="s" s="5">
        <v>4229</v>
      </c>
      <c r="D676" t="s" s="5">
        <v>4230</v>
      </c>
      <c r="E676" t="s" s="5">
        <v>4295</v>
      </c>
      <c r="F676" t="s" s="10">
        <v>4296</v>
      </c>
      <c r="G676" t="s" s="7">
        <v>4297</v>
      </c>
      <c r="H676" t="s" s="7">
        <v>4298</v>
      </c>
      <c r="I676" t="str" s="8" cm="1">
        <f t="array" ref="I676">SUBSTITUTE(H676,B676,"(          )")</f>
        <v>We should (          ) the decision until next week.</v>
      </c>
      <c r="J676" s="9" cm="1">
        <f t="array" ref="J676">SUMIF('외운 것 - 엑셀다운로드 파일(붙여넣기)'!A3:A562,A676,'외운 것 - 엑셀다운로드 파일(붙여넣기)'!D3:D562)</f>
        <v>0</v>
      </c>
      <c r="K676" s="9" cm="1">
        <f t="array" ref="K676">_xlfn.COUNTIFS('외운 것 - 엑셀다운로드 파일(붙여넣기)'!A3:A562,A676,'외운 것 - 엑셀다운로드 파일(붙여넣기)'!D3:D562,0)</f>
        <v>0</v>
      </c>
      <c r="L676" s="9" cm="1">
        <f t="array" ref="L676">IF(J676&gt;=3,_xlfn.XLOOKUP(A676,'외운 것 - 엑셀다운로드 파일(붙여넣기)'!A3:A562,'외운 것 - 엑셀다운로드 파일(붙여넣기)'!C3:C562,0,-1),0)</f>
        <v>0</v>
      </c>
    </row>
    <row r="677" ht="38.45" customHeight="1">
      <c r="A677" s="3">
        <v>676</v>
      </c>
      <c r="B677" t="s" s="4">
        <v>4300</v>
      </c>
      <c r="C677" t="s" s="5">
        <v>4301</v>
      </c>
      <c r="D677" t="s" s="5">
        <v>4229</v>
      </c>
      <c r="E677" t="s" s="5">
        <v>4302</v>
      </c>
      <c r="F677" t="s" s="10">
        <v>4303</v>
      </c>
      <c r="G677" t="s" s="7">
        <v>4304</v>
      </c>
      <c r="H677" t="s" s="7">
        <v>4305</v>
      </c>
      <c r="I677" t="str" s="8" cm="1">
        <f t="array" ref="I677">SUBSTITUTE(H677,B677,"(          )")</f>
        <v>He spoke with (          ) to the elderly professor.</v>
      </c>
      <c r="J677" s="9" cm="1">
        <f t="array" ref="J677">SUMIF('외운 것 - 엑셀다운로드 파일(붙여넣기)'!A3:A562,A677,'외운 것 - 엑셀다운로드 파일(붙여넣기)'!D3:D562)</f>
        <v>0</v>
      </c>
      <c r="K677" s="9" cm="1">
        <f t="array" ref="K677">_xlfn.COUNTIFS('외운 것 - 엑셀다운로드 파일(붙여넣기)'!A3:A562,A677,'외운 것 - 엑셀다운로드 파일(붙여넣기)'!D3:D562,0)</f>
        <v>0</v>
      </c>
      <c r="L677" s="9" cm="1">
        <f t="array" ref="L677">IF(J677&gt;=3,_xlfn.XLOOKUP(A677,'외운 것 - 엑셀다운로드 파일(붙여넣기)'!A3:A562,'외운 것 - 엑셀다운로드 파일(붙여넣기)'!C3:C562,0,-1),0)</f>
        <v>0</v>
      </c>
    </row>
    <row r="678" ht="38.45" customHeight="1">
      <c r="A678" s="3">
        <v>677</v>
      </c>
      <c r="B678" t="s" s="4">
        <v>4307</v>
      </c>
      <c r="C678" t="s" s="5">
        <v>4308</v>
      </c>
      <c r="D678" t="s" s="5">
        <v>4229</v>
      </c>
      <c r="E678" t="s" s="5">
        <v>4309</v>
      </c>
      <c r="F678" t="s" s="10">
        <v>4310</v>
      </c>
      <c r="G678" t="s" s="7">
        <v>4311</v>
      </c>
      <c r="H678" t="s" s="7">
        <v>4312</v>
      </c>
      <c r="I678" t="str" s="8" cm="1">
        <f t="array" ref="I678">SUBSTITUTE(H678,B678,"(          )")</f>
        <v>The article includes several (          )s to previous studies.</v>
      </c>
      <c r="J678" s="9" cm="1">
        <f t="array" ref="J678">SUMIF('외운 것 - 엑셀다운로드 파일(붙여넣기)'!A3:A562,A678,'외운 것 - 엑셀다운로드 파일(붙여넣기)'!D3:D562)</f>
        <v>0</v>
      </c>
      <c r="K678" s="9" cm="1">
        <f t="array" ref="K678">_xlfn.COUNTIFS('외운 것 - 엑셀다운로드 파일(붙여넣기)'!A3:A562,A678,'외운 것 - 엑셀다운로드 파일(붙여넣기)'!D3:D562,0)</f>
        <v>0</v>
      </c>
      <c r="L678" s="9" cm="1">
        <f t="array" ref="L678">IF(J678&gt;=3,_xlfn.XLOOKUP(A678,'외운 것 - 엑셀다운로드 파일(붙여넣기)'!A3:A562,'외운 것 - 엑셀다운로드 파일(붙여넣기)'!C3:C562,0,-1),0)</f>
        <v>0</v>
      </c>
    </row>
    <row r="679" ht="23.45" customHeight="1">
      <c r="A679" s="3">
        <v>678</v>
      </c>
      <c r="B679" t="s" s="4">
        <v>4314</v>
      </c>
      <c r="C679" t="s" s="5">
        <v>4229</v>
      </c>
      <c r="D679" t="s" s="5">
        <v>4230</v>
      </c>
      <c r="E679" t="s" s="5">
        <v>4315</v>
      </c>
      <c r="F679" t="s" s="10">
        <v>4316</v>
      </c>
      <c r="G679" t="s" s="7">
        <v>3432</v>
      </c>
      <c r="H679" t="s" s="7">
        <v>4317</v>
      </c>
      <c r="I679" t="str" s="8" cm="1">
        <f t="array" ref="I679">SUBSTITUTE(H679,B679,"(          )")</f>
        <v>From his smile, I could (          ) that he had good news.</v>
      </c>
      <c r="J679" s="9" cm="1">
        <f t="array" ref="J679">SUMIF('외운 것 - 엑셀다운로드 파일(붙여넣기)'!A3:A562,A679,'외운 것 - 엑셀다운로드 파일(붙여넣기)'!D3:D562)</f>
        <v>0</v>
      </c>
      <c r="K679" s="9" cm="1">
        <f t="array" ref="K679">_xlfn.COUNTIFS('외운 것 - 엑셀다운로드 파일(붙여넣기)'!A3:A562,A679,'외운 것 - 엑셀다운로드 파일(붙여넣기)'!D3:D562,0)</f>
        <v>0</v>
      </c>
      <c r="L679" s="9" cm="1">
        <f t="array" ref="L679">IF(J679&gt;=3,_xlfn.XLOOKUP(A679,'외운 것 - 엑셀다운로드 파일(붙여넣기)'!A3:A562,'외운 것 - 엑셀다운로드 파일(붙여넣기)'!C3:C562,0,-1),0)</f>
        <v>0</v>
      </c>
    </row>
    <row r="680" ht="23.45" customHeight="1">
      <c r="A680" s="3">
        <v>679</v>
      </c>
      <c r="B680" t="s" s="4">
        <v>4319</v>
      </c>
      <c r="C680" t="s" s="5">
        <v>4320</v>
      </c>
      <c r="D680" t="s" s="5">
        <v>4229</v>
      </c>
      <c r="E680" t="s" s="5">
        <v>4321</v>
      </c>
      <c r="F680" t="s" s="10">
        <v>4322</v>
      </c>
      <c r="G680" t="s" s="7">
        <v>4323</v>
      </c>
      <c r="H680" t="s" s="7">
        <v>4324</v>
      </c>
      <c r="I680" t="str" s="8" cm="1">
        <f t="array" ref="I680">SUBSTITUTE(H680,B680,"(          )")</f>
        <v>The detective made an (          ) based on the evidence.</v>
      </c>
      <c r="J680" s="9" cm="1">
        <f t="array" ref="J680">SUMIF('외운 것 - 엑셀다운로드 파일(붙여넣기)'!A3:A562,A680,'외운 것 - 엑셀다운로드 파일(붙여넣기)'!D3:D562)</f>
        <v>0</v>
      </c>
      <c r="K680" s="9" cm="1">
        <f t="array" ref="K680">_xlfn.COUNTIFS('외운 것 - 엑셀다운로드 파일(붙여넣기)'!A3:A562,A680,'외운 것 - 엑셀다운로드 파일(붙여넣기)'!D3:D562,0)</f>
        <v>0</v>
      </c>
      <c r="L680" s="9" cm="1">
        <f t="array" ref="L680">IF(J680&gt;=3,_xlfn.XLOOKUP(A680,'외운 것 - 엑셀다운로드 파일(붙여넣기)'!A3:A562,'외운 것 - 엑셀다운로드 파일(붙여넣기)'!C3:C562,0,-1),0)</f>
        <v>0</v>
      </c>
    </row>
    <row r="681" ht="38.45" customHeight="1">
      <c r="A681" s="3">
        <v>680</v>
      </c>
      <c r="B681" t="s" s="4">
        <v>4326</v>
      </c>
      <c r="C681" t="s" s="5">
        <v>4229</v>
      </c>
      <c r="D681" t="s" s="5">
        <v>4230</v>
      </c>
      <c r="E681" t="s" s="5">
        <v>4327</v>
      </c>
      <c r="F681" t="s" s="10">
        <v>4328</v>
      </c>
      <c r="G681" t="s" s="7">
        <v>4329</v>
      </c>
      <c r="H681" t="s" s="7">
        <v>4330</v>
      </c>
      <c r="I681" t="str" s="8" cm="1">
        <f t="array" ref="I681">SUBSTITUTE(H681,B681,"(          )")</f>
        <v>I (          ) tea to coffee in the morning.</v>
      </c>
      <c r="J681" s="9" cm="1">
        <f t="array" ref="J681">SUMIF('외운 것 - 엑셀다운로드 파일(붙여넣기)'!A3:A562,A681,'외운 것 - 엑셀다운로드 파일(붙여넣기)'!D3:D562)</f>
        <v>0</v>
      </c>
      <c r="K681" s="9" cm="1">
        <f t="array" ref="K681">_xlfn.COUNTIFS('외운 것 - 엑셀다운로드 파일(붙여넣기)'!A3:A562,A681,'외운 것 - 엑셀다운로드 파일(붙여넣기)'!D3:D562,0)</f>
        <v>0</v>
      </c>
      <c r="L681" s="9" cm="1">
        <f t="array" ref="L681">IF(J681&gt;=3,_xlfn.XLOOKUP(A681,'외운 것 - 엑셀다운로드 파일(붙여넣기)'!A3:A562,'외운 것 - 엑셀다운로드 파일(붙여넣기)'!C3:C562,0,-1),0)</f>
        <v>0</v>
      </c>
    </row>
    <row r="682" ht="37.35" customHeight="1">
      <c r="A682" s="3">
        <v>681</v>
      </c>
      <c r="B682" t="s" s="4">
        <v>4332</v>
      </c>
      <c r="C682" t="s" s="5">
        <v>4229</v>
      </c>
      <c r="D682" t="s" s="5">
        <v>4230</v>
      </c>
      <c r="E682" t="s" s="5">
        <v>4333</v>
      </c>
      <c r="F682" t="s" s="10">
        <v>4334</v>
      </c>
      <c r="G682" t="s" s="7">
        <v>4335</v>
      </c>
      <c r="H682" t="s" s="7">
        <v>4336</v>
      </c>
      <c r="I682" t="str" s="8" cm="1">
        <f t="array" ref="I682">SUBSTITUTE(H682,B682,"(          )")</f>
        <v>You need to (          ) to the blue line at the next station.</v>
      </c>
      <c r="J682" s="9" cm="1">
        <f t="array" ref="J682">SUMIF('외운 것 - 엑셀다운로드 파일(붙여넣기)'!A3:A562,A682,'외운 것 - 엑셀다운로드 파일(붙여넣기)'!D3:D562)</f>
        <v>0</v>
      </c>
      <c r="K682" s="9" cm="1">
        <f t="array" ref="K682">_xlfn.COUNTIFS('외운 것 - 엑셀다운로드 파일(붙여넣기)'!A3:A562,A682,'외운 것 - 엑셀다운로드 파일(붙여넣기)'!D3:D562,0)</f>
        <v>0</v>
      </c>
      <c r="L682" s="9" cm="1">
        <f t="array" ref="L682">IF(J682&gt;=3,_xlfn.XLOOKUP(A682,'외운 것 - 엑셀다운로드 파일(붙여넣기)'!A3:A562,'외운 것 - 엑셀다운로드 파일(붙여넣기)'!C3:C562,0,-1),0)</f>
        <v>0</v>
      </c>
    </row>
    <row r="683" ht="23.45" customHeight="1">
      <c r="A683" s="3">
        <v>682</v>
      </c>
      <c r="B683" t="s" s="4">
        <v>4338</v>
      </c>
      <c r="C683" t="s" s="5">
        <v>4339</v>
      </c>
      <c r="D683" t="s" s="5">
        <v>4340</v>
      </c>
      <c r="E683" t="s" s="5">
        <v>4341</v>
      </c>
      <c r="F683" t="s" s="10">
        <v>4342</v>
      </c>
      <c r="G683" t="s" s="7">
        <v>4343</v>
      </c>
      <c r="H683" t="s" s="7">
        <v>4344</v>
      </c>
      <c r="I683" t="str" s="8" cm="1">
        <f t="array" ref="I683">SUBSTITUTE(H683,B683,"(          )")</f>
        <v>Birds (          ) south for the winter.</v>
      </c>
      <c r="J683" s="9" cm="1">
        <f t="array" ref="J683">SUMIF('외운 것 - 엑셀다운로드 파일(붙여넣기)'!A3:A562,A683,'외운 것 - 엑셀다운로드 파일(붙여넣기)'!D3:D562)</f>
        <v>0</v>
      </c>
      <c r="K683" s="9" cm="1">
        <f t="array" ref="K683">_xlfn.COUNTIFS('외운 것 - 엑셀다운로드 파일(붙여넣기)'!A3:A562,A683,'외운 것 - 엑셀다운로드 파일(붙여넣기)'!D3:D562,0)</f>
        <v>0</v>
      </c>
      <c r="L683" s="9" cm="1">
        <f t="array" ref="L683">IF(J683&gt;=3,_xlfn.XLOOKUP(A683,'외운 것 - 엑셀다운로드 파일(붙여넣기)'!A3:A562,'외운 것 - 엑셀다운로드 파일(붙여넣기)'!C3:C562,0,-1),0)</f>
        <v>0</v>
      </c>
    </row>
    <row r="684" ht="23.45" customHeight="1">
      <c r="A684" s="3">
        <v>683</v>
      </c>
      <c r="B684" t="s" s="4">
        <v>4346</v>
      </c>
      <c r="C684" t="s" s="5">
        <v>4339</v>
      </c>
      <c r="D684" t="s" s="5">
        <v>4340</v>
      </c>
      <c r="E684" t="s" s="5">
        <v>4347</v>
      </c>
      <c r="F684" t="s" s="10">
        <v>4348</v>
      </c>
      <c r="G684" t="s" s="7">
        <v>4349</v>
      </c>
      <c r="H684" t="s" s="7">
        <v>4350</v>
      </c>
      <c r="I684" t="str" s="8" cm="1">
        <f t="array" ref="I684">SUBSTITUTE(H684,B684,"(          )")</f>
        <v>Our (          ) to Tokyo was delayed by two hours.</v>
      </c>
      <c r="J684" s="9" cm="1">
        <f t="array" ref="J684">SUMIF('외운 것 - 엑셀다운로드 파일(붙여넣기)'!A3:A562,A684,'외운 것 - 엑셀다운로드 파일(붙여넣기)'!D3:D562)</f>
        <v>0</v>
      </c>
      <c r="K684" s="9" cm="1">
        <f t="array" ref="K684">_xlfn.COUNTIFS('외운 것 - 엑셀다운로드 파일(붙여넣기)'!A3:A562,A684,'외운 것 - 엑셀다운로드 파일(붙여넣기)'!D3:D562,0)</f>
        <v>0</v>
      </c>
      <c r="L684" s="9" cm="1">
        <f t="array" ref="L684">IF(J684&gt;=3,_xlfn.XLOOKUP(A684,'외운 것 - 엑셀다운로드 파일(붙여넣기)'!A3:A562,'외운 것 - 엑셀다운로드 파일(붙여넣기)'!C3:C562,0,-1),0)</f>
        <v>0</v>
      </c>
    </row>
    <row r="685" ht="38.45" customHeight="1">
      <c r="A685" s="3">
        <v>684</v>
      </c>
      <c r="B685" t="s" s="4">
        <v>4352</v>
      </c>
      <c r="C685" t="s" s="5">
        <v>4339</v>
      </c>
      <c r="D685" t="s" s="5">
        <v>4340</v>
      </c>
      <c r="E685" t="s" s="5">
        <v>4353</v>
      </c>
      <c r="F685" t="s" s="10">
        <v>4354</v>
      </c>
      <c r="G685" t="s" s="7">
        <v>4355</v>
      </c>
      <c r="H685" t="s" s="7">
        <v>4356</v>
      </c>
      <c r="I685" t="str" s="8" cm="1">
        <f t="array" ref="I685">SUBSTITUTE(H685,B685,"(          )")</f>
        <v>The Olympic (          ) has five colored rings.</v>
      </c>
      <c r="J685" s="9" cm="1">
        <f t="array" ref="J685">SUMIF('외운 것 - 엑셀다운로드 파일(붙여넣기)'!A3:A562,A685,'외운 것 - 엑셀다운로드 파일(붙여넣기)'!D3:D562)</f>
        <v>0</v>
      </c>
      <c r="K685" s="9" cm="1">
        <f t="array" ref="K685">_xlfn.COUNTIFS('외운 것 - 엑셀다운로드 파일(붙여넣기)'!A3:A562,A685,'외운 것 - 엑셀다운로드 파일(붙여넣기)'!D3:D562,0)</f>
        <v>0</v>
      </c>
      <c r="L685" s="9" cm="1">
        <f t="array" ref="L685">IF(J685&gt;=3,_xlfn.XLOOKUP(A685,'외운 것 - 엑셀다운로드 파일(붙여넣기)'!A3:A562,'외운 것 - 엑셀다운로드 파일(붙여넣기)'!C3:C562,0,-1),0)</f>
        <v>0</v>
      </c>
    </row>
    <row r="686" ht="38.45" customHeight="1">
      <c r="A686" s="3">
        <v>685</v>
      </c>
      <c r="B686" t="s" s="4">
        <v>4358</v>
      </c>
      <c r="C686" t="s" s="5">
        <v>4339</v>
      </c>
      <c r="D686" t="s" s="5">
        <v>4340</v>
      </c>
      <c r="E686" t="s" s="5">
        <v>4359</v>
      </c>
      <c r="F686" t="s" s="10">
        <v>4360</v>
      </c>
      <c r="G686" t="s" s="7">
        <v>4361</v>
      </c>
      <c r="H686" t="s" s="7">
        <v>4362</v>
      </c>
      <c r="I686" t="str" s="8" cm="1">
        <f t="array" ref="I686">SUBSTITUTE(H686,B686,"(          )")</f>
        <v>A snow(          ) fell on her outstretched hand.</v>
      </c>
      <c r="J686" s="9" cm="1">
        <f t="array" ref="J686">SUMIF('외운 것 - 엑셀다운로드 파일(붙여넣기)'!A3:A562,A686,'외운 것 - 엑셀다운로드 파일(붙여넣기)'!D3:D562)</f>
        <v>0</v>
      </c>
      <c r="K686" s="9" cm="1">
        <f t="array" ref="K686">_xlfn.COUNTIFS('외운 것 - 엑셀다운로드 파일(붙여넣기)'!A3:A562,A686,'외운 것 - 엑셀다운로드 파일(붙여넣기)'!D3:D562,0)</f>
        <v>0</v>
      </c>
      <c r="L686" s="9" cm="1">
        <f t="array" ref="L686">IF(J686&gt;=3,_xlfn.XLOOKUP(A686,'외운 것 - 엑셀다운로드 파일(붙여넣기)'!A3:A562,'외운 것 - 엑셀다운로드 파일(붙여넣기)'!C3:C562,0,-1),0)</f>
        <v>0</v>
      </c>
    </row>
    <row r="687" ht="38.45" customHeight="1">
      <c r="A687" s="3">
        <v>686</v>
      </c>
      <c r="B687" t="s" s="4">
        <v>4364</v>
      </c>
      <c r="C687" t="s" s="5">
        <v>4339</v>
      </c>
      <c r="D687" t="s" s="5">
        <v>4340</v>
      </c>
      <c r="E687" t="s" s="5">
        <v>4365</v>
      </c>
      <c r="F687" t="s" s="10">
        <v>4366</v>
      </c>
      <c r="G687" t="s" s="7">
        <v>4367</v>
      </c>
      <c r="H687" t="s" s="7">
        <v>4368</v>
      </c>
      <c r="I687" t="str" s="8" cm="1">
        <f t="array" ref="I687">SUBSTITUTE(H687,B687,"(          )")</f>
        <v>The (          ) chair broke under his weight.</v>
      </c>
      <c r="J687" s="9" cm="1">
        <f t="array" ref="J687">SUMIF('외운 것 - 엑셀다운로드 파일(붙여넣기)'!A3:A562,A687,'외운 것 - 엑셀다운로드 파일(붙여넣기)'!D3:D562)</f>
        <v>0</v>
      </c>
      <c r="K687" s="9" cm="1">
        <f t="array" ref="K687">_xlfn.COUNTIFS('외운 것 - 엑셀다운로드 파일(붙여넣기)'!A3:A562,A687,'외운 것 - 엑셀다운로드 파일(붙여넣기)'!D3:D562,0)</f>
        <v>0</v>
      </c>
      <c r="L687" s="9" cm="1">
        <f t="array" ref="L687">IF(J687&gt;=3,_xlfn.XLOOKUP(A687,'외운 것 - 엑셀다운로드 파일(붙여넣기)'!A3:A562,'외운 것 - 엑셀다운로드 파일(붙여넣기)'!C3:C562,0,-1),0)</f>
        <v>0</v>
      </c>
    </row>
    <row r="688" ht="38.45" customHeight="1">
      <c r="A688" s="3">
        <v>687</v>
      </c>
      <c r="B688" t="s" s="4">
        <v>4370</v>
      </c>
      <c r="C688" t="s" s="5">
        <v>4339</v>
      </c>
      <c r="D688" t="s" s="5">
        <v>4340</v>
      </c>
      <c r="E688" t="s" s="5">
        <v>4371</v>
      </c>
      <c r="F688" t="s" s="10">
        <v>4372</v>
      </c>
      <c r="G688" t="s" s="7">
        <v>4373</v>
      </c>
      <c r="H688" t="s" s="7">
        <v>4374</v>
      </c>
      <c r="I688" t="str" s="8" cm="1">
        <f t="array" ref="I688">SUBSTITUTE(H688,B688,"(          )")</f>
        <v>She plays the (          ) in the school orchestra.</v>
      </c>
      <c r="J688" s="9" cm="1">
        <f t="array" ref="J688">SUMIF('외운 것 - 엑셀다운로드 파일(붙여넣기)'!A3:A562,A688,'외운 것 - 엑셀다운로드 파일(붙여넣기)'!D3:D562)</f>
        <v>0</v>
      </c>
      <c r="K688" s="9" cm="1">
        <f t="array" ref="K688">_xlfn.COUNTIFS('외운 것 - 엑셀다운로드 파일(붙여넣기)'!A3:A562,A688,'외운 것 - 엑셀다운로드 파일(붙여넣기)'!D3:D562,0)</f>
        <v>0</v>
      </c>
      <c r="L688" s="9" cm="1">
        <f t="array" ref="L688">IF(J688&gt;=3,_xlfn.XLOOKUP(A688,'외운 것 - 엑셀다운로드 파일(붙여넣기)'!A3:A562,'외운 것 - 엑셀다운로드 파일(붙여넣기)'!C3:C562,0,-1),0)</f>
        <v>0</v>
      </c>
    </row>
    <row r="689" ht="38.45" customHeight="1">
      <c r="A689" s="3">
        <v>688</v>
      </c>
      <c r="B689" t="s" s="4">
        <v>4376</v>
      </c>
      <c r="C689" t="s" s="5">
        <v>4339</v>
      </c>
      <c r="D689" t="s" s="5">
        <v>4340</v>
      </c>
      <c r="E689" t="s" s="5">
        <v>4377</v>
      </c>
      <c r="F689" t="s" s="10">
        <v>4378</v>
      </c>
      <c r="G689" t="s" s="7">
        <v>4379</v>
      </c>
      <c r="H689" t="s" s="7">
        <v>4380</v>
      </c>
      <c r="I689" t="str" s="8" cm="1">
        <f t="array" ref="I689">SUBSTITUTE(H689,B689,"(          )")</f>
        <v>Butterflies (          ) among the flowers.</v>
      </c>
      <c r="J689" s="9" cm="1">
        <f t="array" ref="J689">SUMIF('외운 것 - 엑셀다운로드 파일(붙여넣기)'!A3:A562,A689,'외운 것 - 엑셀다운로드 파일(붙여넣기)'!D3:D562)</f>
        <v>0</v>
      </c>
      <c r="K689" s="9" cm="1">
        <f t="array" ref="K689">_xlfn.COUNTIFS('외운 것 - 엑셀다운로드 파일(붙여넣기)'!A3:A562,A689,'외운 것 - 엑셀다운로드 파일(붙여넣기)'!D3:D562,0)</f>
        <v>0</v>
      </c>
      <c r="L689" s="9" cm="1">
        <f t="array" ref="L689">IF(J689&gt;=3,_xlfn.XLOOKUP(A689,'외운 것 - 엑셀다운로드 파일(붙여넣기)'!A3:A562,'외운 것 - 엑셀다운로드 파일(붙여넣기)'!C3:C562,0,-1),0)</f>
        <v>0</v>
      </c>
    </row>
    <row r="690" ht="38.45" customHeight="1">
      <c r="A690" s="3">
        <v>689</v>
      </c>
      <c r="B690" t="s" s="4">
        <v>4382</v>
      </c>
      <c r="C690" t="s" s="5">
        <v>4339</v>
      </c>
      <c r="D690" t="s" s="5">
        <v>4340</v>
      </c>
      <c r="E690" t="s" s="5">
        <v>4383</v>
      </c>
      <c r="F690" t="s" s="10">
        <v>4384</v>
      </c>
      <c r="G690" t="s" s="7">
        <v>4385</v>
      </c>
      <c r="H690" t="s" s="7">
        <v>4386</v>
      </c>
      <c r="I690" t="str" s="8" cm="1">
        <f t="array" ref="I690">SUBSTITUTE(H690,B690,"(          )")</f>
        <v>The cat's tail is covered with soft (          ).</v>
      </c>
      <c r="J690" s="9" cm="1">
        <f t="array" ref="J690">SUMIF('외운 것 - 엑셀다운로드 파일(붙여넣기)'!A3:A562,A690,'외운 것 - 엑셀다운로드 파일(붙여넣기)'!D3:D562)</f>
        <v>0</v>
      </c>
      <c r="K690" s="9" cm="1">
        <f t="array" ref="K690">_xlfn.COUNTIFS('외운 것 - 엑셀다운로드 파일(붙여넣기)'!A3:A562,A690,'외운 것 - 엑셀다운로드 파일(붙여넣기)'!D3:D562,0)</f>
        <v>0</v>
      </c>
      <c r="L690" s="9" cm="1">
        <f t="array" ref="L690">IF(J690&gt;=3,_xlfn.XLOOKUP(A690,'외운 것 - 엑셀다운로드 파일(붙여넣기)'!A3:A562,'외운 것 - 엑셀다운로드 파일(붙여넣기)'!C3:C562,0,-1),0)</f>
        <v>0</v>
      </c>
    </row>
    <row r="691" ht="23.45" customHeight="1">
      <c r="A691" s="3">
        <v>690</v>
      </c>
      <c r="B691" t="s" s="4">
        <v>4388</v>
      </c>
      <c r="C691" t="s" s="5">
        <v>4339</v>
      </c>
      <c r="D691" t="s" s="5">
        <v>4340</v>
      </c>
      <c r="E691" t="s" s="5">
        <v>4389</v>
      </c>
      <c r="F691" t="s" s="10">
        <v>4390</v>
      </c>
      <c r="G691" t="s" s="7">
        <v>4391</v>
      </c>
      <c r="H691" t="s" s="7">
        <v>4392</v>
      </c>
      <c r="I691" t="str" s="8" cm="1">
        <f t="array" ref="I691">SUBSTITUTE(H691,B691,"(          )")</f>
        <v>Refugees (          ) their country to escape danger.</v>
      </c>
      <c r="J691" s="9" cm="1">
        <f t="array" ref="J691">SUMIF('외운 것 - 엑셀다운로드 파일(붙여넣기)'!A3:A562,A691,'외운 것 - 엑셀다운로드 파일(붙여넣기)'!D3:D562)</f>
        <v>0</v>
      </c>
      <c r="K691" s="9" cm="1">
        <f t="array" ref="K691">_xlfn.COUNTIFS('외운 것 - 엑셀다운로드 파일(붙여넣기)'!A3:A562,A691,'외운 것 - 엑셀다운로드 파일(붙여넣기)'!D3:D562,0)</f>
        <v>0</v>
      </c>
      <c r="L691" s="9" cm="1">
        <f t="array" ref="L691">IF(J691&gt;=3,_xlfn.XLOOKUP(A691,'외운 것 - 엑셀다운로드 파일(붙여넣기)'!A3:A562,'외운 것 - 엑셀다운로드 파일(붙여넣기)'!C3:C562,0,-1),0)</f>
        <v>0</v>
      </c>
    </row>
    <row r="692" ht="23.45" customHeight="1">
      <c r="A692" s="3">
        <v>691</v>
      </c>
      <c r="B692" t="s" s="4">
        <v>4394</v>
      </c>
      <c r="C692" t="s" s="5">
        <v>4395</v>
      </c>
      <c r="D692" t="s" s="5">
        <v>4339</v>
      </c>
      <c r="E692" t="s" s="5">
        <v>4396</v>
      </c>
      <c r="F692" t="s" s="10">
        <v>4397</v>
      </c>
      <c r="G692" t="s" s="7">
        <v>4398</v>
      </c>
      <c r="H692" t="s" s="7">
        <v>4399</v>
      </c>
      <c r="I692" t="str" s="8" cm="1">
        <f t="array" ref="I692">SUBSTITUTE(H692,B692,"(          )")</f>
        <v>The navy's (          ) includes several aircraft carriers.</v>
      </c>
      <c r="J692" s="9" cm="1">
        <f t="array" ref="J692">SUMIF('외운 것 - 엑셀다운로드 파일(붙여넣기)'!A3:A562,A692,'외운 것 - 엑셀다운로드 파일(붙여넣기)'!D3:D562)</f>
        <v>0</v>
      </c>
      <c r="K692" s="9" cm="1">
        <f t="array" ref="K692">_xlfn.COUNTIFS('외운 것 - 엑셀다운로드 파일(붙여넣기)'!A3:A562,A692,'외운 것 - 엑셀다운로드 파일(붙여넣기)'!D3:D562,0)</f>
        <v>0</v>
      </c>
      <c r="L692" s="9" cm="1">
        <f t="array" ref="L692">IF(J692&gt;=3,_xlfn.XLOOKUP(A692,'외운 것 - 엑셀다운로드 파일(붙여넣기)'!A3:A562,'외운 것 - 엑셀다운로드 파일(붙여넣기)'!C3:C562,0,-1),0)</f>
        <v>0</v>
      </c>
    </row>
    <row r="693" ht="23.45" customHeight="1">
      <c r="A693" s="3">
        <v>692</v>
      </c>
      <c r="B693" t="s" s="4">
        <v>4401</v>
      </c>
      <c r="C693" t="s" s="5">
        <v>4395</v>
      </c>
      <c r="D693" t="s" s="5">
        <v>4339</v>
      </c>
      <c r="E693" t="s" s="5">
        <v>4389</v>
      </c>
      <c r="F693" t="s" s="10">
        <v>4402</v>
      </c>
      <c r="G693" t="s" s="7">
        <v>4403</v>
      </c>
      <c r="H693" t="s" s="7">
        <v>4404</v>
      </c>
      <c r="I693" t="str" s="8" cm="1">
        <f t="array" ref="I693">SUBSTITUTE(H693,B693,"(          )")</f>
        <v>The dog scratched because it had (          )s.</v>
      </c>
      <c r="J693" s="9" cm="1">
        <f t="array" ref="J693">SUMIF('외운 것 - 엑셀다운로드 파일(붙여넣기)'!A3:A562,A693,'외운 것 - 엑셀다운로드 파일(붙여넣기)'!D3:D562)</f>
        <v>0</v>
      </c>
      <c r="K693" s="9" cm="1">
        <f t="array" ref="K693">_xlfn.COUNTIFS('외운 것 - 엑셀다운로드 파일(붙여넣기)'!A3:A562,A693,'외운 것 - 엑셀다운로드 파일(붙여넣기)'!D3:D562,0)</f>
        <v>0</v>
      </c>
      <c r="L693" s="9" cm="1">
        <f t="array" ref="L693">IF(J693&gt;=3,_xlfn.XLOOKUP(A693,'외운 것 - 엑셀다운로드 파일(붙여넣기)'!A3:A562,'외운 것 - 엑셀다운로드 파일(붙여넣기)'!C3:C562,0,-1),0)</f>
        <v>0</v>
      </c>
    </row>
    <row r="694" ht="23.45" customHeight="1">
      <c r="A694" s="3">
        <v>693</v>
      </c>
      <c r="B694" t="s" s="4">
        <v>4406</v>
      </c>
      <c r="C694" t="s" s="5">
        <v>4339</v>
      </c>
      <c r="D694" t="s" s="5">
        <v>4340</v>
      </c>
      <c r="E694" t="s" s="5">
        <v>4407</v>
      </c>
      <c r="F694" t="s" s="10">
        <v>4408</v>
      </c>
      <c r="G694" t="s" s="7">
        <v>4409</v>
      </c>
      <c r="H694" t="s" s="7">
        <v>4410</v>
      </c>
      <c r="I694" t="str" s="8" cm="1">
        <f t="array" ref="I694">SUBSTITUTE(H694,B694,"(          )")</f>
        <v>She would (          ) open the windows on sunny mornings.</v>
      </c>
      <c r="J694" s="9" cm="1">
        <f t="array" ref="J694">SUMIF('외운 것 - 엑셀다운로드 파일(붙여넣기)'!A3:A562,A694,'외운 것 - 엑셀다운로드 파일(붙여넣기)'!D3:D562)</f>
        <v>0</v>
      </c>
      <c r="K694" s="9" cm="1">
        <f t="array" ref="K694">_xlfn.COUNTIFS('외운 것 - 엑셀다운로드 파일(붙여넣기)'!A3:A562,A694,'외운 것 - 엑셀다운로드 파일(붙여넣기)'!D3:D562,0)</f>
        <v>0</v>
      </c>
      <c r="L694" s="9" cm="1">
        <f t="array" ref="L694">IF(J694&gt;=3,_xlfn.XLOOKUP(A694,'외운 것 - 엑셀다운로드 파일(붙여넣기)'!A3:A562,'외운 것 - 엑셀다운로드 파일(붙여넣기)'!C3:C562,0,-1),0)</f>
        <v>0</v>
      </c>
    </row>
    <row r="695" ht="38.45" customHeight="1">
      <c r="A695" s="3">
        <v>694</v>
      </c>
      <c r="B695" t="s" s="4">
        <v>4412</v>
      </c>
      <c r="C695" t="s" s="5">
        <v>4339</v>
      </c>
      <c r="D695" t="s" s="5">
        <v>4340</v>
      </c>
      <c r="E695" t="s" s="5">
        <v>4413</v>
      </c>
      <c r="F695" t="s" s="10">
        <v>4414</v>
      </c>
      <c r="G695" t="s" s="7">
        <v>4415</v>
      </c>
      <c r="H695" t="s" s="7">
        <v>4416</v>
      </c>
      <c r="I695" t="str" s="8" cm="1">
        <f t="array" ref="I695">SUBSTITUTE(H695,B695,"(          )")</f>
        <v>Flip the pancake when bubbles appear on the surface.</v>
      </c>
      <c r="J695" s="9" cm="1">
        <f t="array" ref="J695">SUMIF('외운 것 - 엑셀다운로드 파일(붙여넣기)'!A3:A562,A695,'외운 것 - 엑셀다운로드 파일(붙여넣기)'!D3:D562)</f>
        <v>0</v>
      </c>
      <c r="K695" s="9" cm="1">
        <f t="array" ref="K695">_xlfn.COUNTIFS('외운 것 - 엑셀다운로드 파일(붙여넣기)'!A3:A562,A695,'외운 것 - 엑셀다운로드 파일(붙여넣기)'!D3:D562,0)</f>
        <v>0</v>
      </c>
      <c r="L695" s="9" cm="1">
        <f t="array" ref="L695">IF(J695&gt;=3,_xlfn.XLOOKUP(A695,'외운 것 - 엑셀다운로드 파일(붙여넣기)'!A3:A562,'외운 것 - 엑셀다운로드 파일(붙여넣기)'!C3:C562,0,-1),0)</f>
        <v>0</v>
      </c>
    </row>
    <row r="696" ht="38.45" customHeight="1">
      <c r="A696" s="3">
        <v>695</v>
      </c>
      <c r="B696" t="s" s="4">
        <v>4418</v>
      </c>
      <c r="C696" t="s" s="5">
        <v>4419</v>
      </c>
      <c r="D696" t="s" s="5">
        <v>4339</v>
      </c>
      <c r="E696" t="s" s="5">
        <v>4420</v>
      </c>
      <c r="F696" t="s" s="10">
        <v>4421</v>
      </c>
      <c r="G696" t="s" s="7">
        <v>4422</v>
      </c>
      <c r="H696" t="s" s="7">
        <v>4423</v>
      </c>
      <c r="I696" t="str" s="8" cm="1">
        <f t="array" ref="I696">SUBSTITUTE(H696,B696,"(          )")</f>
        <v>The bird's wings (          ) rapidly during flight.</v>
      </c>
      <c r="J696" s="9" cm="1">
        <f t="array" ref="J696">SUMIF('외운 것 - 엑셀다운로드 파일(붙여넣기)'!A3:A562,A696,'외운 것 - 엑셀다운로드 파일(붙여넣기)'!D3:D562)</f>
        <v>0</v>
      </c>
      <c r="K696" s="9" cm="1">
        <f t="array" ref="K696">_xlfn.COUNTIFS('외운 것 - 엑셀다운로드 파일(붙여넣기)'!A3:A562,A696,'외운 것 - 엑셀다운로드 파일(붙여넣기)'!D3:D562,0)</f>
        <v>0</v>
      </c>
      <c r="L696" s="9" cm="1">
        <f t="array" ref="L696">IF(J696&gt;=3,_xlfn.XLOOKUP(A696,'외운 것 - 엑셀다운로드 파일(붙여넣기)'!A3:A562,'외운 것 - 엑셀다운로드 파일(붙여넣기)'!C3:C562,0,-1),0)</f>
        <v>0</v>
      </c>
    </row>
    <row r="697" ht="38.45" customHeight="1">
      <c r="A697" s="3">
        <v>696</v>
      </c>
      <c r="B697" t="s" s="4">
        <v>4425</v>
      </c>
      <c r="C697" t="s" s="5">
        <v>4339</v>
      </c>
      <c r="D697" t="s" s="5">
        <v>4340</v>
      </c>
      <c r="E697" t="s" s="5">
        <v>4426</v>
      </c>
      <c r="F697" t="s" s="10">
        <v>4427</v>
      </c>
      <c r="G697" t="s" s="7">
        <v>4428</v>
      </c>
      <c r="H697" t="s" s="7">
        <v>4429</v>
      </c>
      <c r="I697" t="str" s="8" cm="1">
        <f t="array" ref="I697">SUBSTITUTE(H697,B697,"(          )")</f>
        <v>With a (          ) of his wrist, the magician made the coin disappear.</v>
      </c>
      <c r="J697" s="9" cm="1">
        <f t="array" ref="J697">SUMIF('외운 것 - 엑셀다운로드 파일(붙여넣기)'!A3:A562,A697,'외운 것 - 엑셀다운로드 파일(붙여넣기)'!D3:D562)</f>
        <v>0</v>
      </c>
      <c r="K697" s="9" cm="1">
        <f t="array" ref="K697">_xlfn.COUNTIFS('외운 것 - 엑셀다운로드 파일(붙여넣기)'!A3:A562,A697,'외운 것 - 엑셀다운로드 파일(붙여넣기)'!D3:D562,0)</f>
        <v>0</v>
      </c>
      <c r="L697" s="9" cm="1">
        <f t="array" ref="L697">IF(J697&gt;=3,_xlfn.XLOOKUP(A697,'외운 것 - 엑셀다운로드 파일(붙여넣기)'!A3:A562,'외운 것 - 엑셀다운로드 파일(붙여넣기)'!C3:C562,0,-1),0)</f>
        <v>0</v>
      </c>
    </row>
    <row r="698" ht="38.45" customHeight="1">
      <c r="A698" s="3">
        <v>697</v>
      </c>
      <c r="B698" t="s" s="4">
        <v>4431</v>
      </c>
      <c r="C698" t="s" s="5">
        <v>4339</v>
      </c>
      <c r="D698" t="s" s="5">
        <v>4340</v>
      </c>
      <c r="E698" t="s" s="5">
        <v>4432</v>
      </c>
      <c r="F698" t="s" s="10">
        <v>4433</v>
      </c>
      <c r="G698" t="s" s="7">
        <v>4434</v>
      </c>
      <c r="H698" t="s" s="7">
        <v>4435</v>
      </c>
      <c r="I698" t="str" s="8" cm="1">
        <f t="array" ref="I698">SUBSTITUTE(H698,B698,"(          )")</f>
        <v>Stock prices (          ) throughout the trading day.</v>
      </c>
      <c r="J698" s="9" cm="1">
        <f t="array" ref="J698">SUMIF('외운 것 - 엑셀다운로드 파일(붙여넣기)'!A3:A562,A698,'외운 것 - 엑셀다운로드 파일(붙여넣기)'!D3:D562)</f>
        <v>0</v>
      </c>
      <c r="K698" s="9" cm="1">
        <f t="array" ref="K698">_xlfn.COUNTIFS('외운 것 - 엑셀다운로드 파일(붙여넣기)'!A3:A562,A698,'외운 것 - 엑셀다운로드 파일(붙여넣기)'!D3:D562,0)</f>
        <v>0</v>
      </c>
      <c r="L698" s="9" cm="1">
        <f t="array" ref="L698">IF(J698&gt;=3,_xlfn.XLOOKUP(A698,'외운 것 - 엑셀다운로드 파일(붙여넣기)'!A3:A562,'외운 것 - 엑셀다운로드 파일(붙여넣기)'!C3:C562,0,-1),0)</f>
        <v>0</v>
      </c>
    </row>
    <row r="699" ht="36.4" customHeight="1">
      <c r="A699" s="3">
        <v>698</v>
      </c>
      <c r="B699" t="s" s="4">
        <v>4437</v>
      </c>
      <c r="C699" t="s" s="5">
        <v>4438</v>
      </c>
      <c r="D699" t="s" s="5">
        <v>4339</v>
      </c>
      <c r="E699" t="s" s="5">
        <v>4439</v>
      </c>
      <c r="F699" t="s" s="10">
        <v>4440</v>
      </c>
      <c r="G699" t="s" s="7">
        <v>4441</v>
      </c>
      <c r="H699" t="s" s="7">
        <v>4442</v>
      </c>
      <c r="I699" t="str" s="8" cm="1">
        <f t="array" ref="I699">SUBSTITUTE(H699,B699,"(          )")</f>
        <v>Temperature (          ) can damage sensitive equipment.</v>
      </c>
      <c r="J699" s="9" cm="1">
        <f t="array" ref="J699">SUMIF('외운 것 - 엑셀다운로드 파일(붙여넣기)'!A3:A562,A699,'외운 것 - 엑셀다운로드 파일(붙여넣기)'!D3:D562)</f>
        <v>0</v>
      </c>
      <c r="K699" s="9" cm="1">
        <f t="array" ref="K699">_xlfn.COUNTIFS('외운 것 - 엑셀다운로드 파일(붙여넣기)'!A3:A562,A699,'외운 것 - 엑셀다운로드 파일(붙여넣기)'!D3:D562,0)</f>
        <v>0</v>
      </c>
      <c r="L699" s="9" cm="1">
        <f t="array" ref="L699">IF(J699&gt;=3,_xlfn.XLOOKUP(A699,'외운 것 - 엑셀다운로드 파일(붙여넣기)'!A3:A562,'외운 것 - 엑셀다운로드 파일(붙여넣기)'!C3:C562,0,-1),0)</f>
        <v>0</v>
      </c>
    </row>
    <row r="700" ht="38.45" customHeight="1">
      <c r="A700" s="3">
        <v>699</v>
      </c>
      <c r="B700" t="s" s="4">
        <v>4444</v>
      </c>
      <c r="C700" t="s" s="5">
        <v>4339</v>
      </c>
      <c r="D700" t="s" s="5">
        <v>4340</v>
      </c>
      <c r="E700" t="s" s="5">
        <v>4445</v>
      </c>
      <c r="F700" t="s" s="10">
        <v>4446</v>
      </c>
      <c r="G700" t="s" s="7">
        <v>4447</v>
      </c>
      <c r="H700" t="s" s="7">
        <v>4448</v>
      </c>
      <c r="I700" t="str" s="8" cm="1">
        <f t="array" ref="I700">SUBSTITUTE(H700,B700,"(          )")</f>
        <v>He heard a (          ) as the heavy book fell to the floor.</v>
      </c>
      <c r="J700" s="9" cm="1">
        <f t="array" ref="J700">SUMIF('외운 것 - 엑셀다운로드 파일(붙여넣기)'!A3:A562,A700,'외운 것 - 엑셀다운로드 파일(붙여넣기)'!D3:D562)</f>
        <v>0</v>
      </c>
      <c r="K700" s="9" cm="1">
        <f t="array" ref="K700">_xlfn.COUNTIFS('외운 것 - 엑셀다운로드 파일(붙여넣기)'!A3:A562,A700,'외운 것 - 엑셀다운로드 파일(붙여넣기)'!D3:D562,0)</f>
        <v>0</v>
      </c>
      <c r="L700" s="9" cm="1">
        <f t="array" ref="L700">IF(J700&gt;=3,_xlfn.XLOOKUP(A700,'외운 것 - 엑셀다운로드 파일(붙여넣기)'!A3:A562,'외운 것 - 엑셀다운로드 파일(붙여넣기)'!C3:C562,0,-1),0)</f>
        <v>0</v>
      </c>
    </row>
    <row r="701" ht="38.45" customHeight="1">
      <c r="A701" s="3">
        <v>700</v>
      </c>
      <c r="B701" t="s" s="4">
        <v>4450</v>
      </c>
      <c r="C701" t="s" s="5">
        <v>4339</v>
      </c>
      <c r="D701" t="s" s="5">
        <v>4340</v>
      </c>
      <c r="E701" t="s" s="5">
        <v>4451</v>
      </c>
      <c r="F701" t="s" s="10">
        <v>4452</v>
      </c>
      <c r="G701" t="s" s="7">
        <v>4453</v>
      </c>
      <c r="H701" t="s" s="7">
        <v>4454</v>
      </c>
      <c r="I701" t="str" s="8" cm="1">
        <f t="array" ref="I701">SUBSTITUTE(H701,B701,"(          )")</f>
        <v>If you don't study, you might (          ) the exam.</v>
      </c>
      <c r="J701" s="9" cm="1">
        <f t="array" ref="J701">SUMIF('외운 것 - 엑셀다운로드 파일(붙여넣기)'!A3:A562,A701,'외운 것 - 엑셀다운로드 파일(붙여넣기)'!D3:D562)</f>
        <v>0</v>
      </c>
      <c r="K701" s="9" cm="1">
        <f t="array" ref="K701">_xlfn.COUNTIFS('외운 것 - 엑셀다운로드 파일(붙여넣기)'!A3:A562,A701,'외운 것 - 엑셀다운로드 파일(붙여넣기)'!D3:D562,0)</f>
        <v>0</v>
      </c>
      <c r="L701" s="9" cm="1">
        <f t="array" ref="L701">IF(J701&gt;=3,_xlfn.XLOOKUP(A701,'외운 것 - 엑셀다운로드 파일(붙여넣기)'!A3:A562,'외운 것 - 엑셀다운로드 파일(붙여넣기)'!C3:C562,0,-1),0)</f>
        <v>0</v>
      </c>
    </row>
    <row r="702" ht="23.45" customHeight="1">
      <c r="A702" s="3">
        <v>701</v>
      </c>
      <c r="B702" t="s" s="4">
        <v>4456</v>
      </c>
      <c r="C702" t="s" s="5">
        <v>4339</v>
      </c>
      <c r="D702" t="s" s="5">
        <v>4340</v>
      </c>
      <c r="E702" t="s" s="5">
        <v>4457</v>
      </c>
      <c r="F702" t="s" s="10">
        <v>4458</v>
      </c>
      <c r="G702" t="s" s="7">
        <v>4459</v>
      </c>
      <c r="H702" t="s" s="7">
        <v>4460</v>
      </c>
      <c r="I702" t="str" s="8" cm="1">
        <f t="array" ref="I702">SUBSTITUTE(H702,B702,"(          )")</f>
        <v>The cat is sleeping on the (          ).</v>
      </c>
      <c r="J702" s="9" cm="1">
        <f t="array" ref="J702">SUMIF('외운 것 - 엑셀다운로드 파일(붙여넣기)'!A3:A562,A702,'외운 것 - 엑셀다운로드 파일(붙여넣기)'!D3:D562)</f>
        <v>0</v>
      </c>
      <c r="K702" s="9" cm="1">
        <f t="array" ref="K702">_xlfn.COUNTIFS('외운 것 - 엑셀다운로드 파일(붙여넣기)'!A3:A562,A702,'외운 것 - 엑셀다운로드 파일(붙여넣기)'!D3:D562,0)</f>
        <v>0</v>
      </c>
      <c r="L702" s="9" cm="1">
        <f t="array" ref="L702">IF(J702&gt;=3,_xlfn.XLOOKUP(A702,'외운 것 - 엑셀다운로드 파일(붙여넣기)'!A3:A562,'외운 것 - 엑셀다운로드 파일(붙여넣기)'!C3:C562,0,-1),0)</f>
        <v>0</v>
      </c>
    </row>
    <row r="703" ht="38.45" customHeight="1">
      <c r="A703" s="3">
        <v>702</v>
      </c>
      <c r="B703" t="s" s="4">
        <v>4462</v>
      </c>
      <c r="C703" t="s" s="5">
        <v>4339</v>
      </c>
      <c r="D703" t="s" s="5">
        <v>4340</v>
      </c>
      <c r="E703" t="s" s="5">
        <v>4463</v>
      </c>
      <c r="F703" t="s" s="10">
        <v>4464</v>
      </c>
      <c r="G703" t="s" s="7">
        <v>4465</v>
      </c>
      <c r="H703" t="s" s="7">
        <v>4466</v>
      </c>
      <c r="I703" t="str" s="8" cm="1">
        <f t="array" ref="I703">SUBSTITUTE(H703,B703,"(          )")</f>
        <v>Heavy rain caused the river to (          ).</v>
      </c>
      <c r="J703" s="9" cm="1">
        <f t="array" ref="J703">SUMIF('외운 것 - 엑셀다운로드 파일(붙여넣기)'!A3:A562,A703,'외운 것 - 엑셀다운로드 파일(붙여넣기)'!D3:D562)</f>
        <v>0</v>
      </c>
      <c r="K703" s="9" cm="1">
        <f t="array" ref="K703">_xlfn.COUNTIFS('외운 것 - 엑셀다운로드 파일(붙여넣기)'!A3:A562,A703,'외운 것 - 엑셀다운로드 파일(붙여넣기)'!D3:D562,0)</f>
        <v>0</v>
      </c>
      <c r="L703" s="9" cm="1">
        <f t="array" ref="L703">IF(J703&gt;=3,_xlfn.XLOOKUP(A703,'외운 것 - 엑셀다운로드 파일(붙여넣기)'!A3:A562,'외운 것 - 엑셀다운로드 파일(붙여넣기)'!C3:C562,0,-1),0)</f>
        <v>0</v>
      </c>
    </row>
    <row r="704" ht="38.45" customHeight="1">
      <c r="A704" s="3">
        <v>703</v>
      </c>
      <c r="B704" t="s" s="4">
        <v>4468</v>
      </c>
      <c r="C704" t="s" s="5">
        <v>4339</v>
      </c>
      <c r="D704" t="s" s="5">
        <v>4340</v>
      </c>
      <c r="E704" t="s" s="5">
        <v>4469</v>
      </c>
      <c r="F704" t="s" s="10">
        <v>4470</v>
      </c>
      <c r="G704" t="s" s="7">
        <v>4471</v>
      </c>
      <c r="H704" t="s" s="7">
        <v>4472</v>
      </c>
      <c r="I704" t="str" s="8" cm="1">
        <f t="array" ref="I704">SUBSTITUTE(H704,B704,"(          )")</f>
        <v>Water is the most common (          ) on Earth.</v>
      </c>
      <c r="J704" s="9" cm="1">
        <f t="array" ref="J704">SUMIF('외운 것 - 엑셀다운로드 파일(붙여넣기)'!A3:A562,A704,'외운 것 - 엑셀다운로드 파일(붙여넣기)'!D3:D562)</f>
        <v>0</v>
      </c>
      <c r="K704" s="9" cm="1">
        <f t="array" ref="K704">_xlfn.COUNTIFS('외운 것 - 엑셀다운로드 파일(붙여넣기)'!A3:A562,A704,'외운 것 - 엑셀다운로드 파일(붙여넣기)'!D3:D562,0)</f>
        <v>0</v>
      </c>
      <c r="L704" s="9" cm="1">
        <f t="array" ref="L704">IF(J704&gt;=3,_xlfn.XLOOKUP(A704,'외운 것 - 엑셀다운로드 파일(붙여넣기)'!A3:A562,'외운 것 - 엑셀다운로드 파일(붙여넣기)'!C3:C562,0,-1),0)</f>
        <v>0</v>
      </c>
    </row>
    <row r="705" ht="38.45" customHeight="1">
      <c r="A705" s="3">
        <v>704</v>
      </c>
      <c r="B705" t="s" s="4">
        <v>4474</v>
      </c>
      <c r="C705" t="s" s="5">
        <v>4339</v>
      </c>
      <c r="D705" t="s" s="5">
        <v>4340</v>
      </c>
      <c r="E705" t="s" s="5">
        <v>4475</v>
      </c>
      <c r="F705" t="s" s="10">
        <v>4476</v>
      </c>
      <c r="G705" t="s" s="7">
        <v>4477</v>
      </c>
      <c r="H705" t="s" s="7">
        <v>4478</v>
      </c>
      <c r="I705" t="str" s="8" cm="1">
        <f t="array" ref="I705">SUBSTITUTE(H705,B705,"(          )")</f>
        <v>The organization is in a state of (          ) during the transition.</v>
      </c>
      <c r="J705" s="9" cm="1">
        <f t="array" ref="J705">SUMIF('외운 것 - 엑셀다운로드 파일(붙여넣기)'!A3:A562,A705,'외운 것 - 엑셀다운로드 파일(붙여넣기)'!D3:D562)</f>
        <v>0</v>
      </c>
      <c r="K705" s="9" cm="1">
        <f t="array" ref="K705">_xlfn.COUNTIFS('외운 것 - 엑셀다운로드 파일(붙여넣기)'!A3:A562,A705,'외운 것 - 엑셀다운로드 파일(붙여넣기)'!D3:D562,0)</f>
        <v>0</v>
      </c>
      <c r="L705" s="9" cm="1">
        <f t="array" ref="L705">IF(J705&gt;=3,_xlfn.XLOOKUP(A705,'외운 것 - 엑셀다운로드 파일(붙여넣기)'!A3:A562,'외운 것 - 엑셀다운로드 파일(붙여넣기)'!C3:C562,0,-1),0)</f>
        <v>0</v>
      </c>
    </row>
    <row r="706" ht="38.45" customHeight="1">
      <c r="A706" s="3">
        <v>705</v>
      </c>
      <c r="B706" t="s" s="4">
        <v>4480</v>
      </c>
      <c r="C706" t="s" s="5">
        <v>4481</v>
      </c>
      <c r="D706" t="s" s="5">
        <v>4339</v>
      </c>
      <c r="E706" t="s" s="5">
        <v>4482</v>
      </c>
      <c r="F706" t="s" s="10">
        <v>4483</v>
      </c>
      <c r="G706" t="s" s="7">
        <v>4484</v>
      </c>
      <c r="H706" t="s" s="7">
        <v>4485</v>
      </c>
      <c r="I706" t="str" s="8" cm="1">
        <f t="array" ref="I706">SUBSTITUTE(H706,B706,"(          )")</f>
        <v>The city experienced an (          ) of tourists during the festival.</v>
      </c>
      <c r="J706" s="9" cm="1">
        <f t="array" ref="J706">SUMIF('외운 것 - 엑셀다운로드 파일(붙여넣기)'!A3:A562,A706,'외운 것 - 엑셀다운로드 파일(붙여넣기)'!D3:D562)</f>
        <v>0</v>
      </c>
      <c r="K706" s="9" cm="1">
        <f t="array" ref="K706">_xlfn.COUNTIFS('외운 것 - 엑셀다운로드 파일(붙여넣기)'!A3:A562,A706,'외운 것 - 엑셀다운로드 파일(붙여넣기)'!D3:D562,0)</f>
        <v>0</v>
      </c>
      <c r="L706" s="9" cm="1">
        <f t="array" ref="L706">IF(J706&gt;=3,_xlfn.XLOOKUP(A706,'외운 것 - 엑셀다운로드 파일(붙여넣기)'!A3:A562,'외운 것 - 엑셀다운로드 파일(붙여넣기)'!C3:C562,0,-1),0)</f>
        <v>0</v>
      </c>
    </row>
    <row r="707" ht="38.45" customHeight="1">
      <c r="A707" s="3">
        <v>706</v>
      </c>
      <c r="B707" t="s" s="4">
        <v>4487</v>
      </c>
      <c r="C707" t="s" s="5">
        <v>4339</v>
      </c>
      <c r="D707" t="s" s="5">
        <v>4340</v>
      </c>
      <c r="E707" t="s" s="5">
        <v>4488</v>
      </c>
      <c r="F707" t="s" s="10">
        <v>4489</v>
      </c>
      <c r="G707" t="s" s="7">
        <v>4490</v>
      </c>
      <c r="H707" t="s" s="7">
        <v>4491</v>
      </c>
      <c r="I707" t="str" s="8" cm="1">
        <f t="array" ref="I707">SUBSTITUTE(H707,B707,"(          )")</f>
        <v>Athletes (          ) their muscles before competition.</v>
      </c>
      <c r="J707" s="9" cm="1">
        <f t="array" ref="J707">SUMIF('외운 것 - 엑셀다운로드 파일(붙여넣기)'!A3:A562,A707,'외운 것 - 엑셀다운로드 파일(붙여넣기)'!D3:D562)</f>
        <v>0</v>
      </c>
      <c r="K707" s="9" cm="1">
        <f t="array" ref="K707">_xlfn.COUNTIFS('외운 것 - 엑셀다운로드 파일(붙여넣기)'!A3:A562,A707,'외운 것 - 엑셀다운로드 파일(붙여넣기)'!D3:D562,0)</f>
        <v>0</v>
      </c>
      <c r="L707" s="9" cm="1">
        <f t="array" ref="L707">IF(J707&gt;=3,_xlfn.XLOOKUP(A707,'외운 것 - 엑셀다운로드 파일(붙여넣기)'!A3:A562,'외운 것 - 엑셀다운로드 파일(붙여넣기)'!C3:C562,0,-1),0)</f>
        <v>0</v>
      </c>
    </row>
    <row r="708" ht="38.45" customHeight="1">
      <c r="A708" s="3">
        <v>707</v>
      </c>
      <c r="B708" t="s" s="4">
        <v>4493</v>
      </c>
      <c r="C708" t="s" s="5">
        <v>4494</v>
      </c>
      <c r="D708" t="s" s="5">
        <v>4339</v>
      </c>
      <c r="E708" t="s" s="5">
        <v>4495</v>
      </c>
      <c r="F708" t="s" s="10">
        <v>4496</v>
      </c>
      <c r="G708" t="s" s="7">
        <v>4497</v>
      </c>
      <c r="H708" t="s" s="7">
        <v>4498</v>
      </c>
      <c r="I708" t="str" s="8" cm="1">
        <f t="array" ref="I708">SUBSTITUTE(H708,B708,"(          )")</f>
        <v>Having a (          ) schedule allows me to balance work and family.</v>
      </c>
      <c r="J708" s="9" cm="1">
        <f t="array" ref="J708">SUMIF('외운 것 - 엑셀다운로드 파일(붙여넣기)'!A3:A562,A708,'외운 것 - 엑셀다운로드 파일(붙여넣기)'!D3:D562)</f>
        <v>0</v>
      </c>
      <c r="K708" s="9" cm="1">
        <f t="array" ref="K708">_xlfn.COUNTIFS('외운 것 - 엑셀다운로드 파일(붙여넣기)'!A3:A562,A708,'외운 것 - 엑셀다운로드 파일(붙여넣기)'!D3:D562,0)</f>
        <v>0</v>
      </c>
      <c r="L708" s="9" cm="1">
        <f t="array" ref="L708">IF(J708&gt;=3,_xlfn.XLOOKUP(A708,'외운 것 - 엑셀다운로드 파일(붙여넣기)'!A3:A562,'외운 것 - 엑셀다운로드 파일(붙여넣기)'!C3:C562,0,-1),0)</f>
        <v>0</v>
      </c>
    </row>
    <row r="709" ht="38.45" customHeight="1">
      <c r="A709" s="3">
        <v>708</v>
      </c>
      <c r="B709" t="s" s="4">
        <v>4500</v>
      </c>
      <c r="C709" t="s" s="5">
        <v>4339</v>
      </c>
      <c r="D709" t="s" s="5">
        <v>4340</v>
      </c>
      <c r="E709" t="s" s="5">
        <v>4501</v>
      </c>
      <c r="F709" t="s" s="10">
        <v>4502</v>
      </c>
      <c r="G709" t="s" s="7">
        <v>4503</v>
      </c>
      <c r="H709" t="s" s="7">
        <v>4504</v>
      </c>
      <c r="I709" t="str" s="8" cm="1">
        <f t="array" ref="I709">SUBSTITUTE(H709,B709,"(          )")</f>
        <v>Her cheeks (          ) red when she's embarrassed.</v>
      </c>
      <c r="J709" s="9" cm="1">
        <f t="array" ref="J709">SUMIF('외운 것 - 엑셀다운로드 파일(붙여넣기)'!A3:A562,A709,'외운 것 - 엑셀다운로드 파일(붙여넣기)'!D3:D562)</f>
        <v>0</v>
      </c>
      <c r="K709" s="9" cm="1">
        <f t="array" ref="K709">_xlfn.COUNTIFS('외운 것 - 엑셀다운로드 파일(붙여넣기)'!A3:A562,A709,'외운 것 - 엑셀다운로드 파일(붙여넣기)'!D3:D562,0)</f>
        <v>0</v>
      </c>
      <c r="L709" s="9" cm="1">
        <f t="array" ref="L709">IF(J709&gt;=3,_xlfn.XLOOKUP(A709,'외운 것 - 엑셀다운로드 파일(붙여넣기)'!A3:A562,'외운 것 - 엑셀다운로드 파일(붙여넣기)'!C3:C562,0,-1),0)</f>
        <v>0</v>
      </c>
    </row>
    <row r="710" ht="38.45" customHeight="1">
      <c r="A710" s="3">
        <v>709</v>
      </c>
      <c r="B710" t="s" s="4">
        <v>4506</v>
      </c>
      <c r="C710" t="s" s="5">
        <v>4339</v>
      </c>
      <c r="D710" t="s" s="5">
        <v>4340</v>
      </c>
      <c r="E710" t="s" s="5">
        <v>4507</v>
      </c>
      <c r="F710" t="s" s="10">
        <v>4508</v>
      </c>
      <c r="G710" t="s" s="7">
        <v>4509</v>
      </c>
      <c r="H710" t="s" s="7">
        <v>4510</v>
      </c>
      <c r="I710" t="str" s="8" cm="1">
        <f t="array" ref="I710">SUBSTITUTE(H710,B710,"(          )")</f>
        <v>After living in France for five years, she became (          ) in French.</v>
      </c>
      <c r="J710" s="9" cm="1">
        <f t="array" ref="J710">SUMIF('외운 것 - 엑셀다운로드 파일(붙여넣기)'!A3:A562,A710,'외운 것 - 엑셀다운로드 파일(붙여넣기)'!D3:D562)</f>
        <v>0</v>
      </c>
      <c r="K710" s="9" cm="1">
        <f t="array" ref="K710">_xlfn.COUNTIFS('외운 것 - 엑셀다운로드 파일(붙여넣기)'!A3:A562,A710,'외운 것 - 엑셀다운로드 파일(붙여넣기)'!D3:D562,0)</f>
        <v>0</v>
      </c>
      <c r="L710" s="9" cm="1">
        <f t="array" ref="L710">IF(J710&gt;=3,_xlfn.XLOOKUP(A710,'외운 것 - 엑셀다운로드 파일(붙여넣기)'!A3:A562,'외운 것 - 엑셀다운로드 파일(붙여넣기)'!C3:C562,0,-1),0)</f>
        <v>0</v>
      </c>
    </row>
    <row r="711" ht="23.45" customHeight="1">
      <c r="A711" s="3">
        <v>710</v>
      </c>
      <c r="B711" t="s" s="4">
        <v>4512</v>
      </c>
      <c r="C711" t="s" s="5">
        <v>4513</v>
      </c>
      <c r="D711" t="s" s="5">
        <v>4339</v>
      </c>
      <c r="E711" t="s" s="5">
        <v>4514</v>
      </c>
      <c r="F711" t="s" s="10">
        <v>4515</v>
      </c>
      <c r="G711" t="s" s="7">
        <v>4516</v>
      </c>
      <c r="H711" t="s" s="7">
        <v>4517</v>
      </c>
      <c r="I711" t="str" s="8" cm="1">
        <f t="array" ref="I711">SUBSTITUTE(H711,B711,"(          )")</f>
        <v>Parents have a strong (          ) on their children.</v>
      </c>
      <c r="J711" s="9" cm="1">
        <f t="array" ref="J711">SUMIF('외운 것 - 엑셀다운로드 파일(붙여넣기)'!A3:A562,A711,'외운 것 - 엑셀다운로드 파일(붙여넣기)'!D3:D562)</f>
        <v>0</v>
      </c>
      <c r="K711" s="9" cm="1">
        <f t="array" ref="K711">_xlfn.COUNTIFS('외운 것 - 엑셀다운로드 파일(붙여넣기)'!A3:A562,A711,'외운 것 - 엑셀다운로드 파일(붙여넣기)'!D3:D562,0)</f>
        <v>0</v>
      </c>
      <c r="L711" s="9" cm="1">
        <f t="array" ref="L711">IF(J711&gt;=3,_xlfn.XLOOKUP(A711,'외운 것 - 엑셀다운로드 파일(붙여넣기)'!A3:A562,'외운 것 - 엑셀다운로드 파일(붙여넣기)'!C3:C562,0,-1),0)</f>
        <v>0</v>
      </c>
    </row>
    <row r="712" ht="36.4" customHeight="1">
      <c r="A712" s="3">
        <v>711</v>
      </c>
      <c r="B712" t="s" s="4">
        <v>4519</v>
      </c>
      <c r="C712" t="s" s="5">
        <v>4520</v>
      </c>
      <c r="D712" t="s" s="5">
        <v>4339</v>
      </c>
      <c r="E712" t="s" s="5">
        <v>4521</v>
      </c>
      <c r="F712" t="s" s="10">
        <v>4522</v>
      </c>
      <c r="G712" t="s" s="7">
        <v>4523</v>
      </c>
      <c r="H712" t="s" s="7">
        <v>4524</v>
      </c>
      <c r="I712" t="str" s="8" cm="1">
        <f t="array" ref="I712">SUBSTITUTE(H712,B712,"(          )")</f>
        <v>She is an (          ) leader in the community.</v>
      </c>
      <c r="J712" s="9" cm="1">
        <f t="array" ref="J712">SUMIF('외운 것 - 엑셀다운로드 파일(붙여넣기)'!A3:A562,A712,'외운 것 - 엑셀다운로드 파일(붙여넣기)'!D3:D562)</f>
        <v>0</v>
      </c>
      <c r="K712" s="9" cm="1">
        <f t="array" ref="K712">_xlfn.COUNTIFS('외운 것 - 엑셀다운로드 파일(붙여넣기)'!A3:A562,A712,'외운 것 - 엑셀다운로드 파일(붙여넣기)'!D3:D562,0)</f>
        <v>0</v>
      </c>
      <c r="L712" s="9" cm="1">
        <f t="array" ref="L712">IF(J712&gt;=3,_xlfn.XLOOKUP(A712,'외운 것 - 엑셀다운로드 파일(붙여넣기)'!A3:A562,'외운 것 - 엑셀다운로드 파일(붙여넣기)'!C3:C562,0,-1),0)</f>
        <v>0</v>
      </c>
    </row>
    <row r="713" ht="38.45" customHeight="1">
      <c r="A713" s="3">
        <v>712</v>
      </c>
      <c r="B713" t="s" s="4">
        <v>4526</v>
      </c>
      <c r="C713" t="s" s="5">
        <v>4513</v>
      </c>
      <c r="D713" t="s" s="5">
        <v>4339</v>
      </c>
      <c r="E713" t="s" s="5">
        <v>4527</v>
      </c>
      <c r="F713" t="s" s="10">
        <v>4528</v>
      </c>
      <c r="G713" t="s" s="7">
        <v>4529</v>
      </c>
      <c r="H713" t="s" s="7">
        <v>4530</v>
      </c>
      <c r="I713" t="str" s="8" cm="1">
        <f t="array" ref="I713">SUBSTITUTE(H713,B713,"(          )")</f>
        <v>Influenza spreads rapidly during winter months.</v>
      </c>
      <c r="J713" s="9" cm="1">
        <f t="array" ref="J713">SUMIF('외운 것 - 엑셀다운로드 파일(붙여넣기)'!A3:A562,A713,'외운 것 - 엑셀다운로드 파일(붙여넣기)'!D3:D562)</f>
        <v>0</v>
      </c>
      <c r="K713" s="9" cm="1">
        <f t="array" ref="K713">_xlfn.COUNTIFS('외운 것 - 엑셀다운로드 파일(붙여넣기)'!A3:A562,A713,'외운 것 - 엑셀다운로드 파일(붙여넣기)'!D3:D562,0)</f>
        <v>0</v>
      </c>
      <c r="L713" s="9" cm="1">
        <f t="array" ref="L713">IF(J713&gt;=3,_xlfn.XLOOKUP(A713,'외운 것 - 엑셀다운로드 파일(붙여넣기)'!A3:A562,'외운 것 - 엑셀다운로드 파일(붙여넣기)'!C3:C562,0,-1),0)</f>
        <v>0</v>
      </c>
    </row>
    <row r="714" ht="23.45" customHeight="1">
      <c r="A714" s="3">
        <v>713</v>
      </c>
      <c r="B714" t="s" s="4">
        <v>4532</v>
      </c>
      <c r="C714" t="s" s="5">
        <v>4339</v>
      </c>
      <c r="D714" t="s" s="5">
        <v>4340</v>
      </c>
      <c r="E714" t="s" s="5">
        <v>4533</v>
      </c>
      <c r="F714" t="s" s="10">
        <v>4534</v>
      </c>
      <c r="G714" t="s" s="7">
        <v>4535</v>
      </c>
      <c r="H714" t="s" s="7">
        <v>4536</v>
      </c>
      <c r="I714" t="str" s="8" cm="1">
        <f t="array" ref="I714">SUBSTITUTE(H714,B714,"(          )")</f>
        <v>Wood will (          ) on water.</v>
      </c>
      <c r="J714" s="9" cm="1">
        <f t="array" ref="J714">SUMIF('외운 것 - 엑셀다운로드 파일(붙여넣기)'!A3:A562,A714,'외운 것 - 엑셀다운로드 파일(붙여넣기)'!D3:D562)</f>
        <v>0</v>
      </c>
      <c r="K714" s="9" cm="1">
        <f t="array" ref="K714">_xlfn.COUNTIFS('외운 것 - 엑셀다운로드 파일(붙여넣기)'!A3:A562,A714,'외운 것 - 엑셀다운로드 파일(붙여넣기)'!D3:D562,0)</f>
        <v>0</v>
      </c>
      <c r="L714" s="9" cm="1">
        <f t="array" ref="L714">IF(J714&gt;=3,_xlfn.XLOOKUP(A714,'외운 것 - 엑셀다운로드 파일(붙여넣기)'!A3:A562,'외운 것 - 엑셀다운로드 파일(붙여넣기)'!C3:C562,0,-1),0)</f>
        <v>0</v>
      </c>
    </row>
    <row r="715" ht="38.45" customHeight="1">
      <c r="A715" s="3">
        <v>714</v>
      </c>
      <c r="B715" t="s" s="4">
        <v>4538</v>
      </c>
      <c r="C715" t="s" s="5">
        <v>4339</v>
      </c>
      <c r="D715" t="s" s="5">
        <v>4340</v>
      </c>
      <c r="E715" t="s" s="5">
        <v>4539</v>
      </c>
      <c r="F715" t="s" s="10">
        <v>4540</v>
      </c>
      <c r="G715" t="s" s="7">
        <v>4541</v>
      </c>
      <c r="H715" t="s" s="7">
        <v>4542</v>
      </c>
      <c r="I715" t="str" s="8" cm="1">
        <f t="array" ref="I715">SUBSTITUTE(H715,B715,"(          )")</f>
        <v>The thorn pierced the (          ) of his finger.</v>
      </c>
      <c r="J715" s="9" cm="1">
        <f t="array" ref="J715">SUMIF('외운 것 - 엑셀다운로드 파일(붙여넣기)'!A3:A562,A715,'외운 것 - 엑셀다운로드 파일(붙여넣기)'!D3:D562)</f>
        <v>0</v>
      </c>
      <c r="K715" s="9" cm="1">
        <f t="array" ref="K715">_xlfn.COUNTIFS('외운 것 - 엑셀다운로드 파일(붙여넣기)'!A3:A562,A715,'외운 것 - 엑셀다운로드 파일(붙여넣기)'!D3:D562,0)</f>
        <v>0</v>
      </c>
      <c r="L715" s="9" cm="1">
        <f t="array" ref="L715">IF(J715&gt;=3,_xlfn.XLOOKUP(A715,'외운 것 - 엑셀다운로드 파일(붙여넣기)'!A3:A562,'외운 것 - 엑셀다운로드 파일(붙여넣기)'!C3:C562,0,-1),0)</f>
        <v>0</v>
      </c>
    </row>
    <row r="716" ht="38.45" customHeight="1">
      <c r="A716" s="3">
        <v>715</v>
      </c>
      <c r="B716" t="s" s="4">
        <v>4544</v>
      </c>
      <c r="C716" t="s" s="5">
        <v>4339</v>
      </c>
      <c r="D716" t="s" s="5">
        <v>4340</v>
      </c>
      <c r="E716" t="s" s="5">
        <v>4545</v>
      </c>
      <c r="F716" t="s" s="10">
        <v>4546</v>
      </c>
      <c r="G716" t="s" s="7">
        <v>4547</v>
      </c>
      <c r="H716" t="s" s="7">
        <v>4548</v>
      </c>
      <c r="I716" t="str" s="8" cm="1">
        <f t="array" ref="I716">SUBSTITUTE(H716,B716,"(          )")</f>
        <v>Vanilla is my favorite ice cream (          ).</v>
      </c>
      <c r="J716" s="9" cm="1">
        <f t="array" ref="J716">SUMIF('외운 것 - 엑셀다운로드 파일(붙여넣기)'!A3:A562,A716,'외운 것 - 엑셀다운로드 파일(붙여넣기)'!D3:D562)</f>
        <v>0</v>
      </c>
      <c r="K716" s="9" cm="1">
        <f t="array" ref="K716">_xlfn.COUNTIFS('외운 것 - 엑셀다운로드 파일(붙여넣기)'!A3:A562,A716,'외운 것 - 엑셀다운로드 파일(붙여넣기)'!D3:D562,0)</f>
        <v>0</v>
      </c>
      <c r="L716" s="9" cm="1">
        <f t="array" ref="L716">IF(J716&gt;=3,_xlfn.XLOOKUP(A716,'외운 것 - 엑셀다운로드 파일(붙여넣기)'!A3:A562,'외운 것 - 엑셀다운로드 파일(붙여넣기)'!C3:C562,0,-1),0)</f>
        <v>0</v>
      </c>
    </row>
    <row r="717" ht="53.45" customHeight="1">
      <c r="A717" s="3">
        <v>716</v>
      </c>
      <c r="B717" t="s" s="4">
        <v>4550</v>
      </c>
      <c r="C717" t="s" s="5">
        <v>4339</v>
      </c>
      <c r="D717" t="s" s="5">
        <v>4551</v>
      </c>
      <c r="E717" t="s" s="5">
        <v>4552</v>
      </c>
      <c r="F717" t="s" s="10">
        <v>4553</v>
      </c>
      <c r="G717" t="s" s="7">
        <v>4554</v>
      </c>
      <c r="H717" t="s" s="7">
        <v>4555</v>
      </c>
      <c r="I717" t="str" s="8" cm="1">
        <f t="array" ref="I717">SUBSTITUTE(H717,B717,"(          )")</f>
        <v>I live in a (          ) on the third floor.</v>
      </c>
      <c r="J717" s="9" cm="1">
        <f t="array" ref="J717">SUMIF('외운 것 - 엑셀다운로드 파일(붙여넣기)'!A3:A562,A717,'외운 것 - 엑셀다운로드 파일(붙여넣기)'!D3:D562)</f>
        <v>0</v>
      </c>
      <c r="K717" s="9" cm="1">
        <f t="array" ref="K717">_xlfn.COUNTIFS('외운 것 - 엑셀다운로드 파일(붙여넣기)'!A3:A562,A717,'외운 것 - 엑셀다운로드 파일(붙여넣기)'!D3:D562,0)</f>
        <v>0</v>
      </c>
      <c r="L717" s="9" cm="1">
        <f t="array" ref="L717">IF(J717&gt;=3,_xlfn.XLOOKUP(A717,'외운 것 - 엑셀다운로드 파일(붙여넣기)'!A3:A562,'외운 것 - 엑셀다운로드 파일(붙여넣기)'!C3:C562,0,-1),0)</f>
        <v>0</v>
      </c>
    </row>
    <row r="718" ht="23.45" customHeight="1">
      <c r="A718" s="3">
        <v>717</v>
      </c>
      <c r="B718" t="s" s="4">
        <v>4557</v>
      </c>
      <c r="C718" t="s" s="5">
        <v>4550</v>
      </c>
      <c r="D718" t="s" s="5">
        <v>4551</v>
      </c>
      <c r="E718" t="s" s="5">
        <v>4558</v>
      </c>
      <c r="F718" t="s" s="10">
        <v>4559</v>
      </c>
      <c r="G718" t="s" s="7">
        <v>4560</v>
      </c>
      <c r="H718" t="s" s="7">
        <v>4561</v>
      </c>
      <c r="I718" t="str" s="8" cm="1">
        <f t="array" ref="I718">SUBSTITUTE(H718,B718,"(          )")</f>
        <v>We had a (          ) on the highway.</v>
      </c>
      <c r="J718" s="9" cm="1">
        <f t="array" ref="J718">SUMIF('외운 것 - 엑셀다운로드 파일(붙여넣기)'!A3:A562,A718,'외운 것 - 엑셀다운로드 파일(붙여넣기)'!D3:D562)</f>
        <v>0</v>
      </c>
      <c r="K718" s="9" cm="1">
        <f t="array" ref="K718">_xlfn.COUNTIFS('외운 것 - 엑셀다운로드 파일(붙여넣기)'!A3:A562,A718,'외운 것 - 엑셀다운로드 파일(붙여넣기)'!D3:D562,0)</f>
        <v>0</v>
      </c>
      <c r="L718" s="9" cm="1">
        <f t="array" ref="L718">IF(J718&gt;=3,_xlfn.XLOOKUP(A718,'외운 것 - 엑셀다운로드 파일(붙여넣기)'!A3:A562,'외운 것 - 엑셀다운로드 파일(붙여넣기)'!C3:C562,0,-1),0)</f>
        <v>0</v>
      </c>
    </row>
    <row r="719" ht="23.45" customHeight="1">
      <c r="A719" s="3">
        <v>718</v>
      </c>
      <c r="B719" t="s" s="4">
        <v>4563</v>
      </c>
      <c r="C719" t="s" s="5">
        <v>4550</v>
      </c>
      <c r="D719" t="s" s="5">
        <v>4551</v>
      </c>
      <c r="E719" t="s" s="5">
        <v>4564</v>
      </c>
      <c r="F719" t="s" s="10">
        <v>4565</v>
      </c>
      <c r="G719" t="s" s="7">
        <v>4566</v>
      </c>
      <c r="H719" t="s" s="7">
        <v>4567</v>
      </c>
      <c r="I719" t="str" s="8" cm="1">
        <f t="array" ref="I719">SUBSTITUTE(H719,B719,"(          )")</f>
        <v>His compliments (          ) her.</v>
      </c>
      <c r="J719" s="9" cm="1">
        <f t="array" ref="J719">SUMIF('외운 것 - 엑셀다운로드 파일(붙여넣기)'!A3:A562,A719,'외운 것 - 엑셀다운로드 파일(붙여넣기)'!D3:D562)</f>
        <v>0</v>
      </c>
      <c r="K719" s="9" cm="1">
        <f t="array" ref="K719">_xlfn.COUNTIFS('외운 것 - 엑셀다운로드 파일(붙여넣기)'!A3:A562,A719,'외운 것 - 엑셀다운로드 파일(붙여넣기)'!D3:D562,0)</f>
        <v>0</v>
      </c>
      <c r="L719" s="9" cm="1">
        <f t="array" ref="L719">IF(J719&gt;=3,_xlfn.XLOOKUP(A719,'외운 것 - 엑셀다운로드 파일(붙여넣기)'!A3:A562,'외운 것 - 엑셀다운로드 파일(붙여넣기)'!C3:C562,0,-1),0)</f>
        <v>0</v>
      </c>
    </row>
    <row r="720" ht="38.45" customHeight="1">
      <c r="A720" s="3">
        <v>719</v>
      </c>
      <c r="B720" t="s" s="4">
        <v>4569</v>
      </c>
      <c r="C720" t="s" s="5">
        <v>4550</v>
      </c>
      <c r="D720" t="s" s="5">
        <v>4551</v>
      </c>
      <c r="E720" t="s" s="5">
        <v>4570</v>
      </c>
      <c r="F720" t="s" s="10">
        <v>4571</v>
      </c>
      <c r="G720" t="s" s="7">
        <v>4572</v>
      </c>
      <c r="H720" t="s" s="7">
        <v>4573</v>
      </c>
      <c r="I720" t="str" s="8" cm="1">
        <f t="array" ref="I720">SUBSTITUTE(H720,B720,"(          )")</f>
        <v>You need to (          ) the balloon slightly.</v>
      </c>
      <c r="J720" s="9" cm="1">
        <f t="array" ref="J720">SUMIF('외운 것 - 엑셀다운로드 파일(붙여넣기)'!A3:A562,A720,'외운 것 - 엑셀다운로드 파일(붙여넣기)'!D3:D562)</f>
        <v>0</v>
      </c>
      <c r="K720" s="9" cm="1">
        <f t="array" ref="K720">_xlfn.COUNTIFS('외운 것 - 엑셀다운로드 파일(붙여넣기)'!A3:A562,A720,'외운 것 - 엑셀다운로드 파일(붙여넣기)'!D3:D562,0)</f>
        <v>0</v>
      </c>
      <c r="L720" s="9" cm="1">
        <f t="array" ref="L720">IF(J720&gt;=3,_xlfn.XLOOKUP(A720,'외운 것 - 엑셀다운로드 파일(붙여넣기)'!A3:A562,'외운 것 - 엑셀다운로드 파일(붙여넣기)'!C3:C562,0,-1),0)</f>
        <v>0</v>
      </c>
    </row>
    <row r="721" ht="38.45" customHeight="1">
      <c r="A721" s="3">
        <v>720</v>
      </c>
      <c r="B721" t="s" s="4">
        <v>4575</v>
      </c>
      <c r="C721" t="s" s="5">
        <v>4550</v>
      </c>
      <c r="D721" t="s" s="5">
        <v>4551</v>
      </c>
      <c r="E721" t="s" s="5">
        <v>4576</v>
      </c>
      <c r="F721" t="s" s="10">
        <v>4577</v>
      </c>
      <c r="G721" t="s" s="7">
        <v>4578</v>
      </c>
      <c r="H721" t="s" s="7">
        <v>4579</v>
      </c>
      <c r="I721" t="str" s="8" cm="1">
        <f t="array" ref="I721">SUBSTITUTE(H721,B721,"(          )")</f>
        <v>Inflate your tires to the recommended pressure.</v>
      </c>
      <c r="J721" s="9" cm="1">
        <f t="array" ref="J721">SUMIF('외운 것 - 엑셀다운로드 파일(붙여넣기)'!A3:A562,A721,'외운 것 - 엑셀다운로드 파일(붙여넣기)'!D3:D562)</f>
        <v>0</v>
      </c>
      <c r="K721" s="9" cm="1">
        <f t="array" ref="K721">_xlfn.COUNTIFS('외운 것 - 엑셀다운로드 파일(붙여넣기)'!A3:A562,A721,'외운 것 - 엑셀다운로드 파일(붙여넣기)'!D3:D562,0)</f>
        <v>0</v>
      </c>
      <c r="L721" s="9" cm="1">
        <f t="array" ref="L721">IF(J721&gt;=3,_xlfn.XLOOKUP(A721,'외운 것 - 엑셀다운로드 파일(붙여넣기)'!A3:A562,'외운 것 - 엑셀다운로드 파일(붙여넣기)'!C3:C562,0,-1),0)</f>
        <v>0</v>
      </c>
    </row>
    <row r="722" ht="38.45" customHeight="1">
      <c r="A722" s="3">
        <v>721</v>
      </c>
      <c r="B722" t="s" s="4">
        <v>4581</v>
      </c>
      <c r="C722" t="s" s="5">
        <v>4550</v>
      </c>
      <c r="D722" t="s" s="5">
        <v>4551</v>
      </c>
      <c r="E722" t="s" s="5">
        <v>4582</v>
      </c>
      <c r="F722" t="s" s="10">
        <v>4583</v>
      </c>
      <c r="G722" t="s" s="7">
        <v>4584</v>
      </c>
      <c r="H722" t="s" s="7">
        <v>4585</v>
      </c>
      <c r="I722" t="str" s="8" cm="1">
        <f t="array" ref="I722">SUBSTITUTE(H722,B722,"(          )")</f>
        <v>Inflation causes prices to rise over time.</v>
      </c>
      <c r="J722" s="9" cm="1">
        <f t="array" ref="J722">SUMIF('외운 것 - 엑셀다운로드 파일(붙여넣기)'!A3:A562,A722,'외운 것 - 엑셀다운로드 파일(붙여넣기)'!D3:D562)</f>
        <v>0</v>
      </c>
      <c r="K722" s="9" cm="1">
        <f t="array" ref="K722">_xlfn.COUNTIFS('외운 것 - 엑셀다운로드 파일(붙여넣기)'!A3:A562,A722,'외운 것 - 엑셀다운로드 파일(붙여넣기)'!D3:D562,0)</f>
        <v>0</v>
      </c>
      <c r="L722" s="9" cm="1">
        <f t="array" ref="L722">IF(J722&gt;=3,_xlfn.XLOOKUP(A722,'외운 것 - 엑셀다운로드 파일(붙여넣기)'!A3:A562,'외운 것 - 엑셀다운로드 파일(붙여넣기)'!C3:C562,0,-1),0)</f>
        <v>0</v>
      </c>
    </row>
    <row r="723" ht="23.45" customHeight="1">
      <c r="A723" s="3">
        <v>722</v>
      </c>
      <c r="B723" t="s" s="4">
        <v>4587</v>
      </c>
      <c r="C723" t="s" s="5">
        <v>4588</v>
      </c>
      <c r="D723" t="s" s="5">
        <v>4589</v>
      </c>
      <c r="E723" t="s" s="5">
        <v>4590</v>
      </c>
      <c r="F723" t="s" s="10">
        <v>4591</v>
      </c>
      <c r="G723" t="s" s="7">
        <v>4592</v>
      </c>
      <c r="H723" t="s" s="7">
        <v>4593</v>
      </c>
      <c r="I723" t="str" s="8" cm="1">
        <f t="array" ref="I723">SUBSTITUTE(H723,B723,"(          )")</f>
        <v>The still lake (          )s the mountains perfectly.</v>
      </c>
      <c r="J723" s="9" cm="1">
        <f t="array" ref="J723">SUMIF('외운 것 - 엑셀다운로드 파일(붙여넣기)'!A3:A562,A723,'외운 것 - 엑셀다운로드 파일(붙여넣기)'!D3:D562)</f>
        <v>0</v>
      </c>
      <c r="K723" s="9" cm="1">
        <f t="array" ref="K723">_xlfn.COUNTIFS('외운 것 - 엑셀다운로드 파일(붙여넣기)'!A3:A562,A723,'외운 것 - 엑셀다운로드 파일(붙여넣기)'!D3:D562,0)</f>
        <v>0</v>
      </c>
      <c r="L723" s="9" cm="1">
        <f t="array" ref="L723">IF(J723&gt;=3,_xlfn.XLOOKUP(A723,'외운 것 - 엑셀다운로드 파일(붙여넣기)'!A3:A562,'외운 것 - 엑셀다운로드 파일(붙여넣기)'!C3:C562,0,-1),0)</f>
        <v>0</v>
      </c>
    </row>
    <row r="724" ht="38.45" customHeight="1">
      <c r="A724" s="3">
        <v>723</v>
      </c>
      <c r="B724" t="s" s="4">
        <v>4595</v>
      </c>
      <c r="C724" t="s" s="5">
        <v>4596</v>
      </c>
      <c r="D724" t="s" s="5">
        <v>4589</v>
      </c>
      <c r="E724" t="s" s="5">
        <v>4597</v>
      </c>
      <c r="F724" t="s" s="10">
        <v>4598</v>
      </c>
      <c r="G724" t="s" s="7">
        <v>4599</v>
      </c>
      <c r="H724" t="s" s="7">
        <v>4600</v>
      </c>
      <c r="I724" t="str" s="8" cm="1">
        <f t="array" ref="I724">SUBSTITUTE(H724,B724,"(          )")</f>
        <v>The (          ) between the two countries lasted for years.</v>
      </c>
      <c r="J724" s="9" cm="1">
        <f t="array" ref="J724">SUMIF('외운 것 - 엑셀다운로드 파일(붙여넣기)'!A3:A562,A724,'외운 것 - 엑셀다운로드 파일(붙여넣기)'!D3:D562)</f>
        <v>0</v>
      </c>
      <c r="K724" s="9" cm="1">
        <f t="array" ref="K724">_xlfn.COUNTIFS('외운 것 - 엑셀다운로드 파일(붙여넣기)'!A3:A562,A724,'외운 것 - 엑셀다운로드 파일(붙여넣기)'!D3:D562,0)</f>
        <v>0</v>
      </c>
      <c r="L724" s="9" cm="1">
        <f t="array" ref="L724">IF(J724&gt;=3,_xlfn.XLOOKUP(A724,'외운 것 - 엑셀다운로드 파일(붙여넣기)'!A3:A562,'외운 것 - 엑셀다운로드 파일(붙여넣기)'!C3:C562,0,-1),0)</f>
        <v>0</v>
      </c>
    </row>
    <row r="725" ht="23.45" customHeight="1">
      <c r="A725" s="3">
        <v>724</v>
      </c>
      <c r="B725" t="s" s="4">
        <v>4602</v>
      </c>
      <c r="C725" t="s" s="5">
        <v>4596</v>
      </c>
      <c r="D725" t="s" s="5">
        <v>4589</v>
      </c>
      <c r="E725" t="s" s="5">
        <v>4603</v>
      </c>
      <c r="F725" t="s" s="10">
        <v>4604</v>
      </c>
      <c r="G725" t="s" s="7">
        <v>4605</v>
      </c>
      <c r="H725" t="s" s="7">
        <v>4606</v>
      </c>
      <c r="I725" t="str" s="8" cm="1">
        <f t="array" ref="I725">SUBSTITUTE(H725,B725,"(          )")</f>
        <v>Don't (          ) your bad mood on others.</v>
      </c>
      <c r="J725" s="9" cm="1">
        <f t="array" ref="J725">SUMIF('외운 것 - 엑셀다운로드 파일(붙여넣기)'!A3:A562,A725,'외운 것 - 엑셀다운로드 파일(붙여넣기)'!D3:D562)</f>
        <v>0</v>
      </c>
      <c r="K725" s="9" cm="1">
        <f t="array" ref="K725">_xlfn.COUNTIFS('외운 것 - 엑셀다운로드 파일(붙여넣기)'!A3:A562,A725,'외운 것 - 엑셀다운로드 파일(붙여넣기)'!D3:D562,0)</f>
        <v>0</v>
      </c>
      <c r="L725" s="9" cm="1">
        <f t="array" ref="L725">IF(J725&gt;=3,_xlfn.XLOOKUP(A725,'외운 것 - 엑셀다운로드 파일(붙여넣기)'!A3:A562,'외운 것 - 엑셀다운로드 파일(붙여넣기)'!C3:C562,0,-1),0)</f>
        <v>0</v>
      </c>
    </row>
    <row r="726" ht="23.45" customHeight="1">
      <c r="A726" s="3">
        <v>725</v>
      </c>
      <c r="B726" t="s" s="4">
        <v>4608</v>
      </c>
      <c r="C726" t="s" s="5">
        <v>4596</v>
      </c>
      <c r="D726" t="s" s="5">
        <v>4589</v>
      </c>
      <c r="E726" t="s" s="5">
        <v>4609</v>
      </c>
      <c r="F726" t="s" s="10">
        <v>4610</v>
      </c>
      <c r="G726" t="s" s="7">
        <v>4611</v>
      </c>
      <c r="H726" t="s" s="7">
        <v>4612</v>
      </c>
      <c r="I726" t="str" s="8" cm="1">
        <f t="array" ref="I726">SUBSTITUTE(H726,B726,"(          )")</f>
        <v>Malaria continues to (          ) millions of people worldwide.</v>
      </c>
      <c r="J726" s="9" cm="1">
        <f t="array" ref="J726">SUMIF('외운 것 - 엑셀다운로드 파일(붙여넣기)'!A3:A562,A726,'외운 것 - 엑셀다운로드 파일(붙여넣기)'!D3:D562)</f>
        <v>0</v>
      </c>
      <c r="K726" s="9" cm="1">
        <f t="array" ref="K726">_xlfn.COUNTIFS('외운 것 - 엑셀다운로드 파일(붙여넣기)'!A3:A562,A726,'외운 것 - 엑셀다운로드 파일(붙여넣기)'!D3:D562,0)</f>
        <v>0</v>
      </c>
      <c r="L726" s="9" cm="1">
        <f t="array" ref="L726">IF(J726&gt;=3,_xlfn.XLOOKUP(A726,'외운 것 - 엑셀다운로드 파일(붙여넣기)'!A3:A562,'외운 것 - 엑셀다운로드 파일(붙여넣기)'!C3:C562,0,-1),0)</f>
        <v>0</v>
      </c>
    </row>
    <row r="727" ht="36.4" customHeight="1">
      <c r="A727" s="3">
        <v>726</v>
      </c>
      <c r="B727" t="s" s="4">
        <v>4614</v>
      </c>
      <c r="C727" t="s" s="5">
        <v>4615</v>
      </c>
      <c r="D727" t="s" s="5">
        <v>4589</v>
      </c>
      <c r="E727" t="s" s="5">
        <v>4616</v>
      </c>
      <c r="F727" t="s" s="10">
        <v>4617</v>
      </c>
      <c r="G727" t="s" s="7">
        <v>4618</v>
      </c>
      <c r="H727" t="s" s="7">
        <v>4619</v>
      </c>
      <c r="I727" t="str" s="8" cm="1">
        <f t="array" ref="I727">SUBSTITUTE(H727,B727,"(          )")</f>
        <v>Poverty is an (          ) that affects many communities.</v>
      </c>
      <c r="J727" s="9" cm="1">
        <f t="array" ref="J727">SUMIF('외운 것 - 엑셀다운로드 파일(붙여넣기)'!A3:A562,A727,'외운 것 - 엑셀다운로드 파일(붙여넣기)'!D3:D562)</f>
        <v>0</v>
      </c>
      <c r="K727" s="9" cm="1">
        <f t="array" ref="K727">_xlfn.COUNTIFS('외운 것 - 엑셀다운로드 파일(붙여넣기)'!A3:A562,A727,'외운 것 - 엑셀다운로드 파일(붙여넣기)'!D3:D562,0)</f>
        <v>0</v>
      </c>
      <c r="L727" s="9" cm="1">
        <f t="array" ref="L727">IF(J727&gt;=3,_xlfn.XLOOKUP(A727,'외운 것 - 엑셀다운로드 파일(붙여넣기)'!A3:A562,'외운 것 - 엑셀다운로드 파일(붙여넣기)'!C3:C562,0,-1),0)</f>
        <v>0</v>
      </c>
    </row>
    <row r="728" ht="23.45" customHeight="1">
      <c r="A728" s="3">
        <v>727</v>
      </c>
      <c r="B728" t="s" s="4">
        <v>4621</v>
      </c>
      <c r="C728" t="s" s="5">
        <v>4622</v>
      </c>
      <c r="D728" t="s" s="5">
        <v>4623</v>
      </c>
      <c r="E728" t="s" s="5">
        <v>4624</v>
      </c>
      <c r="F728" t="s" s="10">
        <v>4625</v>
      </c>
      <c r="G728" t="s" s="7">
        <v>4626</v>
      </c>
      <c r="H728" t="s" s="7">
        <v>4627</v>
      </c>
      <c r="I728" t="str" s="8" cm="1">
        <f t="array" ref="I728">SUBSTITUTE(H728,B728,"(          )")</f>
        <v>The (          ) blooms in early spring.</v>
      </c>
      <c r="J728" s="9" cm="1">
        <f t="array" ref="J728">SUMIF('외운 것 - 엑셀다운로드 파일(붙여넣기)'!A3:A562,A728,'외운 것 - 엑셀다운로드 파일(붙여넣기)'!D3:D562)</f>
        <v>0</v>
      </c>
      <c r="K728" s="9" cm="1">
        <f t="array" ref="K728">_xlfn.COUNTIFS('외운 것 - 엑셀다운로드 파일(붙여넣기)'!A3:A562,A728,'외운 것 - 엑셀다운로드 파일(붙여넣기)'!D3:D562,0)</f>
        <v>0</v>
      </c>
      <c r="L728" s="9" cm="1">
        <f t="array" ref="L728">IF(J728&gt;=3,_xlfn.XLOOKUP(A728,'외운 것 - 엑셀다운로드 파일(붙여넣기)'!A3:A562,'외운 것 - 엑셀다운로드 파일(붙여넣기)'!C3:C562,0,-1),0)</f>
        <v>0</v>
      </c>
    </row>
    <row r="729" ht="38.45" customHeight="1">
      <c r="A729" s="3">
        <v>728</v>
      </c>
      <c r="B729" t="s" s="4">
        <v>4629</v>
      </c>
      <c r="C729" t="s" s="5">
        <v>4630</v>
      </c>
      <c r="D729" t="s" s="5">
        <v>4623</v>
      </c>
      <c r="E729" t="s" s="5">
        <v>4624</v>
      </c>
      <c r="F729" t="s" s="10">
        <v>4631</v>
      </c>
      <c r="G729" t="s" s="7">
        <v>4632</v>
      </c>
      <c r="H729" t="s" s="7">
        <v>4633</v>
      </c>
      <c r="I729" t="str" s="8" cm="1">
        <f t="array" ref="I729">SUBSTITUTE(H729,B729,"(          )")</f>
        <v>You need two cups of (          ) for this recipe.</v>
      </c>
      <c r="J729" s="9" cm="1">
        <f t="array" ref="J729">SUMIF('외운 것 - 엑셀다운로드 파일(붙여넣기)'!A3:A562,A729,'외운 것 - 엑셀다운로드 파일(붙여넣기)'!D3:D562)</f>
        <v>0</v>
      </c>
      <c r="K729" s="9" cm="1">
        <f t="array" ref="K729">_xlfn.COUNTIFS('외운 것 - 엑셀다운로드 파일(붙여넣기)'!A3:A562,A729,'외운 것 - 엑셀다운로드 파일(붙여넣기)'!D3:D562,0)</f>
        <v>0</v>
      </c>
      <c r="L729" s="9" cm="1">
        <f t="array" ref="L729">IF(J729&gt;=3,_xlfn.XLOOKUP(A729,'외운 것 - 엑셀다운로드 파일(붙여넣기)'!A3:A562,'외운 것 - 엑셀다운로드 파일(붙여넣기)'!C3:C562,0,-1),0)</f>
        <v>0</v>
      </c>
    </row>
    <row r="730" ht="23.45" customHeight="1">
      <c r="A730" s="3">
        <v>729</v>
      </c>
      <c r="B730" t="s" s="4">
        <v>4635</v>
      </c>
      <c r="C730" t="s" s="5">
        <v>4630</v>
      </c>
      <c r="D730" t="s" s="5">
        <v>4623</v>
      </c>
      <c r="E730" t="s" s="5">
        <v>4636</v>
      </c>
      <c r="F730" t="s" s="10">
        <v>4637</v>
      </c>
      <c r="G730" t="s" s="7">
        <v>4638</v>
      </c>
      <c r="H730" t="s" s="7">
        <v>4639</v>
      </c>
      <c r="I730" t="str" s="8" cm="1">
        <f t="array" ref="I730">SUBSTITUTE(H730,B730,"(          )")</f>
        <v>The Amazon rainforest has diverse (          ).</v>
      </c>
      <c r="J730" s="9" cm="1">
        <f t="array" ref="J730">SUMIF('외운 것 - 엑셀다운로드 파일(붙여넣기)'!A3:A562,A730,'외운 것 - 엑셀다운로드 파일(붙여넣기)'!D3:D562)</f>
        <v>0</v>
      </c>
      <c r="K730" s="9" cm="1">
        <f t="array" ref="K730">_xlfn.COUNTIFS('외운 것 - 엑셀다운로드 파일(붙여넣기)'!A3:A562,A730,'외운 것 - 엑셀다운로드 파일(붙여넣기)'!D3:D562,0)</f>
        <v>0</v>
      </c>
      <c r="L730" s="9" cm="1">
        <f t="array" ref="L730">IF(J730&gt;=3,_xlfn.XLOOKUP(A730,'외운 것 - 엑셀다운로드 파일(붙여넣기)'!A3:A562,'외운 것 - 엑셀다운로드 파일(붙여넣기)'!C3:C562,0,-1),0)</f>
        <v>0</v>
      </c>
    </row>
    <row r="731" ht="23.45" customHeight="1">
      <c r="A731" s="3">
        <v>730</v>
      </c>
      <c r="B731" t="s" s="4">
        <v>4641</v>
      </c>
      <c r="C731" t="s" s="5">
        <v>4630</v>
      </c>
      <c r="D731" t="s" s="5">
        <v>4623</v>
      </c>
      <c r="E731" t="s" s="5">
        <v>4642</v>
      </c>
      <c r="F731" t="s" s="10">
        <v>4643</v>
      </c>
      <c r="G731" t="s" s="7">
        <v>4644</v>
      </c>
      <c r="H731" t="s" s="7">
        <v>4645</v>
      </c>
      <c r="I731" t="str" s="8" cm="1">
        <f t="array" ref="I731">SUBSTITUTE(H731,B731,"(          )")</f>
        <v>The (          ) created a beautiful wedding bouquet.</v>
      </c>
      <c r="J731" s="9" cm="1">
        <f t="array" ref="J731">SUMIF('외운 것 - 엑셀다운로드 파일(붙여넣기)'!A3:A562,A731,'외운 것 - 엑셀다운로드 파일(붙여넣기)'!D3:D562)</f>
        <v>0</v>
      </c>
      <c r="K731" s="9" cm="1">
        <f t="array" ref="K731">_xlfn.COUNTIFS('외운 것 - 엑셀다운로드 파일(붙여넣기)'!A3:A562,A731,'외운 것 - 엑셀다운로드 파일(붙여넣기)'!D3:D562,0)</f>
        <v>0</v>
      </c>
      <c r="L731" s="9" cm="1">
        <f t="array" ref="L731">IF(J731&gt;=3,_xlfn.XLOOKUP(A731,'외운 것 - 엑셀다운로드 파일(붙여넣기)'!A3:A562,'외운 것 - 엑셀다운로드 파일(붙여넣기)'!C3:C562,0,-1),0)</f>
        <v>0</v>
      </c>
    </row>
    <row r="732" ht="38.45" customHeight="1">
      <c r="A732" s="3">
        <v>731</v>
      </c>
      <c r="B732" t="s" s="4">
        <v>4647</v>
      </c>
      <c r="C732" t="s" s="5">
        <v>4648</v>
      </c>
      <c r="D732" t="s" s="5">
        <v>4623</v>
      </c>
      <c r="E732" t="s" s="5">
        <v>4649</v>
      </c>
      <c r="F732" t="s" s="10">
        <v>4650</v>
      </c>
      <c r="G732" t="s" s="7">
        <v>4651</v>
      </c>
      <c r="H732" t="s" s="7">
        <v>4652</v>
      </c>
      <c r="I732" t="str" s="8" cm="1">
        <f t="array" ref="I732">SUBSTITUTE(H732,B732,"(          )")</f>
        <v>Plants (          ) with the right amount of water and sunlight.</v>
      </c>
      <c r="J732" s="9" cm="1">
        <f t="array" ref="J732">SUMIF('외운 것 - 엑셀다운로드 파일(붙여넣기)'!A3:A562,A732,'외운 것 - 엑셀다운로드 파일(붙여넣기)'!D3:D562)</f>
        <v>0</v>
      </c>
      <c r="K732" s="9" cm="1">
        <f t="array" ref="K732">_xlfn.COUNTIFS('외운 것 - 엑셀다운로드 파일(붙여넣기)'!A3:A562,A732,'외운 것 - 엑셀다운로드 파일(붙여넣기)'!D3:D562,0)</f>
        <v>0</v>
      </c>
      <c r="L732" s="9" cm="1">
        <f t="array" ref="L732">IF(J732&gt;=3,_xlfn.XLOOKUP(A732,'외운 것 - 엑셀다운로드 파일(붙여넣기)'!A3:A562,'외운 것 - 엑셀다운로드 파일(붙여넣기)'!C3:C562,0,-1),0)</f>
        <v>0</v>
      </c>
    </row>
    <row r="733" ht="23.45" customHeight="1">
      <c r="A733" s="3">
        <v>732</v>
      </c>
      <c r="B733" t="s" s="4">
        <v>4654</v>
      </c>
      <c r="C733" t="s" s="5">
        <v>4655</v>
      </c>
      <c r="D733" t="s" s="5">
        <v>4656</v>
      </c>
      <c r="E733" t="s" s="5">
        <v>4657</v>
      </c>
      <c r="F733" t="s" s="10">
        <v>4658</v>
      </c>
      <c r="G733" t="s" s="7">
        <v>4659</v>
      </c>
      <c r="H733" t="s" s="7">
        <v>4660</v>
      </c>
      <c r="I733" t="str" s="8" cm="1">
        <f t="array" ref="I733">SUBSTITUTE(H733,B733,"(          )")</f>
        <v>Please (          ) my mail to my new address.</v>
      </c>
      <c r="J733" s="9" cm="1">
        <f t="array" ref="J733">SUMIF('외운 것 - 엑셀다운로드 파일(붙여넣기)'!A3:A562,A733,'외운 것 - 엑셀다운로드 파일(붙여넣기)'!D3:D562)</f>
        <v>0</v>
      </c>
      <c r="K733" s="9" cm="1">
        <f t="array" ref="K733">_xlfn.COUNTIFS('외운 것 - 엑셀다운로드 파일(붙여넣기)'!A3:A562,A733,'외운 것 - 엑셀다운로드 파일(붙여넣기)'!D3:D562,0)</f>
        <v>0</v>
      </c>
      <c r="L733" s="9" cm="1">
        <f t="array" ref="L733">IF(J733&gt;=3,_xlfn.XLOOKUP(A733,'외운 것 - 엑셀다운로드 파일(붙여넣기)'!A3:A562,'외운 것 - 엑셀다운로드 파일(붙여넣기)'!C3:C562,0,-1),0)</f>
        <v>0</v>
      </c>
    </row>
    <row r="734" ht="23.45" customHeight="1">
      <c r="A734" s="3">
        <v>733</v>
      </c>
      <c r="B734" t="s" s="4">
        <v>4662</v>
      </c>
      <c r="C734" t="s" s="5">
        <v>4655</v>
      </c>
      <c r="D734" t="s" s="5">
        <v>4656</v>
      </c>
      <c r="E734" t="s" s="5">
        <v>4663</v>
      </c>
      <c r="F734" t="s" s="10">
        <v>4664</v>
      </c>
      <c r="G734" t="s" s="7">
        <v>4665</v>
      </c>
      <c r="H734" t="s" s="7">
        <v>4666</v>
      </c>
      <c r="I734" t="str" s="8" cm="1">
        <f t="array" ref="I734">SUBSTITUTE(H734,B734,"(          )")</f>
        <v>The speaker put (          ) several interesting ideas.</v>
      </c>
      <c r="J734" s="9" cm="1">
        <f t="array" ref="J734">SUMIF('외운 것 - 엑셀다운로드 파일(붙여넣기)'!A3:A562,A734,'외운 것 - 엑셀다운로드 파일(붙여넣기)'!D3:D562)</f>
        <v>0</v>
      </c>
      <c r="K734" s="9" cm="1">
        <f t="array" ref="K734">_xlfn.COUNTIFS('외운 것 - 엑셀다운로드 파일(붙여넣기)'!A3:A562,A734,'외운 것 - 엑셀다운로드 파일(붙여넣기)'!D3:D562,0)</f>
        <v>0</v>
      </c>
      <c r="L734" s="9" cm="1">
        <f t="array" ref="L734">IF(J734&gt;=3,_xlfn.XLOOKUP(A734,'외운 것 - 엑셀다운로드 파일(붙여넣기)'!A3:A562,'외운 것 - 엑셀다운로드 파일(붙여넣기)'!C3:C562,0,-1),0)</f>
        <v>0</v>
      </c>
    </row>
    <row r="735" ht="38.45" customHeight="1">
      <c r="A735" s="3">
        <v>734</v>
      </c>
      <c r="B735" t="s" s="4">
        <v>4668</v>
      </c>
      <c r="C735" t="s" s="5">
        <v>4655</v>
      </c>
      <c r="D735" t="s" s="5">
        <v>4656</v>
      </c>
      <c r="E735" t="s" s="5">
        <v>4669</v>
      </c>
      <c r="F735" t="s" s="10">
        <v>4670</v>
      </c>
      <c r="G735" t="s" s="7">
        <v>4671</v>
      </c>
      <c r="H735" t="s" s="7">
        <v>4672</v>
      </c>
      <c r="I735" t="str" s="8" cm="1">
        <f t="array" ref="I735">SUBSTITUTE(H735,B735,"(          )")</f>
        <v>Can you (          ) to buy a new car this year?</v>
      </c>
      <c r="J735" s="9" cm="1">
        <f t="array" ref="J735">SUMIF('외운 것 - 엑셀다운로드 파일(붙여넣기)'!A3:A562,A735,'외운 것 - 엑셀다운로드 파일(붙여넣기)'!D3:D562)</f>
        <v>0</v>
      </c>
      <c r="K735" s="9" cm="1">
        <f t="array" ref="K735">_xlfn.COUNTIFS('외운 것 - 엑셀다운로드 파일(붙여넣기)'!A3:A562,A735,'외운 것 - 엑셀다운로드 파일(붙여넣기)'!D3:D562,0)</f>
        <v>0</v>
      </c>
      <c r="L735" s="9" cm="1">
        <f t="array" ref="L735">IF(J735&gt;=3,_xlfn.XLOOKUP(A735,'외운 것 - 엑셀다운로드 파일(붙여넣기)'!A3:A562,'외운 것 - 엑셀다운로드 파일(붙여넣기)'!C3:C562,0,-1),0)</f>
        <v>0</v>
      </c>
    </row>
    <row r="736" ht="38.45" customHeight="1">
      <c r="A736" s="3">
        <v>735</v>
      </c>
      <c r="B736" t="s" s="4">
        <v>4674</v>
      </c>
      <c r="C736" t="s" s="5">
        <v>4675</v>
      </c>
      <c r="D736" t="s" s="5">
        <v>4655</v>
      </c>
      <c r="E736" t="s" s="5">
        <v>4676</v>
      </c>
      <c r="F736" t="s" s="10">
        <v>4677</v>
      </c>
      <c r="G736" t="s" s="7">
        <v>4678</v>
      </c>
      <c r="H736" t="s" s="7">
        <v>4679</v>
      </c>
      <c r="I736" t="str" s="8" cm="1">
        <f t="array" ref="I736">SUBSTITUTE(H736,B736,"(          )")</f>
        <v>The government aims to provide (          ) housing.</v>
      </c>
      <c r="J736" s="9" cm="1">
        <f t="array" ref="J736">SUMIF('외운 것 - 엑셀다운로드 파일(붙여넣기)'!A3:A562,A736,'외운 것 - 엑셀다운로드 파일(붙여넣기)'!D3:D562)</f>
        <v>0</v>
      </c>
      <c r="K736" s="9" cm="1">
        <f t="array" ref="K736">_xlfn.COUNTIFS('외운 것 - 엑셀다운로드 파일(붙여넣기)'!A3:A562,A736,'외운 것 - 엑셀다운로드 파일(붙여넣기)'!D3:D562,0)</f>
        <v>0</v>
      </c>
      <c r="L736" s="9" cm="1">
        <f t="array" ref="L736">IF(J736&gt;=3,_xlfn.XLOOKUP(A736,'외운 것 - 엑셀다운로드 파일(붙여넣기)'!A3:A562,'외운 것 - 엑셀다운로드 파일(붙여넣기)'!C3:C562,0,-1),0)</f>
        <v>0</v>
      </c>
    </row>
    <row r="737" ht="23.45" customHeight="1">
      <c r="A737" s="3">
        <v>736</v>
      </c>
      <c r="B737" t="s" s="4">
        <v>4681</v>
      </c>
      <c r="C737" t="s" s="5">
        <v>4655</v>
      </c>
      <c r="D737" t="s" s="5">
        <v>4656</v>
      </c>
      <c r="E737" t="s" s="5">
        <v>4682</v>
      </c>
      <c r="F737" t="s" s="10">
        <v>4683</v>
      </c>
      <c r="G737" t="s" s="7">
        <v>3259</v>
      </c>
      <c r="H737" t="s" s="7">
        <v>4684</v>
      </c>
      <c r="I737" t="str" s="8" cm="1">
        <f t="array" ref="I737">SUBSTITUTE(H737,B737,"(          )")</f>
        <v>It's important to (          ) others for their mistakes.</v>
      </c>
      <c r="J737" s="9" cm="1">
        <f t="array" ref="J737">SUMIF('외운 것 - 엑셀다운로드 파일(붙여넣기)'!A3:A562,A737,'외운 것 - 엑셀다운로드 파일(붙여넣기)'!D3:D562)</f>
        <v>0</v>
      </c>
      <c r="K737" s="9" cm="1">
        <f t="array" ref="K737">_xlfn.COUNTIFS('외운 것 - 엑셀다운로드 파일(붙여넣기)'!A3:A562,A737,'외운 것 - 엑셀다운로드 파일(붙여넣기)'!D3:D562,0)</f>
        <v>0</v>
      </c>
      <c r="L737" s="9" cm="1">
        <f t="array" ref="L737">IF(J737&gt;=3,_xlfn.XLOOKUP(A737,'외운 것 - 엑셀다운로드 파일(붙여넣기)'!A3:A562,'외운 것 - 엑셀다운로드 파일(붙여넣기)'!C3:C562,0,-1),0)</f>
        <v>0</v>
      </c>
    </row>
    <row r="738" ht="23.45" customHeight="1">
      <c r="A738" s="3">
        <v>737</v>
      </c>
      <c r="B738" t="s" s="4">
        <v>4686</v>
      </c>
      <c r="C738" t="s" s="5">
        <v>4655</v>
      </c>
      <c r="D738" t="s" s="5">
        <v>4656</v>
      </c>
      <c r="E738" t="s" s="5">
        <v>4687</v>
      </c>
      <c r="F738" t="s" s="10">
        <v>4688</v>
      </c>
      <c r="G738" t="s" s="7">
        <v>4689</v>
      </c>
      <c r="H738" t="s" s="7">
        <v>4690</v>
      </c>
      <c r="I738" t="str" s="8" cm="1">
        <f t="array" ref="I738">SUBSTITUTE(H738,B738,"(          )")</f>
        <v>Don't (          ) to lock the door when you leave.</v>
      </c>
      <c r="J738" s="9" cm="1">
        <f t="array" ref="J738">SUMIF('외운 것 - 엑셀다운로드 파일(붙여넣기)'!A3:A562,A738,'외운 것 - 엑셀다운로드 파일(붙여넣기)'!D3:D562)</f>
        <v>0</v>
      </c>
      <c r="K738" s="9" cm="1">
        <f t="array" ref="K738">_xlfn.COUNTIFS('외운 것 - 엑셀다운로드 파일(붙여넣기)'!A3:A562,A738,'외운 것 - 엑셀다운로드 파일(붙여넣기)'!D3:D562,0)</f>
        <v>0</v>
      </c>
      <c r="L738" s="9" cm="1">
        <f t="array" ref="L738">IF(J738&gt;=3,_xlfn.XLOOKUP(A738,'외운 것 - 엑셀다운로드 파일(붙여넣기)'!A3:A562,'외운 것 - 엑셀다운로드 파일(붙여넣기)'!C3:C562,0,-1),0)</f>
        <v>0</v>
      </c>
    </row>
    <row r="739" ht="38.45" customHeight="1">
      <c r="A739" s="3">
        <v>738</v>
      </c>
      <c r="B739" t="s" s="4">
        <v>4692</v>
      </c>
      <c r="C739" t="s" s="5">
        <v>4655</v>
      </c>
      <c r="D739" t="s" s="5">
        <v>4656</v>
      </c>
      <c r="E739" t="s" s="5">
        <v>4693</v>
      </c>
      <c r="F739" t="s" s="10">
        <v>4694</v>
      </c>
      <c r="G739" t="s" s="7">
        <v>4695</v>
      </c>
      <c r="H739" t="s" s="7">
        <v>4696</v>
      </c>
      <c r="I739" t="str" s="8" cm="1">
        <f t="array" ref="I739">SUBSTITUTE(H739,B739,"(          )")</f>
        <v>The blacksmith will (          ) a new sword.</v>
      </c>
      <c r="J739" s="9" cm="1">
        <f t="array" ref="J739">SUMIF('외운 것 - 엑셀다운로드 파일(붙여넣기)'!A3:A562,A739,'외운 것 - 엑셀다운로드 파일(붙여넣기)'!D3:D562)</f>
        <v>0</v>
      </c>
      <c r="K739" s="9" cm="1">
        <f t="array" ref="K739">_xlfn.COUNTIFS('외운 것 - 엑셀다운로드 파일(붙여넣기)'!A3:A562,A739,'외운 것 - 엑셀다운로드 파일(붙여넣기)'!D3:D562,0)</f>
        <v>0</v>
      </c>
      <c r="L739" s="9" cm="1">
        <f t="array" ref="L739">IF(J739&gt;=3,_xlfn.XLOOKUP(A739,'외운 것 - 엑셀다운로드 파일(붙여넣기)'!A3:A562,'외운 것 - 엑셀다운로드 파일(붙여넣기)'!C3:C562,0,-1),0)</f>
        <v>0</v>
      </c>
    </row>
    <row r="740" ht="38.45" customHeight="1">
      <c r="A740" s="3">
        <v>739</v>
      </c>
      <c r="B740" t="s" s="4">
        <v>4698</v>
      </c>
      <c r="C740" t="s" s="5">
        <v>4655</v>
      </c>
      <c r="D740" t="s" s="5">
        <v>4656</v>
      </c>
      <c r="E740" t="s" s="5">
        <v>4699</v>
      </c>
      <c r="F740" t="s" s="10">
        <v>4700</v>
      </c>
      <c r="G740" t="s" s="7">
        <v>4701</v>
      </c>
      <c r="H740" t="s" s="7">
        <v>4702</v>
      </c>
      <c r="I740" t="str" s="8" cm="1">
        <f t="array" ref="I740">SUBSTITUTE(H740,B740,"(          )")</f>
        <v>Use your (          ) to eat the pasta.</v>
      </c>
      <c r="J740" s="9" cm="1">
        <f t="array" ref="J740">SUMIF('외운 것 - 엑셀다운로드 파일(붙여넣기)'!A3:A562,A740,'외운 것 - 엑셀다운로드 파일(붙여넣기)'!D3:D562)</f>
        <v>0</v>
      </c>
      <c r="K740" s="9" cm="1">
        <f t="array" ref="K740">_xlfn.COUNTIFS('외운 것 - 엑셀다운로드 파일(붙여넣기)'!A3:A562,A740,'외운 것 - 엑셀다운로드 파일(붙여넣기)'!D3:D562,0)</f>
        <v>0</v>
      </c>
      <c r="L740" s="9" cm="1">
        <f t="array" ref="L740">IF(J740&gt;=3,_xlfn.XLOOKUP(A740,'외운 것 - 엑셀다운로드 파일(붙여넣기)'!A3:A562,'외운 것 - 엑셀다운로드 파일(붙여넣기)'!C3:C562,0,-1),0)</f>
        <v>0</v>
      </c>
    </row>
    <row r="741" ht="38.45" customHeight="1">
      <c r="A741" s="3">
        <v>740</v>
      </c>
      <c r="B741" t="s" s="4">
        <v>4704</v>
      </c>
      <c r="C741" t="s" s="5">
        <v>4705</v>
      </c>
      <c r="D741" t="s" s="5">
        <v>4655</v>
      </c>
      <c r="E741" t="s" s="5">
        <v>4706</v>
      </c>
      <c r="F741" t="s" s="10">
        <v>4707</v>
      </c>
      <c r="G741" t="s" s="7">
        <v>4708</v>
      </c>
      <c r="H741" t="s" s="7">
        <v>4709</v>
      </c>
      <c r="I741" t="str" s="8" cm="1">
        <f t="array" ref="I741">SUBSTITUTE(H741,B741,"(          )")</f>
        <v>Folk music reflects the traditions of a culture.</v>
      </c>
      <c r="J741" s="9" cm="1">
        <f t="array" ref="J741">SUMIF('외운 것 - 엑셀다운로드 파일(붙여넣기)'!A3:A562,A741,'외운 것 - 엑셀다운로드 파일(붙여넣기)'!D3:D562)</f>
        <v>0</v>
      </c>
      <c r="K741" s="9" cm="1">
        <f t="array" ref="K741">_xlfn.COUNTIFS('외운 것 - 엑셀다운로드 파일(붙여넣기)'!A3:A562,A741,'외운 것 - 엑셀다운로드 파일(붙여넣기)'!D3:D562,0)</f>
        <v>0</v>
      </c>
      <c r="L741" s="9" cm="1">
        <f t="array" ref="L741">IF(J741&gt;=3,_xlfn.XLOOKUP(A741,'외운 것 - 엑셀다운로드 파일(붙여넣기)'!A3:A562,'외운 것 - 엑셀다운로드 파일(붙여넣기)'!C3:C562,0,-1),0)</f>
        <v>0</v>
      </c>
    </row>
    <row r="742" ht="23.45" customHeight="1">
      <c r="A742" s="3">
        <v>741</v>
      </c>
      <c r="B742" t="s" s="4">
        <v>4711</v>
      </c>
      <c r="C742" t="s" s="5">
        <v>4712</v>
      </c>
      <c r="D742" t="s" s="5">
        <v>4655</v>
      </c>
      <c r="E742" t="s" s="5">
        <v>4713</v>
      </c>
      <c r="F742" t="s" s="10">
        <v>4714</v>
      </c>
      <c r="G742" t="s" s="7">
        <v>1575</v>
      </c>
      <c r="H742" t="s" s="7">
        <v>4715</v>
      </c>
      <c r="I742" t="str" s="8" cm="1">
        <f t="array" ref="I742">SUBSTITUTE(H742,B742,"(          )")</f>
        <v>Our (          )s established this community 200 years ago.</v>
      </c>
      <c r="J742" s="9" cm="1">
        <f t="array" ref="J742">SUMIF('외운 것 - 엑셀다운로드 파일(붙여넣기)'!A3:A562,A742,'외운 것 - 엑셀다운로드 파일(붙여넣기)'!D3:D562)</f>
        <v>0</v>
      </c>
      <c r="K742" s="9" cm="1">
        <f t="array" ref="K742">_xlfn.COUNTIFS('외운 것 - 엑셀다운로드 파일(붙여넣기)'!A3:A562,A742,'외운 것 - 엑셀다운로드 파일(붙여넣기)'!D3:D562,0)</f>
        <v>0</v>
      </c>
      <c r="L742" s="9" cm="1">
        <f t="array" ref="L742">IF(J742&gt;=3,_xlfn.XLOOKUP(A742,'외운 것 - 엑셀다운로드 파일(붙여넣기)'!A3:A562,'외운 것 - 엑셀다운로드 파일(붙여넣기)'!C3:C562,0,-1),0)</f>
        <v>0</v>
      </c>
    </row>
    <row r="743" ht="23.45" customHeight="1">
      <c r="A743" s="3">
        <v>742</v>
      </c>
      <c r="B743" t="s" s="4">
        <v>4717</v>
      </c>
      <c r="C743" t="s" s="5">
        <v>4718</v>
      </c>
      <c r="D743" t="s" s="5">
        <v>4655</v>
      </c>
      <c r="E743" t="s" s="5">
        <v>4719</v>
      </c>
      <c r="F743" t="s" s="10">
        <v>4720</v>
      </c>
      <c r="G743" t="s" s="7">
        <v>4721</v>
      </c>
      <c r="H743" t="s" s="7">
        <v>4722</v>
      </c>
      <c r="I743" t="str" s="8" cm="1">
        <f t="array" ref="I743">SUBSTITUTE(H743,B743,"(          )")</f>
        <v>No one could (          ) the economic crisis.</v>
      </c>
      <c r="J743" s="9" cm="1">
        <f t="array" ref="J743">SUMIF('외운 것 - 엑셀다운로드 파일(붙여넣기)'!A3:A562,A743,'외운 것 - 엑셀다운로드 파일(붙여넣기)'!D3:D562)</f>
        <v>0</v>
      </c>
      <c r="K743" s="9" cm="1">
        <f t="array" ref="K743">_xlfn.COUNTIFS('외운 것 - 엑셀다운로드 파일(붙여넣기)'!A3:A562,A743,'외운 것 - 엑셀다운로드 파일(붙여넣기)'!D3:D562,0)</f>
        <v>0</v>
      </c>
      <c r="L743" s="9" cm="1">
        <f t="array" ref="L743">IF(J743&gt;=3,_xlfn.XLOOKUP(A743,'외운 것 - 엑셀다운로드 파일(붙여넣기)'!A3:A562,'외운 것 - 엑셀다운로드 파일(붙여넣기)'!C3:C562,0,-1),0)</f>
        <v>0</v>
      </c>
    </row>
    <row r="744" ht="36.4" customHeight="1">
      <c r="A744" s="3">
        <v>743</v>
      </c>
      <c r="B744" t="s" s="4">
        <v>4724</v>
      </c>
      <c r="C744" t="s" s="5">
        <v>4725</v>
      </c>
      <c r="D744" t="s" s="5">
        <v>4655</v>
      </c>
      <c r="E744" t="s" s="5">
        <v>4726</v>
      </c>
      <c r="F744" t="s" s="10">
        <v>4727</v>
      </c>
      <c r="G744" t="s" s="7">
        <v>4728</v>
      </c>
      <c r="H744" t="s" s="7">
        <v>4729</v>
      </c>
      <c r="I744" t="str" s="8" cm="1">
        <f t="array" ref="I744">SUBSTITUTE(H744,B744,"(          )")</f>
        <v>The project should be completed in the (          ) future.</v>
      </c>
      <c r="J744" s="9" cm="1">
        <f t="array" ref="J744">SUMIF('외운 것 - 엑셀다운로드 파일(붙여넣기)'!A3:A562,A744,'외운 것 - 엑셀다운로드 파일(붙여넣기)'!D3:D562)</f>
        <v>0</v>
      </c>
      <c r="K744" s="9" cm="1">
        <f t="array" ref="K744">_xlfn.COUNTIFS('외운 것 - 엑셀다운로드 파일(붙여넣기)'!A3:A562,A744,'외운 것 - 엑셀다운로드 파일(붙여넣기)'!D3:D562,0)</f>
        <v>0</v>
      </c>
      <c r="L744" s="9" cm="1">
        <f t="array" ref="L744">IF(J744&gt;=3,_xlfn.XLOOKUP(A744,'외운 것 - 엑셀다운로드 파일(붙여넣기)'!A3:A562,'외운 것 - 엑셀다운로드 파일(붙여넣기)'!C3:C562,0,-1),0)</f>
        <v>0</v>
      </c>
    </row>
    <row r="745" ht="36.4" customHeight="1">
      <c r="A745" s="3">
        <v>744</v>
      </c>
      <c r="B745" t="s" s="4">
        <v>4731</v>
      </c>
      <c r="C745" t="s" s="5">
        <v>4732</v>
      </c>
      <c r="D745" t="s" s="5">
        <v>4718</v>
      </c>
      <c r="E745" t="s" s="5">
        <v>4733</v>
      </c>
      <c r="F745" t="s" s="10">
        <v>4734</v>
      </c>
      <c r="G745" t="s" s="7">
        <v>4735</v>
      </c>
      <c r="H745" t="s" s="7">
        <v>4736</v>
      </c>
      <c r="I745" t="str" s="8" cm="1">
        <f t="array" ref="I745">SUBSTITUTE(H745,B745,"(          )")</f>
        <v>The expedition faced (          ) difficulties.</v>
      </c>
      <c r="J745" s="9" cm="1">
        <f t="array" ref="J745">SUMIF('외운 것 - 엑셀다운로드 파일(붙여넣기)'!A3:A562,A745,'외운 것 - 엑셀다운로드 파일(붙여넣기)'!D3:D562)</f>
        <v>0</v>
      </c>
      <c r="K745" s="9" cm="1">
        <f t="array" ref="K745">_xlfn.COUNTIFS('외운 것 - 엑셀다운로드 파일(붙여넣기)'!A3:A562,A745,'외운 것 - 엑셀다운로드 파일(붙여넣기)'!D3:D562,0)</f>
        <v>0</v>
      </c>
      <c r="L745" s="9" cm="1">
        <f t="array" ref="L745">IF(J745&gt;=3,_xlfn.XLOOKUP(A745,'외운 것 - 엑셀다운로드 파일(붙여넣기)'!A3:A562,'외운 것 - 엑셀다운로드 파일(붙여넣기)'!C3:C562,0,-1),0)</f>
        <v>0</v>
      </c>
    </row>
    <row r="746" ht="38.45" customHeight="1">
      <c r="A746" s="3">
        <v>745</v>
      </c>
      <c r="B746" t="s" s="4">
        <v>4738</v>
      </c>
      <c r="C746" t="s" s="5">
        <v>4718</v>
      </c>
      <c r="D746" t="s" s="5">
        <v>4739</v>
      </c>
      <c r="E746" t="s" s="5">
        <v>4740</v>
      </c>
      <c r="F746" t="s" s="10">
        <v>4741</v>
      </c>
      <c r="G746" t="s" s="7">
        <v>4742</v>
      </c>
      <c r="H746" t="s" s="7">
        <v>4743</v>
      </c>
      <c r="I746" t="str" s="8" cm="1">
        <f t="array" ref="I746">SUBSTITUTE(H746,B746,"(          )")</f>
        <v>The weather (          ) predicts rain tomorrow.</v>
      </c>
      <c r="J746" s="9" cm="1">
        <f t="array" ref="J746">SUMIF('외운 것 - 엑셀다운로드 파일(붙여넣기)'!A3:A562,A746,'외운 것 - 엑셀다운로드 파일(붙여넣기)'!D3:D562)</f>
        <v>0</v>
      </c>
      <c r="K746" s="9" cm="1">
        <f t="array" ref="K746">_xlfn.COUNTIFS('외운 것 - 엑셀다운로드 파일(붙여넣기)'!A3:A562,A746,'외운 것 - 엑셀다운로드 파일(붙여넣기)'!D3:D562,0)</f>
        <v>0</v>
      </c>
      <c r="L746" s="9" cm="1">
        <f t="array" ref="L746">IF(J746&gt;=3,_xlfn.XLOOKUP(A746,'외운 것 - 엑셀다운로드 파일(붙여넣기)'!A3:A562,'외운 것 - 엑셀다운로드 파일(붙여넣기)'!C3:C562,0,-1),0)</f>
        <v>0</v>
      </c>
    </row>
    <row r="747" ht="23.45" customHeight="1">
      <c r="A747" s="3">
        <v>746</v>
      </c>
      <c r="B747" t="s" s="4">
        <v>4745</v>
      </c>
      <c r="C747" t="s" s="5">
        <v>4718</v>
      </c>
      <c r="D747" t="s" s="5">
        <v>4739</v>
      </c>
      <c r="E747" t="s" s="5">
        <v>4746</v>
      </c>
      <c r="F747" t="s" s="10">
        <v>4747</v>
      </c>
      <c r="G747" t="s" s="7">
        <v>4748</v>
      </c>
      <c r="H747" t="s" s="7">
        <v>4749</v>
      </c>
      <c r="I747" t="str" s="8" cm="1">
        <f t="array" ref="I747">SUBSTITUTE(H747,B747,"(          )")</f>
        <v>Many animals live in the (          ).</v>
      </c>
      <c r="J747" s="9" cm="1">
        <f t="array" ref="J747">SUMIF('외운 것 - 엑셀다운로드 파일(붙여넣기)'!A3:A562,A747,'외운 것 - 엑셀다운로드 파일(붙여넣기)'!D3:D562)</f>
        <v>0</v>
      </c>
      <c r="K747" s="9" cm="1">
        <f t="array" ref="K747">_xlfn.COUNTIFS('외운 것 - 엑셀다운로드 파일(붙여넣기)'!A3:A562,A747,'외운 것 - 엑셀다운로드 파일(붙여넣기)'!D3:D562,0)</f>
        <v>0</v>
      </c>
      <c r="L747" s="9" cm="1">
        <f t="array" ref="L747">IF(J747&gt;=3,_xlfn.XLOOKUP(A747,'외운 것 - 엑셀다운로드 파일(붙여넣기)'!A3:A562,'외운 것 - 엑셀다운로드 파일(붙여넣기)'!C3:C562,0,-1),0)</f>
        <v>0</v>
      </c>
    </row>
    <row r="748" ht="23.45" customHeight="1">
      <c r="A748" s="3">
        <v>747</v>
      </c>
      <c r="B748" t="s" s="4">
        <v>4751</v>
      </c>
      <c r="C748" t="s" s="5">
        <v>4718</v>
      </c>
      <c r="D748" t="s" s="5">
        <v>4739</v>
      </c>
      <c r="E748" t="s" s="5">
        <v>4752</v>
      </c>
      <c r="F748" t="s" s="10">
        <v>4753</v>
      </c>
      <c r="G748" t="s" s="7">
        <v>4754</v>
      </c>
      <c r="H748" t="s" s="7">
        <v>4755</v>
      </c>
      <c r="I748" t="str" s="8" cm="1">
        <f t="array" ref="I748">SUBSTITUTE(H748,B748,"(          )")</f>
        <v>Safety is the (          ) concern in this operation.</v>
      </c>
      <c r="J748" s="9" cm="1">
        <f t="array" ref="J748">SUMIF('외운 것 - 엑셀다운로드 파일(붙여넣기)'!A3:A562,A748,'외운 것 - 엑셀다운로드 파일(붙여넣기)'!D3:D562)</f>
        <v>0</v>
      </c>
      <c r="K748" s="9" cm="1">
        <f t="array" ref="K748">_xlfn.COUNTIFS('외운 것 - 엑셀다운로드 파일(붙여넣기)'!A3:A562,A748,'외운 것 - 엑셀다운로드 파일(붙여넣기)'!D3:D562,0)</f>
        <v>0</v>
      </c>
      <c r="L748" s="9" cm="1">
        <f t="array" ref="L748">IF(J748&gt;=3,_xlfn.XLOOKUP(A748,'외운 것 - 엑셀다운로드 파일(붙여넣기)'!A3:A562,'외운 것 - 엑셀다운로드 파일(붙여넣기)'!C3:C562,0,-1),0)</f>
        <v>0</v>
      </c>
    </row>
    <row r="749" ht="23.45" customHeight="1">
      <c r="A749" s="3">
        <v>748</v>
      </c>
      <c r="B749" t="s" s="4">
        <v>4757</v>
      </c>
      <c r="C749" t="s" s="5">
        <v>4718</v>
      </c>
      <c r="D749" t="s" s="5">
        <v>4739</v>
      </c>
      <c r="E749" t="s" s="5">
        <v>4758</v>
      </c>
      <c r="F749" t="s" s="10">
        <v>4759</v>
      </c>
      <c r="G749" t="s" s="7">
        <v>1810</v>
      </c>
      <c r="H749" t="s" s="7">
        <v>4760</v>
      </c>
      <c r="I749" t="str" s="8" cm="1">
        <f t="array" ref="I749">SUBSTITUTE(H749,B749,"(          )")</f>
        <v>The construction (          ) supervises the workers.</v>
      </c>
      <c r="J749" s="9" cm="1">
        <f t="array" ref="J749">SUMIF('외운 것 - 엑셀다운로드 파일(붙여넣기)'!A3:A562,A749,'외운 것 - 엑셀다운로드 파일(붙여넣기)'!D3:D562)</f>
        <v>0</v>
      </c>
      <c r="K749" s="9" cm="1">
        <f t="array" ref="K749">_xlfn.COUNTIFS('외운 것 - 엑셀다운로드 파일(붙여넣기)'!A3:A562,A749,'외운 것 - 엑셀다운로드 파일(붙여넣기)'!D3:D562,0)</f>
        <v>0</v>
      </c>
      <c r="L749" s="9" cm="1">
        <f t="array" ref="L749">IF(J749&gt;=3,_xlfn.XLOOKUP(A749,'외운 것 - 엑셀다운로드 파일(붙여넣기)'!A3:A562,'외운 것 - 엑셀다운로드 파일(붙여넣기)'!C3:C562,0,-1),0)</f>
        <v>0</v>
      </c>
    </row>
    <row r="750" ht="23.45" customHeight="1">
      <c r="A750" s="3">
        <v>749</v>
      </c>
      <c r="B750" t="s" s="4">
        <v>4762</v>
      </c>
      <c r="C750" t="s" s="5">
        <v>4718</v>
      </c>
      <c r="D750" t="s" s="5">
        <v>4739</v>
      </c>
      <c r="E750" t="s" s="5">
        <v>4763</v>
      </c>
      <c r="F750" t="s" s="10">
        <v>4764</v>
      </c>
      <c r="G750" t="s" s="7">
        <v>4765</v>
      </c>
      <c r="H750" t="s" s="7">
        <v>4766</v>
      </c>
      <c r="I750" t="str" s="8" cm="1">
        <f t="array" ref="I750">SUBSTITUTE(H750,B750,"(          )")</f>
        <v>He injured his (          ) during the tennis match.</v>
      </c>
      <c r="J750" s="9" cm="1">
        <f t="array" ref="J750">SUMIF('외운 것 - 엑셀다운로드 파일(붙여넣기)'!A3:A562,A750,'외운 것 - 엑셀다운로드 파일(붙여넣기)'!D3:D562)</f>
        <v>0</v>
      </c>
      <c r="K750" s="9" cm="1">
        <f t="array" ref="K750">_xlfn.COUNTIFS('외운 것 - 엑셀다운로드 파일(붙여넣기)'!A3:A562,A750,'외운 것 - 엑셀다운로드 파일(붙여넣기)'!D3:D562,0)</f>
        <v>0</v>
      </c>
      <c r="L750" s="9" cm="1">
        <f t="array" ref="L750">IF(J750&gt;=3,_xlfn.XLOOKUP(A750,'외운 것 - 엑셀다운로드 파일(붙여넣기)'!A3:A562,'외운 것 - 엑셀다운로드 파일(붙여넣기)'!C3:C562,0,-1),0)</f>
        <v>0</v>
      </c>
    </row>
    <row r="751" ht="38.45" customHeight="1">
      <c r="A751" s="3">
        <v>750</v>
      </c>
      <c r="B751" t="s" s="4">
        <v>4768</v>
      </c>
      <c r="C751" t="s" s="5">
        <v>4718</v>
      </c>
      <c r="D751" t="s" s="5">
        <v>4739</v>
      </c>
      <c r="E751" t="s" s="5">
        <v>4769</v>
      </c>
      <c r="F751" t="s" s="10">
        <v>4770</v>
      </c>
      <c r="G751" t="s" s="7">
        <v>4771</v>
      </c>
      <c r="H751" t="s" s="7">
        <v>4772</v>
      </c>
      <c r="I751" t="str" s="8" cm="1">
        <f t="array" ref="I751">SUBSTITUTE(H751,B751,"(          )")</f>
        <v>Use your (          ) to press the button.</v>
      </c>
      <c r="J751" s="9" cm="1">
        <f t="array" ref="J751">SUMIF('외운 것 - 엑셀다운로드 파일(붙여넣기)'!A3:A562,A751,'외운 것 - 엑셀다운로드 파일(붙여넣기)'!D3:D562)</f>
        <v>0</v>
      </c>
      <c r="K751" s="9" cm="1">
        <f t="array" ref="K751">_xlfn.COUNTIFS('외운 것 - 엑셀다운로드 파일(붙여넣기)'!A3:A562,A751,'외운 것 - 엑셀다운로드 파일(붙여넣기)'!D3:D562,0)</f>
        <v>0</v>
      </c>
      <c r="L751" s="9" cm="1">
        <f t="array" ref="L751">IF(J751&gt;=3,_xlfn.XLOOKUP(A751,'외운 것 - 엑셀다운로드 파일(붙여넣기)'!A3:A562,'외운 것 - 엑셀다운로드 파일(붙여넣기)'!C3:C562,0,-1),0)</f>
        <v>0</v>
      </c>
    </row>
    <row r="752" ht="23.45" customHeight="1">
      <c r="A752" s="3">
        <v>751</v>
      </c>
      <c r="B752" t="s" s="4">
        <v>4774</v>
      </c>
      <c r="C752" t="s" s="5">
        <v>4718</v>
      </c>
      <c r="D752" t="s" s="5">
        <v>4739</v>
      </c>
      <c r="E752" t="s" s="5">
        <v>4775</v>
      </c>
      <c r="F752" t="s" s="10">
        <v>4776</v>
      </c>
      <c r="G752" t="s" s="7">
        <v>4777</v>
      </c>
      <c r="H752" t="s" s="7">
        <v>4778</v>
      </c>
      <c r="I752" t="str" s="8" cm="1">
        <f t="array" ref="I752">SUBSTITUTE(H752,B752,"(          )")</f>
        <v>She felt his (          ) to check for fever.</v>
      </c>
      <c r="J752" s="9" cm="1">
        <f t="array" ref="J752">SUMIF('외운 것 - 엑셀다운로드 파일(붙여넣기)'!A3:A562,A752,'외운 것 - 엑셀다운로드 파일(붙여넣기)'!D3:D562)</f>
        <v>0</v>
      </c>
      <c r="K752" s="9" cm="1">
        <f t="array" ref="K752">_xlfn.COUNTIFS('외운 것 - 엑셀다운로드 파일(붙여넣기)'!A3:A562,A752,'외운 것 - 엑셀다운로드 파일(붙여넣기)'!D3:D562,0)</f>
        <v>0</v>
      </c>
      <c r="L752" s="9" cm="1">
        <f t="array" ref="L752">IF(J752&gt;=3,_xlfn.XLOOKUP(A752,'외운 것 - 엑셀다운로드 파일(붙여넣기)'!A3:A562,'외운 것 - 엑셀다운로드 파일(붙여넣기)'!C3:C562,0,-1),0)</f>
        <v>0</v>
      </c>
    </row>
    <row r="753" ht="23.45" customHeight="1">
      <c r="A753" s="3">
        <v>752</v>
      </c>
      <c r="B753" t="s" s="4">
        <v>4780</v>
      </c>
      <c r="C753" t="s" s="5">
        <v>4655</v>
      </c>
      <c r="D753" t="s" s="5">
        <v>4656</v>
      </c>
      <c r="E753" t="s" s="5">
        <v>4781</v>
      </c>
      <c r="F753" t="s" s="10">
        <v>4782</v>
      </c>
      <c r="G753" t="s" s="7">
        <v>4783</v>
      </c>
      <c r="H753" t="s" s="7">
        <v>4784</v>
      </c>
      <c r="I753" t="str" s="8" cm="1">
        <f t="array" ref="I753">SUBSTITUTE(H753,B753,"(          )")</f>
        <v>Children built a snow (          ) in the yard.</v>
      </c>
      <c r="J753" s="9" cm="1">
        <f t="array" ref="J753">SUMIF('외운 것 - 엑셀다운로드 파일(붙여넣기)'!A3:A562,A753,'외운 것 - 엑셀다운로드 파일(붙여넣기)'!D3:D562)</f>
        <v>0</v>
      </c>
      <c r="K753" s="9" cm="1">
        <f t="array" ref="K753">_xlfn.COUNTIFS('외운 것 - 엑셀다운로드 파일(붙여넣기)'!A3:A562,A753,'외운 것 - 엑셀다운로드 파일(붙여넣기)'!D3:D562,0)</f>
        <v>0</v>
      </c>
      <c r="L753" s="9" cm="1">
        <f t="array" ref="L753">IF(J753&gt;=3,_xlfn.XLOOKUP(A753,'외운 것 - 엑셀다운로드 파일(붙여넣기)'!A3:A562,'외운 것 - 엑셀다운로드 파일(붙여넣기)'!C3:C562,0,-1),0)</f>
        <v>0</v>
      </c>
    </row>
    <row r="754" ht="23.45" customHeight="1">
      <c r="A754" s="3">
        <v>753</v>
      </c>
      <c r="B754" t="s" s="4">
        <v>4786</v>
      </c>
      <c r="C754" t="s" s="5">
        <v>4780</v>
      </c>
      <c r="D754" t="s" s="5">
        <v>4787</v>
      </c>
      <c r="E754" t="s" s="5">
        <v>4788</v>
      </c>
      <c r="F754" t="s" s="10">
        <v>4789</v>
      </c>
      <c r="G754" t="s" s="7">
        <v>4790</v>
      </c>
      <c r="H754" t="s" s="7">
        <v>4791</v>
      </c>
      <c r="I754" t="str" s="8" cm="1">
        <f t="array" ref="I754">SUBSTITUTE(H754,B754,"(          )")</f>
        <v>Calcium helps to (          ) your bones.</v>
      </c>
      <c r="J754" s="9" cm="1">
        <f t="array" ref="J754">SUMIF('외운 것 - 엑셀다운로드 파일(붙여넣기)'!A3:A562,A754,'외운 것 - 엑셀다운로드 파일(붙여넣기)'!D3:D562)</f>
        <v>0</v>
      </c>
      <c r="K754" s="9" cm="1">
        <f t="array" ref="K754">_xlfn.COUNTIFS('외운 것 - 엑셀다운로드 파일(붙여넣기)'!A3:A562,A754,'외운 것 - 엑셀다운로드 파일(붙여넣기)'!D3:D562,0)</f>
        <v>0</v>
      </c>
      <c r="L754" s="9" cm="1">
        <f t="array" ref="L754">IF(J754&gt;=3,_xlfn.XLOOKUP(A754,'외운 것 - 엑셀다운로드 파일(붙여넣기)'!A3:A562,'외운 것 - 엑셀다운로드 파일(붙여넣기)'!C3:C562,0,-1),0)</f>
        <v>0</v>
      </c>
    </row>
    <row r="755" ht="38.45" customHeight="1">
      <c r="A755" s="3">
        <v>754</v>
      </c>
      <c r="B755" t="s" s="4">
        <v>4793</v>
      </c>
      <c r="C755" t="s" s="5">
        <v>4780</v>
      </c>
      <c r="D755" t="s" s="5">
        <v>4787</v>
      </c>
      <c r="E755" t="s" s="5">
        <v>4794</v>
      </c>
      <c r="F755" t="s" s="10">
        <v>4795</v>
      </c>
      <c r="G755" t="s" s="7">
        <v>4796</v>
      </c>
      <c r="H755" t="s" s="7">
        <v>4797</v>
      </c>
      <c r="I755" t="str" s="8" cm="1">
        <f t="array" ref="I755">SUBSTITUTE(H755,B755,"(          )")</f>
        <v>The ancient (          ) stood on top of the hill.</v>
      </c>
      <c r="J755" s="9" cm="1">
        <f t="array" ref="J755">SUMIF('외운 것 - 엑셀다운로드 파일(붙여넣기)'!A3:A562,A755,'외운 것 - 엑셀다운로드 파일(붙여넣기)'!D3:D562)</f>
        <v>0</v>
      </c>
      <c r="K755" s="9" cm="1">
        <f t="array" ref="K755">_xlfn.COUNTIFS('외운 것 - 엑셀다운로드 파일(붙여넣기)'!A3:A562,A755,'외운 것 - 엑셀다운로드 파일(붙여넣기)'!D3:D562,0)</f>
        <v>0</v>
      </c>
      <c r="L755" s="9" cm="1">
        <f t="array" ref="L755">IF(J755&gt;=3,_xlfn.XLOOKUP(A755,'외운 것 - 엑셀다운로드 파일(붙여넣기)'!A3:A562,'외운 것 - 엑셀다운로드 파일(붙여넣기)'!C3:C562,0,-1),0)</f>
        <v>0</v>
      </c>
    </row>
    <row r="756" ht="38.45" customHeight="1">
      <c r="A756" s="3">
        <v>755</v>
      </c>
      <c r="B756" t="s" s="4">
        <v>4799</v>
      </c>
      <c r="C756" t="s" s="5">
        <v>4780</v>
      </c>
      <c r="D756" t="s" s="5">
        <v>4787</v>
      </c>
      <c r="E756" t="s" s="5">
        <v>4800</v>
      </c>
      <c r="F756" t="s" s="10">
        <v>4801</v>
      </c>
      <c r="G756" t="s" s="7">
        <v>4802</v>
      </c>
      <c r="H756" t="s" s="7">
        <v>4803</v>
      </c>
      <c r="I756" t="str" s="8" cm="1">
        <f t="array" ref="I756">SUBSTITUTE(H756,B756,"(          )")</f>
        <v>He made a (          ) in real estate.</v>
      </c>
      <c r="J756" s="9" cm="1">
        <f t="array" ref="J756">SUMIF('외운 것 - 엑셀다운로드 파일(붙여넣기)'!A3:A562,A756,'외운 것 - 엑셀다운로드 파일(붙여넣기)'!D3:D562)</f>
        <v>0</v>
      </c>
      <c r="K756" s="9" cm="1">
        <f t="array" ref="K756">_xlfn.COUNTIFS('외운 것 - 엑셀다운로드 파일(붙여넣기)'!A3:A562,A756,'외운 것 - 엑셀다운로드 파일(붙여넣기)'!D3:D562,0)</f>
        <v>0</v>
      </c>
      <c r="L756" s="9" cm="1">
        <f t="array" ref="L756">IF(J756&gt;=3,_xlfn.XLOOKUP(A756,'외운 것 - 엑셀다운로드 파일(붙여넣기)'!A3:A562,'외운 것 - 엑셀다운로드 파일(붙여넣기)'!C3:C562,0,-1),0)</f>
        <v>0</v>
      </c>
    </row>
    <row r="757" ht="36.4" customHeight="1">
      <c r="A757" s="3">
        <v>756</v>
      </c>
      <c r="B757" t="s" s="4">
        <v>4805</v>
      </c>
      <c r="C757" t="s" s="5">
        <v>4806</v>
      </c>
      <c r="D757" t="s" s="5">
        <v>4780</v>
      </c>
      <c r="E757" t="s" s="5">
        <v>4807</v>
      </c>
      <c r="F757" t="s" s="10">
        <v>4808</v>
      </c>
      <c r="G757" t="s" s="7">
        <v>4809</v>
      </c>
      <c r="H757" t="s" s="7">
        <v>4810</v>
      </c>
      <c r="I757" t="str" s="8" cm="1">
        <f t="array" ref="I757">SUBSTITUTE(H757,B757,"(          )")</f>
        <v>Losing his job was a (          ), but he found a better one.</v>
      </c>
      <c r="J757" s="9" cm="1">
        <f t="array" ref="J757">SUMIF('외운 것 - 엑셀다운로드 파일(붙여넣기)'!A3:A562,A757,'외운 것 - 엑셀다운로드 파일(붙여넣기)'!D3:D562)</f>
        <v>0</v>
      </c>
      <c r="K757" s="9" cm="1">
        <f t="array" ref="K757">_xlfn.COUNTIFS('외운 것 - 엑셀다운로드 파일(붙여넣기)'!A3:A562,A757,'외운 것 - 엑셀다운로드 파일(붙여넣기)'!D3:D562,0)</f>
        <v>0</v>
      </c>
      <c r="L757" s="9" cm="1">
        <f t="array" ref="L757">IF(J757&gt;=3,_xlfn.XLOOKUP(A757,'외운 것 - 엑셀다운로드 파일(붙여넣기)'!A3:A562,'외운 것 - 엑셀다운로드 파일(붙여넣기)'!C3:C562,0,-1),0)</f>
        <v>0</v>
      </c>
    </row>
    <row r="758" ht="36.4" customHeight="1">
      <c r="A758" s="3">
        <v>757</v>
      </c>
      <c r="B758" t="s" s="4">
        <v>4812</v>
      </c>
      <c r="C758" t="s" s="5">
        <v>4806</v>
      </c>
      <c r="D758" t="s" s="5">
        <v>4780</v>
      </c>
      <c r="E758" t="s" s="5">
        <v>4813</v>
      </c>
      <c r="F758" t="s" s="10">
        <v>4814</v>
      </c>
      <c r="G758" t="s" s="7">
        <v>4815</v>
      </c>
      <c r="H758" t="s" s="7">
        <v>4816</v>
      </c>
      <c r="I758" t="str" s="8" cm="1">
        <f t="array" ref="I758">SUBSTITUTE(H758,B758,"(          )")</f>
        <v>We were (          ) to find tickets for the sold-out concert.</v>
      </c>
      <c r="J758" s="9" cm="1">
        <f t="array" ref="J758">SUMIF('외운 것 - 엑셀다운로드 파일(붙여넣기)'!A3:A562,A758,'외운 것 - 엑셀다운로드 파일(붙여넣기)'!D3:D562)</f>
        <v>0</v>
      </c>
      <c r="K758" s="9" cm="1">
        <f t="array" ref="K758">_xlfn.COUNTIFS('외운 것 - 엑셀다운로드 파일(붙여넣기)'!A3:A562,A758,'외운 것 - 엑셀다운로드 파일(붙여넣기)'!D3:D562,0)</f>
        <v>0</v>
      </c>
      <c r="L758" s="9" cm="1">
        <f t="array" ref="L758">IF(J758&gt;=3,_xlfn.XLOOKUP(A758,'외운 것 - 엑셀다운로드 파일(붙여넣기)'!A3:A562,'외운 것 - 엑셀다운로드 파일(붙여넣기)'!C3:C562,0,-1),0)</f>
        <v>0</v>
      </c>
    </row>
    <row r="759" ht="38.45" customHeight="1">
      <c r="A759" s="3">
        <v>758</v>
      </c>
      <c r="B759" t="s" s="4">
        <v>4818</v>
      </c>
      <c r="C759" t="s" s="5">
        <v>4780</v>
      </c>
      <c r="D759" t="s" s="5">
        <v>4787</v>
      </c>
      <c r="E759" t="s" s="5">
        <v>4819</v>
      </c>
      <c r="F759" t="s" s="10">
        <v>4820</v>
      </c>
      <c r="G759" t="s" s="7">
        <v>4821</v>
      </c>
      <c r="H759" t="s" s="7">
        <v>4822</v>
      </c>
      <c r="I759" t="str" s="8" cm="1">
        <f t="array" ref="I759">SUBSTITUTE(H759,B759,"(          )")</f>
        <v>The new sofa provides (          ) for the whole family.</v>
      </c>
      <c r="J759" s="9" cm="1">
        <f t="array" ref="J759">SUMIF('외운 것 - 엑셀다운로드 파일(붙여넣기)'!A3:A562,A759,'외운 것 - 엑셀다운로드 파일(붙여넣기)'!D3:D562)</f>
        <v>0</v>
      </c>
      <c r="K759" s="9" cm="1">
        <f t="array" ref="K759">_xlfn.COUNTIFS('외운 것 - 엑셀다운로드 파일(붙여넣기)'!A3:A562,A759,'외운 것 - 엑셀다운로드 파일(붙여넣기)'!D3:D562,0)</f>
        <v>0</v>
      </c>
      <c r="L759" s="9" cm="1">
        <f t="array" ref="L759">IF(J759&gt;=3,_xlfn.XLOOKUP(A759,'외운 것 - 엑셀다운로드 파일(붙여넣기)'!A3:A562,'외운 것 - 엑셀다운로드 파일(붙여넣기)'!C3:C562,0,-1),0)</f>
        <v>0</v>
      </c>
    </row>
    <row r="760" ht="23.45" customHeight="1">
      <c r="A760" s="3">
        <v>759</v>
      </c>
      <c r="B760" t="s" s="4">
        <v>4824</v>
      </c>
      <c r="C760" t="s" s="5">
        <v>4780</v>
      </c>
      <c r="D760" t="s" s="5">
        <v>4787</v>
      </c>
      <c r="E760" t="s" s="5">
        <v>4825</v>
      </c>
      <c r="F760" t="s" s="10">
        <v>4826</v>
      </c>
      <c r="G760" t="s" s="7">
        <v>4827</v>
      </c>
      <c r="H760" t="s" s="7">
        <v>4828</v>
      </c>
      <c r="I760" t="str" s="8" cm="1">
        <f t="array" ref="I760">SUBSTITUTE(H760,B760,"(          )")</f>
        <v>It takes (          ) to learn a new language.</v>
      </c>
      <c r="J760" s="9" cm="1">
        <f t="array" ref="J760">SUMIF('외운 것 - 엑셀다운로드 파일(붙여넣기)'!A3:A562,A760,'외운 것 - 엑셀다운로드 파일(붙여넣기)'!D3:D562)</f>
        <v>0</v>
      </c>
      <c r="K760" s="9" cm="1">
        <f t="array" ref="K760">_xlfn.COUNTIFS('외운 것 - 엑셀다운로드 파일(붙여넣기)'!A3:A562,A760,'외운 것 - 엑셀다운로드 파일(붙여넣기)'!D3:D562,0)</f>
        <v>0</v>
      </c>
      <c r="L760" s="9" cm="1">
        <f t="array" ref="L760">IF(J760&gt;=3,_xlfn.XLOOKUP(A760,'외운 것 - 엑셀다운로드 파일(붙여넣기)'!A3:A562,'외운 것 - 엑셀다운로드 파일(붙여넣기)'!C3:C562,0,-1),0)</f>
        <v>0</v>
      </c>
    </row>
    <row r="761" ht="23.45" customHeight="1">
      <c r="A761" s="3">
        <v>760</v>
      </c>
      <c r="B761" t="s" s="4">
        <v>4830</v>
      </c>
      <c r="C761" t="s" s="5">
        <v>4655</v>
      </c>
      <c r="D761" t="s" s="5">
        <v>4656</v>
      </c>
      <c r="E761" t="s" s="5">
        <v>4831</v>
      </c>
      <c r="F761" t="s" s="10">
        <v>4832</v>
      </c>
      <c r="G761" t="s" s="7">
        <v>4833</v>
      </c>
      <c r="H761" t="s" s="7">
        <v>4834</v>
      </c>
      <c r="I761" t="str" s="8" cm="1">
        <f t="array" ref="I761">SUBSTITUTE(H761,B761,"(          )")</f>
        <v>The wind (          ) bent the trees.</v>
      </c>
      <c r="J761" s="9" cm="1">
        <f t="array" ref="J761">SUMIF('외운 것 - 엑셀다운로드 파일(붙여넣기)'!A3:A562,A761,'외운 것 - 엑셀다운로드 파일(붙여넣기)'!D3:D562)</f>
        <v>0</v>
      </c>
      <c r="K761" s="9" cm="1">
        <f t="array" ref="K761">_xlfn.COUNTIFS('외운 것 - 엑셀다운로드 파일(붙여넣기)'!A3:A562,A761,'외운 것 - 엑셀다운로드 파일(붙여넣기)'!D3:D562,0)</f>
        <v>0</v>
      </c>
      <c r="L761" s="9" cm="1">
        <f t="array" ref="L761">IF(J761&gt;=3,_xlfn.XLOOKUP(A761,'외운 것 - 엑셀다운로드 파일(붙여넣기)'!A3:A562,'외운 것 - 엑셀다운로드 파일(붙여넣기)'!C3:C562,0,-1),0)</f>
        <v>0</v>
      </c>
    </row>
    <row r="762" ht="23.45" customHeight="1">
      <c r="A762" s="3">
        <v>761</v>
      </c>
      <c r="B762" t="s" s="4">
        <v>4836</v>
      </c>
      <c r="C762" t="s" s="5">
        <v>4830</v>
      </c>
      <c r="D762" t="s" s="5">
        <v>4837</v>
      </c>
      <c r="E762" t="s" s="5">
        <v>4838</v>
      </c>
      <c r="F762" t="s" s="10">
        <v>4839</v>
      </c>
      <c r="G762" t="s" s="7">
        <v>4840</v>
      </c>
      <c r="H762" t="s" s="7">
        <v>4841</v>
      </c>
      <c r="I762" t="str" s="8" cm="1">
        <f t="array" ref="I762">SUBSTITUTE(H762,B762,"(          )")</f>
        <v>My brother serves in the (          ).</v>
      </c>
      <c r="J762" s="9" cm="1">
        <f t="array" ref="J762">SUMIF('외운 것 - 엑셀다운로드 파일(붙여넣기)'!A3:A562,A762,'외운 것 - 엑셀다운로드 파일(붙여넣기)'!D3:D562)</f>
        <v>0</v>
      </c>
      <c r="K762" s="9" cm="1">
        <f t="array" ref="K762">_xlfn.COUNTIFS('외운 것 - 엑셀다운로드 파일(붙여넣기)'!A3:A562,A762,'외운 것 - 엑셀다운로드 파일(붙여넣기)'!D3:D562,0)</f>
        <v>0</v>
      </c>
      <c r="L762" s="9" cm="1">
        <f t="array" ref="L762">IF(J762&gt;=3,_xlfn.XLOOKUP(A762,'외운 것 - 엑셀다운로드 파일(붙여넣기)'!A3:A562,'외운 것 - 엑셀다운로드 파일(붙여넣기)'!C3:C562,0,-1),0)</f>
        <v>0</v>
      </c>
    </row>
    <row r="763" ht="23.45" customHeight="1">
      <c r="A763" s="3">
        <v>762</v>
      </c>
      <c r="B763" t="s" s="4">
        <v>4843</v>
      </c>
      <c r="C763" t="s" s="5">
        <v>4830</v>
      </c>
      <c r="D763" t="s" s="5">
        <v>4837</v>
      </c>
      <c r="E763" t="s" s="5">
        <v>4844</v>
      </c>
      <c r="F763" t="s" s="10">
        <v>4845</v>
      </c>
      <c r="G763" t="s" s="7">
        <v>4846</v>
      </c>
      <c r="H763" t="s" s="7">
        <v>4847</v>
      </c>
      <c r="I763" t="str" s="8" cm="1">
        <f t="array" ref="I763">SUBSTITUTE(H763,B763,"(          )")</f>
        <v>Police (          ) traffic laws on the highway.</v>
      </c>
      <c r="J763" s="9" cm="1">
        <f t="array" ref="J763">SUMIF('외운 것 - 엑셀다운로드 파일(붙여넣기)'!A3:A562,A763,'외운 것 - 엑셀다운로드 파일(붙여넣기)'!D3:D562)</f>
        <v>0</v>
      </c>
      <c r="K763" s="9" cm="1">
        <f t="array" ref="K763">_xlfn.COUNTIFS('외운 것 - 엑셀다운로드 파일(붙여넣기)'!A3:A562,A763,'외운 것 - 엑셀다운로드 파일(붙여넣기)'!D3:D562,0)</f>
        <v>0</v>
      </c>
      <c r="L763" s="9" cm="1">
        <f t="array" ref="L763">IF(J763&gt;=3,_xlfn.XLOOKUP(A763,'외운 것 - 엑셀다운로드 파일(붙여넣기)'!A3:A562,'외운 것 - 엑셀다운로드 파일(붙여넣기)'!C3:C562,0,-1),0)</f>
        <v>0</v>
      </c>
    </row>
    <row r="764" ht="23.45" customHeight="1">
      <c r="A764" s="3">
        <v>763</v>
      </c>
      <c r="B764" t="s" s="4">
        <v>4849</v>
      </c>
      <c r="C764" t="s" s="5">
        <v>4830</v>
      </c>
      <c r="D764" t="s" s="5">
        <v>4837</v>
      </c>
      <c r="E764" t="s" s="5">
        <v>4850</v>
      </c>
      <c r="F764" t="s" s="10">
        <v>4851</v>
      </c>
      <c r="G764" t="s" s="7">
        <v>4852</v>
      </c>
      <c r="H764" t="s" s="7">
        <v>4853</v>
      </c>
      <c r="I764" t="str" s="8" cm="1">
        <f t="array" ref="I764">SUBSTITUTE(H764,B764,"(          )")</f>
        <v>Steel rods (          ) the concrete structure.</v>
      </c>
      <c r="J764" s="9" cm="1">
        <f t="array" ref="J764">SUMIF('외운 것 - 엑셀다운로드 파일(붙여넣기)'!A3:A562,A764,'외운 것 - 엑셀다운로드 파일(붙여넣기)'!D3:D562)</f>
        <v>0</v>
      </c>
      <c r="K764" s="9" cm="1">
        <f t="array" ref="K764">_xlfn.COUNTIFS('외운 것 - 엑셀다운로드 파일(붙여넣기)'!A3:A562,A764,'외운 것 - 엑셀다운로드 파일(붙여넣기)'!D3:D562,0)</f>
        <v>0</v>
      </c>
      <c r="L764" s="9" cm="1">
        <f t="array" ref="L764">IF(J764&gt;=3,_xlfn.XLOOKUP(A764,'외운 것 - 엑셀다운로드 파일(붙여넣기)'!A3:A562,'외운 것 - 엑셀다운로드 파일(붙여넣기)'!C3:C562,0,-1),0)</f>
        <v>0</v>
      </c>
    </row>
    <row r="765" ht="36.4" customHeight="1">
      <c r="A765" s="3">
        <v>764</v>
      </c>
      <c r="B765" t="s" s="4">
        <v>4855</v>
      </c>
      <c r="C765" t="s" s="5">
        <v>4856</v>
      </c>
      <c r="D765" t="s" s="5">
        <v>4830</v>
      </c>
      <c r="E765" t="s" s="5">
        <v>4857</v>
      </c>
      <c r="F765" t="s" s="10">
        <v>4858</v>
      </c>
      <c r="G765" t="s" s="7">
        <v>4859</v>
      </c>
      <c r="H765" t="s" s="7">
        <v>4860</v>
      </c>
      <c r="I765" t="str" s="8" cm="1">
        <f t="array" ref="I765">SUBSTITUTE(H765,B765,"(          )")</f>
        <v>The bridge needs (          ) to support heavy trucks.</v>
      </c>
      <c r="J765" s="9" cm="1">
        <f t="array" ref="J765">SUMIF('외운 것 - 엑셀다운로드 파일(붙여넣기)'!A3:A562,A765,'외운 것 - 엑셀다운로드 파일(붙여넣기)'!D3:D562)</f>
        <v>0</v>
      </c>
      <c r="K765" s="9" cm="1">
        <f t="array" ref="K765">_xlfn.COUNTIFS('외운 것 - 엑셀다운로드 파일(붙여넣기)'!A3:A562,A765,'외운 것 - 엑셀다운로드 파일(붙여넣기)'!D3:D562,0)</f>
        <v>0</v>
      </c>
      <c r="L765" s="9" cm="1">
        <f t="array" ref="L765">IF(J765&gt;=3,_xlfn.XLOOKUP(A765,'외운 것 - 엑셀다운로드 파일(붙여넣기)'!A3:A562,'외운 것 - 엑셀다운로드 파일(붙여넣기)'!C3:C562,0,-1),0)</f>
        <v>0</v>
      </c>
    </row>
    <row r="766" ht="38.45" customHeight="1">
      <c r="A766" s="3">
        <v>765</v>
      </c>
      <c r="B766" t="s" s="4">
        <v>4862</v>
      </c>
      <c r="C766" t="s" s="5">
        <v>4655</v>
      </c>
      <c r="D766" t="s" s="5">
        <v>4656</v>
      </c>
      <c r="E766" t="s" s="5">
        <v>4863</v>
      </c>
      <c r="F766" t="s" s="10">
        <v>4864</v>
      </c>
      <c r="G766" t="s" s="7">
        <v>4865</v>
      </c>
      <c r="H766" t="s" s="7">
        <v>4866</v>
      </c>
      <c r="I766" t="str" s="8" cm="1">
        <f t="array" ref="I766">SUBSTITUTE(H766,B766,"(          )")</f>
        <v>Fill out this (          ) with your personal in(          )ation.</v>
      </c>
      <c r="J766" s="9" cm="1">
        <f t="array" ref="J766">SUMIF('외운 것 - 엑셀다운로드 파일(붙여넣기)'!A3:A562,A766,'외운 것 - 엑셀다운로드 파일(붙여넣기)'!D3:D562)</f>
        <v>0</v>
      </c>
      <c r="K766" s="9" cm="1">
        <f t="array" ref="K766">_xlfn.COUNTIFS('외운 것 - 엑셀다운로드 파일(붙여넣기)'!A3:A562,A766,'외운 것 - 엑셀다운로드 파일(붙여넣기)'!D3:D562,0)</f>
        <v>0</v>
      </c>
      <c r="L766" s="9" cm="1">
        <f t="array" ref="L766">IF(J766&gt;=3,_xlfn.XLOOKUP(A766,'외운 것 - 엑셀다운로드 파일(붙여넣기)'!A3:A562,'외운 것 - 엑셀다운로드 파일(붙여넣기)'!C3:C562,0,-1),0)</f>
        <v>0</v>
      </c>
    </row>
    <row r="767" ht="23.45" customHeight="1">
      <c r="A767" s="3">
        <v>766</v>
      </c>
      <c r="B767" t="s" s="4">
        <v>4868</v>
      </c>
      <c r="C767" t="s" s="5">
        <v>4123</v>
      </c>
      <c r="D767" t="s" s="5">
        <v>4869</v>
      </c>
      <c r="E767" t="s" s="5">
        <v>4870</v>
      </c>
      <c r="F767" t="s" s="10">
        <v>4871</v>
      </c>
      <c r="G767" t="s" s="7">
        <v>144</v>
      </c>
      <c r="H767" t="s" s="7">
        <v>4872</v>
      </c>
      <c r="I767" t="str" s="8" cm="1">
        <f t="array" ref="I767">SUBSTITUTE(H767,B767,"(          )")</f>
        <v>Sea waves create white (          ) on the beach.</v>
      </c>
      <c r="J767" s="9" cm="1">
        <f t="array" ref="J767">SUMIF('외운 것 - 엑셀다운로드 파일(붙여넣기)'!A3:A562,A767,'외운 것 - 엑셀다운로드 파일(붙여넣기)'!D3:D562)</f>
        <v>0</v>
      </c>
      <c r="K767" s="9" cm="1">
        <f t="array" ref="K767">_xlfn.COUNTIFS('외운 것 - 엑셀다운로드 파일(붙여넣기)'!A3:A562,A767,'외운 것 - 엑셀다운로드 파일(붙여넣기)'!D3:D562,0)</f>
        <v>0</v>
      </c>
      <c r="L767" s="9" cm="1">
        <f t="array" ref="L767">IF(J767&gt;=3,_xlfn.XLOOKUP(A767,'외운 것 - 엑셀다운로드 파일(붙여넣기)'!A3:A562,'외운 것 - 엑셀다운로드 파일(붙여넣기)'!C3:C562,0,-1),0)</f>
        <v>0</v>
      </c>
    </row>
    <row r="768" ht="38.45" customHeight="1">
      <c r="A768" s="3">
        <v>767</v>
      </c>
      <c r="B768" t="s" s="4">
        <v>4874</v>
      </c>
      <c r="C768" t="s" s="5">
        <v>4862</v>
      </c>
      <c r="D768" t="s" s="5">
        <v>4875</v>
      </c>
      <c r="E768" t="s" s="5">
        <v>4876</v>
      </c>
      <c r="F768" t="s" s="10">
        <v>4877</v>
      </c>
      <c r="G768" t="s" s="7">
        <v>4878</v>
      </c>
      <c r="H768" t="s" s="7">
        <v>4879</v>
      </c>
      <c r="I768" t="str" s="8" cm="1">
        <f t="array" ref="I768">SUBSTITUTE(H768,B768,"(          )")</f>
        <v>You should wear (          ) attire to the wedding.</v>
      </c>
      <c r="J768" s="9" cm="1">
        <f t="array" ref="J768">SUMIF('외운 것 - 엑셀다운로드 파일(붙여넣기)'!A3:A562,A768,'외운 것 - 엑셀다운로드 파일(붙여넣기)'!D3:D562)</f>
        <v>0</v>
      </c>
      <c r="K768" s="9" cm="1">
        <f t="array" ref="K768">_xlfn.COUNTIFS('외운 것 - 엑셀다운로드 파일(붙여넣기)'!A3:A562,A768,'외운 것 - 엑셀다운로드 파일(붙여넣기)'!D3:D562,0)</f>
        <v>0</v>
      </c>
      <c r="L768" s="9" cm="1">
        <f t="array" ref="L768">IF(J768&gt;=3,_xlfn.XLOOKUP(A768,'외운 것 - 엑셀다운로드 파일(붙여넣기)'!A3:A562,'외운 것 - 엑셀다운로드 파일(붙여넣기)'!C3:C562,0,-1),0)</f>
        <v>0</v>
      </c>
    </row>
    <row r="769" ht="23.45" customHeight="1">
      <c r="A769" s="3">
        <v>768</v>
      </c>
      <c r="B769" t="s" s="4">
        <v>4881</v>
      </c>
      <c r="C769" t="s" s="5">
        <v>4862</v>
      </c>
      <c r="D769" t="s" s="5">
        <v>4875</v>
      </c>
      <c r="E769" t="s" s="5">
        <v>4882</v>
      </c>
      <c r="F769" t="s" s="10">
        <v>4883</v>
      </c>
      <c r="G769" t="s" s="7">
        <v>4884</v>
      </c>
      <c r="H769" t="s" s="7">
        <v>4885</v>
      </c>
      <c r="I769" t="str" s="8" cm="1">
        <f t="array" ref="I769">SUBSTITUTE(H769,B769,"(          )")</f>
        <v>Cloud (          ) indicates changing weather patterns.</v>
      </c>
      <c r="J769" s="9" cm="1">
        <f t="array" ref="J769">SUMIF('외운 것 - 엑셀다운로드 파일(붙여넣기)'!A3:A562,A769,'외운 것 - 엑셀다운로드 파일(붙여넣기)'!D3:D562)</f>
        <v>0</v>
      </c>
      <c r="K769" s="9" cm="1">
        <f t="array" ref="K769">_xlfn.COUNTIFS('외운 것 - 엑셀다운로드 파일(붙여넣기)'!A3:A562,A769,'외운 것 - 엑셀다운로드 파일(붙여넣기)'!D3:D562,0)</f>
        <v>0</v>
      </c>
      <c r="L769" s="9" cm="1">
        <f t="array" ref="L769">IF(J769&gt;=3,_xlfn.XLOOKUP(A769,'외운 것 - 엑셀다운로드 파일(붙여넣기)'!A3:A562,'외운 것 - 엑셀다운로드 파일(붙여넣기)'!C3:C562,0,-1),0)</f>
        <v>0</v>
      </c>
    </row>
    <row r="770" ht="23.45" customHeight="1">
      <c r="A770" s="3">
        <v>769</v>
      </c>
      <c r="B770" t="s" s="4">
        <v>4887</v>
      </c>
      <c r="C770" t="s" s="5">
        <v>4862</v>
      </c>
      <c r="D770" t="s" s="5">
        <v>4875</v>
      </c>
      <c r="E770" t="s" s="5">
        <v>4888</v>
      </c>
      <c r="F770" t="s" s="10">
        <v>4889</v>
      </c>
      <c r="G770" t="s" s="7">
        <v>4890</v>
      </c>
      <c r="H770" t="s" s="7">
        <v>4891</v>
      </c>
      <c r="I770" t="str" s="8" cm="1">
        <f t="array" ref="I770">SUBSTITUTE(H770,B770,"(          )")</f>
        <v>The (          ) for water is H2O.</v>
      </c>
      <c r="J770" s="9" cm="1">
        <f t="array" ref="J770">SUMIF('외운 것 - 엑셀다운로드 파일(붙여넣기)'!A3:A562,A770,'외운 것 - 엑셀다운로드 파일(붙여넣기)'!D3:D562)</f>
        <v>0</v>
      </c>
      <c r="K770" s="9" cm="1">
        <f t="array" ref="K770">_xlfn.COUNTIFS('외운 것 - 엑셀다운로드 파일(붙여넣기)'!A3:A562,A770,'외운 것 - 엑셀다운로드 파일(붙여넣기)'!D3:D562,0)</f>
        <v>0</v>
      </c>
      <c r="L770" s="9" cm="1">
        <f t="array" ref="L770">IF(J770&gt;=3,_xlfn.XLOOKUP(A770,'외운 것 - 엑셀다운로드 파일(붙여넣기)'!A3:A562,'외운 것 - 엑셀다운로드 파일(붙여넣기)'!C3:C562,0,-1),0)</f>
        <v>0</v>
      </c>
    </row>
    <row r="771" ht="38.45" customHeight="1">
      <c r="A771" s="3">
        <v>770</v>
      </c>
      <c r="B771" t="s" s="4">
        <v>4893</v>
      </c>
      <c r="C771" t="s" s="5">
        <v>4862</v>
      </c>
      <c r="D771" t="s" s="5">
        <v>4875</v>
      </c>
      <c r="E771" t="s" s="5">
        <v>4894</v>
      </c>
      <c r="F771" t="s" s="10">
        <v>4895</v>
      </c>
      <c r="G771" t="s" s="7">
        <v>4896</v>
      </c>
      <c r="H771" t="s" s="7">
        <v>4897</v>
      </c>
      <c r="I771" t="str" s="8" cm="1">
        <f t="array" ref="I771">SUBSTITUTE(H771,B771,"(          )")</f>
        <v>Heat can (          ) plastic containers.</v>
      </c>
      <c r="J771" s="9" cm="1">
        <f t="array" ref="J771">SUMIF('외운 것 - 엑셀다운로드 파일(붙여넣기)'!A3:A562,A771,'외운 것 - 엑셀다운로드 파일(붙여넣기)'!D3:D562)</f>
        <v>0</v>
      </c>
      <c r="K771" s="9" cm="1">
        <f t="array" ref="K771">_xlfn.COUNTIFS('외운 것 - 엑셀다운로드 파일(붙여넣기)'!A3:A562,A771,'외운 것 - 엑셀다운로드 파일(붙여넣기)'!D3:D562,0)</f>
        <v>0</v>
      </c>
      <c r="L771" s="9" cm="1">
        <f t="array" ref="L771">IF(J771&gt;=3,_xlfn.XLOOKUP(A771,'외운 것 - 엑셀다운로드 파일(붙여넣기)'!A3:A562,'외운 것 - 엑셀다운로드 파일(붙여넣기)'!C3:C562,0,-1),0)</f>
        <v>0</v>
      </c>
    </row>
    <row r="772" ht="38.45" customHeight="1">
      <c r="A772" s="3">
        <v>771</v>
      </c>
      <c r="B772" t="s" s="4">
        <v>4899</v>
      </c>
      <c r="C772" t="s" s="5">
        <v>4862</v>
      </c>
      <c r="D772" t="s" s="5">
        <v>4875</v>
      </c>
      <c r="E772" t="s" s="5">
        <v>4900</v>
      </c>
      <c r="F772" t="s" s="10">
        <v>4901</v>
      </c>
      <c r="G772" t="s" s="7">
        <v>4902</v>
      </c>
      <c r="H772" t="s" s="7">
        <v>4903</v>
      </c>
      <c r="I772" t="str" s="8" cm="1">
        <f t="array" ref="I772">SUBSTITUTE(H772,B772,"(          )")</f>
        <v>Please (          ) me if there are any changes to the plan.</v>
      </c>
      <c r="J772" s="9" cm="1">
        <f t="array" ref="J772">SUMIF('외운 것 - 엑셀다운로드 파일(붙여넣기)'!A3:A562,A772,'외운 것 - 엑셀다운로드 파일(붙여넣기)'!D3:D562)</f>
        <v>0</v>
      </c>
      <c r="K772" s="9" cm="1">
        <f t="array" ref="K772">_xlfn.COUNTIFS('외운 것 - 엑셀다운로드 파일(붙여넣기)'!A3:A562,A772,'외운 것 - 엑셀다운로드 파일(붙여넣기)'!D3:D562,0)</f>
        <v>0</v>
      </c>
      <c r="L772" s="9" cm="1">
        <f t="array" ref="L772">IF(J772&gt;=3,_xlfn.XLOOKUP(A772,'외운 것 - 엑셀다운로드 파일(붙여넣기)'!A3:A562,'외운 것 - 엑셀다운로드 파일(붙여넣기)'!C3:C562,0,-1),0)</f>
        <v>0</v>
      </c>
    </row>
    <row r="773" ht="36.4" customHeight="1">
      <c r="A773" s="3">
        <v>772</v>
      </c>
      <c r="B773" t="s" s="4">
        <v>4905</v>
      </c>
      <c r="C773" t="s" s="5">
        <v>4906</v>
      </c>
      <c r="D773" t="s" s="5">
        <v>4862</v>
      </c>
      <c r="E773" t="s" s="5">
        <v>4907</v>
      </c>
      <c r="F773" t="s" s="10">
        <v>4908</v>
      </c>
      <c r="G773" t="s" s="7">
        <v>4909</v>
      </c>
      <c r="H773" t="s" s="7">
        <v>4910</v>
      </c>
      <c r="I773" t="str" s="8" cm="1">
        <f t="array" ref="I773">SUBSTITUTE(H773,B773,"(          )")</f>
        <v>The website provides useful (          ) about the city.</v>
      </c>
      <c r="J773" s="9" cm="1">
        <f t="array" ref="J773">SUMIF('외운 것 - 엑셀다운로드 파일(붙여넣기)'!A3:A562,A773,'외운 것 - 엑셀다운로드 파일(붙여넣기)'!D3:D562)</f>
        <v>0</v>
      </c>
      <c r="K773" s="9" cm="1">
        <f t="array" ref="K773">_xlfn.COUNTIFS('외운 것 - 엑셀다운로드 파일(붙여넣기)'!A3:A562,A773,'외운 것 - 엑셀다운로드 파일(붙여넣기)'!D3:D562,0)</f>
        <v>0</v>
      </c>
      <c r="L773" s="9" cm="1">
        <f t="array" ref="L773">IF(J773&gt;=3,_xlfn.XLOOKUP(A773,'외운 것 - 엑셀다운로드 파일(붙여넣기)'!A3:A562,'외운 것 - 엑셀다운로드 파일(붙여넣기)'!C3:C562,0,-1),0)</f>
        <v>0</v>
      </c>
    </row>
    <row r="774" ht="36.4" customHeight="1">
      <c r="A774" s="3">
        <v>773</v>
      </c>
      <c r="B774" t="s" s="4">
        <v>4912</v>
      </c>
      <c r="C774" t="s" s="5">
        <v>4906</v>
      </c>
      <c r="D774" t="s" s="5">
        <v>4862</v>
      </c>
      <c r="E774" t="s" s="5">
        <v>4913</v>
      </c>
      <c r="F774" t="s" s="10">
        <v>4914</v>
      </c>
      <c r="G774" t="s" s="7">
        <v>4915</v>
      </c>
      <c r="H774" t="s" s="7">
        <v>4916</v>
      </c>
      <c r="I774" t="str" s="8" cm="1">
        <f t="array" ref="I774">SUBSTITUTE(H774,B774,"(          )")</f>
        <v>The documentary was both entertaining and (          ).</v>
      </c>
      <c r="J774" s="9" cm="1">
        <f t="array" ref="J774">SUMIF('외운 것 - 엑셀다운로드 파일(붙여넣기)'!A3:A562,A774,'외운 것 - 엑셀다운로드 파일(붙여넣기)'!D3:D562)</f>
        <v>0</v>
      </c>
      <c r="K774" s="9" cm="1">
        <f t="array" ref="K774">_xlfn.COUNTIFS('외운 것 - 엑셀다운로드 파일(붙여넣기)'!A3:A562,A774,'외운 것 - 엑셀다운로드 파일(붙여넣기)'!D3:D562,0)</f>
        <v>0</v>
      </c>
      <c r="L774" s="9" cm="1">
        <f t="array" ref="L774">IF(J774&gt;=3,_xlfn.XLOOKUP(A774,'외운 것 - 엑셀다운로드 파일(붙여넣기)'!A3:A562,'외운 것 - 엑셀다운로드 파일(붙여넣기)'!C3:C562,0,-1),0)</f>
        <v>0</v>
      </c>
    </row>
    <row r="775" ht="23.45" customHeight="1">
      <c r="A775" s="3">
        <v>774</v>
      </c>
      <c r="B775" t="s" s="4">
        <v>4918</v>
      </c>
      <c r="C775" t="s" s="5">
        <v>4862</v>
      </c>
      <c r="D775" t="s" s="5">
        <v>4875</v>
      </c>
      <c r="E775" t="s" s="5">
        <v>4919</v>
      </c>
      <c r="F775" t="s" s="10">
        <v>4920</v>
      </c>
      <c r="G775" t="s" s="7">
        <v>4921</v>
      </c>
      <c r="H775" t="s" s="7">
        <v>4922</v>
      </c>
      <c r="I775" t="str" s="8" cm="1">
        <f t="array" ref="I775">SUBSTITUTE(H775,B775,"(          )")</f>
        <v>Students must (          ) to school dress code.</v>
      </c>
      <c r="J775" s="9" cm="1">
        <f t="array" ref="J775">SUMIF('외운 것 - 엑셀다운로드 파일(붙여넣기)'!A3:A562,A775,'외운 것 - 엑셀다운로드 파일(붙여넣기)'!D3:D562)</f>
        <v>0</v>
      </c>
      <c r="K775" s="9" cm="1">
        <f t="array" ref="K775">_xlfn.COUNTIFS('외운 것 - 엑셀다운로드 파일(붙여넣기)'!A3:A562,A775,'외운 것 - 엑셀다운로드 파일(붙여넣기)'!D3:D562,0)</f>
        <v>0</v>
      </c>
      <c r="L775" s="9" cm="1">
        <f t="array" ref="L775">IF(J775&gt;=3,_xlfn.XLOOKUP(A775,'외운 것 - 엑셀다운로드 파일(붙여넣기)'!A3:A562,'외운 것 - 엑셀다운로드 파일(붙여넣기)'!C3:C562,0,-1),0)</f>
        <v>0</v>
      </c>
    </row>
    <row r="776" ht="36.4" customHeight="1">
      <c r="A776" s="3">
        <v>775</v>
      </c>
      <c r="B776" t="s" s="4">
        <v>4924</v>
      </c>
      <c r="C776" t="s" s="5">
        <v>4925</v>
      </c>
      <c r="D776" t="s" s="5">
        <v>4862</v>
      </c>
      <c r="E776" t="s" s="5">
        <v>4926</v>
      </c>
      <c r="F776" t="s" s="10">
        <v>4927</v>
      </c>
      <c r="G776" t="s" s="7">
        <v>4928</v>
      </c>
      <c r="H776" t="s" s="7">
        <v>4929</v>
      </c>
      <c r="I776" t="str" s="8" cm="1">
        <f t="array" ref="I776">SUBSTITUTE(H776,B776,"(          )")</f>
        <v>Conformity to social norms is expected in many situations.</v>
      </c>
      <c r="J776" s="9" cm="1">
        <f t="array" ref="J776">SUMIF('외운 것 - 엑셀다운로드 파일(붙여넣기)'!A3:A562,A776,'외운 것 - 엑셀다운로드 파일(붙여넣기)'!D3:D562)</f>
        <v>0</v>
      </c>
      <c r="K776" s="9" cm="1">
        <f t="array" ref="K776">_xlfn.COUNTIFS('외운 것 - 엑셀다운로드 파일(붙여넣기)'!A3:A562,A776,'외운 것 - 엑셀다운로드 파일(붙여넣기)'!D3:D562,0)</f>
        <v>0</v>
      </c>
      <c r="L776" s="9" cm="1">
        <f t="array" ref="L776">IF(J776&gt;=3,_xlfn.XLOOKUP(A776,'외운 것 - 엑셀다운로드 파일(붙여넣기)'!A3:A562,'외운 것 - 엑셀다운로드 파일(붙여넣기)'!C3:C562,0,-1),0)</f>
        <v>0</v>
      </c>
    </row>
    <row r="777" ht="23.45" customHeight="1">
      <c r="A777" s="3">
        <v>776</v>
      </c>
      <c r="B777" t="s" s="4">
        <v>4931</v>
      </c>
      <c r="C777" t="s" s="5">
        <v>4862</v>
      </c>
      <c r="D777" t="s" s="5">
        <v>4875</v>
      </c>
      <c r="E777" t="s" s="5">
        <v>4932</v>
      </c>
      <c r="F777" t="s" s="10">
        <v>4933</v>
      </c>
      <c r="G777" t="s" s="7">
        <v>4934</v>
      </c>
      <c r="H777" t="s" s="7">
        <v>4935</v>
      </c>
      <c r="I777" t="str" s="8" cm="1">
        <f t="array" ref="I777">SUBSTITUTE(H777,B777,"(          )")</f>
        <v>The government introduced education (          ) last year.</v>
      </c>
      <c r="J777" s="9" cm="1">
        <f t="array" ref="J777">SUMIF('외운 것 - 엑셀다운로드 파일(붙여넣기)'!A3:A562,A777,'외운 것 - 엑셀다운로드 파일(붙여넣기)'!D3:D562)</f>
        <v>0</v>
      </c>
      <c r="K777" s="9" cm="1">
        <f t="array" ref="K777">_xlfn.COUNTIFS('외운 것 - 엑셀다운로드 파일(붙여넣기)'!A3:A562,A777,'외운 것 - 엑셀다운로드 파일(붙여넣기)'!D3:D562,0)</f>
        <v>0</v>
      </c>
      <c r="L777" s="9" cm="1">
        <f t="array" ref="L777">IF(J777&gt;=3,_xlfn.XLOOKUP(A777,'외운 것 - 엑셀다운로드 파일(붙여넣기)'!A3:A562,'외운 것 - 엑셀다운로드 파일(붙여넣기)'!C3:C562,0,-1),0)</f>
        <v>0</v>
      </c>
    </row>
    <row r="778" ht="38.45" customHeight="1">
      <c r="A778" s="3">
        <v>777</v>
      </c>
      <c r="B778" t="s" s="4">
        <v>4937</v>
      </c>
      <c r="C778" t="s" s="5">
        <v>4862</v>
      </c>
      <c r="D778" t="s" s="5">
        <v>4875</v>
      </c>
      <c r="E778" t="s" s="5">
        <v>4938</v>
      </c>
      <c r="F778" t="s" s="10">
        <v>4939</v>
      </c>
      <c r="G778" t="s" s="7">
        <v>4940</v>
      </c>
      <c r="H778" t="s" s="7">
        <v>4941</v>
      </c>
      <c r="I778" t="str" s="8" cm="1">
        <f t="array" ref="I778">SUBSTITUTE(H778,B778,"(          )")</f>
        <v>The band will (          ) at the festival this weekend.</v>
      </c>
      <c r="J778" s="9" cm="1">
        <f t="array" ref="J778">SUMIF('외운 것 - 엑셀다운로드 파일(붙여넣기)'!A3:A562,A778,'외운 것 - 엑셀다운로드 파일(붙여넣기)'!D3:D562)</f>
        <v>0</v>
      </c>
      <c r="K778" s="9" cm="1">
        <f t="array" ref="K778">_xlfn.COUNTIFS('외운 것 - 엑셀다운로드 파일(붙여넣기)'!A3:A562,A778,'외운 것 - 엑셀다운로드 파일(붙여넣기)'!D3:D562,0)</f>
        <v>0</v>
      </c>
      <c r="L778" s="9" cm="1">
        <f t="array" ref="L778">IF(J778&gt;=3,_xlfn.XLOOKUP(A778,'외운 것 - 엑셀다운로드 파일(붙여넣기)'!A3:A562,'외운 것 - 엑셀다운로드 파일(붙여넣기)'!C3:C562,0,-1),0)</f>
        <v>0</v>
      </c>
    </row>
    <row r="779" ht="38.45" customHeight="1">
      <c r="A779" s="3">
        <v>778</v>
      </c>
      <c r="B779" t="s" s="4">
        <v>4943</v>
      </c>
      <c r="C779" t="s" s="5">
        <v>4944</v>
      </c>
      <c r="D779" t="s" s="5">
        <v>4862</v>
      </c>
      <c r="E779" t="s" s="5">
        <v>4945</v>
      </c>
      <c r="F779" t="s" s="10">
        <v>4946</v>
      </c>
      <c r="G779" t="s" s="7">
        <v>4947</v>
      </c>
      <c r="H779" t="s" s="7">
        <v>4948</v>
      </c>
      <c r="I779" t="str" s="8" cm="1">
        <f t="array" ref="I779">SUBSTITUTE(H779,B779,"(          )")</f>
        <v>Her (          ) in the play received excellent reviews.</v>
      </c>
      <c r="J779" s="9" cm="1">
        <f t="array" ref="J779">SUMIF('외운 것 - 엑셀다운로드 파일(붙여넣기)'!A3:A562,A779,'외운 것 - 엑셀다운로드 파일(붙여넣기)'!D3:D562)</f>
        <v>0</v>
      </c>
      <c r="K779" s="9" cm="1">
        <f t="array" ref="K779">_xlfn.COUNTIFS('외운 것 - 엑셀다운로드 파일(붙여넣기)'!A3:A562,A779,'외운 것 - 엑셀다운로드 파일(붙여넣기)'!D3:D562,0)</f>
        <v>0</v>
      </c>
      <c r="L779" s="9" cm="1">
        <f t="array" ref="L779">IF(J779&gt;=3,_xlfn.XLOOKUP(A779,'외운 것 - 엑셀다운로드 파일(붙여넣기)'!A3:A562,'외운 것 - 엑셀다운로드 파일(붙여넣기)'!C3:C562,0,-1),0)</f>
        <v>0</v>
      </c>
    </row>
    <row r="780" ht="23.45" customHeight="1">
      <c r="A780" s="3">
        <v>779</v>
      </c>
      <c r="B780" t="s" s="4">
        <v>4950</v>
      </c>
      <c r="C780" t="s" s="5">
        <v>4862</v>
      </c>
      <c r="D780" t="s" s="5">
        <v>4875</v>
      </c>
      <c r="E780" t="s" s="5">
        <v>4951</v>
      </c>
      <c r="F780" t="s" s="10">
        <v>4952</v>
      </c>
      <c r="G780" t="s" s="7">
        <v>4953</v>
      </c>
      <c r="H780" t="s" s="7">
        <v>4954</v>
      </c>
      <c r="I780" t="str" s="8" cm="1">
        <f t="array" ref="I780">SUBSTITUTE(H780,B780,"(          )")</f>
        <v>Police officers wear a blue (          ).</v>
      </c>
      <c r="J780" s="9" cm="1">
        <f t="array" ref="J780">SUMIF('외운 것 - 엑셀다운로드 파일(붙여넣기)'!A3:A562,A780,'외운 것 - 엑셀다운로드 파일(붙여넣기)'!D3:D562)</f>
        <v>0</v>
      </c>
      <c r="K780" s="9" cm="1">
        <f t="array" ref="K780">_xlfn.COUNTIFS('외운 것 - 엑셀다운로드 파일(붙여넣기)'!A3:A562,A780,'외운 것 - 엑셀다운로드 파일(붙여넣기)'!D3:D562,0)</f>
        <v>0</v>
      </c>
      <c r="L780" s="9" cm="1">
        <f t="array" ref="L780">IF(J780&gt;=3,_xlfn.XLOOKUP(A780,'외운 것 - 엑셀다운로드 파일(붙여넣기)'!A3:A562,'외운 것 - 엑셀다운로드 파일(붙여넣기)'!C3:C562,0,-1),0)</f>
        <v>0</v>
      </c>
    </row>
    <row r="781" ht="38.45" customHeight="1">
      <c r="A781" s="3">
        <v>780</v>
      </c>
      <c r="B781" t="s" s="4">
        <v>4956</v>
      </c>
      <c r="C781" t="s" s="5">
        <v>4957</v>
      </c>
      <c r="D781" t="s" s="5">
        <v>4958</v>
      </c>
      <c r="E781" t="s" s="5">
        <v>4959</v>
      </c>
      <c r="F781" t="s" s="10">
        <v>4960</v>
      </c>
      <c r="G781" t="s" s="7">
        <v>4961</v>
      </c>
      <c r="H781" t="s" s="7">
        <v>4962</v>
      </c>
      <c r="I781" t="str" s="8" cm="1">
        <f t="array" ref="I781">SUBSTITUTE(H781,B781,"(          )")</f>
        <v>The mattress is too (          ) for me.</v>
      </c>
      <c r="J781" s="9" cm="1">
        <f t="array" ref="J781">SUMIF('외운 것 - 엑셀다운로드 파일(붙여넣기)'!A3:A562,A781,'외운 것 - 엑셀다운로드 파일(붙여넣기)'!D3:D562)</f>
        <v>0</v>
      </c>
      <c r="K781" s="9" cm="1">
        <f t="array" ref="K781">_xlfn.COUNTIFS('외운 것 - 엑셀다운로드 파일(붙여넣기)'!A3:A562,A781,'외운 것 - 엑셀다운로드 파일(붙여넣기)'!D3:D562,0)</f>
        <v>0</v>
      </c>
      <c r="L781" s="9" cm="1">
        <f t="array" ref="L781">IF(J781&gt;=3,_xlfn.XLOOKUP(A781,'외운 것 - 엑셀다운로드 파일(붙여넣기)'!A3:A562,'외운 것 - 엑셀다운로드 파일(붙여넣기)'!C3:C562,0,-1),0)</f>
        <v>0</v>
      </c>
    </row>
    <row r="782" ht="23.45" customHeight="1">
      <c r="A782" s="3">
        <v>781</v>
      </c>
      <c r="B782" t="s" s="4">
        <v>4964</v>
      </c>
      <c r="C782" t="s" s="5">
        <v>4956</v>
      </c>
      <c r="D782" t="s" s="5">
        <v>4965</v>
      </c>
      <c r="E782" t="s" s="5">
        <v>4966</v>
      </c>
      <c r="F782" t="s" s="10">
        <v>4967</v>
      </c>
      <c r="G782" t="s" s="7">
        <v>4968</v>
      </c>
      <c r="H782" t="s" s="7">
        <v>4969</v>
      </c>
      <c r="I782" t="str" s="8" cm="1">
        <f t="array" ref="I782">SUBSTITUTE(H782,B782,"(          )")</f>
        <v>The court will (          ) the previous ruling.</v>
      </c>
      <c r="J782" s="9" cm="1">
        <f t="array" ref="J782">SUMIF('외운 것 - 엑셀다운로드 파일(붙여넣기)'!A3:A562,A782,'외운 것 - 엑셀다운로드 파일(붙여넣기)'!D3:D562)</f>
        <v>0</v>
      </c>
      <c r="K782" s="9" cm="1">
        <f t="array" ref="K782">_xlfn.COUNTIFS('외운 것 - 엑셀다운로드 파일(붙여넣기)'!A3:A562,A782,'외운 것 - 엑셀다운로드 파일(붙여넣기)'!D3:D562,0)</f>
        <v>0</v>
      </c>
      <c r="L782" s="9" cm="1">
        <f t="array" ref="L782">IF(J782&gt;=3,_xlfn.XLOOKUP(A782,'외운 것 - 엑셀다운로드 파일(붙여넣기)'!A3:A562,'외운 것 - 엑셀다운로드 파일(붙여넣기)'!C3:C562,0,-1),0)</f>
        <v>0</v>
      </c>
    </row>
    <row r="783" ht="23.45" customHeight="1">
      <c r="A783" s="3">
        <v>782</v>
      </c>
      <c r="B783" t="s" s="4">
        <v>4971</v>
      </c>
      <c r="C783" t="s" s="5">
        <v>4956</v>
      </c>
      <c r="D783" t="s" s="5">
        <v>4965</v>
      </c>
      <c r="E783" t="s" s="5">
        <v>4972</v>
      </c>
      <c r="F783" t="s" s="10">
        <v>4973</v>
      </c>
      <c r="G783" t="s" s="7">
        <v>4974</v>
      </c>
      <c r="H783" t="s" s="7">
        <v>4975</v>
      </c>
      <c r="I783" t="str" s="8" cm="1">
        <f t="array" ref="I783">SUBSTITUTE(H783,B783,"(          )")</f>
        <v>Please (          ) your appointment by email.</v>
      </c>
      <c r="J783" s="9" cm="1">
        <f t="array" ref="J783">SUMIF('외운 것 - 엑셀다운로드 파일(붙여넣기)'!A3:A562,A783,'외운 것 - 엑셀다운로드 파일(붙여넣기)'!D3:D562)</f>
        <v>0</v>
      </c>
      <c r="K783" s="9" cm="1">
        <f t="array" ref="K783">_xlfn.COUNTIFS('외운 것 - 엑셀다운로드 파일(붙여넣기)'!A3:A562,A783,'외운 것 - 엑셀다운로드 파일(붙여넣기)'!D3:D562,0)</f>
        <v>0</v>
      </c>
      <c r="L783" s="9" cm="1">
        <f t="array" ref="L783">IF(J783&gt;=3,_xlfn.XLOOKUP(A783,'외운 것 - 엑셀다운로드 파일(붙여넣기)'!A3:A562,'외운 것 - 엑셀다운로드 파일(붙여넣기)'!C3:C562,0,-1),0)</f>
        <v>0</v>
      </c>
    </row>
    <row r="784" ht="38.45" customHeight="1">
      <c r="A784" s="3">
        <v>783</v>
      </c>
      <c r="B784" t="s" s="4">
        <v>4977</v>
      </c>
      <c r="C784" t="s" s="5">
        <v>4978</v>
      </c>
      <c r="D784" t="s" s="5">
        <v>4956</v>
      </c>
      <c r="E784" t="s" s="5">
        <v>4979</v>
      </c>
      <c r="F784" t="s" s="10">
        <v>4980</v>
      </c>
      <c r="G784" t="s" s="7">
        <v>4981</v>
      </c>
      <c r="H784" t="s" s="7">
        <v>4982</v>
      </c>
      <c r="I784" t="str" s="8" cm="1">
        <f t="array" ref="I784">SUBSTITUTE(H784,B784,"(          )")</f>
        <v>You should (          ) your flight 24 hours before departure.</v>
      </c>
      <c r="J784" s="9" cm="1">
        <f t="array" ref="J784">SUMIF('외운 것 - 엑셀다운로드 파일(붙여넣기)'!A3:A562,A784,'외운 것 - 엑셀다운로드 파일(붙여넣기)'!D3:D562)</f>
        <v>0</v>
      </c>
      <c r="K784" s="9" cm="1">
        <f t="array" ref="K784">_xlfn.COUNTIFS('외운 것 - 엑셀다운로드 파일(붙여넣기)'!A3:A562,A784,'외운 것 - 엑셀다운로드 파일(붙여넣기)'!D3:D562,0)</f>
        <v>0</v>
      </c>
      <c r="L784" s="9" cm="1">
        <f t="array" ref="L784">IF(J784&gt;=3,_xlfn.XLOOKUP(A784,'외운 것 - 엑셀다운로드 파일(붙여넣기)'!A3:A562,'외운 것 - 엑셀다운로드 파일(붙여넣기)'!C3:C562,0,-1),0)</f>
        <v>0</v>
      </c>
    </row>
    <row r="785" ht="23.45" customHeight="1">
      <c r="A785" s="3">
        <v>784</v>
      </c>
      <c r="B785" t="s" s="4">
        <v>4984</v>
      </c>
      <c r="C785" t="s" s="5">
        <v>4956</v>
      </c>
      <c r="D785" t="s" s="5">
        <v>4965</v>
      </c>
      <c r="E785" t="s" s="5">
        <v>4985</v>
      </c>
      <c r="F785" t="s" s="10">
        <v>4986</v>
      </c>
      <c r="G785" t="s" s="7">
        <v>4987</v>
      </c>
      <c r="H785" t="s" s="7">
        <v>4988</v>
      </c>
      <c r="I785" t="str" s="8" cm="1">
        <f t="array" ref="I785">SUBSTITUTE(H785,B785,"(          )")</f>
        <v>The (          ) elderly man needed assistance walking.</v>
      </c>
      <c r="J785" s="9" cm="1">
        <f t="array" ref="J785">SUMIF('외운 것 - 엑셀다운로드 파일(붙여넣기)'!A3:A562,A785,'외운 것 - 엑셀다운로드 파일(붙여넣기)'!D3:D562)</f>
        <v>0</v>
      </c>
      <c r="K785" s="9" cm="1">
        <f t="array" ref="K785">_xlfn.COUNTIFS('외운 것 - 엑셀다운로드 파일(붙여넣기)'!A3:A562,A785,'외운 것 - 엑셀다운로드 파일(붙여넣기)'!D3:D562,0)</f>
        <v>0</v>
      </c>
      <c r="L785" s="9" cm="1">
        <f t="array" ref="L785">IF(J785&gt;=3,_xlfn.XLOOKUP(A785,'외운 것 - 엑셀다운로드 파일(붙여넣기)'!A3:A562,'외운 것 - 엑셀다운로드 파일(붙여넣기)'!C3:C562,0,-1),0)</f>
        <v>0</v>
      </c>
    </row>
    <row r="786" ht="23.45" customHeight="1">
      <c r="A786" s="3">
        <v>785</v>
      </c>
      <c r="B786" t="s" s="4">
        <v>4990</v>
      </c>
      <c r="C786" t="s" s="5">
        <v>4991</v>
      </c>
      <c r="D786" t="s" s="5">
        <v>4992</v>
      </c>
      <c r="E786" t="s" s="5">
        <v>4993</v>
      </c>
      <c r="F786" t="s" s="10">
        <v>4994</v>
      </c>
      <c r="G786" t="s" s="7">
        <v>4995</v>
      </c>
      <c r="H786" t="s" s="7">
        <v>4996</v>
      </c>
      <c r="I786" t="str" s="8" cm="1">
        <f t="array" ref="I786">SUBSTITUTE(H786,B786,"(          )")</f>
        <v>Handle the (          ) glass with care.</v>
      </c>
      <c r="J786" s="9" cm="1">
        <f t="array" ref="J786">SUMIF('외운 것 - 엑셀다운로드 파일(붙여넣기)'!A3:A562,A786,'외운 것 - 엑셀다운로드 파일(붙여넣기)'!D3:D562)</f>
        <v>0</v>
      </c>
      <c r="K786" s="9" cm="1">
        <f t="array" ref="K786">_xlfn.COUNTIFS('외운 것 - 엑셀다운로드 파일(붙여넣기)'!A3:A562,A786,'외운 것 - 엑셀다운로드 파일(붙여넣기)'!D3:D562,0)</f>
        <v>0</v>
      </c>
      <c r="L786" s="9" cm="1">
        <f t="array" ref="L786">IF(J786&gt;=3,_xlfn.XLOOKUP(A786,'외운 것 - 엑셀다운로드 파일(붙여넣기)'!A3:A562,'외운 것 - 엑셀다운로드 파일(붙여넣기)'!C3:C562,0,-1),0)</f>
        <v>0</v>
      </c>
    </row>
    <row r="787" ht="23.45" customHeight="1">
      <c r="A787" s="3">
        <v>786</v>
      </c>
      <c r="B787" t="s" s="4">
        <v>4998</v>
      </c>
      <c r="C787" t="s" s="5">
        <v>4991</v>
      </c>
      <c r="D787" t="s" s="5">
        <v>4992</v>
      </c>
      <c r="E787" t="s" s="5">
        <v>4999</v>
      </c>
      <c r="F787" t="s" s="10">
        <v>5000</v>
      </c>
      <c r="G787" t="s" s="7">
        <v>5001</v>
      </c>
      <c r="H787" t="s" s="7">
        <v>5002</v>
      </c>
      <c r="I787" t="str" s="8" cm="1">
        <f t="array" ref="I787">SUBSTITUTE(H787,B787,"(          )")</f>
        <v>Archaeologists found a (          ) of ancient pottery.</v>
      </c>
      <c r="J787" s="9" cm="1">
        <f t="array" ref="J787">SUMIF('외운 것 - 엑셀다운로드 파일(붙여넣기)'!A3:A562,A787,'외운 것 - 엑셀다운로드 파일(붙여넣기)'!D3:D562)</f>
        <v>0</v>
      </c>
      <c r="K787" s="9" cm="1">
        <f t="array" ref="K787">_xlfn.COUNTIFS('외운 것 - 엑셀다운로드 파일(붙여넣기)'!A3:A562,A787,'외운 것 - 엑셀다운로드 파일(붙여넣기)'!D3:D562,0)</f>
        <v>0</v>
      </c>
      <c r="L787" s="9" cm="1">
        <f t="array" ref="L787">IF(J787&gt;=3,_xlfn.XLOOKUP(A787,'외운 것 - 엑셀다운로드 파일(붙여넣기)'!A3:A562,'외운 것 - 엑셀다운로드 파일(붙여넣기)'!C3:C562,0,-1),0)</f>
        <v>0</v>
      </c>
    </row>
    <row r="788" ht="36.4" customHeight="1">
      <c r="A788" s="3">
        <v>787</v>
      </c>
      <c r="B788" t="s" s="4">
        <v>5004</v>
      </c>
      <c r="C788" t="s" s="5">
        <v>5005</v>
      </c>
      <c r="D788" t="s" s="5">
        <v>4991</v>
      </c>
      <c r="E788" t="s" s="5">
        <v>5006</v>
      </c>
      <c r="F788" t="s" s="10">
        <v>5007</v>
      </c>
      <c r="G788" t="s" s="7">
        <v>5008</v>
      </c>
      <c r="H788" t="s" s="7">
        <v>5009</v>
      </c>
      <c r="I788" t="str" s="8" cm="1">
        <f t="array" ref="I788">SUBSTITUTE(H788,B788,"(          )")</f>
        <v>Only (          ) evidence of the civilization remains.</v>
      </c>
      <c r="J788" s="9" cm="1">
        <f t="array" ref="J788">SUMIF('외운 것 - 엑셀다운로드 파일(붙여넣기)'!A3:A562,A788,'외운 것 - 엑셀다운로드 파일(붙여넣기)'!D3:D562)</f>
        <v>0</v>
      </c>
      <c r="K788" s="9" cm="1">
        <f t="array" ref="K788">_xlfn.COUNTIFS('외운 것 - 엑셀다운로드 파일(붙여넣기)'!A3:A562,A788,'외운 것 - 엑셀다운로드 파일(붙여넣기)'!D3:D562,0)</f>
        <v>0</v>
      </c>
      <c r="L788" s="9" cm="1">
        <f t="array" ref="L788">IF(J788&gt;=3,_xlfn.XLOOKUP(A788,'외운 것 - 엑셀다운로드 파일(붙여넣기)'!A3:A562,'외운 것 - 엑셀다운로드 파일(붙여넣기)'!C3:C562,0,-1),0)</f>
        <v>0</v>
      </c>
    </row>
    <row r="789" ht="38.45" customHeight="1">
      <c r="A789" s="3">
        <v>788</v>
      </c>
      <c r="B789" t="s" s="4">
        <v>5011</v>
      </c>
      <c r="C789" t="s" s="5">
        <v>4991</v>
      </c>
      <c r="D789" t="s" s="5">
        <v>4992</v>
      </c>
      <c r="E789" t="s" s="5">
        <v>5012</v>
      </c>
      <c r="F789" t="s" s="10">
        <v>5013</v>
      </c>
      <c r="G789" t="s" s="7">
        <v>5014</v>
      </c>
      <c r="H789" t="s" s="7">
        <v>5015</v>
      </c>
      <c r="I789" t="str" s="8" cm="1">
        <f t="array" ref="I789">SUBSTITUTE(H789,B789,"(          )")</f>
        <v>The (          ) of fresh flowers filled the room.</v>
      </c>
      <c r="J789" s="9" cm="1">
        <f t="array" ref="J789">SUMIF('외운 것 - 엑셀다운로드 파일(붙여넣기)'!A3:A562,A789,'외운 것 - 엑셀다운로드 파일(붙여넣기)'!D3:D562)</f>
        <v>0</v>
      </c>
      <c r="K789" s="9" cm="1">
        <f t="array" ref="K789">_xlfn.COUNTIFS('외운 것 - 엑셀다운로드 파일(붙여넣기)'!A3:A562,A789,'외운 것 - 엑셀다운로드 파일(붙여넣기)'!D3:D562,0)</f>
        <v>0</v>
      </c>
      <c r="L789" s="9" cm="1">
        <f t="array" ref="L789">IF(J789&gt;=3,_xlfn.XLOOKUP(A789,'외운 것 - 엑셀다운로드 파일(붙여넣기)'!A3:A562,'외운 것 - 엑셀다운로드 파일(붙여넣기)'!C3:C562,0,-1),0)</f>
        <v>0</v>
      </c>
    </row>
    <row r="790" ht="38.45" customHeight="1">
      <c r="A790" s="3">
        <v>789</v>
      </c>
      <c r="B790" t="s" s="4">
        <v>5017</v>
      </c>
      <c r="C790" t="s" s="5">
        <v>4123</v>
      </c>
      <c r="D790" t="s" s="5">
        <v>5018</v>
      </c>
      <c r="E790" t="s" s="5">
        <v>5019</v>
      </c>
      <c r="F790" t="s" s="10">
        <v>5020</v>
      </c>
      <c r="G790" t="s" s="7">
        <v>5021</v>
      </c>
      <c r="H790" t="s" s="7">
        <v>5022</v>
      </c>
      <c r="I790" t="str" s="8" cm="1">
        <f t="array" ref="I790">SUBSTITUTE(H790,B790,"(          )")</f>
        <v>There's a beautiful garden in (          ) of the house.</v>
      </c>
      <c r="J790" s="9" cm="1">
        <f t="array" ref="J790">SUMIF('외운 것 - 엑셀다운로드 파일(붙여넣기)'!A3:A562,A790,'외운 것 - 엑셀다운로드 파일(붙여넣기)'!D3:D562)</f>
        <v>0</v>
      </c>
      <c r="K790" s="9" cm="1">
        <f t="array" ref="K790">_xlfn.COUNTIFS('외운 것 - 엑셀다운로드 파일(붙여넣기)'!A3:A562,A790,'외운 것 - 엑셀다운로드 파일(붙여넣기)'!D3:D562,0)</f>
        <v>0</v>
      </c>
      <c r="L790" s="9" cm="1">
        <f t="array" ref="L790">IF(J790&gt;=3,_xlfn.XLOOKUP(A790,'외운 것 - 엑셀다운로드 파일(붙여넣기)'!A3:A562,'외운 것 - 엑셀다운로드 파일(붙여넣기)'!C3:C562,0,-1),0)</f>
        <v>0</v>
      </c>
    </row>
    <row r="791" ht="23.45" customHeight="1">
      <c r="A791" s="3">
        <v>790</v>
      </c>
      <c r="B791" t="s" s="4">
        <v>5024</v>
      </c>
      <c r="C791" t="s" s="5">
        <v>5017</v>
      </c>
      <c r="D791" t="s" s="5">
        <v>5018</v>
      </c>
      <c r="E791" t="s" s="5">
        <v>5025</v>
      </c>
      <c r="F791" t="s" s="10">
        <v>5026</v>
      </c>
      <c r="G791" t="s" s="7">
        <v>5027</v>
      </c>
      <c r="H791" t="s" s="7">
        <v>5028</v>
      </c>
      <c r="I791" t="str" s="8" cm="1">
        <f t="array" ref="I791">SUBSTITUTE(H791,B791,"(          )")</f>
        <v>Space is the final (          ) for human exploration.</v>
      </c>
      <c r="J791" s="9" cm="1">
        <f t="array" ref="J791">SUMIF('외운 것 - 엑셀다운로드 파일(붙여넣기)'!A3:A562,A791,'외운 것 - 엑셀다운로드 파일(붙여넣기)'!D3:D562)</f>
        <v>0</v>
      </c>
      <c r="K791" s="9" cm="1">
        <f t="array" ref="K791">_xlfn.COUNTIFS('외운 것 - 엑셀다운로드 파일(붙여넣기)'!A3:A562,A791,'외운 것 - 엑셀다운로드 파일(붙여넣기)'!D3:D562,0)</f>
        <v>0</v>
      </c>
      <c r="L791" s="9" cm="1">
        <f t="array" ref="L791">IF(J791&gt;=3,_xlfn.XLOOKUP(A791,'외운 것 - 엑셀다운로드 파일(붙여넣기)'!A3:A562,'외운 것 - 엑셀다운로드 파일(붙여넣기)'!C3:C562,0,-1),0)</f>
        <v>0</v>
      </c>
    </row>
    <row r="792" ht="23.45" customHeight="1">
      <c r="A792" s="3">
        <v>791</v>
      </c>
      <c r="B792" t="s" s="4">
        <v>5030</v>
      </c>
      <c r="C792" t="s" s="5">
        <v>5017</v>
      </c>
      <c r="D792" t="s" s="5">
        <v>5018</v>
      </c>
      <c r="E792" t="s" s="5">
        <v>5031</v>
      </c>
      <c r="F792" t="s" s="10">
        <v>5032</v>
      </c>
      <c r="G792" t="s" s="7">
        <v>5033</v>
      </c>
      <c r="H792" t="s" s="7">
        <v>5034</v>
      </c>
      <c r="I792" t="str" s="8" cm="1">
        <f t="array" ref="I792">SUBSTITUTE(H792,B792,"(          )")</f>
        <v>Her research puts her at the (          ) of medical science.</v>
      </c>
      <c r="J792" s="9" cm="1">
        <f t="array" ref="J792">SUMIF('외운 것 - 엑셀다운로드 파일(붙여넣기)'!A3:A562,A792,'외운 것 - 엑셀다운로드 파일(붙여넣기)'!D3:D562)</f>
        <v>0</v>
      </c>
      <c r="K792" s="9" cm="1">
        <f t="array" ref="K792">_xlfn.COUNTIFS('외운 것 - 엑셀다운로드 파일(붙여넣기)'!A3:A562,A792,'외운 것 - 엑셀다운로드 파일(붙여넣기)'!D3:D562,0)</f>
        <v>0</v>
      </c>
      <c r="L792" s="9" cm="1">
        <f t="array" ref="L792">IF(J792&gt;=3,_xlfn.XLOOKUP(A792,'외운 것 - 엑셀다운로드 파일(붙여넣기)'!A3:A562,'외운 것 - 엑셀다운로드 파일(붙여넣기)'!C3:C562,0,-1),0)</f>
        <v>0</v>
      </c>
    </row>
    <row r="793" ht="23.45" customHeight="1">
      <c r="A793" s="3">
        <v>792</v>
      </c>
      <c r="B793" t="s" s="4">
        <v>5036</v>
      </c>
      <c r="C793" t="s" s="5">
        <v>5017</v>
      </c>
      <c r="D793" t="s" s="5">
        <v>5018</v>
      </c>
      <c r="E793" t="s" s="5">
        <v>5037</v>
      </c>
      <c r="F793" t="s" s="10">
        <v>5038</v>
      </c>
      <c r="G793" t="s" s="7">
        <v>5039</v>
      </c>
      <c r="H793" t="s" s="7">
        <v>5040</v>
      </c>
      <c r="I793" t="str" s="8" cm="1">
        <f t="array" ref="I793">SUBSTITUTE(H793,B793,"(          )")</f>
        <v>We must (          ) the problem directly.</v>
      </c>
      <c r="J793" s="9" cm="1">
        <f t="array" ref="J793">SUMIF('외운 것 - 엑셀다운로드 파일(붙여넣기)'!A3:A562,A793,'외운 것 - 엑셀다운로드 파일(붙여넣기)'!D3:D562)</f>
        <v>0</v>
      </c>
      <c r="K793" s="9" cm="1">
        <f t="array" ref="K793">_xlfn.COUNTIFS('외운 것 - 엑셀다운로드 파일(붙여넣기)'!A3:A562,A793,'외운 것 - 엑셀다운로드 파일(붙여넣기)'!D3:D562,0)</f>
        <v>0</v>
      </c>
      <c r="L793" s="9" cm="1">
        <f t="array" ref="L793">IF(J793&gt;=3,_xlfn.XLOOKUP(A793,'외운 것 - 엑셀다운로드 파일(붙여넣기)'!A3:A562,'외운 것 - 엑셀다운로드 파일(붙여넣기)'!C3:C562,0,-1),0)</f>
        <v>0</v>
      </c>
    </row>
    <row r="794" ht="23.45" customHeight="1">
      <c r="A794" s="3">
        <v>793</v>
      </c>
      <c r="B794" t="s" s="4">
        <v>5042</v>
      </c>
      <c r="C794" t="s" s="5">
        <v>5017</v>
      </c>
      <c r="D794" t="s" s="5">
        <v>5018</v>
      </c>
      <c r="E794" t="s" s="5">
        <v>5043</v>
      </c>
      <c r="F794" t="s" s="10">
        <v>5044</v>
      </c>
      <c r="G794" t="s" s="7">
        <v>5045</v>
      </c>
      <c r="H794" t="s" s="7">
        <v>5046</v>
      </c>
      <c r="I794" t="str" s="8" cm="1">
        <f t="array" ref="I794">SUBSTITUTE(H794,B794,"(          )")</f>
        <v>His rude behavior was an (          ) to everyone present.</v>
      </c>
      <c r="J794" s="9" cm="1">
        <f t="array" ref="J794">SUMIF('외운 것 - 엑셀다운로드 파일(붙여넣기)'!A3:A562,A794,'외운 것 - 엑셀다운로드 파일(붙여넣기)'!D3:D562)</f>
        <v>0</v>
      </c>
      <c r="K794" s="9" cm="1">
        <f t="array" ref="K794">_xlfn.COUNTIFS('외운 것 - 엑셀다운로드 파일(붙여넣기)'!A3:A562,A794,'외운 것 - 엑셀다운로드 파일(붙여넣기)'!D3:D562,0)</f>
        <v>0</v>
      </c>
      <c r="L794" s="9" cm="1">
        <f t="array" ref="L794">IF(J794&gt;=3,_xlfn.XLOOKUP(A794,'외운 것 - 엑셀다운로드 파일(붙여넣기)'!A3:A562,'외운 것 - 엑셀다운로드 파일(붙여넣기)'!C3:C562,0,-1),0)</f>
        <v>0</v>
      </c>
    </row>
    <row r="795" ht="23.45" customHeight="1">
      <c r="A795" s="3">
        <v>794</v>
      </c>
      <c r="B795" t="s" s="4">
        <v>5048</v>
      </c>
      <c r="C795" t="s" s="5">
        <v>5049</v>
      </c>
      <c r="D795" t="s" s="5">
        <v>5050</v>
      </c>
      <c r="E795" t="s" s="5">
        <v>5051</v>
      </c>
      <c r="F795" t="s" s="10">
        <v>5052</v>
      </c>
      <c r="G795" t="s" s="7">
        <v>5053</v>
      </c>
      <c r="H795" t="s" s="7">
        <v>5054</v>
      </c>
      <c r="I795" t="str" s="8" cm="1">
        <f t="array" ref="I795">SUBSTITUTE(H795,B795,"(          )")</f>
        <v>It's a (          ) that water freezes at zero degrees Celsius.</v>
      </c>
      <c r="J795" s="9" cm="1">
        <f t="array" ref="J795">SUMIF('외운 것 - 엑셀다운로드 파일(붙여넣기)'!A3:A562,A795,'외운 것 - 엑셀다운로드 파일(붙여넣기)'!D3:D562)</f>
        <v>0</v>
      </c>
      <c r="K795" s="9" cm="1">
        <f t="array" ref="K795">_xlfn.COUNTIFS('외운 것 - 엑셀다운로드 파일(붙여넣기)'!A3:A562,A795,'외운 것 - 엑셀다운로드 파일(붙여넣기)'!D3:D562,0)</f>
        <v>0</v>
      </c>
      <c r="L795" s="9" cm="1">
        <f t="array" ref="L795">IF(J795&gt;=3,_xlfn.XLOOKUP(A795,'외운 것 - 엑셀다운로드 파일(붙여넣기)'!A3:A562,'외운 것 - 엑셀다운로드 파일(붙여넣기)'!C3:C562,0,-1),0)</f>
        <v>0</v>
      </c>
    </row>
    <row r="796" ht="38.45" customHeight="1">
      <c r="A796" s="3">
        <v>795</v>
      </c>
      <c r="B796" t="s" s="4">
        <v>5056</v>
      </c>
      <c r="C796" t="s" s="5">
        <v>5057</v>
      </c>
      <c r="D796" t="s" s="5">
        <v>5050</v>
      </c>
      <c r="E796" t="s" s="5">
        <v>5058</v>
      </c>
      <c r="F796" t="s" s="10">
        <v>5059</v>
      </c>
      <c r="G796" t="s" s="7">
        <v>5060</v>
      </c>
      <c r="H796" t="s" s="7">
        <v>5061</v>
      </c>
      <c r="I796" t="str" s="8" cm="1">
        <f t="array" ref="I796">SUBSTITUTE(H796,B796,"(          )")</f>
        <v>Cost is an important (          ) in my decision.</v>
      </c>
      <c r="J796" s="9" cm="1">
        <f t="array" ref="J796">SUMIF('외운 것 - 엑셀다운로드 파일(붙여넣기)'!A3:A562,A796,'외운 것 - 엑셀다운로드 파일(붙여넣기)'!D3:D562)</f>
        <v>0</v>
      </c>
      <c r="K796" s="9" cm="1">
        <f t="array" ref="K796">_xlfn.COUNTIFS('외운 것 - 엑셀다운로드 파일(붙여넣기)'!A3:A562,A796,'외운 것 - 엑셀다운로드 파일(붙여넣기)'!D3:D562,0)</f>
        <v>0</v>
      </c>
      <c r="L796" s="9" cm="1">
        <f t="array" ref="L796">IF(J796&gt;=3,_xlfn.XLOOKUP(A796,'외운 것 - 엑셀다운로드 파일(붙여넣기)'!A3:A562,'외운 것 - 엑셀다운로드 파일(붙여넣기)'!C3:C562,0,-1),0)</f>
        <v>0</v>
      </c>
    </row>
    <row r="797" ht="38.45" customHeight="1">
      <c r="A797" s="3">
        <v>796</v>
      </c>
      <c r="B797" t="s" s="4">
        <v>5063</v>
      </c>
      <c r="C797" t="s" s="5">
        <v>5057</v>
      </c>
      <c r="D797" t="s" s="5">
        <v>5050</v>
      </c>
      <c r="E797" t="s" s="5">
        <v>5064</v>
      </c>
      <c r="F797" t="s" s="10">
        <v>5065</v>
      </c>
      <c r="G797" t="s" s="7">
        <v>5066</v>
      </c>
      <c r="H797" t="s" s="7">
        <v>5067</v>
      </c>
      <c r="I797" t="str" s="8" cm="1">
        <f t="array" ref="I797">SUBSTITUTE(H797,B797,"(          )")</f>
        <v>The chocolate (          ) produces thousands of bars daily.</v>
      </c>
      <c r="J797" s="9" cm="1">
        <f t="array" ref="J797">SUMIF('외운 것 - 엑셀다운로드 파일(붙여넣기)'!A3:A562,A797,'외운 것 - 엑셀다운로드 파일(붙여넣기)'!D3:D562)</f>
        <v>0</v>
      </c>
      <c r="K797" s="9" cm="1">
        <f t="array" ref="K797">_xlfn.COUNTIFS('외운 것 - 엑셀다운로드 파일(붙여넣기)'!A3:A562,A797,'외운 것 - 엑셀다운로드 파일(붙여넣기)'!D3:D562,0)</f>
        <v>0</v>
      </c>
      <c r="L797" s="9" cm="1">
        <f t="array" ref="L797">IF(J797&gt;=3,_xlfn.XLOOKUP(A797,'외운 것 - 엑셀다운로드 파일(붙여넣기)'!A3:A562,'외운 것 - 엑셀다운로드 파일(붙여넣기)'!C3:C562,0,-1),0)</f>
        <v>0</v>
      </c>
    </row>
    <row r="798" ht="38.45" customHeight="1">
      <c r="A798" s="3">
        <v>797</v>
      </c>
      <c r="B798" t="s" s="4">
        <v>5069</v>
      </c>
      <c r="C798" t="s" s="5">
        <v>5057</v>
      </c>
      <c r="D798" t="s" s="5">
        <v>5050</v>
      </c>
      <c r="E798" t="s" s="5">
        <v>5070</v>
      </c>
      <c r="F798" t="s" s="10">
        <v>5071</v>
      </c>
      <c r="G798" t="s" s="7">
        <v>5072</v>
      </c>
      <c r="H798" t="s" s="7">
        <v>5073</v>
      </c>
      <c r="I798" t="str" s="8" cm="1">
        <f t="array" ref="I798">SUBSTITUTE(H798,B798,"(          )")</f>
        <v>They (          ) cars in this plant.</v>
      </c>
      <c r="J798" s="9" cm="1">
        <f t="array" ref="J798">SUMIF('외운 것 - 엑셀다운로드 파일(붙여넣기)'!A3:A562,A798,'외운 것 - 엑셀다운로드 파일(붙여넣기)'!D3:D562)</f>
        <v>0</v>
      </c>
      <c r="K798" s="9" cm="1">
        <f t="array" ref="K798">_xlfn.COUNTIFS('외운 것 - 엑셀다운로드 파일(붙여넣기)'!A3:A562,A798,'외운 것 - 엑셀다운로드 파일(붙여넣기)'!D3:D562,0)</f>
        <v>0</v>
      </c>
      <c r="L798" s="9" cm="1">
        <f t="array" ref="L798">IF(J798&gt;=3,_xlfn.XLOOKUP(A798,'외운 것 - 엑셀다운로드 파일(붙여넣기)'!A3:A562,'외운 것 - 엑셀다운로드 파일(붙여넣기)'!C3:C562,0,-1),0)</f>
        <v>0</v>
      </c>
    </row>
    <row r="799" ht="50.45" customHeight="1">
      <c r="A799" s="3">
        <v>798</v>
      </c>
      <c r="B799" t="s" s="4">
        <v>5075</v>
      </c>
      <c r="C799" t="s" s="5">
        <v>5076</v>
      </c>
      <c r="D799" t="s" s="5">
        <v>5057</v>
      </c>
      <c r="E799" t="s" s="5">
        <v>5077</v>
      </c>
      <c r="F799" t="s" s="10">
        <v>5078</v>
      </c>
      <c r="G799" t="s" s="7">
        <v>5079</v>
      </c>
      <c r="H799" t="s" s="7">
        <v>5080</v>
      </c>
      <c r="I799" t="str" s="8" cm="1">
        <f t="array" ref="I799">SUBSTITUTE(H799,B799,"(          )")</f>
        <v>The (          ) offers a two-year warranty.</v>
      </c>
      <c r="J799" s="9" cm="1">
        <f t="array" ref="J799">SUMIF('외운 것 - 엑셀다운로드 파일(붙여넣기)'!A3:A562,A799,'외운 것 - 엑셀다운로드 파일(붙여넣기)'!D3:D562)</f>
        <v>0</v>
      </c>
      <c r="K799" s="9" cm="1">
        <f t="array" ref="K799">_xlfn.COUNTIFS('외운 것 - 엑셀다운로드 파일(붙여넣기)'!A3:A562,A799,'외운 것 - 엑셀다운로드 파일(붙여넣기)'!D3:D562,0)</f>
        <v>0</v>
      </c>
      <c r="L799" s="9" cm="1">
        <f t="array" ref="L799">IF(J799&gt;=3,_xlfn.XLOOKUP(A799,'외운 것 - 엑셀다운로드 파일(붙여넣기)'!A3:A562,'외운 것 - 엑셀다운로드 파일(붙여넣기)'!C3:C562,0,-1),0)</f>
        <v>0</v>
      </c>
    </row>
    <row r="800" ht="38.45" customHeight="1">
      <c r="A800" s="3">
        <v>799</v>
      </c>
      <c r="B800" t="s" s="4">
        <v>5082</v>
      </c>
      <c r="C800" t="s" s="5">
        <v>5049</v>
      </c>
      <c r="D800" t="s" s="5">
        <v>5057</v>
      </c>
      <c r="E800" t="s" s="5">
        <v>5083</v>
      </c>
      <c r="F800" t="s" s="10">
        <v>5084</v>
      </c>
      <c r="G800" t="s" s="7">
        <v>5085</v>
      </c>
      <c r="H800" t="s" s="7">
        <v>5086</v>
      </c>
      <c r="I800" t="str" s="8" cm="1">
        <f t="array" ref="I800">SUBSTITUTE(H800,B800,"(          )")</f>
        <v>The sports (          ) includes a swimming pool and tennis courts.</v>
      </c>
      <c r="J800" s="9" cm="1">
        <f t="array" ref="J800">SUMIF('외운 것 - 엑셀다운로드 파일(붙여넣기)'!A3:A562,A800,'외운 것 - 엑셀다운로드 파일(붙여넣기)'!D3:D562)</f>
        <v>0</v>
      </c>
      <c r="K800" s="9" cm="1">
        <f t="array" ref="K800">_xlfn.COUNTIFS('외운 것 - 엑셀다운로드 파일(붙여넣기)'!A3:A562,A800,'외운 것 - 엑셀다운로드 파일(붙여넣기)'!D3:D562,0)</f>
        <v>0</v>
      </c>
      <c r="L800" s="9" cm="1">
        <f t="array" ref="L800">IF(J800&gt;=3,_xlfn.XLOOKUP(A800,'외운 것 - 엑셀다운로드 파일(붙여넣기)'!A3:A562,'외운 것 - 엑셀다운로드 파일(붙여넣기)'!C3:C562,0,-1),0)</f>
        <v>0</v>
      </c>
    </row>
    <row r="801" ht="38.45" customHeight="1">
      <c r="A801" s="3">
        <v>800</v>
      </c>
      <c r="B801" t="s" s="4">
        <v>5088</v>
      </c>
      <c r="C801" t="s" s="5">
        <v>5089</v>
      </c>
      <c r="D801" t="s" s="5">
        <v>5057</v>
      </c>
      <c r="E801" t="s" s="5">
        <v>5090</v>
      </c>
      <c r="F801" t="s" s="10">
        <v>5091</v>
      </c>
      <c r="G801" t="s" s="7">
        <v>5092</v>
      </c>
      <c r="H801" t="s" s="7">
        <v>5093</v>
      </c>
      <c r="I801" t="str" s="8" cm="1">
        <f t="array" ref="I801">SUBSTITUTE(H801,B801,"(          )")</f>
        <v>Good translation services (          ) international communication.</v>
      </c>
      <c r="J801" s="9" cm="1">
        <f t="array" ref="J801">SUMIF('외운 것 - 엑셀다운로드 파일(붙여넣기)'!A3:A562,A801,'외운 것 - 엑셀다운로드 파일(붙여넣기)'!D3:D562)</f>
        <v>0</v>
      </c>
      <c r="K801" s="9" cm="1">
        <f t="array" ref="K801">_xlfn.COUNTIFS('외운 것 - 엑셀다운로드 파일(붙여넣기)'!A3:A562,A801,'외운 것 - 엑셀다운로드 파일(붙여넣기)'!D3:D562,0)</f>
        <v>0</v>
      </c>
      <c r="L801" s="9" cm="1">
        <f t="array" ref="L801">IF(J801&gt;=3,_xlfn.XLOOKUP(A801,'외운 것 - 엑셀다운로드 파일(붙여넣기)'!A3:A562,'외운 것 - 엑셀다운로드 파일(붙여넣기)'!C3:C562,0,-1),0)</f>
        <v>0</v>
      </c>
    </row>
    <row r="802" ht="23.45" customHeight="1">
      <c r="A802" s="3">
        <v>801</v>
      </c>
      <c r="B802" t="s" s="4">
        <v>5095</v>
      </c>
      <c r="C802" t="s" s="5">
        <v>5049</v>
      </c>
      <c r="D802" t="s" s="5">
        <v>5057</v>
      </c>
      <c r="E802" t="s" s="5">
        <v>5096</v>
      </c>
      <c r="F802" t="s" s="10">
        <v>5097</v>
      </c>
      <c r="G802" t="s" s="7">
        <v>5098</v>
      </c>
      <c r="H802" t="s" s="7">
        <v>5099</v>
      </c>
      <c r="I802" t="str" s="8" cm="1">
        <f t="array" ref="I802">SUBSTITUTE(H802,B802,"(          )")</f>
        <v>Before email, people sent documents by (          ) (fax).</v>
      </c>
      <c r="J802" s="9" cm="1">
        <f t="array" ref="J802">SUMIF('외운 것 - 엑셀다운로드 파일(붙여넣기)'!A3:A562,A802,'외운 것 - 엑셀다운로드 파일(붙여넣기)'!D3:D562)</f>
        <v>0</v>
      </c>
      <c r="K802" s="9" cm="1">
        <f t="array" ref="K802">_xlfn.COUNTIFS('외운 것 - 엑셀다운로드 파일(붙여넣기)'!A3:A562,A802,'외운 것 - 엑셀다운로드 파일(붙여넣기)'!D3:D562,0)</f>
        <v>0</v>
      </c>
      <c r="L802" s="9" cm="1">
        <f t="array" ref="L802">IF(J802&gt;=3,_xlfn.XLOOKUP(A802,'외운 것 - 엑셀다운로드 파일(붙여넣기)'!A3:A562,'외운 것 - 엑셀다운로드 파일(붙여넣기)'!C3:C562,0,-1),0)</f>
        <v>0</v>
      </c>
    </row>
    <row r="803" ht="38.45" customHeight="1">
      <c r="A803" s="3">
        <v>802</v>
      </c>
      <c r="B803" t="s" s="4">
        <v>5101</v>
      </c>
      <c r="C803" t="s" s="5">
        <v>5049</v>
      </c>
      <c r="D803" t="s" s="5">
        <v>5057</v>
      </c>
      <c r="E803" t="s" s="5">
        <v>5102</v>
      </c>
      <c r="F803" t="s" s="10">
        <v>5103</v>
      </c>
      <c r="G803" t="s" s="7">
        <v>5104</v>
      </c>
      <c r="H803" t="s" s="7">
        <v>5105</v>
      </c>
      <c r="I803" t="str" s="8" cm="1">
        <f t="array" ref="I803">SUBSTITUTE(H803,B803,"(          )")</f>
        <v>The university (          ) includes renowned researchers.</v>
      </c>
      <c r="J803" s="9" cm="1">
        <f t="array" ref="J803">SUMIF('외운 것 - 엑셀다운로드 파일(붙여넣기)'!A3:A562,A803,'외운 것 - 엑셀다운로드 파일(붙여넣기)'!D3:D562)</f>
        <v>0</v>
      </c>
      <c r="K803" s="9" cm="1">
        <f t="array" ref="K803">_xlfn.COUNTIFS('외운 것 - 엑셀다운로드 파일(붙여넣기)'!A3:A562,A803,'외운 것 - 엑셀다운로드 파일(붙여넣기)'!D3:D562,0)</f>
        <v>0</v>
      </c>
      <c r="L803" s="9" cm="1">
        <f t="array" ref="L803">IF(J803&gt;=3,_xlfn.XLOOKUP(A803,'외운 것 - 엑셀다운로드 파일(붙여넣기)'!A3:A562,'외운 것 - 엑셀다운로드 파일(붙여넣기)'!C3:C562,0,-1),0)</f>
        <v>0</v>
      </c>
    </row>
    <row r="804" ht="23.45" customHeight="1">
      <c r="A804" s="3">
        <v>803</v>
      </c>
      <c r="B804" t="s" s="4">
        <v>5107</v>
      </c>
      <c r="C804" t="s" s="5">
        <v>5108</v>
      </c>
      <c r="D804" t="s" s="5">
        <v>5109</v>
      </c>
      <c r="E804" t="s" s="5">
        <v>5110</v>
      </c>
      <c r="F804" t="s" s="10">
        <v>5111</v>
      </c>
      <c r="G804" t="s" s="7">
        <v>5112</v>
      </c>
      <c r="H804" t="s" s="7">
        <v>5113</v>
      </c>
      <c r="I804" t="str" s="8" cm="1">
        <f t="array" ref="I804">SUBSTITUTE(H804,B804,"(          )")</f>
        <v>No one is (          ); everyone makes mistakes.</v>
      </c>
      <c r="J804" s="9" cm="1">
        <f t="array" ref="J804">SUMIF('외운 것 - 엑셀다운로드 파일(붙여넣기)'!A3:A562,A804,'외운 것 - 엑셀다운로드 파일(붙여넣기)'!D3:D562)</f>
        <v>0</v>
      </c>
      <c r="K804" s="9" cm="1">
        <f t="array" ref="K804">_xlfn.COUNTIFS('외운 것 - 엑셀다운로드 파일(붙여넣기)'!A3:A562,A804,'외운 것 - 엑셀다운로드 파일(붙여넣기)'!D3:D562,0)</f>
        <v>0</v>
      </c>
      <c r="L804" s="9" cm="1">
        <f t="array" ref="L804">IF(J804&gt;=3,_xlfn.XLOOKUP(A804,'외운 것 - 엑셀다운로드 파일(붙여넣기)'!A3:A562,'외운 것 - 엑셀다운로드 파일(붙여넣기)'!C3:C562,0,-1),0)</f>
        <v>0</v>
      </c>
    </row>
    <row r="805" ht="23.45" customHeight="1">
      <c r="A805" s="3">
        <v>804</v>
      </c>
      <c r="B805" t="s" s="4">
        <v>5115</v>
      </c>
      <c r="C805" t="s" s="5">
        <v>5108</v>
      </c>
      <c r="D805" t="s" s="5">
        <v>5109</v>
      </c>
      <c r="E805" t="s" s="5">
        <v>5116</v>
      </c>
      <c r="F805" t="s" s="10">
        <v>5117</v>
      </c>
      <c r="G805" t="s" s="7">
        <v>5118</v>
      </c>
      <c r="H805" t="s" s="7">
        <v>5119</v>
      </c>
      <c r="I805" t="str" s="8" cm="1">
        <f t="array" ref="I805">SUBSTITUTE(H805,B805,"(          )")</f>
        <v>Bacteria can (          ) a wound if it's not cleaned properly.</v>
      </c>
      <c r="J805" s="9" cm="1">
        <f t="array" ref="J805">SUMIF('외운 것 - 엑셀다운로드 파일(붙여넣기)'!A3:A562,A805,'외운 것 - 엑셀다운로드 파일(붙여넣기)'!D3:D562)</f>
        <v>0</v>
      </c>
      <c r="K805" s="9" cm="1">
        <f t="array" ref="K805">_xlfn.COUNTIFS('외운 것 - 엑셀다운로드 파일(붙여넣기)'!A3:A562,A805,'외운 것 - 엑셀다운로드 파일(붙여넣기)'!D3:D562,0)</f>
        <v>0</v>
      </c>
      <c r="L805" s="9" cm="1">
        <f t="array" ref="L805">IF(J805&gt;=3,_xlfn.XLOOKUP(A805,'외운 것 - 엑셀다운로드 파일(붙여넣기)'!A3:A562,'외운 것 - 엑셀다운로드 파일(붙여넣기)'!C3:C562,0,-1),0)</f>
        <v>0</v>
      </c>
    </row>
    <row r="806" ht="36.4" customHeight="1">
      <c r="A806" s="3">
        <v>805</v>
      </c>
      <c r="B806" t="s" s="4">
        <v>5121</v>
      </c>
      <c r="C806" t="s" s="5">
        <v>5122</v>
      </c>
      <c r="D806" t="s" s="5">
        <v>5109</v>
      </c>
      <c r="E806" t="s" s="5">
        <v>5123</v>
      </c>
      <c r="F806" t="s" s="10">
        <v>5124</v>
      </c>
      <c r="G806" t="s" s="7">
        <v>5125</v>
      </c>
      <c r="H806" t="s" s="7">
        <v>5126</v>
      </c>
      <c r="I806" t="str" s="8" cm="1">
        <f t="array" ref="I806">SUBSTITUTE(H806,B806,"(          )")</f>
        <v>Laughter is (          ); it spreads quickly through a group.</v>
      </c>
      <c r="J806" s="9" cm="1">
        <f t="array" ref="J806">SUMIF('외운 것 - 엑셀다운로드 파일(붙여넣기)'!A3:A562,A806,'외운 것 - 엑셀다운로드 파일(붙여넣기)'!D3:D562)</f>
        <v>0</v>
      </c>
      <c r="K806" s="9" cm="1">
        <f t="array" ref="K806">_xlfn.COUNTIFS('외운 것 - 엑셀다운로드 파일(붙여넣기)'!A3:A562,A806,'외운 것 - 엑셀다운로드 파일(붙여넣기)'!D3:D562,0)</f>
        <v>0</v>
      </c>
      <c r="L806" s="9" cm="1">
        <f t="array" ref="L806">IF(J806&gt;=3,_xlfn.XLOOKUP(A806,'외운 것 - 엑셀다운로드 파일(붙여넣기)'!A3:A562,'외운 것 - 엑셀다운로드 파일(붙여넣기)'!C3:C562,0,-1),0)</f>
        <v>0</v>
      </c>
    </row>
    <row r="807" ht="38.45" customHeight="1">
      <c r="A807" s="3">
        <v>806</v>
      </c>
      <c r="B807" t="s" s="4">
        <v>5128</v>
      </c>
      <c r="C807" t="s" s="5">
        <v>5108</v>
      </c>
      <c r="D807" t="s" s="5">
        <v>5109</v>
      </c>
      <c r="E807" t="s" s="5">
        <v>5129</v>
      </c>
      <c r="F807" t="s" s="10">
        <v>5130</v>
      </c>
      <c r="G807" t="s" s="7">
        <v>5131</v>
      </c>
      <c r="H807" t="s" s="7">
        <v>5132</v>
      </c>
      <c r="I807" t="str" s="8" cm="1">
        <f t="array" ref="I807">SUBSTITUTE(H807,B807,"(          )")</f>
        <v>The product had a minor (          ) in its design.</v>
      </c>
      <c r="J807" s="9" cm="1">
        <f t="array" ref="J807">SUMIF('외운 것 - 엑셀다운로드 파일(붙여넣기)'!A3:A562,A807,'외운 것 - 엑셀다운로드 파일(붙여넣기)'!D3:D562)</f>
        <v>0</v>
      </c>
      <c r="K807" s="9" cm="1">
        <f t="array" ref="K807">_xlfn.COUNTIFS('외운 것 - 엑셀다운로드 파일(붙여넣기)'!A3:A562,A807,'외운 것 - 엑셀다운로드 파일(붙여넣기)'!D3:D562,0)</f>
        <v>0</v>
      </c>
      <c r="L807" s="9" cm="1">
        <f t="array" ref="L807">IF(J807&gt;=3,_xlfn.XLOOKUP(A807,'외운 것 - 엑셀다운로드 파일(붙여넣기)'!A3:A562,'외운 것 - 엑셀다운로드 파일(붙여넣기)'!C3:C562,0,-1),0)</f>
        <v>0</v>
      </c>
    </row>
    <row r="808" ht="36.4" customHeight="1">
      <c r="A808" s="3">
        <v>807</v>
      </c>
      <c r="B808" t="s" s="4">
        <v>5134</v>
      </c>
      <c r="C808" t="s" s="5">
        <v>5135</v>
      </c>
      <c r="D808" t="s" s="5">
        <v>5109</v>
      </c>
      <c r="E808" t="s" s="5">
        <v>5136</v>
      </c>
      <c r="F808" t="s" s="10">
        <v>5137</v>
      </c>
      <c r="G808" t="s" s="7">
        <v>5138</v>
      </c>
      <c r="H808" t="s" s="7">
        <v>5139</v>
      </c>
      <c r="I808" t="str" s="8" cm="1">
        <f t="array" ref="I808">SUBSTITUTE(H808,B808,"(          )")</f>
        <v>Return (          ) merchandise for a full refund.</v>
      </c>
      <c r="J808" s="9" cm="1">
        <f t="array" ref="J808">SUMIF('외운 것 - 엑셀다운로드 파일(붙여넣기)'!A3:A562,A808,'외운 것 - 엑셀다운로드 파일(붙여넣기)'!D3:D562)</f>
        <v>0</v>
      </c>
      <c r="K808" s="9" cm="1">
        <f t="array" ref="K808">_xlfn.COUNTIFS('외운 것 - 엑셀다운로드 파일(붙여넣기)'!A3:A562,A808,'외운 것 - 엑셀다운로드 파일(붙여넣기)'!D3:D562,0)</f>
        <v>0</v>
      </c>
      <c r="L808" s="9" cm="1">
        <f t="array" ref="L808">IF(J808&gt;=3,_xlfn.XLOOKUP(A808,'외운 것 - 엑셀다운로드 파일(붙여넣기)'!A3:A562,'외운 것 - 엑셀다운로드 파일(붙여넣기)'!C3:C562,0,-1),0)</f>
        <v>0</v>
      </c>
    </row>
    <row r="809" ht="23.45" customHeight="1">
      <c r="A809" s="3">
        <v>808</v>
      </c>
      <c r="B809" t="s" s="4">
        <v>5141</v>
      </c>
      <c r="C809" t="s" s="5">
        <v>5108</v>
      </c>
      <c r="D809" t="s" s="5">
        <v>5109</v>
      </c>
      <c r="E809" t="s" s="5">
        <v>5142</v>
      </c>
      <c r="F809" t="s" s="10">
        <v>5143</v>
      </c>
      <c r="G809" t="s" s="7">
        <v>5144</v>
      </c>
      <c r="H809" t="s" s="7">
        <v>5145</v>
      </c>
      <c r="I809" t="str" s="8" cm="1">
        <f t="array" ref="I809">SUBSTITUTE(H809,B809,"(          )")</f>
        <v>Cold weather can (          ) crop yields.</v>
      </c>
      <c r="J809" s="9" cm="1">
        <f t="array" ref="J809">SUMIF('외운 것 - 엑셀다운로드 파일(붙여넣기)'!A3:A562,A809,'외운 것 - 엑셀다운로드 파일(붙여넣기)'!D3:D562)</f>
        <v>0</v>
      </c>
      <c r="K809" s="9" cm="1">
        <f t="array" ref="K809">_xlfn.COUNTIFS('외운 것 - 엑셀다운로드 파일(붙여넣기)'!A3:A562,A809,'외운 것 - 엑셀다운로드 파일(붙여넣기)'!D3:D562,0)</f>
        <v>0</v>
      </c>
      <c r="L809" s="9" cm="1">
        <f t="array" ref="L809">IF(J809&gt;=3,_xlfn.XLOOKUP(A809,'외운 것 - 엑셀다운로드 파일(붙여넣기)'!A3:A562,'외운 것 - 엑셀다운로드 파일(붙여넣기)'!C3:C562,0,-1),0)</f>
        <v>0</v>
      </c>
    </row>
    <row r="810" ht="36.4" customHeight="1">
      <c r="A810" s="3">
        <v>809</v>
      </c>
      <c r="B810" t="s" s="4">
        <v>5147</v>
      </c>
      <c r="C810" t="s" s="5">
        <v>5148</v>
      </c>
      <c r="D810" t="s" s="5">
        <v>5109</v>
      </c>
      <c r="E810" t="s" s="5">
        <v>5149</v>
      </c>
      <c r="F810" t="s" s="10">
        <v>5150</v>
      </c>
      <c r="G810" t="s" s="7">
        <v>5151</v>
      </c>
      <c r="H810" t="s" s="7">
        <v>5152</v>
      </c>
      <c r="I810" t="str" s="8" cm="1">
        <f t="array" ref="I810">SUBSTITUTE(H810,B810,"(          )")</f>
        <v>She showed (          ) by hugging her grandmother.</v>
      </c>
      <c r="J810" s="9" cm="1">
        <f t="array" ref="J810">SUMIF('외운 것 - 엑셀다운로드 파일(붙여넣기)'!A3:A562,A810,'외운 것 - 엑셀다운로드 파일(붙여넣기)'!D3:D562)</f>
        <v>0</v>
      </c>
      <c r="K810" s="9" cm="1">
        <f t="array" ref="K810">_xlfn.COUNTIFS('외운 것 - 엑셀다운로드 파일(붙여넣기)'!A3:A562,A810,'외운 것 - 엑셀다운로드 파일(붙여넣기)'!D3:D562,0)</f>
        <v>0</v>
      </c>
      <c r="L810" s="9" cm="1">
        <f t="array" ref="L810">IF(J810&gt;=3,_xlfn.XLOOKUP(A810,'외운 것 - 엑셀다운로드 파일(붙여넣기)'!A3:A562,'외운 것 - 엑셀다운로드 파일(붙여넣기)'!C3:C562,0,-1),0)</f>
        <v>0</v>
      </c>
    </row>
    <row r="811" ht="23.45" customHeight="1">
      <c r="A811" s="3">
        <v>810</v>
      </c>
      <c r="B811" t="s" s="4">
        <v>5154</v>
      </c>
      <c r="C811" t="s" s="5">
        <v>5108</v>
      </c>
      <c r="D811" t="s" s="5">
        <v>5109</v>
      </c>
      <c r="E811" t="s" s="5">
        <v>5155</v>
      </c>
      <c r="F811" t="s" s="10">
        <v>5156</v>
      </c>
      <c r="G811" t="s" s="7">
        <v>5157</v>
      </c>
      <c r="H811" t="s" s="7">
        <v>5158</v>
      </c>
      <c r="I811" t="str" s="8" cm="1">
        <f t="array" ref="I811">SUBSTITUTE(H811,B811,"(          )")</f>
        <v>The medicine had an immediate (          ) on the pain.</v>
      </c>
      <c r="J811" s="9" cm="1">
        <f t="array" ref="J811">SUMIF('외운 것 - 엑셀다운로드 파일(붙여넣기)'!A3:A562,A811,'외운 것 - 엑셀다운로드 파일(붙여넣기)'!D3:D562)</f>
        <v>0</v>
      </c>
      <c r="K811" s="9" cm="1">
        <f t="array" ref="K811">_xlfn.COUNTIFS('외운 것 - 엑셀다운로드 파일(붙여넣기)'!A3:A562,A811,'외운 것 - 엑셀다운로드 파일(붙여넣기)'!D3:D562,0)</f>
        <v>0</v>
      </c>
      <c r="L811" s="9" cm="1">
        <f t="array" ref="L811">IF(J811&gt;=3,_xlfn.XLOOKUP(A811,'외운 것 - 엑셀다운로드 파일(붙여넣기)'!A3:A562,'외운 것 - 엑셀다운로드 파일(붙여넣기)'!C3:C562,0,-1),0)</f>
        <v>0</v>
      </c>
    </row>
    <row r="812" ht="36.4" customHeight="1">
      <c r="A812" s="3">
        <v>811</v>
      </c>
      <c r="B812" t="s" s="4">
        <v>5160</v>
      </c>
      <c r="C812" t="s" s="5">
        <v>5161</v>
      </c>
      <c r="D812" t="s" s="5">
        <v>5109</v>
      </c>
      <c r="E812" t="s" s="5">
        <v>5162</v>
      </c>
      <c r="F812" t="s" s="10">
        <v>5163</v>
      </c>
      <c r="G812" t="s" s="7">
        <v>5164</v>
      </c>
      <c r="H812" t="s" s="7">
        <v>5165</v>
      </c>
      <c r="I812" t="str" s="8" cm="1">
        <f t="array" ref="I812">SUBSTITUTE(H812,B812,"(          )")</f>
        <v>She manages her time (          ) to complete all tasks.</v>
      </c>
      <c r="J812" s="9" cm="1">
        <f t="array" ref="J812">SUMIF('외운 것 - 엑셀다운로드 파일(붙여넣기)'!A3:A562,A812,'외운 것 - 엑셀다운로드 파일(붙여넣기)'!D3:D562)</f>
        <v>0</v>
      </c>
      <c r="K812" s="9" cm="1">
        <f t="array" ref="K812">_xlfn.COUNTIFS('외운 것 - 엑셀다운로드 파일(붙여넣기)'!A3:A562,A812,'외운 것 - 엑셀다운로드 파일(붙여넣기)'!D3:D562,0)</f>
        <v>0</v>
      </c>
      <c r="L812" s="9" cm="1">
        <f t="array" ref="L812">IF(J812&gt;=3,_xlfn.XLOOKUP(A812,'외운 것 - 엑셀다운로드 파일(붙여넣기)'!A3:A562,'외운 것 - 엑셀다운로드 파일(붙여넣기)'!C3:C562,0,-1),0)</f>
        <v>0</v>
      </c>
    </row>
    <row r="813" ht="38.45" customHeight="1">
      <c r="A813" s="3">
        <v>812</v>
      </c>
      <c r="B813" t="s" s="4">
        <v>5167</v>
      </c>
      <c r="C813" t="s" s="5">
        <v>5168</v>
      </c>
      <c r="D813" t="s" s="5">
        <v>5109</v>
      </c>
      <c r="E813" t="s" s="5">
        <v>5169</v>
      </c>
      <c r="F813" t="s" s="10">
        <v>5170</v>
      </c>
      <c r="G813" t="s" s="7">
        <v>5171</v>
      </c>
      <c r="H813" t="s" s="7">
        <v>5172</v>
      </c>
      <c r="I813" t="str" s="8" cm="1">
        <f t="array" ref="I813">SUBSTITUTE(H813,B813,"(          )")</f>
        <v>The old treatment proved (          ) against the new strain.</v>
      </c>
      <c r="J813" s="9" cm="1">
        <f t="array" ref="J813">SUMIF('외운 것 - 엑셀다운로드 파일(붙여넣기)'!A3:A562,A813,'외운 것 - 엑셀다운로드 파일(붙여넣기)'!D3:D562)</f>
        <v>0</v>
      </c>
      <c r="K813" s="9" cm="1">
        <f t="array" ref="K813">_xlfn.COUNTIFS('외운 것 - 엑셀다운로드 파일(붙여넣기)'!A3:A562,A813,'외운 것 - 엑셀다운로드 파일(붙여넣기)'!D3:D562,0)</f>
        <v>0</v>
      </c>
      <c r="L813" s="9" cm="1">
        <f t="array" ref="L813">IF(J813&gt;=3,_xlfn.XLOOKUP(A813,'외운 것 - 엑셀다운로드 파일(붙여넣기)'!A3:A562,'외운 것 - 엑셀다운로드 파일(붙여넣기)'!C3:C562,0,-1),0)</f>
        <v>0</v>
      </c>
    </row>
    <row r="814" ht="38.45" customHeight="1">
      <c r="A814" s="3">
        <v>813</v>
      </c>
      <c r="B814" t="s" s="4">
        <v>5174</v>
      </c>
      <c r="C814" t="s" s="5">
        <v>5154</v>
      </c>
      <c r="D814" t="s" s="5">
        <v>5109</v>
      </c>
      <c r="E814" t="s" s="5">
        <v>5175</v>
      </c>
      <c r="F814" t="s" s="10">
        <v>5176</v>
      </c>
      <c r="G814" t="s" s="7">
        <v>5177</v>
      </c>
      <c r="H814" t="s" s="7">
        <v>5178</v>
      </c>
      <c r="I814" t="str" s="8" cm="1">
        <f t="array" ref="I814">SUBSTITUTE(H814,B814,"(          )")</f>
        <v>LED bulbs are more (          ) than traditional incandescent bulbs.</v>
      </c>
      <c r="J814" s="9" cm="1">
        <f t="array" ref="J814">SUMIF('외운 것 - 엑셀다운로드 파일(붙여넣기)'!A3:A562,A814,'외운 것 - 엑셀다운로드 파일(붙여넣기)'!D3:D562)</f>
        <v>0</v>
      </c>
      <c r="K814" s="9" cm="1">
        <f t="array" ref="K814">_xlfn.COUNTIFS('외운 것 - 엑셀다운로드 파일(붙여넣기)'!A3:A562,A814,'외운 것 - 엑셀다운로드 파일(붙여넣기)'!D3:D562,0)</f>
        <v>0</v>
      </c>
      <c r="L814" s="9" cm="1">
        <f t="array" ref="L814">IF(J814&gt;=3,_xlfn.XLOOKUP(A814,'외운 것 - 엑셀다운로드 파일(붙여넣기)'!A3:A562,'외운 것 - 엑셀다운로드 파일(붙여넣기)'!C3:C562,0,-1),0)</f>
        <v>0</v>
      </c>
    </row>
    <row r="815" ht="23.45" customHeight="1">
      <c r="A815" s="3">
        <v>814</v>
      </c>
      <c r="B815" t="s" s="4">
        <v>5180</v>
      </c>
      <c r="C815" t="s" s="5">
        <v>5049</v>
      </c>
      <c r="D815" t="s" s="5">
        <v>5181</v>
      </c>
      <c r="E815" t="s" s="5">
        <v>5182</v>
      </c>
      <c r="F815" t="s" s="10">
        <v>5183</v>
      </c>
      <c r="G815" t="s" s="7">
        <v>5184</v>
      </c>
      <c r="H815" t="s" s="7">
        <v>5185</v>
      </c>
      <c r="I815" t="str" s="8" cm="1">
        <f t="array" ref="I815">SUBSTITUTE(H815,B815,"(          )")</f>
        <v>Wash your (          ) before going to bed.</v>
      </c>
      <c r="J815" s="9" cm="1">
        <f t="array" ref="J815">SUMIF('외운 것 - 엑셀다운로드 파일(붙여넣기)'!A3:A562,A815,'외운 것 - 엑셀다운로드 파일(붙여넣기)'!D3:D562)</f>
        <v>0</v>
      </c>
      <c r="K815" s="9" cm="1">
        <f t="array" ref="K815">_xlfn.COUNTIFS('외운 것 - 엑셀다운로드 파일(붙여넣기)'!A3:A562,A815,'외운 것 - 엑셀다운로드 파일(붙여넣기)'!D3:D562,0)</f>
        <v>0</v>
      </c>
      <c r="L815" s="9" cm="1">
        <f t="array" ref="L815">IF(J815&gt;=3,_xlfn.XLOOKUP(A815,'외운 것 - 엑셀다운로드 파일(붙여넣기)'!A3:A562,'외운 것 - 엑셀다운로드 파일(붙여넣기)'!C3:C562,0,-1),0)</f>
        <v>0</v>
      </c>
    </row>
    <row r="816" ht="23.45" customHeight="1">
      <c r="A816" s="3">
        <v>815</v>
      </c>
      <c r="B816" t="s" s="4">
        <v>5187</v>
      </c>
      <c r="C816" t="s" s="5">
        <v>5180</v>
      </c>
      <c r="D816" t="s" s="5">
        <v>5181</v>
      </c>
      <c r="E816" t="s" s="5">
        <v>5188</v>
      </c>
      <c r="F816" t="s" s="10">
        <v>5189</v>
      </c>
      <c r="G816" t="s" s="7">
        <v>5190</v>
      </c>
      <c r="H816" t="s" s="7">
        <v>5191</v>
      </c>
      <c r="I816" t="str" s="8" cm="1">
        <f t="array" ref="I816">SUBSTITUTE(H816,B816,"(          )")</f>
        <v>The diamond has many (          )s that reflect light.</v>
      </c>
      <c r="J816" s="9" cm="1">
        <f t="array" ref="J816">SUMIF('외운 것 - 엑셀다운로드 파일(붙여넣기)'!A3:A562,A816,'외운 것 - 엑셀다운로드 파일(붙여넣기)'!D3:D562)</f>
        <v>0</v>
      </c>
      <c r="K816" s="9" cm="1">
        <f t="array" ref="K816">_xlfn.COUNTIFS('외운 것 - 엑셀다운로드 파일(붙여넣기)'!A3:A562,A816,'외운 것 - 엑셀다운로드 파일(붙여넣기)'!D3:D562,0)</f>
        <v>0</v>
      </c>
      <c r="L816" s="9" cm="1">
        <f t="array" ref="L816">IF(J816&gt;=3,_xlfn.XLOOKUP(A816,'외운 것 - 엑셀다운로드 파일(붙여넣기)'!A3:A562,'외운 것 - 엑셀다운로드 파일(붙여넣기)'!C3:C562,0,-1),0)</f>
        <v>0</v>
      </c>
    </row>
    <row r="817" ht="23.45" customHeight="1">
      <c r="A817" s="3">
        <v>816</v>
      </c>
      <c r="B817" t="s" s="4">
        <v>5193</v>
      </c>
      <c r="C817" t="s" s="5">
        <v>5180</v>
      </c>
      <c r="D817" t="s" s="5">
        <v>5181</v>
      </c>
      <c r="E817" t="s" s="5">
        <v>5194</v>
      </c>
      <c r="F817" t="s" s="10">
        <v>5195</v>
      </c>
      <c r="G817" t="s" s="7">
        <v>5196</v>
      </c>
      <c r="H817" t="s" s="7">
        <v>5197</v>
      </c>
      <c r="I817" t="str" s="8" cm="1">
        <f t="array" ref="I817">SUBSTITUTE(H817,B817,"(          )")</f>
        <v>The (          ) of the lake was perfectly calm.</v>
      </c>
      <c r="J817" s="9" cm="1">
        <f t="array" ref="J817">SUMIF('외운 것 - 엑셀다운로드 파일(붙여넣기)'!A3:A562,A817,'외운 것 - 엑셀다운로드 파일(붙여넣기)'!D3:D562)</f>
        <v>0</v>
      </c>
      <c r="K817" s="9" cm="1">
        <f t="array" ref="K817">_xlfn.COUNTIFS('외운 것 - 엑셀다운로드 파일(붙여넣기)'!A3:A562,A817,'외운 것 - 엑셀다운로드 파일(붙여넣기)'!D3:D562,0)</f>
        <v>0</v>
      </c>
      <c r="L817" s="9" cm="1">
        <f t="array" ref="L817">IF(J817&gt;=3,_xlfn.XLOOKUP(A817,'외운 것 - 엑셀다운로드 파일(붙여넣기)'!A3:A562,'외운 것 - 엑셀다운로드 파일(붙여넣기)'!C3:C562,0,-1),0)</f>
        <v>0</v>
      </c>
    </row>
    <row r="818" ht="23.45" customHeight="1">
      <c r="A818" s="3">
        <v>817</v>
      </c>
      <c r="B818" t="s" s="4">
        <v>5199</v>
      </c>
      <c r="C818" t="s" s="5">
        <v>5180</v>
      </c>
      <c r="D818" t="s" s="5">
        <v>5181</v>
      </c>
      <c r="E818" t="s" s="5">
        <v>5200</v>
      </c>
      <c r="F818" t="s" s="10">
        <v>5201</v>
      </c>
      <c r="G818" t="s" s="7">
        <v>5202</v>
      </c>
      <c r="H818" t="s" s="7">
        <v>5203</v>
      </c>
      <c r="I818" t="str" s="8" cm="1">
        <f t="array" ref="I818">SUBSTITUTE(H818,B818,"(          )")</f>
        <v>The author wrote a (          ) explaining his motivation.</v>
      </c>
      <c r="J818" s="9" cm="1">
        <f t="array" ref="J818">SUMIF('외운 것 - 엑셀다운로드 파일(붙여넣기)'!A3:A562,A818,'외운 것 - 엑셀다운로드 파일(붙여넣기)'!D3:D562)</f>
        <v>0</v>
      </c>
      <c r="K818" s="9" cm="1">
        <f t="array" ref="K818">_xlfn.COUNTIFS('외운 것 - 엑셀다운로드 파일(붙여넣기)'!A3:A562,A818,'외운 것 - 엑셀다운로드 파일(붙여넣기)'!D3:D562,0)</f>
        <v>0</v>
      </c>
      <c r="L818" s="9" cm="1">
        <f t="array" ref="L818">IF(J818&gt;=3,_xlfn.XLOOKUP(A818,'외운 것 - 엑셀다운로드 파일(붙여넣기)'!A3:A562,'외운 것 - 엑셀다운로드 파일(붙여넣기)'!C3:C562,0,-1),0)</f>
        <v>0</v>
      </c>
    </row>
    <row r="819" ht="38.45" customHeight="1">
      <c r="A819" s="3">
        <v>818</v>
      </c>
      <c r="B819" t="s" s="4">
        <v>5205</v>
      </c>
      <c r="C819" t="s" s="5">
        <v>5180</v>
      </c>
      <c r="D819" t="s" s="5">
        <v>5181</v>
      </c>
      <c r="E819" t="s" s="5">
        <v>5206</v>
      </c>
      <c r="F819" t="s" s="10">
        <v>5207</v>
      </c>
      <c r="G819" t="s" s="7">
        <v>5208</v>
      </c>
      <c r="H819" t="s" s="7">
        <v>5209</v>
      </c>
      <c r="I819" t="str" s="8" cm="1">
        <f t="array" ref="I819">SUBSTITUTE(H819,B819,"(          )")</f>
        <v>The software has a user-friendly (          ).</v>
      </c>
      <c r="J819" s="9" cm="1">
        <f t="array" ref="J819">SUMIF('외운 것 - 엑셀다운로드 파일(붙여넣기)'!A3:A562,A819,'외운 것 - 엑셀다운로드 파일(붙여넣기)'!D3:D562)</f>
        <v>0</v>
      </c>
      <c r="K819" s="9" cm="1">
        <f t="array" ref="K819">_xlfn.COUNTIFS('외운 것 - 엑셀다운로드 파일(붙여넣기)'!A3:A562,A819,'외운 것 - 엑셀다운로드 파일(붙여넣기)'!D3:D562,0)</f>
        <v>0</v>
      </c>
      <c r="L819" s="9" cm="1">
        <f t="array" ref="L819">IF(J819&gt;=3,_xlfn.XLOOKUP(A819,'외운 것 - 엑셀다운로드 파일(붙여넣기)'!A3:A562,'외운 것 - 엑셀다운로드 파일(붙여넣기)'!C3:C562,0,-1),0)</f>
        <v>0</v>
      </c>
    </row>
    <row r="820" ht="38.45" customHeight="1">
      <c r="A820" s="3">
        <v>819</v>
      </c>
      <c r="B820" t="s" s="4">
        <v>5211</v>
      </c>
      <c r="C820" t="s" s="5">
        <v>5180</v>
      </c>
      <c r="D820" t="s" s="5">
        <v>5181</v>
      </c>
      <c r="E820" t="s" s="5">
        <v>5212</v>
      </c>
      <c r="F820" t="s" s="10">
        <v>5213</v>
      </c>
      <c r="G820" t="s" s="7">
        <v>5214</v>
      </c>
      <c r="H820" t="s" s="7">
        <v>5215</v>
      </c>
      <c r="I820" t="str" s="8" cm="1">
        <f t="array" ref="I820">SUBSTITUTE(H820,B820,"(          )")</f>
        <v>Time will (          ) the writing on the stone.</v>
      </c>
      <c r="J820" s="9" cm="1">
        <f t="array" ref="J820">SUMIF('외운 것 - 엑셀다운로드 파일(붙여넣기)'!A3:A562,A820,'외운 것 - 엑셀다운로드 파일(붙여넣기)'!D3:D562)</f>
        <v>0</v>
      </c>
      <c r="K820" s="9" cm="1">
        <f t="array" ref="K820">_xlfn.COUNTIFS('외운 것 - 엑셀다운로드 파일(붙여넣기)'!A3:A562,A820,'외운 것 - 엑셀다운로드 파일(붙여넣기)'!D3:D562,0)</f>
        <v>0</v>
      </c>
      <c r="L820" s="9" cm="1">
        <f t="array" ref="L820">IF(J820&gt;=3,_xlfn.XLOOKUP(A820,'외운 것 - 엑셀다운로드 파일(붙여넣기)'!A3:A562,'외운 것 - 엑셀다운로드 파일(붙여넣기)'!C3:C562,0,-1),0)</f>
        <v>0</v>
      </c>
    </row>
    <row r="821" ht="23.45" customHeight="1">
      <c r="A821" s="3">
        <v>820</v>
      </c>
      <c r="B821" t="s" s="4">
        <v>5217</v>
      </c>
      <c r="C821" t="s" s="5">
        <v>5218</v>
      </c>
      <c r="D821" t="s" s="5">
        <v>5219</v>
      </c>
      <c r="E821" t="s" s="5">
        <v>5220</v>
      </c>
      <c r="F821" t="s" s="10">
        <v>5221</v>
      </c>
      <c r="G821" t="s" s="7">
        <v>5222</v>
      </c>
      <c r="H821" t="s" s="7">
        <v>5223</v>
      </c>
      <c r="I821" t="str" s="8" cm="1">
        <f t="array" ref="I821">SUBSTITUTE(H821,B821,"(          )")</f>
        <v>She enjoys reading science (          ) novels.</v>
      </c>
      <c r="J821" s="9" cm="1">
        <f t="array" ref="J821">SUMIF('외운 것 - 엑셀다운로드 파일(붙여넣기)'!A3:A562,A821,'외운 것 - 엑셀다운로드 파일(붙여넣기)'!D3:D562)</f>
        <v>0</v>
      </c>
      <c r="K821" s="9" cm="1">
        <f t="array" ref="K821">_xlfn.COUNTIFS('외운 것 - 엑셀다운로드 파일(붙여넣기)'!A3:A562,A821,'외운 것 - 엑셀다운로드 파일(붙여넣기)'!D3:D562,0)</f>
        <v>0</v>
      </c>
      <c r="L821" s="9" cm="1">
        <f t="array" ref="L821">IF(J821&gt;=3,_xlfn.XLOOKUP(A821,'외운 것 - 엑셀다운로드 파일(붙여넣기)'!A3:A562,'외운 것 - 엑셀다운로드 파일(붙여넣기)'!C3:C562,0,-1),0)</f>
        <v>0</v>
      </c>
    </row>
    <row r="822" ht="23.45" customHeight="1">
      <c r="A822" s="3">
        <v>821</v>
      </c>
      <c r="B822" t="s" s="4">
        <v>5225</v>
      </c>
      <c r="C822" t="s" s="5">
        <v>5226</v>
      </c>
      <c r="D822" t="s" s="5">
        <v>5219</v>
      </c>
      <c r="E822" t="s" s="5">
        <v>5227</v>
      </c>
      <c r="F822" t="s" s="10">
        <v>5228</v>
      </c>
      <c r="G822" t="s" s="7">
        <v>5229</v>
      </c>
      <c r="H822" t="s" s="7">
        <v>5230</v>
      </c>
      <c r="I822" t="str" s="8" cm="1">
        <f t="array" ref="I822">SUBSTITUTE(H822,B822,"(          )")</f>
        <v>My (          ) is on the tenth floor.</v>
      </c>
      <c r="J822" s="9" cm="1">
        <f t="array" ref="J822">SUMIF('외운 것 - 엑셀다운로드 파일(붙여넣기)'!A3:A562,A822,'외운 것 - 엑셀다운로드 파일(붙여넣기)'!D3:D562)</f>
        <v>0</v>
      </c>
      <c r="K822" s="9" cm="1">
        <f t="array" ref="K822">_xlfn.COUNTIFS('외운 것 - 엑셀다운로드 파일(붙여넣기)'!A3:A562,A822,'외운 것 - 엑셀다운로드 파일(붙여넣기)'!D3:D562,0)</f>
        <v>0</v>
      </c>
      <c r="L822" s="9" cm="1">
        <f t="array" ref="L822">IF(J822&gt;=3,_xlfn.XLOOKUP(A822,'외운 것 - 엑셀다운로드 파일(붙여넣기)'!A3:A562,'외운 것 - 엑셀다운로드 파일(붙여넣기)'!C3:C562,0,-1),0)</f>
        <v>0</v>
      </c>
    </row>
    <row r="823" ht="23.45" customHeight="1">
      <c r="A823" s="3">
        <v>822</v>
      </c>
      <c r="B823" t="s" s="4">
        <v>5232</v>
      </c>
      <c r="C823" t="s" s="5">
        <v>5233</v>
      </c>
      <c r="D823" t="s" s="5">
        <v>5226</v>
      </c>
      <c r="E823" t="s" s="5">
        <v>5234</v>
      </c>
      <c r="F823" t="s" s="10">
        <v>5235</v>
      </c>
      <c r="G823" t="s" s="7">
        <v>5236</v>
      </c>
      <c r="H823" t="s" s="7">
        <v>5237</v>
      </c>
      <c r="I823" t="str" s="8" cm="1">
        <f t="array" ref="I823">SUBSTITUTE(H823,B823,"(          )")</f>
        <v>The police (          ) directed traffic after the accident.</v>
      </c>
      <c r="J823" s="9" cm="1">
        <f t="array" ref="J823">SUMIF('외운 것 - 엑셀다운로드 파일(붙여넣기)'!A3:A562,A823,'외운 것 - 엑셀다운로드 파일(붙여넣기)'!D3:D562)</f>
        <v>0</v>
      </c>
      <c r="K823" s="9" cm="1">
        <f t="array" ref="K823">_xlfn.COUNTIFS('외운 것 - 엑셀다운로드 파일(붙여넣기)'!A3:A562,A823,'외운 것 - 엑셀다운로드 파일(붙여넣기)'!D3:D562,0)</f>
        <v>0</v>
      </c>
      <c r="L823" s="9" cm="1">
        <f t="array" ref="L823">IF(J823&gt;=3,_xlfn.XLOOKUP(A823,'외운 것 - 엑셀다운로드 파일(붙여넣기)'!A3:A562,'외운 것 - 엑셀다운로드 파일(붙여넣기)'!C3:C562,0,-1),0)</f>
        <v>0</v>
      </c>
    </row>
    <row r="824" ht="23.45" customHeight="1">
      <c r="A824" s="3">
        <v>823</v>
      </c>
      <c r="B824" t="s" s="4">
        <v>5239</v>
      </c>
      <c r="C824" t="s" s="5">
        <v>5226</v>
      </c>
      <c r="D824" t="s" s="5">
        <v>5219</v>
      </c>
      <c r="E824" t="s" s="5">
        <v>5240</v>
      </c>
      <c r="F824" t="s" s="10">
        <v>5241</v>
      </c>
      <c r="G824" t="s" s="7">
        <v>5242</v>
      </c>
      <c r="H824" t="s" s="7">
        <v>5243</v>
      </c>
      <c r="I824" t="str" s="8" cm="1">
        <f t="array" ref="I824">SUBSTITUTE(H824,B824,"(          )")</f>
        <v>The company reported a budget (          ) last year.</v>
      </c>
      <c r="J824" s="9" cm="1">
        <f t="array" ref="J824">SUMIF('외운 것 - 엑셀다운로드 파일(붙여넣기)'!A3:A562,A824,'외운 것 - 엑셀다운로드 파일(붙여넣기)'!D3:D562)</f>
        <v>0</v>
      </c>
      <c r="K824" s="9" cm="1">
        <f t="array" ref="K824">_xlfn.COUNTIFS('외운 것 - 엑셀다운로드 파일(붙여넣기)'!A3:A562,A824,'외운 것 - 엑셀다운로드 파일(붙여넣기)'!D3:D562,0)</f>
        <v>0</v>
      </c>
      <c r="L824" s="9" cm="1">
        <f t="array" ref="L824">IF(J824&gt;=3,_xlfn.XLOOKUP(A824,'외운 것 - 엑셀다운로드 파일(붙여넣기)'!A3:A562,'외운 것 - 엑셀다운로드 파일(붙여넣기)'!C3:C562,0,-1),0)</f>
        <v>0</v>
      </c>
    </row>
    <row r="825" ht="23.45" customHeight="1">
      <c r="A825" s="3">
        <v>824</v>
      </c>
      <c r="B825" t="s" s="4">
        <v>5245</v>
      </c>
      <c r="C825" t="s" s="5">
        <v>5246</v>
      </c>
      <c r="D825" t="s" s="5">
        <v>5226</v>
      </c>
      <c r="E825" t="s" s="5">
        <v>5247</v>
      </c>
      <c r="F825" t="s" s="10">
        <v>5248</v>
      </c>
      <c r="G825" t="s" s="7">
        <v>5249</v>
      </c>
      <c r="H825" t="s" s="7">
        <v>5250</v>
      </c>
      <c r="I825" t="str" s="8" cm="1">
        <f t="array" ref="I825">SUBSTITUTE(H825,B825,"(          )")</f>
        <v>The soil is (          ) in essential nutrients.</v>
      </c>
      <c r="J825" s="9" cm="1">
        <f t="array" ref="J825">SUMIF('외운 것 - 엑셀다운로드 파일(붙여넣기)'!A3:A562,A825,'외운 것 - 엑셀다운로드 파일(붙여넣기)'!D3:D562)</f>
        <v>0</v>
      </c>
      <c r="K825" s="9" cm="1">
        <f t="array" ref="K825">_xlfn.COUNTIFS('외운 것 - 엑셀다운로드 파일(붙여넣기)'!A3:A562,A825,'외운 것 - 엑셀다운로드 파일(붙여넣기)'!D3:D562,0)</f>
        <v>0</v>
      </c>
      <c r="L825" s="9" cm="1">
        <f t="array" ref="L825">IF(J825&gt;=3,_xlfn.XLOOKUP(A825,'외운 것 - 엑셀다운로드 파일(붙여넣기)'!A3:A562,'외운 것 - 엑셀다운로드 파일(붙여넣기)'!C3:C562,0,-1),0)</f>
        <v>0</v>
      </c>
    </row>
    <row r="826" ht="38.45" customHeight="1">
      <c r="A826" s="3">
        <v>825</v>
      </c>
      <c r="B826" t="s" s="4">
        <v>5252</v>
      </c>
      <c r="C826" t="s" s="5">
        <v>5226</v>
      </c>
      <c r="D826" t="s" s="5">
        <v>5219</v>
      </c>
      <c r="E826" t="s" s="5">
        <v>5253</v>
      </c>
      <c r="F826" t="s" s="10">
        <v>5254</v>
      </c>
      <c r="G826" t="s" s="7">
        <v>5255</v>
      </c>
      <c r="H826" t="s" s="7">
        <v>5256</v>
      </c>
      <c r="I826" t="str" s="8" cm="1">
        <f t="array" ref="I826">SUBSTITUTE(H826,B826,"(          )")</f>
        <v>The flower looked so (          ) that no one believed it was real.</v>
      </c>
      <c r="J826" s="9" cm="1">
        <f t="array" ref="J826">SUMIF('외운 것 - 엑셀다운로드 파일(붙여넣기)'!A3:A562,A826,'외운 것 - 엑셀다운로드 파일(붙여넣기)'!D3:D562)</f>
        <v>0</v>
      </c>
      <c r="K826" s="9" cm="1">
        <f t="array" ref="K826">_xlfn.COUNTIFS('외운 것 - 엑셀다운로드 파일(붙여넣기)'!A3:A562,A826,'외운 것 - 엑셀다운로드 파일(붙여넣기)'!D3:D562,0)</f>
        <v>0</v>
      </c>
      <c r="L826" s="9" cm="1">
        <f t="array" ref="L826">IF(J826&gt;=3,_xlfn.XLOOKUP(A826,'외운 것 - 엑셀다운로드 파일(붙여넣기)'!A3:A562,'외운 것 - 엑셀다운로드 파일(붙여넣기)'!C3:C562,0,-1),0)</f>
        <v>0</v>
      </c>
    </row>
    <row r="827" ht="38.45" customHeight="1">
      <c r="A827" s="3">
        <v>826</v>
      </c>
      <c r="B827" t="s" s="4">
        <v>5258</v>
      </c>
      <c r="C827" t="s" s="5">
        <v>5226</v>
      </c>
      <c r="D827" t="s" s="5">
        <v>5219</v>
      </c>
      <c r="E827" t="s" s="5">
        <v>5259</v>
      </c>
      <c r="F827" t="s" s="10">
        <v>5260</v>
      </c>
      <c r="G827" t="s" s="7">
        <v>5261</v>
      </c>
      <c r="H827" t="s" s="7">
        <v>5262</v>
      </c>
      <c r="I827" t="str" s="8" cm="1">
        <f t="array" ref="I827">SUBSTITUTE(H827,B827,"(          )")</f>
        <v>He has only (          ) knowledge about the topic.</v>
      </c>
      <c r="J827" s="9" cm="1">
        <f t="array" ref="J827">SUMIF('외운 것 - 엑셀다운로드 파일(붙여넣기)'!A3:A562,A827,'외운 것 - 엑셀다운로드 파일(붙여넣기)'!D3:D562)</f>
        <v>0</v>
      </c>
      <c r="K827" s="9" cm="1">
        <f t="array" ref="K827">_xlfn.COUNTIFS('외운 것 - 엑셀다운로드 파일(붙여넣기)'!A3:A562,A827,'외운 것 - 엑셀다운로드 파일(붙여넣기)'!D3:D562,0)</f>
        <v>0</v>
      </c>
      <c r="L827" s="9" cm="1">
        <f t="array" ref="L827">IF(J827&gt;=3,_xlfn.XLOOKUP(A827,'외운 것 - 엑셀다운로드 파일(붙여넣기)'!A3:A562,'외운 것 - 엑셀다운로드 파일(붙여넣기)'!C3:C562,0,-1),0)</f>
        <v>0</v>
      </c>
    </row>
    <row r="828" ht="23.45" customHeight="1">
      <c r="A828" s="3">
        <v>827</v>
      </c>
      <c r="B828" t="s" s="4">
        <v>5264</v>
      </c>
      <c r="C828" t="s" s="5">
        <v>5226</v>
      </c>
      <c r="D828" t="s" s="5">
        <v>5219</v>
      </c>
      <c r="E828" t="s" s="5">
        <v>5265</v>
      </c>
      <c r="F828" t="s" s="10">
        <v>5266</v>
      </c>
      <c r="G828" t="s" s="7">
        <v>3916</v>
      </c>
      <c r="H828" t="s" s="7">
        <v>5267</v>
      </c>
      <c r="I828" t="str" s="8" cm="1">
        <f t="array" ref="I828">SUBSTITUTE(H828,B828,"(          )")</f>
        <v>Do we have (          ) supplies for the project?</v>
      </c>
      <c r="J828" s="9" cm="1">
        <f t="array" ref="J828">SUMIF('외운 것 - 엑셀다운로드 파일(붙여넣기)'!A3:A562,A828,'외운 것 - 엑셀다운로드 파일(붙여넣기)'!D3:D562)</f>
        <v>0</v>
      </c>
      <c r="K828" s="9" cm="1">
        <f t="array" ref="K828">_xlfn.COUNTIFS('외운 것 - 엑셀다운로드 파일(붙여넣기)'!A3:A562,A828,'외운 것 - 엑셀다운로드 파일(붙여넣기)'!D3:D562,0)</f>
        <v>0</v>
      </c>
      <c r="L828" s="9" cm="1">
        <f t="array" ref="L828">IF(J828&gt;=3,_xlfn.XLOOKUP(A828,'외운 것 - 엑셀다운로드 파일(붙여넣기)'!A3:A562,'외운 것 - 엑셀다운로드 파일(붙여넣기)'!C3:C562,0,-1),0)</f>
        <v>0</v>
      </c>
    </row>
    <row r="829" ht="23.45" customHeight="1">
      <c r="A829" s="3">
        <v>828</v>
      </c>
      <c r="B829" t="s" s="4">
        <v>5269</v>
      </c>
      <c r="C829" t="s" s="5">
        <v>5226</v>
      </c>
      <c r="D829" t="s" s="5">
        <v>5219</v>
      </c>
      <c r="E829" t="s" s="5">
        <v>5270</v>
      </c>
      <c r="F829" t="s" s="10">
        <v>5271</v>
      </c>
      <c r="G829" t="s" s="7">
        <v>5272</v>
      </c>
      <c r="H829" t="s" s="7">
        <v>5273</v>
      </c>
      <c r="I829" t="str" s="8" cm="1">
        <f t="array" ref="I829">SUBSTITUTE(H829,B829,"(          )")</f>
        <v>She is (          ) in three languages.</v>
      </c>
      <c r="J829" s="9" cm="1">
        <f t="array" ref="J829">SUMIF('외운 것 - 엑셀다운로드 파일(붙여넣기)'!A3:A562,A829,'외운 것 - 엑셀다운로드 파일(붙여넣기)'!D3:D562)</f>
        <v>0</v>
      </c>
      <c r="K829" s="9" cm="1">
        <f t="array" ref="K829">_xlfn.COUNTIFS('외운 것 - 엑셀다운로드 파일(붙여넣기)'!A3:A562,A829,'외운 것 - 엑셀다운로드 파일(붙여넣기)'!D3:D562,0)</f>
        <v>0</v>
      </c>
      <c r="L829" s="9" cm="1">
        <f t="array" ref="L829">IF(J829&gt;=3,_xlfn.XLOOKUP(A829,'외운 것 - 엑셀다운로드 파일(붙여넣기)'!A3:A562,'외운 것 - 엑셀다운로드 파일(붙여넣기)'!C3:C562,0,-1),0)</f>
        <v>0</v>
      </c>
    </row>
    <row r="830" ht="38.45" customHeight="1">
      <c r="A830" s="3">
        <v>829</v>
      </c>
      <c r="B830" t="s" s="4">
        <v>5174</v>
      </c>
      <c r="C830" t="s" s="5">
        <v>5226</v>
      </c>
      <c r="D830" t="s" s="5">
        <v>5219</v>
      </c>
      <c r="E830" t="s" s="5">
        <v>5175</v>
      </c>
      <c r="F830" t="s" s="10">
        <v>5275</v>
      </c>
      <c r="G830" t="s" s="7">
        <v>5177</v>
      </c>
      <c r="H830" t="s" s="7">
        <v>5178</v>
      </c>
      <c r="I830" t="str" s="8" cm="1">
        <f t="array" ref="I830">SUBSTITUTE(H830,B830,"(          )")</f>
        <v>LED bulbs are more (          ) than traditional incandescent bulbs.</v>
      </c>
      <c r="J830" s="9" cm="1">
        <f t="array" ref="J830">SUMIF('외운 것 - 엑셀다운로드 파일(붙여넣기)'!A3:A562,A830,'외운 것 - 엑셀다운로드 파일(붙여넣기)'!D3:D562)</f>
        <v>0</v>
      </c>
      <c r="K830" s="9" cm="1">
        <f t="array" ref="K830">_xlfn.COUNTIFS('외운 것 - 엑셀다운로드 파일(붙여넣기)'!A3:A562,A830,'외운 것 - 엑셀다운로드 파일(붙여넣기)'!D3:D562,0)</f>
        <v>0</v>
      </c>
      <c r="L830" s="9" cm="1">
        <f t="array" ref="L830">IF(J830&gt;=3,_xlfn.XLOOKUP(A830,'외운 것 - 엑셀다운로드 파일(붙여넣기)'!A3:A562,'외운 것 - 엑셀다운로드 파일(붙여넣기)'!C3:C562,0,-1),0)</f>
        <v>0</v>
      </c>
    </row>
    <row r="831" ht="23.45" customHeight="1">
      <c r="A831" s="3">
        <v>830</v>
      </c>
      <c r="B831" t="s" s="4">
        <v>5276</v>
      </c>
      <c r="C831" t="s" s="5">
        <v>5226</v>
      </c>
      <c r="D831" t="s" s="5">
        <v>5219</v>
      </c>
      <c r="E831" t="s" s="5">
        <v>5277</v>
      </c>
      <c r="F831" t="s" s="10">
        <v>5278</v>
      </c>
      <c r="G831" t="s" s="7">
        <v>5279</v>
      </c>
      <c r="H831" t="s" s="7">
        <v>5280</v>
      </c>
      <c r="I831" t="str" s="8" cm="1">
        <f t="array" ref="I831">SUBSTITUTE(H831,B831,"(          )")</f>
        <v>Learning Chinese can be (          ) for English speakers.</v>
      </c>
      <c r="J831" s="9" cm="1">
        <f t="array" ref="J831">SUMIF('외운 것 - 엑셀다운로드 파일(붙여넣기)'!A3:A562,A831,'외운 것 - 엑셀다운로드 파일(붙여넣기)'!D3:D562)</f>
        <v>0</v>
      </c>
      <c r="K831" s="9" cm="1">
        <f t="array" ref="K831">_xlfn.COUNTIFS('외운 것 - 엑셀다운로드 파일(붙여넣기)'!A3:A562,A831,'외운 것 - 엑셀다운로드 파일(붙여넣기)'!D3:D562,0)</f>
        <v>0</v>
      </c>
      <c r="L831" s="9" cm="1">
        <f t="array" ref="L831">IF(J831&gt;=3,_xlfn.XLOOKUP(A831,'외운 것 - 엑셀다운로드 파일(붙여넣기)'!A3:A562,'외운 것 - 엑셀다운로드 파일(붙여넣기)'!C3:C562,0,-1),0)</f>
        <v>0</v>
      </c>
    </row>
    <row r="832" ht="38.45" customHeight="1">
      <c r="A832" s="3">
        <v>831</v>
      </c>
      <c r="B832" t="s" s="4">
        <v>5282</v>
      </c>
      <c r="C832" t="s" s="5">
        <v>5226</v>
      </c>
      <c r="D832" t="s" s="5">
        <v>5219</v>
      </c>
      <c r="E832" t="s" s="5">
        <v>5283</v>
      </c>
      <c r="F832" t="s" s="10">
        <v>5284</v>
      </c>
      <c r="G832" t="s" s="7">
        <v>5285</v>
      </c>
      <c r="H832" t="s" s="7">
        <v>5286</v>
      </c>
      <c r="I832" t="str" s="8" cm="1">
        <f t="array" ref="I832">SUBSTITUTE(H832,B832,"(          )")</f>
        <v>Morning (          ) is always heavy in the city center.</v>
      </c>
      <c r="J832" s="9" cm="1">
        <f t="array" ref="J832">SUMIF('외운 것 - 엑셀다운로드 파일(붙여넣기)'!A3:A562,A832,'외운 것 - 엑셀다운로드 파일(붙여넣기)'!D3:D562)</f>
        <v>0</v>
      </c>
      <c r="K832" s="9" cm="1">
        <f t="array" ref="K832">_xlfn.COUNTIFS('외운 것 - 엑셀다운로드 파일(붙여넣기)'!A3:A562,A832,'외운 것 - 엑셀다운로드 파일(붙여넣기)'!D3:D562,0)</f>
        <v>0</v>
      </c>
      <c r="L832" s="9" cm="1">
        <f t="array" ref="L832">IF(J832&gt;=3,_xlfn.XLOOKUP(A832,'외운 것 - 엑셀다운로드 파일(붙여넣기)'!A3:A562,'외운 것 - 엑셀다운로드 파일(붙여넣기)'!C3:C562,0,-1),0)</f>
        <v>0</v>
      </c>
    </row>
    <row r="833" ht="38.45" customHeight="1">
      <c r="A833" s="3">
        <v>832</v>
      </c>
      <c r="B833" t="s" s="4">
        <v>5288</v>
      </c>
      <c r="C833" t="s" s="5">
        <v>5226</v>
      </c>
      <c r="D833" t="s" s="5">
        <v>5219</v>
      </c>
      <c r="E833" t="s" s="5">
        <v>5289</v>
      </c>
      <c r="F833" t="s" s="10">
        <v>5290</v>
      </c>
      <c r="G833" t="s" s="7">
        <v>5291</v>
      </c>
      <c r="H833" t="s" s="7">
        <v>5292</v>
      </c>
      <c r="I833" t="str" s="8" cm="1">
        <f t="array" ref="I833">SUBSTITUTE(H833,B833,"(          )")</f>
        <v>You will receive a (          ) upon completion of the course.</v>
      </c>
      <c r="J833" s="9" cm="1">
        <f t="array" ref="J833">SUMIF('외운 것 - 엑셀다운로드 파일(붙여넣기)'!A3:A562,A833,'외운 것 - 엑셀다운로드 파일(붙여넣기)'!D3:D562)</f>
        <v>0</v>
      </c>
      <c r="K833" s="9" cm="1">
        <f t="array" ref="K833">_xlfn.COUNTIFS('외운 것 - 엑셀다운로드 파일(붙여넣기)'!A3:A562,A833,'외운 것 - 엑셀다운로드 파일(붙여넣기)'!D3:D562,0)</f>
        <v>0</v>
      </c>
      <c r="L833" s="9" cm="1">
        <f t="array" ref="L833">IF(J833&gt;=3,_xlfn.XLOOKUP(A833,'외운 것 - 엑셀다운로드 파일(붙여넣기)'!A3:A562,'외운 것 - 엑셀다운로드 파일(붙여넣기)'!C3:C562,0,-1),0)</f>
        <v>0</v>
      </c>
    </row>
    <row r="834" ht="38.45" customHeight="1">
      <c r="A834" s="3">
        <v>833</v>
      </c>
      <c r="B834" t="s" s="4">
        <v>5294</v>
      </c>
      <c r="C834" t="s" s="5">
        <v>5295</v>
      </c>
      <c r="D834" t="s" s="5">
        <v>5296</v>
      </c>
      <c r="E834" t="s" s="5">
        <v>5297</v>
      </c>
      <c r="F834" t="s" s="10">
        <v>5298</v>
      </c>
      <c r="G834" t="s" s="7">
        <v>5299</v>
      </c>
      <c r="H834" t="s" s="7">
        <v>5300</v>
      </c>
      <c r="I834" t="str" s="8" cm="1">
        <f t="array" ref="I834">SUBSTITUTE(H834,B834,"(          )")</f>
        <v>You need three years of experience to (          ) for this position.</v>
      </c>
      <c r="J834" s="9" cm="1">
        <f t="array" ref="J834">SUMIF('외운 것 - 엑셀다운로드 파일(붙여넣기)'!A3:A562,A834,'외운 것 - 엑셀다운로드 파일(붙여넣기)'!D3:D562)</f>
        <v>0</v>
      </c>
      <c r="K834" s="9" cm="1">
        <f t="array" ref="K834">_xlfn.COUNTIFS('외운 것 - 엑셀다운로드 파일(붙여넣기)'!A3:A562,A834,'외운 것 - 엑셀다운로드 파일(붙여넣기)'!D3:D562,0)</f>
        <v>0</v>
      </c>
      <c r="L834" s="9" cm="1">
        <f t="array" ref="L834">IF(J834&gt;=3,_xlfn.XLOOKUP(A834,'외운 것 - 엑셀다운로드 파일(붙여넣기)'!A3:A562,'외운 것 - 엑셀다운로드 파일(붙여넣기)'!C3:C562,0,-1),0)</f>
        <v>0</v>
      </c>
    </row>
    <row r="835" ht="38.45" customHeight="1">
      <c r="A835" s="3">
        <v>834</v>
      </c>
      <c r="B835" t="s" s="4">
        <v>5302</v>
      </c>
      <c r="C835" t="s" s="5">
        <v>5303</v>
      </c>
      <c r="D835" t="s" s="5">
        <v>5295</v>
      </c>
      <c r="E835" t="s" s="5">
        <v>5304</v>
      </c>
      <c r="F835" t="s" s="10">
        <v>5305</v>
      </c>
      <c r="G835" t="s" s="7">
        <v>5306</v>
      </c>
      <c r="H835" t="s" s="7">
        <v>5307</v>
      </c>
      <c r="I835" t="str" s="8" cm="1">
        <f t="array" ref="I835">SUBSTITUTE(H835,B835,"(          )")</f>
        <v>The athlete was (          ) for breaking the rules.</v>
      </c>
      <c r="J835" s="9" cm="1">
        <f t="array" ref="J835">SUMIF('외운 것 - 엑셀다운로드 파일(붙여넣기)'!A3:A562,A835,'외운 것 - 엑셀다운로드 파일(붙여넣기)'!D3:D562)</f>
        <v>0</v>
      </c>
      <c r="K835" s="9" cm="1">
        <f t="array" ref="K835">_xlfn.COUNTIFS('외운 것 - 엑셀다운로드 파일(붙여넣기)'!A3:A562,A835,'외운 것 - 엑셀다운로드 파일(붙여넣기)'!D3:D562,0)</f>
        <v>0</v>
      </c>
      <c r="L835" s="9" cm="1">
        <f t="array" ref="L835">IF(J835&gt;=3,_xlfn.XLOOKUP(A835,'외운 것 - 엑셀다운로드 파일(붙여넣기)'!A3:A562,'외운 것 - 엑셀다운로드 파일(붙여넣기)'!C3:C562,0,-1),0)</f>
        <v>0</v>
      </c>
    </row>
    <row r="836" ht="23.45" customHeight="1">
      <c r="A836" s="3">
        <v>835</v>
      </c>
      <c r="B836" t="s" s="4">
        <v>5309</v>
      </c>
      <c r="C836" t="s" s="5">
        <v>5295</v>
      </c>
      <c r="D836" t="s" s="5">
        <v>5296</v>
      </c>
      <c r="E836" t="s" s="5">
        <v>5310</v>
      </c>
      <c r="F836" t="s" s="10">
        <v>5311</v>
      </c>
      <c r="G836" t="s" s="7">
        <v>5312</v>
      </c>
      <c r="H836" t="s" s="7">
        <v>5313</v>
      </c>
      <c r="I836" t="str" s="8" cm="1">
        <f t="array" ref="I836">SUBSTITUTE(H836,B836,"(          )")</f>
        <v>The explanation did not (          ) the curious child.</v>
      </c>
      <c r="J836" s="9" cm="1">
        <f t="array" ref="J836">SUMIF('외운 것 - 엑셀다운로드 파일(붙여넣기)'!A3:A562,A836,'외운 것 - 엑셀다운로드 파일(붙여넣기)'!D3:D562)</f>
        <v>0</v>
      </c>
      <c r="K836" s="9" cm="1">
        <f t="array" ref="K836">_xlfn.COUNTIFS('외운 것 - 엑셀다운로드 파일(붙여넣기)'!A3:A562,A836,'외운 것 - 엑셀다운로드 파일(붙여넣기)'!D3:D562,0)</f>
        <v>0</v>
      </c>
      <c r="L836" s="9" cm="1">
        <f t="array" ref="L836">IF(J836&gt;=3,_xlfn.XLOOKUP(A836,'외운 것 - 엑셀다운로드 파일(붙여넣기)'!A3:A562,'외운 것 - 엑셀다운로드 파일(붙여넣기)'!C3:C562,0,-1),0)</f>
        <v>0</v>
      </c>
    </row>
    <row r="837" ht="23.45" customHeight="1">
      <c r="A837" s="3">
        <v>836</v>
      </c>
      <c r="B837" t="s" s="4">
        <v>5315</v>
      </c>
      <c r="C837" t="s" s="5">
        <v>5316</v>
      </c>
      <c r="D837" t="s" s="5">
        <v>5295</v>
      </c>
      <c r="E837" t="s" s="5">
        <v>5317</v>
      </c>
      <c r="F837" t="s" s="10">
        <v>5318</v>
      </c>
      <c r="G837" t="s" s="7">
        <v>5319</v>
      </c>
      <c r="H837" t="s" s="7">
        <v>5320</v>
      </c>
      <c r="I837" t="str" s="8" cm="1">
        <f t="array" ref="I837">SUBSTITUTE(H837,B837,"(          )")</f>
        <v>Customer (          ) is our primary goal.</v>
      </c>
      <c r="J837" s="9" cm="1">
        <f t="array" ref="J837">SUMIF('외운 것 - 엑셀다운로드 파일(붙여넣기)'!A3:A562,A837,'외운 것 - 엑셀다운로드 파일(붙여넣기)'!D3:D562)</f>
        <v>0</v>
      </c>
      <c r="K837" s="9" cm="1">
        <f t="array" ref="K837">_xlfn.COUNTIFS('외운 것 - 엑셀다운로드 파일(붙여넣기)'!A3:A562,A837,'외운 것 - 엑셀다운로드 파일(붙여넣기)'!D3:D562,0)</f>
        <v>0</v>
      </c>
      <c r="L837" s="9" cm="1">
        <f t="array" ref="L837">IF(J837&gt;=3,_xlfn.XLOOKUP(A837,'외운 것 - 엑셀다운로드 파일(붙여넣기)'!A3:A562,'외운 것 - 엑셀다운로드 파일(붙여넣기)'!C3:C562,0,-1),0)</f>
        <v>0</v>
      </c>
    </row>
    <row r="838" ht="50.45" customHeight="1">
      <c r="A838" s="3">
        <v>837</v>
      </c>
      <c r="B838" t="s" s="4">
        <v>5322</v>
      </c>
      <c r="C838" t="s" s="5">
        <v>5323</v>
      </c>
      <c r="D838" t="s" s="5">
        <v>5295</v>
      </c>
      <c r="E838" t="s" s="5">
        <v>5324</v>
      </c>
      <c r="F838" t="s" s="10">
        <v>5325</v>
      </c>
      <c r="G838" t="s" s="7">
        <v>5326</v>
      </c>
      <c r="H838" t="s" s="7">
        <v>5327</v>
      </c>
      <c r="I838" t="str" s="8" cm="1">
        <f t="array" ref="I838">SUBSTITUTE(H838,B838,"(          )")</f>
        <v>Employee (          ) led to high turnover rates.</v>
      </c>
      <c r="J838" s="9" cm="1">
        <f t="array" ref="J838">SUMIF('외운 것 - 엑셀다운로드 파일(붙여넣기)'!A3:A562,A838,'외운 것 - 엑셀다운로드 파일(붙여넣기)'!D3:D562)</f>
        <v>0</v>
      </c>
      <c r="K838" s="9" cm="1">
        <f t="array" ref="K838">_xlfn.COUNTIFS('외운 것 - 엑셀다운로드 파일(붙여넣기)'!A3:A562,A838,'외운 것 - 엑셀다운로드 파일(붙여넣기)'!D3:D562,0)</f>
        <v>0</v>
      </c>
      <c r="L838" s="9" cm="1">
        <f t="array" ref="L838">IF(J838&gt;=3,_xlfn.XLOOKUP(A838,'외운 것 - 엑셀다운로드 파일(붙여넣기)'!A3:A562,'외운 것 - 엑셀다운로드 파일(붙여넣기)'!C3:C562,0,-1),0)</f>
        <v>0</v>
      </c>
    </row>
    <row r="839" ht="23.45" customHeight="1">
      <c r="A839" s="3">
        <v>838</v>
      </c>
      <c r="B839" t="s" s="4">
        <v>5329</v>
      </c>
      <c r="C839" t="s" s="5">
        <v>5295</v>
      </c>
      <c r="D839" t="s" s="5">
        <v>5296</v>
      </c>
      <c r="E839" t="s" s="5">
        <v>5330</v>
      </c>
      <c r="F839" t="s" s="10">
        <v>5331</v>
      </c>
      <c r="G839" t="s" s="7">
        <v>5332</v>
      </c>
      <c r="H839" t="s" s="7">
        <v>5333</v>
      </c>
      <c r="I839" t="str" s="8" cm="1">
        <f t="array" ref="I839">SUBSTITUTE(H839,B839,"(          )")</f>
        <v>Use a microscope to (          ) tiny organisms.</v>
      </c>
      <c r="J839" s="9" cm="1">
        <f t="array" ref="J839">SUMIF('외운 것 - 엑셀다운로드 파일(붙여넣기)'!A3:A562,A839,'외운 것 - 엑셀다운로드 파일(붙여넣기)'!D3:D562)</f>
        <v>0</v>
      </c>
      <c r="K839" s="9" cm="1">
        <f t="array" ref="K839">_xlfn.COUNTIFS('외운 것 - 엑셀다운로드 파일(붙여넣기)'!A3:A562,A839,'외운 것 - 엑셀다운로드 파일(붙여넣기)'!D3:D562,0)</f>
        <v>0</v>
      </c>
      <c r="L839" s="9" cm="1">
        <f t="array" ref="L839">IF(J839&gt;=3,_xlfn.XLOOKUP(A839,'외운 것 - 엑셀다운로드 파일(붙여넣기)'!A3:A562,'외운 것 - 엑셀다운로드 파일(붙여넣기)'!C3:C562,0,-1),0)</f>
        <v>0</v>
      </c>
    </row>
    <row r="840" ht="23.45" customHeight="1">
      <c r="A840" s="3">
        <v>839</v>
      </c>
      <c r="B840" t="s" s="4">
        <v>5335</v>
      </c>
      <c r="C840" t="s" s="5">
        <v>5336</v>
      </c>
      <c r="D840" t="s" s="5">
        <v>5337</v>
      </c>
      <c r="E840" t="s" s="5">
        <v>5338</v>
      </c>
      <c r="F840" t="s" s="10">
        <v>5339</v>
      </c>
      <c r="G840" t="s" s="7">
        <v>5340</v>
      </c>
      <c r="H840" t="s" s="7">
        <v>5341</v>
      </c>
      <c r="I840" t="str" s="8" cm="1">
        <f t="array" ref="I840">SUBSTITUTE(H840,B840,"(          )")</f>
        <v>These shoes (          ) me perfectly.</v>
      </c>
      <c r="J840" s="9" cm="1">
        <f t="array" ref="J840">SUMIF('외운 것 - 엑셀다운로드 파일(붙여넣기)'!A3:A562,A840,'외운 것 - 엑셀다운로드 파일(붙여넣기)'!D3:D562)</f>
        <v>0</v>
      </c>
      <c r="K840" s="9" cm="1">
        <f t="array" ref="K840">_xlfn.COUNTIFS('외운 것 - 엑셀다운로드 파일(붙여넣기)'!A3:A562,A840,'외운 것 - 엑셀다운로드 파일(붙여넣기)'!D3:D562,0)</f>
        <v>0</v>
      </c>
      <c r="L840" s="9" cm="1">
        <f t="array" ref="L840">IF(J840&gt;=3,_xlfn.XLOOKUP(A840,'외운 것 - 엑셀다운로드 파일(붙여넣기)'!A3:A562,'외운 것 - 엑셀다운로드 파일(붙여넣기)'!C3:C562,0,-1),0)</f>
        <v>0</v>
      </c>
    </row>
    <row r="841" ht="23.45" customHeight="1">
      <c r="A841" s="3">
        <v>840</v>
      </c>
      <c r="B841" t="s" s="4">
        <v>5343</v>
      </c>
      <c r="C841" t="s" s="5">
        <v>5335</v>
      </c>
      <c r="D841" t="s" s="5">
        <v>5337</v>
      </c>
      <c r="E841" t="s" s="5">
        <v>5344</v>
      </c>
      <c r="F841" t="s" s="10">
        <v>5345</v>
      </c>
      <c r="G841" t="s" s="7">
        <v>5346</v>
      </c>
      <c r="H841" t="s" s="7">
        <v>5347</v>
      </c>
      <c r="I841" t="str" s="8" cm="1">
        <f t="array" ref="I841">SUBSTITUTE(H841,B841,"(          )")</f>
        <v>She bought a new (          ) for the party.</v>
      </c>
      <c r="J841" s="9" cm="1">
        <f t="array" ref="J841">SUMIF('외운 것 - 엑셀다운로드 파일(붙여넣기)'!A3:A562,A841,'외운 것 - 엑셀다운로드 파일(붙여넣기)'!D3:D562)</f>
        <v>0</v>
      </c>
      <c r="K841" s="9" cm="1">
        <f t="array" ref="K841">_xlfn.COUNTIFS('외운 것 - 엑셀다운로드 파일(붙여넣기)'!A3:A562,A841,'외운 것 - 엑셀다운로드 파일(붙여넣기)'!D3:D562,0)</f>
        <v>0</v>
      </c>
      <c r="L841" s="9" cm="1">
        <f t="array" ref="L841">IF(J841&gt;=3,_xlfn.XLOOKUP(A841,'외운 것 - 엑셀다운로드 파일(붙여넣기)'!A3:A562,'외운 것 - 엑셀다운로드 파일(붙여넣기)'!C3:C562,0,-1),0)</f>
        <v>0</v>
      </c>
    </row>
    <row r="842" ht="23.45" customHeight="1">
      <c r="A842" s="3">
        <v>841</v>
      </c>
      <c r="B842" t="s" s="4">
        <v>5349</v>
      </c>
      <c r="C842" t="s" s="5">
        <v>5335</v>
      </c>
      <c r="D842" t="s" s="5">
        <v>5337</v>
      </c>
      <c r="E842" t="s" s="5">
        <v>5350</v>
      </c>
      <c r="F842" t="s" s="10">
        <v>5351</v>
      </c>
      <c r="G842" t="s" s="7">
        <v>5352</v>
      </c>
      <c r="H842" t="s" s="7">
        <v>5353</v>
      </c>
      <c r="I842" t="str" s="8" cm="1">
        <f t="array" ref="I842">SUBSTITUTE(H842,B842,"(          )")</f>
        <v>Regular exercise has many health (          )s.</v>
      </c>
      <c r="J842" s="9" cm="1">
        <f t="array" ref="J842">SUMIF('외운 것 - 엑셀다운로드 파일(붙여넣기)'!A3:A562,A842,'외운 것 - 엑셀다운로드 파일(붙여넣기)'!D3:D562)</f>
        <v>0</v>
      </c>
      <c r="K842" s="9" cm="1">
        <f t="array" ref="K842">_xlfn.COUNTIFS('외운 것 - 엑셀다운로드 파일(붙여넣기)'!A3:A562,A842,'외운 것 - 엑셀다운로드 파일(붙여넣기)'!D3:D562,0)</f>
        <v>0</v>
      </c>
      <c r="L842" s="9" cm="1">
        <f t="array" ref="L842">IF(J842&gt;=3,_xlfn.XLOOKUP(A842,'외운 것 - 엑셀다운로드 파일(붙여넣기)'!A3:A562,'외운 것 - 엑셀다운로드 파일(붙여넣기)'!C3:C562,0,-1),0)</f>
        <v>0</v>
      </c>
    </row>
    <row r="843" ht="23.45" customHeight="1">
      <c r="A843" s="3">
        <v>842</v>
      </c>
      <c r="B843" t="s" s="4">
        <v>5355</v>
      </c>
      <c r="C843" t="s" s="5">
        <v>5335</v>
      </c>
      <c r="D843" t="s" s="5">
        <v>5337</v>
      </c>
      <c r="E843" t="s" s="5">
        <v>5356</v>
      </c>
      <c r="F843" t="s" s="10">
        <v>5357</v>
      </c>
      <c r="G843" t="s" s="7">
        <v>5358</v>
      </c>
      <c r="H843" t="s" s="7">
        <v>5359</v>
      </c>
      <c r="I843" t="str" s="8" cm="1">
        <f t="array" ref="I843">SUBSTITUTE(H843,B843,"(          )")</f>
        <v>The company reported higher (          )s this year.</v>
      </c>
      <c r="J843" s="9" cm="1">
        <f t="array" ref="J843">SUMIF('외운 것 - 엑셀다운로드 파일(붙여넣기)'!A3:A562,A843,'외운 것 - 엑셀다운로드 파일(붙여넣기)'!D3:D562)</f>
        <v>0</v>
      </c>
      <c r="K843" s="9" cm="1">
        <f t="array" ref="K843">_xlfn.COUNTIFS('외운 것 - 엑셀다운로드 파일(붙여넣기)'!A3:A562,A843,'외운 것 - 엑셀다운로드 파일(붙여넣기)'!D3:D562,0)</f>
        <v>0</v>
      </c>
      <c r="L843" s="9" cm="1">
        <f t="array" ref="L843">IF(J843&gt;=3,_xlfn.XLOOKUP(A843,'외운 것 - 엑셀다운로드 파일(붙여넣기)'!A3:A562,'외운 것 - 엑셀다운로드 파일(붙여넣기)'!C3:C562,0,-1),0)</f>
        <v>0</v>
      </c>
    </row>
    <row r="844" ht="38.45" customHeight="1">
      <c r="A844" s="3">
        <v>843</v>
      </c>
      <c r="B844" t="s" s="4">
        <v>5361</v>
      </c>
      <c r="C844" t="s" s="5">
        <v>5336</v>
      </c>
      <c r="D844" t="s" s="5">
        <v>5296</v>
      </c>
      <c r="E844" t="s" s="5">
        <v>5362</v>
      </c>
      <c r="F844" t="s" s="10">
        <v>5363</v>
      </c>
      <c r="G844" t="s" s="7">
        <v>5364</v>
      </c>
      <c r="H844" t="s" s="7">
        <v>5365</v>
      </c>
      <c r="I844" t="str" s="8" cm="1">
        <f t="array" ref="I844">SUBSTITUTE(H844,B844,"(          )")</f>
        <v>The charity (          ) supports medical research.</v>
      </c>
      <c r="J844" s="9" cm="1">
        <f t="array" ref="J844">SUMIF('외운 것 - 엑셀다운로드 파일(붙여넣기)'!A3:A562,A844,'외운 것 - 엑셀다운로드 파일(붙여넣기)'!D3:D562)</f>
        <v>0</v>
      </c>
      <c r="K844" s="9" cm="1">
        <f t="array" ref="K844">_xlfn.COUNTIFS('외운 것 - 엑셀다운로드 파일(붙여넣기)'!A3:A562,A844,'외운 것 - 엑셀다운로드 파일(붙여넣기)'!D3:D562,0)</f>
        <v>0</v>
      </c>
      <c r="L844" s="9" cm="1">
        <f t="array" ref="L844">IF(J844&gt;=3,_xlfn.XLOOKUP(A844,'외운 것 - 엑셀다운로드 파일(붙여넣기)'!A3:A562,'외운 것 - 엑셀다운로드 파일(붙여넣기)'!C3:C562,0,-1),0)</f>
        <v>0</v>
      </c>
    </row>
    <row r="845" ht="23.45" customHeight="1">
      <c r="A845" s="3">
        <v>844</v>
      </c>
      <c r="B845" t="s" s="4">
        <v>5367</v>
      </c>
      <c r="C845" t="s" s="5">
        <v>5361</v>
      </c>
      <c r="D845" t="s" s="5">
        <v>5368</v>
      </c>
      <c r="E845" t="s" s="5">
        <v>5369</v>
      </c>
      <c r="F845" t="s" s="10">
        <v>5370</v>
      </c>
      <c r="G845" t="s" s="7">
        <v>5371</v>
      </c>
      <c r="H845" t="s" s="7">
        <v>5372</v>
      </c>
      <c r="I845" t="str" s="8" cm="1">
        <f t="array" ref="I845">SUBSTITUTE(H845,B845,"(          )")</f>
        <v>The school organized a (          ) to buy new computers.</v>
      </c>
      <c r="J845" s="9" cm="1">
        <f t="array" ref="J845">SUMIF('외운 것 - 엑셀다운로드 파일(붙여넣기)'!A3:A562,A845,'외운 것 - 엑셀다운로드 파일(붙여넣기)'!D3:D562)</f>
        <v>0</v>
      </c>
      <c r="K845" s="9" cm="1">
        <f t="array" ref="K845">_xlfn.COUNTIFS('외운 것 - 엑셀다운로드 파일(붙여넣기)'!A3:A562,A845,'외운 것 - 엑셀다운로드 파일(붙여넣기)'!D3:D562,0)</f>
        <v>0</v>
      </c>
      <c r="L845" s="9" cm="1">
        <f t="array" ref="L845">IF(J845&gt;=3,_xlfn.XLOOKUP(A845,'외운 것 - 엑셀다운로드 파일(붙여넣기)'!A3:A562,'외운 것 - 엑셀다운로드 파일(붙여넣기)'!C3:C562,0,-1),0)</f>
        <v>0</v>
      </c>
    </row>
    <row r="846" ht="23.45" customHeight="1">
      <c r="A846" s="3">
        <v>845</v>
      </c>
      <c r="B846" t="s" s="4">
        <v>5374</v>
      </c>
      <c r="C846" t="s" s="5">
        <v>5361</v>
      </c>
      <c r="D846" t="s" s="5">
        <v>5368</v>
      </c>
      <c r="E846" t="s" s="5">
        <v>5375</v>
      </c>
      <c r="F846" t="s" s="10">
        <v>5376</v>
      </c>
      <c r="G846" t="s" s="7">
        <v>5377</v>
      </c>
      <c r="H846" t="s" s="7">
        <v>5378</v>
      </c>
      <c r="I846" t="str" s="8" cm="1">
        <f t="array" ref="I846">SUBSTITUTE(H846,B846,"(          )")</f>
        <v>The store offers a full (          ) if you're not satisfied.</v>
      </c>
      <c r="J846" s="9" cm="1">
        <f t="array" ref="J846">SUMIF('외운 것 - 엑셀다운로드 파일(붙여넣기)'!A3:A562,A846,'외운 것 - 엑셀다운로드 파일(붙여넣기)'!D3:D562)</f>
        <v>0</v>
      </c>
      <c r="K846" s="9" cm="1">
        <f t="array" ref="K846">_xlfn.COUNTIFS('외운 것 - 엑셀다운로드 파일(붙여넣기)'!A3:A562,A846,'외운 것 - 엑셀다운로드 파일(붙여넣기)'!D3:D562,0)</f>
        <v>0</v>
      </c>
      <c r="L846" s="9" cm="1">
        <f t="array" ref="L846">IF(J846&gt;=3,_xlfn.XLOOKUP(A846,'외운 것 - 엑셀다운로드 파일(붙여넣기)'!A3:A562,'외운 것 - 엑셀다운로드 파일(붙여넣기)'!C3:C562,0,-1),0)</f>
        <v>0</v>
      </c>
    </row>
    <row r="847" ht="38.45" customHeight="1">
      <c r="A847" s="3">
        <v>846</v>
      </c>
      <c r="B847" t="s" s="4">
        <v>5380</v>
      </c>
      <c r="C847" t="s" s="5">
        <v>5361</v>
      </c>
      <c r="D847" t="s" s="5">
        <v>5368</v>
      </c>
      <c r="E847" t="s" s="5">
        <v>5381</v>
      </c>
      <c r="F847" t="s" s="10">
        <v>5382</v>
      </c>
      <c r="G847" t="s" s="7">
        <v>5383</v>
      </c>
      <c r="H847" t="s" s="7">
        <v>5384</v>
      </c>
      <c r="I847" t="str" s="8" cm="1">
        <f t="array" ref="I847">SUBSTITUTE(H847,B847,"(          )")</f>
        <v>Understanding gravity is (          ) to physics.</v>
      </c>
      <c r="J847" s="9" cm="1">
        <f t="array" ref="J847">SUMIF('외운 것 - 엑셀다운로드 파일(붙여넣기)'!A3:A562,A847,'외운 것 - 엑셀다운로드 파일(붙여넣기)'!D3:D562)</f>
        <v>0</v>
      </c>
      <c r="K847" s="9" cm="1">
        <f t="array" ref="K847">_xlfn.COUNTIFS('외운 것 - 엑셀다운로드 파일(붙여넣기)'!A3:A562,A847,'외운 것 - 엑셀다운로드 파일(붙여넣기)'!D3:D562,0)</f>
        <v>0</v>
      </c>
      <c r="L847" s="9" cm="1">
        <f t="array" ref="L847">IF(J847&gt;=3,_xlfn.XLOOKUP(A847,'외운 것 - 엑셀다운로드 파일(붙여넣기)'!A3:A562,'외운 것 - 엑셀다운로드 파일(붙여넣기)'!C3:C562,0,-1),0)</f>
        <v>0</v>
      </c>
    </row>
    <row r="848" ht="38.45" customHeight="1">
      <c r="A848" s="3">
        <v>847</v>
      </c>
      <c r="B848" t="s" s="4">
        <v>5386</v>
      </c>
      <c r="C848" t="s" s="5">
        <v>5361</v>
      </c>
      <c r="D848" t="s" s="5">
        <v>5368</v>
      </c>
      <c r="E848" t="s" s="5">
        <v>5387</v>
      </c>
      <c r="F848" t="s" s="10">
        <v>5388</v>
      </c>
      <c r="G848" t="s" s="7">
        <v>5389</v>
      </c>
      <c r="H848" t="s" s="7">
        <v>5390</v>
      </c>
      <c r="I848" t="str" s="8" cm="1">
        <f t="array" ref="I848">SUBSTITUTE(H848,B848,"(          )")</f>
        <v>The (          ) of the company started with just one small shop.</v>
      </c>
      <c r="J848" s="9" cm="1">
        <f t="array" ref="J848">SUMIF('외운 것 - 엑셀다운로드 파일(붙여넣기)'!A3:A562,A848,'외운 것 - 엑셀다운로드 파일(붙여넣기)'!D3:D562)</f>
        <v>0</v>
      </c>
      <c r="K848" s="9" cm="1">
        <f t="array" ref="K848">_xlfn.COUNTIFS('외운 것 - 엑셀다운로드 파일(붙여넣기)'!A3:A562,A848,'외운 것 - 엑셀다운로드 파일(붙여넣기)'!D3:D562,0)</f>
        <v>0</v>
      </c>
      <c r="L848" s="9" cm="1">
        <f t="array" ref="L848">IF(J848&gt;=3,_xlfn.XLOOKUP(A848,'외운 것 - 엑셀다운로드 파일(붙여넣기)'!A3:A562,'외운 것 - 엑셀다운로드 파일(붙여넣기)'!C3:C562,0,-1),0)</f>
        <v>0</v>
      </c>
    </row>
    <row r="849" ht="38.45" customHeight="1">
      <c r="A849" s="3">
        <v>848</v>
      </c>
      <c r="B849" t="s" s="4">
        <v>5392</v>
      </c>
      <c r="C849" t="s" s="5">
        <v>5393</v>
      </c>
      <c r="D849" t="s" s="5">
        <v>5368</v>
      </c>
      <c r="E849" t="s" s="5">
        <v>5394</v>
      </c>
      <c r="F849" t="s" s="10">
        <v>5395</v>
      </c>
      <c r="G849" t="s" s="7">
        <v>5396</v>
      </c>
      <c r="H849" t="s" s="7">
        <v>5397</v>
      </c>
      <c r="I849" t="str" s="8" cm="1">
        <f t="array" ref="I849">SUBSTITUTE(H849,B849,"(          )")</f>
        <v>The house has a solid (          ) of concrete.</v>
      </c>
      <c r="J849" s="9" cm="1">
        <f t="array" ref="J849">SUMIF('외운 것 - 엑셀다운로드 파일(붙여넣기)'!A3:A562,A849,'외운 것 - 엑셀다운로드 파일(붙여넣기)'!D3:D562)</f>
        <v>0</v>
      </c>
      <c r="K849" s="9" cm="1">
        <f t="array" ref="K849">_xlfn.COUNTIFS('외운 것 - 엑셀다운로드 파일(붙여넣기)'!A3:A562,A849,'외운 것 - 엑셀다운로드 파일(붙여넣기)'!D3:D562,0)</f>
        <v>0</v>
      </c>
      <c r="L849" s="9" cm="1">
        <f t="array" ref="L849">IF(J849&gt;=3,_xlfn.XLOOKUP(A849,'외운 것 - 엑셀다운로드 파일(붙여넣기)'!A3:A562,'외운 것 - 엑셀다운로드 파일(붙여넣기)'!C3:C562,0,-1),0)</f>
        <v>0</v>
      </c>
    </row>
    <row r="850" ht="38.45" customHeight="1">
      <c r="A850" s="3">
        <v>849</v>
      </c>
      <c r="B850" t="s" s="4">
        <v>5399</v>
      </c>
      <c r="C850" t="s" s="5">
        <v>5393</v>
      </c>
      <c r="D850" t="s" s="5">
        <v>5368</v>
      </c>
      <c r="E850" t="s" s="5">
        <v>5400</v>
      </c>
      <c r="F850" t="s" s="10">
        <v>5401</v>
      </c>
      <c r="G850" t="s" s="7">
        <v>5402</v>
      </c>
      <c r="H850" t="s" s="7">
        <v>5403</v>
      </c>
      <c r="I850" t="str" s="8" cm="1">
        <f t="array" ref="I850">SUBSTITUTE(H850,B850,"(          )")</f>
        <v>The experience had a (          ) effect on his life.</v>
      </c>
      <c r="J850" s="9" cm="1">
        <f t="array" ref="J850">SUMIF('외운 것 - 엑셀다운로드 파일(붙여넣기)'!A3:A562,A850,'외운 것 - 엑셀다운로드 파일(붙여넣기)'!D3:D562)</f>
        <v>0</v>
      </c>
      <c r="K850" s="9" cm="1">
        <f t="array" ref="K850">_xlfn.COUNTIFS('외운 것 - 엑셀다운로드 파일(붙여넣기)'!A3:A562,A850,'외운 것 - 엑셀다운로드 파일(붙여넣기)'!D3:D562,0)</f>
        <v>0</v>
      </c>
      <c r="L850" s="9" cm="1">
        <f t="array" ref="L850">IF(J850&gt;=3,_xlfn.XLOOKUP(A850,'외운 것 - 엑셀다운로드 파일(붙여넣기)'!A3:A562,'외운 것 - 엑셀다운로드 파일(붙여넣기)'!C3:C562,0,-1),0)</f>
        <v>0</v>
      </c>
    </row>
    <row r="851" ht="38.45" customHeight="1">
      <c r="A851" s="3">
        <v>850</v>
      </c>
      <c r="B851" t="s" s="4">
        <v>5405</v>
      </c>
      <c r="C851" t="s" s="5">
        <v>5393</v>
      </c>
      <c r="D851" t="s" s="5">
        <v>5368</v>
      </c>
      <c r="E851" t="s" s="5">
        <v>5406</v>
      </c>
      <c r="F851" t="s" s="10">
        <v>5407</v>
      </c>
      <c r="G851" t="s" s="7">
        <v>5408</v>
      </c>
      <c r="H851" t="s" s="7">
        <v>5409</v>
      </c>
      <c r="I851" t="str" s="8" cm="1">
        <f t="array" ref="I851">SUBSTITUTE(H851,B851,"(          )")</f>
        <v>Children play near the (          ) in the park.</v>
      </c>
      <c r="J851" s="9" cm="1">
        <f t="array" ref="J851">SUMIF('외운 것 - 엑셀다운로드 파일(붙여넣기)'!A3:A562,A851,'외운 것 - 엑셀다운로드 파일(붙여넣기)'!D3:D562)</f>
        <v>0</v>
      </c>
      <c r="K851" s="9" cm="1">
        <f t="array" ref="K851">_xlfn.COUNTIFS('외운 것 - 엑셀다운로드 파일(붙여넣기)'!A3:A562,A851,'외운 것 - 엑셀다운로드 파일(붙여넣기)'!D3:D562,0)</f>
        <v>0</v>
      </c>
      <c r="L851" s="9" cm="1">
        <f t="array" ref="L851">IF(J851&gt;=3,_xlfn.XLOOKUP(A851,'외운 것 - 엑셀다운로드 파일(붙여넣기)'!A3:A562,'외운 것 - 엑셀다운로드 파일(붙여넣기)'!C3:C562,0,-1),0)</f>
        <v>0</v>
      </c>
    </row>
    <row r="852" ht="38.45" customHeight="1">
      <c r="A852" s="3">
        <v>851</v>
      </c>
      <c r="B852" t="s" s="4">
        <v>5411</v>
      </c>
      <c r="C852" t="s" s="5">
        <v>5336</v>
      </c>
      <c r="D852" t="s" s="5">
        <v>5412</v>
      </c>
      <c r="E852" t="s" s="5">
        <v>5413</v>
      </c>
      <c r="F852" t="s" s="10">
        <v>5414</v>
      </c>
      <c r="G852" t="s" s="7">
        <v>5415</v>
      </c>
      <c r="H852" t="s" s="7">
        <v>5416</v>
      </c>
      <c r="I852" t="str" s="8" cm="1">
        <f t="array" ref="I852">SUBSTITUTE(H852,B852,"(          )")</f>
        <v>The electrician had to replace the (          ) after the power surge.</v>
      </c>
      <c r="J852" s="9" cm="1">
        <f t="array" ref="J852">SUMIF('외운 것 - 엑셀다운로드 파일(붙여넣기)'!A3:A562,A852,'외운 것 - 엑셀다운로드 파일(붙여넣기)'!D3:D562)</f>
        <v>0</v>
      </c>
      <c r="K852" s="9" cm="1">
        <f t="array" ref="K852">_xlfn.COUNTIFS('외운 것 - 엑셀다운로드 파일(붙여넣기)'!A3:A562,A852,'외운 것 - 엑셀다운로드 파일(붙여넣기)'!D3:D562,0)</f>
        <v>0</v>
      </c>
      <c r="L852" s="9" cm="1">
        <f t="array" ref="L852">IF(J852&gt;=3,_xlfn.XLOOKUP(A852,'외운 것 - 엑셀다운로드 파일(붙여넣기)'!A3:A562,'외운 것 - 엑셀다운로드 파일(붙여넣기)'!C3:C562,0,-1),0)</f>
        <v>0</v>
      </c>
    </row>
    <row r="853" ht="23.45" customHeight="1">
      <c r="A853" s="3">
        <v>852</v>
      </c>
      <c r="B853" t="s" s="4">
        <v>5418</v>
      </c>
      <c r="C853" t="s" s="5">
        <v>5411</v>
      </c>
      <c r="D853" t="s" s="5">
        <v>5412</v>
      </c>
      <c r="E853" t="s" s="5">
        <v>5419</v>
      </c>
      <c r="F853" t="s" s="10">
        <v>5420</v>
      </c>
      <c r="G853" t="s" s="7">
        <v>5421</v>
      </c>
      <c r="H853" t="s" s="7">
        <v>5422</v>
      </c>
      <c r="I853" t="str" s="8" cm="1">
        <f t="array" ref="I853">SUBSTITUTE(H853,B853,"(          )")</f>
        <v>Nuclear (          ) could provide clean energy in the future.</v>
      </c>
      <c r="J853" s="9" cm="1">
        <f t="array" ref="J853">SUMIF('외운 것 - 엑셀다운로드 파일(붙여넣기)'!A3:A562,A853,'외운 것 - 엑셀다운로드 파일(붙여넣기)'!D3:D562)</f>
        <v>0</v>
      </c>
      <c r="K853" s="9" cm="1">
        <f t="array" ref="K853">_xlfn.COUNTIFS('외운 것 - 엑셀다운로드 파일(붙여넣기)'!A3:A562,A853,'외운 것 - 엑셀다운로드 파일(붙여넣기)'!D3:D562,0)</f>
        <v>0</v>
      </c>
      <c r="L853" s="9" cm="1">
        <f t="array" ref="L853">IF(J853&gt;=3,_xlfn.XLOOKUP(A853,'외운 것 - 엑셀다운로드 파일(붙여넣기)'!A3:A562,'외운 것 - 엑셀다운로드 파일(붙여넣기)'!C3:C562,0,-1),0)</f>
        <v>0</v>
      </c>
    </row>
    <row r="854" ht="23.45" customHeight="1">
      <c r="A854" s="3">
        <v>853</v>
      </c>
      <c r="B854" t="s" s="4">
        <v>5424</v>
      </c>
      <c r="C854" t="s" s="5">
        <v>5411</v>
      </c>
      <c r="D854" t="s" s="5">
        <v>5412</v>
      </c>
      <c r="E854" t="s" s="5">
        <v>5425</v>
      </c>
      <c r="F854" t="s" s="10">
        <v>5426</v>
      </c>
      <c r="G854" t="s" s="7">
        <v>5427</v>
      </c>
      <c r="H854" t="s" s="7">
        <v>5428</v>
      </c>
      <c r="I854" t="str" s="8" cm="1">
        <f t="array" ref="I854">SUBSTITUTE(H854,B854,"(          )")</f>
        <v>Mint leaves (          ) the tea with fresh flavor.</v>
      </c>
      <c r="J854" s="9" cm="1">
        <f t="array" ref="J854">SUMIF('외운 것 - 엑셀다운로드 파일(붙여넣기)'!A3:A562,A854,'외운 것 - 엑셀다운로드 파일(붙여넣기)'!D3:D562)</f>
        <v>0</v>
      </c>
      <c r="K854" s="9" cm="1">
        <f t="array" ref="K854">_xlfn.COUNTIFS('외운 것 - 엑셀다운로드 파일(붙여넣기)'!A3:A562,A854,'외운 것 - 엑셀다운로드 파일(붙여넣기)'!D3:D562,0)</f>
        <v>0</v>
      </c>
      <c r="L854" s="9" cm="1">
        <f t="array" ref="L854">IF(J854&gt;=3,_xlfn.XLOOKUP(A854,'외운 것 - 엑셀다운로드 파일(붙여넣기)'!A3:A562,'외운 것 - 엑셀다운로드 파일(붙여넣기)'!C3:C562,0,-1),0)</f>
        <v>0</v>
      </c>
    </row>
    <row r="855" ht="38.45" customHeight="1">
      <c r="A855" s="3">
        <v>854</v>
      </c>
      <c r="B855" t="s" s="4">
        <v>5430</v>
      </c>
      <c r="C855" t="s" s="5">
        <v>5411</v>
      </c>
      <c r="D855" t="s" s="5">
        <v>5412</v>
      </c>
      <c r="E855" t="s" s="5">
        <v>5431</v>
      </c>
      <c r="F855" t="s" s="10">
        <v>5432</v>
      </c>
      <c r="G855" t="s" s="7">
        <v>5433</v>
      </c>
      <c r="H855" t="s" s="7">
        <v>5434</v>
      </c>
      <c r="I855" t="str" s="8" cm="1">
        <f t="array" ref="I855">SUBSTITUTE(H855,B855,"(          )")</f>
        <v>The lampshade helps (          ) the bright light.</v>
      </c>
      <c r="J855" s="9" cm="1">
        <f t="array" ref="J855">SUMIF('외운 것 - 엑셀다운로드 파일(붙여넣기)'!A3:A562,A855,'외운 것 - 엑셀다운로드 파일(붙여넣기)'!D3:D562)</f>
        <v>0</v>
      </c>
      <c r="K855" s="9" cm="1">
        <f t="array" ref="K855">_xlfn.COUNTIFS('외운 것 - 엑셀다운로드 파일(붙여넣기)'!A3:A562,A855,'외운 것 - 엑셀다운로드 파일(붙여넣기)'!D3:D562,0)</f>
        <v>0</v>
      </c>
      <c r="L855" s="9" cm="1">
        <f t="array" ref="L855">IF(J855&gt;=3,_xlfn.XLOOKUP(A855,'외운 것 - 엑셀다운로드 파일(붙여넣기)'!A3:A562,'외운 것 - 엑셀다운로드 파일(붙여넣기)'!C3:C562,0,-1),0)</f>
        <v>0</v>
      </c>
    </row>
    <row r="856" ht="23.45" customHeight="1">
      <c r="A856" s="3">
        <v>855</v>
      </c>
      <c r="B856" t="s" s="4">
        <v>5436</v>
      </c>
      <c r="C856" t="s" s="5">
        <v>5411</v>
      </c>
      <c r="D856" t="s" s="5">
        <v>5412</v>
      </c>
      <c r="E856" t="s" s="5">
        <v>5437</v>
      </c>
      <c r="F856" t="s" s="10">
        <v>5438</v>
      </c>
      <c r="G856" t="s" s="7">
        <v>5439</v>
      </c>
      <c r="H856" t="s" s="7">
        <v>5440</v>
      </c>
      <c r="I856" t="str" s="8" cm="1">
        <f t="array" ref="I856">SUBSTITUTE(H856,B856,"(          )")</f>
        <v>Don't (          ) the twins - Tom has a scar on his chin.</v>
      </c>
      <c r="J856" s="9" cm="1">
        <f t="array" ref="J856">SUMIF('외운 것 - 엑셀다운로드 파일(붙여넣기)'!A3:A562,A856,'외운 것 - 엑셀다운로드 파일(붙여넣기)'!D3:D562)</f>
        <v>0</v>
      </c>
      <c r="K856" s="9" cm="1">
        <f t="array" ref="K856">_xlfn.COUNTIFS('외운 것 - 엑셀다운로드 파일(붙여넣기)'!A3:A562,A856,'외운 것 - 엑셀다운로드 파일(붙여넣기)'!D3:D562,0)</f>
        <v>0</v>
      </c>
      <c r="L856" s="9" cm="1">
        <f t="array" ref="L856">IF(J856&gt;=3,_xlfn.XLOOKUP(A856,'외운 것 - 엑셀다운로드 파일(붙여넣기)'!A3:A562,'외운 것 - 엑셀다운로드 파일(붙여넣기)'!C3:C562,0,-1),0)</f>
        <v>0</v>
      </c>
    </row>
    <row r="857" ht="23.45" customHeight="1">
      <c r="A857" s="3">
        <v>856</v>
      </c>
      <c r="B857" t="s" s="4">
        <v>5442</v>
      </c>
      <c r="C857" t="s" s="5">
        <v>5411</v>
      </c>
      <c r="D857" t="s" s="5">
        <v>5412</v>
      </c>
      <c r="E857" t="s" s="5">
        <v>5443</v>
      </c>
      <c r="F857" t="s" s="10">
        <v>5444</v>
      </c>
      <c r="G857" t="s" s="7">
        <v>5445</v>
      </c>
      <c r="H857" t="s" s="7">
        <v>5446</v>
      </c>
      <c r="I857" t="str" s="8" cm="1">
        <f t="array" ref="I857">SUBSTITUTE(H857,B857,"(          )")</f>
        <v>I (          ) to believe that he would lie to me.</v>
      </c>
      <c r="J857" s="9" cm="1">
        <f t="array" ref="J857">SUMIF('외운 것 - 엑셀다운로드 파일(붙여넣기)'!A3:A562,A857,'외운 것 - 엑셀다운로드 파일(붙여넣기)'!D3:D562)</f>
        <v>0</v>
      </c>
      <c r="K857" s="9" cm="1">
        <f t="array" ref="K857">_xlfn.COUNTIFS('외운 것 - 엑셀다운로드 파일(붙여넣기)'!A3:A562,A857,'외운 것 - 엑셀다운로드 파일(붙여넣기)'!D3:D562,0)</f>
        <v>0</v>
      </c>
      <c r="L857" s="9" cm="1">
        <f t="array" ref="L857">IF(J857&gt;=3,_xlfn.XLOOKUP(A857,'외운 것 - 엑셀다운로드 파일(붙여넣기)'!A3:A562,'외운 것 - 엑셀다운로드 파일(붙여넣기)'!C3:C562,0,-1),0)</f>
        <v>0</v>
      </c>
    </row>
    <row r="858" ht="23.45" customHeight="1">
      <c r="A858" s="3">
        <v>857</v>
      </c>
      <c r="B858" t="s" s="4">
        <v>5448</v>
      </c>
      <c r="C858" t="s" s="5">
        <v>5449</v>
      </c>
      <c r="D858" t="s" s="5">
        <v>5450</v>
      </c>
      <c r="E858" t="s" s="5">
        <v>5451</v>
      </c>
      <c r="F858" t="s" s="10">
        <v>5452</v>
      </c>
      <c r="G858" t="s" s="7">
        <v>5453</v>
      </c>
      <c r="H858" t="s" s="7">
        <v>5454</v>
      </c>
      <c r="I858" t="str" s="8" cm="1">
        <f t="array" ref="I858">SUBSTITUTE(H858,B858,"(          )")</f>
        <v>The (          ) for blue eyes is recessive.</v>
      </c>
      <c r="J858" s="9" cm="1">
        <f t="array" ref="J858">SUMIF('외운 것 - 엑셀다운로드 파일(붙여넣기)'!A3:A562,A858,'외운 것 - 엑셀다운로드 파일(붙여넣기)'!D3:D562)</f>
        <v>0</v>
      </c>
      <c r="K858" s="9" cm="1">
        <f t="array" ref="K858">_xlfn.COUNTIFS('외운 것 - 엑셀다운로드 파일(붙여넣기)'!A3:A562,A858,'외운 것 - 엑셀다운로드 파일(붙여넣기)'!D3:D562,0)</f>
        <v>0</v>
      </c>
      <c r="L858" s="9" cm="1">
        <f t="array" ref="L858">IF(J858&gt;=3,_xlfn.XLOOKUP(A858,'외운 것 - 엑셀다운로드 파일(붙여넣기)'!A3:A562,'외운 것 - 엑셀다운로드 파일(붙여넣기)'!C3:C562,0,-1),0)</f>
        <v>0</v>
      </c>
    </row>
    <row r="859" ht="37.35" customHeight="1">
      <c r="A859" s="3">
        <v>858</v>
      </c>
      <c r="B859" t="s" s="4">
        <v>5456</v>
      </c>
      <c r="C859" t="s" s="5">
        <v>5457</v>
      </c>
      <c r="D859" t="s" s="5">
        <v>5449</v>
      </c>
      <c r="E859" t="s" s="5">
        <v>5458</v>
      </c>
      <c r="F859" t="s" s="10">
        <v>5459</v>
      </c>
      <c r="G859" t="s" s="7">
        <v>5460</v>
      </c>
      <c r="H859" t="s" s="7">
        <v>5461</v>
      </c>
      <c r="I859" t="str" s="8" cm="1">
        <f t="array" ref="I859">SUBSTITUTE(H859,B859,"(          )")</f>
        <v>Scientists mapped the human (          ) in 2003.</v>
      </c>
      <c r="J859" s="9" cm="1">
        <f t="array" ref="J859">SUMIF('외운 것 - 엑셀다운로드 파일(붙여넣기)'!A3:A562,A859,'외운 것 - 엑셀다운로드 파일(붙여넣기)'!D3:D562)</f>
        <v>0</v>
      </c>
      <c r="K859" s="9" cm="1">
        <f t="array" ref="K859">_xlfn.COUNTIFS('외운 것 - 엑셀다운로드 파일(붙여넣기)'!A3:A562,A859,'외운 것 - 엑셀다운로드 파일(붙여넣기)'!D3:D562,0)</f>
        <v>0</v>
      </c>
      <c r="L859" s="9" cm="1">
        <f t="array" ref="L859">IF(J859&gt;=3,_xlfn.XLOOKUP(A859,'외운 것 - 엑셀다운로드 파일(붙여넣기)'!A3:A562,'외운 것 - 엑셀다운로드 파일(붙여넣기)'!C3:C562,0,-1),0)</f>
        <v>0</v>
      </c>
    </row>
    <row r="860" ht="23.45" customHeight="1">
      <c r="A860" s="3">
        <v>859</v>
      </c>
      <c r="B860" t="s" s="4">
        <v>5463</v>
      </c>
      <c r="C860" t="s" s="5">
        <v>5449</v>
      </c>
      <c r="D860" t="s" s="5">
        <v>5450</v>
      </c>
      <c r="E860" t="s" s="5">
        <v>5464</v>
      </c>
      <c r="F860" t="s" s="10">
        <v>5465</v>
      </c>
      <c r="G860" t="s" s="7">
        <v>5466</v>
      </c>
      <c r="H860" t="s" s="7">
        <v>5467</v>
      </c>
      <c r="I860" t="str" s="8" cm="1">
        <f t="array" ref="I860">SUBSTITUTE(H860,B860,"(          )")</f>
        <v>Some diseases have a (          ) basis.</v>
      </c>
      <c r="J860" s="9" cm="1">
        <f t="array" ref="J860">SUMIF('외운 것 - 엑셀다운로드 파일(붙여넣기)'!A3:A562,A860,'외운 것 - 엑셀다운로드 파일(붙여넣기)'!D3:D562)</f>
        <v>0</v>
      </c>
      <c r="K860" s="9" cm="1">
        <f t="array" ref="K860">_xlfn.COUNTIFS('외운 것 - 엑셀다운로드 파일(붙여넣기)'!A3:A562,A860,'외운 것 - 엑셀다운로드 파일(붙여넣기)'!D3:D562,0)</f>
        <v>0</v>
      </c>
      <c r="L860" s="9" cm="1">
        <f t="array" ref="L860">IF(J860&gt;=3,_xlfn.XLOOKUP(A860,'외운 것 - 엑셀다운로드 파일(붙여넣기)'!A3:A562,'외운 것 - 엑셀다운로드 파일(붙여넣기)'!C3:C562,0,-1),0)</f>
        <v>0</v>
      </c>
    </row>
    <row r="861" ht="23.45" customHeight="1">
      <c r="A861" s="3">
        <v>860</v>
      </c>
      <c r="B861" t="s" s="4">
        <v>5469</v>
      </c>
      <c r="C861" t="s" s="5">
        <v>5449</v>
      </c>
      <c r="D861" t="s" s="5">
        <v>5450</v>
      </c>
      <c r="E861" t="s" s="5">
        <v>5470</v>
      </c>
      <c r="F861" t="s" s="10">
        <v>5471</v>
      </c>
      <c r="G861" t="s" s="7">
        <v>5472</v>
      </c>
      <c r="H861" t="s" s="7">
        <v>5473</v>
      </c>
      <c r="I861" t="str" s="8" cm="1">
        <f t="array" ref="I861">SUBSTITUTE(H861,B861,"(          )")</f>
        <v>Wind turbines (          ) electricity.</v>
      </c>
      <c r="J861" s="9" cm="1">
        <f t="array" ref="J861">SUMIF('외운 것 - 엑셀다운로드 파일(붙여넣기)'!A3:A562,A861,'외운 것 - 엑셀다운로드 파일(붙여넣기)'!D3:D562)</f>
        <v>0</v>
      </c>
      <c r="K861" s="9" cm="1">
        <f t="array" ref="K861">_xlfn.COUNTIFS('외운 것 - 엑셀다운로드 파일(붙여넣기)'!A3:A562,A861,'외운 것 - 엑셀다운로드 파일(붙여넣기)'!D3:D562,0)</f>
        <v>0</v>
      </c>
      <c r="L861" s="9" cm="1">
        <f t="array" ref="L861">IF(J861&gt;=3,_xlfn.XLOOKUP(A861,'외운 것 - 엑셀다운로드 파일(붙여넣기)'!A3:A562,'외운 것 - 엑셀다운로드 파일(붙여넣기)'!C3:C562,0,-1),0)</f>
        <v>0</v>
      </c>
    </row>
    <row r="862" ht="38.45" customHeight="1">
      <c r="A862" s="3">
        <v>861</v>
      </c>
      <c r="B862" t="s" s="4">
        <v>5475</v>
      </c>
      <c r="C862" t="s" s="5">
        <v>5449</v>
      </c>
      <c r="D862" t="s" s="5">
        <v>5450</v>
      </c>
      <c r="E862" t="s" s="5">
        <v>5476</v>
      </c>
      <c r="F862" t="s" s="10">
        <v>5477</v>
      </c>
      <c r="G862" t="s" s="7">
        <v>5478</v>
      </c>
      <c r="H862" t="s" s="7">
        <v>5479</v>
      </c>
      <c r="I862" t="str" s="8" cm="1">
        <f t="array" ref="I862">SUBSTITUTE(H862,B862,"(          )")</f>
        <v>Without proper care, the situation will (          ) quickly.</v>
      </c>
      <c r="J862" s="9" cm="1">
        <f t="array" ref="J862">SUMIF('외운 것 - 엑셀다운로드 파일(붙여넣기)'!A3:A562,A862,'외운 것 - 엑셀다운로드 파일(붙여넣기)'!D3:D562)</f>
        <v>0</v>
      </c>
      <c r="K862" s="9" cm="1">
        <f t="array" ref="K862">_xlfn.COUNTIFS('외운 것 - 엑셀다운로드 파일(붙여넣기)'!A3:A562,A862,'외운 것 - 엑셀다운로드 파일(붙여넣기)'!D3:D562,0)</f>
        <v>0</v>
      </c>
      <c r="L862" s="9" cm="1">
        <f t="array" ref="L862">IF(J862&gt;=3,_xlfn.XLOOKUP(A862,'외운 것 - 엑셀다운로드 파일(붙여넣기)'!A3:A562,'외운 것 - 엑셀다운로드 파일(붙여넣기)'!C3:C562,0,-1),0)</f>
        <v>0</v>
      </c>
    </row>
    <row r="863" ht="36.4" customHeight="1">
      <c r="A863" s="3">
        <v>862</v>
      </c>
      <c r="B863" t="s" s="4">
        <v>5481</v>
      </c>
      <c r="C863" t="s" s="5">
        <v>5482</v>
      </c>
      <c r="D863" t="s" s="5">
        <v>5449</v>
      </c>
      <c r="E863" t="s" s="5">
        <v>5483</v>
      </c>
      <c r="F863" t="s" s="10">
        <v>5484</v>
      </c>
      <c r="G863" t="s" s="7">
        <v>5485</v>
      </c>
      <c r="H863" t="s" s="7">
        <v>5486</v>
      </c>
      <c r="I863" t="str" s="8" cm="1">
        <f t="array" ref="I863">SUBSTITUTE(H863,B863,"(          )")</f>
        <v>The hospital has a backup (          ) for power outages.</v>
      </c>
      <c r="J863" s="9" cm="1">
        <f t="array" ref="J863">SUMIF('외운 것 - 엑셀다운로드 파일(붙여넣기)'!A3:A562,A863,'외운 것 - 엑셀다운로드 파일(붙여넣기)'!D3:D562)</f>
        <v>0</v>
      </c>
      <c r="K863" s="9" cm="1">
        <f t="array" ref="K863">_xlfn.COUNTIFS('외운 것 - 엑셀다운로드 파일(붙여넣기)'!A3:A562,A863,'외운 것 - 엑셀다운로드 파일(붙여넣기)'!D3:D562,0)</f>
        <v>0</v>
      </c>
      <c r="L863" s="9" cm="1">
        <f t="array" ref="L863">IF(J863&gt;=3,_xlfn.XLOOKUP(A863,'외운 것 - 엑셀다운로드 파일(붙여넣기)'!A3:A562,'외운 것 - 엑셀다운로드 파일(붙여넣기)'!C3:C562,0,-1),0)</f>
        <v>0</v>
      </c>
    </row>
    <row r="864" ht="23.45" customHeight="1">
      <c r="A864" s="3">
        <v>863</v>
      </c>
      <c r="B864" t="s" s="4">
        <v>5488</v>
      </c>
      <c r="C864" t="s" s="5">
        <v>5449</v>
      </c>
      <c r="D864" t="s" s="5">
        <v>5450</v>
      </c>
      <c r="E864" t="s" s="5">
        <v>5489</v>
      </c>
      <c r="F864" t="s" s="10">
        <v>5490</v>
      </c>
      <c r="G864" t="s" s="7">
        <v>5491</v>
      </c>
      <c r="H864" t="s" s="7">
        <v>5492</v>
      </c>
      <c r="I864" t="str" s="8" cm="1">
        <f t="array" ref="I864">SUBSTITUTE(H864,B864,"(          )")</f>
        <v>Each (          ) faces unique challenges.</v>
      </c>
      <c r="J864" s="9" cm="1">
        <f t="array" ref="J864">SUMIF('외운 것 - 엑셀다운로드 파일(붙여넣기)'!A3:A562,A864,'외운 것 - 엑셀다운로드 파일(붙여넣기)'!D3:D562)</f>
        <v>0</v>
      </c>
      <c r="K864" s="9" cm="1">
        <f t="array" ref="K864">_xlfn.COUNTIFS('외운 것 - 엑셀다운로드 파일(붙여넣기)'!A3:A562,A864,'외운 것 - 엑셀다운로드 파일(붙여넣기)'!D3:D562,0)</f>
        <v>0</v>
      </c>
      <c r="L864" s="9" cm="1">
        <f t="array" ref="L864">IF(J864&gt;=3,_xlfn.XLOOKUP(A864,'외운 것 - 엑셀다운로드 파일(붙여넣기)'!A3:A562,'외운 것 - 엑셀다운로드 파일(붙여넣기)'!C3:C562,0,-1),0)</f>
        <v>0</v>
      </c>
    </row>
    <row r="865" ht="23.45" customHeight="1">
      <c r="A865" s="3">
        <v>864</v>
      </c>
      <c r="B865" t="s" s="4">
        <v>5494</v>
      </c>
      <c r="C865" t="s" s="5">
        <v>5449</v>
      </c>
      <c r="D865" t="s" s="5">
        <v>5450</v>
      </c>
      <c r="E865" t="s" s="5">
        <v>5495</v>
      </c>
      <c r="F865" t="s" s="10">
        <v>5496</v>
      </c>
      <c r="G865" t="s" s="7">
        <v>5497</v>
      </c>
      <c r="H865" t="s" s="7">
        <v>5498</v>
      </c>
      <c r="I865" t="str" s="8" cm="1">
        <f t="array" ref="I865">SUBSTITUTE(H865,B865,"(          )")</f>
        <v>Jazz is my favorite music (          ).</v>
      </c>
      <c r="J865" s="9" cm="1">
        <f t="array" ref="J865">SUMIF('외운 것 - 엑셀다운로드 파일(붙여넣기)'!A3:A562,A865,'외운 것 - 엑셀다운로드 파일(붙여넣기)'!D3:D562)</f>
        <v>0</v>
      </c>
      <c r="K865" s="9" cm="1">
        <f t="array" ref="K865">_xlfn.COUNTIFS('외운 것 - 엑셀다운로드 파일(붙여넣기)'!A3:A562,A865,'외운 것 - 엑셀다운로드 파일(붙여넣기)'!D3:D562,0)</f>
        <v>0</v>
      </c>
      <c r="L865" s="9" cm="1">
        <f t="array" ref="L865">IF(J865&gt;=3,_xlfn.XLOOKUP(A865,'외운 것 - 엑셀다운로드 파일(붙여넣기)'!A3:A562,'외운 것 - 엑셀다운로드 파일(붙여넣기)'!C3:C562,0,-1),0)</f>
        <v>0</v>
      </c>
    </row>
    <row r="866" ht="38.45" customHeight="1">
      <c r="A866" s="3">
        <v>865</v>
      </c>
      <c r="B866" t="s" s="4">
        <v>5500</v>
      </c>
      <c r="C866" t="s" s="5">
        <v>5449</v>
      </c>
      <c r="D866" t="s" s="5">
        <v>5450</v>
      </c>
      <c r="E866" t="s" s="5">
        <v>5501</v>
      </c>
      <c r="F866" t="s" s="10">
        <v>5502</v>
      </c>
      <c r="G866" t="s" s="7">
        <v>5503</v>
      </c>
      <c r="H866" t="s" s="7">
        <v>5504</v>
      </c>
      <c r="I866" t="str" s="8" cm="1">
        <f t="array" ref="I866">SUBSTITUTE(H866,B866,"(          )")</f>
        <v>The (          ) information session is open to everyone.</v>
      </c>
      <c r="J866" s="9" cm="1">
        <f t="array" ref="J866">SUMIF('외운 것 - 엑셀다운로드 파일(붙여넣기)'!A3:A562,A866,'외운 것 - 엑셀다운로드 파일(붙여넣기)'!D3:D562)</f>
        <v>0</v>
      </c>
      <c r="K866" s="9" cm="1">
        <f t="array" ref="K866">_xlfn.COUNTIFS('외운 것 - 엑셀다운로드 파일(붙여넣기)'!A3:A562,A866,'외운 것 - 엑셀다운로드 파일(붙여넣기)'!D3:D562,0)</f>
        <v>0</v>
      </c>
      <c r="L866" s="9" cm="1">
        <f t="array" ref="L866">IF(J866&gt;=3,_xlfn.XLOOKUP(A866,'외운 것 - 엑셀다운로드 파일(붙여넣기)'!A3:A562,'외운 것 - 엑셀다운로드 파일(붙여넣기)'!C3:C562,0,-1),0)</f>
        <v>0</v>
      </c>
    </row>
    <row r="867" ht="38.45" customHeight="1">
      <c r="A867" s="3">
        <v>866</v>
      </c>
      <c r="B867" t="s" s="4">
        <v>5506</v>
      </c>
      <c r="C867" t="s" s="5">
        <v>5507</v>
      </c>
      <c r="D867" t="s" s="5">
        <v>5449</v>
      </c>
      <c r="E867" t="s" s="5">
        <v>5508</v>
      </c>
      <c r="F867" t="s" s="10">
        <v>5509</v>
      </c>
      <c r="G867" t="s" s="7">
        <v>5510</v>
      </c>
      <c r="H867" t="s" s="7">
        <v>5511</v>
      </c>
      <c r="I867" t="str" s="8" cm="1">
        <f t="array" ref="I867">SUBSTITUTE(H867,B867,"(          )")</f>
        <v>My grandmother is always (          ) with her time.</v>
      </c>
      <c r="J867" s="9" cm="1">
        <f t="array" ref="J867">SUMIF('외운 것 - 엑셀다운로드 파일(붙여넣기)'!A3:A562,A867,'외운 것 - 엑셀다운로드 파일(붙여넣기)'!D3:D562)</f>
        <v>0</v>
      </c>
      <c r="K867" s="9" cm="1">
        <f t="array" ref="K867">_xlfn.COUNTIFS('외운 것 - 엑셀다운로드 파일(붙여넣기)'!A3:A562,A867,'외운 것 - 엑셀다운로드 파일(붙여넣기)'!D3:D562,0)</f>
        <v>0</v>
      </c>
      <c r="L867" s="9" cm="1">
        <f t="array" ref="L867">IF(J867&gt;=3,_xlfn.XLOOKUP(A867,'외운 것 - 엑셀다운로드 파일(붙여넣기)'!A3:A562,'외운 것 - 엑셀다운로드 파일(붙여넣기)'!C3:C562,0,-1),0)</f>
        <v>0</v>
      </c>
    </row>
    <row r="868" ht="38.45" customHeight="1">
      <c r="A868" s="3">
        <v>867</v>
      </c>
      <c r="B868" t="s" s="4">
        <v>5513</v>
      </c>
      <c r="C868" t="s" s="5">
        <v>5507</v>
      </c>
      <c r="D868" t="s" s="5">
        <v>5449</v>
      </c>
      <c r="E868" t="s" s="5">
        <v>5514</v>
      </c>
      <c r="F868" t="s" s="10">
        <v>5515</v>
      </c>
      <c r="G868" t="s" s="7">
        <v>5516</v>
      </c>
      <c r="H868" t="s" s="7">
        <v>5517</v>
      </c>
      <c r="I868" t="str" s="8" cm="1">
        <f t="array" ref="I868">SUBSTITUTE(H868,B868,"(          )")</f>
        <v>Be (          ) when handling the baby.</v>
      </c>
      <c r="J868" s="9" cm="1">
        <f t="array" ref="J868">SUMIF('외운 것 - 엑셀다운로드 파일(붙여넣기)'!A3:A562,A868,'외운 것 - 엑셀다운로드 파일(붙여넣기)'!D3:D562)</f>
        <v>0</v>
      </c>
      <c r="K868" s="9" cm="1">
        <f t="array" ref="K868">_xlfn.COUNTIFS('외운 것 - 엑셀다운로드 파일(붙여넣기)'!A3:A562,A868,'외운 것 - 엑셀다운로드 파일(붙여넣기)'!D3:D562,0)</f>
        <v>0</v>
      </c>
      <c r="L868" s="9" cm="1">
        <f t="array" ref="L868">IF(J868&gt;=3,_xlfn.XLOOKUP(A868,'외운 것 - 엑셀다운로드 파일(붙여넣기)'!A3:A562,'외운 것 - 엑셀다운로드 파일(붙여넣기)'!C3:C562,0,-1),0)</f>
        <v>0</v>
      </c>
    </row>
    <row r="869" ht="38.45" customHeight="1">
      <c r="A869" s="3">
        <v>868</v>
      </c>
      <c r="B869" t="s" s="4">
        <v>5519</v>
      </c>
      <c r="C869" t="s" s="5">
        <v>5520</v>
      </c>
      <c r="D869" t="s" s="5">
        <v>5449</v>
      </c>
      <c r="E869" t="s" s="5">
        <v>5521</v>
      </c>
      <c r="F869" t="s" s="10">
        <v>5522</v>
      </c>
      <c r="G869" t="s" s="7">
        <v>5523</v>
      </c>
      <c r="H869" t="s" s="7">
        <v>5524</v>
      </c>
      <c r="I869" t="str" s="8" cm="1">
        <f t="array" ref="I869">SUBSTITUTE(H869,B869,"(          )")</f>
        <v>The elderly (          ) offered his seat to the pregnant woman.</v>
      </c>
      <c r="J869" s="9" cm="1">
        <f t="array" ref="J869">SUMIF('외운 것 - 엑셀다운로드 파일(붙여넣기)'!A3:A562,A869,'외운 것 - 엑셀다운로드 파일(붙여넣기)'!D3:D562)</f>
        <v>0</v>
      </c>
      <c r="K869" s="9" cm="1">
        <f t="array" ref="K869">_xlfn.COUNTIFS('외운 것 - 엑셀다운로드 파일(붙여넣기)'!A3:A562,A869,'외운 것 - 엑셀다운로드 파일(붙여넣기)'!D3:D562,0)</f>
        <v>0</v>
      </c>
      <c r="L869" s="9" cm="1">
        <f t="array" ref="L869">IF(J869&gt;=3,_xlfn.XLOOKUP(A869,'외운 것 - 엑셀다운로드 파일(붙여넣기)'!A3:A562,'외운 것 - 엑셀다운로드 파일(붙여넣기)'!C3:C562,0,-1),0)</f>
        <v>0</v>
      </c>
    </row>
    <row r="870" ht="38.45" customHeight="1">
      <c r="A870" s="3">
        <v>869</v>
      </c>
      <c r="B870" t="s" s="4">
        <v>5526</v>
      </c>
      <c r="C870" t="s" s="5">
        <v>5520</v>
      </c>
      <c r="D870" t="s" s="5">
        <v>5449</v>
      </c>
      <c r="E870" t="s" s="5">
        <v>5527</v>
      </c>
      <c r="F870" t="s" s="10">
        <v>5528</v>
      </c>
      <c r="G870" t="s" s="7">
        <v>5529</v>
      </c>
      <c r="H870" t="s" s="7">
        <v>5530</v>
      </c>
      <c r="I870" t="str" s="8" cm="1">
        <f t="array" ref="I870">SUBSTITUTE(H870,B870,"(          )")</f>
        <v>The host's (          ) manner made everyone feel welcome.</v>
      </c>
      <c r="J870" s="9" cm="1">
        <f t="array" ref="J870">SUMIF('외운 것 - 엑셀다운로드 파일(붙여넣기)'!A3:A562,A870,'외운 것 - 엑셀다운로드 파일(붙여넣기)'!D3:D562)</f>
        <v>0</v>
      </c>
      <c r="K870" s="9" cm="1">
        <f t="array" ref="K870">_xlfn.COUNTIFS('외운 것 - 엑셀다운로드 파일(붙여넣기)'!A3:A562,A870,'외운 것 - 엑셀다운로드 파일(붙여넣기)'!D3:D562,0)</f>
        <v>0</v>
      </c>
      <c r="L870" s="9" cm="1">
        <f t="array" ref="L870">IF(J870&gt;=3,_xlfn.XLOOKUP(A870,'외운 것 - 엑셀다운로드 파일(붙여넣기)'!A3:A562,'외운 것 - 엑셀다운로드 파일(붙여넣기)'!C3:C562,0,-1),0)</f>
        <v>0</v>
      </c>
    </row>
    <row r="871" ht="36.4" customHeight="1">
      <c r="A871" s="3">
        <v>870</v>
      </c>
      <c r="B871" t="s" s="4">
        <v>5532</v>
      </c>
      <c r="C871" t="s" s="5">
        <v>5533</v>
      </c>
      <c r="D871" t="s" s="5">
        <v>5449</v>
      </c>
      <c r="E871" t="s" s="5">
        <v>5534</v>
      </c>
      <c r="F871" t="s" s="10">
        <v>5535</v>
      </c>
      <c r="G871" t="s" s="7">
        <v>5536</v>
      </c>
      <c r="H871" t="s" s="7">
        <v>5537</v>
      </c>
      <c r="I871" t="str" s="8" cm="1">
        <f t="array" ref="I871">SUBSTITUTE(H871,B871,"(          )")</f>
        <v>They work well together in a (          ) atmosphere.</v>
      </c>
      <c r="J871" s="9" cm="1">
        <f t="array" ref="J871">SUMIF('외운 것 - 엑셀다운로드 파일(붙여넣기)'!A3:A562,A871,'외운 것 - 엑셀다운로드 파일(붙여넣기)'!D3:D562)</f>
        <v>0</v>
      </c>
      <c r="K871" s="9" cm="1">
        <f t="array" ref="K871">_xlfn.COUNTIFS('외운 것 - 엑셀다운로드 파일(붙여넣기)'!A3:A562,A871,'외운 것 - 엑셀다운로드 파일(붙여넣기)'!D3:D562,0)</f>
        <v>0</v>
      </c>
      <c r="L871" s="9" cm="1">
        <f t="array" ref="L871">IF(J871&gt;=3,_xlfn.XLOOKUP(A871,'외운 것 - 엑셀다운로드 파일(붙여넣기)'!A3:A562,'외운 것 - 엑셀다운로드 파일(붙여넣기)'!C3:C562,0,-1),0)</f>
        <v>0</v>
      </c>
    </row>
    <row r="872" ht="36.4" customHeight="1">
      <c r="A872" s="3">
        <v>871</v>
      </c>
      <c r="B872" t="s" s="4">
        <v>5539</v>
      </c>
      <c r="C872" t="s" s="5">
        <v>5540</v>
      </c>
      <c r="D872" t="s" s="5">
        <v>5449</v>
      </c>
      <c r="E872" t="s" s="5">
        <v>5541</v>
      </c>
      <c r="F872" t="s" s="10">
        <v>5542</v>
      </c>
      <c r="G872" t="s" s="7">
        <v>5543</v>
      </c>
      <c r="H872" t="s" s="7">
        <v>5544</v>
      </c>
      <c r="I872" t="str" s="8" cm="1">
        <f t="array" ref="I872">SUBSTITUTE(H872,B872,"(          )")</f>
        <v>The (          ) of the project was a conversation at lunch.</v>
      </c>
      <c r="J872" s="9" cm="1">
        <f t="array" ref="J872">SUMIF('외운 것 - 엑셀다운로드 파일(붙여넣기)'!A3:A562,A872,'외운 것 - 엑셀다운로드 파일(붙여넣기)'!D3:D562)</f>
        <v>0</v>
      </c>
      <c r="K872" s="9" cm="1">
        <f t="array" ref="K872">_xlfn.COUNTIFS('외운 것 - 엑셀다운로드 파일(붙여넣기)'!A3:A562,A872,'외운 것 - 엑셀다운로드 파일(붙여넣기)'!D3:D562,0)</f>
        <v>0</v>
      </c>
      <c r="L872" s="9" cm="1">
        <f t="array" ref="L872">IF(J872&gt;=3,_xlfn.XLOOKUP(A872,'외운 것 - 엑셀다운로드 파일(붙여넣기)'!A3:A562,'외운 것 - 엑셀다운로드 파일(붙여넣기)'!C3:C562,0,-1),0)</f>
        <v>0</v>
      </c>
    </row>
    <row r="873" ht="38.45" customHeight="1">
      <c r="A873" s="3">
        <v>872</v>
      </c>
      <c r="B873" t="s" s="4">
        <v>5546</v>
      </c>
      <c r="C873" t="s" s="5">
        <v>5449</v>
      </c>
      <c r="D873" t="s" s="5">
        <v>5450</v>
      </c>
      <c r="E873" t="s" s="5">
        <v>5547</v>
      </c>
      <c r="F873" t="s" s="10">
        <v>5548</v>
      </c>
      <c r="G873" t="s" s="7">
        <v>5549</v>
      </c>
      <c r="H873" t="s" s="7">
        <v>5550</v>
      </c>
      <c r="I873" t="str" s="8" cm="1">
        <f t="array" ref="I873">SUBSTITUTE(H873,B873,"(          )")</f>
        <v>Einstein was a scientific (          ).</v>
      </c>
      <c r="J873" s="9" cm="1">
        <f t="array" ref="J873">SUMIF('외운 것 - 엑셀다운로드 파일(붙여넣기)'!A3:A562,A873,'외운 것 - 엑셀다운로드 파일(붙여넣기)'!D3:D562)</f>
        <v>0</v>
      </c>
      <c r="K873" s="9" cm="1">
        <f t="array" ref="K873">_xlfn.COUNTIFS('외운 것 - 엑셀다운로드 파일(붙여넣기)'!A3:A562,A873,'외운 것 - 엑셀다운로드 파일(붙여넣기)'!D3:D562,0)</f>
        <v>0</v>
      </c>
      <c r="L873" s="9" cm="1">
        <f t="array" ref="L873">IF(J873&gt;=3,_xlfn.XLOOKUP(A873,'외운 것 - 엑셀다운로드 파일(붙여넣기)'!A3:A562,'외운 것 - 엑셀다운로드 파일(붙여넣기)'!C3:C562,0,-1),0)</f>
        <v>0</v>
      </c>
    </row>
    <row r="874" ht="38.45" customHeight="1">
      <c r="A874" s="3">
        <v>873</v>
      </c>
      <c r="B874" t="s" s="4">
        <v>5552</v>
      </c>
      <c r="C874" t="s" s="5">
        <v>5553</v>
      </c>
      <c r="D874" t="s" s="5">
        <v>5449</v>
      </c>
      <c r="E874" t="s" s="5">
        <v>5554</v>
      </c>
      <c r="F874" t="s" s="10">
        <v>5555</v>
      </c>
      <c r="G874" t="s" s="7">
        <v>5556</v>
      </c>
      <c r="H874" t="s" s="7">
        <v>5557</v>
      </c>
      <c r="I874" t="str" s="8" cm="1">
        <f t="array" ref="I874">SUBSTITUTE(H874,B874,"(          )")</f>
        <v>The engineer found an (          ) solution to the problem.</v>
      </c>
      <c r="J874" s="9" cm="1">
        <f t="array" ref="J874">SUMIF('외운 것 - 엑셀다운로드 파일(붙여넣기)'!A3:A562,A874,'외운 것 - 엑셀다운로드 파일(붙여넣기)'!D3:D562)</f>
        <v>0</v>
      </c>
      <c r="K874" s="9" cm="1">
        <f t="array" ref="K874">_xlfn.COUNTIFS('외운 것 - 엑셀다운로드 파일(붙여넣기)'!A3:A562,A874,'외운 것 - 엑셀다운로드 파일(붙여넣기)'!D3:D562,0)</f>
        <v>0</v>
      </c>
      <c r="L874" s="9" cm="1">
        <f t="array" ref="L874">IF(J874&gt;=3,_xlfn.XLOOKUP(A874,'외운 것 - 엑셀다운로드 파일(붙여넣기)'!A3:A562,'외운 것 - 엑셀다운로드 파일(붙여넣기)'!C3:C562,0,-1),0)</f>
        <v>0</v>
      </c>
    </row>
    <row r="875" ht="38.45" customHeight="1">
      <c r="A875" s="3">
        <v>874</v>
      </c>
      <c r="B875" t="s" s="4">
        <v>5559</v>
      </c>
      <c r="C875" t="s" s="5">
        <v>5449</v>
      </c>
      <c r="D875" t="s" s="5">
        <v>5450</v>
      </c>
      <c r="E875" t="s" s="5">
        <v>5560</v>
      </c>
      <c r="F875" t="s" s="10">
        <v>5561</v>
      </c>
      <c r="G875" t="s" s="7">
        <v>5562</v>
      </c>
      <c r="H875" t="s" s="7">
        <v>5563</v>
      </c>
      <c r="I875" t="str" s="8" cm="1">
        <f t="array" ref="I875">SUBSTITUTE(H875,B875,"(          )")</f>
        <v>Her smile was (          ) and warm.</v>
      </c>
      <c r="J875" s="9" cm="1">
        <f t="array" ref="J875">SUMIF('외운 것 - 엑셀다운로드 파일(붙여넣기)'!A3:A562,A875,'외운 것 - 엑셀다운로드 파일(붙여넣기)'!D3:D562)</f>
        <v>0</v>
      </c>
      <c r="K875" s="9" cm="1">
        <f t="array" ref="K875">_xlfn.COUNTIFS('외운 것 - 엑셀다운로드 파일(붙여넣기)'!A3:A562,A875,'외운 것 - 엑셀다운로드 파일(붙여넣기)'!D3:D562,0)</f>
        <v>0</v>
      </c>
      <c r="L875" s="9" cm="1">
        <f t="array" ref="L875">IF(J875&gt;=3,_xlfn.XLOOKUP(A875,'외운 것 - 엑셀다운로드 파일(붙여넣기)'!A3:A562,'외운 것 - 엑셀다운로드 파일(붙여넣기)'!C3:C562,0,-1),0)</f>
        <v>0</v>
      </c>
    </row>
    <row r="876" ht="23.45" customHeight="1">
      <c r="A876" s="3">
        <v>875</v>
      </c>
      <c r="B876" t="s" s="4">
        <v>5565</v>
      </c>
      <c r="C876" t="s" s="5">
        <v>5449</v>
      </c>
      <c r="D876" t="s" s="5">
        <v>5450</v>
      </c>
      <c r="E876" t="s" s="5">
        <v>5566</v>
      </c>
      <c r="F876" t="s" s="10">
        <v>5567</v>
      </c>
      <c r="G876" t="s" s="7">
        <v>5568</v>
      </c>
      <c r="H876" t="s" s="7">
        <v>5569</v>
      </c>
      <c r="I876" t="str" s="8" cm="1">
        <f t="array" ref="I876">SUBSTITUTE(H876,B876,"(          )")</f>
        <v>He was born with a (          ) heart defect.</v>
      </c>
      <c r="J876" s="9" cm="1">
        <f t="array" ref="J876">SUMIF('외운 것 - 엑셀다운로드 파일(붙여넣기)'!A3:A562,A876,'외운 것 - 엑셀다운로드 파일(붙여넣기)'!D3:D562)</f>
        <v>0</v>
      </c>
      <c r="K876" s="9" cm="1">
        <f t="array" ref="K876">_xlfn.COUNTIFS('외운 것 - 엑셀다운로드 파일(붙여넣기)'!A3:A562,A876,'외운 것 - 엑셀다운로드 파일(붙여넣기)'!D3:D562,0)</f>
        <v>0</v>
      </c>
      <c r="L876" s="9" cm="1">
        <f t="array" ref="L876">IF(J876&gt;=3,_xlfn.XLOOKUP(A876,'외운 것 - 엑셀다운로드 파일(붙여넣기)'!A3:A562,'외운 것 - 엑셀다운로드 파일(붙여넣기)'!C3:C562,0,-1),0)</f>
        <v>0</v>
      </c>
    </row>
    <row r="877" ht="23.45" customHeight="1">
      <c r="A877" s="3">
        <v>876</v>
      </c>
      <c r="B877" t="s" s="4">
        <v>5571</v>
      </c>
      <c r="C877" t="s" s="5">
        <v>5449</v>
      </c>
      <c r="D877" t="s" s="5">
        <v>5450</v>
      </c>
      <c r="E877" t="s" s="5">
        <v>5572</v>
      </c>
      <c r="F877" t="s" s="10">
        <v>5573</v>
      </c>
      <c r="G877" t="s" s="7">
        <v>5574</v>
      </c>
      <c r="H877" t="s" s="7">
        <v>5575</v>
      </c>
      <c r="I877" t="str" s="8" cm="1">
        <f t="array" ref="I877">SUBSTITUTE(H877,B877,"(          )")</f>
        <v>Some languages assign (          ) to nouns.</v>
      </c>
      <c r="J877" s="9" cm="1">
        <f t="array" ref="J877">SUMIF('외운 것 - 엑셀다운로드 파일(붙여넣기)'!A3:A562,A877,'외운 것 - 엑셀다운로드 파일(붙여넣기)'!D3:D562)</f>
        <v>0</v>
      </c>
      <c r="K877" s="9" cm="1">
        <f t="array" ref="K877">_xlfn.COUNTIFS('외운 것 - 엑셀다운로드 파일(붙여넣기)'!A3:A562,A877,'외운 것 - 엑셀다운로드 파일(붙여넣기)'!D3:D562,0)</f>
        <v>0</v>
      </c>
      <c r="L877" s="9" cm="1">
        <f t="array" ref="L877">IF(J877&gt;=3,_xlfn.XLOOKUP(A877,'외운 것 - 엑셀다운로드 파일(붙여넣기)'!A3:A562,'외운 것 - 엑셀다운로드 파일(붙여넣기)'!C3:C562,0,-1),0)</f>
        <v>0</v>
      </c>
    </row>
    <row r="878" ht="38.45" customHeight="1">
      <c r="A878" s="3">
        <v>877</v>
      </c>
      <c r="B878" t="s" s="4">
        <v>5577</v>
      </c>
      <c r="C878" t="s" s="5">
        <v>5449</v>
      </c>
      <c r="D878" t="s" s="5">
        <v>5450</v>
      </c>
      <c r="E878" t="s" s="5">
        <v>5578</v>
      </c>
      <c r="F878" t="s" s="10">
        <v>5579</v>
      </c>
      <c r="G878" t="s" s="7">
        <v>5580</v>
      </c>
      <c r="H878" t="s" s="7">
        <v>5581</v>
      </c>
      <c r="I878" t="str" s="8" cm="1">
        <f t="array" ref="I878">SUBSTITUTE(H878,B878,"(          )")</f>
        <v>The meeting (          ) includes five main topics.</v>
      </c>
      <c r="J878" s="9" cm="1">
        <f t="array" ref="J878">SUMIF('외운 것 - 엑셀다운로드 파일(붙여넣기)'!A3:A562,A878,'외운 것 - 엑셀다운로드 파일(붙여넣기)'!D3:D562)</f>
        <v>0</v>
      </c>
      <c r="K878" s="9" cm="1">
        <f t="array" ref="K878">_xlfn.COUNTIFS('외운 것 - 엑셀다운로드 파일(붙여넣기)'!A3:A562,A878,'외운 것 - 엑셀다운로드 파일(붙여넣기)'!D3:D562,0)</f>
        <v>0</v>
      </c>
      <c r="L878" s="9" cm="1">
        <f t="array" ref="L878">IF(J878&gt;=3,_xlfn.XLOOKUP(A878,'외운 것 - 엑셀다운로드 파일(붙여넣기)'!A3:A562,'외운 것 - 엑셀다운로드 파일(붙여넣기)'!C3:C562,0,-1),0)</f>
        <v>0</v>
      </c>
    </row>
    <row r="879" ht="23.45" customHeight="1">
      <c r="A879" s="3">
        <v>878</v>
      </c>
      <c r="B879" t="s" s="4">
        <v>5583</v>
      </c>
      <c r="C879" t="s" s="5">
        <v>5584</v>
      </c>
      <c r="D879" t="s" s="5">
        <v>5450</v>
      </c>
      <c r="E879" t="s" s="5">
        <v>5585</v>
      </c>
      <c r="F879" t="s" s="10">
        <v>5586</v>
      </c>
      <c r="G879" t="s" s="7">
        <v>5587</v>
      </c>
      <c r="H879" t="s" s="7">
        <v>5588</v>
      </c>
      <c r="I879" t="str" s="8" cm="1">
        <f t="array" ref="I879">SUBSTITUTE(H879,B879,"(          )")</f>
        <v>The car (          ) started with a roar.</v>
      </c>
      <c r="J879" s="9" cm="1">
        <f t="array" ref="J879">SUMIF('외운 것 - 엑셀다운로드 파일(붙여넣기)'!A3:A562,A879,'외운 것 - 엑셀다운로드 파일(붙여넣기)'!D3:D562)</f>
        <v>0</v>
      </c>
      <c r="K879" s="9" cm="1">
        <f t="array" ref="K879">_xlfn.COUNTIFS('외운 것 - 엑셀다운로드 파일(붙여넣기)'!A3:A562,A879,'외운 것 - 엑셀다운로드 파일(붙여넣기)'!D3:D562,0)</f>
        <v>0</v>
      </c>
      <c r="L879" s="9" cm="1">
        <f t="array" ref="L879">IF(J879&gt;=3,_xlfn.XLOOKUP(A879,'외운 것 - 엑셀다운로드 파일(붙여넣기)'!A3:A562,'외운 것 - 엑셀다운로드 파일(붙여넣기)'!C3:C562,0,-1),0)</f>
        <v>0</v>
      </c>
    </row>
    <row r="880" ht="38.45" customHeight="1">
      <c r="A880" s="3">
        <v>879</v>
      </c>
      <c r="B880" t="s" s="4">
        <v>5590</v>
      </c>
      <c r="C880" t="s" s="5">
        <v>5591</v>
      </c>
      <c r="D880" t="s" s="5">
        <v>5449</v>
      </c>
      <c r="E880" t="s" s="5">
        <v>5592</v>
      </c>
      <c r="F880" t="s" s="10">
        <v>5593</v>
      </c>
      <c r="G880" t="s" s="7">
        <v>5594</v>
      </c>
      <c r="H880" t="s" s="7">
        <v>5595</v>
      </c>
      <c r="I880" t="str" s="8" cm="1">
        <f t="array" ref="I880">SUBSTITUTE(H880,B880,"(          )")</f>
        <v>The civil (          ) designed the new bridge.</v>
      </c>
      <c r="J880" s="9" cm="1">
        <f t="array" ref="J880">SUMIF('외운 것 - 엑셀다운로드 파일(붙여넣기)'!A3:A562,A880,'외운 것 - 엑셀다운로드 파일(붙여넣기)'!D3:D562)</f>
        <v>0</v>
      </c>
      <c r="K880" s="9" cm="1">
        <f t="array" ref="K880">_xlfn.COUNTIFS('외운 것 - 엑셀다운로드 파일(붙여넣기)'!A3:A562,A880,'외운 것 - 엑셀다운로드 파일(붙여넣기)'!D3:D562,0)</f>
        <v>0</v>
      </c>
      <c r="L880" s="9" cm="1">
        <f t="array" ref="L880">IF(J880&gt;=3,_xlfn.XLOOKUP(A880,'외운 것 - 엑셀다운로드 파일(붙여넣기)'!A3:A562,'외운 것 - 엑셀다운로드 파일(붙여넣기)'!C3:C562,0,-1),0)</f>
        <v>0</v>
      </c>
    </row>
    <row r="881" ht="23.45" customHeight="1">
      <c r="A881" s="3">
        <v>880</v>
      </c>
      <c r="B881" t="s" s="4">
        <v>5597</v>
      </c>
      <c r="C881" t="s" s="5">
        <v>5598</v>
      </c>
      <c r="D881" t="s" s="5">
        <v>5599</v>
      </c>
      <c r="E881" t="s" s="5">
        <v>5600</v>
      </c>
      <c r="F881" t="s" s="10">
        <v>5601</v>
      </c>
      <c r="G881" t="s" s="7">
        <v>5602</v>
      </c>
      <c r="H881" t="s" s="7">
        <v>5603</v>
      </c>
      <c r="I881" t="str" s="8" cm="1">
        <f t="array" ref="I881">SUBSTITUTE(H881,B881,"(          )")</f>
        <v>He made a (          ) of welcome with his hand.</v>
      </c>
      <c r="J881" s="9" cm="1">
        <f t="array" ref="J881">SUMIF('외운 것 - 엑셀다운로드 파일(붙여넣기)'!A3:A562,A881,'외운 것 - 엑셀다운로드 파일(붙여넣기)'!D3:D562)</f>
        <v>0</v>
      </c>
      <c r="K881" s="9" cm="1">
        <f t="array" ref="K881">_xlfn.COUNTIFS('외운 것 - 엑셀다운로드 파일(붙여넣기)'!A3:A562,A881,'외운 것 - 엑셀다운로드 파일(붙여넣기)'!D3:D562,0)</f>
        <v>0</v>
      </c>
      <c r="L881" s="9" cm="1">
        <f t="array" ref="L881">IF(J881&gt;=3,_xlfn.XLOOKUP(A881,'외운 것 - 엑셀다운로드 파일(붙여넣기)'!A3:A562,'외운 것 - 엑셀다운로드 파일(붙여넣기)'!C3:C562,0,-1),0)</f>
        <v>0</v>
      </c>
    </row>
    <row r="882" ht="23.45" customHeight="1">
      <c r="A882" s="3">
        <v>881</v>
      </c>
      <c r="B882" t="s" s="4">
        <v>5605</v>
      </c>
      <c r="C882" t="s" s="5">
        <v>5598</v>
      </c>
      <c r="D882" t="s" s="5">
        <v>5599</v>
      </c>
      <c r="E882" t="s" s="5">
        <v>5606</v>
      </c>
      <c r="F882" t="s" s="10">
        <v>5607</v>
      </c>
      <c r="G882" t="s" s="7">
        <v>5608</v>
      </c>
      <c r="H882" t="s" s="7">
        <v>5609</v>
      </c>
      <c r="I882" t="str" s="8" cm="1">
        <f t="array" ref="I882">SUBSTITUTE(H882,B882,"(          )")</f>
        <v>Can you (          ) a good restaurant nearby?</v>
      </c>
      <c r="J882" s="9" cm="1">
        <f t="array" ref="J882">SUMIF('외운 것 - 엑셀다운로드 파일(붙여넣기)'!A3:A562,A882,'외운 것 - 엑셀다운로드 파일(붙여넣기)'!D3:D562)</f>
        <v>0</v>
      </c>
      <c r="K882" s="9" cm="1">
        <f t="array" ref="K882">_xlfn.COUNTIFS('외운 것 - 엑셀다운로드 파일(붙여넣기)'!A3:A562,A882,'외운 것 - 엑셀다운로드 파일(붙여넣기)'!D3:D562,0)</f>
        <v>0</v>
      </c>
      <c r="L882" s="9" cm="1">
        <f t="array" ref="L882">IF(J882&gt;=3,_xlfn.XLOOKUP(A882,'외운 것 - 엑셀다운로드 파일(붙여넣기)'!A3:A562,'외운 것 - 엑셀다운로드 파일(붙여넣기)'!C3:C562,0,-1),0)</f>
        <v>0</v>
      </c>
    </row>
    <row r="883" ht="23.45" customHeight="1">
      <c r="A883" s="3">
        <v>882</v>
      </c>
      <c r="B883" t="s" s="4">
        <v>5611</v>
      </c>
      <c r="C883" t="s" s="5">
        <v>5598</v>
      </c>
      <c r="D883" t="s" s="5">
        <v>5599</v>
      </c>
      <c r="E883" t="s" s="5">
        <v>5612</v>
      </c>
      <c r="F883" t="s" s="10">
        <v>5613</v>
      </c>
      <c r="G883" t="s" s="7">
        <v>5614</v>
      </c>
      <c r="H883" t="s" s="7">
        <v>5615</v>
      </c>
      <c r="I883" t="str" s="8" cm="1">
        <f t="array" ref="I883">SUBSTITUTE(H883,B883,"(          )")</f>
        <v>Too many vehicles (          ) the roads during rush hour.</v>
      </c>
      <c r="J883" s="9" cm="1">
        <f t="array" ref="J883">SUMIF('외운 것 - 엑셀다운로드 파일(붙여넣기)'!A3:A562,A883,'외운 것 - 엑셀다운로드 파일(붙여넣기)'!D3:D562)</f>
        <v>0</v>
      </c>
      <c r="K883" s="9" cm="1">
        <f t="array" ref="K883">_xlfn.COUNTIFS('외운 것 - 엑셀다운로드 파일(붙여넣기)'!A3:A562,A883,'외운 것 - 엑셀다운로드 파일(붙여넣기)'!D3:D562,0)</f>
        <v>0</v>
      </c>
      <c r="L883" s="9" cm="1">
        <f t="array" ref="L883">IF(J883&gt;=3,_xlfn.XLOOKUP(A883,'외운 것 - 엑셀다운로드 파일(붙여넣기)'!A3:A562,'외운 것 - 엑셀다운로드 파일(붙여넣기)'!C3:C562,0,-1),0)</f>
        <v>0</v>
      </c>
    </row>
    <row r="884" ht="36.4" customHeight="1">
      <c r="A884" s="3">
        <v>883</v>
      </c>
      <c r="B884" t="s" s="4">
        <v>5617</v>
      </c>
      <c r="C884" t="s" s="5">
        <v>5618</v>
      </c>
      <c r="D884" t="s" s="5">
        <v>5598</v>
      </c>
      <c r="E884" t="s" s="5">
        <v>5619</v>
      </c>
      <c r="F884" t="s" s="10">
        <v>5620</v>
      </c>
      <c r="G884" t="s" s="7">
        <v>5621</v>
      </c>
      <c r="H884" t="s" s="7">
        <v>5622</v>
      </c>
      <c r="I884" t="str" s="8" cm="1">
        <f t="array" ref="I884">SUBSTITUTE(H884,B884,"(          )")</f>
        <v>Traffic (          ) is worst on Friday afternoons.</v>
      </c>
      <c r="J884" s="9" cm="1">
        <f t="array" ref="J884">SUMIF('외운 것 - 엑셀다운로드 파일(붙여넣기)'!A3:A562,A884,'외운 것 - 엑셀다운로드 파일(붙여넣기)'!D3:D562)</f>
        <v>0</v>
      </c>
      <c r="K884" s="9" cm="1">
        <f t="array" ref="K884">_xlfn.COUNTIFS('외운 것 - 엑셀다운로드 파일(붙여넣기)'!A3:A562,A884,'외운 것 - 엑셀다운로드 파일(붙여넣기)'!D3:D562,0)</f>
        <v>0</v>
      </c>
      <c r="L884" s="9" cm="1">
        <f t="array" ref="L884">IF(J884&gt;=3,_xlfn.XLOOKUP(A884,'외운 것 - 엑셀다운로드 파일(붙여넣기)'!A3:A562,'외운 것 - 엑셀다운로드 파일(붙여넣기)'!C3:C562,0,-1),0)</f>
        <v>0</v>
      </c>
    </row>
    <row r="885" ht="38.45" customHeight="1">
      <c r="A885" s="3">
        <v>884</v>
      </c>
      <c r="B885" t="s" s="4">
        <v>5624</v>
      </c>
      <c r="C885" t="s" s="5">
        <v>5598</v>
      </c>
      <c r="D885" t="s" s="5">
        <v>5599</v>
      </c>
      <c r="E885" t="s" s="5">
        <v>5625</v>
      </c>
      <c r="F885" t="s" s="10">
        <v>5626</v>
      </c>
      <c r="G885" t="s" s="7">
        <v>5627</v>
      </c>
      <c r="H885" t="s" s="7">
        <v>5628</v>
      </c>
      <c r="I885" t="str" s="8" cm="1">
        <f t="array" ref="I885">SUBSTITUTE(H885,B885,"(          )")</f>
        <v>It takes time to (          ) heavy meals.</v>
      </c>
      <c r="J885" s="9" cm="1">
        <f t="array" ref="J885">SUMIF('외운 것 - 엑셀다운로드 파일(붙여넣기)'!A3:A562,A885,'외운 것 - 엑셀다운로드 파일(붙여넣기)'!D3:D562)</f>
        <v>0</v>
      </c>
      <c r="K885" s="9" cm="1">
        <f t="array" ref="K885">_xlfn.COUNTIFS('외운 것 - 엑셀다운로드 파일(붙여넣기)'!A3:A562,A885,'외운 것 - 엑셀다운로드 파일(붙여넣기)'!D3:D562,0)</f>
        <v>0</v>
      </c>
      <c r="L885" s="9" cm="1">
        <f t="array" ref="L885">IF(J885&gt;=3,_xlfn.XLOOKUP(A885,'외운 것 - 엑셀다운로드 파일(붙여넣기)'!A3:A562,'외운 것 - 엑셀다운로드 파일(붙여넣기)'!C3:C562,0,-1),0)</f>
        <v>0</v>
      </c>
    </row>
    <row r="886" ht="38.45" customHeight="1">
      <c r="A886" s="3">
        <v>885</v>
      </c>
      <c r="B886" t="s" s="4">
        <v>5630</v>
      </c>
      <c r="C886" t="s" s="5">
        <v>5631</v>
      </c>
      <c r="D886" t="s" s="5">
        <v>5599</v>
      </c>
      <c r="E886" t="s" s="5">
        <v>5632</v>
      </c>
      <c r="F886" t="s" s="10">
        <v>5633</v>
      </c>
      <c r="G886" t="s" s="7">
        <v>5634</v>
      </c>
      <c r="H886" t="s" s="7">
        <v>5635</v>
      </c>
      <c r="I886" t="str" s="8" cm="1">
        <f t="array" ref="I886">SUBSTITUTE(H886,B886,"(          )")</f>
        <v>Please (          ) online before the conference.</v>
      </c>
      <c r="J886" s="9" cm="1">
        <f t="array" ref="J886">SUMIF('외운 것 - 엑셀다운로드 파일(붙여넣기)'!A3:A562,A886,'외운 것 - 엑셀다운로드 파일(붙여넣기)'!D3:D562)</f>
        <v>0</v>
      </c>
      <c r="K886" s="9" cm="1">
        <f t="array" ref="K886">_xlfn.COUNTIFS('외운 것 - 엑셀다운로드 파일(붙여넣기)'!A3:A562,A886,'외운 것 - 엑셀다운로드 파일(붙여넣기)'!D3:D562,0)</f>
        <v>0</v>
      </c>
      <c r="L886" s="9" cm="1">
        <f t="array" ref="L886">IF(J886&gt;=3,_xlfn.XLOOKUP(A886,'외운 것 - 엑셀다운로드 파일(붙여넣기)'!A3:A562,'외운 것 - 엑셀다운로드 파일(붙여넣기)'!C3:C562,0,-1),0)</f>
        <v>0</v>
      </c>
    </row>
    <row r="887" ht="23.45" customHeight="1">
      <c r="A887" s="3">
        <v>886</v>
      </c>
      <c r="B887" t="s" s="4">
        <v>5637</v>
      </c>
      <c r="C887" t="s" s="5">
        <v>5638</v>
      </c>
      <c r="D887" t="s" s="5">
        <v>5639</v>
      </c>
      <c r="E887" t="s" s="5">
        <v>5640</v>
      </c>
      <c r="F887" t="s" s="10">
        <v>5641</v>
      </c>
      <c r="G887" t="s" s="7">
        <v>5642</v>
      </c>
      <c r="H887" t="s" s="7">
        <v>5643</v>
      </c>
      <c r="I887" t="str" s="8" cm="1">
        <f t="array" ref="I887">SUBSTITUTE(H887,B887,"(          )")</f>
        <v>The (          ) of water fell and shattered on the floor.</v>
      </c>
      <c r="J887" s="9" cm="1">
        <f t="array" ref="J887">SUMIF('외운 것 - 엑셀다운로드 파일(붙여넣기)'!A3:A562,A887,'외운 것 - 엑셀다운로드 파일(붙여넣기)'!D3:D562)</f>
        <v>0</v>
      </c>
      <c r="K887" s="9" cm="1">
        <f t="array" ref="K887">_xlfn.COUNTIFS('외운 것 - 엑셀다운로드 파일(붙여넣기)'!A3:A562,A887,'외운 것 - 엑셀다운로드 파일(붙여넣기)'!D3:D562,0)</f>
        <v>0</v>
      </c>
      <c r="L887" s="9" cm="1">
        <f t="array" ref="L887">IF(J887&gt;=3,_xlfn.XLOOKUP(A887,'외운 것 - 엑셀다운로드 파일(붙여넣기)'!A3:A562,'외운 것 - 엑셀다운로드 파일(붙여넣기)'!C3:C562,0,-1),0)</f>
        <v>0</v>
      </c>
    </row>
    <row r="888" ht="38.45" customHeight="1">
      <c r="A888" s="3">
        <v>887</v>
      </c>
      <c r="B888" t="s" s="4">
        <v>5645</v>
      </c>
      <c r="C888" t="s" s="5">
        <v>5638</v>
      </c>
      <c r="D888" t="s" s="5">
        <v>5639</v>
      </c>
      <c r="E888" t="s" s="5">
        <v>5646</v>
      </c>
      <c r="F888" t="s" s="10">
        <v>5647</v>
      </c>
      <c r="G888" t="s" s="7">
        <v>5648</v>
      </c>
      <c r="H888" t="s" s="7">
        <v>5649</v>
      </c>
      <c r="I888" t="str" s="8" cm="1">
        <f t="array" ref="I888">SUBSTITUTE(H888,B888,"(          )")</f>
        <v>The magazine provides a (          ) of current fashion trends.</v>
      </c>
      <c r="J888" s="9" cm="1">
        <f t="array" ref="J888">SUMIF('외운 것 - 엑셀다운로드 파일(붙여넣기)'!A3:A562,A888,'외운 것 - 엑셀다운로드 파일(붙여넣기)'!D3:D562)</f>
        <v>0</v>
      </c>
      <c r="K888" s="9" cm="1">
        <f t="array" ref="K888">_xlfn.COUNTIFS('외운 것 - 엑셀다운로드 파일(붙여넣기)'!A3:A562,A888,'외운 것 - 엑셀다운로드 파일(붙여넣기)'!D3:D562,0)</f>
        <v>0</v>
      </c>
      <c r="L888" s="9" cm="1">
        <f t="array" ref="L888">IF(J888&gt;=3,_xlfn.XLOOKUP(A888,'외운 것 - 엑셀다운로드 파일(붙여넣기)'!A3:A562,'외운 것 - 엑셀다운로드 파일(붙여넣기)'!C3:C562,0,-1),0)</f>
        <v>0</v>
      </c>
    </row>
    <row r="889" ht="23.45" customHeight="1">
      <c r="A889" s="3">
        <v>888</v>
      </c>
      <c r="B889" t="s" s="4">
        <v>5651</v>
      </c>
      <c r="C889" t="s" s="5">
        <v>5638</v>
      </c>
      <c r="D889" t="s" s="5">
        <v>5639</v>
      </c>
      <c r="E889" t="s" s="5">
        <v>5652</v>
      </c>
      <c r="F889" t="s" s="10">
        <v>5653</v>
      </c>
      <c r="G889" t="s" s="7">
        <v>5654</v>
      </c>
      <c r="H889" t="s" s="7">
        <v>5655</v>
      </c>
      <c r="I889" t="str" s="8" cm="1">
        <f t="array" ref="I889">SUBSTITUTE(H889,B889,"(          )")</f>
        <v>Children love crafts with (          ).</v>
      </c>
      <c r="J889" s="9" cm="1">
        <f t="array" ref="J889">SUMIF('외운 것 - 엑셀다운로드 파일(붙여넣기)'!A3:A562,A889,'외운 것 - 엑셀다운로드 파일(붙여넣기)'!D3:D562)</f>
        <v>0</v>
      </c>
      <c r="K889" s="9" cm="1">
        <f t="array" ref="K889">_xlfn.COUNTIFS('외운 것 - 엑셀다운로드 파일(붙여넣기)'!A3:A562,A889,'외운 것 - 엑셀다운로드 파일(붙여넣기)'!D3:D562,0)</f>
        <v>0</v>
      </c>
      <c r="L889" s="9" cm="1">
        <f t="array" ref="L889">IF(J889&gt;=3,_xlfn.XLOOKUP(A889,'외운 것 - 엑셀다운로드 파일(붙여넣기)'!A3:A562,'외운 것 - 엑셀다운로드 파일(붙여넣기)'!C3:C562,0,-1),0)</f>
        <v>0</v>
      </c>
    </row>
    <row r="890" ht="23.45" customHeight="1">
      <c r="A890" s="3">
        <v>889</v>
      </c>
      <c r="B890" t="s" s="4">
        <v>5657</v>
      </c>
      <c r="C890" t="s" s="5">
        <v>5638</v>
      </c>
      <c r="D890" t="s" s="5">
        <v>5639</v>
      </c>
      <c r="E890" t="s" s="5">
        <v>5658</v>
      </c>
      <c r="F890" t="s" s="10">
        <v>5659</v>
      </c>
      <c r="G890" t="s" s="7">
        <v>5660</v>
      </c>
      <c r="H890" t="s" s="7">
        <v>5661</v>
      </c>
      <c r="I890" t="str" s="8" cm="1">
        <f t="array" ref="I890">SUBSTITUTE(H890,B890,"(          )")</f>
        <v>The fireflies (          ) in the dark forest.</v>
      </c>
      <c r="J890" s="9" cm="1">
        <f t="array" ref="J890">SUMIF('외운 것 - 엑셀다운로드 파일(붙여넣기)'!A3:A562,A890,'외운 것 - 엑셀다운로드 파일(붙여넣기)'!D3:D562)</f>
        <v>0</v>
      </c>
      <c r="K890" s="9" cm="1">
        <f t="array" ref="K890">_xlfn.COUNTIFS('외운 것 - 엑셀다운로드 파일(붙여넣기)'!A3:A562,A890,'외운 것 - 엑셀다운로드 파일(붙여넣기)'!D3:D562,0)</f>
        <v>0</v>
      </c>
      <c r="L890" s="9" cm="1">
        <f t="array" ref="L890">IF(J890&gt;=3,_xlfn.XLOOKUP(A890,'외운 것 - 엑셀다운로드 파일(붙여넣기)'!A3:A562,'외운 것 - 엑셀다운로드 파일(붙여넣기)'!C3:C562,0,-1),0)</f>
        <v>0</v>
      </c>
    </row>
    <row r="891" ht="38.45" customHeight="1">
      <c r="A891" s="3">
        <v>890</v>
      </c>
      <c r="B891" t="s" s="4">
        <v>5663</v>
      </c>
      <c r="C891" t="s" s="5">
        <v>5638</v>
      </c>
      <c r="D891" t="s" s="5">
        <v>5639</v>
      </c>
      <c r="E891" t="s" s="5">
        <v>5664</v>
      </c>
      <c r="F891" t="s" s="10">
        <v>5665</v>
      </c>
      <c r="G891" t="s" s="7">
        <v>5666</v>
      </c>
      <c r="H891" t="s" s="7">
        <v>5667</v>
      </c>
      <c r="I891" t="str" s="8" cm="1">
        <f t="array" ref="I891">SUBSTITUTE(H891,B891,"(          )")</f>
        <v>The team returned home in (          ) after winning the championship.</v>
      </c>
      <c r="J891" s="9" cm="1">
        <f t="array" ref="J891">SUMIF('외운 것 - 엑셀다운로드 파일(붙여넣기)'!A3:A562,A891,'외운 것 - 엑셀다운로드 파일(붙여넣기)'!D3:D562)</f>
        <v>0</v>
      </c>
      <c r="K891" s="9" cm="1">
        <f t="array" ref="K891">_xlfn.COUNTIFS('외운 것 - 엑셀다운로드 파일(붙여넣기)'!A3:A562,A891,'외운 것 - 엑셀다운로드 파일(붙여넣기)'!D3:D562,0)</f>
        <v>0</v>
      </c>
      <c r="L891" s="9" cm="1">
        <f t="array" ref="L891">IF(J891&gt;=3,_xlfn.XLOOKUP(A891,'외운 것 - 엑셀다운로드 파일(붙여넣기)'!A3:A562,'외운 것 - 엑셀다운로드 파일(붙여넣기)'!C3:C562,0,-1),0)</f>
        <v>0</v>
      </c>
    </row>
    <row r="892" ht="38.45" customHeight="1">
      <c r="A892" s="3">
        <v>891</v>
      </c>
      <c r="B892" t="s" s="4">
        <v>5669</v>
      </c>
      <c r="C892" t="s" s="5">
        <v>5638</v>
      </c>
      <c r="D892" t="s" s="5">
        <v>5639</v>
      </c>
      <c r="E892" t="s" s="5">
        <v>5670</v>
      </c>
      <c r="F892" t="s" s="10">
        <v>5671</v>
      </c>
      <c r="G892" t="s" s="7">
        <v>5672</v>
      </c>
      <c r="H892" t="s" s="7">
        <v>5673</v>
      </c>
      <c r="I892" t="str" s="8" cm="1">
        <f t="array" ref="I892">SUBSTITUTE(H892,B892,"(          )")</f>
        <v>I'm (          ) you could come to the party.</v>
      </c>
      <c r="J892" s="9" cm="1">
        <f t="array" ref="J892">SUMIF('외운 것 - 엑셀다운로드 파일(붙여넣기)'!A3:A562,A892,'외운 것 - 엑셀다운로드 파일(붙여넣기)'!D3:D562)</f>
        <v>0</v>
      </c>
      <c r="K892" s="9" cm="1">
        <f t="array" ref="K892">_xlfn.COUNTIFS('외운 것 - 엑셀다운로드 파일(붙여넣기)'!A3:A562,A892,'외운 것 - 엑셀다운로드 파일(붙여넣기)'!D3:D562,0)</f>
        <v>0</v>
      </c>
      <c r="L892" s="9" cm="1">
        <f t="array" ref="L892">IF(J892&gt;=3,_xlfn.XLOOKUP(A892,'외운 것 - 엑셀다운로드 파일(붙여넣기)'!A3:A562,'외운 것 - 엑셀다운로드 파일(붙여넣기)'!C3:C562,0,-1),0)</f>
        <v>0</v>
      </c>
    </row>
    <row r="893" ht="23.45" customHeight="1">
      <c r="A893" s="3">
        <v>892</v>
      </c>
      <c r="B893" t="s" s="4">
        <v>5675</v>
      </c>
      <c r="C893" t="s" s="5">
        <v>5638</v>
      </c>
      <c r="D893" t="s" s="5">
        <v>5639</v>
      </c>
      <c r="E893" t="s" s="5">
        <v>5676</v>
      </c>
      <c r="F893" t="s" s="10">
        <v>5677</v>
      </c>
      <c r="G893" t="s" s="7">
        <v>5678</v>
      </c>
      <c r="H893" t="s" s="7">
        <v>5679</v>
      </c>
      <c r="I893" t="str" s="8" cm="1">
        <f t="array" ref="I893">SUBSTITUTE(H893,B893,"(          )")</f>
        <v>Her eyes (          ) with excitement.</v>
      </c>
      <c r="J893" s="9" cm="1">
        <f t="array" ref="J893">SUMIF('외운 것 - 엑셀다운로드 파일(붙여넣기)'!A3:A562,A893,'외운 것 - 엑셀다운로드 파일(붙여넣기)'!D3:D562)</f>
        <v>0</v>
      </c>
      <c r="K893" s="9" cm="1">
        <f t="array" ref="K893">_xlfn.COUNTIFS('외운 것 - 엑셀다운로드 파일(붙여넣기)'!A3:A562,A893,'외운 것 - 엑셀다운로드 파일(붙여넣기)'!D3:D562,0)</f>
        <v>0</v>
      </c>
      <c r="L893" s="9" cm="1">
        <f t="array" ref="L893">IF(J893&gt;=3,_xlfn.XLOOKUP(A893,'외운 것 - 엑셀다운로드 파일(붙여넣기)'!A3:A562,'외운 것 - 엑셀다운로드 파일(붙여넣기)'!C3:C562,0,-1),0)</f>
        <v>0</v>
      </c>
    </row>
    <row r="894" ht="23.45" customHeight="1">
      <c r="A894" s="3">
        <v>893</v>
      </c>
      <c r="B894" t="s" s="4">
        <v>5681</v>
      </c>
      <c r="C894" t="s" s="5">
        <v>5638</v>
      </c>
      <c r="D894" t="s" s="5">
        <v>5639</v>
      </c>
      <c r="E894" t="s" s="5">
        <v>5682</v>
      </c>
      <c r="F894" t="s" s="10">
        <v>5683</v>
      </c>
      <c r="G894" t="s" s="7">
        <v>5684</v>
      </c>
      <c r="H894" t="s" s="7">
        <v>5685</v>
      </c>
      <c r="I894" t="str" s="8" cm="1">
        <f t="array" ref="I894">SUBSTITUTE(H894,B894,"(          )")</f>
        <v>She took a quick (          ) at her watch.</v>
      </c>
      <c r="J894" s="9" cm="1">
        <f t="array" ref="J894">SUMIF('외운 것 - 엑셀다운로드 파일(붙여넣기)'!A3:A562,A894,'외운 것 - 엑셀다운로드 파일(붙여넣기)'!D3:D562)</f>
        <v>0</v>
      </c>
      <c r="K894" s="9" cm="1">
        <f t="array" ref="K894">_xlfn.COUNTIFS('외운 것 - 엑셀다운로드 파일(붙여넣기)'!A3:A562,A894,'외운 것 - 엑셀다운로드 파일(붙여넣기)'!D3:D562,0)</f>
        <v>0</v>
      </c>
      <c r="L894" s="9" cm="1">
        <f t="array" ref="L894">IF(J894&gt;=3,_xlfn.XLOOKUP(A894,'외운 것 - 엑셀다운로드 파일(붙여넣기)'!A3:A562,'외운 것 - 엑셀다운로드 파일(붙여넣기)'!C3:C562,0,-1),0)</f>
        <v>0</v>
      </c>
    </row>
    <row r="895" ht="23.45" customHeight="1">
      <c r="A895" s="3">
        <v>894</v>
      </c>
      <c r="B895" t="s" s="4">
        <v>5687</v>
      </c>
      <c r="C895" t="s" s="5">
        <v>5638</v>
      </c>
      <c r="D895" t="s" s="5">
        <v>5639</v>
      </c>
      <c r="E895" t="s" s="5">
        <v>5688</v>
      </c>
      <c r="F895" t="s" s="10">
        <v>5689</v>
      </c>
      <c r="G895" t="s" s="7">
        <v>5690</v>
      </c>
      <c r="H895" t="s" s="7">
        <v>5691</v>
      </c>
      <c r="I895" t="str" s="8" cm="1">
        <f t="array" ref="I895">SUBSTITUTE(H895,B895,"(          )")</f>
        <v>The sun's (          ) made it difficult to see.</v>
      </c>
      <c r="J895" s="9" cm="1">
        <f t="array" ref="J895">SUMIF('외운 것 - 엑셀다운로드 파일(붙여넣기)'!A3:A562,A895,'외운 것 - 엑셀다운로드 파일(붙여넣기)'!D3:D562)</f>
        <v>0</v>
      </c>
      <c r="K895" s="9" cm="1">
        <f t="array" ref="K895">_xlfn.COUNTIFS('외운 것 - 엑셀다운로드 파일(붙여넣기)'!A3:A562,A895,'외운 것 - 엑셀다운로드 파일(붙여넣기)'!D3:D562,0)</f>
        <v>0</v>
      </c>
      <c r="L895" s="9" cm="1">
        <f t="array" ref="L895">IF(J895&gt;=3,_xlfn.XLOOKUP(A895,'외운 것 - 엑셀다운로드 파일(붙여넣기)'!A3:A562,'외운 것 - 엑셀다운로드 파일(붙여넣기)'!C3:C562,0,-1),0)</f>
        <v>0</v>
      </c>
    </row>
    <row r="896" ht="38.45" customHeight="1">
      <c r="A896" s="3">
        <v>895</v>
      </c>
      <c r="B896" t="s" s="4">
        <v>3043</v>
      </c>
      <c r="C896" t="s" s="5">
        <v>5693</v>
      </c>
      <c r="D896" t="s" s="5">
        <v>5694</v>
      </c>
      <c r="E896" t="s" s="5">
        <v>3044</v>
      </c>
      <c r="F896" t="s" s="10">
        <v>5695</v>
      </c>
      <c r="G896" t="s" s="7">
        <v>3046</v>
      </c>
      <c r="H896" t="s" s="7">
        <v>3047</v>
      </c>
      <c r="I896" t="str" s="8" cm="1">
        <f t="array" ref="I896">SUBSTITUTE(H896,B896,"(          )")</f>
        <v>The doctor will (          ) the cause of your symptoms.</v>
      </c>
      <c r="J896" s="9" cm="1">
        <f t="array" ref="J896">SUMIF('외운 것 - 엑셀다운로드 파일(붙여넣기)'!A3:A562,A896,'외운 것 - 엑셀다운로드 파일(붙여넣기)'!D3:D562)</f>
        <v>0</v>
      </c>
      <c r="K896" s="9" cm="1">
        <f t="array" ref="K896">_xlfn.COUNTIFS('외운 것 - 엑셀다운로드 파일(붙여넣기)'!A3:A562,A896,'외운 것 - 엑셀다운로드 파일(붙여넣기)'!D3:D562,0)</f>
        <v>0</v>
      </c>
      <c r="L896" s="9" cm="1">
        <f t="array" ref="L896">IF(J896&gt;=3,_xlfn.XLOOKUP(A896,'외운 것 - 엑셀다운로드 파일(붙여넣기)'!A3:A562,'외운 것 - 엑셀다운로드 파일(붙여넣기)'!C3:C562,0,-1),0)</f>
        <v>0</v>
      </c>
    </row>
    <row r="897" ht="36.4" customHeight="1">
      <c r="A897" s="3">
        <v>896</v>
      </c>
      <c r="B897" t="s" s="4">
        <v>5696</v>
      </c>
      <c r="C897" t="s" s="5">
        <v>5697</v>
      </c>
      <c r="D897" t="s" s="5">
        <v>5693</v>
      </c>
      <c r="E897" t="s" s="5">
        <v>5698</v>
      </c>
      <c r="F897" t="s" s="10">
        <v>5699</v>
      </c>
      <c r="G897" t="s" s="7">
        <v>5700</v>
      </c>
      <c r="H897" t="s" s="7">
        <v>5701</v>
      </c>
      <c r="I897" t="str" s="8" cm="1">
        <f t="array" ref="I897">SUBSTITUTE(H897,B897,"(          )")</f>
        <v>The doctor made a (          ) based on the test results.</v>
      </c>
      <c r="J897" s="9" cm="1">
        <f t="array" ref="J897">SUMIF('외운 것 - 엑셀다운로드 파일(붙여넣기)'!A3:A562,A897,'외운 것 - 엑셀다운로드 파일(붙여넣기)'!D3:D562)</f>
        <v>0</v>
      </c>
      <c r="K897" s="9" cm="1">
        <f t="array" ref="K897">_xlfn.COUNTIFS('외운 것 - 엑셀다운로드 파일(붙여넣기)'!A3:A562,A897,'외운 것 - 엑셀다운로드 파일(붙여넣기)'!D3:D562,0)</f>
        <v>0</v>
      </c>
      <c r="L897" s="9" cm="1">
        <f t="array" ref="L897">IF(J897&gt;=3,_xlfn.XLOOKUP(A897,'외운 것 - 엑셀다운로드 파일(붙여넣기)'!A3:A562,'외운 것 - 엑셀다운로드 파일(붙여넣기)'!C3:C562,0,-1),0)</f>
        <v>0</v>
      </c>
    </row>
    <row r="898" ht="38.45" customHeight="1">
      <c r="A898" s="3">
        <v>897</v>
      </c>
      <c r="B898" t="s" s="4">
        <v>5703</v>
      </c>
      <c r="C898" t="s" s="5">
        <v>5693</v>
      </c>
      <c r="D898" t="s" s="5">
        <v>5694</v>
      </c>
      <c r="E898" t="s" s="5">
        <v>5704</v>
      </c>
      <c r="F898" t="s" s="10">
        <v>5705</v>
      </c>
      <c r="G898" t="s" s="7">
        <v>5706</v>
      </c>
      <c r="H898" t="s" s="7">
        <v>5707</v>
      </c>
      <c r="I898" t="str" s="8" cm="1">
        <f t="array" ref="I898">SUBSTITUTE(H898,B898,"(          )")</f>
        <v>Children develop (          ) skills through play.</v>
      </c>
      <c r="J898" s="9" cm="1">
        <f t="array" ref="J898">SUMIF('외운 것 - 엑셀다운로드 파일(붙여넣기)'!A3:A562,A898,'외운 것 - 엑셀다운로드 파일(붙여넣기)'!D3:D562)</f>
        <v>0</v>
      </c>
      <c r="K898" s="9" cm="1">
        <f t="array" ref="K898">_xlfn.COUNTIFS('외운 것 - 엑셀다운로드 파일(붙여넣기)'!A3:A562,A898,'외운 것 - 엑셀다운로드 파일(붙여넣기)'!D3:D562,0)</f>
        <v>0</v>
      </c>
      <c r="L898" s="9" cm="1">
        <f t="array" ref="L898">IF(J898&gt;=3,_xlfn.XLOOKUP(A898,'외운 것 - 엑셀다운로드 파일(붙여넣기)'!A3:A562,'외운 것 - 엑셀다운로드 파일(붙여넣기)'!C3:C562,0,-1),0)</f>
        <v>0</v>
      </c>
    </row>
    <row r="899" ht="23.45" customHeight="1">
      <c r="A899" s="3">
        <v>898</v>
      </c>
      <c r="B899" t="s" s="4">
        <v>5709</v>
      </c>
      <c r="C899" t="s" s="5">
        <v>5693</v>
      </c>
      <c r="D899" t="s" s="5">
        <v>5694</v>
      </c>
      <c r="E899" t="s" s="5">
        <v>5710</v>
      </c>
      <c r="F899" t="s" s="10">
        <v>5711</v>
      </c>
      <c r="G899" t="s" s="7">
        <v>5712</v>
      </c>
      <c r="H899" t="s" s="7">
        <v>5713</v>
      </c>
      <c r="I899" t="str" s="8" cm="1">
        <f t="array" ref="I899">SUBSTITUTE(H899,B899,"(          )")</f>
        <v>The (          ) woman is due next month.</v>
      </c>
      <c r="J899" s="9" cm="1">
        <f t="array" ref="J899">SUMIF('외운 것 - 엑셀다운로드 파일(붙여넣기)'!A3:A562,A899,'외운 것 - 엑셀다운로드 파일(붙여넣기)'!D3:D562)</f>
        <v>0</v>
      </c>
      <c r="K899" s="9" cm="1">
        <f t="array" ref="K899">_xlfn.COUNTIFS('외운 것 - 엑셀다운로드 파일(붙여넣기)'!A3:A562,A899,'외운 것 - 엑셀다운로드 파일(붙여넣기)'!D3:D562,0)</f>
        <v>0</v>
      </c>
      <c r="L899" s="9" cm="1">
        <f t="array" ref="L899">IF(J899&gt;=3,_xlfn.XLOOKUP(A899,'외운 것 - 엑셀다운로드 파일(붙여넣기)'!A3:A562,'외운 것 - 엑셀다운로드 파일(붙여넣기)'!C3:C562,0,-1),0)</f>
        <v>0</v>
      </c>
    </row>
    <row r="900" ht="23.45" customHeight="1">
      <c r="A900" s="3">
        <v>899</v>
      </c>
      <c r="B900" t="s" s="4">
        <v>5715</v>
      </c>
      <c r="C900" t="s" s="5">
        <v>5693</v>
      </c>
      <c r="D900" t="s" s="5">
        <v>5694</v>
      </c>
      <c r="E900" t="s" s="5">
        <v>5716</v>
      </c>
      <c r="F900" t="s" s="10">
        <v>5717</v>
      </c>
      <c r="G900" t="s" s="7">
        <v>5718</v>
      </c>
      <c r="H900" t="s" s="7">
        <v>5719</v>
      </c>
      <c r="I900" t="str" s="8" cm="1">
        <f t="array" ref="I900">SUBSTITUTE(H900,B900,"(          )")</f>
        <v>Did you (          ) the actor in that old movie?</v>
      </c>
      <c r="J900" s="9" cm="1">
        <f t="array" ref="J900">SUMIF('외운 것 - 엑셀다운로드 파일(붙여넣기)'!A3:A562,A900,'외운 것 - 엑셀다운로드 파일(붙여넣기)'!D3:D562)</f>
        <v>0</v>
      </c>
      <c r="K900" s="9" cm="1">
        <f t="array" ref="K900">_xlfn.COUNTIFS('외운 것 - 엑셀다운로드 파일(붙여넣기)'!A3:A562,A900,'외운 것 - 엑셀다운로드 파일(붙여넣기)'!D3:D562,0)</f>
        <v>0</v>
      </c>
      <c r="L900" s="9" cm="1">
        <f t="array" ref="L900">IF(J900&gt;=3,_xlfn.XLOOKUP(A900,'외운 것 - 엑셀다운로드 파일(붙여넣기)'!A3:A562,'외운 것 - 엑셀다운로드 파일(붙여넣기)'!C3:C562,0,-1),0)</f>
        <v>0</v>
      </c>
    </row>
    <row r="901" ht="23.45" customHeight="1">
      <c r="A901" s="3">
        <v>900</v>
      </c>
      <c r="B901" t="s" s="4">
        <v>5721</v>
      </c>
      <c r="C901" t="s" s="5">
        <v>5693</v>
      </c>
      <c r="D901" t="s" s="5">
        <v>5694</v>
      </c>
      <c r="E901" t="s" s="5">
        <v>5722</v>
      </c>
      <c r="F901" t="s" s="10">
        <v>5723</v>
      </c>
      <c r="G901" t="s" s="7">
        <v>5724</v>
      </c>
      <c r="H901" t="s" s="7">
        <v>5725</v>
      </c>
      <c r="I901" t="str" s="8" cm="1">
        <f t="array" ref="I901">SUBSTITUTE(H901,B901,"(          )")</f>
        <v>Don't (          ) the warning signs of illness.</v>
      </c>
      <c r="J901" s="9" cm="1">
        <f t="array" ref="J901">SUMIF('외운 것 - 엑셀다운로드 파일(붙여넣기)'!A3:A562,A901,'외운 것 - 엑셀다운로드 파일(붙여넣기)'!D3:D562)</f>
        <v>0</v>
      </c>
      <c r="K901" s="9" cm="1">
        <f t="array" ref="K901">_xlfn.COUNTIFS('외운 것 - 엑셀다운로드 파일(붙여넣기)'!A3:A562,A901,'외운 것 - 엑셀다운로드 파일(붙여넣기)'!D3:D562,0)</f>
        <v>0</v>
      </c>
      <c r="L901" s="9" cm="1">
        <f t="array" ref="L901">IF(J901&gt;=3,_xlfn.XLOOKUP(A901,'외운 것 - 엑셀다운로드 파일(붙여넣기)'!A3:A562,'외운 것 - 엑셀다운로드 파일(붙여넣기)'!C3:C562,0,-1),0)</f>
        <v>0</v>
      </c>
    </row>
    <row r="902" ht="38.45" customHeight="1">
      <c r="A902" s="3">
        <v>901</v>
      </c>
      <c r="B902" t="s" s="4">
        <v>5727</v>
      </c>
      <c r="C902" t="s" s="5">
        <v>5728</v>
      </c>
      <c r="D902" t="s" s="5">
        <v>5729</v>
      </c>
      <c r="E902" t="s" s="5">
        <v>5730</v>
      </c>
      <c r="F902" t="s" s="10">
        <v>5731</v>
      </c>
      <c r="G902" t="s" s="7">
        <v>5732</v>
      </c>
      <c r="H902" t="s" s="7">
        <v>5733</v>
      </c>
      <c r="I902" t="str" s="8" cm="1">
        <f t="array" ref="I902">SUBSTITUTE(H902,B902,"(          )")</f>
        <v>The child's face lit up with a wide (          ).</v>
      </c>
      <c r="J902" s="9" cm="1">
        <f t="array" ref="J902">SUMIF('외운 것 - 엑셀다운로드 파일(붙여넣기)'!A3:A562,A902,'외운 것 - 엑셀다운로드 파일(붙여넣기)'!D3:D562)</f>
        <v>0</v>
      </c>
      <c r="K902" s="9" cm="1">
        <f t="array" ref="K902">_xlfn.COUNTIFS('외운 것 - 엑셀다운로드 파일(붙여넣기)'!A3:A562,A902,'외운 것 - 엑셀다운로드 파일(붙여넣기)'!D3:D562,0)</f>
        <v>0</v>
      </c>
      <c r="L902" s="9" cm="1">
        <f t="array" ref="L902">IF(J902&gt;=3,_xlfn.XLOOKUP(A902,'외운 것 - 엑셀다운로드 파일(붙여넣기)'!A3:A562,'외운 것 - 엑셀다운로드 파일(붙여넣기)'!C3:C562,0,-1),0)</f>
        <v>0</v>
      </c>
    </row>
    <row r="903" ht="38.45" customHeight="1">
      <c r="A903" s="3">
        <v>902</v>
      </c>
      <c r="B903" t="s" s="4">
        <v>5735</v>
      </c>
      <c r="C903" t="s" s="5">
        <v>5728</v>
      </c>
      <c r="D903" t="s" s="5">
        <v>5729</v>
      </c>
      <c r="E903" t="s" s="5">
        <v>5736</v>
      </c>
      <c r="F903" t="s" s="10">
        <v>5737</v>
      </c>
      <c r="G903" t="s" s="7">
        <v>5738</v>
      </c>
      <c r="H903" t="s" s="7">
        <v>5739</v>
      </c>
      <c r="I903" t="str" s="8" cm="1">
        <f t="array" ref="I903">SUBSTITUTE(H903,B903,"(          )")</f>
        <v>Plants (          ) faster in warm weather.</v>
      </c>
      <c r="J903" s="9" cm="1">
        <f t="array" ref="J903">SUMIF('외운 것 - 엑셀다운로드 파일(붙여넣기)'!A3:A562,A903,'외운 것 - 엑셀다운로드 파일(붙여넣기)'!D3:D562)</f>
        <v>0</v>
      </c>
      <c r="K903" s="9" cm="1">
        <f t="array" ref="K903">_xlfn.COUNTIFS('외운 것 - 엑셀다운로드 파일(붙여넣기)'!A3:A562,A903,'외운 것 - 엑셀다운로드 파일(붙여넣기)'!D3:D562,0)</f>
        <v>0</v>
      </c>
      <c r="L903" s="9" cm="1">
        <f t="array" ref="L903">IF(J903&gt;=3,_xlfn.XLOOKUP(A903,'외운 것 - 엑셀다운로드 파일(붙여넣기)'!A3:A562,'외운 것 - 엑셀다운로드 파일(붙여넣기)'!C3:C562,0,-1),0)</f>
        <v>0</v>
      </c>
    </row>
    <row r="904" ht="23.45" customHeight="1">
      <c r="A904" s="3">
        <v>903</v>
      </c>
      <c r="B904" t="s" s="4">
        <v>5741</v>
      </c>
      <c r="C904" t="s" s="5">
        <v>5742</v>
      </c>
      <c r="D904" t="s" s="5">
        <v>5728</v>
      </c>
      <c r="E904" t="s" s="5">
        <v>5743</v>
      </c>
      <c r="F904" t="s" s="10">
        <v>5744</v>
      </c>
      <c r="G904" t="s" s="7">
        <v>5745</v>
      </c>
      <c r="H904" t="s" s="7">
        <v>5746</v>
      </c>
      <c r="I904" t="str" s="8" cm="1">
        <f t="array" ref="I904">SUBSTITUTE(H904,B904,"(          )")</f>
        <v>Economic (          ) has slowed in recent months.</v>
      </c>
      <c r="J904" s="9" cm="1">
        <f t="array" ref="J904">SUMIF('외운 것 - 엑셀다운로드 파일(붙여넣기)'!A3:A562,A904,'외운 것 - 엑셀다운로드 파일(붙여넣기)'!D3:D562)</f>
        <v>0</v>
      </c>
      <c r="K904" s="9" cm="1">
        <f t="array" ref="K904">_xlfn.COUNTIFS('외운 것 - 엑셀다운로드 파일(붙여넣기)'!A3:A562,A904,'외운 것 - 엑셀다운로드 파일(붙여넣기)'!D3:D562,0)</f>
        <v>0</v>
      </c>
      <c r="L904" s="9" cm="1">
        <f t="array" ref="L904">IF(J904&gt;=3,_xlfn.XLOOKUP(A904,'외운 것 - 엑셀다운로드 파일(붙여넣기)'!A3:A562,'외운 것 - 엑셀다운로드 파일(붙여넣기)'!C3:C562,0,-1),0)</f>
        <v>0</v>
      </c>
    </row>
    <row r="905" ht="38.45" customHeight="1">
      <c r="A905" s="3">
        <v>904</v>
      </c>
      <c r="B905" t="s" s="4">
        <v>5748</v>
      </c>
      <c r="C905" t="s" s="5">
        <v>5742</v>
      </c>
      <c r="D905" t="s" s="5">
        <v>5728</v>
      </c>
      <c r="E905" t="s" s="5">
        <v>5749</v>
      </c>
      <c r="F905" t="s" s="10">
        <v>5750</v>
      </c>
      <c r="G905" t="s" s="7">
        <v>5751</v>
      </c>
      <c r="H905" t="s" s="7">
        <v>5752</v>
      </c>
      <c r="I905" t="str" s="8" cm="1">
        <f t="array" ref="I905">SUBSTITUTE(H905,B905,"(          )")</f>
        <v>Rice is an important (          ) in many diets.</v>
      </c>
      <c r="J905" s="9" cm="1">
        <f t="array" ref="J905">SUMIF('외운 것 - 엑셀다운로드 파일(붙여넣기)'!A3:A562,A905,'외운 것 - 엑셀다운로드 파일(붙여넣기)'!D3:D562)</f>
        <v>0</v>
      </c>
      <c r="K905" s="9" cm="1">
        <f t="array" ref="K905">_xlfn.COUNTIFS('외운 것 - 엑셀다운로드 파일(붙여넣기)'!A3:A562,A905,'외운 것 - 엑셀다운로드 파일(붙여넣기)'!D3:D562,0)</f>
        <v>0</v>
      </c>
      <c r="L905" s="9" cm="1">
        <f t="array" ref="L905">IF(J905&gt;=3,_xlfn.XLOOKUP(A905,'외운 것 - 엑셀다운로드 파일(붙여넣기)'!A3:A562,'외운 것 - 엑셀다운로드 파일(붙여넣기)'!C3:C562,0,-1),0)</f>
        <v>0</v>
      </c>
    </row>
    <row r="906" ht="38.45" customHeight="1">
      <c r="A906" s="3">
        <v>905</v>
      </c>
      <c r="B906" t="s" s="4">
        <v>5754</v>
      </c>
      <c r="C906" t="s" s="5">
        <v>5742</v>
      </c>
      <c r="D906" t="s" s="5">
        <v>5728</v>
      </c>
      <c r="E906" t="s" s="5">
        <v>5755</v>
      </c>
      <c r="F906" t="s" s="10">
        <v>5756</v>
      </c>
      <c r="G906" t="s" s="7">
        <v>5757</v>
      </c>
      <c r="H906" t="s" s="7">
        <v>5758</v>
      </c>
      <c r="I906" t="str" s="8" cm="1">
        <f t="array" ref="I906">SUBSTITUTE(H906,B906,"(          )")</f>
        <v>You need to (          ) the coffee beans before brewing.</v>
      </c>
      <c r="J906" s="9" cm="1">
        <f t="array" ref="J906">SUMIF('외운 것 - 엑셀다운로드 파일(붙여넣기)'!A3:A562,A906,'외운 것 - 엑셀다운로드 파일(붙여넣기)'!D3:D562)</f>
        <v>0</v>
      </c>
      <c r="K906" s="9" cm="1">
        <f t="array" ref="K906">_xlfn.COUNTIFS('외운 것 - 엑셀다운로드 파일(붙여넣기)'!A3:A562,A906,'외운 것 - 엑셀다운로드 파일(붙여넣기)'!D3:D562,0)</f>
        <v>0</v>
      </c>
      <c r="L906" s="9" cm="1">
        <f t="array" ref="L906">IF(J906&gt;=3,_xlfn.XLOOKUP(A906,'외운 것 - 엑셀다운로드 파일(붙여넣기)'!A3:A562,'외운 것 - 엑셀다운로드 파일(붙여넣기)'!C3:C562,0,-1),0)</f>
        <v>0</v>
      </c>
    </row>
    <row r="907" ht="38.45" customHeight="1">
      <c r="A907" s="3">
        <v>906</v>
      </c>
      <c r="B907" t="s" s="4">
        <v>5760</v>
      </c>
      <c r="C907" t="s" s="5">
        <v>5742</v>
      </c>
      <c r="D907" t="s" s="5">
        <v>5728</v>
      </c>
      <c r="E907" t="s" s="5">
        <v>5761</v>
      </c>
      <c r="F907" t="s" s="10">
        <v>5762</v>
      </c>
      <c r="G907" t="s" s="7">
        <v>5763</v>
      </c>
      <c r="H907" t="s" s="7">
        <v>5764</v>
      </c>
      <c r="I907" t="str" s="8" cm="1">
        <f t="array" ref="I907">SUBSTITUTE(H907,B907,"(          )")</f>
        <v>The (          ) needs cutting after the rain.</v>
      </c>
      <c r="J907" s="9" cm="1">
        <f t="array" ref="J907">SUMIF('외운 것 - 엑셀다운로드 파일(붙여넣기)'!A3:A562,A907,'외운 것 - 엑셀다운로드 파일(붙여넣기)'!D3:D562)</f>
        <v>0</v>
      </c>
      <c r="K907" s="9" cm="1">
        <f t="array" ref="K907">_xlfn.COUNTIFS('외운 것 - 엑셀다운로드 파일(붙여넣기)'!A3:A562,A907,'외운 것 - 엑셀다운로드 파일(붙여넣기)'!D3:D562,0)</f>
        <v>0</v>
      </c>
      <c r="L907" s="9" cm="1">
        <f t="array" ref="L907">IF(J907&gt;=3,_xlfn.XLOOKUP(A907,'외운 것 - 엑셀다운로드 파일(붙여넣기)'!A3:A562,'외운 것 - 엑셀다운로드 파일(붙여넣기)'!C3:C562,0,-1),0)</f>
        <v>0</v>
      </c>
    </row>
    <row r="908" ht="38.45" customHeight="1">
      <c r="A908" s="3">
        <v>907</v>
      </c>
      <c r="B908" t="s" s="4">
        <v>5766</v>
      </c>
      <c r="C908" t="s" s="5">
        <v>5767</v>
      </c>
      <c r="D908" t="s" s="5">
        <v>5728</v>
      </c>
      <c r="E908" t="s" s="5">
        <v>5768</v>
      </c>
      <c r="F908" t="s" s="10">
        <v>5769</v>
      </c>
      <c r="G908" t="s" s="7">
        <v>5770</v>
      </c>
      <c r="H908" t="s" s="7">
        <v>5771</v>
      </c>
      <c r="I908" t="str" s="8" cm="1">
        <f t="array" ref="I908">SUBSTITUTE(H908,B908,"(          )")</f>
        <v>Cattle were (          ) peacefully in the meadow.</v>
      </c>
      <c r="J908" s="9" cm="1">
        <f t="array" ref="J908">SUMIF('외운 것 - 엑셀다운로드 파일(붙여넣기)'!A3:A562,A908,'외운 것 - 엑셀다운로드 파일(붙여넣기)'!D3:D562)</f>
        <v>0</v>
      </c>
      <c r="K908" s="9" cm="1">
        <f t="array" ref="K908">_xlfn.COUNTIFS('외운 것 - 엑셀다운로드 파일(붙여넣기)'!A3:A562,A908,'외운 것 - 엑셀다운로드 파일(붙여넣기)'!D3:D562,0)</f>
        <v>0</v>
      </c>
      <c r="L908" s="9" cm="1">
        <f t="array" ref="L908">IF(J908&gt;=3,_xlfn.XLOOKUP(A908,'외운 것 - 엑셀다운로드 파일(붙여넣기)'!A3:A562,'외운 것 - 엑셀다운로드 파일(붙여넣기)'!C3:C562,0,-1),0)</f>
        <v>0</v>
      </c>
    </row>
    <row r="909" ht="38.45" customHeight="1">
      <c r="A909" s="3">
        <v>908</v>
      </c>
      <c r="B909" t="s" s="4">
        <v>5773</v>
      </c>
      <c r="C909" t="s" s="5">
        <v>5767</v>
      </c>
      <c r="D909" t="s" s="5">
        <v>5728</v>
      </c>
      <c r="E909" t="s" s="5">
        <v>5774</v>
      </c>
      <c r="F909" t="s" s="10">
        <v>5775</v>
      </c>
      <c r="G909" t="s" s="7">
        <v>5776</v>
      </c>
      <c r="H909" t="s" s="7">
        <v>5777</v>
      </c>
      <c r="I909" t="str" s="8" cm="1">
        <f t="array" ref="I909">SUBSTITUTE(H909,B909,"(          )")</f>
        <v>The study (          ) meets every Wednesday.</v>
      </c>
      <c r="J909" s="9" cm="1">
        <f t="array" ref="J909">SUMIF('외운 것 - 엑셀다운로드 파일(붙여넣기)'!A3:A562,A909,'외운 것 - 엑셀다운로드 파일(붙여넣기)'!D3:D562)</f>
        <v>0</v>
      </c>
      <c r="K909" s="9" cm="1">
        <f t="array" ref="K909">_xlfn.COUNTIFS('외운 것 - 엑셀다운로드 파일(붙여넣기)'!A3:A562,A909,'외운 것 - 엑셀다운로드 파일(붙여넣기)'!D3:D562,0)</f>
        <v>0</v>
      </c>
      <c r="L909" s="9" cm="1">
        <f t="array" ref="L909">IF(J909&gt;=3,_xlfn.XLOOKUP(A909,'외운 것 - 엑셀다운로드 파일(붙여넣기)'!A3:A562,'외운 것 - 엑셀다운로드 파일(붙여넣기)'!C3:C562,0,-1),0)</f>
        <v>0</v>
      </c>
    </row>
    <row r="910" ht="38.45" customHeight="1">
      <c r="A910" s="3">
        <v>909</v>
      </c>
      <c r="B910" t="s" s="4">
        <v>5779</v>
      </c>
      <c r="C910" t="s" s="5">
        <v>5767</v>
      </c>
      <c r="D910" t="s" s="5">
        <v>5728</v>
      </c>
      <c r="E910" t="s" s="5">
        <v>5780</v>
      </c>
      <c r="F910" t="s" s="10">
        <v>5781</v>
      </c>
      <c r="G910" t="s" s="7">
        <v>5782</v>
      </c>
      <c r="H910" t="s" s="7">
        <v>5783</v>
      </c>
      <c r="I910" t="str" s="8" cm="1">
        <f t="array" ref="I910">SUBSTITUTE(H910,B910,"(          )")</f>
        <v>The host will (          ) guests at the door.</v>
      </c>
      <c r="J910" s="9" cm="1">
        <f t="array" ref="J910">SUMIF('외운 것 - 엑셀다운로드 파일(붙여넣기)'!A3:A562,A910,'외운 것 - 엑셀다운로드 파일(붙여넣기)'!D3:D562)</f>
        <v>0</v>
      </c>
      <c r="K910" s="9" cm="1">
        <f t="array" ref="K910">_xlfn.COUNTIFS('외운 것 - 엑셀다운로드 파일(붙여넣기)'!A3:A562,A910,'외운 것 - 엑셀다운로드 파일(붙여넣기)'!D3:D562,0)</f>
        <v>0</v>
      </c>
      <c r="L910" s="9" cm="1">
        <f t="array" ref="L910">IF(J910&gt;=3,_xlfn.XLOOKUP(A910,'외운 것 - 엑셀다운로드 파일(붙여넣기)'!A3:A562,'외운 것 - 엑셀다운로드 파일(붙여넣기)'!C3:C562,0,-1),0)</f>
        <v>0</v>
      </c>
    </row>
    <row r="911" ht="38.45" customHeight="1">
      <c r="A911" s="3">
        <v>910</v>
      </c>
      <c r="B911" t="s" s="4">
        <v>5785</v>
      </c>
      <c r="C911" t="s" s="5">
        <v>5767</v>
      </c>
      <c r="D911" t="s" s="5">
        <v>5728</v>
      </c>
      <c r="E911" t="s" s="5">
        <v>5786</v>
      </c>
      <c r="F911" t="s" s="10">
        <v>5787</v>
      </c>
      <c r="G911" t="s" s="7">
        <v>5788</v>
      </c>
      <c r="H911" t="s" s="7">
        <v>5789</v>
      </c>
      <c r="I911" t="str" s="8" cm="1">
        <f t="array" ref="I911">SUBSTITUTE(H911,B911,"(          )")</f>
        <v>People (          ) about the higher taxes.</v>
      </c>
      <c r="J911" s="9" cm="1">
        <f t="array" ref="J911">SUMIF('외운 것 - 엑셀다운로드 파일(붙여넣기)'!A3:A562,A911,'외운 것 - 엑셀다운로드 파일(붙여넣기)'!D3:D562)</f>
        <v>0</v>
      </c>
      <c r="K911" s="9" cm="1">
        <f t="array" ref="K911">_xlfn.COUNTIFS('외운 것 - 엑셀다운로드 파일(붙여넣기)'!A3:A562,A911,'외운 것 - 엑셀다운로드 파일(붙여넣기)'!D3:D562,0)</f>
        <v>0</v>
      </c>
      <c r="L911" s="9" cm="1">
        <f t="array" ref="L911">IF(J911&gt;=3,_xlfn.XLOOKUP(A911,'외운 것 - 엑셀다운로드 파일(붙여넣기)'!A3:A562,'외운 것 - 엑셀다운로드 파일(붙여넣기)'!C3:C562,0,-1),0)</f>
        <v>0</v>
      </c>
    </row>
    <row r="912" ht="38.45" customHeight="1">
      <c r="A912" s="3">
        <v>911</v>
      </c>
      <c r="B912" t="s" s="4">
        <v>5791</v>
      </c>
      <c r="C912" t="s" s="5">
        <v>5767</v>
      </c>
      <c r="D912" t="s" s="5">
        <v>5728</v>
      </c>
      <c r="E912" t="s" s="5">
        <v>5792</v>
      </c>
      <c r="F912" t="s" s="10">
        <v>5793</v>
      </c>
      <c r="G912" t="s" s="7">
        <v>5794</v>
      </c>
      <c r="H912" t="s" s="7">
        <v>5795</v>
      </c>
      <c r="I912" t="str" s="8" cm="1">
        <f t="array" ref="I912">SUBSTITUTE(H912,B912,"(          )")</f>
        <v>The dog began to (          ) at the stranger.</v>
      </c>
      <c r="J912" s="9" cm="1">
        <f t="array" ref="J912">SUMIF('외운 것 - 엑셀다운로드 파일(붙여넣기)'!A3:A562,A912,'외운 것 - 엑셀다운로드 파일(붙여넣기)'!D3:D562)</f>
        <v>0</v>
      </c>
      <c r="K912" s="9" cm="1">
        <f t="array" ref="K912">_xlfn.COUNTIFS('외운 것 - 엑셀다운로드 파일(붙여넣기)'!A3:A562,A912,'외운 것 - 엑셀다운로드 파일(붙여넣기)'!D3:D562,0)</f>
        <v>0</v>
      </c>
      <c r="L912" s="9" cm="1">
        <f t="array" ref="L912">IF(J912&gt;=3,_xlfn.XLOOKUP(A912,'외운 것 - 엑셀다운로드 파일(붙여넣기)'!A3:A562,'외운 것 - 엑셀다운로드 파일(붙여넣기)'!C3:C562,0,-1),0)</f>
        <v>0</v>
      </c>
    </row>
    <row r="913" ht="38.45" customHeight="1">
      <c r="A913" s="3">
        <v>912</v>
      </c>
      <c r="B913" t="s" s="4">
        <v>5797</v>
      </c>
      <c r="C913" t="s" s="5">
        <v>5767</v>
      </c>
      <c r="D913" t="s" s="5">
        <v>5728</v>
      </c>
      <c r="E913" t="s" s="5">
        <v>5798</v>
      </c>
      <c r="F913" t="s" s="10">
        <v>5799</v>
      </c>
      <c r="G913" t="s" s="7">
        <v>5800</v>
      </c>
      <c r="H913" t="s" s="7">
        <v>5801</v>
      </c>
      <c r="I913" t="str" s="8" cm="1">
        <f t="array" ref="I913">SUBSTITUTE(H913,B913,"(          )")</f>
        <v>The audience let out a collective (          ) at the bad joke.</v>
      </c>
      <c r="J913" s="9" cm="1">
        <f t="array" ref="J913">SUMIF('외운 것 - 엑셀다운로드 파일(붙여넣기)'!A3:A562,A913,'외운 것 - 엑셀다운로드 파일(붙여넣기)'!D3:D562)</f>
        <v>0</v>
      </c>
      <c r="K913" s="9" cm="1">
        <f t="array" ref="K913">_xlfn.COUNTIFS('외운 것 - 엑셀다운로드 파일(붙여넣기)'!A3:A562,A913,'외운 것 - 엑셀다운로드 파일(붙여넣기)'!D3:D562,0)</f>
        <v>0</v>
      </c>
      <c r="L913" s="9" cm="1">
        <f t="array" ref="L913">IF(J913&gt;=3,_xlfn.XLOOKUP(A913,'외운 것 - 엑셀다운로드 파일(붙여넣기)'!A3:A562,'외운 것 - 엑셀다운로드 파일(붙여넣기)'!C3:C562,0,-1),0)</f>
        <v>0</v>
      </c>
    </row>
    <row r="914" ht="38.45" customHeight="1">
      <c r="A914" s="3">
        <v>913</v>
      </c>
      <c r="B914" t="s" s="4">
        <v>5803</v>
      </c>
      <c r="C914" t="s" s="5">
        <v>5767</v>
      </c>
      <c r="D914" t="s" s="5">
        <v>5728</v>
      </c>
      <c r="E914" t="s" s="5">
        <v>5804</v>
      </c>
      <c r="F914" t="s" s="10">
        <v>5805</v>
      </c>
      <c r="G914" t="s" s="7">
        <v>5806</v>
      </c>
      <c r="H914" t="s" s="7">
        <v>5807</v>
      </c>
      <c r="I914" t="str" s="8" cm="1">
        <f t="array" ref="I914">SUBSTITUTE(H914,B914,"(          )")</f>
        <v>The family experienced profound (          ) after their loss.</v>
      </c>
      <c r="J914" s="9" cm="1">
        <f t="array" ref="J914">SUMIF('외운 것 - 엑셀다운로드 파일(붙여넣기)'!A3:A562,A914,'외운 것 - 엑셀다운로드 파일(붙여넣기)'!D3:D562)</f>
        <v>0</v>
      </c>
      <c r="K914" s="9" cm="1">
        <f t="array" ref="K914">_xlfn.COUNTIFS('외운 것 - 엑셀다운로드 파일(붙여넣기)'!A3:A562,A914,'외운 것 - 엑셀다운로드 파일(붙여넣기)'!D3:D562,0)</f>
        <v>0</v>
      </c>
      <c r="L914" s="9" cm="1">
        <f t="array" ref="L914">IF(J914&gt;=3,_xlfn.XLOOKUP(A914,'외운 것 - 엑셀다운로드 파일(붙여넣기)'!A3:A562,'외운 것 - 엑셀다운로드 파일(붙여넣기)'!C3:C562,0,-1),0)</f>
        <v>0</v>
      </c>
    </row>
    <row r="915" ht="38.45" customHeight="1">
      <c r="A915" s="3">
        <v>914</v>
      </c>
      <c r="B915" t="s" s="4">
        <v>5809</v>
      </c>
      <c r="C915" t="s" s="5">
        <v>5810</v>
      </c>
      <c r="D915" t="s" s="5">
        <v>5728</v>
      </c>
      <c r="E915" t="s" s="5">
        <v>5811</v>
      </c>
      <c r="F915" t="s" s="10">
        <v>5812</v>
      </c>
      <c r="G915" t="s" s="7">
        <v>5813</v>
      </c>
      <c r="H915" t="s" s="7">
        <v>5814</v>
      </c>
      <c r="I915" t="str" s="8" cm="1">
        <f t="array" ref="I915">SUBSTITUTE(H915,B915,"(          )")</f>
        <v>It takes time to (          ) after losing someone you love.</v>
      </c>
      <c r="J915" s="9" cm="1">
        <f t="array" ref="J915">SUMIF('외운 것 - 엑셀다운로드 파일(붙여넣기)'!A3:A562,A915,'외운 것 - 엑셀다운로드 파일(붙여넣기)'!D3:D562)</f>
        <v>0</v>
      </c>
      <c r="K915" s="9" cm="1">
        <f t="array" ref="K915">_xlfn.COUNTIFS('외운 것 - 엑셀다운로드 파일(붙여넣기)'!A3:A562,A915,'외운 것 - 엑셀다운로드 파일(붙여넣기)'!D3:D562,0)</f>
        <v>0</v>
      </c>
      <c r="L915" s="9" cm="1">
        <f t="array" ref="L915">IF(J915&gt;=3,_xlfn.XLOOKUP(A915,'외운 것 - 엑셀다운로드 파일(붙여넣기)'!A3:A562,'외운 것 - 엑셀다운로드 파일(붙여넣기)'!C3:C562,0,-1),0)</f>
        <v>0</v>
      </c>
    </row>
    <row r="916" ht="23.45" customHeight="1">
      <c r="A916" s="3">
        <v>915</v>
      </c>
      <c r="B916" t="s" s="4">
        <v>5816</v>
      </c>
      <c r="C916" t="s" s="5">
        <v>5817</v>
      </c>
      <c r="D916" t="s" s="5">
        <v>5818</v>
      </c>
      <c r="E916" t="s" s="5">
        <v>5819</v>
      </c>
      <c r="F916" t="s" s="10">
        <v>5820</v>
      </c>
      <c r="G916" t="s" s="7">
        <v>5821</v>
      </c>
      <c r="H916" t="s" s="7">
        <v>5822</v>
      </c>
      <c r="I916" t="str" s="8" cm="1">
        <f t="array" ref="I916">SUBSTITUTE(H916,B916,"(          )")</f>
        <v>The teacher will (          ) the exams this weekend.</v>
      </c>
      <c r="J916" s="9" cm="1">
        <f t="array" ref="J916">SUMIF('외운 것 - 엑셀다운로드 파일(붙여넣기)'!A3:A562,A916,'외운 것 - 엑셀다운로드 파일(붙여넣기)'!D3:D562)</f>
        <v>0</v>
      </c>
      <c r="K916" s="9" cm="1">
        <f t="array" ref="K916">_xlfn.COUNTIFS('외운 것 - 엑셀다운로드 파일(붙여넣기)'!A3:A562,A916,'외운 것 - 엑셀다운로드 파일(붙여넣기)'!D3:D562,0)</f>
        <v>0</v>
      </c>
      <c r="L916" s="9" cm="1">
        <f t="array" ref="L916">IF(J916&gt;=3,_xlfn.XLOOKUP(A916,'외운 것 - 엑셀다운로드 파일(붙여넣기)'!A3:A562,'외운 것 - 엑셀다운로드 파일(붙여넣기)'!C3:C562,0,-1),0)</f>
        <v>0</v>
      </c>
    </row>
    <row r="917" ht="38.45" customHeight="1">
      <c r="A917" s="3">
        <v>916</v>
      </c>
      <c r="B917" t="s" s="4">
        <v>5824</v>
      </c>
      <c r="C917" t="s" s="5">
        <v>5825</v>
      </c>
      <c r="D917" t="s" s="5">
        <v>5817</v>
      </c>
      <c r="E917" t="s" s="5">
        <v>5826</v>
      </c>
      <c r="F917" t="s" s="10">
        <v>5827</v>
      </c>
      <c r="G917" t="s" s="7">
        <v>5828</v>
      </c>
      <c r="H917" t="s" s="7">
        <v>5829</v>
      </c>
      <c r="I917" t="str" s="8" cm="1">
        <f t="array" ref="I917">SUBSTITUTE(H917,B917,"(          )")</f>
        <v>There was a (          ) improvement in her condition.</v>
      </c>
      <c r="J917" s="9" cm="1">
        <f t="array" ref="J917">SUMIF('외운 것 - 엑셀다운로드 파일(붙여넣기)'!A3:A562,A917,'외운 것 - 엑셀다운로드 파일(붙여넣기)'!D3:D562)</f>
        <v>0</v>
      </c>
      <c r="K917" s="9" cm="1">
        <f t="array" ref="K917">_xlfn.COUNTIFS('외운 것 - 엑셀다운로드 파일(붙여넣기)'!A3:A562,A917,'외운 것 - 엑셀다운로드 파일(붙여넣기)'!D3:D562,0)</f>
        <v>0</v>
      </c>
      <c r="L917" s="9" cm="1">
        <f t="array" ref="L917">IF(J917&gt;=3,_xlfn.XLOOKUP(A917,'외운 것 - 엑셀다운로드 파일(붙여넣기)'!A3:A562,'외운 것 - 엑셀다운로드 파일(붙여넣기)'!C3:C562,0,-1),0)</f>
        <v>0</v>
      </c>
    </row>
    <row r="918" ht="36.4" customHeight="1">
      <c r="A918" s="3">
        <v>917</v>
      </c>
      <c r="B918" t="s" s="4">
        <v>5831</v>
      </c>
      <c r="C918" t="s" s="5">
        <v>5832</v>
      </c>
      <c r="D918" t="s" s="5">
        <v>5817</v>
      </c>
      <c r="E918" t="s" s="5">
        <v>5833</v>
      </c>
      <c r="F918" t="s" s="10">
        <v>5834</v>
      </c>
      <c r="G918" t="s" s="7">
        <v>5835</v>
      </c>
      <c r="H918" t="s" s="7">
        <v>5836</v>
      </c>
      <c r="I918" t="str" s="8" cm="1">
        <f t="array" ref="I918">SUBSTITUTE(H918,B918,"(          )")</f>
        <v>The pain (          ) subsided as the medicine took effect.</v>
      </c>
      <c r="J918" s="9" cm="1">
        <f t="array" ref="J918">SUMIF('외운 것 - 엑셀다운로드 파일(붙여넣기)'!A3:A562,A918,'외운 것 - 엑셀다운로드 파일(붙여넣기)'!D3:D562)</f>
        <v>0</v>
      </c>
      <c r="K918" s="9" cm="1">
        <f t="array" ref="K918">_xlfn.COUNTIFS('외운 것 - 엑셀다운로드 파일(붙여넣기)'!A3:A562,A918,'외운 것 - 엑셀다운로드 파일(붙여넣기)'!D3:D562,0)</f>
        <v>0</v>
      </c>
      <c r="L918" s="9" cm="1">
        <f t="array" ref="L918">IF(J918&gt;=3,_xlfn.XLOOKUP(A918,'외운 것 - 엑셀다운로드 파일(붙여넣기)'!A3:A562,'외운 것 - 엑셀다운로드 파일(붙여넣기)'!C3:C562,0,-1),0)</f>
        <v>0</v>
      </c>
    </row>
    <row r="919" ht="38.45" customHeight="1">
      <c r="A919" s="3">
        <v>918</v>
      </c>
      <c r="B919" t="s" s="4">
        <v>5838</v>
      </c>
      <c r="C919" t="s" s="5">
        <v>5825</v>
      </c>
      <c r="D919" t="s" s="5">
        <v>5817</v>
      </c>
      <c r="E919" t="s" s="5">
        <v>5839</v>
      </c>
      <c r="F919" t="s" s="10">
        <v>5840</v>
      </c>
      <c r="G919" t="s" s="7">
        <v>5841</v>
      </c>
      <c r="H919" t="s" s="7">
        <v>5842</v>
      </c>
      <c r="I919" t="str" s="8" cm="1">
        <f t="array" ref="I919">SUBSTITUTE(H919,B919,"(          )")</f>
        <v>My sister will (          ) from university next month.</v>
      </c>
      <c r="J919" s="9" cm="1">
        <f t="array" ref="J919">SUMIF('외운 것 - 엑셀다운로드 파일(붙여넣기)'!A3:A562,A919,'외운 것 - 엑셀다운로드 파일(붙여넣기)'!D3:D562)</f>
        <v>0</v>
      </c>
      <c r="K919" s="9" cm="1">
        <f t="array" ref="K919">_xlfn.COUNTIFS('외운 것 - 엑셀다운로드 파일(붙여넣기)'!A3:A562,A919,'외운 것 - 엑셀다운로드 파일(붙여넣기)'!D3:D562,0)</f>
        <v>0</v>
      </c>
      <c r="L919" s="9" cm="1">
        <f t="array" ref="L919">IF(J919&gt;=3,_xlfn.XLOOKUP(A919,'외운 것 - 엑셀다운로드 파일(붙여넣기)'!A3:A562,'외운 것 - 엑셀다운로드 파일(붙여넣기)'!C3:C562,0,-1),0)</f>
        <v>0</v>
      </c>
    </row>
    <row r="920" ht="38.45" customHeight="1">
      <c r="A920" s="3">
        <v>919</v>
      </c>
      <c r="B920" t="s" s="4">
        <v>5844</v>
      </c>
      <c r="C920" t="s" s="5">
        <v>5845</v>
      </c>
      <c r="D920" t="s" s="5">
        <v>5817</v>
      </c>
      <c r="E920" t="s" s="5">
        <v>5846</v>
      </c>
      <c r="F920" t="s" s="10">
        <v>5847</v>
      </c>
      <c r="G920" t="s" s="7">
        <v>5848</v>
      </c>
      <c r="H920" t="s" s="7">
        <v>5849</v>
      </c>
      <c r="I920" t="str" s="8" cm="1">
        <f t="array" ref="I920">SUBSTITUTE(H920,B920,"(          )")</f>
        <v>He is an (          ) student in chemistry.</v>
      </c>
      <c r="J920" s="9" cm="1">
        <f t="array" ref="J920">SUMIF('외운 것 - 엑셀다운로드 파일(붙여넣기)'!A3:A562,A920,'외운 것 - 엑셀다운로드 파일(붙여넣기)'!D3:D562)</f>
        <v>0</v>
      </c>
      <c r="K920" s="9" cm="1">
        <f t="array" ref="K920">_xlfn.COUNTIFS('외운 것 - 엑셀다운로드 파일(붙여넣기)'!A3:A562,A920,'외운 것 - 엑셀다운로드 파일(붙여넣기)'!D3:D562,0)</f>
        <v>0</v>
      </c>
      <c r="L920" s="9" cm="1">
        <f t="array" ref="L920">IF(J920&gt;=3,_xlfn.XLOOKUP(A920,'외운 것 - 엑셀다운로드 파일(붙여넣기)'!A3:A562,'외운 것 - 엑셀다운로드 파일(붙여넣기)'!C3:C562,0,-1),0)</f>
        <v>0</v>
      </c>
    </row>
    <row r="921" ht="38.45" customHeight="1">
      <c r="A921" s="3">
        <v>920</v>
      </c>
      <c r="B921" t="s" s="4">
        <v>5851</v>
      </c>
      <c r="C921" t="s" s="5">
        <v>5852</v>
      </c>
      <c r="D921" t="s" s="5">
        <v>5817</v>
      </c>
      <c r="E921" t="s" s="5">
        <v>5853</v>
      </c>
      <c r="F921" t="s" s="10">
        <v>5854</v>
      </c>
      <c r="G921" t="s" s="7">
        <v>5855</v>
      </c>
      <c r="H921" t="s" s="7">
        <v>5856</v>
      </c>
      <c r="I921" t="str" s="8" cm="1">
        <f t="array" ref="I921">SUBSTITUTE(H921,B921,"(          )")</f>
        <v>Flour is the main (          ) in bread.</v>
      </c>
      <c r="J921" s="9" cm="1">
        <f t="array" ref="J921">SUMIF('외운 것 - 엑셀다운로드 파일(붙여넣기)'!A3:A562,A921,'외운 것 - 엑셀다운로드 파일(붙여넣기)'!D3:D562)</f>
        <v>0</v>
      </c>
      <c r="K921" s="9" cm="1">
        <f t="array" ref="K921">_xlfn.COUNTIFS('외운 것 - 엑셀다운로드 파일(붙여넣기)'!A3:A562,A921,'외운 것 - 엑셀다운로드 파일(붙여넣기)'!D3:D562,0)</f>
        <v>0</v>
      </c>
      <c r="L921" s="9" cm="1">
        <f t="array" ref="L921">IF(J921&gt;=3,_xlfn.XLOOKUP(A921,'외운 것 - 엑셀다운로드 파일(붙여넣기)'!A3:A562,'외운 것 - 엑셀다운로드 파일(붙여넣기)'!C3:C562,0,-1),0)</f>
        <v>0</v>
      </c>
    </row>
    <row r="922" ht="23.45" customHeight="1">
      <c r="A922" s="3">
        <v>921</v>
      </c>
      <c r="B922" t="s" s="4">
        <v>5858</v>
      </c>
      <c r="C922" t="s" s="5">
        <v>5859</v>
      </c>
      <c r="D922" t="s" s="5">
        <v>5860</v>
      </c>
      <c r="E922" t="s" s="5">
        <v>5861</v>
      </c>
      <c r="F922" t="s" s="10">
        <v>5862</v>
      </c>
      <c r="G922" t="s" s="7">
        <v>5863</v>
      </c>
      <c r="H922" t="s" s="7">
        <v>5864</v>
      </c>
      <c r="I922" t="str" s="8" cm="1">
        <f t="array" ref="I922">SUBSTITUTE(H922,B922,"(          )")</f>
        <v>The movie received (          ) reviews from critics.</v>
      </c>
      <c r="J922" s="9" cm="1">
        <f t="array" ref="J922">SUMIF('외운 것 - 엑셀다운로드 파일(붙여넣기)'!A3:A562,A922,'외운 것 - 엑셀다운로드 파일(붙여넣기)'!D3:D562)</f>
        <v>0</v>
      </c>
      <c r="K922" s="9" cm="1">
        <f t="array" ref="K922">_xlfn.COUNTIFS('외운 것 - 엑셀다운로드 파일(붙여넣기)'!A3:A562,A922,'외운 것 - 엑셀다운로드 파일(붙여넣기)'!D3:D562,0)</f>
        <v>0</v>
      </c>
      <c r="L922" s="9" cm="1">
        <f t="array" ref="L922">IF(J922&gt;=3,_xlfn.XLOOKUP(A922,'외운 것 - 엑셀다운로드 파일(붙여넣기)'!A3:A562,'외운 것 - 엑셀다운로드 파일(붙여넣기)'!C3:C562,0,-1),0)</f>
        <v>0</v>
      </c>
    </row>
    <row r="923" ht="23.45" customHeight="1">
      <c r="A923" s="3">
        <v>922</v>
      </c>
      <c r="B923" t="s" s="4">
        <v>5866</v>
      </c>
      <c r="C923" t="s" s="5">
        <v>5859</v>
      </c>
      <c r="D923" t="s" s="5">
        <v>5860</v>
      </c>
      <c r="E923" t="s" s="5">
        <v>5867</v>
      </c>
      <c r="F923" t="s" s="10">
        <v>5868</v>
      </c>
      <c r="G923" t="s" s="7">
        <v>5869</v>
      </c>
      <c r="H923" t="s" s="7">
        <v>5870</v>
      </c>
      <c r="I923" t="str" s="8" cm="1">
        <f t="array" ref="I923">SUBSTITUTE(H923,B923,"(          )")</f>
        <v>Everyone gathered to (          ) the bride and groom.</v>
      </c>
      <c r="J923" s="9" cm="1">
        <f t="array" ref="J923">SUMIF('외운 것 - 엑셀다운로드 파일(붙여넣기)'!A3:A562,A923,'외운 것 - 엑셀다운로드 파일(붙여넣기)'!D3:D562)</f>
        <v>0</v>
      </c>
      <c r="K923" s="9" cm="1">
        <f t="array" ref="K923">_xlfn.COUNTIFS('외운 것 - 엑셀다운로드 파일(붙여넣기)'!A3:A562,A923,'외운 것 - 엑셀다운로드 파일(붙여넣기)'!D3:D562,0)</f>
        <v>0</v>
      </c>
      <c r="L923" s="9" cm="1">
        <f t="array" ref="L923">IF(J923&gt;=3,_xlfn.XLOOKUP(A923,'외운 것 - 엑셀다운로드 파일(붙여넣기)'!A3:A562,'외운 것 - 엑셀다운로드 파일(붙여넣기)'!C3:C562,0,-1),0)</f>
        <v>0</v>
      </c>
    </row>
    <row r="924" ht="38.45" customHeight="1">
      <c r="A924" s="3">
        <v>923</v>
      </c>
      <c r="B924" t="s" s="4">
        <v>5872</v>
      </c>
      <c r="C924" t="s" s="5">
        <v>5873</v>
      </c>
      <c r="D924" t="s" s="5">
        <v>5860</v>
      </c>
      <c r="E924" t="s" s="5">
        <v>5874</v>
      </c>
      <c r="F924" t="s" s="10">
        <v>5875</v>
      </c>
      <c r="G924" t="s" s="7">
        <v>5876</v>
      </c>
      <c r="H924" t="s" s="7">
        <v>5877</v>
      </c>
      <c r="I924" t="str" s="8" cm="1">
        <f t="array" ref="I924">SUBSTITUTE(H924,B924,"(          )")</f>
        <v>I'm (          ) for your help during this difficult time.</v>
      </c>
      <c r="J924" s="9" cm="1">
        <f t="array" ref="J924">SUMIF('외운 것 - 엑셀다운로드 파일(붙여넣기)'!A3:A562,A924,'외운 것 - 엑셀다운로드 파일(붙여넣기)'!D3:D562)</f>
        <v>0</v>
      </c>
      <c r="K924" s="9" cm="1">
        <f t="array" ref="K924">_xlfn.COUNTIFS('외운 것 - 엑셀다운로드 파일(붙여넣기)'!A3:A562,A924,'외운 것 - 엑셀다운로드 파일(붙여넣기)'!D3:D562,0)</f>
        <v>0</v>
      </c>
      <c r="L924" s="9" cm="1">
        <f t="array" ref="L924">IF(J924&gt;=3,_xlfn.XLOOKUP(A924,'외운 것 - 엑셀다운로드 파일(붙여넣기)'!A3:A562,'외운 것 - 엑셀다운로드 파일(붙여넣기)'!C3:C562,0,-1),0)</f>
        <v>0</v>
      </c>
    </row>
    <row r="925" ht="38.45" customHeight="1">
      <c r="A925" s="3">
        <v>924</v>
      </c>
      <c r="B925" t="s" s="4">
        <v>5879</v>
      </c>
      <c r="C925" t="s" s="5">
        <v>5859</v>
      </c>
      <c r="D925" t="s" s="5">
        <v>5860</v>
      </c>
      <c r="E925" t="s" s="5">
        <v>5880</v>
      </c>
      <c r="F925" t="s" s="10">
        <v>5881</v>
      </c>
      <c r="G925" t="s" s="7">
        <v>5882</v>
      </c>
      <c r="H925" t="s" s="7">
        <v>5883</v>
      </c>
      <c r="I925" t="str" s="8" cm="1">
        <f t="array" ref="I925">SUBSTITUTE(H925,B925,"(          )")</f>
        <v>It would (          ) me to see you succeed.</v>
      </c>
      <c r="J925" s="9" cm="1">
        <f t="array" ref="J925">SUMIF('외운 것 - 엑셀다운로드 파일(붙여넣기)'!A3:A562,A925,'외운 것 - 엑셀다운로드 파일(붙여넣기)'!D3:D562)</f>
        <v>0</v>
      </c>
      <c r="K925" s="9" cm="1">
        <f t="array" ref="K925">_xlfn.COUNTIFS('외운 것 - 엑셀다운로드 파일(붙여넣기)'!A3:A562,A925,'외운 것 - 엑셀다운로드 파일(붙여넣기)'!D3:D562,0)</f>
        <v>0</v>
      </c>
      <c r="L925" s="9" cm="1">
        <f t="array" ref="L925">IF(J925&gt;=3,_xlfn.XLOOKUP(A925,'외운 것 - 엑셀다운로드 파일(붙여넣기)'!A3:A562,'외운 것 - 엑셀다운로드 파일(붙여넣기)'!C3:C562,0,-1),0)</f>
        <v>0</v>
      </c>
    </row>
    <row r="926" ht="38.45" customHeight="1">
      <c r="A926" s="3">
        <v>925</v>
      </c>
      <c r="B926" t="s" s="4">
        <v>5885</v>
      </c>
      <c r="C926" t="s" s="5">
        <v>5859</v>
      </c>
      <c r="D926" t="s" s="5">
        <v>5860</v>
      </c>
      <c r="E926" t="s" s="5">
        <v>5886</v>
      </c>
      <c r="F926" t="s" s="10">
        <v>5887</v>
      </c>
      <c r="G926" t="s" s="7">
        <v>5888</v>
      </c>
      <c r="H926" t="s" s="7">
        <v>5889</v>
      </c>
      <c r="I926" t="str" s="8" cm="1">
        <f t="array" ref="I926">SUBSTITUTE(H926,B926,"(          )")</f>
        <v>She expressed her (          ) for the thoughtful gift.</v>
      </c>
      <c r="J926" s="9" cm="1">
        <f t="array" ref="J926">SUMIF('외운 것 - 엑셀다운로드 파일(붙여넣기)'!A3:A562,A926,'외운 것 - 엑셀다운로드 파일(붙여넣기)'!D3:D562)</f>
        <v>0</v>
      </c>
      <c r="K926" s="9" cm="1">
        <f t="array" ref="K926">_xlfn.COUNTIFS('외운 것 - 엑셀다운로드 파일(붙여넣기)'!A3:A562,A926,'외운 것 - 엑셀다운로드 파일(붙여넣기)'!D3:D562,0)</f>
        <v>0</v>
      </c>
      <c r="L926" s="9" cm="1">
        <f t="array" ref="L926">IF(J926&gt;=3,_xlfn.XLOOKUP(A926,'외운 것 - 엑셀다운로드 파일(붙여넣기)'!A3:A562,'외운 것 - 엑셀다운로드 파일(붙여넣기)'!C3:C562,0,-1),0)</f>
        <v>0</v>
      </c>
    </row>
    <row r="927" ht="23.45" customHeight="1">
      <c r="A927" s="3">
        <v>926</v>
      </c>
      <c r="B927" t="s" s="4">
        <v>5891</v>
      </c>
      <c r="C927" t="s" s="5">
        <v>5892</v>
      </c>
      <c r="D927" t="s" s="5">
        <v>5893</v>
      </c>
      <c r="E927" t="s" s="5">
        <v>5894</v>
      </c>
      <c r="F927" t="s" s="10">
        <v>5895</v>
      </c>
      <c r="G927" t="s" s="7">
        <v>5896</v>
      </c>
      <c r="H927" t="s" s="7">
        <v>5897</v>
      </c>
      <c r="I927" t="str" s="8" cm="1">
        <f t="array" ref="I927">SUBSTITUTE(H927,B927,"(          )")</f>
        <v>Do you (          ) with the decision?</v>
      </c>
      <c r="J927" s="9" cm="1">
        <f t="array" ref="J927">SUMIF('외운 것 - 엑셀다운로드 파일(붙여넣기)'!A3:A562,A927,'외운 것 - 엑셀다운로드 파일(붙여넣기)'!D3:D562)</f>
        <v>0</v>
      </c>
      <c r="K927" s="9" cm="1">
        <f t="array" ref="K927">_xlfn.COUNTIFS('외운 것 - 엑셀다운로드 파일(붙여넣기)'!A3:A562,A927,'외운 것 - 엑셀다운로드 파일(붙여넣기)'!D3:D562,0)</f>
        <v>0</v>
      </c>
      <c r="L927" s="9" cm="1">
        <f t="array" ref="L927">IF(J927&gt;=3,_xlfn.XLOOKUP(A927,'외운 것 - 엑셀다운로드 파일(붙여넣기)'!A3:A562,'외운 것 - 엑셀다운로드 파일(붙여넣기)'!C3:C562,0,-1),0)</f>
        <v>0</v>
      </c>
    </row>
    <row r="928" ht="36.4" customHeight="1">
      <c r="A928" s="3">
        <v>927</v>
      </c>
      <c r="B928" t="s" s="4">
        <v>5899</v>
      </c>
      <c r="C928" t="s" s="5">
        <v>5900</v>
      </c>
      <c r="D928" t="s" s="5">
        <v>5892</v>
      </c>
      <c r="E928" t="s" s="5">
        <v>5901</v>
      </c>
      <c r="F928" t="s" s="10">
        <v>5902</v>
      </c>
      <c r="G928" t="s" s="7">
        <v>5903</v>
      </c>
      <c r="H928" t="s" s="7">
        <v>5904</v>
      </c>
      <c r="I928" t="str" s="8" cm="1">
        <f t="array" ref="I928">SUBSTITUTE(H928,B928,"(          )")</f>
        <v>The two companies signed an (          ) yesterday.</v>
      </c>
      <c r="J928" s="9" cm="1">
        <f t="array" ref="J928">SUMIF('외운 것 - 엑셀다운로드 파일(붙여넣기)'!A3:A562,A928,'외운 것 - 엑셀다운로드 파일(붙여넣기)'!D3:D562)</f>
        <v>0</v>
      </c>
      <c r="K928" s="9" cm="1">
        <f t="array" ref="K928">_xlfn.COUNTIFS('외운 것 - 엑셀다운로드 파일(붙여넣기)'!A3:A562,A928,'외운 것 - 엑셀다운로드 파일(붙여넣기)'!D3:D562,0)</f>
        <v>0</v>
      </c>
      <c r="L928" s="9" cm="1">
        <f t="array" ref="L928">IF(J928&gt;=3,_xlfn.XLOOKUP(A928,'외운 것 - 엑셀다운로드 파일(붙여넣기)'!A3:A562,'외운 것 - 엑셀다운로드 파일(붙여넣기)'!C3:C562,0,-1),0)</f>
        <v>0</v>
      </c>
    </row>
    <row r="929" ht="36.4" customHeight="1">
      <c r="A929" s="3">
        <v>928</v>
      </c>
      <c r="B929" t="s" s="4">
        <v>5906</v>
      </c>
      <c r="C929" t="s" s="5">
        <v>5900</v>
      </c>
      <c r="D929" t="s" s="5">
        <v>5892</v>
      </c>
      <c r="E929" t="s" s="5">
        <v>5907</v>
      </c>
      <c r="F929" t="s" s="10">
        <v>5908</v>
      </c>
      <c r="G929" t="s" s="7">
        <v>5909</v>
      </c>
      <c r="H929" t="s" s="7">
        <v>5910</v>
      </c>
      <c r="I929" t="str" s="8" cm="1">
        <f t="array" ref="I929">SUBSTITUTE(H929,B929,"(          )")</f>
        <v>There was a (          ) about how to proceed.</v>
      </c>
      <c r="J929" s="9" cm="1">
        <f t="array" ref="J929">SUMIF('외운 것 - 엑셀다운로드 파일(붙여넣기)'!A3:A562,A929,'외운 것 - 엑셀다운로드 파일(붙여넣기)'!D3:D562)</f>
        <v>0</v>
      </c>
      <c r="K929" s="9" cm="1">
        <f t="array" ref="K929">_xlfn.COUNTIFS('외운 것 - 엑셀다운로드 파일(붙여넣기)'!A3:A562,A929,'외운 것 - 엑셀다운로드 파일(붙여넣기)'!D3:D562,0)</f>
        <v>0</v>
      </c>
      <c r="L929" s="9" cm="1">
        <f t="array" ref="L929">IF(J929&gt;=3,_xlfn.XLOOKUP(A929,'외운 것 - 엑셀다운로드 파일(붙여넣기)'!A3:A562,'외운 것 - 엑셀다운로드 파일(붙여넣기)'!C3:C562,0,-1),0)</f>
        <v>0</v>
      </c>
    </row>
    <row r="930" ht="38.45" customHeight="1">
      <c r="A930" s="3">
        <v>929</v>
      </c>
      <c r="B930" t="s" s="4">
        <v>5912</v>
      </c>
      <c r="C930" t="s" s="5">
        <v>5892</v>
      </c>
      <c r="D930" t="s" s="5">
        <v>5893</v>
      </c>
      <c r="E930" t="s" s="5">
        <v>5913</v>
      </c>
      <c r="F930" t="s" s="10">
        <v>5914</v>
      </c>
      <c r="G930" t="s" s="7">
        <v>5915</v>
      </c>
      <c r="H930" t="s" s="7">
        <v>5916</v>
      </c>
      <c r="I930" t="str" s="8" cm="1">
        <f t="array" ref="I930">SUBSTITUTE(H930,B930,"(          )")</f>
        <v>She earned a (          ) in psychology.</v>
      </c>
      <c r="J930" s="9" cm="1">
        <f t="array" ref="J930">SUMIF('외운 것 - 엑셀다운로드 파일(붙여넣기)'!A3:A562,A930,'외운 것 - 엑셀다운로드 파일(붙여넣기)'!D3:D562)</f>
        <v>0</v>
      </c>
      <c r="K930" s="9" cm="1">
        <f t="array" ref="K930">_xlfn.COUNTIFS('외운 것 - 엑셀다운로드 파일(붙여넣기)'!A3:A562,A930,'외운 것 - 엑셀다운로드 파일(붙여넣기)'!D3:D562,0)</f>
        <v>0</v>
      </c>
      <c r="L930" s="9" cm="1">
        <f t="array" ref="L930">IF(J930&gt;=3,_xlfn.XLOOKUP(A930,'외운 것 - 엑셀다운로드 파일(붙여넣기)'!A3:A562,'외운 것 - 엑셀다운로드 파일(붙여넣기)'!C3:C562,0,-1),0)</f>
        <v>0</v>
      </c>
    </row>
    <row r="931" ht="38.45" customHeight="1">
      <c r="A931" s="3">
        <v>930</v>
      </c>
      <c r="B931" t="s" s="4">
        <v>4016</v>
      </c>
      <c r="C931" t="s" s="5">
        <v>5892</v>
      </c>
      <c r="D931" t="s" s="5">
        <v>5893</v>
      </c>
      <c r="E931" t="s" s="5">
        <v>4017</v>
      </c>
      <c r="F931" t="s" s="10">
        <v>5918</v>
      </c>
      <c r="G931" t="s" s="7">
        <v>5919</v>
      </c>
      <c r="H931" t="s" s="7">
        <v>4020</v>
      </c>
      <c r="I931" t="str" s="8" cm="1">
        <f t="array" ref="I931">SUBSTITUTE(H931,B931,"(          )")</f>
        <v>His (          ) for power led to his downfall.</v>
      </c>
      <c r="J931" s="9" cm="1">
        <f t="array" ref="J931">SUMIF('외운 것 - 엑셀다운로드 파일(붙여넣기)'!A3:A562,A931,'외운 것 - 엑셀다운로드 파일(붙여넣기)'!D3:D562)</f>
        <v>0</v>
      </c>
      <c r="K931" s="9" cm="1">
        <f t="array" ref="K931">_xlfn.COUNTIFS('외운 것 - 엑셀다운로드 파일(붙여넣기)'!A3:A562,A931,'외운 것 - 엑셀다운로드 파일(붙여넣기)'!D3:D562,0)</f>
        <v>0</v>
      </c>
      <c r="L931" s="9" cm="1">
        <f t="array" ref="L931">IF(J931&gt;=3,_xlfn.XLOOKUP(A931,'외운 것 - 엑셀다운로드 파일(붙여넣기)'!A3:A562,'외운 것 - 엑셀다운로드 파일(붙여넣기)'!C3:C562,0,-1),0)</f>
        <v>0</v>
      </c>
    </row>
    <row r="932" ht="38.45" customHeight="1">
      <c r="A932" s="3">
        <v>931</v>
      </c>
      <c r="B932" t="s" s="4">
        <v>5920</v>
      </c>
      <c r="C932" t="s" s="5">
        <v>5892</v>
      </c>
      <c r="D932" t="s" s="5">
        <v>5893</v>
      </c>
      <c r="E932" t="s" s="5">
        <v>5921</v>
      </c>
      <c r="F932" t="s" s="10">
        <v>5922</v>
      </c>
      <c r="G932" t="s" s="7">
        <v>5923</v>
      </c>
      <c r="H932" t="s" s="7">
        <v>5924</v>
      </c>
      <c r="I932" t="str" s="8" cm="1">
        <f t="array" ref="I932">SUBSTITUTE(H932,B932,"(          )")</f>
        <v>The (          ) score determines the winner of the competition.</v>
      </c>
      <c r="J932" s="9" cm="1">
        <f t="array" ref="J932">SUMIF('외운 것 - 엑셀다운로드 파일(붙여넣기)'!A3:A562,A932,'외운 것 - 엑셀다운로드 파일(붙여넣기)'!D3:D562)</f>
        <v>0</v>
      </c>
      <c r="K932" s="9" cm="1">
        <f t="array" ref="K932">_xlfn.COUNTIFS('외운 것 - 엑셀다운로드 파일(붙여넣기)'!A3:A562,A932,'외운 것 - 엑셀다운로드 파일(붙여넣기)'!D3:D562,0)</f>
        <v>0</v>
      </c>
      <c r="L932" s="9" cm="1">
        <f t="array" ref="L932">IF(J932&gt;=3,_xlfn.XLOOKUP(A932,'외운 것 - 엑셀다운로드 파일(붙여넣기)'!A3:A562,'외운 것 - 엑셀다운로드 파일(붙여넣기)'!C3:C562,0,-1),0)</f>
        <v>0</v>
      </c>
    </row>
    <row r="933" ht="38.45" customHeight="1">
      <c r="A933" s="3">
        <v>932</v>
      </c>
      <c r="B933" t="s" s="4">
        <v>5926</v>
      </c>
      <c r="C933" t="s" s="5">
        <v>5927</v>
      </c>
      <c r="D933" t="s" s="5">
        <v>5892</v>
      </c>
      <c r="E933" t="s" s="5">
        <v>5928</v>
      </c>
      <c r="F933" t="s" s="10">
        <v>5929</v>
      </c>
      <c r="G933" t="s" s="7">
        <v>5930</v>
      </c>
      <c r="H933" t="s" s="7">
        <v>5931</v>
      </c>
      <c r="I933" t="str" s="8" cm="1">
        <f t="array" ref="I933">SUBSTITUTE(H933,B933,"(          )")</f>
        <v>Some schools used to (          ) students by gender.</v>
      </c>
      <c r="J933" s="9" cm="1">
        <f t="array" ref="J933">SUMIF('외운 것 - 엑셀다운로드 파일(붙여넣기)'!A3:A562,A933,'외운 것 - 엑셀다운로드 파일(붙여넣기)'!D3:D562)</f>
        <v>0</v>
      </c>
      <c r="K933" s="9" cm="1">
        <f t="array" ref="K933">_xlfn.COUNTIFS('외운 것 - 엑셀다운로드 파일(붙여넣기)'!A3:A562,A933,'외운 것 - 엑셀다운로드 파일(붙여넣기)'!D3:D562,0)</f>
        <v>0</v>
      </c>
      <c r="L933" s="9" cm="1">
        <f t="array" ref="L933">IF(J933&gt;=3,_xlfn.XLOOKUP(A933,'외운 것 - 엑셀다운로드 파일(붙여넣기)'!A3:A562,'외운 것 - 엑셀다운로드 파일(붙여넣기)'!C3:C562,0,-1),0)</f>
        <v>0</v>
      </c>
    </row>
    <row r="934" ht="50.45" customHeight="1">
      <c r="A934" s="3">
        <v>933</v>
      </c>
      <c r="B934" t="s" s="4">
        <v>5933</v>
      </c>
      <c r="C934" t="s" s="5">
        <v>5934</v>
      </c>
      <c r="D934" t="s" s="5">
        <v>5892</v>
      </c>
      <c r="E934" t="s" s="5">
        <v>5935</v>
      </c>
      <c r="F934" t="s" s="10">
        <v>5936</v>
      </c>
      <c r="G934" t="s" s="7">
        <v>5937</v>
      </c>
      <c r="H934" t="s" s="7">
        <v>5938</v>
      </c>
      <c r="I934" t="str" s="8" cm="1">
        <f t="array" ref="I934">SUBSTITUTE(H934,B934,"(          )")</f>
        <v>Teenagers often (          ) at the mall after school.</v>
      </c>
      <c r="J934" s="9" cm="1">
        <f t="array" ref="J934">SUMIF('외운 것 - 엑셀다운로드 파일(붙여넣기)'!A3:A562,A934,'외운 것 - 엑셀다운로드 파일(붙여넣기)'!D3:D562)</f>
        <v>0</v>
      </c>
      <c r="K934" s="9" cm="1">
        <f t="array" ref="K934">_xlfn.COUNTIFS('외운 것 - 엑셀다운로드 파일(붙여넣기)'!A3:A562,A934,'외운 것 - 엑셀다운로드 파일(붙여넣기)'!D3:D562,0)</f>
        <v>0</v>
      </c>
      <c r="L934" s="9" cm="1">
        <f t="array" ref="L934">IF(J934&gt;=3,_xlfn.XLOOKUP(A934,'외운 것 - 엑셀다운로드 파일(붙여넣기)'!A3:A562,'외운 것 - 엑셀다운로드 파일(붙여넣기)'!C3:C562,0,-1),0)</f>
        <v>0</v>
      </c>
    </row>
    <row r="935" ht="36.4" customHeight="1">
      <c r="A935" s="3">
        <v>934</v>
      </c>
      <c r="B935" t="s" s="4">
        <v>5940</v>
      </c>
      <c r="C935" t="s" s="5">
        <v>5941</v>
      </c>
      <c r="D935" t="s" s="5">
        <v>5892</v>
      </c>
      <c r="E935" t="s" s="5">
        <v>5942</v>
      </c>
      <c r="F935" t="s" s="10">
        <v>5943</v>
      </c>
      <c r="G935" t="s" s="7">
        <v>5944</v>
      </c>
      <c r="H935" t="s" s="7">
        <v>5945</v>
      </c>
      <c r="I935" t="str" s="8" cm="1">
        <f t="array" ref="I935">SUBSTITUTE(H935,B935,"(          )")</f>
        <v>The (          ) meets to debate new laws.</v>
      </c>
      <c r="J935" s="9" cm="1">
        <f t="array" ref="J935">SUMIF('외운 것 - 엑셀다운로드 파일(붙여넣기)'!A3:A562,A935,'외운 것 - 엑셀다운로드 파일(붙여넣기)'!D3:D562)</f>
        <v>0</v>
      </c>
      <c r="K935" s="9" cm="1">
        <f t="array" ref="K935">_xlfn.COUNTIFS('외운 것 - 엑셀다운로드 파일(붙여넣기)'!A3:A562,A935,'외운 것 - 엑셀다운로드 파일(붙여넣기)'!D3:D562,0)</f>
        <v>0</v>
      </c>
      <c r="L935" s="9" cm="1">
        <f t="array" ref="L935">IF(J935&gt;=3,_xlfn.XLOOKUP(A935,'외운 것 - 엑셀다운로드 파일(붙여넣기)'!A3:A562,'외운 것 - 엑셀다운로드 파일(붙여넣기)'!C3:C562,0,-1),0)</f>
        <v>0</v>
      </c>
    </row>
    <row r="936" ht="36.4" customHeight="1">
      <c r="A936" s="3">
        <v>935</v>
      </c>
      <c r="B936" t="s" s="4">
        <v>5947</v>
      </c>
      <c r="C936" t="s" s="5">
        <v>5941</v>
      </c>
      <c r="D936" t="s" s="5">
        <v>5892</v>
      </c>
      <c r="E936" t="s" s="5">
        <v>5948</v>
      </c>
      <c r="F936" t="s" s="10">
        <v>5949</v>
      </c>
      <c r="G936" t="s" s="7">
        <v>5950</v>
      </c>
      <c r="H936" t="s" s="7">
        <v>5951</v>
      </c>
      <c r="I936" t="str" s="8" cm="1">
        <f t="array" ref="I936">SUBSTITUTE(H936,B936,"(          )")</f>
        <v>The patient is making (          ) in her recovery.</v>
      </c>
      <c r="J936" s="9" cm="1">
        <f t="array" ref="J936">SUMIF('외운 것 - 엑셀다운로드 파일(붙여넣기)'!A3:A562,A936,'외운 것 - 엑셀다운로드 파일(붙여넣기)'!D3:D562)</f>
        <v>0</v>
      </c>
      <c r="K936" s="9" cm="1">
        <f t="array" ref="K936">_xlfn.COUNTIFS('외운 것 - 엑셀다운로드 파일(붙여넣기)'!A3:A562,A936,'외운 것 - 엑셀다운로드 파일(붙여넣기)'!D3:D562,0)</f>
        <v>0</v>
      </c>
      <c r="L936" s="9" cm="1">
        <f t="array" ref="L936">IF(J936&gt;=3,_xlfn.XLOOKUP(A936,'외운 것 - 엑셀다운로드 파일(붙여넣기)'!A3:A562,'외운 것 - 엑셀다운로드 파일(붙여넣기)'!C3:C562,0,-1),0)</f>
        <v>0</v>
      </c>
    </row>
    <row r="937" ht="50.45" customHeight="1">
      <c r="A937" s="3">
        <v>936</v>
      </c>
      <c r="B937" t="s" s="4">
        <v>5953</v>
      </c>
      <c r="C937" t="s" s="5">
        <v>5954</v>
      </c>
      <c r="D937" t="s" s="5">
        <v>5892</v>
      </c>
      <c r="E937" t="s" s="5">
        <v>5955</v>
      </c>
      <c r="F937" t="s" s="10">
        <v>5956</v>
      </c>
      <c r="G937" t="s" s="7">
        <v>5957</v>
      </c>
      <c r="H937" t="s" s="7">
        <v>5958</v>
      </c>
      <c r="I937" t="str" s="8" cm="1">
        <f t="array" ref="I937">SUBSTITUTE(H937,B937,"(          )")</f>
        <v>The school adopts (          ) teaching methods.</v>
      </c>
      <c r="J937" s="9" cm="1">
        <f t="array" ref="J937">SUMIF('외운 것 - 엑셀다운로드 파일(붙여넣기)'!A3:A562,A937,'외운 것 - 엑셀다운로드 파일(붙여넣기)'!D3:D562)</f>
        <v>0</v>
      </c>
      <c r="K937" s="9" cm="1">
        <f t="array" ref="K937">_xlfn.COUNTIFS('외운 것 - 엑셀다운로드 파일(붙여넣기)'!A3:A562,A937,'외운 것 - 엑셀다운로드 파일(붙여넣기)'!D3:D562,0)</f>
        <v>0</v>
      </c>
      <c r="L937" s="9" cm="1">
        <f t="array" ref="L937">IF(J937&gt;=3,_xlfn.XLOOKUP(A937,'외운 것 - 엑셀다운로드 파일(붙여넣기)'!A3:A562,'외운 것 - 엑셀다운로드 파일(붙여넣기)'!C3:C562,0,-1),0)</f>
        <v>0</v>
      </c>
    </row>
    <row r="938" ht="38.45" customHeight="1">
      <c r="A938" s="3">
        <v>937</v>
      </c>
      <c r="B938" t="s" s="4">
        <v>5960</v>
      </c>
      <c r="C938" t="s" s="5">
        <v>5941</v>
      </c>
      <c r="D938" t="s" s="5">
        <v>5892</v>
      </c>
      <c r="E938" t="s" s="5">
        <v>5961</v>
      </c>
      <c r="F938" t="s" s="10">
        <v>5962</v>
      </c>
      <c r="G938" t="s" s="7">
        <v>5963</v>
      </c>
      <c r="H938" t="s" s="7">
        <v>5964</v>
      </c>
      <c r="I938" t="str" s="8" cm="1">
        <f t="array" ref="I938">SUBSTITUTE(H938,B938,"(          )")</f>
        <v>The dog became (          ) when protecting its food.</v>
      </c>
      <c r="J938" s="9" cm="1">
        <f t="array" ref="J938">SUMIF('외운 것 - 엑셀다운로드 파일(붙여넣기)'!A3:A562,A938,'외운 것 - 엑셀다운로드 파일(붙여넣기)'!D3:D562)</f>
        <v>0</v>
      </c>
      <c r="K938" s="9" cm="1">
        <f t="array" ref="K938">_xlfn.COUNTIFS('외운 것 - 엑셀다운로드 파일(붙여넣기)'!A3:A562,A938,'외운 것 - 엑셀다운로드 파일(붙여넣기)'!D3:D562,0)</f>
        <v>0</v>
      </c>
      <c r="L938" s="9" cm="1">
        <f t="array" ref="L938">IF(J938&gt;=3,_xlfn.XLOOKUP(A938,'외운 것 - 엑셀다운로드 파일(붙여넣기)'!A3:A562,'외운 것 - 엑셀다운로드 파일(붙여넣기)'!C3:C562,0,-1),0)</f>
        <v>0</v>
      </c>
    </row>
    <row r="939" ht="38.45" customHeight="1">
      <c r="A939" s="3">
        <v>938</v>
      </c>
      <c r="B939" t="s" s="4">
        <v>5966</v>
      </c>
      <c r="C939" t="s" s="5">
        <v>5967</v>
      </c>
      <c r="D939" t="s" s="5">
        <v>5968</v>
      </c>
      <c r="E939" t="s" s="5">
        <v>5969</v>
      </c>
      <c r="F939" t="s" s="10">
        <v>5970</v>
      </c>
      <c r="G939" t="s" s="7">
        <v>5971</v>
      </c>
      <c r="H939" t="s" s="7">
        <v>5972</v>
      </c>
      <c r="I939" t="str" s="8" cm="1">
        <f t="array" ref="I939">SUBSTITUTE(H939,B939,"(          )")</f>
        <v>They visited their grandfather's (          ) on Memorial Day.</v>
      </c>
      <c r="J939" s="9" cm="1">
        <f t="array" ref="J939">SUMIF('외운 것 - 엑셀다운로드 파일(붙여넣기)'!A3:A562,A939,'외운 것 - 엑셀다운로드 파일(붙여넣기)'!D3:D562)</f>
        <v>0</v>
      </c>
      <c r="K939" s="9" cm="1">
        <f t="array" ref="K939">_xlfn.COUNTIFS('외운 것 - 엑셀다운로드 파일(붙여넣기)'!A3:A562,A939,'외운 것 - 엑셀다운로드 파일(붙여넣기)'!D3:D562,0)</f>
        <v>0</v>
      </c>
      <c r="L939" s="9" cm="1">
        <f t="array" ref="L939">IF(J939&gt;=3,_xlfn.XLOOKUP(A939,'외운 것 - 엑셀다운로드 파일(붙여넣기)'!A3:A562,'외운 것 - 엑셀다운로드 파일(붙여넣기)'!C3:C562,0,-1),0)</f>
        <v>0</v>
      </c>
    </row>
    <row r="940" ht="23.45" customHeight="1">
      <c r="A940" s="3">
        <v>939</v>
      </c>
      <c r="B940" t="s" s="4">
        <v>5974</v>
      </c>
      <c r="C940" t="s" s="5">
        <v>5967</v>
      </c>
      <c r="D940" t="s" s="5">
        <v>5968</v>
      </c>
      <c r="E940" t="s" s="5">
        <v>5975</v>
      </c>
      <c r="F940" t="s" s="10">
        <v>5976</v>
      </c>
      <c r="G940" t="s" s="7">
        <v>5977</v>
      </c>
      <c r="H940" t="s" s="7">
        <v>5978</v>
      </c>
      <c r="I940" t="str" s="8" cm="1">
        <f t="array" ref="I940">SUBSTITUTE(H940,B940,"(          )")</f>
        <v>The doctor looked (          ) at the test results.</v>
      </c>
      <c r="J940" s="9" cm="1">
        <f t="array" ref="J940">SUMIF('외운 것 - 엑셀다운로드 파일(붙여넣기)'!A3:A562,A940,'외운 것 - 엑셀다운로드 파일(붙여넣기)'!D3:D562)</f>
        <v>0</v>
      </c>
      <c r="K940" s="9" cm="1">
        <f t="array" ref="K940">_xlfn.COUNTIFS('외운 것 - 엑셀다운로드 파일(붙여넣기)'!A3:A562,A940,'외운 것 - 엑셀다운로드 파일(붙여넣기)'!D3:D562,0)</f>
        <v>0</v>
      </c>
      <c r="L940" s="9" cm="1">
        <f t="array" ref="L940">IF(J940&gt;=3,_xlfn.XLOOKUP(A940,'외운 것 - 엑셀다운로드 파일(붙여넣기)'!A3:A562,'외운 것 - 엑셀다운로드 파일(붙여넣기)'!C3:C562,0,-1),0)</f>
        <v>0</v>
      </c>
    </row>
    <row r="941" ht="36.4" customHeight="1">
      <c r="A941" s="3">
        <v>940</v>
      </c>
      <c r="B941" t="s" s="4">
        <v>5980</v>
      </c>
      <c r="C941" t="s" s="5">
        <v>5981</v>
      </c>
      <c r="D941" t="s" s="5">
        <v>5967</v>
      </c>
      <c r="E941" t="s" s="5">
        <v>5982</v>
      </c>
      <c r="F941" t="s" s="10">
        <v>5983</v>
      </c>
      <c r="G941" t="s" s="7">
        <v>5984</v>
      </c>
      <c r="H941" t="s" s="7">
        <v>5985</v>
      </c>
      <c r="I941" t="str" s="8" cm="1">
        <f t="array" ref="I941">SUBSTITUTE(H941,B941,"(          )")</f>
        <v>The driveway is covered with (          ).</v>
      </c>
      <c r="J941" s="9" cm="1">
        <f t="array" ref="J941">SUMIF('외운 것 - 엑셀다운로드 파일(붙여넣기)'!A3:A562,A941,'외운 것 - 엑셀다운로드 파일(붙여넣기)'!D3:D562)</f>
        <v>0</v>
      </c>
      <c r="K941" s="9" cm="1">
        <f t="array" ref="K941">_xlfn.COUNTIFS('외운 것 - 엑셀다운로드 파일(붙여넣기)'!A3:A562,A941,'외운 것 - 엑셀다운로드 파일(붙여넣기)'!D3:D562,0)</f>
        <v>0</v>
      </c>
      <c r="L941" s="9" cm="1">
        <f t="array" ref="L941">IF(J941&gt;=3,_xlfn.XLOOKUP(A941,'외운 것 - 엑셀다운로드 파일(붙여넣기)'!A3:A562,'외운 것 - 엑셀다운로드 파일(붙여넣기)'!C3:C562,0,-1),0)</f>
        <v>0</v>
      </c>
    </row>
    <row r="942" ht="36.4" customHeight="1">
      <c r="A942" s="3">
        <v>941</v>
      </c>
      <c r="B942" t="s" s="4">
        <v>5987</v>
      </c>
      <c r="C942" t="s" s="5">
        <v>5981</v>
      </c>
      <c r="D942" t="s" s="5">
        <v>5967</v>
      </c>
      <c r="E942" t="s" s="5">
        <v>5988</v>
      </c>
      <c r="F942" t="s" s="10">
        <v>5989</v>
      </c>
      <c r="G942" t="s" s="7">
        <v>5990</v>
      </c>
      <c r="H942" t="s" s="7">
        <v>5991</v>
      </c>
      <c r="I942" t="str" s="8" cm="1">
        <f t="array" ref="I942">SUBSTITUTE(H942,B942,"(          )")</f>
        <v>The jeweler will (          ) your initials on the ring.</v>
      </c>
      <c r="J942" s="9" cm="1">
        <f t="array" ref="J942">SUMIF('외운 것 - 엑셀다운로드 파일(붙여넣기)'!A3:A562,A942,'외운 것 - 엑셀다운로드 파일(붙여넣기)'!D3:D562)</f>
        <v>0</v>
      </c>
      <c r="K942" s="9" cm="1">
        <f t="array" ref="K942">_xlfn.COUNTIFS('외운 것 - 엑셀다운로드 파일(붙여넣기)'!A3:A562,A942,'외운 것 - 엑셀다운로드 파일(붙여넣기)'!D3:D562,0)</f>
        <v>0</v>
      </c>
      <c r="L942" s="9" cm="1">
        <f t="array" ref="L942">IF(J942&gt;=3,_xlfn.XLOOKUP(A942,'외운 것 - 엑셀다운로드 파일(붙여넣기)'!A3:A562,'외운 것 - 엑셀다운로드 파일(붙여넣기)'!C3:C562,0,-1),0)</f>
        <v>0</v>
      </c>
    </row>
    <row r="943" ht="38.45" customHeight="1">
      <c r="A943" s="3">
        <v>942</v>
      </c>
      <c r="B943" t="s" s="4">
        <v>5993</v>
      </c>
      <c r="C943" t="s" s="5">
        <v>5981</v>
      </c>
      <c r="D943" t="s" s="5">
        <v>5967</v>
      </c>
      <c r="E943" t="s" s="5">
        <v>5994</v>
      </c>
      <c r="F943" t="s" s="10">
        <v>5995</v>
      </c>
      <c r="G943" t="s" s="7">
        <v>5996</v>
      </c>
      <c r="H943" t="s" s="7">
        <v>5997</v>
      </c>
      <c r="I943" t="str" s="8" cm="1">
        <f t="array" ref="I943">SUBSTITUTE(H943,B943,"(          )")</f>
        <v>Stress can (          ) health problems.</v>
      </c>
      <c r="J943" s="9" cm="1">
        <f t="array" ref="J943">SUMIF('외운 것 - 엑셀다운로드 파일(붙여넣기)'!A3:A562,A943,'외운 것 - 엑셀다운로드 파일(붙여넣기)'!D3:D562)</f>
        <v>0</v>
      </c>
      <c r="K943" s="9" cm="1">
        <f t="array" ref="K943">_xlfn.COUNTIFS('외운 것 - 엑셀다운로드 파일(붙여넣기)'!A3:A562,A943,'외운 것 - 엑셀다운로드 파일(붙여넣기)'!D3:D562,0)</f>
        <v>0</v>
      </c>
      <c r="L943" s="9" cm="1">
        <f t="array" ref="L943">IF(J943&gt;=3,_xlfn.XLOOKUP(A943,'외운 것 - 엑셀다운로드 파일(붙여넣기)'!A3:A562,'외운 것 - 엑셀다운로드 파일(붙여넣기)'!C3:C562,0,-1),0)</f>
        <v>0</v>
      </c>
    </row>
    <row r="944" ht="38.45" customHeight="1">
      <c r="A944" s="3">
        <v>943</v>
      </c>
      <c r="B944" t="s" s="4">
        <v>5999</v>
      </c>
      <c r="C944" t="s" s="5">
        <v>6000</v>
      </c>
      <c r="D944" t="s" s="5">
        <v>6001</v>
      </c>
      <c r="E944" t="s" s="5">
        <v>6002</v>
      </c>
      <c r="F944" t="s" s="10">
        <v>6003</v>
      </c>
      <c r="G944" t="s" s="7">
        <v>6004</v>
      </c>
      <c r="H944" t="s" s="7">
        <v>6005</v>
      </c>
      <c r="I944" t="str" s="8" cm="1">
        <f t="array" ref="I944">SUBSTITUTE(H944,B944,"(          )")</f>
        <v>The tour (          ) explained the history of the castle.</v>
      </c>
      <c r="J944" s="9" cm="1">
        <f t="array" ref="J944">SUMIF('외운 것 - 엑셀다운로드 파일(붙여넣기)'!A3:A562,A944,'외운 것 - 엑셀다운로드 파일(붙여넣기)'!D3:D562)</f>
        <v>0</v>
      </c>
      <c r="K944" s="9" cm="1">
        <f t="array" ref="K944">_xlfn.COUNTIFS('외운 것 - 엑셀다운로드 파일(붙여넣기)'!A3:A562,A944,'외운 것 - 엑셀다운로드 파일(붙여넣기)'!D3:D562,0)</f>
        <v>0</v>
      </c>
      <c r="L944" s="9" cm="1">
        <f t="array" ref="L944">IF(J944&gt;=3,_xlfn.XLOOKUP(A944,'외운 것 - 엑셀다운로드 파일(붙여넣기)'!A3:A562,'외운 것 - 엑셀다운로드 파일(붙여넣기)'!C3:C562,0,-1),0)</f>
        <v>0</v>
      </c>
    </row>
    <row r="945" ht="23.45" customHeight="1">
      <c r="A945" s="3">
        <v>944</v>
      </c>
      <c r="B945" t="s" s="4">
        <v>6007</v>
      </c>
      <c r="C945" t="s" s="5">
        <v>6008</v>
      </c>
      <c r="D945" t="s" s="5">
        <v>6000</v>
      </c>
      <c r="E945" t="s" s="5">
        <v>6009</v>
      </c>
      <c r="F945" t="s" s="10">
        <v>6010</v>
      </c>
      <c r="G945" t="s" s="7">
        <v>6011</v>
      </c>
      <c r="H945" t="s" s="7">
        <v>6012</v>
      </c>
      <c r="I945" t="str" s="8" cm="1">
        <f t="array" ref="I945">SUBSTITUTE(H945,B945,"(          )")</f>
        <v>Follow these (          )s when applying for the grant.</v>
      </c>
      <c r="J945" s="9" cm="1">
        <f t="array" ref="J945">SUMIF('외운 것 - 엑셀다운로드 파일(붙여넣기)'!A3:A562,A945,'외운 것 - 엑셀다운로드 파일(붙여넣기)'!D3:D562)</f>
        <v>0</v>
      </c>
      <c r="K945" s="9" cm="1">
        <f t="array" ref="K945">_xlfn.COUNTIFS('외운 것 - 엑셀다운로드 파일(붙여넣기)'!A3:A562,A945,'외운 것 - 엑셀다운로드 파일(붙여넣기)'!D3:D562,0)</f>
        <v>0</v>
      </c>
      <c r="L945" s="9" cm="1">
        <f t="array" ref="L945">IF(J945&gt;=3,_xlfn.XLOOKUP(A945,'외운 것 - 엑셀다운로드 파일(붙여넣기)'!A3:A562,'외운 것 - 엑셀다운로드 파일(붙여넣기)'!C3:C562,0,-1),0)</f>
        <v>0</v>
      </c>
    </row>
    <row r="946" ht="23.45" customHeight="1">
      <c r="A946" s="3">
        <v>945</v>
      </c>
      <c r="B946" t="s" s="4">
        <v>6014</v>
      </c>
      <c r="C946" t="s" s="5">
        <v>6008</v>
      </c>
      <c r="D946" t="s" s="5">
        <v>6000</v>
      </c>
      <c r="E946" t="s" s="5">
        <v>6015</v>
      </c>
      <c r="F946" t="s" s="10">
        <v>6016</v>
      </c>
      <c r="G946" t="s" s="7">
        <v>6017</v>
      </c>
      <c r="H946" t="s" s="7">
        <v>6018</v>
      </c>
      <c r="I946" t="str" s="8" cm="1">
        <f t="array" ref="I946">SUBSTITUTE(H946,B946,"(          )")</f>
        <v>Students receive (          ) from school counselors.</v>
      </c>
      <c r="J946" s="9" cm="1">
        <f t="array" ref="J946">SUMIF('외운 것 - 엑셀다운로드 파일(붙여넣기)'!A3:A562,A946,'외운 것 - 엑셀다운로드 파일(붙여넣기)'!D3:D562)</f>
        <v>0</v>
      </c>
      <c r="K946" s="9" cm="1">
        <f t="array" ref="K946">_xlfn.COUNTIFS('외운 것 - 엑셀다운로드 파일(붙여넣기)'!A3:A562,A946,'외운 것 - 엑셀다운로드 파일(붙여넣기)'!D3:D562,0)</f>
        <v>0</v>
      </c>
      <c r="L946" s="9" cm="1">
        <f t="array" ref="L946">IF(J946&gt;=3,_xlfn.XLOOKUP(A946,'외운 것 - 엑셀다운로드 파일(붙여넣기)'!A3:A562,'외운 것 - 엑셀다운로드 파일(붙여넣기)'!C3:C562,0,-1),0)</f>
        <v>0</v>
      </c>
    </row>
    <row r="947" ht="38.45" customHeight="1">
      <c r="A947" s="3">
        <v>946</v>
      </c>
      <c r="B947" t="s" s="4">
        <v>6020</v>
      </c>
      <c r="C947" t="s" s="5">
        <v>6000</v>
      </c>
      <c r="D947" t="s" s="5">
        <v>6001</v>
      </c>
      <c r="E947" t="s" s="5">
        <v>6021</v>
      </c>
      <c r="F947" t="s" s="10">
        <v>6022</v>
      </c>
      <c r="G947" t="s" s="7">
        <v>6023</v>
      </c>
      <c r="H947" t="s" s="7">
        <v>6024</v>
      </c>
      <c r="I947" t="str" s="8" cm="1">
        <f t="array" ref="I947">SUBSTITUTE(H947,B947,"(          )")</f>
        <v>The security (          ) patrols the building at night.</v>
      </c>
      <c r="J947" s="9" cm="1">
        <f t="array" ref="J947">SUMIF('외운 것 - 엑셀다운로드 파일(붙여넣기)'!A3:A562,A947,'외운 것 - 엑셀다운로드 파일(붙여넣기)'!D3:D562)</f>
        <v>0</v>
      </c>
      <c r="K947" s="9" cm="1">
        <f t="array" ref="K947">_xlfn.COUNTIFS('외운 것 - 엑셀다운로드 파일(붙여넣기)'!A3:A562,A947,'외운 것 - 엑셀다운로드 파일(붙여넣기)'!D3:D562,0)</f>
        <v>0</v>
      </c>
      <c r="L947" s="9" cm="1">
        <f t="array" ref="L947">IF(J947&gt;=3,_xlfn.XLOOKUP(A947,'외운 것 - 엑셀다운로드 파일(붙여넣기)'!A3:A562,'외운 것 - 엑셀다운로드 파일(붙여넣기)'!C3:C562,0,-1),0)</f>
        <v>0</v>
      </c>
    </row>
    <row r="948" ht="38.45" customHeight="1">
      <c r="A948" s="3">
        <v>947</v>
      </c>
      <c r="B948" t="s" s="4">
        <v>6026</v>
      </c>
      <c r="C948" t="s" s="5">
        <v>6027</v>
      </c>
      <c r="D948" t="s" s="5">
        <v>6000</v>
      </c>
      <c r="E948" t="s" s="5">
        <v>6028</v>
      </c>
      <c r="F948" t="s" s="10">
        <v>6029</v>
      </c>
      <c r="G948" t="s" s="7">
        <v>6030</v>
      </c>
      <c r="H948" t="s" s="7">
        <v>6031</v>
      </c>
      <c r="I948" t="str" s="8" cm="1">
        <f t="array" ref="I948">SUBSTITUTE(H948,B948,"(          )")</f>
        <v>The manufacturer offers a three-year (          ) on this product.</v>
      </c>
      <c r="J948" s="9" cm="1">
        <f t="array" ref="J948">SUMIF('외운 것 - 엑셀다운로드 파일(붙여넣기)'!A3:A562,A948,'외운 것 - 엑셀다운로드 파일(붙여넣기)'!D3:D562)</f>
        <v>0</v>
      </c>
      <c r="K948" s="9" cm="1">
        <f t="array" ref="K948">_xlfn.COUNTIFS('외운 것 - 엑셀다운로드 파일(붙여넣기)'!A3:A562,A948,'외운 것 - 엑셀다운로드 파일(붙여넣기)'!D3:D562,0)</f>
        <v>0</v>
      </c>
      <c r="L948" s="9" cm="1">
        <f t="array" ref="L948">IF(J948&gt;=3,_xlfn.XLOOKUP(A948,'외운 것 - 엑셀다운로드 파일(붙여넣기)'!A3:A562,'외운 것 - 엑셀다운로드 파일(붙여넣기)'!C3:C562,0,-1),0)</f>
        <v>0</v>
      </c>
    </row>
    <row r="949" ht="23.45" customHeight="1">
      <c r="A949" s="3">
        <v>948</v>
      </c>
      <c r="B949" t="s" s="4">
        <v>6033</v>
      </c>
      <c r="C949" t="s" s="5">
        <v>6000</v>
      </c>
      <c r="D949" t="s" s="5">
        <v>6001</v>
      </c>
      <c r="E949" t="s" s="5">
        <v>6034</v>
      </c>
      <c r="F949" t="s" s="10">
        <v>6035</v>
      </c>
      <c r="G949" t="s" s="7">
        <v>6036</v>
      </c>
      <c r="H949" t="s" s="7">
        <v>6037</v>
      </c>
      <c r="I949" t="str" s="8" cm="1">
        <f t="array" ref="I949">SUBSTITUTE(H949,B949,"(          )")</f>
        <v>Trust your (          ) feeling when making important decisions.</v>
      </c>
      <c r="J949" s="9" cm="1">
        <f t="array" ref="J949">SUMIF('외운 것 - 엑셀다운로드 파일(붙여넣기)'!A3:A562,A949,'외운 것 - 엑셀다운로드 파일(붙여넣기)'!D3:D562)</f>
        <v>0</v>
      </c>
      <c r="K949" s="9" cm="1">
        <f t="array" ref="K949">_xlfn.COUNTIFS('외운 것 - 엑셀다운로드 파일(붙여넣기)'!A3:A562,A949,'외운 것 - 엑셀다운로드 파일(붙여넣기)'!D3:D562,0)</f>
        <v>0</v>
      </c>
      <c r="L949" s="9" cm="1">
        <f t="array" ref="L949">IF(J949&gt;=3,_xlfn.XLOOKUP(A949,'외운 것 - 엑셀다운로드 파일(붙여넣기)'!A3:A562,'외운 것 - 엑셀다운로드 파일(붙여넣기)'!C3:C562,0,-1),0)</f>
        <v>0</v>
      </c>
    </row>
    <row r="950" ht="38.45" customHeight="1">
      <c r="A950" s="3">
        <v>949</v>
      </c>
      <c r="B950" t="s" s="4">
        <v>6039</v>
      </c>
      <c r="C950" t="s" s="5">
        <v>6040</v>
      </c>
      <c r="D950" t="s" s="5">
        <v>6000</v>
      </c>
      <c r="E950" t="s" s="5">
        <v>6041</v>
      </c>
      <c r="F950" t="s" s="10">
        <v>6042</v>
      </c>
      <c r="G950" t="s" s="7">
        <v>6043</v>
      </c>
      <c r="H950" t="s" s="7">
        <v>6044</v>
      </c>
      <c r="I950" t="str" s="8" cm="1">
        <f t="array" ref="I950">SUBSTITUTE(H950,B950,"(          )")</f>
        <v>The (          ) collects rainwater from the roof.</v>
      </c>
      <c r="J950" s="9" cm="1">
        <f t="array" ref="J950">SUMIF('외운 것 - 엑셀다운로드 파일(붙여넣기)'!A3:A562,A950,'외운 것 - 엑셀다운로드 파일(붙여넣기)'!D3:D562)</f>
        <v>0</v>
      </c>
      <c r="K950" s="9" cm="1">
        <f t="array" ref="K950">_xlfn.COUNTIFS('외운 것 - 엑셀다운로드 파일(붙여넣기)'!A3:A562,A950,'외운 것 - 엑셀다운로드 파일(붙여넣기)'!D3:D562,0)</f>
        <v>0</v>
      </c>
      <c r="L950" s="9" cm="1">
        <f t="array" ref="L950">IF(J950&gt;=3,_xlfn.XLOOKUP(A950,'외운 것 - 엑셀다운로드 파일(붙여넣기)'!A3:A562,'외운 것 - 엑셀다운로드 파일(붙여넣기)'!C3:C562,0,-1),0)</f>
        <v>0</v>
      </c>
    </row>
    <row r="951" ht="38.45" customHeight="1">
      <c r="A951" s="3">
        <v>950</v>
      </c>
      <c r="B951" t="s" s="4">
        <v>6046</v>
      </c>
      <c r="C951" t="s" s="5">
        <v>6000</v>
      </c>
      <c r="D951" t="s" s="5">
        <v>6001</v>
      </c>
      <c r="E951" t="s" s="5">
        <v>6047</v>
      </c>
      <c r="F951" t="s" s="10">
        <v>6048</v>
      </c>
      <c r="G951" t="s" s="7">
        <v>6049</v>
      </c>
      <c r="H951" t="s" s="7">
        <v>6050</v>
      </c>
      <c r="I951" t="str" s="8" cm="1">
        <f t="array" ref="I951">SUBSTITUTE(H951,B951,"(          )")</f>
        <v>A (          ) of wind blew my hat off.</v>
      </c>
      <c r="J951" s="9" cm="1">
        <f t="array" ref="J951">SUMIF('외운 것 - 엑셀다운로드 파일(붙여넣기)'!A3:A562,A951,'외운 것 - 엑셀다운로드 파일(붙여넣기)'!D3:D562)</f>
        <v>0</v>
      </c>
      <c r="K951" s="9" cm="1">
        <f t="array" ref="K951">_xlfn.COUNTIFS('외운 것 - 엑셀다운로드 파일(붙여넣기)'!A3:A562,A951,'외운 것 - 엑셀다운로드 파일(붙여넣기)'!D3:D562,0)</f>
        <v>0</v>
      </c>
      <c r="L951" s="9" cm="1">
        <f t="array" ref="L951">IF(J951&gt;=3,_xlfn.XLOOKUP(A951,'외운 것 - 엑셀다운로드 파일(붙여넣기)'!A3:A562,'외운 것 - 엑셀다운로드 파일(붙여넣기)'!C3:C562,0,-1),0)</f>
        <v>0</v>
      </c>
    </row>
    <row r="952" ht="38.45" customHeight="1">
      <c r="A952" s="3">
        <v>951</v>
      </c>
      <c r="B952" t="s" s="4">
        <v>6052</v>
      </c>
      <c r="C952" t="s" s="5">
        <v>6053</v>
      </c>
      <c r="D952" t="s" s="5">
        <v>6000</v>
      </c>
      <c r="E952" t="s" s="5">
        <v>6054</v>
      </c>
      <c r="F952" t="s" s="10">
        <v>6055</v>
      </c>
      <c r="G952" t="s" s="7">
        <v>6056</v>
      </c>
      <c r="H952" t="s" s="7">
        <v>6057</v>
      </c>
      <c r="I952" t="str" s="8" cm="1">
        <f t="array" ref="I952">SUBSTITUTE(H952,B952,"(          )")</f>
        <v>The moldy food in the refrigerator filled her with (          ).</v>
      </c>
      <c r="J952" s="9" cm="1">
        <f t="array" ref="J952">SUMIF('외운 것 - 엑셀다운로드 파일(붙여넣기)'!A3:A562,A952,'외운 것 - 엑셀다운로드 파일(붙여넣기)'!D3:D562)</f>
        <v>0</v>
      </c>
      <c r="K952" s="9" cm="1">
        <f t="array" ref="K952">_xlfn.COUNTIFS('외운 것 - 엑셀다운로드 파일(붙여넣기)'!A3:A562,A952,'외운 것 - 엑셀다운로드 파일(붙여넣기)'!D3:D562,0)</f>
        <v>0</v>
      </c>
      <c r="L952" s="9" cm="1">
        <f t="array" ref="L952">IF(J952&gt;=3,_xlfn.XLOOKUP(A952,'외운 것 - 엑셀다운로드 파일(붙여넣기)'!A3:A562,'외운 것 - 엑셀다운로드 파일(붙여넣기)'!C3:C562,0,-1),0)</f>
        <v>0</v>
      </c>
    </row>
    <row r="953" ht="38.45" customHeight="1">
      <c r="A953" s="3">
        <v>952</v>
      </c>
      <c r="B953" t="s" s="4">
        <v>6059</v>
      </c>
      <c r="C953" t="s" s="5">
        <v>6000</v>
      </c>
      <c r="D953" t="s" s="5">
        <v>6001</v>
      </c>
      <c r="E953" t="s" s="5">
        <v>6060</v>
      </c>
      <c r="F953" t="s" s="10">
        <v>6061</v>
      </c>
      <c r="G953" t="s" s="7">
        <v>6062</v>
      </c>
      <c r="H953" t="s" s="7">
        <v>6063</v>
      </c>
      <c r="I953" t="str" s="8" cm="1">
        <f t="array" ref="I953">SUBSTITUTE(H953,B953,"(          )")</f>
        <v>Oil began to (          ) from the broken pipe.</v>
      </c>
      <c r="J953" s="9" cm="1">
        <f t="array" ref="J953">SUMIF('외운 것 - 엑셀다운로드 파일(붙여넣기)'!A3:A562,A953,'외운 것 - 엑셀다운로드 파일(붙여넣기)'!D3:D562)</f>
        <v>0</v>
      </c>
      <c r="K953" s="9" cm="1">
        <f t="array" ref="K953">_xlfn.COUNTIFS('외운 것 - 엑셀다운로드 파일(붙여넣기)'!A3:A562,A953,'외운 것 - 엑셀다운로드 파일(붙여넣기)'!D3:D562,0)</f>
        <v>0</v>
      </c>
      <c r="L953" s="9" cm="1">
        <f t="array" ref="L953">IF(J953&gt;=3,_xlfn.XLOOKUP(A953,'외운 것 - 엑셀다운로드 파일(붙여넣기)'!A3:A562,'외운 것 - 엑셀다운로드 파일(붙여넣기)'!C3:C562,0,-1),0)</f>
        <v>0</v>
      </c>
    </row>
    <row r="954" ht="38.45" customHeight="1">
      <c r="A954" s="3">
        <v>953</v>
      </c>
      <c r="B954" t="s" s="4">
        <v>6065</v>
      </c>
      <c r="C954" t="s" s="5">
        <v>6000</v>
      </c>
      <c r="D954" t="s" s="5">
        <v>6001</v>
      </c>
      <c r="E954" t="s" s="5">
        <v>6066</v>
      </c>
      <c r="F954" t="s" s="10">
        <v>6067</v>
      </c>
      <c r="G954" t="s" s="7">
        <v>6068</v>
      </c>
      <c r="H954" t="s" s="7">
        <v>6069</v>
      </c>
      <c r="I954" t="str" s="8" cm="1">
        <f t="array" ref="I954">SUBSTITUTE(H954,B954,"(          )")</f>
        <v>He took a (          ) of water after the long run.</v>
      </c>
      <c r="J954" s="9" cm="1">
        <f t="array" ref="J954">SUMIF('외운 것 - 엑셀다운로드 파일(붙여넣기)'!A3:A562,A954,'외운 것 - 엑셀다운로드 파일(붙여넣기)'!D3:D562)</f>
        <v>0</v>
      </c>
      <c r="K954" s="9" cm="1">
        <f t="array" ref="K954">_xlfn.COUNTIFS('외운 것 - 엑셀다운로드 파일(붙여넣기)'!A3:A562,A954,'외운 것 - 엑셀다운로드 파일(붙여넣기)'!D3:D562,0)</f>
        <v>0</v>
      </c>
      <c r="L954" s="9" cm="1">
        <f t="array" ref="L954">IF(J954&gt;=3,_xlfn.XLOOKUP(A954,'외운 것 - 엑셀다운로드 파일(붙여넣기)'!A3:A562,'외운 것 - 엑셀다운로드 파일(붙여넣기)'!C3:C562,0,-1),0)</f>
        <v>0</v>
      </c>
    </row>
    <row r="955" ht="23.45" customHeight="1">
      <c r="A955" s="3">
        <v>954</v>
      </c>
      <c r="B955" t="s" s="4">
        <v>6071</v>
      </c>
      <c r="C955" t="s" s="5">
        <v>6000</v>
      </c>
      <c r="D955" t="s" s="5">
        <v>6001</v>
      </c>
      <c r="E955" t="s" s="5">
        <v>6072</v>
      </c>
      <c r="F955" t="s" s="10">
        <v>6073</v>
      </c>
      <c r="G955" t="s" s="7">
        <v>6074</v>
      </c>
      <c r="H955" t="s" s="7">
        <v>6075</v>
      </c>
      <c r="I955" t="str" s="8" cm="1">
        <f t="array" ref="I955">SUBSTITUTE(H955,B955,"(          )")</f>
        <v>The sea(          ) flew over the beach looking for food.</v>
      </c>
      <c r="J955" s="9" cm="1">
        <f t="array" ref="J955">SUMIF('외운 것 - 엑셀다운로드 파일(붙여넣기)'!A3:A562,A955,'외운 것 - 엑셀다운로드 파일(붙여넣기)'!D3:D562)</f>
        <v>0</v>
      </c>
      <c r="K955" s="9" cm="1">
        <f t="array" ref="K955">_xlfn.COUNTIFS('외운 것 - 엑셀다운로드 파일(붙여넣기)'!A3:A562,A955,'외운 것 - 엑셀다운로드 파일(붙여넣기)'!D3:D562,0)</f>
        <v>0</v>
      </c>
      <c r="L955" s="9" cm="1">
        <f t="array" ref="L955">IF(J955&gt;=3,_xlfn.XLOOKUP(A955,'외운 것 - 엑셀다운로드 파일(붙여넣기)'!A3:A562,'외운 것 - 엑셀다운로드 파일(붙여넣기)'!C3:C562,0,-1),0)</f>
        <v>0</v>
      </c>
    </row>
    <row r="956" ht="38.45" customHeight="1">
      <c r="A956" s="3">
        <v>955</v>
      </c>
      <c r="B956" t="s" s="4">
        <v>6077</v>
      </c>
      <c r="C956" t="s" s="5">
        <v>6078</v>
      </c>
      <c r="D956" t="s" s="5">
        <v>6001</v>
      </c>
      <c r="E956" t="s" s="5">
        <v>6079</v>
      </c>
      <c r="F956" t="s" s="10">
        <v>6080</v>
      </c>
      <c r="G956" t="s" s="7">
        <v>6081</v>
      </c>
      <c r="H956" t="s" s="7">
        <v>6082</v>
      </c>
      <c r="I956" t="str" s="8" cm="1">
        <f t="array" ref="I956">SUBSTITUTE(H956,B956,"(          )")</f>
        <v>Can you (          ) what I'm thinking?</v>
      </c>
      <c r="J956" s="9" cm="1">
        <f t="array" ref="J956">SUMIF('외운 것 - 엑셀다운로드 파일(붙여넣기)'!A3:A562,A956,'외운 것 - 엑셀다운로드 파일(붙여넣기)'!D3:D562)</f>
        <v>0</v>
      </c>
      <c r="K956" s="9" cm="1">
        <f t="array" ref="K956">_xlfn.COUNTIFS('외운 것 - 엑셀다운로드 파일(붙여넣기)'!A3:A562,A956,'외운 것 - 엑셀다운로드 파일(붙여넣기)'!D3:D562,0)</f>
        <v>0</v>
      </c>
      <c r="L956" s="9" cm="1">
        <f t="array" ref="L956">IF(J956&gt;=3,_xlfn.XLOOKUP(A956,'외운 것 - 엑셀다운로드 파일(붙여넣기)'!A3:A562,'외운 것 - 엑셀다운로드 파일(붙여넣기)'!C3:C562,0,-1),0)</f>
        <v>0</v>
      </c>
    </row>
    <row r="957" ht="23.45" customHeight="1">
      <c r="A957" s="3">
        <v>956</v>
      </c>
      <c r="B957" t="s" s="4">
        <v>6084</v>
      </c>
      <c r="C957" t="s" s="5">
        <v>6078</v>
      </c>
      <c r="D957" t="s" s="5">
        <v>6001</v>
      </c>
      <c r="E957" t="s" s="5">
        <v>6085</v>
      </c>
      <c r="F957" t="s" s="10">
        <v>6086</v>
      </c>
      <c r="G957" t="s" s="7">
        <v>6087</v>
      </c>
      <c r="H957" t="s" s="7">
        <v>6088</v>
      </c>
      <c r="I957" t="str" s="8" cm="1">
        <f t="array" ref="I957">SUBSTITUTE(H957,B957,"(          )")</f>
        <v>Her explanation was too (          ) to be helpful.</v>
      </c>
      <c r="J957" s="9" cm="1">
        <f t="array" ref="J957">SUMIF('외운 것 - 엑셀다운로드 파일(붙여넣기)'!A3:A562,A957,'외운 것 - 엑셀다운로드 파일(붙여넣기)'!D3:D562)</f>
        <v>0</v>
      </c>
      <c r="K957" s="9" cm="1">
        <f t="array" ref="K957">_xlfn.COUNTIFS('외운 것 - 엑셀다운로드 파일(붙여넣기)'!A3:A562,A957,'외운 것 - 엑셀다운로드 파일(붙여넣기)'!D3:D562,0)</f>
        <v>0</v>
      </c>
      <c r="L957" s="9" cm="1">
        <f t="array" ref="L957">IF(J957&gt;=3,_xlfn.XLOOKUP(A957,'외운 것 - 엑셀다운로드 파일(붙여넣기)'!A3:A562,'외운 것 - 엑셀다운로드 파일(붙여넣기)'!C3:C562,0,-1),0)</f>
        <v>0</v>
      </c>
    </row>
    <row r="958" ht="38.45" customHeight="1">
      <c r="A958" s="3">
        <v>957</v>
      </c>
      <c r="B958" t="s" s="4">
        <v>6090</v>
      </c>
      <c r="C958" t="s" s="5">
        <v>6078</v>
      </c>
      <c r="D958" t="s" s="5">
        <v>6001</v>
      </c>
      <c r="E958" t="s" s="5">
        <v>6091</v>
      </c>
      <c r="F958" t="s" s="10">
        <v>6092</v>
      </c>
      <c r="G958" t="s" s="7">
        <v>6093</v>
      </c>
      <c r="H958" t="s" s="7">
        <v>6094</v>
      </c>
      <c r="I958" t="str" s="8" cm="1">
        <f t="array" ref="I958">SUBSTITUTE(H958,B958,"(          )")</f>
        <v>Bell-bottom pants were in (          ) during the 1970s.</v>
      </c>
      <c r="J958" s="9" cm="1">
        <f t="array" ref="J958">SUMIF('외운 것 - 엑셀다운로드 파일(붙여넣기)'!A3:A562,A958,'외운 것 - 엑셀다운로드 파일(붙여넣기)'!D3:D562)</f>
        <v>0</v>
      </c>
      <c r="K958" s="9" cm="1">
        <f t="array" ref="K958">_xlfn.COUNTIFS('외운 것 - 엑셀다운로드 파일(붙여넣기)'!A3:A562,A958,'외운 것 - 엑셀다운로드 파일(붙여넣기)'!D3:D562,0)</f>
        <v>0</v>
      </c>
      <c r="L958" s="9" cm="1">
        <f t="array" ref="L958">IF(J958&gt;=3,_xlfn.XLOOKUP(A958,'외운 것 - 엑셀다운로드 파일(붙여넣기)'!A3:A562,'외운 것 - 엑셀다운로드 파일(붙여넣기)'!C3:C562,0,-1),0)</f>
        <v>0</v>
      </c>
    </row>
    <row r="959" ht="38.45" customHeight="1">
      <c r="A959" s="3">
        <v>958</v>
      </c>
      <c r="B959" t="s" s="4">
        <v>6096</v>
      </c>
      <c r="C959" t="s" s="5">
        <v>6078</v>
      </c>
      <c r="D959" t="s" s="5">
        <v>6001</v>
      </c>
      <c r="E959" t="s" s="5">
        <v>6097</v>
      </c>
      <c r="F959" t="s" s="10">
        <v>6098</v>
      </c>
      <c r="G959" t="s" s="7">
        <v>6099</v>
      </c>
      <c r="H959" t="s" s="7">
        <v>6100</v>
      </c>
      <c r="I959" t="str" s="8" cm="1">
        <f t="array" ref="I959">SUBSTITUTE(H959,B959,"(          )")</f>
        <v>The siblings (          ) about which movie to watch.</v>
      </c>
      <c r="J959" s="9" cm="1">
        <f t="array" ref="J959">SUMIF('외운 것 - 엑셀다운로드 파일(붙여넣기)'!A3:A562,A959,'외운 것 - 엑셀다운로드 파일(붙여넣기)'!D3:D562)</f>
        <v>0</v>
      </c>
      <c r="K959" s="9" cm="1">
        <f t="array" ref="K959">_xlfn.COUNTIFS('외운 것 - 엑셀다운로드 파일(붙여넣기)'!A3:A562,A959,'외운 것 - 엑셀다운로드 파일(붙여넣기)'!D3:D562,0)</f>
        <v>0</v>
      </c>
      <c r="L959" s="9" cm="1">
        <f t="array" ref="L959">IF(J959&gt;=3,_xlfn.XLOOKUP(A959,'외운 것 - 엑셀다운로드 파일(붙여넣기)'!A3:A562,'외운 것 - 엑셀다운로드 파일(붙여넣기)'!C3:C562,0,-1),0)</f>
        <v>0</v>
      </c>
    </row>
    <row r="960" ht="23.45" customHeight="1">
      <c r="A960" s="3">
        <v>959</v>
      </c>
      <c r="B960" t="s" s="4">
        <v>6102</v>
      </c>
      <c r="C960" t="s" s="5">
        <v>6103</v>
      </c>
      <c r="D960" t="s" s="5">
        <v>6000</v>
      </c>
      <c r="E960" t="s" s="5">
        <v>6104</v>
      </c>
      <c r="F960" t="s" s="10">
        <v>6105</v>
      </c>
      <c r="G960" t="s" s="7">
        <v>6106</v>
      </c>
      <c r="H960" t="s" s="7">
        <v>6107</v>
      </c>
      <c r="I960" t="str" s="8" cm="1">
        <f t="array" ref="I960">SUBSTITUTE(H960,B960,"(          )")</f>
        <v>The lawyer presented a convincing (          ) to the jury.</v>
      </c>
      <c r="J960" s="9" cm="1">
        <f t="array" ref="J960">SUMIF('외운 것 - 엑셀다운로드 파일(붙여넣기)'!A3:A562,A960,'외운 것 - 엑셀다운로드 파일(붙여넣기)'!D3:D562)</f>
        <v>0</v>
      </c>
      <c r="K960" s="9" cm="1">
        <f t="array" ref="K960">_xlfn.COUNTIFS('외운 것 - 엑셀다운로드 파일(붙여넣기)'!A3:A562,A960,'외운 것 - 엑셀다운로드 파일(붙여넣기)'!D3:D562,0)</f>
        <v>0</v>
      </c>
      <c r="L960" s="9" cm="1">
        <f t="array" ref="L960">IF(J960&gt;=3,_xlfn.XLOOKUP(A960,'외운 것 - 엑셀다운로드 파일(붙여넣기)'!A3:A562,'외운 것 - 엑셀다운로드 파일(붙여넣기)'!C3:C562,0,-1),0)</f>
        <v>0</v>
      </c>
    </row>
    <row r="961" ht="38.45" customHeight="1">
      <c r="A961" s="3">
        <v>960</v>
      </c>
      <c r="B961" t="s" s="4">
        <v>6109</v>
      </c>
      <c r="C961" t="s" s="5">
        <v>6000</v>
      </c>
      <c r="D961" t="s" s="5">
        <v>6001</v>
      </c>
      <c r="E961" t="s" s="5">
        <v>6110</v>
      </c>
      <c r="F961" t="s" s="10">
        <v>6111</v>
      </c>
      <c r="G961" t="s" s="7">
        <v>6112</v>
      </c>
      <c r="H961" t="s" s="7">
        <v>6113</v>
      </c>
      <c r="I961" t="str" s="8" cm="1">
        <f t="array" ref="I961">SUBSTITUTE(H961,B961,"(          )")</f>
        <v>The starting (          ) signals the beginning of the race.</v>
      </c>
      <c r="J961" s="9" cm="1">
        <f t="array" ref="J961">SUMIF('외운 것 - 엑셀다운로드 파일(붙여넣기)'!A3:A562,A961,'외운 것 - 엑셀다운로드 파일(붙여넣기)'!D3:D562)</f>
        <v>0</v>
      </c>
      <c r="K961" s="9" cm="1">
        <f t="array" ref="K961">_xlfn.COUNTIFS('외운 것 - 엑셀다운로드 파일(붙여넣기)'!A3:A562,A961,'외운 것 - 엑셀다운로드 파일(붙여넣기)'!D3:D562,0)</f>
        <v>0</v>
      </c>
      <c r="L961" s="9" cm="1">
        <f t="array" ref="L961">IF(J961&gt;=3,_xlfn.XLOOKUP(A961,'외운 것 - 엑셀다운로드 파일(붙여넣기)'!A3:A562,'외운 것 - 엑셀다운로드 파일(붙여넣기)'!C3:C562,0,-1),0)</f>
        <v>0</v>
      </c>
    </row>
    <row r="962" ht="38.45" customHeight="1">
      <c r="A962" s="3">
        <v>961</v>
      </c>
      <c r="B962" t="s" s="4">
        <v>6115</v>
      </c>
      <c r="C962" t="s" s="5">
        <v>6000</v>
      </c>
      <c r="D962" t="s" s="5">
        <v>6001</v>
      </c>
      <c r="E962" t="s" s="5">
        <v>6116</v>
      </c>
      <c r="F962" t="s" s="10">
        <v>6117</v>
      </c>
      <c r="G962" t="s" s="7">
        <v>6118</v>
      </c>
      <c r="H962" t="s" s="7">
        <v>6119</v>
      </c>
      <c r="I962" t="str" s="8" cm="1">
        <f t="array" ref="I962">SUBSTITUTE(H962,B962,"(          )")</f>
        <v>We have invited twenty (          )s to the wedding.</v>
      </c>
      <c r="J962" s="9" cm="1">
        <f t="array" ref="J962">SUMIF('외운 것 - 엑셀다운로드 파일(붙여넣기)'!A3:A562,A962,'외운 것 - 엑셀다운로드 파일(붙여넣기)'!D3:D562)</f>
        <v>0</v>
      </c>
      <c r="K962" s="9" cm="1">
        <f t="array" ref="K962">_xlfn.COUNTIFS('외운 것 - 엑셀다운로드 파일(붙여넣기)'!A3:A562,A962,'외운 것 - 엑셀다운로드 파일(붙여넣기)'!D3:D562,0)</f>
        <v>0</v>
      </c>
      <c r="L962" s="9" cm="1">
        <f t="array" ref="L962">IF(J962&gt;=3,_xlfn.XLOOKUP(A962,'외운 것 - 엑셀다운로드 파일(붙여넣기)'!A3:A562,'외운 것 - 엑셀다운로드 파일(붙여넣기)'!C3:C562,0,-1),0)</f>
        <v>0</v>
      </c>
    </row>
    <row r="963" ht="23.45" customHeight="1">
      <c r="A963" s="3">
        <v>962</v>
      </c>
      <c r="B963" t="s" s="4">
        <v>6121</v>
      </c>
      <c r="C963" t="s" s="5">
        <v>6000</v>
      </c>
      <c r="D963" t="s" s="5">
        <v>6001</v>
      </c>
      <c r="E963" t="s" s="5">
        <v>6122</v>
      </c>
      <c r="F963" t="s" s="10">
        <v>6123</v>
      </c>
      <c r="G963" t="s" s="7">
        <v>6124</v>
      </c>
      <c r="H963" t="s" s="7">
        <v>6125</v>
      </c>
      <c r="I963" t="str" s="8" cm="1">
        <f t="array" ref="I963">SUBSTITUTE(H963,B963,"(          )")</f>
        <v>He plays the (          ) in a rock band.</v>
      </c>
      <c r="J963" s="9" cm="1">
        <f t="array" ref="J963">SUMIF('외운 것 - 엑셀다운로드 파일(붙여넣기)'!A3:A562,A963,'외운 것 - 엑셀다운로드 파일(붙여넣기)'!D3:D562)</f>
        <v>0</v>
      </c>
      <c r="K963" s="9" cm="1">
        <f t="array" ref="K963">_xlfn.COUNTIFS('외운 것 - 엑셀다운로드 파일(붙여넣기)'!A3:A562,A963,'외운 것 - 엑셀다운로드 파일(붙여넣기)'!D3:D562,0)</f>
        <v>0</v>
      </c>
      <c r="L963" s="9" cm="1">
        <f t="array" ref="L963">IF(J963&gt;=3,_xlfn.XLOOKUP(A963,'외운 것 - 엑셀다운로드 파일(붙여넣기)'!A3:A562,'외운 것 - 엑셀다운로드 파일(붙여넣기)'!C3:C562,0,-1),0)</f>
        <v>0</v>
      </c>
    </row>
    <row r="964" ht="38.45" customHeight="1">
      <c r="A964" s="3">
        <v>963</v>
      </c>
      <c r="B964" t="s" s="4">
        <v>6127</v>
      </c>
      <c r="C964" t="s" s="5">
        <v>6128</v>
      </c>
      <c r="D964" t="s" s="5">
        <v>6129</v>
      </c>
      <c r="E964" t="s" s="5">
        <v>6130</v>
      </c>
      <c r="F964" t="s" s="10">
        <v>6131</v>
      </c>
      <c r="G964" t="s" s="7">
        <v>6132</v>
      </c>
      <c r="H964" t="s" s="7">
        <v>6133</v>
      </c>
      <c r="I964" t="str" s="8" cm="1">
        <f t="array" ref="I964">SUBSTITUTE(H964,B964,"(          )")</f>
        <v>I (          ) two brothers and one sister.</v>
      </c>
      <c r="J964" s="9" cm="1">
        <f t="array" ref="J964">SUMIF('외운 것 - 엑셀다운로드 파일(붙여넣기)'!A3:A562,A964,'외운 것 - 엑셀다운로드 파일(붙여넣기)'!D3:D562)</f>
        <v>0</v>
      </c>
      <c r="K964" s="9" cm="1">
        <f t="array" ref="K964">_xlfn.COUNTIFS('외운 것 - 엑셀다운로드 파일(붙여넣기)'!A3:A562,A964,'외운 것 - 엑셀다운로드 파일(붙여넣기)'!D3:D562,0)</f>
        <v>0</v>
      </c>
      <c r="L964" s="9" cm="1">
        <f t="array" ref="L964">IF(J964&gt;=3,_xlfn.XLOOKUP(A964,'외운 것 - 엑셀다운로드 파일(붙여넣기)'!A3:A562,'외운 것 - 엑셀다운로드 파일(붙여넣기)'!C3:C562,0,-1),0)</f>
        <v>0</v>
      </c>
    </row>
    <row r="965" ht="23.45" customHeight="1">
      <c r="A965" s="3">
        <v>964</v>
      </c>
      <c r="B965" t="s" s="4">
        <v>6135</v>
      </c>
      <c r="C965" t="s" s="5">
        <v>6127</v>
      </c>
      <c r="D965" t="s" s="5">
        <v>6129</v>
      </c>
      <c r="E965" t="s" s="5">
        <v>6136</v>
      </c>
      <c r="F965" t="s" s="10">
        <v>6137</v>
      </c>
      <c r="G965" t="s" s="7">
        <v>6138</v>
      </c>
      <c r="H965" t="s" s="7">
        <v>6139</v>
      </c>
      <c r="I965" t="str" s="8" cm="1">
        <f t="array" ref="I965">SUBSTITUTE(H965,B965,"(          )")</f>
        <v>The teacher rewards good (          ) in the classroom.</v>
      </c>
      <c r="J965" s="9" cm="1">
        <f t="array" ref="J965">SUMIF('외운 것 - 엑셀다운로드 파일(붙여넣기)'!A3:A562,A965,'외운 것 - 엑셀다운로드 파일(붙여넣기)'!D3:D562)</f>
        <v>0</v>
      </c>
      <c r="K965" s="9" cm="1">
        <f t="array" ref="K965">_xlfn.COUNTIFS('외운 것 - 엑셀다운로드 파일(붙여넣기)'!A3:A562,A965,'외운 것 - 엑셀다운로드 파일(붙여넣기)'!D3:D562,0)</f>
        <v>0</v>
      </c>
      <c r="L965" s="9" cm="1">
        <f t="array" ref="L965">IF(J965&gt;=3,_xlfn.XLOOKUP(A965,'외운 것 - 엑셀다운로드 파일(붙여넣기)'!A3:A562,'외운 것 - 엑셀다운로드 파일(붙여넣기)'!C3:C562,0,-1),0)</f>
        <v>0</v>
      </c>
    </row>
    <row r="966" ht="36.4" customHeight="1">
      <c r="A966" s="3">
        <v>965</v>
      </c>
      <c r="B966" t="s" s="4">
        <v>6141</v>
      </c>
      <c r="C966" t="s" s="5">
        <v>6142</v>
      </c>
      <c r="D966" t="s" s="5">
        <v>6127</v>
      </c>
      <c r="E966" t="s" s="5">
        <v>6143</v>
      </c>
      <c r="F966" t="s" s="10">
        <v>6144</v>
      </c>
      <c r="G966" t="s" s="7">
        <v>6145</v>
      </c>
      <c r="H966" t="s" s="7">
        <v>6146</v>
      </c>
      <c r="I966" t="str" s="8" cm="1">
        <f t="array" ref="I966">SUBSTITUTE(H966,B966,"(          )")</f>
        <v>The student received detention for his (          ).</v>
      </c>
      <c r="J966" s="9" cm="1">
        <f t="array" ref="J966">SUMIF('외운 것 - 엑셀다운로드 파일(붙여넣기)'!A3:A562,A966,'외운 것 - 엑셀다운로드 파일(붙여넣기)'!D3:D562)</f>
        <v>0</v>
      </c>
      <c r="K966" s="9" cm="1">
        <f t="array" ref="K966">_xlfn.COUNTIFS('외운 것 - 엑셀다운로드 파일(붙여넣기)'!A3:A562,A966,'외운 것 - 엑셀다운로드 파일(붙여넣기)'!D3:D562,0)</f>
        <v>0</v>
      </c>
      <c r="L966" s="9" cm="1">
        <f t="array" ref="L966">IF(J966&gt;=3,_xlfn.XLOOKUP(A966,'외운 것 - 엑셀다운로드 파일(붙여넣기)'!A3:A562,'외운 것 - 엑셀다운로드 파일(붙여넣기)'!C3:C562,0,-1),0)</f>
        <v>0</v>
      </c>
    </row>
    <row r="967" ht="23.45" customHeight="1">
      <c r="A967" s="3">
        <v>966</v>
      </c>
      <c r="B967" t="s" s="4">
        <v>6148</v>
      </c>
      <c r="C967" t="s" s="5">
        <v>6148</v>
      </c>
      <c r="D967" t="s" s="5">
        <v>6149</v>
      </c>
      <c r="E967" t="s" s="5">
        <v>6150</v>
      </c>
      <c r="F967" t="s" s="10">
        <v>6151</v>
      </c>
      <c r="G967" t="s" s="7">
        <v>6152</v>
      </c>
      <c r="H967" t="s" s="7">
        <v>6153</v>
      </c>
      <c r="I967" t="str" s="8" cm="1">
        <f t="array" ref="I967">SUBSTITUTE(H967,B967,"(          )")</f>
        <v>Reading before bed is a good (          ).</v>
      </c>
      <c r="J967" s="9" cm="1">
        <f t="array" ref="J967">SUMIF('외운 것 - 엑셀다운로드 파일(붙여넣기)'!A3:A562,A967,'외운 것 - 엑셀다운로드 파일(붙여넣기)'!D3:D562)</f>
        <v>0</v>
      </c>
      <c r="K967" s="9" cm="1">
        <f t="array" ref="K967">_xlfn.COUNTIFS('외운 것 - 엑셀다운로드 파일(붙여넣기)'!A3:A562,A967,'외운 것 - 엑셀다운로드 파일(붙여넣기)'!D3:D562,0)</f>
        <v>0</v>
      </c>
      <c r="L967" s="9" cm="1">
        <f t="array" ref="L967">IF(J967&gt;=3,_xlfn.XLOOKUP(A967,'외운 것 - 엑셀다운로드 파일(붙여넣기)'!A3:A562,'외운 것 - 엑셀다운로드 파일(붙여넣기)'!C3:C562,0,-1),0)</f>
        <v>0</v>
      </c>
    </row>
    <row r="968" ht="23.45" customHeight="1">
      <c r="A968" s="3">
        <v>967</v>
      </c>
      <c r="B968" t="s" s="4">
        <v>6155</v>
      </c>
      <c r="C968" t="s" s="5">
        <v>6148</v>
      </c>
      <c r="D968" t="s" s="5">
        <v>6149</v>
      </c>
      <c r="E968" t="s" s="5">
        <v>6156</v>
      </c>
      <c r="F968" t="s" s="10">
        <v>6157</v>
      </c>
      <c r="G968" t="s" s="7">
        <v>6158</v>
      </c>
      <c r="H968" t="s" s="7">
        <v>6159</v>
      </c>
      <c r="I968" t="str" s="8" cm="1">
        <f t="array" ref="I968">SUBSTITUTE(H968,B968,"(          )")</f>
        <v>His (          ) lateness annoyed his colleagues.</v>
      </c>
      <c r="J968" s="9" cm="1">
        <f t="array" ref="J968">SUMIF('외운 것 - 엑셀다운로드 파일(붙여넣기)'!A3:A562,A968,'외운 것 - 엑셀다운로드 파일(붙여넣기)'!D3:D562)</f>
        <v>0</v>
      </c>
      <c r="K968" s="9" cm="1">
        <f t="array" ref="K968">_xlfn.COUNTIFS('외운 것 - 엑셀다운로드 파일(붙여넣기)'!A3:A562,A968,'외운 것 - 엑셀다운로드 파일(붙여넣기)'!D3:D562,0)</f>
        <v>0</v>
      </c>
      <c r="L968" s="9" cm="1">
        <f t="array" ref="L968">IF(J968&gt;=3,_xlfn.XLOOKUP(A968,'외운 것 - 엑셀다운로드 파일(붙여넣기)'!A3:A562,'외운 것 - 엑셀다운로드 파일(붙여넣기)'!C3:C562,0,-1),0)</f>
        <v>0</v>
      </c>
    </row>
    <row r="969" ht="23.45" customHeight="1">
      <c r="A969" s="3">
        <v>968</v>
      </c>
      <c r="B969" t="s" s="4">
        <v>6161</v>
      </c>
      <c r="C969" t="s" s="5">
        <v>6148</v>
      </c>
      <c r="D969" t="s" s="5">
        <v>6149</v>
      </c>
      <c r="E969" t="s" s="5">
        <v>6162</v>
      </c>
      <c r="F969" t="s" s="10">
        <v>6163</v>
      </c>
      <c r="G969" t="s" s="7">
        <v>6164</v>
      </c>
      <c r="H969" t="s" s="7">
        <v>6165</v>
      </c>
      <c r="I969" t="str" s="8" cm="1">
        <f t="array" ref="I969">SUBSTITUTE(H969,B969,"(          )")</f>
        <v>Indigenous tribes (          ) the Amazon rainforest.</v>
      </c>
      <c r="J969" s="9" cm="1">
        <f t="array" ref="J969">SUMIF('외운 것 - 엑셀다운로드 파일(붙여넣기)'!A3:A562,A969,'외운 것 - 엑셀다운로드 파일(붙여넣기)'!D3:D562)</f>
        <v>0</v>
      </c>
      <c r="K969" s="9" cm="1">
        <f t="array" ref="K969">_xlfn.COUNTIFS('외운 것 - 엑셀다운로드 파일(붙여넣기)'!A3:A562,A969,'외운 것 - 엑셀다운로드 파일(붙여넣기)'!D3:D562,0)</f>
        <v>0</v>
      </c>
      <c r="L969" s="9" cm="1">
        <f t="array" ref="L969">IF(J969&gt;=3,_xlfn.XLOOKUP(A969,'외운 것 - 엑셀다운로드 파일(붙여넣기)'!A3:A562,'외운 것 - 엑셀다운로드 파일(붙여넣기)'!C3:C562,0,-1),0)</f>
        <v>0</v>
      </c>
    </row>
    <row r="970" ht="36.4" customHeight="1">
      <c r="A970" s="3">
        <v>969</v>
      </c>
      <c r="B970" t="s" s="4">
        <v>6167</v>
      </c>
      <c r="C970" t="s" s="5">
        <v>6168</v>
      </c>
      <c r="D970" t="s" s="5">
        <v>6148</v>
      </c>
      <c r="E970" t="s" s="5">
        <v>6169</v>
      </c>
      <c r="F970" t="s" s="10">
        <v>6170</v>
      </c>
      <c r="G970" t="s" s="7">
        <v>6171</v>
      </c>
      <c r="H970" t="s" s="7">
        <v>6172</v>
      </c>
      <c r="I970" t="str" s="8" cm="1">
        <f t="array" ref="I970">SUBSTITUTE(H970,B970,"(          )")</f>
        <v>The small island has about 500 (          )s.</v>
      </c>
      <c r="J970" s="9" cm="1">
        <f t="array" ref="J970">SUMIF('외운 것 - 엑셀다운로드 파일(붙여넣기)'!A3:A562,A970,'외운 것 - 엑셀다운로드 파일(붙여넣기)'!D3:D562)</f>
        <v>0</v>
      </c>
      <c r="K970" s="9" cm="1">
        <f t="array" ref="K970">_xlfn.COUNTIFS('외운 것 - 엑셀다운로드 파일(붙여넣기)'!A3:A562,A970,'외운 것 - 엑셀다운로드 파일(붙여넣기)'!D3:D562,0)</f>
        <v>0</v>
      </c>
      <c r="L970" s="9" cm="1">
        <f t="array" ref="L970">IF(J970&gt;=3,_xlfn.XLOOKUP(A970,'외운 것 - 엑셀다운로드 파일(붙여넣기)'!A3:A562,'외운 것 - 엑셀다운로드 파일(붙여넣기)'!C3:C562,0,-1),0)</f>
        <v>0</v>
      </c>
    </row>
    <row r="971" ht="23.45" customHeight="1">
      <c r="A971" s="3">
        <v>970</v>
      </c>
      <c r="B971" t="s" s="4">
        <v>6174</v>
      </c>
      <c r="C971" t="s" s="5">
        <v>6148</v>
      </c>
      <c r="D971" t="s" s="5">
        <v>6149</v>
      </c>
      <c r="E971" t="s" s="5">
        <v>6175</v>
      </c>
      <c r="F971" t="s" s="10">
        <v>6176</v>
      </c>
      <c r="G971" t="s" s="7">
        <v>6177</v>
      </c>
      <c r="H971" t="s" s="7">
        <v>6178</v>
      </c>
      <c r="I971" t="str" s="8" cm="1">
        <f t="array" ref="I971">SUBSTITUTE(H971,B971,"(          )")</f>
        <v>The zoo recreates the natural (          ) of each animal.</v>
      </c>
      <c r="J971" s="9" cm="1">
        <f t="array" ref="J971">SUMIF('외운 것 - 엑셀다운로드 파일(붙여넣기)'!A3:A562,A971,'외운 것 - 엑셀다운로드 파일(붙여넣기)'!D3:D562)</f>
        <v>0</v>
      </c>
      <c r="K971" s="9" cm="1">
        <f t="array" ref="K971">_xlfn.COUNTIFS('외운 것 - 엑셀다운로드 파일(붙여넣기)'!A3:A562,A971,'외운 것 - 엑셀다운로드 파일(붙여넣기)'!D3:D562,0)</f>
        <v>0</v>
      </c>
      <c r="L971" s="9" cm="1">
        <f t="array" ref="L971">IF(J971&gt;=3,_xlfn.XLOOKUP(A971,'외운 것 - 엑셀다운로드 파일(붙여넣기)'!A3:A562,'외운 것 - 엑셀다운로드 파일(붙여넣기)'!C3:C562,0,-1),0)</f>
        <v>0</v>
      </c>
    </row>
    <row r="972" ht="23.45" customHeight="1">
      <c r="A972" s="3">
        <v>971</v>
      </c>
      <c r="B972" t="s" s="4">
        <v>6180</v>
      </c>
      <c r="C972" t="s" s="5">
        <v>6181</v>
      </c>
      <c r="D972" t="s" s="5">
        <v>6149</v>
      </c>
      <c r="E972" t="s" s="5">
        <v>6182</v>
      </c>
      <c r="F972" t="s" s="10">
        <v>6183</v>
      </c>
      <c r="G972" t="s" s="7">
        <v>6184</v>
      </c>
      <c r="H972" t="s" s="7">
        <v>6185</v>
      </c>
      <c r="I972" t="str" s="8" cm="1">
        <f t="array" ref="I972">SUBSTITUTE(H972,B972,"(          )")</f>
        <v>The museum will (          ) paintings by local artists.</v>
      </c>
      <c r="J972" s="9" cm="1">
        <f t="array" ref="J972">SUMIF('외운 것 - 엑셀다운로드 파일(붙여넣기)'!A3:A562,A972,'외운 것 - 엑셀다운로드 파일(붙여넣기)'!D3:D562)</f>
        <v>0</v>
      </c>
      <c r="K972" s="9" cm="1">
        <f t="array" ref="K972">_xlfn.COUNTIFS('외운 것 - 엑셀다운로드 파일(붙여넣기)'!A3:A562,A972,'외운 것 - 엑셀다운로드 파일(붙여넣기)'!D3:D562,0)</f>
        <v>0</v>
      </c>
      <c r="L972" s="9" cm="1">
        <f t="array" ref="L972">IF(J972&gt;=3,_xlfn.XLOOKUP(A972,'외운 것 - 엑셀다운로드 파일(붙여넣기)'!A3:A562,'외운 것 - 엑셀다운로드 파일(붙여넣기)'!C3:C562,0,-1),0)</f>
        <v>0</v>
      </c>
    </row>
    <row r="973" ht="38.45" customHeight="1">
      <c r="A973" s="3">
        <v>972</v>
      </c>
      <c r="B973" t="s" s="4">
        <v>6187</v>
      </c>
      <c r="C973" t="s" s="5">
        <v>6181</v>
      </c>
      <c r="D973" t="s" s="5">
        <v>6149</v>
      </c>
      <c r="E973" t="s" s="5">
        <v>6188</v>
      </c>
      <c r="F973" t="s" s="10">
        <v>6189</v>
      </c>
      <c r="G973" t="s" s="7">
        <v>6190</v>
      </c>
      <c r="H973" t="s" s="7">
        <v>6191</v>
      </c>
      <c r="I973" t="str" s="8" cm="1">
        <f t="array" ref="I973">SUBSTITUTE(H973,B973,"(          )")</f>
        <v>Fear can (          ) creativity.</v>
      </c>
      <c r="J973" s="9" cm="1">
        <f t="array" ref="J973">SUMIF('외운 것 - 엑셀다운로드 파일(붙여넣기)'!A3:A562,A973,'외운 것 - 엑셀다운로드 파일(붙여넣기)'!D3:D562)</f>
        <v>0</v>
      </c>
      <c r="K973" s="9" cm="1">
        <f t="array" ref="K973">_xlfn.COUNTIFS('외운 것 - 엑셀다운로드 파일(붙여넣기)'!A3:A562,A973,'외운 것 - 엑셀다운로드 파일(붙여넣기)'!D3:D562,0)</f>
        <v>0</v>
      </c>
      <c r="L973" s="9" cm="1">
        <f t="array" ref="L973">IF(J973&gt;=3,_xlfn.XLOOKUP(A973,'외운 것 - 엑셀다운로드 파일(붙여넣기)'!A3:A562,'외운 것 - 엑셀다운로드 파일(붙여넣기)'!C3:C562,0,-1),0)</f>
        <v>0</v>
      </c>
    </row>
    <row r="974" ht="38.45" customHeight="1">
      <c r="A974" s="3">
        <v>973</v>
      </c>
      <c r="B974" t="s" s="4">
        <v>6193</v>
      </c>
      <c r="C974" t="s" s="5">
        <v>6181</v>
      </c>
      <c r="D974" t="s" s="5">
        <v>6149</v>
      </c>
      <c r="E974" t="s" s="5">
        <v>6194</v>
      </c>
      <c r="F974" t="s" s="10">
        <v>6195</v>
      </c>
      <c r="G974" t="s" s="7">
        <v>6196</v>
      </c>
      <c r="H974" t="s" s="7">
        <v>6197</v>
      </c>
      <c r="I974" t="str" s="8" cm="1">
        <f t="array" ref="I974">SUBSTITUTE(H974,B974,"(          )")</f>
        <v>The rules (          ) smoking inside the building.</v>
      </c>
      <c r="J974" s="9" cm="1">
        <f t="array" ref="J974">SUMIF('외운 것 - 엑셀다운로드 파일(붙여넣기)'!A3:A562,A974,'외운 것 - 엑셀다운로드 파일(붙여넣기)'!D3:D562)</f>
        <v>0</v>
      </c>
      <c r="K974" s="9" cm="1">
        <f t="array" ref="K974">_xlfn.COUNTIFS('외운 것 - 엑셀다운로드 파일(붙여넣기)'!A3:A562,A974,'외운 것 - 엑셀다운로드 파일(붙여넣기)'!D3:D562,0)</f>
        <v>0</v>
      </c>
      <c r="L974" s="9" cm="1">
        <f t="array" ref="L974">IF(J974&gt;=3,_xlfn.XLOOKUP(A974,'외운 것 - 엑셀다운로드 파일(붙여넣기)'!A3:A562,'외운 것 - 엑셀다운로드 파일(붙여넣기)'!C3:C562,0,-1),0)</f>
        <v>0</v>
      </c>
    </row>
    <row r="975" ht="23.45" customHeight="1">
      <c r="A975" s="3">
        <v>974</v>
      </c>
      <c r="B975" t="s" s="4">
        <v>6199</v>
      </c>
      <c r="C975" t="s" s="5">
        <v>6128</v>
      </c>
      <c r="D975" t="s" s="5">
        <v>6200</v>
      </c>
      <c r="E975" t="s" s="5">
        <v>6201</v>
      </c>
      <c r="F975" t="s" s="10">
        <v>6202</v>
      </c>
      <c r="G975" t="s" s="7">
        <v>6203</v>
      </c>
      <c r="H975" t="s" s="7">
        <v>6204</v>
      </c>
      <c r="I975" t="str" s="8" cm="1">
        <f t="array" ref="I975">SUBSTITUTE(H975,B975,"(          )")</f>
        <v>Raise your (          ) if you know the answer.</v>
      </c>
      <c r="J975" s="9" cm="1">
        <f t="array" ref="J975">SUMIF('외운 것 - 엑셀다운로드 파일(붙여넣기)'!A3:A562,A975,'외운 것 - 엑셀다운로드 파일(붙여넣기)'!D3:D562)</f>
        <v>0</v>
      </c>
      <c r="K975" s="9" cm="1">
        <f t="array" ref="K975">_xlfn.COUNTIFS('외운 것 - 엑셀다운로드 파일(붙여넣기)'!A3:A562,A975,'외운 것 - 엑셀다운로드 파일(붙여넣기)'!D3:D562,0)</f>
        <v>0</v>
      </c>
      <c r="L975" s="9" cm="1">
        <f t="array" ref="L975">IF(J975&gt;=3,_xlfn.XLOOKUP(A975,'외운 것 - 엑셀다운로드 파일(붙여넣기)'!A3:A562,'외운 것 - 엑셀다운로드 파일(붙여넣기)'!C3:C562,0,-1),0)</f>
        <v>0</v>
      </c>
    </row>
    <row r="976" ht="38.45" customHeight="1">
      <c r="A976" s="3">
        <v>975</v>
      </c>
      <c r="B976" t="s" s="4">
        <v>6206</v>
      </c>
      <c r="C976" t="s" s="5">
        <v>6199</v>
      </c>
      <c r="D976" t="s" s="5">
        <v>6200</v>
      </c>
      <c r="E976" t="s" s="5">
        <v>6207</v>
      </c>
      <c r="F976" t="s" s="10">
        <v>6208</v>
      </c>
      <c r="G976" t="s" s="7">
        <v>6209</v>
      </c>
      <c r="H976" t="s" s="7">
        <v>6210</v>
      </c>
      <c r="I976" t="str" s="8" cm="1">
        <f t="array" ref="I976">SUBSTITUTE(H976,B976,"(          )")</f>
        <v>The suitcase has a broken (          ).</v>
      </c>
      <c r="J976" s="9" cm="1">
        <f t="array" ref="J976">SUMIF('외운 것 - 엑셀다운로드 파일(붙여넣기)'!A3:A562,A976,'외운 것 - 엑셀다운로드 파일(붙여넣기)'!D3:D562)</f>
        <v>0</v>
      </c>
      <c r="K976" s="9" cm="1">
        <f t="array" ref="K976">_xlfn.COUNTIFS('외운 것 - 엑셀다운로드 파일(붙여넣기)'!A3:A562,A976,'외운 것 - 엑셀다운로드 파일(붙여넣기)'!D3:D562,0)</f>
        <v>0</v>
      </c>
      <c r="L976" s="9" cm="1">
        <f t="array" ref="L976">IF(J976&gt;=3,_xlfn.XLOOKUP(A976,'외운 것 - 엑셀다운로드 파일(붙여넣기)'!A3:A562,'외운 것 - 엑셀다운로드 파일(붙여넣기)'!C3:C562,0,-1),0)</f>
        <v>0</v>
      </c>
    </row>
    <row r="977" ht="23.45" customHeight="1">
      <c r="A977" s="3">
        <v>976</v>
      </c>
      <c r="B977" t="s" s="4">
        <v>6212</v>
      </c>
      <c r="C977" t="s" s="5">
        <v>6199</v>
      </c>
      <c r="D977" t="s" s="5">
        <v>6200</v>
      </c>
      <c r="E977" t="s" s="5">
        <v>6213</v>
      </c>
      <c r="F977" t="s" s="10">
        <v>6214</v>
      </c>
      <c r="G977" t="s" s="7">
        <v>6215</v>
      </c>
      <c r="H977" t="s" s="7">
        <v>6216</v>
      </c>
      <c r="I977" t="str" s="8" cm="1">
        <f t="array" ref="I977">SUBSTITUTE(H977,B977,"(          )")</f>
        <v>He grabbed a (          ) of popcorn from the bowl.</v>
      </c>
      <c r="J977" s="9" cm="1">
        <f t="array" ref="J977">SUMIF('외운 것 - 엑셀다운로드 파일(붙여넣기)'!A3:A562,A977,'외운 것 - 엑셀다운로드 파일(붙여넣기)'!D3:D562)</f>
        <v>0</v>
      </c>
      <c r="K977" s="9" cm="1">
        <f t="array" ref="K977">_xlfn.COUNTIFS('외운 것 - 엑셀다운로드 파일(붙여넣기)'!A3:A562,A977,'외운 것 - 엑셀다운로드 파일(붙여넣기)'!D3:D562,0)</f>
        <v>0</v>
      </c>
      <c r="L977" s="9" cm="1">
        <f t="array" ref="L977">IF(J977&gt;=3,_xlfn.XLOOKUP(A977,'외운 것 - 엑셀다운로드 파일(붙여넣기)'!A3:A562,'외운 것 - 엑셀다운로드 파일(붙여넣기)'!C3:C562,0,-1),0)</f>
        <v>0</v>
      </c>
    </row>
    <row r="978" ht="38.45" customHeight="1">
      <c r="A978" s="3">
        <v>977</v>
      </c>
      <c r="B978" t="s" s="4">
        <v>6218</v>
      </c>
      <c r="C978" t="s" s="5">
        <v>6199</v>
      </c>
      <c r="D978" t="s" s="5">
        <v>6200</v>
      </c>
      <c r="E978" t="s" s="5">
        <v>6219</v>
      </c>
      <c r="F978" t="s" s="10">
        <v>6220</v>
      </c>
      <c r="G978" t="s" s="7">
        <v>6221</v>
      </c>
      <c r="H978" t="s" s="7">
        <v>6222</v>
      </c>
      <c r="I978" t="str" s="8" cm="1">
        <f t="array" ref="I978">SUBSTITUTE(H978,B978,"(          )")</f>
        <v>The employee (          ) explains company policies.</v>
      </c>
      <c r="J978" s="9" cm="1">
        <f t="array" ref="J978">SUMIF('외운 것 - 엑셀다운로드 파일(붙여넣기)'!A3:A562,A978,'외운 것 - 엑셀다운로드 파일(붙여넣기)'!D3:D562)</f>
        <v>0</v>
      </c>
      <c r="K978" s="9" cm="1">
        <f t="array" ref="K978">_xlfn.COUNTIFS('외운 것 - 엑셀다운로드 파일(붙여넣기)'!A3:A562,A978,'외운 것 - 엑셀다운로드 파일(붙여넣기)'!D3:D562,0)</f>
        <v>0</v>
      </c>
      <c r="L978" s="9" cm="1">
        <f t="array" ref="L978">IF(J978&gt;=3,_xlfn.XLOOKUP(A978,'외운 것 - 엑셀다운로드 파일(붙여넣기)'!A3:A562,'외운 것 - 엑셀다운로드 파일(붙여넣기)'!C3:C562,0,-1),0)</f>
        <v>0</v>
      </c>
    </row>
    <row r="979" ht="23.45" customHeight="1">
      <c r="A979" s="3">
        <v>978</v>
      </c>
      <c r="B979" t="s" s="4">
        <v>6224</v>
      </c>
      <c r="C979" t="s" s="5">
        <v>6199</v>
      </c>
      <c r="D979" t="s" s="5">
        <v>6200</v>
      </c>
      <c r="E979" t="s" s="5">
        <v>6225</v>
      </c>
      <c r="F979" t="s" s="10">
        <v>6226</v>
      </c>
      <c r="G979" t="s" s="7">
        <v>6227</v>
      </c>
      <c r="H979" t="s" s="7">
        <v>6228</v>
      </c>
      <c r="I979" t="str" s="8" cm="1">
        <f t="array" ref="I979">SUBSTITUTE(H979,B979,"(          )")</f>
        <v>She kept her wallet in her (          ).</v>
      </c>
      <c r="J979" s="9" cm="1">
        <f t="array" ref="J979">SUMIF('외운 것 - 엑셀다운로드 파일(붙여넣기)'!A3:A562,A979,'외운 것 - 엑셀다운로드 파일(붙여넣기)'!D3:D562)</f>
        <v>0</v>
      </c>
      <c r="K979" s="9" cm="1">
        <f t="array" ref="K979">_xlfn.COUNTIFS('외운 것 - 엑셀다운로드 파일(붙여넣기)'!A3:A562,A979,'외운 것 - 엑셀다운로드 파일(붙여넣기)'!D3:D562,0)</f>
        <v>0</v>
      </c>
      <c r="L979" s="9" cm="1">
        <f t="array" ref="L979">IF(J979&gt;=3,_xlfn.XLOOKUP(A979,'외운 것 - 엑셀다운로드 파일(붙여넣기)'!A3:A562,'외운 것 - 엑셀다운로드 파일(붙여넣기)'!C3:C562,0,-1),0)</f>
        <v>0</v>
      </c>
    </row>
    <row r="980" ht="38.45" customHeight="1">
      <c r="A980" s="3">
        <v>979</v>
      </c>
      <c r="B980" t="s" s="4">
        <v>6230</v>
      </c>
      <c r="C980" t="s" s="5">
        <v>6199</v>
      </c>
      <c r="D980" t="s" s="5">
        <v>6200</v>
      </c>
      <c r="E980" t="s" s="5">
        <v>6231</v>
      </c>
      <c r="F980" t="s" s="10">
        <v>6232</v>
      </c>
      <c r="G980" t="s" s="7">
        <v>6233</v>
      </c>
      <c r="H980" t="s" s="7">
        <v>6234</v>
      </c>
      <c r="I980" t="str" s="8" cm="1">
        <f t="array" ref="I980">SUBSTITUTE(H980,B980,"(          )")</f>
        <v>The actor is known for his (          ) features.</v>
      </c>
      <c r="J980" s="9" cm="1">
        <f t="array" ref="J980">SUMIF('외운 것 - 엑셀다운로드 파일(붙여넣기)'!A3:A562,A980,'외운 것 - 엑셀다운로드 파일(붙여넣기)'!D3:D562)</f>
        <v>0</v>
      </c>
      <c r="K980" s="9" cm="1">
        <f t="array" ref="K980">_xlfn.COUNTIFS('외운 것 - 엑셀다운로드 파일(붙여넣기)'!A3:A562,A980,'외운 것 - 엑셀다운로드 파일(붙여넣기)'!D3:D562,0)</f>
        <v>0</v>
      </c>
      <c r="L980" s="9" cm="1">
        <f t="array" ref="L980">IF(J980&gt;=3,_xlfn.XLOOKUP(A980,'외운 것 - 엑셀다운로드 파일(붙여넣기)'!A3:A562,'외운 것 - 엑셀다운로드 파일(붙여넣기)'!C3:C562,0,-1),0)</f>
        <v>0</v>
      </c>
    </row>
    <row r="981" ht="23.45" customHeight="1">
      <c r="A981" s="3">
        <v>980</v>
      </c>
      <c r="B981" t="s" s="4">
        <v>6236</v>
      </c>
      <c r="C981" t="s" s="5">
        <v>6199</v>
      </c>
      <c r="D981" t="s" s="5">
        <v>6200</v>
      </c>
      <c r="E981" t="s" s="5">
        <v>6237</v>
      </c>
      <c r="F981" t="s" s="10">
        <v>6238</v>
      </c>
      <c r="G981" t="s" s="7">
        <v>6239</v>
      </c>
      <c r="H981" t="s" s="7">
        <v>6240</v>
      </c>
      <c r="I981" t="str" s="8" cm="1">
        <f t="array" ref="I981">SUBSTITUTE(H981,B981,"(          )")</f>
        <v>The thief was (          ) by security guards.</v>
      </c>
      <c r="J981" s="9" cm="1">
        <f t="array" ref="J981">SUMIF('외운 것 - 엑셀다운로드 파일(붙여넣기)'!A3:A562,A981,'외운 것 - 엑셀다운로드 파일(붙여넣기)'!D3:D562)</f>
        <v>0</v>
      </c>
      <c r="K981" s="9" cm="1">
        <f t="array" ref="K981">_xlfn.COUNTIFS('외운 것 - 엑셀다운로드 파일(붙여넣기)'!A3:A562,A981,'외운 것 - 엑셀다운로드 파일(붙여넣기)'!D3:D562,0)</f>
        <v>0</v>
      </c>
      <c r="L981" s="9" cm="1">
        <f t="array" ref="L981">IF(J981&gt;=3,_xlfn.XLOOKUP(A981,'외운 것 - 엑셀다운로드 파일(붙여넣기)'!A3:A562,'외운 것 - 엑셀다운로드 파일(붙여넣기)'!C3:C562,0,-1),0)</f>
        <v>0</v>
      </c>
    </row>
    <row r="982" ht="36.4" customHeight="1">
      <c r="A982" s="3">
        <v>981</v>
      </c>
      <c r="B982" t="s" s="4">
        <v>6242</v>
      </c>
      <c r="C982" t="s" s="5">
        <v>6243</v>
      </c>
      <c r="D982" t="s" s="5">
        <v>6199</v>
      </c>
      <c r="E982" t="s" s="5">
        <v>6244</v>
      </c>
      <c r="F982" t="s" s="10">
        <v>6245</v>
      </c>
      <c r="G982" t="s" s="7">
        <v>6246</v>
      </c>
      <c r="H982" t="s" s="7">
        <v>6247</v>
      </c>
      <c r="I982" t="str" s="8" cm="1">
        <f t="array" ref="I982">SUBSTITUTE(H982,B982,"(          )")</f>
        <v>Police (          ) the suspect after a brief chase.</v>
      </c>
      <c r="J982" s="9" cm="1">
        <f t="array" ref="J982">SUMIF('외운 것 - 엑셀다운로드 파일(붙여넣기)'!A3:A562,A982,'외운 것 - 엑셀다운로드 파일(붙여넣기)'!D3:D562)</f>
        <v>0</v>
      </c>
      <c r="K982" s="9" cm="1">
        <f t="array" ref="K982">_xlfn.COUNTIFS('외운 것 - 엑셀다운로드 파일(붙여넣기)'!A3:A562,A982,'외운 것 - 엑셀다운로드 파일(붙여넣기)'!D3:D562,0)</f>
        <v>0</v>
      </c>
      <c r="L982" s="9" cm="1">
        <f t="array" ref="L982">IF(J982&gt;=3,_xlfn.XLOOKUP(A982,'외운 것 - 엑셀다운로드 파일(붙여넣기)'!A3:A562,'외운 것 - 엑셀다운로드 파일(붙여넣기)'!C3:C562,0,-1),0)</f>
        <v>0</v>
      </c>
    </row>
    <row r="983" ht="36.4" customHeight="1">
      <c r="A983" s="3">
        <v>982</v>
      </c>
      <c r="B983" t="s" s="4">
        <v>6249</v>
      </c>
      <c r="C983" t="s" s="5">
        <v>6243</v>
      </c>
      <c r="D983" t="s" s="5">
        <v>6199</v>
      </c>
      <c r="E983" t="s" s="5">
        <v>6250</v>
      </c>
      <c r="F983" t="s" s="10">
        <v>6251</v>
      </c>
      <c r="G983" t="s" s="7">
        <v>6252</v>
      </c>
      <c r="H983" t="s" s="7">
        <v>6253</v>
      </c>
      <c r="I983" t="str" s="8" cm="1">
        <f t="array" ref="I983">SUBSTITUTE(H983,B983,"(          )")</f>
        <v>It's difficult to (          ) the vastness of the universe.</v>
      </c>
      <c r="J983" s="9" cm="1">
        <f t="array" ref="J983">SUMIF('외운 것 - 엑셀다운로드 파일(붙여넣기)'!A3:A562,A983,'외운 것 - 엑셀다운로드 파일(붙여넣기)'!D3:D562)</f>
        <v>0</v>
      </c>
      <c r="K983" s="9" cm="1">
        <f t="array" ref="K983">_xlfn.COUNTIFS('외운 것 - 엑셀다운로드 파일(붙여넣기)'!A3:A562,A983,'외운 것 - 엑셀다운로드 파일(붙여넣기)'!D3:D562,0)</f>
        <v>0</v>
      </c>
      <c r="L983" s="9" cm="1">
        <f t="array" ref="L983">IF(J983&gt;=3,_xlfn.XLOOKUP(A983,'외운 것 - 엑셀다운로드 파일(붙여넣기)'!A3:A562,'외운 것 - 엑셀다운로드 파일(붙여넣기)'!C3:C562,0,-1),0)</f>
        <v>0</v>
      </c>
    </row>
    <row r="984" ht="64.35" customHeight="1">
      <c r="A984" s="3">
        <v>983</v>
      </c>
      <c r="B984" t="s" s="4">
        <v>6255</v>
      </c>
      <c r="C984" t="s" s="5">
        <v>6256</v>
      </c>
      <c r="D984" t="s" s="5">
        <v>6199</v>
      </c>
      <c r="E984" t="s" s="5">
        <v>6257</v>
      </c>
      <c r="F984" t="s" s="10">
        <v>6258</v>
      </c>
      <c r="G984" t="s" s="7">
        <v>6259</v>
      </c>
      <c r="H984" t="s" s="7">
        <v>6260</v>
      </c>
      <c r="I984" t="str" s="8" cm="1">
        <f t="array" ref="I984">SUBSTITUTE(H984,B984,"(          )")</f>
        <v>Make your instructions (          ) for beginners.</v>
      </c>
      <c r="J984" s="9" cm="1">
        <f t="array" ref="J984">SUMIF('외운 것 - 엑셀다운로드 파일(붙여넣기)'!A3:A562,A984,'외운 것 - 엑셀다운로드 파일(붙여넣기)'!D3:D562)</f>
        <v>0</v>
      </c>
      <c r="K984" s="9" cm="1">
        <f t="array" ref="K984">_xlfn.COUNTIFS('외운 것 - 엑셀다운로드 파일(붙여넣기)'!A3:A562,A984,'외운 것 - 엑셀다운로드 파일(붙여넣기)'!D3:D562,0)</f>
        <v>0</v>
      </c>
      <c r="L984" s="9" cm="1">
        <f t="array" ref="L984">IF(J984&gt;=3,_xlfn.XLOOKUP(A984,'외운 것 - 엑셀다운로드 파일(붙여넣기)'!A3:A562,'외운 것 - 엑셀다운로드 파일(붙여넣기)'!C3:C562,0,-1),0)</f>
        <v>0</v>
      </c>
    </row>
    <row r="985" ht="38.45" customHeight="1">
      <c r="A985" s="3">
        <v>984</v>
      </c>
      <c r="B985" t="s" s="4">
        <v>6262</v>
      </c>
      <c r="C985" t="s" s="5">
        <v>6243</v>
      </c>
      <c r="D985" t="s" s="5">
        <v>6199</v>
      </c>
      <c r="E985" t="s" s="5">
        <v>6263</v>
      </c>
      <c r="F985" t="s" s="10">
        <v>6264</v>
      </c>
      <c r="G985" t="s" s="7">
        <v>6265</v>
      </c>
      <c r="H985" t="s" s="7">
        <v>6266</v>
      </c>
      <c r="I985" t="str" s="8" cm="1">
        <f t="array" ref="I985">SUBSTITUTE(H985,B985,"(          )")</f>
        <v>The report provides a (          ) analysis of the situation.</v>
      </c>
      <c r="J985" s="9" cm="1">
        <f t="array" ref="J985">SUMIF('외운 것 - 엑셀다운로드 파일(붙여넣기)'!A3:A562,A985,'외운 것 - 엑셀다운로드 파일(붙여넣기)'!D3:D562)</f>
        <v>0</v>
      </c>
      <c r="K985" s="9" cm="1">
        <f t="array" ref="K985">_xlfn.COUNTIFS('외운 것 - 엑셀다운로드 파일(붙여넣기)'!A3:A562,A985,'외운 것 - 엑셀다운로드 파일(붙여넣기)'!D3:D562,0)</f>
        <v>0</v>
      </c>
      <c r="L985" s="9" cm="1">
        <f t="array" ref="L985">IF(J985&gt;=3,_xlfn.XLOOKUP(A985,'외운 것 - 엑셀다운로드 파일(붙여넣기)'!A3:A562,'외운 것 - 엑셀다운로드 파일(붙여넣기)'!C3:C562,0,-1),0)</f>
        <v>0</v>
      </c>
    </row>
    <row r="986" ht="38.45" customHeight="1">
      <c r="A986" s="3">
        <v>985</v>
      </c>
      <c r="B986" t="s" s="4">
        <v>6268</v>
      </c>
      <c r="C986" t="s" s="5">
        <v>6269</v>
      </c>
      <c r="D986" t="s" s="5">
        <v>6270</v>
      </c>
      <c r="E986" t="s" s="5">
        <v>6271</v>
      </c>
      <c r="F986" t="s" s="10">
        <v>6272</v>
      </c>
      <c r="G986" t="s" s="7">
        <v>6273</v>
      </c>
      <c r="H986" t="s" s="7">
        <v>6274</v>
      </c>
      <c r="I986" t="str" s="8" cm="1">
        <f t="array" ref="I986">SUBSTITUTE(H986,B986,"(          )")</f>
        <v>The choir sang in perfect (          ).</v>
      </c>
      <c r="J986" s="9" cm="1">
        <f t="array" ref="J986">SUMIF('외운 것 - 엑셀다운로드 파일(붙여넣기)'!A3:A562,A986,'외운 것 - 엑셀다운로드 파일(붙여넣기)'!D3:D562)</f>
        <v>0</v>
      </c>
      <c r="K986" s="9" cm="1">
        <f t="array" ref="K986">_xlfn.COUNTIFS('외운 것 - 엑셀다운로드 파일(붙여넣기)'!A3:A562,A986,'외운 것 - 엑셀다운로드 파일(붙여넣기)'!D3:D562,0)</f>
        <v>0</v>
      </c>
      <c r="L986" s="9" cm="1">
        <f t="array" ref="L986">IF(J986&gt;=3,_xlfn.XLOOKUP(A986,'외운 것 - 엑셀다운로드 파일(붙여넣기)'!A3:A562,'외운 것 - 엑셀다운로드 파일(붙여넣기)'!C3:C562,0,-1),0)</f>
        <v>0</v>
      </c>
    </row>
    <row r="987" ht="36.4" customHeight="1">
      <c r="A987" s="3">
        <v>986</v>
      </c>
      <c r="B987" t="s" s="4">
        <v>6276</v>
      </c>
      <c r="C987" t="s" s="5">
        <v>6277</v>
      </c>
      <c r="D987" t="s" s="5">
        <v>6269</v>
      </c>
      <c r="E987" t="s" s="5">
        <v>6278</v>
      </c>
      <c r="F987" t="s" s="10">
        <v>6279</v>
      </c>
      <c r="G987" t="s" s="7">
        <v>6280</v>
      </c>
      <c r="H987" t="s" s="7">
        <v>6281</v>
      </c>
      <c r="I987" t="str" s="8" cm="1">
        <f t="array" ref="I987">SUBSTITUTE(H987,B987,"(          )")</f>
        <v>He played a blues tune on his (          ).</v>
      </c>
      <c r="J987" s="9" cm="1">
        <f t="array" ref="J987">SUMIF('외운 것 - 엑셀다운로드 파일(붙여넣기)'!A3:A562,A987,'외운 것 - 엑셀다운로드 파일(붙여넣기)'!D3:D562)</f>
        <v>0</v>
      </c>
      <c r="K987" s="9" cm="1">
        <f t="array" ref="K987">_xlfn.COUNTIFS('외운 것 - 엑셀다운로드 파일(붙여넣기)'!A3:A562,A987,'외운 것 - 엑셀다운로드 파일(붙여넣기)'!D3:D562,0)</f>
        <v>0</v>
      </c>
      <c r="L987" s="9" cm="1">
        <f t="array" ref="L987">IF(J987&gt;=3,_xlfn.XLOOKUP(A987,'외운 것 - 엑셀다운로드 파일(붙여넣기)'!A3:A562,'외운 것 - 엑셀다운로드 파일(붙여넣기)'!C3:C562,0,-1),0)</f>
        <v>0</v>
      </c>
    </row>
    <row r="988" ht="38.45" customHeight="1">
      <c r="A988" s="3">
        <v>987</v>
      </c>
      <c r="B988" t="s" s="4">
        <v>6283</v>
      </c>
      <c r="C988" t="s" s="5">
        <v>6269</v>
      </c>
      <c r="D988" t="s" s="5">
        <v>6270</v>
      </c>
      <c r="E988" t="s" s="5">
        <v>6284</v>
      </c>
      <c r="F988" t="s" s="10">
        <v>6285</v>
      </c>
      <c r="G988" t="s" s="7">
        <v>6286</v>
      </c>
      <c r="H988" t="s" s="7">
        <v>6287</v>
      </c>
      <c r="I988" t="str" s="8" cm="1">
        <f t="array" ref="I988">SUBSTITUTE(H988,B988,"(          )")</f>
        <v>The angel is often depicted playing a (          ).</v>
      </c>
      <c r="J988" s="9" cm="1">
        <f t="array" ref="J988">SUMIF('외운 것 - 엑셀다운로드 파일(붙여넣기)'!A3:A562,A988,'외운 것 - 엑셀다운로드 파일(붙여넣기)'!D3:D562)</f>
        <v>0</v>
      </c>
      <c r="K988" s="9" cm="1">
        <f t="array" ref="K988">_xlfn.COUNTIFS('외운 것 - 엑셀다운로드 파일(붙여넣기)'!A3:A562,A988,'외운 것 - 엑셀다운로드 파일(붙여넣기)'!D3:D562,0)</f>
        <v>0</v>
      </c>
      <c r="L988" s="9" cm="1">
        <f t="array" ref="L988">IF(J988&gt;=3,_xlfn.XLOOKUP(A988,'외운 것 - 엑셀다운로드 파일(붙여넣기)'!A3:A562,'외운 것 - 엑셀다운로드 파일(붙여넣기)'!C3:C562,0,-1),0)</f>
        <v>0</v>
      </c>
    </row>
    <row r="989" ht="53.45" customHeight="1">
      <c r="A989" s="3">
        <v>988</v>
      </c>
      <c r="B989" t="s" s="4">
        <v>6289</v>
      </c>
      <c r="C989" t="s" s="5">
        <v>6269</v>
      </c>
      <c r="D989" t="s" s="5">
        <v>6270</v>
      </c>
      <c r="E989" t="s" s="5">
        <v>6290</v>
      </c>
      <c r="F989" t="s" s="10">
        <v>6291</v>
      </c>
      <c r="G989" t="s" s="7">
        <v>6292</v>
      </c>
      <c r="H989" t="s" s="7">
        <v>6293</v>
      </c>
      <c r="I989" t="str" s="8" cm="1">
        <f t="array" ref="I989">SUBSTITUTE(H989,B989,"(          )")</f>
        <v>Diamonds are the (          )est natural material.</v>
      </c>
      <c r="J989" s="9" cm="1">
        <f t="array" ref="J989">SUMIF('외운 것 - 엑셀다운로드 파일(붙여넣기)'!A3:A562,A989,'외운 것 - 엑셀다운로드 파일(붙여넣기)'!D3:D562)</f>
        <v>0</v>
      </c>
      <c r="K989" s="9" cm="1">
        <f t="array" ref="K989">_xlfn.COUNTIFS('외운 것 - 엑셀다운로드 파일(붙여넣기)'!A3:A562,A989,'외운 것 - 엑셀다운로드 파일(붙여넣기)'!D3:D562,0)</f>
        <v>0</v>
      </c>
      <c r="L989" s="9" cm="1">
        <f t="array" ref="L989">IF(J989&gt;=3,_xlfn.XLOOKUP(A989,'외운 것 - 엑셀다운로드 파일(붙여넣기)'!A3:A562,'외운 것 - 엑셀다운로드 파일(붙여넣기)'!C3:C562,0,-1),0)</f>
        <v>0</v>
      </c>
    </row>
    <row r="990" ht="23.45" customHeight="1">
      <c r="A990" s="3">
        <v>989</v>
      </c>
      <c r="B990" t="s" s="4">
        <v>6295</v>
      </c>
      <c r="C990" t="s" s="5">
        <v>6296</v>
      </c>
      <c r="D990" t="s" s="5">
        <v>6269</v>
      </c>
      <c r="E990" t="s" s="5">
        <v>6297</v>
      </c>
      <c r="F990" t="s" s="10">
        <v>6298</v>
      </c>
      <c r="G990" t="s" s="7">
        <v>6299</v>
      </c>
      <c r="H990" t="s" s="7">
        <v>6300</v>
      </c>
      <c r="I990" t="str" s="8" cm="1">
        <f t="array" ref="I990">SUBSTITUTE(H990,B990,"(          )")</f>
        <v>I could (          ) hear his whisper.</v>
      </c>
      <c r="J990" s="9" cm="1">
        <f t="array" ref="J990">SUMIF('외운 것 - 엑셀다운로드 파일(붙여넣기)'!A3:A562,A990,'외운 것 - 엑셀다운로드 파일(붙여넣기)'!D3:D562)</f>
        <v>0</v>
      </c>
      <c r="K990" s="9" cm="1">
        <f t="array" ref="K990">_xlfn.COUNTIFS('외운 것 - 엑셀다운로드 파일(붙여넣기)'!A3:A562,A990,'외운 것 - 엑셀다운로드 파일(붙여넣기)'!D3:D562,0)</f>
        <v>0</v>
      </c>
      <c r="L990" s="9" cm="1">
        <f t="array" ref="L990">IF(J990&gt;=3,_xlfn.XLOOKUP(A990,'외운 것 - 엑셀다운로드 파일(붙여넣기)'!A3:A562,'외운 것 - 엑셀다운로드 파일(붙여넣기)'!C3:C562,0,-1),0)</f>
        <v>0</v>
      </c>
    </row>
    <row r="991" ht="38.45" customHeight="1">
      <c r="A991" s="3">
        <v>990</v>
      </c>
      <c r="B991" t="s" s="4">
        <v>6302</v>
      </c>
      <c r="C991" t="s" s="5">
        <v>6269</v>
      </c>
      <c r="D991" t="s" s="5">
        <v>6270</v>
      </c>
      <c r="E991" t="s" s="5">
        <v>6303</v>
      </c>
      <c r="F991" t="s" s="10">
        <v>6304</v>
      </c>
      <c r="G991" t="s" s="7">
        <v>6305</v>
      </c>
      <c r="H991" t="s" s="7">
        <v>6306</v>
      </c>
      <c r="I991" t="str" s="8" cm="1">
        <f t="array" ref="I991">SUBSTITUTE(H991,B991,"(          )")</f>
        <v>The desert climate is (          ) and unforgiving.</v>
      </c>
      <c r="J991" s="9" cm="1">
        <f t="array" ref="J991">SUMIF('외운 것 - 엑셀다운로드 파일(붙여넣기)'!A3:A562,A991,'외운 것 - 엑셀다운로드 파일(붙여넣기)'!D3:D562)</f>
        <v>0</v>
      </c>
      <c r="K991" s="9" cm="1">
        <f t="array" ref="K991">_xlfn.COUNTIFS('외운 것 - 엑셀다운로드 파일(붙여넣기)'!A3:A562,A991,'외운 것 - 엑셀다운로드 파일(붙여넣기)'!D3:D562,0)</f>
        <v>0</v>
      </c>
      <c r="L991" s="9" cm="1">
        <f t="array" ref="L991">IF(J991&gt;=3,_xlfn.XLOOKUP(A991,'외운 것 - 엑셀다운로드 파일(붙여넣기)'!A3:A562,'외운 것 - 엑셀다운로드 파일(붙여넣기)'!C3:C562,0,-1),0)</f>
        <v>0</v>
      </c>
    </row>
    <row r="992" ht="38.45" customHeight="1">
      <c r="A992" s="3">
        <v>991</v>
      </c>
      <c r="B992" t="s" s="4">
        <v>6308</v>
      </c>
      <c r="C992" t="s" s="5">
        <v>6269</v>
      </c>
      <c r="D992" t="s" s="5">
        <v>6270</v>
      </c>
      <c r="E992" t="s" s="5">
        <v>6309</v>
      </c>
      <c r="F992" t="s" s="10">
        <v>6310</v>
      </c>
      <c r="G992" t="s" s="7">
        <v>6311</v>
      </c>
      <c r="H992" t="s" s="7">
        <v>6312</v>
      </c>
      <c r="I992" t="str" s="8" cm="1">
        <f t="array" ref="I992">SUBSTITUTE(H992,B992,"(          )")</f>
        <v>Farmers use a (          ) to control work horses.</v>
      </c>
      <c r="J992" s="9" cm="1">
        <f t="array" ref="J992">SUMIF('외운 것 - 엑셀다운로드 파일(붙여넣기)'!A3:A562,A992,'외운 것 - 엑셀다운로드 파일(붙여넣기)'!D3:D562)</f>
        <v>0</v>
      </c>
      <c r="K992" s="9" cm="1">
        <f t="array" ref="K992">_xlfn.COUNTIFS('외운 것 - 엑셀다운로드 파일(붙여넣기)'!A3:A562,A992,'외운 것 - 엑셀다운로드 파일(붙여넣기)'!D3:D562,0)</f>
        <v>0</v>
      </c>
      <c r="L992" s="9" cm="1">
        <f t="array" ref="L992">IF(J992&gt;=3,_xlfn.XLOOKUP(A992,'외운 것 - 엑셀다운로드 파일(붙여넣기)'!A3:A562,'외운 것 - 엑셀다운로드 파일(붙여넣기)'!C3:C562,0,-1),0)</f>
        <v>0</v>
      </c>
    </row>
    <row r="993" ht="23.45" customHeight="1">
      <c r="A993" s="3">
        <v>992</v>
      </c>
      <c r="B993" t="s" s="4">
        <v>6314</v>
      </c>
      <c r="C993" t="s" s="5">
        <v>6269</v>
      </c>
      <c r="D993" t="s" s="5">
        <v>6270</v>
      </c>
      <c r="E993" t="s" s="5">
        <v>6315</v>
      </c>
      <c r="F993" t="s" s="10">
        <v>6316</v>
      </c>
      <c r="G993" t="s" s="7">
        <v>6317</v>
      </c>
      <c r="H993" t="s" s="7">
        <v>6318</v>
      </c>
      <c r="I993" t="str" s="8" cm="1">
        <f t="array" ref="I993">SUBSTITUTE(H993,B993,"(          )")</f>
        <v>Farmers (          ) wheat in late summer.</v>
      </c>
      <c r="J993" s="9" cm="1">
        <f t="array" ref="J993">SUMIF('외운 것 - 엑셀다운로드 파일(붙여넣기)'!A3:A562,A993,'외운 것 - 엑셀다운로드 파일(붙여넣기)'!D3:D562)</f>
        <v>0</v>
      </c>
      <c r="K993" s="9" cm="1">
        <f t="array" ref="K993">_xlfn.COUNTIFS('외운 것 - 엑셀다운로드 파일(붙여넣기)'!A3:A562,A993,'외운 것 - 엑셀다운로드 파일(붙여넣기)'!D3:D562,0)</f>
        <v>0</v>
      </c>
      <c r="L993" s="9" cm="1">
        <f t="array" ref="L993">IF(J993&gt;=3,_xlfn.XLOOKUP(A993,'외운 것 - 엑셀다운로드 파일(붙여넣기)'!A3:A562,'외운 것 - 엑셀다운로드 파일(붙여넣기)'!C3:C562,0,-1),0)</f>
        <v>0</v>
      </c>
    </row>
    <row r="994" ht="23.45" customHeight="1">
      <c r="A994" s="3">
        <v>993</v>
      </c>
      <c r="B994" t="s" s="4">
        <v>6320</v>
      </c>
      <c r="C994" t="s" s="5">
        <v>6321</v>
      </c>
      <c r="D994" t="s" s="5">
        <v>6322</v>
      </c>
      <c r="E994" t="s" s="5">
        <v>6323</v>
      </c>
      <c r="F994" t="s" s="10">
        <v>6324</v>
      </c>
      <c r="G994" t="s" s="7">
        <v>6325</v>
      </c>
      <c r="H994" t="s" s="7">
        <v>6326</v>
      </c>
      <c r="I994" t="str" s="8" cm="1">
        <f t="array" ref="I994">SUBSTITUTE(H994,B994,"(          )")</f>
        <v>The prince is (          ) to the throne.</v>
      </c>
      <c r="J994" s="9" cm="1">
        <f t="array" ref="J994">SUMIF('외운 것 - 엑셀다운로드 파일(붙여넣기)'!A3:A562,A994,'외운 것 - 엑셀다운로드 파일(붙여넣기)'!D3:D562)</f>
        <v>0</v>
      </c>
      <c r="K994" s="9" cm="1">
        <f t="array" ref="K994">_xlfn.COUNTIFS('외운 것 - 엑셀다운로드 파일(붙여넣기)'!A3:A562,A994,'외운 것 - 엑셀다운로드 파일(붙여넣기)'!D3:D562,0)</f>
        <v>0</v>
      </c>
      <c r="L994" s="9" cm="1">
        <f t="array" ref="L994">IF(J994&gt;=3,_xlfn.XLOOKUP(A994,'외운 것 - 엑셀다운로드 파일(붙여넣기)'!A3:A562,'외운 것 - 엑셀다운로드 파일(붙여넣기)'!C3:C562,0,-1),0)</f>
        <v>0</v>
      </c>
    </row>
    <row r="995" ht="38.45" customHeight="1">
      <c r="A995" s="3">
        <v>994</v>
      </c>
      <c r="B995" t="s" s="4">
        <v>6328</v>
      </c>
      <c r="C995" t="s" s="5">
        <v>6329</v>
      </c>
      <c r="D995" t="s" s="5">
        <v>6322</v>
      </c>
      <c r="E995" t="s" s="5">
        <v>6330</v>
      </c>
      <c r="F995" t="s" s="10">
        <v>6331</v>
      </c>
      <c r="G995" t="s" s="7">
        <v>6332</v>
      </c>
      <c r="H995" t="s" s="7">
        <v>6333</v>
      </c>
      <c r="I995" t="str" s="8" cm="1">
        <f t="array" ref="I995">SUBSTITUTE(H995,B995,"(          )")</f>
        <v>She will (          ) the family business.</v>
      </c>
      <c r="J995" s="9" cm="1">
        <f t="array" ref="J995">SUMIF('외운 것 - 엑셀다운로드 파일(붙여넣기)'!A3:A562,A995,'외운 것 - 엑셀다운로드 파일(붙여넣기)'!D3:D562)</f>
        <v>0</v>
      </c>
      <c r="K995" s="9" cm="1">
        <f t="array" ref="K995">_xlfn.COUNTIFS('외운 것 - 엑셀다운로드 파일(붙여넣기)'!A3:A562,A995,'외운 것 - 엑셀다운로드 파일(붙여넣기)'!D3:D562,0)</f>
        <v>0</v>
      </c>
      <c r="L995" s="9" cm="1">
        <f t="array" ref="L995">IF(J995&gt;=3,_xlfn.XLOOKUP(A995,'외운 것 - 엑셀다운로드 파일(붙여넣기)'!A3:A562,'외운 것 - 엑셀다운로드 파일(붙여넣기)'!C3:C562,0,-1),0)</f>
        <v>0</v>
      </c>
    </row>
    <row r="996" ht="38.45" customHeight="1">
      <c r="A996" s="3">
        <v>995</v>
      </c>
      <c r="B996" t="s" s="4">
        <v>6335</v>
      </c>
      <c r="C996" t="s" s="5">
        <v>6321</v>
      </c>
      <c r="D996" t="s" s="5">
        <v>6322</v>
      </c>
      <c r="E996" t="s" s="5">
        <v>6336</v>
      </c>
      <c r="F996" t="s" s="10">
        <v>6337</v>
      </c>
      <c r="G996" t="s" s="7">
        <v>6338</v>
      </c>
      <c r="H996" t="s" s="7">
        <v>6339</v>
      </c>
      <c r="I996" t="str" s="8" cm="1">
        <f t="array" ref="I996">SUBSTITUTE(H996,B996,"(          )")</f>
        <v>The festival celebrates the cultural (          ) of the region.</v>
      </c>
      <c r="J996" s="9" cm="1">
        <f t="array" ref="J996">SUMIF('외운 것 - 엑셀다운로드 파일(붙여넣기)'!A3:A562,A996,'외운 것 - 엑셀다운로드 파일(붙여넣기)'!D3:D562)</f>
        <v>0</v>
      </c>
      <c r="K996" s="9" cm="1">
        <f t="array" ref="K996">_xlfn.COUNTIFS('외운 것 - 엑셀다운로드 파일(붙여넣기)'!A3:A562,A996,'외운 것 - 엑셀다운로드 파일(붙여넣기)'!D3:D562,0)</f>
        <v>0</v>
      </c>
      <c r="L996" s="9" cm="1">
        <f t="array" ref="L996">IF(J996&gt;=3,_xlfn.XLOOKUP(A996,'외운 것 - 엑셀다운로드 파일(붙여넣기)'!A3:A562,'외운 것 - 엑셀다운로드 파일(붙여넣기)'!C3:C562,0,-1),0)</f>
        <v>0</v>
      </c>
    </row>
    <row r="997" ht="38.45" customHeight="1">
      <c r="A997" s="3">
        <v>996</v>
      </c>
      <c r="B997" t="s" s="4">
        <v>6341</v>
      </c>
      <c r="C997" t="s" s="5">
        <v>6342</v>
      </c>
      <c r="D997" t="s" s="5">
        <v>6322</v>
      </c>
      <c r="E997" t="s" s="5">
        <v>6343</v>
      </c>
      <c r="F997" t="s" s="10">
        <v>6344</v>
      </c>
      <c r="G997" t="s" s="7">
        <v>6345</v>
      </c>
      <c r="H997" t="s" s="7">
        <v>6346</v>
      </c>
      <c r="I997" t="str" s="8" cm="1">
        <f t="array" ref="I997">SUBSTITUTE(H997,B997,"(          )")</f>
        <v>Some traits are determined by (          ) rather than environment.</v>
      </c>
      <c r="J997" s="9" cm="1">
        <f t="array" ref="J997">SUMIF('외운 것 - 엑셀다운로드 파일(붙여넣기)'!A3:A562,A997,'외운 것 - 엑셀다운로드 파일(붙여넣기)'!D3:D562)</f>
        <v>0</v>
      </c>
      <c r="K997" s="9" cm="1">
        <f t="array" ref="K997">_xlfn.COUNTIFS('외운 것 - 엑셀다운로드 파일(붙여넣기)'!A3:A562,A997,'외운 것 - 엑셀다운로드 파일(붙여넣기)'!D3:D562,0)</f>
        <v>0</v>
      </c>
      <c r="L997" s="9" cm="1">
        <f t="array" ref="L997">IF(J997&gt;=3,_xlfn.XLOOKUP(A997,'외운 것 - 엑셀다운로드 파일(붙여넣기)'!A3:A562,'외운 것 - 엑셀다운로드 파일(붙여넣기)'!C3:C562,0,-1),0)</f>
        <v>0</v>
      </c>
    </row>
    <row r="998" ht="38.45" customHeight="1">
      <c r="A998" s="3">
        <v>997</v>
      </c>
      <c r="B998" t="s" s="4">
        <v>6348</v>
      </c>
      <c r="C998" t="s" s="5">
        <v>6342</v>
      </c>
      <c r="D998" t="s" s="5">
        <v>6322</v>
      </c>
      <c r="E998" t="s" s="5">
        <v>6349</v>
      </c>
      <c r="F998" t="s" s="10">
        <v>6350</v>
      </c>
      <c r="G998" t="s" s="7">
        <v>6351</v>
      </c>
      <c r="H998" t="s" s="7">
        <v>6352</v>
      </c>
      <c r="I998" t="str" s="8" cm="1">
        <f t="array" ref="I998">SUBSTITUTE(H998,B998,"(          )")</f>
        <v>There is an (          ) risk in any surgical procedure.</v>
      </c>
      <c r="J998" s="9" cm="1">
        <f t="array" ref="J998">SUMIF('외운 것 - 엑셀다운로드 파일(붙여넣기)'!A3:A562,A998,'외운 것 - 엑셀다운로드 파일(붙여넣기)'!D3:D562)</f>
        <v>0</v>
      </c>
      <c r="K998" s="9" cm="1">
        <f t="array" ref="K998">_xlfn.COUNTIFS('외운 것 - 엑셀다운로드 파일(붙여넣기)'!A3:A562,A998,'외운 것 - 엑셀다운로드 파일(붙여넣기)'!D3:D562,0)</f>
        <v>0</v>
      </c>
      <c r="L998" s="9" cm="1">
        <f t="array" ref="L998">IF(J998&gt;=3,_xlfn.XLOOKUP(A998,'외운 것 - 엑셀다운로드 파일(붙여넣기)'!A3:A562,'외운 것 - 엑셀다운로드 파일(붙여넣기)'!C3:C562,0,-1),0)</f>
        <v>0</v>
      </c>
    </row>
    <row r="999" ht="53.45" customHeight="1">
      <c r="A999" s="3">
        <v>998</v>
      </c>
      <c r="B999" t="s" s="4">
        <v>6354</v>
      </c>
      <c r="C999" t="s" s="5">
        <v>6355</v>
      </c>
      <c r="D999" t="s" s="5">
        <v>6356</v>
      </c>
      <c r="E999" t="s" s="5">
        <v>6357</v>
      </c>
      <c r="F999" t="s" s="10">
        <v>6358</v>
      </c>
      <c r="G999" t="s" s="7">
        <v>6359</v>
      </c>
      <c r="H999" t="s" s="7">
        <v>6360</v>
      </c>
      <c r="I999" t="str" s="8" cm="1">
        <f t="array" ref="I999">SUBSTITUTE(H999,B999,"(          )")</f>
        <v>Please (          ) the door when you leave.</v>
      </c>
      <c r="J999" s="9" cm="1">
        <f t="array" ref="J999">SUMIF('외운 것 - 엑셀다운로드 파일(붙여넣기)'!A3:A562,A999,'외운 것 - 엑셀다운로드 파일(붙여넣기)'!D3:D562)</f>
        <v>0</v>
      </c>
      <c r="K999" s="9" cm="1">
        <f t="array" ref="K999">_xlfn.COUNTIFS('외운 것 - 엑셀다운로드 파일(붙여넣기)'!A3:A562,A999,'외운 것 - 엑셀다운로드 파일(붙여넣기)'!D3:D562,0)</f>
        <v>0</v>
      </c>
      <c r="L999" s="9" cm="1">
        <f t="array" ref="L999">IF(J999&gt;=3,_xlfn.XLOOKUP(A999,'외운 것 - 엑셀다운로드 파일(붙여넣기)'!A3:A562,'외운 것 - 엑셀다운로드 파일(붙여넣기)'!C3:C562,0,-1),0)</f>
        <v>0</v>
      </c>
    </row>
    <row r="1000" ht="38.45" customHeight="1">
      <c r="A1000" s="3">
        <v>999</v>
      </c>
      <c r="B1000" t="s" s="4">
        <v>6361</v>
      </c>
      <c r="C1000" t="s" s="5">
        <v>6355</v>
      </c>
      <c r="D1000" t="s" s="5">
        <v>6356</v>
      </c>
      <c r="E1000" t="s" s="5">
        <v>6362</v>
      </c>
      <c r="F1000" t="s" s="10">
        <v>6363</v>
      </c>
      <c r="G1000" t="s" s="7">
        <v>6364</v>
      </c>
      <c r="H1000" t="s" s="7">
        <v>6365</v>
      </c>
      <c r="I1000" t="str" s="8" cm="1">
        <f t="array" ref="I1000">SUBSTITUTE(H1000,B1000,"(          )")</f>
        <v>I need to (          ) for groceries this afternoon.</v>
      </c>
      <c r="J1000" s="9" cm="1">
        <f t="array" ref="J1000">SUMIF('외운 것 - 엑셀다운로드 파일(붙여넣기)'!A3:A562,A1000,'외운 것 - 엑셀다운로드 파일(붙여넣기)'!D3:D562)</f>
        <v>0</v>
      </c>
      <c r="K1000" s="9" cm="1">
        <f t="array" ref="K1000">_xlfn.COUNTIFS('외운 것 - 엑셀다운로드 파일(붙여넣기)'!A3:A562,A1000,'외운 것 - 엑셀다운로드 파일(붙여넣기)'!D3:D562,0)</f>
        <v>0</v>
      </c>
      <c r="L1000" s="9" cm="1">
        <f t="array" ref="L1000">IF(J1000&gt;=3,_xlfn.XLOOKUP(A1000,'외운 것 - 엑셀다운로드 파일(붙여넣기)'!A3:A562,'외운 것 - 엑셀다운로드 파일(붙여넣기)'!C3:C562,0,-1),0)</f>
        <v>0</v>
      </c>
    </row>
    <row r="1001" ht="38.45" customHeight="1">
      <c r="A1001" s="3">
        <v>1000</v>
      </c>
      <c r="B1001" t="s" s="4">
        <v>6367</v>
      </c>
      <c r="C1001" t="s" s="5">
        <v>6355</v>
      </c>
      <c r="D1001" t="s" s="5">
        <v>6356</v>
      </c>
      <c r="E1001" t="s" s="5">
        <v>6368</v>
      </c>
      <c r="F1001" t="s" s="10">
        <v>6369</v>
      </c>
      <c r="G1001" t="s" s="7">
        <v>6370</v>
      </c>
      <c r="H1001" t="s" s="7">
        <v>6371</v>
      </c>
      <c r="I1001" t="str" s="8" cm="1">
        <f t="array" ref="I1001">SUBSTITUTE(H1001,B1001,"(          )")</f>
        <v>My new (          ) gives me a blister.</v>
      </c>
      <c r="J1001" s="9" cm="1">
        <f t="array" ref="J1001">SUMIF('외운 것 - 엑셀다운로드 파일(붙여넣기)'!A3:A562,A1001,'외운 것 - 엑셀다운로드 파일(붙여넣기)'!D3:D562)</f>
        <v>0</v>
      </c>
      <c r="K1001" s="9" cm="1">
        <f t="array" ref="K1001">_xlfn.COUNTIFS('외운 것 - 엑셀다운로드 파일(붙여넣기)'!A3:A562,A1001,'외운 것 - 엑셀다운로드 파일(붙여넣기)'!D3:D562,0)</f>
        <v>0</v>
      </c>
      <c r="L1001" s="9" cm="1">
        <f t="array" ref="L1001">IF(J1001&gt;=3,_xlfn.XLOOKUP(A1001,'외운 것 - 엑셀다운로드 파일(붙여넣기)'!A3:A562,'외운 것 - 엑셀다운로드 파일(붙여넣기)'!C3:C562,0,-1),0)</f>
        <v>0</v>
      </c>
    </row>
    <row r="1002" ht="38.45" customHeight="1">
      <c r="A1002" s="3">
        <v>1001</v>
      </c>
      <c r="B1002" t="s" s="4">
        <v>6373</v>
      </c>
      <c r="C1002" t="s" s="5">
        <v>6355</v>
      </c>
      <c r="D1002" t="s" s="5">
        <v>6356</v>
      </c>
      <c r="E1002" t="s" s="5">
        <v>6374</v>
      </c>
      <c r="F1002" t="s" s="10">
        <v>6375</v>
      </c>
      <c r="G1002" t="s" s="7">
        <v>6376</v>
      </c>
      <c r="H1002" t="s" s="7">
        <v>6377</v>
      </c>
      <c r="I1002" t="str" s="8" cm="1">
        <f t="array" ref="I1002">SUBSTITUTE(H1002,B1002,"(          )")</f>
        <v>He wore a blue (          ) to the interview.</v>
      </c>
      <c r="J1002" s="9" cm="1">
        <f t="array" ref="J1002">SUMIF('외운 것 - 엑셀다운로드 파일(붙여넣기)'!A3:A562,A1002,'외운 것 - 엑셀다운로드 파일(붙여넣기)'!D3:D562)</f>
        <v>0</v>
      </c>
      <c r="K1002" s="9" cm="1">
        <f t="array" ref="K1002">_xlfn.COUNTIFS('외운 것 - 엑셀다운로드 파일(붙여넣기)'!A3:A562,A1002,'외운 것 - 엑셀다운로드 파일(붙여넣기)'!D3:D562,0)</f>
        <v>0</v>
      </c>
      <c r="L1002" s="9" cm="1">
        <f t="array" ref="L1002">IF(J1002&gt;=3,_xlfn.XLOOKUP(A1002,'외운 것 - 엑셀다운로드 파일(붙여넣기)'!A3:A562,'외운 것 - 엑셀다운로드 파일(붙여넣기)'!C3:C562,0,-1),0)</f>
        <v>0</v>
      </c>
    </row>
    <row r="1003" ht="38.45" customHeight="1">
      <c r="A1003" s="3">
        <v>1002</v>
      </c>
      <c r="B1003" t="s" s="4">
        <v>6379</v>
      </c>
      <c r="C1003" t="s" s="5">
        <v>6355</v>
      </c>
      <c r="D1003" t="s" s="5">
        <v>6356</v>
      </c>
      <c r="E1003" t="s" s="5">
        <v>6380</v>
      </c>
      <c r="F1003" t="s" s="10">
        <v>6381</v>
      </c>
      <c r="G1003" t="s" s="7">
        <v>6382</v>
      </c>
      <c r="H1003" t="s" s="7">
        <v>6383</v>
      </c>
      <c r="I1003" t="str" s="8" cm="1">
        <f t="array" ref="I1003">SUBSTITUTE(H1003,B1003,"(          )")</f>
        <v>Change the (          )s on the bed weekly.</v>
      </c>
      <c r="J1003" s="9" cm="1">
        <f t="array" ref="J1003">SUMIF('외운 것 - 엑셀다운로드 파일(붙여넣기)'!A3:A562,A1003,'외운 것 - 엑셀다운로드 파일(붙여넣기)'!D3:D562)</f>
        <v>0</v>
      </c>
      <c r="K1003" s="9" cm="1">
        <f t="array" ref="K1003">_xlfn.COUNTIFS('외운 것 - 엑셀다운로드 파일(붙여넣기)'!A3:A562,A1003,'외운 것 - 엑셀다운로드 파일(붙여넣기)'!D3:D562,0)</f>
        <v>0</v>
      </c>
      <c r="L1003" s="9" cm="1">
        <f t="array" ref="L1003">IF(J1003&gt;=3,_xlfn.XLOOKUP(A1003,'외운 것 - 엑셀다운로드 파일(붙여넣기)'!A3:A562,'외운 것 - 엑셀다운로드 파일(붙여넣기)'!C3:C562,0,-1),0)</f>
        <v>0</v>
      </c>
    </row>
    <row r="1004" ht="38.45" customHeight="1">
      <c r="A1004" s="3">
        <v>1003</v>
      </c>
      <c r="B1004" t="s" s="4">
        <v>6385</v>
      </c>
      <c r="C1004" t="s" s="5">
        <v>6355</v>
      </c>
      <c r="D1004" t="s" s="5">
        <v>6356</v>
      </c>
      <c r="E1004" t="s" s="5">
        <v>6386</v>
      </c>
      <c r="F1004" t="s" s="10">
        <v>6387</v>
      </c>
      <c r="G1004" t="s" s="7">
        <v>6388</v>
      </c>
      <c r="H1004" t="s" s="7">
        <v>6389</v>
      </c>
      <c r="I1004" t="str" s="8" cm="1">
        <f t="array" ref="I1004">SUBSTITUTE(H1004,B1004,"(          )")</f>
        <v>She collected sea(          )s on the beach.</v>
      </c>
      <c r="J1004" s="9" cm="1">
        <f t="array" ref="J1004">SUMIF('외운 것 - 엑셀다운로드 파일(붙여넣기)'!A3:A562,A1004,'외운 것 - 엑셀다운로드 파일(붙여넣기)'!D3:D562)</f>
        <v>0</v>
      </c>
      <c r="K1004" s="9" cm="1">
        <f t="array" ref="K1004">_xlfn.COUNTIFS('외운 것 - 엑셀다운로드 파일(붙여넣기)'!A3:A562,A1004,'외운 것 - 엑셀다운로드 파일(붙여넣기)'!D3:D562,0)</f>
        <v>0</v>
      </c>
      <c r="L1004" s="9" cm="1">
        <f t="array" ref="L1004">IF(J1004&gt;=3,_xlfn.XLOOKUP(A1004,'외운 것 - 엑셀다운로드 파일(붙여넣기)'!A3:A562,'외운 것 - 엑셀다운로드 파일(붙여넣기)'!C3:C562,0,-1),0)</f>
        <v>0</v>
      </c>
    </row>
    <row r="1005" ht="38.45" customHeight="1">
      <c r="A1005" s="3">
        <v>1004</v>
      </c>
      <c r="B1005" t="s" s="4">
        <v>6391</v>
      </c>
      <c r="C1005" t="s" s="5">
        <v>6355</v>
      </c>
      <c r="D1005" t="s" s="5">
        <v>6356</v>
      </c>
      <c r="E1005" t="s" s="5">
        <v>6392</v>
      </c>
      <c r="F1005" t="s" s="10">
        <v>6393</v>
      </c>
      <c r="G1005" t="s" s="7">
        <v>6394</v>
      </c>
      <c r="H1005" t="s" s="7">
        <v>6395</v>
      </c>
      <c r="I1005" t="str" s="8" cm="1">
        <f t="array" ref="I1005">SUBSTITUTE(H1005,B1005,"(          )")</f>
        <v>The hikers found (          ) from the storm in a cave.</v>
      </c>
      <c r="J1005" s="9" cm="1">
        <f t="array" ref="J1005">SUMIF('외운 것 - 엑셀다운로드 파일(붙여넣기)'!A3:A562,A1005,'외운 것 - 엑셀다운로드 파일(붙여넣기)'!D3:D562)</f>
        <v>0</v>
      </c>
      <c r="K1005" s="9" cm="1">
        <f t="array" ref="K1005">_xlfn.COUNTIFS('외운 것 - 엑셀다운로드 파일(붙여넣기)'!A3:A562,A1005,'외운 것 - 엑셀다운로드 파일(붙여넣기)'!D3:D562,0)</f>
        <v>0</v>
      </c>
      <c r="L1005" s="9" cm="1">
        <f t="array" ref="L1005">IF(J1005&gt;=3,_xlfn.XLOOKUP(A1005,'외운 것 - 엑셀다운로드 파일(붙여넣기)'!A3:A562,'외운 것 - 엑셀다운로드 파일(붙여넣기)'!C3:C562,0,-1),0)</f>
        <v>0</v>
      </c>
    </row>
    <row r="1006" ht="38.45" customHeight="1">
      <c r="A1006" s="3">
        <v>1005</v>
      </c>
      <c r="B1006" t="s" s="4">
        <v>6397</v>
      </c>
      <c r="C1006" t="s" s="5">
        <v>6355</v>
      </c>
      <c r="D1006" t="s" s="5">
        <v>6356</v>
      </c>
      <c r="E1006" t="s" s="5">
        <v>6398</v>
      </c>
      <c r="F1006" t="s" s="10">
        <v>6399</v>
      </c>
      <c r="G1006" t="s" s="7">
        <v>6400</v>
      </c>
      <c r="H1006" t="s" s="7">
        <v>6401</v>
      </c>
      <c r="I1006" t="str" s="8" cm="1">
        <f t="array" ref="I1006">SUBSTITUTE(H1006,B1006,"(          )")</f>
        <v>The police officer used his (          ) for protection.</v>
      </c>
      <c r="J1006" s="9" cm="1">
        <f t="array" ref="J1006">SUMIF('외운 것 - 엑셀다운로드 파일(붙여넣기)'!A3:A562,A1006,'외운 것 - 엑셀다운로드 파일(붙여넣기)'!D3:D562)</f>
        <v>0</v>
      </c>
      <c r="K1006" s="9" cm="1">
        <f t="array" ref="K1006">_xlfn.COUNTIFS('외운 것 - 엑셀다운로드 파일(붙여넣기)'!A3:A562,A1006,'외운 것 - 엑셀다운로드 파일(붙여넣기)'!D3:D562,0)</f>
        <v>0</v>
      </c>
      <c r="L1006" s="9" cm="1">
        <f t="array" ref="L1006">IF(J1006&gt;=3,_xlfn.XLOOKUP(A1006,'외운 것 - 엑셀다운로드 파일(붙여넣기)'!A3:A562,'외운 것 - 엑셀다운로드 파일(붙여넣기)'!C3:C562,0,-1),0)</f>
        <v>0</v>
      </c>
    </row>
    <row r="1007" ht="38.45" customHeight="1">
      <c r="A1007" s="3">
        <v>1006</v>
      </c>
      <c r="B1007" t="s" s="4">
        <v>6403</v>
      </c>
      <c r="C1007" t="s" s="5">
        <v>6355</v>
      </c>
      <c r="D1007" t="s" s="5">
        <v>6356</v>
      </c>
      <c r="E1007" t="s" s="5">
        <v>6404</v>
      </c>
      <c r="F1007" t="s" s="10">
        <v>6405</v>
      </c>
      <c r="G1007" t="s" s="7">
        <v>6406</v>
      </c>
      <c r="H1007" t="s" s="7">
        <v>6407</v>
      </c>
      <c r="I1007" t="str" s="8" cm="1">
        <f t="array" ref="I1007">SUBSTITUTE(H1007,B1007,"(          )")</f>
        <v>The (          ) is responsible for law enforcement in the county.</v>
      </c>
      <c r="J1007" s="9" cm="1">
        <f t="array" ref="J1007">SUMIF('외운 것 - 엑셀다운로드 파일(붙여넣기)'!A3:A562,A1007,'외운 것 - 엑셀다운로드 파일(붙여넣기)'!D3:D562)</f>
        <v>0</v>
      </c>
      <c r="K1007" s="9" cm="1">
        <f t="array" ref="K1007">_xlfn.COUNTIFS('외운 것 - 엑셀다운로드 파일(붙여넣기)'!A3:A562,A1007,'외운 것 - 엑셀다운로드 파일(붙여넣기)'!D3:D562,0)</f>
        <v>0</v>
      </c>
      <c r="L1007" s="9" cm="1">
        <f t="array" ref="L1007">IF(J1007&gt;=3,_xlfn.XLOOKUP(A1007,'외운 것 - 엑셀다운로드 파일(붙여넣기)'!A3:A562,'외운 것 - 엑셀다운로드 파일(붙여넣기)'!C3:C562,0,-1),0)</f>
        <v>0</v>
      </c>
    </row>
    <row r="1008" ht="23.45" customHeight="1">
      <c r="A1008" s="3">
        <v>1007</v>
      </c>
      <c r="B1008" t="s" s="4">
        <v>6409</v>
      </c>
      <c r="C1008" t="s" s="5">
        <v>6355</v>
      </c>
      <c r="D1008" t="s" s="5">
        <v>6356</v>
      </c>
      <c r="E1008" t="s" s="5">
        <v>6410</v>
      </c>
      <c r="F1008" t="s" s="10">
        <v>6411</v>
      </c>
      <c r="G1008" t="s" s="7">
        <v>6412</v>
      </c>
      <c r="H1008" t="s" s="7">
        <v>6413</v>
      </c>
      <c r="I1008" t="str" s="8" cm="1">
        <f t="array" ref="I1008">SUBSTITUTE(H1008,B1008,"(          )")</f>
        <v>The prisoner's hands were bound with (          )s.</v>
      </c>
      <c r="J1008" s="9" cm="1">
        <f t="array" ref="J1008">SUMIF('외운 것 - 엑셀다운로드 파일(붙여넣기)'!A3:A562,A1008,'외운 것 - 엑셀다운로드 파일(붙여넣기)'!D3:D562)</f>
        <v>0</v>
      </c>
      <c r="K1008" s="9" cm="1">
        <f t="array" ref="K1008">_xlfn.COUNTIFS('외운 것 - 엑셀다운로드 파일(붙여넣기)'!A3:A562,A1008,'외운 것 - 엑셀다운로드 파일(붙여넣기)'!D3:D562,0)</f>
        <v>0</v>
      </c>
      <c r="L1008" s="9" cm="1">
        <f t="array" ref="L1008">IF(J1008&gt;=3,_xlfn.XLOOKUP(A1008,'외운 것 - 엑셀다운로드 파일(붙여넣기)'!A3:A562,'외운 것 - 엑셀다운로드 파일(붙여넣기)'!C3:C562,0,-1),0)</f>
        <v>0</v>
      </c>
    </row>
    <row r="1009" ht="38.45" customHeight="1">
      <c r="A1009" s="3">
        <v>1008</v>
      </c>
      <c r="B1009" t="s" s="4">
        <v>6415</v>
      </c>
      <c r="C1009" t="s" s="5">
        <v>6355</v>
      </c>
      <c r="D1009" t="s" s="5">
        <v>6356</v>
      </c>
      <c r="E1009" t="s" s="5">
        <v>6416</v>
      </c>
      <c r="F1009" t="s" s="10">
        <v>6417</v>
      </c>
      <c r="G1009" t="s" s="7">
        <v>6418</v>
      </c>
      <c r="H1009" t="s" s="7">
        <v>6419</v>
      </c>
      <c r="I1009" t="str" s="8" cm="1">
        <f t="array" ref="I1009">SUBSTITUTE(H1009,B1009,"(          )")</f>
        <v>He carried the heavy backpack on his (          ).</v>
      </c>
      <c r="J1009" s="9" cm="1">
        <f t="array" ref="J1009">SUMIF('외운 것 - 엑셀다운로드 파일(붙여넣기)'!A3:A562,A1009,'외운 것 - 엑셀다운로드 파일(붙여넣기)'!D3:D562)</f>
        <v>0</v>
      </c>
      <c r="K1009" s="9" cm="1">
        <f t="array" ref="K1009">_xlfn.COUNTIFS('외운 것 - 엑셀다운로드 파일(붙여넣기)'!A3:A562,A1009,'외운 것 - 엑셀다운로드 파일(붙여넣기)'!D3:D562,0)</f>
        <v>0</v>
      </c>
      <c r="L1009" s="9" cm="1">
        <f t="array" ref="L1009">IF(J1009&gt;=3,_xlfn.XLOOKUP(A1009,'외운 것 - 엑셀다운로드 파일(붙여넣기)'!A3:A562,'외운 것 - 엑셀다운로드 파일(붙여넣기)'!C3:C562,0,-1),0)</f>
        <v>0</v>
      </c>
    </row>
    <row r="1010" ht="38.45" customHeight="1">
      <c r="A1010" s="3">
        <v>1009</v>
      </c>
      <c r="B1010" t="s" s="4">
        <v>6421</v>
      </c>
      <c r="C1010" t="s" s="5">
        <v>6355</v>
      </c>
      <c r="D1010" t="s" s="5">
        <v>6356</v>
      </c>
      <c r="E1010" t="s" s="5">
        <v>6422</v>
      </c>
      <c r="F1010" t="s" s="10">
        <v>6423</v>
      </c>
      <c r="G1010" t="s" s="7">
        <v>6424</v>
      </c>
      <c r="H1010" t="s" s="7">
        <v>6425</v>
      </c>
      <c r="I1010" t="str" s="8" cm="1">
        <f t="array" ref="I1010">SUBSTITUTE(H1010,B1010,"(          )")</f>
        <v>A (          ) of mist covered the valley.</v>
      </c>
      <c r="J1010" s="9" cm="1">
        <f t="array" ref="J1010">SUMIF('외운 것 - 엑셀다운로드 파일(붙여넣기)'!A3:A562,A1010,'외운 것 - 엑셀다운로드 파일(붙여넣기)'!D3:D562)</f>
        <v>0</v>
      </c>
      <c r="K1010" s="9" cm="1">
        <f t="array" ref="K1010">_xlfn.COUNTIFS('외운 것 - 엑셀다운로드 파일(붙여넣기)'!A3:A562,A1010,'외운 것 - 엑셀다운로드 파일(붙여넣기)'!D3:D562,0)</f>
        <v>0</v>
      </c>
      <c r="L1010" s="9" cm="1">
        <f t="array" ref="L1010">IF(J1010&gt;=3,_xlfn.XLOOKUP(A1010,'외운 것 - 엑셀다운로드 파일(붙여넣기)'!A3:A562,'외운 것 - 엑셀다운로드 파일(붙여넣기)'!C3:C562,0,-1),0)</f>
        <v>0</v>
      </c>
    </row>
    <row r="1011" ht="38.45" customHeight="1">
      <c r="A1011" s="3">
        <v>1010</v>
      </c>
      <c r="B1011" t="s" s="4">
        <v>6427</v>
      </c>
      <c r="C1011" t="s" s="5">
        <v>6355</v>
      </c>
      <c r="D1011" t="s" s="5">
        <v>6356</v>
      </c>
      <c r="E1011" t="s" s="5">
        <v>6428</v>
      </c>
      <c r="F1011" t="s" s="10">
        <v>6429</v>
      </c>
      <c r="G1011" t="s" s="7">
        <v>6430</v>
      </c>
      <c r="H1011" t="s" s="7">
        <v>6431</v>
      </c>
      <c r="I1011" t="str" s="8" cm="1">
        <f t="array" ref="I1011">SUBSTITUTE(H1011,B1011,"(          )")</f>
        <v>Children should play in the (          ) end of the pool.</v>
      </c>
      <c r="J1011" s="9" cm="1">
        <f t="array" ref="J1011">SUMIF('외운 것 - 엑셀다운로드 파일(붙여넣기)'!A3:A562,A1011,'외운 것 - 엑셀다운로드 파일(붙여넣기)'!D3:D562)</f>
        <v>0</v>
      </c>
      <c r="K1011" s="9" cm="1">
        <f t="array" ref="K1011">_xlfn.COUNTIFS('외운 것 - 엑셀다운로드 파일(붙여넣기)'!A3:A562,A1011,'외운 것 - 엑셀다운로드 파일(붙여넣기)'!D3:D562,0)</f>
        <v>0</v>
      </c>
      <c r="L1011" s="9" cm="1">
        <f t="array" ref="L1011">IF(J1011&gt;=3,_xlfn.XLOOKUP(A1011,'외운 것 - 엑셀다운로드 파일(붙여넣기)'!A3:A562,'외운 것 - 엑셀다운로드 파일(붙여넣기)'!C3:C562,0,-1),0)</f>
        <v>0</v>
      </c>
    </row>
    <row r="1012" ht="38.45" customHeight="1">
      <c r="A1012" s="3">
        <v>1011</v>
      </c>
      <c r="B1012" t="s" s="4">
        <v>6433</v>
      </c>
      <c r="C1012" t="s" s="5">
        <v>6355</v>
      </c>
      <c r="D1012" t="s" s="5">
        <v>6356</v>
      </c>
      <c r="E1012" t="s" s="5">
        <v>6434</v>
      </c>
      <c r="F1012" t="s" s="10">
        <v>6435</v>
      </c>
      <c r="G1012" t="s" s="7">
        <v>6436</v>
      </c>
      <c r="H1012" t="s" s="7">
        <v>6437</v>
      </c>
      <c r="I1012" t="str" s="8" cm="1">
        <f t="array" ref="I1012">SUBSTITUTE(H1012,B1012,"(          )")</f>
        <v>We walked along the (          ) collecting shells.</v>
      </c>
      <c r="J1012" s="9" cm="1">
        <f t="array" ref="J1012">SUMIF('외운 것 - 엑셀다운로드 파일(붙여넣기)'!A3:A562,A1012,'외운 것 - 엑셀다운로드 파일(붙여넣기)'!D3:D562)</f>
        <v>0</v>
      </c>
      <c r="K1012" s="9" cm="1">
        <f t="array" ref="K1012">_xlfn.COUNTIFS('외운 것 - 엑셀다운로드 파일(붙여넣기)'!A3:A562,A1012,'외운 것 - 엑셀다운로드 파일(붙여넣기)'!D3:D562,0)</f>
        <v>0</v>
      </c>
      <c r="L1012" s="9" cm="1">
        <f t="array" ref="L1012">IF(J1012&gt;=3,_xlfn.XLOOKUP(A1012,'외운 것 - 엑셀다운로드 파일(붙여넣기)'!A3:A562,'외운 것 - 엑셀다운로드 파일(붙여넣기)'!C3:C562,0,-1),0)</f>
        <v>0</v>
      </c>
    </row>
    <row r="1013" ht="38.45" customHeight="1">
      <c r="A1013" s="3">
        <v>1012</v>
      </c>
      <c r="B1013" t="s" s="4">
        <v>6439</v>
      </c>
      <c r="C1013" t="s" s="5">
        <v>6355</v>
      </c>
      <c r="D1013" t="s" s="5">
        <v>6356</v>
      </c>
      <c r="E1013" t="s" s="5">
        <v>6440</v>
      </c>
      <c r="F1013" t="s" s="10">
        <v>6441</v>
      </c>
      <c r="G1013" t="s" s="7">
        <v>6442</v>
      </c>
      <c r="H1013" t="s" s="7">
        <v>6443</v>
      </c>
      <c r="I1013" t="str" s="8" cm="1">
        <f t="array" ref="I1013">SUBSTITUTE(H1013,B1013,"(          )")</f>
        <v>The farmer keeps a flock of (          ).</v>
      </c>
      <c r="J1013" s="9" cm="1">
        <f t="array" ref="J1013">SUMIF('외운 것 - 엑셀다운로드 파일(붙여넣기)'!A3:A562,A1013,'외운 것 - 엑셀다운로드 파일(붙여넣기)'!D3:D562)</f>
        <v>0</v>
      </c>
      <c r="K1013" s="9" cm="1">
        <f t="array" ref="K1013">_xlfn.COUNTIFS('외운 것 - 엑셀다운로드 파일(붙여넣기)'!A3:A562,A1013,'외운 것 - 엑셀다운로드 파일(붙여넣기)'!D3:D562,0)</f>
        <v>0</v>
      </c>
      <c r="L1013" s="9" cm="1">
        <f t="array" ref="L1013">IF(J1013&gt;=3,_xlfn.XLOOKUP(A1013,'외운 것 - 엑셀다운로드 파일(붙여넣기)'!A3:A562,'외운 것 - 엑셀다운로드 파일(붙여넣기)'!C3:C562,0,-1),0)</f>
        <v>0</v>
      </c>
    </row>
    <row r="1014" ht="23.45" customHeight="1">
      <c r="A1014" s="3">
        <v>1013</v>
      </c>
      <c r="B1014" t="s" s="4">
        <v>6445</v>
      </c>
      <c r="C1014" t="s" s="5">
        <v>6446</v>
      </c>
      <c r="D1014" t="s" s="5">
        <v>6355</v>
      </c>
      <c r="E1014" t="s" s="5">
        <v>6447</v>
      </c>
      <c r="F1014" t="s" s="10">
        <v>6448</v>
      </c>
      <c r="G1014" t="s" s="7">
        <v>6449</v>
      </c>
      <c r="H1014" t="s" s="7">
        <v>6450</v>
      </c>
      <c r="I1014" t="str" s="8" cm="1">
        <f t="array" ref="I1014">SUBSTITUTE(H1014,B1014,"(          )")</f>
        <v>The (          ) watched over his flock of sheep.</v>
      </c>
      <c r="J1014" s="9" cm="1">
        <f t="array" ref="J1014">SUMIF('외운 것 - 엑셀다운로드 파일(붙여넣기)'!A3:A562,A1014,'외운 것 - 엑셀다운로드 파일(붙여넣기)'!D3:D562)</f>
        <v>0</v>
      </c>
      <c r="K1014" s="9" cm="1">
        <f t="array" ref="K1014">_xlfn.COUNTIFS('외운 것 - 엑셀다운로드 파일(붙여넣기)'!A3:A562,A1014,'외운 것 - 엑셀다운로드 파일(붙여넣기)'!D3:D562,0)</f>
        <v>0</v>
      </c>
      <c r="L1014" s="9" cm="1">
        <f t="array" ref="L1014">IF(J1014&gt;=3,_xlfn.XLOOKUP(A1014,'외운 것 - 엑셀다운로드 파일(붙여넣기)'!A3:A562,'외운 것 - 엑셀다운로드 파일(붙여넣기)'!C3:C562,0,-1),0)</f>
        <v>0</v>
      </c>
    </row>
    <row r="1015" ht="38.45" customHeight="1">
      <c r="A1015" s="3">
        <v>1014</v>
      </c>
      <c r="B1015" t="s" s="4">
        <v>6452</v>
      </c>
      <c r="C1015" t="s" s="5">
        <v>6355</v>
      </c>
      <c r="D1015" t="s" s="5">
        <v>6356</v>
      </c>
      <c r="E1015" t="s" s="5">
        <v>6453</v>
      </c>
      <c r="F1015" t="s" s="10">
        <v>6454</v>
      </c>
      <c r="G1015" t="s" s="7">
        <v>6455</v>
      </c>
      <c r="H1015" t="s" s="7">
        <v>6456</v>
      </c>
      <c r="I1015" t="str" s="8" cm="1">
        <f t="array" ref="I1015">SUBSTITUTE(H1015,B1015,"(          )")</f>
        <v>The cookie is in the (          ) of a star.</v>
      </c>
      <c r="J1015" s="9" cm="1">
        <f t="array" ref="J1015">SUMIF('외운 것 - 엑셀다운로드 파일(붙여넣기)'!A3:A562,A1015,'외운 것 - 엑셀다운로드 파일(붙여넣기)'!D3:D562)</f>
        <v>0</v>
      </c>
      <c r="K1015" s="9" cm="1">
        <f t="array" ref="K1015">_xlfn.COUNTIFS('외운 것 - 엑셀다운로드 파일(붙여넣기)'!A3:A562,A1015,'외운 것 - 엑셀다운로드 파일(붙여넣기)'!D3:D562,0)</f>
        <v>0</v>
      </c>
      <c r="L1015" s="9" cm="1">
        <f t="array" ref="L1015">IF(J1015&gt;=3,_xlfn.XLOOKUP(A1015,'외운 것 - 엑셀다운로드 파일(붙여넣기)'!A3:A562,'외운 것 - 엑셀다운로드 파일(붙여넣기)'!C3:C562,0,-1),0)</f>
        <v>0</v>
      </c>
    </row>
    <row r="1016" ht="23.45" customHeight="1">
      <c r="A1016" s="3">
        <v>1015</v>
      </c>
      <c r="B1016" t="s" s="4">
        <v>6458</v>
      </c>
      <c r="C1016" t="s" s="5">
        <v>6355</v>
      </c>
      <c r="D1016" t="s" s="5">
        <v>6356</v>
      </c>
      <c r="E1016" t="s" s="5">
        <v>6459</v>
      </c>
      <c r="F1016" t="s" s="10">
        <v>6460</v>
      </c>
      <c r="G1016" t="s" s="7">
        <v>6461</v>
      </c>
      <c r="H1016" t="s" s="7">
        <v>6462</v>
      </c>
      <c r="I1016" t="str" s="8" cm="1">
        <f t="array" ref="I1016">SUBSTITUTE(H1016,B1016,"(          )")</f>
        <v>We sat in the (          ) of a large oak tree.</v>
      </c>
      <c r="J1016" s="9" cm="1">
        <f t="array" ref="J1016">SUMIF('외운 것 - 엑셀다운로드 파일(붙여넣기)'!A3:A562,A1016,'외운 것 - 엑셀다운로드 파일(붙여넣기)'!D3:D562)</f>
        <v>0</v>
      </c>
      <c r="K1016" s="9" cm="1">
        <f t="array" ref="K1016">_xlfn.COUNTIFS('외운 것 - 엑셀다운로드 파일(붙여넣기)'!A3:A562,A1016,'외운 것 - 엑셀다운로드 파일(붙여넣기)'!D3:D562,0)</f>
        <v>0</v>
      </c>
      <c r="L1016" s="9" cm="1">
        <f t="array" ref="L1016">IF(J1016&gt;=3,_xlfn.XLOOKUP(A1016,'외운 것 - 엑셀다운로드 파일(붙여넣기)'!A3:A562,'외운 것 - 엑셀다운로드 파일(붙여넣기)'!C3:C562,0,-1),0)</f>
        <v>0</v>
      </c>
    </row>
    <row r="1017" ht="23.45" customHeight="1">
      <c r="A1017" s="3">
        <v>1016</v>
      </c>
      <c r="B1017" t="s" s="4">
        <v>6464</v>
      </c>
      <c r="C1017" t="s" s="5">
        <v>6355</v>
      </c>
      <c r="D1017" t="s" s="5">
        <v>6356</v>
      </c>
      <c r="E1017" t="s" s="5">
        <v>6465</v>
      </c>
      <c r="F1017" t="s" s="10">
        <v>6466</v>
      </c>
      <c r="G1017" t="s" s="7">
        <v>6467</v>
      </c>
      <c r="H1017" t="s" s="7">
        <v>6468</v>
      </c>
      <c r="I1017" t="str" s="8" cm="1">
        <f t="array" ref="I1017">SUBSTITUTE(H1017,B1017,"(          )")</f>
        <v>The tall buildings cast long (          )s in the evening sun.</v>
      </c>
      <c r="J1017" s="9" cm="1">
        <f t="array" ref="J1017">SUMIF('외운 것 - 엑셀다운로드 파일(붙여넣기)'!A3:A562,A1017,'외운 것 - 엑셀다운로드 파일(붙여넣기)'!D3:D562)</f>
        <v>0</v>
      </c>
      <c r="K1017" s="9" cm="1">
        <f t="array" ref="K1017">_xlfn.COUNTIFS('외운 것 - 엑셀다운로드 파일(붙여넣기)'!A3:A562,A1017,'외운 것 - 엑셀다운로드 파일(붙여넣기)'!D3:D562,0)</f>
        <v>0</v>
      </c>
      <c r="L1017" s="9" cm="1">
        <f t="array" ref="L1017">IF(J1017&gt;=3,_xlfn.XLOOKUP(A1017,'외운 것 - 엑셀다운로드 파일(붙여넣기)'!A3:A562,'외운 것 - 엑셀다운로드 파일(붙여넣기)'!C3:C562,0,-1),0)</f>
        <v>0</v>
      </c>
    </row>
    <row r="1018" ht="38.45" customHeight="1">
      <c r="A1018" s="3">
        <v>1017</v>
      </c>
      <c r="B1018" t="s" s="4">
        <v>6470</v>
      </c>
      <c r="C1018" t="s" s="5">
        <v>6355</v>
      </c>
      <c r="D1018" t="s" s="5">
        <v>6356</v>
      </c>
      <c r="E1018" t="s" s="5">
        <v>6471</v>
      </c>
      <c r="F1018" t="s" s="10">
        <v>6472</v>
      </c>
      <c r="G1018" t="s" s="7">
        <v>6473</v>
      </c>
      <c r="H1018" t="s" s="7">
        <v>6474</v>
      </c>
      <c r="I1018" t="str" s="8" cm="1">
        <f t="array" ref="I1018">SUBSTITUTE(H1018,B1018,"(          )")</f>
        <v>I will (          ) my lunch with you.</v>
      </c>
      <c r="J1018" s="9" cm="1">
        <f t="array" ref="J1018">SUMIF('외운 것 - 엑셀다운로드 파일(붙여넣기)'!A3:A562,A1018,'외운 것 - 엑셀다운로드 파일(붙여넣기)'!D3:D562)</f>
        <v>0</v>
      </c>
      <c r="K1018" s="9" cm="1">
        <f t="array" ref="K1018">_xlfn.COUNTIFS('외운 것 - 엑셀다운로드 파일(붙여넣기)'!A3:A562,A1018,'외운 것 - 엑셀다운로드 파일(붙여넣기)'!D3:D562,0)</f>
        <v>0</v>
      </c>
      <c r="L1018" s="9" cm="1">
        <f t="array" ref="L1018">IF(J1018&gt;=3,_xlfn.XLOOKUP(A1018,'외운 것 - 엑셀다운로드 파일(붙여넣기)'!A3:A562,'외운 것 - 엑셀다운로드 파일(붙여넣기)'!C3:C562,0,-1),0)</f>
        <v>0</v>
      </c>
    </row>
    <row r="1019" ht="38.45" customHeight="1">
      <c r="A1019" s="3">
        <v>1018</v>
      </c>
      <c r="B1019" t="s" s="4">
        <v>6476</v>
      </c>
      <c r="C1019" t="s" s="5">
        <v>6477</v>
      </c>
      <c r="D1019" t="s" s="5">
        <v>6355</v>
      </c>
      <c r="E1019" t="s" s="5">
        <v>6478</v>
      </c>
      <c r="F1019" t="s" s="10">
        <v>6479</v>
      </c>
      <c r="G1019" t="s" s="7">
        <v>6480</v>
      </c>
      <c r="H1019" t="s" s="7">
        <v>6481</v>
      </c>
      <c r="I1019" t="str" s="8" cm="1">
        <f t="array" ref="I1019">SUBSTITUTE(H1019,B1019,"(          )")</f>
        <v>Each (          ) receives dividends based on their investment.</v>
      </c>
      <c r="J1019" s="9" cm="1">
        <f t="array" ref="J1019">SUMIF('외운 것 - 엑셀다운로드 파일(붙여넣기)'!A3:A562,A1019,'외운 것 - 엑셀다운로드 파일(붙여넣기)'!D3:D562)</f>
        <v>0</v>
      </c>
      <c r="K1019" s="9" cm="1">
        <f t="array" ref="K1019">_xlfn.COUNTIFS('외운 것 - 엑셀다운로드 파일(붙여넣기)'!A3:A562,A1019,'외운 것 - 엑셀다운로드 파일(붙여넣기)'!D3:D562,0)</f>
        <v>0</v>
      </c>
      <c r="L1019" s="9" cm="1">
        <f t="array" ref="L1019">IF(J1019&gt;=3,_xlfn.XLOOKUP(A1019,'외운 것 - 엑셀다운로드 파일(붙여넣기)'!A3:A562,'외운 것 - 엑셀다운로드 파일(붙여넣기)'!C3:C562,0,-1),0)</f>
        <v>0</v>
      </c>
    </row>
    <row r="1020" ht="38.45" customHeight="1">
      <c r="A1020" s="3">
        <v>1019</v>
      </c>
      <c r="B1020" t="s" s="4">
        <v>6483</v>
      </c>
      <c r="C1020" t="s" s="5">
        <v>6355</v>
      </c>
      <c r="D1020" t="s" s="5">
        <v>6356</v>
      </c>
      <c r="E1020" t="s" s="5">
        <v>6484</v>
      </c>
      <c r="F1020" t="s" s="10">
        <v>6485</v>
      </c>
      <c r="G1020" t="s" s="7">
        <v>6486</v>
      </c>
      <c r="H1020" t="s" s="7">
        <v>6487</v>
      </c>
      <c r="I1020" t="str" s="8" cm="1">
        <f t="array" ref="I1020">SUBSTITUTE(H1020,B1020,"(          )")</f>
        <v>His (          ) clothes suggested he had fallen on hard times.</v>
      </c>
      <c r="J1020" s="9" cm="1">
        <f t="array" ref="J1020">SUMIF('외운 것 - 엑셀다운로드 파일(붙여넣기)'!A3:A562,A1020,'외운 것 - 엑셀다운로드 파일(붙여넣기)'!D3:D562)</f>
        <v>0</v>
      </c>
      <c r="K1020" s="9" cm="1">
        <f t="array" ref="K1020">_xlfn.COUNTIFS('외운 것 - 엑셀다운로드 파일(붙여넣기)'!A3:A562,A1020,'외운 것 - 엑셀다운로드 파일(붙여넣기)'!D3:D562,0)</f>
        <v>0</v>
      </c>
      <c r="L1020" s="9" cm="1">
        <f t="array" ref="L1020">IF(J1020&gt;=3,_xlfn.XLOOKUP(A1020,'외운 것 - 엑셀다운로드 파일(붙여넣기)'!A3:A562,'외운 것 - 엑셀다운로드 파일(붙여넣기)'!C3:C562,0,-1),0)</f>
        <v>0</v>
      </c>
    </row>
    <row r="1021" ht="38.45" customHeight="1">
      <c r="A1021" s="3">
        <v>1020</v>
      </c>
      <c r="B1021" t="s" s="4">
        <v>6489</v>
      </c>
      <c r="C1021" t="s" s="5">
        <v>6355</v>
      </c>
      <c r="D1021" t="s" s="5">
        <v>6356</v>
      </c>
      <c r="E1021" t="s" s="5">
        <v>6490</v>
      </c>
      <c r="F1021" t="s" s="10">
        <v>6491</v>
      </c>
      <c r="G1021" t="s" s="7">
        <v>6492</v>
      </c>
      <c r="H1021" t="s" s="7">
        <v>6493</v>
      </c>
      <c r="I1021" t="str" s="8" cm="1">
        <f t="array" ref="I1021">SUBSTITUTE(H1021,B1021,"(          )")</f>
        <v>He felt (          ) for his dishonest actions.</v>
      </c>
      <c r="J1021" s="9" cm="1">
        <f t="array" ref="J1021">SUMIF('외운 것 - 엑셀다운로드 파일(붙여넣기)'!A3:A562,A1021,'외운 것 - 엑셀다운로드 파일(붙여넣기)'!D3:D562)</f>
        <v>0</v>
      </c>
      <c r="K1021" s="9" cm="1">
        <f t="array" ref="K1021">_xlfn.COUNTIFS('외운 것 - 엑셀다운로드 파일(붙여넣기)'!A3:A562,A1021,'외운 것 - 엑셀다운로드 파일(붙여넣기)'!D3:D562,0)</f>
        <v>0</v>
      </c>
      <c r="L1021" s="9" cm="1">
        <f t="array" ref="L1021">IF(J1021&gt;=3,_xlfn.XLOOKUP(A1021,'외운 것 - 엑셀다운로드 파일(붙여넣기)'!A3:A562,'외운 것 - 엑셀다운로드 파일(붙여넣기)'!C3:C562,0,-1),0)</f>
        <v>0</v>
      </c>
    </row>
    <row r="1022" ht="38.45" customHeight="1">
      <c r="A1022" s="3">
        <v>1021</v>
      </c>
      <c r="B1022" t="s" s="4">
        <v>6495</v>
      </c>
      <c r="C1022" t="s" s="5">
        <v>6355</v>
      </c>
      <c r="D1022" t="s" s="5">
        <v>6356</v>
      </c>
      <c r="E1022" t="s" s="5">
        <v>6496</v>
      </c>
      <c r="F1022" t="s" s="10">
        <v>6497</v>
      </c>
      <c r="G1022" t="s" s="7">
        <v>6498</v>
      </c>
      <c r="H1022" t="s" s="7">
        <v>6499</v>
      </c>
      <c r="I1022" t="str" s="8" cm="1">
        <f t="array" ref="I1022">SUBSTITUTE(H1022,B1022,"(          )")</f>
        <v>Use this (          ) for dry hair.</v>
      </c>
      <c r="J1022" s="9" cm="1">
        <f t="array" ref="J1022">SUMIF('외운 것 - 엑셀다운로드 파일(붙여넣기)'!A3:A562,A1022,'외운 것 - 엑셀다운로드 파일(붙여넣기)'!D3:D562)</f>
        <v>0</v>
      </c>
      <c r="K1022" s="9" cm="1">
        <f t="array" ref="K1022">_xlfn.COUNTIFS('외운 것 - 엑셀다운로드 파일(붙여넣기)'!A3:A562,A1022,'외운 것 - 엑셀다운로드 파일(붙여넣기)'!D3:D562,0)</f>
        <v>0</v>
      </c>
      <c r="L1022" s="9" cm="1">
        <f t="array" ref="L1022">IF(J1022&gt;=3,_xlfn.XLOOKUP(A1022,'외운 것 - 엑셀다운로드 파일(붙여넣기)'!A3:A562,'외운 것 - 엑셀다운로드 파일(붙여넣기)'!C3:C562,0,-1),0)</f>
        <v>0</v>
      </c>
    </row>
    <row r="1023" ht="38.45" customHeight="1">
      <c r="A1023" s="3">
        <v>1022</v>
      </c>
      <c r="B1023" t="s" s="4">
        <v>6501</v>
      </c>
      <c r="C1023" t="s" s="5">
        <v>6502</v>
      </c>
      <c r="D1023" t="s" s="5">
        <v>6503</v>
      </c>
      <c r="E1023" t="s" s="5">
        <v>6504</v>
      </c>
      <c r="F1023" t="s" s="10">
        <v>6505</v>
      </c>
      <c r="G1023" t="s" s="7">
        <v>6506</v>
      </c>
      <c r="H1023" t="s" s="7">
        <v>6507</v>
      </c>
      <c r="I1023" t="str" s="8" cm="1">
        <f t="array" ref="I1023">SUBSTITUTE(H1023,B1023,"(          )")</f>
        <v>Snow is (          ).</v>
      </c>
      <c r="J1023" s="9" cm="1">
        <f t="array" ref="J1023">SUMIF('외운 것 - 엑셀다운로드 파일(붙여넣기)'!A3:A562,A1023,'외운 것 - 엑셀다운로드 파일(붙여넣기)'!D3:D562)</f>
        <v>0</v>
      </c>
      <c r="K1023" s="9" cm="1">
        <f t="array" ref="K1023">_xlfn.COUNTIFS('외운 것 - 엑셀다운로드 파일(붙여넣기)'!A3:A562,A1023,'외운 것 - 엑셀다운로드 파일(붙여넣기)'!D3:D562,0)</f>
        <v>0</v>
      </c>
      <c r="L1023" s="9" cm="1">
        <f t="array" ref="L1023">IF(J1023&gt;=3,_xlfn.XLOOKUP(A1023,'외운 것 - 엑셀다운로드 파일(붙여넣기)'!A3:A562,'외운 것 - 엑셀다운로드 파일(붙여넣기)'!C3:C562,0,-1),0)</f>
        <v>0</v>
      </c>
    </row>
    <row r="1024" ht="38.45" customHeight="1">
      <c r="A1024" s="3">
        <v>1023</v>
      </c>
      <c r="B1024" t="s" s="4">
        <v>6509</v>
      </c>
      <c r="C1024" t="s" s="5">
        <v>6502</v>
      </c>
      <c r="D1024" t="s" s="5">
        <v>6503</v>
      </c>
      <c r="E1024" t="s" s="5">
        <v>6510</v>
      </c>
      <c r="F1024" t="s" s="10">
        <v>6511</v>
      </c>
      <c r="G1024" t="s" s="7">
        <v>6512</v>
      </c>
      <c r="H1024" t="s" s="7">
        <v>6513</v>
      </c>
      <c r="I1024" t="str" s="8" cm="1">
        <f t="array" ref="I1024">SUBSTITUTE(H1024,B1024,"(          )")</f>
        <v>I ate the (          ) pizza by myself.</v>
      </c>
      <c r="J1024" s="9" cm="1">
        <f t="array" ref="J1024">SUMIF('외운 것 - 엑셀다운로드 파일(붙여넣기)'!A3:A562,A1024,'외운 것 - 엑셀다운로드 파일(붙여넣기)'!D3:D562)</f>
        <v>0</v>
      </c>
      <c r="K1024" s="9" cm="1">
        <f t="array" ref="K1024">_xlfn.COUNTIFS('외운 것 - 엑셀다운로드 파일(붙여넣기)'!A3:A562,A1024,'외운 것 - 엑셀다운로드 파일(붙여넣기)'!D3:D562,0)</f>
        <v>0</v>
      </c>
      <c r="L1024" s="9" cm="1">
        <f t="array" ref="L1024">IF(J1024&gt;=3,_xlfn.XLOOKUP(A1024,'외운 것 - 엑셀다운로드 파일(붙여넣기)'!A3:A562,'외운 것 - 엑셀다운로드 파일(붙여넣기)'!C3:C562,0,-1),0)</f>
        <v>0</v>
      </c>
    </row>
    <row r="1025" ht="23.45" customHeight="1">
      <c r="A1025" s="3">
        <v>1024</v>
      </c>
      <c r="B1025" t="s" s="4">
        <v>6515</v>
      </c>
      <c r="C1025" t="s" s="5">
        <v>6502</v>
      </c>
      <c r="D1025" t="s" s="5">
        <v>6503</v>
      </c>
      <c r="E1025" t="s" s="5">
        <v>6516</v>
      </c>
      <c r="F1025" t="s" s="10">
        <v>6517</v>
      </c>
      <c r="G1025" t="s" s="7">
        <v>6518</v>
      </c>
      <c r="H1025" t="s" s="7">
        <v>6519</v>
      </c>
      <c r="I1025" t="str" s="8" cm="1">
        <f t="array" ref="I1025">SUBSTITUTE(H1025,B1025,"(          )")</f>
        <v>The blue (          ) is the largest animal on Earth.</v>
      </c>
      <c r="J1025" s="9" cm="1">
        <f t="array" ref="J1025">SUMIF('외운 것 - 엑셀다운로드 파일(붙여넣기)'!A3:A562,A1025,'외운 것 - 엑셀다운로드 파일(붙여넣기)'!D3:D562)</f>
        <v>0</v>
      </c>
      <c r="K1025" s="9" cm="1">
        <f t="array" ref="K1025">_xlfn.COUNTIFS('외운 것 - 엑셀다운로드 파일(붙여넣기)'!A3:A562,A1025,'외운 것 - 엑셀다운로드 파일(붙여넣기)'!D3:D562,0)</f>
        <v>0</v>
      </c>
      <c r="L1025" s="9" cm="1">
        <f t="array" ref="L1025">IF(J1025&gt;=3,_xlfn.XLOOKUP(A1025,'외운 것 - 엑셀다운로드 파일(붙여넣기)'!A3:A562,'외운 것 - 엑셀다운로드 파일(붙여넣기)'!C3:C562,0,-1),0)</f>
        <v>0</v>
      </c>
    </row>
    <row r="1026" ht="38.45" customHeight="1">
      <c r="A1026" s="3">
        <v>1025</v>
      </c>
      <c r="B1026" t="s" s="4">
        <v>6521</v>
      </c>
      <c r="C1026" t="s" s="5">
        <v>6502</v>
      </c>
      <c r="D1026" t="s" s="5">
        <v>6503</v>
      </c>
      <c r="E1026" t="s" s="5">
        <v>6522</v>
      </c>
      <c r="F1026" t="s" s="10">
        <v>6523</v>
      </c>
      <c r="G1026" t="s" s="7">
        <v>6524</v>
      </c>
      <c r="H1026" t="s" s="7">
        <v>6525</v>
      </c>
      <c r="I1026" t="str" s="8" cm="1">
        <f t="array" ref="I1026">SUBSTITUTE(H1026,B1026,"(          )")</f>
        <v>The car has a flat (          ) that needs changing.</v>
      </c>
      <c r="J1026" s="9" cm="1">
        <f t="array" ref="J1026">SUMIF('외운 것 - 엑셀다운로드 파일(붙여넣기)'!A3:A562,A1026,'외운 것 - 엑셀다운로드 파일(붙여넣기)'!D3:D562)</f>
        <v>0</v>
      </c>
      <c r="K1026" s="9" cm="1">
        <f t="array" ref="K1026">_xlfn.COUNTIFS('외운 것 - 엑셀다운로드 파일(붙여넣기)'!A3:A562,A1026,'외운 것 - 엑셀다운로드 파일(붙여넣기)'!D3:D562,0)</f>
        <v>0</v>
      </c>
      <c r="L1026" s="9" cm="1">
        <f t="array" ref="L1026">IF(J1026&gt;=3,_xlfn.XLOOKUP(A1026,'외운 것 - 엑셀다운로드 파일(붙여넣기)'!A3:A562,'외운 것 - 엑셀다운로드 파일(붙여넣기)'!C3:C562,0,-1),0)</f>
        <v>0</v>
      </c>
    </row>
    <row r="1027" ht="36.4" customHeight="1">
      <c r="A1027" s="3">
        <v>1026</v>
      </c>
      <c r="B1027" t="s" s="4">
        <v>6527</v>
      </c>
      <c r="C1027" t="s" s="5">
        <v>6528</v>
      </c>
      <c r="D1027" t="s" s="5">
        <v>6502</v>
      </c>
      <c r="E1027" t="s" s="5">
        <v>6529</v>
      </c>
      <c r="F1027" t="s" s="10">
        <v>6530</v>
      </c>
      <c r="G1027" t="s" s="7">
        <v>6531</v>
      </c>
      <c r="H1027" t="s" s="7">
        <v>6532</v>
      </c>
      <c r="I1027" t="str" s="8" cm="1">
        <f t="array" ref="I1027">SUBSTITUTE(H1027,B1027,"(          )")</f>
        <v>After her surgery, she had to use a (          ) temporarily.</v>
      </c>
      <c r="J1027" s="9" cm="1">
        <f t="array" ref="J1027">SUMIF('외운 것 - 엑셀다운로드 파일(붙여넣기)'!A3:A562,A1027,'외운 것 - 엑셀다운로드 파일(붙여넣기)'!D3:D562)</f>
        <v>0</v>
      </c>
      <c r="K1027" s="9" cm="1">
        <f t="array" ref="K1027">_xlfn.COUNTIFS('외운 것 - 엑셀다운로드 파일(붙여넣기)'!A3:A562,A1027,'외운 것 - 엑셀다운로드 파일(붙여넣기)'!D3:D562,0)</f>
        <v>0</v>
      </c>
      <c r="L1027" s="9" cm="1">
        <f t="array" ref="L1027">IF(J1027&gt;=3,_xlfn.XLOOKUP(A1027,'외운 것 - 엑셀다운로드 파일(붙여넣기)'!A3:A562,'외운 것 - 엑셀다운로드 파일(붙여넣기)'!C3:C562,0,-1),0)</f>
        <v>0</v>
      </c>
    </row>
    <row r="1028" ht="38.45" customHeight="1">
      <c r="A1028" s="3">
        <v>1027</v>
      </c>
      <c r="B1028" t="s" s="4">
        <v>6534</v>
      </c>
      <c r="C1028" t="s" s="5">
        <v>6528</v>
      </c>
      <c r="D1028" t="s" s="5">
        <v>6502</v>
      </c>
      <c r="E1028" t="s" s="5">
        <v>6535</v>
      </c>
      <c r="F1028" t="s" s="10">
        <v>6536</v>
      </c>
      <c r="G1028" t="s" s="7">
        <v>6537</v>
      </c>
      <c r="H1028" t="s" s="7">
        <v>6538</v>
      </c>
      <c r="I1028" t="str" s="8" cm="1">
        <f t="array" ref="I1028">SUBSTITUTE(H1028,B1028,"(          )")</f>
        <v>The gardener used a (          ) to move the heavy soil.</v>
      </c>
      <c r="J1028" s="9" cm="1">
        <f t="array" ref="J1028">SUMIF('외운 것 - 엑셀다운로드 파일(붙여넣기)'!A3:A562,A1028,'외운 것 - 엑셀다운로드 파일(붙여넣기)'!D3:D562)</f>
        <v>0</v>
      </c>
      <c r="K1028" s="9" cm="1">
        <f t="array" ref="K1028">_xlfn.COUNTIFS('외운 것 - 엑셀다운로드 파일(붙여넣기)'!A3:A562,A1028,'외운 것 - 엑셀다운로드 파일(붙여넣기)'!D3:D562,0)</f>
        <v>0</v>
      </c>
      <c r="L1028" s="9" cm="1">
        <f t="array" ref="L1028">IF(J1028&gt;=3,_xlfn.XLOOKUP(A1028,'외운 것 - 엑셀다운로드 파일(붙여넣기)'!A3:A562,'외운 것 - 엑셀다운로드 파일(붙여넣기)'!C3:C562,0,-1),0)</f>
        <v>0</v>
      </c>
    </row>
    <row r="1029" ht="23.45" customHeight="1">
      <c r="A1029" s="3">
        <v>1028</v>
      </c>
      <c r="B1029" t="s" s="4">
        <v>6540</v>
      </c>
      <c r="C1029" t="s" s="5">
        <v>6541</v>
      </c>
      <c r="D1029" t="s" s="5">
        <v>6542</v>
      </c>
      <c r="E1029" t="s" s="5">
        <v>6543</v>
      </c>
      <c r="F1029" t="s" s="10">
        <v>6544</v>
      </c>
      <c r="G1029" t="s" s="7">
        <v>6545</v>
      </c>
      <c r="H1029" t="s" s="7">
        <v>6546</v>
      </c>
      <c r="I1029" t="str" s="8" cm="1">
        <f t="array" ref="I1029">SUBSTITUTE(H1029,B1029,"(          )")</f>
        <v>The airplane flies at a (          ) altitude.</v>
      </c>
      <c r="J1029" s="9" cm="1">
        <f t="array" ref="J1029">SUMIF('외운 것 - 엑셀다운로드 파일(붙여넣기)'!A3:A562,A1029,'외운 것 - 엑셀다운로드 파일(붙여넣기)'!D3:D562)</f>
        <v>0</v>
      </c>
      <c r="K1029" s="9" cm="1">
        <f t="array" ref="K1029">_xlfn.COUNTIFS('외운 것 - 엑셀다운로드 파일(붙여넣기)'!A3:A562,A1029,'외운 것 - 엑셀다운로드 파일(붙여넣기)'!D3:D562,0)</f>
        <v>0</v>
      </c>
      <c r="L1029" s="9" cm="1">
        <f t="array" ref="L1029">IF(J1029&gt;=3,_xlfn.XLOOKUP(A1029,'외운 것 - 엑셀다운로드 파일(붙여넣기)'!A3:A562,'외운 것 - 엑셀다운로드 파일(붙여넣기)'!C3:C562,0,-1),0)</f>
        <v>0</v>
      </c>
    </row>
    <row r="1030" ht="23.45" customHeight="1">
      <c r="A1030" s="3">
        <v>1029</v>
      </c>
      <c r="B1030" t="s" s="4">
        <v>6548</v>
      </c>
      <c r="C1030" t="s" s="5">
        <v>6549</v>
      </c>
      <c r="D1030" t="s" s="5">
        <v>6542</v>
      </c>
      <c r="E1030" t="s" s="5">
        <v>6550</v>
      </c>
      <c r="F1030" t="s" s="10">
        <v>6551</v>
      </c>
      <c r="G1030" t="s" s="7">
        <v>6552</v>
      </c>
      <c r="H1030" t="s" s="7">
        <v>6553</v>
      </c>
      <c r="I1030" t="str" s="8" cm="1">
        <f t="array" ref="I1030">SUBSTITUTE(H1030,B1030,"(          )")</f>
        <v>His (          ) is six feet two inches.</v>
      </c>
      <c r="J1030" s="9" cm="1">
        <f t="array" ref="J1030">SUMIF('외운 것 - 엑셀다운로드 파일(붙여넣기)'!A3:A562,A1030,'외운 것 - 엑셀다운로드 파일(붙여넣기)'!D3:D562)</f>
        <v>0</v>
      </c>
      <c r="K1030" s="9" cm="1">
        <f t="array" ref="K1030">_xlfn.COUNTIFS('외운 것 - 엑셀다운로드 파일(붙여넣기)'!A3:A562,A1030,'외운 것 - 엑셀다운로드 파일(붙여넣기)'!D3:D562,0)</f>
        <v>0</v>
      </c>
      <c r="L1030" s="9" cm="1">
        <f t="array" ref="L1030">IF(J1030&gt;=3,_xlfn.XLOOKUP(A1030,'외운 것 - 엑셀다운로드 파일(붙여넣기)'!A3:A562,'외운 것 - 엑셀다운로드 파일(붙여넣기)'!C3:C562,0,-1),0)</f>
        <v>0</v>
      </c>
    </row>
    <row r="1031" ht="23.45" customHeight="1">
      <c r="A1031" s="3">
        <v>1030</v>
      </c>
      <c r="B1031" t="s" s="4">
        <v>6555</v>
      </c>
      <c r="C1031" t="s" s="5">
        <v>6549</v>
      </c>
      <c r="D1031" t="s" s="5">
        <v>6542</v>
      </c>
      <c r="E1031" t="s" s="5">
        <v>6556</v>
      </c>
      <c r="F1031" t="s" s="10">
        <v>6557</v>
      </c>
      <c r="G1031" t="s" s="7">
        <v>6558</v>
      </c>
      <c r="H1031" t="s" s="7">
        <v>6559</v>
      </c>
      <c r="I1031" t="str" s="8" cm="1">
        <f t="array" ref="I1031">SUBSTITUTE(H1031,B1031,"(          )")</f>
        <v>The documentary (          )s the problem of pollution.</v>
      </c>
      <c r="J1031" s="9" cm="1">
        <f t="array" ref="J1031">SUMIF('외운 것 - 엑셀다운로드 파일(붙여넣기)'!A3:A562,A1031,'외운 것 - 엑셀다운로드 파일(붙여넣기)'!D3:D562)</f>
        <v>0</v>
      </c>
      <c r="K1031" s="9" cm="1">
        <f t="array" ref="K1031">_xlfn.COUNTIFS('외운 것 - 엑셀다운로드 파일(붙여넣기)'!A3:A562,A1031,'외운 것 - 엑셀다운로드 파일(붙여넣기)'!D3:D562,0)</f>
        <v>0</v>
      </c>
      <c r="L1031" s="9" cm="1">
        <f t="array" ref="L1031">IF(J1031&gt;=3,_xlfn.XLOOKUP(A1031,'외운 것 - 엑셀다운로드 파일(붙여넣기)'!A3:A562,'외운 것 - 엑셀다운로드 파일(붙여넣기)'!C3:C562,0,-1),0)</f>
        <v>0</v>
      </c>
    </row>
    <row r="1032" ht="23.45" customHeight="1">
      <c r="A1032" s="3">
        <v>1031</v>
      </c>
      <c r="B1032" t="s" s="4">
        <v>6561</v>
      </c>
      <c r="C1032" t="s" s="5">
        <v>6549</v>
      </c>
      <c r="D1032" t="s" s="5">
        <v>6542</v>
      </c>
      <c r="E1032" t="s" s="5">
        <v>6562</v>
      </c>
      <c r="F1032" t="s" s="10">
        <v>6563</v>
      </c>
      <c r="G1032" t="s" s="7">
        <v>6564</v>
      </c>
      <c r="H1032" t="s" s="7">
        <v>6565</v>
      </c>
      <c r="I1032" t="str" s="8" cm="1">
        <f t="array" ref="I1032">SUBSTITUTE(H1032,B1032,"(          )")</f>
        <v>We drove along the coastal (          ).</v>
      </c>
      <c r="J1032" s="9" cm="1">
        <f t="array" ref="J1032">SUMIF('외운 것 - 엑셀다운로드 파일(붙여넣기)'!A3:A562,A1032,'외운 것 - 엑셀다운로드 파일(붙여넣기)'!D3:D562)</f>
        <v>0</v>
      </c>
      <c r="K1032" s="9" cm="1">
        <f t="array" ref="K1032">_xlfn.COUNTIFS('외운 것 - 엑셀다운로드 파일(붙여넣기)'!A3:A562,A1032,'외운 것 - 엑셀다운로드 파일(붙여넣기)'!D3:D562,0)</f>
        <v>0</v>
      </c>
      <c r="L1032" s="9" cm="1">
        <f t="array" ref="L1032">IF(J1032&gt;=3,_xlfn.XLOOKUP(A1032,'외운 것 - 엑셀다운로드 파일(붙여넣기)'!A3:A562,'외운 것 - 엑셀다운로드 파일(붙여넣기)'!C3:C562,0,-1),0)</f>
        <v>0</v>
      </c>
    </row>
    <row r="1033" ht="38.45" customHeight="1">
      <c r="A1033" s="3">
        <v>1032</v>
      </c>
      <c r="B1033" t="s" s="4">
        <v>6567</v>
      </c>
      <c r="C1033" t="s" s="5">
        <v>6549</v>
      </c>
      <c r="D1033" t="s" s="5">
        <v>6542</v>
      </c>
      <c r="E1033" t="s" s="5">
        <v>6568</v>
      </c>
      <c r="F1033" t="s" s="10">
        <v>6569</v>
      </c>
      <c r="G1033" t="s" s="7">
        <v>6570</v>
      </c>
      <c r="H1033" t="s" s="7">
        <v>6571</v>
      </c>
      <c r="I1033" t="str" s="8" cm="1">
        <f t="array" ref="I1033">SUBSTITUTE(H1033,B1033,"(          )")</f>
        <v>There is a clear (          ) in most organizations.</v>
      </c>
      <c r="J1033" s="9" cm="1">
        <f t="array" ref="J1033">SUMIF('외운 것 - 엑셀다운로드 파일(붙여넣기)'!A3:A562,A1033,'외운 것 - 엑셀다운로드 파일(붙여넣기)'!D3:D562)</f>
        <v>0</v>
      </c>
      <c r="K1033" s="9" cm="1">
        <f t="array" ref="K1033">_xlfn.COUNTIFS('외운 것 - 엑셀다운로드 파일(붙여넣기)'!A3:A562,A1033,'외운 것 - 엑셀다운로드 파일(붙여넣기)'!D3:D562,0)</f>
        <v>0</v>
      </c>
      <c r="L1033" s="9" cm="1">
        <f t="array" ref="L1033">IF(J1033&gt;=3,_xlfn.XLOOKUP(A1033,'외운 것 - 엑셀다운로드 파일(붙여넣기)'!A3:A562,'외운 것 - 엑셀다운로드 파일(붙여넣기)'!C3:C562,0,-1),0)</f>
        <v>0</v>
      </c>
    </row>
    <row r="1034" ht="23.45" customHeight="1">
      <c r="A1034" s="3">
        <v>1033</v>
      </c>
      <c r="B1034" t="s" s="4">
        <v>6573</v>
      </c>
      <c r="C1034" t="s" s="5">
        <v>6541</v>
      </c>
      <c r="D1034" t="s" s="5">
        <v>6542</v>
      </c>
      <c r="E1034" t="s" s="5">
        <v>6574</v>
      </c>
      <c r="F1034" t="s" s="10">
        <v>6575</v>
      </c>
      <c r="G1034" t="s" s="7">
        <v>6576</v>
      </c>
      <c r="H1034" t="s" s="7">
        <v>6577</v>
      </c>
      <c r="I1034" t="str" s="8" cm="1">
        <f t="array" ref="I1034">SUBSTITUTE(H1034,B1034,"(          )")</f>
        <v>They hiked up the (          ) to get a better view.</v>
      </c>
      <c r="J1034" s="9" cm="1">
        <f t="array" ref="J1034">SUMIF('외운 것 - 엑셀다운로드 파일(붙여넣기)'!A3:A562,A1034,'외운 것 - 엑셀다운로드 파일(붙여넣기)'!D3:D562)</f>
        <v>0</v>
      </c>
      <c r="K1034" s="9" cm="1">
        <f t="array" ref="K1034">_xlfn.COUNTIFS('외운 것 - 엑셀다운로드 파일(붙여넣기)'!A3:A562,A1034,'외운 것 - 엑셀다운로드 파일(붙여넣기)'!D3:D562,0)</f>
        <v>0</v>
      </c>
      <c r="L1034" s="9" cm="1">
        <f t="array" ref="L1034">IF(J1034&gt;=3,_xlfn.XLOOKUP(A1034,'외운 것 - 엑셀다운로드 파일(붙여넣기)'!A3:A562,'외운 것 - 엑셀다운로드 파일(붙여넣기)'!C3:C562,0,-1),0)</f>
        <v>0</v>
      </c>
    </row>
    <row r="1035" ht="38.45" customHeight="1">
      <c r="A1035" s="3">
        <v>1034</v>
      </c>
      <c r="B1035" t="s" s="4">
        <v>6579</v>
      </c>
      <c r="C1035" t="s" s="5">
        <v>6541</v>
      </c>
      <c r="D1035" t="s" s="5">
        <v>6542</v>
      </c>
      <c r="E1035" t="s" s="5">
        <v>6580</v>
      </c>
      <c r="F1035" t="s" s="10">
        <v>6581</v>
      </c>
      <c r="G1035" t="s" s="7">
        <v>6582</v>
      </c>
      <c r="H1035" t="s" s="7">
        <v>6583</v>
      </c>
      <c r="I1035" t="str" s="8" cm="1">
        <f t="array" ref="I1035">SUBSTITUTE(H1035,B1035,"(          )")</f>
        <v>We plan to (          ) to the summit tomorrow.</v>
      </c>
      <c r="J1035" s="9" cm="1">
        <f t="array" ref="J1035">SUMIF('외운 것 - 엑셀다운로드 파일(붙여넣기)'!A3:A562,A1035,'외운 것 - 엑셀다운로드 파일(붙여넣기)'!D3:D562)</f>
        <v>0</v>
      </c>
      <c r="K1035" s="9" cm="1">
        <f t="array" ref="K1035">_xlfn.COUNTIFS('외운 것 - 엑셀다운로드 파일(붙여넣기)'!A3:A562,A1035,'외운 것 - 엑셀다운로드 파일(붙여넣기)'!D3:D562,0)</f>
        <v>0</v>
      </c>
      <c r="L1035" s="9" cm="1">
        <f t="array" ref="L1035">IF(J1035&gt;=3,_xlfn.XLOOKUP(A1035,'외운 것 - 엑셀다운로드 파일(붙여넣기)'!A3:A562,'외운 것 - 엑셀다운로드 파일(붙여넣기)'!C3:C562,0,-1),0)</f>
        <v>0</v>
      </c>
    </row>
    <row r="1036" ht="23.45" customHeight="1">
      <c r="A1036" s="3">
        <v>1035</v>
      </c>
      <c r="B1036" t="s" s="4">
        <v>6585</v>
      </c>
      <c r="C1036" t="s" s="5">
        <v>6586</v>
      </c>
      <c r="D1036" t="s" s="5">
        <v>6587</v>
      </c>
      <c r="E1036" t="s" s="5">
        <v>6588</v>
      </c>
      <c r="F1036" t="s" s="10">
        <v>6589</v>
      </c>
      <c r="G1036" t="s" s="7">
        <v>6590</v>
      </c>
      <c r="H1036" t="s" s="7">
        <v>6591</v>
      </c>
      <c r="I1036" t="str" s="8" cm="1">
        <f t="array" ref="I1036">SUBSTITUTE(H1036,B1036,"(          )")</f>
        <v>Write your (          ) on each page of the document.</v>
      </c>
      <c r="J1036" s="9" cm="1">
        <f t="array" ref="J1036">SUMIF('외운 것 - 엑셀다운로드 파일(붙여넣기)'!A3:A562,A1036,'외운 것 - 엑셀다운로드 파일(붙여넣기)'!D3:D562)</f>
        <v>0</v>
      </c>
      <c r="K1036" s="9" cm="1">
        <f t="array" ref="K1036">_xlfn.COUNTIFS('외운 것 - 엑셀다운로드 파일(붙여넣기)'!A3:A562,A1036,'외운 것 - 엑셀다운로드 파일(붙여넣기)'!D3:D562,0)</f>
        <v>0</v>
      </c>
      <c r="L1036" s="9" cm="1">
        <f t="array" ref="L1036">IF(J1036&gt;=3,_xlfn.XLOOKUP(A1036,'외운 것 - 엑셀다운로드 파일(붙여넣기)'!A3:A562,'외운 것 - 엑셀다운로드 파일(붙여넣기)'!C3:C562,0,-1),0)</f>
        <v>0</v>
      </c>
    </row>
    <row r="1037" ht="23.45" customHeight="1">
      <c r="A1037" s="3">
        <v>1036</v>
      </c>
      <c r="B1037" t="s" s="4">
        <v>6593</v>
      </c>
      <c r="C1037" t="s" s="5">
        <v>6594</v>
      </c>
      <c r="D1037" t="s" s="5">
        <v>6586</v>
      </c>
      <c r="E1037" t="s" s="5">
        <v>6595</v>
      </c>
      <c r="F1037" t="s" s="10">
        <v>6596</v>
      </c>
      <c r="G1037" t="s" s="7">
        <v>6597</v>
      </c>
      <c r="H1037" t="s" s="7">
        <v>6598</v>
      </c>
      <c r="I1037" t="str" s="8" cm="1">
        <f t="array" ref="I1037">SUBSTITUTE(H1037,B1037,"(          )")</f>
        <v>The company will (          ) the new project next month.</v>
      </c>
      <c r="J1037" s="9" cm="1">
        <f t="array" ref="J1037">SUMIF('외운 것 - 엑셀다운로드 파일(붙여넣기)'!A3:A562,A1037,'외운 것 - 엑셀다운로드 파일(붙여넣기)'!D3:D562)</f>
        <v>0</v>
      </c>
      <c r="K1037" s="9" cm="1">
        <f t="array" ref="K1037">_xlfn.COUNTIFS('외운 것 - 엑셀다운로드 파일(붙여넣기)'!A3:A562,A1037,'외운 것 - 엑셀다운로드 파일(붙여넣기)'!D3:D562,0)</f>
        <v>0</v>
      </c>
      <c r="L1037" s="9" cm="1">
        <f t="array" ref="L1037">IF(J1037&gt;=3,_xlfn.XLOOKUP(A1037,'외운 것 - 엑셀다운로드 파일(붙여넣기)'!A3:A562,'외운 것 - 엑셀다운로드 파일(붙여넣기)'!C3:C562,0,-1),0)</f>
        <v>0</v>
      </c>
    </row>
    <row r="1038" ht="23.45" customHeight="1">
      <c r="A1038" s="3">
        <v>1037</v>
      </c>
      <c r="B1038" t="s" s="4">
        <v>6600</v>
      </c>
      <c r="C1038" t="s" s="5">
        <v>6586</v>
      </c>
      <c r="D1038" t="s" s="5">
        <v>6587</v>
      </c>
      <c r="E1038" t="s" s="5">
        <v>6601</v>
      </c>
      <c r="F1038" t="s" s="10">
        <v>6602</v>
      </c>
      <c r="G1038" t="s" s="7">
        <v>6603</v>
      </c>
      <c r="H1038" t="s" s="7">
        <v>6604</v>
      </c>
      <c r="I1038" t="str" s="8" cm="1">
        <f t="array" ref="I1038">SUBSTITUTE(H1038,B1038,"(          )")</f>
        <v>Your (          ) on this decision is valuable.</v>
      </c>
      <c r="J1038" s="9" cm="1">
        <f t="array" ref="J1038">SUMIF('외운 것 - 엑셀다운로드 파일(붙여넣기)'!A3:A562,A1038,'외운 것 - 엑셀다운로드 파일(붙여넣기)'!D3:D562)</f>
        <v>0</v>
      </c>
      <c r="K1038" s="9" cm="1">
        <f t="array" ref="K1038">_xlfn.COUNTIFS('외운 것 - 엑셀다운로드 파일(붙여넣기)'!A3:A562,A1038,'외운 것 - 엑셀다운로드 파일(붙여넣기)'!D3:D562,0)</f>
        <v>0</v>
      </c>
      <c r="L1038" s="9" cm="1">
        <f t="array" ref="L1038">IF(J1038&gt;=3,_xlfn.XLOOKUP(A1038,'외운 것 - 엑셀다운로드 파일(붙여넣기)'!A3:A562,'외운 것 - 엑셀다운로드 파일(붙여넣기)'!C3:C562,0,-1),0)</f>
        <v>0</v>
      </c>
    </row>
    <row r="1039" ht="38.45" customHeight="1">
      <c r="A1039" s="3">
        <v>1038</v>
      </c>
      <c r="B1039" t="s" s="4">
        <v>6606</v>
      </c>
      <c r="C1039" t="s" s="5">
        <v>6586</v>
      </c>
      <c r="D1039" t="s" s="5">
        <v>6587</v>
      </c>
      <c r="E1039" t="s" s="5">
        <v>6607</v>
      </c>
      <c r="F1039" t="s" s="10">
        <v>6608</v>
      </c>
      <c r="G1039" t="s" s="7">
        <v>6609</v>
      </c>
      <c r="H1039" t="s" s="7">
        <v>6610</v>
      </c>
      <c r="I1039" t="str" s="8" cm="1">
        <f t="array" ref="I1039">SUBSTITUTE(H1039,B1039,"(          )")</f>
        <v>Occasionally, I (          ) in chocolate cake.</v>
      </c>
      <c r="J1039" s="9" cm="1">
        <f t="array" ref="J1039">SUMIF('외운 것 - 엑셀다운로드 파일(붙여넣기)'!A3:A562,A1039,'외운 것 - 엑셀다운로드 파일(붙여넣기)'!D3:D562)</f>
        <v>0</v>
      </c>
      <c r="K1039" s="9" cm="1">
        <f t="array" ref="K1039">_xlfn.COUNTIFS('외운 것 - 엑셀다운로드 파일(붙여넣기)'!A3:A562,A1039,'외운 것 - 엑셀다운로드 파일(붙여넣기)'!D3:D562,0)</f>
        <v>0</v>
      </c>
      <c r="L1039" s="9" cm="1">
        <f t="array" ref="L1039">IF(J1039&gt;=3,_xlfn.XLOOKUP(A1039,'외운 것 - 엑셀다운로드 파일(붙여넣기)'!A3:A562,'외운 것 - 엑셀다운로드 파일(붙여넣기)'!C3:C562,0,-1),0)</f>
        <v>0</v>
      </c>
    </row>
    <row r="1040" ht="38.45" customHeight="1">
      <c r="A1040" s="3">
        <v>1039</v>
      </c>
      <c r="B1040" t="s" s="4">
        <v>6612</v>
      </c>
      <c r="C1040" t="s" s="5">
        <v>6586</v>
      </c>
      <c r="D1040" t="s" s="5">
        <v>6587</v>
      </c>
      <c r="E1040" t="s" s="5">
        <v>6613</v>
      </c>
      <c r="F1040" t="s" s="10">
        <v>6614</v>
      </c>
      <c r="G1040" t="s" s="7">
        <v>6615</v>
      </c>
      <c r="H1040" t="s" s="7">
        <v>6616</v>
      </c>
      <c r="I1040" t="str" s="8" cm="1">
        <f t="array" ref="I1040">SUBSTITUTE(H1040,B1040,"(          )")</f>
        <v>Be careful not to (          ) yourself with the knife.</v>
      </c>
      <c r="J1040" s="9" cm="1">
        <f t="array" ref="J1040">SUMIF('외운 것 - 엑셀다운로드 파일(붙여넣기)'!A3:A562,A1040,'외운 것 - 엑셀다운로드 파일(붙여넣기)'!D3:D562)</f>
        <v>0</v>
      </c>
      <c r="K1040" s="9" cm="1">
        <f t="array" ref="K1040">_xlfn.COUNTIFS('외운 것 - 엑셀다운로드 파일(붙여넣기)'!A3:A562,A1040,'외운 것 - 엑셀다운로드 파일(붙여넣기)'!D3:D562,0)</f>
        <v>0</v>
      </c>
      <c r="L1040" s="9" cm="1">
        <f t="array" ref="L1040">IF(J1040&gt;=3,_xlfn.XLOOKUP(A1040,'외운 것 - 엑셀다운로드 파일(붙여넣기)'!A3:A562,'외운 것 - 엑셀다운로드 파일(붙여넣기)'!C3:C562,0,-1),0)</f>
        <v>0</v>
      </c>
    </row>
    <row r="1041" ht="23.45" customHeight="1">
      <c r="A1041" s="3">
        <v>1040</v>
      </c>
      <c r="B1041" t="s" s="4">
        <v>6618</v>
      </c>
      <c r="C1041" t="s" s="5">
        <v>6586</v>
      </c>
      <c r="D1041" t="s" s="5">
        <v>6587</v>
      </c>
      <c r="E1041" t="s" s="5">
        <v>6619</v>
      </c>
      <c r="F1041" t="s" s="10">
        <v>6620</v>
      </c>
      <c r="G1041" t="s" s="7">
        <v>6621</v>
      </c>
      <c r="H1041" t="s" s="7">
        <v>6622</v>
      </c>
      <c r="I1041" t="str" s="8" cm="1">
        <f t="array" ref="I1041">SUBSTITUTE(H1041,B1041,"(          )")</f>
        <v>The (          ) swimming pool is open year-round.</v>
      </c>
      <c r="J1041" s="9" cm="1">
        <f t="array" ref="J1041">SUMIF('외운 것 - 엑셀다운로드 파일(붙여넣기)'!A3:A562,A1041,'외운 것 - 엑셀다운로드 파일(붙여넣기)'!D3:D562)</f>
        <v>0</v>
      </c>
      <c r="K1041" s="9" cm="1">
        <f t="array" ref="K1041">_xlfn.COUNTIFS('외운 것 - 엑셀다운로드 파일(붙여넣기)'!A3:A562,A1041,'외운 것 - 엑셀다운로드 파일(붙여넣기)'!D3:D562,0)</f>
        <v>0</v>
      </c>
      <c r="L1041" s="9" cm="1">
        <f t="array" ref="L1041">IF(J1041&gt;=3,_xlfn.XLOOKUP(A1041,'외운 것 - 엑셀다운로드 파일(붙여넣기)'!A3:A562,'외운 것 - 엑셀다운로드 파일(붙여넣기)'!C3:C562,0,-1),0)</f>
        <v>0</v>
      </c>
    </row>
    <row r="1042" ht="23.45" customHeight="1">
      <c r="A1042" s="3">
        <v>1041</v>
      </c>
      <c r="B1042" t="s" s="4">
        <v>6624</v>
      </c>
      <c r="C1042" t="s" s="5">
        <v>6586</v>
      </c>
      <c r="D1042" t="s" s="5">
        <v>6587</v>
      </c>
      <c r="E1042" t="s" s="5">
        <v>6625</v>
      </c>
      <c r="F1042" t="s" s="10">
        <v>6626</v>
      </c>
      <c r="G1042" t="s" s="7">
        <v>6627</v>
      </c>
      <c r="H1042" t="s" s="7">
        <v>6628</v>
      </c>
      <c r="I1042" t="str" s="8" cm="1">
        <f t="array" ref="I1042">SUBSTITUTE(H1042,B1042,"(          )")</f>
        <v>Reduce your salt (          ) for better health.</v>
      </c>
      <c r="J1042" s="9" cm="1">
        <f t="array" ref="J1042">SUMIF('외운 것 - 엑셀다운로드 파일(붙여넣기)'!A3:A562,A1042,'외운 것 - 엑셀다운로드 파일(붙여넣기)'!D3:D562)</f>
        <v>0</v>
      </c>
      <c r="K1042" s="9" cm="1">
        <f t="array" ref="K1042">_xlfn.COUNTIFS('외운 것 - 엑셀다운로드 파일(붙여넣기)'!A3:A562,A1042,'외운 것 - 엑셀다운로드 파일(붙여넣기)'!D3:D562,0)</f>
        <v>0</v>
      </c>
      <c r="L1042" s="9" cm="1">
        <f t="array" ref="L1042">IF(J1042&gt;=3,_xlfn.XLOOKUP(A1042,'외운 것 - 엑셀다운로드 파일(붙여넣기)'!A3:A562,'외운 것 - 엑셀다운로드 파일(붙여넣기)'!C3:C562,0,-1),0)</f>
        <v>0</v>
      </c>
    </row>
    <row r="1043" ht="38.45" customHeight="1">
      <c r="A1043" s="3">
        <v>1042</v>
      </c>
      <c r="B1043" t="s" s="4">
        <v>6630</v>
      </c>
      <c r="C1043" t="s" s="5">
        <v>6586</v>
      </c>
      <c r="D1043" t="s" s="5">
        <v>6587</v>
      </c>
      <c r="E1043" t="s" s="5">
        <v>6631</v>
      </c>
      <c r="F1043" t="s" s="10">
        <v>6632</v>
      </c>
      <c r="G1043" t="s" s="7">
        <v>6633</v>
      </c>
      <c r="H1043" t="s" s="7">
        <v>6634</v>
      </c>
      <c r="I1043" t="str" s="8" cm="1">
        <f t="array" ref="I1043">SUBSTITUTE(H1043,B1043,"(          )")</f>
        <v>They had an (          ) dinner for their anniversary.</v>
      </c>
      <c r="J1043" s="9" cm="1">
        <f t="array" ref="J1043">SUMIF('외운 것 - 엑셀다운로드 파일(붙여넣기)'!A3:A562,A1043,'외운 것 - 엑셀다운로드 파일(붙여넣기)'!D3:D562)</f>
        <v>0</v>
      </c>
      <c r="K1043" s="9" cm="1">
        <f t="array" ref="K1043">_xlfn.COUNTIFS('외운 것 - 엑셀다운로드 파일(붙여넣기)'!A3:A562,A1043,'외운 것 - 엑셀다운로드 파일(붙여넣기)'!D3:D562,0)</f>
        <v>0</v>
      </c>
      <c r="L1043" s="9" cm="1">
        <f t="array" ref="L1043">IF(J1043&gt;=3,_xlfn.XLOOKUP(A1043,'외운 것 - 엑셀다운로드 파일(붙여넣기)'!A3:A562,'외운 것 - 엑셀다운로드 파일(붙여넣기)'!C3:C562,0,-1),0)</f>
        <v>0</v>
      </c>
    </row>
    <row r="1044" ht="38.45" customHeight="1">
      <c r="A1044" s="3">
        <v>1043</v>
      </c>
      <c r="B1044" t="s" s="4">
        <v>6636</v>
      </c>
      <c r="C1044" t="s" s="5">
        <v>6586</v>
      </c>
      <c r="D1044" t="s" s="5">
        <v>6587</v>
      </c>
      <c r="E1044" t="s" s="5">
        <v>6637</v>
      </c>
      <c r="F1044" t="s" s="10">
        <v>6638</v>
      </c>
      <c r="G1044" t="s" s="7">
        <v>6639</v>
      </c>
      <c r="H1044" t="s" s="7">
        <v>6640</v>
      </c>
      <c r="I1044" t="str" s="8" cm="1">
        <f t="array" ref="I1044">SUBSTITUTE(H1044,B1044,"(          )")</f>
        <v>The automobile (          ) employs thousands of workers.</v>
      </c>
      <c r="J1044" s="9" cm="1">
        <f t="array" ref="J1044">SUMIF('외운 것 - 엑셀다운로드 파일(붙여넣기)'!A3:A562,A1044,'외운 것 - 엑셀다운로드 파일(붙여넣기)'!D3:D562)</f>
        <v>0</v>
      </c>
      <c r="K1044" s="9" cm="1">
        <f t="array" ref="K1044">_xlfn.COUNTIFS('외운 것 - 엑셀다운로드 파일(붙여넣기)'!A3:A562,A1044,'외운 것 - 엑셀다운로드 파일(붙여넣기)'!D3:D562,0)</f>
        <v>0</v>
      </c>
      <c r="L1044" s="9" cm="1">
        <f t="array" ref="L1044">IF(J1044&gt;=3,_xlfn.XLOOKUP(A1044,'외운 것 - 엑셀다운로드 파일(붙여넣기)'!A3:A562,'외운 것 - 엑셀다운로드 파일(붙여넣기)'!C3:C562,0,-1),0)</f>
        <v>0</v>
      </c>
    </row>
    <row r="1045" ht="23.45" customHeight="1">
      <c r="A1045" s="3">
        <v>1044</v>
      </c>
      <c r="B1045" t="s" s="4">
        <v>6642</v>
      </c>
      <c r="C1045" t="s" s="5">
        <v>6586</v>
      </c>
      <c r="D1045" t="s" s="5">
        <v>6587</v>
      </c>
      <c r="E1045" t="s" s="5">
        <v>6643</v>
      </c>
      <c r="F1045" t="s" s="10">
        <v>6644</v>
      </c>
      <c r="G1045" t="s" s="7">
        <v>6645</v>
      </c>
      <c r="H1045" t="s" s="7">
        <v>6646</v>
      </c>
      <c r="I1045" t="str" s="8" cm="1">
        <f t="array" ref="I1045">SUBSTITUTE(H1045,B1045,"(          )")</f>
        <v>Her (          ) increased after the promotion.</v>
      </c>
      <c r="J1045" s="9" cm="1">
        <f t="array" ref="J1045">SUMIF('외운 것 - 엑셀다운로드 파일(붙여넣기)'!A3:A562,A1045,'외운 것 - 엑셀다운로드 파일(붙여넣기)'!D3:D562)</f>
        <v>0</v>
      </c>
      <c r="K1045" s="9" cm="1">
        <f t="array" ref="K1045">_xlfn.COUNTIFS('외운 것 - 엑셀다운로드 파일(붙여넣기)'!A3:A562,A1045,'외운 것 - 엑셀다운로드 파일(붙여넣기)'!D3:D562,0)</f>
        <v>0</v>
      </c>
      <c r="L1045" s="9" cm="1">
        <f t="array" ref="L1045">IF(J1045&gt;=3,_xlfn.XLOOKUP(A1045,'외운 것 - 엑셀다운로드 파일(붙여넣기)'!A3:A562,'외운 것 - 엑셀다운로드 파일(붙여넣기)'!C3:C562,0,-1),0)</f>
        <v>0</v>
      </c>
    </row>
    <row r="1046" ht="38.45" customHeight="1">
      <c r="A1046" s="3">
        <v>1045</v>
      </c>
      <c r="B1046" t="s" s="4">
        <v>6648</v>
      </c>
      <c r="C1046" t="s" s="5">
        <v>6586</v>
      </c>
      <c r="D1046" t="s" s="5">
        <v>6587</v>
      </c>
      <c r="E1046" t="s" s="5">
        <v>6649</v>
      </c>
      <c r="F1046" t="s" s="10">
        <v>6650</v>
      </c>
      <c r="G1046" t="s" s="7">
        <v>6651</v>
      </c>
      <c r="H1046" t="s" s="7">
        <v>6652</v>
      </c>
      <c r="I1046" t="str" s="8" cm="1">
        <f t="array" ref="I1046">SUBSTITUTE(H1046,B1046,"(          )")</f>
        <v>Look up the word in the (          ) at the back of the book.</v>
      </c>
      <c r="J1046" s="9" cm="1">
        <f t="array" ref="J1046">SUMIF('외운 것 - 엑셀다운로드 파일(붙여넣기)'!A3:A562,A1046,'외운 것 - 엑셀다운로드 파일(붙여넣기)'!D3:D562)</f>
        <v>0</v>
      </c>
      <c r="K1046" s="9" cm="1">
        <f t="array" ref="K1046">_xlfn.COUNTIFS('외운 것 - 엑셀다운로드 파일(붙여넣기)'!A3:A562,A1046,'외운 것 - 엑셀다운로드 파일(붙여넣기)'!D3:D562,0)</f>
        <v>0</v>
      </c>
      <c r="L1046" s="9" cm="1">
        <f t="array" ref="L1046">IF(J1046&gt;=3,_xlfn.XLOOKUP(A1046,'외운 것 - 엑셀다운로드 파일(붙여넣기)'!A3:A562,'외운 것 - 엑셀다운로드 파일(붙여넣기)'!C3:C562,0,-1),0)</f>
        <v>0</v>
      </c>
    </row>
    <row r="1047" ht="23.45" customHeight="1">
      <c r="A1047" s="3">
        <v>1046</v>
      </c>
      <c r="B1047" t="s" s="4">
        <v>6654</v>
      </c>
      <c r="C1047" t="s" s="5">
        <v>6586</v>
      </c>
      <c r="D1047" t="s" s="5">
        <v>6587</v>
      </c>
      <c r="E1047" t="s" s="5">
        <v>6655</v>
      </c>
      <c r="F1047" t="s" s="10">
        <v>6656</v>
      </c>
      <c r="G1047" t="s" s="7">
        <v>6657</v>
      </c>
      <c r="H1047" t="s" s="7">
        <v>6658</v>
      </c>
      <c r="I1047" t="str" s="8" cm="1">
        <f t="array" ref="I1047">SUBSTITUTE(H1047,B1047,"(          )")</f>
        <v>The blue (          ) stained my shirt.</v>
      </c>
      <c r="J1047" s="9" cm="1">
        <f t="array" ref="J1047">SUMIF('외운 것 - 엑셀다운로드 파일(붙여넣기)'!A3:A562,A1047,'외운 것 - 엑셀다운로드 파일(붙여넣기)'!D3:D562)</f>
        <v>0</v>
      </c>
      <c r="K1047" s="9" cm="1">
        <f t="array" ref="K1047">_xlfn.COUNTIFS('외운 것 - 엑셀다운로드 파일(붙여넣기)'!A3:A562,A1047,'외운 것 - 엑셀다운로드 파일(붙여넣기)'!D3:D562,0)</f>
        <v>0</v>
      </c>
      <c r="L1047" s="9" cm="1">
        <f t="array" ref="L1047">IF(J1047&gt;=3,_xlfn.XLOOKUP(A1047,'외운 것 - 엑셀다운로드 파일(붙여넣기)'!A3:A562,'외운 것 - 엑셀다운로드 파일(붙여넣기)'!C3:C562,0,-1),0)</f>
        <v>0</v>
      </c>
    </row>
    <row r="1048" ht="23.45" customHeight="1">
      <c r="A1048" s="3">
        <v>1047</v>
      </c>
      <c r="B1048" t="s" s="4">
        <v>6660</v>
      </c>
      <c r="C1048" t="s" s="5">
        <v>6661</v>
      </c>
      <c r="D1048" t="s" s="5">
        <v>6662</v>
      </c>
      <c r="E1048" t="s" s="5">
        <v>6663</v>
      </c>
      <c r="F1048" t="s" s="10">
        <v>6664</v>
      </c>
      <c r="G1048" t="s" s="7">
        <v>6665</v>
      </c>
      <c r="H1048" t="s" s="7">
        <v>6666</v>
      </c>
      <c r="I1048" t="str" s="8" cm="1">
        <f t="array" ref="I1048">SUBSTITUTE(H1048,B1048,"(          )")</f>
        <v>Most people access the (          ) daily.</v>
      </c>
      <c r="J1048" s="9" cm="1">
        <f t="array" ref="J1048">SUMIF('외운 것 - 엑셀다운로드 파일(붙여넣기)'!A3:A562,A1048,'외운 것 - 엑셀다운로드 파일(붙여넣기)'!D3:D562)</f>
        <v>0</v>
      </c>
      <c r="K1048" s="9" cm="1">
        <f t="array" ref="K1048">_xlfn.COUNTIFS('외운 것 - 엑셀다운로드 파일(붙여넣기)'!A3:A562,A1048,'외운 것 - 엑셀다운로드 파일(붙여넣기)'!D3:D562,0)</f>
        <v>0</v>
      </c>
      <c r="L1048" s="9" cm="1">
        <f t="array" ref="L1048">IF(J1048&gt;=3,_xlfn.XLOOKUP(A1048,'외운 것 - 엑셀다운로드 파일(붙여넣기)'!A3:A562,'외운 것 - 엑셀다운로드 파일(붙여넣기)'!C3:C562,0,-1),0)</f>
        <v>0</v>
      </c>
    </row>
    <row r="1049" ht="23.45" customHeight="1">
      <c r="A1049" s="3">
        <v>1048</v>
      </c>
      <c r="B1049" t="s" s="4">
        <v>6668</v>
      </c>
      <c r="C1049" t="s" s="5">
        <v>6661</v>
      </c>
      <c r="D1049" t="s" s="5">
        <v>6662</v>
      </c>
      <c r="E1049" t="s" s="5">
        <v>6669</v>
      </c>
      <c r="F1049" t="s" s="10">
        <v>6670</v>
      </c>
      <c r="G1049" t="s" s="7">
        <v>6671</v>
      </c>
      <c r="H1049" t="s" s="7">
        <v>6672</v>
      </c>
      <c r="I1049" t="str" s="8" cm="1">
        <f t="array" ref="I1049">SUBSTITUTE(H1049,B1049,"(          )")</f>
        <v>There will be a short (          ) between the acts.</v>
      </c>
      <c r="J1049" s="9" cm="1">
        <f t="array" ref="J1049">SUMIF('외운 것 - 엑셀다운로드 파일(붙여넣기)'!A3:A562,A1049,'외운 것 - 엑셀다운로드 파일(붙여넣기)'!D3:D562)</f>
        <v>0</v>
      </c>
      <c r="K1049" s="9" cm="1">
        <f t="array" ref="K1049">_xlfn.COUNTIFS('외운 것 - 엑셀다운로드 파일(붙여넣기)'!A3:A562,A1049,'외운 것 - 엑셀다운로드 파일(붙여넣기)'!D3:D562,0)</f>
        <v>0</v>
      </c>
      <c r="L1049" s="9" cm="1">
        <f t="array" ref="L1049">IF(J1049&gt;=3,_xlfn.XLOOKUP(A1049,'외운 것 - 엑셀다운로드 파일(붙여넣기)'!A3:A562,'외운 것 - 엑셀다운로드 파일(붙여넣기)'!C3:C562,0,-1),0)</f>
        <v>0</v>
      </c>
    </row>
    <row r="1050" ht="38.45" customHeight="1">
      <c r="A1050" s="3">
        <v>1049</v>
      </c>
      <c r="B1050" t="s" s="4">
        <v>6674</v>
      </c>
      <c r="C1050" t="s" s="5">
        <v>6675</v>
      </c>
      <c r="D1050" t="s" s="5">
        <v>6662</v>
      </c>
      <c r="E1050" t="s" s="5">
        <v>6676</v>
      </c>
      <c r="F1050" t="s" s="10">
        <v>6677</v>
      </c>
      <c r="G1050" t="s" s="7">
        <v>6678</v>
      </c>
      <c r="H1050" t="s" s="7">
        <v>6679</v>
      </c>
      <c r="I1050" t="str" s="8" cm="1">
        <f t="array" ref="I1050">SUBSTITUTE(H1050,B1050,"(          )")</f>
        <v>The school works to (          ) students from diverse backgrounds.</v>
      </c>
      <c r="J1050" s="9" cm="1">
        <f t="array" ref="J1050">SUMIF('외운 것 - 엑셀다운로드 파일(붙여넣기)'!A3:A562,A1050,'외운 것 - 엑셀다운로드 파일(붙여넣기)'!D3:D562)</f>
        <v>0</v>
      </c>
      <c r="K1050" s="9" cm="1">
        <f t="array" ref="K1050">_xlfn.COUNTIFS('외운 것 - 엑셀다운로드 파일(붙여넣기)'!A3:A562,A1050,'외운 것 - 엑셀다운로드 파일(붙여넣기)'!D3:D562,0)</f>
        <v>0</v>
      </c>
      <c r="L1050" s="9" cm="1">
        <f t="array" ref="L1050">IF(J1050&gt;=3,_xlfn.XLOOKUP(A1050,'외운 것 - 엑셀다운로드 파일(붙여넣기)'!A3:A562,'외운 것 - 엑셀다운로드 파일(붙여넣기)'!C3:C562,0,-1),0)</f>
        <v>0</v>
      </c>
    </row>
    <row r="1051" ht="36.4" customHeight="1">
      <c r="A1051" s="3">
        <v>1050</v>
      </c>
      <c r="B1051" t="s" s="4">
        <v>6681</v>
      </c>
      <c r="C1051" t="s" s="5">
        <v>6682</v>
      </c>
      <c r="D1051" t="s" s="5">
        <v>6662</v>
      </c>
      <c r="E1051" t="s" s="5">
        <v>6683</v>
      </c>
      <c r="F1051" t="s" s="10">
        <v>6684</v>
      </c>
      <c r="G1051" t="s" s="7">
        <v>6685</v>
      </c>
      <c r="H1051" t="s" s="7">
        <v>6686</v>
      </c>
      <c r="I1051" t="str" s="8" cm="1">
        <f t="array" ref="I1051">SUBSTITUTE(H1051,B1051,"(          )")</f>
        <v>The old book began to (          ) when touched.</v>
      </c>
      <c r="J1051" s="9" cm="1">
        <f t="array" ref="J1051">SUMIF('외운 것 - 엑셀다운로드 파일(붙여넣기)'!A3:A562,A1051,'외운 것 - 엑셀다운로드 파일(붙여넣기)'!D3:D562)</f>
        <v>0</v>
      </c>
      <c r="K1051" s="9" cm="1">
        <f t="array" ref="K1051">_xlfn.COUNTIFS('외운 것 - 엑셀다운로드 파일(붙여넣기)'!A3:A562,A1051,'외운 것 - 엑셀다운로드 파일(붙여넣기)'!D3:D562,0)</f>
        <v>0</v>
      </c>
      <c r="L1051" s="9" cm="1">
        <f t="array" ref="L1051">IF(J1051&gt;=3,_xlfn.XLOOKUP(A1051,'외운 것 - 엑셀다운로드 파일(붙여넣기)'!A3:A562,'외운 것 - 엑셀다운로드 파일(붙여넣기)'!C3:C562,0,-1),0)</f>
        <v>0</v>
      </c>
    </row>
    <row r="1052" ht="38.45" customHeight="1">
      <c r="A1052" s="3">
        <v>1051</v>
      </c>
      <c r="B1052" t="s" s="4">
        <v>6688</v>
      </c>
      <c r="C1052" t="s" s="5">
        <v>6682</v>
      </c>
      <c r="D1052" t="s" s="5">
        <v>6662</v>
      </c>
      <c r="E1052" t="s" s="5">
        <v>6689</v>
      </c>
      <c r="F1052" t="s" s="10">
        <v>6690</v>
      </c>
      <c r="G1052" t="s" s="7">
        <v>6691</v>
      </c>
      <c r="H1052" t="s" s="7">
        <v>6692</v>
      </c>
      <c r="I1052" t="str" s="8" cm="1">
        <f t="array" ref="I1052">SUBSTITUTE(H1052,B1052,"(          )")</f>
        <v>Trust is an (          ) part of any relationship.</v>
      </c>
      <c r="J1052" s="9" cm="1">
        <f t="array" ref="J1052">SUMIF('외운 것 - 엑셀다운로드 파일(붙여넣기)'!A3:A562,A1052,'외운 것 - 엑셀다운로드 파일(붙여넣기)'!D3:D562)</f>
        <v>0</v>
      </c>
      <c r="K1052" s="9" cm="1">
        <f t="array" ref="K1052">_xlfn.COUNTIFS('외운 것 - 엑셀다운로드 파일(붙여넣기)'!A3:A562,A1052,'외운 것 - 엑셀다운로드 파일(붙여넣기)'!D3:D562,0)</f>
        <v>0</v>
      </c>
      <c r="L1052" s="9" cm="1">
        <f t="array" ref="L1052">IF(J1052&gt;=3,_xlfn.XLOOKUP(A1052,'외운 것 - 엑셀다운로드 파일(붙여넣기)'!A3:A562,'외운 것 - 엑셀다운로드 파일(붙여넣기)'!C3:C562,0,-1),0)</f>
        <v>0</v>
      </c>
    </row>
    <row r="1053" ht="36.4" customHeight="1">
      <c r="A1053" s="3">
        <v>1052</v>
      </c>
      <c r="B1053" t="s" s="4">
        <v>6694</v>
      </c>
      <c r="C1053" t="s" s="5">
        <v>6682</v>
      </c>
      <c r="D1053" t="s" s="5">
        <v>6662</v>
      </c>
      <c r="E1053" t="s" s="5">
        <v>6695</v>
      </c>
      <c r="F1053" t="s" s="10">
        <v>6696</v>
      </c>
      <c r="G1053" t="s" s="7">
        <v>6697</v>
      </c>
      <c r="H1053" t="s" s="7">
        <v>6698</v>
      </c>
      <c r="I1053" t="str" s="8" cm="1">
        <f t="array" ref="I1053">SUBSTITUTE(H1053,B1053,"(          )")</f>
        <v>She is known for her honesty and (          ).</v>
      </c>
      <c r="J1053" s="9" cm="1">
        <f t="array" ref="J1053">SUMIF('외운 것 - 엑셀다운로드 파일(붙여넣기)'!A3:A562,A1053,'외운 것 - 엑셀다운로드 파일(붙여넣기)'!D3:D562)</f>
        <v>0</v>
      </c>
      <c r="K1053" s="9" cm="1">
        <f t="array" ref="K1053">_xlfn.COUNTIFS('외운 것 - 엑셀다운로드 파일(붙여넣기)'!A3:A562,A1053,'외운 것 - 엑셀다운로드 파일(붙여넣기)'!D3:D562,0)</f>
        <v>0</v>
      </c>
      <c r="L1053" s="9" cm="1">
        <f t="array" ref="L1053">IF(J1053&gt;=3,_xlfn.XLOOKUP(A1053,'외운 것 - 엑셀다운로드 파일(붙여넣기)'!A3:A562,'외운 것 - 엑셀다운로드 파일(붙여넣기)'!C3:C562,0,-1),0)</f>
        <v>0</v>
      </c>
    </row>
    <row r="1054" ht="38.45" customHeight="1">
      <c r="A1054" s="3">
        <v>1053</v>
      </c>
      <c r="B1054" t="s" s="4">
        <v>6700</v>
      </c>
      <c r="C1054" t="s" s="5">
        <v>6701</v>
      </c>
      <c r="D1054" t="s" s="5">
        <v>6662</v>
      </c>
      <c r="E1054" t="s" s="5">
        <v>6702</v>
      </c>
      <c r="F1054" t="s" s="10">
        <v>6703</v>
      </c>
      <c r="G1054" t="s" s="7">
        <v>6704</v>
      </c>
      <c r="H1054" t="s" s="7">
        <v>6705</v>
      </c>
      <c r="I1054" t="str" s="8" cm="1">
        <f t="array" ref="I1054">SUBSTITUTE(H1054,B1054,"(          )")</f>
        <v>The diamond has (          ) value due to its rarity.</v>
      </c>
      <c r="J1054" s="9" cm="1">
        <f t="array" ref="J1054">SUMIF('외운 것 - 엑셀다운로드 파일(붙여넣기)'!A3:A562,A1054,'외운 것 - 엑셀다운로드 파일(붙여넣기)'!D3:D562)</f>
        <v>0</v>
      </c>
      <c r="K1054" s="9" cm="1">
        <f t="array" ref="K1054">_xlfn.COUNTIFS('외운 것 - 엑셀다운로드 파일(붙여넣기)'!A3:A562,A1054,'외운 것 - 엑셀다운로드 파일(붙여넣기)'!D3:D562,0)</f>
        <v>0</v>
      </c>
      <c r="L1054" s="9" cm="1">
        <f t="array" ref="L1054">IF(J1054&gt;=3,_xlfn.XLOOKUP(A1054,'외운 것 - 엑셀다운로드 파일(붙여넣기)'!A3:A562,'외운 것 - 엑셀다운로드 파일(붙여넣기)'!C3:C562,0,-1),0)</f>
        <v>0</v>
      </c>
    </row>
    <row r="1055" ht="23.45" customHeight="1">
      <c r="A1055" s="3">
        <v>1054</v>
      </c>
      <c r="B1055" t="s" s="4">
        <v>6707</v>
      </c>
      <c r="C1055" t="s" s="5">
        <v>6661</v>
      </c>
      <c r="D1055" t="s" s="5">
        <v>6662</v>
      </c>
      <c r="E1055" t="s" s="5">
        <v>6708</v>
      </c>
      <c r="F1055" t="s" s="10">
        <v>6709</v>
      </c>
      <c r="G1055" t="s" s="7">
        <v>6710</v>
      </c>
      <c r="H1055" t="s" s="7">
        <v>6711</v>
      </c>
      <c r="I1055" t="str" s="8" cm="1">
        <f t="array" ref="I1055">SUBSTITUTE(H1055,B1055,"(          )")</f>
        <v>I have a strong (          ) in photography.</v>
      </c>
      <c r="J1055" s="9" cm="1">
        <f t="array" ref="J1055">SUMIF('외운 것 - 엑셀다운로드 파일(붙여넣기)'!A3:A562,A1055,'외운 것 - 엑셀다운로드 파일(붙여넣기)'!D3:D562)</f>
        <v>0</v>
      </c>
      <c r="K1055" s="9" cm="1">
        <f t="array" ref="K1055">_xlfn.COUNTIFS('외운 것 - 엑셀다운로드 파일(붙여넣기)'!A3:A562,A1055,'외운 것 - 엑셀다운로드 파일(붙여넣기)'!D3:D562,0)</f>
        <v>0</v>
      </c>
      <c r="L1055" s="9" cm="1">
        <f t="array" ref="L1055">IF(J1055&gt;=3,_xlfn.XLOOKUP(A1055,'외운 것 - 엑셀다운로드 파일(붙여넣기)'!A3:A562,'외운 것 - 엑셀다운로드 파일(붙여넣기)'!C3:C562,0,-1),0)</f>
        <v>0</v>
      </c>
    </row>
    <row r="1056" ht="23.45" customHeight="1">
      <c r="A1056" s="3">
        <v>1055</v>
      </c>
      <c r="B1056" t="s" s="4">
        <v>6713</v>
      </c>
      <c r="C1056" t="s" s="5">
        <v>6701</v>
      </c>
      <c r="D1056" t="s" s="5">
        <v>6662</v>
      </c>
      <c r="E1056" t="s" s="5">
        <v>6714</v>
      </c>
      <c r="F1056" t="s" s="10">
        <v>6715</v>
      </c>
      <c r="G1056" t="s" s="7">
        <v>6716</v>
      </c>
      <c r="H1056" t="s" s="7">
        <v>6717</v>
      </c>
      <c r="I1056" t="str" s="8" cm="1">
        <f t="array" ref="I1056">SUBSTITUTE(H1056,B1056,"(          )")</f>
        <v>Sorry to (          ) on your conversation.</v>
      </c>
      <c r="J1056" s="9" cm="1">
        <f t="array" ref="J1056">SUMIF('외운 것 - 엑셀다운로드 파일(붙여넣기)'!A3:A562,A1056,'외운 것 - 엑셀다운로드 파일(붙여넣기)'!D3:D562)</f>
        <v>0</v>
      </c>
      <c r="K1056" s="9" cm="1">
        <f t="array" ref="K1056">_xlfn.COUNTIFS('외운 것 - 엑셀다운로드 파일(붙여넣기)'!A3:A562,A1056,'외운 것 - 엑셀다운로드 파일(붙여넣기)'!D3:D562,0)</f>
        <v>0</v>
      </c>
      <c r="L1056" s="9" cm="1">
        <f t="array" ref="L1056">IF(J1056&gt;=3,_xlfn.XLOOKUP(A1056,'외운 것 - 엑셀다운로드 파일(붙여넣기)'!A3:A562,'외운 것 - 엑셀다운로드 파일(붙여넣기)'!C3:C562,0,-1),0)</f>
        <v>0</v>
      </c>
    </row>
    <row r="1057" ht="23.45" customHeight="1">
      <c r="A1057" s="3">
        <v>1056</v>
      </c>
      <c r="B1057" t="s" s="4">
        <v>6719</v>
      </c>
      <c r="C1057" t="s" s="5">
        <v>6675</v>
      </c>
      <c r="D1057" t="s" s="5">
        <v>6662</v>
      </c>
      <c r="E1057" t="s" s="5">
        <v>6720</v>
      </c>
      <c r="F1057" t="s" s="10">
        <v>6721</v>
      </c>
      <c r="G1057" t="s" s="7">
        <v>6722</v>
      </c>
      <c r="H1057" t="s" s="7">
        <v>6723</v>
      </c>
      <c r="I1057" t="str" s="8" cm="1">
        <f t="array" ref="I1057">SUBSTITUTE(H1057,B1057,"(          )")</f>
        <v>The small (          ) absorbs nutrients from food.</v>
      </c>
      <c r="J1057" s="9" cm="1">
        <f t="array" ref="J1057">SUMIF('외운 것 - 엑셀다운로드 파일(붙여넣기)'!A3:A562,A1057,'외운 것 - 엑셀다운로드 파일(붙여넣기)'!D3:D562)</f>
        <v>0</v>
      </c>
      <c r="K1057" s="9" cm="1">
        <f t="array" ref="K1057">_xlfn.COUNTIFS('외운 것 - 엑셀다운로드 파일(붙여넣기)'!A3:A562,A1057,'외운 것 - 엑셀다운로드 파일(붙여넣기)'!D3:D562,0)</f>
        <v>0</v>
      </c>
      <c r="L1057" s="9" cm="1">
        <f t="array" ref="L1057">IF(J1057&gt;=3,_xlfn.XLOOKUP(A1057,'외운 것 - 엑셀다운로드 파일(붙여넣기)'!A3:A562,'외운 것 - 엑셀다운로드 파일(붙여넣기)'!C3:C562,0,-1),0)</f>
        <v>0</v>
      </c>
    </row>
    <row r="1058" ht="38.45" customHeight="1">
      <c r="A1058" s="3">
        <v>1057</v>
      </c>
      <c r="B1058" t="s" s="4">
        <v>6725</v>
      </c>
      <c r="C1058" t="s" s="5">
        <v>6701</v>
      </c>
      <c r="D1058" t="s" s="5">
        <v>6662</v>
      </c>
      <c r="E1058" t="s" s="5">
        <v>6726</v>
      </c>
      <c r="F1058" t="s" s="10">
        <v>6727</v>
      </c>
      <c r="G1058" t="s" s="7">
        <v>6728</v>
      </c>
      <c r="H1058" t="s" s="7">
        <v>6729</v>
      </c>
      <c r="I1058" t="str" s="8" cm="1">
        <f t="array" ref="I1058">SUBSTITUTE(H1058,B1058,"(          )")</f>
        <v>The watch has an (          ) mechanism.</v>
      </c>
      <c r="J1058" s="9" cm="1">
        <f t="array" ref="J1058">SUMIF('외운 것 - 엑셀다운로드 파일(붙여넣기)'!A3:A562,A1058,'외운 것 - 엑셀다운로드 파일(붙여넣기)'!D3:D562)</f>
        <v>0</v>
      </c>
      <c r="K1058" s="9" cm="1">
        <f t="array" ref="K1058">_xlfn.COUNTIFS('외운 것 - 엑셀다운로드 파일(붙여넣기)'!A3:A562,A1058,'외운 것 - 엑셀다운로드 파일(붙여넣기)'!D3:D562,0)</f>
        <v>0</v>
      </c>
      <c r="L1058" s="9" cm="1">
        <f t="array" ref="L1058">IF(J1058&gt;=3,_xlfn.XLOOKUP(A1058,'외운 것 - 엑셀다운로드 파일(붙여넣기)'!A3:A562,'외운 것 - 엑셀다운로드 파일(붙여넣기)'!C3:C562,0,-1),0)</f>
        <v>0</v>
      </c>
    </row>
    <row r="1059" ht="38.45" customHeight="1">
      <c r="A1059" s="3">
        <v>1058</v>
      </c>
      <c r="B1059" t="s" s="4">
        <v>6731</v>
      </c>
      <c r="C1059" t="s" s="5">
        <v>6661</v>
      </c>
      <c r="D1059" t="s" s="5">
        <v>6662</v>
      </c>
      <c r="E1059" t="s" s="5">
        <v>6732</v>
      </c>
      <c r="F1059" t="s" s="10">
        <v>6733</v>
      </c>
      <c r="G1059" t="s" s="7">
        <v>6734</v>
      </c>
      <c r="H1059" t="s" s="7">
        <v>6735</v>
      </c>
      <c r="I1059" t="str" s="8" cm="1">
        <f t="array" ref="I1059">SUBSTITUTE(H1059,B1059,"(          )")</f>
        <v>The translator will (          ) the speech for foreign visitors.</v>
      </c>
      <c r="J1059" s="9" cm="1">
        <f t="array" ref="J1059">SUMIF('외운 것 - 엑셀다운로드 파일(붙여넣기)'!A3:A562,A1059,'외운 것 - 엑셀다운로드 파일(붙여넣기)'!D3:D562)</f>
        <v>0</v>
      </c>
      <c r="K1059" s="9" cm="1">
        <f t="array" ref="K1059">_xlfn.COUNTIFS('외운 것 - 엑셀다운로드 파일(붙여넣기)'!A3:A562,A1059,'외운 것 - 엑셀다운로드 파일(붙여넣기)'!D3:D562,0)</f>
        <v>0</v>
      </c>
      <c r="L1059" s="9" cm="1">
        <f t="array" ref="L1059">IF(J1059&gt;=3,_xlfn.XLOOKUP(A1059,'외운 것 - 엑셀다운로드 파일(붙여넣기)'!A3:A562,'외운 것 - 엑셀다운로드 파일(붙여넣기)'!C3:C562,0,-1),0)</f>
        <v>0</v>
      </c>
    </row>
    <row r="1060" ht="23.45" customHeight="1">
      <c r="A1060" s="3">
        <v>1059</v>
      </c>
      <c r="B1060" t="s" s="4">
        <v>6737</v>
      </c>
      <c r="C1060" t="s" s="5">
        <v>6661</v>
      </c>
      <c r="D1060" t="s" s="5">
        <v>6662</v>
      </c>
      <c r="E1060" t="s" s="5">
        <v>6738</v>
      </c>
      <c r="F1060" t="s" s="10">
        <v>6739</v>
      </c>
      <c r="G1060" t="s" s="7">
        <v>6740</v>
      </c>
      <c r="H1060" t="s" s="7">
        <v>6741</v>
      </c>
      <c r="I1060" t="str" s="8" cm="1">
        <f t="array" ref="I1060">SUBSTITUTE(H1060,B1060,"(          )")</f>
        <v>The (          ) of the cave was dark and damp.</v>
      </c>
      <c r="J1060" s="9" cm="1">
        <f t="array" ref="J1060">SUMIF('외운 것 - 엑셀다운로드 파일(붙여넣기)'!A3:A562,A1060,'외운 것 - 엑셀다운로드 파일(붙여넣기)'!D3:D562)</f>
        <v>0</v>
      </c>
      <c r="K1060" s="9" cm="1">
        <f t="array" ref="K1060">_xlfn.COUNTIFS('외운 것 - 엑셀다운로드 파일(붙여넣기)'!A3:A562,A1060,'외운 것 - 엑셀다운로드 파일(붙여넣기)'!D3:D562,0)</f>
        <v>0</v>
      </c>
      <c r="L1060" s="9" cm="1">
        <f t="array" ref="L1060">IF(J1060&gt;=3,_xlfn.XLOOKUP(A1060,'외운 것 - 엑셀다운로드 파일(붙여넣기)'!A3:A562,'외운 것 - 엑셀다운로드 파일(붙여넣기)'!C3:C562,0,-1),0)</f>
        <v>0</v>
      </c>
    </row>
    <row r="1061" ht="50.45" customHeight="1">
      <c r="A1061" s="3">
        <v>1060</v>
      </c>
      <c r="B1061" t="s" s="4">
        <v>6743</v>
      </c>
      <c r="C1061" t="s" s="5">
        <v>6744</v>
      </c>
      <c r="D1061" t="s" s="5">
        <v>6661</v>
      </c>
      <c r="E1061" t="s" s="5">
        <v>6745</v>
      </c>
      <c r="F1061" t="s" s="10">
        <v>6746</v>
      </c>
      <c r="G1061" t="s" s="7">
        <v>6747</v>
      </c>
      <c r="H1061" t="s" s="7">
        <v>6748</v>
      </c>
      <c r="I1061" t="str" s="8" cm="1">
        <f t="array" ref="I1061">SUBSTITUTE(H1061,B1061,"(          )")</f>
        <v>His health began to (          ) rapidly.</v>
      </c>
      <c r="J1061" s="9" cm="1">
        <f t="array" ref="J1061">SUMIF('외운 것 - 엑셀다운로드 파일(붙여넣기)'!A3:A562,A1061,'외운 것 - 엑셀다운로드 파일(붙여넣기)'!D3:D562)</f>
        <v>0</v>
      </c>
      <c r="K1061" s="9" cm="1">
        <f t="array" ref="K1061">_xlfn.COUNTIFS('외운 것 - 엑셀다운로드 파일(붙여넣기)'!A3:A562,A1061,'외운 것 - 엑셀다운로드 파일(붙여넣기)'!D3:D562,0)</f>
        <v>0</v>
      </c>
      <c r="L1061" s="9" cm="1">
        <f t="array" ref="L1061">IF(J1061&gt;=3,_xlfn.XLOOKUP(A1061,'외운 것 - 엑셀다운로드 파일(붙여넣기)'!A3:A562,'외운 것 - 엑셀다운로드 파일(붙여넣기)'!C3:C562,0,-1),0)</f>
        <v>0</v>
      </c>
    </row>
    <row r="1062" ht="23.45" customHeight="1">
      <c r="A1062" s="3">
        <v>1061</v>
      </c>
      <c r="B1062" t="s" s="4">
        <v>6750</v>
      </c>
      <c r="C1062" t="s" s="5">
        <v>6751</v>
      </c>
      <c r="D1062" t="s" s="5">
        <v>6752</v>
      </c>
      <c r="E1062" t="s" s="5">
        <v>6753</v>
      </c>
      <c r="F1062" t="s" s="10">
        <v>6754</v>
      </c>
      <c r="G1062" t="s" s="7">
        <v>6755</v>
      </c>
      <c r="H1062" t="s" s="7">
        <v>6756</v>
      </c>
      <c r="I1062" t="str" s="8" cm="1">
        <f t="array" ref="I1062">SUBSTITUTE(H1062,B1062,"(          )")</f>
        <v>The (          ) flew across the Atlantic in six hours.</v>
      </c>
      <c r="J1062" s="9" cm="1">
        <f t="array" ref="J1062">SUMIF('외운 것 - 엑셀다운로드 파일(붙여넣기)'!A3:A562,A1062,'외운 것 - 엑셀다운로드 파일(붙여넣기)'!D3:D562)</f>
        <v>0</v>
      </c>
      <c r="K1062" s="9" cm="1">
        <f t="array" ref="K1062">_xlfn.COUNTIFS('외운 것 - 엑셀다운로드 파일(붙여넣기)'!A3:A562,A1062,'외운 것 - 엑셀다운로드 파일(붙여넣기)'!D3:D562,0)</f>
        <v>0</v>
      </c>
      <c r="L1062" s="9" cm="1">
        <f t="array" ref="L1062">IF(J1062&gt;=3,_xlfn.XLOOKUP(A1062,'외운 것 - 엑셀다운로드 파일(붙여넣기)'!A3:A562,'외운 것 - 엑셀다운로드 파일(붙여넣기)'!C3:C562,0,-1),0)</f>
        <v>0</v>
      </c>
    </row>
    <row r="1063" ht="23.45" customHeight="1">
      <c r="A1063" s="3">
        <v>1062</v>
      </c>
      <c r="B1063" t="s" s="4">
        <v>6758</v>
      </c>
      <c r="C1063" t="s" s="5">
        <v>6750</v>
      </c>
      <c r="D1063" t="s" s="5">
        <v>6752</v>
      </c>
      <c r="E1063" t="s" s="5">
        <v>6759</v>
      </c>
      <c r="F1063" t="s" s="10">
        <v>6760</v>
      </c>
      <c r="G1063" t="s" s="7">
        <v>6761</v>
      </c>
      <c r="H1063" t="s" s="7">
        <v>6762</v>
      </c>
      <c r="I1063" t="str" s="8" cm="1">
        <f t="array" ref="I1063">SUBSTITUTE(H1063,B1063,"(          )")</f>
        <v>The (          ) reached speeds of 500 miles per hour.</v>
      </c>
      <c r="J1063" s="9" cm="1">
        <f t="array" ref="J1063">SUMIF('외운 것 - 엑셀다운로드 파일(붙여넣기)'!A3:A562,A1063,'외운 것 - 엑셀다운로드 파일(붙여넣기)'!D3:D562)</f>
        <v>0</v>
      </c>
      <c r="K1063" s="9" cm="1">
        <f t="array" ref="K1063">_xlfn.COUNTIFS('외운 것 - 엑셀다운로드 파일(붙여넣기)'!A3:A562,A1063,'외운 것 - 엑셀다운로드 파일(붙여넣기)'!D3:D562,0)</f>
        <v>0</v>
      </c>
      <c r="L1063" s="9" cm="1">
        <f t="array" ref="L1063">IF(J1063&gt;=3,_xlfn.XLOOKUP(A1063,'외운 것 - 엑셀다운로드 파일(붙여넣기)'!A3:A562,'외운 것 - 엑셀다운로드 파일(붙여넣기)'!C3:C562,0,-1),0)</f>
        <v>0</v>
      </c>
    </row>
    <row r="1064" ht="38.45" customHeight="1">
      <c r="A1064" s="3">
        <v>1063</v>
      </c>
      <c r="B1064" t="s" s="4">
        <v>6764</v>
      </c>
      <c r="C1064" t="s" s="5">
        <v>6750</v>
      </c>
      <c r="D1064" t="s" s="5">
        <v>6752</v>
      </c>
      <c r="E1064" t="s" s="5">
        <v>6765</v>
      </c>
      <c r="F1064" t="s" s="10">
        <v>6766</v>
      </c>
      <c r="G1064" t="s" s="7">
        <v>6767</v>
      </c>
      <c r="H1064" t="s" s="7">
        <v>6768</v>
      </c>
      <c r="I1064" t="str" s="8" cm="1">
        <f t="array" ref="I1064">SUBSTITUTE(H1064,B1064,"(          )")</f>
        <v>Travelers often experience (          ) after long flights.</v>
      </c>
      <c r="J1064" s="9" cm="1">
        <f t="array" ref="J1064">SUMIF('외운 것 - 엑셀다운로드 파일(붙여넣기)'!A3:A562,A1064,'외운 것 - 엑셀다운로드 파일(붙여넣기)'!D3:D562)</f>
        <v>0</v>
      </c>
      <c r="K1064" s="9" cm="1">
        <f t="array" ref="K1064">_xlfn.COUNTIFS('외운 것 - 엑셀다운로드 파일(붙여넣기)'!A3:A562,A1064,'외운 것 - 엑셀다운로드 파일(붙여넣기)'!D3:D562,0)</f>
        <v>0</v>
      </c>
      <c r="L1064" s="9" cm="1">
        <f t="array" ref="L1064">IF(J1064&gt;=3,_xlfn.XLOOKUP(A1064,'외운 것 - 엑셀다운로드 파일(붙여넣기)'!A3:A562,'외운 것 - 엑셀다운로드 파일(붙여넣기)'!C3:C562,0,-1),0)</f>
        <v>0</v>
      </c>
    </row>
    <row r="1065" ht="38.45" customHeight="1">
      <c r="A1065" s="3">
        <v>1064</v>
      </c>
      <c r="B1065" t="s" s="4">
        <v>6770</v>
      </c>
      <c r="C1065" t="s" s="5">
        <v>6750</v>
      </c>
      <c r="D1065" t="s" s="5">
        <v>6752</v>
      </c>
      <c r="E1065" t="s" s="5">
        <v>6771</v>
      </c>
      <c r="F1065" t="s" s="10">
        <v>6772</v>
      </c>
      <c r="G1065" t="s" s="7">
        <v>6773</v>
      </c>
      <c r="H1065" t="s" s="7">
        <v>6774</v>
      </c>
      <c r="I1065" t="str" s="8" cm="1">
        <f t="array" ref="I1065">SUBSTITUTE(H1065,B1065,"(          )")</f>
        <v>Fishermen gathered on the (          ) to cast their lines.</v>
      </c>
      <c r="J1065" s="9" cm="1">
        <f t="array" ref="J1065">SUMIF('외운 것 - 엑셀다운로드 파일(붙여넣기)'!A3:A562,A1065,'외운 것 - 엑셀다운로드 파일(붙여넣기)'!D3:D562)</f>
        <v>0</v>
      </c>
      <c r="K1065" s="9" cm="1">
        <f t="array" ref="K1065">_xlfn.COUNTIFS('외운 것 - 엑셀다운로드 파일(붙여넣기)'!A3:A562,A1065,'외운 것 - 엑셀다운로드 파일(붙여넣기)'!D3:D562,0)</f>
        <v>0</v>
      </c>
      <c r="L1065" s="9" cm="1">
        <f t="array" ref="L1065">IF(J1065&gt;=3,_xlfn.XLOOKUP(A1065,'외운 것 - 엑셀다운로드 파일(붙여넣기)'!A3:A562,'외운 것 - 엑셀다운로드 파일(붙여넣기)'!C3:C562,0,-1),0)</f>
        <v>0</v>
      </c>
    </row>
    <row r="1066" ht="23.45" customHeight="1">
      <c r="A1066" s="3">
        <v>1065</v>
      </c>
      <c r="B1066" t="s" s="4">
        <v>6776</v>
      </c>
      <c r="C1066" t="s" s="5">
        <v>6777</v>
      </c>
      <c r="D1066" t="s" s="5">
        <v>6778</v>
      </c>
      <c r="E1066" t="s" s="5">
        <v>6779</v>
      </c>
      <c r="F1066" t="s" s="10">
        <v>6780</v>
      </c>
      <c r="G1066" t="s" s="7">
        <v>6781</v>
      </c>
      <c r="H1066" t="s" s="7">
        <v>6782</v>
      </c>
      <c r="I1066" t="str" s="8" cm="1">
        <f t="array" ref="I1066">SUBSTITUTE(H1066,B1066,"(          )")</f>
        <v>Our team will complete the (          ) by Friday.</v>
      </c>
      <c r="J1066" s="9" cm="1">
        <f t="array" ref="J1066">SUMIF('외운 것 - 엑셀다운로드 파일(붙여넣기)'!A3:A562,A1066,'외운 것 - 엑셀다운로드 파일(붙여넣기)'!D3:D562)</f>
        <v>0</v>
      </c>
      <c r="K1066" s="9" cm="1">
        <f t="array" ref="K1066">_xlfn.COUNTIFS('외운 것 - 엑셀다운로드 파일(붙여넣기)'!A3:A562,A1066,'외운 것 - 엑셀다운로드 파일(붙여넣기)'!D3:D562,0)</f>
        <v>0</v>
      </c>
      <c r="L1066" s="9" cm="1">
        <f t="array" ref="L1066">IF(J1066&gt;=3,_xlfn.XLOOKUP(A1066,'외운 것 - 엑셀다운로드 파일(붙여넣기)'!A3:A562,'외운 것 - 엑셀다운로드 파일(붙여넣기)'!C3:C562,0,-1),0)</f>
        <v>0</v>
      </c>
    </row>
    <row r="1067" ht="53.45" customHeight="1">
      <c r="A1067" s="3">
        <v>1066</v>
      </c>
      <c r="B1067" t="s" s="4">
        <v>6784</v>
      </c>
      <c r="C1067" t="s" s="5">
        <v>6785</v>
      </c>
      <c r="D1067" t="s" s="5">
        <v>6777</v>
      </c>
      <c r="E1067" t="s" s="5">
        <v>6786</v>
      </c>
      <c r="F1067" t="s" s="10">
        <v>6787</v>
      </c>
      <c r="G1067" t="s" s="7">
        <v>6788</v>
      </c>
      <c r="H1067" t="s" s="7">
        <v>6789</v>
      </c>
      <c r="I1067" t="str" s="8" cm="1">
        <f t="array" ref="I1067">SUBSTITUTE(H1067,B1067,"(          )")</f>
        <v>The teacher used a (          ) to show the slides.</v>
      </c>
      <c r="J1067" s="9" cm="1">
        <f t="array" ref="J1067">SUMIF('외운 것 - 엑셀다운로드 파일(붙여넣기)'!A3:A562,A1067,'외운 것 - 엑셀다운로드 파일(붙여넣기)'!D3:D562)</f>
        <v>0</v>
      </c>
      <c r="K1067" s="9" cm="1">
        <f t="array" ref="K1067">_xlfn.COUNTIFS('외운 것 - 엑셀다운로드 파일(붙여넣기)'!A3:A562,A1067,'외운 것 - 엑셀다운로드 파일(붙여넣기)'!D3:D562,0)</f>
        <v>0</v>
      </c>
      <c r="L1067" s="9" cm="1">
        <f t="array" ref="L1067">IF(J1067&gt;=3,_xlfn.XLOOKUP(A1067,'외운 것 - 엑셀다운로드 파일(붙여넣기)'!A3:A562,'외운 것 - 엑셀다운로드 파일(붙여넣기)'!C3:C562,0,-1),0)</f>
        <v>0</v>
      </c>
    </row>
    <row r="1068" ht="23.45" customHeight="1">
      <c r="A1068" s="3">
        <v>1067</v>
      </c>
      <c r="B1068" t="s" s="4">
        <v>6791</v>
      </c>
      <c r="C1068" t="s" s="5">
        <v>6777</v>
      </c>
      <c r="D1068" t="s" s="5">
        <v>6778</v>
      </c>
      <c r="E1068" t="s" s="5">
        <v>6792</v>
      </c>
      <c r="F1068" t="s" s="10">
        <v>6793</v>
      </c>
      <c r="G1068" t="s" s="7">
        <v>6794</v>
      </c>
      <c r="H1068" t="s" s="7">
        <v>6795</v>
      </c>
      <c r="I1068" t="str" s="8" cm="1">
        <f t="array" ref="I1068">SUBSTITUTE(H1068,B1068,"(          )")</f>
        <v>Mathematics was always my favorite (          ) in school.</v>
      </c>
      <c r="J1068" s="9" cm="1">
        <f t="array" ref="J1068">SUMIF('외운 것 - 엑셀다운로드 파일(붙여넣기)'!A3:A562,A1068,'외운 것 - 엑셀다운로드 파일(붙여넣기)'!D3:D562)</f>
        <v>0</v>
      </c>
      <c r="K1068" s="9" cm="1">
        <f t="array" ref="K1068">_xlfn.COUNTIFS('외운 것 - 엑셀다운로드 파일(붙여넣기)'!A3:A562,A1068,'외운 것 - 엑셀다운로드 파일(붙여넣기)'!D3:D562,0)</f>
        <v>0</v>
      </c>
      <c r="L1068" s="9" cm="1">
        <f t="array" ref="L1068">IF(J1068&gt;=3,_xlfn.XLOOKUP(A1068,'외운 것 - 엑셀다운로드 파일(붙여넣기)'!A3:A562,'외운 것 - 엑셀다운로드 파일(붙여넣기)'!C3:C562,0,-1),0)</f>
        <v>0</v>
      </c>
    </row>
    <row r="1069" ht="36.4" customHeight="1">
      <c r="A1069" s="3">
        <v>1068</v>
      </c>
      <c r="B1069" t="s" s="4">
        <v>6797</v>
      </c>
      <c r="C1069" t="s" s="5">
        <v>6798</v>
      </c>
      <c r="D1069" t="s" s="5">
        <v>6777</v>
      </c>
      <c r="E1069" t="s" s="5">
        <v>6799</v>
      </c>
      <c r="F1069" t="s" s="10">
        <v>6800</v>
      </c>
      <c r="G1069" t="s" s="7">
        <v>6801</v>
      </c>
      <c r="H1069" t="s" s="7">
        <v>6802</v>
      </c>
      <c r="I1069" t="str" s="8" cm="1">
        <f t="array" ref="I1069">SUBSTITUTE(H1069,B1069,"(          )")</f>
        <v>Art appreciation is highly (          ).</v>
      </c>
      <c r="J1069" s="9" cm="1">
        <f t="array" ref="J1069">SUMIF('외운 것 - 엑셀다운로드 파일(붙여넣기)'!A3:A562,A1069,'외운 것 - 엑셀다운로드 파일(붙여넣기)'!D3:D562)</f>
        <v>0</v>
      </c>
      <c r="K1069" s="9" cm="1">
        <f t="array" ref="K1069">_xlfn.COUNTIFS('외운 것 - 엑셀다운로드 파일(붙여넣기)'!A3:A562,A1069,'외운 것 - 엑셀다운로드 파일(붙여넣기)'!D3:D562,0)</f>
        <v>0</v>
      </c>
      <c r="L1069" s="9" cm="1">
        <f t="array" ref="L1069">IF(J1069&gt;=3,_xlfn.XLOOKUP(A1069,'외운 것 - 엑셀다운로드 파일(붙여넣기)'!A3:A562,'외운 것 - 엑셀다운로드 파일(붙여넣기)'!C3:C562,0,-1),0)</f>
        <v>0</v>
      </c>
    </row>
    <row r="1070" ht="23.45" customHeight="1">
      <c r="A1070" s="3">
        <v>1069</v>
      </c>
      <c r="B1070" t="s" s="4">
        <v>6804</v>
      </c>
      <c r="C1070" t="s" s="5">
        <v>6777</v>
      </c>
      <c r="D1070" t="s" s="5">
        <v>6778</v>
      </c>
      <c r="E1070" t="s" s="5">
        <v>6805</v>
      </c>
      <c r="F1070" t="s" s="10">
        <v>6806</v>
      </c>
      <c r="G1070" t="s" s="7">
        <v>5445</v>
      </c>
      <c r="H1070" t="s" s="7">
        <v>6807</v>
      </c>
      <c r="I1070" t="str" s="8" cm="1">
        <f t="array" ref="I1070">SUBSTITUTE(H1070,B1070,"(          )")</f>
        <v>The committee may (          ) your proposal.</v>
      </c>
      <c r="J1070" s="9" cm="1">
        <f t="array" ref="J1070">SUMIF('외운 것 - 엑셀다운로드 파일(붙여넣기)'!A3:A562,A1070,'외운 것 - 엑셀다운로드 파일(붙여넣기)'!D3:D562)</f>
        <v>0</v>
      </c>
      <c r="K1070" s="9" cm="1">
        <f t="array" ref="K1070">_xlfn.COUNTIFS('외운 것 - 엑셀다운로드 파일(붙여넣기)'!A3:A562,A1070,'외운 것 - 엑셀다운로드 파일(붙여넣기)'!D3:D562,0)</f>
        <v>0</v>
      </c>
      <c r="L1070" s="9" cm="1">
        <f t="array" ref="L1070">IF(J1070&gt;=3,_xlfn.XLOOKUP(A1070,'외운 것 - 엑셀다운로드 파일(붙여넣기)'!A3:A562,'외운 것 - 엑셀다운로드 파일(붙여넣기)'!C3:C562,0,-1),0)</f>
        <v>0</v>
      </c>
    </row>
    <row r="1071" ht="38.45" customHeight="1">
      <c r="A1071" s="3">
        <v>1070</v>
      </c>
      <c r="B1071" t="s" s="4">
        <v>6809</v>
      </c>
      <c r="C1071" t="s" s="5">
        <v>6810</v>
      </c>
      <c r="D1071" t="s" s="5">
        <v>6777</v>
      </c>
      <c r="E1071" t="s" s="5">
        <v>6811</v>
      </c>
      <c r="F1071" t="s" s="10">
        <v>6812</v>
      </c>
      <c r="G1071" t="s" s="7">
        <v>6813</v>
      </c>
      <c r="H1071" t="s" s="7">
        <v>6814</v>
      </c>
      <c r="I1071" t="str" s="8" cm="1">
        <f t="array" ref="I1071">SUBSTITUTE(H1071,B1071,"(          )")</f>
        <v>Job (          ) is disappointing but often leads to better opportunities.</v>
      </c>
      <c r="J1071" s="9" cm="1">
        <f t="array" ref="J1071">SUMIF('외운 것 - 엑셀다운로드 파일(붙여넣기)'!A3:A562,A1071,'외운 것 - 엑셀다운로드 파일(붙여넣기)'!D3:D562)</f>
        <v>0</v>
      </c>
      <c r="K1071" s="9" cm="1">
        <f t="array" ref="K1071">_xlfn.COUNTIFS('외운 것 - 엑셀다운로드 파일(붙여넣기)'!A3:A562,A1071,'외운 것 - 엑셀다운로드 파일(붙여넣기)'!D3:D562,0)</f>
        <v>0</v>
      </c>
      <c r="L1071" s="9" cm="1">
        <f t="array" ref="L1071">IF(J1071&gt;=3,_xlfn.XLOOKUP(A1071,'외운 것 - 엑셀다운로드 파일(붙여넣기)'!A3:A562,'외운 것 - 엑셀다운로드 파일(붙여넣기)'!C3:C562,0,-1),0)</f>
        <v>0</v>
      </c>
    </row>
    <row r="1072" ht="23.45" customHeight="1">
      <c r="A1072" s="3">
        <v>1071</v>
      </c>
      <c r="B1072" t="s" s="4">
        <v>6816</v>
      </c>
      <c r="C1072" t="s" s="5">
        <v>6777</v>
      </c>
      <c r="D1072" t="s" s="5">
        <v>6778</v>
      </c>
      <c r="E1072" t="s" s="5">
        <v>6817</v>
      </c>
      <c r="F1072" t="s" s="10">
        <v>6818</v>
      </c>
      <c r="G1072" t="s" s="7">
        <v>6819</v>
      </c>
      <c r="H1072" t="s" s="7">
        <v>6820</v>
      </c>
      <c r="I1072" t="str" s="8" cm="1">
        <f t="array" ref="I1072">SUBSTITUTE(H1072,B1072,"(          )")</f>
        <v>Press this button to (          ) the DVD.</v>
      </c>
      <c r="J1072" s="9" cm="1">
        <f t="array" ref="J1072">SUMIF('외운 것 - 엑셀다운로드 파일(붙여넣기)'!A3:A562,A1072,'외운 것 - 엑셀다운로드 파일(붙여넣기)'!D3:D562)</f>
        <v>0</v>
      </c>
      <c r="K1072" s="9" cm="1">
        <f t="array" ref="K1072">_xlfn.COUNTIFS('외운 것 - 엑셀다운로드 파일(붙여넣기)'!A3:A562,A1072,'외운 것 - 엑셀다운로드 파일(붙여넣기)'!D3:D562,0)</f>
        <v>0</v>
      </c>
      <c r="L1072" s="9" cm="1">
        <f t="array" ref="L1072">IF(J1072&gt;=3,_xlfn.XLOOKUP(A1072,'외운 것 - 엑셀다운로드 파일(붙여넣기)'!A3:A562,'외운 것 - 엑셀다운로드 파일(붙여넣기)'!C3:C562,0,-1),0)</f>
        <v>0</v>
      </c>
    </row>
    <row r="1073" ht="38.45" customHeight="1">
      <c r="A1073" s="3">
        <v>1072</v>
      </c>
      <c r="B1073" t="s" s="4">
        <v>6822</v>
      </c>
      <c r="C1073" t="s" s="5">
        <v>6777</v>
      </c>
      <c r="D1073" t="s" s="5">
        <v>6778</v>
      </c>
      <c r="E1073" t="s" s="5">
        <v>6823</v>
      </c>
      <c r="F1073" t="s" s="10">
        <v>6824</v>
      </c>
      <c r="G1073" t="s" s="7">
        <v>6825</v>
      </c>
      <c r="H1073" t="s" s="7">
        <v>6826</v>
      </c>
      <c r="I1073" t="str" s="8" cm="1">
        <f t="array" ref="I1073">SUBSTITUTE(H1073,B1073,"(          )")</f>
        <v>There is a strange (          ) in the sky.</v>
      </c>
      <c r="J1073" s="9" cm="1">
        <f t="array" ref="J1073">SUMIF('외운 것 - 엑셀다운로드 파일(붙여넣기)'!A3:A562,A1073,'외운 것 - 엑셀다운로드 파일(붙여넣기)'!D3:D562)</f>
        <v>0</v>
      </c>
      <c r="K1073" s="9" cm="1">
        <f t="array" ref="K1073">_xlfn.COUNTIFS('외운 것 - 엑셀다운로드 파일(붙여넣기)'!A3:A562,A1073,'외운 것 - 엑셀다운로드 파일(붙여넣기)'!D3:D562,0)</f>
        <v>0</v>
      </c>
      <c r="L1073" s="9" cm="1">
        <f t="array" ref="L1073">IF(J1073&gt;=3,_xlfn.XLOOKUP(A1073,'외운 것 - 엑셀다운로드 파일(붙여넣기)'!A3:A562,'외운 것 - 엑셀다운로드 파일(붙여넣기)'!C3:C562,0,-1),0)</f>
        <v>0</v>
      </c>
    </row>
    <row r="1074" ht="23.45" customHeight="1">
      <c r="A1074" s="3">
        <v>1073</v>
      </c>
      <c r="B1074" t="s" s="4">
        <v>6828</v>
      </c>
      <c r="C1074" t="s" s="5">
        <v>6777</v>
      </c>
      <c r="D1074" t="s" s="5">
        <v>6778</v>
      </c>
      <c r="E1074" t="s" s="5">
        <v>6829</v>
      </c>
      <c r="F1074" t="s" s="10">
        <v>6830</v>
      </c>
      <c r="G1074" t="s" s="7">
        <v>6831</v>
      </c>
      <c r="H1074" t="s" s="7">
        <v>6832</v>
      </c>
      <c r="I1074" t="str" s="8" cm="1">
        <f t="array" ref="I1074">SUBSTITUTE(H1074,B1074,"(          )")</f>
        <v>The doctor gave me an (          ) of antibiotics.</v>
      </c>
      <c r="J1074" s="9" cm="1">
        <f t="array" ref="J1074">SUMIF('외운 것 - 엑셀다운로드 파일(붙여넣기)'!A3:A562,A1074,'외운 것 - 엑셀다운로드 파일(붙여넣기)'!D3:D562)</f>
        <v>0</v>
      </c>
      <c r="K1074" s="9" cm="1">
        <f t="array" ref="K1074">_xlfn.COUNTIFS('외운 것 - 엑셀다운로드 파일(붙여넣기)'!A3:A562,A1074,'외운 것 - 엑셀다운로드 파일(붙여넣기)'!D3:D562,0)</f>
        <v>0</v>
      </c>
      <c r="L1074" s="9" cm="1">
        <f t="array" ref="L1074">IF(J1074&gt;=3,_xlfn.XLOOKUP(A1074,'외운 것 - 엑셀다운로드 파일(붙여넣기)'!A3:A562,'외운 것 - 엑셀다운로드 파일(붙여넣기)'!C3:C562,0,-1),0)</f>
        <v>0</v>
      </c>
    </row>
    <row r="1075" ht="38.45" customHeight="1">
      <c r="A1075" s="3">
        <v>1074</v>
      </c>
      <c r="B1075" t="s" s="4">
        <v>6834</v>
      </c>
      <c r="C1075" t="s" s="5">
        <v>6751</v>
      </c>
      <c r="D1075" t="s" s="5">
        <v>6835</v>
      </c>
      <c r="E1075" t="s" s="5">
        <v>6836</v>
      </c>
      <c r="F1075" t="s" s="10">
        <v>6837</v>
      </c>
      <c r="G1075" t="s" s="7">
        <v>6838</v>
      </c>
      <c r="H1075" t="s" s="7">
        <v>6839</v>
      </c>
      <c r="I1075" t="str" s="8" cm="1">
        <f t="array" ref="I1075">SUBSTITUTE(H1075,B1075,"(          )")</f>
        <v>Would you like to (          ) us for dinner?</v>
      </c>
      <c r="J1075" s="9" cm="1">
        <f t="array" ref="J1075">SUMIF('외운 것 - 엑셀다운로드 파일(붙여넣기)'!A3:A562,A1075,'외운 것 - 엑셀다운로드 파일(붙여넣기)'!D3:D562)</f>
        <v>0</v>
      </c>
      <c r="K1075" s="9" cm="1">
        <f t="array" ref="K1075">_xlfn.COUNTIFS('외운 것 - 엑셀다운로드 파일(붙여넣기)'!A3:A562,A1075,'외운 것 - 엑셀다운로드 파일(붙여넣기)'!D3:D562,0)</f>
        <v>0</v>
      </c>
      <c r="L1075" s="9" cm="1">
        <f t="array" ref="L1075">IF(J1075&gt;=3,_xlfn.XLOOKUP(A1075,'외운 것 - 엑셀다운로드 파일(붙여넣기)'!A3:A562,'외운 것 - 엑셀다운로드 파일(붙여넣기)'!C3:C562,0,-1),0)</f>
        <v>0</v>
      </c>
    </row>
    <row r="1076" ht="23.45" customHeight="1">
      <c r="A1076" s="3">
        <v>1075</v>
      </c>
      <c r="B1076" t="s" s="4">
        <v>6841</v>
      </c>
      <c r="C1076" t="s" s="5">
        <v>6834</v>
      </c>
      <c r="D1076" t="s" s="5">
        <v>6835</v>
      </c>
      <c r="E1076" t="s" s="5">
        <v>6842</v>
      </c>
      <c r="F1076" t="s" s="10">
        <v>6843</v>
      </c>
      <c r="G1076" t="s" s="7">
        <v>6844</v>
      </c>
      <c r="H1076" t="s" s="7">
        <v>6845</v>
      </c>
      <c r="I1076" t="str" s="8" cm="1">
        <f t="array" ref="I1076">SUBSTITUTE(H1076,B1076,"(          )")</f>
        <v>Our garden (          )s the park.</v>
      </c>
      <c r="J1076" s="9" cm="1">
        <f t="array" ref="J1076">SUMIF('외운 것 - 엑셀다운로드 파일(붙여넣기)'!A3:A562,A1076,'외운 것 - 엑셀다운로드 파일(붙여넣기)'!D3:D562)</f>
        <v>0</v>
      </c>
      <c r="K1076" s="9" cm="1">
        <f t="array" ref="K1076">_xlfn.COUNTIFS('외운 것 - 엑셀다운로드 파일(붙여넣기)'!A3:A562,A1076,'외운 것 - 엑셀다운로드 파일(붙여넣기)'!D3:D562,0)</f>
        <v>0</v>
      </c>
      <c r="L1076" s="9" cm="1">
        <f t="array" ref="L1076">IF(J1076&gt;=3,_xlfn.XLOOKUP(A1076,'외운 것 - 엑셀다운로드 파일(붙여넣기)'!A3:A562,'외운 것 - 엑셀다운로드 파일(붙여넣기)'!C3:C562,0,-1),0)</f>
        <v>0</v>
      </c>
    </row>
    <row r="1077" ht="23.45" customHeight="1">
      <c r="A1077" s="3">
        <v>1076</v>
      </c>
      <c r="B1077" t="s" s="4">
        <v>6847</v>
      </c>
      <c r="C1077" t="s" s="5">
        <v>6834</v>
      </c>
      <c r="D1077" t="s" s="5">
        <v>6835</v>
      </c>
      <c r="E1077" t="s" s="5">
        <v>6848</v>
      </c>
      <c r="F1077" t="s" s="10">
        <v>6849</v>
      </c>
      <c r="G1077" t="s" s="7">
        <v>6850</v>
      </c>
      <c r="H1077" t="s" s="7">
        <v>6851</v>
      </c>
      <c r="I1077" t="str" s="8" cm="1">
        <f t="array" ref="I1077">SUBSTITUTE(H1077,B1077,"(          )")</f>
        <v>The court will (          ) the company from polluting the river.</v>
      </c>
      <c r="J1077" s="9" cm="1">
        <f t="array" ref="J1077">SUMIF('외운 것 - 엑셀다운로드 파일(붙여넣기)'!A3:A562,A1077,'외운 것 - 엑셀다운로드 파일(붙여넣기)'!D3:D562)</f>
        <v>0</v>
      </c>
      <c r="K1077" s="9" cm="1">
        <f t="array" ref="K1077">_xlfn.COUNTIFS('외운 것 - 엑셀다운로드 파일(붙여넣기)'!A3:A562,A1077,'외운 것 - 엑셀다운로드 파일(붙여넣기)'!D3:D562,0)</f>
        <v>0</v>
      </c>
      <c r="L1077" s="9" cm="1">
        <f t="array" ref="L1077">IF(J1077&gt;=3,_xlfn.XLOOKUP(A1077,'외운 것 - 엑셀다운로드 파일(붙여넣기)'!A3:A562,'외운 것 - 엑셀다운로드 파일(붙여넣기)'!C3:C562,0,-1),0)</f>
        <v>0</v>
      </c>
    </row>
    <row r="1078" ht="23.45" customHeight="1">
      <c r="A1078" s="3">
        <v>1077</v>
      </c>
      <c r="B1078" t="s" s="4">
        <v>6853</v>
      </c>
      <c r="C1078" t="s" s="5">
        <v>6834</v>
      </c>
      <c r="D1078" t="s" s="5">
        <v>6835</v>
      </c>
      <c r="E1078" t="s" s="5">
        <v>6854</v>
      </c>
      <c r="F1078" t="s" s="10">
        <v>6855</v>
      </c>
      <c r="G1078" t="s" s="7">
        <v>6856</v>
      </c>
      <c r="H1078" t="s" s="7">
        <v>6857</v>
      </c>
      <c r="I1078" t="str" s="8" cm="1">
        <f t="array" ref="I1078">SUBSTITUTE(H1078,B1078,"(          )")</f>
        <v>The knee (          ) can be easily injured during sports.</v>
      </c>
      <c r="J1078" s="9" cm="1">
        <f t="array" ref="J1078">SUMIF('외운 것 - 엑셀다운로드 파일(붙여넣기)'!A3:A562,A1078,'외운 것 - 엑셀다운로드 파일(붙여넣기)'!D3:D562)</f>
        <v>0</v>
      </c>
      <c r="K1078" s="9" cm="1">
        <f t="array" ref="K1078">_xlfn.COUNTIFS('외운 것 - 엑셀다운로드 파일(붙여넣기)'!A3:A562,A1078,'외운 것 - 엑셀다운로드 파일(붙여넣기)'!D3:D562,0)</f>
        <v>0</v>
      </c>
      <c r="L1078" s="9" cm="1">
        <f t="array" ref="L1078">IF(J1078&gt;=3,_xlfn.XLOOKUP(A1078,'외운 것 - 엑셀다운로드 파일(붙여넣기)'!A3:A562,'외운 것 - 엑셀다운로드 파일(붙여넣기)'!C3:C562,0,-1),0)</f>
        <v>0</v>
      </c>
    </row>
    <row r="1079" ht="23.45" customHeight="1">
      <c r="A1079" s="3">
        <v>1078</v>
      </c>
      <c r="B1079" t="s" s="4">
        <v>6859</v>
      </c>
      <c r="C1079" t="s" s="5">
        <v>6860</v>
      </c>
      <c r="D1079" t="s" s="5">
        <v>6861</v>
      </c>
      <c r="E1079" t="s" s="5">
        <v>6862</v>
      </c>
      <c r="F1079" t="s" s="10">
        <v>6863</v>
      </c>
      <c r="G1079" t="s" s="7">
        <v>6864</v>
      </c>
      <c r="H1079" t="s" s="7">
        <v>6865</v>
      </c>
      <c r="I1079" t="str" s="8" cm="1">
        <f t="array" ref="I1079">SUBSTITUTE(H1079,B1079,"(          )")</f>
        <v>Turn left at the (          ) of Main Street and Oak Avenue.</v>
      </c>
      <c r="J1079" s="9" cm="1">
        <f t="array" ref="J1079">SUMIF('외운 것 - 엑셀다운로드 파일(붙여넣기)'!A3:A562,A1079,'외운 것 - 엑셀다운로드 파일(붙여넣기)'!D3:D562)</f>
        <v>0</v>
      </c>
      <c r="K1079" s="9" cm="1">
        <f t="array" ref="K1079">_xlfn.COUNTIFS('외운 것 - 엑셀다운로드 파일(붙여넣기)'!A3:A562,A1079,'외운 것 - 엑셀다운로드 파일(붙여넣기)'!D3:D562,0)</f>
        <v>0</v>
      </c>
      <c r="L1079" s="9" cm="1">
        <f t="array" ref="L1079">IF(J1079&gt;=3,_xlfn.XLOOKUP(A1079,'외운 것 - 엑셀다운로드 파일(붙여넣기)'!A3:A562,'외운 것 - 엑셀다운로드 파일(붙여넣기)'!C3:C562,0,-1),0)</f>
        <v>0</v>
      </c>
    </row>
    <row r="1080" ht="38.45" customHeight="1">
      <c r="A1080" s="3">
        <v>1079</v>
      </c>
      <c r="B1080" t="s" s="4">
        <v>6867</v>
      </c>
      <c r="C1080" t="s" s="5">
        <v>6868</v>
      </c>
      <c r="D1080" t="s" s="5">
        <v>6860</v>
      </c>
      <c r="E1080" t="s" s="5">
        <v>6869</v>
      </c>
      <c r="F1080" t="s" s="10">
        <v>6870</v>
      </c>
      <c r="G1080" t="s" s="7">
        <v>6871</v>
      </c>
      <c r="H1080" t="s" s="7">
        <v>6872</v>
      </c>
      <c r="I1080" t="str" s="8" cm="1">
        <f t="array" ref="I1080">SUBSTITUTE(H1080,B1080,"(          )")</f>
        <v>The (          ) "and" connects the two parts of the sentence.</v>
      </c>
      <c r="J1080" s="9" cm="1">
        <f t="array" ref="J1080">SUMIF('외운 것 - 엑셀다운로드 파일(붙여넣기)'!A3:A562,A1080,'외운 것 - 엑셀다운로드 파일(붙여넣기)'!D3:D562)</f>
        <v>0</v>
      </c>
      <c r="K1080" s="9" cm="1">
        <f t="array" ref="K1080">_xlfn.COUNTIFS('외운 것 - 엑셀다운로드 파일(붙여넣기)'!A3:A562,A1080,'외운 것 - 엑셀다운로드 파일(붙여넣기)'!D3:D562,0)</f>
        <v>0</v>
      </c>
      <c r="L1080" s="9" cm="1">
        <f t="array" ref="L1080">IF(J1080&gt;=3,_xlfn.XLOOKUP(A1080,'외운 것 - 엑셀다운로드 파일(붙여넣기)'!A3:A562,'외운 것 - 엑셀다운로드 파일(붙여넣기)'!C3:C562,0,-1),0)</f>
        <v>0</v>
      </c>
    </row>
    <row r="1081" ht="38.45" customHeight="1">
      <c r="A1081" s="3">
        <v>1080</v>
      </c>
      <c r="B1081" t="s" s="4">
        <v>6874</v>
      </c>
      <c r="C1081" t="s" s="5">
        <v>6875</v>
      </c>
      <c r="D1081" t="s" s="5">
        <v>6876</v>
      </c>
      <c r="E1081" t="s" s="5">
        <v>6877</v>
      </c>
      <c r="F1081" t="s" s="10">
        <v>6878</v>
      </c>
      <c r="G1081" t="s" s="7">
        <v>6879</v>
      </c>
      <c r="H1081" t="s" s="7">
        <v>6880</v>
      </c>
      <c r="I1081" t="str" s="8" cm="1">
        <f t="array" ref="I1081">SUBSTITUTE(H1081,B1081,"(          )")</f>
        <v>Children love to (          ) in puddles after rain.</v>
      </c>
      <c r="J1081" s="9" cm="1">
        <f t="array" ref="J1081">SUMIF('외운 것 - 엑셀다운로드 파일(붙여넣기)'!A3:A562,A1081,'외운 것 - 엑셀다운로드 파일(붙여넣기)'!D3:D562)</f>
        <v>0</v>
      </c>
      <c r="K1081" s="9" cm="1">
        <f t="array" ref="K1081">_xlfn.COUNTIFS('외운 것 - 엑셀다운로드 파일(붙여넣기)'!A3:A562,A1081,'외운 것 - 엑셀다운로드 파일(붙여넣기)'!D3:D562,0)</f>
        <v>0</v>
      </c>
      <c r="L1081" s="9" cm="1">
        <f t="array" ref="L1081">IF(J1081&gt;=3,_xlfn.XLOOKUP(A1081,'외운 것 - 엑셀다운로드 파일(붙여넣기)'!A3:A562,'외운 것 - 엑셀다운로드 파일(붙여넣기)'!C3:C562,0,-1),0)</f>
        <v>0</v>
      </c>
    </row>
    <row r="1082" ht="23.45" customHeight="1">
      <c r="A1082" s="3">
        <v>1081</v>
      </c>
      <c r="B1082" t="s" s="4">
        <v>6882</v>
      </c>
      <c r="C1082" t="s" s="5">
        <v>6875</v>
      </c>
      <c r="D1082" t="s" s="5">
        <v>6876</v>
      </c>
      <c r="E1082" t="s" s="5">
        <v>6883</v>
      </c>
      <c r="F1082" t="s" s="10">
        <v>6884</v>
      </c>
      <c r="G1082" t="s" s="7">
        <v>6885</v>
      </c>
      <c r="H1082" t="s" s="7">
        <v>6886</v>
      </c>
      <c r="I1082" t="str" s="8" cm="1">
        <f t="array" ref="I1082">SUBSTITUTE(H1082,B1082,"(          )")</f>
        <v>My (          ) colleague is learning quickly.</v>
      </c>
      <c r="J1082" s="9" cm="1">
        <f t="array" ref="J1082">SUMIF('외운 것 - 엑셀다운로드 파일(붙여넣기)'!A3:A562,A1082,'외운 것 - 엑셀다운로드 파일(붙여넣기)'!D3:D562)</f>
        <v>0</v>
      </c>
      <c r="K1082" s="9" cm="1">
        <f t="array" ref="K1082">_xlfn.COUNTIFS('외운 것 - 엑셀다운로드 파일(붙여넣기)'!A3:A562,A1082,'외운 것 - 엑셀다운로드 파일(붙여넣기)'!D3:D562,0)</f>
        <v>0</v>
      </c>
      <c r="L1082" s="9" cm="1">
        <f t="array" ref="L1082">IF(J1082&gt;=3,_xlfn.XLOOKUP(A1082,'외운 것 - 엑셀다운로드 파일(붙여넣기)'!A3:A562,'외운 것 - 엑셀다운로드 파일(붙여넣기)'!C3:C562,0,-1),0)</f>
        <v>0</v>
      </c>
    </row>
    <row r="1083" ht="38.45" customHeight="1">
      <c r="A1083" s="3">
        <v>1082</v>
      </c>
      <c r="B1083" t="s" s="4">
        <v>6888</v>
      </c>
      <c r="C1083" t="s" s="5">
        <v>6875</v>
      </c>
      <c r="D1083" t="s" s="5">
        <v>6876</v>
      </c>
      <c r="E1083" t="s" s="5">
        <v>6889</v>
      </c>
      <c r="F1083" t="s" s="10">
        <v>6890</v>
      </c>
      <c r="G1083" t="s" s="7">
        <v>6891</v>
      </c>
      <c r="H1083" t="s" s="7">
        <v>6892</v>
      </c>
      <c r="I1083" t="str" s="8" cm="1">
        <f t="array" ref="I1083">SUBSTITUTE(H1083,B1083,"(          )")</f>
        <v>Juvenile delinquency is a concern in many communities.</v>
      </c>
      <c r="J1083" s="9" cm="1">
        <f t="array" ref="J1083">SUMIF('외운 것 - 엑셀다운로드 파일(붙여넣기)'!A3:A562,A1083,'외운 것 - 엑셀다운로드 파일(붙여넣기)'!D3:D562)</f>
        <v>0</v>
      </c>
      <c r="K1083" s="9" cm="1">
        <f t="array" ref="K1083">_xlfn.COUNTIFS('외운 것 - 엑셀다운로드 파일(붙여넣기)'!A3:A562,A1083,'외운 것 - 엑셀다운로드 파일(붙여넣기)'!D3:D562,0)</f>
        <v>0</v>
      </c>
      <c r="L1083" s="9" cm="1">
        <f t="array" ref="L1083">IF(J1083&gt;=3,_xlfn.XLOOKUP(A1083,'외운 것 - 엑셀다운로드 파일(붙여넣기)'!A3:A562,'외운 것 - 엑셀다운로드 파일(붙여넣기)'!C3:C562,0,-1),0)</f>
        <v>0</v>
      </c>
    </row>
    <row r="1084" ht="38.45" customHeight="1">
      <c r="A1084" s="3">
        <v>1083</v>
      </c>
      <c r="B1084" t="s" s="4">
        <v>6894</v>
      </c>
      <c r="C1084" t="s" s="5">
        <v>6875</v>
      </c>
      <c r="D1084" t="s" s="5">
        <v>6876</v>
      </c>
      <c r="E1084" t="s" s="5">
        <v>6895</v>
      </c>
      <c r="F1084" t="s" s="10">
        <v>6896</v>
      </c>
      <c r="G1084" t="s" s="7">
        <v>6897</v>
      </c>
      <c r="H1084" t="s" s="7">
        <v>6898</v>
      </c>
      <c r="I1084" t="str" s="8" cm="1">
        <f t="array" ref="I1084">SUBSTITUTE(H1084,B1084,"(          )")</f>
        <v>The fans were (          ) when their team won.</v>
      </c>
      <c r="J1084" s="9" cm="1">
        <f t="array" ref="J1084">SUMIF('외운 것 - 엑셀다운로드 파일(붙여넣기)'!A3:A562,A1084,'외운 것 - 엑셀다운로드 파일(붙여넣기)'!D3:D562)</f>
        <v>0</v>
      </c>
      <c r="K1084" s="9" cm="1">
        <f t="array" ref="K1084">_xlfn.COUNTIFS('외운 것 - 엑셀다운로드 파일(붙여넣기)'!A3:A562,A1084,'외운 것 - 엑셀다운로드 파일(붙여넣기)'!D3:D562,0)</f>
        <v>0</v>
      </c>
      <c r="L1084" s="9" cm="1">
        <f t="array" ref="L1084">IF(J1084&gt;=3,_xlfn.XLOOKUP(A1084,'외운 것 - 엑셀다운로드 파일(붙여넣기)'!A3:A562,'외운 것 - 엑셀다운로드 파일(붙여넣기)'!C3:C562,0,-1),0)</f>
        <v>0</v>
      </c>
    </row>
    <row r="1085" ht="38.45" customHeight="1">
      <c r="A1085" s="3">
        <v>1084</v>
      </c>
      <c r="B1085" t="s" s="4">
        <v>6900</v>
      </c>
      <c r="C1085" t="s" s="5">
        <v>6875</v>
      </c>
      <c r="D1085" t="s" s="5">
        <v>6876</v>
      </c>
      <c r="E1085" t="s" s="5">
        <v>6901</v>
      </c>
      <c r="F1085" t="s" s="10">
        <v>6902</v>
      </c>
      <c r="G1085" t="s" s="7">
        <v>6903</v>
      </c>
      <c r="H1085" t="s" s="7">
        <v>6904</v>
      </c>
      <c r="I1085" t="str" s="8" cm="1">
        <f t="array" ref="I1085">SUBSTITUTE(H1085,B1085,"(          )")</f>
        <v>Orange (          ) contains a lot of vitamin C.</v>
      </c>
      <c r="J1085" s="9" cm="1">
        <f t="array" ref="J1085">SUMIF('외운 것 - 엑셀다운로드 파일(붙여넣기)'!A3:A562,A1085,'외운 것 - 엑셀다운로드 파일(붙여넣기)'!D3:D562)</f>
        <v>0</v>
      </c>
      <c r="K1085" s="9" cm="1">
        <f t="array" ref="K1085">_xlfn.COUNTIFS('외운 것 - 엑셀다운로드 파일(붙여넣기)'!A3:A562,A1085,'외운 것 - 엑셀다운로드 파일(붙여넣기)'!D3:D562,0)</f>
        <v>0</v>
      </c>
      <c r="L1085" s="9" cm="1">
        <f t="array" ref="L1085">IF(J1085&gt;=3,_xlfn.XLOOKUP(A1085,'외운 것 - 엑셀다운로드 파일(붙여넣기)'!A3:A562,'외운 것 - 엑셀다운로드 파일(붙여넣기)'!C3:C562,0,-1),0)</f>
        <v>0</v>
      </c>
    </row>
    <row r="1086" ht="23.45" customHeight="1">
      <c r="A1086" s="3">
        <v>1085</v>
      </c>
      <c r="B1086" t="s" s="4">
        <v>6906</v>
      </c>
      <c r="C1086" t="s" s="5">
        <v>6875</v>
      </c>
      <c r="D1086" t="s" s="5">
        <v>6876</v>
      </c>
      <c r="E1086" t="s" s="5">
        <v>6907</v>
      </c>
      <c r="F1086" t="s" s="10">
        <v>6908</v>
      </c>
      <c r="G1086" t="s" s="7">
        <v>6909</v>
      </c>
      <c r="H1086" t="s" s="7">
        <v>6910</v>
      </c>
      <c r="I1086" t="str" s="8" cm="1">
        <f t="array" ref="I1086">SUBSTITUTE(H1086,B1086,"(          )")</f>
        <v>The peach was ripe and (          ).</v>
      </c>
      <c r="J1086" s="9" cm="1">
        <f t="array" ref="J1086">SUMIF('외운 것 - 엑셀다운로드 파일(붙여넣기)'!A3:A562,A1086,'외운 것 - 엑셀다운로드 파일(붙여넣기)'!D3:D562)</f>
        <v>0</v>
      </c>
      <c r="K1086" s="9" cm="1">
        <f t="array" ref="K1086">_xlfn.COUNTIFS('외운 것 - 엑셀다운로드 파일(붙여넣기)'!A3:A562,A1086,'외운 것 - 엑셀다운로드 파일(붙여넣기)'!D3:D562,0)</f>
        <v>0</v>
      </c>
      <c r="L1086" s="9" cm="1">
        <f t="array" ref="L1086">IF(J1086&gt;=3,_xlfn.XLOOKUP(A1086,'외운 것 - 엑셀다운로드 파일(붙여넣기)'!A3:A562,'외운 것 - 엑셀다운로드 파일(붙여넣기)'!C3:C562,0,-1),0)</f>
        <v>0</v>
      </c>
    </row>
    <row r="1087" ht="38.45" customHeight="1">
      <c r="A1087" s="3">
        <v>1086</v>
      </c>
      <c r="B1087" t="s" s="4">
        <v>6912</v>
      </c>
      <c r="C1087" t="s" s="5">
        <v>6875</v>
      </c>
      <c r="D1087" t="s" s="5">
        <v>6876</v>
      </c>
      <c r="E1087" t="s" s="5">
        <v>6913</v>
      </c>
      <c r="F1087" t="s" s="10">
        <v>6914</v>
      </c>
      <c r="G1087" t="s" s="7">
        <v>6915</v>
      </c>
      <c r="H1087" t="s" s="7">
        <v>6916</v>
      </c>
      <c r="I1087" t="str" s="8" cm="1">
        <f t="array" ref="I1087">SUBSTITUTE(H1087,B1087,"(          )")</f>
        <v>Please don't leave your (          ) in the hallway.</v>
      </c>
      <c r="J1087" s="9" cm="1">
        <f t="array" ref="J1087">SUMIF('외운 것 - 엑셀다운로드 파일(붙여넣기)'!A3:A562,A1087,'외운 것 - 엑셀다운로드 파일(붙여넣기)'!D3:D562)</f>
        <v>0</v>
      </c>
      <c r="K1087" s="9" cm="1">
        <f t="array" ref="K1087">_xlfn.COUNTIFS('외운 것 - 엑셀다운로드 파일(붙여넣기)'!A3:A562,A1087,'외운 것 - 엑셀다운로드 파일(붙여넣기)'!D3:D562,0)</f>
        <v>0</v>
      </c>
      <c r="L1087" s="9" cm="1">
        <f t="array" ref="L1087">IF(J1087&gt;=3,_xlfn.XLOOKUP(A1087,'외운 것 - 엑셀다운로드 파일(붙여넣기)'!A3:A562,'외운 것 - 엑셀다운로드 파일(붙여넣기)'!C3:C562,0,-1),0)</f>
        <v>0</v>
      </c>
    </row>
    <row r="1088" ht="38.45" customHeight="1">
      <c r="A1088" s="3">
        <v>1087</v>
      </c>
      <c r="B1088" t="s" s="4">
        <v>6918</v>
      </c>
      <c r="C1088" t="s" s="5">
        <v>6919</v>
      </c>
      <c r="D1088" t="s" s="5">
        <v>6875</v>
      </c>
      <c r="E1088" t="s" s="5">
        <v>6920</v>
      </c>
      <c r="F1088" t="s" s="10">
        <v>6921</v>
      </c>
      <c r="G1088" t="s" s="7">
        <v>6922</v>
      </c>
      <c r="H1088" t="s" s="7">
        <v>6923</v>
      </c>
      <c r="I1088" t="str" s="8" cm="1">
        <f t="array" ref="I1088">SUBSTITUTE(H1088,B1088,"(          )")</f>
        <v>His closet was a (          ) of clothes and shoes.</v>
      </c>
      <c r="J1088" s="9" cm="1">
        <f t="array" ref="J1088">SUMIF('외운 것 - 엑셀다운로드 파일(붙여넣기)'!A3:A562,A1088,'외운 것 - 엑셀다운로드 파일(붙여넣기)'!D3:D562)</f>
        <v>0</v>
      </c>
      <c r="K1088" s="9" cm="1">
        <f t="array" ref="K1088">_xlfn.COUNTIFS('외운 것 - 엑셀다운로드 파일(붙여넣기)'!A3:A562,A1088,'외운 것 - 엑셀다운로드 파일(붙여넣기)'!D3:D562,0)</f>
        <v>0</v>
      </c>
      <c r="L1088" s="9" cm="1">
        <f t="array" ref="L1088">IF(J1088&gt;=3,_xlfn.XLOOKUP(A1088,'외운 것 - 엑셀다운로드 파일(붙여넣기)'!A3:A562,'외운 것 - 엑셀다운로드 파일(붙여넣기)'!C3:C562,0,-1),0)</f>
        <v>0</v>
      </c>
    </row>
    <row r="1089" ht="38.45" customHeight="1">
      <c r="A1089" s="3">
        <v>1088</v>
      </c>
      <c r="B1089" t="s" s="4">
        <v>6925</v>
      </c>
      <c r="C1089" t="s" s="5">
        <v>6875</v>
      </c>
      <c r="D1089" t="s" s="5">
        <v>6876</v>
      </c>
      <c r="E1089" t="s" s="5">
        <v>6926</v>
      </c>
      <c r="F1089" t="s" s="10">
        <v>6927</v>
      </c>
      <c r="G1089" t="s" s="7">
        <v>6928</v>
      </c>
      <c r="H1089" t="s" s="7">
        <v>6929</v>
      </c>
      <c r="I1089" t="str" s="8" cm="1">
        <f t="array" ref="I1089">SUBSTITUTE(H1089,B1089,"(          )")</f>
        <v>Many endangered species live in the tropical (          ).</v>
      </c>
      <c r="J1089" s="9" cm="1">
        <f t="array" ref="J1089">SUMIF('외운 것 - 엑셀다운로드 파일(붙여넣기)'!A3:A562,A1089,'외운 것 - 엑셀다운로드 파일(붙여넣기)'!D3:D562)</f>
        <v>0</v>
      </c>
      <c r="K1089" s="9" cm="1">
        <f t="array" ref="K1089">_xlfn.COUNTIFS('외운 것 - 엑셀다운로드 파일(붙여넣기)'!A3:A562,A1089,'외운 것 - 엑셀다운로드 파일(붙여넣기)'!D3:D562,0)</f>
        <v>0</v>
      </c>
      <c r="L1089" s="9" cm="1">
        <f t="array" ref="L1089">IF(J1089&gt;=3,_xlfn.XLOOKUP(A1089,'외운 것 - 엑셀다운로드 파일(붙여넣기)'!A3:A562,'외운 것 - 엑셀다운로드 파일(붙여넣기)'!C3:C562,0,-1),0)</f>
        <v>0</v>
      </c>
    </row>
    <row r="1090" ht="38.45" customHeight="1">
      <c r="A1090" s="3">
        <v>1089</v>
      </c>
      <c r="B1090" t="s" s="4">
        <v>6931</v>
      </c>
      <c r="C1090" t="s" s="5">
        <v>6875</v>
      </c>
      <c r="D1090" t="s" s="5">
        <v>6876</v>
      </c>
      <c r="E1090" t="s" s="5">
        <v>6932</v>
      </c>
      <c r="F1090" t="s" s="10">
        <v>6933</v>
      </c>
      <c r="G1090" t="s" s="7">
        <v>6934</v>
      </c>
      <c r="H1090" t="s" s="7">
        <v>6935</v>
      </c>
      <c r="I1090" t="str" s="8" cm="1">
        <f t="array" ref="I1090">SUBSTITUTE(H1090,B1090,"(          )")</f>
        <v>She can (          ) five balls at once.</v>
      </c>
      <c r="J1090" s="9" cm="1">
        <f t="array" ref="J1090">SUMIF('외운 것 - 엑셀다운로드 파일(붙여넣기)'!A3:A562,A1090,'외운 것 - 엑셀다운로드 파일(붙여넣기)'!D3:D562)</f>
        <v>0</v>
      </c>
      <c r="K1090" s="9" cm="1">
        <f t="array" ref="K1090">_xlfn.COUNTIFS('외운 것 - 엑셀다운로드 파일(붙여넣기)'!A3:A562,A1090,'외운 것 - 엑셀다운로드 파일(붙여넣기)'!D3:D562,0)</f>
        <v>0</v>
      </c>
      <c r="L1090" s="9" cm="1">
        <f t="array" ref="L1090">IF(J1090&gt;=3,_xlfn.XLOOKUP(A1090,'외운 것 - 엑셀다운로드 파일(붙여넣기)'!A3:A562,'외운 것 - 엑셀다운로드 파일(붙여넣기)'!C3:C562,0,-1),0)</f>
        <v>0</v>
      </c>
    </row>
    <row r="1091" ht="53.45" customHeight="1">
      <c r="A1091" s="3">
        <v>1090</v>
      </c>
      <c r="B1091" t="s" s="4">
        <v>6937</v>
      </c>
      <c r="C1091" t="s" s="5">
        <v>6938</v>
      </c>
      <c r="D1091" t="s" s="5">
        <v>6939</v>
      </c>
      <c r="E1091" t="s" s="5">
        <v>6940</v>
      </c>
      <c r="F1091" t="s" s="10">
        <v>6941</v>
      </c>
      <c r="G1091" t="s" s="7">
        <v>6942</v>
      </c>
      <c r="H1091" t="s" s="7">
        <v>6943</v>
      </c>
      <c r="I1091" t="str" s="8" cm="1">
        <f t="array" ref="I1091">SUBSTITUTE(H1091,B1091,"(          )")</f>
        <v>The (          ) will announce the verdict tomorrow.</v>
      </c>
      <c r="J1091" s="9" cm="1">
        <f t="array" ref="J1091">SUMIF('외운 것 - 엑셀다운로드 파일(붙여넣기)'!A3:A562,A1091,'외운 것 - 엑셀다운로드 파일(붙여넣기)'!D3:D562)</f>
        <v>0</v>
      </c>
      <c r="K1091" s="9" cm="1">
        <f t="array" ref="K1091">_xlfn.COUNTIFS('외운 것 - 엑셀다운로드 파일(붙여넣기)'!A3:A562,A1091,'외운 것 - 엑셀다운로드 파일(붙여넣기)'!D3:D562,0)</f>
        <v>0</v>
      </c>
      <c r="L1091" s="9" cm="1">
        <f t="array" ref="L1091">IF(J1091&gt;=3,_xlfn.XLOOKUP(A1091,'외운 것 - 엑셀다운로드 파일(붙여넣기)'!A3:A562,'외운 것 - 엑셀다운로드 파일(붙여넣기)'!C3:C562,0,-1),0)</f>
        <v>0</v>
      </c>
    </row>
    <row r="1092" ht="23.45" customHeight="1">
      <c r="A1092" s="3">
        <v>1091</v>
      </c>
      <c r="B1092" t="s" s="4">
        <v>6945</v>
      </c>
      <c r="C1092" t="s" s="5">
        <v>6946</v>
      </c>
      <c r="D1092" t="s" s="5">
        <v>6938</v>
      </c>
      <c r="E1092" t="s" s="5">
        <v>6947</v>
      </c>
      <c r="F1092" t="s" s="10">
        <v>6948</v>
      </c>
      <c r="G1092" t="s" s="7">
        <v>6949</v>
      </c>
      <c r="H1092" t="s" s="7">
        <v>6950</v>
      </c>
      <c r="I1092" t="str" s="8" cm="1">
        <f t="array" ref="I1092">SUBSTITUTE(H1092,B1092,"(          )")</f>
        <v>Use good (          ) when making important decisions.</v>
      </c>
      <c r="J1092" s="9" cm="1">
        <f t="array" ref="J1092">SUMIF('외운 것 - 엑셀다운로드 파일(붙여넣기)'!A3:A562,A1092,'외운 것 - 엑셀다운로드 파일(붙여넣기)'!D3:D562)</f>
        <v>0</v>
      </c>
      <c r="K1092" s="9" cm="1">
        <f t="array" ref="K1092">_xlfn.COUNTIFS('외운 것 - 엑셀다운로드 파일(붙여넣기)'!A3:A562,A1092,'외운 것 - 엑셀다운로드 파일(붙여넣기)'!D3:D562,0)</f>
        <v>0</v>
      </c>
      <c r="L1092" s="9" cm="1">
        <f t="array" ref="L1092">IF(J1092&gt;=3,_xlfn.XLOOKUP(A1092,'외운 것 - 엑셀다운로드 파일(붙여넣기)'!A3:A562,'외운 것 - 엑셀다운로드 파일(붙여넣기)'!C3:C562,0,-1),0)</f>
        <v>0</v>
      </c>
    </row>
    <row r="1093" ht="23.45" customHeight="1">
      <c r="A1093" s="3">
        <v>1092</v>
      </c>
      <c r="B1093" t="s" s="4">
        <v>6952</v>
      </c>
      <c r="C1093" t="s" s="5">
        <v>6946</v>
      </c>
      <c r="D1093" t="s" s="5">
        <v>6938</v>
      </c>
      <c r="E1093" t="s" s="5">
        <v>6953</v>
      </c>
      <c r="F1093" t="s" s="10">
        <v>6954</v>
      </c>
      <c r="G1093" t="s" s="7">
        <v>6955</v>
      </c>
      <c r="H1093" t="s" s="7">
        <v>6956</v>
      </c>
      <c r="I1093" t="str" s="8" cm="1">
        <f t="array" ref="I1093">SUBSTITUTE(H1093,B1093,"(          )")</f>
        <v>The panel will (          ) the entries in the competition.</v>
      </c>
      <c r="J1093" s="9" cm="1">
        <f t="array" ref="J1093">SUMIF('외운 것 - 엑셀다운로드 파일(붙여넣기)'!A3:A562,A1093,'외운 것 - 엑셀다운로드 파일(붙여넣기)'!D3:D562)</f>
        <v>0</v>
      </c>
      <c r="K1093" s="9" cm="1">
        <f t="array" ref="K1093">_xlfn.COUNTIFS('외운 것 - 엑셀다운로드 파일(붙여넣기)'!A3:A562,A1093,'외운 것 - 엑셀다운로드 파일(붙여넣기)'!D3:D562,0)</f>
        <v>0</v>
      </c>
      <c r="L1093" s="9" cm="1">
        <f t="array" ref="L1093">IF(J1093&gt;=3,_xlfn.XLOOKUP(A1093,'외운 것 - 엑셀다운로드 파일(붙여넣기)'!A3:A562,'외운 것 - 엑셀다운로드 파일(붙여넣기)'!C3:C562,0,-1),0)</f>
        <v>0</v>
      </c>
    </row>
    <row r="1094" ht="23.45" customHeight="1">
      <c r="A1094" s="3">
        <v>1093</v>
      </c>
      <c r="B1094" t="s" s="4">
        <v>6958</v>
      </c>
      <c r="C1094" t="s" s="5">
        <v>6938</v>
      </c>
      <c r="D1094" t="s" s="5">
        <v>6939</v>
      </c>
      <c r="E1094" t="s" s="5">
        <v>6959</v>
      </c>
      <c r="F1094" t="s" s="10">
        <v>6960</v>
      </c>
      <c r="G1094" t="s" s="7">
        <v>6961</v>
      </c>
      <c r="H1094" t="s" s="7">
        <v>6962</v>
      </c>
      <c r="I1094" t="str" s="8" cm="1">
        <f t="array" ref="I1094">SUBSTITUTE(H1094,B1094,"(          )")</f>
        <v>The (          ) system ensures laws are applied fairly.</v>
      </c>
      <c r="J1094" s="9" cm="1">
        <f t="array" ref="J1094">SUMIF('외운 것 - 엑셀다운로드 파일(붙여넣기)'!A3:A562,A1094,'외운 것 - 엑셀다운로드 파일(붙여넣기)'!D3:D562)</f>
        <v>0</v>
      </c>
      <c r="K1094" s="9" cm="1">
        <f t="array" ref="K1094">_xlfn.COUNTIFS('외운 것 - 엑셀다운로드 파일(붙여넣기)'!A3:A562,A1094,'외운 것 - 엑셀다운로드 파일(붙여넣기)'!D3:D562,0)</f>
        <v>0</v>
      </c>
      <c r="L1094" s="9" cm="1">
        <f t="array" ref="L1094">IF(J1094&gt;=3,_xlfn.XLOOKUP(A1094,'외운 것 - 엑셀다운로드 파일(붙여넣기)'!A3:A562,'외운 것 - 엑셀다운로드 파일(붙여넣기)'!C3:C562,0,-1),0)</f>
        <v>0</v>
      </c>
    </row>
    <row r="1095" ht="23.45" customHeight="1">
      <c r="A1095" s="3">
        <v>1094</v>
      </c>
      <c r="B1095" t="s" s="4">
        <v>6964</v>
      </c>
      <c r="C1095" t="s" s="5">
        <v>6938</v>
      </c>
      <c r="D1095" t="s" s="5">
        <v>6939</v>
      </c>
      <c r="E1095" t="s" s="5">
        <v>6965</v>
      </c>
      <c r="F1095" t="s" s="10">
        <v>6966</v>
      </c>
      <c r="G1095" t="s" s="7">
        <v>6967</v>
      </c>
      <c r="H1095" t="s" s="7">
        <v>6968</v>
      </c>
      <c r="I1095" t="str" s="8" cm="1">
        <f t="array" ref="I1095">SUBSTITUTE(H1095,B1095,"(          )")</f>
        <v>Make (          ) use of your limited resources.</v>
      </c>
      <c r="J1095" s="9" cm="1">
        <f t="array" ref="J1095">SUMIF('외운 것 - 엑셀다운로드 파일(붙여넣기)'!A3:A562,A1095,'외운 것 - 엑셀다운로드 파일(붙여넣기)'!D3:D562)</f>
        <v>0</v>
      </c>
      <c r="K1095" s="9" cm="1">
        <f t="array" ref="K1095">_xlfn.COUNTIFS('외운 것 - 엑셀다운로드 파일(붙여넣기)'!A3:A562,A1095,'외운 것 - 엑셀다운로드 파일(붙여넣기)'!D3:D562,0)</f>
        <v>0</v>
      </c>
      <c r="L1095" s="9" cm="1">
        <f t="array" ref="L1095">IF(J1095&gt;=3,_xlfn.XLOOKUP(A1095,'외운 것 - 엑셀다운로드 파일(붙여넣기)'!A3:A562,'외운 것 - 엑셀다운로드 파일(붙여넣기)'!C3:C562,0,-1),0)</f>
        <v>0</v>
      </c>
    </row>
    <row r="1096" ht="23.45" customHeight="1">
      <c r="A1096" s="3">
        <v>1095</v>
      </c>
      <c r="B1096" t="s" s="4">
        <v>6970</v>
      </c>
      <c r="C1096" t="s" s="5">
        <v>6938</v>
      </c>
      <c r="D1096" t="s" s="5">
        <v>6939</v>
      </c>
      <c r="E1096" t="s" s="5">
        <v>6971</v>
      </c>
      <c r="F1096" t="s" s="10">
        <v>6972</v>
      </c>
      <c r="G1096" t="s" s="7">
        <v>6973</v>
      </c>
      <c r="H1096" t="s" s="7">
        <v>6974</v>
      </c>
      <c r="I1096" t="str" s="8" cm="1">
        <f t="array" ref="I1096">SUBSTITUTE(H1096,B1096,"(          )")</f>
        <v>We must fight against (          ) in all its forms.</v>
      </c>
      <c r="J1096" s="9" cm="1">
        <f t="array" ref="J1096">SUMIF('외운 것 - 엑셀다운로드 파일(붙여넣기)'!A3:A562,A1096,'외운 것 - 엑셀다운로드 파일(붙여넣기)'!D3:D562)</f>
        <v>0</v>
      </c>
      <c r="K1096" s="9" cm="1">
        <f t="array" ref="K1096">_xlfn.COUNTIFS('외운 것 - 엑셀다운로드 파일(붙여넣기)'!A3:A562,A1096,'외운 것 - 엑셀다운로드 파일(붙여넣기)'!D3:D562,0)</f>
        <v>0</v>
      </c>
      <c r="L1096" s="9" cm="1">
        <f t="array" ref="L1096">IF(J1096&gt;=3,_xlfn.XLOOKUP(A1096,'외운 것 - 엑셀다운로드 파일(붙여넣기)'!A3:A562,'외운 것 - 엑셀다운로드 파일(붙여넣기)'!C3:C562,0,-1),0)</f>
        <v>0</v>
      </c>
    </row>
    <row r="1097" ht="38.45" customHeight="1">
      <c r="A1097" s="3">
        <v>1096</v>
      </c>
      <c r="B1097" t="s" s="4">
        <v>6976</v>
      </c>
      <c r="C1097" t="s" s="5">
        <v>6977</v>
      </c>
      <c r="D1097" t="s" s="5">
        <v>6939</v>
      </c>
      <c r="E1097" t="s" s="5">
        <v>6978</v>
      </c>
      <c r="F1097" t="s" s="10">
        <v>6979</v>
      </c>
      <c r="G1097" t="s" s="7">
        <v>6980</v>
      </c>
      <c r="H1097" t="s" s="7">
        <v>6981</v>
      </c>
      <c r="I1097" t="str" s="8" cm="1">
        <f t="array" ref="I1097">SUBSTITUTE(H1097,B1097,"(          )")</f>
        <v>The (          ) reached a unanimous decision.</v>
      </c>
      <c r="J1097" s="9" cm="1">
        <f t="array" ref="J1097">SUMIF('외운 것 - 엑셀다운로드 파일(붙여넣기)'!A3:A562,A1097,'외운 것 - 엑셀다운로드 파일(붙여넣기)'!D3:D562)</f>
        <v>0</v>
      </c>
      <c r="K1097" s="9" cm="1">
        <f t="array" ref="K1097">_xlfn.COUNTIFS('외운 것 - 엑셀다운로드 파일(붙여넣기)'!A3:A562,A1097,'외운 것 - 엑셀다운로드 파일(붙여넣기)'!D3:D562,0)</f>
        <v>0</v>
      </c>
      <c r="L1097" s="9" cm="1">
        <f t="array" ref="L1097">IF(J1097&gt;=3,_xlfn.XLOOKUP(A1097,'외운 것 - 엑셀다운로드 파일(붙여넣기)'!A3:A562,'외운 것 - 엑셀다운로드 파일(붙여넣기)'!C3:C562,0,-1),0)</f>
        <v>0</v>
      </c>
    </row>
    <row r="1098" ht="23.45" customHeight="1">
      <c r="A1098" s="3">
        <v>1097</v>
      </c>
      <c r="B1098" t="s" s="4">
        <v>6983</v>
      </c>
      <c r="C1098" t="s" s="5">
        <v>6977</v>
      </c>
      <c r="D1098" t="s" s="5">
        <v>6939</v>
      </c>
      <c r="E1098" t="s" s="5">
        <v>6984</v>
      </c>
      <c r="F1098" t="s" s="10">
        <v>6985</v>
      </c>
      <c r="G1098" t="s" s="7">
        <v>6986</v>
      </c>
      <c r="H1098" t="s" s="7">
        <v>6987</v>
      </c>
      <c r="I1098" t="str" s="8" cm="1">
        <f t="array" ref="I1098">SUBSTITUTE(H1098,B1098,"(          )")</f>
        <v>This case falls under federal (          ).</v>
      </c>
      <c r="J1098" s="9" cm="1">
        <f t="array" ref="J1098">SUMIF('외운 것 - 엑셀다운로드 파일(붙여넣기)'!A3:A562,A1098,'외운 것 - 엑셀다운로드 파일(붙여넣기)'!D3:D562)</f>
        <v>0</v>
      </c>
      <c r="K1098" s="9" cm="1">
        <f t="array" ref="K1098">_xlfn.COUNTIFS('외운 것 - 엑셀다운로드 파일(붙여넣기)'!A3:A562,A1098,'외운 것 - 엑셀다운로드 파일(붙여넣기)'!D3:D562,0)</f>
        <v>0</v>
      </c>
      <c r="L1098" s="9" cm="1">
        <f t="array" ref="L1098">IF(J1098&gt;=3,_xlfn.XLOOKUP(A1098,'외운 것 - 엑셀다운로드 파일(붙여넣기)'!A3:A562,'외운 것 - 엑셀다운로드 파일(붙여넣기)'!C3:C562,0,-1),0)</f>
        <v>0</v>
      </c>
    </row>
    <row r="1099" ht="36.4" customHeight="1">
      <c r="A1099" s="3">
        <v>1098</v>
      </c>
      <c r="B1099" t="s" s="4">
        <v>6989</v>
      </c>
      <c r="C1099" t="s" s="5">
        <v>6990</v>
      </c>
      <c r="D1099" t="s" s="5">
        <v>6939</v>
      </c>
      <c r="E1099" t="s" s="5">
        <v>6991</v>
      </c>
      <c r="F1099" t="s" s="10">
        <v>6992</v>
      </c>
      <c r="G1099" t="s" s="7">
        <v>6993</v>
      </c>
      <c r="H1099" t="s" s="7">
        <v>6994</v>
      </c>
      <c r="I1099" t="str" s="8" cm="1">
        <f t="array" ref="I1099">SUBSTITUTE(H1099,B1099,"(          )")</f>
        <v>Lying under oath is (          ) and can result in jail time.</v>
      </c>
      <c r="J1099" s="9" cm="1">
        <f t="array" ref="J1099">SUMIF('외운 것 - 엑셀다운로드 파일(붙여넣기)'!A3:A562,A1099,'외운 것 - 엑셀다운로드 파일(붙여넣기)'!D3:D562)</f>
        <v>0</v>
      </c>
      <c r="K1099" s="9" cm="1">
        <f t="array" ref="K1099">_xlfn.COUNTIFS('외운 것 - 엑셀다운로드 파일(붙여넣기)'!A3:A562,A1099,'외운 것 - 엑셀다운로드 파일(붙여넣기)'!D3:D562,0)</f>
        <v>0</v>
      </c>
      <c r="L1099" s="9" cm="1">
        <f t="array" ref="L1099">IF(J1099&gt;=3,_xlfn.XLOOKUP(A1099,'외운 것 - 엑셀다운로드 파일(붙여넣기)'!A3:A562,'외운 것 - 엑셀다운로드 파일(붙여넣기)'!C3:C562,0,-1),0)</f>
        <v>0</v>
      </c>
    </row>
    <row r="1100" ht="38.45" customHeight="1">
      <c r="A1100" s="3">
        <v>1099</v>
      </c>
      <c r="B1100" t="s" s="4">
        <v>6996</v>
      </c>
      <c r="C1100" t="s" s="5">
        <v>6996</v>
      </c>
      <c r="D1100" t="s" s="5">
        <v>6997</v>
      </c>
      <c r="E1100" t="s" s="5">
        <v>6998</v>
      </c>
      <c r="F1100" t="s" s="10">
        <v>6999</v>
      </c>
      <c r="G1100" t="s" s="7">
        <v>7000</v>
      </c>
      <c r="H1100" t="s" s="7">
        <v>7001</v>
      </c>
      <c r="I1100" t="str" s="8" cm="1">
        <f t="array" ref="I1100">SUBSTITUTE(H1100,B1100,"(          )")</f>
        <v>The verdict was (          ) and fair.</v>
      </c>
      <c r="J1100" s="9" cm="1">
        <f t="array" ref="J1100">SUMIF('외운 것 - 엑셀다운로드 파일(붙여넣기)'!A3:A562,A1100,'외운 것 - 엑셀다운로드 파일(붙여넣기)'!D3:D562)</f>
        <v>0</v>
      </c>
      <c r="K1100" s="9" cm="1">
        <f t="array" ref="K1100">_xlfn.COUNTIFS('외운 것 - 엑셀다운로드 파일(붙여넣기)'!A3:A562,A1100,'외운 것 - 엑셀다운로드 파일(붙여넣기)'!D3:D562,0)</f>
        <v>0</v>
      </c>
      <c r="L1100" s="9" cm="1">
        <f t="array" ref="L1100">IF(J1100&gt;=3,_xlfn.XLOOKUP(A1100,'외운 것 - 엑셀다운로드 파일(붙여넣기)'!A3:A562,'외운 것 - 엑셀다운로드 파일(붙여넣기)'!C3:C562,0,-1),0)</f>
        <v>0</v>
      </c>
    </row>
    <row r="1101" ht="23.45" customHeight="1">
      <c r="A1101" s="3">
        <v>1100</v>
      </c>
      <c r="B1101" t="s" s="4">
        <v>7003</v>
      </c>
      <c r="C1101" t="s" s="5">
        <v>6996</v>
      </c>
      <c r="D1101" t="s" s="5">
        <v>6997</v>
      </c>
      <c r="E1101" t="s" s="5">
        <v>7004</v>
      </c>
      <c r="F1101" t="s" s="10">
        <v>7005</v>
      </c>
      <c r="G1101" t="s" s="7">
        <v>7006</v>
      </c>
      <c r="H1101" t="s" s="7">
        <v>7007</v>
      </c>
      <c r="I1101" t="str" s="8" cm="1">
        <f t="array" ref="I1101">SUBSTITUTE(H1101,B1101,"(          )")</f>
        <v>Everyone deserves equal (          ) under the law.</v>
      </c>
      <c r="J1101" s="9" cm="1">
        <f t="array" ref="J1101">SUMIF('외운 것 - 엑셀다운로드 파일(붙여넣기)'!A3:A562,A1101,'외운 것 - 엑셀다운로드 파일(붙여넣기)'!D3:D562)</f>
        <v>0</v>
      </c>
      <c r="K1101" s="9" cm="1">
        <f t="array" ref="K1101">_xlfn.COUNTIFS('외운 것 - 엑셀다운로드 파일(붙여넣기)'!A3:A562,A1101,'외운 것 - 엑셀다운로드 파일(붙여넣기)'!D3:D562,0)</f>
        <v>0</v>
      </c>
      <c r="L1101" s="9" cm="1">
        <f t="array" ref="L1101">IF(J1101&gt;=3,_xlfn.XLOOKUP(A1101,'외운 것 - 엑셀다운로드 파일(붙여넣기)'!A3:A562,'외운 것 - 엑셀다운로드 파일(붙여넣기)'!C3:C562,0,-1),0)</f>
        <v>0</v>
      </c>
    </row>
    <row r="1102" ht="23.45" customHeight="1">
      <c r="A1102" s="3">
        <v>1101</v>
      </c>
      <c r="B1102" t="s" s="4">
        <v>7009</v>
      </c>
      <c r="C1102" t="s" s="5">
        <v>6996</v>
      </c>
      <c r="D1102" t="s" s="5">
        <v>6997</v>
      </c>
      <c r="E1102" t="s" s="5">
        <v>7010</v>
      </c>
      <c r="F1102" t="s" s="10">
        <v>7011</v>
      </c>
      <c r="G1102" t="s" s="7">
        <v>7012</v>
      </c>
      <c r="H1102" t="s" s="7">
        <v>7013</v>
      </c>
      <c r="I1102" t="str" s="8" cm="1">
        <f t="array" ref="I1102">SUBSTITUTE(H1102,B1102,"(          )")</f>
        <v>How can you (          ) such expensive purchases?</v>
      </c>
      <c r="J1102" s="9" cm="1">
        <f t="array" ref="J1102">SUMIF('외운 것 - 엑셀다운로드 파일(붙여넣기)'!A3:A562,A1102,'외운 것 - 엑셀다운로드 파일(붙여넣기)'!D3:D562)</f>
        <v>0</v>
      </c>
      <c r="K1102" s="9" cm="1">
        <f t="array" ref="K1102">_xlfn.COUNTIFS('외운 것 - 엑셀다운로드 파일(붙여넣기)'!A3:A562,A1102,'외운 것 - 엑셀다운로드 파일(붙여넣기)'!D3:D562,0)</f>
        <v>0</v>
      </c>
      <c r="L1102" s="9" cm="1">
        <f t="array" ref="L1102">IF(J1102&gt;=3,_xlfn.XLOOKUP(A1102,'외운 것 - 엑셀다운로드 파일(붙여넣기)'!A3:A562,'외운 것 - 엑셀다운로드 파일(붙여넣기)'!C3:C562,0,-1),0)</f>
        <v>0</v>
      </c>
    </row>
    <row r="1103" ht="36.4" customHeight="1">
      <c r="A1103" s="3">
        <v>1102</v>
      </c>
      <c r="B1103" t="s" s="4">
        <v>7015</v>
      </c>
      <c r="C1103" t="s" s="5">
        <v>7016</v>
      </c>
      <c r="D1103" t="s" s="5">
        <v>6996</v>
      </c>
      <c r="E1103" t="s" s="5">
        <v>7017</v>
      </c>
      <c r="F1103" t="s" s="10">
        <v>7018</v>
      </c>
      <c r="G1103" t="s" s="7">
        <v>7019</v>
      </c>
      <c r="H1103" t="s" s="7">
        <v>7020</v>
      </c>
      <c r="I1103" t="str" s="8" cm="1">
        <f t="array" ref="I1103">SUBSTITUTE(H1103,B1103,"(          )")</f>
        <v>The high price is (          ) by the exceptional quality.</v>
      </c>
      <c r="J1103" s="9" cm="1">
        <f t="array" ref="J1103">SUMIF('외운 것 - 엑셀다운로드 파일(붙여넣기)'!A3:A562,A1103,'외운 것 - 엑셀다운로드 파일(붙여넣기)'!D3:D562)</f>
        <v>0</v>
      </c>
      <c r="K1103" s="9" cm="1">
        <f t="array" ref="K1103">_xlfn.COUNTIFS('외운 것 - 엑셀다운로드 파일(붙여넣기)'!A3:A562,A1103,'외운 것 - 엑셀다운로드 파일(붙여넣기)'!D3:D562,0)</f>
        <v>0</v>
      </c>
      <c r="L1103" s="9" cm="1">
        <f t="array" ref="L1103">IF(J1103&gt;=3,_xlfn.XLOOKUP(A1103,'외운 것 - 엑셀다운로드 파일(붙여넣기)'!A3:A562,'외운 것 - 엑셀다운로드 파일(붙여넣기)'!C3:C562,0,-1),0)</f>
        <v>0</v>
      </c>
    </row>
    <row r="1104" ht="36.4" customHeight="1">
      <c r="A1104" s="3">
        <v>1103</v>
      </c>
      <c r="B1104" t="s" s="4">
        <v>7022</v>
      </c>
      <c r="C1104" t="s" s="5">
        <v>7023</v>
      </c>
      <c r="D1104" t="s" s="5">
        <v>6996</v>
      </c>
      <c r="E1104" t="s" s="5">
        <v>7024</v>
      </c>
      <c r="F1104" t="s" s="10">
        <v>7025</v>
      </c>
      <c r="G1104" t="s" s="7">
        <v>7026</v>
      </c>
      <c r="H1104" t="s" s="7">
        <v>7027</v>
      </c>
      <c r="I1104" t="str" s="8" cm="1">
        <f t="array" ref="I1104">SUBSTITUTE(H1104,B1104,"(          )")</f>
        <v>Fighting (          ) requires courage and perseverance.</v>
      </c>
      <c r="J1104" s="9" cm="1">
        <f t="array" ref="J1104">SUMIF('외운 것 - 엑셀다운로드 파일(붙여넣기)'!A3:A562,A1104,'외운 것 - 엑셀다운로드 파일(붙여넣기)'!D3:D562)</f>
        <v>0</v>
      </c>
      <c r="K1104" s="9" cm="1">
        <f t="array" ref="K1104">_xlfn.COUNTIFS('외운 것 - 엑셀다운로드 파일(붙여넣기)'!A3:A562,A1104,'외운 것 - 엑셀다운로드 파일(붙여넣기)'!D3:D562,0)</f>
        <v>0</v>
      </c>
      <c r="L1104" s="9" cm="1">
        <f t="array" ref="L1104">IF(J1104&gt;=3,_xlfn.XLOOKUP(A1104,'외운 것 - 엑셀다운로드 파일(붙여넣기)'!A3:A562,'외운 것 - 엑셀다운로드 파일(붙여넣기)'!C3:C562,0,-1),0)</f>
        <v>0</v>
      </c>
    </row>
    <row r="1105" ht="23.45" customHeight="1">
      <c r="A1105" s="3">
        <v>1104</v>
      </c>
      <c r="B1105" t="s" s="4">
        <v>7029</v>
      </c>
      <c r="C1105" t="s" s="5">
        <v>6996</v>
      </c>
      <c r="D1105" t="s" s="5">
        <v>6997</v>
      </c>
      <c r="E1105" t="s" s="5">
        <v>7030</v>
      </c>
      <c r="F1105" t="s" s="10">
        <v>7031</v>
      </c>
      <c r="G1105" t="s" s="7">
        <v>7032</v>
      </c>
      <c r="H1105" t="s" s="7">
        <v>7033</v>
      </c>
      <c r="I1105" t="str" s="8" cm="1">
        <f t="array" ref="I1105">SUBSTITUTE(H1105,B1105,"(          )")</f>
        <v>You need to (          ) the seat height for proper posture.</v>
      </c>
      <c r="J1105" s="9" cm="1">
        <f t="array" ref="J1105">SUMIF('외운 것 - 엑셀다운로드 파일(붙여넣기)'!A3:A562,A1105,'외운 것 - 엑셀다운로드 파일(붙여넣기)'!D3:D562)</f>
        <v>0</v>
      </c>
      <c r="K1105" s="9" cm="1">
        <f t="array" ref="K1105">_xlfn.COUNTIFS('외운 것 - 엑셀다운로드 파일(붙여넣기)'!A3:A562,A1105,'외운 것 - 엑셀다운로드 파일(붙여넣기)'!D3:D562,0)</f>
        <v>0</v>
      </c>
      <c r="L1105" s="9" cm="1">
        <f t="array" ref="L1105">IF(J1105&gt;=3,_xlfn.XLOOKUP(A1105,'외운 것 - 엑셀다운로드 파일(붙여넣기)'!A3:A562,'외운 것 - 엑셀다운로드 파일(붙여넣기)'!C3:C562,0,-1),0)</f>
        <v>0</v>
      </c>
    </row>
    <row r="1106" ht="23.45" customHeight="1">
      <c r="A1106" s="3">
        <v>1105</v>
      </c>
      <c r="B1106" t="s" s="4">
        <v>7035</v>
      </c>
      <c r="C1106" t="s" s="5">
        <v>7036</v>
      </c>
      <c r="D1106" t="s" s="5">
        <v>7037</v>
      </c>
      <c r="E1106" t="s" s="5">
        <v>7038</v>
      </c>
      <c r="F1106" t="s" s="10">
        <v>7039</v>
      </c>
      <c r="G1106" t="s" s="7">
        <v>7040</v>
      </c>
      <c r="H1106" t="s" s="7">
        <v>7041</v>
      </c>
      <c r="I1106" t="str" s="8" cm="1">
        <f t="array" ref="I1106">SUBSTITUTE(H1106,B1106,"(          )")</f>
        <v>The (          ) played happily in the sandbox.</v>
      </c>
      <c r="J1106" s="9" cm="1">
        <f t="array" ref="J1106">SUMIF('외운 것 - 엑셀다운로드 파일(붙여넣기)'!A3:A562,A1106,'외운 것 - 엑셀다운로드 파일(붙여넣기)'!D3:D562)</f>
        <v>0</v>
      </c>
      <c r="K1106" s="9" cm="1">
        <f t="array" ref="K1106">_xlfn.COUNTIFS('외운 것 - 엑셀다운로드 파일(붙여넣기)'!A3:A562,A1106,'외운 것 - 엑셀다운로드 파일(붙여넣기)'!D3:D562,0)</f>
        <v>0</v>
      </c>
      <c r="L1106" s="9" cm="1">
        <f t="array" ref="L1106">IF(J1106&gt;=3,_xlfn.XLOOKUP(A1106,'외운 것 - 엑셀다운로드 파일(붙여넣기)'!A3:A562,'외운 것 - 엑셀다운로드 파일(붙여넣기)'!C3:C562,0,-1),0)</f>
        <v>0</v>
      </c>
    </row>
    <row r="1107" ht="23.45" customHeight="1">
      <c r="A1107" s="3">
        <v>1106</v>
      </c>
      <c r="B1107" t="s" s="4">
        <v>7043</v>
      </c>
      <c r="C1107" t="s" s="5">
        <v>7044</v>
      </c>
      <c r="D1107" t="s" s="5">
        <v>7036</v>
      </c>
      <c r="E1107" t="s" s="5">
        <v>7045</v>
      </c>
      <c r="F1107" t="s" s="10">
        <v>7046</v>
      </c>
      <c r="G1107" t="s" s="7">
        <v>7047</v>
      </c>
      <c r="H1107" t="s" s="7">
        <v>7048</v>
      </c>
      <c r="I1107" t="str" s="8" cm="1">
        <f t="array" ref="I1107">SUBSTITUTE(H1107,B1107,"(          )")</f>
        <v>The movie is about a plot to (          ) the president.</v>
      </c>
      <c r="J1107" s="9" cm="1">
        <f t="array" ref="J1107">SUMIF('외운 것 - 엑셀다운로드 파일(붙여넣기)'!A3:A562,A1107,'외운 것 - 엑셀다운로드 파일(붙여넣기)'!D3:D562)</f>
        <v>0</v>
      </c>
      <c r="K1107" s="9" cm="1">
        <f t="array" ref="K1107">_xlfn.COUNTIFS('외운 것 - 엑셀다운로드 파일(붙여넣기)'!A3:A562,A1107,'외운 것 - 엑셀다운로드 파일(붙여넣기)'!D3:D562,0)</f>
        <v>0</v>
      </c>
      <c r="L1107" s="9" cm="1">
        <f t="array" ref="L1107">IF(J1107&gt;=3,_xlfn.XLOOKUP(A1107,'외운 것 - 엑셀다운로드 파일(붙여넣기)'!A3:A562,'외운 것 - 엑셀다운로드 파일(붙여넣기)'!C3:C562,0,-1),0)</f>
        <v>0</v>
      </c>
    </row>
    <row r="1108" ht="23.45" customHeight="1">
      <c r="A1108" s="3">
        <v>1107</v>
      </c>
      <c r="B1108" t="s" s="4">
        <v>7050</v>
      </c>
      <c r="C1108" t="s" s="5">
        <v>7044</v>
      </c>
      <c r="D1108" t="s" s="5">
        <v>7036</v>
      </c>
      <c r="E1108" t="s" s="5">
        <v>7051</v>
      </c>
      <c r="F1108" t="s" s="10">
        <v>7052</v>
      </c>
      <c r="G1108" t="s" s="7">
        <v>7053</v>
      </c>
      <c r="H1108" t="s" s="7">
        <v>7054</v>
      </c>
      <c r="I1108" t="str" s="8" cm="1">
        <f t="array" ref="I1108">SUBSTITUTE(H1108,B1108,"(          )")</f>
        <v>Healthy (          )s filter waste from your blood.</v>
      </c>
      <c r="J1108" s="9" cm="1">
        <f t="array" ref="J1108">SUMIF('외운 것 - 엑셀다운로드 파일(붙여넣기)'!A3:A562,A1108,'외운 것 - 엑셀다운로드 파일(붙여넣기)'!D3:D562)</f>
        <v>0</v>
      </c>
      <c r="K1108" s="9" cm="1">
        <f t="array" ref="K1108">_xlfn.COUNTIFS('외운 것 - 엑셀다운로드 파일(붙여넣기)'!A3:A562,A1108,'외운 것 - 엑셀다운로드 파일(붙여넣기)'!D3:D562,0)</f>
        <v>0</v>
      </c>
      <c r="L1108" s="9" cm="1">
        <f t="array" ref="L1108">IF(J1108&gt;=3,_xlfn.XLOOKUP(A1108,'외운 것 - 엑셀다운로드 파일(붙여넣기)'!A3:A562,'외운 것 - 엑셀다운로드 파일(붙여넣기)'!C3:C562,0,-1),0)</f>
        <v>0</v>
      </c>
    </row>
    <row r="1109" ht="23.45" customHeight="1">
      <c r="A1109" s="3">
        <v>1108</v>
      </c>
      <c r="B1109" t="s" s="4">
        <v>7056</v>
      </c>
      <c r="C1109" t="s" s="5">
        <v>7036</v>
      </c>
      <c r="D1109" t="s" s="5">
        <v>7037</v>
      </c>
      <c r="E1109" t="s" s="5">
        <v>7057</v>
      </c>
      <c r="F1109" t="s" s="10">
        <v>7058</v>
      </c>
      <c r="G1109" t="s" s="7">
        <v>7059</v>
      </c>
      <c r="H1109" t="s" s="7">
        <v>7060</v>
      </c>
      <c r="I1109" t="str" s="8" cm="1">
        <f t="array" ref="I1109">SUBSTITUTE(H1109,B1109,"(          )")</f>
        <v>The first aid (          ) contains bandages and antiseptic.</v>
      </c>
      <c r="J1109" s="9" cm="1">
        <f t="array" ref="J1109">SUMIF('외운 것 - 엑셀다운로드 파일(붙여넣기)'!A3:A562,A1109,'외운 것 - 엑셀다운로드 파일(붙여넣기)'!D3:D562)</f>
        <v>0</v>
      </c>
      <c r="K1109" s="9" cm="1">
        <f t="array" ref="K1109">_xlfn.COUNTIFS('외운 것 - 엑셀다운로드 파일(붙여넣기)'!A3:A562,A1109,'외운 것 - 엑셀다운로드 파일(붙여넣기)'!D3:D562,0)</f>
        <v>0</v>
      </c>
      <c r="L1109" s="9" cm="1">
        <f t="array" ref="L1109">IF(J1109&gt;=3,_xlfn.XLOOKUP(A1109,'외운 것 - 엑셀다운로드 파일(붙여넣기)'!A3:A562,'외운 것 - 엑셀다운로드 파일(붙여넣기)'!C3:C562,0,-1),0)</f>
        <v>0</v>
      </c>
    </row>
    <row r="1110" ht="23.45" customHeight="1">
      <c r="A1110" s="3">
        <v>1109</v>
      </c>
      <c r="B1110" t="s" s="4">
        <v>7062</v>
      </c>
      <c r="C1110" t="s" s="5">
        <v>7063</v>
      </c>
      <c r="D1110" t="s" s="5">
        <v>7036</v>
      </c>
      <c r="E1110" t="s" s="5">
        <v>7064</v>
      </c>
      <c r="F1110" t="s" s="10">
        <v>7065</v>
      </c>
      <c r="G1110" t="s" s="7">
        <v>7066</v>
      </c>
      <c r="H1110" t="s" s="7">
        <v>7067</v>
      </c>
      <c r="I1110" t="str" s="8" cm="1">
        <f t="array" ref="I1110">SUBSTITUTE(H1110,B1110,"(          )")</f>
        <v>The (          ) played with a ball of yarn.</v>
      </c>
      <c r="J1110" s="9" cm="1">
        <f t="array" ref="J1110">SUMIF('외운 것 - 엑셀다운로드 파일(붙여넣기)'!A3:A562,A1110,'외운 것 - 엑셀다운로드 파일(붙여넣기)'!D3:D562)</f>
        <v>0</v>
      </c>
      <c r="K1110" s="9" cm="1">
        <f t="array" ref="K1110">_xlfn.COUNTIFS('외운 것 - 엑셀다운로드 파일(붙여넣기)'!A3:A562,A1110,'외운 것 - 엑셀다운로드 파일(붙여넣기)'!D3:D562,0)</f>
        <v>0</v>
      </c>
      <c r="L1110" s="9" cm="1">
        <f t="array" ref="L1110">IF(J1110&gt;=3,_xlfn.XLOOKUP(A1110,'외운 것 - 엑셀다운로드 파일(붙여넣기)'!A3:A562,'외운 것 - 엑셀다운로드 파일(붙여넣기)'!C3:C562,0,-1),0)</f>
        <v>0</v>
      </c>
    </row>
    <row r="1111" ht="38.45" customHeight="1">
      <c r="A1111" s="3">
        <v>1110</v>
      </c>
      <c r="B1111" t="s" s="4">
        <v>7069</v>
      </c>
      <c r="C1111" t="s" s="5">
        <v>7063</v>
      </c>
      <c r="D1111" t="s" s="5">
        <v>7036</v>
      </c>
      <c r="E1111" t="s" s="5">
        <v>7070</v>
      </c>
      <c r="F1111" t="s" s="10">
        <v>7071</v>
      </c>
      <c r="G1111" t="s" s="7">
        <v>7072</v>
      </c>
      <c r="H1111" t="s" s="7">
        <v>7073</v>
      </c>
      <c r="I1111" t="str" s="8" cm="1">
        <f t="array" ref="I1111">SUBSTITUTE(H1111,B1111,"(          )")</f>
        <v>The children flew (          )s on the windy beach.</v>
      </c>
      <c r="J1111" s="9" cm="1">
        <f t="array" ref="J1111">SUMIF('외운 것 - 엑셀다운로드 파일(붙여넣기)'!A3:A562,A1111,'외운 것 - 엑셀다운로드 파일(붙여넣기)'!D3:D562)</f>
        <v>0</v>
      </c>
      <c r="K1111" s="9" cm="1">
        <f t="array" ref="K1111">_xlfn.COUNTIFS('외운 것 - 엑셀다운로드 파일(붙여넣기)'!A3:A562,A1111,'외운 것 - 엑셀다운로드 파일(붙여넣기)'!D3:D562,0)</f>
        <v>0</v>
      </c>
      <c r="L1111" s="9" cm="1">
        <f t="array" ref="L1111">IF(J1111&gt;=3,_xlfn.XLOOKUP(A1111,'외운 것 - 엑셀다운로드 파일(붙여넣기)'!A3:A562,'외운 것 - 엑셀다운로드 파일(붙여넣기)'!C3:C562,0,-1),0)</f>
        <v>0</v>
      </c>
    </row>
    <row r="1112" ht="23.45" customHeight="1">
      <c r="A1112" s="3">
        <v>1111</v>
      </c>
      <c r="B1112" t="s" s="4">
        <v>7075</v>
      </c>
      <c r="C1112" t="s" s="5">
        <v>7036</v>
      </c>
      <c r="D1112" t="s" s="5">
        <v>7037</v>
      </c>
      <c r="E1112" t="s" s="5">
        <v>7076</v>
      </c>
      <c r="F1112" t="s" s="10">
        <v>7077</v>
      </c>
      <c r="G1112" t="s" s="7">
        <v>7078</v>
      </c>
      <c r="H1112" t="s" s="7">
        <v>7079</v>
      </c>
      <c r="I1112" t="str" s="8" cm="1">
        <f t="array" ref="I1112">SUBSTITUTE(H1112,B1112,"(          )")</f>
        <v>She invited all her (          ) to the family reunion.</v>
      </c>
      <c r="J1112" s="9" cm="1">
        <f t="array" ref="J1112">SUMIF('외운 것 - 엑셀다운로드 파일(붙여넣기)'!A3:A562,A1112,'외운 것 - 엑셀다운로드 파일(붙여넣기)'!D3:D562)</f>
        <v>0</v>
      </c>
      <c r="K1112" s="9" cm="1">
        <f t="array" ref="K1112">_xlfn.COUNTIFS('외운 것 - 엑셀다운로드 파일(붙여넣기)'!A3:A562,A1112,'외운 것 - 엑셀다운로드 파일(붙여넣기)'!D3:D562,0)</f>
        <v>0</v>
      </c>
      <c r="L1112" s="9" cm="1">
        <f t="array" ref="L1112">IF(J1112&gt;=3,_xlfn.XLOOKUP(A1112,'외운 것 - 엑셀다운로드 파일(붙여넣기)'!A3:A562,'외운 것 - 엑셀다운로드 파일(붙여넣기)'!C3:C562,0,-1),0)</f>
        <v>0</v>
      </c>
    </row>
    <row r="1113" ht="38.45" customHeight="1">
      <c r="A1113" s="3">
        <v>1112</v>
      </c>
      <c r="B1113" t="s" s="4">
        <v>7081</v>
      </c>
      <c r="C1113" t="s" s="5">
        <v>7082</v>
      </c>
      <c r="D1113" t="s" s="5">
        <v>7036</v>
      </c>
      <c r="E1113" t="s" s="5">
        <v>7083</v>
      </c>
      <c r="F1113" t="s" s="10">
        <v>7084</v>
      </c>
      <c r="G1113" t="s" s="7">
        <v>7085</v>
      </c>
      <c r="H1113" t="s" s="7">
        <v>7086</v>
      </c>
      <c r="I1113" t="str" s="8" cm="1">
        <f t="array" ref="I1113">SUBSTITUTE(H1113,B1113,"(          )")</f>
        <v>There is a strong (          ) among members of the community.</v>
      </c>
      <c r="J1113" s="9" cm="1">
        <f t="array" ref="J1113">SUMIF('외운 것 - 엑셀다운로드 파일(붙여넣기)'!A3:A562,A1113,'외운 것 - 엑셀다운로드 파일(붙여넣기)'!D3:D562)</f>
        <v>0</v>
      </c>
      <c r="K1113" s="9" cm="1">
        <f t="array" ref="K1113">_xlfn.COUNTIFS('외운 것 - 엑셀다운로드 파일(붙여넣기)'!A3:A562,A1113,'외운 것 - 엑셀다운로드 파일(붙여넣기)'!D3:D562,0)</f>
        <v>0</v>
      </c>
      <c r="L1113" s="9" cm="1">
        <f t="array" ref="L1113">IF(J1113&gt;=3,_xlfn.XLOOKUP(A1113,'외운 것 - 엑셀다운로드 파일(붙여넣기)'!A3:A562,'외운 것 - 엑셀다운로드 파일(붙여넣기)'!C3:C562,0,-1),0)</f>
        <v>0</v>
      </c>
    </row>
    <row r="1114" ht="23.45" customHeight="1">
      <c r="A1114" s="3">
        <v>1113</v>
      </c>
      <c r="B1114" t="s" s="4">
        <v>7088</v>
      </c>
      <c r="C1114" t="s" s="5">
        <v>7082</v>
      </c>
      <c r="D1114" t="s" s="5">
        <v>7036</v>
      </c>
      <c r="E1114" t="s" s="5">
        <v>7089</v>
      </c>
      <c r="F1114" t="s" s="10">
        <v>7090</v>
      </c>
      <c r="G1114" t="s" s="7">
        <v>7091</v>
      </c>
      <c r="H1114" t="s" s="7">
        <v>7092</v>
      </c>
      <c r="I1114" t="str" s="8" cm="1">
        <f t="array" ref="I1114">SUBSTITUTE(H1114,B1114,"(          )")</f>
        <v>His feelings were (          ) to jealousy.</v>
      </c>
      <c r="J1114" s="9" cm="1">
        <f t="array" ref="J1114">SUMIF('외운 것 - 엑셀다운로드 파일(붙여넣기)'!A3:A562,A1114,'외운 것 - 엑셀다운로드 파일(붙여넣기)'!D3:D562)</f>
        <v>0</v>
      </c>
      <c r="K1114" s="9" cm="1">
        <f t="array" ref="K1114">_xlfn.COUNTIFS('외운 것 - 엑셀다운로드 파일(붙여넣기)'!A3:A562,A1114,'외운 것 - 엑셀다운로드 파일(붙여넣기)'!D3:D562,0)</f>
        <v>0</v>
      </c>
      <c r="L1114" s="9" cm="1">
        <f t="array" ref="L1114">IF(J1114&gt;=3,_xlfn.XLOOKUP(A1114,'외운 것 - 엑셀다운로드 파일(붙여넣기)'!A3:A562,'외운 것 - 엑셀다운로드 파일(붙여넣기)'!C3:C562,0,-1),0)</f>
        <v>0</v>
      </c>
    </row>
    <row r="1115" ht="23.45" customHeight="1">
      <c r="A1115" s="3">
        <v>1114</v>
      </c>
      <c r="B1115" t="s" s="4">
        <v>7094</v>
      </c>
      <c r="C1115" t="s" s="5">
        <v>7082</v>
      </c>
      <c r="D1115" t="s" s="5">
        <v>7036</v>
      </c>
      <c r="E1115" t="s" s="5">
        <v>7095</v>
      </c>
      <c r="F1115" t="s" s="10">
        <v>7096</v>
      </c>
      <c r="G1115" t="s" s="7">
        <v>7097</v>
      </c>
      <c r="H1115" t="s" s="7">
        <v>7098</v>
      </c>
      <c r="I1115" t="str" s="8" cm="1">
        <f t="array" ref="I1115">SUBSTITUTE(H1115,B1115,"(          )")</f>
        <v>Thank you for your (          ) help.</v>
      </c>
      <c r="J1115" s="9" cm="1">
        <f t="array" ref="J1115">SUMIF('외운 것 - 엑셀다운로드 파일(붙여넣기)'!A3:A562,A1115,'외운 것 - 엑셀다운로드 파일(붙여넣기)'!D3:D562)</f>
        <v>0</v>
      </c>
      <c r="K1115" s="9" cm="1">
        <f t="array" ref="K1115">_xlfn.COUNTIFS('외운 것 - 엑셀다운로드 파일(붙여넣기)'!A3:A562,A1115,'외운 것 - 엑셀다운로드 파일(붙여넣기)'!D3:D562,0)</f>
        <v>0</v>
      </c>
      <c r="L1115" s="9" cm="1">
        <f t="array" ref="L1115">IF(J1115&gt;=3,_xlfn.XLOOKUP(A1115,'외운 것 - 엑셀다운로드 파일(붙여넣기)'!A3:A562,'외운 것 - 엑셀다운로드 파일(붙여넣기)'!C3:C562,0,-1),0)</f>
        <v>0</v>
      </c>
    </row>
    <row r="1116" ht="38.45" customHeight="1">
      <c r="A1116" s="3">
        <v>1115</v>
      </c>
      <c r="B1116" t="s" s="4">
        <v>7100</v>
      </c>
      <c r="C1116" t="s" s="5">
        <v>7101</v>
      </c>
      <c r="D1116" t="s" s="5">
        <v>7036</v>
      </c>
      <c r="E1116" t="s" s="5">
        <v>7102</v>
      </c>
      <c r="F1116" t="s" s="10">
        <v>7103</v>
      </c>
      <c r="G1116" t="s" s="7">
        <v>7104</v>
      </c>
      <c r="H1116" t="s" s="7">
        <v>7105</v>
      </c>
      <c r="I1116" t="str" s="8" cm="1">
        <f t="array" ref="I1116">SUBSTITUTE(H1116,B1116,"(          )")</f>
        <v>My son starts (          ) next fall.</v>
      </c>
      <c r="J1116" s="9" cm="1">
        <f t="array" ref="J1116">SUMIF('외운 것 - 엑셀다운로드 파일(붙여넣기)'!A3:A562,A1116,'외운 것 - 엑셀다운로드 파일(붙여넣기)'!D3:D562)</f>
        <v>0</v>
      </c>
      <c r="K1116" s="9" cm="1">
        <f t="array" ref="K1116">_xlfn.COUNTIFS('외운 것 - 엑셀다운로드 파일(붙여넣기)'!A3:A562,A1116,'외운 것 - 엑셀다운로드 파일(붙여넣기)'!D3:D562,0)</f>
        <v>0</v>
      </c>
      <c r="L1116" s="9" cm="1">
        <f t="array" ref="L1116">IF(J1116&gt;=3,_xlfn.XLOOKUP(A1116,'외운 것 - 엑셀다운로드 파일(붙여넣기)'!A3:A562,'외운 것 - 엑셀다운로드 파일(붙여넣기)'!C3:C562,0,-1),0)</f>
        <v>0</v>
      </c>
    </row>
    <row r="1117" ht="23.45" customHeight="1">
      <c r="A1117" s="3">
        <v>1116</v>
      </c>
      <c r="B1117" t="s" s="4">
        <v>7107</v>
      </c>
      <c r="C1117" t="s" s="5">
        <v>7082</v>
      </c>
      <c r="D1117" t="s" s="5">
        <v>7036</v>
      </c>
      <c r="E1117" t="s" s="5">
        <v>7108</v>
      </c>
      <c r="F1117" t="s" s="10">
        <v>7109</v>
      </c>
      <c r="G1117" t="s" s="7">
        <v>7110</v>
      </c>
      <c r="H1117" t="s" s="7">
        <v>7111</v>
      </c>
      <c r="I1117" t="str" s="8" cm="1">
        <f t="array" ref="I1117">SUBSTITUTE(H1117,B1117,"(          )")</f>
        <v>The (          ) ruled the country for forty years.</v>
      </c>
      <c r="J1117" s="9" cm="1">
        <f t="array" ref="J1117">SUMIF('외운 것 - 엑셀다운로드 파일(붙여넣기)'!A3:A562,A1117,'외운 것 - 엑셀다운로드 파일(붙여넣기)'!D3:D562)</f>
        <v>0</v>
      </c>
      <c r="K1117" s="9" cm="1">
        <f t="array" ref="K1117">_xlfn.COUNTIFS('외운 것 - 엑셀다운로드 파일(붙여넣기)'!A3:A562,A1117,'외운 것 - 엑셀다운로드 파일(붙여넣기)'!D3:D562,0)</f>
        <v>0</v>
      </c>
      <c r="L1117" s="9" cm="1">
        <f t="array" ref="L1117">IF(J1117&gt;=3,_xlfn.XLOOKUP(A1117,'외운 것 - 엑셀다운로드 파일(붙여넣기)'!A3:A562,'외운 것 - 엑셀다운로드 파일(붙여넣기)'!C3:C562,0,-1),0)</f>
        <v>0</v>
      </c>
    </row>
    <row r="1118" ht="38.45" customHeight="1">
      <c r="A1118" s="3">
        <v>1117</v>
      </c>
      <c r="B1118" t="s" s="4">
        <v>7113</v>
      </c>
      <c r="C1118" t="s" s="5">
        <v>7114</v>
      </c>
      <c r="D1118" t="s" s="5">
        <v>7115</v>
      </c>
      <c r="E1118" t="s" s="5">
        <v>7116</v>
      </c>
      <c r="F1118" t="s" s="10">
        <v>7117</v>
      </c>
      <c r="G1118" t="s" s="7">
        <v>7118</v>
      </c>
      <c r="H1118" t="s" s="7">
        <v>7119</v>
      </c>
      <c r="I1118" t="str" s="8" cm="1">
        <f t="array" ref="I1118">SUBSTITUTE(H1118,B1118,"(          )")</f>
        <v>My grandmother taught me how to (          ) sweaters.</v>
      </c>
      <c r="J1118" s="9" cm="1">
        <f t="array" ref="J1118">SUMIF('외운 것 - 엑셀다운로드 파일(붙여넣기)'!A3:A562,A1118,'외운 것 - 엑셀다운로드 파일(붙여넣기)'!D3:D562)</f>
        <v>0</v>
      </c>
      <c r="K1118" s="9" cm="1">
        <f t="array" ref="K1118">_xlfn.COUNTIFS('외운 것 - 엑셀다운로드 파일(붙여넣기)'!A3:A562,A1118,'외운 것 - 엑셀다운로드 파일(붙여넣기)'!D3:D562,0)</f>
        <v>0</v>
      </c>
      <c r="L1118" s="9" cm="1">
        <f t="array" ref="L1118">IF(J1118&gt;=3,_xlfn.XLOOKUP(A1118,'외운 것 - 엑셀다운로드 파일(붙여넣기)'!A3:A562,'외운 것 - 엑셀다운로드 파일(붙여넣기)'!C3:C562,0,-1),0)</f>
        <v>0</v>
      </c>
    </row>
    <row r="1119" ht="38.45" customHeight="1">
      <c r="A1119" s="3">
        <v>1118</v>
      </c>
      <c r="B1119" t="s" s="4">
        <v>7121</v>
      </c>
      <c r="C1119" t="s" s="5">
        <v>7114</v>
      </c>
      <c r="D1119" t="s" s="5">
        <v>7115</v>
      </c>
      <c r="E1119" t="s" s="5">
        <v>7122</v>
      </c>
      <c r="F1119" t="s" s="10">
        <v>7123</v>
      </c>
      <c r="G1119" t="s" s="7">
        <v>7124</v>
      </c>
      <c r="H1119" t="s" s="7">
        <v>7125</v>
      </c>
      <c r="I1119" t="str" s="8" cm="1">
        <f t="array" ref="I1119">SUBSTITUTE(H1119,B1119,"(          )")</f>
        <v>Tie a (          ) at the end of the thread.</v>
      </c>
      <c r="J1119" s="9" cm="1">
        <f t="array" ref="J1119">SUMIF('외운 것 - 엑셀다운로드 파일(붙여넣기)'!A3:A562,A1119,'외운 것 - 엑셀다운로드 파일(붙여넣기)'!D3:D562)</f>
        <v>0</v>
      </c>
      <c r="K1119" s="9" cm="1">
        <f t="array" ref="K1119">_xlfn.COUNTIFS('외운 것 - 엑셀다운로드 파일(붙여넣기)'!A3:A562,A1119,'외운 것 - 엑셀다운로드 파일(붙여넣기)'!D3:D562,0)</f>
        <v>0</v>
      </c>
      <c r="L1119" s="9" cm="1">
        <f t="array" ref="L1119">IF(J1119&gt;=3,_xlfn.XLOOKUP(A1119,'외운 것 - 엑셀다운로드 파일(붙여넣기)'!A3:A562,'외운 것 - 엑셀다운로드 파일(붙여넣기)'!C3:C562,0,-1),0)</f>
        <v>0</v>
      </c>
    </row>
    <row r="1120" ht="38.45" customHeight="1">
      <c r="A1120" s="3">
        <v>1119</v>
      </c>
      <c r="B1120" t="s" s="4">
        <v>7127</v>
      </c>
      <c r="C1120" t="s" s="5">
        <v>7114</v>
      </c>
      <c r="D1120" t="s" s="5">
        <v>7115</v>
      </c>
      <c r="E1120" t="s" s="5">
        <v>7128</v>
      </c>
      <c r="F1120" t="s" s="10">
        <v>7129</v>
      </c>
      <c r="G1120" t="s" s="7">
        <v>7130</v>
      </c>
      <c r="H1120" t="s" s="7">
        <v>7131</v>
      </c>
      <c r="I1120" t="str" s="8" cm="1">
        <f t="array" ref="I1120">SUBSTITUTE(H1120,B1120,"(          )")</f>
        <v>Turn the door (          ) to open the door.</v>
      </c>
      <c r="J1120" s="9" cm="1">
        <f t="array" ref="J1120">SUMIF('외운 것 - 엑셀다운로드 파일(붙여넣기)'!A3:A562,A1120,'외운 것 - 엑셀다운로드 파일(붙여넣기)'!D3:D562)</f>
        <v>0</v>
      </c>
      <c r="K1120" s="9" cm="1">
        <f t="array" ref="K1120">_xlfn.COUNTIFS('외운 것 - 엑셀다운로드 파일(붙여넣기)'!A3:A562,A1120,'외운 것 - 엑셀다운로드 파일(붙여넣기)'!D3:D562,0)</f>
        <v>0</v>
      </c>
      <c r="L1120" s="9" cm="1">
        <f t="array" ref="L1120">IF(J1120&gt;=3,_xlfn.XLOOKUP(A1120,'외운 것 - 엑셀다운로드 파일(붙여넣기)'!A3:A562,'외운 것 - 엑셀다운로드 파일(붙여넣기)'!C3:C562,0,-1),0)</f>
        <v>0</v>
      </c>
    </row>
    <row r="1121" ht="38.45" customHeight="1">
      <c r="A1121" s="3">
        <v>1120</v>
      </c>
      <c r="B1121" t="s" s="4">
        <v>7133</v>
      </c>
      <c r="C1121" t="s" s="5">
        <v>7114</v>
      </c>
      <c r="D1121" t="s" s="5">
        <v>7115</v>
      </c>
      <c r="E1121" t="s" s="5">
        <v>7134</v>
      </c>
      <c r="F1121" t="s" s="10">
        <v>7135</v>
      </c>
      <c r="G1121" t="s" s="7">
        <v>7136</v>
      </c>
      <c r="H1121" t="s" s="7">
        <v>7137</v>
      </c>
      <c r="I1121" t="str" s="8" cm="1">
        <f t="array" ref="I1121">SUBSTITUTE(H1121,B1121,"(          )")</f>
        <v>Someone is (          ) on the door.</v>
      </c>
      <c r="J1121" s="9" cm="1">
        <f t="array" ref="J1121">SUMIF('외운 것 - 엑셀다운로드 파일(붙여넣기)'!A3:A562,A1121,'외운 것 - 엑셀다운로드 파일(붙여넣기)'!D3:D562)</f>
        <v>0</v>
      </c>
      <c r="K1121" s="9" cm="1">
        <f t="array" ref="K1121">_xlfn.COUNTIFS('외운 것 - 엑셀다운로드 파일(붙여넣기)'!A3:A562,A1121,'외운 것 - 엑셀다운로드 파일(붙여넣기)'!D3:D562,0)</f>
        <v>0</v>
      </c>
      <c r="L1121" s="9" cm="1">
        <f t="array" ref="L1121">IF(J1121&gt;=3,_xlfn.XLOOKUP(A1121,'외운 것 - 엑셀다운로드 파일(붙여넣기)'!A3:A562,'외운 것 - 엑셀다운로드 파일(붙여넣기)'!C3:C562,0,-1),0)</f>
        <v>0</v>
      </c>
    </row>
    <row r="1122" ht="50.45" customHeight="1">
      <c r="A1122" s="3">
        <v>1121</v>
      </c>
      <c r="B1122" t="s" s="4">
        <v>7139</v>
      </c>
      <c r="C1122" t="s" s="5">
        <v>7140</v>
      </c>
      <c r="D1122" t="s" s="5">
        <v>7114</v>
      </c>
      <c r="E1122" t="s" s="5">
        <v>7141</v>
      </c>
      <c r="F1122" t="s" s="10">
        <v>7142</v>
      </c>
      <c r="G1122" t="s" s="7">
        <v>7143</v>
      </c>
      <c r="H1122" t="s" s="7">
        <v>7144</v>
      </c>
      <c r="I1122" t="str" s="8" cm="1">
        <f t="array" ref="I1122">SUBSTITUTE(H1122,B1122,"(          )")</f>
        <v>She has a (          ) for learning languages quickly.</v>
      </c>
      <c r="J1122" s="9" cm="1">
        <f t="array" ref="J1122">SUMIF('외운 것 - 엑셀다운로드 파일(붙여넣기)'!A3:A562,A1122,'외운 것 - 엑셀다운로드 파일(붙여넣기)'!D3:D562)</f>
        <v>0</v>
      </c>
      <c r="K1122" s="9" cm="1">
        <f t="array" ref="K1122">_xlfn.COUNTIFS('외운 것 - 엑셀다운로드 파일(붙여넣기)'!A3:A562,A1122,'외운 것 - 엑셀다운로드 파일(붙여넣기)'!D3:D562,0)</f>
        <v>0</v>
      </c>
      <c r="L1122" s="9" cm="1">
        <f t="array" ref="L1122">IF(J1122&gt;=3,_xlfn.XLOOKUP(A1122,'외운 것 - 엑셀다운로드 파일(붙여넣기)'!A3:A562,'외운 것 - 엑셀다운로드 파일(붙여넣기)'!C3:C562,0,-1),0)</f>
        <v>0</v>
      </c>
    </row>
    <row r="1123" ht="38.45" customHeight="1">
      <c r="A1123" s="3">
        <v>1122</v>
      </c>
      <c r="B1123" t="s" s="4">
        <v>7146</v>
      </c>
      <c r="C1123" t="s" s="5">
        <v>7147</v>
      </c>
      <c r="D1123" t="s" s="5">
        <v>7114</v>
      </c>
      <c r="E1123" t="s" s="5">
        <v>7148</v>
      </c>
      <c r="F1123" t="s" s="10">
        <v>7149</v>
      </c>
      <c r="G1123" t="s" s="7">
        <v>7150</v>
      </c>
      <c r="H1123" t="s" s="7">
        <v>7151</v>
      </c>
      <c r="I1123" t="str" s="8" cm="1">
        <f t="array" ref="I1123">SUBSTITUTE(H1123,B1123,"(          )")</f>
        <v>He rapped his (          ) on the table for attention.</v>
      </c>
      <c r="J1123" s="9" cm="1">
        <f t="array" ref="J1123">SUMIF('외운 것 - 엑셀다운로드 파일(붙여넣기)'!A3:A562,A1123,'외운 것 - 엑셀다운로드 파일(붙여넣기)'!D3:D562)</f>
        <v>0</v>
      </c>
      <c r="K1123" s="9" cm="1">
        <f t="array" ref="K1123">_xlfn.COUNTIFS('외운 것 - 엑셀다운로드 파일(붙여넣기)'!A3:A562,A1123,'외운 것 - 엑셀다운로드 파일(붙여넣기)'!D3:D562,0)</f>
        <v>0</v>
      </c>
      <c r="L1123" s="9" cm="1">
        <f t="array" ref="L1123">IF(J1123&gt;=3,_xlfn.XLOOKUP(A1123,'외운 것 - 엑셀다운로드 파일(붙여넣기)'!A3:A562,'외운 것 - 엑셀다운로드 파일(붙여넣기)'!C3:C562,0,-1),0)</f>
        <v>0</v>
      </c>
    </row>
    <row r="1124" ht="38.45" customHeight="1">
      <c r="A1124" s="3">
        <v>1123</v>
      </c>
      <c r="B1124" t="s" s="4">
        <v>7153</v>
      </c>
      <c r="C1124" t="s" s="5">
        <v>7114</v>
      </c>
      <c r="D1124" t="s" s="5">
        <v>7115</v>
      </c>
      <c r="E1124" t="s" s="5">
        <v>7154</v>
      </c>
      <c r="F1124" t="s" s="10">
        <v>7155</v>
      </c>
      <c r="G1124" t="s" s="7">
        <v>7156</v>
      </c>
      <c r="H1124" t="s" s="7">
        <v>7157</v>
      </c>
      <c r="I1124" t="str" s="8" cm="1">
        <f t="array" ref="I1124">SUBSTITUTE(H1124,B1124,"(          )")</f>
        <v>She injured her (          ) playing basketball.</v>
      </c>
      <c r="J1124" s="9" cm="1">
        <f t="array" ref="J1124">SUMIF('외운 것 - 엑셀다운로드 파일(붙여넣기)'!A3:A562,A1124,'외운 것 - 엑셀다운로드 파일(붙여넣기)'!D3:D562)</f>
        <v>0</v>
      </c>
      <c r="K1124" s="9" cm="1">
        <f t="array" ref="K1124">_xlfn.COUNTIFS('외운 것 - 엑셀다운로드 파일(붙여넣기)'!A3:A562,A1124,'외운 것 - 엑셀다운로드 파일(붙여넣기)'!D3:D562,0)</f>
        <v>0</v>
      </c>
      <c r="L1124" s="9" cm="1">
        <f t="array" ref="L1124">IF(J1124&gt;=3,_xlfn.XLOOKUP(A1124,'외운 것 - 엑셀다운로드 파일(붙여넣기)'!A3:A562,'외운 것 - 엑셀다운로드 파일(붙여넣기)'!C3:C562,0,-1),0)</f>
        <v>0</v>
      </c>
    </row>
    <row r="1125" ht="23.45" customHeight="1">
      <c r="A1125" s="3">
        <v>1124</v>
      </c>
      <c r="B1125" t="s" s="4">
        <v>7159</v>
      </c>
      <c r="C1125" t="s" s="5">
        <v>7160</v>
      </c>
      <c r="D1125" t="s" s="5">
        <v>7114</v>
      </c>
      <c r="E1125" t="s" s="5">
        <v>7161</v>
      </c>
      <c r="F1125" t="s" s="10">
        <v>7162</v>
      </c>
      <c r="G1125" t="s" s="7">
        <v>7163</v>
      </c>
      <c r="H1125" t="s" s="7">
        <v>7164</v>
      </c>
      <c r="I1125" t="str" s="8" cm="1">
        <f t="array" ref="I1125">SUBSTITUTE(H1125,B1125,"(          )")</f>
        <v>The gardener will (          ) to plant the flowers.</v>
      </c>
      <c r="J1125" s="9" cm="1">
        <f t="array" ref="J1125">SUMIF('외운 것 - 엑셀다운로드 파일(붙여넣기)'!A3:A562,A1125,'외운 것 - 엑셀다운로드 파일(붙여넣기)'!D3:D562)</f>
        <v>0</v>
      </c>
      <c r="K1125" s="9" cm="1">
        <f t="array" ref="K1125">_xlfn.COUNTIFS('외운 것 - 엑셀다운로드 파일(붙여넣기)'!A3:A562,A1125,'외운 것 - 엑셀다운로드 파일(붙여넣기)'!D3:D562,0)</f>
        <v>0</v>
      </c>
      <c r="L1125" s="9" cm="1">
        <f t="array" ref="L1125">IF(J1125&gt;=3,_xlfn.XLOOKUP(A1125,'외운 것 - 엑셀다운로드 파일(붙여넣기)'!A3:A562,'외운 것 - 엑셀다운로드 파일(붙여넣기)'!C3:C562,0,-1),0)</f>
        <v>0</v>
      </c>
    </row>
    <row r="1126" ht="38.45" customHeight="1">
      <c r="A1126" s="3">
        <v>1125</v>
      </c>
      <c r="B1126" t="s" s="4">
        <v>7166</v>
      </c>
      <c r="C1126" t="s" s="5">
        <v>7114</v>
      </c>
      <c r="D1126" t="s" s="5">
        <v>7115</v>
      </c>
      <c r="E1126" t="s" s="5">
        <v>7167</v>
      </c>
      <c r="F1126" t="s" s="10">
        <v>7168</v>
      </c>
      <c r="G1126" t="s" s="7">
        <v>7169</v>
      </c>
      <c r="H1126" t="s" s="7">
        <v>7170</v>
      </c>
      <c r="I1126" t="str" s="8" cm="1">
        <f t="array" ref="I1126">SUBSTITUTE(H1126,B1126,"(          )")</f>
        <v>I (          ) the answer to your question.</v>
      </c>
      <c r="J1126" s="9" cm="1">
        <f t="array" ref="J1126">SUMIF('외운 것 - 엑셀다운로드 파일(붙여넣기)'!A3:A562,A1126,'외운 것 - 엑셀다운로드 파일(붙여넣기)'!D3:D562)</f>
        <v>0</v>
      </c>
      <c r="K1126" s="9" cm="1">
        <f t="array" ref="K1126">_xlfn.COUNTIFS('외운 것 - 엑셀다운로드 파일(붙여넣기)'!A3:A562,A1126,'외운 것 - 엑셀다운로드 파일(붙여넣기)'!D3:D562,0)</f>
        <v>0</v>
      </c>
      <c r="L1126" s="9" cm="1">
        <f t="array" ref="L1126">IF(J1126&gt;=3,_xlfn.XLOOKUP(A1126,'외운 것 - 엑셀다운로드 파일(붙여넣기)'!A3:A562,'외운 것 - 엑셀다운로드 파일(붙여넣기)'!C3:C562,0,-1),0)</f>
        <v>0</v>
      </c>
    </row>
    <row r="1127" ht="23.45" customHeight="1">
      <c r="A1127" s="3">
        <v>1126</v>
      </c>
      <c r="B1127" t="s" s="4">
        <v>7172</v>
      </c>
      <c r="C1127" t="s" s="5">
        <v>7173</v>
      </c>
      <c r="D1127" t="s" s="5">
        <v>7114</v>
      </c>
      <c r="E1127" t="s" s="5">
        <v>7174</v>
      </c>
      <c r="F1127" t="s" s="10">
        <v>7175</v>
      </c>
      <c r="G1127" t="s" s="7">
        <v>7176</v>
      </c>
      <c r="H1127" t="s" s="7">
        <v>7177</v>
      </c>
      <c r="I1127" t="str" s="8" cm="1">
        <f t="array" ref="I1127">SUBSTITUTE(H1127,B1127,"(          )")</f>
        <v>He has extensive (          ) of ancient history.</v>
      </c>
      <c r="J1127" s="9" cm="1">
        <f t="array" ref="J1127">SUMIF('외운 것 - 엑셀다운로드 파일(붙여넣기)'!A3:A562,A1127,'외운 것 - 엑셀다운로드 파일(붙여넣기)'!D3:D562)</f>
        <v>0</v>
      </c>
      <c r="K1127" s="9" cm="1">
        <f t="array" ref="K1127">_xlfn.COUNTIFS('외운 것 - 엑셀다운로드 파일(붙여넣기)'!A3:A562,A1127,'외운 것 - 엑셀다운로드 파일(붙여넣기)'!D3:D562,0)</f>
        <v>0</v>
      </c>
      <c r="L1127" s="9" cm="1">
        <f t="array" ref="L1127">IF(J1127&gt;=3,_xlfn.XLOOKUP(A1127,'외운 것 - 엑셀다운로드 파일(붙여넣기)'!A3:A562,'외운 것 - 엑셀다운로드 파일(붙여넣기)'!C3:C562,0,-1),0)</f>
        <v>0</v>
      </c>
    </row>
    <row r="1128" ht="38.45" customHeight="1">
      <c r="A1128" s="3">
        <v>1127</v>
      </c>
      <c r="B1128" t="s" s="4">
        <v>7179</v>
      </c>
      <c r="C1128" t="s" s="5">
        <v>7173</v>
      </c>
      <c r="D1128" t="s" s="5">
        <v>7114</v>
      </c>
      <c r="E1128" t="s" s="5">
        <v>7180</v>
      </c>
      <c r="F1128" t="s" s="10">
        <v>7181</v>
      </c>
      <c r="G1128" t="s" s="7">
        <v>7182</v>
      </c>
      <c r="H1128" t="s" s="7">
        <v>7183</v>
      </c>
      <c r="I1128" t="str" s="8" cm="1">
        <f t="array" ref="I1128">SUBSTITUTE(H1128,B1128,"(          )")</f>
        <v>The company should (          ) its mistakes.</v>
      </c>
      <c r="J1128" s="9" cm="1">
        <f t="array" ref="J1128">SUMIF('외운 것 - 엑셀다운로드 파일(붙여넣기)'!A3:A562,A1128,'외운 것 - 엑셀다운로드 파일(붙여넣기)'!D3:D562)</f>
        <v>0</v>
      </c>
      <c r="K1128" s="9" cm="1">
        <f t="array" ref="K1128">_xlfn.COUNTIFS('외운 것 - 엑셀다운로드 파일(붙여넣기)'!A3:A562,A1128,'외운 것 - 엑셀다운로드 파일(붙여넣기)'!D3:D562,0)</f>
        <v>0</v>
      </c>
      <c r="L1128" s="9" cm="1">
        <f t="array" ref="L1128">IF(J1128&gt;=3,_xlfn.XLOOKUP(A1128,'외운 것 - 엑셀다운로드 파일(붙여넣기)'!A3:A562,'외운 것 - 엑셀다운로드 파일(붙여넣기)'!C3:C562,0,-1),0)</f>
        <v>0</v>
      </c>
    </row>
    <row r="1129" ht="23.45" customHeight="1">
      <c r="A1129" s="3">
        <v>1128</v>
      </c>
      <c r="B1129" t="s" s="4">
        <v>7185</v>
      </c>
      <c r="C1129" t="s" s="5">
        <v>7173</v>
      </c>
      <c r="D1129" t="s" s="5">
        <v>7114</v>
      </c>
      <c r="E1129" t="s" s="5">
        <v>7186</v>
      </c>
      <c r="F1129" t="s" s="10">
        <v>7187</v>
      </c>
      <c r="G1129" t="s" s="7">
        <v>7188</v>
      </c>
      <c r="H1129" t="s" s="7">
        <v>7189</v>
      </c>
      <c r="I1129" t="str" s="8" cm="1">
        <f t="array" ref="I1129">SUBSTITUTE(H1129,B1129,"(          )")</f>
        <v>The (          ) knight saved the village from the dragon.</v>
      </c>
      <c r="J1129" s="9" cm="1">
        <f t="array" ref="J1129">SUMIF('외운 것 - 엑셀다운로드 파일(붙여넣기)'!A3:A562,A1129,'외운 것 - 엑셀다운로드 파일(붙여넣기)'!D3:D562)</f>
        <v>0</v>
      </c>
      <c r="K1129" s="9" cm="1">
        <f t="array" ref="K1129">_xlfn.COUNTIFS('외운 것 - 엑셀다운로드 파일(붙여넣기)'!A3:A562,A1129,'외운 것 - 엑셀다운로드 파일(붙여넣기)'!D3:D562,0)</f>
        <v>0</v>
      </c>
      <c r="L1129" s="9" cm="1">
        <f t="array" ref="L1129">IF(J1129&gt;=3,_xlfn.XLOOKUP(A1129,'외운 것 - 엑셀다운로드 파일(붙여넣기)'!A3:A562,'외운 것 - 엑셀다운로드 파일(붙여넣기)'!C3:C562,0,-1),0)</f>
        <v>0</v>
      </c>
    </row>
    <row r="1130" ht="23.45" customHeight="1">
      <c r="A1130" s="3">
        <v>1129</v>
      </c>
      <c r="B1130" t="s" s="4">
        <v>7191</v>
      </c>
      <c r="C1130" t="s" s="5">
        <v>7114</v>
      </c>
      <c r="D1130" t="s" s="5">
        <v>7115</v>
      </c>
      <c r="E1130" t="s" s="5">
        <v>7192</v>
      </c>
      <c r="F1130" t="s" s="10">
        <v>7193</v>
      </c>
      <c r="G1130" t="s" s="7">
        <v>7194</v>
      </c>
      <c r="H1130" t="s" s="7">
        <v>7195</v>
      </c>
      <c r="I1130" t="str" s="8" cm="1">
        <f t="array" ref="I1130">SUBSTITUTE(H1130,B1130,"(          )")</f>
        <v>Use a sharp (          ) to cut the vegetables.</v>
      </c>
      <c r="J1130" s="9" cm="1">
        <f t="array" ref="J1130">SUMIF('외운 것 - 엑셀다운로드 파일(붙여넣기)'!A3:A562,A1130,'외운 것 - 엑셀다운로드 파일(붙여넣기)'!D3:D562)</f>
        <v>0</v>
      </c>
      <c r="K1130" s="9" cm="1">
        <f t="array" ref="K1130">_xlfn.COUNTIFS('외운 것 - 엑셀다운로드 파일(붙여넣기)'!A3:A562,A1130,'외운 것 - 엑셀다운로드 파일(붙여넣기)'!D3:D562,0)</f>
        <v>0</v>
      </c>
      <c r="L1130" s="9" cm="1">
        <f t="array" ref="L1130">IF(J1130&gt;=3,_xlfn.XLOOKUP(A1130,'외운 것 - 엑셀다운로드 파일(붙여넣기)'!A3:A562,'외운 것 - 엑셀다운로드 파일(붙여넣기)'!C3:C562,0,-1),0)</f>
        <v>0</v>
      </c>
    </row>
    <row r="1131" ht="38.45" customHeight="1">
      <c r="A1131" s="3">
        <v>1130</v>
      </c>
      <c r="B1131" t="s" s="4">
        <v>7197</v>
      </c>
      <c r="C1131" t="s" s="5">
        <v>7198</v>
      </c>
      <c r="D1131" t="s" s="5">
        <v>7199</v>
      </c>
      <c r="E1131" t="s" s="5">
        <v>7200</v>
      </c>
      <c r="F1131" t="s" s="10">
        <v>7201</v>
      </c>
      <c r="G1131" t="s" s="7">
        <v>7202</v>
      </c>
      <c r="H1131" t="s" s="7">
        <v>7203</v>
      </c>
      <c r="I1131" t="str" s="8" cm="1">
        <f t="array" ref="I1131">SUBSTITUTE(H1131,B1131,"(          )")</f>
        <v>Human (          ) is the largest organ of the body.</v>
      </c>
      <c r="J1131" s="9" cm="1">
        <f t="array" ref="J1131">SUMIF('외운 것 - 엑셀다운로드 파일(붙여넣기)'!A3:A562,A1131,'외운 것 - 엑셀다운로드 파일(붙여넣기)'!D3:D562)</f>
        <v>0</v>
      </c>
      <c r="K1131" s="9" cm="1">
        <f t="array" ref="K1131">_xlfn.COUNTIFS('외운 것 - 엑셀다운로드 파일(붙여넣기)'!A3:A562,A1131,'외운 것 - 엑셀다운로드 파일(붙여넣기)'!D3:D562,0)</f>
        <v>0</v>
      </c>
      <c r="L1131" s="9" cm="1">
        <f t="array" ref="L1131">IF(J1131&gt;=3,_xlfn.XLOOKUP(A1131,'외운 것 - 엑셀다운로드 파일(붙여넣기)'!A3:A562,'외운 것 - 엑셀다운로드 파일(붙여넣기)'!C3:C562,0,-1),0)</f>
        <v>0</v>
      </c>
    </row>
    <row r="1132" ht="23.45" customHeight="1">
      <c r="A1132" s="3">
        <v>1131</v>
      </c>
      <c r="B1132" t="s" s="4">
        <v>7205</v>
      </c>
      <c r="C1132" t="s" s="5">
        <v>7198</v>
      </c>
      <c r="D1132" t="s" s="5">
        <v>7199</v>
      </c>
      <c r="E1132" t="s" s="5">
        <v>7206</v>
      </c>
      <c r="F1132" t="s" s="10">
        <v>7207</v>
      </c>
      <c r="G1132" t="s" s="7">
        <v>7208</v>
      </c>
      <c r="H1132" t="s" s="7">
        <v>7209</v>
      </c>
      <c r="I1132" t="str" s="8" cm="1">
        <f t="array" ref="I1132">SUBSTITUTE(H1132,B1132,"(          )")</f>
        <v>They plan to (          ) in the Alps this winter.</v>
      </c>
      <c r="J1132" s="9" cm="1">
        <f t="array" ref="J1132">SUMIF('외운 것 - 엑셀다운로드 파일(붙여넣기)'!A3:A562,A1132,'외운 것 - 엑셀다운로드 파일(붙여넣기)'!D3:D562)</f>
        <v>0</v>
      </c>
      <c r="K1132" s="9" cm="1">
        <f t="array" ref="K1132">_xlfn.COUNTIFS('외운 것 - 엑셀다운로드 파일(붙여넣기)'!A3:A562,A1132,'외운 것 - 엑셀다운로드 파일(붙여넣기)'!D3:D562,0)</f>
        <v>0</v>
      </c>
      <c r="L1132" s="9" cm="1">
        <f t="array" ref="L1132">IF(J1132&gt;=3,_xlfn.XLOOKUP(A1132,'외운 것 - 엑셀다운로드 파일(붙여넣기)'!A3:A562,'외운 것 - 엑셀다운로드 파일(붙여넣기)'!C3:C562,0,-1),0)</f>
        <v>0</v>
      </c>
    </row>
    <row r="1133" ht="23.45" customHeight="1">
      <c r="A1133" s="3">
        <v>1132</v>
      </c>
      <c r="B1133" t="s" s="4">
        <v>7211</v>
      </c>
      <c r="C1133" t="s" s="5">
        <v>7212</v>
      </c>
      <c r="D1133" t="s" s="5">
        <v>7198</v>
      </c>
      <c r="E1133" t="s" s="5">
        <v>7213</v>
      </c>
      <c r="F1133" t="s" s="10">
        <v>7214</v>
      </c>
      <c r="G1133" t="s" s="7">
        <v>7215</v>
      </c>
      <c r="H1133" t="s" s="7">
        <v>7216</v>
      </c>
      <c r="I1133" t="str" s="8" cm="1">
        <f t="array" ref="I1133">SUBSTITUTE(H1133,B1133,"(          )")</f>
        <v>Playing the piano requires (          ) and practice.</v>
      </c>
      <c r="J1133" s="9" cm="1">
        <f t="array" ref="J1133">SUMIF('외운 것 - 엑셀다운로드 파일(붙여넣기)'!A3:A562,A1133,'외운 것 - 엑셀다운로드 파일(붙여넣기)'!D3:D562)</f>
        <v>0</v>
      </c>
      <c r="K1133" s="9" cm="1">
        <f t="array" ref="K1133">_xlfn.COUNTIFS('외운 것 - 엑셀다운로드 파일(붙여넣기)'!A3:A562,A1133,'외운 것 - 엑셀다운로드 파일(붙여넣기)'!D3:D562,0)</f>
        <v>0</v>
      </c>
      <c r="L1133" s="9" cm="1">
        <f t="array" ref="L1133">IF(J1133&gt;=3,_xlfn.XLOOKUP(A1133,'외운 것 - 엑셀다운로드 파일(붙여넣기)'!A3:A562,'외운 것 - 엑셀다운로드 파일(붙여넣기)'!C3:C562,0,-1),0)</f>
        <v>0</v>
      </c>
    </row>
    <row r="1134" ht="23.45" customHeight="1">
      <c r="A1134" s="3">
        <v>1133</v>
      </c>
      <c r="B1134" t="s" s="4">
        <v>7218</v>
      </c>
      <c r="C1134" t="s" s="5">
        <v>7219</v>
      </c>
      <c r="D1134" t="s" s="5">
        <v>7198</v>
      </c>
      <c r="E1134" t="s" s="5">
        <v>7220</v>
      </c>
      <c r="F1134" t="s" s="10">
        <v>7221</v>
      </c>
      <c r="G1134" t="s" s="7">
        <v>7222</v>
      </c>
      <c r="H1134" t="s" s="7">
        <v>7223</v>
      </c>
      <c r="I1134" t="str" s="8" cm="1">
        <f t="array" ref="I1134">SUBSTITUTE(H1134,B1134,"(          )")</f>
        <v>The (          ) surgeon performed the complex operation.</v>
      </c>
      <c r="J1134" s="9" cm="1">
        <f t="array" ref="J1134">SUMIF('외운 것 - 엑셀다운로드 파일(붙여넣기)'!A3:A562,A1134,'외운 것 - 엑셀다운로드 파일(붙여넣기)'!D3:D562)</f>
        <v>0</v>
      </c>
      <c r="K1134" s="9" cm="1">
        <f t="array" ref="K1134">_xlfn.COUNTIFS('외운 것 - 엑셀다운로드 파일(붙여넣기)'!A3:A562,A1134,'외운 것 - 엑셀다운로드 파일(붙여넣기)'!D3:D562,0)</f>
        <v>0</v>
      </c>
      <c r="L1134" s="9" cm="1">
        <f t="array" ref="L1134">IF(J1134&gt;=3,_xlfn.XLOOKUP(A1134,'외운 것 - 엑셀다운로드 파일(붙여넣기)'!A3:A562,'외운 것 - 엑셀다운로드 파일(붙여넣기)'!C3:C562,0,-1),0)</f>
        <v>0</v>
      </c>
    </row>
    <row r="1135" ht="23.45" customHeight="1">
      <c r="A1135" s="3">
        <v>1134</v>
      </c>
      <c r="B1135" t="s" s="4">
        <v>7225</v>
      </c>
      <c r="C1135" t="s" s="5">
        <v>7198</v>
      </c>
      <c r="D1135" t="s" s="5">
        <v>7199</v>
      </c>
      <c r="E1135" t="s" s="5">
        <v>7226</v>
      </c>
      <c r="F1135" t="s" s="10">
        <v>7227</v>
      </c>
      <c r="G1135" t="s" s="7">
        <v>7228</v>
      </c>
      <c r="H1135" t="s" s="7">
        <v>7229</v>
      </c>
      <c r="I1135" t="str" s="8" cm="1">
        <f t="array" ref="I1135">SUBSTITUTE(H1135,B1135,"(          )")</f>
        <v>The (          ) was clear and blue on the summer day.</v>
      </c>
      <c r="J1135" s="9" cm="1">
        <f t="array" ref="J1135">SUMIF('외운 것 - 엑셀다운로드 파일(붙여넣기)'!A3:A562,A1135,'외운 것 - 엑셀다운로드 파일(붙여넣기)'!D3:D562)</f>
        <v>0</v>
      </c>
      <c r="K1135" s="9" cm="1">
        <f t="array" ref="K1135">_xlfn.COUNTIFS('외운 것 - 엑셀다운로드 파일(붙여넣기)'!A3:A562,A1135,'외운 것 - 엑셀다운로드 파일(붙여넣기)'!D3:D562,0)</f>
        <v>0</v>
      </c>
      <c r="L1135" s="9" cm="1">
        <f t="array" ref="L1135">IF(J1135&gt;=3,_xlfn.XLOOKUP(A1135,'외운 것 - 엑셀다운로드 파일(붙여넣기)'!A3:A562,'외운 것 - 엑셀다운로드 파일(붙여넣기)'!C3:C562,0,-1),0)</f>
        <v>0</v>
      </c>
    </row>
    <row r="1136" ht="38.45" customHeight="1">
      <c r="A1136" s="3">
        <v>1135</v>
      </c>
      <c r="B1136" t="s" s="4">
        <v>7231</v>
      </c>
      <c r="C1136" t="s" s="5">
        <v>7212</v>
      </c>
      <c r="D1136" t="s" s="5">
        <v>7198</v>
      </c>
      <c r="E1136" t="s" s="5">
        <v>7232</v>
      </c>
      <c r="F1136" t="s" s="10">
        <v>7233</v>
      </c>
      <c r="G1136" t="s" s="7">
        <v>7234</v>
      </c>
      <c r="H1136" t="s" s="7">
        <v>7235</v>
      </c>
      <c r="I1136" t="str" s="8" cm="1">
        <f t="array" ref="I1136">SUBSTITUTE(H1136,B1136,"(          )")</f>
        <v>The stone will (          ) across the surface of the lake.</v>
      </c>
      <c r="J1136" s="9" cm="1">
        <f t="array" ref="J1136">SUMIF('외운 것 - 엑셀다운로드 파일(붙여넣기)'!A3:A562,A1136,'외운 것 - 엑셀다운로드 파일(붙여넣기)'!D3:D562)</f>
        <v>0</v>
      </c>
      <c r="K1136" s="9" cm="1">
        <f t="array" ref="K1136">_xlfn.COUNTIFS('외운 것 - 엑셀다운로드 파일(붙여넣기)'!A3:A562,A1136,'외운 것 - 엑셀다운로드 파일(붙여넣기)'!D3:D562,0)</f>
        <v>0</v>
      </c>
      <c r="L1136" s="9" cm="1">
        <f t="array" ref="L1136">IF(J1136&gt;=3,_xlfn.XLOOKUP(A1136,'외운 것 - 엑셀다운로드 파일(붙여넣기)'!A3:A562,'외운 것 - 엑셀다운로드 파일(붙여넣기)'!C3:C562,0,-1),0)</f>
        <v>0</v>
      </c>
    </row>
    <row r="1137" ht="38.45" customHeight="1">
      <c r="A1137" s="3">
        <v>1136</v>
      </c>
      <c r="B1137" t="s" s="4">
        <v>7237</v>
      </c>
      <c r="C1137" t="s" s="5">
        <v>7212</v>
      </c>
      <c r="D1137" t="s" s="5">
        <v>7198</v>
      </c>
      <c r="E1137" t="s" s="5">
        <v>7238</v>
      </c>
      <c r="F1137" t="s" s="10">
        <v>7239</v>
      </c>
      <c r="G1137" t="s" s="7">
        <v>7240</v>
      </c>
      <c r="H1137" t="s" s="7">
        <v>7241</v>
      </c>
      <c r="I1137" t="str" s="8" cm="1">
        <f t="array" ref="I1137">SUBSTITUTE(H1137,B1137,"(          )")</f>
        <v>Children (          ) down the sidewalk.</v>
      </c>
      <c r="J1137" s="9" cm="1">
        <f t="array" ref="J1137">SUMIF('외운 것 - 엑셀다운로드 파일(붙여넣기)'!A3:A562,A1137,'외운 것 - 엑셀다운로드 파일(붙여넣기)'!D3:D562)</f>
        <v>0</v>
      </c>
      <c r="K1137" s="9" cm="1">
        <f t="array" ref="K1137">_xlfn.COUNTIFS('외운 것 - 엑셀다운로드 파일(붙여넣기)'!A3:A562,A1137,'외운 것 - 엑셀다운로드 파일(붙여넣기)'!D3:D562,0)</f>
        <v>0</v>
      </c>
      <c r="L1137" s="9" cm="1">
        <f t="array" ref="L1137">IF(J1137&gt;=3,_xlfn.XLOOKUP(A1137,'외운 것 - 엑셀다운로드 파일(붙여넣기)'!A3:A562,'외운 것 - 엑셀다운로드 파일(붙여넣기)'!C3:C562,0,-1),0)</f>
        <v>0</v>
      </c>
    </row>
    <row r="1138" ht="23.45" customHeight="1">
      <c r="A1138" s="3">
        <v>1137</v>
      </c>
      <c r="B1138" t="s" s="4">
        <v>7243</v>
      </c>
      <c r="C1138" t="s" s="5">
        <v>7212</v>
      </c>
      <c r="D1138" t="s" s="5">
        <v>7198</v>
      </c>
      <c r="E1138" t="s" s="5">
        <v>7244</v>
      </c>
      <c r="F1138" t="s" s="10">
        <v>7245</v>
      </c>
      <c r="G1138" t="s" s="7">
        <v>7246</v>
      </c>
      <c r="H1138" t="s" s="7">
        <v>7247</v>
      </c>
      <c r="I1138" t="str" s="8" cm="1">
        <f t="array" ref="I1138">SUBSTITUTE(H1138,B1138,"(          )")</f>
        <v>The car began to (          ) on the icy road.</v>
      </c>
      <c r="J1138" s="9" cm="1">
        <f t="array" ref="J1138">SUMIF('외운 것 - 엑셀다운로드 파일(붙여넣기)'!A3:A562,A1138,'외운 것 - 엑셀다운로드 파일(붙여넣기)'!D3:D562)</f>
        <v>0</v>
      </c>
      <c r="K1138" s="9" cm="1">
        <f t="array" ref="K1138">_xlfn.COUNTIFS('외운 것 - 엑셀다운로드 파일(붙여넣기)'!A3:A562,A1138,'외운 것 - 엑셀다운로드 파일(붙여넣기)'!D3:D562,0)</f>
        <v>0</v>
      </c>
      <c r="L1138" s="9" cm="1">
        <f t="array" ref="L1138">IF(J1138&gt;=3,_xlfn.XLOOKUP(A1138,'외운 것 - 엑셀다운로드 파일(붙여넣기)'!A3:A562,'외운 것 - 엑셀다운로드 파일(붙여넣기)'!C3:C562,0,-1),0)</f>
        <v>0</v>
      </c>
    </row>
    <row r="1139" ht="23.45" customHeight="1">
      <c r="A1139" s="3">
        <v>1138</v>
      </c>
      <c r="B1139" t="s" s="4">
        <v>7249</v>
      </c>
      <c r="C1139" t="s" s="5">
        <v>7212</v>
      </c>
      <c r="D1139" t="s" s="5">
        <v>7198</v>
      </c>
      <c r="E1139" t="s" s="5">
        <v>7250</v>
      </c>
      <c r="F1139" t="s" s="10">
        <v>7251</v>
      </c>
      <c r="G1139" t="s" s="7">
        <v>7252</v>
      </c>
      <c r="H1139" t="s" s="7">
        <v>7253</v>
      </c>
      <c r="I1139" t="str" s="8" cm="1">
        <f t="array" ref="I1139">SUBSTITUTE(H1139,B1139,"(          )")</f>
        <v>Skim the cream off the top of the milk.</v>
      </c>
      <c r="J1139" s="9" cm="1">
        <f t="array" ref="J1139">SUMIF('외운 것 - 엑셀다운로드 파일(붙여넣기)'!A3:A562,A1139,'외운 것 - 엑셀다운로드 파일(붙여넣기)'!D3:D562)</f>
        <v>0</v>
      </c>
      <c r="K1139" s="9" cm="1">
        <f t="array" ref="K1139">_xlfn.COUNTIFS('외운 것 - 엑셀다운로드 파일(붙여넣기)'!A3:A562,A1139,'외운 것 - 엑셀다운로드 파일(붙여넣기)'!D3:D562,0)</f>
        <v>0</v>
      </c>
      <c r="L1139" s="9" cm="1">
        <f t="array" ref="L1139">IF(J1139&gt;=3,_xlfn.XLOOKUP(A1139,'외운 것 - 엑셀다운로드 파일(붙여넣기)'!A3:A562,'외운 것 - 엑셀다운로드 파일(붙여넣기)'!C3:C562,0,-1),0)</f>
        <v>0</v>
      </c>
    </row>
    <row r="1140" ht="23.45" customHeight="1">
      <c r="A1140" s="3">
        <v>1139</v>
      </c>
      <c r="B1140" t="s" s="4">
        <v>7255</v>
      </c>
      <c r="C1140" t="s" s="5">
        <v>7198</v>
      </c>
      <c r="D1140" t="s" s="5">
        <v>7199</v>
      </c>
      <c r="E1140" t="s" s="5">
        <v>7256</v>
      </c>
      <c r="F1140" t="s" s="10">
        <v>7257</v>
      </c>
      <c r="G1140" t="s" s="7">
        <v>7258</v>
      </c>
      <c r="H1140" t="s" s="7">
        <v>7259</v>
      </c>
      <c r="I1140" t="str" s="8" cm="1">
        <f t="array" ref="I1140">SUBSTITUTE(H1140,B1140,"(          )")</f>
        <v>Children (          ) on the frozen pond in winter.</v>
      </c>
      <c r="J1140" s="9" cm="1">
        <f t="array" ref="J1140">SUMIF('외운 것 - 엑셀다운로드 파일(붙여넣기)'!A3:A562,A1140,'외운 것 - 엑셀다운로드 파일(붙여넣기)'!D3:D562)</f>
        <v>0</v>
      </c>
      <c r="K1140" s="9" cm="1">
        <f t="array" ref="K1140">_xlfn.COUNTIFS('외운 것 - 엑셀다운로드 파일(붙여넣기)'!A3:A562,A1140,'외운 것 - 엑셀다운로드 파일(붙여넣기)'!D3:D562,0)</f>
        <v>0</v>
      </c>
      <c r="L1140" s="9" cm="1">
        <f t="array" ref="L1140">IF(J1140&gt;=3,_xlfn.XLOOKUP(A1140,'외운 것 - 엑셀다운로드 파일(붙여넣기)'!A3:A562,'외운 것 - 엑셀다운로드 파일(붙여넣기)'!C3:C562,0,-1),0)</f>
        <v>0</v>
      </c>
    </row>
    <row r="1141" ht="38.45" customHeight="1">
      <c r="A1141" s="3">
        <v>1140</v>
      </c>
      <c r="B1141" t="s" s="4">
        <v>7261</v>
      </c>
      <c r="C1141" t="s" s="5">
        <v>7198</v>
      </c>
      <c r="D1141" t="s" s="5">
        <v>7199</v>
      </c>
      <c r="E1141" t="s" s="5">
        <v>7262</v>
      </c>
      <c r="F1141" t="s" s="10">
        <v>7263</v>
      </c>
      <c r="G1141" t="s" s="7">
        <v>7264</v>
      </c>
      <c r="H1141" t="s" s="7">
        <v>7265</v>
      </c>
      <c r="I1141" t="str" s="8" cm="1">
        <f t="array" ref="I1141">SUBSTITUTE(H1141,B1141,"(          )")</f>
        <v>The artist made a quick (          ) of the landscape.</v>
      </c>
      <c r="J1141" s="9" cm="1">
        <f t="array" ref="J1141">SUMIF('외운 것 - 엑셀다운로드 파일(붙여넣기)'!A3:A562,A1141,'외운 것 - 엑셀다운로드 파일(붙여넣기)'!D3:D562)</f>
        <v>0</v>
      </c>
      <c r="K1141" s="9" cm="1">
        <f t="array" ref="K1141">_xlfn.COUNTIFS('외운 것 - 엑셀다운로드 파일(붙여넣기)'!A3:A562,A1141,'외운 것 - 엑셀다운로드 파일(붙여넣기)'!D3:D562,0)</f>
        <v>0</v>
      </c>
      <c r="L1141" s="9" cm="1">
        <f t="array" ref="L1141">IF(J1141&gt;=3,_xlfn.XLOOKUP(A1141,'외운 것 - 엑셀다운로드 파일(붙여넣기)'!A3:A562,'외운 것 - 엑셀다운로드 파일(붙여넣기)'!C3:C562,0,-1),0)</f>
        <v>0</v>
      </c>
    </row>
    <row r="1142" ht="38.45" customHeight="1">
      <c r="A1142" s="3">
        <v>1141</v>
      </c>
      <c r="B1142" t="s" s="4">
        <v>7267</v>
      </c>
      <c r="C1142" t="s" s="5">
        <v>7198</v>
      </c>
      <c r="D1142" t="s" s="5">
        <v>7199</v>
      </c>
      <c r="E1142" t="s" s="5">
        <v>7268</v>
      </c>
      <c r="F1142" t="s" s="10">
        <v>7269</v>
      </c>
      <c r="G1142" t="s" s="7">
        <v>7270</v>
      </c>
      <c r="H1142" t="s" s="7">
        <v>7271</v>
      </c>
      <c r="I1142" t="str" s="8" cm="1">
        <f t="array" ref="I1142">SUBSTITUTE(H1142,B1142,"(          )")</f>
        <v>She wore a long (          ) to the formal dinner.</v>
      </c>
      <c r="J1142" s="9" cm="1">
        <f t="array" ref="J1142">SUMIF('외운 것 - 엑셀다운로드 파일(붙여넣기)'!A3:A562,A1142,'외운 것 - 엑셀다운로드 파일(붙여넣기)'!D3:D562)</f>
        <v>0</v>
      </c>
      <c r="K1142" s="9" cm="1">
        <f t="array" ref="K1142">_xlfn.COUNTIFS('외운 것 - 엑셀다운로드 파일(붙여넣기)'!A3:A562,A1142,'외운 것 - 엑셀다운로드 파일(붙여넣기)'!D3:D562,0)</f>
        <v>0</v>
      </c>
      <c r="L1142" s="9" cm="1">
        <f t="array" ref="L1142">IF(J1142&gt;=3,_xlfn.XLOOKUP(A1142,'외운 것 - 엑셀다운로드 파일(붙여넣기)'!A3:A562,'외운 것 - 엑셀다운로드 파일(붙여넣기)'!C3:C562,0,-1),0)</f>
        <v>0</v>
      </c>
    </row>
    <row r="1143" ht="38.45" customHeight="1">
      <c r="A1143" s="3">
        <v>1142</v>
      </c>
      <c r="B1143" t="s" s="4">
        <v>7273</v>
      </c>
      <c r="C1143" t="s" s="5">
        <v>7274</v>
      </c>
      <c r="D1143" t="s" s="5">
        <v>7198</v>
      </c>
      <c r="E1143" t="s" s="5">
        <v>7275</v>
      </c>
      <c r="F1143" t="s" s="10">
        <v>7276</v>
      </c>
      <c r="G1143" t="s" s="7">
        <v>7277</v>
      </c>
      <c r="H1143" t="s" s="7">
        <v>7278</v>
      </c>
      <c r="I1143" t="str" s="8" cm="1">
        <f t="array" ref="I1143">SUBSTITUTE(H1143,B1143,"(          )")</f>
        <v>They live in the (          )s of the city.</v>
      </c>
      <c r="J1143" s="9" cm="1">
        <f t="array" ref="J1143">SUMIF('외운 것 - 엑셀다운로드 파일(붙여넣기)'!A3:A562,A1143,'외운 것 - 엑셀다운로드 파일(붙여넣기)'!D3:D562)</f>
        <v>0</v>
      </c>
      <c r="K1143" s="9" cm="1">
        <f t="array" ref="K1143">_xlfn.COUNTIFS('외운 것 - 엑셀다운로드 파일(붙여넣기)'!A3:A562,A1143,'외운 것 - 엑셀다운로드 파일(붙여넣기)'!D3:D562,0)</f>
        <v>0</v>
      </c>
      <c r="L1143" s="9" cm="1">
        <f t="array" ref="L1143">IF(J1143&gt;=3,_xlfn.XLOOKUP(A1143,'외운 것 - 엑셀다운로드 파일(붙여넣기)'!A3:A562,'외운 것 - 엑셀다운로드 파일(붙여넣기)'!C3:C562,0,-1),0)</f>
        <v>0</v>
      </c>
    </row>
    <row r="1144" ht="23.45" customHeight="1">
      <c r="A1144" s="3">
        <v>1143</v>
      </c>
      <c r="B1144" t="s" s="4">
        <v>7280</v>
      </c>
      <c r="C1144" t="s" s="5">
        <v>7281</v>
      </c>
      <c r="D1144" t="s" s="5">
        <v>7198</v>
      </c>
      <c r="E1144" t="s" s="5">
        <v>7282</v>
      </c>
      <c r="F1144" t="s" s="10">
        <v>7283</v>
      </c>
      <c r="G1144" t="s" s="7">
        <v>7284</v>
      </c>
      <c r="H1144" t="s" s="7">
        <v>7285</v>
      </c>
      <c r="I1144" t="str" s="8" cm="1">
        <f t="array" ref="I1144">SUBSTITUTE(H1144,B1144,"(          )")</f>
        <v>The archaeologists discovered a dinosaur (          ).</v>
      </c>
      <c r="J1144" s="9" cm="1">
        <f t="array" ref="J1144">SUMIF('외운 것 - 엑셀다운로드 파일(붙여넣기)'!A3:A562,A1144,'외운 것 - 엑셀다운로드 파일(붙여넣기)'!D3:D562)</f>
        <v>0</v>
      </c>
      <c r="K1144" s="9" cm="1">
        <f t="array" ref="K1144">_xlfn.COUNTIFS('외운 것 - 엑셀다운로드 파일(붙여넣기)'!A3:A562,A1144,'외운 것 - 엑셀다운로드 파일(붙여넣기)'!D3:D562,0)</f>
        <v>0</v>
      </c>
      <c r="L1144" s="9" cm="1">
        <f t="array" ref="L1144">IF(J1144&gt;=3,_xlfn.XLOOKUP(A1144,'외운 것 - 엑셀다운로드 파일(붙여넣기)'!A3:A562,'외운 것 - 엑셀다운로드 파일(붙여넣기)'!C3:C562,0,-1),0)</f>
        <v>0</v>
      </c>
    </row>
    <row r="1145" ht="38.45" customHeight="1">
      <c r="A1145" s="3">
        <v>1144</v>
      </c>
      <c r="B1145" t="s" s="4">
        <v>2759</v>
      </c>
      <c r="C1145" t="s" s="5">
        <v>7287</v>
      </c>
      <c r="D1145" t="s" s="5">
        <v>7198</v>
      </c>
      <c r="E1145" t="s" s="5">
        <v>2760</v>
      </c>
      <c r="F1145" t="s" s="10">
        <v>7288</v>
      </c>
      <c r="G1145" t="s" s="7">
        <v>2762</v>
      </c>
      <c r="H1145" t="s" s="7">
        <v>2763</v>
      </c>
      <c r="I1145" t="str" s="8" cm="1">
        <f t="array" ref="I1145">SUBSTITUTE(H1145,B1145,"(          )")</f>
        <v>The marble (          ) depicts a Greek goddess.</v>
      </c>
      <c r="J1145" s="9" cm="1">
        <f t="array" ref="J1145">SUMIF('외운 것 - 엑셀다운로드 파일(붙여넣기)'!A3:A562,A1145,'외운 것 - 엑셀다운로드 파일(붙여넣기)'!D3:D562)</f>
        <v>0</v>
      </c>
      <c r="K1145" s="9" cm="1">
        <f t="array" ref="K1145">_xlfn.COUNTIFS('외운 것 - 엑셀다운로드 파일(붙여넣기)'!A3:A562,A1145,'외운 것 - 엑셀다운로드 파일(붙여넣기)'!D3:D562,0)</f>
        <v>0</v>
      </c>
      <c r="L1145" s="9" cm="1">
        <f t="array" ref="L1145">IF(J1145&gt;=3,_xlfn.XLOOKUP(A1145,'외운 것 - 엑셀다운로드 파일(붙여넣기)'!A3:A562,'외운 것 - 엑셀다운로드 파일(붙여넣기)'!C3:C562,0,-1),0)</f>
        <v>0</v>
      </c>
    </row>
    <row r="1146" ht="38.45" customHeight="1">
      <c r="A1146" s="3">
        <v>1145</v>
      </c>
      <c r="B1146" t="s" s="4">
        <v>7289</v>
      </c>
      <c r="C1146" t="s" s="5">
        <v>7198</v>
      </c>
      <c r="D1146" t="s" s="5">
        <v>7199</v>
      </c>
      <c r="E1146" t="s" s="5">
        <v>7290</v>
      </c>
      <c r="F1146" t="s" s="10">
        <v>7291</v>
      </c>
      <c r="G1146" t="s" s="7">
        <v>7292</v>
      </c>
      <c r="H1146" t="s" s="7">
        <v>7293</v>
      </c>
      <c r="I1146" t="str" s="8" cm="1">
        <f t="array" ref="I1146">SUBSTITUTE(H1146,B1146,"(          )")</f>
        <v>I'm (          ) about claims without evidence.</v>
      </c>
      <c r="J1146" s="9" cm="1">
        <f t="array" ref="J1146">SUMIF('외운 것 - 엑셀다운로드 파일(붙여넣기)'!A3:A562,A1146,'외운 것 - 엑셀다운로드 파일(붙여넣기)'!D3:D562)</f>
        <v>0</v>
      </c>
      <c r="K1146" s="9" cm="1">
        <f t="array" ref="K1146">_xlfn.COUNTIFS('외운 것 - 엑셀다운로드 파일(붙여넣기)'!A3:A562,A1146,'외운 것 - 엑셀다운로드 파일(붙여넣기)'!D3:D562,0)</f>
        <v>0</v>
      </c>
      <c r="L1146" s="9" cm="1">
        <f t="array" ref="L1146">IF(J1146&gt;=3,_xlfn.XLOOKUP(A1146,'외운 것 - 엑셀다운로드 파일(붙여넣기)'!A3:A562,'외운 것 - 엑셀다운로드 파일(붙여넣기)'!C3:C562,0,-1),0)</f>
        <v>0</v>
      </c>
    </row>
    <row r="1147" ht="38.45" customHeight="1">
      <c r="A1147" s="3">
        <v>1146</v>
      </c>
      <c r="B1147" t="s" s="4">
        <v>7295</v>
      </c>
      <c r="C1147" t="s" s="5">
        <v>7296</v>
      </c>
      <c r="D1147" t="s" s="5">
        <v>7297</v>
      </c>
      <c r="E1147" t="s" s="5">
        <v>7298</v>
      </c>
      <c r="F1147" t="s" s="10">
        <v>7299</v>
      </c>
      <c r="G1147" t="s" s="7">
        <v>7300</v>
      </c>
      <c r="H1147" t="s" s="7">
        <v>7301</v>
      </c>
      <c r="I1147" t="str" s="8" cm="1">
        <f t="array" ref="I1147">SUBSTITUTE(H1147,B1147,"(          )")</f>
        <v>Hard (          ) built the ancient pyramids.</v>
      </c>
      <c r="J1147" s="9" cm="1">
        <f t="array" ref="J1147">SUMIF('외운 것 - 엑셀다운로드 파일(붙여넣기)'!A3:A562,A1147,'외운 것 - 엑셀다운로드 파일(붙여넣기)'!D3:D562)</f>
        <v>0</v>
      </c>
      <c r="K1147" s="9" cm="1">
        <f t="array" ref="K1147">_xlfn.COUNTIFS('외운 것 - 엑셀다운로드 파일(붙여넣기)'!A3:A562,A1147,'외운 것 - 엑셀다운로드 파일(붙여넣기)'!D3:D562,0)</f>
        <v>0</v>
      </c>
      <c r="L1147" s="9" cm="1">
        <f t="array" ref="L1147">IF(J1147&gt;=3,_xlfn.XLOOKUP(A1147,'외운 것 - 엑셀다운로드 파일(붙여넣기)'!A3:A562,'외운 것 - 엑셀다운로드 파일(붙여넣기)'!C3:C562,0,-1),0)</f>
        <v>0</v>
      </c>
    </row>
    <row r="1148" ht="23.45" customHeight="1">
      <c r="A1148" s="3">
        <v>1147</v>
      </c>
      <c r="B1148" t="s" s="4">
        <v>7303</v>
      </c>
      <c r="C1148" t="s" s="5">
        <v>7295</v>
      </c>
      <c r="D1148" t="s" s="5">
        <v>7297</v>
      </c>
      <c r="E1148" t="s" s="5">
        <v>7304</v>
      </c>
      <c r="F1148" t="s" s="10">
        <v>7305</v>
      </c>
      <c r="G1148" t="s" s="7">
        <v>7306</v>
      </c>
      <c r="H1148" t="s" s="7">
        <v>7307</v>
      </c>
      <c r="I1148" t="str" s="8" cm="1">
        <f t="array" ref="I1148">SUBSTITUTE(H1148,B1148,"(          )")</f>
        <v>Scientists conduct experiments in the (          ).</v>
      </c>
      <c r="J1148" s="9" cm="1">
        <f t="array" ref="J1148">SUMIF('외운 것 - 엑셀다운로드 파일(붙여넣기)'!A3:A562,A1148,'외운 것 - 엑셀다운로드 파일(붙여넣기)'!D3:D562)</f>
        <v>0</v>
      </c>
      <c r="K1148" s="9" cm="1">
        <f t="array" ref="K1148">_xlfn.COUNTIFS('외운 것 - 엑셀다운로드 파일(붙여넣기)'!A3:A562,A1148,'외운 것 - 엑셀다운로드 파일(붙여넣기)'!D3:D562,0)</f>
        <v>0</v>
      </c>
      <c r="L1148" s="9" cm="1">
        <f t="array" ref="L1148">IF(J1148&gt;=3,_xlfn.XLOOKUP(A1148,'외운 것 - 엑셀다운로드 파일(붙여넣기)'!A3:A562,'외운 것 - 엑셀다운로드 파일(붙여넣기)'!C3:C562,0,-1),0)</f>
        <v>0</v>
      </c>
    </row>
    <row r="1149" ht="23.45" customHeight="1">
      <c r="A1149" s="3">
        <v>1148</v>
      </c>
      <c r="B1149" t="s" s="4">
        <v>7309</v>
      </c>
      <c r="C1149" t="s" s="5">
        <v>7295</v>
      </c>
      <c r="D1149" t="s" s="5">
        <v>7297</v>
      </c>
      <c r="E1149" t="s" s="5">
        <v>7310</v>
      </c>
      <c r="F1149" t="s" s="10">
        <v>7311</v>
      </c>
      <c r="G1149" t="s" s="7">
        <v>7312</v>
      </c>
      <c r="H1149" t="s" s="7">
        <v>7313</v>
      </c>
      <c r="I1149" t="str" s="8" cm="1">
        <f t="array" ref="I1149">SUBSTITUTE(H1149,B1149,"(          )")</f>
        <v>Translating the ancient text was (          ) work.</v>
      </c>
      <c r="J1149" s="9" cm="1">
        <f t="array" ref="J1149">SUMIF('외운 것 - 엑셀다운로드 파일(붙여넣기)'!A3:A562,A1149,'외운 것 - 엑셀다운로드 파일(붙여넣기)'!D3:D562)</f>
        <v>0</v>
      </c>
      <c r="K1149" s="9" cm="1">
        <f t="array" ref="K1149">_xlfn.COUNTIFS('외운 것 - 엑셀다운로드 파일(붙여넣기)'!A3:A562,A1149,'외운 것 - 엑셀다운로드 파일(붙여넣기)'!D3:D562,0)</f>
        <v>0</v>
      </c>
      <c r="L1149" s="9" cm="1">
        <f t="array" ref="L1149">IF(J1149&gt;=3,_xlfn.XLOOKUP(A1149,'외운 것 - 엑셀다운로드 파일(붙여넣기)'!A3:A562,'외운 것 - 엑셀다운로드 파일(붙여넣기)'!C3:C562,0,-1),0)</f>
        <v>0</v>
      </c>
    </row>
    <row r="1150" ht="38.45" customHeight="1">
      <c r="A1150" s="3">
        <v>1149</v>
      </c>
      <c r="B1150" t="s" s="4">
        <v>7315</v>
      </c>
      <c r="C1150" t="s" s="5">
        <v>7295</v>
      </c>
      <c r="D1150" t="s" s="5">
        <v>7297</v>
      </c>
      <c r="E1150" t="s" s="5">
        <v>7316</v>
      </c>
      <c r="F1150" t="s" s="10">
        <v>7317</v>
      </c>
      <c r="G1150" t="s" s="7">
        <v>7318</v>
      </c>
      <c r="H1150" t="s" s="7">
        <v>7319</v>
      </c>
      <c r="I1150" t="str" s="8" cm="1">
        <f t="array" ref="I1150">SUBSTITUTE(H1150,B1150,"(          )")</f>
        <v>She gave an (          ) explanation of the process.</v>
      </c>
      <c r="J1150" s="9" cm="1">
        <f t="array" ref="J1150">SUMIF('외운 것 - 엑셀다운로드 파일(붙여넣기)'!A3:A562,A1150,'외운 것 - 엑셀다운로드 파일(붙여넣기)'!D3:D562)</f>
        <v>0</v>
      </c>
      <c r="K1150" s="9" cm="1">
        <f t="array" ref="K1150">_xlfn.COUNTIFS('외운 것 - 엑셀다운로드 파일(붙여넣기)'!A3:A562,A1150,'외운 것 - 엑셀다운로드 파일(붙여넣기)'!D3:D562,0)</f>
        <v>0</v>
      </c>
      <c r="L1150" s="9" cm="1">
        <f t="array" ref="L1150">IF(J1150&gt;=3,_xlfn.XLOOKUP(A1150,'외운 것 - 엑셀다운로드 파일(붙여넣기)'!A3:A562,'외운 것 - 엑셀다운로드 파일(붙여넣기)'!C3:C562,0,-1),0)</f>
        <v>0</v>
      </c>
    </row>
    <row r="1151" ht="38.45" customHeight="1">
      <c r="A1151" s="3">
        <v>1150</v>
      </c>
      <c r="B1151" t="s" s="4">
        <v>7321</v>
      </c>
      <c r="C1151" t="s" s="5">
        <v>7295</v>
      </c>
      <c r="D1151" t="s" s="5">
        <v>7297</v>
      </c>
      <c r="E1151" t="s" s="5">
        <v>7322</v>
      </c>
      <c r="F1151" t="s" s="10">
        <v>7323</v>
      </c>
      <c r="G1151" t="s" s="7">
        <v>7324</v>
      </c>
      <c r="H1151" t="s" s="7">
        <v>7325</v>
      </c>
      <c r="I1151" t="str" s="8" cm="1">
        <f t="array" ref="I1151">SUBSTITUTE(H1151,B1151,"(          )")</f>
        <v>The two companies (          ) on environmental projects.</v>
      </c>
      <c r="J1151" s="9" cm="1">
        <f t="array" ref="J1151">SUMIF('외운 것 - 엑셀다운로드 파일(붙여넣기)'!A3:A562,A1151,'외운 것 - 엑셀다운로드 파일(붙여넣기)'!D3:D562)</f>
        <v>0</v>
      </c>
      <c r="K1151" s="9" cm="1">
        <f t="array" ref="K1151">_xlfn.COUNTIFS('외운 것 - 엑셀다운로드 파일(붙여넣기)'!A3:A562,A1151,'외운 것 - 엑셀다운로드 파일(붙여넣기)'!D3:D562,0)</f>
        <v>0</v>
      </c>
      <c r="L1151" s="9" cm="1">
        <f t="array" ref="L1151">IF(J1151&gt;=3,_xlfn.XLOOKUP(A1151,'외운 것 - 엑셀다운로드 파일(붙여넣기)'!A3:A562,'외운 것 - 엑셀다운로드 파일(붙여넣기)'!C3:C562,0,-1),0)</f>
        <v>0</v>
      </c>
    </row>
    <row r="1152" ht="36.4" customHeight="1">
      <c r="A1152" s="3">
        <v>1151</v>
      </c>
      <c r="B1152" t="s" s="4">
        <v>7327</v>
      </c>
      <c r="C1152" t="s" s="5">
        <v>7328</v>
      </c>
      <c r="D1152" t="s" s="5">
        <v>7295</v>
      </c>
      <c r="E1152" t="s" s="5">
        <v>7329</v>
      </c>
      <c r="F1152" t="s" s="10">
        <v>7330</v>
      </c>
      <c r="G1152" t="s" s="7">
        <v>7331</v>
      </c>
      <c r="H1152" t="s" s="7">
        <v>7332</v>
      </c>
      <c r="I1152" t="str" s="8" cm="1">
        <f t="array" ref="I1152">SUBSTITUTE(H1152,B1152,"(          )")</f>
        <v>Their (          ) resulted in an innovative product.</v>
      </c>
      <c r="J1152" s="9" cm="1">
        <f t="array" ref="J1152">SUMIF('외운 것 - 엑셀다운로드 파일(붙여넣기)'!A3:A562,A1152,'외운 것 - 엑셀다운로드 파일(붙여넣기)'!D3:D562)</f>
        <v>0</v>
      </c>
      <c r="K1152" s="9" cm="1">
        <f t="array" ref="K1152">_xlfn.COUNTIFS('외운 것 - 엑셀다운로드 파일(붙여넣기)'!A3:A562,A1152,'외운 것 - 엑셀다운로드 파일(붙여넣기)'!D3:D562,0)</f>
        <v>0</v>
      </c>
      <c r="L1152" s="9" cm="1">
        <f t="array" ref="L1152">IF(J1152&gt;=3,_xlfn.XLOOKUP(A1152,'외운 것 - 엑셀다운로드 파일(붙여넣기)'!A3:A562,'외운 것 - 엑셀다운로드 파일(붙여넣기)'!C3:C562,0,-1),0)</f>
        <v>0</v>
      </c>
    </row>
    <row r="1153" ht="23.45" customHeight="1">
      <c r="A1153" s="3">
        <v>1152</v>
      </c>
      <c r="B1153" t="s" s="4">
        <v>7334</v>
      </c>
      <c r="C1153" t="s" s="5">
        <v>7335</v>
      </c>
      <c r="D1153" t="s" s="5">
        <v>7336</v>
      </c>
      <c r="E1153" t="s" s="5">
        <v>7337</v>
      </c>
      <c r="F1153" t="s" s="10">
        <v>7338</v>
      </c>
      <c r="G1153" t="s" s="7">
        <v>7339</v>
      </c>
      <c r="H1153" t="s" s="7">
        <v>7340</v>
      </c>
      <c r="I1153" t="str" s="8" cm="1">
        <f t="array" ref="I1153">SUBSTITUTE(H1153,B1153,"(          )")</f>
        <v>Apple's (          ) is recognized worldwide.</v>
      </c>
      <c r="J1153" s="9" cm="1">
        <f t="array" ref="J1153">SUMIF('외운 것 - 엑셀다운로드 파일(붙여넣기)'!A3:A562,A1153,'외운 것 - 엑셀다운로드 파일(붙여넣기)'!D3:D562)</f>
        <v>0</v>
      </c>
      <c r="K1153" s="9" cm="1">
        <f t="array" ref="K1153">_xlfn.COUNTIFS('외운 것 - 엑셀다운로드 파일(붙여넣기)'!A3:A562,A1153,'외운 것 - 엑셀다운로드 파일(붙여넣기)'!D3:D562,0)</f>
        <v>0</v>
      </c>
      <c r="L1153" s="9" cm="1">
        <f t="array" ref="L1153">IF(J1153&gt;=3,_xlfn.XLOOKUP(A1153,'외운 것 - 엑셀다운로드 파일(붙여넣기)'!A3:A562,'외운 것 - 엑셀다운로드 파일(붙여넣기)'!C3:C562,0,-1),0)</f>
        <v>0</v>
      </c>
    </row>
    <row r="1154" ht="23.45" customHeight="1">
      <c r="A1154" s="3">
        <v>1153</v>
      </c>
      <c r="B1154" t="s" s="4">
        <v>7342</v>
      </c>
      <c r="C1154" t="s" s="5">
        <v>7335</v>
      </c>
      <c r="D1154" t="s" s="5">
        <v>7336</v>
      </c>
      <c r="E1154" t="s" s="5">
        <v>7343</v>
      </c>
      <c r="F1154" t="s" s="10">
        <v>7344</v>
      </c>
      <c r="G1154" t="s" s="7">
        <v>7345</v>
      </c>
      <c r="H1154" t="s" s="7">
        <v>7346</v>
      </c>
      <c r="I1154" t="str" s="8" cm="1">
        <f t="array" ref="I1154">SUBSTITUTE(H1154,B1154,"(          )")</f>
        <v>His argument lacked (          ) and evidence.</v>
      </c>
      <c r="J1154" s="9" cm="1">
        <f t="array" ref="J1154">SUMIF('외운 것 - 엑셀다운로드 파일(붙여넣기)'!A3:A562,A1154,'외운 것 - 엑셀다운로드 파일(붙여넣기)'!D3:D562)</f>
        <v>0</v>
      </c>
      <c r="K1154" s="9" cm="1">
        <f t="array" ref="K1154">_xlfn.COUNTIFS('외운 것 - 엑셀다운로드 파일(붙여넣기)'!A3:A562,A1154,'외운 것 - 엑셀다운로드 파일(붙여넣기)'!D3:D562,0)</f>
        <v>0</v>
      </c>
      <c r="L1154" s="9" cm="1">
        <f t="array" ref="L1154">IF(J1154&gt;=3,_xlfn.XLOOKUP(A1154,'외운 것 - 엑셀다운로드 파일(붙여넣기)'!A3:A562,'외운 것 - 엑셀다운로드 파일(붙여넣기)'!C3:C562,0,-1),0)</f>
        <v>0</v>
      </c>
    </row>
    <row r="1155" ht="38.45" customHeight="1">
      <c r="A1155" s="3">
        <v>1154</v>
      </c>
      <c r="B1155" t="s" s="4">
        <v>7348</v>
      </c>
      <c r="C1155" t="s" s="5">
        <v>7335</v>
      </c>
      <c r="D1155" t="s" s="5">
        <v>7336</v>
      </c>
      <c r="E1155" t="s" s="5">
        <v>7349</v>
      </c>
      <c r="F1155" t="s" s="10">
        <v>7350</v>
      </c>
      <c r="G1155" t="s" s="7">
        <v>7351</v>
      </c>
      <c r="H1155" t="s" s="7">
        <v>7352</v>
      </c>
      <c r="I1155" t="str" s="8" cm="1">
        <f t="array" ref="I1155">SUBSTITUTE(H1155,B1155,"(          )")</f>
        <v>He offered an (          ) for his rude behavior.</v>
      </c>
      <c r="J1155" s="9" cm="1">
        <f t="array" ref="J1155">SUMIF('외운 것 - 엑셀다운로드 파일(붙여넣기)'!A3:A562,A1155,'외운 것 - 엑셀다운로드 파일(붙여넣기)'!D3:D562)</f>
        <v>0</v>
      </c>
      <c r="K1155" s="9" cm="1">
        <f t="array" ref="K1155">_xlfn.COUNTIFS('외운 것 - 엑셀다운로드 파일(붙여넣기)'!A3:A562,A1155,'외운 것 - 엑셀다운로드 파일(붙여넣기)'!D3:D562,0)</f>
        <v>0</v>
      </c>
      <c r="L1155" s="9" cm="1">
        <f t="array" ref="L1155">IF(J1155&gt;=3,_xlfn.XLOOKUP(A1155,'외운 것 - 엑셀다운로드 파일(붙여넣기)'!A3:A562,'외운 것 - 엑셀다운로드 파일(붙여넣기)'!C3:C562,0,-1),0)</f>
        <v>0</v>
      </c>
    </row>
    <row r="1156" ht="23.45" customHeight="1">
      <c r="A1156" s="3">
        <v>1155</v>
      </c>
      <c r="B1156" t="s" s="4">
        <v>7354</v>
      </c>
      <c r="C1156" t="s" s="5">
        <v>7335</v>
      </c>
      <c r="D1156" t="s" s="5">
        <v>7336</v>
      </c>
      <c r="E1156" t="s" s="5">
        <v>7355</v>
      </c>
      <c r="F1156" t="s" s="10">
        <v>7356</v>
      </c>
      <c r="G1156" t="s" s="7">
        <v>7357</v>
      </c>
      <c r="H1156" t="s" s="7">
        <v>7358</v>
      </c>
      <c r="I1156" t="str" s="8" cm="1">
        <f t="array" ref="I1156">SUBSTITUTE(H1156,B1156,"(          )")</f>
        <v>The actor performed a dramatic (          ).</v>
      </c>
      <c r="J1156" s="9" cm="1">
        <f t="array" ref="J1156">SUMIF('외운 것 - 엑셀다운로드 파일(붙여넣기)'!A3:A562,A1156,'외운 것 - 엑셀다운로드 파일(붙여넣기)'!D3:D562)</f>
        <v>0</v>
      </c>
      <c r="K1156" s="9" cm="1">
        <f t="array" ref="K1156">_xlfn.COUNTIFS('외운 것 - 엑셀다운로드 파일(붙여넣기)'!A3:A562,A1156,'외운 것 - 엑셀다운로드 파일(붙여넣기)'!D3:D562,0)</f>
        <v>0</v>
      </c>
      <c r="L1156" s="9" cm="1">
        <f t="array" ref="L1156">IF(J1156&gt;=3,_xlfn.XLOOKUP(A1156,'외운 것 - 엑셀다운로드 파일(붙여넣기)'!A3:A562,'외운 것 - 엑셀다운로드 파일(붙여넣기)'!C3:C562,0,-1),0)</f>
        <v>0</v>
      </c>
    </row>
    <row r="1157" ht="38.45" customHeight="1">
      <c r="A1157" s="3">
        <v>1156</v>
      </c>
      <c r="B1157" t="s" s="4">
        <v>3639</v>
      </c>
      <c r="C1157" t="s" s="5">
        <v>7360</v>
      </c>
      <c r="D1157" t="s" s="5">
        <v>7336</v>
      </c>
      <c r="E1157" t="s" s="5">
        <v>3642</v>
      </c>
      <c r="F1157" t="s" s="10">
        <v>7361</v>
      </c>
      <c r="G1157" t="s" s="7">
        <v>7362</v>
      </c>
      <c r="H1157" t="s" s="7">
        <v>3645</v>
      </c>
      <c r="I1157" t="str" s="8" cm="1">
        <f t="array" ref="I1157">SUBSTITUTE(H1157,B1157,"(          )")</f>
        <v>The (          ) between the characters reveals their relationship.</v>
      </c>
      <c r="J1157" s="9" cm="1">
        <f t="array" ref="J1157">SUMIF('외운 것 - 엑셀다운로드 파일(붙여넣기)'!A3:A562,A1157,'외운 것 - 엑셀다운로드 파일(붙여넣기)'!D3:D562)</f>
        <v>0</v>
      </c>
      <c r="K1157" s="9" cm="1">
        <f t="array" ref="K1157">_xlfn.COUNTIFS('외운 것 - 엑셀다운로드 파일(붙여넣기)'!A3:A562,A1157,'외운 것 - 엑셀다운로드 파일(붙여넣기)'!D3:D562,0)</f>
        <v>0</v>
      </c>
      <c r="L1157" s="9" cm="1">
        <f t="array" ref="L1157">IF(J1157&gt;=3,_xlfn.XLOOKUP(A1157,'외운 것 - 엑셀다운로드 파일(붙여넣기)'!A3:A562,'외운 것 - 엑셀다운로드 파일(붙여넣기)'!C3:C562,0,-1),0)</f>
        <v>0</v>
      </c>
    </row>
    <row r="1158" ht="38.45" customHeight="1">
      <c r="A1158" s="3">
        <v>1157</v>
      </c>
      <c r="B1158" t="s" s="4">
        <v>7363</v>
      </c>
      <c r="C1158" t="s" s="5">
        <v>7360</v>
      </c>
      <c r="D1158" t="s" s="5">
        <v>7336</v>
      </c>
      <c r="E1158" t="s" s="5">
        <v>7364</v>
      </c>
      <c r="F1158" t="s" s="10">
        <v>7365</v>
      </c>
      <c r="G1158" t="s" s="7">
        <v>7366</v>
      </c>
      <c r="H1158" t="s" s="7">
        <v>7367</v>
      </c>
      <c r="I1158" t="str" s="8" cm="1">
        <f t="array" ref="I1158">SUBSTITUTE(H1158,B1158,"(          )")</f>
        <v>The library (          ) lists all available books.</v>
      </c>
      <c r="J1158" s="9" cm="1">
        <f t="array" ref="J1158">SUMIF('외운 것 - 엑셀다운로드 파일(붙여넣기)'!A3:A562,A1158,'외운 것 - 엑셀다운로드 파일(붙여넣기)'!D3:D562)</f>
        <v>0</v>
      </c>
      <c r="K1158" s="9" cm="1">
        <f t="array" ref="K1158">_xlfn.COUNTIFS('외운 것 - 엑셀다운로드 파일(붙여넣기)'!A3:A562,A1158,'외운 것 - 엑셀다운로드 파일(붙여넣기)'!D3:D562,0)</f>
        <v>0</v>
      </c>
      <c r="L1158" s="9" cm="1">
        <f t="array" ref="L1158">IF(J1158&gt;=3,_xlfn.XLOOKUP(A1158,'외운 것 - 엑셀다운로드 파일(붙여넣기)'!A3:A562,'외운 것 - 엑셀다운로드 파일(붙여넣기)'!C3:C562,0,-1),0)</f>
        <v>0</v>
      </c>
    </row>
    <row r="1159" ht="38.45" customHeight="1">
      <c r="A1159" s="3">
        <v>1158</v>
      </c>
      <c r="B1159" t="s" s="4">
        <v>7369</v>
      </c>
      <c r="C1159" t="s" s="5">
        <v>7360</v>
      </c>
      <c r="D1159" t="s" s="5">
        <v>7336</v>
      </c>
      <c r="E1159" t="s" s="5">
        <v>7370</v>
      </c>
      <c r="F1159" t="s" s="10">
        <v>7371</v>
      </c>
      <c r="G1159" t="s" s="7">
        <v>7372</v>
      </c>
      <c r="H1159" t="s" s="7">
        <v>7373</v>
      </c>
      <c r="I1159" t="str" s="8" cm="1">
        <f t="array" ref="I1159">SUBSTITUTE(H1159,B1159,"(          )")</f>
        <v>The (          ) reveals what happened to the characters later.</v>
      </c>
      <c r="J1159" s="9" cm="1">
        <f t="array" ref="J1159">SUMIF('외운 것 - 엑셀다운로드 파일(붙여넣기)'!A3:A562,A1159,'외운 것 - 엑셀다운로드 파일(붙여넣기)'!D3:D562)</f>
        <v>0</v>
      </c>
      <c r="K1159" s="9" cm="1">
        <f t="array" ref="K1159">_xlfn.COUNTIFS('외운 것 - 엑셀다운로드 파일(붙여넣기)'!A3:A562,A1159,'외운 것 - 엑셀다운로드 파일(붙여넣기)'!D3:D562,0)</f>
        <v>0</v>
      </c>
      <c r="L1159" s="9" cm="1">
        <f t="array" ref="L1159">IF(J1159&gt;=3,_xlfn.XLOOKUP(A1159,'외운 것 - 엑셀다운로드 파일(붙여넣기)'!A3:A562,'외운 것 - 엑셀다운로드 파일(붙여넣기)'!C3:C562,0,-1),0)</f>
        <v>0</v>
      </c>
    </row>
    <row r="1160" ht="23.45" customHeight="1">
      <c r="A1160" s="3">
        <v>1159</v>
      </c>
      <c r="B1160" t="s" s="4">
        <v>409</v>
      </c>
      <c r="C1160" t="s" s="5">
        <v>7375</v>
      </c>
      <c r="D1160" t="s" s="5">
        <v>7376</v>
      </c>
      <c r="E1160" t="s" s="5">
        <v>412</v>
      </c>
      <c r="F1160" t="s" s="10">
        <v>7377</v>
      </c>
      <c r="G1160" t="s" s="7">
        <v>414</v>
      </c>
      <c r="H1160" t="s" s="7">
        <v>415</v>
      </c>
      <c r="I1160" t="str" s="8" cm="1">
        <f t="array" ref="I1160">SUBSTITUTE(H1160,B1160,"(          )")</f>
        <v>She studies (          ) at the university.</v>
      </c>
      <c r="J1160" s="9" cm="1">
        <f t="array" ref="J1160">SUMIF('외운 것 - 엑셀다운로드 파일(붙여넣기)'!A3:A562,A1160,'외운 것 - 엑셀다운로드 파일(붙여넣기)'!D3:D562)</f>
        <v>0</v>
      </c>
      <c r="K1160" s="9" cm="1">
        <f t="array" ref="K1160">_xlfn.COUNTIFS('외운 것 - 엑셀다운로드 파일(붙여넣기)'!A3:A562,A1160,'외운 것 - 엑셀다운로드 파일(붙여넣기)'!D3:D562,0)</f>
        <v>0</v>
      </c>
      <c r="L1160" s="9" cm="1">
        <f t="array" ref="L1160">IF(J1160&gt;=3,_xlfn.XLOOKUP(A1160,'외운 것 - 엑셀다운로드 파일(붙여넣기)'!A3:A562,'외운 것 - 엑셀다운로드 파일(붙여넣기)'!C3:C562,0,-1),0)</f>
        <v>0</v>
      </c>
    </row>
    <row r="1161" ht="38.45" customHeight="1">
      <c r="A1161" s="3">
        <v>1160</v>
      </c>
      <c r="B1161" t="s" s="4">
        <v>7378</v>
      </c>
      <c r="C1161" t="s" s="5">
        <v>7375</v>
      </c>
      <c r="D1161" t="s" s="5">
        <v>7376</v>
      </c>
      <c r="E1161" t="s" s="5">
        <v>7379</v>
      </c>
      <c r="F1161" t="s" s="10">
        <v>7380</v>
      </c>
      <c r="G1161" t="s" s="7">
        <v>7381</v>
      </c>
      <c r="H1161" t="s" s="7">
        <v>7382</v>
      </c>
      <c r="I1161" t="str" s="8" cm="1">
        <f t="array" ref="I1161">SUBSTITUTE(H1161,B1161,"(          )")</f>
        <v>Ecology studies how organisms interact with their environment.</v>
      </c>
      <c r="J1161" s="9" cm="1">
        <f t="array" ref="J1161">SUMIF('외운 것 - 엑셀다운로드 파일(붙여넣기)'!A3:A562,A1161,'외운 것 - 엑셀다운로드 파일(붙여넣기)'!D3:D562)</f>
        <v>0</v>
      </c>
      <c r="K1161" s="9" cm="1">
        <f t="array" ref="K1161">_xlfn.COUNTIFS('외운 것 - 엑셀다운로드 파일(붙여넣기)'!A3:A562,A1161,'외운 것 - 엑셀다운로드 파일(붙여넣기)'!D3:D562,0)</f>
        <v>0</v>
      </c>
      <c r="L1161" s="9" cm="1">
        <f t="array" ref="L1161">IF(J1161&gt;=3,_xlfn.XLOOKUP(A1161,'외운 것 - 엑셀다운로드 파일(붙여넣기)'!A3:A562,'외운 것 - 엑셀다운로드 파일(붙여넣기)'!C3:C562,0,-1),0)</f>
        <v>0</v>
      </c>
    </row>
    <row r="1162" ht="23.45" customHeight="1">
      <c r="A1162" s="3">
        <v>1161</v>
      </c>
      <c r="B1162" t="s" s="4">
        <v>7384</v>
      </c>
      <c r="C1162" t="s" s="5">
        <v>7375</v>
      </c>
      <c r="D1162" t="s" s="5">
        <v>7376</v>
      </c>
      <c r="E1162" t="s" s="5">
        <v>7385</v>
      </c>
      <c r="F1162" t="s" s="10">
        <v>7386</v>
      </c>
      <c r="G1162" t="s" s="7">
        <v>7387</v>
      </c>
      <c r="H1162" t="s" s="7">
        <v>7388</v>
      </c>
      <c r="I1162" t="str" s="8" cm="1">
        <f t="array" ref="I1162">SUBSTITUTE(H1162,B1162,"(          )")</f>
        <v>Zoology is the scientific study of animals.</v>
      </c>
      <c r="J1162" s="9" cm="1">
        <f t="array" ref="J1162">SUMIF('외운 것 - 엑셀다운로드 파일(붙여넣기)'!A3:A562,A1162,'외운 것 - 엑셀다운로드 파일(붙여넣기)'!D3:D562)</f>
        <v>0</v>
      </c>
      <c r="K1162" s="9" cm="1">
        <f t="array" ref="K1162">_xlfn.COUNTIFS('외운 것 - 엑셀다운로드 파일(붙여넣기)'!A3:A562,A1162,'외운 것 - 엑셀다운로드 파일(붙여넣기)'!D3:D562,0)</f>
        <v>0</v>
      </c>
      <c r="L1162" s="9" cm="1">
        <f t="array" ref="L1162">IF(J1162&gt;=3,_xlfn.XLOOKUP(A1162,'외운 것 - 엑셀다운로드 파일(붙여넣기)'!A3:A562,'외운 것 - 엑셀다운로드 파일(붙여넣기)'!C3:C562,0,-1),0)</f>
        <v>0</v>
      </c>
    </row>
    <row r="1163" ht="23.45" customHeight="1">
      <c r="A1163" s="3">
        <v>1162</v>
      </c>
      <c r="B1163" t="s" s="4">
        <v>7390</v>
      </c>
      <c r="C1163" t="s" s="5">
        <v>7375</v>
      </c>
      <c r="D1163" t="s" s="5">
        <v>7376</v>
      </c>
      <c r="E1163" t="s" s="5">
        <v>7391</v>
      </c>
      <c r="F1163" t="s" s="10">
        <v>7392</v>
      </c>
      <c r="G1163" t="s" s="7">
        <v>7393</v>
      </c>
      <c r="H1163" t="s" s="7">
        <v>7394</v>
      </c>
      <c r="I1163" t="str" s="8" cm="1">
        <f t="array" ref="I1163">SUBSTITUTE(H1163,B1163,"(          )")</f>
        <v>Psychology helps us understand human behavior.</v>
      </c>
      <c r="J1163" s="9" cm="1">
        <f t="array" ref="J1163">SUMIF('외운 것 - 엑셀다운로드 파일(붙여넣기)'!A3:A562,A1163,'외운 것 - 엑셀다운로드 파일(붙여넣기)'!D3:D562)</f>
        <v>0</v>
      </c>
      <c r="K1163" s="9" cm="1">
        <f t="array" ref="K1163">_xlfn.COUNTIFS('외운 것 - 엑셀다운로드 파일(붙여넣기)'!A3:A562,A1163,'외운 것 - 엑셀다운로드 파일(붙여넣기)'!D3:D562,0)</f>
        <v>0</v>
      </c>
      <c r="L1163" s="9" cm="1">
        <f t="array" ref="L1163">IF(J1163&gt;=3,_xlfn.XLOOKUP(A1163,'외운 것 - 엑셀다운로드 파일(붙여넣기)'!A3:A562,'외운 것 - 엑셀다운로드 파일(붙여넣기)'!C3:C562,0,-1),0)</f>
        <v>0</v>
      </c>
    </row>
    <row r="1164" ht="23.45" customHeight="1">
      <c r="A1164" s="3">
        <v>1163</v>
      </c>
      <c r="B1164" t="s" s="4">
        <v>7396</v>
      </c>
      <c r="C1164" t="s" s="5">
        <v>7397</v>
      </c>
      <c r="D1164" t="s" s="5">
        <v>7398</v>
      </c>
      <c r="E1164" t="s" s="5">
        <v>7399</v>
      </c>
      <c r="F1164" t="s" s="10">
        <v>7400</v>
      </c>
      <c r="G1164" t="s" s="7">
        <v>7401</v>
      </c>
      <c r="H1164" t="s" s="7">
        <v>7402</v>
      </c>
      <c r="I1164" t="str" s="8" cm="1">
        <f t="array" ref="I1164">SUBSTITUTE(H1164,B1164,"(          )")</f>
        <v>English is an international (          ).</v>
      </c>
      <c r="J1164" s="9" cm="1">
        <f t="array" ref="J1164">SUMIF('외운 것 - 엑셀다운로드 파일(붙여넣기)'!A3:A562,A1164,'외운 것 - 엑셀다운로드 파일(붙여넣기)'!D3:D562)</f>
        <v>0</v>
      </c>
      <c r="K1164" s="9" cm="1">
        <f t="array" ref="K1164">_xlfn.COUNTIFS('외운 것 - 엑셀다운로드 파일(붙여넣기)'!A3:A562,A1164,'외운 것 - 엑셀다운로드 파일(붙여넣기)'!D3:D562,0)</f>
        <v>0</v>
      </c>
      <c r="L1164" s="9" cm="1">
        <f t="array" ref="L1164">IF(J1164&gt;=3,_xlfn.XLOOKUP(A1164,'외운 것 - 엑셀다운로드 파일(붙여넣기)'!A3:A562,'외운 것 - 엑셀다운로드 파일(붙여넣기)'!C3:C562,0,-1),0)</f>
        <v>0</v>
      </c>
    </row>
    <row r="1165" ht="50.45" customHeight="1">
      <c r="A1165" s="3">
        <v>1164</v>
      </c>
      <c r="B1165" t="s" s="4">
        <v>7404</v>
      </c>
      <c r="C1165" t="s" s="5">
        <v>7405</v>
      </c>
      <c r="D1165" t="s" s="5">
        <v>7397</v>
      </c>
      <c r="E1165" t="s" s="5">
        <v>7406</v>
      </c>
      <c r="F1165" t="s" s="10">
        <v>7407</v>
      </c>
      <c r="G1165" t="s" s="7">
        <v>7408</v>
      </c>
      <c r="H1165" t="s" s="7">
        <v>7409</v>
      </c>
      <c r="I1165" t="str" s="8" cm="1">
        <f t="array" ref="I1165">SUBSTITUTE(H1165,B1165,"(          )")</f>
        <v>Teenagers often use (          ) that adults don't understand.</v>
      </c>
      <c r="J1165" s="9" cm="1">
        <f t="array" ref="J1165">SUMIF('외운 것 - 엑셀다운로드 파일(붙여넣기)'!A3:A562,A1165,'외운 것 - 엑셀다운로드 파일(붙여넣기)'!D3:D562)</f>
        <v>0</v>
      </c>
      <c r="K1165" s="9" cm="1">
        <f t="array" ref="K1165">_xlfn.COUNTIFS('외운 것 - 엑셀다운로드 파일(붙여넣기)'!A3:A562,A1165,'외운 것 - 엑셀다운로드 파일(붙여넣기)'!D3:D562,0)</f>
        <v>0</v>
      </c>
      <c r="L1165" s="9" cm="1">
        <f t="array" ref="L1165">IF(J1165&gt;=3,_xlfn.XLOOKUP(A1165,'외운 것 - 엑셀다운로드 파일(붙여넣기)'!A3:A562,'외운 것 - 엑셀다운로드 파일(붙여넣기)'!C3:C562,0,-1),0)</f>
        <v>0</v>
      </c>
    </row>
    <row r="1166" ht="36.4" customHeight="1">
      <c r="A1166" s="3">
        <v>1165</v>
      </c>
      <c r="B1166" t="s" s="4">
        <v>7411</v>
      </c>
      <c r="C1166" t="s" s="5">
        <v>7412</v>
      </c>
      <c r="D1166" t="s" s="5">
        <v>7397</v>
      </c>
      <c r="E1166" t="s" s="5">
        <v>7413</v>
      </c>
      <c r="F1166" t="s" s="10">
        <v>7414</v>
      </c>
      <c r="G1166" t="s" s="7">
        <v>7415</v>
      </c>
      <c r="H1166" t="s" s="7">
        <v>7416</v>
      </c>
      <c r="I1166" t="str" s="8" cm="1">
        <f t="array" ref="I1166">SUBSTITUTE(H1166,B1166,"(          )")</f>
        <v>Latin was once the (          ) franca of Western scholarship.</v>
      </c>
      <c r="J1166" s="9" cm="1">
        <f t="array" ref="J1166">SUMIF('외운 것 - 엑셀다운로드 파일(붙여넣기)'!A3:A562,A1166,'외운 것 - 엑셀다운로드 파일(붙여넣기)'!D3:D562)</f>
        <v>0</v>
      </c>
      <c r="K1166" s="9" cm="1">
        <f t="array" ref="K1166">_xlfn.COUNTIFS('외운 것 - 엑셀다운로드 파일(붙여넣기)'!A3:A562,A1166,'외운 것 - 엑셀다운로드 파일(붙여넣기)'!D3:D562,0)</f>
        <v>0</v>
      </c>
      <c r="L1166" s="9" cm="1">
        <f t="array" ref="L1166">IF(J1166&gt;=3,_xlfn.XLOOKUP(A1166,'외운 것 - 엑셀다운로드 파일(붙여넣기)'!A3:A562,'외운 것 - 엑셀다운로드 파일(붙여넣기)'!C3:C562,0,-1),0)</f>
        <v>0</v>
      </c>
    </row>
    <row r="1167" ht="36.4" customHeight="1">
      <c r="A1167" s="3">
        <v>1166</v>
      </c>
      <c r="B1167" t="s" s="4">
        <v>7418</v>
      </c>
      <c r="C1167" t="s" s="5">
        <v>7412</v>
      </c>
      <c r="D1167" t="s" s="5">
        <v>7397</v>
      </c>
      <c r="E1167" t="s" s="5">
        <v>7419</v>
      </c>
      <c r="F1167" t="s" s="10">
        <v>7420</v>
      </c>
      <c r="G1167" t="s" s="7">
        <v>7421</v>
      </c>
      <c r="H1167" t="s" s="7">
        <v>7422</v>
      </c>
      <c r="I1167" t="str" s="8" cm="1">
        <f t="array" ref="I1167">SUBSTITUTE(H1167,B1167,"(          )")</f>
        <v>The (          ) nerve provides sensation to the tongue.</v>
      </c>
      <c r="J1167" s="9" cm="1">
        <f t="array" ref="J1167">SUMIF('외운 것 - 엑셀다운로드 파일(붙여넣기)'!A3:A562,A1167,'외운 것 - 엑셀다운로드 파일(붙여넣기)'!D3:D562)</f>
        <v>0</v>
      </c>
      <c r="K1167" s="9" cm="1">
        <f t="array" ref="K1167">_xlfn.COUNTIFS('외운 것 - 엑셀다운로드 파일(붙여넣기)'!A3:A562,A1167,'외운 것 - 엑셀다운로드 파일(붙여넣기)'!D3:D562,0)</f>
        <v>0</v>
      </c>
      <c r="L1167" s="9" cm="1">
        <f t="array" ref="L1167">IF(J1167&gt;=3,_xlfn.XLOOKUP(A1167,'외운 것 - 엑셀다운로드 파일(붙여넣기)'!A3:A562,'외운 것 - 엑셀다운로드 파일(붙여넣기)'!C3:C562,0,-1),0)</f>
        <v>0</v>
      </c>
    </row>
    <row r="1168" ht="36.4" customHeight="1">
      <c r="A1168" s="3">
        <v>1167</v>
      </c>
      <c r="B1168" t="s" s="4">
        <v>391</v>
      </c>
      <c r="C1168" t="s" s="5">
        <v>7424</v>
      </c>
      <c r="D1168" t="s" s="5">
        <v>7397</v>
      </c>
      <c r="E1168" t="s" s="5">
        <v>392</v>
      </c>
      <c r="F1168" t="s" s="10">
        <v>7425</v>
      </c>
      <c r="G1168" t="s" s="7">
        <v>394</v>
      </c>
      <c r="H1168" t="s" s="7">
        <v>395</v>
      </c>
      <c r="I1168" t="str" s="8" cm="1">
        <f t="array" ref="I1168">SUBSTITUTE(H1168,B1168,"(          )")</f>
        <v>Being (          ) can help you find better job opportunities.</v>
      </c>
      <c r="J1168" s="9" cm="1">
        <f t="array" ref="J1168">SUMIF('외운 것 - 엑셀다운로드 파일(붙여넣기)'!A3:A562,A1168,'외운 것 - 엑셀다운로드 파일(붙여넣기)'!D3:D562)</f>
        <v>0</v>
      </c>
      <c r="K1168" s="9" cm="1">
        <f t="array" ref="K1168">_xlfn.COUNTIFS('외운 것 - 엑셀다운로드 파일(붙여넣기)'!A3:A562,A1168,'외운 것 - 엑셀다운로드 파일(붙여넣기)'!D3:D562,0)</f>
        <v>0</v>
      </c>
      <c r="L1168" s="9" cm="1">
        <f t="array" ref="L1168">IF(J1168&gt;=3,_xlfn.XLOOKUP(A1168,'외운 것 - 엑셀다운로드 파일(붙여넣기)'!A3:A562,'외운 것 - 엑셀다운로드 파일(붙여넣기)'!C3:C562,0,-1),0)</f>
        <v>0</v>
      </c>
    </row>
    <row r="1169" ht="36.4" customHeight="1">
      <c r="A1169" s="3">
        <v>1168</v>
      </c>
      <c r="B1169" t="s" s="4">
        <v>7426</v>
      </c>
      <c r="C1169" t="s" s="5">
        <v>7412</v>
      </c>
      <c r="D1169" t="s" s="5">
        <v>7397</v>
      </c>
      <c r="E1169" t="s" s="5">
        <v>7427</v>
      </c>
      <c r="F1169" t="s" s="10">
        <v>7428</v>
      </c>
      <c r="G1169" t="s" s="7">
        <v>7429</v>
      </c>
      <c r="H1169" t="s" s="7">
        <v>7430</v>
      </c>
      <c r="I1169" t="str" s="8" cm="1">
        <f t="array" ref="I1169">SUBSTITUTE(H1169,B1169,"(          )")</f>
        <v>Linguistics is the scientific study of language.</v>
      </c>
      <c r="J1169" s="9" cm="1">
        <f t="array" ref="J1169">SUMIF('외운 것 - 엑셀다운로드 파일(붙여넣기)'!A3:A562,A1169,'외운 것 - 엑셀다운로드 파일(붙여넣기)'!D3:D562)</f>
        <v>0</v>
      </c>
      <c r="K1169" s="9" cm="1">
        <f t="array" ref="K1169">_xlfn.COUNTIFS('외운 것 - 엑셀다운로드 파일(붙여넣기)'!A3:A562,A1169,'외운 것 - 엑셀다운로드 파일(붙여넣기)'!D3:D562,0)</f>
        <v>0</v>
      </c>
      <c r="L1169" s="9" cm="1">
        <f t="array" ref="L1169">IF(J1169&gt;=3,_xlfn.XLOOKUP(A1169,'외운 것 - 엑셀다운로드 파일(붙여넣기)'!A3:A562,'외운 것 - 엑셀다운로드 파일(붙여넣기)'!C3:C562,0,-1),0)</f>
        <v>0</v>
      </c>
    </row>
    <row r="1170" ht="23.45" customHeight="1">
      <c r="A1170" s="3">
        <v>1169</v>
      </c>
      <c r="B1170" t="s" s="4">
        <v>7432</v>
      </c>
      <c r="C1170" t="s" s="5">
        <v>7433</v>
      </c>
      <c r="D1170" t="s" s="5">
        <v>7434</v>
      </c>
      <c r="E1170" t="s" s="5">
        <v>7435</v>
      </c>
      <c r="F1170" t="s" s="10">
        <v>7436</v>
      </c>
      <c r="G1170" t="s" s="7">
        <v>7437</v>
      </c>
      <c r="H1170" t="s" s="7">
        <v>7438</v>
      </c>
      <c r="I1170" t="str" s="8" cm="1">
        <f t="array" ref="I1170">SUBSTITUTE(H1170,B1170,"(          )")</f>
        <v>There's an old (          ) about a monster in the lake.</v>
      </c>
      <c r="J1170" s="9" cm="1">
        <f t="array" ref="J1170">SUMIF('외운 것 - 엑셀다운로드 파일(붙여넣기)'!A3:A562,A1170,'외운 것 - 엑셀다운로드 파일(붙여넣기)'!D3:D562)</f>
        <v>0</v>
      </c>
      <c r="K1170" s="9" cm="1">
        <f t="array" ref="K1170">_xlfn.COUNTIFS('외운 것 - 엑셀다운로드 파일(붙여넣기)'!A3:A562,A1170,'외운 것 - 엑셀다운로드 파일(붙여넣기)'!D3:D562,0)</f>
        <v>0</v>
      </c>
      <c r="L1170" s="9" cm="1">
        <f t="array" ref="L1170">IF(J1170&gt;=3,_xlfn.XLOOKUP(A1170,'외운 것 - 엑셀다운로드 파일(붙여넣기)'!A3:A562,'외운 것 - 엑셀다운로드 파일(붙여넣기)'!C3:C562,0,-1),0)</f>
        <v>0</v>
      </c>
    </row>
    <row r="1171" ht="23.45" customHeight="1">
      <c r="A1171" s="3">
        <v>1170</v>
      </c>
      <c r="B1171" t="s" s="4">
        <v>7440</v>
      </c>
      <c r="C1171" t="s" s="5">
        <v>7433</v>
      </c>
      <c r="D1171" t="s" s="5">
        <v>7434</v>
      </c>
      <c r="E1171" t="s" s="5">
        <v>7441</v>
      </c>
      <c r="F1171" t="s" s="10">
        <v>7442</v>
      </c>
      <c r="G1171" t="s" s="7">
        <v>7443</v>
      </c>
      <c r="H1171" t="s" s="7">
        <v>7444</v>
      </c>
      <c r="I1171" t="str" s="8" cm="1">
        <f t="array" ref="I1171">SUBSTITUTE(H1171,B1171,"(          )")</f>
        <v>Her charitable foundation is her (          ) to the community.</v>
      </c>
      <c r="J1171" s="9" cm="1">
        <f t="array" ref="J1171">SUMIF('외운 것 - 엑셀다운로드 파일(붙여넣기)'!A3:A562,A1171,'외운 것 - 엑셀다운로드 파일(붙여넣기)'!D3:D562)</f>
        <v>0</v>
      </c>
      <c r="K1171" s="9" cm="1">
        <f t="array" ref="K1171">_xlfn.COUNTIFS('외운 것 - 엑셀다운로드 파일(붙여넣기)'!A3:A562,A1171,'외운 것 - 엑셀다운로드 파일(붙여넣기)'!D3:D562,0)</f>
        <v>0</v>
      </c>
      <c r="L1171" s="9" cm="1">
        <f t="array" ref="L1171">IF(J1171&gt;=3,_xlfn.XLOOKUP(A1171,'외운 것 - 엑셀다운로드 파일(붙여넣기)'!A3:A562,'외운 것 - 엑셀다운로드 파일(붙여넣기)'!C3:C562,0,-1),0)</f>
        <v>0</v>
      </c>
    </row>
    <row r="1172" ht="23.45" customHeight="1">
      <c r="A1172" s="3">
        <v>1171</v>
      </c>
      <c r="B1172" t="s" s="4">
        <v>2182</v>
      </c>
      <c r="C1172" t="s" s="5">
        <v>7433</v>
      </c>
      <c r="D1172" t="s" s="5">
        <v>7434</v>
      </c>
      <c r="E1172" t="s" s="5">
        <v>2183</v>
      </c>
      <c r="F1172" t="s" s="10">
        <v>2184</v>
      </c>
      <c r="G1172" t="s" s="7">
        <v>2185</v>
      </c>
      <c r="H1172" t="s" s="7">
        <v>2186</v>
      </c>
      <c r="I1172" t="str" s="8" cm="1">
        <f t="array" ref="I1172">SUBSTITUTE(H1172,B1172,"(          )")</f>
        <v>She graduated from (          ) with a degree in engineering.</v>
      </c>
      <c r="J1172" s="9" cm="1">
        <f t="array" ref="J1172">SUMIF('외운 것 - 엑셀다운로드 파일(붙여넣기)'!A3:A562,A1172,'외운 것 - 엑셀다운로드 파일(붙여넣기)'!D3:D562)</f>
        <v>0</v>
      </c>
      <c r="K1172" s="9" cm="1">
        <f t="array" ref="K1172">_xlfn.COUNTIFS('외운 것 - 엑셀다운로드 파일(붙여넣기)'!A3:A562,A1172,'외운 것 - 엑셀다운로드 파일(붙여넣기)'!D3:D562,0)</f>
        <v>0</v>
      </c>
      <c r="L1172" s="9" cm="1">
        <f t="array" ref="L1172">IF(J1172&gt;=3,_xlfn.XLOOKUP(A1172,'외운 것 - 엑셀다운로드 파일(붙여넣기)'!A3:A562,'외운 것 - 엑셀다운로드 파일(붙여넣기)'!C3:C562,0,-1),0)</f>
        <v>0</v>
      </c>
    </row>
    <row r="1173" ht="36.4" customHeight="1">
      <c r="A1173" s="3">
        <v>1172</v>
      </c>
      <c r="B1173" t="s" s="4">
        <v>7446</v>
      </c>
      <c r="C1173" t="s" s="5">
        <v>7447</v>
      </c>
      <c r="D1173" t="s" s="5">
        <v>7433</v>
      </c>
      <c r="E1173" t="s" s="5">
        <v>7448</v>
      </c>
      <c r="F1173" t="s" s="10">
        <v>7449</v>
      </c>
      <c r="G1173" t="s" s="7">
        <v>7450</v>
      </c>
      <c r="H1173" t="s" s="7">
        <v>7451</v>
      </c>
      <c r="I1173" t="str" s="8" cm="1">
        <f t="array" ref="I1173">SUBSTITUTE(H1173,B1173,"(          )")</f>
        <v>My (          ) helped me finish the project on time.</v>
      </c>
      <c r="J1173" s="9" cm="1">
        <f t="array" ref="J1173">SUMIF('외운 것 - 엑셀다운로드 파일(붙여넣기)'!A3:A562,A1173,'외운 것 - 엑셀다운로드 파일(붙여넣기)'!D3:D562)</f>
        <v>0</v>
      </c>
      <c r="K1173" s="9" cm="1">
        <f t="array" ref="K1173">_xlfn.COUNTIFS('외운 것 - 엑셀다운로드 파일(붙여넣기)'!A3:A562,A1173,'외운 것 - 엑셀다운로드 파일(붙여넣기)'!D3:D562,0)</f>
        <v>0</v>
      </c>
      <c r="L1173" s="9" cm="1">
        <f t="array" ref="L1173">IF(J1173&gt;=3,_xlfn.XLOOKUP(A1173,'외운 것 - 엑셀다운로드 파일(붙여넣기)'!A3:A562,'외운 것 - 엑셀다운로드 파일(붙여넣기)'!C3:C562,0,-1),0)</f>
        <v>0</v>
      </c>
    </row>
    <row r="1174" ht="23.45" customHeight="1">
      <c r="A1174" s="3">
        <v>1173</v>
      </c>
      <c r="B1174" t="s" s="4">
        <v>7452</v>
      </c>
      <c r="C1174" t="s" s="5">
        <v>7433</v>
      </c>
      <c r="D1174" t="s" s="5">
        <v>7434</v>
      </c>
      <c r="E1174" t="s" s="5">
        <v>7453</v>
      </c>
      <c r="F1174" t="s" s="10">
        <v>7454</v>
      </c>
      <c r="G1174" t="s" s="7">
        <v>7455</v>
      </c>
      <c r="H1174" t="s" s="7">
        <v>7456</v>
      </c>
      <c r="I1174" t="str" s="8" cm="1">
        <f t="array" ref="I1174">SUBSTITUTE(H1174,B1174,"(          )")</f>
        <v>A (          ) of fans waited for the celebrity's autograph.</v>
      </c>
      <c r="J1174" s="9" cm="1">
        <f t="array" ref="J1174">SUMIF('외운 것 - 엑셀다운로드 파일(붙여넣기)'!A3:A562,A1174,'외운 것 - 엑셀다운로드 파일(붙여넣기)'!D3:D562)</f>
        <v>0</v>
      </c>
      <c r="K1174" s="9" cm="1">
        <f t="array" ref="K1174">_xlfn.COUNTIFS('외운 것 - 엑셀다운로드 파일(붙여넣기)'!A3:A562,A1174,'외운 것 - 엑셀다운로드 파일(붙여넣기)'!D3:D562,0)</f>
        <v>0</v>
      </c>
      <c r="L1174" s="9" cm="1">
        <f t="array" ref="L1174">IF(J1174&gt;=3,_xlfn.XLOOKUP(A1174,'외운 것 - 엑셀다운로드 파일(붙여넣기)'!A3:A562,'외운 것 - 엑셀다운로드 파일(붙여넣기)'!C3:C562,0,-1),0)</f>
        <v>0</v>
      </c>
    </row>
    <row r="1175" ht="38.45" customHeight="1">
      <c r="A1175" s="3">
        <v>1174</v>
      </c>
      <c r="B1175" t="s" s="4">
        <v>7458</v>
      </c>
      <c r="C1175" t="s" s="5">
        <v>7459</v>
      </c>
      <c r="D1175" t="s" s="5">
        <v>7434</v>
      </c>
      <c r="E1175" t="s" s="5">
        <v>7460</v>
      </c>
      <c r="F1175" t="s" s="10">
        <v>7461</v>
      </c>
      <c r="G1175" t="s" s="7">
        <v>7462</v>
      </c>
      <c r="H1175" t="s" s="7">
        <v>7463</v>
      </c>
      <c r="I1175" t="str" s="8" cm="1">
        <f t="array" ref="I1175">SUBSTITUTE(H1175,B1175,"(          )")</f>
        <v>The (          ) student studied every night.</v>
      </c>
      <c r="J1175" s="9" cm="1">
        <f t="array" ref="J1175">SUMIF('외운 것 - 엑셀다운로드 파일(붙여넣기)'!A3:A562,A1175,'외운 것 - 엑셀다운로드 파일(붙여넣기)'!D3:D562)</f>
        <v>0</v>
      </c>
      <c r="K1175" s="9" cm="1">
        <f t="array" ref="K1175">_xlfn.COUNTIFS('외운 것 - 엑셀다운로드 파일(붙여넣기)'!A3:A562,A1175,'외운 것 - 엑셀다운로드 파일(붙여넣기)'!D3:D562,0)</f>
        <v>0</v>
      </c>
      <c r="L1175" s="9" cm="1">
        <f t="array" ref="L1175">IF(J1175&gt;=3,_xlfn.XLOOKUP(A1175,'외운 것 - 엑셀다운로드 파일(붙여넣기)'!A3:A562,'외운 것 - 엑셀다운로드 파일(붙여넣기)'!C3:C562,0,-1),0)</f>
        <v>0</v>
      </c>
    </row>
    <row r="1176" ht="38.45" customHeight="1">
      <c r="A1176" s="3">
        <v>1175</v>
      </c>
      <c r="B1176" t="s" s="4">
        <v>7465</v>
      </c>
      <c r="C1176" t="s" s="5">
        <v>7466</v>
      </c>
      <c r="D1176" t="s" s="5">
        <v>7434</v>
      </c>
      <c r="E1176" t="s" s="5">
        <v>7467</v>
      </c>
      <c r="F1176" t="s" s="10">
        <v>7468</v>
      </c>
      <c r="G1176" t="s" s="7">
        <v>7469</v>
      </c>
      <c r="H1176" t="s" s="7">
        <v>7470</v>
      </c>
      <c r="I1176" t="str" s="8" cm="1">
        <f t="array" ref="I1176">SUBSTITUTE(H1176,B1176,"(          )")</f>
        <v>Dolphins are highly (          ) animals.</v>
      </c>
      <c r="J1176" s="9" cm="1">
        <f t="array" ref="J1176">SUMIF('외운 것 - 엑셀다운로드 파일(붙여넣기)'!A3:A562,A1176,'외운 것 - 엑셀다운로드 파일(붙여넣기)'!D3:D562)</f>
        <v>0</v>
      </c>
      <c r="K1176" s="9" cm="1">
        <f t="array" ref="K1176">_xlfn.COUNTIFS('외운 것 - 엑셀다운로드 파일(붙여넣기)'!A3:A562,A1176,'외운 것 - 엑셀다운로드 파일(붙여넣기)'!D3:D562,0)</f>
        <v>0</v>
      </c>
      <c r="L1176" s="9" cm="1">
        <f t="array" ref="L1176">IF(J1176&gt;=3,_xlfn.XLOOKUP(A1176,'외운 것 - 엑셀다운로드 파일(붙여넣기)'!A3:A562,'외운 것 - 엑셀다운로드 파일(붙여넣기)'!C3:C562,0,-1),0)</f>
        <v>0</v>
      </c>
    </row>
    <row r="1177" ht="38.45" customHeight="1">
      <c r="A1177" s="3">
        <v>1176</v>
      </c>
      <c r="B1177" t="s" s="4">
        <v>7472</v>
      </c>
      <c r="C1177" t="s" s="5">
        <v>7466</v>
      </c>
      <c r="D1177" t="s" s="5">
        <v>7434</v>
      </c>
      <c r="E1177" t="s" s="5">
        <v>7473</v>
      </c>
      <c r="F1177" t="s" s="10">
        <v>7474</v>
      </c>
      <c r="G1177" t="s" s="7">
        <v>7475</v>
      </c>
      <c r="H1177" t="s" s="7">
        <v>7476</v>
      </c>
      <c r="I1177" t="str" s="8" cm="1">
        <f t="array" ref="I1177">SUBSTITUTE(H1177,B1177,"(          )")</f>
        <v>The driver was (          ) in checking his mirrors.</v>
      </c>
      <c r="J1177" s="9" cm="1">
        <f t="array" ref="J1177">SUMIF('외운 것 - 엑셀다운로드 파일(붙여넣기)'!A3:A562,A1177,'외운 것 - 엑셀다운로드 파일(붙여넣기)'!D3:D562)</f>
        <v>0</v>
      </c>
      <c r="K1177" s="9" cm="1">
        <f t="array" ref="K1177">_xlfn.COUNTIFS('외운 것 - 엑셀다운로드 파일(붙여넣기)'!A3:A562,A1177,'외운 것 - 엑셀다운로드 파일(붙여넣기)'!D3:D562,0)</f>
        <v>0</v>
      </c>
      <c r="L1177" s="9" cm="1">
        <f t="array" ref="L1177">IF(J1177&gt;=3,_xlfn.XLOOKUP(A1177,'외운 것 - 엑셀다운로드 파일(붙여넣기)'!A3:A562,'외운 것 - 엑셀다운로드 파일(붙여넣기)'!C3:C562,0,-1),0)</f>
        <v>0</v>
      </c>
    </row>
    <row r="1178" ht="38.45" customHeight="1">
      <c r="A1178" s="3">
        <v>1177</v>
      </c>
      <c r="B1178" t="s" s="4">
        <v>7478</v>
      </c>
      <c r="C1178" t="s" s="5">
        <v>7459</v>
      </c>
      <c r="D1178" t="s" s="5">
        <v>7434</v>
      </c>
      <c r="E1178" t="s" s="5">
        <v>7479</v>
      </c>
      <c r="F1178" t="s" s="10">
        <v>7480</v>
      </c>
      <c r="G1178" t="s" s="7">
        <v>7481</v>
      </c>
      <c r="H1178" t="s" s="7">
        <v>7482</v>
      </c>
      <c r="I1178" t="str" s="8" cm="1">
        <f t="array" ref="I1178">SUBSTITUTE(H1178,B1178,"(          )")</f>
        <v>You're (          ) for the discount if you're over 65.</v>
      </c>
      <c r="J1178" s="9" cm="1">
        <f t="array" ref="J1178">SUMIF('외운 것 - 엑셀다운로드 파일(붙여넣기)'!A3:A562,A1178,'외운 것 - 엑셀다운로드 파일(붙여넣기)'!D3:D562)</f>
        <v>0</v>
      </c>
      <c r="K1178" s="9" cm="1">
        <f t="array" ref="K1178">_xlfn.COUNTIFS('외운 것 - 엑셀다운로드 파일(붙여넣기)'!A3:A562,A1178,'외운 것 - 엑셀다운로드 파일(붙여넣기)'!D3:D562,0)</f>
        <v>0</v>
      </c>
      <c r="L1178" s="9" cm="1">
        <f t="array" ref="L1178">IF(J1178&gt;=3,_xlfn.XLOOKUP(A1178,'외운 것 - 엑셀다운로드 파일(붙여넣기)'!A3:A562,'외운 것 - 엑셀다운로드 파일(붙여넣기)'!C3:C562,0,-1),0)</f>
        <v>0</v>
      </c>
    </row>
    <row r="1179" ht="23.45" customHeight="1">
      <c r="A1179" s="3">
        <v>1178</v>
      </c>
      <c r="B1179" t="s" s="4">
        <v>7484</v>
      </c>
      <c r="C1179" t="s" s="5">
        <v>7433</v>
      </c>
      <c r="D1179" t="s" s="5">
        <v>7434</v>
      </c>
      <c r="E1179" t="s" s="5">
        <v>7485</v>
      </c>
      <c r="F1179" t="s" s="10">
        <v>7486</v>
      </c>
      <c r="G1179" t="s" s="7">
        <v>7487</v>
      </c>
      <c r="H1179" t="s" s="7">
        <v>7488</v>
      </c>
      <c r="I1179" t="str" s="8" cm="1">
        <f t="array" ref="I1179">SUBSTITUTE(H1179,B1179,"(          )")</f>
        <v>Is it (          ) to park here?</v>
      </c>
      <c r="J1179" s="9" cm="1">
        <f t="array" ref="J1179">SUMIF('외운 것 - 엑셀다운로드 파일(붙여넣기)'!A3:A562,A1179,'외운 것 - 엑셀다운로드 파일(붙여넣기)'!D3:D562)</f>
        <v>0</v>
      </c>
      <c r="K1179" s="9" cm="1">
        <f t="array" ref="K1179">_xlfn.COUNTIFS('외운 것 - 엑셀다운로드 파일(붙여넣기)'!A3:A562,A1179,'외운 것 - 엑셀다운로드 파일(붙여넣기)'!D3:D562,0)</f>
        <v>0</v>
      </c>
      <c r="L1179" s="9" cm="1">
        <f t="array" ref="L1179">IF(J1179&gt;=3,_xlfn.XLOOKUP(A1179,'외운 것 - 엑셀다운로드 파일(붙여넣기)'!A3:A562,'외운 것 - 엑셀다운로드 파일(붙여넣기)'!C3:C562,0,-1),0)</f>
        <v>0</v>
      </c>
    </row>
    <row r="1180" ht="23.45" customHeight="1">
      <c r="A1180" s="3">
        <v>1179</v>
      </c>
      <c r="B1180" t="s" s="4">
        <v>7490</v>
      </c>
      <c r="C1180" t="s" s="5">
        <v>7491</v>
      </c>
      <c r="D1180" t="s" s="5">
        <v>7433</v>
      </c>
      <c r="E1180" t="s" s="5">
        <v>7492</v>
      </c>
      <c r="F1180" t="s" s="10">
        <v>7493</v>
      </c>
      <c r="G1180" t="s" s="7">
        <v>7494</v>
      </c>
      <c r="H1180" t="s" s="7">
        <v>7495</v>
      </c>
      <c r="I1180" t="str" s="8" cm="1">
        <f t="array" ref="I1180">SUBSTITUTE(H1180,B1180,"(          )")</f>
        <v>Hunting in this area is (          ) during breeding season.</v>
      </c>
      <c r="J1180" s="9" cm="1">
        <f t="array" ref="J1180">SUMIF('외운 것 - 엑셀다운로드 파일(붙여넣기)'!A3:A562,A1180,'외운 것 - 엑셀다운로드 파일(붙여넣기)'!D3:D562)</f>
        <v>0</v>
      </c>
      <c r="K1180" s="9" cm="1">
        <f t="array" ref="K1180">_xlfn.COUNTIFS('외운 것 - 엑셀다운로드 파일(붙여넣기)'!A3:A562,A1180,'외운 것 - 엑셀다운로드 파일(붙여넣기)'!D3:D562,0)</f>
        <v>0</v>
      </c>
      <c r="L1180" s="9" cm="1">
        <f t="array" ref="L1180">IF(J1180&gt;=3,_xlfn.XLOOKUP(A1180,'외운 것 - 엑셀다운로드 파일(붙여넣기)'!A3:A562,'외운 것 - 엑셀다운로드 파일(붙여넣기)'!C3:C562,0,-1),0)</f>
        <v>0</v>
      </c>
    </row>
    <row r="1181" ht="23.45" customHeight="1">
      <c r="A1181" s="3">
        <v>1180</v>
      </c>
      <c r="B1181" t="s" s="4">
        <v>7497</v>
      </c>
      <c r="C1181" t="s" s="5">
        <v>7433</v>
      </c>
      <c r="D1181" t="s" s="5">
        <v>7434</v>
      </c>
      <c r="E1181" t="s" s="5">
        <v>7498</v>
      </c>
      <c r="F1181" t="s" s="10">
        <v>7499</v>
      </c>
      <c r="G1181" t="s" s="7">
        <v>7500</v>
      </c>
      <c r="H1181" t="s" s="7">
        <v>7501</v>
      </c>
      <c r="I1181" t="str" s="8" cm="1">
        <f t="array" ref="I1181">SUBSTITUTE(H1181,B1181,"(          )")</f>
        <v>Congress will (          ) new environmental protections.</v>
      </c>
      <c r="J1181" s="9" cm="1">
        <f t="array" ref="J1181">SUMIF('외운 것 - 엑셀다운로드 파일(붙여넣기)'!A3:A562,A1181,'외운 것 - 엑셀다운로드 파일(붙여넣기)'!D3:D562)</f>
        <v>0</v>
      </c>
      <c r="K1181" s="9" cm="1">
        <f t="array" ref="K1181">_xlfn.COUNTIFS('외운 것 - 엑셀다운로드 파일(붙여넣기)'!A3:A562,A1181,'외운 것 - 엑셀다운로드 파일(붙여넣기)'!D3:D562,0)</f>
        <v>0</v>
      </c>
      <c r="L1181" s="9" cm="1">
        <f t="array" ref="L1181">IF(J1181&gt;=3,_xlfn.XLOOKUP(A1181,'외운 것 - 엑셀다운로드 파일(붙여넣기)'!A3:A562,'외운 것 - 엑셀다운로드 파일(붙여넣기)'!C3:C562,0,-1),0)</f>
        <v>0</v>
      </c>
    </row>
    <row r="1182" ht="36.4" customHeight="1">
      <c r="A1182" s="3">
        <v>1181</v>
      </c>
      <c r="B1182" t="s" s="4">
        <v>7503</v>
      </c>
      <c r="C1182" t="s" s="5">
        <v>7504</v>
      </c>
      <c r="D1182" t="s" s="5">
        <v>7433</v>
      </c>
      <c r="E1182" t="s" s="5">
        <v>7505</v>
      </c>
      <c r="F1182" t="s" s="10">
        <v>7506</v>
      </c>
      <c r="G1182" t="s" s="7">
        <v>7507</v>
      </c>
      <c r="H1182" t="s" s="7">
        <v>7508</v>
      </c>
      <c r="I1182" t="str" s="8" cm="1">
        <f t="array" ref="I1182">SUBSTITUTE(H1182,B1182,"(          )")</f>
        <v>The new (          ) aims to reduce carbon emissions.</v>
      </c>
      <c r="J1182" s="9" cm="1">
        <f t="array" ref="J1182">SUMIF('외운 것 - 엑셀다운로드 파일(붙여넣기)'!A3:A562,A1182,'외운 것 - 엑셀다운로드 파일(붙여넣기)'!D3:D562)</f>
        <v>0</v>
      </c>
      <c r="K1182" s="9" cm="1">
        <f t="array" ref="K1182">_xlfn.COUNTIFS('외운 것 - 엑셀다운로드 파일(붙여넣기)'!A3:A562,A1182,'외운 것 - 엑셀다운로드 파일(붙여넣기)'!D3:D562,0)</f>
        <v>0</v>
      </c>
      <c r="L1182" s="9" cm="1">
        <f t="array" ref="L1182">IF(J1182&gt;=3,_xlfn.XLOOKUP(A1182,'외운 것 - 엑셀다운로드 파일(붙여넣기)'!A3:A562,'외운 것 - 엑셀다운로드 파일(붙여넣기)'!C3:C562,0,-1),0)</f>
        <v>0</v>
      </c>
    </row>
    <row r="1183" ht="36.4" customHeight="1">
      <c r="A1183" s="3">
        <v>1182</v>
      </c>
      <c r="B1183" t="s" s="4">
        <v>7510</v>
      </c>
      <c r="C1183" t="s" s="5">
        <v>7504</v>
      </c>
      <c r="D1183" t="s" s="5">
        <v>7433</v>
      </c>
      <c r="E1183" t="s" s="5">
        <v>7511</v>
      </c>
      <c r="F1183" t="s" s="10">
        <v>7512</v>
      </c>
      <c r="G1183" t="s" s="7">
        <v>7513</v>
      </c>
      <c r="H1183" t="s" s="7">
        <v>7514</v>
      </c>
      <c r="I1183" t="str" s="8" cm="1">
        <f t="array" ref="I1183">SUBSTITUTE(H1183,B1183,"(          )")</f>
        <v>The state (          ) meets annually to pass laws.</v>
      </c>
      <c r="J1183" s="9" cm="1">
        <f t="array" ref="J1183">SUMIF('외운 것 - 엑셀다운로드 파일(붙여넣기)'!A3:A562,A1183,'외운 것 - 엑셀다운로드 파일(붙여넣기)'!D3:D562)</f>
        <v>0</v>
      </c>
      <c r="K1183" s="9" cm="1">
        <f t="array" ref="K1183">_xlfn.COUNTIFS('외운 것 - 엑셀다운로드 파일(붙여넣기)'!A3:A562,A1183,'외운 것 - 엑셀다운로드 파일(붙여넣기)'!D3:D562,0)</f>
        <v>0</v>
      </c>
      <c r="L1183" s="9" cm="1">
        <f t="array" ref="L1183">IF(J1183&gt;=3,_xlfn.XLOOKUP(A1183,'외운 것 - 엑셀다운로드 파일(붙여넣기)'!A3:A562,'외운 것 - 엑셀다운로드 파일(붙여넣기)'!C3:C562,0,-1),0)</f>
        <v>0</v>
      </c>
    </row>
    <row r="1184" ht="23.45" customHeight="1">
      <c r="A1184" s="3">
        <v>1183</v>
      </c>
      <c r="B1184" t="s" s="4">
        <v>7516</v>
      </c>
      <c r="C1184" t="s" s="5">
        <v>7433</v>
      </c>
      <c r="D1184" t="s" s="5">
        <v>7434</v>
      </c>
      <c r="E1184" t="s" s="5">
        <v>7517</v>
      </c>
      <c r="F1184" t="s" s="10">
        <v>7518</v>
      </c>
      <c r="G1184" t="s" s="7">
        <v>7519</v>
      </c>
      <c r="H1184" t="s" s="7">
        <v>7520</v>
      </c>
      <c r="I1184" t="str" s="8" cm="1">
        <f t="array" ref="I1184">SUBSTITUTE(H1184,B1184,"(          )")</f>
        <v>It's a (          ) to work with such talented colleagues.</v>
      </c>
      <c r="J1184" s="9" cm="1">
        <f t="array" ref="J1184">SUMIF('외운 것 - 엑셀다운로드 파일(붙여넣기)'!A3:A562,A1184,'외운 것 - 엑셀다운로드 파일(붙여넣기)'!D3:D562)</f>
        <v>0</v>
      </c>
      <c r="K1184" s="9" cm="1">
        <f t="array" ref="K1184">_xlfn.COUNTIFS('외운 것 - 엑셀다운로드 파일(붙여넣기)'!A3:A562,A1184,'외운 것 - 엑셀다운로드 파일(붙여넣기)'!D3:D562,0)</f>
        <v>0</v>
      </c>
      <c r="L1184" s="9" cm="1">
        <f t="array" ref="L1184">IF(J1184&gt;=3,_xlfn.XLOOKUP(A1184,'외운 것 - 엑셀다운로드 파일(붙여넣기)'!A3:A562,'외운 것 - 엑셀다운로드 파일(붙여넣기)'!C3:C562,0,-1),0)</f>
        <v>0</v>
      </c>
    </row>
    <row r="1185" ht="23.45" customHeight="1">
      <c r="A1185" s="3">
        <v>1184</v>
      </c>
      <c r="B1185" t="s" s="4">
        <v>7522</v>
      </c>
      <c r="C1185" t="s" s="5">
        <v>7433</v>
      </c>
      <c r="D1185" t="s" s="5">
        <v>7434</v>
      </c>
      <c r="E1185" t="s" s="5">
        <v>7523</v>
      </c>
      <c r="F1185" t="s" s="10">
        <v>7524</v>
      </c>
      <c r="G1185" t="s" s="7">
        <v>7525</v>
      </c>
      <c r="H1185" t="s" s="7">
        <v>7526</v>
      </c>
      <c r="I1185" t="str" s="8" cm="1">
        <f t="array" ref="I1185">SUBSTITUTE(H1185,B1185,"(          )")</f>
        <v>The newspaper (          )d that the politician took bribes.</v>
      </c>
      <c r="J1185" s="9" cm="1">
        <f t="array" ref="J1185">SUMIF('외운 것 - 엑셀다운로드 파일(붙여넣기)'!A3:A562,A1185,'외운 것 - 엑셀다운로드 파일(붙여넣기)'!D3:D562)</f>
        <v>0</v>
      </c>
      <c r="K1185" s="9" cm="1">
        <f t="array" ref="K1185">_xlfn.COUNTIFS('외운 것 - 엑셀다운로드 파일(붙여넣기)'!A3:A562,A1185,'외운 것 - 엑셀다운로드 파일(붙여넣기)'!D3:D562,0)</f>
        <v>0</v>
      </c>
      <c r="L1185" s="9" cm="1">
        <f t="array" ref="L1185">IF(J1185&gt;=3,_xlfn.XLOOKUP(A1185,'외운 것 - 엑셀다운로드 파일(붙여넣기)'!A3:A562,'외운 것 - 엑셀다운로드 파일(붙여넣기)'!C3:C562,0,-1),0)</f>
        <v>0</v>
      </c>
    </row>
    <row r="1186" ht="38.45" customHeight="1">
      <c r="A1186" s="3">
        <v>1185</v>
      </c>
      <c r="B1186" t="s" s="4">
        <v>7528</v>
      </c>
      <c r="C1186" t="s" s="5">
        <v>7433</v>
      </c>
      <c r="D1186" t="s" s="5">
        <v>7434</v>
      </c>
      <c r="E1186" t="s" s="5">
        <v>7529</v>
      </c>
      <c r="F1186" t="s" s="10">
        <v>7530</v>
      </c>
      <c r="G1186" t="s" s="7">
        <v>7531</v>
      </c>
      <c r="H1186" t="s" s="7">
        <v>7532</v>
      </c>
      <c r="I1186" t="str" s="8" cm="1">
        <f t="array" ref="I1186">SUBSTITUTE(H1186,B1186,"(          )")</f>
        <v>Each country will (          ) representatives to the conference.</v>
      </c>
      <c r="J1186" s="9" cm="1">
        <f t="array" ref="J1186">SUMIF('외운 것 - 엑셀다운로드 파일(붙여넣기)'!A3:A562,A1186,'외운 것 - 엑셀다운로드 파일(붙여넣기)'!D3:D562)</f>
        <v>0</v>
      </c>
      <c r="K1186" s="9" cm="1">
        <f t="array" ref="K1186">_xlfn.COUNTIFS('외운 것 - 엑셀다운로드 파일(붙여넣기)'!A3:A562,A1186,'외운 것 - 엑셀다운로드 파일(붙여넣기)'!D3:D562,0)</f>
        <v>0</v>
      </c>
      <c r="L1186" s="9" cm="1">
        <f t="array" ref="L1186">IF(J1186&gt;=3,_xlfn.XLOOKUP(A1186,'외운 것 - 엑셀다운로드 파일(붙여넣기)'!A3:A562,'외운 것 - 엑셀다운로드 파일(붙여넣기)'!C3:C562,0,-1),0)</f>
        <v>0</v>
      </c>
    </row>
    <row r="1187" ht="36.4" customHeight="1">
      <c r="A1187" s="3">
        <v>1186</v>
      </c>
      <c r="B1187" t="s" s="4">
        <v>7534</v>
      </c>
      <c r="C1187" t="s" s="5">
        <v>7535</v>
      </c>
      <c r="D1187" t="s" s="5">
        <v>7433</v>
      </c>
      <c r="E1187" t="s" s="5">
        <v>7536</v>
      </c>
      <c r="F1187" t="s" s="10">
        <v>7537</v>
      </c>
      <c r="G1187" t="s" s="7">
        <v>7538</v>
      </c>
      <c r="H1187" t="s" s="7">
        <v>7539</v>
      </c>
      <c r="I1187" t="str" s="8" cm="1">
        <f t="array" ref="I1187">SUBSTITUTE(H1187,B1187,"(          )")</f>
        <v>The (          ) from Japan arrived yesterday.</v>
      </c>
      <c r="J1187" s="9" cm="1">
        <f t="array" ref="J1187">SUMIF('외운 것 - 엑셀다운로드 파일(붙여넣기)'!A3:A562,A1187,'외운 것 - 엑셀다운로드 파일(붙여넣기)'!D3:D562)</f>
        <v>0</v>
      </c>
      <c r="K1187" s="9" cm="1">
        <f t="array" ref="K1187">_xlfn.COUNTIFS('외운 것 - 엑셀다운로드 파일(붙여넣기)'!A3:A562,A1187,'외운 것 - 엑셀다운로드 파일(붙여넣기)'!D3:D562,0)</f>
        <v>0</v>
      </c>
      <c r="L1187" s="9" cm="1">
        <f t="array" ref="L1187">IF(J1187&gt;=3,_xlfn.XLOOKUP(A1187,'외운 것 - 엑셀다운로드 파일(붙여넣기)'!A3:A562,'외운 것 - 엑셀다운로드 파일(붙여넣기)'!C3:C562,0,-1),0)</f>
        <v>0</v>
      </c>
    </row>
    <row r="1188" ht="23.45" customHeight="1">
      <c r="A1188" s="3">
        <v>1187</v>
      </c>
      <c r="B1188" t="s" s="4">
        <v>7541</v>
      </c>
      <c r="C1188" t="s" s="5">
        <v>7542</v>
      </c>
      <c r="D1188" t="s" s="5">
        <v>7543</v>
      </c>
      <c r="E1188" t="s" s="5">
        <v>7544</v>
      </c>
      <c r="F1188" t="s" s="10">
        <v>7545</v>
      </c>
      <c r="G1188" t="s" s="7">
        <v>7546</v>
      </c>
      <c r="H1188" t="s" s="7">
        <v>7547</v>
      </c>
      <c r="I1188" t="str" s="8" cm="1">
        <f t="array" ref="I1188">SUBSTITUTE(H1188,B1188,"(          )")</f>
        <v>Use the (          ) to lift the heavy stone.</v>
      </c>
      <c r="J1188" s="9" cm="1">
        <f t="array" ref="J1188">SUMIF('외운 것 - 엑셀다운로드 파일(붙여넣기)'!A3:A562,A1188,'외운 것 - 엑셀다운로드 파일(붙여넣기)'!D3:D562)</f>
        <v>0</v>
      </c>
      <c r="K1188" s="9" cm="1">
        <f t="array" ref="K1188">_xlfn.COUNTIFS('외운 것 - 엑셀다운로드 파일(붙여넣기)'!A3:A562,A1188,'외운 것 - 엑셀다운로드 파일(붙여넣기)'!D3:D562,0)</f>
        <v>0</v>
      </c>
      <c r="L1188" s="9" cm="1">
        <f t="array" ref="L1188">IF(J1188&gt;=3,_xlfn.XLOOKUP(A1188,'외운 것 - 엑셀다운로드 파일(붙여넣기)'!A3:A562,'외운 것 - 엑셀다운로드 파일(붙여넣기)'!C3:C562,0,-1),0)</f>
        <v>0</v>
      </c>
    </row>
    <row r="1189" ht="38.45" customHeight="1">
      <c r="A1189" s="3">
        <v>1188</v>
      </c>
      <c r="B1189" t="s" s="4">
        <v>7549</v>
      </c>
      <c r="C1189" t="s" s="5">
        <v>7550</v>
      </c>
      <c r="D1189" t="s" s="5">
        <v>7542</v>
      </c>
      <c r="E1189" t="s" s="5">
        <v>7551</v>
      </c>
      <c r="F1189" t="s" s="10">
        <v>7552</v>
      </c>
      <c r="G1189" t="s" s="7">
        <v>7553</v>
      </c>
      <c r="H1189" t="s" s="7">
        <v>7554</v>
      </c>
      <c r="I1189" t="str" s="8" cm="1">
        <f t="array" ref="I1189">SUBSTITUTE(H1189,B1189,"(          )")</f>
        <v>The company used its financial (          ) to acquire competitors.</v>
      </c>
      <c r="J1189" s="9" cm="1">
        <f t="array" ref="J1189">SUMIF('외운 것 - 엑셀다운로드 파일(붙여넣기)'!A3:A562,A1189,'외운 것 - 엑셀다운로드 파일(붙여넣기)'!D3:D562)</f>
        <v>0</v>
      </c>
      <c r="K1189" s="9" cm="1">
        <f t="array" ref="K1189">_xlfn.COUNTIFS('외운 것 - 엑셀다운로드 파일(붙여넣기)'!A3:A562,A1189,'외운 것 - 엑셀다운로드 파일(붙여넣기)'!D3:D562,0)</f>
        <v>0</v>
      </c>
      <c r="L1189" s="9" cm="1">
        <f t="array" ref="L1189">IF(J1189&gt;=3,_xlfn.XLOOKUP(A1189,'외운 것 - 엑셀다운로드 파일(붙여넣기)'!A3:A562,'외운 것 - 엑셀다운로드 파일(붙여넣기)'!C3:C562,0,-1),0)</f>
        <v>0</v>
      </c>
    </row>
    <row r="1190" ht="38.45" customHeight="1">
      <c r="A1190" s="3">
        <v>1189</v>
      </c>
      <c r="B1190" t="s" s="4">
        <v>7556</v>
      </c>
      <c r="C1190" t="s" s="5">
        <v>7542</v>
      </c>
      <c r="D1190" t="s" s="5">
        <v>7543</v>
      </c>
      <c r="E1190" t="s" s="5">
        <v>7557</v>
      </c>
      <c r="F1190" t="s" s="10">
        <v>7558</v>
      </c>
      <c r="G1190" t="s" s="7">
        <v>7559</v>
      </c>
      <c r="H1190" t="s" s="7">
        <v>7560</v>
      </c>
      <c r="I1190" t="str" s="8" cm="1">
        <f t="array" ref="I1190">SUBSTITUTE(H1190,B1190,"(          )")</f>
        <v>Education can (          ) people from poverty.</v>
      </c>
      <c r="J1190" s="9" cm="1">
        <f t="array" ref="J1190">SUMIF('외운 것 - 엑셀다운로드 파일(붙여넣기)'!A3:A562,A1190,'외운 것 - 엑셀다운로드 파일(붙여넣기)'!D3:D562)</f>
        <v>0</v>
      </c>
      <c r="K1190" s="9" cm="1">
        <f t="array" ref="K1190">_xlfn.COUNTIFS('외운 것 - 엑셀다운로드 파일(붙여넣기)'!A3:A562,A1190,'외운 것 - 엑셀다운로드 파일(붙여넣기)'!D3:D562,0)</f>
        <v>0</v>
      </c>
      <c r="L1190" s="9" cm="1">
        <f t="array" ref="L1190">IF(J1190&gt;=3,_xlfn.XLOOKUP(A1190,'외운 것 - 엑셀다운로드 파일(붙여넣기)'!A3:A562,'외운 것 - 엑셀다운로드 파일(붙여넣기)'!C3:C562,0,-1),0)</f>
        <v>0</v>
      </c>
    </row>
    <row r="1191" ht="36.4" customHeight="1">
      <c r="A1191" s="3">
        <v>1190</v>
      </c>
      <c r="B1191" t="s" s="4">
        <v>7562</v>
      </c>
      <c r="C1191" t="s" s="5">
        <v>7563</v>
      </c>
      <c r="D1191" t="s" s="5">
        <v>7542</v>
      </c>
      <c r="E1191" t="s" s="5">
        <v>7564</v>
      </c>
      <c r="F1191" t="s" s="10">
        <v>7565</v>
      </c>
      <c r="G1191" t="s" s="7">
        <v>7566</v>
      </c>
      <c r="H1191" t="s" s="7">
        <v>7567</v>
      </c>
      <c r="I1191" t="str" s="8" cm="1">
        <f t="array" ref="I1191">SUBSTITUTE(H1191,B1191,"(          )")</f>
        <v>Take the (          ) to the tenth floor.</v>
      </c>
      <c r="J1191" s="9" cm="1">
        <f t="array" ref="J1191">SUMIF('외운 것 - 엑셀다운로드 파일(붙여넣기)'!A3:A562,A1191,'외운 것 - 엑셀다운로드 파일(붙여넣기)'!D3:D562)</f>
        <v>0</v>
      </c>
      <c r="K1191" s="9" cm="1">
        <f t="array" ref="K1191">_xlfn.COUNTIFS('외운 것 - 엑셀다운로드 파일(붙여넣기)'!A3:A562,A1191,'외운 것 - 엑셀다운로드 파일(붙여넣기)'!D3:D562,0)</f>
        <v>0</v>
      </c>
      <c r="L1191" s="9" cm="1">
        <f t="array" ref="L1191">IF(J1191&gt;=3,_xlfn.XLOOKUP(A1191,'외운 것 - 엑셀다운로드 파일(붙여넣기)'!A3:A562,'외운 것 - 엑셀다운로드 파일(붙여넣기)'!C3:C562,0,-1),0)</f>
        <v>0</v>
      </c>
    </row>
    <row r="1192" ht="36.4" customHeight="1">
      <c r="A1192" s="3">
        <v>1191</v>
      </c>
      <c r="B1192" t="s" s="4">
        <v>7569</v>
      </c>
      <c r="C1192" t="s" s="5">
        <v>7563</v>
      </c>
      <c r="D1192" t="s" s="5">
        <v>7542</v>
      </c>
      <c r="E1192" t="s" s="5">
        <v>7570</v>
      </c>
      <c r="F1192" t="s" s="10">
        <v>7571</v>
      </c>
      <c r="G1192" t="s" s="7">
        <v>7572</v>
      </c>
      <c r="H1192" t="s" s="7">
        <v>7573</v>
      </c>
      <c r="I1192" t="str" s="8" cm="1">
        <f t="array" ref="I1192">SUBSTITUTE(H1192,B1192,"(          )")</f>
        <v>The town's high (          ) gives it a cool climate.</v>
      </c>
      <c r="J1192" s="9" cm="1">
        <f t="array" ref="J1192">SUMIF('외운 것 - 엑셀다운로드 파일(붙여넣기)'!A3:A562,A1192,'외운 것 - 엑셀다운로드 파일(붙여넣기)'!D3:D562)</f>
        <v>0</v>
      </c>
      <c r="K1192" s="9" cm="1">
        <f t="array" ref="K1192">_xlfn.COUNTIFS('외운 것 - 엑셀다운로드 파일(붙여넣기)'!A3:A562,A1192,'외운 것 - 엑셀다운로드 파일(붙여넣기)'!D3:D562,0)</f>
        <v>0</v>
      </c>
      <c r="L1192" s="9" cm="1">
        <f t="array" ref="L1192">IF(J1192&gt;=3,_xlfn.XLOOKUP(A1192,'외운 것 - 엑셀다운로드 파일(붙여넣기)'!A3:A562,'외운 것 - 엑셀다운로드 파일(붙여넣기)'!C3:C562,0,-1),0)</f>
        <v>0</v>
      </c>
    </row>
    <row r="1193" ht="38.45" customHeight="1">
      <c r="A1193" s="3">
        <v>1192</v>
      </c>
      <c r="B1193" t="s" s="4">
        <v>7575</v>
      </c>
      <c r="C1193" t="s" s="5">
        <v>7542</v>
      </c>
      <c r="D1193" t="s" s="5">
        <v>7543</v>
      </c>
      <c r="E1193" t="s" s="5">
        <v>7576</v>
      </c>
      <c r="F1193" t="s" s="10">
        <v>7577</v>
      </c>
      <c r="G1193" t="s" s="7">
        <v>7578</v>
      </c>
      <c r="H1193" t="s" s="7">
        <v>7579</v>
      </c>
      <c r="I1193" t="str" s="8" cm="1">
        <f t="array" ref="I1193">SUBSTITUTE(H1193,B1193,"(          )")</f>
        <v>Make sure the picture is (          ) before hanging it.</v>
      </c>
      <c r="J1193" s="9" cm="1">
        <f t="array" ref="J1193">SUMIF('외운 것 - 엑셀다운로드 파일(붙여넣기)'!A3:A562,A1193,'외운 것 - 엑셀다운로드 파일(붙여넣기)'!D3:D562)</f>
        <v>0</v>
      </c>
      <c r="K1193" s="9" cm="1">
        <f t="array" ref="K1193">_xlfn.COUNTIFS('외운 것 - 엑셀다운로드 파일(붙여넣기)'!A3:A562,A1193,'외운 것 - 엑셀다운로드 파일(붙여넣기)'!D3:D562,0)</f>
        <v>0</v>
      </c>
      <c r="L1193" s="9" cm="1">
        <f t="array" ref="L1193">IF(J1193&gt;=3,_xlfn.XLOOKUP(A1193,'외운 것 - 엑셀다운로드 파일(붙여넣기)'!A3:A562,'외운 것 - 엑셀다운로드 파일(붙여넣기)'!C3:C562,0,-1),0)</f>
        <v>0</v>
      </c>
    </row>
    <row r="1194" ht="38.45" customHeight="1">
      <c r="A1194" s="3">
        <v>1193</v>
      </c>
      <c r="B1194" t="s" s="4">
        <v>7581</v>
      </c>
      <c r="C1194" t="s" s="5">
        <v>7542</v>
      </c>
      <c r="D1194" t="s" s="5">
        <v>7543</v>
      </c>
      <c r="E1194" t="s" s="5">
        <v>7582</v>
      </c>
      <c r="F1194" t="s" s="10">
        <v>7583</v>
      </c>
      <c r="G1194" t="s" s="7">
        <v>7584</v>
      </c>
      <c r="H1194" t="s" s="7">
        <v>7585</v>
      </c>
      <c r="I1194" t="str" s="8" cm="1">
        <f t="array" ref="I1194">SUBSTITUTE(H1194,B1194,"(          )")</f>
        <v>The medication should (          ) your headache.</v>
      </c>
      <c r="J1194" s="9" cm="1">
        <f t="array" ref="J1194">SUMIF('외운 것 - 엑셀다운로드 파일(붙여넣기)'!A3:A562,A1194,'외운 것 - 엑셀다운로드 파일(붙여넣기)'!D3:D562)</f>
        <v>0</v>
      </c>
      <c r="K1194" s="9" cm="1">
        <f t="array" ref="K1194">_xlfn.COUNTIFS('외운 것 - 엑셀다운로드 파일(붙여넣기)'!A3:A562,A1194,'외운 것 - 엑셀다운로드 파일(붙여넣기)'!D3:D562,0)</f>
        <v>0</v>
      </c>
      <c r="L1194" s="9" cm="1">
        <f t="array" ref="L1194">IF(J1194&gt;=3,_xlfn.XLOOKUP(A1194,'외운 것 - 엑셀다운로드 파일(붙여넣기)'!A3:A562,'외운 것 - 엑셀다운로드 파일(붙여넣기)'!C3:C562,0,-1),0)</f>
        <v>0</v>
      </c>
    </row>
    <row r="1195" ht="23.45" customHeight="1">
      <c r="A1195" s="3">
        <v>1194</v>
      </c>
      <c r="B1195" t="s" s="4">
        <v>7587</v>
      </c>
      <c r="C1195" t="s" s="5">
        <v>7542</v>
      </c>
      <c r="D1195" t="s" s="5">
        <v>7543</v>
      </c>
      <c r="E1195" t="s" s="5">
        <v>7588</v>
      </c>
      <c r="F1195" t="s" s="10">
        <v>7589</v>
      </c>
      <c r="G1195" t="s" s="7">
        <v>7590</v>
      </c>
      <c r="H1195" t="s" s="7">
        <v>7591</v>
      </c>
      <c r="I1195" t="str" s="8" cm="1">
        <f t="array" ref="I1195">SUBSTITUTE(H1195,B1195,"(          )")</f>
        <v>Please provide only (          ) information in your report.</v>
      </c>
      <c r="J1195" s="9" cm="1">
        <f t="array" ref="J1195">SUMIF('외운 것 - 엑셀다운로드 파일(붙여넣기)'!A3:A562,A1195,'외운 것 - 엑셀다운로드 파일(붙여넣기)'!D3:D562)</f>
        <v>0</v>
      </c>
      <c r="K1195" s="9" cm="1">
        <f t="array" ref="K1195">_xlfn.COUNTIFS('외운 것 - 엑셀다운로드 파일(붙여넣기)'!A3:A562,A1195,'외운 것 - 엑셀다운로드 파일(붙여넣기)'!D3:D562,0)</f>
        <v>0</v>
      </c>
      <c r="L1195" s="9" cm="1">
        <f t="array" ref="L1195">IF(J1195&gt;=3,_xlfn.XLOOKUP(A1195,'외운 것 - 엑셀다운로드 파일(붙여넣기)'!A3:A562,'외운 것 - 엑셀다운로드 파일(붙여넣기)'!C3:C562,0,-1),0)</f>
        <v>0</v>
      </c>
    </row>
    <row r="1196" ht="36.4" customHeight="1">
      <c r="A1196" s="3">
        <v>1195</v>
      </c>
      <c r="B1196" t="s" s="4">
        <v>7593</v>
      </c>
      <c r="C1196" t="s" s="5">
        <v>7594</v>
      </c>
      <c r="D1196" t="s" s="5">
        <v>7542</v>
      </c>
      <c r="E1196" t="s" s="5">
        <v>7595</v>
      </c>
      <c r="F1196" t="s" s="10">
        <v>7596</v>
      </c>
      <c r="G1196" t="s" s="7">
        <v>7597</v>
      </c>
      <c r="H1196" t="s" s="7">
        <v>7598</v>
      </c>
      <c r="I1196" t="str" s="8" cm="1">
        <f t="array" ref="I1196">SUBSTITUTE(H1196,B1196,"(          )")</f>
        <v>The witness's personal opinion is (          ) to the case.</v>
      </c>
      <c r="J1196" s="9" cm="1">
        <f t="array" ref="J1196">SUMIF('외운 것 - 엑셀다운로드 파일(붙여넣기)'!A3:A562,A1196,'외운 것 - 엑셀다운로드 파일(붙여넣기)'!D3:D562)</f>
        <v>0</v>
      </c>
      <c r="K1196" s="9" cm="1">
        <f t="array" ref="K1196">_xlfn.COUNTIFS('외운 것 - 엑셀다운로드 파일(붙여넣기)'!A3:A562,A1196,'외운 것 - 엑셀다운로드 파일(붙여넣기)'!D3:D562,0)</f>
        <v>0</v>
      </c>
      <c r="L1196" s="9" cm="1">
        <f t="array" ref="L1196">IF(J1196&gt;=3,_xlfn.XLOOKUP(A1196,'외운 것 - 엑셀다운로드 파일(붙여넣기)'!A3:A562,'외운 것 - 엑셀다운로드 파일(붙여넣기)'!C3:C562,0,-1),0)</f>
        <v>0</v>
      </c>
    </row>
    <row r="1197" ht="38.45" customHeight="1">
      <c r="A1197" s="3">
        <v>1196</v>
      </c>
      <c r="B1197" t="s" s="4">
        <v>7600</v>
      </c>
      <c r="C1197" t="s" s="5">
        <v>7296</v>
      </c>
      <c r="D1197" t="s" s="5">
        <v>7601</v>
      </c>
      <c r="E1197" t="s" s="5">
        <v>7602</v>
      </c>
      <c r="F1197" t="s" s="10">
        <v>7603</v>
      </c>
      <c r="G1197" t="s" s="7">
        <v>7604</v>
      </c>
      <c r="H1197" t="s" s="7">
        <v>7605</v>
      </c>
      <c r="I1197" t="str" s="8" cm="1">
        <f t="array" ref="I1197">SUBSTITUTE(H1197,B1197,"(          )")</f>
        <v>Turn on the (          ); it's too dark to read.</v>
      </c>
      <c r="J1197" s="9" cm="1">
        <f t="array" ref="J1197">SUMIF('외운 것 - 엑셀다운로드 파일(붙여넣기)'!A3:A562,A1197,'외운 것 - 엑셀다운로드 파일(붙여넣기)'!D3:D562)</f>
        <v>0</v>
      </c>
      <c r="K1197" s="9" cm="1">
        <f t="array" ref="K1197">_xlfn.COUNTIFS('외운 것 - 엑셀다운로드 파일(붙여넣기)'!A3:A562,A1197,'외운 것 - 엑셀다운로드 파일(붙여넣기)'!D3:D562,0)</f>
        <v>0</v>
      </c>
      <c r="L1197" s="9" cm="1">
        <f t="array" ref="L1197">IF(J1197&gt;=3,_xlfn.XLOOKUP(A1197,'외운 것 - 엑셀다운로드 파일(붙여넣기)'!A3:A562,'외운 것 - 엑셀다운로드 파일(붙여넣기)'!C3:C562,0,-1),0)</f>
        <v>0</v>
      </c>
    </row>
    <row r="1198" ht="23.45" customHeight="1">
      <c r="A1198" s="3">
        <v>1197</v>
      </c>
      <c r="B1198" t="s" s="4">
        <v>7607</v>
      </c>
      <c r="C1198" t="s" s="5">
        <v>7600</v>
      </c>
      <c r="D1198" t="s" s="5">
        <v>7601</v>
      </c>
      <c r="E1198" t="s" s="5">
        <v>7608</v>
      </c>
      <c r="F1198" t="s" s="10">
        <v>7609</v>
      </c>
      <c r="G1198" t="s" s="7">
        <v>7610</v>
      </c>
      <c r="H1198" t="s" s="7">
        <v>7611</v>
      </c>
      <c r="I1198" t="str" s="8" cm="1">
        <f t="array" ref="I1198">SUBSTITUTE(H1198,B1198,"(          )")</f>
        <v>Lightning struck the tree during the storm.</v>
      </c>
      <c r="J1198" s="9" cm="1">
        <f t="array" ref="J1198">SUMIF('외운 것 - 엑셀다운로드 파일(붙여넣기)'!A3:A562,A1198,'외운 것 - 엑셀다운로드 파일(붙여넣기)'!D3:D562)</f>
        <v>0</v>
      </c>
      <c r="K1198" s="9" cm="1">
        <f t="array" ref="K1198">_xlfn.COUNTIFS('외운 것 - 엑셀다운로드 파일(붙여넣기)'!A3:A562,A1198,'외운 것 - 엑셀다운로드 파일(붙여넣기)'!D3:D562,0)</f>
        <v>0</v>
      </c>
      <c r="L1198" s="9" cm="1">
        <f t="array" ref="L1198">IF(J1198&gt;=3,_xlfn.XLOOKUP(A1198,'외운 것 - 엑셀다운로드 파일(붙여넣기)'!A3:A562,'외운 것 - 엑셀다운로드 파일(붙여넣기)'!C3:C562,0,-1),0)</f>
        <v>0</v>
      </c>
    </row>
    <row r="1199" ht="38.45" customHeight="1">
      <c r="A1199" s="3">
        <v>1198</v>
      </c>
      <c r="B1199" t="s" s="4">
        <v>7613</v>
      </c>
      <c r="C1199" t="s" s="5">
        <v>7600</v>
      </c>
      <c r="D1199" t="s" s="5">
        <v>7601</v>
      </c>
      <c r="E1199" t="s" s="5">
        <v>7614</v>
      </c>
      <c r="F1199" t="s" s="10">
        <v>7615</v>
      </c>
      <c r="G1199" t="s" s="7">
        <v>7616</v>
      </c>
      <c r="H1199" t="s" s="7">
        <v>7617</v>
      </c>
      <c r="I1199" t="str" s="8" cm="1">
        <f t="array" ref="I1199">SUBSTITUTE(H1199,B1199,"(          )")</f>
        <v>The professor tried to (          ) students about complex theories.</v>
      </c>
      <c r="J1199" s="9" cm="1">
        <f t="array" ref="J1199">SUMIF('외운 것 - 엑셀다운로드 파일(붙여넣기)'!A3:A562,A1199,'외운 것 - 엑셀다운로드 파일(붙여넣기)'!D3:D562)</f>
        <v>0</v>
      </c>
      <c r="K1199" s="9" cm="1">
        <f t="array" ref="K1199">_xlfn.COUNTIFS('외운 것 - 엑셀다운로드 파일(붙여넣기)'!A3:A562,A1199,'외운 것 - 엑셀다운로드 파일(붙여넣기)'!D3:D562,0)</f>
        <v>0</v>
      </c>
      <c r="L1199" s="9" cm="1">
        <f t="array" ref="L1199">IF(J1199&gt;=3,_xlfn.XLOOKUP(A1199,'외운 것 - 엑셀다운로드 파일(붙여넣기)'!A3:A562,'외운 것 - 엑셀다운로드 파일(붙여넣기)'!C3:C562,0,-1),0)</f>
        <v>0</v>
      </c>
    </row>
    <row r="1200" ht="23.45" customHeight="1">
      <c r="A1200" s="3">
        <v>1199</v>
      </c>
      <c r="B1200" t="s" s="4">
        <v>4346</v>
      </c>
      <c r="C1200" t="s" s="5">
        <v>7600</v>
      </c>
      <c r="D1200" t="s" s="5">
        <v>7601</v>
      </c>
      <c r="E1200" t="s" s="5">
        <v>4347</v>
      </c>
      <c r="F1200" t="s" s="10">
        <v>7619</v>
      </c>
      <c r="G1200" t="s" s="7">
        <v>7620</v>
      </c>
      <c r="H1200" t="s" s="7">
        <v>4350</v>
      </c>
      <c r="I1200" t="str" s="8" cm="1">
        <f t="array" ref="I1200">SUBSTITUTE(H1200,B1200,"(          )")</f>
        <v>Our (          ) to Tokyo was delayed by two hours.</v>
      </c>
      <c r="J1200" s="9" cm="1">
        <f t="array" ref="J1200">SUMIF('외운 것 - 엑셀다운로드 파일(붙여넣기)'!A3:A562,A1200,'외운 것 - 엑셀다운로드 파일(붙여넣기)'!D3:D562)</f>
        <v>0</v>
      </c>
      <c r="K1200" s="9" cm="1">
        <f t="array" ref="K1200">_xlfn.COUNTIFS('외운 것 - 엑셀다운로드 파일(붙여넣기)'!A3:A562,A1200,'외운 것 - 엑셀다운로드 파일(붙여넣기)'!D3:D562,0)</f>
        <v>0</v>
      </c>
      <c r="L1200" s="9" cm="1">
        <f t="array" ref="L1200">IF(J1200&gt;=3,_xlfn.XLOOKUP(A1200,'외운 것 - 엑셀다운로드 파일(붙여넣기)'!A3:A562,'외운 것 - 엑셀다운로드 파일(붙여넣기)'!C3:C562,0,-1),0)</f>
        <v>0</v>
      </c>
    </row>
    <row r="1201" ht="38.45" customHeight="1">
      <c r="A1201" s="3">
        <v>1200</v>
      </c>
      <c r="B1201" t="s" s="4">
        <v>7621</v>
      </c>
      <c r="C1201" t="s" s="5">
        <v>7600</v>
      </c>
      <c r="D1201" t="s" s="5">
        <v>7601</v>
      </c>
      <c r="E1201" t="s" s="5">
        <v>7622</v>
      </c>
      <c r="F1201" t="s" s="10">
        <v>7623</v>
      </c>
      <c r="G1201" t="s" s="7">
        <v>7624</v>
      </c>
      <c r="H1201" t="s" s="7">
        <v>7625</v>
      </c>
      <c r="I1201" t="str" s="8" cm="1">
        <f t="array" ref="I1201">SUBSTITUTE(H1201,B1201,"(          )")</f>
        <v>We watched the sunset during (          ).</v>
      </c>
      <c r="J1201" s="9" cm="1">
        <f t="array" ref="J1201">SUMIF('외운 것 - 엑셀다운로드 파일(붙여넣기)'!A3:A562,A1201,'외운 것 - 엑셀다운로드 파일(붙여넣기)'!D3:D562)</f>
        <v>0</v>
      </c>
      <c r="K1201" s="9" cm="1">
        <f t="array" ref="K1201">_xlfn.COUNTIFS('외운 것 - 엑셀다운로드 파일(붙여넣기)'!A3:A562,A1201,'외운 것 - 엑셀다운로드 파일(붙여넣기)'!D3:D562,0)</f>
        <v>0</v>
      </c>
      <c r="L1201" s="9" cm="1">
        <f t="array" ref="L1201">IF(J1201&gt;=3,_xlfn.XLOOKUP(A1201,'외운 것 - 엑셀다운로드 파일(붙여넣기)'!A3:A562,'외운 것 - 엑셀다운로드 파일(붙여넣기)'!C3:C562,0,-1),0)</f>
        <v>0</v>
      </c>
    </row>
    <row r="1202" ht="38.45" customHeight="1">
      <c r="A1202" s="3">
        <v>1201</v>
      </c>
      <c r="B1202" t="s" s="4">
        <v>7627</v>
      </c>
      <c r="C1202" t="s" s="5">
        <v>7628</v>
      </c>
      <c r="D1202" t="s" s="5">
        <v>7601</v>
      </c>
      <c r="E1202" t="s" s="5">
        <v>7629</v>
      </c>
      <c r="F1202" t="s" s="10">
        <v>7630</v>
      </c>
      <c r="G1202" t="s" s="7">
        <v>7631</v>
      </c>
      <c r="H1202" t="s" s="7">
        <v>7632</v>
      </c>
      <c r="I1202" t="str" s="8" cm="1">
        <f t="array" ref="I1202">SUBSTITUTE(H1202,B1202,"(          )")</f>
        <v>A small spark can (          ) a forest fire.</v>
      </c>
      <c r="J1202" s="9" cm="1">
        <f t="array" ref="J1202">SUMIF('외운 것 - 엑셀다운로드 파일(붙여넣기)'!A3:A562,A1202,'외운 것 - 엑셀다운로드 파일(붙여넣기)'!D3:D562)</f>
        <v>0</v>
      </c>
      <c r="K1202" s="9" cm="1">
        <f t="array" ref="K1202">_xlfn.COUNTIFS('외운 것 - 엑셀다운로드 파일(붙여넣기)'!A3:A562,A1202,'외운 것 - 엑셀다운로드 파일(붙여넣기)'!D3:D562,0)</f>
        <v>0</v>
      </c>
      <c r="L1202" s="9" cm="1">
        <f t="array" ref="L1202">IF(J1202&gt;=3,_xlfn.XLOOKUP(A1202,'외운 것 - 엑셀다운로드 파일(붙여넣기)'!A3:A562,'외운 것 - 엑셀다운로드 파일(붙여넣기)'!C3:C562,0,-1),0)</f>
        <v>0</v>
      </c>
    </row>
    <row r="1203" ht="23.45" customHeight="1">
      <c r="A1203" s="3">
        <v>1202</v>
      </c>
      <c r="B1203" t="s" s="4">
        <v>7634</v>
      </c>
      <c r="C1203" t="s" s="5">
        <v>7600</v>
      </c>
      <c r="D1203" t="s" s="5">
        <v>7601</v>
      </c>
      <c r="E1203" t="s" s="5">
        <v>7635</v>
      </c>
      <c r="F1203" t="s" s="10">
        <v>7636</v>
      </c>
      <c r="G1203" t="s" s="7">
        <v>7637</v>
      </c>
      <c r="H1203" t="s" s="7">
        <v>7638</v>
      </c>
      <c r="I1203" t="str" s="8" cm="1">
        <f t="array" ref="I1203">SUBSTITUTE(H1203,B1203,"(          )")</f>
        <v>There was a (          ) improvement in her condition.</v>
      </c>
      <c r="J1203" s="9" cm="1">
        <f t="array" ref="J1203">SUMIF('외운 것 - 엑셀다운로드 파일(붙여넣기)'!A3:A562,A1203,'외운 것 - 엑셀다운로드 파일(붙여넣기)'!D3:D562)</f>
        <v>0</v>
      </c>
      <c r="K1203" s="9" cm="1">
        <f t="array" ref="K1203">_xlfn.COUNTIFS('외운 것 - 엑셀다운로드 파일(붙여넣기)'!A3:A562,A1203,'외운 것 - 엑셀다운로드 파일(붙여넣기)'!D3:D562,0)</f>
        <v>0</v>
      </c>
      <c r="L1203" s="9" cm="1">
        <f t="array" ref="L1203">IF(J1203&gt;=3,_xlfn.XLOOKUP(A1203,'외운 것 - 엑셀다운로드 파일(붙여넣기)'!A3:A562,'외운 것 - 엑셀다운로드 파일(붙여넣기)'!C3:C562,0,-1),0)</f>
        <v>0</v>
      </c>
    </row>
    <row r="1204" ht="23.45" customHeight="1">
      <c r="A1204" s="3">
        <v>1203</v>
      </c>
      <c r="B1204" t="s" s="4">
        <v>7639</v>
      </c>
      <c r="C1204" t="s" s="5">
        <v>7640</v>
      </c>
      <c r="D1204" t="s" s="5">
        <v>7601</v>
      </c>
      <c r="E1204" t="s" s="5">
        <v>7641</v>
      </c>
      <c r="F1204" t="s" s="10">
        <v>7642</v>
      </c>
      <c r="G1204" t="s" s="7">
        <v>7643</v>
      </c>
      <c r="H1204" t="s" s="7">
        <v>7644</v>
      </c>
      <c r="I1204" t="str" s="8" cm="1">
        <f t="array" ref="I1204">SUBSTITUTE(H1204,B1204,"(          )")</f>
        <v>The room was (          ) with sunshine.</v>
      </c>
      <c r="J1204" s="9" cm="1">
        <f t="array" ref="J1204">SUMIF('외운 것 - 엑셀다운로드 파일(붙여넣기)'!A3:A562,A1204,'외운 것 - 엑셀다운로드 파일(붙여넣기)'!D3:D562)</f>
        <v>0</v>
      </c>
      <c r="K1204" s="9" cm="1">
        <f t="array" ref="K1204">_xlfn.COUNTIFS('외운 것 - 엑셀다운로드 파일(붙여넣기)'!A3:A562,A1204,'외운 것 - 엑셀다운로드 파일(붙여넣기)'!D3:D562,0)</f>
        <v>0</v>
      </c>
      <c r="L1204" s="9" cm="1">
        <f t="array" ref="L1204">IF(J1204&gt;=3,_xlfn.XLOOKUP(A1204,'외운 것 - 엑셀다운로드 파일(붙여넣기)'!A3:A562,'외운 것 - 엑셀다운로드 파일(붙여넣기)'!C3:C562,0,-1),0)</f>
        <v>0</v>
      </c>
    </row>
    <row r="1205" ht="38.45" customHeight="1">
      <c r="A1205" s="3">
        <v>1204</v>
      </c>
      <c r="B1205" t="s" s="4">
        <v>7646</v>
      </c>
      <c r="C1205" t="s" s="5">
        <v>7647</v>
      </c>
      <c r="D1205" t="s" s="5">
        <v>7600</v>
      </c>
      <c r="E1205" t="s" s="5">
        <v>7648</v>
      </c>
      <c r="F1205" t="s" s="10">
        <v>7649</v>
      </c>
      <c r="G1205" t="s" s="7">
        <v>7650</v>
      </c>
      <c r="H1205" t="s" s="7">
        <v>7651</v>
      </c>
      <c r="I1205" t="str" s="8" cm="1">
        <f t="array" ref="I1205">SUBSTITUTE(H1205,B1205,"(          )")</f>
        <v>She had a (          ) idea to solve the problem.</v>
      </c>
      <c r="J1205" s="9" cm="1">
        <f t="array" ref="J1205">SUMIF('외운 것 - 엑셀다운로드 파일(붙여넣기)'!A3:A562,A1205,'외운 것 - 엑셀다운로드 파일(붙여넣기)'!D3:D562)</f>
        <v>0</v>
      </c>
      <c r="K1205" s="9" cm="1">
        <f t="array" ref="K1205">_xlfn.COUNTIFS('외운 것 - 엑셀다운로드 파일(붙여넣기)'!A3:A562,A1205,'외운 것 - 엑셀다운로드 파일(붙여넣기)'!D3:D562,0)</f>
        <v>0</v>
      </c>
      <c r="L1205" s="9" cm="1">
        <f t="array" ref="L1205">IF(J1205&gt;=3,_xlfn.XLOOKUP(A1205,'외운 것 - 엑셀다운로드 파일(붙여넣기)'!A3:A562,'외운 것 - 엑셀다운로드 파일(붙여넣기)'!C3:C562,0,-1),0)</f>
        <v>0</v>
      </c>
    </row>
    <row r="1206" ht="38.45" customHeight="1">
      <c r="A1206" s="3">
        <v>1205</v>
      </c>
      <c r="B1206" t="s" s="4">
        <v>7653</v>
      </c>
      <c r="C1206" t="s" s="5">
        <v>7600</v>
      </c>
      <c r="D1206" t="s" s="5">
        <v>7601</v>
      </c>
      <c r="E1206" t="s" s="5">
        <v>7654</v>
      </c>
      <c r="F1206" t="s" s="10">
        <v>7655</v>
      </c>
      <c r="G1206" t="s" s="7">
        <v>7656</v>
      </c>
      <c r="H1206" t="s" s="7">
        <v>7657</v>
      </c>
      <c r="I1206" t="str" s="8" cm="1">
        <f t="array" ref="I1206">SUBSTITUTE(H1206,B1206,"(          )")</f>
        <v>Children take (          ) in simple pleasures.</v>
      </c>
      <c r="J1206" s="9" cm="1">
        <f t="array" ref="J1206">SUMIF('외운 것 - 엑셀다운로드 파일(붙여넣기)'!A3:A562,A1206,'외운 것 - 엑셀다운로드 파일(붙여넣기)'!D3:D562)</f>
        <v>0</v>
      </c>
      <c r="K1206" s="9" cm="1">
        <f t="array" ref="K1206">_xlfn.COUNTIFS('외운 것 - 엑셀다운로드 파일(붙여넣기)'!A3:A562,A1206,'외운 것 - 엑셀다운로드 파일(붙여넣기)'!D3:D562,0)</f>
        <v>0</v>
      </c>
      <c r="L1206" s="9" cm="1">
        <f t="array" ref="L1206">IF(J1206&gt;=3,_xlfn.XLOOKUP(A1206,'외운 것 - 엑셀다운로드 파일(붙여넣기)'!A3:A562,'외운 것 - 엑셀다운로드 파일(붙여넣기)'!C3:C562,0,-1),0)</f>
        <v>0</v>
      </c>
    </row>
    <row r="1207" ht="23.45" customHeight="1">
      <c r="A1207" s="3">
        <v>1206</v>
      </c>
      <c r="B1207" t="s" s="4">
        <v>7659</v>
      </c>
      <c r="C1207" t="s" s="5">
        <v>7660</v>
      </c>
      <c r="D1207" t="s" s="5">
        <v>7661</v>
      </c>
      <c r="E1207" t="s" s="5">
        <v>7662</v>
      </c>
      <c r="F1207" t="s" s="10">
        <v>7663</v>
      </c>
      <c r="G1207" t="s" s="7">
        <v>7664</v>
      </c>
      <c r="H1207" t="s" s="7">
        <v>7665</v>
      </c>
      <c r="I1207" t="str" s="8" cm="1">
        <f t="array" ref="I1207">SUBSTITUTE(H1207,B1207,"(          )")</f>
        <v>Support (          ) businesses in your community.</v>
      </c>
      <c r="J1207" s="9" cm="1">
        <f t="array" ref="J1207">SUMIF('외운 것 - 엑셀다운로드 파일(붙여넣기)'!A3:A562,A1207,'외운 것 - 엑셀다운로드 파일(붙여넣기)'!D3:D562)</f>
        <v>0</v>
      </c>
      <c r="K1207" s="9" cm="1">
        <f t="array" ref="K1207">_xlfn.COUNTIFS('외운 것 - 엑셀다운로드 파일(붙여넣기)'!A3:A562,A1207,'외운 것 - 엑셀다운로드 파일(붙여넣기)'!D3:D562,0)</f>
        <v>0</v>
      </c>
      <c r="L1207" s="9" cm="1">
        <f t="array" ref="L1207">IF(J1207&gt;=3,_xlfn.XLOOKUP(A1207,'외운 것 - 엑셀다운로드 파일(붙여넣기)'!A3:A562,'외운 것 - 엑셀다운로드 파일(붙여넣기)'!C3:C562,0,-1),0)</f>
        <v>0</v>
      </c>
    </row>
    <row r="1208" ht="23.45" customHeight="1">
      <c r="A1208" s="3">
        <v>1207</v>
      </c>
      <c r="B1208" t="s" s="4">
        <v>7667</v>
      </c>
      <c r="C1208" t="s" s="5">
        <v>7660</v>
      </c>
      <c r="D1208" t="s" s="5">
        <v>7661</v>
      </c>
      <c r="E1208" t="s" s="5">
        <v>7668</v>
      </c>
      <c r="F1208" t="s" s="10">
        <v>7669</v>
      </c>
      <c r="G1208" t="s" s="7">
        <v>7670</v>
      </c>
      <c r="H1208" t="s" s="7">
        <v>7671</v>
      </c>
      <c r="I1208" t="str" s="8" cm="1">
        <f t="array" ref="I1208">SUBSTITUTE(H1208,B1208,"(          )")</f>
        <v>Can you help me (          ) my missing keys?</v>
      </c>
      <c r="J1208" s="9" cm="1">
        <f t="array" ref="J1208">SUMIF('외운 것 - 엑셀다운로드 파일(붙여넣기)'!A3:A562,A1208,'외운 것 - 엑셀다운로드 파일(붙여넣기)'!D3:D562)</f>
        <v>0</v>
      </c>
      <c r="K1208" s="9" cm="1">
        <f t="array" ref="K1208">_xlfn.COUNTIFS('외운 것 - 엑셀다운로드 파일(붙여넣기)'!A3:A562,A1208,'외운 것 - 엑셀다운로드 파일(붙여넣기)'!D3:D562,0)</f>
        <v>0</v>
      </c>
      <c r="L1208" s="9" cm="1">
        <f t="array" ref="L1208">IF(J1208&gt;=3,_xlfn.XLOOKUP(A1208,'외운 것 - 엑셀다운로드 파일(붙여넣기)'!A3:A562,'외운 것 - 엑셀다운로드 파일(붙여넣기)'!C3:C562,0,-1),0)</f>
        <v>0</v>
      </c>
    </row>
    <row r="1209" ht="36.4" customHeight="1">
      <c r="A1209" s="3">
        <v>1208</v>
      </c>
      <c r="B1209" t="s" s="4">
        <v>7673</v>
      </c>
      <c r="C1209" t="s" s="5">
        <v>7674</v>
      </c>
      <c r="D1209" t="s" s="5">
        <v>7660</v>
      </c>
      <c r="E1209" t="s" s="5">
        <v>7675</v>
      </c>
      <c r="F1209" t="s" s="10">
        <v>7676</v>
      </c>
      <c r="G1209" t="s" s="7">
        <v>7677</v>
      </c>
      <c r="H1209" t="s" s="7">
        <v>7678</v>
      </c>
      <c r="I1209" t="str" s="8" cm="1">
        <f t="array" ref="I1209">SUBSTITUTE(H1209,B1209,"(          )")</f>
        <v>The (          ) of the conference is still undecided.</v>
      </c>
      <c r="J1209" s="9" cm="1">
        <f t="array" ref="J1209">SUMIF('외운 것 - 엑셀다운로드 파일(붙여넣기)'!A3:A562,A1209,'외운 것 - 엑셀다운로드 파일(붙여넣기)'!D3:D562)</f>
        <v>0</v>
      </c>
      <c r="K1209" s="9" cm="1">
        <f t="array" ref="K1209">_xlfn.COUNTIFS('외운 것 - 엑셀다운로드 파일(붙여넣기)'!A3:A562,A1209,'외운 것 - 엑셀다운로드 파일(붙여넣기)'!D3:D562,0)</f>
        <v>0</v>
      </c>
      <c r="L1209" s="9" cm="1">
        <f t="array" ref="L1209">IF(J1209&gt;=3,_xlfn.XLOOKUP(A1209,'외운 것 - 엑셀다운로드 파일(붙여넣기)'!A3:A562,'외운 것 - 엑셀다운로드 파일(붙여넣기)'!C3:C562,0,-1),0)</f>
        <v>0</v>
      </c>
    </row>
    <row r="1210" ht="36.4" customHeight="1">
      <c r="A1210" s="3">
        <v>1209</v>
      </c>
      <c r="B1210" t="s" s="4">
        <v>7680</v>
      </c>
      <c r="C1210" t="s" s="5">
        <v>7674</v>
      </c>
      <c r="D1210" t="s" s="5">
        <v>7660</v>
      </c>
      <c r="E1210" t="s" s="5">
        <v>7681</v>
      </c>
      <c r="F1210" t="s" s="10">
        <v>7682</v>
      </c>
      <c r="G1210" t="s" s="7">
        <v>7683</v>
      </c>
      <c r="H1210" t="s" s="7">
        <v>7684</v>
      </c>
      <c r="I1210" t="str" s="8" cm="1">
        <f t="array" ref="I1210">SUBSTITUTE(H1210,B1210,"(          )")</f>
        <v>The fair (          ) of resources is a challenge.</v>
      </c>
      <c r="J1210" s="9" cm="1">
        <f t="array" ref="J1210">SUMIF('외운 것 - 엑셀다운로드 파일(붙여넣기)'!A3:A562,A1210,'외운 것 - 엑셀다운로드 파일(붙여넣기)'!D3:D562)</f>
        <v>0</v>
      </c>
      <c r="K1210" s="9" cm="1">
        <f t="array" ref="K1210">_xlfn.COUNTIFS('외운 것 - 엑셀다운로드 파일(붙여넣기)'!A3:A562,A1210,'외운 것 - 엑셀다운로드 파일(붙여넣기)'!D3:D562,0)</f>
        <v>0</v>
      </c>
      <c r="L1210" s="9" cm="1">
        <f t="array" ref="L1210">IF(J1210&gt;=3,_xlfn.XLOOKUP(A1210,'외운 것 - 엑셀다운로드 파일(붙여넣기)'!A3:A562,'외운 것 - 엑셀다운로드 파일(붙여넣기)'!C3:C562,0,-1),0)</f>
        <v>0</v>
      </c>
    </row>
    <row r="1211" ht="36.4" customHeight="1">
      <c r="A1211" s="3">
        <v>1210</v>
      </c>
      <c r="B1211" t="s" s="4">
        <v>7686</v>
      </c>
      <c r="C1211" t="s" s="5">
        <v>7674</v>
      </c>
      <c r="D1211" t="s" s="5">
        <v>7660</v>
      </c>
      <c r="E1211" t="s" s="5">
        <v>7687</v>
      </c>
      <c r="F1211" t="s" s="10">
        <v>7688</v>
      </c>
      <c r="G1211" t="s" s="7">
        <v>7689</v>
      </c>
      <c r="H1211" t="s" s="7">
        <v>7690</v>
      </c>
      <c r="I1211" t="str" s="8" cm="1">
        <f t="array" ref="I1211">SUBSTITUTE(H1211,B1211,"(          )")</f>
        <v>The fall caused him to (          ) his shoulder.</v>
      </c>
      <c r="J1211" s="9" cm="1">
        <f t="array" ref="J1211">SUMIF('외운 것 - 엑셀다운로드 파일(붙여넣기)'!A3:A562,A1211,'외운 것 - 엑셀다운로드 파일(붙여넣기)'!D3:D562)</f>
        <v>0</v>
      </c>
      <c r="K1211" s="9" cm="1">
        <f t="array" ref="K1211">_xlfn.COUNTIFS('외운 것 - 엑셀다운로드 파일(붙여넣기)'!A3:A562,A1211,'외운 것 - 엑셀다운로드 파일(붙여넣기)'!D3:D562,0)</f>
        <v>0</v>
      </c>
      <c r="L1211" s="9" cm="1">
        <f t="array" ref="L1211">IF(J1211&gt;=3,_xlfn.XLOOKUP(A1211,'외운 것 - 엑셀다운로드 파일(붙여넣기)'!A3:A562,'외운 것 - 엑셀다운로드 파일(붙여넣기)'!C3:C562,0,-1),0)</f>
        <v>0</v>
      </c>
    </row>
    <row r="1212" ht="36.4" customHeight="1">
      <c r="A1212" s="3">
        <v>1211</v>
      </c>
      <c r="B1212" t="s" s="4">
        <v>7692</v>
      </c>
      <c r="C1212" t="s" s="5">
        <v>7674</v>
      </c>
      <c r="D1212" t="s" s="5">
        <v>7660</v>
      </c>
      <c r="E1212" t="s" s="5">
        <v>7693</v>
      </c>
      <c r="F1212" t="s" s="10">
        <v>7694</v>
      </c>
      <c r="G1212" t="s" s="7">
        <v>7695</v>
      </c>
      <c r="H1212" t="s" s="7">
        <v>7696</v>
      </c>
      <c r="I1212" t="str" s="8" cm="1">
        <f t="array" ref="I1212">SUBSTITUTE(H1212,B1212,"(          )")</f>
        <v>The company plans to (          ) to a larger office.</v>
      </c>
      <c r="J1212" s="9" cm="1">
        <f t="array" ref="J1212">SUMIF('외운 것 - 엑셀다운로드 파일(붙여넣기)'!A3:A562,A1212,'외운 것 - 엑셀다운로드 파일(붙여넣기)'!D3:D562)</f>
        <v>0</v>
      </c>
      <c r="K1212" s="9" cm="1">
        <f t="array" ref="K1212">_xlfn.COUNTIFS('외운 것 - 엑셀다운로드 파일(붙여넣기)'!A3:A562,A1212,'외운 것 - 엑셀다운로드 파일(붙여넣기)'!D3:D562,0)</f>
        <v>0</v>
      </c>
      <c r="L1212" s="9" cm="1">
        <f t="array" ref="L1212">IF(J1212&gt;=3,_xlfn.XLOOKUP(A1212,'외운 것 - 엑셀다운로드 파일(붙여넣기)'!A3:A562,'외운 것 - 엑셀다운로드 파일(붙여넣기)'!C3:C562,0,-1),0)</f>
        <v>0</v>
      </c>
    </row>
    <row r="1213" ht="23.45" customHeight="1">
      <c r="A1213" s="3">
        <v>1212</v>
      </c>
      <c r="B1213" t="s" s="4">
        <v>7698</v>
      </c>
      <c r="C1213" t="s" s="5">
        <v>7660</v>
      </c>
      <c r="D1213" t="s" s="5">
        <v>7661</v>
      </c>
      <c r="E1213" t="s" s="5">
        <v>7699</v>
      </c>
      <c r="F1213" t="s" s="10">
        <v>7700</v>
      </c>
      <c r="G1213" t="s" s="7">
        <v>7701</v>
      </c>
      <c r="H1213" t="s" s="7">
        <v>4690</v>
      </c>
      <c r="I1213" t="str" s="8" cm="1">
        <f t="array" ref="I1213">SUBSTITUTE(H1213,B1213,"(          )")</f>
        <v>Don't forget to (          ) the door when you leave.</v>
      </c>
      <c r="J1213" s="9" cm="1">
        <f t="array" ref="J1213">SUMIF('외운 것 - 엑셀다운로드 파일(붙여넣기)'!A3:A562,A1213,'외운 것 - 엑셀다운로드 파일(붙여넣기)'!D3:D562)</f>
        <v>0</v>
      </c>
      <c r="K1213" s="9" cm="1">
        <f t="array" ref="K1213">_xlfn.COUNTIFS('외운 것 - 엑셀다운로드 파일(붙여넣기)'!A3:A562,A1213,'외운 것 - 엑셀다운로드 파일(붙여넣기)'!D3:D562,0)</f>
        <v>0</v>
      </c>
      <c r="L1213" s="9" cm="1">
        <f t="array" ref="L1213">IF(J1213&gt;=3,_xlfn.XLOOKUP(A1213,'외운 것 - 엑셀다운로드 파일(붙여넣기)'!A3:A562,'외운 것 - 엑셀다운로드 파일(붙여넣기)'!C3:C562,0,-1),0)</f>
        <v>0</v>
      </c>
    </row>
    <row r="1214" ht="23.45" customHeight="1">
      <c r="A1214" s="3">
        <v>1213</v>
      </c>
      <c r="B1214" t="s" s="4">
        <v>7703</v>
      </c>
      <c r="C1214" t="s" s="5">
        <v>7704</v>
      </c>
      <c r="D1214" t="s" s="5">
        <v>7660</v>
      </c>
      <c r="E1214" t="s" s="5">
        <v>7705</v>
      </c>
      <c r="F1214" t="s" s="10">
        <v>7706</v>
      </c>
      <c r="G1214" t="s" s="7">
        <v>7707</v>
      </c>
      <c r="H1214" t="s" s="7">
        <v>7708</v>
      </c>
      <c r="I1214" t="str" s="8" cm="1">
        <f t="array" ref="I1214">SUBSTITUTE(H1214,B1214,"(          )")</f>
        <v>Use this key to (          ) the cabinet.</v>
      </c>
      <c r="J1214" s="9" cm="1">
        <f t="array" ref="J1214">SUMIF('외운 것 - 엑셀다운로드 파일(붙여넣기)'!A3:A562,A1214,'외운 것 - 엑셀다운로드 파일(붙여넣기)'!D3:D562)</f>
        <v>0</v>
      </c>
      <c r="K1214" s="9" cm="1">
        <f t="array" ref="K1214">_xlfn.COUNTIFS('외운 것 - 엑셀다운로드 파일(붙여넣기)'!A3:A562,A1214,'외운 것 - 엑셀다운로드 파일(붙여넣기)'!D3:D562,0)</f>
        <v>0</v>
      </c>
      <c r="L1214" s="9" cm="1">
        <f t="array" ref="L1214">IF(J1214&gt;=3,_xlfn.XLOOKUP(A1214,'외운 것 - 엑셀다운로드 파일(붙여넣기)'!A3:A562,'외운 것 - 엑셀다운로드 파일(붙여넣기)'!C3:C562,0,-1),0)</f>
        <v>0</v>
      </c>
    </row>
    <row r="1215" ht="23.45" customHeight="1">
      <c r="A1215" s="3">
        <v>1214</v>
      </c>
      <c r="B1215" t="s" s="4">
        <v>7710</v>
      </c>
      <c r="C1215" t="s" s="5">
        <v>7704</v>
      </c>
      <c r="D1215" t="s" s="5">
        <v>7660</v>
      </c>
      <c r="E1215" t="s" s="5">
        <v>7711</v>
      </c>
      <c r="F1215" t="s" s="10">
        <v>7712</v>
      </c>
      <c r="G1215" t="s" s="7">
        <v>7713</v>
      </c>
      <c r="H1215" t="s" s="7">
        <v>7714</v>
      </c>
      <c r="I1215" t="str" s="8" cm="1">
        <f t="array" ref="I1215">SUBSTITUTE(H1215,B1215,"(          )")</f>
        <v>Store your valuables in the (          ) at the gym.</v>
      </c>
      <c r="J1215" s="9" cm="1">
        <f t="array" ref="J1215">SUMIF('외운 것 - 엑셀다운로드 파일(붙여넣기)'!A3:A562,A1215,'외운 것 - 엑셀다운로드 파일(붙여넣기)'!D3:D562)</f>
        <v>0</v>
      </c>
      <c r="K1215" s="9" cm="1">
        <f t="array" ref="K1215">_xlfn.COUNTIFS('외운 것 - 엑셀다운로드 파일(붙여넣기)'!A3:A562,A1215,'외운 것 - 엑셀다운로드 파일(붙여넣기)'!D3:D562,0)</f>
        <v>0</v>
      </c>
      <c r="L1215" s="9" cm="1">
        <f t="array" ref="L1215">IF(J1215&gt;=3,_xlfn.XLOOKUP(A1215,'외운 것 - 엑셀다운로드 파일(붙여넣기)'!A3:A562,'외운 것 - 엑셀다운로드 파일(붙여넣기)'!C3:C562,0,-1),0)</f>
        <v>0</v>
      </c>
    </row>
    <row r="1216" ht="23.45" customHeight="1">
      <c r="A1216" s="3">
        <v>1215</v>
      </c>
      <c r="B1216" t="s" s="4">
        <v>7716</v>
      </c>
      <c r="C1216" t="s" s="5">
        <v>7704</v>
      </c>
      <c r="D1216" t="s" s="5">
        <v>7660</v>
      </c>
      <c r="E1216" t="s" s="5">
        <v>7717</v>
      </c>
      <c r="F1216" t="s" s="10">
        <v>7718</v>
      </c>
      <c r="G1216" t="s" s="7">
        <v>7719</v>
      </c>
      <c r="H1216" t="s" s="7">
        <v>7720</v>
      </c>
      <c r="I1216" t="str" s="8" cm="1">
        <f t="array" ref="I1216">SUBSTITUTE(H1216,B1216,"(          )")</f>
        <v>The pieces (          ) to form a sturdy structure.</v>
      </c>
      <c r="J1216" s="9" cm="1">
        <f t="array" ref="J1216">SUMIF('외운 것 - 엑셀다운로드 파일(붙여넣기)'!A3:A562,A1216,'외운 것 - 엑셀다운로드 파일(붙여넣기)'!D3:D562)</f>
        <v>0</v>
      </c>
      <c r="K1216" s="9" cm="1">
        <f t="array" ref="K1216">_xlfn.COUNTIFS('외운 것 - 엑셀다운로드 파일(붙여넣기)'!A3:A562,A1216,'외운 것 - 엑셀다운로드 파일(붙여넣기)'!D3:D562,0)</f>
        <v>0</v>
      </c>
      <c r="L1216" s="9" cm="1">
        <f t="array" ref="L1216">IF(J1216&gt;=3,_xlfn.XLOOKUP(A1216,'외운 것 - 엑셀다운로드 파일(붙여넣기)'!A3:A562,'외운 것 - 엑셀다운로드 파일(붙여넣기)'!C3:C562,0,-1),0)</f>
        <v>0</v>
      </c>
    </row>
    <row r="1217" ht="38.45" customHeight="1">
      <c r="A1217" s="3">
        <v>1216</v>
      </c>
      <c r="B1217" t="s" s="4">
        <v>7722</v>
      </c>
      <c r="C1217" t="s" s="5">
        <v>7704</v>
      </c>
      <c r="D1217" t="s" s="5">
        <v>7660</v>
      </c>
      <c r="E1217" t="s" s="5">
        <v>7723</v>
      </c>
      <c r="F1217" t="s" s="10">
        <v>7724</v>
      </c>
      <c r="G1217" t="s" s="7">
        <v>7725</v>
      </c>
      <c r="H1217" t="s" s="7">
        <v>7726</v>
      </c>
      <c r="I1217" t="str" s="8" cm="1">
        <f t="array" ref="I1217">SUBSTITUTE(H1217,B1217,"(          )")</f>
        <v>A (          ) of geese flew overhead.</v>
      </c>
      <c r="J1217" s="9" cm="1">
        <f t="array" ref="J1217">SUMIF('외운 것 - 엑셀다운로드 파일(붙여넣기)'!A3:A562,A1217,'외운 것 - 엑셀다운로드 파일(붙여넣기)'!D3:D562)</f>
        <v>0</v>
      </c>
      <c r="K1217" s="9" cm="1">
        <f t="array" ref="K1217">_xlfn.COUNTIFS('외운 것 - 엑셀다운로드 파일(붙여넣기)'!A3:A562,A1217,'외운 것 - 엑셀다운로드 파일(붙여넣기)'!D3:D562,0)</f>
        <v>0</v>
      </c>
      <c r="L1217" s="9" cm="1">
        <f t="array" ref="L1217">IF(J1217&gt;=3,_xlfn.XLOOKUP(A1217,'외운 것 - 엑셀다운로드 파일(붙여넣기)'!A3:A562,'외운 것 - 엑셀다운로드 파일(붙여넣기)'!C3:C562,0,-1),0)</f>
        <v>0</v>
      </c>
    </row>
    <row r="1218" ht="23.45" customHeight="1">
      <c r="A1218" s="3">
        <v>1217</v>
      </c>
      <c r="B1218" t="s" s="4">
        <v>7728</v>
      </c>
      <c r="C1218" t="s" s="5">
        <v>7704</v>
      </c>
      <c r="D1218" t="s" s="5">
        <v>7660</v>
      </c>
      <c r="E1218" t="s" s="5">
        <v>7729</v>
      </c>
      <c r="F1218" t="s" s="10">
        <v>7730</v>
      </c>
      <c r="G1218" t="s" s="7">
        <v>7731</v>
      </c>
      <c r="H1218" t="s" s="7">
        <v>7732</v>
      </c>
      <c r="I1218" t="str" s="8" cm="1">
        <f t="array" ref="I1218">SUBSTITUTE(H1218,B1218,"(          )")</f>
        <v>The child built a tower with wooden (          )s.</v>
      </c>
      <c r="J1218" s="9" cm="1">
        <f t="array" ref="J1218">SUMIF('외운 것 - 엑셀다운로드 파일(붙여넣기)'!A3:A562,A1218,'외운 것 - 엑셀다운로드 파일(붙여넣기)'!D3:D562)</f>
        <v>0</v>
      </c>
      <c r="K1218" s="9" cm="1">
        <f t="array" ref="K1218">_xlfn.COUNTIFS('외운 것 - 엑셀다운로드 파일(붙여넣기)'!A3:A562,A1218,'외운 것 - 엑셀다운로드 파일(붙여넣기)'!D3:D562,0)</f>
        <v>0</v>
      </c>
      <c r="L1218" s="9" cm="1">
        <f t="array" ref="L1218">IF(J1218&gt;=3,_xlfn.XLOOKUP(A1218,'외운 것 - 엑셀다운로드 파일(붙여넣기)'!A3:A562,'외운 것 - 엑셀다운로드 파일(붙여넣기)'!C3:C562,0,-1),0)</f>
        <v>0</v>
      </c>
    </row>
    <row r="1219" ht="36.4" customHeight="1">
      <c r="A1219" s="3">
        <v>1218</v>
      </c>
      <c r="B1219" t="s" s="4">
        <v>7734</v>
      </c>
      <c r="C1219" t="s" s="5">
        <v>7735</v>
      </c>
      <c r="D1219" t="s" s="5">
        <v>7660</v>
      </c>
      <c r="E1219" t="s" s="5">
        <v>7736</v>
      </c>
      <c r="F1219" t="s" s="10">
        <v>7737</v>
      </c>
      <c r="G1219" t="s" s="7">
        <v>7738</v>
      </c>
      <c r="H1219" t="s" s="7">
        <v>7739</v>
      </c>
      <c r="I1219" t="str" s="8" cm="1">
        <f t="array" ref="I1219">SUBSTITUTE(H1219,B1219,"(          )")</f>
        <v>Poor parking was (          ) the entrance.</v>
      </c>
      <c r="J1219" s="9" cm="1">
        <f t="array" ref="J1219">SUMIF('외운 것 - 엑셀다운로드 파일(붙여넣기)'!A3:A562,A1219,'외운 것 - 엑셀다운로드 파일(붙여넣기)'!D3:D562)</f>
        <v>0</v>
      </c>
      <c r="K1219" s="9" cm="1">
        <f t="array" ref="K1219">_xlfn.COUNTIFS('외운 것 - 엑셀다운로드 파일(붙여넣기)'!A3:A562,A1219,'외운 것 - 엑셀다운로드 파일(붙여넣기)'!D3:D562,0)</f>
        <v>0</v>
      </c>
      <c r="L1219" s="9" cm="1">
        <f t="array" ref="L1219">IF(J1219&gt;=3,_xlfn.XLOOKUP(A1219,'외운 것 - 엑셀다운로드 파일(붙여넣기)'!A3:A562,'외운 것 - 엑셀다운로드 파일(붙여넣기)'!C3:C562,0,-1),0)</f>
        <v>0</v>
      </c>
    </row>
    <row r="1220" ht="23.45" customHeight="1">
      <c r="A1220" s="3">
        <v>1219</v>
      </c>
      <c r="B1220" t="s" s="4">
        <v>7741</v>
      </c>
      <c r="C1220" t="s" s="5">
        <v>7296</v>
      </c>
      <c r="D1220" t="s" s="5">
        <v>7742</v>
      </c>
      <c r="E1220" t="s" s="5">
        <v>7743</v>
      </c>
      <c r="F1220" t="s" s="10">
        <v>7744</v>
      </c>
      <c r="G1220" t="s" s="7">
        <v>7745</v>
      </c>
      <c r="H1220" t="s" s="7">
        <v>7746</v>
      </c>
      <c r="I1220" t="str" s="8" cm="1">
        <f t="array" ref="I1220">SUBSTITUTE(H1220,B1220,"(          )")</f>
        <v>The giraffe has a (          ) neck.</v>
      </c>
      <c r="J1220" s="9" cm="1">
        <f t="array" ref="J1220">SUMIF('외운 것 - 엑셀다운로드 파일(붙여넣기)'!A3:A562,A1220,'외운 것 - 엑셀다운로드 파일(붙여넣기)'!D3:D562)</f>
        <v>0</v>
      </c>
      <c r="K1220" s="9" cm="1">
        <f t="array" ref="K1220">_xlfn.COUNTIFS('외운 것 - 엑셀다운로드 파일(붙여넣기)'!A3:A562,A1220,'외운 것 - 엑셀다운로드 파일(붙여넣기)'!D3:D562,0)</f>
        <v>0</v>
      </c>
      <c r="L1220" s="9" cm="1">
        <f t="array" ref="L1220">IF(J1220&gt;=3,_xlfn.XLOOKUP(A1220,'외운 것 - 엑셀다운로드 파일(붙여넣기)'!A3:A562,'외운 것 - 엑셀다운로드 파일(붙여넣기)'!C3:C562,0,-1),0)</f>
        <v>0</v>
      </c>
    </row>
    <row r="1221" ht="23.45" customHeight="1">
      <c r="A1221" s="3">
        <v>1220</v>
      </c>
      <c r="B1221" t="s" s="4">
        <v>7748</v>
      </c>
      <c r="C1221" t="s" s="5">
        <v>7741</v>
      </c>
      <c r="D1221" t="s" s="5">
        <v>7742</v>
      </c>
      <c r="E1221" t="s" s="5">
        <v>7749</v>
      </c>
      <c r="F1221" t="s" s="10">
        <v>7750</v>
      </c>
      <c r="G1221" t="s" s="7">
        <v>7751</v>
      </c>
      <c r="H1221" t="s" s="7">
        <v>7752</v>
      </c>
      <c r="I1221" t="str" s="8" cm="1">
        <f t="array" ref="I1221">SUBSTITUTE(H1221,B1221,"(          )")</f>
        <v>These books (          ) on the top shelf.</v>
      </c>
      <c r="J1221" s="9" cm="1">
        <f t="array" ref="J1221">SUMIF('외운 것 - 엑셀다운로드 파일(붙여넣기)'!A3:A562,A1221,'외운 것 - 엑셀다운로드 파일(붙여넣기)'!D3:D562)</f>
        <v>0</v>
      </c>
      <c r="K1221" s="9" cm="1">
        <f t="array" ref="K1221">_xlfn.COUNTIFS('외운 것 - 엑셀다운로드 파일(붙여넣기)'!A3:A562,A1221,'외운 것 - 엑셀다운로드 파일(붙여넣기)'!D3:D562,0)</f>
        <v>0</v>
      </c>
      <c r="L1221" s="9" cm="1">
        <f t="array" ref="L1221">IF(J1221&gt;=3,_xlfn.XLOOKUP(A1221,'외운 것 - 엑셀다운로드 파일(붙여넣기)'!A3:A562,'외운 것 - 엑셀다운로드 파일(붙여넣기)'!C3:C562,0,-1),0)</f>
        <v>0</v>
      </c>
    </row>
    <row r="1222" ht="38.45" customHeight="1">
      <c r="A1222" s="3">
        <v>1221</v>
      </c>
      <c r="B1222" t="s" s="4">
        <v>7754</v>
      </c>
      <c r="C1222" t="s" s="5">
        <v>7741</v>
      </c>
      <c r="D1222" t="s" s="5">
        <v>7742</v>
      </c>
      <c r="E1222" t="s" s="5">
        <v>7755</v>
      </c>
      <c r="F1222" t="s" s="10">
        <v>7756</v>
      </c>
      <c r="G1222" t="s" s="7">
        <v>7757</v>
      </c>
      <c r="H1222" t="s" s="7">
        <v>7758</v>
      </c>
      <c r="I1222" t="str" s="8" cm="1">
        <f t="array" ref="I1222">SUBSTITUTE(H1222,B1222,"(          )")</f>
        <v>The medication will (          ) the effectiveness of the treatment.</v>
      </c>
      <c r="J1222" s="9" cm="1">
        <f t="array" ref="J1222">SUMIF('외운 것 - 엑셀다운로드 파일(붙여넣기)'!A3:A562,A1222,'외운 것 - 엑셀다운로드 파일(붙여넣기)'!D3:D562)</f>
        <v>0</v>
      </c>
      <c r="K1222" s="9" cm="1">
        <f t="array" ref="K1222">_xlfn.COUNTIFS('외운 것 - 엑셀다운로드 파일(붙여넣기)'!A3:A562,A1222,'외운 것 - 엑셀다운로드 파일(붙여넣기)'!D3:D562,0)</f>
        <v>0</v>
      </c>
      <c r="L1222" s="9" cm="1">
        <f t="array" ref="L1222">IF(J1222&gt;=3,_xlfn.XLOOKUP(A1222,'외운 것 - 엑셀다운로드 파일(붙여넣기)'!A3:A562,'외운 것 - 엑셀다운로드 파일(붙여넣기)'!C3:C562,0,-1),0)</f>
        <v>0</v>
      </c>
    </row>
    <row r="1223" ht="38.45" customHeight="1">
      <c r="A1223" s="3">
        <v>1222</v>
      </c>
      <c r="B1223" t="s" s="4">
        <v>7760</v>
      </c>
      <c r="C1223" t="s" s="5">
        <v>7741</v>
      </c>
      <c r="D1223" t="s" s="5">
        <v>7742</v>
      </c>
      <c r="E1223" t="s" s="5">
        <v>7761</v>
      </c>
      <c r="F1223" t="s" s="10">
        <v>7762</v>
      </c>
      <c r="G1223" t="s" s="7">
        <v>7763</v>
      </c>
      <c r="H1223" t="s" s="7">
        <v>7764</v>
      </c>
      <c r="I1223" t="str" s="8" cm="1">
        <f t="array" ref="I1223">SUBSTITUTE(H1223,B1223,"(          )")</f>
        <v>They have a (          ) tradition of family dinners on Sunday.</v>
      </c>
      <c r="J1223" s="9" cm="1">
        <f t="array" ref="J1223">SUMIF('외운 것 - 엑셀다운로드 파일(붙여넣기)'!A3:A562,A1223,'외운 것 - 엑셀다운로드 파일(붙여넣기)'!D3:D562)</f>
        <v>0</v>
      </c>
      <c r="K1223" s="9" cm="1">
        <f t="array" ref="K1223">_xlfn.COUNTIFS('외운 것 - 엑셀다운로드 파일(붙여넣기)'!A3:A562,A1223,'외운 것 - 엑셀다운로드 파일(붙여넣기)'!D3:D562,0)</f>
        <v>0</v>
      </c>
      <c r="L1223" s="9" cm="1">
        <f t="array" ref="L1223">IF(J1223&gt;=3,_xlfn.XLOOKUP(A1223,'외운 것 - 엑셀다운로드 파일(붙여넣기)'!A3:A562,'외운 것 - 엑셀다운로드 파일(붙여넣기)'!C3:C562,0,-1),0)</f>
        <v>0</v>
      </c>
    </row>
    <row r="1224" ht="38.45" customHeight="1">
      <c r="A1224" s="3">
        <v>1223</v>
      </c>
      <c r="B1224" t="s" s="4">
        <v>7766</v>
      </c>
      <c r="C1224" t="s" s="5">
        <v>7741</v>
      </c>
      <c r="D1224" t="s" s="5">
        <v>7742</v>
      </c>
      <c r="E1224" t="s" s="5">
        <v>7767</v>
      </c>
      <c r="F1224" t="s" s="10">
        <v>7768</v>
      </c>
      <c r="G1224" t="s" s="7">
        <v>7769</v>
      </c>
      <c r="H1224" t="s" s="7">
        <v>7770</v>
      </c>
      <c r="I1224" t="str" s="8" cm="1">
        <f t="array" ref="I1224">SUBSTITUTE(H1224,B1224,"(          )")</f>
        <v>Regular exercise contributes to (          ).</v>
      </c>
      <c r="J1224" s="9" cm="1">
        <f t="array" ref="J1224">SUMIF('외운 것 - 엑셀다운로드 파일(붙여넣기)'!A3:A562,A1224,'외운 것 - 엑셀다운로드 파일(붙여넣기)'!D3:D562)</f>
        <v>0</v>
      </c>
      <c r="K1224" s="9" cm="1">
        <f t="array" ref="K1224">_xlfn.COUNTIFS('외운 것 - 엑셀다운로드 파일(붙여넣기)'!A3:A562,A1224,'외운 것 - 엑셀다운로드 파일(붙여넣기)'!D3:D562,0)</f>
        <v>0</v>
      </c>
      <c r="L1224" s="9" cm="1">
        <f t="array" ref="L1224">IF(J1224&gt;=3,_xlfn.XLOOKUP(A1224,'외운 것 - 엑셀다운로드 파일(붙여넣기)'!A3:A562,'외운 것 - 엑셀다운로드 파일(붙여넣기)'!C3:C562,0,-1),0)</f>
        <v>0</v>
      </c>
    </row>
    <row r="1225" ht="23.45" customHeight="1">
      <c r="A1225" s="3">
        <v>1224</v>
      </c>
      <c r="B1225" t="s" s="4">
        <v>7772</v>
      </c>
      <c r="C1225" t="s" s="5">
        <v>7773</v>
      </c>
      <c r="D1225" t="s" s="5">
        <v>7742</v>
      </c>
      <c r="E1225" t="s" s="5">
        <v>7774</v>
      </c>
      <c r="F1225" t="s" s="10">
        <v>7775</v>
      </c>
      <c r="G1225" t="s" s="7">
        <v>7776</v>
      </c>
      <c r="H1225" t="s" s="7">
        <v>7777</v>
      </c>
      <c r="I1225" t="str" s="8" cm="1">
        <f t="array" ref="I1225">SUBSTITUTE(H1225,B1225,"(          )")</f>
        <v>The (          ) of the pool is 25 meters.</v>
      </c>
      <c r="J1225" s="9" cm="1">
        <f t="array" ref="J1225">SUMIF('외운 것 - 엑셀다운로드 파일(붙여넣기)'!A3:A562,A1225,'외운 것 - 엑셀다운로드 파일(붙여넣기)'!D3:D562)</f>
        <v>0</v>
      </c>
      <c r="K1225" s="9" cm="1">
        <f t="array" ref="K1225">_xlfn.COUNTIFS('외운 것 - 엑셀다운로드 파일(붙여넣기)'!A3:A562,A1225,'외운 것 - 엑셀다운로드 파일(붙여넣기)'!D3:D562,0)</f>
        <v>0</v>
      </c>
      <c r="L1225" s="9" cm="1">
        <f t="array" ref="L1225">IF(J1225&gt;=3,_xlfn.XLOOKUP(A1225,'외운 것 - 엑셀다운로드 파일(붙여넣기)'!A3:A562,'외운 것 - 엑셀다운로드 파일(붙여넣기)'!C3:C562,0,-1),0)</f>
        <v>0</v>
      </c>
    </row>
    <row r="1226" ht="38.45" customHeight="1">
      <c r="A1226" s="3">
        <v>1225</v>
      </c>
      <c r="B1226" t="s" s="4">
        <v>7779</v>
      </c>
      <c r="C1226" t="s" s="5">
        <v>7780</v>
      </c>
      <c r="D1226" t="s" s="5">
        <v>7742</v>
      </c>
      <c r="E1226" t="s" s="5">
        <v>7781</v>
      </c>
      <c r="F1226" t="s" s="10">
        <v>7782</v>
      </c>
      <c r="G1226" t="s" s="7">
        <v>7783</v>
      </c>
      <c r="H1226" t="s" s="7">
        <v>7784</v>
      </c>
      <c r="I1226" t="str" s="8" cm="1">
        <f t="array" ref="I1226">SUBSTITUTE(H1226,B1226,"(          )")</f>
        <v>You can (          ) the dress by adding a ruffle at the bottom.</v>
      </c>
      <c r="J1226" s="9" cm="1">
        <f t="array" ref="J1226">SUMIF('외운 것 - 엑셀다운로드 파일(붙여넣기)'!A3:A562,A1226,'외운 것 - 엑셀다운로드 파일(붙여넣기)'!D3:D562)</f>
        <v>0</v>
      </c>
      <c r="K1226" s="9" cm="1">
        <f t="array" ref="K1226">_xlfn.COUNTIFS('외운 것 - 엑셀다운로드 파일(붙여넣기)'!A3:A562,A1226,'외운 것 - 엑셀다운로드 파일(붙여넣기)'!D3:D562,0)</f>
        <v>0</v>
      </c>
      <c r="L1226" s="9" cm="1">
        <f t="array" ref="L1226">IF(J1226&gt;=3,_xlfn.XLOOKUP(A1226,'외운 것 - 엑셀다운로드 파일(붙여넣기)'!A3:A562,'외운 것 - 엑셀다운로드 파일(붙여넣기)'!C3:C562,0,-1),0)</f>
        <v>0</v>
      </c>
    </row>
    <row r="1227" ht="23.45" customHeight="1">
      <c r="A1227" s="3">
        <v>1226</v>
      </c>
      <c r="B1227" t="s" s="4">
        <v>7786</v>
      </c>
      <c r="C1227" t="s" s="5">
        <v>7741</v>
      </c>
      <c r="D1227" t="s" s="5">
        <v>7742</v>
      </c>
      <c r="E1227" t="s" s="5">
        <v>7787</v>
      </c>
      <c r="F1227" t="s" s="10">
        <v>7788</v>
      </c>
      <c r="G1227" t="s" s="7">
        <v>7789</v>
      </c>
      <c r="H1227" t="s" s="7">
        <v>7790</v>
      </c>
      <c r="I1227" t="str" s="8" cm="1">
        <f t="array" ref="I1227">SUBSTITUTE(H1227,B1227,"(          )")</f>
        <v>Lines of (          ) run from north to south on a map.</v>
      </c>
      <c r="J1227" s="9" cm="1">
        <f t="array" ref="J1227">SUMIF('외운 것 - 엑셀다운로드 파일(붙여넣기)'!A3:A562,A1227,'외운 것 - 엑셀다운로드 파일(붙여넣기)'!D3:D562)</f>
        <v>0</v>
      </c>
      <c r="K1227" s="9" cm="1">
        <f t="array" ref="K1227">_xlfn.COUNTIFS('외운 것 - 엑셀다운로드 파일(붙여넣기)'!A3:A562,A1227,'외운 것 - 엑셀다운로드 파일(붙여넣기)'!D3:D562,0)</f>
        <v>0</v>
      </c>
      <c r="L1227" s="9" cm="1">
        <f t="array" ref="L1227">IF(J1227&gt;=3,_xlfn.XLOOKUP(A1227,'외운 것 - 엑셀다운로드 파일(붙여넣기)'!A3:A562,'외운 것 - 엑셀다운로드 파일(붙여넣기)'!C3:C562,0,-1),0)</f>
        <v>0</v>
      </c>
    </row>
    <row r="1228" ht="23.45" customHeight="1">
      <c r="A1228" s="3">
        <v>1227</v>
      </c>
      <c r="B1228" t="s" s="4">
        <v>7792</v>
      </c>
      <c r="C1228" t="s" s="5">
        <v>7793</v>
      </c>
      <c r="D1228" t="s" s="5">
        <v>7794</v>
      </c>
      <c r="E1228" t="s" s="5">
        <v>7795</v>
      </c>
      <c r="F1228" t="s" s="10">
        <v>7796</v>
      </c>
      <c r="G1228" t="s" s="7">
        <v>7797</v>
      </c>
      <c r="H1228" t="s" s="7">
        <v>7798</v>
      </c>
      <c r="I1228" t="str" s="8" cm="1">
        <f t="array" ref="I1228">SUBSTITUTE(H1228,B1228,"(          )")</f>
        <v>The equator is at zero degrees (          ).</v>
      </c>
      <c r="J1228" s="9" cm="1">
        <f t="array" ref="J1228">SUMIF('외운 것 - 엑셀다운로드 파일(붙여넣기)'!A3:A562,A1228,'외운 것 - 엑셀다운로드 파일(붙여넣기)'!D3:D562)</f>
        <v>0</v>
      </c>
      <c r="K1228" s="9" cm="1">
        <f t="array" ref="K1228">_xlfn.COUNTIFS('외운 것 - 엑셀다운로드 파일(붙여넣기)'!A3:A562,A1228,'외운 것 - 엑셀다운로드 파일(붙여넣기)'!D3:D562,0)</f>
        <v>0</v>
      </c>
      <c r="L1228" s="9" cm="1">
        <f t="array" ref="L1228">IF(J1228&gt;=3,_xlfn.XLOOKUP(A1228,'외운 것 - 엑셀다운로드 파일(붙여넣기)'!A3:A562,'외운 것 - 엑셀다운로드 파일(붙여넣기)'!C3:C562,0,-1),0)</f>
        <v>0</v>
      </c>
    </row>
    <row r="1229" ht="23.45" customHeight="1">
      <c r="A1229" s="3">
        <v>1228</v>
      </c>
      <c r="B1229" t="s" s="4">
        <v>7800</v>
      </c>
      <c r="C1229" t="s" s="5">
        <v>7296</v>
      </c>
      <c r="D1229" t="s" s="5">
        <v>7801</v>
      </c>
      <c r="E1229" t="s" s="5">
        <v>7802</v>
      </c>
      <c r="F1229" t="s" s="10">
        <v>7803</v>
      </c>
      <c r="G1229" t="s" s="7">
        <v>7804</v>
      </c>
      <c r="H1229" t="s" s="7">
        <v>7805</v>
      </c>
      <c r="I1229" t="str" s="8" cm="1">
        <f t="array" ref="I1229">SUBSTITUTE(H1229,B1229,"(          )")</f>
        <v>They bought a (          ) of land to build their house.</v>
      </c>
      <c r="J1229" s="9" cm="1">
        <f t="array" ref="J1229">SUMIF('외운 것 - 엑셀다운로드 파일(붙여넣기)'!A3:A562,A1229,'외운 것 - 엑셀다운로드 파일(붙여넣기)'!D3:D562)</f>
        <v>0</v>
      </c>
      <c r="K1229" s="9" cm="1">
        <f t="array" ref="K1229">_xlfn.COUNTIFS('외운 것 - 엑셀다운로드 파일(붙여넣기)'!A3:A562,A1229,'외운 것 - 엑셀다운로드 파일(붙여넣기)'!D3:D562,0)</f>
        <v>0</v>
      </c>
      <c r="L1229" s="9" cm="1">
        <f t="array" ref="L1229">IF(J1229&gt;=3,_xlfn.XLOOKUP(A1229,'외운 것 - 엑셀다운로드 파일(붙여넣기)'!A3:A562,'외운 것 - 엑셀다운로드 파일(붙여넣기)'!C3:C562,0,-1),0)</f>
        <v>0</v>
      </c>
    </row>
    <row r="1230" ht="38.45" customHeight="1">
      <c r="A1230" s="3">
        <v>1229</v>
      </c>
      <c r="B1230" t="s" s="4">
        <v>7807</v>
      </c>
      <c r="C1230" t="s" s="5">
        <v>7800</v>
      </c>
      <c r="D1230" t="s" s="5">
        <v>7801</v>
      </c>
      <c r="E1230" t="s" s="5">
        <v>7808</v>
      </c>
      <c r="F1230" t="s" s="10">
        <v>7809</v>
      </c>
      <c r="G1230" t="s" s="7">
        <v>7810</v>
      </c>
      <c r="H1230" t="s" s="7">
        <v>7811</v>
      </c>
      <c r="I1230" t="str" s="8" cm="1">
        <f t="array" ref="I1230">SUBSTITUTE(H1230,B1230,"(          )")</f>
        <v>She won the (          ) and became a millionaire overnight.</v>
      </c>
      <c r="J1230" s="9" cm="1">
        <f t="array" ref="J1230">SUMIF('외운 것 - 엑셀다운로드 파일(붙여넣기)'!A3:A562,A1230,'외운 것 - 엑셀다운로드 파일(붙여넣기)'!D3:D562)</f>
        <v>0</v>
      </c>
      <c r="K1230" s="9" cm="1">
        <f t="array" ref="K1230">_xlfn.COUNTIFS('외운 것 - 엑셀다운로드 파일(붙여넣기)'!A3:A562,A1230,'외운 것 - 엑셀다운로드 파일(붙여넣기)'!D3:D562,0)</f>
        <v>0</v>
      </c>
      <c r="L1230" s="9" cm="1">
        <f t="array" ref="L1230">IF(J1230&gt;=3,_xlfn.XLOOKUP(A1230,'외운 것 - 엑셀다운로드 파일(붙여넣기)'!A3:A562,'외운 것 - 엑셀다운로드 파일(붙여넣기)'!C3:C562,0,-1),0)</f>
        <v>0</v>
      </c>
    </row>
    <row r="1231" ht="38.45" customHeight="1">
      <c r="A1231" s="3">
        <v>1230</v>
      </c>
      <c r="B1231" t="s" s="4">
        <v>7813</v>
      </c>
      <c r="C1231" t="s" s="5">
        <v>7800</v>
      </c>
      <c r="D1231" t="s" s="5">
        <v>7801</v>
      </c>
      <c r="E1231" t="s" s="5">
        <v>7814</v>
      </c>
      <c r="F1231" t="s" s="10">
        <v>7815</v>
      </c>
      <c r="G1231" t="s" s="7">
        <v>7816</v>
      </c>
      <c r="H1231" t="s" s="7">
        <v>7817</v>
      </c>
      <c r="I1231" t="str" s="8" cm="1">
        <f t="array" ref="I1231">SUBSTITUTE(H1231,B1231,"(          )")</f>
        <v>The teacher will (          ) fifteen minutes for questions.</v>
      </c>
      <c r="J1231" s="9" cm="1">
        <f t="array" ref="J1231">SUMIF('외운 것 - 엑셀다운로드 파일(붙여넣기)'!A3:A562,A1231,'외운 것 - 엑셀다운로드 파일(붙여넣기)'!D3:D562)</f>
        <v>0</v>
      </c>
      <c r="K1231" s="9" cm="1">
        <f t="array" ref="K1231">_xlfn.COUNTIFS('외운 것 - 엑셀다운로드 파일(붙여넣기)'!A3:A562,A1231,'외운 것 - 엑셀다운로드 파일(붙여넣기)'!D3:D562,0)</f>
        <v>0</v>
      </c>
      <c r="L1231" s="9" cm="1">
        <f t="array" ref="L1231">IF(J1231&gt;=3,_xlfn.XLOOKUP(A1231,'외운 것 - 엑셀다운로드 파일(붙여넣기)'!A3:A562,'외운 것 - 엑셀다운로드 파일(붙여넣기)'!C3:C562,0,-1),0)</f>
        <v>0</v>
      </c>
    </row>
    <row r="1232" ht="38.45" customHeight="1">
      <c r="A1232" s="3">
        <v>1231</v>
      </c>
      <c r="B1232" t="s" s="4">
        <v>7819</v>
      </c>
      <c r="C1232" t="s" s="5">
        <v>7800</v>
      </c>
      <c r="D1232" t="s" s="5">
        <v>7801</v>
      </c>
      <c r="E1232" t="s" s="5">
        <v>7820</v>
      </c>
      <c r="F1232" t="s" s="10">
        <v>7821</v>
      </c>
      <c r="G1232" t="s" s="7">
        <v>7822</v>
      </c>
      <c r="H1232" t="s" s="7">
        <v>7823</v>
      </c>
      <c r="I1232" t="str" s="8" cm="1">
        <f t="array" ref="I1232">SUBSTITUTE(H1232,B1232,"(          )")</f>
        <v>Insert the card into the (          ) to activate the machine.</v>
      </c>
      <c r="J1232" s="9" cm="1">
        <f t="array" ref="J1232">SUMIF('외운 것 - 엑셀다운로드 파일(붙여넣기)'!A3:A562,A1232,'외운 것 - 엑셀다운로드 파일(붙여넣기)'!D3:D562)</f>
        <v>0</v>
      </c>
      <c r="K1232" s="9" cm="1">
        <f t="array" ref="K1232">_xlfn.COUNTIFS('외운 것 - 엑셀다운로드 파일(붙여넣기)'!A3:A562,A1232,'외운 것 - 엑셀다운로드 파일(붙여넣기)'!D3:D562,0)</f>
        <v>0</v>
      </c>
      <c r="L1232" s="9" cm="1">
        <f t="array" ref="L1232">IF(J1232&gt;=3,_xlfn.XLOOKUP(A1232,'외운 것 - 엑셀다운로드 파일(붙여넣기)'!A3:A562,'외운 것 - 엑셀다운로드 파일(붙여넣기)'!C3:C562,0,-1),0)</f>
        <v>0</v>
      </c>
    </row>
    <row r="1233" ht="38.45" customHeight="1">
      <c r="A1233" s="3">
        <v>1232</v>
      </c>
      <c r="B1233" t="s" s="4">
        <v>7825</v>
      </c>
      <c r="C1233" t="s" s="5">
        <v>7800</v>
      </c>
      <c r="D1233" t="s" s="5">
        <v>7801</v>
      </c>
      <c r="E1233" t="s" s="5">
        <v>7826</v>
      </c>
      <c r="F1233" t="s" s="10">
        <v>7827</v>
      </c>
      <c r="G1233" t="s" s="7">
        <v>7828</v>
      </c>
      <c r="H1233" t="s" s="7">
        <v>7829</v>
      </c>
      <c r="I1233" t="str" s="8" cm="1">
        <f t="array" ref="I1233">SUBSTITUTE(H1233,B1233,"(          )")</f>
        <v>The (          ) of the novel involves a murder mystery.</v>
      </c>
      <c r="J1233" s="9" cm="1">
        <f t="array" ref="J1233">SUMIF('외운 것 - 엑셀다운로드 파일(붙여넣기)'!A3:A562,A1233,'외운 것 - 엑셀다운로드 파일(붙여넣기)'!D3:D562)</f>
        <v>0</v>
      </c>
      <c r="K1233" s="9" cm="1">
        <f t="array" ref="K1233">_xlfn.COUNTIFS('외운 것 - 엑셀다운로드 파일(붙여넣기)'!A3:A562,A1233,'외운 것 - 엑셀다운로드 파일(붙여넣기)'!D3:D562,0)</f>
        <v>0</v>
      </c>
      <c r="L1233" s="9" cm="1">
        <f t="array" ref="L1233">IF(J1233&gt;=3,_xlfn.XLOOKUP(A1233,'외운 것 - 엑셀다운로드 파일(붙여넣기)'!A3:A562,'외운 것 - 엑셀다운로드 파일(붙여넣기)'!C3:C562,0,-1),0)</f>
        <v>0</v>
      </c>
    </row>
    <row r="1234" ht="23.45" customHeight="1">
      <c r="A1234" s="3">
        <v>1233</v>
      </c>
      <c r="B1234" t="s" s="4">
        <v>7831</v>
      </c>
      <c r="C1234" t="s" s="5">
        <v>7800</v>
      </c>
      <c r="D1234" t="s" s="5">
        <v>7801</v>
      </c>
      <c r="E1234" t="s" s="5">
        <v>7832</v>
      </c>
      <c r="F1234" t="s" s="10">
        <v>7833</v>
      </c>
      <c r="G1234" t="s" s="7">
        <v>7834</v>
      </c>
      <c r="H1234" t="s" s="7">
        <v>7835</v>
      </c>
      <c r="I1234" t="str" s="8" cm="1">
        <f t="array" ref="I1234">SUBSTITUTE(H1234,B1234,"(          )")</f>
        <v>There was an ink (          ) on his white shirt.</v>
      </c>
      <c r="J1234" s="9" cm="1">
        <f t="array" ref="J1234">SUMIF('외운 것 - 엑셀다운로드 파일(붙여넣기)'!A3:A562,A1234,'외운 것 - 엑셀다운로드 파일(붙여넣기)'!D3:D562)</f>
        <v>0</v>
      </c>
      <c r="K1234" s="9" cm="1">
        <f t="array" ref="K1234">_xlfn.COUNTIFS('외운 것 - 엑셀다운로드 파일(붙여넣기)'!A3:A562,A1234,'외운 것 - 엑셀다운로드 파일(붙여넣기)'!D3:D562,0)</f>
        <v>0</v>
      </c>
      <c r="L1234" s="9" cm="1">
        <f t="array" ref="L1234">IF(J1234&gt;=3,_xlfn.XLOOKUP(A1234,'외운 것 - 엑셀다운로드 파일(붙여넣기)'!A3:A562,'외운 것 - 엑셀다운로드 파일(붙여넣기)'!C3:C562,0,-1),0)</f>
        <v>0</v>
      </c>
    </row>
    <row r="1235" ht="38.45" customHeight="1">
      <c r="A1235" s="3">
        <v>1234</v>
      </c>
      <c r="B1235" t="s" s="4">
        <v>7837</v>
      </c>
      <c r="C1235" t="s" s="5">
        <v>7800</v>
      </c>
      <c r="D1235" t="s" s="5">
        <v>7801</v>
      </c>
      <c r="E1235" t="s" s="5">
        <v>7838</v>
      </c>
      <c r="F1235" t="s" s="10">
        <v>7839</v>
      </c>
      <c r="G1235" t="s" s="7">
        <v>7840</v>
      </c>
      <c r="H1235" t="s" s="7">
        <v>7841</v>
      </c>
      <c r="I1235" t="str" s="8" cm="1">
        <f t="array" ref="I1235">SUBSTITUTE(H1235,B1235,"(          )")</f>
        <v>A blood (          ) can be dangerous if it reaches the lungs.</v>
      </c>
      <c r="J1235" s="9" cm="1">
        <f t="array" ref="J1235">SUMIF('외운 것 - 엑셀다운로드 파일(붙여넣기)'!A3:A562,A1235,'외운 것 - 엑셀다운로드 파일(붙여넣기)'!D3:D562)</f>
        <v>0</v>
      </c>
      <c r="K1235" s="9" cm="1">
        <f t="array" ref="K1235">_xlfn.COUNTIFS('외운 것 - 엑셀다운로드 파일(붙여넣기)'!A3:A562,A1235,'외운 것 - 엑셀다운로드 파일(붙여넣기)'!D3:D562,0)</f>
        <v>0</v>
      </c>
      <c r="L1235" s="9" cm="1">
        <f t="array" ref="L1235">IF(J1235&gt;=3,_xlfn.XLOOKUP(A1235,'외운 것 - 엑셀다운로드 파일(붙여넣기)'!A3:A562,'외운 것 - 엑셀다운로드 파일(붙여넣기)'!C3:C562,0,-1),0)</f>
        <v>0</v>
      </c>
    </row>
    <row r="1236" ht="38.45" customHeight="1">
      <c r="A1236" s="3">
        <v>1235</v>
      </c>
      <c r="B1236" t="s" s="4">
        <v>7843</v>
      </c>
      <c r="C1236" t="s" s="5">
        <v>7844</v>
      </c>
      <c r="D1236" t="s" s="5">
        <v>7800</v>
      </c>
      <c r="E1236" t="s" s="5">
        <v>7845</v>
      </c>
      <c r="F1236" t="s" s="10">
        <v>7846</v>
      </c>
      <c r="G1236" t="s" s="7">
        <v>7847</v>
      </c>
      <c r="H1236" t="s" s="7">
        <v>7848</v>
      </c>
      <c r="I1236" t="str" s="8" cm="1">
        <f t="array" ref="I1236">SUBSTITUTE(H1236,B1236,"(          )")</f>
        <v>They decided to (          ) the cost of dinner.</v>
      </c>
      <c r="J1236" s="9" cm="1">
        <f t="array" ref="J1236">SUMIF('외운 것 - 엑셀다운로드 파일(붙여넣기)'!A3:A562,A1236,'외운 것 - 엑셀다운로드 파일(붙여넣기)'!D3:D562)</f>
        <v>0</v>
      </c>
      <c r="K1236" s="9" cm="1">
        <f t="array" ref="K1236">_xlfn.COUNTIFS('외운 것 - 엑셀다운로드 파일(붙여넣기)'!A3:A562,A1236,'외운 것 - 엑셀다운로드 파일(붙여넣기)'!D3:D562,0)</f>
        <v>0</v>
      </c>
      <c r="L1236" s="9" cm="1">
        <f t="array" ref="L1236">IF(J1236&gt;=3,_xlfn.XLOOKUP(A1236,'외운 것 - 엑셀다운로드 파일(붙여넣기)'!A3:A562,'외운 것 - 엑셀다운로드 파일(붙여넣기)'!C3:C562,0,-1),0)</f>
        <v>0</v>
      </c>
    </row>
    <row r="1237" ht="38.45" customHeight="1">
      <c r="A1237" s="3">
        <v>1236</v>
      </c>
      <c r="B1237" t="s" s="4">
        <v>7850</v>
      </c>
      <c r="C1237" t="s" s="5">
        <v>7844</v>
      </c>
      <c r="D1237" t="s" s="5">
        <v>7800</v>
      </c>
      <c r="E1237" t="s" s="5">
        <v>7851</v>
      </c>
      <c r="F1237" t="s" s="10">
        <v>7852</v>
      </c>
      <c r="G1237" t="s" s="7">
        <v>7853</v>
      </c>
      <c r="H1237" t="s" s="7">
        <v>7854</v>
      </c>
      <c r="I1237" t="str" s="8" cm="1">
        <f t="array" ref="I1237">SUBSTITUTE(H1237,B1237,"(          )")</f>
        <v>Cut a thin (          ) of bread for the sandwich.</v>
      </c>
      <c r="J1237" s="9" cm="1">
        <f t="array" ref="J1237">SUMIF('외운 것 - 엑셀다운로드 파일(붙여넣기)'!A3:A562,A1237,'외운 것 - 엑셀다운로드 파일(붙여넣기)'!D3:D562)</f>
        <v>0</v>
      </c>
      <c r="K1237" s="9" cm="1">
        <f t="array" ref="K1237">_xlfn.COUNTIFS('외운 것 - 엑셀다운로드 파일(붙여넣기)'!A3:A562,A1237,'외운 것 - 엑셀다운로드 파일(붙여넣기)'!D3:D562,0)</f>
        <v>0</v>
      </c>
      <c r="L1237" s="9" cm="1">
        <f t="array" ref="L1237">IF(J1237&gt;=3,_xlfn.XLOOKUP(A1237,'외운 것 - 엑셀다운로드 파일(붙여넣기)'!A3:A562,'외운 것 - 엑셀다운로드 파일(붙여넣기)'!C3:C562,0,-1),0)</f>
        <v>0</v>
      </c>
    </row>
    <row r="1238" ht="23.45" customHeight="1">
      <c r="A1238" s="3">
        <v>1237</v>
      </c>
      <c r="B1238" t="s" s="4">
        <v>7856</v>
      </c>
      <c r="C1238" t="s" s="5">
        <v>7296</v>
      </c>
      <c r="D1238" t="s" s="5">
        <v>7857</v>
      </c>
      <c r="E1238" t="s" s="5">
        <v>7858</v>
      </c>
      <c r="F1238" t="s" s="10">
        <v>7859</v>
      </c>
      <c r="G1238" t="s" s="7">
        <v>7860</v>
      </c>
      <c r="H1238" t="s" s="7">
        <v>7861</v>
      </c>
      <c r="I1238" t="str" s="8" cm="1">
        <f t="array" ref="I1238">SUBSTITUTE(H1238,B1238,"(          )")</f>
        <v>Don't be (          ) for the important meeting.</v>
      </c>
      <c r="J1238" s="9" cm="1">
        <f t="array" ref="J1238">SUMIF('외운 것 - 엑셀다운로드 파일(붙여넣기)'!A3:A562,A1238,'외운 것 - 엑셀다운로드 파일(붙여넣기)'!D3:D562)</f>
        <v>0</v>
      </c>
      <c r="K1238" s="9" cm="1">
        <f t="array" ref="K1238">_xlfn.COUNTIFS('외운 것 - 엑셀다운로드 파일(붙여넣기)'!A3:A562,A1238,'외운 것 - 엑셀다운로드 파일(붙여넣기)'!D3:D562,0)</f>
        <v>0</v>
      </c>
      <c r="L1238" s="9" cm="1">
        <f t="array" ref="L1238">IF(J1238&gt;=3,_xlfn.XLOOKUP(A1238,'외운 것 - 엑셀다운로드 파일(붙여넣기)'!A3:A562,'외운 것 - 엑셀다운로드 파일(붙여넣기)'!C3:C562,0,-1),0)</f>
        <v>0</v>
      </c>
    </row>
    <row r="1239" ht="38.45" customHeight="1">
      <c r="A1239" s="3">
        <v>1238</v>
      </c>
      <c r="B1239" t="s" s="4">
        <v>7863</v>
      </c>
      <c r="C1239" t="s" s="5">
        <v>7856</v>
      </c>
      <c r="D1239" t="s" s="5">
        <v>7857</v>
      </c>
      <c r="E1239" t="s" s="5">
        <v>7864</v>
      </c>
      <c r="F1239" t="s" s="10">
        <v>7865</v>
      </c>
      <c r="G1239" t="s" s="7">
        <v>7866</v>
      </c>
      <c r="H1239" t="s" s="7">
        <v>7867</v>
      </c>
      <c r="I1239" t="str" s="8" cm="1">
        <f t="array" ref="I1239">SUBSTITUTE(H1239,B1239,"(          )")</f>
        <v>I haven't seen him (          ).</v>
      </c>
      <c r="J1239" s="9" cm="1">
        <f t="array" ref="J1239">SUMIF('외운 것 - 엑셀다운로드 파일(붙여넣기)'!A3:A562,A1239,'외운 것 - 엑셀다운로드 파일(붙여넣기)'!D3:D562)</f>
        <v>0</v>
      </c>
      <c r="K1239" s="9" cm="1">
        <f t="array" ref="K1239">_xlfn.COUNTIFS('외운 것 - 엑셀다운로드 파일(붙여넣기)'!A3:A562,A1239,'외운 것 - 엑셀다운로드 파일(붙여넣기)'!D3:D562,0)</f>
        <v>0</v>
      </c>
      <c r="L1239" s="9" cm="1">
        <f t="array" ref="L1239">IF(J1239&gt;=3,_xlfn.XLOOKUP(A1239,'외운 것 - 엑셀다운로드 파일(붙여넣기)'!A3:A562,'외운 것 - 엑셀다운로드 파일(붙여넣기)'!C3:C562,0,-1),0)</f>
        <v>0</v>
      </c>
    </row>
    <row r="1240" ht="23.45" customHeight="1">
      <c r="A1240" s="3">
        <v>1239</v>
      </c>
      <c r="B1240" t="s" s="4">
        <v>7869</v>
      </c>
      <c r="C1240" t="s" s="5">
        <v>7856</v>
      </c>
      <c r="D1240" t="s" s="5">
        <v>7857</v>
      </c>
      <c r="E1240" t="s" s="5">
        <v>7870</v>
      </c>
      <c r="F1240" t="s" s="10">
        <v>7871</v>
      </c>
      <c r="G1240" t="s" s="7">
        <v>7872</v>
      </c>
      <c r="H1240" t="s" s="7">
        <v>7873</v>
      </c>
      <c r="I1240" t="str" s="8" cm="1">
        <f t="array" ref="I1240">SUBSTITUTE(H1240,B1240,"(          )")</f>
        <v>Can you (          ) this document from Spanish to English?</v>
      </c>
      <c r="J1240" s="9" cm="1">
        <f t="array" ref="J1240">SUMIF('외운 것 - 엑셀다운로드 파일(붙여넣기)'!A3:A562,A1240,'외운 것 - 엑셀다운로드 파일(붙여넣기)'!D3:D562)</f>
        <v>0</v>
      </c>
      <c r="K1240" s="9" cm="1">
        <f t="array" ref="K1240">_xlfn.COUNTIFS('외운 것 - 엑셀다운로드 파일(붙여넣기)'!A3:A562,A1240,'외운 것 - 엑셀다운로드 파일(붙여넣기)'!D3:D562,0)</f>
        <v>0</v>
      </c>
      <c r="L1240" s="9" cm="1">
        <f t="array" ref="L1240">IF(J1240&gt;=3,_xlfn.XLOOKUP(A1240,'외운 것 - 엑셀다운로드 파일(붙여넣기)'!A3:A562,'외운 것 - 엑셀다운로드 파일(붙여넣기)'!C3:C562,0,-1),0)</f>
        <v>0</v>
      </c>
    </row>
    <row r="1241" ht="38.45" customHeight="1">
      <c r="A1241" s="3">
        <v>1240</v>
      </c>
      <c r="B1241" t="s" s="4">
        <v>7875</v>
      </c>
      <c r="C1241" t="s" s="5">
        <v>7856</v>
      </c>
      <c r="D1241" t="s" s="5">
        <v>7857</v>
      </c>
      <c r="E1241" t="s" s="5">
        <v>7876</v>
      </c>
      <c r="F1241" t="s" s="10">
        <v>7877</v>
      </c>
      <c r="G1241" t="s" s="7">
        <v>7878</v>
      </c>
      <c r="H1241" t="s" s="7">
        <v>7879</v>
      </c>
      <c r="I1241" t="str" s="8" cm="1">
        <f t="array" ref="I1241">SUBSTITUTE(H1241,B1241,"(          )")</f>
        <v>The teacher tried to (          ) complex concepts to everyday examples.</v>
      </c>
      <c r="J1241" s="9" cm="1">
        <f t="array" ref="J1241">SUMIF('외운 것 - 엑셀다운로드 파일(붙여넣기)'!A3:A562,A1241,'외운 것 - 엑셀다운로드 파일(붙여넣기)'!D3:D562)</f>
        <v>0</v>
      </c>
      <c r="K1241" s="9" cm="1">
        <f t="array" ref="K1241">_xlfn.COUNTIFS('외운 것 - 엑셀다운로드 파일(붙여넣기)'!A3:A562,A1241,'외운 것 - 엑셀다운로드 파일(붙여넣기)'!D3:D562,0)</f>
        <v>0</v>
      </c>
      <c r="L1241" s="9" cm="1">
        <f t="array" ref="L1241">IF(J1241&gt;=3,_xlfn.XLOOKUP(A1241,'외운 것 - 엑셀다운로드 파일(붙여넣기)'!A3:A562,'외운 것 - 엑셀다운로드 파일(붙여넣기)'!C3:C562,0,-1),0)</f>
        <v>0</v>
      </c>
    </row>
    <row r="1242" ht="36.4" customHeight="1">
      <c r="A1242" s="3">
        <v>1241</v>
      </c>
      <c r="B1242" t="s" s="4">
        <v>7881</v>
      </c>
      <c r="C1242" t="s" s="5">
        <v>7882</v>
      </c>
      <c r="D1242" t="s" s="5">
        <v>7856</v>
      </c>
      <c r="E1242" t="s" s="5">
        <v>7883</v>
      </c>
      <c r="F1242" t="s" s="10">
        <v>7884</v>
      </c>
      <c r="G1242" t="s" s="7">
        <v>7885</v>
      </c>
      <c r="H1242" t="s" s="7">
        <v>7886</v>
      </c>
      <c r="I1242" t="str" s="8" cm="1">
        <f t="array" ref="I1242">SUBSTITUTE(H1242,B1242,"(          )")</f>
        <v>Physics and chemistry are closely (          ) sciences.</v>
      </c>
      <c r="J1242" s="9" cm="1">
        <f t="array" ref="J1242">SUMIF('외운 것 - 엑셀다운로드 파일(붙여넣기)'!A3:A562,A1242,'외운 것 - 엑셀다운로드 파일(붙여넣기)'!D3:D562)</f>
        <v>0</v>
      </c>
      <c r="K1242" s="9" cm="1">
        <f t="array" ref="K1242">_xlfn.COUNTIFS('외운 것 - 엑셀다운로드 파일(붙여넣기)'!A3:A562,A1242,'외운 것 - 엑셀다운로드 파일(붙여넣기)'!D3:D562,0)</f>
        <v>0</v>
      </c>
      <c r="L1242" s="9" cm="1">
        <f t="array" ref="L1242">IF(J1242&gt;=3,_xlfn.XLOOKUP(A1242,'외운 것 - 엑셀다운로드 파일(붙여넣기)'!A3:A562,'외운 것 - 엑셀다운로드 파일(붙여넣기)'!C3:C562,0,-1),0)</f>
        <v>0</v>
      </c>
    </row>
    <row r="1243" ht="38.45" customHeight="1">
      <c r="A1243" s="3">
        <v>1242</v>
      </c>
      <c r="B1243" t="s" s="4">
        <v>7888</v>
      </c>
      <c r="C1243" t="s" s="5">
        <v>7882</v>
      </c>
      <c r="D1243" t="s" s="5">
        <v>7856</v>
      </c>
      <c r="E1243" t="s" s="5">
        <v>7889</v>
      </c>
      <c r="F1243" t="s" s="10">
        <v>7890</v>
      </c>
      <c r="G1243" t="s" s="7">
        <v>7891</v>
      </c>
      <c r="H1243" t="s" s="7">
        <v>7892</v>
      </c>
      <c r="I1243" t="str" s="8" cm="1">
        <f t="array" ref="I1243">SUBSTITUTE(H1243,B1243,"(          )")</f>
        <v>Many (          )s attended the family reunion.</v>
      </c>
      <c r="J1243" s="9" cm="1">
        <f t="array" ref="J1243">SUMIF('외운 것 - 엑셀다운로드 파일(붙여넣기)'!A3:A562,A1243,'외운 것 - 엑셀다운로드 파일(붙여넣기)'!D3:D562)</f>
        <v>0</v>
      </c>
      <c r="K1243" s="9" cm="1">
        <f t="array" ref="K1243">_xlfn.COUNTIFS('외운 것 - 엑셀다운로드 파일(붙여넣기)'!A3:A562,A1243,'외운 것 - 엑셀다운로드 파일(붙여넣기)'!D3:D562,0)</f>
        <v>0</v>
      </c>
      <c r="L1243" s="9" cm="1">
        <f t="array" ref="L1243">IF(J1243&gt;=3,_xlfn.XLOOKUP(A1243,'외운 것 - 엑셀다운로드 파일(붙여넣기)'!A3:A562,'외운 것 - 엑셀다운로드 파일(붙여넣기)'!C3:C562,0,-1),0)</f>
        <v>0</v>
      </c>
    </row>
    <row r="1244" ht="23.45" customHeight="1">
      <c r="A1244" s="3">
        <v>1243</v>
      </c>
      <c r="B1244" t="s" s="4">
        <v>7894</v>
      </c>
      <c r="C1244" t="s" s="5">
        <v>7895</v>
      </c>
      <c r="D1244" t="s" s="5">
        <v>7896</v>
      </c>
      <c r="E1244" t="s" s="5">
        <v>7897</v>
      </c>
      <c r="F1244" t="s" s="10">
        <v>7898</v>
      </c>
      <c r="G1244" t="s" s="7">
        <v>7899</v>
      </c>
      <c r="H1244" t="s" s="7">
        <v>7900</v>
      </c>
      <c r="I1244" t="str" s="8" cm="1">
        <f t="array" ref="I1244">SUBSTITUTE(H1244,B1244,"(          )")</f>
        <v>Children (          ) colorful autumn leaves.</v>
      </c>
      <c r="J1244" s="9" cm="1">
        <f t="array" ref="J1244">SUMIF('외운 것 - 엑셀다운로드 파일(붙여넣기)'!A3:A562,A1244,'외운 것 - 엑셀다운로드 파일(붙여넣기)'!D3:D562)</f>
        <v>0</v>
      </c>
      <c r="K1244" s="9" cm="1">
        <f t="array" ref="K1244">_xlfn.COUNTIFS('외운 것 - 엑셀다운로드 파일(붙여넣기)'!A3:A562,A1244,'외운 것 - 엑셀다운로드 파일(붙여넣기)'!D3:D562,0)</f>
        <v>0</v>
      </c>
      <c r="L1244" s="9" cm="1">
        <f t="array" ref="L1244">IF(J1244&gt;=3,_xlfn.XLOOKUP(A1244,'외운 것 - 엑셀다운로드 파일(붙여넣기)'!A3:A562,'외운 것 - 엑셀다운로드 파일(붙여넣기)'!C3:C562,0,-1),0)</f>
        <v>0</v>
      </c>
    </row>
    <row r="1245" ht="36.4" customHeight="1">
      <c r="A1245" s="3">
        <v>1244</v>
      </c>
      <c r="B1245" t="s" s="4">
        <v>7902</v>
      </c>
      <c r="C1245" t="s" s="5">
        <v>7903</v>
      </c>
      <c r="D1245" t="s" s="5">
        <v>7895</v>
      </c>
      <c r="E1245" t="s" s="5">
        <v>7904</v>
      </c>
      <c r="F1245" t="s" s="10">
        <v>7905</v>
      </c>
      <c r="G1245" t="s" s="7">
        <v>7906</v>
      </c>
      <c r="H1245" t="s" s="7">
        <v>7907</v>
      </c>
      <c r="I1245" t="str" s="8" cm="1">
        <f t="array" ref="I1245">SUBSTITUTE(H1245,B1245,"(          )")</f>
        <v>Farming cooperatives make (          ) decisions.</v>
      </c>
      <c r="J1245" s="9" cm="1">
        <f t="array" ref="J1245">SUMIF('외운 것 - 엑셀다운로드 파일(붙여넣기)'!A3:A562,A1245,'외운 것 - 엑셀다운로드 파일(붙여넣기)'!D3:D562)</f>
        <v>0</v>
      </c>
      <c r="K1245" s="9" cm="1">
        <f t="array" ref="K1245">_xlfn.COUNTIFS('외운 것 - 엑셀다운로드 파일(붙여넣기)'!A3:A562,A1245,'외운 것 - 엑셀다운로드 파일(붙여넣기)'!D3:D562,0)</f>
        <v>0</v>
      </c>
      <c r="L1245" s="9" cm="1">
        <f t="array" ref="L1245">IF(J1245&gt;=3,_xlfn.XLOOKUP(A1245,'외운 것 - 엑셀다운로드 파일(붙여넣기)'!A3:A562,'외운 것 - 엑셀다운로드 파일(붙여넣기)'!C3:C562,0,-1),0)</f>
        <v>0</v>
      </c>
    </row>
    <row r="1246" ht="36.4" customHeight="1">
      <c r="A1246" s="3">
        <v>1245</v>
      </c>
      <c r="B1246" t="s" s="4">
        <v>7909</v>
      </c>
      <c r="C1246" t="s" s="5">
        <v>7903</v>
      </c>
      <c r="D1246" t="s" s="5">
        <v>7895</v>
      </c>
      <c r="E1246" t="s" s="5">
        <v>7910</v>
      </c>
      <c r="F1246" t="s" s="10">
        <v>7911</v>
      </c>
      <c r="G1246" t="s" s="7">
        <v>7912</v>
      </c>
      <c r="H1246" t="s" s="7">
        <v>7913</v>
      </c>
      <c r="I1246" t="str" s="8" cm="1">
        <f t="array" ref="I1246">SUBSTITUTE(H1246,B1246,"(          )")</f>
        <v>I can't (          ) where I put my keys.</v>
      </c>
      <c r="J1246" s="9" cm="1">
        <f t="array" ref="J1246">SUMIF('외운 것 - 엑셀다운로드 파일(붙여넣기)'!A3:A562,A1246,'외운 것 - 엑셀다운로드 파일(붙여넣기)'!D3:D562)</f>
        <v>0</v>
      </c>
      <c r="K1246" s="9" cm="1">
        <f t="array" ref="K1246">_xlfn.COUNTIFS('외운 것 - 엑셀다운로드 파일(붙여넣기)'!A3:A562,A1246,'외운 것 - 엑셀다운로드 파일(붙여넣기)'!D3:D562,0)</f>
        <v>0</v>
      </c>
      <c r="L1246" s="9" cm="1">
        <f t="array" ref="L1246">IF(J1246&gt;=3,_xlfn.XLOOKUP(A1246,'외운 것 - 엑셀다운로드 파일(붙여넣기)'!A3:A562,'외운 것 - 엑셀다운로드 파일(붙여넣기)'!C3:C562,0,-1),0)</f>
        <v>0</v>
      </c>
    </row>
    <row r="1247" ht="23.45" customHeight="1">
      <c r="A1247" s="3">
        <v>1246</v>
      </c>
      <c r="B1247" t="s" s="4">
        <v>7915</v>
      </c>
      <c r="C1247" t="s" s="5">
        <v>7895</v>
      </c>
      <c r="D1247" t="s" s="5">
        <v>7896</v>
      </c>
      <c r="E1247" t="s" s="5">
        <v>7916</v>
      </c>
      <c r="F1247" t="s" s="10">
        <v>7917</v>
      </c>
      <c r="G1247" t="s" s="7">
        <v>7918</v>
      </c>
      <c r="H1247" t="s" s="7">
        <v>7919</v>
      </c>
      <c r="I1247" t="str" s="8" cm="1">
        <f t="array" ref="I1247">SUBSTITUTE(H1247,B1247,"(          )")</f>
        <v>Select the best candidate for the position.</v>
      </c>
      <c r="J1247" s="9" cm="1">
        <f t="array" ref="J1247">SUMIF('외운 것 - 엑셀다운로드 파일(붙여넣기)'!A3:A562,A1247,'외운 것 - 엑셀다운로드 파일(붙여넣기)'!D3:D562)</f>
        <v>0</v>
      </c>
      <c r="K1247" s="9" cm="1">
        <f t="array" ref="K1247">_xlfn.COUNTIFS('외운 것 - 엑셀다운로드 파일(붙여넣기)'!A3:A562,A1247,'외운 것 - 엑셀다운로드 파일(붙여넣기)'!D3:D562,0)</f>
        <v>0</v>
      </c>
      <c r="L1247" s="9" cm="1">
        <f t="array" ref="L1247">IF(J1247&gt;=3,_xlfn.XLOOKUP(A1247,'외운 것 - 엑셀다운로드 파일(붙여넣기)'!A3:A562,'외운 것 - 엑셀다운로드 파일(붙여넣기)'!C3:C562,0,-1),0)</f>
        <v>0</v>
      </c>
    </row>
    <row r="1248" ht="38.45" customHeight="1">
      <c r="A1248" s="3">
        <v>1247</v>
      </c>
      <c r="B1248" t="s" s="4">
        <v>7921</v>
      </c>
      <c r="C1248" t="s" s="5">
        <v>7895</v>
      </c>
      <c r="D1248" t="s" s="5">
        <v>7896</v>
      </c>
      <c r="E1248" t="s" s="5">
        <v>7922</v>
      </c>
      <c r="F1248" t="s" s="10">
        <v>7923</v>
      </c>
      <c r="G1248" t="s" s="7">
        <v>7924</v>
      </c>
      <c r="H1248" t="s" s="7">
        <v>7925</v>
      </c>
      <c r="I1248" t="str" s="8" cm="1">
        <f t="array" ref="I1248">SUBSTITUTE(H1248,B1248,"(          )")</f>
        <v>He was admired for his keen (          ).</v>
      </c>
      <c r="J1248" s="9" cm="1">
        <f t="array" ref="J1248">SUMIF('외운 것 - 엑셀다운로드 파일(붙여넣기)'!A3:A562,A1248,'외운 것 - 엑셀다운로드 파일(붙여넣기)'!D3:D562)</f>
        <v>0</v>
      </c>
      <c r="K1248" s="9" cm="1">
        <f t="array" ref="K1248">_xlfn.COUNTIFS('외운 것 - 엑셀다운로드 파일(붙여넣기)'!A3:A562,A1248,'외운 것 - 엑셀다운로드 파일(붙여넣기)'!D3:D562,0)</f>
        <v>0</v>
      </c>
      <c r="L1248" s="9" cm="1">
        <f t="array" ref="L1248">IF(J1248&gt;=3,_xlfn.XLOOKUP(A1248,'외운 것 - 엑셀다운로드 파일(붙여넣기)'!A3:A562,'외운 것 - 엑셀다운로드 파일(붙여넣기)'!C3:C562,0,-1),0)</f>
        <v>0</v>
      </c>
    </row>
    <row r="1249" ht="38.45" customHeight="1">
      <c r="A1249" s="3">
        <v>1248</v>
      </c>
      <c r="B1249" t="s" s="4">
        <v>7927</v>
      </c>
      <c r="C1249" t="s" s="5">
        <v>7895</v>
      </c>
      <c r="D1249" t="s" s="5">
        <v>7896</v>
      </c>
      <c r="E1249" t="s" s="5">
        <v>7928</v>
      </c>
      <c r="F1249" t="s" s="10">
        <v>7929</v>
      </c>
      <c r="G1249" t="s" s="7">
        <v>7930</v>
      </c>
      <c r="H1249" t="s" s="7">
        <v>7931</v>
      </c>
      <c r="I1249" t="str" s="8" cm="1">
        <f t="array" ref="I1249">SUBSTITUTE(H1249,B1249,"(          )")</f>
        <v>The professor gave an interesting (          ) on climate change.</v>
      </c>
      <c r="J1249" s="9" cm="1">
        <f t="array" ref="J1249">SUMIF('외운 것 - 엑셀다운로드 파일(붙여넣기)'!A3:A562,A1249,'외운 것 - 엑셀다운로드 파일(붙여넣기)'!D3:D562)</f>
        <v>0</v>
      </c>
      <c r="K1249" s="9" cm="1">
        <f t="array" ref="K1249">_xlfn.COUNTIFS('외운 것 - 엑셀다운로드 파일(붙여넣기)'!A3:A562,A1249,'외운 것 - 엑셀다운로드 파일(붙여넣기)'!D3:D562,0)</f>
        <v>0</v>
      </c>
      <c r="L1249" s="9" cm="1">
        <f t="array" ref="L1249">IF(J1249&gt;=3,_xlfn.XLOOKUP(A1249,'외운 것 - 엑셀다운로드 파일(붙여넣기)'!A3:A562,'외운 것 - 엑셀다운로드 파일(붙여넣기)'!C3:C562,0,-1),0)</f>
        <v>0</v>
      </c>
    </row>
    <row r="1250" ht="23.45" customHeight="1">
      <c r="A1250" s="3">
        <v>1249</v>
      </c>
      <c r="B1250" t="s" s="4">
        <v>7933</v>
      </c>
      <c r="C1250" t="s" s="5">
        <v>7895</v>
      </c>
      <c r="D1250" t="s" s="5">
        <v>7896</v>
      </c>
      <c r="E1250" t="s" s="5">
        <v>7934</v>
      </c>
      <c r="F1250" t="s" s="10">
        <v>7935</v>
      </c>
      <c r="G1250" t="s" s="7">
        <v>7936</v>
      </c>
      <c r="H1250" t="s" s="7">
        <v>7937</v>
      </c>
      <c r="I1250" t="str" s="8" cm="1">
        <f t="array" ref="I1250">SUBSTITUTE(H1250,B1250,"(          )")</f>
        <v>Don't (          ) your health during busy times.</v>
      </c>
      <c r="J1250" s="9" cm="1">
        <f t="array" ref="J1250">SUMIF('외운 것 - 엑셀다운로드 파일(붙여넣기)'!A3:A562,A1250,'외운 것 - 엑셀다운로드 파일(붙여넣기)'!D3:D562)</f>
        <v>0</v>
      </c>
      <c r="K1250" s="9" cm="1">
        <f t="array" ref="K1250">_xlfn.COUNTIFS('외운 것 - 엑셀다운로드 파일(붙여넣기)'!A3:A562,A1250,'외운 것 - 엑셀다운로드 파일(붙여넣기)'!D3:D562,0)</f>
        <v>0</v>
      </c>
      <c r="L1250" s="9" cm="1">
        <f t="array" ref="L1250">IF(J1250&gt;=3,_xlfn.XLOOKUP(A1250,'외운 것 - 엑셀다운로드 파일(붙여넣기)'!A3:A562,'외운 것 - 엑셀다운로드 파일(붙여넣기)'!C3:C562,0,-1),0)</f>
        <v>0</v>
      </c>
    </row>
    <row r="1251" ht="23.45" customHeight="1">
      <c r="A1251" s="3">
        <v>1250</v>
      </c>
      <c r="B1251" t="s" s="4">
        <v>7939</v>
      </c>
      <c r="C1251" t="s" s="5">
        <v>7895</v>
      </c>
      <c r="D1251" t="s" s="5">
        <v>7896</v>
      </c>
      <c r="E1251" t="s" s="5">
        <v>7940</v>
      </c>
      <c r="F1251" t="s" s="10">
        <v>7941</v>
      </c>
      <c r="G1251" t="s" s="7">
        <v>7942</v>
      </c>
      <c r="H1251" t="s" s="7">
        <v>7943</v>
      </c>
      <c r="I1251" t="str" s="8" cm="1">
        <f t="array" ref="I1251">SUBSTITUTE(H1251,B1251,"(          )")</f>
        <v>The people will (          ) a new president in November.</v>
      </c>
      <c r="J1251" s="9" cm="1">
        <f t="array" ref="J1251">SUMIF('외운 것 - 엑셀다운로드 파일(붙여넣기)'!A3:A562,A1251,'외운 것 - 엑셀다운로드 파일(붙여넣기)'!D3:D562)</f>
        <v>0</v>
      </c>
      <c r="K1251" s="9" cm="1">
        <f t="array" ref="K1251">_xlfn.COUNTIFS('외운 것 - 엑셀다운로드 파일(붙여넣기)'!A3:A562,A1251,'외운 것 - 엑셀다운로드 파일(붙여넣기)'!D3:D562,0)</f>
        <v>0</v>
      </c>
      <c r="L1251" s="9" cm="1">
        <f t="array" ref="L1251">IF(J1251&gt;=3,_xlfn.XLOOKUP(A1251,'외운 것 - 엑셀다운로드 파일(붙여넣기)'!A3:A562,'외운 것 - 엑셀다운로드 파일(붙여넣기)'!C3:C562,0,-1),0)</f>
        <v>0</v>
      </c>
    </row>
    <row r="1252" ht="38.45" customHeight="1">
      <c r="A1252" s="3">
        <v>1251</v>
      </c>
      <c r="B1252" t="s" s="4">
        <v>7945</v>
      </c>
      <c r="C1252" t="s" s="5">
        <v>7946</v>
      </c>
      <c r="D1252" t="s" s="5">
        <v>7947</v>
      </c>
      <c r="E1252" t="s" s="5">
        <v>7948</v>
      </c>
      <c r="F1252" t="s" s="10">
        <v>7949</v>
      </c>
      <c r="G1252" t="s" s="7">
        <v>7950</v>
      </c>
      <c r="H1252" t="s" s="7">
        <v>7951</v>
      </c>
      <c r="I1252" t="str" s="8" cm="1">
        <f t="array" ref="I1252">SUBSTITUTE(H1252,B1252,"(          )")</f>
        <v>The college has a (          ) arts curriculum.</v>
      </c>
      <c r="J1252" s="9" cm="1">
        <f t="array" ref="J1252">SUMIF('외운 것 - 엑셀다운로드 파일(붙여넣기)'!A3:A562,A1252,'외운 것 - 엑셀다운로드 파일(붙여넣기)'!D3:D562)</f>
        <v>0</v>
      </c>
      <c r="K1252" s="9" cm="1">
        <f t="array" ref="K1252">_xlfn.COUNTIFS('외운 것 - 엑셀다운로드 파일(붙여넣기)'!A3:A562,A1252,'외운 것 - 엑셀다운로드 파일(붙여넣기)'!D3:D562,0)</f>
        <v>0</v>
      </c>
      <c r="L1252" s="9" cm="1">
        <f t="array" ref="L1252">IF(J1252&gt;=3,_xlfn.XLOOKUP(A1252,'외운 것 - 엑셀다운로드 파일(붙여넣기)'!A3:A562,'외운 것 - 엑셀다운로드 파일(붙여넣기)'!C3:C562,0,-1),0)</f>
        <v>0</v>
      </c>
    </row>
    <row r="1253" ht="23.45" customHeight="1">
      <c r="A1253" s="3">
        <v>1252</v>
      </c>
      <c r="B1253" t="s" s="4">
        <v>7953</v>
      </c>
      <c r="C1253" t="s" s="5">
        <v>7954</v>
      </c>
      <c r="D1253" t="s" s="5">
        <v>7947</v>
      </c>
      <c r="E1253" t="s" s="5">
        <v>7955</v>
      </c>
      <c r="F1253" t="s" s="10">
        <v>7956</v>
      </c>
      <c r="G1253" t="s" s="7">
        <v>7957</v>
      </c>
      <c r="H1253" t="s" s="7">
        <v>7958</v>
      </c>
      <c r="I1253" t="str" s="8" cm="1">
        <f t="array" ref="I1253">SUBSTITUTE(H1253,B1253,"(          )")</f>
        <v>The army helped (          ) the occupied town.</v>
      </c>
      <c r="J1253" s="9" cm="1">
        <f t="array" ref="J1253">SUMIF('외운 것 - 엑셀다운로드 파일(붙여넣기)'!A3:A562,A1253,'외운 것 - 엑셀다운로드 파일(붙여넣기)'!D3:D562)</f>
        <v>0</v>
      </c>
      <c r="K1253" s="9" cm="1">
        <f t="array" ref="K1253">_xlfn.COUNTIFS('외운 것 - 엑셀다운로드 파일(붙여넣기)'!A3:A562,A1253,'외운 것 - 엑셀다운로드 파일(붙여넣기)'!D3:D562,0)</f>
        <v>0</v>
      </c>
      <c r="L1253" s="9" cm="1">
        <f t="array" ref="L1253">IF(J1253&gt;=3,_xlfn.XLOOKUP(A1253,'외운 것 - 엑셀다운로드 파일(붙여넣기)'!A3:A562,'외운 것 - 엑셀다운로드 파일(붙여넣기)'!C3:C562,0,-1),0)</f>
        <v>0</v>
      </c>
    </row>
    <row r="1254" ht="23.45" customHeight="1">
      <c r="A1254" s="3">
        <v>1253</v>
      </c>
      <c r="B1254" t="s" s="4">
        <v>7960</v>
      </c>
      <c r="C1254" t="s" s="5">
        <v>7946</v>
      </c>
      <c r="D1254" t="s" s="5">
        <v>7947</v>
      </c>
      <c r="E1254" t="s" s="5">
        <v>7961</v>
      </c>
      <c r="F1254" t="s" s="10">
        <v>7962</v>
      </c>
      <c r="G1254" t="s" s="7">
        <v>7963</v>
      </c>
      <c r="H1254" t="s" s="7">
        <v>7964</v>
      </c>
      <c r="I1254" t="str" s="8" cm="1">
        <f t="array" ref="I1254">SUBSTITUTE(H1254,B1254,"(          )")</f>
        <v>The public (          ) offers free internet access.</v>
      </c>
      <c r="J1254" s="9" cm="1">
        <f t="array" ref="J1254">SUMIF('외운 것 - 엑셀다운로드 파일(붙여넣기)'!A3:A562,A1254,'외운 것 - 엑셀다운로드 파일(붙여넣기)'!D3:D562)</f>
        <v>0</v>
      </c>
      <c r="K1254" s="9" cm="1">
        <f t="array" ref="K1254">_xlfn.COUNTIFS('외운 것 - 엑셀다운로드 파일(붙여넣기)'!A3:A562,A1254,'외운 것 - 엑셀다운로드 파일(붙여넣기)'!D3:D562,0)</f>
        <v>0</v>
      </c>
      <c r="L1254" s="9" cm="1">
        <f t="array" ref="L1254">IF(J1254&gt;=3,_xlfn.XLOOKUP(A1254,'외운 것 - 엑셀다운로드 파일(붙여넣기)'!A3:A562,'외운 것 - 엑셀다운로드 파일(붙여넣기)'!C3:C562,0,-1),0)</f>
        <v>0</v>
      </c>
    </row>
    <row r="1255" ht="38.45" customHeight="1">
      <c r="A1255" s="3">
        <v>1254</v>
      </c>
      <c r="B1255" t="s" s="4">
        <v>7966</v>
      </c>
      <c r="C1255" t="s" s="5">
        <v>7954</v>
      </c>
      <c r="D1255" t="s" s="5">
        <v>7947</v>
      </c>
      <c r="E1255" t="s" s="5">
        <v>7967</v>
      </c>
      <c r="F1255" t="s" s="10">
        <v>7968</v>
      </c>
      <c r="G1255" t="s" s="7">
        <v>7969</v>
      </c>
      <c r="H1255" t="s" s="7">
        <v>7970</v>
      </c>
      <c r="I1255" t="str" s="8" cm="1">
        <f t="array" ref="I1255">SUBSTITUTE(H1255,B1255,"(          )")</f>
        <v>The jury's (          ) consideration led to a fair verdict.</v>
      </c>
      <c r="J1255" s="9" cm="1">
        <f t="array" ref="J1255">SUMIF('외운 것 - 엑셀다운로드 파일(붙여넣기)'!A3:A562,A1255,'외운 것 - 엑셀다운로드 파일(붙여넣기)'!D3:D562)</f>
        <v>0</v>
      </c>
      <c r="K1255" s="9" cm="1">
        <f t="array" ref="K1255">_xlfn.COUNTIFS('외운 것 - 엑셀다운로드 파일(붙여넣기)'!A3:A562,A1255,'외운 것 - 엑셀다운로드 파일(붙여넣기)'!D3:D562,0)</f>
        <v>0</v>
      </c>
      <c r="L1255" s="9" cm="1">
        <f t="array" ref="L1255">IF(J1255&gt;=3,_xlfn.XLOOKUP(A1255,'외운 것 - 엑셀다운로드 파일(붙여넣기)'!A3:A562,'외운 것 - 엑셀다운로드 파일(붙여넣기)'!C3:C562,0,-1),0)</f>
        <v>0</v>
      </c>
    </row>
    <row r="1256" ht="38.45" customHeight="1">
      <c r="A1256" s="3">
        <v>1255</v>
      </c>
      <c r="B1256" t="s" s="4">
        <v>7972</v>
      </c>
      <c r="C1256" t="s" s="5">
        <v>7954</v>
      </c>
      <c r="D1256" t="s" s="5">
        <v>7947</v>
      </c>
      <c r="E1256" t="s" s="5">
        <v>7973</v>
      </c>
      <c r="F1256" t="s" s="10">
        <v>7974</v>
      </c>
      <c r="G1256" t="s" s="7">
        <v>7975</v>
      </c>
      <c r="H1256" t="s" s="7">
        <v>7976</v>
      </c>
      <c r="I1256" t="str" s="8" cm="1">
        <f t="array" ref="I1256">SUBSTITUTE(H1256,B1256,"(          )")</f>
        <v>The postal service (          )s mail six days a week.</v>
      </c>
      <c r="J1256" s="9" cm="1">
        <f t="array" ref="J1256">SUMIF('외운 것 - 엑셀다운로드 파일(붙여넣기)'!A3:A562,A1256,'외운 것 - 엑셀다운로드 파일(붙여넣기)'!D3:D562)</f>
        <v>0</v>
      </c>
      <c r="K1256" s="9" cm="1">
        <f t="array" ref="K1256">_xlfn.COUNTIFS('외운 것 - 엑셀다운로드 파일(붙여넣기)'!A3:A562,A1256,'외운 것 - 엑셀다운로드 파일(붙여넣기)'!D3:D562,0)</f>
        <v>0</v>
      </c>
      <c r="L1256" s="9" cm="1">
        <f t="array" ref="L1256">IF(J1256&gt;=3,_xlfn.XLOOKUP(A1256,'외운 것 - 엑셀다운로드 파일(붙여넣기)'!A3:A562,'외운 것 - 엑셀다운로드 파일(붙여넣기)'!C3:C562,0,-1),0)</f>
        <v>0</v>
      </c>
    </row>
    <row r="1257" ht="23.45" customHeight="1">
      <c r="A1257" s="3">
        <v>1256</v>
      </c>
      <c r="B1257" t="s" s="4">
        <v>7978</v>
      </c>
      <c r="C1257" t="s" s="5">
        <v>7979</v>
      </c>
      <c r="D1257" t="s" s="5">
        <v>7980</v>
      </c>
      <c r="E1257" t="s" s="5">
        <v>7981</v>
      </c>
      <c r="F1257" t="s" s="10">
        <v>7982</v>
      </c>
      <c r="G1257" t="s" s="7">
        <v>7246</v>
      </c>
      <c r="H1257" t="s" s="7">
        <v>7983</v>
      </c>
      <c r="I1257" t="str" s="8" cm="1">
        <f t="array" ref="I1257">SUBSTITUTE(H1257,B1257,"(          )")</f>
        <v>Children enjoy sliding down the playground (          ).</v>
      </c>
      <c r="J1257" s="9" cm="1">
        <f t="array" ref="J1257">SUMIF('외운 것 - 엑셀다운로드 파일(붙여넣기)'!A3:A562,A1257,'외운 것 - 엑셀다운로드 파일(붙여넣기)'!D3:D562)</f>
        <v>0</v>
      </c>
      <c r="K1257" s="9" cm="1">
        <f t="array" ref="K1257">_xlfn.COUNTIFS('외운 것 - 엑셀다운로드 파일(붙여넣기)'!A3:A562,A1257,'외운 것 - 엑셀다운로드 파일(붙여넣기)'!D3:D562,0)</f>
        <v>0</v>
      </c>
      <c r="L1257" s="9" cm="1">
        <f t="array" ref="L1257">IF(J1257&gt;=3,_xlfn.XLOOKUP(A1257,'외운 것 - 엑셀다운로드 파일(붙여넣기)'!A3:A562,'외운 것 - 엑셀다운로드 파일(붙여넣기)'!C3:C562,0,-1),0)</f>
        <v>0</v>
      </c>
    </row>
    <row r="1258" ht="23.45" customHeight="1">
      <c r="A1258" s="3">
        <v>1257</v>
      </c>
      <c r="B1258" t="s" s="4">
        <v>7985</v>
      </c>
      <c r="C1258" t="s" s="5">
        <v>7986</v>
      </c>
      <c r="D1258" t="s" s="5">
        <v>7980</v>
      </c>
      <c r="E1258" t="s" s="5">
        <v>7987</v>
      </c>
      <c r="F1258" t="s" s="10">
        <v>7988</v>
      </c>
      <c r="G1258" t="s" s="7">
        <v>7989</v>
      </c>
      <c r="H1258" t="s" s="7">
        <v>7990</v>
      </c>
      <c r="I1258" t="str" s="8" cm="1">
        <f t="array" ref="I1258">SUBSTITUTE(H1258,B1258,"(          )")</f>
        <v>In winter, they use a (          ) to travel across the snow.</v>
      </c>
      <c r="J1258" s="9" cm="1">
        <f t="array" ref="J1258">SUMIF('외운 것 - 엑셀다운로드 파일(붙여넣기)'!A3:A562,A1258,'외운 것 - 엑셀다운로드 파일(붙여넣기)'!D3:D562)</f>
        <v>0</v>
      </c>
      <c r="K1258" s="9" cm="1">
        <f t="array" ref="K1258">_xlfn.COUNTIFS('외운 것 - 엑셀다운로드 파일(붙여넣기)'!A3:A562,A1258,'외운 것 - 엑셀다운로드 파일(붙여넣기)'!D3:D562,0)</f>
        <v>0</v>
      </c>
      <c r="L1258" s="9" cm="1">
        <f t="array" ref="L1258">IF(J1258&gt;=3,_xlfn.XLOOKUP(A1258,'외운 것 - 엑셀다운로드 파일(붙여넣기)'!A3:A562,'외운 것 - 엑셀다운로드 파일(붙여넣기)'!C3:C562,0,-1),0)</f>
        <v>0</v>
      </c>
    </row>
    <row r="1259" ht="23.45" customHeight="1">
      <c r="A1259" s="3">
        <v>1258</v>
      </c>
      <c r="B1259" t="s" s="4">
        <v>7992</v>
      </c>
      <c r="C1259" t="s" s="5">
        <v>7979</v>
      </c>
      <c r="D1259" t="s" s="5">
        <v>7980</v>
      </c>
      <c r="E1259" t="s" s="5">
        <v>7993</v>
      </c>
      <c r="F1259" t="s" s="10">
        <v>7994</v>
      </c>
      <c r="G1259" t="s" s="7">
        <v>7995</v>
      </c>
      <c r="H1259" t="s" s="7">
        <v>7996</v>
      </c>
      <c r="I1259" t="str" s="8" cm="1">
        <f t="array" ref="I1259">SUBSTITUTE(H1259,B1259,"(          )")</f>
        <v>The swan (          )s gracefully across the lake.</v>
      </c>
      <c r="J1259" s="9" cm="1">
        <f t="array" ref="J1259">SUMIF('외운 것 - 엑셀다운로드 파일(붙여넣기)'!A3:A562,A1259,'외운 것 - 엑셀다운로드 파일(붙여넣기)'!D3:D562)</f>
        <v>0</v>
      </c>
      <c r="K1259" s="9" cm="1">
        <f t="array" ref="K1259">_xlfn.COUNTIFS('외운 것 - 엑셀다운로드 파일(붙여넣기)'!A3:A562,A1259,'외운 것 - 엑셀다운로드 파일(붙여넣기)'!D3:D562,0)</f>
        <v>0</v>
      </c>
      <c r="L1259" s="9" cm="1">
        <f t="array" ref="L1259">IF(J1259&gt;=3,_xlfn.XLOOKUP(A1259,'외운 것 - 엑셀다운로드 파일(붙여넣기)'!A3:A562,'외운 것 - 엑셀다운로드 파일(붙여넣기)'!C3:C562,0,-1),0)</f>
        <v>0</v>
      </c>
    </row>
    <row r="1260" ht="23.45" customHeight="1">
      <c r="A1260" s="3">
        <v>1259</v>
      </c>
      <c r="B1260" t="s" s="4">
        <v>7998</v>
      </c>
      <c r="C1260" t="s" s="5">
        <v>7979</v>
      </c>
      <c r="D1260" t="s" s="5">
        <v>7980</v>
      </c>
      <c r="E1260" t="s" s="5">
        <v>7999</v>
      </c>
      <c r="F1260" t="s" s="10">
        <v>8000</v>
      </c>
      <c r="G1260" t="s" s="7">
        <v>8001</v>
      </c>
      <c r="H1260" t="s" s="7">
        <v>8002</v>
      </c>
      <c r="I1260" t="str" s="8" cm="1">
        <f t="array" ref="I1260">SUBSTITUTE(H1260,B1260,"(          )")</f>
        <v>The two cars (          ) at the intersection.</v>
      </c>
      <c r="J1260" s="9" cm="1">
        <f t="array" ref="J1260">SUMIF('외운 것 - 엑셀다운로드 파일(붙여넣기)'!A3:A562,A1260,'외운 것 - 엑셀다운로드 파일(붙여넣기)'!D3:D562)</f>
        <v>0</v>
      </c>
      <c r="K1260" s="9" cm="1">
        <f t="array" ref="K1260">_xlfn.COUNTIFS('외운 것 - 엑셀다운로드 파일(붙여넣기)'!A3:A562,A1260,'외운 것 - 엑셀다운로드 파일(붙여넣기)'!D3:D562,0)</f>
        <v>0</v>
      </c>
      <c r="L1260" s="9" cm="1">
        <f t="array" ref="L1260">IF(J1260&gt;=3,_xlfn.XLOOKUP(A1260,'외운 것 - 엑셀다운로드 파일(붙여넣기)'!A3:A562,'외운 것 - 엑셀다운로드 파일(붙여넣기)'!C3:C562,0,-1),0)</f>
        <v>0</v>
      </c>
    </row>
    <row r="1261" ht="38.45" customHeight="1">
      <c r="A1261" s="3">
        <v>1260</v>
      </c>
      <c r="B1261" t="s" s="4">
        <v>8004</v>
      </c>
      <c r="C1261" t="s" s="5">
        <v>7296</v>
      </c>
      <c r="D1261" t="s" s="5">
        <v>8005</v>
      </c>
      <c r="E1261" t="s" s="5">
        <v>8006</v>
      </c>
      <c r="F1261" t="s" s="10">
        <v>8007</v>
      </c>
      <c r="G1261" t="s" s="7">
        <v>8008</v>
      </c>
      <c r="H1261" t="s" s="7">
        <v>8009</v>
      </c>
      <c r="I1261" t="str" s="8" cm="1">
        <f t="array" ref="I1261">SUBSTITUTE(H1261,B1261,"(          )")</f>
        <v>Keep your voice (          ) in the library.</v>
      </c>
      <c r="J1261" s="9" cm="1">
        <f t="array" ref="J1261">SUMIF('외운 것 - 엑셀다운로드 파일(붙여넣기)'!A3:A562,A1261,'외운 것 - 엑셀다운로드 파일(붙여넣기)'!D3:D562)</f>
        <v>0</v>
      </c>
      <c r="K1261" s="9" cm="1">
        <f t="array" ref="K1261">_xlfn.COUNTIFS('외운 것 - 엑셀다운로드 파일(붙여넣기)'!A3:A562,A1261,'외운 것 - 엑셀다운로드 파일(붙여넣기)'!D3:D562,0)</f>
        <v>0</v>
      </c>
      <c r="L1261" s="9" cm="1">
        <f t="array" ref="L1261">IF(J1261&gt;=3,_xlfn.XLOOKUP(A1261,'외운 것 - 엑셀다운로드 파일(붙여넣기)'!A3:A562,'외운 것 - 엑셀다운로드 파일(붙여넣기)'!C3:C562,0,-1),0)</f>
        <v>0</v>
      </c>
    </row>
    <row r="1262" ht="23.45" customHeight="1">
      <c r="A1262" s="3">
        <v>1261</v>
      </c>
      <c r="B1262" t="s" s="4">
        <v>8011</v>
      </c>
      <c r="C1262" t="s" s="5">
        <v>8004</v>
      </c>
      <c r="D1262" t="s" s="5">
        <v>8005</v>
      </c>
      <c r="E1262" t="s" s="5">
        <v>8012</v>
      </c>
      <c r="F1262" t="s" s="10">
        <v>8013</v>
      </c>
      <c r="G1262" t="s" s="7">
        <v>8014</v>
      </c>
      <c r="H1262" t="s" s="7">
        <v>8015</v>
      </c>
      <c r="I1262" t="str" s="8" cm="1">
        <f t="array" ref="I1262">SUBSTITUTE(H1262,B1262,"(          )")</f>
        <v>Lower the volume of the music, please.</v>
      </c>
      <c r="J1262" s="9" cm="1">
        <f t="array" ref="J1262">SUMIF('외운 것 - 엑셀다운로드 파일(붙여넣기)'!A3:A562,A1262,'외운 것 - 엑셀다운로드 파일(붙여넣기)'!D3:D562)</f>
        <v>0</v>
      </c>
      <c r="K1262" s="9" cm="1">
        <f t="array" ref="K1262">_xlfn.COUNTIFS('외운 것 - 엑셀다운로드 파일(붙여넣기)'!A3:A562,A1262,'외운 것 - 엑셀다운로드 파일(붙여넣기)'!D3:D562,0)</f>
        <v>0</v>
      </c>
      <c r="L1262" s="9" cm="1">
        <f t="array" ref="L1262">IF(J1262&gt;=3,_xlfn.XLOOKUP(A1262,'외운 것 - 엑셀다운로드 파일(붙여넣기)'!A3:A562,'외운 것 - 엑셀다운로드 파일(붙여넣기)'!C3:C562,0,-1),0)</f>
        <v>0</v>
      </c>
    </row>
    <row r="1263" ht="23.45" customHeight="1">
      <c r="A1263" s="3">
        <v>1262</v>
      </c>
      <c r="B1263" t="s" s="4">
        <v>8017</v>
      </c>
      <c r="C1263" t="s" s="5">
        <v>8004</v>
      </c>
      <c r="D1263" t="s" s="5">
        <v>8005</v>
      </c>
      <c r="E1263" t="s" s="5">
        <v>8018</v>
      </c>
      <c r="F1263" t="s" s="10">
        <v>8019</v>
      </c>
      <c r="G1263" t="s" s="7">
        <v>8020</v>
      </c>
      <c r="H1263" t="s" s="7">
        <v>8021</v>
      </c>
      <c r="I1263" t="str" s="8" cm="1">
        <f t="array" ref="I1263">SUBSTITUTE(H1263,B1263,"(          )")</f>
        <v>The river (          )s from the mountains to the sea.</v>
      </c>
      <c r="J1263" s="9" cm="1">
        <f t="array" ref="J1263">SUMIF('외운 것 - 엑셀다운로드 파일(붙여넣기)'!A3:A562,A1263,'외운 것 - 엑셀다운로드 파일(붙여넣기)'!D3:D562)</f>
        <v>0</v>
      </c>
      <c r="K1263" s="9" cm="1">
        <f t="array" ref="K1263">_xlfn.COUNTIFS('외운 것 - 엑셀다운로드 파일(붙여넣기)'!A3:A562,A1263,'외운 것 - 엑셀다운로드 파일(붙여넣기)'!D3:D562,0)</f>
        <v>0</v>
      </c>
      <c r="L1263" s="9" cm="1">
        <f t="array" ref="L1263">IF(J1263&gt;=3,_xlfn.XLOOKUP(A1263,'외운 것 - 엑셀다운로드 파일(붙여넣기)'!A3:A562,'외운 것 - 엑셀다운로드 파일(붙여넣기)'!C3:C562,0,-1),0)</f>
        <v>0</v>
      </c>
    </row>
    <row r="1264" ht="23.45" customHeight="1">
      <c r="A1264" s="3">
        <v>1263</v>
      </c>
      <c r="B1264" t="s" s="4">
        <v>8023</v>
      </c>
      <c r="C1264" t="s" s="5">
        <v>8004</v>
      </c>
      <c r="D1264" t="s" s="5">
        <v>8005</v>
      </c>
      <c r="E1264" t="s" s="5">
        <v>8024</v>
      </c>
      <c r="F1264" t="s" s="10">
        <v>8025</v>
      </c>
      <c r="G1264" t="s" s="7">
        <v>8026</v>
      </c>
      <c r="H1264" t="s" s="7">
        <v>8027</v>
      </c>
      <c r="I1264" t="str" s="8" cm="1">
        <f t="array" ref="I1264">SUBSTITUTE(H1264,B1264,"(          )")</f>
        <v>Drive (          ) in school zones.</v>
      </c>
      <c r="J1264" s="9" cm="1">
        <f t="array" ref="J1264">SUMIF('외운 것 - 엑셀다운로드 파일(붙여넣기)'!A3:A562,A1264,'외운 것 - 엑셀다운로드 파일(붙여넣기)'!D3:D562)</f>
        <v>0</v>
      </c>
      <c r="K1264" s="9" cm="1">
        <f t="array" ref="K1264">_xlfn.COUNTIFS('외운 것 - 엑셀다운로드 파일(붙여넣기)'!A3:A562,A1264,'외운 것 - 엑셀다운로드 파일(붙여넣기)'!D3:D562,0)</f>
        <v>0</v>
      </c>
      <c r="L1264" s="9" cm="1">
        <f t="array" ref="L1264">IF(J1264&gt;=3,_xlfn.XLOOKUP(A1264,'외운 것 - 엑셀다운로드 파일(붙여넣기)'!A3:A562,'외운 것 - 엑셀다운로드 파일(붙여넣기)'!C3:C562,0,-1),0)</f>
        <v>0</v>
      </c>
    </row>
    <row r="1265" ht="23.45" customHeight="1">
      <c r="A1265" s="3">
        <v>1264</v>
      </c>
      <c r="B1265" t="s" s="4">
        <v>8029</v>
      </c>
      <c r="C1265" t="s" s="5">
        <v>8004</v>
      </c>
      <c r="D1265" t="s" s="5">
        <v>8005</v>
      </c>
      <c r="E1265" t="s" s="5">
        <v>8030</v>
      </c>
      <c r="F1265" t="s" s="10">
        <v>8031</v>
      </c>
      <c r="G1265" t="s" s="7">
        <v>8032</v>
      </c>
      <c r="H1265" t="s" s="7">
        <v>8033</v>
      </c>
      <c r="I1265" t="str" s="8" cm="1">
        <f t="array" ref="I1265">SUBSTITUTE(H1265,B1265,"(          )")</f>
        <v>Farmers use a (          ) to prepare fields for planting.</v>
      </c>
      <c r="J1265" s="9" cm="1">
        <f t="array" ref="J1265">SUMIF('외운 것 - 엑셀다운로드 파일(붙여넣기)'!A3:A562,A1265,'외운 것 - 엑셀다운로드 파일(붙여넣기)'!D3:D562)</f>
        <v>0</v>
      </c>
      <c r="K1265" s="9" cm="1">
        <f t="array" ref="K1265">_xlfn.COUNTIFS('외운 것 - 엑셀다운로드 파일(붙여넣기)'!A3:A562,A1265,'외운 것 - 엑셀다운로드 파일(붙여넣기)'!D3:D562,0)</f>
        <v>0</v>
      </c>
      <c r="L1265" s="9" cm="1">
        <f t="array" ref="L1265">IF(J1265&gt;=3,_xlfn.XLOOKUP(A1265,'외운 것 - 엑셀다운로드 파일(붙여넣기)'!A3:A562,'외운 것 - 엑셀다운로드 파일(붙여넣기)'!C3:C562,0,-1),0)</f>
        <v>0</v>
      </c>
    </row>
    <row r="1266" ht="23.45" customHeight="1">
      <c r="A1266" s="3">
        <v>1265</v>
      </c>
      <c r="B1266" t="s" s="4">
        <v>8035</v>
      </c>
      <c r="C1266" t="s" s="5">
        <v>8004</v>
      </c>
      <c r="D1266" t="s" s="5">
        <v>8005</v>
      </c>
      <c r="E1266" t="s" s="5">
        <v>8036</v>
      </c>
      <c r="F1266" t="s" s="10">
        <v>8037</v>
      </c>
      <c r="G1266" t="s" s="7">
        <v>8038</v>
      </c>
      <c r="H1266" t="s" s="7">
        <v>8039</v>
      </c>
      <c r="I1266" t="str" s="8" cm="1">
        <f t="array" ref="I1266">SUBSTITUTE(H1266,B1266,"(          )")</f>
        <v>The rules (          ) for some flexibility.</v>
      </c>
      <c r="J1266" s="9" cm="1">
        <f t="array" ref="J1266">SUMIF('외운 것 - 엑셀다운로드 파일(붙여넣기)'!A3:A562,A1266,'외운 것 - 엑셀다운로드 파일(붙여넣기)'!D3:D562)</f>
        <v>0</v>
      </c>
      <c r="K1266" s="9" cm="1">
        <f t="array" ref="K1266">_xlfn.COUNTIFS('외운 것 - 엑셀다운로드 파일(붙여넣기)'!A3:A562,A1266,'외운 것 - 엑셀다운로드 파일(붙여넣기)'!D3:D562,0)</f>
        <v>0</v>
      </c>
      <c r="L1266" s="9" cm="1">
        <f t="array" ref="L1266">IF(J1266&gt;=3,_xlfn.XLOOKUP(A1266,'외운 것 - 엑셀다운로드 파일(붙여넣기)'!A3:A562,'외운 것 - 엑셀다운로드 파일(붙여넣기)'!C3:C562,0,-1),0)</f>
        <v>0</v>
      </c>
    </row>
    <row r="1267" ht="23.45" customHeight="1">
      <c r="A1267" s="3">
        <v>1266</v>
      </c>
      <c r="B1267" t="s" s="4">
        <v>8041</v>
      </c>
      <c r="C1267" t="s" s="5">
        <v>8042</v>
      </c>
      <c r="D1267" t="s" s="5">
        <v>8004</v>
      </c>
      <c r="E1267" t="s" s="5">
        <v>8043</v>
      </c>
      <c r="F1267" t="s" s="10">
        <v>8044</v>
      </c>
      <c r="G1267" t="s" s="7">
        <v>8045</v>
      </c>
      <c r="H1267" t="s" s="7">
        <v>8046</v>
      </c>
      <c r="I1267" t="str" s="8" cm="1">
        <f t="array" ref="I1267">SUBSTITUTE(H1267,B1267,"(          )")</f>
        <v>The referee will (          ) the goal due to a foul.</v>
      </c>
      <c r="J1267" s="9" cm="1">
        <f t="array" ref="J1267">SUMIF('외운 것 - 엑셀다운로드 파일(붙여넣기)'!A3:A562,A1267,'외운 것 - 엑셀다운로드 파일(붙여넣기)'!D3:D562)</f>
        <v>0</v>
      </c>
      <c r="K1267" s="9" cm="1">
        <f t="array" ref="K1267">_xlfn.COUNTIFS('외운 것 - 엑셀다운로드 파일(붙여넣기)'!A3:A562,A1267,'외운 것 - 엑셀다운로드 파일(붙여넣기)'!D3:D562,0)</f>
        <v>0</v>
      </c>
      <c r="L1267" s="9" cm="1">
        <f t="array" ref="L1267">IF(J1267&gt;=3,_xlfn.XLOOKUP(A1267,'외운 것 - 엑셀다운로드 파일(붙여넣기)'!A3:A562,'외운 것 - 엑셀다운로드 파일(붙여넣기)'!C3:C562,0,-1),0)</f>
        <v>0</v>
      </c>
    </row>
    <row r="1268" ht="38.45" customHeight="1">
      <c r="A1268" s="3">
        <v>1267</v>
      </c>
      <c r="B1268" t="s" s="4">
        <v>8048</v>
      </c>
      <c r="C1268" t="s" s="5">
        <v>8049</v>
      </c>
      <c r="D1268" t="s" s="5">
        <v>8050</v>
      </c>
      <c r="E1268" t="s" s="5">
        <v>8051</v>
      </c>
      <c r="F1268" t="s" s="10">
        <v>8052</v>
      </c>
      <c r="G1268" t="s" s="7">
        <v>7246</v>
      </c>
      <c r="H1268" t="s" s="7">
        <v>8053</v>
      </c>
      <c r="I1268" t="str" s="8" cm="1">
        <f t="array" ref="I1268">SUBSTITUTE(H1268,B1268,"(          )")</f>
        <v>Be careful not to (          ) on the icy sidewalk.</v>
      </c>
      <c r="J1268" s="9" cm="1">
        <f t="array" ref="J1268">SUMIF('외운 것 - 엑셀다운로드 파일(붙여넣기)'!A3:A562,A1268,'외운 것 - 엑셀다운로드 파일(붙여넣기)'!D3:D562)</f>
        <v>0</v>
      </c>
      <c r="K1268" s="9" cm="1">
        <f t="array" ref="K1268">_xlfn.COUNTIFS('외운 것 - 엑셀다운로드 파일(붙여넣기)'!A3:A562,A1268,'외운 것 - 엑셀다운로드 파일(붙여넣기)'!D3:D562,0)</f>
        <v>0</v>
      </c>
      <c r="L1268" s="9" cm="1">
        <f t="array" ref="L1268">IF(J1268&gt;=3,_xlfn.XLOOKUP(A1268,'외운 것 - 엑셀다운로드 파일(붙여넣기)'!A3:A562,'외운 것 - 엑셀다운로드 파일(붙여넣기)'!C3:C562,0,-1),0)</f>
        <v>0</v>
      </c>
    </row>
    <row r="1269" ht="23.45" customHeight="1">
      <c r="A1269" s="3">
        <v>1268</v>
      </c>
      <c r="B1269" t="s" s="4">
        <v>8055</v>
      </c>
      <c r="C1269" t="s" s="5">
        <v>8056</v>
      </c>
      <c r="D1269" t="s" s="5">
        <v>8049</v>
      </c>
      <c r="E1269" t="s" s="5">
        <v>8057</v>
      </c>
      <c r="F1269" t="s" s="10">
        <v>8058</v>
      </c>
      <c r="G1269" t="s" s="7">
        <v>8059</v>
      </c>
      <c r="H1269" t="s" s="7">
        <v>8060</v>
      </c>
      <c r="I1269" t="str" s="8" cm="1">
        <f t="array" ref="I1269">SUBSTITUTE(H1269,B1269,"(          )")</f>
        <v>She put on comfortable (          )s after work.</v>
      </c>
      <c r="J1269" s="9" cm="1">
        <f t="array" ref="J1269">SUMIF('외운 것 - 엑셀다운로드 파일(붙여넣기)'!A3:A562,A1269,'외운 것 - 엑셀다운로드 파일(붙여넣기)'!D3:D562)</f>
        <v>0</v>
      </c>
      <c r="K1269" s="9" cm="1">
        <f t="array" ref="K1269">_xlfn.COUNTIFS('외운 것 - 엑셀다운로드 파일(붙여넣기)'!A3:A562,A1269,'외운 것 - 엑셀다운로드 파일(붙여넣기)'!D3:D562,0)</f>
        <v>0</v>
      </c>
      <c r="L1269" s="9" cm="1">
        <f t="array" ref="L1269">IF(J1269&gt;=3,_xlfn.XLOOKUP(A1269,'외운 것 - 엑셀다운로드 파일(붙여넣기)'!A3:A562,'외운 것 - 엑셀다운로드 파일(붙여넣기)'!C3:C562,0,-1),0)</f>
        <v>0</v>
      </c>
    </row>
    <row r="1270" ht="38.45" customHeight="1">
      <c r="A1270" s="3">
        <v>1269</v>
      </c>
      <c r="B1270" t="s" s="4">
        <v>8062</v>
      </c>
      <c r="C1270" t="s" s="5">
        <v>8049</v>
      </c>
      <c r="D1270" t="s" s="5">
        <v>8050</v>
      </c>
      <c r="E1270" t="s" s="5">
        <v>8063</v>
      </c>
      <c r="F1270" t="s" s="10">
        <v>8064</v>
      </c>
      <c r="G1270" t="s" s="7">
        <v>8065</v>
      </c>
      <c r="H1270" t="s" s="7">
        <v>8066</v>
      </c>
      <c r="I1270" t="str" s="8" cm="1">
        <f t="array" ref="I1270">SUBSTITUTE(H1270,B1270,"(          )")</f>
        <v>Skiers enjoy the gentle (          ) of this mountain.</v>
      </c>
      <c r="J1270" s="9" cm="1">
        <f t="array" ref="J1270">SUMIF('외운 것 - 엑셀다운로드 파일(붙여넣기)'!A3:A562,A1270,'외운 것 - 엑셀다운로드 파일(붙여넣기)'!D3:D562)</f>
        <v>0</v>
      </c>
      <c r="K1270" s="9" cm="1">
        <f t="array" ref="K1270">_xlfn.COUNTIFS('외운 것 - 엑셀다운로드 파일(붙여넣기)'!A3:A562,A1270,'외운 것 - 엑셀다운로드 파일(붙여넣기)'!D3:D562,0)</f>
        <v>0</v>
      </c>
      <c r="L1270" s="9" cm="1">
        <f t="array" ref="L1270">IF(J1270&gt;=3,_xlfn.XLOOKUP(A1270,'외운 것 - 엑셀다운로드 파일(붙여넣기)'!A3:A562,'외운 것 - 엑셀다운로드 파일(붙여넣기)'!C3:C562,0,-1),0)</f>
        <v>0</v>
      </c>
    </row>
    <row r="1271" ht="38.45" customHeight="1">
      <c r="A1271" s="3">
        <v>1270</v>
      </c>
      <c r="B1271" t="s" s="4">
        <v>3958</v>
      </c>
      <c r="C1271" t="s" s="5">
        <v>8049</v>
      </c>
      <c r="D1271" t="s" s="5">
        <v>8050</v>
      </c>
      <c r="E1271" t="s" s="5">
        <v>3959</v>
      </c>
      <c r="F1271" t="s" s="10">
        <v>8068</v>
      </c>
      <c r="G1271" t="s" s="7">
        <v>8069</v>
      </c>
      <c r="H1271" t="s" s="7">
        <v>3962</v>
      </c>
      <c r="I1271" t="str" s="8" cm="1">
        <f t="array" ref="I1271">SUBSTITUTE(H1271,B1271,"(          )")</f>
        <v>Most people need eight hours of (          ) each night.</v>
      </c>
      <c r="J1271" s="9" cm="1">
        <f t="array" ref="J1271">SUMIF('외운 것 - 엑셀다운로드 파일(붙여넣기)'!A3:A562,A1271,'외운 것 - 엑셀다운로드 파일(붙여넣기)'!D3:D562)</f>
        <v>0</v>
      </c>
      <c r="K1271" s="9" cm="1">
        <f t="array" ref="K1271">_xlfn.COUNTIFS('외운 것 - 엑셀다운로드 파일(붙여넣기)'!A3:A562,A1271,'외운 것 - 엑셀다운로드 파일(붙여넣기)'!D3:D562,0)</f>
        <v>0</v>
      </c>
      <c r="L1271" s="9" cm="1">
        <f t="array" ref="L1271">IF(J1271&gt;=3,_xlfn.XLOOKUP(A1271,'외운 것 - 엑셀다운로드 파일(붙여넣기)'!A3:A562,'외운 것 - 엑셀다운로드 파일(붙여넣기)'!C3:C562,0,-1),0)</f>
        <v>0</v>
      </c>
    </row>
    <row r="1272" ht="38.45" customHeight="1">
      <c r="A1272" s="3">
        <v>1271</v>
      </c>
      <c r="B1272" t="s" s="4">
        <v>8070</v>
      </c>
      <c r="C1272" t="s" s="5">
        <v>8049</v>
      </c>
      <c r="D1272" t="s" s="5">
        <v>8050</v>
      </c>
      <c r="E1272" t="s" s="5">
        <v>8071</v>
      </c>
      <c r="F1272" t="s" s="10">
        <v>8072</v>
      </c>
      <c r="G1272" t="s" s="7">
        <v>8073</v>
      </c>
      <c r="H1272" t="s" s="7">
        <v>8074</v>
      </c>
      <c r="I1272" t="str" s="8" cm="1">
        <f t="array" ref="I1272">SUBSTITUTE(H1272,B1272,"(          )")</f>
        <v>His shirt has long (          )s for cold weather.</v>
      </c>
      <c r="J1272" s="9" cm="1">
        <f t="array" ref="J1272">SUMIF('외운 것 - 엑셀다운로드 파일(붙여넣기)'!A3:A562,A1272,'외운 것 - 엑셀다운로드 파일(붙여넣기)'!D3:D562)</f>
        <v>0</v>
      </c>
      <c r="K1272" s="9" cm="1">
        <f t="array" ref="K1272">_xlfn.COUNTIFS('외운 것 - 엑셀다운로드 파일(붙여넣기)'!A3:A562,A1272,'외운 것 - 엑셀다운로드 파일(붙여넣기)'!D3:D562,0)</f>
        <v>0</v>
      </c>
      <c r="L1272" s="9" cm="1">
        <f t="array" ref="L1272">IF(J1272&gt;=3,_xlfn.XLOOKUP(A1272,'외운 것 - 엑셀다운로드 파일(붙여넣기)'!A3:A562,'외운 것 - 엑셀다운로드 파일(붙여넣기)'!C3:C562,0,-1),0)</f>
        <v>0</v>
      </c>
    </row>
    <row r="1273" ht="23.45" customHeight="1">
      <c r="A1273" s="3">
        <v>1272</v>
      </c>
      <c r="B1273" t="s" s="4">
        <v>8076</v>
      </c>
      <c r="C1273" t="s" s="5">
        <v>8049</v>
      </c>
      <c r="D1273" t="s" s="5">
        <v>8050</v>
      </c>
      <c r="E1273" t="s" s="5">
        <v>8077</v>
      </c>
      <c r="F1273" t="s" s="10">
        <v>8078</v>
      </c>
      <c r="G1273" t="s" s="7">
        <v>8079</v>
      </c>
      <c r="H1273" t="s" s="7">
        <v>8080</v>
      </c>
      <c r="I1273" t="str" s="8" cm="1">
        <f t="array" ref="I1273">SUBSTITUTE(H1273,B1273,"(          )")</f>
        <v>Regular exercise helps maintain a (          ) figure.</v>
      </c>
      <c r="J1273" s="9" cm="1">
        <f t="array" ref="J1273">SUMIF('외운 것 - 엑셀다운로드 파일(붙여넣기)'!A3:A562,A1273,'외운 것 - 엑셀다운로드 파일(붙여넣기)'!D3:D562)</f>
        <v>0</v>
      </c>
      <c r="K1273" s="9" cm="1">
        <f t="array" ref="K1273">_xlfn.COUNTIFS('외운 것 - 엑셀다운로드 파일(붙여넣기)'!A3:A562,A1273,'외운 것 - 엑셀다운로드 파일(붙여넣기)'!D3:D562,0)</f>
        <v>0</v>
      </c>
      <c r="L1273" s="9" cm="1">
        <f t="array" ref="L1273">IF(J1273&gt;=3,_xlfn.XLOOKUP(A1273,'외운 것 - 엑셀다운로드 파일(붙여넣기)'!A3:A562,'외운 것 - 엑셀다운로드 파일(붙여넣기)'!C3:C562,0,-1),0)</f>
        <v>0</v>
      </c>
    </row>
    <row r="1274" ht="38.45" customHeight="1">
      <c r="A1274" s="3">
        <v>1273</v>
      </c>
      <c r="B1274" t="s" s="4">
        <v>8082</v>
      </c>
      <c r="C1274" t="s" s="5">
        <v>8083</v>
      </c>
      <c r="D1274" t="s" s="5">
        <v>8049</v>
      </c>
      <c r="E1274" t="s" s="5">
        <v>8084</v>
      </c>
      <c r="F1274" t="s" s="10">
        <v>8085</v>
      </c>
      <c r="G1274" t="s" s="7">
        <v>8086</v>
      </c>
      <c r="H1274" t="s" s="7">
        <v>8087</v>
      </c>
      <c r="I1274" t="str" s="8" cm="1">
        <f t="array" ref="I1274">SUBSTITUTE(H1274,B1274,"(          )")</f>
        <v>Children enjoy playing with colorful (          ).</v>
      </c>
      <c r="J1274" s="9" cm="1">
        <f t="array" ref="J1274">SUMIF('외운 것 - 엑셀다운로드 파일(붙여넣기)'!A3:A562,A1274,'외운 것 - 엑셀다운로드 파일(붙여넣기)'!D3:D562)</f>
        <v>0</v>
      </c>
      <c r="K1274" s="9" cm="1">
        <f t="array" ref="K1274">_xlfn.COUNTIFS('외운 것 - 엑셀다운로드 파일(붙여넣기)'!A3:A562,A1274,'외운 것 - 엑셀다운로드 파일(붙여넣기)'!D3:D562,0)</f>
        <v>0</v>
      </c>
      <c r="L1274" s="9" cm="1">
        <f t="array" ref="L1274">IF(J1274&gt;=3,_xlfn.XLOOKUP(A1274,'외운 것 - 엑셀다운로드 파일(붙여넣기)'!A3:A562,'외운 것 - 엑셀다운로드 파일(붙여넣기)'!C3:C562,0,-1),0)</f>
        <v>0</v>
      </c>
    </row>
    <row r="1275" ht="38.45" customHeight="1">
      <c r="A1275" s="3">
        <v>1274</v>
      </c>
      <c r="B1275" t="s" s="4">
        <v>8089</v>
      </c>
      <c r="C1275" t="s" s="5">
        <v>8049</v>
      </c>
      <c r="D1275" t="s" s="5">
        <v>8050</v>
      </c>
      <c r="E1275" t="s" s="5">
        <v>8090</v>
      </c>
      <c r="F1275" t="s" s="10">
        <v>8091</v>
      </c>
      <c r="G1275" t="s" s="7">
        <v>8092</v>
      </c>
      <c r="H1275" t="s" s="7">
        <v>8093</v>
      </c>
      <c r="I1275" t="str" s="8" cm="1">
        <f t="array" ref="I1275">SUBSTITUTE(H1275,B1275,"(          )")</f>
        <v>The vase has a (          ) neck and wide base.</v>
      </c>
      <c r="J1275" s="9" cm="1">
        <f t="array" ref="J1275">SUMIF('외운 것 - 엑셀다운로드 파일(붙여넣기)'!A3:A562,A1275,'외운 것 - 엑셀다운로드 파일(붙여넣기)'!D3:D562)</f>
        <v>0</v>
      </c>
      <c r="K1275" s="9" cm="1">
        <f t="array" ref="K1275">_xlfn.COUNTIFS('외운 것 - 엑셀다운로드 파일(붙여넣기)'!A3:A562,A1275,'외운 것 - 엑셀다운로드 파일(붙여넣기)'!D3:D562,0)</f>
        <v>0</v>
      </c>
      <c r="L1275" s="9" cm="1">
        <f t="array" ref="L1275">IF(J1275&gt;=3,_xlfn.XLOOKUP(A1275,'외운 것 - 엑셀다운로드 파일(붙여넣기)'!A3:A562,'외운 것 - 엑셀다운로드 파일(붙여넣기)'!C3:C562,0,-1),0)</f>
        <v>0</v>
      </c>
    </row>
    <row r="1276" ht="38.45" customHeight="1">
      <c r="A1276" s="3">
        <v>1275</v>
      </c>
      <c r="B1276" t="s" s="4">
        <v>8095</v>
      </c>
      <c r="C1276" t="s" s="5">
        <v>8049</v>
      </c>
      <c r="D1276" t="s" s="5">
        <v>8050</v>
      </c>
      <c r="E1276" t="s" s="5">
        <v>8096</v>
      </c>
      <c r="F1276" t="s" s="10">
        <v>8097</v>
      </c>
      <c r="G1276" t="s" s="7">
        <v>8098</v>
      </c>
      <c r="H1276" t="s" s="7">
        <v>8099</v>
      </c>
      <c r="I1276" t="str" s="8" cm="1">
        <f t="array" ref="I1276">SUBSTITUTE(H1276,B1276,"(          )")</f>
        <v>Don't (          ) the door when you leave.</v>
      </c>
      <c r="J1276" s="9" cm="1">
        <f t="array" ref="J1276">SUMIF('외운 것 - 엑셀다운로드 파일(붙여넣기)'!A3:A562,A1276,'외운 것 - 엑셀다운로드 파일(붙여넣기)'!D3:D562)</f>
        <v>0</v>
      </c>
      <c r="K1276" s="9" cm="1">
        <f t="array" ref="K1276">_xlfn.COUNTIFS('외운 것 - 엑셀다운로드 파일(붙여넣기)'!A3:A562,A1276,'외운 것 - 엑셀다운로드 파일(붙여넣기)'!D3:D562,0)</f>
        <v>0</v>
      </c>
      <c r="L1276" s="9" cm="1">
        <f t="array" ref="L1276">IF(J1276&gt;=3,_xlfn.XLOOKUP(A1276,'외운 것 - 엑셀다운로드 파일(붙여넣기)'!A3:A562,'외운 것 - 엑셀다운로드 파일(붙여넣기)'!C3:C562,0,-1),0)</f>
        <v>0</v>
      </c>
    </row>
    <row r="1277" ht="23.45" customHeight="1">
      <c r="A1277" s="3">
        <v>1276</v>
      </c>
      <c r="B1277" t="s" s="4">
        <v>8101</v>
      </c>
      <c r="C1277" t="s" s="5">
        <v>8049</v>
      </c>
      <c r="D1277" t="s" s="5">
        <v>8050</v>
      </c>
      <c r="E1277" t="s" s="5">
        <v>8102</v>
      </c>
      <c r="F1277" t="s" s="10">
        <v>8103</v>
      </c>
      <c r="G1277" t="s" s="7">
        <v>8104</v>
      </c>
      <c r="H1277" t="s" s="7">
        <v>8105</v>
      </c>
      <c r="I1277" t="str" s="8" cm="1">
        <f t="array" ref="I1277">SUBSTITUTE(H1277,B1277,"(          )")</f>
        <v>The house has a (          ) roof that lasts for decades.</v>
      </c>
      <c r="J1277" s="9" cm="1">
        <f t="array" ref="J1277">SUMIF('외운 것 - 엑셀다운로드 파일(붙여넣기)'!A3:A562,A1277,'외운 것 - 엑셀다운로드 파일(붙여넣기)'!D3:D562)</f>
        <v>0</v>
      </c>
      <c r="K1277" s="9" cm="1">
        <f t="array" ref="K1277">_xlfn.COUNTIFS('외운 것 - 엑셀다운로드 파일(붙여넣기)'!A3:A562,A1277,'외운 것 - 엑셀다운로드 파일(붙여넣기)'!D3:D562,0)</f>
        <v>0</v>
      </c>
      <c r="L1277" s="9" cm="1">
        <f t="array" ref="L1277">IF(J1277&gt;=3,_xlfn.XLOOKUP(A1277,'외운 것 - 엑셀다운로드 파일(붙여넣기)'!A3:A562,'외운 것 - 엑셀다운로드 파일(붙여넣기)'!C3:C562,0,-1),0)</f>
        <v>0</v>
      </c>
    </row>
    <row r="1278" ht="38.45" customHeight="1">
      <c r="A1278" s="3">
        <v>1277</v>
      </c>
      <c r="B1278" t="s" s="4">
        <v>8107</v>
      </c>
      <c r="C1278" t="s" s="5">
        <v>8108</v>
      </c>
      <c r="D1278" t="s" s="5">
        <v>8109</v>
      </c>
      <c r="E1278" t="s" s="5">
        <v>8110</v>
      </c>
      <c r="F1278" t="s" s="10">
        <v>8111</v>
      </c>
      <c r="G1278" t="s" s="7">
        <v>8112</v>
      </c>
      <c r="H1278" t="s" s="7">
        <v>8113</v>
      </c>
      <c r="I1278" t="str" s="8" cm="1">
        <f t="array" ref="I1278">SUBSTITUTE(H1278,B1278,"(          )")</f>
        <v>The discovery changed (          )'s understanding of the universe.</v>
      </c>
      <c r="J1278" s="9" cm="1">
        <f t="array" ref="J1278">SUMIF('외운 것 - 엑셀다운로드 파일(붙여넣기)'!A3:A562,A1278,'외운 것 - 엑셀다운로드 파일(붙여넣기)'!D3:D562)</f>
        <v>0</v>
      </c>
      <c r="K1278" s="9" cm="1">
        <f t="array" ref="K1278">_xlfn.COUNTIFS('외운 것 - 엑셀다운로드 파일(붙여넣기)'!A3:A562,A1278,'외운 것 - 엑셀다운로드 파일(붙여넣기)'!D3:D562,0)</f>
        <v>0</v>
      </c>
      <c r="L1278" s="9" cm="1">
        <f t="array" ref="L1278">IF(J1278&gt;=3,_xlfn.XLOOKUP(A1278,'외운 것 - 엑셀다운로드 파일(붙여넣기)'!A3:A562,'외운 것 - 엑셀다운로드 파일(붙여넣기)'!C3:C562,0,-1),0)</f>
        <v>0</v>
      </c>
    </row>
    <row r="1279" ht="38.45" customHeight="1">
      <c r="A1279" s="3">
        <v>1278</v>
      </c>
      <c r="B1279" t="s" s="4">
        <v>8115</v>
      </c>
      <c r="C1279" t="s" s="5">
        <v>8108</v>
      </c>
      <c r="D1279" t="s" s="5">
        <v>8109</v>
      </c>
      <c r="E1279" t="s" s="5">
        <v>8116</v>
      </c>
      <c r="F1279" t="s" s="10">
        <v>8117</v>
      </c>
      <c r="G1279" t="s" s="7">
        <v>8118</v>
      </c>
      <c r="H1279" t="s" s="7">
        <v>8119</v>
      </c>
      <c r="I1279" t="str" s="8" cm="1">
        <f t="array" ref="I1279">SUBSTITUTE(H1279,B1279,"(          )")</f>
        <v>The store (          ) resolved the customer's complaint.</v>
      </c>
      <c r="J1279" s="9" cm="1">
        <f t="array" ref="J1279">SUMIF('외운 것 - 엑셀다운로드 파일(붙여넣기)'!A3:A562,A1279,'외운 것 - 엑셀다운로드 파일(붙여넣기)'!D3:D562)</f>
        <v>0</v>
      </c>
      <c r="K1279" s="9" cm="1">
        <f t="array" ref="K1279">_xlfn.COUNTIFS('외운 것 - 엑셀다운로드 파일(붙여넣기)'!A3:A562,A1279,'외운 것 - 엑셀다운로드 파일(붙여넣기)'!D3:D562,0)</f>
        <v>0</v>
      </c>
      <c r="L1279" s="9" cm="1">
        <f t="array" ref="L1279">IF(J1279&gt;=3,_xlfn.XLOOKUP(A1279,'외운 것 - 엑셀다운로드 파일(붙여넣기)'!A3:A562,'외운 것 - 엑셀다운로드 파일(붙여넣기)'!C3:C562,0,-1),0)</f>
        <v>0</v>
      </c>
    </row>
    <row r="1280" ht="36.4" customHeight="1">
      <c r="A1280" s="3">
        <v>1279</v>
      </c>
      <c r="B1280" t="s" s="4">
        <v>8121</v>
      </c>
      <c r="C1280" t="s" s="5">
        <v>8122</v>
      </c>
      <c r="D1280" t="s" s="5">
        <v>8108</v>
      </c>
      <c r="E1280" t="s" s="5">
        <v>8123</v>
      </c>
      <c r="F1280" t="s" s="10">
        <v>8124</v>
      </c>
      <c r="G1280" t="s" s="7">
        <v>8125</v>
      </c>
      <c r="H1280" t="s" s="7">
        <v>8126</v>
      </c>
      <c r="I1280" t="str" s="8" cm="1">
        <f t="array" ref="I1280">SUBSTITUTE(H1280,B1280,"(          )")</f>
        <v>She has strong (          ) skills from years of experience.</v>
      </c>
      <c r="J1280" s="9" cm="1">
        <f t="array" ref="J1280">SUMIF('외운 것 - 엑셀다운로드 파일(붙여넣기)'!A3:A562,A1280,'외운 것 - 엑셀다운로드 파일(붙여넣기)'!D3:D562)</f>
        <v>0</v>
      </c>
      <c r="K1280" s="9" cm="1">
        <f t="array" ref="K1280">_xlfn.COUNTIFS('외운 것 - 엑셀다운로드 파일(붙여넣기)'!A3:A562,A1280,'외운 것 - 엑셀다운로드 파일(붙여넣기)'!D3:D562,0)</f>
        <v>0</v>
      </c>
      <c r="L1280" s="9" cm="1">
        <f t="array" ref="L1280">IF(J1280&gt;=3,_xlfn.XLOOKUP(A1280,'외운 것 - 엑셀다운로드 파일(붙여넣기)'!A3:A562,'외운 것 - 엑셀다운로드 파일(붙여넣기)'!C3:C562,0,-1),0)</f>
        <v>0</v>
      </c>
    </row>
    <row r="1281" ht="23.45" customHeight="1">
      <c r="A1281" s="3">
        <v>1280</v>
      </c>
      <c r="B1281" t="s" s="4">
        <v>1374</v>
      </c>
      <c r="C1281" t="s" s="5">
        <v>8108</v>
      </c>
      <c r="D1281" t="s" s="5">
        <v>8109</v>
      </c>
      <c r="E1281" t="s" s="5">
        <v>1375</v>
      </c>
      <c r="F1281" t="s" s="10">
        <v>8128</v>
      </c>
      <c r="G1281" t="s" s="7">
        <v>8129</v>
      </c>
      <c r="H1281" t="s" s="7">
        <v>1378</v>
      </c>
      <c r="I1281" t="str" s="8" cm="1">
        <f t="array" ref="I1281">SUBSTITUTE(H1281,B1281,"(          )")</f>
        <v>She gets a (          ) every two weeks.</v>
      </c>
      <c r="J1281" s="9" cm="1">
        <f t="array" ref="J1281">SUMIF('외운 것 - 엑셀다운로드 파일(붙여넣기)'!A3:A562,A1281,'외운 것 - 엑셀다운로드 파일(붙여넣기)'!D3:D562)</f>
        <v>0</v>
      </c>
      <c r="K1281" s="9" cm="1">
        <f t="array" ref="K1281">_xlfn.COUNTIFS('외운 것 - 엑셀다운로드 파일(붙여넣기)'!A3:A562,A1281,'외운 것 - 엑셀다운로드 파일(붙여넣기)'!D3:D562,0)</f>
        <v>0</v>
      </c>
      <c r="L1281" s="9" cm="1">
        <f t="array" ref="L1281">IF(J1281&gt;=3,_xlfn.XLOOKUP(A1281,'외운 것 - 엑셀다운로드 파일(붙여넣기)'!A3:A562,'외운 것 - 엑셀다운로드 파일(붙여넣기)'!C3:C562,0,-1),0)</f>
        <v>0</v>
      </c>
    </row>
    <row r="1282" ht="23.45" customHeight="1">
      <c r="A1282" s="3">
        <v>1281</v>
      </c>
      <c r="B1282" t="s" s="4">
        <v>8130</v>
      </c>
      <c r="C1282" t="s" s="5">
        <v>8108</v>
      </c>
      <c r="D1282" t="s" s="5">
        <v>8109</v>
      </c>
      <c r="E1282" t="s" s="5">
        <v>8131</v>
      </c>
      <c r="F1282" t="s" s="10">
        <v>8132</v>
      </c>
      <c r="G1282" t="s" s="7">
        <v>8133</v>
      </c>
      <c r="H1282" t="s" s="7">
        <v>8134</v>
      </c>
      <c r="I1282" t="str" s="8" cm="1">
        <f t="array" ref="I1282">SUBSTITUTE(H1282,B1282,"(          )")</f>
        <v>His polite (          ) impressed the interviewers.</v>
      </c>
      <c r="J1282" s="9" cm="1">
        <f t="array" ref="J1282">SUMIF('외운 것 - 엑셀다운로드 파일(붙여넣기)'!A3:A562,A1282,'외운 것 - 엑셀다운로드 파일(붙여넣기)'!D3:D562)</f>
        <v>0</v>
      </c>
      <c r="K1282" s="9" cm="1">
        <f t="array" ref="K1282">_xlfn.COUNTIFS('외운 것 - 엑셀다운로드 파일(붙여넣기)'!A3:A562,A1282,'외운 것 - 엑셀다운로드 파일(붙여넣기)'!D3:D562,0)</f>
        <v>0</v>
      </c>
      <c r="L1282" s="9" cm="1">
        <f t="array" ref="L1282">IF(J1282&gt;=3,_xlfn.XLOOKUP(A1282,'외운 것 - 엑셀다운로드 파일(붙여넣기)'!A3:A562,'외운 것 - 엑셀다운로드 파일(붙여넣기)'!C3:C562,0,-1),0)</f>
        <v>0</v>
      </c>
    </row>
    <row r="1283" ht="23.45" customHeight="1">
      <c r="A1283" s="3">
        <v>1282</v>
      </c>
      <c r="B1283" t="s" s="4">
        <v>8136</v>
      </c>
      <c r="C1283" t="s" s="5">
        <v>8108</v>
      </c>
      <c r="D1283" t="s" s="5">
        <v>8109</v>
      </c>
      <c r="E1283" t="s" s="5">
        <v>8137</v>
      </c>
      <c r="F1283" t="s" s="10">
        <v>8138</v>
      </c>
      <c r="G1283" t="s" s="7">
        <v>8139</v>
      </c>
      <c r="H1283" t="s" s="7">
        <v>8140</v>
      </c>
      <c r="I1283" t="str" s="8" cm="1">
        <f t="array" ref="I1283">SUBSTITUTE(H1283,B1283,"(          )")</f>
        <v>Read the (          ) before operating the machinery.</v>
      </c>
      <c r="J1283" s="9" cm="1">
        <f t="array" ref="J1283">SUMIF('외운 것 - 엑셀다운로드 파일(붙여넣기)'!A3:A562,A1283,'외운 것 - 엑셀다운로드 파일(붙여넣기)'!D3:D562)</f>
        <v>0</v>
      </c>
      <c r="K1283" s="9" cm="1">
        <f t="array" ref="K1283">_xlfn.COUNTIFS('외운 것 - 엑셀다운로드 파일(붙여넣기)'!A3:A562,A1283,'외운 것 - 엑셀다운로드 파일(붙여넣기)'!D3:D562,0)</f>
        <v>0</v>
      </c>
      <c r="L1283" s="9" cm="1">
        <f t="array" ref="L1283">IF(J1283&gt;=3,_xlfn.XLOOKUP(A1283,'외운 것 - 엑셀다운로드 파일(붙여넣기)'!A3:A562,'외운 것 - 엑셀다운로드 파일(붙여넣기)'!C3:C562,0,-1),0)</f>
        <v>0</v>
      </c>
    </row>
    <row r="1284" ht="38.45" customHeight="1">
      <c r="A1284" s="3">
        <v>1283</v>
      </c>
      <c r="B1284" t="s" s="4">
        <v>8142</v>
      </c>
      <c r="C1284" t="s" s="5">
        <v>8108</v>
      </c>
      <c r="D1284" t="s" s="5">
        <v>8109</v>
      </c>
      <c r="E1284" t="s" s="5">
        <v>8143</v>
      </c>
      <c r="F1284" t="s" s="10">
        <v>8144</v>
      </c>
      <c r="G1284" t="s" s="7">
        <v>8145</v>
      </c>
      <c r="H1284" t="s" s="7">
        <v>8146</v>
      </c>
      <c r="I1284" t="str" s="8" cm="1">
        <f t="array" ref="I1284">SUBSTITUTE(H1284,B1284,"(          )")</f>
        <v>The ship's (          ) lists all cargo and passengers.</v>
      </c>
      <c r="J1284" s="9" cm="1">
        <f t="array" ref="J1284">SUMIF('외운 것 - 엑셀다운로드 파일(붙여넣기)'!A3:A562,A1284,'외운 것 - 엑셀다운로드 파일(붙여넣기)'!D3:D562)</f>
        <v>0</v>
      </c>
      <c r="K1284" s="9" cm="1">
        <f t="array" ref="K1284">_xlfn.COUNTIFS('외운 것 - 엑셀다운로드 파일(붙여넣기)'!A3:A562,A1284,'외운 것 - 엑셀다운로드 파일(붙여넣기)'!D3:D562,0)</f>
        <v>0</v>
      </c>
      <c r="L1284" s="9" cm="1">
        <f t="array" ref="L1284">IF(J1284&gt;=3,_xlfn.XLOOKUP(A1284,'외운 것 - 엑셀다운로드 파일(붙여넣기)'!A3:A562,'외운 것 - 엑셀다운로드 파일(붙여넣기)'!C3:C562,0,-1),0)</f>
        <v>0</v>
      </c>
    </row>
    <row r="1285" ht="38.45" customHeight="1">
      <c r="A1285" s="3">
        <v>1284</v>
      </c>
      <c r="B1285" t="s" s="4">
        <v>8148</v>
      </c>
      <c r="C1285" t="s" s="5">
        <v>8108</v>
      </c>
      <c r="D1285" t="s" s="5">
        <v>8109</v>
      </c>
      <c r="E1285" t="s" s="5">
        <v>8149</v>
      </c>
      <c r="F1285" t="s" s="10">
        <v>8150</v>
      </c>
      <c r="G1285" t="s" s="7">
        <v>8151</v>
      </c>
      <c r="H1285" t="s" s="7">
        <v>8152</v>
      </c>
      <c r="I1285" t="str" s="8" cm="1">
        <f t="array" ref="I1285">SUBSTITUTE(H1285,B1285,"(          )")</f>
        <v>Don't let others (          ) your decisions.</v>
      </c>
      <c r="J1285" s="9" cm="1">
        <f t="array" ref="J1285">SUMIF('외운 것 - 엑셀다운로드 파일(붙여넣기)'!A3:A562,A1285,'외운 것 - 엑셀다운로드 파일(붙여넣기)'!D3:D562)</f>
        <v>0</v>
      </c>
      <c r="K1285" s="9" cm="1">
        <f t="array" ref="K1285">_xlfn.COUNTIFS('외운 것 - 엑셀다운로드 파일(붙여넣기)'!A3:A562,A1285,'외운 것 - 엑셀다운로드 파일(붙여넣기)'!D3:D562,0)</f>
        <v>0</v>
      </c>
      <c r="L1285" s="9" cm="1">
        <f t="array" ref="L1285">IF(J1285&gt;=3,_xlfn.XLOOKUP(A1285,'외운 것 - 엑셀다운로드 파일(붙여넣기)'!A3:A562,'외운 것 - 엑셀다운로드 파일(붙여넣기)'!C3:C562,0,-1),0)</f>
        <v>0</v>
      </c>
    </row>
    <row r="1286" ht="23.45" customHeight="1">
      <c r="A1286" s="3">
        <v>1285</v>
      </c>
      <c r="B1286" t="s" s="4">
        <v>8154</v>
      </c>
      <c r="C1286" t="s" s="5">
        <v>8108</v>
      </c>
      <c r="D1286" t="s" s="5">
        <v>8109</v>
      </c>
      <c r="E1286" t="s" s="5">
        <v>8155</v>
      </c>
      <c r="F1286" t="s" s="10">
        <v>8156</v>
      </c>
      <c r="G1286" t="s" s="7">
        <v>8157</v>
      </c>
      <c r="H1286" t="s" s="7">
        <v>8158</v>
      </c>
      <c r="I1286" t="str" s="8" cm="1">
        <f t="array" ref="I1286">SUBSTITUTE(H1286,B1286,"(          )")</f>
        <v>The Earth's (          ) lies between the crust and the core.</v>
      </c>
      <c r="J1286" s="9" cm="1">
        <f t="array" ref="J1286">SUMIF('외운 것 - 엑셀다운로드 파일(붙여넣기)'!A3:A562,A1286,'외운 것 - 엑셀다운로드 파일(붙여넣기)'!D3:D562)</f>
        <v>0</v>
      </c>
      <c r="K1286" s="9" cm="1">
        <f t="array" ref="K1286">_xlfn.COUNTIFS('외운 것 - 엑셀다운로드 파일(붙여넣기)'!A3:A562,A1286,'외운 것 - 엑셀다운로드 파일(붙여넣기)'!D3:D562,0)</f>
        <v>0</v>
      </c>
      <c r="L1286" s="9" cm="1">
        <f t="array" ref="L1286">IF(J1286&gt;=3,_xlfn.XLOOKUP(A1286,'외운 것 - 엑셀다운로드 파일(붙여넣기)'!A3:A562,'외운 것 - 엑셀다운로드 파일(붙여넣기)'!C3:C562,0,-1),0)</f>
        <v>0</v>
      </c>
    </row>
    <row r="1287" ht="36.4" customHeight="1">
      <c r="A1287" s="3">
        <v>1286</v>
      </c>
      <c r="B1287" t="s" s="4">
        <v>8160</v>
      </c>
      <c r="C1287" t="s" s="5">
        <v>8161</v>
      </c>
      <c r="D1287" t="s" s="5">
        <v>8108</v>
      </c>
      <c r="E1287" t="s" s="5">
        <v>8162</v>
      </c>
      <c r="F1287" t="s" s="10">
        <v>8163</v>
      </c>
      <c r="G1287" t="s" s="7">
        <v>8164</v>
      </c>
      <c r="H1287" t="s" s="7">
        <v>8165</v>
      </c>
      <c r="I1287" t="str" s="8" cm="1">
        <f t="array" ref="I1287">SUBSTITUTE(H1287,B1287,"(          )")</f>
        <v>Workers will (          ) the old bridge.</v>
      </c>
      <c r="J1287" s="9" cm="1">
        <f t="array" ref="J1287">SUMIF('외운 것 - 엑셀다운로드 파일(붙여넣기)'!A3:A562,A1287,'외운 것 - 엑셀다운로드 파일(붙여넣기)'!D3:D562)</f>
        <v>0</v>
      </c>
      <c r="K1287" s="9" cm="1">
        <f t="array" ref="K1287">_xlfn.COUNTIFS('외운 것 - 엑셀다운로드 파일(붙여넣기)'!A3:A562,A1287,'외운 것 - 엑셀다운로드 파일(붙여넣기)'!D3:D562,0)</f>
        <v>0</v>
      </c>
      <c r="L1287" s="9" cm="1">
        <f t="array" ref="L1287">IF(J1287&gt;=3,_xlfn.XLOOKUP(A1287,'외운 것 - 엑셀다운로드 파일(붙여넣기)'!A3:A562,'외운 것 - 엑셀다운로드 파일(붙여넣기)'!C3:C562,0,-1),0)</f>
        <v>0</v>
      </c>
    </row>
    <row r="1288" ht="38.45" customHeight="1">
      <c r="A1288" s="3">
        <v>1287</v>
      </c>
      <c r="B1288" t="s" s="4">
        <v>8167</v>
      </c>
      <c r="C1288" t="s" s="5">
        <v>8168</v>
      </c>
      <c r="D1288" t="s" s="5">
        <v>8169</v>
      </c>
      <c r="E1288" t="s" s="5">
        <v>8170</v>
      </c>
      <c r="F1288" t="s" s="10">
        <v>8171</v>
      </c>
      <c r="G1288" t="s" s="7">
        <v>8172</v>
      </c>
      <c r="H1288" t="s" s="7">
        <v>8173</v>
      </c>
      <c r="I1288" t="str" s="8" cm="1">
        <f t="array" ref="I1288">SUBSTITUTE(H1288,B1288,"(          )")</f>
        <v>The captain gave the (          ) to abandon ship.</v>
      </c>
      <c r="J1288" s="9" cm="1">
        <f t="array" ref="J1288">SUMIF('외운 것 - 엑셀다운로드 파일(붙여넣기)'!A3:A562,A1288,'외운 것 - 엑셀다운로드 파일(붙여넣기)'!D3:D562)</f>
        <v>0</v>
      </c>
      <c r="K1288" s="9" cm="1">
        <f t="array" ref="K1288">_xlfn.COUNTIFS('외운 것 - 엑셀다운로드 파일(붙여넣기)'!A3:A562,A1288,'외운 것 - 엑셀다운로드 파일(붙여넣기)'!D3:D562,0)</f>
        <v>0</v>
      </c>
      <c r="L1288" s="9" cm="1">
        <f t="array" ref="L1288">IF(J1288&gt;=3,_xlfn.XLOOKUP(A1288,'외운 것 - 엑셀다운로드 파일(붙여넣기)'!A3:A562,'외운 것 - 엑셀다운로드 파일(붙여넣기)'!C3:C562,0,-1),0)</f>
        <v>0</v>
      </c>
    </row>
    <row r="1289" ht="23.45" customHeight="1">
      <c r="A1289" s="3">
        <v>1288</v>
      </c>
      <c r="B1289" t="s" s="4">
        <v>8175</v>
      </c>
      <c r="C1289" t="s" s="5">
        <v>8168</v>
      </c>
      <c r="D1289" t="s" s="5">
        <v>8169</v>
      </c>
      <c r="E1289" t="s" s="5">
        <v>8176</v>
      </c>
      <c r="F1289" t="s" s="10">
        <v>8177</v>
      </c>
      <c r="G1289" t="s" s="7">
        <v>8178</v>
      </c>
      <c r="H1289" t="s" s="7">
        <v>8179</v>
      </c>
      <c r="I1289" t="str" s="8" cm="1">
        <f t="array" ref="I1289">SUBSTITUTE(H1289,B1289,"(          )")</f>
        <v>The company has a (          ) to reduce carbon emissions.</v>
      </c>
      <c r="J1289" s="9" cm="1">
        <f t="array" ref="J1289">SUMIF('외운 것 - 엑셀다운로드 파일(붙여넣기)'!A3:A562,A1289,'외운 것 - 엑셀다운로드 파일(붙여넣기)'!D3:D562)</f>
        <v>0</v>
      </c>
      <c r="K1289" s="9" cm="1">
        <f t="array" ref="K1289">_xlfn.COUNTIFS('외운 것 - 엑셀다운로드 파일(붙여넣기)'!A3:A562,A1289,'외운 것 - 엑셀다운로드 파일(붙여넣기)'!D3:D562,0)</f>
        <v>0</v>
      </c>
      <c r="L1289" s="9" cm="1">
        <f t="array" ref="L1289">IF(J1289&gt;=3,_xlfn.XLOOKUP(A1289,'외운 것 - 엑셀다운로드 파일(붙여넣기)'!A3:A562,'외운 것 - 엑셀다운로드 파일(붙여넣기)'!C3:C562,0,-1),0)</f>
        <v>0</v>
      </c>
    </row>
    <row r="1290" ht="36.4" customHeight="1">
      <c r="A1290" s="3">
        <v>1289</v>
      </c>
      <c r="B1290" t="s" s="4">
        <v>8181</v>
      </c>
      <c r="C1290" t="s" s="5">
        <v>8182</v>
      </c>
      <c r="D1290" t="s" s="5">
        <v>8168</v>
      </c>
      <c r="E1290" t="s" s="5">
        <v>8183</v>
      </c>
      <c r="F1290" t="s" s="10">
        <v>8184</v>
      </c>
      <c r="G1290" t="s" s="7">
        <v>8185</v>
      </c>
      <c r="H1290" t="s" s="7">
        <v>8186</v>
      </c>
      <c r="I1290" t="str" s="8" cm="1">
        <f t="array" ref="I1290">SUBSTITUTE(H1290,B1290,"(          )")</f>
        <v>Attendance at the safety training is (          ).</v>
      </c>
      <c r="J1290" s="9" cm="1">
        <f t="array" ref="J1290">SUMIF('외운 것 - 엑셀다운로드 파일(붙여넣기)'!A3:A562,A1290,'외운 것 - 엑셀다운로드 파일(붙여넣기)'!D3:D562)</f>
        <v>0</v>
      </c>
      <c r="K1290" s="9" cm="1">
        <f t="array" ref="K1290">_xlfn.COUNTIFS('외운 것 - 엑셀다운로드 파일(붙여넣기)'!A3:A562,A1290,'외운 것 - 엑셀다운로드 파일(붙여넣기)'!D3:D562,0)</f>
        <v>0</v>
      </c>
      <c r="L1290" s="9" cm="1">
        <f t="array" ref="L1290">IF(J1290&gt;=3,_xlfn.XLOOKUP(A1290,'외운 것 - 엑셀다운로드 파일(붙여넣기)'!A3:A562,'외운 것 - 엑셀다운로드 파일(붙여넣기)'!C3:C562,0,-1),0)</f>
        <v>0</v>
      </c>
    </row>
    <row r="1291" ht="23.45" customHeight="1">
      <c r="A1291" s="3">
        <v>1290</v>
      </c>
      <c r="B1291" t="s" s="4">
        <v>8188</v>
      </c>
      <c r="C1291" t="s" s="5">
        <v>8168</v>
      </c>
      <c r="D1291" t="s" s="5">
        <v>8169</v>
      </c>
      <c r="E1291" t="s" s="5">
        <v>8189</v>
      </c>
      <c r="F1291" t="s" s="10">
        <v>8190</v>
      </c>
      <c r="G1291" t="s" s="7">
        <v>8191</v>
      </c>
      <c r="H1291" t="s" s="7">
        <v>8192</v>
      </c>
      <c r="I1291" t="str" s="8" cm="1">
        <f t="array" ref="I1291">SUBSTITUTE(H1291,B1291,"(          )")</f>
        <v>Consumer (          ) for organic products is increasing.</v>
      </c>
      <c r="J1291" s="9" cm="1">
        <f t="array" ref="J1291">SUMIF('외운 것 - 엑셀다운로드 파일(붙여넣기)'!A3:A562,A1291,'외운 것 - 엑셀다운로드 파일(붙여넣기)'!D3:D562)</f>
        <v>0</v>
      </c>
      <c r="K1291" s="9" cm="1">
        <f t="array" ref="K1291">_xlfn.COUNTIFS('외운 것 - 엑셀다운로드 파일(붙여넣기)'!A3:A562,A1291,'외운 것 - 엑셀다운로드 파일(붙여넣기)'!D3:D562,0)</f>
        <v>0</v>
      </c>
      <c r="L1291" s="9" cm="1">
        <f t="array" ref="L1291">IF(J1291&gt;=3,_xlfn.XLOOKUP(A1291,'외운 것 - 엑셀다운로드 파일(붙여넣기)'!A3:A562,'외운 것 - 엑셀다운로드 파일(붙여넣기)'!C3:C562,0,-1),0)</f>
        <v>0</v>
      </c>
    </row>
    <row r="1292" ht="36.4" customHeight="1">
      <c r="A1292" s="3">
        <v>1291</v>
      </c>
      <c r="B1292" t="s" s="4">
        <v>8194</v>
      </c>
      <c r="C1292" t="s" s="5">
        <v>8195</v>
      </c>
      <c r="D1292" t="s" s="5">
        <v>8168</v>
      </c>
      <c r="E1292" t="s" s="5">
        <v>8196</v>
      </c>
      <c r="F1292" t="s" s="10">
        <v>8197</v>
      </c>
      <c r="G1292" t="s" s="7">
        <v>8198</v>
      </c>
      <c r="H1292" t="s" s="7">
        <v>8199</v>
      </c>
      <c r="I1292" t="str" s="8" cm="1">
        <f t="array" ref="I1292">SUBSTITUTE(H1292,B1292,"(          )")</f>
        <v>Nursing is physically and emotionally (          ) work.</v>
      </c>
      <c r="J1292" s="9" cm="1">
        <f t="array" ref="J1292">SUMIF('외운 것 - 엑셀다운로드 파일(붙여넣기)'!A3:A562,A1292,'외운 것 - 엑셀다운로드 파일(붙여넣기)'!D3:D562)</f>
        <v>0</v>
      </c>
      <c r="K1292" s="9" cm="1">
        <f t="array" ref="K1292">_xlfn.COUNTIFS('외운 것 - 엑셀다운로드 파일(붙여넣기)'!A3:A562,A1292,'외운 것 - 엑셀다운로드 파일(붙여넣기)'!D3:D562,0)</f>
        <v>0</v>
      </c>
      <c r="L1292" s="9" cm="1">
        <f t="array" ref="L1292">IF(J1292&gt;=3,_xlfn.XLOOKUP(A1292,'외운 것 - 엑셀다운로드 파일(붙여넣기)'!A3:A562,'외운 것 - 엑셀다운로드 파일(붙여넣기)'!C3:C562,0,-1),0)</f>
        <v>0</v>
      </c>
    </row>
    <row r="1293" ht="38.45" customHeight="1">
      <c r="A1293" s="3">
        <v>1292</v>
      </c>
      <c r="B1293" t="s" s="4">
        <v>8201</v>
      </c>
      <c r="C1293" t="s" s="5">
        <v>8202</v>
      </c>
      <c r="D1293" t="s" s="5">
        <v>8203</v>
      </c>
      <c r="E1293" t="s" s="5">
        <v>8204</v>
      </c>
      <c r="F1293" t="s" s="10">
        <v>8205</v>
      </c>
      <c r="G1293" t="s" s="7">
        <v>8206</v>
      </c>
      <c r="H1293" t="s" s="7">
        <v>8207</v>
      </c>
      <c r="I1293" t="str" s="8" cm="1">
        <f t="array" ref="I1293">SUBSTITUTE(H1293,B1293,"(          )")</f>
        <v>She sat in the (          ) of the classroom.</v>
      </c>
      <c r="J1293" s="9" cm="1">
        <f t="array" ref="J1293">SUMIF('외운 것 - 엑셀다운로드 파일(붙여넣기)'!A3:A562,A1293,'외운 것 - 엑셀다운로드 파일(붙여넣기)'!D3:D562)</f>
        <v>0</v>
      </c>
      <c r="K1293" s="9" cm="1">
        <f t="array" ref="K1293">_xlfn.COUNTIFS('외운 것 - 엑셀다운로드 파일(붙여넣기)'!A3:A562,A1293,'외운 것 - 엑셀다운로드 파일(붙여넣기)'!D3:D562,0)</f>
        <v>0</v>
      </c>
      <c r="L1293" s="9" cm="1">
        <f t="array" ref="L1293">IF(J1293&gt;=3,_xlfn.XLOOKUP(A1293,'외운 것 - 엑셀다운로드 파일(붙여넣기)'!A3:A562,'외운 것 - 엑셀다운로드 파일(붙여넣기)'!C3:C562,0,-1),0)</f>
        <v>0</v>
      </c>
    </row>
    <row r="1294" ht="23.45" customHeight="1">
      <c r="A1294" s="3">
        <v>1293</v>
      </c>
      <c r="B1294" t="s" s="4">
        <v>8209</v>
      </c>
      <c r="C1294" t="s" s="5">
        <v>8210</v>
      </c>
      <c r="D1294" t="s" s="5">
        <v>8203</v>
      </c>
      <c r="E1294" t="s" s="5">
        <v>8211</v>
      </c>
      <c r="F1294" t="s" s="10">
        <v>8212</v>
      </c>
      <c r="G1294" t="s" s="7">
        <v>8213</v>
      </c>
      <c r="H1294" t="s" s="7">
        <v>8214</v>
      </c>
      <c r="I1294" t="str" s="8" cm="1">
        <f t="array" ref="I1294">SUBSTITUTE(H1294,B1294,"(          )")</f>
        <v>The artist prefers oil paints as a (          ).</v>
      </c>
      <c r="J1294" s="9" cm="1">
        <f t="array" ref="J1294">SUMIF('외운 것 - 엑셀다운로드 파일(붙여넣기)'!A3:A562,A1294,'외운 것 - 엑셀다운로드 파일(붙여넣기)'!D3:D562)</f>
        <v>0</v>
      </c>
      <c r="K1294" s="9" cm="1">
        <f t="array" ref="K1294">_xlfn.COUNTIFS('외운 것 - 엑셀다운로드 파일(붙여넣기)'!A3:A562,A1294,'외운 것 - 엑셀다운로드 파일(붙여넣기)'!D3:D562,0)</f>
        <v>0</v>
      </c>
      <c r="L1294" s="9" cm="1">
        <f t="array" ref="L1294">IF(J1294&gt;=3,_xlfn.XLOOKUP(A1294,'외운 것 - 엑셀다운로드 파일(붙여넣기)'!A3:A562,'외운 것 - 엑셀다운로드 파일(붙여넣기)'!C3:C562,0,-1),0)</f>
        <v>0</v>
      </c>
    </row>
    <row r="1295" ht="23.45" customHeight="1">
      <c r="A1295" s="3">
        <v>1294</v>
      </c>
      <c r="B1295" t="s" s="4">
        <v>8216</v>
      </c>
      <c r="C1295" t="s" s="5">
        <v>8210</v>
      </c>
      <c r="D1295" t="s" s="5">
        <v>8203</v>
      </c>
      <c r="E1295" t="s" s="5">
        <v>8217</v>
      </c>
      <c r="F1295" t="s" s="10">
        <v>8218</v>
      </c>
      <c r="G1295" t="s" s="7">
        <v>8219</v>
      </c>
      <c r="H1295" t="s" s="7">
        <v>8220</v>
      </c>
      <c r="I1295" t="str" s="8" cm="1">
        <f t="array" ref="I1295">SUBSTITUTE(H1295,B1295,"(          )")</f>
        <v>Social (          ) influences public opinion.</v>
      </c>
      <c r="J1295" s="9" cm="1">
        <f t="array" ref="J1295">SUMIF('외운 것 - 엑셀다운로드 파일(붙여넣기)'!A3:A562,A1295,'외운 것 - 엑셀다운로드 파일(붙여넣기)'!D3:D562)</f>
        <v>0</v>
      </c>
      <c r="K1295" s="9" cm="1">
        <f t="array" ref="K1295">_xlfn.COUNTIFS('외운 것 - 엑셀다운로드 파일(붙여넣기)'!A3:A562,A1295,'외운 것 - 엑셀다운로드 파일(붙여넣기)'!D3:D562,0)</f>
        <v>0</v>
      </c>
      <c r="L1295" s="9" cm="1">
        <f t="array" ref="L1295">IF(J1295&gt;=3,_xlfn.XLOOKUP(A1295,'외운 것 - 엑셀다운로드 파일(붙여넣기)'!A3:A562,'외운 것 - 엑셀다운로드 파일(붙여넣기)'!C3:C562,0,-1),0)</f>
        <v>0</v>
      </c>
    </row>
    <row r="1296" ht="38.45" customHeight="1">
      <c r="A1296" s="3">
        <v>1295</v>
      </c>
      <c r="B1296" t="s" s="4">
        <v>8222</v>
      </c>
      <c r="C1296" t="s" s="5">
        <v>8223</v>
      </c>
      <c r="D1296" t="s" s="5">
        <v>8210</v>
      </c>
      <c r="E1296" t="s" s="5">
        <v>8224</v>
      </c>
      <c r="F1296" t="s" s="10">
        <v>8225</v>
      </c>
      <c r="G1296" t="s" s="7">
        <v>8226</v>
      </c>
      <c r="H1296" t="s" s="7">
        <v>8227</v>
      </c>
      <c r="I1296" t="str" s="8" cm="1">
        <f t="array" ref="I1296">SUBSTITUTE(H1296,B1296,"(          )")</f>
        <v>A professional will (          ) the negotiations.</v>
      </c>
      <c r="J1296" s="9" cm="1">
        <f t="array" ref="J1296">SUMIF('외운 것 - 엑셀다운로드 파일(붙여넣기)'!A3:A562,A1296,'외운 것 - 엑셀다운로드 파일(붙여넣기)'!D3:D562)</f>
        <v>0</v>
      </c>
      <c r="K1296" s="9" cm="1">
        <f t="array" ref="K1296">_xlfn.COUNTIFS('외운 것 - 엑셀다운로드 파일(붙여넣기)'!A3:A562,A1296,'외운 것 - 엑셀다운로드 파일(붙여넣기)'!D3:D562,0)</f>
        <v>0</v>
      </c>
      <c r="L1296" s="9" cm="1">
        <f t="array" ref="L1296">IF(J1296&gt;=3,_xlfn.XLOOKUP(A1296,'외운 것 - 엑셀다운로드 파일(붙여넣기)'!A3:A562,'외운 것 - 엑셀다운로드 파일(붙여넣기)'!C3:C562,0,-1),0)</f>
        <v>0</v>
      </c>
    </row>
    <row r="1297" ht="38.45" customHeight="1">
      <c r="A1297" s="3">
        <v>1296</v>
      </c>
      <c r="B1297" t="s" s="4">
        <v>8229</v>
      </c>
      <c r="C1297" t="s" s="5">
        <v>8230</v>
      </c>
      <c r="D1297" t="s" s="5">
        <v>8210</v>
      </c>
      <c r="E1297" t="s" s="5">
        <v>8231</v>
      </c>
      <c r="F1297" t="s" s="10">
        <v>8232</v>
      </c>
      <c r="G1297" t="s" s="7">
        <v>8233</v>
      </c>
      <c r="H1297" t="s" s="7">
        <v>8234</v>
      </c>
      <c r="I1297" t="str" s="8" cm="1">
        <f t="array" ref="I1297">SUBSTITUTE(H1297,B1297,"(          )")</f>
        <v>She has (          ) knowledge of Spanish.</v>
      </c>
      <c r="J1297" s="9" cm="1">
        <f t="array" ref="J1297">SUMIF('외운 것 - 엑셀다운로드 파일(붙여넣기)'!A3:A562,A1297,'외운 것 - 엑셀다운로드 파일(붙여넣기)'!D3:D562)</f>
        <v>0</v>
      </c>
      <c r="K1297" s="9" cm="1">
        <f t="array" ref="K1297">_xlfn.COUNTIFS('외운 것 - 엑셀다운로드 파일(붙여넣기)'!A3:A562,A1297,'외운 것 - 엑셀다운로드 파일(붙여넣기)'!D3:D562,0)</f>
        <v>0</v>
      </c>
      <c r="L1297" s="9" cm="1">
        <f t="array" ref="L1297">IF(J1297&gt;=3,_xlfn.XLOOKUP(A1297,'외운 것 - 엑셀다운로드 파일(붙여넣기)'!A3:A562,'외운 것 - 엑셀다운로드 파일(붙여넣기)'!C3:C562,0,-1),0)</f>
        <v>0</v>
      </c>
    </row>
    <row r="1298" ht="38.45" customHeight="1">
      <c r="A1298" s="3">
        <v>1297</v>
      </c>
      <c r="B1298" t="s" s="4">
        <v>8236</v>
      </c>
      <c r="C1298" t="s" s="5">
        <v>8210</v>
      </c>
      <c r="D1298" t="s" s="5">
        <v>8203</v>
      </c>
      <c r="E1298" t="s" s="5">
        <v>8237</v>
      </c>
      <c r="F1298" t="s" s="10">
        <v>8238</v>
      </c>
      <c r="G1298" t="s" s="7">
        <v>8239</v>
      </c>
      <c r="H1298" t="s" s="7">
        <v>8240</v>
      </c>
      <c r="I1298" t="str" s="8" cm="1">
        <f t="array" ref="I1298">SUBSTITUTE(H1298,B1298,"(          )")</f>
        <v>Many people (          ) to reduce stress.</v>
      </c>
      <c r="J1298" s="9" cm="1">
        <f t="array" ref="J1298">SUMIF('외운 것 - 엑셀다운로드 파일(붙여넣기)'!A3:A562,A1298,'외운 것 - 엑셀다운로드 파일(붙여넣기)'!D3:D562)</f>
        <v>0</v>
      </c>
      <c r="K1298" s="9" cm="1">
        <f t="array" ref="K1298">_xlfn.COUNTIFS('외운 것 - 엑셀다운로드 파일(붙여넣기)'!A3:A562,A1298,'외운 것 - 엑셀다운로드 파일(붙여넣기)'!D3:D562,0)</f>
        <v>0</v>
      </c>
      <c r="L1298" s="9" cm="1">
        <f t="array" ref="L1298">IF(J1298&gt;=3,_xlfn.XLOOKUP(A1298,'외운 것 - 엑셀다운로드 파일(붙여넣기)'!A3:A562,'외운 것 - 엑셀다운로드 파일(붙여넣기)'!C3:C562,0,-1),0)</f>
        <v>0</v>
      </c>
    </row>
    <row r="1299" ht="23.45" customHeight="1">
      <c r="A1299" s="3">
        <v>1298</v>
      </c>
      <c r="B1299" t="s" s="4">
        <v>8242</v>
      </c>
      <c r="C1299" t="s" s="5">
        <v>8210</v>
      </c>
      <c r="D1299" t="s" s="5">
        <v>8203</v>
      </c>
      <c r="E1299" t="s" s="5">
        <v>8243</v>
      </c>
      <c r="F1299" t="s" s="10">
        <v>8244</v>
      </c>
      <c r="G1299" t="s" s="7">
        <v>8245</v>
      </c>
      <c r="H1299" t="s" s="7">
        <v>8246</v>
      </c>
      <c r="I1299" t="str" s="8" cm="1">
        <f t="array" ref="I1299">SUBSTITUTE(H1299,B1299,"(          )")</f>
        <v>Take your (          ) according to the doctor's instructions.</v>
      </c>
      <c r="J1299" s="9" cm="1">
        <f t="array" ref="J1299">SUMIF('외운 것 - 엑셀다운로드 파일(붙여넣기)'!A3:A562,A1299,'외운 것 - 엑셀다운로드 파일(붙여넣기)'!D3:D562)</f>
        <v>0</v>
      </c>
      <c r="K1299" s="9" cm="1">
        <f t="array" ref="K1299">_xlfn.COUNTIFS('외운 것 - 엑셀다운로드 파일(붙여넣기)'!A3:A562,A1299,'외운 것 - 엑셀다운로드 파일(붙여넣기)'!D3:D562,0)</f>
        <v>0</v>
      </c>
      <c r="L1299" s="9" cm="1">
        <f t="array" ref="L1299">IF(J1299&gt;=3,_xlfn.XLOOKUP(A1299,'외운 것 - 엑셀다운로드 파일(붙여넣기)'!A3:A562,'외운 것 - 엑셀다운로드 파일(붙여넣기)'!C3:C562,0,-1),0)</f>
        <v>0</v>
      </c>
    </row>
    <row r="1300" ht="36.4" customHeight="1">
      <c r="A1300" s="3">
        <v>1299</v>
      </c>
      <c r="B1300" t="s" s="4">
        <v>8248</v>
      </c>
      <c r="C1300" t="s" s="5">
        <v>8249</v>
      </c>
      <c r="D1300" t="s" s="5">
        <v>8210</v>
      </c>
      <c r="E1300" t="s" s="5">
        <v>8250</v>
      </c>
      <c r="F1300" t="s" s="10">
        <v>8251</v>
      </c>
      <c r="G1300" t="s" s="7">
        <v>8252</v>
      </c>
      <c r="H1300" t="s" s="7">
        <v>8253</v>
      </c>
      <c r="I1300" t="str" s="8" cm="1">
        <f t="array" ref="I1300">SUBSTITUTE(H1300,B1300,"(          )")</f>
        <v>The hospital provides excellent (          ) care.</v>
      </c>
      <c r="J1300" s="9" cm="1">
        <f t="array" ref="J1300">SUMIF('외운 것 - 엑셀다운로드 파일(붙여넣기)'!A3:A562,A1300,'외운 것 - 엑셀다운로드 파일(붙여넣기)'!D3:D562)</f>
        <v>0</v>
      </c>
      <c r="K1300" s="9" cm="1">
        <f t="array" ref="K1300">_xlfn.COUNTIFS('외운 것 - 엑셀다운로드 파일(붙여넣기)'!A3:A562,A1300,'외운 것 - 엑셀다운로드 파일(붙여넣기)'!D3:D562,0)</f>
        <v>0</v>
      </c>
      <c r="L1300" s="9" cm="1">
        <f t="array" ref="L1300">IF(J1300&gt;=3,_xlfn.XLOOKUP(A1300,'외운 것 - 엑셀다운로드 파일(붙여넣기)'!A3:A562,'외운 것 - 엑셀다운로드 파일(붙여넣기)'!C3:C562,0,-1),0)</f>
        <v>0</v>
      </c>
    </row>
    <row r="1301" ht="23.45" customHeight="1">
      <c r="A1301" s="3">
        <v>1300</v>
      </c>
      <c r="B1301" t="s" s="4">
        <v>8255</v>
      </c>
      <c r="C1301" t="s" s="5">
        <v>8210</v>
      </c>
      <c r="D1301" t="s" s="5">
        <v>8203</v>
      </c>
      <c r="E1301" t="s" s="5">
        <v>8256</v>
      </c>
      <c r="F1301" t="s" s="10">
        <v>8257</v>
      </c>
      <c r="G1301" t="s" s="7">
        <v>8258</v>
      </c>
      <c r="H1301" t="s" s="7">
        <v>8259</v>
      </c>
      <c r="I1301" t="str" s="8" cm="1">
        <f t="array" ref="I1301">SUBSTITUTE(H1301,B1301,"(          )")</f>
        <v>Sleep is the best (          ) for fatigue.</v>
      </c>
      <c r="J1301" s="9" cm="1">
        <f t="array" ref="J1301">SUMIF('외운 것 - 엑셀다운로드 파일(붙여넣기)'!A3:A562,A1301,'외운 것 - 엑셀다운로드 파일(붙여넣기)'!D3:D562)</f>
        <v>0</v>
      </c>
      <c r="K1301" s="9" cm="1">
        <f t="array" ref="K1301">_xlfn.COUNTIFS('외운 것 - 엑셀다운로드 파일(붙여넣기)'!A3:A562,A1301,'외운 것 - 엑셀다운로드 파일(붙여넣기)'!D3:D562,0)</f>
        <v>0</v>
      </c>
      <c r="L1301" s="9" cm="1">
        <f t="array" ref="L1301">IF(J1301&gt;=3,_xlfn.XLOOKUP(A1301,'외운 것 - 엑셀다운로드 파일(붙여넣기)'!A3:A562,'외운 것 - 엑셀다운로드 파일(붙여넣기)'!C3:C562,0,-1),0)</f>
        <v>0</v>
      </c>
    </row>
    <row r="1302" ht="23.45" customHeight="1">
      <c r="A1302" s="3">
        <v>1301</v>
      </c>
      <c r="B1302" t="s" s="4">
        <v>8261</v>
      </c>
      <c r="C1302" t="s" s="5">
        <v>8210</v>
      </c>
      <c r="D1302" t="s" s="5">
        <v>8203</v>
      </c>
      <c r="E1302" t="s" s="5">
        <v>8262</v>
      </c>
      <c r="F1302" t="s" s="10">
        <v>8263</v>
      </c>
      <c r="G1302" t="s" s="7">
        <v>8264</v>
      </c>
      <c r="H1302" t="s" s="7">
        <v>8265</v>
      </c>
      <c r="I1302" t="str" s="8" cm="1">
        <f t="array" ref="I1302">SUBSTITUTE(H1302,B1302,"(          )")</f>
        <v>The situation requires (          ) attention.</v>
      </c>
      <c r="J1302" s="9" cm="1">
        <f t="array" ref="J1302">SUMIF('외운 것 - 엑셀다운로드 파일(붙여넣기)'!A3:A562,A1302,'외운 것 - 엑셀다운로드 파일(붙여넣기)'!D3:D562)</f>
        <v>0</v>
      </c>
      <c r="K1302" s="9" cm="1">
        <f t="array" ref="K1302">_xlfn.COUNTIFS('외운 것 - 엑셀다운로드 파일(붙여넣기)'!A3:A562,A1302,'외운 것 - 엑셀다운로드 파일(붙여넣기)'!D3:D562,0)</f>
        <v>0</v>
      </c>
      <c r="L1302" s="9" cm="1">
        <f t="array" ref="L1302">IF(J1302&gt;=3,_xlfn.XLOOKUP(A1302,'외운 것 - 엑셀다운로드 파일(붙여넣기)'!A3:A562,'외운 것 - 엑셀다운로드 파일(붙여넣기)'!C3:C562,0,-1),0)</f>
        <v>0</v>
      </c>
    </row>
    <row r="1303" ht="23.45" customHeight="1">
      <c r="A1303" s="3">
        <v>1302</v>
      </c>
      <c r="B1303" t="s" s="4">
        <v>8267</v>
      </c>
      <c r="C1303" t="s" s="5">
        <v>8210</v>
      </c>
      <c r="D1303" t="s" s="5">
        <v>8203</v>
      </c>
      <c r="E1303" t="s" s="5">
        <v>8268</v>
      </c>
      <c r="F1303" t="s" s="10">
        <v>8269</v>
      </c>
      <c r="G1303" t="s" s="7">
        <v>8270</v>
      </c>
      <c r="H1303" t="s" s="7">
        <v>8271</v>
      </c>
      <c r="I1303" t="str" s="8" cm="1">
        <f t="array" ref="I1303">SUBSTITUTE(H1303,B1303,"(          )")</f>
        <v>The museum displays (          ) armor and weapons.</v>
      </c>
      <c r="J1303" s="9" cm="1">
        <f t="array" ref="J1303">SUMIF('외운 것 - 엑셀다운로드 파일(붙여넣기)'!A3:A562,A1303,'외운 것 - 엑셀다운로드 파일(붙여넣기)'!D3:D562)</f>
        <v>0</v>
      </c>
      <c r="K1303" s="9" cm="1">
        <f t="array" ref="K1303">_xlfn.COUNTIFS('외운 것 - 엑셀다운로드 파일(붙여넣기)'!A3:A562,A1303,'외운 것 - 엑셀다운로드 파일(붙여넣기)'!D3:D562,0)</f>
        <v>0</v>
      </c>
      <c r="L1303" s="9" cm="1">
        <f t="array" ref="L1303">IF(J1303&gt;=3,_xlfn.XLOOKUP(A1303,'외운 것 - 엑셀다운로드 파일(붙여넣기)'!A3:A562,'외운 것 - 엑셀다운로드 파일(붙여넣기)'!C3:C562,0,-1),0)</f>
        <v>0</v>
      </c>
    </row>
    <row r="1304" ht="23.45" customHeight="1">
      <c r="A1304" s="3">
        <v>1303</v>
      </c>
      <c r="B1304" t="s" s="4">
        <v>8273</v>
      </c>
      <c r="C1304" t="s" s="5">
        <v>8210</v>
      </c>
      <c r="D1304" t="s" s="5">
        <v>8203</v>
      </c>
      <c r="E1304" t="s" s="5">
        <v>8274</v>
      </c>
      <c r="F1304" t="s" s="10">
        <v>8275</v>
      </c>
      <c r="G1304" t="s" s="7">
        <v>8276</v>
      </c>
      <c r="H1304" t="s" s="7">
        <v>8277</v>
      </c>
      <c r="I1304" t="str" s="8" cm="1">
        <f t="array" ref="I1304">SUBSTITUTE(H1304,B1304,"(          )")</f>
        <v>Olive oil is a staple in (          ) cuisine.</v>
      </c>
      <c r="J1304" s="9" cm="1">
        <f t="array" ref="J1304">SUMIF('외운 것 - 엑셀다운로드 파일(붙여넣기)'!A3:A562,A1304,'외운 것 - 엑셀다운로드 파일(붙여넣기)'!D3:D562)</f>
        <v>0</v>
      </c>
      <c r="K1304" s="9" cm="1">
        <f t="array" ref="K1304">_xlfn.COUNTIFS('외운 것 - 엑셀다운로드 파일(붙여넣기)'!A3:A562,A1304,'외운 것 - 엑셀다운로드 파일(붙여넣기)'!D3:D562,0)</f>
        <v>0</v>
      </c>
      <c r="L1304" s="9" cm="1">
        <f t="array" ref="L1304">IF(J1304&gt;=3,_xlfn.XLOOKUP(A1304,'외운 것 - 엑셀다운로드 파일(붙여넣기)'!A3:A562,'외운 것 - 엑셀다운로드 파일(붙여넣기)'!C3:C562,0,-1),0)</f>
        <v>0</v>
      </c>
    </row>
    <row r="1305" ht="23.45" customHeight="1">
      <c r="A1305" s="3">
        <v>1304</v>
      </c>
      <c r="B1305" t="s" s="4">
        <v>8279</v>
      </c>
      <c r="C1305" t="s" s="5">
        <v>8280</v>
      </c>
      <c r="D1305" t="s" s="5">
        <v>8281</v>
      </c>
      <c r="E1305" t="s" s="5">
        <v>8282</v>
      </c>
      <c r="F1305" t="s" s="10">
        <v>8283</v>
      </c>
      <c r="G1305" t="s" s="7">
        <v>8284</v>
      </c>
      <c r="H1305" t="s" s="7">
        <v>8285</v>
      </c>
      <c r="I1305" t="str" s="8" cm="1">
        <f t="array" ref="I1305">SUBSTITUTE(H1305,B1305,"(          )")</f>
        <v>She works as a fashion (          ) in Paris.</v>
      </c>
      <c r="J1305" s="9" cm="1">
        <f t="array" ref="J1305">SUMIF('외운 것 - 엑셀다운로드 파일(붙여넣기)'!A3:A562,A1305,'외운 것 - 엑셀다운로드 파일(붙여넣기)'!D3:D562)</f>
        <v>0</v>
      </c>
      <c r="K1305" s="9" cm="1">
        <f t="array" ref="K1305">_xlfn.COUNTIFS('외운 것 - 엑셀다운로드 파일(붙여넣기)'!A3:A562,A1305,'외운 것 - 엑셀다운로드 파일(붙여넣기)'!D3:D562,0)</f>
        <v>0</v>
      </c>
      <c r="L1305" s="9" cm="1">
        <f t="array" ref="L1305">IF(J1305&gt;=3,_xlfn.XLOOKUP(A1305,'외운 것 - 엑셀다운로드 파일(붙여넣기)'!A3:A562,'외운 것 - 엑셀다운로드 파일(붙여넣기)'!C3:C562,0,-1),0)</f>
        <v>0</v>
      </c>
    </row>
    <row r="1306" ht="23.45" customHeight="1">
      <c r="A1306" s="3">
        <v>1305</v>
      </c>
      <c r="B1306" t="s" s="4">
        <v>8287</v>
      </c>
      <c r="C1306" t="s" s="5">
        <v>8280</v>
      </c>
      <c r="D1306" t="s" s="5">
        <v>8281</v>
      </c>
      <c r="E1306" t="s" s="5">
        <v>8288</v>
      </c>
      <c r="F1306" t="s" s="10">
        <v>8289</v>
      </c>
      <c r="G1306" t="s" s="7">
        <v>8290</v>
      </c>
      <c r="H1306" t="s" s="7">
        <v>8291</v>
      </c>
      <c r="I1306" t="str" s="8" cm="1">
        <f t="array" ref="I1306">SUBSTITUTE(H1306,B1306,"(          )")</f>
        <v>The house has a (          ) design with clean lines.</v>
      </c>
      <c r="J1306" s="9" cm="1">
        <f t="array" ref="J1306">SUMIF('외운 것 - 엑셀다운로드 파일(붙여넣기)'!A3:A562,A1306,'외운 것 - 엑셀다운로드 파일(붙여넣기)'!D3:D562)</f>
        <v>0</v>
      </c>
      <c r="K1306" s="9" cm="1">
        <f t="array" ref="K1306">_xlfn.COUNTIFS('외운 것 - 엑셀다운로드 파일(붙여넣기)'!A3:A562,A1306,'외운 것 - 엑셀다운로드 파일(붙여넣기)'!D3:D562,0)</f>
        <v>0</v>
      </c>
      <c r="L1306" s="9" cm="1">
        <f t="array" ref="L1306">IF(J1306&gt;=3,_xlfn.XLOOKUP(A1306,'외운 것 - 엑셀다운로드 파일(붙여넣기)'!A3:A562,'외운 것 - 엑셀다운로드 파일(붙여넣기)'!C3:C562,0,-1),0)</f>
        <v>0</v>
      </c>
    </row>
    <row r="1307" ht="36.4" customHeight="1">
      <c r="A1307" s="3">
        <v>1306</v>
      </c>
      <c r="B1307" t="s" s="4">
        <v>8293</v>
      </c>
      <c r="C1307" t="s" s="5">
        <v>8294</v>
      </c>
      <c r="D1307" t="s" s="5">
        <v>8280</v>
      </c>
      <c r="E1307" t="s" s="5">
        <v>8295</v>
      </c>
      <c r="F1307" t="s" s="10">
        <v>8296</v>
      </c>
      <c r="G1307" t="s" s="7">
        <v>8297</v>
      </c>
      <c r="H1307" t="s" s="7">
        <v>8298</v>
      </c>
      <c r="I1307" t="str" s="8" cm="1">
        <f t="array" ref="I1307">SUBSTITUTE(H1307,B1307,"(          )")</f>
        <v>The antique (          ) was sold at auction.</v>
      </c>
      <c r="J1307" s="9" cm="1">
        <f t="array" ref="J1307">SUMIF('외운 것 - 엑셀다운로드 파일(붙여넣기)'!A3:A562,A1307,'외운 것 - 엑셀다운로드 파일(붙여넣기)'!D3:D562)</f>
        <v>0</v>
      </c>
      <c r="K1307" s="9" cm="1">
        <f t="array" ref="K1307">_xlfn.COUNTIFS('외운 것 - 엑셀다운로드 파일(붙여넣기)'!A3:A562,A1307,'외운 것 - 엑셀다운로드 파일(붙여넣기)'!D3:D562,0)</f>
        <v>0</v>
      </c>
      <c r="L1307" s="9" cm="1">
        <f t="array" ref="L1307">IF(J1307&gt;=3,_xlfn.XLOOKUP(A1307,'외운 것 - 엑셀다운로드 파일(붙여넣기)'!A3:A562,'외운 것 - 엑셀다운로드 파일(붙여넣기)'!C3:C562,0,-1),0)</f>
        <v>0</v>
      </c>
    </row>
    <row r="1308" ht="50.45" customHeight="1">
      <c r="A1308" s="3">
        <v>1307</v>
      </c>
      <c r="B1308" t="s" s="4">
        <v>2319</v>
      </c>
      <c r="C1308" t="s" s="5">
        <v>8300</v>
      </c>
      <c r="D1308" t="s" s="5">
        <v>8280</v>
      </c>
      <c r="E1308" t="s" s="5">
        <v>2320</v>
      </c>
      <c r="F1308" t="s" s="10">
        <v>8301</v>
      </c>
      <c r="G1308" t="s" s="7">
        <v>2322</v>
      </c>
      <c r="H1308" t="s" s="7">
        <v>2323</v>
      </c>
      <c r="I1308" t="str" s="8" cm="1">
        <f t="array" ref="I1308">SUBSTITUTE(H1308,B1308,"(          )")</f>
        <v>Coffee is an important (          ) for many countries.</v>
      </c>
      <c r="J1308" s="9" cm="1">
        <f t="array" ref="J1308">SUMIF('외운 것 - 엑셀다운로드 파일(붙여넣기)'!A3:A562,A1308,'외운 것 - 엑셀다운로드 파일(붙여넣기)'!D3:D562)</f>
        <v>0</v>
      </c>
      <c r="K1308" s="9" cm="1">
        <f t="array" ref="K1308">_xlfn.COUNTIFS('외운 것 - 엑셀다운로드 파일(붙여넣기)'!A3:A562,A1308,'외운 것 - 엑셀다운로드 파일(붙여넣기)'!D3:D562,0)</f>
        <v>0</v>
      </c>
      <c r="L1308" s="9" cm="1">
        <f t="array" ref="L1308">IF(J1308&gt;=3,_xlfn.XLOOKUP(A1308,'외운 것 - 엑셀다운로드 파일(붙여넣기)'!A3:A562,'외운 것 - 엑셀다운로드 파일(붙여넣기)'!C3:C562,0,-1),0)</f>
        <v>0</v>
      </c>
    </row>
    <row r="1309" ht="50.45" customHeight="1">
      <c r="A1309" s="3">
        <v>1308</v>
      </c>
      <c r="B1309" t="s" s="4">
        <v>8302</v>
      </c>
      <c r="C1309" t="s" s="5">
        <v>8300</v>
      </c>
      <c r="D1309" t="s" s="5">
        <v>8280</v>
      </c>
      <c r="E1309" t="s" s="5">
        <v>8303</v>
      </c>
      <c r="F1309" t="s" s="10">
        <v>8304</v>
      </c>
      <c r="G1309" t="s" s="7">
        <v>8305</v>
      </c>
      <c r="H1309" t="s" s="7">
        <v>8306</v>
      </c>
      <c r="I1309" t="str" s="8" cm="1">
        <f t="array" ref="I1309">SUBSTITUTE(H1309,B1309,"(          )")</f>
        <v>The hotel can (          ) up to 500 guests.</v>
      </c>
      <c r="J1309" s="9" cm="1">
        <f t="array" ref="J1309">SUMIF('외운 것 - 엑셀다운로드 파일(붙여넣기)'!A3:A562,A1309,'외운 것 - 엑셀다운로드 파일(붙여넣기)'!D3:D562)</f>
        <v>0</v>
      </c>
      <c r="K1309" s="9" cm="1">
        <f t="array" ref="K1309">_xlfn.COUNTIFS('외운 것 - 엑셀다운로드 파일(붙여넣기)'!A3:A562,A1309,'외운 것 - 엑셀다운로드 파일(붙여넣기)'!D3:D562,0)</f>
        <v>0</v>
      </c>
      <c r="L1309" s="9" cm="1">
        <f t="array" ref="L1309">IF(J1309&gt;=3,_xlfn.XLOOKUP(A1309,'외운 것 - 엑셀다운로드 파일(붙여넣기)'!A3:A562,'외운 것 - 엑셀다운로드 파일(붙여넣기)'!C3:C562,0,-1),0)</f>
        <v>0</v>
      </c>
    </row>
    <row r="1310" ht="23.45" customHeight="1">
      <c r="A1310" s="3">
        <v>1309</v>
      </c>
      <c r="B1310" t="s" s="4">
        <v>8308</v>
      </c>
      <c r="C1310" t="s" s="5">
        <v>8280</v>
      </c>
      <c r="D1310" t="s" s="5">
        <v>8281</v>
      </c>
      <c r="E1310" t="s" s="5">
        <v>8309</v>
      </c>
      <c r="F1310" t="s" s="10">
        <v>8310</v>
      </c>
      <c r="G1310" t="s" s="7">
        <v>8311</v>
      </c>
      <c r="H1310" t="s" s="7">
        <v>8312</v>
      </c>
      <c r="I1310" t="str" s="8" cm="1">
        <f t="array" ref="I1310">SUBSTITUTE(H1310,B1310,"(          )")</f>
        <v>You may need to (          ) the recipe for high altitude.</v>
      </c>
      <c r="J1310" s="9" cm="1">
        <f t="array" ref="J1310">SUMIF('외운 것 - 엑셀다운로드 파일(붙여넣기)'!A3:A562,A1310,'외운 것 - 엑셀다운로드 파일(붙여넣기)'!D3:D562)</f>
        <v>0</v>
      </c>
      <c r="K1310" s="9" cm="1">
        <f t="array" ref="K1310">_xlfn.COUNTIFS('외운 것 - 엑셀다운로드 파일(붙여넣기)'!A3:A562,A1310,'외운 것 - 엑셀다운로드 파일(붙여넣기)'!D3:D562,0)</f>
        <v>0</v>
      </c>
      <c r="L1310" s="9" cm="1">
        <f t="array" ref="L1310">IF(J1310&gt;=3,_xlfn.XLOOKUP(A1310,'외운 것 - 엑셀다운로드 파일(붙여넣기)'!A3:A562,'외운 것 - 엑셀다운로드 파일(붙여넣기)'!C3:C562,0,-1),0)</f>
        <v>0</v>
      </c>
    </row>
    <row r="1311" ht="23.45" customHeight="1">
      <c r="A1311" s="3">
        <v>1310</v>
      </c>
      <c r="B1311" t="s" s="4">
        <v>8314</v>
      </c>
      <c r="C1311" t="s" s="5">
        <v>8280</v>
      </c>
      <c r="D1311" t="s" s="5">
        <v>8281</v>
      </c>
      <c r="E1311" t="s" s="5">
        <v>8315</v>
      </c>
      <c r="F1311" t="s" s="10">
        <v>8316</v>
      </c>
      <c r="G1311" t="s" s="7">
        <v>8317</v>
      </c>
      <c r="H1311" t="s" s="7">
        <v>8318</v>
      </c>
      <c r="I1311" t="str" s="8" cm="1">
        <f t="array" ref="I1311">SUBSTITUTE(H1311,B1311,"(          )")</f>
        <v>Exercise at a (          ) pace to avoid injury.</v>
      </c>
      <c r="J1311" s="9" cm="1">
        <f t="array" ref="J1311">SUMIF('외운 것 - 엑셀다운로드 파일(붙여넣기)'!A3:A562,A1311,'외운 것 - 엑셀다운로드 파일(붙여넣기)'!D3:D562)</f>
        <v>0</v>
      </c>
      <c r="K1311" s="9" cm="1">
        <f t="array" ref="K1311">_xlfn.COUNTIFS('외운 것 - 엑셀다운로드 파일(붙여넣기)'!A3:A562,A1311,'외운 것 - 엑셀다운로드 파일(붙여넣기)'!D3:D562,0)</f>
        <v>0</v>
      </c>
      <c r="L1311" s="9" cm="1">
        <f t="array" ref="L1311">IF(J1311&gt;=3,_xlfn.XLOOKUP(A1311,'외운 것 - 엑셀다운로드 파일(붙여넣기)'!A3:A562,'외운 것 - 엑셀다운로드 파일(붙여넣기)'!C3:C562,0,-1),0)</f>
        <v>0</v>
      </c>
    </row>
    <row r="1312" ht="38.45" customHeight="1">
      <c r="A1312" s="3">
        <v>1311</v>
      </c>
      <c r="B1312" t="s" s="4">
        <v>8320</v>
      </c>
      <c r="C1312" t="s" s="5">
        <v>8280</v>
      </c>
      <c r="D1312" t="s" s="5">
        <v>8281</v>
      </c>
      <c r="E1312" t="s" s="5">
        <v>8321</v>
      </c>
      <c r="F1312" t="s" s="10">
        <v>8322</v>
      </c>
      <c r="G1312" t="s" s="7">
        <v>8323</v>
      </c>
      <c r="H1312" t="s" s="7">
        <v>8324</v>
      </c>
      <c r="I1312" t="str" s="8" cm="1">
        <f t="array" ref="I1312">SUBSTITUTE(H1312,B1312,"(          )")</f>
        <v>Despite her success, she remains (          ) about her achievements.</v>
      </c>
      <c r="J1312" s="9" cm="1">
        <f t="array" ref="J1312">SUMIF('외운 것 - 엑셀다운로드 파일(붙여넣기)'!A3:A562,A1312,'외운 것 - 엑셀다운로드 파일(붙여넣기)'!D3:D562)</f>
        <v>0</v>
      </c>
      <c r="K1312" s="9" cm="1">
        <f t="array" ref="K1312">_xlfn.COUNTIFS('외운 것 - 엑셀다운로드 파일(붙여넣기)'!A3:A562,A1312,'외운 것 - 엑셀다운로드 파일(붙여넣기)'!D3:D562,0)</f>
        <v>0</v>
      </c>
      <c r="L1312" s="9" cm="1">
        <f t="array" ref="L1312">IF(J1312&gt;=3,_xlfn.XLOOKUP(A1312,'외운 것 - 엑셀다운로드 파일(붙여넣기)'!A3:A562,'외운 것 - 엑셀다운로드 파일(붙여넣기)'!C3:C562,0,-1),0)</f>
        <v>0</v>
      </c>
    </row>
    <row r="1313" ht="38.45" customHeight="1">
      <c r="A1313" s="3">
        <v>1312</v>
      </c>
      <c r="B1313" t="s" s="4">
        <v>8326</v>
      </c>
      <c r="C1313" t="s" s="5">
        <v>8327</v>
      </c>
      <c r="D1313" t="s" s="5">
        <v>8328</v>
      </c>
      <c r="E1313" t="s" s="5">
        <v>8329</v>
      </c>
      <c r="F1313" t="s" s="10">
        <v>8330</v>
      </c>
      <c r="G1313" t="s" s="7">
        <v>8331</v>
      </c>
      <c r="H1313" t="s" s="7">
        <v>8332</v>
      </c>
      <c r="I1313" t="str" s="8" cm="1">
        <f t="array" ref="I1313">SUBSTITUTE(H1313,B1313,"(          )")</f>
        <v>The CEO sent a (          ) to all employees.</v>
      </c>
      <c r="J1313" s="9" cm="1">
        <f t="array" ref="J1313">SUMIF('외운 것 - 엑셀다운로드 파일(붙여넣기)'!A3:A562,A1313,'외운 것 - 엑셀다운로드 파일(붙여넣기)'!D3:D562)</f>
        <v>0</v>
      </c>
      <c r="K1313" s="9" cm="1">
        <f t="array" ref="K1313">_xlfn.COUNTIFS('외운 것 - 엑셀다운로드 파일(붙여넣기)'!A3:A562,A1313,'외운 것 - 엑셀다운로드 파일(붙여넣기)'!D3:D562,0)</f>
        <v>0</v>
      </c>
      <c r="L1313" s="9" cm="1">
        <f t="array" ref="L1313">IF(J1313&gt;=3,_xlfn.XLOOKUP(A1313,'외운 것 - 엑셀다운로드 파일(붙여넣기)'!A3:A562,'외운 것 - 엑셀다운로드 파일(붙여넣기)'!C3:C562,0,-1),0)</f>
        <v>0</v>
      </c>
    </row>
    <row r="1314" ht="23.45" customHeight="1">
      <c r="A1314" s="3">
        <v>1313</v>
      </c>
      <c r="B1314" t="s" s="4">
        <v>8334</v>
      </c>
      <c r="C1314" t="s" s="5">
        <v>8327</v>
      </c>
      <c r="D1314" t="s" s="5">
        <v>8328</v>
      </c>
      <c r="E1314" t="s" s="5">
        <v>8335</v>
      </c>
      <c r="F1314" t="s" s="10">
        <v>8336</v>
      </c>
      <c r="G1314" t="s" s="7">
        <v>8337</v>
      </c>
      <c r="H1314" t="s" s="7">
        <v>8338</v>
      </c>
      <c r="I1314" t="str" s="8" cm="1">
        <f t="array" ref="I1314">SUBSTITUTE(H1314,B1314,"(          )")</f>
        <v>The actor published a (          ) about his career.</v>
      </c>
      <c r="J1314" s="9" cm="1">
        <f t="array" ref="J1314">SUMIF('외운 것 - 엑셀다운로드 파일(붙여넣기)'!A3:A562,A1314,'외운 것 - 엑셀다운로드 파일(붙여넣기)'!D3:D562)</f>
        <v>0</v>
      </c>
      <c r="K1314" s="9" cm="1">
        <f t="array" ref="K1314">_xlfn.COUNTIFS('외운 것 - 엑셀다운로드 파일(붙여넣기)'!A3:A562,A1314,'외운 것 - 엑셀다운로드 파일(붙여넣기)'!D3:D562,0)</f>
        <v>0</v>
      </c>
      <c r="L1314" s="9" cm="1">
        <f t="array" ref="L1314">IF(J1314&gt;=3,_xlfn.XLOOKUP(A1314,'외운 것 - 엑셀다운로드 파일(붙여넣기)'!A3:A562,'외운 것 - 엑셀다운로드 파일(붙여넣기)'!C3:C562,0,-1),0)</f>
        <v>0</v>
      </c>
    </row>
    <row r="1315" ht="23.45" customHeight="1">
      <c r="A1315" s="3">
        <v>1314</v>
      </c>
      <c r="B1315" t="s" s="4">
        <v>8340</v>
      </c>
      <c r="C1315" t="s" s="5">
        <v>8327</v>
      </c>
      <c r="D1315" t="s" s="5">
        <v>8328</v>
      </c>
      <c r="E1315" t="s" s="5">
        <v>8341</v>
      </c>
      <c r="F1315" t="s" s="10">
        <v>8342</v>
      </c>
      <c r="G1315" t="s" s="7">
        <v>8343</v>
      </c>
      <c r="H1315" t="s" s="7">
        <v>8344</v>
      </c>
      <c r="I1315" t="str" s="8" cm="1">
        <f t="array" ref="I1315">SUBSTITUTE(H1315,B1315,"(          )")</f>
        <v>I have fond memories of my childhood summers.</v>
      </c>
      <c r="J1315" s="9" cm="1">
        <f t="array" ref="J1315">SUMIF('외운 것 - 엑셀다운로드 파일(붙여넣기)'!A3:A562,A1315,'외운 것 - 엑셀다운로드 파일(붙여넣기)'!D3:D562)</f>
        <v>0</v>
      </c>
      <c r="K1315" s="9" cm="1">
        <f t="array" ref="K1315">_xlfn.COUNTIFS('외운 것 - 엑셀다운로드 파일(붙여넣기)'!A3:A562,A1315,'외운 것 - 엑셀다운로드 파일(붙여넣기)'!D3:D562,0)</f>
        <v>0</v>
      </c>
      <c r="L1315" s="9" cm="1">
        <f t="array" ref="L1315">IF(J1315&gt;=3,_xlfn.XLOOKUP(A1315,'외운 것 - 엑셀다운로드 파일(붙여넣기)'!A3:A562,'외운 것 - 엑셀다운로드 파일(붙여넣기)'!C3:C562,0,-1),0)</f>
        <v>0</v>
      </c>
    </row>
    <row r="1316" ht="23.45" customHeight="1">
      <c r="A1316" s="3">
        <v>1315</v>
      </c>
      <c r="B1316" t="s" s="4">
        <v>8346</v>
      </c>
      <c r="C1316" t="s" s="5">
        <v>8327</v>
      </c>
      <c r="D1316" t="s" s="5">
        <v>8328</v>
      </c>
      <c r="E1316" t="s" s="5">
        <v>8347</v>
      </c>
      <c r="F1316" t="s" s="10">
        <v>8348</v>
      </c>
      <c r="G1316" t="s" s="7">
        <v>8349</v>
      </c>
      <c r="H1316" t="s" s="7">
        <v>8350</v>
      </c>
      <c r="I1316" t="str" s="8" cm="1">
        <f t="array" ref="I1316">SUBSTITUTE(H1316,B1316,"(          )")</f>
        <v>The wedding was a truly (          ) occasion.</v>
      </c>
      <c r="J1316" s="9" cm="1">
        <f t="array" ref="J1316">SUMIF('외운 것 - 엑셀다운로드 파일(붙여넣기)'!A3:A562,A1316,'외운 것 - 엑셀다운로드 파일(붙여넣기)'!D3:D562)</f>
        <v>0</v>
      </c>
      <c r="K1316" s="9" cm="1">
        <f t="array" ref="K1316">_xlfn.COUNTIFS('외운 것 - 엑셀다운로드 파일(붙여넣기)'!A3:A562,A1316,'외운 것 - 엑셀다운로드 파일(붙여넣기)'!D3:D562,0)</f>
        <v>0</v>
      </c>
      <c r="L1316" s="9" cm="1">
        <f t="array" ref="L1316">IF(J1316&gt;=3,_xlfn.XLOOKUP(A1316,'외운 것 - 엑셀다운로드 파일(붙여넣기)'!A3:A562,'외운 것 - 엑셀다운로드 파일(붙여넣기)'!C3:C562,0,-1),0)</f>
        <v>0</v>
      </c>
    </row>
    <row r="1317" ht="38.45" customHeight="1">
      <c r="A1317" s="3">
        <v>1316</v>
      </c>
      <c r="B1317" t="s" s="4">
        <v>8352</v>
      </c>
      <c r="C1317" t="s" s="5">
        <v>8353</v>
      </c>
      <c r="D1317" t="s" s="5">
        <v>8327</v>
      </c>
      <c r="E1317" t="s" s="5">
        <v>8354</v>
      </c>
      <c r="F1317" t="s" s="10">
        <v>8355</v>
      </c>
      <c r="G1317" t="s" s="7">
        <v>8356</v>
      </c>
      <c r="H1317" t="s" s="7">
        <v>8357</v>
      </c>
      <c r="I1317" t="str" s="8" cm="1">
        <f t="array" ref="I1317">SUBSTITUTE(H1317,B1317,"(          )")</f>
        <v>The (          ) honors soldiers who died in the war.</v>
      </c>
      <c r="J1317" s="9" cm="1">
        <f t="array" ref="J1317">SUMIF('외운 것 - 엑셀다운로드 파일(붙여넣기)'!A3:A562,A1317,'외운 것 - 엑셀다운로드 파일(붙여넣기)'!D3:D562)</f>
        <v>0</v>
      </c>
      <c r="K1317" s="9" cm="1">
        <f t="array" ref="K1317">_xlfn.COUNTIFS('외운 것 - 엑셀다운로드 파일(붙여넣기)'!A3:A562,A1317,'외운 것 - 엑셀다운로드 파일(붙여넣기)'!D3:D562,0)</f>
        <v>0</v>
      </c>
      <c r="L1317" s="9" cm="1">
        <f t="array" ref="L1317">IF(J1317&gt;=3,_xlfn.XLOOKUP(A1317,'외운 것 - 엑셀다운로드 파일(붙여넣기)'!A3:A562,'외운 것 - 엑셀다운로드 파일(붙여넣기)'!C3:C562,0,-1),0)</f>
        <v>0</v>
      </c>
    </row>
    <row r="1318" ht="36.4" customHeight="1">
      <c r="A1318" s="3">
        <v>1317</v>
      </c>
      <c r="B1318" t="s" s="4">
        <v>8359</v>
      </c>
      <c r="C1318" t="s" s="5">
        <v>8353</v>
      </c>
      <c r="D1318" t="s" s="5">
        <v>8327</v>
      </c>
      <c r="E1318" t="s" s="5">
        <v>8360</v>
      </c>
      <c r="F1318" t="s" s="10">
        <v>8361</v>
      </c>
      <c r="G1318" t="s" s="7">
        <v>8362</v>
      </c>
      <c r="H1318" t="s" s="7">
        <v>8363</v>
      </c>
      <c r="I1318" t="str" s="8" cm="1">
        <f t="array" ref="I1318">SUBSTITUTE(H1318,B1318,"(          )")</f>
        <v>The ceremony will (          ) the 100th anniversary.</v>
      </c>
      <c r="J1318" s="9" cm="1">
        <f t="array" ref="J1318">SUMIF('외운 것 - 엑셀다운로드 파일(붙여넣기)'!A3:A562,A1318,'외운 것 - 엑셀다운로드 파일(붙여넣기)'!D3:D562)</f>
        <v>0</v>
      </c>
      <c r="K1318" s="9" cm="1">
        <f t="array" ref="K1318">_xlfn.COUNTIFS('외운 것 - 엑셀다운로드 파일(붙여넣기)'!A3:A562,A1318,'외운 것 - 엑셀다운로드 파일(붙여넣기)'!D3:D562,0)</f>
        <v>0</v>
      </c>
      <c r="L1318" s="9" cm="1">
        <f t="array" ref="L1318">IF(J1318&gt;=3,_xlfn.XLOOKUP(A1318,'외운 것 - 엑셀다운로드 파일(붙여넣기)'!A3:A562,'외운 것 - 엑셀다운로드 파일(붙여넣기)'!C3:C562,0,-1),0)</f>
        <v>0</v>
      </c>
    </row>
    <row r="1319" ht="38.45" customHeight="1">
      <c r="A1319" s="3">
        <v>1318</v>
      </c>
      <c r="B1319" t="s" s="4">
        <v>8365</v>
      </c>
      <c r="C1319" t="s" s="5">
        <v>8327</v>
      </c>
      <c r="D1319" t="s" s="5">
        <v>8328</v>
      </c>
      <c r="E1319" t="s" s="5">
        <v>8366</v>
      </c>
      <c r="F1319" t="s" s="10">
        <v>8367</v>
      </c>
      <c r="G1319" t="s" s="7">
        <v>8368</v>
      </c>
      <c r="H1319" t="s" s="7">
        <v>8369</v>
      </c>
      <c r="I1319" t="str" s="8" cm="1">
        <f t="array" ref="I1319">SUBSTITUTE(H1319,B1319,"(          )")</f>
        <v>I'll always (          ) our trip to Paris.</v>
      </c>
      <c r="J1319" s="9" cm="1">
        <f t="array" ref="J1319">SUMIF('외운 것 - 엑셀다운로드 파일(붙여넣기)'!A3:A562,A1319,'외운 것 - 엑셀다운로드 파일(붙여넣기)'!D3:D562)</f>
        <v>0</v>
      </c>
      <c r="K1319" s="9" cm="1">
        <f t="array" ref="K1319">_xlfn.COUNTIFS('외운 것 - 엑셀다운로드 파일(붙여넣기)'!A3:A562,A1319,'외운 것 - 엑셀다운로드 파일(붙여넣기)'!D3:D562,0)</f>
        <v>0</v>
      </c>
      <c r="L1319" s="9" cm="1">
        <f t="array" ref="L1319">IF(J1319&gt;=3,_xlfn.XLOOKUP(A1319,'외운 것 - 엑셀다운로드 파일(붙여넣기)'!A3:A562,'외운 것 - 엑셀다운로드 파일(붙여넣기)'!C3:C562,0,-1),0)</f>
        <v>0</v>
      </c>
    </row>
    <row r="1320" ht="38.45" customHeight="1">
      <c r="A1320" s="3">
        <v>1319</v>
      </c>
      <c r="B1320" t="s" s="4">
        <v>8371</v>
      </c>
      <c r="C1320" t="s" s="5">
        <v>8327</v>
      </c>
      <c r="D1320" t="s" s="5">
        <v>8328</v>
      </c>
      <c r="E1320" t="s" s="5">
        <v>8372</v>
      </c>
      <c r="F1320" t="s" s="10">
        <v>8373</v>
      </c>
      <c r="G1320" t="s" s="7">
        <v>8374</v>
      </c>
      <c r="H1320" t="s" s="7">
        <v>8375</v>
      </c>
      <c r="I1320" t="str" s="8" cm="1">
        <f t="array" ref="I1320">SUBSTITUTE(H1320,B1320,"(          )")</f>
        <v>He has been a (          ) of the club for twenty years.</v>
      </c>
      <c r="J1320" s="9" cm="1">
        <f t="array" ref="J1320">SUMIF('외운 것 - 엑셀다운로드 파일(붙여넣기)'!A3:A562,A1320,'외운 것 - 엑셀다운로드 파일(붙여넣기)'!D3:D562)</f>
        <v>0</v>
      </c>
      <c r="K1320" s="9" cm="1">
        <f t="array" ref="K1320">_xlfn.COUNTIFS('외운 것 - 엑셀다운로드 파일(붙여넣기)'!A3:A562,A1320,'외운 것 - 엑셀다운로드 파일(붙여넣기)'!D3:D562,0)</f>
        <v>0</v>
      </c>
      <c r="L1320" s="9" cm="1">
        <f t="array" ref="L1320">IF(J1320&gt;=3,_xlfn.XLOOKUP(A1320,'외운 것 - 엑셀다운로드 파일(붙여넣기)'!A3:A562,'외운 것 - 엑셀다운로드 파일(붙여넣기)'!C3:C562,0,-1),0)</f>
        <v>0</v>
      </c>
    </row>
    <row r="1321" ht="23.45" customHeight="1">
      <c r="A1321" s="3">
        <v>1320</v>
      </c>
      <c r="B1321" t="s" s="4">
        <v>8377</v>
      </c>
      <c r="C1321" t="s" s="5">
        <v>8378</v>
      </c>
      <c r="D1321" t="s" s="5">
        <v>8379</v>
      </c>
      <c r="E1321" t="s" s="5">
        <v>8380</v>
      </c>
      <c r="F1321" t="s" s="10">
        <v>8381</v>
      </c>
      <c r="G1321" t="s" s="7">
        <v>8382</v>
      </c>
      <c r="H1321" t="s" s="7">
        <v>8383</v>
      </c>
      <c r="I1321" t="str" s="8" cm="1">
        <f t="array" ref="I1321">SUBSTITUTE(H1321,B1321,"(          )")</f>
        <v>Congress may (          ) the constitution.</v>
      </c>
      <c r="J1321" s="9" cm="1">
        <f t="array" ref="J1321">SUMIF('외운 것 - 엑셀다운로드 파일(붙여넣기)'!A3:A562,A1321,'외운 것 - 엑셀다운로드 파일(붙여넣기)'!D3:D562)</f>
        <v>0</v>
      </c>
      <c r="K1321" s="9" cm="1">
        <f t="array" ref="K1321">_xlfn.COUNTIFS('외운 것 - 엑셀다운로드 파일(붙여넣기)'!A3:A562,A1321,'외운 것 - 엑셀다운로드 파일(붙여넣기)'!D3:D562,0)</f>
        <v>0</v>
      </c>
      <c r="L1321" s="9" cm="1">
        <f t="array" ref="L1321">IF(J1321&gt;=3,_xlfn.XLOOKUP(A1321,'외운 것 - 엑셀다운로드 파일(붙여넣기)'!A3:A562,'외운 것 - 엑셀다운로드 파일(붙여넣기)'!C3:C562,0,-1),0)</f>
        <v>0</v>
      </c>
    </row>
    <row r="1322" ht="38.45" customHeight="1">
      <c r="A1322" s="3">
        <v>1321</v>
      </c>
      <c r="B1322" t="s" s="4">
        <v>8385</v>
      </c>
      <c r="C1322" t="s" s="5">
        <v>8378</v>
      </c>
      <c r="D1322" t="s" s="5">
        <v>8379</v>
      </c>
      <c r="E1322" t="s" s="5">
        <v>8386</v>
      </c>
      <c r="F1322" t="s" s="10">
        <v>8387</v>
      </c>
      <c r="G1322" t="s" s="7">
        <v>8388</v>
      </c>
      <c r="H1322" t="s" s="7">
        <v>8389</v>
      </c>
      <c r="I1322" t="str" s="8" cm="1">
        <f t="array" ref="I1322">SUBSTITUTE(H1322,B1322,"(          )")</f>
        <v>The principal will (          ) students for academic excellence.</v>
      </c>
      <c r="J1322" s="9" cm="1">
        <f t="array" ref="J1322">SUMIF('외운 것 - 엑셀다운로드 파일(붙여넣기)'!A3:A562,A1322,'외운 것 - 엑셀다운로드 파일(붙여넣기)'!D3:D562)</f>
        <v>0</v>
      </c>
      <c r="K1322" s="9" cm="1">
        <f t="array" ref="K1322">_xlfn.COUNTIFS('외운 것 - 엑셀다운로드 파일(붙여넣기)'!A3:A562,A1322,'외운 것 - 엑셀다운로드 파일(붙여넣기)'!D3:D562,0)</f>
        <v>0</v>
      </c>
      <c r="L1322" s="9" cm="1">
        <f t="array" ref="L1322">IF(J1322&gt;=3,_xlfn.XLOOKUP(A1322,'외운 것 - 엑셀다운로드 파일(붙여넣기)'!A3:A562,'외운 것 - 엑셀다운로드 파일(붙여넣기)'!C3:C562,0,-1),0)</f>
        <v>0</v>
      </c>
    </row>
    <row r="1323" ht="36.4" customHeight="1">
      <c r="A1323" s="3">
        <v>1322</v>
      </c>
      <c r="B1323" t="s" s="4">
        <v>8391</v>
      </c>
      <c r="C1323" t="s" s="5">
        <v>8392</v>
      </c>
      <c r="D1323" t="s" s="5">
        <v>8378</v>
      </c>
      <c r="E1323" t="s" s="5">
        <v>8393</v>
      </c>
      <c r="F1323" t="s" s="10">
        <v>8394</v>
      </c>
      <c r="G1323" t="s" s="7">
        <v>8395</v>
      </c>
      <c r="H1323" t="s" s="7">
        <v>8396</v>
      </c>
      <c r="I1323" t="str" s="8" cm="1">
        <f t="array" ref="I1323">SUBSTITUTE(H1323,B1323,"(          )")</f>
        <v>I (          ) the seafood at this restaurant.</v>
      </c>
      <c r="J1323" s="9" cm="1">
        <f t="array" ref="J1323">SUMIF('외운 것 - 엑셀다운로드 파일(붙여넣기)'!A3:A562,A1323,'외운 것 - 엑셀다운로드 파일(붙여넣기)'!D3:D562)</f>
        <v>0</v>
      </c>
      <c r="K1323" s="9" cm="1">
        <f t="array" ref="K1323">_xlfn.COUNTIFS('외운 것 - 엑셀다운로드 파일(붙여넣기)'!A3:A562,A1323,'외운 것 - 엑셀다운로드 파일(붙여넣기)'!D3:D562,0)</f>
        <v>0</v>
      </c>
      <c r="L1323" s="9" cm="1">
        <f t="array" ref="L1323">IF(J1323&gt;=3,_xlfn.XLOOKUP(A1323,'외운 것 - 엑셀다운로드 파일(붙여넣기)'!A3:A562,'외운 것 - 엑셀다운로드 파일(붙여넣기)'!C3:C562,0,-1),0)</f>
        <v>0</v>
      </c>
    </row>
    <row r="1324" ht="38.45" customHeight="1">
      <c r="A1324" s="3">
        <v>1323</v>
      </c>
      <c r="B1324" t="s" s="4">
        <v>8398</v>
      </c>
      <c r="C1324" t="s" s="5">
        <v>8398</v>
      </c>
      <c r="D1324" t="s" s="5">
        <v>8399</v>
      </c>
      <c r="E1324" t="s" s="5">
        <v>8400</v>
      </c>
      <c r="F1324" t="s" s="10">
        <v>8401</v>
      </c>
      <c r="G1324" t="s" s="7">
        <v>8402</v>
      </c>
      <c r="H1324" t="s" s="7">
        <v>8403</v>
      </c>
      <c r="I1324" t="str" s="8" cm="1">
        <f t="array" ref="I1324">SUBSTITUTE(H1324,B1324,"(          )")</f>
        <v>She drives a (          ) car that's easy to park.</v>
      </c>
      <c r="J1324" s="9" cm="1">
        <f t="array" ref="J1324">SUMIF('외운 것 - 엑셀다운로드 파일(붙여넣기)'!A3:A562,A1324,'외운 것 - 엑셀다운로드 파일(붙여넣기)'!D3:D562)</f>
        <v>0</v>
      </c>
      <c r="K1324" s="9" cm="1">
        <f t="array" ref="K1324">_xlfn.COUNTIFS('외운 것 - 엑셀다운로드 파일(붙여넣기)'!A3:A562,A1324,'외운 것 - 엑셀다운로드 파일(붙여넣기)'!D3:D562,0)</f>
        <v>0</v>
      </c>
      <c r="L1324" s="9" cm="1">
        <f t="array" ref="L1324">IF(J1324&gt;=3,_xlfn.XLOOKUP(A1324,'외운 것 - 엑셀다운로드 파일(붙여넣기)'!A3:A562,'외운 것 - 엑셀다운로드 파일(붙여넣기)'!C3:C562,0,-1),0)</f>
        <v>0</v>
      </c>
    </row>
    <row r="1325" ht="23.45" customHeight="1">
      <c r="A1325" s="3">
        <v>1324</v>
      </c>
      <c r="B1325" t="s" s="4">
        <v>8405</v>
      </c>
      <c r="C1325" t="s" s="5">
        <v>8398</v>
      </c>
      <c r="D1325" t="s" s="5">
        <v>8399</v>
      </c>
      <c r="E1325" t="s" s="5">
        <v>8406</v>
      </c>
      <c r="F1325" t="s" s="10">
        <v>8407</v>
      </c>
      <c r="G1325" t="s" s="7">
        <v>8408</v>
      </c>
      <c r="H1325" t="s" s="7">
        <v>8409</v>
      </c>
      <c r="I1325" t="str" s="8" cm="1">
        <f t="array" ref="I1325">SUBSTITUTE(H1325,B1325,"(          )")</f>
        <v>The surgery leaves (          ) scarring.</v>
      </c>
      <c r="J1325" s="9" cm="1">
        <f t="array" ref="J1325">SUMIF('외운 것 - 엑셀다운로드 파일(붙여넣기)'!A3:A562,A1325,'외운 것 - 엑셀다운로드 파일(붙여넣기)'!D3:D562)</f>
        <v>0</v>
      </c>
      <c r="K1325" s="9" cm="1">
        <f t="array" ref="K1325">_xlfn.COUNTIFS('외운 것 - 엑셀다운로드 파일(붙여넣기)'!A3:A562,A1325,'외운 것 - 엑셀다운로드 파일(붙여넣기)'!D3:D562,0)</f>
        <v>0</v>
      </c>
      <c r="L1325" s="9" cm="1">
        <f t="array" ref="L1325">IF(J1325&gt;=3,_xlfn.XLOOKUP(A1325,'외운 것 - 엑셀다운로드 파일(붙여넣기)'!A3:A562,'외운 것 - 엑셀다운로드 파일(붙여넣기)'!C3:C562,0,-1),0)</f>
        <v>0</v>
      </c>
    </row>
    <row r="1326" ht="38.45" customHeight="1">
      <c r="A1326" s="3">
        <v>1325</v>
      </c>
      <c r="B1326" t="s" s="4">
        <v>8411</v>
      </c>
      <c r="C1326" t="s" s="5">
        <v>8398</v>
      </c>
      <c r="D1326" t="s" s="5">
        <v>8399</v>
      </c>
      <c r="E1326" t="s" s="5">
        <v>8412</v>
      </c>
      <c r="F1326" t="s" s="10">
        <v>8413</v>
      </c>
      <c r="G1326" t="s" s="7">
        <v>8414</v>
      </c>
      <c r="H1326" t="s" s="7">
        <v>8415</v>
      </c>
      <c r="I1326" t="str" s="8" cm="1">
        <f t="array" ref="I1326">SUBSTITUTE(H1326,B1326,"(          )")</f>
        <v>The (          ) wage increased last year.</v>
      </c>
      <c r="J1326" s="9" cm="1">
        <f t="array" ref="J1326">SUMIF('외운 것 - 엑셀다운로드 파일(붙여넣기)'!A3:A562,A1326,'외운 것 - 엑셀다운로드 파일(붙여넣기)'!D3:D562)</f>
        <v>0</v>
      </c>
      <c r="K1326" s="9" cm="1">
        <f t="array" ref="K1326">_xlfn.COUNTIFS('외운 것 - 엑셀다운로드 파일(붙여넣기)'!A3:A562,A1326,'외운 것 - 엑셀다운로드 파일(붙여넣기)'!D3:D562,0)</f>
        <v>0</v>
      </c>
      <c r="L1326" s="9" cm="1">
        <f t="array" ref="L1326">IF(J1326&gt;=3,_xlfn.XLOOKUP(A1326,'외운 것 - 엑셀다운로드 파일(붙여넣기)'!A3:A562,'외운 것 - 엑셀다운로드 파일(붙여넣기)'!C3:C562,0,-1),0)</f>
        <v>0</v>
      </c>
    </row>
    <row r="1327" ht="23.45" customHeight="1">
      <c r="A1327" s="3">
        <v>1326</v>
      </c>
      <c r="B1327" t="s" s="4">
        <v>8417</v>
      </c>
      <c r="C1327" t="s" s="5">
        <v>8398</v>
      </c>
      <c r="D1327" t="s" s="5">
        <v>8399</v>
      </c>
      <c r="E1327" t="s" s="5">
        <v>8418</v>
      </c>
      <c r="F1327" t="s" s="10">
        <v>8419</v>
      </c>
      <c r="G1327" t="s" s="7">
        <v>8420</v>
      </c>
      <c r="H1327" t="s" s="7">
        <v>8421</v>
      </c>
      <c r="I1327" t="str" s="8" cm="1">
        <f t="array" ref="I1327">SUBSTITUTE(H1327,B1327,"(          )")</f>
        <v>Good insulation helps (          ) heating costs.</v>
      </c>
      <c r="J1327" s="9" cm="1">
        <f t="array" ref="J1327">SUMIF('외운 것 - 엑셀다운로드 파일(붙여넣기)'!A3:A562,A1327,'외운 것 - 엑셀다운로드 파일(붙여넣기)'!D3:D562)</f>
        <v>0</v>
      </c>
      <c r="K1327" s="9" cm="1">
        <f t="array" ref="K1327">_xlfn.COUNTIFS('외운 것 - 엑셀다운로드 파일(붙여넣기)'!A3:A562,A1327,'외운 것 - 엑셀다운로드 파일(붙여넣기)'!D3:D562,0)</f>
        <v>0</v>
      </c>
      <c r="L1327" s="9" cm="1">
        <f t="array" ref="L1327">IF(J1327&gt;=3,_xlfn.XLOOKUP(A1327,'외운 것 - 엑셀다운로드 파일(붙여넣기)'!A3:A562,'외운 것 - 엑셀다운로드 파일(붙여넣기)'!C3:C562,0,-1),0)</f>
        <v>0</v>
      </c>
    </row>
    <row r="1328" ht="23.45" customHeight="1">
      <c r="A1328" s="3">
        <v>1327</v>
      </c>
      <c r="B1328" t="s" s="4">
        <v>8423</v>
      </c>
      <c r="C1328" t="s" s="5">
        <v>8398</v>
      </c>
      <c r="D1328" t="s" s="5">
        <v>8399</v>
      </c>
      <c r="E1328" t="s" s="5">
        <v>8424</v>
      </c>
      <c r="F1328" t="s" s="10">
        <v>8425</v>
      </c>
      <c r="G1328" t="s" s="7">
        <v>8426</v>
      </c>
      <c r="H1328" t="s" s="7">
        <v>8427</v>
      </c>
      <c r="I1328" t="str" s="8" cm="1">
        <f t="array" ref="I1328">SUBSTITUTE(H1328,B1328,"(          )")</f>
        <v>Developers (          ) code to improve website performance.</v>
      </c>
      <c r="J1328" s="9" cm="1">
        <f t="array" ref="J1328">SUMIF('외운 것 - 엑셀다운로드 파일(붙여넣기)'!A3:A562,A1328,'외운 것 - 엑셀다운로드 파일(붙여넣기)'!D3:D562)</f>
        <v>0</v>
      </c>
      <c r="K1328" s="9" cm="1">
        <f t="array" ref="K1328">_xlfn.COUNTIFS('외운 것 - 엑셀다운로드 파일(붙여넣기)'!A3:A562,A1328,'외운 것 - 엑셀다운로드 파일(붙여넣기)'!D3:D562,0)</f>
        <v>0</v>
      </c>
      <c r="L1328" s="9" cm="1">
        <f t="array" ref="L1328">IF(J1328&gt;=3,_xlfn.XLOOKUP(A1328,'외운 것 - 엑셀다운로드 파일(붙여넣기)'!A3:A562,'외운 것 - 엑셀다운로드 파일(붙여넣기)'!C3:C562,0,-1),0)</f>
        <v>0</v>
      </c>
    </row>
    <row r="1329" ht="38.45" customHeight="1">
      <c r="A1329" s="3">
        <v>1328</v>
      </c>
      <c r="B1329" t="s" s="4">
        <v>8429</v>
      </c>
      <c r="C1329" t="s" s="5">
        <v>8398</v>
      </c>
      <c r="D1329" t="s" s="5">
        <v>8399</v>
      </c>
      <c r="E1329" t="s" s="5">
        <v>8430</v>
      </c>
      <c r="F1329" t="s" s="10">
        <v>8431</v>
      </c>
      <c r="G1329" t="s" s="7">
        <v>8432</v>
      </c>
      <c r="H1329" t="s" s="7">
        <v>8433</v>
      </c>
      <c r="I1329" t="str" s="8" cm="1">
        <f t="array" ref="I1329">SUBSTITUTE(H1329,B1329,"(          )")</f>
        <v>The prime (          ) addressed the nation about the crisis.</v>
      </c>
      <c r="J1329" s="9" cm="1">
        <f t="array" ref="J1329">SUMIF('외운 것 - 엑셀다운로드 파일(붙여넣기)'!A3:A562,A1329,'외운 것 - 엑셀다운로드 파일(붙여넣기)'!D3:D562)</f>
        <v>0</v>
      </c>
      <c r="K1329" s="9" cm="1">
        <f t="array" ref="K1329">_xlfn.COUNTIFS('외운 것 - 엑셀다운로드 파일(붙여넣기)'!A3:A562,A1329,'외운 것 - 엑셀다운로드 파일(붙여넣기)'!D3:D562,0)</f>
        <v>0</v>
      </c>
      <c r="L1329" s="9" cm="1">
        <f t="array" ref="L1329">IF(J1329&gt;=3,_xlfn.XLOOKUP(A1329,'외운 것 - 엑셀다운로드 파일(붙여넣기)'!A3:A562,'외운 것 - 엑셀다운로드 파일(붙여넣기)'!C3:C562,0,-1),0)</f>
        <v>0</v>
      </c>
    </row>
    <row r="1330" ht="38.45" customHeight="1">
      <c r="A1330" s="3">
        <v>1329</v>
      </c>
      <c r="B1330" t="s" s="4">
        <v>8435</v>
      </c>
      <c r="C1330" t="s" s="5">
        <v>8398</v>
      </c>
      <c r="D1330" t="s" s="5">
        <v>8399</v>
      </c>
      <c r="E1330" t="s" s="5">
        <v>8436</v>
      </c>
      <c r="F1330" t="s" s="10">
        <v>8437</v>
      </c>
      <c r="G1330" t="s" s="7">
        <v>8438</v>
      </c>
      <c r="H1330" t="s" s="7">
        <v>8439</v>
      </c>
      <c r="I1330" t="str" s="8" cm="1">
        <f t="array" ref="I1330">SUBSTITUTE(H1330,B1330,"(          )")</f>
        <v>The nurse will (          ) the medication.</v>
      </c>
      <c r="J1330" s="9" cm="1">
        <f t="array" ref="J1330">SUMIF('외운 것 - 엑셀다운로드 파일(붙여넣기)'!A3:A562,A1330,'외운 것 - 엑셀다운로드 파일(붙여넣기)'!D3:D562)</f>
        <v>0</v>
      </c>
      <c r="K1330" s="9" cm="1">
        <f t="array" ref="K1330">_xlfn.COUNTIFS('외운 것 - 엑셀다운로드 파일(붙여넣기)'!A3:A562,A1330,'외운 것 - 엑셀다운로드 파일(붙여넣기)'!D3:D562,0)</f>
        <v>0</v>
      </c>
      <c r="L1330" s="9" cm="1">
        <f t="array" ref="L1330">IF(J1330&gt;=3,_xlfn.XLOOKUP(A1330,'외운 것 - 엑셀다운로드 파일(붙여넣기)'!A3:A562,'외운 것 - 엑셀다운로드 파일(붙여넣기)'!C3:C562,0,-1),0)</f>
        <v>0</v>
      </c>
    </row>
    <row r="1331" ht="23.45" customHeight="1">
      <c r="A1331" s="3">
        <v>1330</v>
      </c>
      <c r="B1331" t="s" s="4">
        <v>8441</v>
      </c>
      <c r="C1331" t="s" s="5">
        <v>8398</v>
      </c>
      <c r="D1331" t="s" s="5">
        <v>8399</v>
      </c>
      <c r="E1331" t="s" s="5">
        <v>8442</v>
      </c>
      <c r="F1331" t="s" s="10">
        <v>8443</v>
      </c>
      <c r="G1331" t="s" s="7">
        <v>8444</v>
      </c>
      <c r="H1331" t="s" s="7">
        <v>8445</v>
      </c>
      <c r="I1331" t="str" s="8" cm="1">
        <f t="array" ref="I1331">SUBSTITUTE(H1331,B1331,"(          )")</f>
        <v>His influence began to (          ) over time.</v>
      </c>
      <c r="J1331" s="9" cm="1">
        <f t="array" ref="J1331">SUMIF('외운 것 - 엑셀다운로드 파일(붙여넣기)'!A3:A562,A1331,'외운 것 - 엑셀다운로드 파일(붙여넣기)'!D3:D562)</f>
        <v>0</v>
      </c>
      <c r="K1331" s="9" cm="1">
        <f t="array" ref="K1331">_xlfn.COUNTIFS('외운 것 - 엑셀다운로드 파일(붙여넣기)'!A3:A562,A1331,'외운 것 - 엑셀다운로드 파일(붙여넣기)'!D3:D562,0)</f>
        <v>0</v>
      </c>
      <c r="L1331" s="9" cm="1">
        <f t="array" ref="L1331">IF(J1331&gt;=3,_xlfn.XLOOKUP(A1331,'외운 것 - 엑셀다운로드 파일(붙여넣기)'!A3:A562,'외운 것 - 엑셀다운로드 파일(붙여넣기)'!C3:C562,0,-1),0)</f>
        <v>0</v>
      </c>
    </row>
    <row r="1332" ht="23.45" customHeight="1">
      <c r="A1332" s="3">
        <v>1331</v>
      </c>
      <c r="B1332" t="s" s="4">
        <v>8447</v>
      </c>
      <c r="C1332" t="s" s="5">
        <v>8448</v>
      </c>
      <c r="D1332" t="s" s="5">
        <v>8449</v>
      </c>
      <c r="E1332" t="s" s="5">
        <v>8450</v>
      </c>
      <c r="F1332" t="s" s="10">
        <v>8451</v>
      </c>
      <c r="G1332" t="s" s="7">
        <v>8452</v>
      </c>
      <c r="H1332" t="s" s="7">
        <v>8453</v>
      </c>
      <c r="I1332" t="str" s="8" cm="1">
        <f t="array" ref="I1332">SUBSTITUTE(H1332,B1332,"(          )")</f>
        <v>The construction (          ) was approved yesterday.</v>
      </c>
      <c r="J1332" s="9" cm="1">
        <f t="array" ref="J1332">SUMIF('외운 것 - 엑셀다운로드 파일(붙여넣기)'!A3:A562,A1332,'외운 것 - 엑셀다운로드 파일(붙여넣기)'!D3:D562)</f>
        <v>0</v>
      </c>
      <c r="K1332" s="9" cm="1">
        <f t="array" ref="K1332">_xlfn.COUNTIFS('외운 것 - 엑셀다운로드 파일(붙여넣기)'!A3:A562,A1332,'외운 것 - 엑셀다운로드 파일(붙여넣기)'!D3:D562,0)</f>
        <v>0</v>
      </c>
      <c r="L1332" s="9" cm="1">
        <f t="array" ref="L1332">IF(J1332&gt;=3,_xlfn.XLOOKUP(A1332,'외운 것 - 엑셀다운로드 파일(붙여넣기)'!A3:A562,'외운 것 - 엑셀다운로드 파일(붙여넣기)'!C3:C562,0,-1),0)</f>
        <v>0</v>
      </c>
    </row>
    <row r="1333" ht="38.45" customHeight="1">
      <c r="A1333" s="3">
        <v>1332</v>
      </c>
      <c r="B1333" t="s" s="4">
        <v>8455</v>
      </c>
      <c r="C1333" t="s" s="5">
        <v>8448</v>
      </c>
      <c r="D1333" t="s" s="5">
        <v>8449</v>
      </c>
      <c r="E1333" t="s" s="5">
        <v>8456</v>
      </c>
      <c r="F1333" t="s" s="10">
        <v>8457</v>
      </c>
      <c r="G1333" t="s" s="7">
        <v>8458</v>
      </c>
      <c r="H1333" t="s" s="7">
        <v>8459</v>
      </c>
      <c r="I1333" t="str" s="8" cm="1">
        <f t="array" ref="I1333">SUBSTITUTE(H1333,B1333,"(          )")</f>
        <v>He will (          ) three hours daily to studying.</v>
      </c>
      <c r="J1333" s="9" cm="1">
        <f t="array" ref="J1333">SUMIF('외운 것 - 엑셀다운로드 파일(붙여넣기)'!A3:A562,A1333,'외운 것 - 엑셀다운로드 파일(붙여넣기)'!D3:D562)</f>
        <v>0</v>
      </c>
      <c r="K1333" s="9" cm="1">
        <f t="array" ref="K1333">_xlfn.COUNTIFS('외운 것 - 엑셀다운로드 파일(붙여넣기)'!A3:A562,A1333,'외운 것 - 엑셀다운로드 파일(붙여넣기)'!D3:D562,0)</f>
        <v>0</v>
      </c>
      <c r="L1333" s="9" cm="1">
        <f t="array" ref="L1333">IF(J1333&gt;=3,_xlfn.XLOOKUP(A1333,'외운 것 - 엑셀다운로드 파일(붙여넣기)'!A3:A562,'외운 것 - 엑셀다운로드 파일(붙여넣기)'!C3:C562,0,-1),0)</f>
        <v>0</v>
      </c>
    </row>
    <row r="1334" ht="36.4" customHeight="1">
      <c r="A1334" s="3">
        <v>1333</v>
      </c>
      <c r="B1334" t="s" s="4">
        <v>8461</v>
      </c>
      <c r="C1334" t="s" s="5">
        <v>8462</v>
      </c>
      <c r="D1334" t="s" s="5">
        <v>8448</v>
      </c>
      <c r="E1334" t="s" s="5">
        <v>8463</v>
      </c>
      <c r="F1334" t="s" s="10">
        <v>8464</v>
      </c>
      <c r="G1334" t="s" s="7">
        <v>8465</v>
      </c>
      <c r="H1334" t="s" s="7">
        <v>8466</v>
      </c>
      <c r="I1334" t="str" s="8" cm="1">
        <f t="array" ref="I1334">SUBSTITUTE(H1334,B1334,"(          )")</f>
        <v>Marriage requires (          ) from both partners.</v>
      </c>
      <c r="J1334" s="9" cm="1">
        <f t="array" ref="J1334">SUMIF('외운 것 - 엑셀다운로드 파일(붙여넣기)'!A3:A562,A1334,'외운 것 - 엑셀다운로드 파일(붙여넣기)'!D3:D562)</f>
        <v>0</v>
      </c>
      <c r="K1334" s="9" cm="1">
        <f t="array" ref="K1334">_xlfn.COUNTIFS('외운 것 - 엑셀다운로드 파일(붙여넣기)'!A3:A562,A1334,'외운 것 - 엑셀다운로드 파일(붙여넣기)'!D3:D562,0)</f>
        <v>0</v>
      </c>
      <c r="L1334" s="9" cm="1">
        <f t="array" ref="L1334">IF(J1334&gt;=3,_xlfn.XLOOKUP(A1334,'외운 것 - 엑셀다운로드 파일(붙여넣기)'!A3:A562,'외운 것 - 엑셀다운로드 파일(붙여넣기)'!C3:C562,0,-1),0)</f>
        <v>0</v>
      </c>
    </row>
    <row r="1335" ht="38.45" customHeight="1">
      <c r="A1335" s="3">
        <v>1334</v>
      </c>
      <c r="B1335" t="s" s="4">
        <v>8468</v>
      </c>
      <c r="C1335" t="s" s="5">
        <v>8448</v>
      </c>
      <c r="D1335" t="s" s="5">
        <v>8449</v>
      </c>
      <c r="E1335" t="s" s="5">
        <v>8469</v>
      </c>
      <c r="F1335" t="s" s="10">
        <v>8470</v>
      </c>
      <c r="G1335" t="s" s="7">
        <v>8471</v>
      </c>
      <c r="H1335" t="s" s="7">
        <v>8472</v>
      </c>
      <c r="I1335" t="str" s="8" cm="1">
        <f t="array" ref="I1335">SUBSTITUTE(H1335,B1335,"(          )")</f>
        <v>The (          ) meets every month to review progress.</v>
      </c>
      <c r="J1335" s="9" cm="1">
        <f t="array" ref="J1335">SUMIF('외운 것 - 엑셀다운로드 파일(붙여넣기)'!A3:A562,A1335,'외운 것 - 엑셀다운로드 파일(붙여넣기)'!D3:D562)</f>
        <v>0</v>
      </c>
      <c r="K1335" s="9" cm="1">
        <f t="array" ref="K1335">_xlfn.COUNTIFS('외운 것 - 엑셀다운로드 파일(붙여넣기)'!A3:A562,A1335,'외운 것 - 엑셀다운로드 파일(붙여넣기)'!D3:D562,0)</f>
        <v>0</v>
      </c>
      <c r="L1335" s="9" cm="1">
        <f t="array" ref="L1335">IF(J1335&gt;=3,_xlfn.XLOOKUP(A1335,'외운 것 - 엑셀다운로드 파일(붙여넣기)'!A3:A562,'외운 것 - 엑셀다운로드 파일(붙여넣기)'!C3:C562,0,-1),0)</f>
        <v>0</v>
      </c>
    </row>
    <row r="1336" ht="23.45" customHeight="1">
      <c r="A1336" s="3">
        <v>1335</v>
      </c>
      <c r="B1336" t="s" s="4">
        <v>8474</v>
      </c>
      <c r="C1336" t="s" s="5">
        <v>8448</v>
      </c>
      <c r="D1336" t="s" s="5">
        <v>8449</v>
      </c>
      <c r="E1336" t="s" s="5">
        <v>8475</v>
      </c>
      <c r="F1336" t="s" s="10">
        <v>8476</v>
      </c>
      <c r="G1336" t="s" s="7">
        <v>8477</v>
      </c>
      <c r="H1336" t="s" s="7">
        <v>8478</v>
      </c>
      <c r="I1336" t="str" s="8" cm="1">
        <f t="array" ref="I1336">SUBSTITUTE(H1336,B1336,"(          )")</f>
        <v>Radio waves (          ) signals through the air.</v>
      </c>
      <c r="J1336" s="9" cm="1">
        <f t="array" ref="J1336">SUMIF('외운 것 - 엑셀다운로드 파일(붙여넣기)'!A3:A562,A1336,'외운 것 - 엑셀다운로드 파일(붙여넣기)'!D3:D562)</f>
        <v>0</v>
      </c>
      <c r="K1336" s="9" cm="1">
        <f t="array" ref="K1336">_xlfn.COUNTIFS('외운 것 - 엑셀다운로드 파일(붙여넣기)'!A3:A562,A1336,'외운 것 - 엑셀다운로드 파일(붙여넣기)'!D3:D562,0)</f>
        <v>0</v>
      </c>
      <c r="L1336" s="9" cm="1">
        <f t="array" ref="L1336">IF(J1336&gt;=3,_xlfn.XLOOKUP(A1336,'외운 것 - 엑셀다운로드 파일(붙여넣기)'!A3:A562,'외운 것 - 엑셀다운로드 파일(붙여넣기)'!C3:C562,0,-1),0)</f>
        <v>0</v>
      </c>
    </row>
    <row r="1337" ht="23.45" customHeight="1">
      <c r="A1337" s="3">
        <v>1336</v>
      </c>
      <c r="B1337" t="s" s="4">
        <v>8480</v>
      </c>
      <c r="C1337" t="s" s="5">
        <v>8448</v>
      </c>
      <c r="D1337" t="s" s="5">
        <v>8449</v>
      </c>
      <c r="E1337" t="s" s="5">
        <v>8481</v>
      </c>
      <c r="F1337" t="s" s="10">
        <v>8482</v>
      </c>
      <c r="G1337" t="s" s="7">
        <v>8483</v>
      </c>
      <c r="H1337" t="s" s="7">
        <v>8484</v>
      </c>
      <c r="I1337" t="str" s="8" cm="1">
        <f t="array" ref="I1337">SUBSTITUTE(H1337,B1337,"(          )")</f>
        <v>Please (          ) payment by the due date.</v>
      </c>
      <c r="J1337" s="9" cm="1">
        <f t="array" ref="J1337">SUMIF('외운 것 - 엑셀다운로드 파일(붙여넣기)'!A3:A562,A1337,'외운 것 - 엑셀다운로드 파일(붙여넣기)'!D3:D562)</f>
        <v>0</v>
      </c>
      <c r="K1337" s="9" cm="1">
        <f t="array" ref="K1337">_xlfn.COUNTIFS('외운 것 - 엑셀다운로드 파일(붙여넣기)'!A3:A562,A1337,'외운 것 - 엑셀다운로드 파일(붙여넣기)'!D3:D562,0)</f>
        <v>0</v>
      </c>
      <c r="L1337" s="9" cm="1">
        <f t="array" ref="L1337">IF(J1337&gt;=3,_xlfn.XLOOKUP(A1337,'외운 것 - 엑셀다운로드 파일(붙여넣기)'!A3:A562,'외운 것 - 엑셀다운로드 파일(붙여넣기)'!C3:C562,0,-1),0)</f>
        <v>0</v>
      </c>
    </row>
    <row r="1338" ht="38.45" customHeight="1">
      <c r="A1338" s="3">
        <v>1337</v>
      </c>
      <c r="B1338" t="s" s="4">
        <v>8486</v>
      </c>
      <c r="C1338" t="s" s="5">
        <v>8448</v>
      </c>
      <c r="D1338" t="s" s="5">
        <v>8449</v>
      </c>
      <c r="E1338" t="s" s="5">
        <v>8487</v>
      </c>
      <c r="F1338" t="s" s="10">
        <v>8488</v>
      </c>
      <c r="G1338" t="s" s="7">
        <v>8489</v>
      </c>
      <c r="H1338" t="s" s="7">
        <v>8490</v>
      </c>
      <c r="I1338" t="str" s="8" cm="1">
        <f t="array" ref="I1338">SUBSTITUTE(H1338,B1338,"(          )")</f>
        <v>Submit your application before the deadline.</v>
      </c>
      <c r="J1338" s="9" cm="1">
        <f t="array" ref="J1338">SUMIF('외운 것 - 엑셀다운로드 파일(붙여넣기)'!A3:A562,A1338,'외운 것 - 엑셀다운로드 파일(붙여넣기)'!D3:D562)</f>
        <v>0</v>
      </c>
      <c r="K1338" s="9" cm="1">
        <f t="array" ref="K1338">_xlfn.COUNTIFS('외운 것 - 엑셀다운로드 파일(붙여넣기)'!A3:A562,A1338,'외운 것 - 엑셀다운로드 파일(붙여넣기)'!D3:D562,0)</f>
        <v>0</v>
      </c>
      <c r="L1338" s="9" cm="1">
        <f t="array" ref="L1338">IF(J1338&gt;=3,_xlfn.XLOOKUP(A1338,'외운 것 - 엑셀다운로드 파일(붙여넣기)'!A3:A562,'외운 것 - 엑셀다운로드 파일(붙여넣기)'!C3:C562,0,-1),0)</f>
        <v>0</v>
      </c>
    </row>
    <row r="1339" ht="38.45" customHeight="1">
      <c r="A1339" s="3">
        <v>1338</v>
      </c>
      <c r="B1339" t="s" s="4">
        <v>8492</v>
      </c>
      <c r="C1339" t="s" s="5">
        <v>8448</v>
      </c>
      <c r="D1339" t="s" s="5">
        <v>8449</v>
      </c>
      <c r="E1339" t="s" s="5">
        <v>8493</v>
      </c>
      <c r="F1339" t="s" s="10">
        <v>8494</v>
      </c>
      <c r="G1339" t="s" s="7">
        <v>8495</v>
      </c>
      <c r="H1339" t="s" s="7">
        <v>8496</v>
      </c>
      <c r="I1339" t="str" s="8" cm="1">
        <f t="array" ref="I1339">SUBSTITUTE(H1339,B1339,"(          )")</f>
        <v>The journal accepts (          )s from independent researchers.</v>
      </c>
      <c r="J1339" s="9" cm="1">
        <f t="array" ref="J1339">SUMIF('외운 것 - 엑셀다운로드 파일(붙여넣기)'!A3:A562,A1339,'외운 것 - 엑셀다운로드 파일(붙여넣기)'!D3:D562)</f>
        <v>0</v>
      </c>
      <c r="K1339" s="9" cm="1">
        <f t="array" ref="K1339">_xlfn.COUNTIFS('외운 것 - 엑셀다운로드 파일(붙여넣기)'!A3:A562,A1339,'외운 것 - 엑셀다운로드 파일(붙여넣기)'!D3:D562,0)</f>
        <v>0</v>
      </c>
      <c r="L1339" s="9" cm="1">
        <f t="array" ref="L1339">IF(J1339&gt;=3,_xlfn.XLOOKUP(A1339,'외운 것 - 엑셀다운로드 파일(붙여넣기)'!A3:A562,'외운 것 - 엑셀다운로드 파일(붙여넣기)'!C3:C562,0,-1),0)</f>
        <v>0</v>
      </c>
    </row>
    <row r="1340" ht="23.45" customHeight="1">
      <c r="A1340" s="3">
        <v>1339</v>
      </c>
      <c r="B1340" t="s" s="4">
        <v>8498</v>
      </c>
      <c r="C1340" t="s" s="5">
        <v>8448</v>
      </c>
      <c r="D1340" t="s" s="5">
        <v>8449</v>
      </c>
      <c r="E1340" t="s" s="5">
        <v>8499</v>
      </c>
      <c r="F1340" t="s" s="10">
        <v>8500</v>
      </c>
      <c r="G1340" t="s" s="7">
        <v>8501</v>
      </c>
      <c r="H1340" t="s" s="7">
        <v>8502</v>
      </c>
      <c r="I1340" t="str" s="8" cm="1">
        <f t="array" ref="I1340">SUBSTITUTE(H1340,B1340,"(          )")</f>
        <v>Don't (          ) any important details from your report.</v>
      </c>
      <c r="J1340" s="9" cm="1">
        <f t="array" ref="J1340">SUMIF('외운 것 - 엑셀다운로드 파일(붙여넣기)'!A3:A562,A1340,'외운 것 - 엑셀다운로드 파일(붙여넣기)'!D3:D562)</f>
        <v>0</v>
      </c>
      <c r="K1340" s="9" cm="1">
        <f t="array" ref="K1340">_xlfn.COUNTIFS('외운 것 - 엑셀다운로드 파일(붙여넣기)'!A3:A562,A1340,'외운 것 - 엑셀다운로드 파일(붙여넣기)'!D3:D562,0)</f>
        <v>0</v>
      </c>
      <c r="L1340" s="9" cm="1">
        <f t="array" ref="L1340">IF(J1340&gt;=3,_xlfn.XLOOKUP(A1340,'외운 것 - 엑셀다운로드 파일(붙여넣기)'!A3:A562,'외운 것 - 엑셀다운로드 파일(붙여넣기)'!C3:C562,0,-1),0)</f>
        <v>0</v>
      </c>
    </row>
    <row r="1341" ht="23.45" customHeight="1">
      <c r="A1341" s="3">
        <v>1340</v>
      </c>
      <c r="B1341" t="s" s="4">
        <v>8504</v>
      </c>
      <c r="C1341" t="s" s="5">
        <v>8448</v>
      </c>
      <c r="D1341" t="s" s="5">
        <v>8449</v>
      </c>
      <c r="E1341" t="s" s="5">
        <v>8505</v>
      </c>
      <c r="F1341" t="s" s="10">
        <v>8506</v>
      </c>
      <c r="G1341" t="s" s="7">
        <v>8507</v>
      </c>
      <c r="H1341" t="s" s="7">
        <v>8508</v>
      </c>
      <c r="I1341" t="str" s="8" cm="1">
        <f t="array" ref="I1341">SUBSTITUTE(H1341,B1341,"(          )")</f>
        <v>Factories (          ) pollution into the air.</v>
      </c>
      <c r="J1341" s="9" cm="1">
        <f t="array" ref="J1341">SUMIF('외운 것 - 엑셀다운로드 파일(붙여넣기)'!A3:A562,A1341,'외운 것 - 엑셀다운로드 파일(붙여넣기)'!D3:D562)</f>
        <v>0</v>
      </c>
      <c r="K1341" s="9" cm="1">
        <f t="array" ref="K1341">_xlfn.COUNTIFS('외운 것 - 엑셀다운로드 파일(붙여넣기)'!A3:A562,A1341,'외운 것 - 엑셀다운로드 파일(붙여넣기)'!D3:D562,0)</f>
        <v>0</v>
      </c>
      <c r="L1341" s="9" cm="1">
        <f t="array" ref="L1341">IF(J1341&gt;=3,_xlfn.XLOOKUP(A1341,'외운 것 - 엑셀다운로드 파일(붙여넣기)'!A3:A562,'외운 것 - 엑셀다운로드 파일(붙여넣기)'!C3:C562,0,-1),0)</f>
        <v>0</v>
      </c>
    </row>
    <row r="1342" ht="23.45" customHeight="1">
      <c r="A1342" s="3">
        <v>1341</v>
      </c>
      <c r="B1342" t="s" s="4">
        <v>8510</v>
      </c>
      <c r="C1342" t="s" s="5">
        <v>8511</v>
      </c>
      <c r="D1342" t="s" s="5">
        <v>8448</v>
      </c>
      <c r="E1342" t="s" s="5">
        <v>8512</v>
      </c>
      <c r="F1342" t="s" s="10">
        <v>8513</v>
      </c>
      <c r="G1342" t="s" s="7">
        <v>8514</v>
      </c>
      <c r="H1342" t="s" s="7">
        <v>8515</v>
      </c>
      <c r="I1342" t="str" s="8" cm="1">
        <f t="array" ref="I1342">SUBSTITUTE(H1342,B1342,"(          )")</f>
        <v>The government seeks to reduce carbon (          )s.</v>
      </c>
      <c r="J1342" s="9" cm="1">
        <f t="array" ref="J1342">SUMIF('외운 것 - 엑셀다운로드 파일(붙여넣기)'!A3:A562,A1342,'외운 것 - 엑셀다운로드 파일(붙여넣기)'!D3:D562)</f>
        <v>0</v>
      </c>
      <c r="K1342" s="9" cm="1">
        <f t="array" ref="K1342">_xlfn.COUNTIFS('외운 것 - 엑셀다운로드 파일(붙여넣기)'!A3:A562,A1342,'외운 것 - 엑셀다운로드 파일(붙여넣기)'!D3:D562,0)</f>
        <v>0</v>
      </c>
      <c r="L1342" s="9" cm="1">
        <f t="array" ref="L1342">IF(J1342&gt;=3,_xlfn.XLOOKUP(A1342,'외운 것 - 엑셀다운로드 파일(붙여넣기)'!A3:A562,'외운 것 - 엑셀다운로드 파일(붙여넣기)'!C3:C562,0,-1),0)</f>
        <v>0</v>
      </c>
    </row>
    <row r="1343" ht="38.45" customHeight="1">
      <c r="A1343" s="3">
        <v>1342</v>
      </c>
      <c r="B1343" t="s" s="4">
        <v>8517</v>
      </c>
      <c r="C1343" t="s" s="5">
        <v>8448</v>
      </c>
      <c r="D1343" t="s" s="5">
        <v>8449</v>
      </c>
      <c r="E1343" t="s" s="5">
        <v>8518</v>
      </c>
      <c r="F1343" t="s" s="10">
        <v>8519</v>
      </c>
      <c r="G1343" t="s" s="7">
        <v>8520</v>
      </c>
      <c r="H1343" t="s" s="7">
        <v>8521</v>
      </c>
      <c r="I1343" t="str" s="8" cm="1">
        <f t="array" ref="I1343">SUBSTITUTE(H1343,B1343,"(          )")</f>
        <v>The theater (          )s children under 12 for half price.</v>
      </c>
      <c r="J1343" s="9" cm="1">
        <f t="array" ref="J1343">SUMIF('외운 것 - 엑셀다운로드 파일(붙여넣기)'!A3:A562,A1343,'외운 것 - 엑셀다운로드 파일(붙여넣기)'!D3:D562)</f>
        <v>0</v>
      </c>
      <c r="K1343" s="9" cm="1">
        <f t="array" ref="K1343">_xlfn.COUNTIFS('외운 것 - 엑셀다운로드 파일(붙여넣기)'!A3:A562,A1343,'외운 것 - 엑셀다운로드 파일(붙여넣기)'!D3:D562,0)</f>
        <v>0</v>
      </c>
      <c r="L1343" s="9" cm="1">
        <f t="array" ref="L1343">IF(J1343&gt;=3,_xlfn.XLOOKUP(A1343,'외운 것 - 엑셀다운로드 파일(붙여넣기)'!A3:A562,'외운 것 - 엑셀다운로드 파일(붙여넣기)'!C3:C562,0,-1),0)</f>
        <v>0</v>
      </c>
    </row>
    <row r="1344" ht="38.45" customHeight="1">
      <c r="A1344" s="3">
        <v>1343</v>
      </c>
      <c r="B1344" t="s" s="4">
        <v>8523</v>
      </c>
      <c r="C1344" t="s" s="5">
        <v>8524</v>
      </c>
      <c r="D1344" t="s" s="5">
        <v>8448</v>
      </c>
      <c r="E1344" t="s" s="5">
        <v>8525</v>
      </c>
      <c r="F1344" t="s" s="10">
        <v>8526</v>
      </c>
      <c r="G1344" t="s" s="7">
        <v>8527</v>
      </c>
      <c r="H1344" t="s" s="7">
        <v>8528</v>
      </c>
      <c r="I1344" t="str" s="8" cm="1">
        <f t="array" ref="I1344">SUBSTITUTE(H1344,B1344,"(          )")</f>
        <v>College (          ) requires good test scores and grades.</v>
      </c>
      <c r="J1344" s="9" cm="1">
        <f t="array" ref="J1344">SUMIF('외운 것 - 엑셀다운로드 파일(붙여넣기)'!A3:A562,A1344,'외운 것 - 엑셀다운로드 파일(붙여넣기)'!D3:D562)</f>
        <v>0</v>
      </c>
      <c r="K1344" s="9" cm="1">
        <f t="array" ref="K1344">_xlfn.COUNTIFS('외운 것 - 엑셀다운로드 파일(붙여넣기)'!A3:A562,A1344,'외운 것 - 엑셀다운로드 파일(붙여넣기)'!D3:D562,0)</f>
        <v>0</v>
      </c>
      <c r="L1344" s="9" cm="1">
        <f t="array" ref="L1344">IF(J1344&gt;=3,_xlfn.XLOOKUP(A1344,'외운 것 - 엑셀다운로드 파일(붙여넣기)'!A3:A562,'외운 것 - 엑셀다운로드 파일(붙여넣기)'!C3:C562,0,-1),0)</f>
        <v>0</v>
      </c>
    </row>
    <row r="1345" ht="23.45" customHeight="1">
      <c r="A1345" s="3">
        <v>1344</v>
      </c>
      <c r="B1345" t="s" s="4">
        <v>8530</v>
      </c>
      <c r="C1345" t="s" s="5">
        <v>8531</v>
      </c>
      <c r="D1345" t="s" s="5">
        <v>8532</v>
      </c>
      <c r="E1345" t="s" s="5">
        <v>8533</v>
      </c>
      <c r="F1345" t="s" s="10">
        <v>8534</v>
      </c>
      <c r="G1345" t="s" s="7">
        <v>8535</v>
      </c>
      <c r="H1345" t="s" s="7">
        <v>8536</v>
      </c>
      <c r="I1345" t="str" s="8" cm="1">
        <f t="array" ref="I1345">SUBSTITUTE(H1345,B1345,"(          )")</f>
        <v>The (          ) was launched from a submarine.</v>
      </c>
      <c r="J1345" s="9" cm="1">
        <f t="array" ref="J1345">SUMIF('외운 것 - 엑셀다운로드 파일(붙여넣기)'!A3:A562,A1345,'외운 것 - 엑셀다운로드 파일(붙여넣기)'!D3:D562)</f>
        <v>0</v>
      </c>
      <c r="K1345" s="9" cm="1">
        <f t="array" ref="K1345">_xlfn.COUNTIFS('외운 것 - 엑셀다운로드 파일(붙여넣기)'!A3:A562,A1345,'외운 것 - 엑셀다운로드 파일(붙여넣기)'!D3:D562,0)</f>
        <v>0</v>
      </c>
      <c r="L1345" s="9" cm="1">
        <f t="array" ref="L1345">IF(J1345&gt;=3,_xlfn.XLOOKUP(A1345,'외운 것 - 엑셀다운로드 파일(붙여넣기)'!A3:A562,'외운 것 - 엑셀다운로드 파일(붙여넣기)'!C3:C562,0,-1),0)</f>
        <v>0</v>
      </c>
    </row>
    <row r="1346" ht="23.45" customHeight="1">
      <c r="A1346" s="3">
        <v>1345</v>
      </c>
      <c r="B1346" t="s" s="4">
        <v>8538</v>
      </c>
      <c r="C1346" t="s" s="5">
        <v>8531</v>
      </c>
      <c r="D1346" t="s" s="5">
        <v>8532</v>
      </c>
      <c r="E1346" t="s" s="5">
        <v>8539</v>
      </c>
      <c r="F1346" t="s" s="10">
        <v>8540</v>
      </c>
      <c r="G1346" t="s" s="7">
        <v>8541</v>
      </c>
      <c r="H1346" t="s" s="7">
        <v>8542</v>
      </c>
      <c r="I1346" t="str" s="8" cm="1">
        <f t="array" ref="I1346">SUBSTITUTE(H1346,B1346,"(          )")</f>
        <v>The astronauts completed their (          ) successfully.</v>
      </c>
      <c r="J1346" s="9" cm="1">
        <f t="array" ref="J1346">SUMIF('외운 것 - 엑셀다운로드 파일(붙여넣기)'!A3:A562,A1346,'외운 것 - 엑셀다운로드 파일(붙여넣기)'!D3:D562)</f>
        <v>0</v>
      </c>
      <c r="K1346" s="9" cm="1">
        <f t="array" ref="K1346">_xlfn.COUNTIFS('외운 것 - 엑셀다운로드 파일(붙여넣기)'!A3:A562,A1346,'외운 것 - 엑셀다운로드 파일(붙여넣기)'!D3:D562,0)</f>
        <v>0</v>
      </c>
      <c r="L1346" s="9" cm="1">
        <f t="array" ref="L1346">IF(J1346&gt;=3,_xlfn.XLOOKUP(A1346,'외운 것 - 엑셀다운로드 파일(붙여넣기)'!A3:A562,'외운 것 - 엑셀다운로드 파일(붙여넣기)'!C3:C562,0,-1),0)</f>
        <v>0</v>
      </c>
    </row>
    <row r="1347" ht="38.45" customHeight="1">
      <c r="A1347" s="3">
        <v>1346</v>
      </c>
      <c r="B1347" t="s" s="4">
        <v>8544</v>
      </c>
      <c r="C1347" t="s" s="5">
        <v>8545</v>
      </c>
      <c r="D1347" t="s" s="5">
        <v>8532</v>
      </c>
      <c r="E1347" t="s" s="5">
        <v>8546</v>
      </c>
      <c r="F1347" t="s" s="10">
        <v>8547</v>
      </c>
      <c r="G1347" t="s" s="7">
        <v>8548</v>
      </c>
      <c r="H1347" t="s" s="7">
        <v>8549</v>
      </c>
      <c r="I1347" t="str" s="8" cm="1">
        <f t="array" ref="I1347">SUBSTITUTE(H1347,B1347,"(          )")</f>
        <v>There will be a 15-minute (          ) between acts.</v>
      </c>
      <c r="J1347" s="9" cm="1">
        <f t="array" ref="J1347">SUMIF('외운 것 - 엑셀다운로드 파일(붙여넣기)'!A3:A562,A1347,'외운 것 - 엑셀다운로드 파일(붙여넣기)'!D3:D562)</f>
        <v>0</v>
      </c>
      <c r="K1347" s="9" cm="1">
        <f t="array" ref="K1347">_xlfn.COUNTIFS('외운 것 - 엑셀다운로드 파일(붙여넣기)'!A3:A562,A1347,'외운 것 - 엑셀다운로드 파일(붙여넣기)'!D3:D562,0)</f>
        <v>0</v>
      </c>
      <c r="L1347" s="9" cm="1">
        <f t="array" ref="L1347">IF(J1347&gt;=3,_xlfn.XLOOKUP(A1347,'외운 것 - 엑셀다운로드 파일(붙여넣기)'!A3:A562,'외운 것 - 엑셀다운로드 파일(붙여넣기)'!C3:C562,0,-1),0)</f>
        <v>0</v>
      </c>
    </row>
    <row r="1348" ht="23.45" customHeight="1">
      <c r="A1348" s="3">
        <v>1347</v>
      </c>
      <c r="B1348" t="s" s="4">
        <v>8551</v>
      </c>
      <c r="C1348" t="s" s="5">
        <v>8531</v>
      </c>
      <c r="D1348" t="s" s="5">
        <v>8532</v>
      </c>
      <c r="E1348" t="s" s="5">
        <v>8552</v>
      </c>
      <c r="F1348" t="s" s="10">
        <v>8553</v>
      </c>
      <c r="G1348" t="s" s="7">
        <v>8554</v>
      </c>
      <c r="H1348" t="s" s="7">
        <v>8555</v>
      </c>
      <c r="I1348" t="str" s="8" cm="1">
        <f t="array" ref="I1348">SUBSTITUTE(H1348,B1348,"(          )")</f>
        <v>The judge (          )ed the case due to lack of evidence.</v>
      </c>
      <c r="J1348" s="9" cm="1">
        <f t="array" ref="J1348">SUMIF('외운 것 - 엑셀다운로드 파일(붙여넣기)'!A3:A562,A1348,'외운 것 - 엑셀다운로드 파일(붙여넣기)'!D3:D562)</f>
        <v>0</v>
      </c>
      <c r="K1348" s="9" cm="1">
        <f t="array" ref="K1348">_xlfn.COUNTIFS('외운 것 - 엑셀다운로드 파일(붙여넣기)'!A3:A562,A1348,'외운 것 - 엑셀다운로드 파일(붙여넣기)'!D3:D562,0)</f>
        <v>0</v>
      </c>
      <c r="L1348" s="9" cm="1">
        <f t="array" ref="L1348">IF(J1348&gt;=3,_xlfn.XLOOKUP(A1348,'외운 것 - 엑셀다운로드 파일(붙여넣기)'!A3:A562,'외운 것 - 엑셀다운로드 파일(붙여넣기)'!C3:C562,0,-1),0)</f>
        <v>0</v>
      </c>
    </row>
    <row r="1349" ht="36.4" customHeight="1">
      <c r="A1349" s="3">
        <v>1348</v>
      </c>
      <c r="B1349" t="s" s="4">
        <v>8557</v>
      </c>
      <c r="C1349" t="s" s="5">
        <v>8558</v>
      </c>
      <c r="D1349" t="s" s="5">
        <v>8532</v>
      </c>
      <c r="E1349" t="s" s="5">
        <v>8559</v>
      </c>
      <c r="F1349" t="s" s="10">
        <v>8560</v>
      </c>
      <c r="G1349" t="s" s="7">
        <v>8561</v>
      </c>
      <c r="H1349" t="s" s="7">
        <v>8562</v>
      </c>
      <c r="I1349" t="str" s="8" cm="1">
        <f t="array" ref="I1349">SUBSTITUTE(H1349,B1349,"(          )")</f>
        <v>I left a (          ) on your answering machine.</v>
      </c>
      <c r="J1349" s="9" cm="1">
        <f t="array" ref="J1349">SUMIF('외운 것 - 엑셀다운로드 파일(붙여넣기)'!A3:A562,A1349,'외운 것 - 엑셀다운로드 파일(붙여넣기)'!D3:D562)</f>
        <v>0</v>
      </c>
      <c r="K1349" s="9" cm="1">
        <f t="array" ref="K1349">_xlfn.COUNTIFS('외운 것 - 엑셀다운로드 파일(붙여넣기)'!A3:A562,A1349,'외운 것 - 엑셀다운로드 파일(붙여넣기)'!D3:D562,0)</f>
        <v>0</v>
      </c>
      <c r="L1349" s="9" cm="1">
        <f t="array" ref="L1349">IF(J1349&gt;=3,_xlfn.XLOOKUP(A1349,'외운 것 - 엑셀다운로드 파일(붙여넣기)'!A3:A562,'외운 것 - 엑셀다운로드 파일(붙여넣기)'!C3:C562,0,-1),0)</f>
        <v>0</v>
      </c>
    </row>
    <row r="1350" ht="23.45" customHeight="1">
      <c r="A1350" s="3">
        <v>1349</v>
      </c>
      <c r="B1350" t="s" s="4">
        <v>8564</v>
      </c>
      <c r="C1350" t="s" s="5">
        <v>8565</v>
      </c>
      <c r="D1350" t="s" s="5">
        <v>8566</v>
      </c>
      <c r="E1350" t="s" s="5">
        <v>8567</v>
      </c>
      <c r="F1350" t="s" s="10">
        <v>8568</v>
      </c>
      <c r="G1350" t="s" s="7">
        <v>8569</v>
      </c>
      <c r="H1350" t="s" s="7">
        <v>8570</v>
      </c>
      <c r="I1350" t="str" s="8" cm="1">
        <f t="array" ref="I1350">SUBSTITUTE(H1350,B1350,"(          )")</f>
        <v>I (          ) to return the book tomorrow.</v>
      </c>
      <c r="J1350" s="9" cm="1">
        <f t="array" ref="J1350">SUMIF('외운 것 - 엑셀다운로드 파일(붙여넣기)'!A3:A562,A1350,'외운 것 - 엑셀다운로드 파일(붙여넣기)'!D3:D562)</f>
        <v>0</v>
      </c>
      <c r="K1350" s="9" cm="1">
        <f t="array" ref="K1350">_xlfn.COUNTIFS('외운 것 - 엑셀다운로드 파일(붙여넣기)'!A3:A562,A1350,'외운 것 - 엑셀다운로드 파일(붙여넣기)'!D3:D562,0)</f>
        <v>0</v>
      </c>
      <c r="L1350" s="9" cm="1">
        <f t="array" ref="L1350">IF(J1350&gt;=3,_xlfn.XLOOKUP(A1350,'외운 것 - 엑셀다운로드 파일(붙여넣기)'!A3:A562,'외운 것 - 엑셀다운로드 파일(붙여넣기)'!C3:C562,0,-1),0)</f>
        <v>0</v>
      </c>
    </row>
    <row r="1351" ht="36.4" customHeight="1">
      <c r="A1351" s="3">
        <v>1350</v>
      </c>
      <c r="B1351" t="s" s="4">
        <v>8572</v>
      </c>
      <c r="C1351" t="s" s="5">
        <v>8573</v>
      </c>
      <c r="D1351" t="s" s="5">
        <v>8566</v>
      </c>
      <c r="E1351" t="s" s="5">
        <v>8574</v>
      </c>
      <c r="F1351" t="s" s="10">
        <v>8575</v>
      </c>
      <c r="G1351" t="s" s="7">
        <v>8576</v>
      </c>
      <c r="H1351" t="s" s="7">
        <v>8577</v>
      </c>
      <c r="I1351" t="str" s="8" cm="1">
        <f t="array" ref="I1351">SUBSTITUTE(H1351,B1351,"(          )")</f>
        <v>Both sides made a (          ) to end the dispute.</v>
      </c>
      <c r="J1351" s="9" cm="1">
        <f t="array" ref="J1351">SUMIF('외운 것 - 엑셀다운로드 파일(붙여넣기)'!A3:A562,A1351,'외운 것 - 엑셀다운로드 파일(붙여넣기)'!D3:D562)</f>
        <v>0</v>
      </c>
      <c r="K1351" s="9" cm="1">
        <f t="array" ref="K1351">_xlfn.COUNTIFS('외운 것 - 엑셀다운로드 파일(붙여넣기)'!A3:A562,A1351,'외운 것 - 엑셀다운로드 파일(붙여넣기)'!D3:D562,0)</f>
        <v>0</v>
      </c>
      <c r="L1351" s="9" cm="1">
        <f t="array" ref="L1351">IF(J1351&gt;=3,_xlfn.XLOOKUP(A1351,'외운 것 - 엑셀다운로드 파일(붙여넣기)'!A3:A562,'외운 것 - 엑셀다운로드 파일(붙여넣기)'!C3:C562,0,-1),0)</f>
        <v>0</v>
      </c>
    </row>
    <row r="1352" ht="36.4" customHeight="1">
      <c r="A1352" s="3">
        <v>1351</v>
      </c>
      <c r="B1352" t="s" s="4">
        <v>8579</v>
      </c>
      <c r="C1352" t="s" s="5">
        <v>8573</v>
      </c>
      <c r="D1352" t="s" s="5">
        <v>8566</v>
      </c>
      <c r="E1352" t="s" s="5">
        <v>8580</v>
      </c>
      <c r="F1352" t="s" s="10">
        <v>8581</v>
      </c>
      <c r="G1352" t="s" s="7">
        <v>8582</v>
      </c>
      <c r="H1352" t="s" s="7">
        <v>8583</v>
      </c>
      <c r="I1352" t="str" s="8" cm="1">
        <f t="array" ref="I1352">SUBSTITUTE(H1352,B1352,"(          )")</f>
        <v>The young athlete shows (          ) talent.</v>
      </c>
      <c r="J1352" s="9" cm="1">
        <f t="array" ref="J1352">SUMIF('외운 것 - 엑셀다운로드 파일(붙여넣기)'!A3:A562,A1352,'외운 것 - 엑셀다운로드 파일(붙여넣기)'!D3:D562)</f>
        <v>0</v>
      </c>
      <c r="K1352" s="9" cm="1">
        <f t="array" ref="K1352">_xlfn.COUNTIFS('외운 것 - 엑셀다운로드 파일(붙여넣기)'!A3:A562,A1352,'외운 것 - 엑셀다운로드 파일(붙여넣기)'!D3:D562,0)</f>
        <v>0</v>
      </c>
      <c r="L1352" s="9" cm="1">
        <f t="array" ref="L1352">IF(J1352&gt;=3,_xlfn.XLOOKUP(A1352,'외운 것 - 엑셀다운로드 파일(붙여넣기)'!A3:A562,'외운 것 - 엑셀다운로드 파일(붙여넣기)'!C3:C562,0,-1),0)</f>
        <v>0</v>
      </c>
    </row>
    <row r="1353" ht="23.45" customHeight="1">
      <c r="A1353" s="3">
        <v>1352</v>
      </c>
      <c r="B1353" t="s" s="4">
        <v>8585</v>
      </c>
      <c r="C1353" t="s" s="5">
        <v>8565</v>
      </c>
      <c r="D1353" t="s" s="5">
        <v>8566</v>
      </c>
      <c r="E1353" t="s" s="5">
        <v>8586</v>
      </c>
      <c r="F1353" t="s" s="10">
        <v>8587</v>
      </c>
      <c r="G1353" t="s" s="7">
        <v>8588</v>
      </c>
      <c r="H1353" t="s" s="7">
        <v>8589</v>
      </c>
      <c r="I1353" t="str" s="8" cm="1">
        <f t="array" ref="I1353">SUBSTITUTE(H1353,B1353,"(          )")</f>
        <v>The argument is based on a false (          ).</v>
      </c>
      <c r="J1353" s="9" cm="1">
        <f t="array" ref="J1353">SUMIF('외운 것 - 엑셀다운로드 파일(붙여넣기)'!A3:A562,A1353,'외운 것 - 엑셀다운로드 파일(붙여넣기)'!D3:D562)</f>
        <v>0</v>
      </c>
      <c r="K1353" s="9" cm="1">
        <f t="array" ref="K1353">_xlfn.COUNTIFS('외운 것 - 엑셀다운로드 파일(붙여넣기)'!A3:A562,A1353,'외운 것 - 엑셀다운로드 파일(붙여넣기)'!D3:D562,0)</f>
        <v>0</v>
      </c>
      <c r="L1353" s="9" cm="1">
        <f t="array" ref="L1353">IF(J1353&gt;=3,_xlfn.XLOOKUP(A1353,'외운 것 - 엑셀다운로드 파일(붙여넣기)'!A3:A562,'외운 것 - 엑셀다운로드 파일(붙여넣기)'!C3:C562,0,-1),0)</f>
        <v>0</v>
      </c>
    </row>
    <row r="1354" ht="36.4" customHeight="1">
      <c r="A1354" s="3">
        <v>1353</v>
      </c>
      <c r="B1354" t="s" s="4">
        <v>8591</v>
      </c>
      <c r="C1354" t="s" s="5">
        <v>8592</v>
      </c>
      <c r="D1354" t="s" s="5">
        <v>8566</v>
      </c>
      <c r="E1354" t="s" s="5">
        <v>8593</v>
      </c>
      <c r="F1354" t="s" s="10">
        <v>8594</v>
      </c>
      <c r="G1354" t="s" s="7">
        <v>8595</v>
      </c>
      <c r="H1354" t="s" s="7">
        <v>8596</v>
      </c>
      <c r="I1354" t="str" s="8" cm="1">
        <f t="array" ref="I1354">SUBSTITUTE(H1354,B1354,"(          )")</f>
        <v>Smoking is not allowed on these (          ).</v>
      </c>
      <c r="J1354" s="9" cm="1">
        <f t="array" ref="J1354">SUMIF('외운 것 - 엑셀다운로드 파일(붙여넣기)'!A3:A562,A1354,'외운 것 - 엑셀다운로드 파일(붙여넣기)'!D3:D562)</f>
        <v>0</v>
      </c>
      <c r="K1354" s="9" cm="1">
        <f t="array" ref="K1354">_xlfn.COUNTIFS('외운 것 - 엑셀다운로드 파일(붙여넣기)'!A3:A562,A1354,'외운 것 - 엑셀다운로드 파일(붙여넣기)'!D3:D562,0)</f>
        <v>0</v>
      </c>
      <c r="L1354" s="9" cm="1">
        <f t="array" ref="L1354">IF(J1354&gt;=3,_xlfn.XLOOKUP(A1354,'외운 것 - 엑셀다운로드 파일(붙여넣기)'!A3:A562,'외운 것 - 엑셀다운로드 파일(붙여넣기)'!C3:C562,0,-1),0)</f>
        <v>0</v>
      </c>
    </row>
    <row r="1355" ht="23.45" customHeight="1">
      <c r="A1355" s="3">
        <v>1354</v>
      </c>
      <c r="B1355" t="s" s="4">
        <v>8598</v>
      </c>
      <c r="C1355" t="s" s="5">
        <v>8599</v>
      </c>
      <c r="D1355" t="s" s="5">
        <v>8600</v>
      </c>
      <c r="E1355" t="s" s="5">
        <v>8601</v>
      </c>
      <c r="F1355" t="s" s="10">
        <v>8602</v>
      </c>
      <c r="G1355" t="s" s="7">
        <v>8603</v>
      </c>
      <c r="H1355" t="s" s="7">
        <v>8604</v>
      </c>
      <c r="I1355" t="str" s="8" cm="1">
        <f t="array" ref="I1355">SUBSTITUTE(H1355,B1355,"(          )")</f>
        <v>The boat (          ) needs repair.</v>
      </c>
      <c r="J1355" s="9" cm="1">
        <f t="array" ref="J1355">SUMIF('외운 것 - 엑셀다운로드 파일(붙여넣기)'!A3:A562,A1355,'외운 것 - 엑셀다운로드 파일(붙여넣기)'!D3:D562)</f>
        <v>0</v>
      </c>
      <c r="K1355" s="9" cm="1">
        <f t="array" ref="K1355">_xlfn.COUNTIFS('외운 것 - 엑셀다운로드 파일(붙여넣기)'!A3:A562,A1355,'외운 것 - 엑셀다운로드 파일(붙여넣기)'!D3:D562,0)</f>
        <v>0</v>
      </c>
      <c r="L1355" s="9" cm="1">
        <f t="array" ref="L1355">IF(J1355&gt;=3,_xlfn.XLOOKUP(A1355,'외운 것 - 엑셀다운로드 파일(붙여넣기)'!A3:A562,'외운 것 - 엑셀다운로드 파일(붙여넣기)'!C3:C562,0,-1),0)</f>
        <v>0</v>
      </c>
    </row>
    <row r="1356" ht="38.45" customHeight="1">
      <c r="A1356" s="3">
        <v>1355</v>
      </c>
      <c r="B1356" t="s" s="4">
        <v>8606</v>
      </c>
      <c r="C1356" t="s" s="5">
        <v>8607</v>
      </c>
      <c r="D1356" t="s" s="5">
        <v>8599</v>
      </c>
      <c r="E1356" t="s" s="5">
        <v>8608</v>
      </c>
      <c r="F1356" t="s" s="10">
        <v>8609</v>
      </c>
      <c r="G1356" t="s" s="7">
        <v>8610</v>
      </c>
      <c r="H1356" t="s" s="7">
        <v>8611</v>
      </c>
      <c r="I1356" t="str" s="8" cm="1">
        <f t="array" ref="I1356">SUBSTITUTE(H1356,B1356,"(          )")</f>
        <v>He rides a (          ) to work every day.</v>
      </c>
      <c r="J1356" s="9" cm="1">
        <f t="array" ref="J1356">SUMIF('외운 것 - 엑셀다운로드 파일(붙여넣기)'!A3:A562,A1356,'외운 것 - 엑셀다운로드 파일(붙여넣기)'!D3:D562)</f>
        <v>0</v>
      </c>
      <c r="K1356" s="9" cm="1">
        <f t="array" ref="K1356">_xlfn.COUNTIFS('외운 것 - 엑셀다운로드 파일(붙여넣기)'!A3:A562,A1356,'외운 것 - 엑셀다운로드 파일(붙여넣기)'!D3:D562,0)</f>
        <v>0</v>
      </c>
      <c r="L1356" s="9" cm="1">
        <f t="array" ref="L1356">IF(J1356&gt;=3,_xlfn.XLOOKUP(A1356,'외운 것 - 엑셀다운로드 파일(붙여넣기)'!A3:A562,'외운 것 - 엑셀다운로드 파일(붙여넣기)'!C3:C562,0,-1),0)</f>
        <v>0</v>
      </c>
    </row>
    <row r="1357" ht="23.45" customHeight="1">
      <c r="A1357" s="3">
        <v>1356</v>
      </c>
      <c r="B1357" t="s" s="4">
        <v>8613</v>
      </c>
      <c r="C1357" t="s" s="5">
        <v>8599</v>
      </c>
      <c r="D1357" t="s" s="5">
        <v>8600</v>
      </c>
      <c r="E1357" t="s" s="5">
        <v>8614</v>
      </c>
      <c r="F1357" t="s" s="10">
        <v>8615</v>
      </c>
      <c r="G1357" t="s" s="7">
        <v>8616</v>
      </c>
      <c r="H1357" t="s" s="7">
        <v>8617</v>
      </c>
      <c r="I1357" t="str" s="8" cm="1">
        <f t="array" ref="I1357">SUBSTITUTE(H1357,B1357,"(          )")</f>
        <v>The planet's (          ) around the sun creates seasons.</v>
      </c>
      <c r="J1357" s="9" cm="1">
        <f t="array" ref="J1357">SUMIF('외운 것 - 엑셀다운로드 파일(붙여넣기)'!A3:A562,A1357,'외운 것 - 엑셀다운로드 파일(붙여넣기)'!D3:D562)</f>
        <v>0</v>
      </c>
      <c r="K1357" s="9" cm="1">
        <f t="array" ref="K1357">_xlfn.COUNTIFS('외운 것 - 엑셀다운로드 파일(붙여넣기)'!A3:A562,A1357,'외운 것 - 엑셀다운로드 파일(붙여넣기)'!D3:D562,0)</f>
        <v>0</v>
      </c>
      <c r="L1357" s="9" cm="1">
        <f t="array" ref="L1357">IF(J1357&gt;=3,_xlfn.XLOOKUP(A1357,'외운 것 - 엑셀다운로드 파일(붙여넣기)'!A3:A562,'외운 것 - 엑셀다운로드 파일(붙여넣기)'!C3:C562,0,-1),0)</f>
        <v>0</v>
      </c>
    </row>
    <row r="1358" ht="36.4" customHeight="1">
      <c r="A1358" s="3">
        <v>1357</v>
      </c>
      <c r="B1358" t="s" s="4">
        <v>8619</v>
      </c>
      <c r="C1358" t="s" s="5">
        <v>8620</v>
      </c>
      <c r="D1358" t="s" s="5">
        <v>8599</v>
      </c>
      <c r="E1358" t="s" s="5">
        <v>8621</v>
      </c>
      <c r="F1358" t="s" s="10">
        <v>8622</v>
      </c>
      <c r="G1358" t="s" s="7">
        <v>8623</v>
      </c>
      <c r="H1358" t="s" s="7">
        <v>8624</v>
      </c>
      <c r="I1358" t="str" s="8" cm="1">
        <f t="array" ref="I1358">SUBSTITUTE(H1358,B1358,"(          )")</f>
        <v>The hunter stood (          ) to avoid scaring the deer.</v>
      </c>
      <c r="J1358" s="9" cm="1">
        <f t="array" ref="J1358">SUMIF('외운 것 - 엑셀다운로드 파일(붙여넣기)'!A3:A562,A1358,'외운 것 - 엑셀다운로드 파일(붙여넣기)'!D3:D562)</f>
        <v>0</v>
      </c>
      <c r="K1358" s="9" cm="1">
        <f t="array" ref="K1358">_xlfn.COUNTIFS('외운 것 - 엑셀다운로드 파일(붙여넣기)'!A3:A562,A1358,'외운 것 - 엑셀다운로드 파일(붙여넣기)'!D3:D562,0)</f>
        <v>0</v>
      </c>
      <c r="L1358" s="9" cm="1">
        <f t="array" ref="L1358">IF(J1358&gt;=3,_xlfn.XLOOKUP(A1358,'외운 것 - 엑셀다운로드 파일(붙여넣기)'!A3:A562,'외운 것 - 엑셀다운로드 파일(붙여넣기)'!C3:C562,0,-1),0)</f>
        <v>0</v>
      </c>
    </row>
    <row r="1359" ht="38.45" customHeight="1">
      <c r="A1359" s="3">
        <v>1358</v>
      </c>
      <c r="B1359" t="s" s="4">
        <v>8626</v>
      </c>
      <c r="C1359" t="s" s="5">
        <v>8620</v>
      </c>
      <c r="D1359" t="s" s="5">
        <v>8599</v>
      </c>
      <c r="E1359" t="s" s="5">
        <v>8627</v>
      </c>
      <c r="F1359" t="s" s="10">
        <v>8628</v>
      </c>
      <c r="G1359" t="s" s="7">
        <v>8629</v>
      </c>
      <c r="H1359" t="s" s="7">
        <v>8630</v>
      </c>
      <c r="I1359" t="str" s="8" cm="1">
        <f t="array" ref="I1359">SUBSTITUTE(H1359,B1359,"(          )")</f>
        <v>Fear is a powerful (          ).</v>
      </c>
      <c r="J1359" s="9" cm="1">
        <f t="array" ref="J1359">SUMIF('외운 것 - 엑셀다운로드 파일(붙여넣기)'!A3:A562,A1359,'외운 것 - 엑셀다운로드 파일(붙여넣기)'!D3:D562)</f>
        <v>0</v>
      </c>
      <c r="K1359" s="9" cm="1">
        <f t="array" ref="K1359">_xlfn.COUNTIFS('외운 것 - 엑셀다운로드 파일(붙여넣기)'!A3:A562,A1359,'외운 것 - 엑셀다운로드 파일(붙여넣기)'!D3:D562,0)</f>
        <v>0</v>
      </c>
      <c r="L1359" s="9" cm="1">
        <f t="array" ref="L1359">IF(J1359&gt;=3,_xlfn.XLOOKUP(A1359,'외운 것 - 엑셀다운로드 파일(붙여넣기)'!A3:A562,'외운 것 - 엑셀다운로드 파일(붙여넣기)'!C3:C562,0,-1),0)</f>
        <v>0</v>
      </c>
    </row>
    <row r="1360" ht="38.45" customHeight="1">
      <c r="A1360" s="3">
        <v>1359</v>
      </c>
      <c r="B1360" t="s" s="4">
        <v>8632</v>
      </c>
      <c r="C1360" t="s" s="5">
        <v>8599</v>
      </c>
      <c r="D1360" t="s" s="5">
        <v>8600</v>
      </c>
      <c r="E1360" t="s" s="5">
        <v>8633</v>
      </c>
      <c r="F1360" t="s" s="10">
        <v>8634</v>
      </c>
      <c r="G1360" t="s" s="7">
        <v>8635</v>
      </c>
      <c r="H1360" t="s" s="7">
        <v>8636</v>
      </c>
      <c r="I1360" t="str" s="8" cm="1">
        <f t="array" ref="I1360">SUBSTITUTE(H1360,B1360,"(          )")</f>
        <v>Police are investigating the (          ) for the crime.</v>
      </c>
      <c r="J1360" s="9" cm="1">
        <f t="array" ref="J1360">SUMIF('외운 것 - 엑셀다운로드 파일(붙여넣기)'!A3:A562,A1360,'외운 것 - 엑셀다운로드 파일(붙여넣기)'!D3:D562)</f>
        <v>0</v>
      </c>
      <c r="K1360" s="9" cm="1">
        <f t="array" ref="K1360">_xlfn.COUNTIFS('외운 것 - 엑셀다운로드 파일(붙여넣기)'!A3:A562,A1360,'외운 것 - 엑셀다운로드 파일(붙여넣기)'!D3:D562,0)</f>
        <v>0</v>
      </c>
      <c r="L1360" s="9" cm="1">
        <f t="array" ref="L1360">IF(J1360&gt;=3,_xlfn.XLOOKUP(A1360,'외운 것 - 엑셀다운로드 파일(붙여넣기)'!A3:A562,'외운 것 - 엑셀다운로드 파일(붙여넣기)'!C3:C562,0,-1),0)</f>
        <v>0</v>
      </c>
    </row>
    <row r="1361" ht="36.4" customHeight="1">
      <c r="A1361" s="3">
        <v>1360</v>
      </c>
      <c r="B1361" t="s" s="4">
        <v>8638</v>
      </c>
      <c r="C1361" t="s" s="5">
        <v>8639</v>
      </c>
      <c r="D1361" t="s" s="5">
        <v>8599</v>
      </c>
      <c r="E1361" t="s" s="5">
        <v>8640</v>
      </c>
      <c r="F1361" t="s" s="10">
        <v>8641</v>
      </c>
      <c r="G1361" t="s" s="7">
        <v>8642</v>
      </c>
      <c r="H1361" t="s" s="7">
        <v>8643</v>
      </c>
      <c r="I1361" t="str" s="8" cm="1">
        <f t="array" ref="I1361">SUBSTITUTE(H1361,B1361,"(          )")</f>
        <v>Good leaders (          ) their team members.</v>
      </c>
      <c r="J1361" s="9" cm="1">
        <f t="array" ref="J1361">SUMIF('외운 것 - 엑셀다운로드 파일(붙여넣기)'!A3:A562,A1361,'외운 것 - 엑셀다운로드 파일(붙여넣기)'!D3:D562)</f>
        <v>0</v>
      </c>
      <c r="K1361" s="9" cm="1">
        <f t="array" ref="K1361">_xlfn.COUNTIFS('외운 것 - 엑셀다운로드 파일(붙여넣기)'!A3:A562,A1361,'외운 것 - 엑셀다운로드 파일(붙여넣기)'!D3:D562,0)</f>
        <v>0</v>
      </c>
      <c r="L1361" s="9" cm="1">
        <f t="array" ref="L1361">IF(J1361&gt;=3,_xlfn.XLOOKUP(A1361,'외운 것 - 엑셀다운로드 파일(붙여넣기)'!A3:A562,'외운 것 - 엑셀다운로드 파일(붙여넣기)'!C3:C562,0,-1),0)</f>
        <v>0</v>
      </c>
    </row>
    <row r="1362" ht="38.45" customHeight="1">
      <c r="A1362" s="3">
        <v>1361</v>
      </c>
      <c r="B1362" t="s" s="4">
        <v>8645</v>
      </c>
      <c r="C1362" t="s" s="5">
        <v>8599</v>
      </c>
      <c r="D1362" t="s" s="5">
        <v>8600</v>
      </c>
      <c r="E1362" t="s" s="5">
        <v>8646</v>
      </c>
      <c r="F1362" t="s" s="10">
        <v>8647</v>
      </c>
      <c r="G1362" t="s" s="7">
        <v>8648</v>
      </c>
      <c r="H1362" t="s" s="7">
        <v>8649</v>
      </c>
      <c r="I1362" t="str" s="8" cm="1">
        <f t="array" ref="I1362">SUBSTITUTE(H1362,B1362,"(          )")</f>
        <v>The company will (          ) three employees to management.</v>
      </c>
      <c r="J1362" s="9" cm="1">
        <f t="array" ref="J1362">SUMIF('외운 것 - 엑셀다운로드 파일(붙여넣기)'!A3:A562,A1362,'외운 것 - 엑셀다운로드 파일(붙여넣기)'!D3:D562)</f>
        <v>0</v>
      </c>
      <c r="K1362" s="9" cm="1">
        <f t="array" ref="K1362">_xlfn.COUNTIFS('외운 것 - 엑셀다운로드 파일(붙여넣기)'!A3:A562,A1362,'외운 것 - 엑셀다운로드 파일(붙여넣기)'!D3:D562,0)</f>
        <v>0</v>
      </c>
      <c r="L1362" s="9" cm="1">
        <f t="array" ref="L1362">IF(J1362&gt;=3,_xlfn.XLOOKUP(A1362,'외운 것 - 엑셀다운로드 파일(붙여넣기)'!A3:A562,'외운 것 - 엑셀다운로드 파일(붙여넣기)'!C3:C562,0,-1),0)</f>
        <v>0</v>
      </c>
    </row>
    <row r="1363" ht="23.45" customHeight="1">
      <c r="A1363" s="3">
        <v>1362</v>
      </c>
      <c r="B1363" t="s" s="4">
        <v>8651</v>
      </c>
      <c r="C1363" t="s" s="5">
        <v>8599</v>
      </c>
      <c r="D1363" t="s" s="5">
        <v>8600</v>
      </c>
      <c r="E1363" t="s" s="5">
        <v>8652</v>
      </c>
      <c r="F1363" t="s" s="10">
        <v>8653</v>
      </c>
      <c r="G1363" t="s" s="7">
        <v>8654</v>
      </c>
      <c r="H1363" t="s" s="7">
        <v>8655</v>
      </c>
      <c r="I1363" t="str" s="8" cm="1">
        <f t="array" ref="I1363">SUBSTITUTE(H1363,B1363,"(          )")</f>
        <v>They live in a (          ) village in the mountains.</v>
      </c>
      <c r="J1363" s="9" cm="1">
        <f t="array" ref="J1363">SUMIF('외운 것 - 엑셀다운로드 파일(붙여넣기)'!A3:A562,A1363,'외운 것 - 엑셀다운로드 파일(붙여넣기)'!D3:D562)</f>
        <v>0</v>
      </c>
      <c r="K1363" s="9" cm="1">
        <f t="array" ref="K1363">_xlfn.COUNTIFS('외운 것 - 엑셀다운로드 파일(붙여넣기)'!A3:A562,A1363,'외운 것 - 엑셀다운로드 파일(붙여넣기)'!D3:D562,0)</f>
        <v>0</v>
      </c>
      <c r="L1363" s="9" cm="1">
        <f t="array" ref="L1363">IF(J1363&gt;=3,_xlfn.XLOOKUP(A1363,'외운 것 - 엑셀다운로드 파일(붙여넣기)'!A3:A562,'외운 것 - 엑셀다운로드 파일(붙여넣기)'!C3:C562,0,-1),0)</f>
        <v>0</v>
      </c>
    </row>
    <row r="1364" ht="23.45" customHeight="1">
      <c r="A1364" s="3">
        <v>1363</v>
      </c>
      <c r="B1364" t="s" s="4">
        <v>8657</v>
      </c>
      <c r="C1364" t="s" s="5">
        <v>8658</v>
      </c>
      <c r="D1364" t="s" s="5">
        <v>8659</v>
      </c>
      <c r="E1364" t="s" s="5">
        <v>8660</v>
      </c>
      <c r="F1364" t="s" s="10">
        <v>8661</v>
      </c>
      <c r="G1364" t="s" s="7">
        <v>8662</v>
      </c>
      <c r="H1364" t="s" s="7">
        <v>8663</v>
      </c>
      <c r="I1364" t="str" s="8" cm="1">
        <f t="array" ref="I1364">SUBSTITUTE(H1364,B1364,"(          )")</f>
        <v>His ideas have become (          ) in recent years.</v>
      </c>
      <c r="J1364" s="9" cm="1">
        <f t="array" ref="J1364">SUMIF('외운 것 - 엑셀다운로드 파일(붙여넣기)'!A3:A562,A1364,'외운 것 - 엑셀다운로드 파일(붙여넣기)'!D3:D562)</f>
        <v>0</v>
      </c>
      <c r="K1364" s="9" cm="1">
        <f t="array" ref="K1364">_xlfn.COUNTIFS('외운 것 - 엑셀다운로드 파일(붙여넣기)'!A3:A562,A1364,'외운 것 - 엑셀다운로드 파일(붙여넣기)'!D3:D562,0)</f>
        <v>0</v>
      </c>
      <c r="L1364" s="9" cm="1">
        <f t="array" ref="L1364">IF(J1364&gt;=3,_xlfn.XLOOKUP(A1364,'외운 것 - 엑셀다운로드 파일(붙여넣기)'!A3:A562,'외운 것 - 엑셀다운로드 파일(붙여넣기)'!C3:C562,0,-1),0)</f>
        <v>0</v>
      </c>
    </row>
    <row r="1365" ht="38.45" customHeight="1">
      <c r="A1365" s="3">
        <v>1364</v>
      </c>
      <c r="B1365" t="s" s="4">
        <v>8665</v>
      </c>
      <c r="C1365" t="s" s="5">
        <v>8658</v>
      </c>
      <c r="D1365" t="s" s="5">
        <v>8659</v>
      </c>
      <c r="E1365" t="s" s="5">
        <v>8666</v>
      </c>
      <c r="F1365" t="s" s="10">
        <v>8667</v>
      </c>
      <c r="G1365" t="s" s="7">
        <v>8668</v>
      </c>
      <c r="H1365" t="s" s="7">
        <v>8669</v>
      </c>
      <c r="I1365" t="str" s="8" cm="1">
        <f t="array" ref="I1365">SUBSTITUTE(H1365,B1365,"(          )")</f>
        <v>Large companies use (          ) computers for critical operations.</v>
      </c>
      <c r="J1365" s="9" cm="1">
        <f t="array" ref="J1365">SUMIF('외운 것 - 엑셀다운로드 파일(붙여넣기)'!A3:A562,A1365,'외운 것 - 엑셀다운로드 파일(붙여넣기)'!D3:D562)</f>
        <v>0</v>
      </c>
      <c r="K1365" s="9" cm="1">
        <f t="array" ref="K1365">_xlfn.COUNTIFS('외운 것 - 엑셀다운로드 파일(붙여넣기)'!A3:A562,A1365,'외운 것 - 엑셀다운로드 파일(붙여넣기)'!D3:D562,0)</f>
        <v>0</v>
      </c>
      <c r="L1365" s="9" cm="1">
        <f t="array" ref="L1365">IF(J1365&gt;=3,_xlfn.XLOOKUP(A1365,'외운 것 - 엑셀다운로드 파일(붙여넣기)'!A3:A562,'외운 것 - 엑셀다운로드 파일(붙여넣기)'!C3:C562,0,-1),0)</f>
        <v>0</v>
      </c>
    </row>
    <row r="1366" ht="23.45" customHeight="1">
      <c r="A1366" s="3">
        <v>1365</v>
      </c>
      <c r="B1366" t="s" s="4">
        <v>8671</v>
      </c>
      <c r="C1366" t="s" s="5">
        <v>8658</v>
      </c>
      <c r="D1366" t="s" s="5">
        <v>8659</v>
      </c>
      <c r="E1366" t="s" s="5">
        <v>8672</v>
      </c>
      <c r="F1366" t="s" s="10">
        <v>8673</v>
      </c>
      <c r="G1366" t="s" s="7">
        <v>8674</v>
      </c>
      <c r="H1366" t="s" s="7">
        <v>8675</v>
      </c>
      <c r="I1366" t="str" s="8" cm="1">
        <f t="array" ref="I1366">SUBSTITUTE(H1366,B1366,"(          )")</f>
        <v>Regular exercise helps (          ) good health.</v>
      </c>
      <c r="J1366" s="9" cm="1">
        <f t="array" ref="J1366">SUMIF('외운 것 - 엑셀다운로드 파일(붙여넣기)'!A3:A562,A1366,'외운 것 - 엑셀다운로드 파일(붙여넣기)'!D3:D562)</f>
        <v>0</v>
      </c>
      <c r="K1366" s="9" cm="1">
        <f t="array" ref="K1366">_xlfn.COUNTIFS('외운 것 - 엑셀다운로드 파일(붙여넣기)'!A3:A562,A1366,'외운 것 - 엑셀다운로드 파일(붙여넣기)'!D3:D562,0)</f>
        <v>0</v>
      </c>
      <c r="L1366" s="9" cm="1">
        <f t="array" ref="L1366">IF(J1366&gt;=3,_xlfn.XLOOKUP(A1366,'외운 것 - 엑셀다운로드 파일(붙여넣기)'!A3:A562,'외운 것 - 엑셀다운로드 파일(붙여넣기)'!C3:C562,0,-1),0)</f>
        <v>0</v>
      </c>
    </row>
    <row r="1367" ht="36.4" customHeight="1">
      <c r="A1367" s="3">
        <v>1366</v>
      </c>
      <c r="B1367" t="s" s="4">
        <v>8677</v>
      </c>
      <c r="C1367" t="s" s="5">
        <v>8678</v>
      </c>
      <c r="D1367" t="s" s="5">
        <v>8658</v>
      </c>
      <c r="E1367" t="s" s="5">
        <v>8679</v>
      </c>
      <c r="F1367" t="s" s="10">
        <v>8680</v>
      </c>
      <c r="G1367" t="s" s="7">
        <v>8681</v>
      </c>
      <c r="H1367" t="s" s="7">
        <v>8682</v>
      </c>
      <c r="I1367" t="str" s="8" cm="1">
        <f t="array" ref="I1367">SUBSTITUTE(H1367,B1367,"(          )")</f>
        <v>The building requires regular (          ).</v>
      </c>
      <c r="J1367" s="9" cm="1">
        <f t="array" ref="J1367">SUMIF('외운 것 - 엑셀다운로드 파일(붙여넣기)'!A3:A562,A1367,'외운 것 - 엑셀다운로드 파일(붙여넣기)'!D3:D562)</f>
        <v>0</v>
      </c>
      <c r="K1367" s="9" cm="1">
        <f t="array" ref="K1367">_xlfn.COUNTIFS('외운 것 - 엑셀다운로드 파일(붙여넣기)'!A3:A562,A1367,'외운 것 - 엑셀다운로드 파일(붙여넣기)'!D3:D562,0)</f>
        <v>0</v>
      </c>
      <c r="L1367" s="9" cm="1">
        <f t="array" ref="L1367">IF(J1367&gt;=3,_xlfn.XLOOKUP(A1367,'외운 것 - 엑셀다운로드 파일(붙여넣기)'!A3:A562,'외운 것 - 엑셀다운로드 파일(붙여넣기)'!C3:C562,0,-1),0)</f>
        <v>0</v>
      </c>
    </row>
    <row r="1368" ht="23.45" customHeight="1">
      <c r="A1368" s="3">
        <v>1367</v>
      </c>
      <c r="B1368" t="s" s="4">
        <v>8684</v>
      </c>
      <c r="C1368" t="s" s="5">
        <v>8658</v>
      </c>
      <c r="D1368" t="s" s="5">
        <v>8659</v>
      </c>
      <c r="E1368" t="s" s="5">
        <v>8685</v>
      </c>
      <c r="F1368" t="s" s="10">
        <v>8686</v>
      </c>
      <c r="G1368" t="s" s="7">
        <v>8687</v>
      </c>
      <c r="H1368" t="s" s="7">
        <v>8688</v>
      </c>
      <c r="I1368" t="str" s="8" cm="1">
        <f t="array" ref="I1368">SUBSTITUTE(H1368,B1368,"(          )")</f>
        <v>Please (          ) seated until the plane stops completely.</v>
      </c>
      <c r="J1368" s="9" cm="1">
        <f t="array" ref="J1368">SUMIF('외운 것 - 엑셀다운로드 파일(붙여넣기)'!A3:A562,A1368,'외운 것 - 엑셀다운로드 파일(붙여넣기)'!D3:D562)</f>
        <v>0</v>
      </c>
      <c r="K1368" s="9" cm="1">
        <f t="array" ref="K1368">_xlfn.COUNTIFS('외운 것 - 엑셀다운로드 파일(붙여넣기)'!A3:A562,A1368,'외운 것 - 엑셀다운로드 파일(붙여넣기)'!D3:D562,0)</f>
        <v>0</v>
      </c>
      <c r="L1368" s="9" cm="1">
        <f t="array" ref="L1368">IF(J1368&gt;=3,_xlfn.XLOOKUP(A1368,'외운 것 - 엑셀다운로드 파일(붙여넣기)'!A3:A562,'외운 것 - 엑셀다운로드 파일(붙여넣기)'!C3:C562,0,-1),0)</f>
        <v>0</v>
      </c>
    </row>
    <row r="1369" ht="23.45" customHeight="1">
      <c r="A1369" s="3">
        <v>1368</v>
      </c>
      <c r="B1369" t="s" s="4">
        <v>8690</v>
      </c>
      <c r="C1369" t="s" s="5">
        <v>8691</v>
      </c>
      <c r="D1369" t="s" s="5">
        <v>8692</v>
      </c>
      <c r="E1369" t="s" s="5">
        <v>8693</v>
      </c>
      <c r="F1369" t="s" s="10">
        <v>8694</v>
      </c>
      <c r="G1369" t="s" s="7">
        <v>8695</v>
      </c>
      <c r="H1369" t="s" s="7">
        <v>8696</v>
      </c>
      <c r="I1369" t="str" s="8" cm="1">
        <f t="array" ref="I1369">SUBSTITUTE(H1369,B1369,"(          )")</f>
        <v>Mathematics is her (          ) in college.</v>
      </c>
      <c r="J1369" s="9" cm="1">
        <f t="array" ref="J1369">SUMIF('외운 것 - 엑셀다운로드 파일(붙여넣기)'!A3:A562,A1369,'외운 것 - 엑셀다운로드 파일(붙여넣기)'!D3:D562)</f>
        <v>0</v>
      </c>
      <c r="K1369" s="9" cm="1">
        <f t="array" ref="K1369">_xlfn.COUNTIFS('외운 것 - 엑셀다운로드 파일(붙여넣기)'!A3:A562,A1369,'외운 것 - 엑셀다운로드 파일(붙여넣기)'!D3:D562,0)</f>
        <v>0</v>
      </c>
      <c r="L1369" s="9" cm="1">
        <f t="array" ref="L1369">IF(J1369&gt;=3,_xlfn.XLOOKUP(A1369,'외운 것 - 엑셀다운로드 파일(붙여넣기)'!A3:A562,'외운 것 - 엑셀다운로드 파일(붙여넣기)'!C3:C562,0,-1),0)</f>
        <v>0</v>
      </c>
    </row>
    <row r="1370" ht="23.45" customHeight="1">
      <c r="A1370" s="3">
        <v>1369</v>
      </c>
      <c r="B1370" t="s" s="4">
        <v>8698</v>
      </c>
      <c r="C1370" t="s" s="5">
        <v>8699</v>
      </c>
      <c r="D1370" t="s" s="5">
        <v>8692</v>
      </c>
      <c r="E1370" t="s" s="5">
        <v>8700</v>
      </c>
      <c r="F1370" t="s" s="10">
        <v>8701</v>
      </c>
      <c r="G1370" t="s" s="7">
        <v>8702</v>
      </c>
      <c r="H1370" t="s" s="7">
        <v>8703</v>
      </c>
      <c r="I1370" t="str" s="8" cm="1">
        <f t="array" ref="I1370">SUBSTITUTE(H1370,B1370,"(          )")</f>
        <v>The (          ) of students passed the exam.</v>
      </c>
      <c r="J1370" s="9" cm="1">
        <f t="array" ref="J1370">SUMIF('외운 것 - 엑셀다운로드 파일(붙여넣기)'!A3:A562,A1370,'외운 것 - 엑셀다운로드 파일(붙여넣기)'!D3:D562)</f>
        <v>0</v>
      </c>
      <c r="K1370" s="9" cm="1">
        <f t="array" ref="K1370">_xlfn.COUNTIFS('외운 것 - 엑셀다운로드 파일(붙여넣기)'!A3:A562,A1370,'외운 것 - 엑셀다운로드 파일(붙여넣기)'!D3:D562,0)</f>
        <v>0</v>
      </c>
      <c r="L1370" s="9" cm="1">
        <f t="array" ref="L1370">IF(J1370&gt;=3,_xlfn.XLOOKUP(A1370,'외운 것 - 엑셀다운로드 파일(붙여넣기)'!A3:A562,'외운 것 - 엑셀다운로드 파일(붙여넣기)'!C3:C562,0,-1),0)</f>
        <v>0</v>
      </c>
    </row>
    <row r="1371" ht="38.45" customHeight="1">
      <c r="A1371" s="3">
        <v>1370</v>
      </c>
      <c r="B1371" t="s" s="4">
        <v>8705</v>
      </c>
      <c r="C1371" t="s" s="5">
        <v>8699</v>
      </c>
      <c r="D1371" t="s" s="5">
        <v>8692</v>
      </c>
      <c r="E1371" t="s" s="5">
        <v>8706</v>
      </c>
      <c r="F1371" t="s" s="10">
        <v>8707</v>
      </c>
      <c r="G1371" t="s" s="7">
        <v>8708</v>
      </c>
      <c r="H1371" t="s" s="7">
        <v>8709</v>
      </c>
      <c r="I1371" t="str" s="8" cm="1">
        <f t="array" ref="I1371">SUBSTITUTE(H1371,B1371,"(          )")</f>
        <v>The queen's (          ) impressed all who met her.</v>
      </c>
      <c r="J1371" s="9" cm="1">
        <f t="array" ref="J1371">SUMIF('외운 것 - 엑셀다운로드 파일(붙여넣기)'!A3:A562,A1371,'외운 것 - 엑셀다운로드 파일(붙여넣기)'!D3:D562)</f>
        <v>0</v>
      </c>
      <c r="K1371" s="9" cm="1">
        <f t="array" ref="K1371">_xlfn.COUNTIFS('외운 것 - 엑셀다운로드 파일(붙여넣기)'!A3:A562,A1371,'외운 것 - 엑셀다운로드 파일(붙여넣기)'!D3:D562,0)</f>
        <v>0</v>
      </c>
      <c r="L1371" s="9" cm="1">
        <f t="array" ref="L1371">IF(J1371&gt;=3,_xlfn.XLOOKUP(A1371,'외운 것 - 엑셀다운로드 파일(붙여넣기)'!A3:A562,'외운 것 - 엑셀다운로드 파일(붙여넣기)'!C3:C562,0,-1),0)</f>
        <v>0</v>
      </c>
    </row>
    <row r="1372" ht="38.45" customHeight="1">
      <c r="A1372" s="3">
        <v>1371</v>
      </c>
      <c r="B1372" t="s" s="4">
        <v>8711</v>
      </c>
      <c r="C1372" t="s" s="5">
        <v>8712</v>
      </c>
      <c r="D1372" t="s" s="5">
        <v>8692</v>
      </c>
      <c r="E1372" t="s" s="5">
        <v>8713</v>
      </c>
      <c r="F1372" t="s" s="10">
        <v>8714</v>
      </c>
      <c r="G1372" t="s" s="7">
        <v>8715</v>
      </c>
      <c r="H1372" t="s" s="7">
        <v>8716</v>
      </c>
      <c r="I1372" t="str" s="8" cm="1">
        <f t="array" ref="I1372">SUBSTITUTE(H1372,B1372,"(          )")</f>
        <v>The (          ) announced a new city park project.</v>
      </c>
      <c r="J1372" s="9" cm="1">
        <f t="array" ref="J1372">SUMIF('외운 것 - 엑셀다운로드 파일(붙여넣기)'!A3:A562,A1372,'외운 것 - 엑셀다운로드 파일(붙여넣기)'!D3:D562)</f>
        <v>0</v>
      </c>
      <c r="K1372" s="9" cm="1">
        <f t="array" ref="K1372">_xlfn.COUNTIFS('외운 것 - 엑셀다운로드 파일(붙여넣기)'!A3:A562,A1372,'외운 것 - 엑셀다운로드 파일(붙여넣기)'!D3:D562,0)</f>
        <v>0</v>
      </c>
      <c r="L1372" s="9" cm="1">
        <f t="array" ref="L1372">IF(J1372&gt;=3,_xlfn.XLOOKUP(A1372,'외운 것 - 엑셀다운로드 파일(붙여넣기)'!A3:A562,'외운 것 - 엑셀다운로드 파일(붙여넣기)'!C3:C562,0,-1),0)</f>
        <v>0</v>
      </c>
    </row>
    <row r="1373" ht="38.45" customHeight="1">
      <c r="A1373" s="3">
        <v>1372</v>
      </c>
      <c r="B1373" t="s" s="4">
        <v>5329</v>
      </c>
      <c r="C1373" t="s" s="5">
        <v>8718</v>
      </c>
      <c r="D1373" t="s" s="5">
        <v>8719</v>
      </c>
      <c r="E1373" t="s" s="5">
        <v>5330</v>
      </c>
      <c r="F1373" t="s" s="10">
        <v>8720</v>
      </c>
      <c r="G1373" t="s" s="7">
        <v>8721</v>
      </c>
      <c r="H1373" t="s" s="7">
        <v>5333</v>
      </c>
      <c r="I1373" t="str" s="8" cm="1">
        <f t="array" ref="I1373">SUBSTITUTE(H1373,B1373,"(          )")</f>
        <v>Use a microscope to (          ) tiny organisms.</v>
      </c>
      <c r="J1373" s="9" cm="1">
        <f t="array" ref="J1373">SUMIF('외운 것 - 엑셀다운로드 파일(붙여넣기)'!A3:A562,A1373,'외운 것 - 엑셀다운로드 파일(붙여넣기)'!D3:D562)</f>
        <v>0</v>
      </c>
      <c r="K1373" s="9" cm="1">
        <f t="array" ref="K1373">_xlfn.COUNTIFS('외운 것 - 엑셀다운로드 파일(붙여넣기)'!A3:A562,A1373,'외운 것 - 엑셀다운로드 파일(붙여넣기)'!D3:D562,0)</f>
        <v>0</v>
      </c>
      <c r="L1373" s="9" cm="1">
        <f t="array" ref="L1373">IF(J1373&gt;=3,_xlfn.XLOOKUP(A1373,'외운 것 - 엑셀다운로드 파일(붙여넣기)'!A3:A562,'외운 것 - 엑셀다운로드 파일(붙여넣기)'!C3:C562,0,-1),0)</f>
        <v>0</v>
      </c>
    </row>
    <row r="1374" ht="36.4" customHeight="1">
      <c r="A1374" s="3">
        <v>1373</v>
      </c>
      <c r="B1374" t="s" s="4">
        <v>8722</v>
      </c>
      <c r="C1374" t="s" s="5">
        <v>8723</v>
      </c>
      <c r="D1374" t="s" s="5">
        <v>8718</v>
      </c>
      <c r="E1374" t="s" s="5">
        <v>8724</v>
      </c>
      <c r="F1374" t="s" s="10">
        <v>8725</v>
      </c>
      <c r="G1374" t="s" s="7">
        <v>8726</v>
      </c>
      <c r="H1374" t="s" s="7">
        <v>8727</v>
      </c>
      <c r="I1374" t="str" s="8" cm="1">
        <f t="array" ref="I1374">SUBSTITUTE(H1374,B1374,"(          )")</f>
        <v>The Grand Canyon is a (          ) natural wonder.</v>
      </c>
      <c r="J1374" s="9" cm="1">
        <f t="array" ref="J1374">SUMIF('외운 것 - 엑셀다운로드 파일(붙여넣기)'!A3:A562,A1374,'외운 것 - 엑셀다운로드 파일(붙여넣기)'!D3:D562)</f>
        <v>0</v>
      </c>
      <c r="K1374" s="9" cm="1">
        <f t="array" ref="K1374">_xlfn.COUNTIFS('외운 것 - 엑셀다운로드 파일(붙여넣기)'!A3:A562,A1374,'외운 것 - 엑셀다운로드 파일(붙여넣기)'!D3:D562,0)</f>
        <v>0</v>
      </c>
      <c r="L1374" s="9" cm="1">
        <f t="array" ref="L1374">IF(J1374&gt;=3,_xlfn.XLOOKUP(A1374,'외운 것 - 엑셀다운로드 파일(붙여넣기)'!A3:A562,'외운 것 - 엑셀다운로드 파일(붙여넣기)'!C3:C562,0,-1),0)</f>
        <v>0</v>
      </c>
    </row>
    <row r="1375" ht="38.45" customHeight="1">
      <c r="A1375" s="3">
        <v>1374</v>
      </c>
      <c r="B1375" t="s" s="4">
        <v>8729</v>
      </c>
      <c r="C1375" t="s" s="5">
        <v>8723</v>
      </c>
      <c r="D1375" t="s" s="5">
        <v>8718</v>
      </c>
      <c r="E1375" t="s" s="5">
        <v>8730</v>
      </c>
      <c r="F1375" t="s" s="10">
        <v>8731</v>
      </c>
      <c r="G1375" t="s" s="7">
        <v>8732</v>
      </c>
      <c r="H1375" t="s" s="7">
        <v>8733</v>
      </c>
      <c r="I1375" t="str" s="8" cm="1">
        <f t="array" ref="I1375">SUBSTITUTE(H1375,B1375,"(          )")</f>
        <v>Scientists measure earthquake (          ) on the Richter scale.</v>
      </c>
      <c r="J1375" s="9" cm="1">
        <f t="array" ref="J1375">SUMIF('외운 것 - 엑셀다운로드 파일(붙여넣기)'!A3:A562,A1375,'외운 것 - 엑셀다운로드 파일(붙여넣기)'!D3:D562)</f>
        <v>0</v>
      </c>
      <c r="K1375" s="9" cm="1">
        <f t="array" ref="K1375">_xlfn.COUNTIFS('외운 것 - 엑셀다운로드 파일(붙여넣기)'!A3:A562,A1375,'외운 것 - 엑셀다운로드 파일(붙여넣기)'!D3:D562,0)</f>
        <v>0</v>
      </c>
      <c r="L1375" s="9" cm="1">
        <f t="array" ref="L1375">IF(J1375&gt;=3,_xlfn.XLOOKUP(A1375,'외운 것 - 엑셀다운로드 파일(붙여넣기)'!A3:A562,'외운 것 - 엑셀다운로드 파일(붙여넣기)'!C3:C562,0,-1),0)</f>
        <v>0</v>
      </c>
    </row>
    <row r="1376" ht="38.45" customHeight="1">
      <c r="A1376" s="3">
        <v>1375</v>
      </c>
      <c r="B1376" t="s" s="4">
        <v>8735</v>
      </c>
      <c r="C1376" t="s" s="5">
        <v>8718</v>
      </c>
      <c r="D1376" t="s" s="5">
        <v>8719</v>
      </c>
      <c r="E1376" t="s" s="5">
        <v>8736</v>
      </c>
      <c r="F1376" t="s" s="10">
        <v>8737</v>
      </c>
      <c r="G1376" t="s" s="7">
        <v>8738</v>
      </c>
      <c r="H1376" t="s" s="7">
        <v>8739</v>
      </c>
      <c r="I1376" t="str" s="8" cm="1">
        <f t="array" ref="I1376">SUBSTITUTE(H1376,B1376,"(          )")</f>
        <v>Look before you leap is a common (          ).</v>
      </c>
      <c r="J1376" s="9" cm="1">
        <f t="array" ref="J1376">SUMIF('외운 것 - 엑셀다운로드 파일(붙여넣기)'!A3:A562,A1376,'외운 것 - 엑셀다운로드 파일(붙여넣기)'!D3:D562)</f>
        <v>0</v>
      </c>
      <c r="K1376" s="9" cm="1">
        <f t="array" ref="K1376">_xlfn.COUNTIFS('외운 것 - 엑셀다운로드 파일(붙여넣기)'!A3:A562,A1376,'외운 것 - 엑셀다운로드 파일(붙여넣기)'!D3:D562,0)</f>
        <v>0</v>
      </c>
      <c r="L1376" s="9" cm="1">
        <f t="array" ref="L1376">IF(J1376&gt;=3,_xlfn.XLOOKUP(A1376,'외운 것 - 엑셀다운로드 파일(붙여넣기)'!A3:A562,'외운 것 - 엑셀다운로드 파일(붙여넣기)'!C3:C562,0,-1),0)</f>
        <v>0</v>
      </c>
    </row>
    <row r="1377" ht="38.45" customHeight="1">
      <c r="A1377" s="3">
        <v>1376</v>
      </c>
      <c r="B1377" t="s" s="4">
        <v>8741</v>
      </c>
      <c r="C1377" t="s" s="5">
        <v>8742</v>
      </c>
      <c r="D1377" t="s" s="5">
        <v>8718</v>
      </c>
      <c r="E1377" t="s" s="5">
        <v>8743</v>
      </c>
      <c r="F1377" t="s" s="10">
        <v>8744</v>
      </c>
      <c r="G1377" t="s" s="7">
        <v>8745</v>
      </c>
      <c r="H1377" t="s" s="7">
        <v>8746</v>
      </c>
      <c r="I1377" t="str" s="8" cm="1">
        <f t="array" ref="I1377">SUBSTITUTE(H1377,B1377,"(          )")</f>
        <v>The (          ) capacity of the elevator is eight people.</v>
      </c>
      <c r="J1377" s="9" cm="1">
        <f t="array" ref="J1377">SUMIF('외운 것 - 엑셀다운로드 파일(붙여넣기)'!A3:A562,A1377,'외운 것 - 엑셀다운로드 파일(붙여넣기)'!D3:D562)</f>
        <v>0</v>
      </c>
      <c r="K1377" s="9" cm="1">
        <f t="array" ref="K1377">_xlfn.COUNTIFS('외운 것 - 엑셀다운로드 파일(붙여넣기)'!A3:A562,A1377,'외운 것 - 엑셀다운로드 파일(붙여넣기)'!D3:D562,0)</f>
        <v>0</v>
      </c>
      <c r="L1377" s="9" cm="1">
        <f t="array" ref="L1377">IF(J1377&gt;=3,_xlfn.XLOOKUP(A1377,'외운 것 - 엑셀다운로드 파일(붙여넣기)'!A3:A562,'외운 것 - 엑셀다운로드 파일(붙여넣기)'!C3:C562,0,-1),0)</f>
        <v>0</v>
      </c>
    </row>
    <row r="1378" ht="23.45" customHeight="1">
      <c r="A1378" s="3">
        <v>1377</v>
      </c>
      <c r="B1378" t="s" s="4">
        <v>8748</v>
      </c>
      <c r="C1378" t="s" s="5">
        <v>8749</v>
      </c>
      <c r="D1378" t="s" s="5">
        <v>8718</v>
      </c>
      <c r="E1378" t="s" s="5">
        <v>8750</v>
      </c>
      <c r="F1378" t="s" s="10">
        <v>8751</v>
      </c>
      <c r="G1378" t="s" s="7">
        <v>8752</v>
      </c>
      <c r="H1378" t="s" s="7">
        <v>8753</v>
      </c>
      <c r="I1378" t="str" s="8" cm="1">
        <f t="array" ref="I1378">SUBSTITUTE(H1378,B1378,"(          )")</f>
        <v>The coach used a (          ) to address the team.</v>
      </c>
      <c r="J1378" s="9" cm="1">
        <f t="array" ref="J1378">SUMIF('외운 것 - 엑셀다운로드 파일(붙여넣기)'!A3:A562,A1378,'외운 것 - 엑셀다운로드 파일(붙여넣기)'!D3:D562)</f>
        <v>0</v>
      </c>
      <c r="K1378" s="9" cm="1">
        <f t="array" ref="K1378">_xlfn.COUNTIFS('외운 것 - 엑셀다운로드 파일(붙여넣기)'!A3:A562,A1378,'외운 것 - 엑셀다운로드 파일(붙여넣기)'!D3:D562,0)</f>
        <v>0</v>
      </c>
      <c r="L1378" s="9" cm="1">
        <f t="array" ref="L1378">IF(J1378&gt;=3,_xlfn.XLOOKUP(A1378,'외운 것 - 엑셀다운로드 파일(붙여넣기)'!A3:A562,'외운 것 - 엑셀다운로드 파일(붙여넣기)'!C3:C562,0,-1),0)</f>
        <v>0</v>
      </c>
    </row>
    <row r="1379" ht="23.45" customHeight="1">
      <c r="A1379" s="3">
        <v>1378</v>
      </c>
      <c r="B1379" t="s" s="4">
        <v>8755</v>
      </c>
      <c r="C1379" t="s" s="5">
        <v>8749</v>
      </c>
      <c r="D1379" t="s" s="5">
        <v>8718</v>
      </c>
      <c r="E1379" t="s" s="5">
        <v>8756</v>
      </c>
      <c r="F1379" t="s" s="10">
        <v>8757</v>
      </c>
      <c r="G1379" t="s" s="7">
        <v>8758</v>
      </c>
      <c r="H1379" t="s" s="7">
        <v>8759</v>
      </c>
      <c r="I1379" t="str" s="8" cm="1">
        <f t="array" ref="I1379">SUBSTITUTE(H1379,B1379,"(          )")</f>
        <v>The new (          ) store offers thousands of products.</v>
      </c>
      <c r="J1379" s="9" cm="1">
        <f t="array" ref="J1379">SUMIF('외운 것 - 엑셀다운로드 파일(붙여넣기)'!A3:A562,A1379,'외운 것 - 엑셀다운로드 파일(붙여넣기)'!D3:D562)</f>
        <v>0</v>
      </c>
      <c r="K1379" s="9" cm="1">
        <f t="array" ref="K1379">_xlfn.COUNTIFS('외운 것 - 엑셀다운로드 파일(붙여넣기)'!A3:A562,A1379,'외운 것 - 엑셀다운로드 파일(붙여넣기)'!D3:D562,0)</f>
        <v>0</v>
      </c>
      <c r="L1379" s="9" cm="1">
        <f t="array" ref="L1379">IF(J1379&gt;=3,_xlfn.XLOOKUP(A1379,'외운 것 - 엑셀다운로드 파일(붙여넣기)'!A3:A562,'외운 것 - 엑셀다운로드 파일(붙여넣기)'!C3:C562,0,-1),0)</f>
        <v>0</v>
      </c>
    </row>
    <row r="1380" ht="23.45" customHeight="1">
      <c r="A1380" s="3">
        <v>1379</v>
      </c>
      <c r="B1380" t="s" s="4">
        <v>8761</v>
      </c>
      <c r="C1380" t="s" s="5">
        <v>8762</v>
      </c>
      <c r="D1380" t="s" s="5">
        <v>8763</v>
      </c>
      <c r="E1380" t="s" s="5">
        <v>8764</v>
      </c>
      <c r="F1380" t="s" s="10">
        <v>8765</v>
      </c>
      <c r="G1380" t="s" s="7">
        <v>8766</v>
      </c>
      <c r="H1380" t="s" s="7">
        <v>8767</v>
      </c>
      <c r="I1380" t="str" s="8" cm="1">
        <f t="array" ref="I1380">SUBSTITUTE(H1380,B1380,"(          )")</f>
        <v>The storm's arrival is (          ); take shelter now.</v>
      </c>
      <c r="J1380" s="9" cm="1">
        <f t="array" ref="J1380">SUMIF('외운 것 - 엑셀다운로드 파일(붙여넣기)'!A3:A562,A1380,'외운 것 - 엑셀다운로드 파일(붙여넣기)'!D3:D562)</f>
        <v>0</v>
      </c>
      <c r="K1380" s="9" cm="1">
        <f t="array" ref="K1380">_xlfn.COUNTIFS('외운 것 - 엑셀다운로드 파일(붙여넣기)'!A3:A562,A1380,'외운 것 - 엑셀다운로드 파일(붙여넣기)'!D3:D562,0)</f>
        <v>0</v>
      </c>
      <c r="L1380" s="9" cm="1">
        <f t="array" ref="L1380">IF(J1380&gt;=3,_xlfn.XLOOKUP(A1380,'외운 것 - 엑셀다운로드 파일(붙여넣기)'!A3:A562,'외운 것 - 엑셀다운로드 파일(붙여넣기)'!C3:C562,0,-1),0)</f>
        <v>0</v>
      </c>
    </row>
    <row r="1381" ht="23.45" customHeight="1">
      <c r="A1381" s="3">
        <v>1380</v>
      </c>
      <c r="B1381" t="s" s="4">
        <v>8769</v>
      </c>
      <c r="C1381" t="s" s="5">
        <v>8762</v>
      </c>
      <c r="D1381" t="s" s="5">
        <v>8763</v>
      </c>
      <c r="E1381" t="s" s="5">
        <v>8770</v>
      </c>
      <c r="F1381" t="s" s="10">
        <v>8771</v>
      </c>
      <c r="G1381" t="s" s="7">
        <v>8772</v>
      </c>
      <c r="H1381" t="s" s="7">
        <v>8773</v>
      </c>
      <c r="I1381" t="str" s="8" cm="1">
        <f t="array" ref="I1381">SUBSTITUTE(H1381,B1381,"(          )")</f>
        <v>The university invited an (          ) scientist to speak.</v>
      </c>
      <c r="J1381" s="9" cm="1">
        <f t="array" ref="J1381">SUMIF('외운 것 - 엑셀다운로드 파일(붙여넣기)'!A3:A562,A1381,'외운 것 - 엑셀다운로드 파일(붙여넣기)'!D3:D562)</f>
        <v>0</v>
      </c>
      <c r="K1381" s="9" cm="1">
        <f t="array" ref="K1381">_xlfn.COUNTIFS('외운 것 - 엑셀다운로드 파일(붙여넣기)'!A3:A562,A1381,'외운 것 - 엑셀다운로드 파일(붙여넣기)'!D3:D562,0)</f>
        <v>0</v>
      </c>
      <c r="L1381" s="9" cm="1">
        <f t="array" ref="L1381">IF(J1381&gt;=3,_xlfn.XLOOKUP(A1381,'외운 것 - 엑셀다운로드 파일(붙여넣기)'!A3:A562,'외운 것 - 엑셀다운로드 파일(붙여넣기)'!C3:C562,0,-1),0)</f>
        <v>0</v>
      </c>
    </row>
    <row r="1382" ht="23.45" customHeight="1">
      <c r="A1382" s="3">
        <v>1381</v>
      </c>
      <c r="B1382" t="s" s="4">
        <v>8775</v>
      </c>
      <c r="C1382" t="s" s="5">
        <v>8762</v>
      </c>
      <c r="D1382" t="s" s="5">
        <v>8763</v>
      </c>
      <c r="E1382" t="s" s="5">
        <v>8776</v>
      </c>
      <c r="F1382" t="s" s="10">
        <v>8777</v>
      </c>
      <c r="G1382" t="s" s="7">
        <v>8778</v>
      </c>
      <c r="H1382" t="s" s="7">
        <v>8779</v>
      </c>
      <c r="I1382" t="str" s="8" cm="1">
        <f t="array" ref="I1382">SUBSTITUTE(H1382,B1382,"(          )")</f>
        <v>She is the (          ) authority in her field.</v>
      </c>
      <c r="J1382" s="9" cm="1">
        <f t="array" ref="J1382">SUMIF('외운 것 - 엑셀다운로드 파일(붙여넣기)'!A3:A562,A1382,'외운 것 - 엑셀다운로드 파일(붙여넣기)'!D3:D562)</f>
        <v>0</v>
      </c>
      <c r="K1382" s="9" cm="1">
        <f t="array" ref="K1382">_xlfn.COUNTIFS('외운 것 - 엑셀다운로드 파일(붙여넣기)'!A3:A562,A1382,'외운 것 - 엑셀다운로드 파일(붙여넣기)'!D3:D562,0)</f>
        <v>0</v>
      </c>
      <c r="L1382" s="9" cm="1">
        <f t="array" ref="L1382">IF(J1382&gt;=3,_xlfn.XLOOKUP(A1382,'외운 것 - 엑셀다운로드 파일(붙여넣기)'!A3:A562,'외운 것 - 엑셀다운로드 파일(붙여넣기)'!C3:C562,0,-1),0)</f>
        <v>0</v>
      </c>
    </row>
    <row r="1383" ht="23.45" customHeight="1">
      <c r="A1383" s="3">
        <v>1382</v>
      </c>
      <c r="B1383" t="s" s="4">
        <v>8781</v>
      </c>
      <c r="C1383" t="s" s="5">
        <v>8762</v>
      </c>
      <c r="D1383" t="s" s="5">
        <v>8763</v>
      </c>
      <c r="E1383" t="s" s="5">
        <v>8782</v>
      </c>
      <c r="F1383" t="s" s="10">
        <v>8783</v>
      </c>
      <c r="G1383" t="s" s="7">
        <v>8784</v>
      </c>
      <c r="H1383" t="s" s="7">
        <v>8785</v>
      </c>
      <c r="I1383" t="str" s="8" cm="1">
        <f t="array" ref="I1383">SUBSTITUTE(H1383,B1383,"(          )")</f>
        <v>He has a (          ) role in the new movie.</v>
      </c>
      <c r="J1383" s="9" cm="1">
        <f t="array" ref="J1383">SUMIF('외운 것 - 엑셀다운로드 파일(붙여넣기)'!A3:A562,A1383,'외운 것 - 엑셀다운로드 파일(붙여넣기)'!D3:D562)</f>
        <v>0</v>
      </c>
      <c r="K1383" s="9" cm="1">
        <f t="array" ref="K1383">_xlfn.COUNTIFS('외운 것 - 엑셀다운로드 파일(붙여넣기)'!A3:A562,A1383,'외운 것 - 엑셀다운로드 파일(붙여넣기)'!D3:D562,0)</f>
        <v>0</v>
      </c>
      <c r="L1383" s="9" cm="1">
        <f t="array" ref="L1383">IF(J1383&gt;=3,_xlfn.XLOOKUP(A1383,'외운 것 - 엑셀다운로드 파일(붙여넣기)'!A3:A562,'외운 것 - 엑셀다운로드 파일(붙여넣기)'!C3:C562,0,-1),0)</f>
        <v>0</v>
      </c>
    </row>
    <row r="1384" ht="38.45" customHeight="1">
      <c r="A1384" s="3">
        <v>1383</v>
      </c>
      <c r="B1384" t="s" s="4">
        <v>8787</v>
      </c>
      <c r="C1384" t="s" s="5">
        <v>8202</v>
      </c>
      <c r="D1384" t="s" s="5">
        <v>8788</v>
      </c>
      <c r="E1384" t="s" s="5">
        <v>8789</v>
      </c>
      <c r="F1384" t="s" s="10">
        <v>8790</v>
      </c>
      <c r="G1384" t="s" s="7">
        <v>8791</v>
      </c>
      <c r="H1384" t="s" s="7">
        <v>8792</v>
      </c>
      <c r="I1384" t="str" s="8" cm="1">
        <f t="array" ref="I1384">SUBSTITUTE(H1384,B1384,"(          )")</f>
        <v>Climbers plan to (          ) an expedition to Everest.</v>
      </c>
      <c r="J1384" s="9" cm="1">
        <f t="array" ref="J1384">SUMIF('외운 것 - 엑셀다운로드 파일(붙여넣기)'!A3:A562,A1384,'외운 것 - 엑셀다운로드 파일(붙여넣기)'!D3:D562)</f>
        <v>0</v>
      </c>
      <c r="K1384" s="9" cm="1">
        <f t="array" ref="K1384">_xlfn.COUNTIFS('외운 것 - 엑셀다운로드 파일(붙여넣기)'!A3:A562,A1384,'외운 것 - 엑셀다운로드 파일(붙여넣기)'!D3:D562,0)</f>
        <v>0</v>
      </c>
      <c r="L1384" s="9" cm="1">
        <f t="array" ref="L1384">IF(J1384&gt;=3,_xlfn.XLOOKUP(A1384,'외운 것 - 엑셀다운로드 파일(붙여넣기)'!A3:A562,'외운 것 - 엑셀다운로드 파일(붙여넣기)'!C3:C562,0,-1),0)</f>
        <v>0</v>
      </c>
    </row>
    <row r="1385" ht="23.45" customHeight="1">
      <c r="A1385" s="3">
        <v>1384</v>
      </c>
      <c r="B1385" t="s" s="4">
        <v>8794</v>
      </c>
      <c r="C1385" t="s" s="5">
        <v>8787</v>
      </c>
      <c r="D1385" t="s" s="5">
        <v>8788</v>
      </c>
      <c r="E1385" t="s" s="5">
        <v>8795</v>
      </c>
      <c r="F1385" t="s" s="10">
        <v>8796</v>
      </c>
      <c r="G1385" t="s" s="7">
        <v>8797</v>
      </c>
      <c r="H1385" t="s" s="7">
        <v>8798</v>
      </c>
      <c r="I1385" t="str" s="8" cm="1">
        <f t="array" ref="I1385">SUBSTITUTE(H1385,B1385,"(          )")</f>
        <v>Snow covered the (          ) peaks.</v>
      </c>
      <c r="J1385" s="9" cm="1">
        <f t="array" ref="J1385">SUMIF('외운 것 - 엑셀다운로드 파일(붙여넣기)'!A3:A562,A1385,'외운 것 - 엑셀다운로드 파일(붙여넣기)'!D3:D562)</f>
        <v>0</v>
      </c>
      <c r="K1385" s="9" cm="1">
        <f t="array" ref="K1385">_xlfn.COUNTIFS('외운 것 - 엑셀다운로드 파일(붙여넣기)'!A3:A562,A1385,'외운 것 - 엑셀다운로드 파일(붙여넣기)'!D3:D562,0)</f>
        <v>0</v>
      </c>
      <c r="L1385" s="9" cm="1">
        <f t="array" ref="L1385">IF(J1385&gt;=3,_xlfn.XLOOKUP(A1385,'외운 것 - 엑셀다운로드 파일(붙여넣기)'!A3:A562,'외운 것 - 엑셀다운로드 파일(붙여넣기)'!C3:C562,0,-1),0)</f>
        <v>0</v>
      </c>
    </row>
    <row r="1386" ht="23.45" customHeight="1">
      <c r="A1386" s="3">
        <v>1385</v>
      </c>
      <c r="B1386" t="s" s="4">
        <v>8800</v>
      </c>
      <c r="C1386" t="s" s="5">
        <v>8787</v>
      </c>
      <c r="D1386" t="s" s="5">
        <v>8788</v>
      </c>
      <c r="E1386" t="s" s="5">
        <v>8801</v>
      </c>
      <c r="F1386" t="s" s="10">
        <v>8802</v>
      </c>
      <c r="G1386" t="s" s="7">
        <v>8803</v>
      </c>
      <c r="H1386" t="s" s="7">
        <v>8804</v>
      </c>
      <c r="I1386" t="str" s="8" cm="1">
        <f t="array" ref="I1386">SUBSTITUTE(H1386,B1386,"(          )")</f>
        <v>A large (          ) of money was donated to charity.</v>
      </c>
      <c r="J1386" s="9" cm="1">
        <f t="array" ref="J1386">SUMIF('외운 것 - 엑셀다운로드 파일(붙여넣기)'!A3:A562,A1386,'외운 것 - 엑셀다운로드 파일(붙여넣기)'!D3:D562)</f>
        <v>0</v>
      </c>
      <c r="K1386" s="9" cm="1">
        <f t="array" ref="K1386">_xlfn.COUNTIFS('외운 것 - 엑셀다운로드 파일(붙여넣기)'!A3:A562,A1386,'외운 것 - 엑셀다운로드 파일(붙여넣기)'!D3:D562,0)</f>
        <v>0</v>
      </c>
      <c r="L1386" s="9" cm="1">
        <f t="array" ref="L1386">IF(J1386&gt;=3,_xlfn.XLOOKUP(A1386,'외운 것 - 엑셀다운로드 파일(붙여넣기)'!A3:A562,'외운 것 - 엑셀다운로드 파일(붙여넣기)'!C3:C562,0,-1),0)</f>
        <v>0</v>
      </c>
    </row>
    <row r="1387" ht="23.45" customHeight="1">
      <c r="A1387" s="3">
        <v>1386</v>
      </c>
      <c r="B1387" t="s" s="4">
        <v>8806</v>
      </c>
      <c r="C1387" t="s" s="5">
        <v>8787</v>
      </c>
      <c r="D1387" t="s" s="5">
        <v>8788</v>
      </c>
      <c r="E1387" t="s" s="5">
        <v>8807</v>
      </c>
      <c r="F1387" t="s" s="10">
        <v>8808</v>
      </c>
      <c r="G1387" t="s" s="7">
        <v>8809</v>
      </c>
      <c r="H1387" t="s" s="7">
        <v>8810</v>
      </c>
      <c r="I1387" t="str" s="8" cm="1">
        <f t="array" ref="I1387">SUBSTITUTE(H1387,B1387,"(          )")</f>
        <v>With determination, you can (          ) many obstacles.</v>
      </c>
      <c r="J1387" s="9" cm="1">
        <f t="array" ref="J1387">SUMIF('외운 것 - 엑셀다운로드 파일(붙여넣기)'!A3:A562,A1387,'외운 것 - 엑셀다운로드 파일(붙여넣기)'!D3:D562)</f>
        <v>0</v>
      </c>
      <c r="K1387" s="9" cm="1">
        <f t="array" ref="K1387">_xlfn.COUNTIFS('외운 것 - 엑셀다운로드 파일(붙여넣기)'!A3:A562,A1387,'외운 것 - 엑셀다운로드 파일(붙여넣기)'!D3:D562,0)</f>
        <v>0</v>
      </c>
      <c r="L1387" s="9" cm="1">
        <f t="array" ref="L1387">IF(J1387&gt;=3,_xlfn.XLOOKUP(A1387,'외운 것 - 엑셀다운로드 파일(붙여넣기)'!A3:A562,'외운 것 - 엑셀다운로드 파일(붙여넣기)'!C3:C562,0,-1),0)</f>
        <v>0</v>
      </c>
    </row>
    <row r="1388" ht="38.45" customHeight="1">
      <c r="A1388" s="3">
        <v>1387</v>
      </c>
      <c r="B1388" t="s" s="4">
        <v>8812</v>
      </c>
      <c r="C1388" t="s" s="5">
        <v>8787</v>
      </c>
      <c r="D1388" t="s" s="5">
        <v>8788</v>
      </c>
      <c r="E1388" t="s" s="5">
        <v>8813</v>
      </c>
      <c r="F1388" t="s" s="10">
        <v>8814</v>
      </c>
      <c r="G1388" t="s" s="7">
        <v>8815</v>
      </c>
      <c r="H1388" t="s" s="7">
        <v>8816</v>
      </c>
      <c r="I1388" t="str" s="8" cm="1">
        <f t="array" ref="I1388">SUBSTITUTE(H1388,B1388,"(          )")</f>
        <v>The children built a (          ) of sand at the beach.</v>
      </c>
      <c r="J1388" s="9" cm="1">
        <f t="array" ref="J1388">SUMIF('외운 것 - 엑셀다운로드 파일(붙여넣기)'!A3:A562,A1388,'외운 것 - 엑셀다운로드 파일(붙여넣기)'!D3:D562)</f>
        <v>0</v>
      </c>
      <c r="K1388" s="9" cm="1">
        <f t="array" ref="K1388">_xlfn.COUNTIFS('외운 것 - 엑셀다운로드 파일(붙여넣기)'!A3:A562,A1388,'외운 것 - 엑셀다운로드 파일(붙여넣기)'!D3:D562,0)</f>
        <v>0</v>
      </c>
      <c r="L1388" s="9" cm="1">
        <f t="array" ref="L1388">IF(J1388&gt;=3,_xlfn.XLOOKUP(A1388,'외운 것 - 엑셀다운로드 파일(붙여넣기)'!A3:A562,'외운 것 - 엑셀다운로드 파일(붙여넣기)'!C3:C562,0,-1),0)</f>
        <v>0</v>
      </c>
    </row>
    <row r="1389" ht="23.45" customHeight="1">
      <c r="A1389" s="3">
        <v>1388</v>
      </c>
      <c r="B1389" t="s" s="4">
        <v>8818</v>
      </c>
      <c r="C1389" t="s" s="5">
        <v>8819</v>
      </c>
      <c r="D1389" t="s" s="5">
        <v>8820</v>
      </c>
      <c r="E1389" t="s" s="5">
        <v>8821</v>
      </c>
      <c r="F1389" t="s" s="10">
        <v>8822</v>
      </c>
      <c r="G1389" t="s" s="7">
        <v>8823</v>
      </c>
      <c r="H1389" t="s" s="7">
        <v>8824</v>
      </c>
      <c r="I1389" t="str" s="8" cm="1">
        <f t="array" ref="I1389">SUBSTITUTE(H1389,B1389,"(          )")</f>
        <v>The giraffe has an extremely long (          ).</v>
      </c>
      <c r="J1389" s="9" cm="1">
        <f t="array" ref="J1389">SUMIF('외운 것 - 엑셀다운로드 파일(붙여넣기)'!A3:A562,A1389,'외운 것 - 엑셀다운로드 파일(붙여넣기)'!D3:D562)</f>
        <v>0</v>
      </c>
      <c r="K1389" s="9" cm="1">
        <f t="array" ref="K1389">_xlfn.COUNTIFS('외운 것 - 엑셀다운로드 파일(붙여넣기)'!A3:A562,A1389,'외운 것 - 엑셀다운로드 파일(붙여넣기)'!D3:D562,0)</f>
        <v>0</v>
      </c>
      <c r="L1389" s="9" cm="1">
        <f t="array" ref="L1389">IF(J1389&gt;=3,_xlfn.XLOOKUP(A1389,'외운 것 - 엑셀다운로드 파일(붙여넣기)'!A3:A562,'외운 것 - 엑셀다운로드 파일(붙여넣기)'!C3:C562,0,-1),0)</f>
        <v>0</v>
      </c>
    </row>
    <row r="1390" ht="23.45" customHeight="1">
      <c r="A1390" s="3">
        <v>1389</v>
      </c>
      <c r="B1390" t="s" s="4">
        <v>8826</v>
      </c>
      <c r="C1390" t="s" s="5">
        <v>8819</v>
      </c>
      <c r="D1390" t="s" s="5">
        <v>8820</v>
      </c>
      <c r="E1390" t="s" s="5">
        <v>8827</v>
      </c>
      <c r="F1390" t="s" s="10">
        <v>8828</v>
      </c>
      <c r="G1390" t="s" s="7">
        <v>8829</v>
      </c>
      <c r="H1390" t="s" s="7">
        <v>8830</v>
      </c>
      <c r="I1390" t="str" s="8" cm="1">
        <f t="array" ref="I1390">SUBSTITUTE(H1390,B1390,"(          )")</f>
        <v>The bridge (          )s the island to the mainland.</v>
      </c>
      <c r="J1390" s="9" cm="1">
        <f t="array" ref="J1390">SUMIF('외운 것 - 엑셀다운로드 파일(붙여넣기)'!A3:A562,A1390,'외운 것 - 엑셀다운로드 파일(붙여넣기)'!D3:D562)</f>
        <v>0</v>
      </c>
      <c r="K1390" s="9" cm="1">
        <f t="array" ref="K1390">_xlfn.COUNTIFS('외운 것 - 엑셀다운로드 파일(붙여넣기)'!A3:A562,A1390,'외운 것 - 엑셀다운로드 파일(붙여넣기)'!D3:D562,0)</f>
        <v>0</v>
      </c>
      <c r="L1390" s="9" cm="1">
        <f t="array" ref="L1390">IF(J1390&gt;=3,_xlfn.XLOOKUP(A1390,'외운 것 - 엑셀다운로드 파일(붙여넣기)'!A3:A562,'외운 것 - 엑셀다운로드 파일(붙여넣기)'!C3:C562,0,-1),0)</f>
        <v>0</v>
      </c>
    </row>
    <row r="1391" ht="36.4" customHeight="1">
      <c r="A1391" s="3">
        <v>1390</v>
      </c>
      <c r="B1391" t="s" s="4">
        <v>8832</v>
      </c>
      <c r="C1391" t="s" s="5">
        <v>8833</v>
      </c>
      <c r="D1391" t="s" s="5">
        <v>8819</v>
      </c>
      <c r="E1391" t="s" s="5">
        <v>8834</v>
      </c>
      <c r="F1391" t="s" s="10">
        <v>8835</v>
      </c>
      <c r="G1391" t="s" s="7">
        <v>8836</v>
      </c>
      <c r="H1391" t="s" s="7">
        <v>8837</v>
      </c>
      <c r="I1391" t="str" s="8" cm="1">
        <f t="array" ref="I1391">SUBSTITUTE(H1391,B1391,"(          )")</f>
        <v>There is a strong (          ) between diet and health.</v>
      </c>
      <c r="J1391" s="9" cm="1">
        <f t="array" ref="J1391">SUMIF('외운 것 - 엑셀다운로드 파일(붙여넣기)'!A3:A562,A1391,'외운 것 - 엑셀다운로드 파일(붙여넣기)'!D3:D562)</f>
        <v>0</v>
      </c>
      <c r="K1391" s="9" cm="1">
        <f t="array" ref="K1391">_xlfn.COUNTIFS('외운 것 - 엑셀다운로드 파일(붙여넣기)'!A3:A562,A1391,'외운 것 - 엑셀다운로드 파일(붙여넣기)'!D3:D562,0)</f>
        <v>0</v>
      </c>
      <c r="L1391" s="9" cm="1">
        <f t="array" ref="L1391">IF(J1391&gt;=3,_xlfn.XLOOKUP(A1391,'외운 것 - 엑셀다운로드 파일(붙여넣기)'!A3:A562,'외운 것 - 엑셀다운로드 파일(붙여넣기)'!C3:C562,0,-1),0)</f>
        <v>0</v>
      </c>
    </row>
    <row r="1392" ht="38.45" customHeight="1">
      <c r="A1392" s="3">
        <v>1391</v>
      </c>
      <c r="B1392" t="s" s="4">
        <v>8839</v>
      </c>
      <c r="C1392" t="s" s="5">
        <v>8833</v>
      </c>
      <c r="D1392" t="s" s="5">
        <v>8819</v>
      </c>
      <c r="E1392" t="s" s="5">
        <v>8840</v>
      </c>
      <c r="F1392" t="s" s="10">
        <v>8841</v>
      </c>
      <c r="G1392" t="s" s="7">
        <v>8842</v>
      </c>
      <c r="H1392" t="s" s="7">
        <v>8843</v>
      </c>
      <c r="I1392" t="str" s="8" cm="1">
        <f t="array" ref="I1392">SUBSTITUTE(H1392,B1392,"(          )")</f>
        <v>There's a (          ) between what he says and what he does.</v>
      </c>
      <c r="J1392" s="9" cm="1">
        <f t="array" ref="J1392">SUMIF('외운 것 - 엑셀다운로드 파일(붙여넣기)'!A3:A562,A1392,'외운 것 - 엑셀다운로드 파일(붙여넣기)'!D3:D562)</f>
        <v>0</v>
      </c>
      <c r="K1392" s="9" cm="1">
        <f t="array" ref="K1392">_xlfn.COUNTIFS('외운 것 - 엑셀다운로드 파일(붙여넣기)'!A3:A562,A1392,'외운 것 - 엑셀다운로드 파일(붙여넣기)'!D3:D562,0)</f>
        <v>0</v>
      </c>
      <c r="L1392" s="9" cm="1">
        <f t="array" ref="L1392">IF(J1392&gt;=3,_xlfn.XLOOKUP(A1392,'외운 것 - 엑셀다운로드 파일(붙여넣기)'!A3:A562,'외운 것 - 엑셀다운로드 파일(붙여넣기)'!C3:C562,0,-1),0)</f>
        <v>0</v>
      </c>
    </row>
    <row r="1393" ht="23.45" customHeight="1">
      <c r="A1393" s="3">
        <v>1392</v>
      </c>
      <c r="B1393" t="s" s="4">
        <v>8845</v>
      </c>
      <c r="C1393" t="s" s="5">
        <v>8846</v>
      </c>
      <c r="D1393" t="s" s="5">
        <v>8819</v>
      </c>
      <c r="E1393" t="s" s="5">
        <v>8847</v>
      </c>
      <c r="F1393" t="s" s="10">
        <v>8848</v>
      </c>
      <c r="G1393" t="s" s="7">
        <v>8849</v>
      </c>
      <c r="H1393" t="s" s="7">
        <v>8850</v>
      </c>
      <c r="I1393" t="str" s="8" cm="1">
        <f t="array" ref="I1393">SUBSTITUTE(H1393,B1393,"(          )")</f>
        <v>What's the (          ) step in the process?</v>
      </c>
      <c r="J1393" s="9" cm="1">
        <f t="array" ref="J1393">SUMIF('외운 것 - 엑셀다운로드 파일(붙여넣기)'!A3:A562,A1393,'외운 것 - 엑셀다운로드 파일(붙여넣기)'!D3:D562)</f>
        <v>0</v>
      </c>
      <c r="K1393" s="9" cm="1">
        <f t="array" ref="K1393">_xlfn.COUNTIFS('외운 것 - 엑셀다운로드 파일(붙여넣기)'!A3:A562,A1393,'외운 것 - 엑셀다운로드 파일(붙여넣기)'!D3:D562,0)</f>
        <v>0</v>
      </c>
      <c r="L1393" s="9" cm="1">
        <f t="array" ref="L1393">IF(J1393&gt;=3,_xlfn.XLOOKUP(A1393,'외운 것 - 엑셀다운로드 파일(붙여넣기)'!A3:A562,'외운 것 - 엑셀다운로드 파일(붙여넣기)'!C3:C562,0,-1),0)</f>
        <v>0</v>
      </c>
    </row>
    <row r="1394" ht="23.45" customHeight="1">
      <c r="A1394" s="3">
        <v>1393</v>
      </c>
      <c r="B1394" t="s" s="4">
        <v>8852</v>
      </c>
      <c r="C1394" t="s" s="5">
        <v>8846</v>
      </c>
      <c r="D1394" t="s" s="5">
        <v>8819</v>
      </c>
      <c r="E1394" t="s" s="5">
        <v>8853</v>
      </c>
      <c r="F1394" t="s" s="10">
        <v>8854</v>
      </c>
      <c r="G1394" t="s" s="7">
        <v>8855</v>
      </c>
      <c r="H1394" t="s" s="7">
        <v>8856</v>
      </c>
      <c r="I1394" t="str" s="8" cm="1">
        <f t="array" ref="I1394">SUBSTITUTE(H1394,B1394,"(          )")</f>
        <v>The city serves as a (          ) for international trade.</v>
      </c>
      <c r="J1394" s="9" cm="1">
        <f t="array" ref="J1394">SUMIF('외운 것 - 엑셀다운로드 파일(붙여넣기)'!A3:A562,A1394,'외운 것 - 엑셀다운로드 파일(붙여넣기)'!D3:D562)</f>
        <v>0</v>
      </c>
      <c r="K1394" s="9" cm="1">
        <f t="array" ref="K1394">_xlfn.COUNTIFS('외운 것 - 엑셀다운로드 파일(붙여넣기)'!A3:A562,A1394,'외운 것 - 엑셀다운로드 파일(붙여넣기)'!D3:D562,0)</f>
        <v>0</v>
      </c>
      <c r="L1394" s="9" cm="1">
        <f t="array" ref="L1394">IF(J1394&gt;=3,_xlfn.XLOOKUP(A1394,'외운 것 - 엑셀다운로드 파일(붙여넣기)'!A3:A562,'외운 것 - 엑셀다운로드 파일(붙여넣기)'!C3:C562,0,-1),0)</f>
        <v>0</v>
      </c>
    </row>
    <row r="1395" ht="37.35" customHeight="1">
      <c r="A1395" s="3">
        <v>1394</v>
      </c>
      <c r="B1395" t="s" s="4">
        <v>8858</v>
      </c>
      <c r="C1395" t="s" s="5">
        <v>8846</v>
      </c>
      <c r="D1395" t="s" s="5">
        <v>8819</v>
      </c>
      <c r="E1395" t="s" s="5">
        <v>8859</v>
      </c>
      <c r="F1395" t="s" s="10">
        <v>8860</v>
      </c>
      <c r="G1395" t="s" s="7">
        <v>8861</v>
      </c>
      <c r="H1395" t="s" s="7">
        <v>8862</v>
      </c>
      <c r="I1395" t="str" s="8" cm="1">
        <f t="array" ref="I1395">SUBSTITUTE(H1395,B1395,"(          )")</f>
        <v>The school built an (          ) to accommodate more students.</v>
      </c>
      <c r="J1395" s="9" cm="1">
        <f t="array" ref="J1395">SUMIF('외운 것 - 엑셀다운로드 파일(붙여넣기)'!A3:A562,A1395,'외운 것 - 엑셀다운로드 파일(붙여넣기)'!D3:D562)</f>
        <v>0</v>
      </c>
      <c r="K1395" s="9" cm="1">
        <f t="array" ref="K1395">_xlfn.COUNTIFS('외운 것 - 엑셀다운로드 파일(붙여넣기)'!A3:A562,A1395,'외운 것 - 엑셀다운로드 파일(붙여넣기)'!D3:D562,0)</f>
        <v>0</v>
      </c>
      <c r="L1395" s="9" cm="1">
        <f t="array" ref="L1395">IF(J1395&gt;=3,_xlfn.XLOOKUP(A1395,'외운 것 - 엑셀다운로드 파일(붙여넣기)'!A3:A562,'외운 것 - 엑셀다운로드 파일(붙여넣기)'!C3:C562,0,-1),0)</f>
        <v>0</v>
      </c>
    </row>
    <row r="1396" ht="23.45" customHeight="1">
      <c r="A1396" s="3">
        <v>1395</v>
      </c>
      <c r="B1396" t="s" s="4">
        <v>8864</v>
      </c>
      <c r="C1396" t="s" s="5">
        <v>8865</v>
      </c>
      <c r="D1396" t="s" s="5">
        <v>8866</v>
      </c>
      <c r="E1396" t="s" s="5">
        <v>8867</v>
      </c>
      <c r="F1396" t="s" s="10">
        <v>8868</v>
      </c>
      <c r="G1396" t="s" s="7">
        <v>8869</v>
      </c>
      <c r="H1396" t="s" s="7">
        <v>8870</v>
      </c>
      <c r="I1396" t="str" s="8" cm="1">
        <f t="array" ref="I1396">SUBSTITUTE(H1396,B1396,"(          )")</f>
        <v>Nothing could prepare me for the stunning view.</v>
      </c>
      <c r="J1396" s="9" cm="1">
        <f t="array" ref="J1396">SUMIF('외운 것 - 엑셀다운로드 파일(붙여넣기)'!A3:A562,A1396,'외운 것 - 엑셀다운로드 파일(붙여넣기)'!D3:D562)</f>
        <v>0</v>
      </c>
      <c r="K1396" s="9" cm="1">
        <f t="array" ref="K1396">_xlfn.COUNTIFS('외운 것 - 엑셀다운로드 파일(붙여넣기)'!A3:A562,A1396,'외운 것 - 엑셀다운로드 파일(붙여넣기)'!D3:D562,0)</f>
        <v>0</v>
      </c>
      <c r="L1396" s="9" cm="1">
        <f t="array" ref="L1396">IF(J1396&gt;=3,_xlfn.XLOOKUP(A1396,'외운 것 - 엑셀다운로드 파일(붙여넣기)'!A3:A562,'외운 것 - 엑셀다운로드 파일(붙여넣기)'!C3:C562,0,-1),0)</f>
        <v>0</v>
      </c>
    </row>
    <row r="1397" ht="38.45" customHeight="1">
      <c r="A1397" s="3">
        <v>1396</v>
      </c>
      <c r="B1397" t="s" s="4">
        <v>8872</v>
      </c>
      <c r="C1397" t="s" s="5">
        <v>8865</v>
      </c>
      <c r="D1397" t="s" s="5">
        <v>8866</v>
      </c>
      <c r="E1397" t="s" s="5">
        <v>8873</v>
      </c>
      <c r="F1397" t="s" s="10">
        <v>8874</v>
      </c>
      <c r="G1397" t="s" s="7">
        <v>8875</v>
      </c>
      <c r="H1397" t="s" s="7">
        <v>8876</v>
      </c>
      <c r="I1397" t="str" s="8" cm="1">
        <f t="array" ref="I1397">SUBSTITUTE(H1397,B1397,"(          )")</f>
        <v>We usually eat lunch at (          ).</v>
      </c>
      <c r="J1397" s="9" cm="1">
        <f t="array" ref="J1397">SUMIF('외운 것 - 엑셀다운로드 파일(붙여넣기)'!A3:A562,A1397,'외운 것 - 엑셀다운로드 파일(붙여넣기)'!D3:D562)</f>
        <v>0</v>
      </c>
      <c r="K1397" s="9" cm="1">
        <f t="array" ref="K1397">_xlfn.COUNTIFS('외운 것 - 엑셀다운로드 파일(붙여넣기)'!A3:A562,A1397,'외운 것 - 엑셀다운로드 파일(붙여넣기)'!D3:D562,0)</f>
        <v>0</v>
      </c>
      <c r="L1397" s="9" cm="1">
        <f t="array" ref="L1397">IF(J1397&gt;=3,_xlfn.XLOOKUP(A1397,'외운 것 - 엑셀다운로드 파일(붙여넣기)'!A3:A562,'외운 것 - 엑셀다운로드 파일(붙여넣기)'!C3:C562,0,-1),0)</f>
        <v>0</v>
      </c>
    </row>
    <row r="1398" ht="23.45" customHeight="1">
      <c r="A1398" s="3">
        <v>1397</v>
      </c>
      <c r="B1398" t="s" s="4">
        <v>8878</v>
      </c>
      <c r="C1398" t="s" s="5">
        <v>8865</v>
      </c>
      <c r="D1398" t="s" s="5">
        <v>8866</v>
      </c>
      <c r="E1398" t="s" s="5">
        <v>8879</v>
      </c>
      <c r="F1398" t="s" s="10">
        <v>8880</v>
      </c>
      <c r="G1398" t="s" s="7">
        <v>8881</v>
      </c>
      <c r="H1398" t="s" s="7">
        <v>8882</v>
      </c>
      <c r="I1398" t="str" s="8" cm="1">
        <f t="array" ref="I1398">SUBSTITUTE(H1398,B1398,"(          )")</f>
        <v>The factory releases (          ) gases into the air.</v>
      </c>
      <c r="J1398" s="9" cm="1">
        <f t="array" ref="J1398">SUMIF('외운 것 - 엑셀다운로드 파일(붙여넣기)'!A3:A562,A1398,'외운 것 - 엑셀다운로드 파일(붙여넣기)'!D3:D562)</f>
        <v>0</v>
      </c>
      <c r="K1398" s="9" cm="1">
        <f t="array" ref="K1398">_xlfn.COUNTIFS('외운 것 - 엑셀다운로드 파일(붙여넣기)'!A3:A562,A1398,'외운 것 - 엑셀다운로드 파일(붙여넣기)'!D3:D562,0)</f>
        <v>0</v>
      </c>
      <c r="L1398" s="9" cm="1">
        <f t="array" ref="L1398">IF(J1398&gt;=3,_xlfn.XLOOKUP(A1398,'외운 것 - 엑셀다운로드 파일(붙여넣기)'!A3:A562,'외운 것 - 엑셀다운로드 파일(붙여넣기)'!C3:C562,0,-1),0)</f>
        <v>0</v>
      </c>
    </row>
    <row r="1399" ht="38.45" customHeight="1">
      <c r="A1399" s="3">
        <v>1398</v>
      </c>
      <c r="B1399" t="s" s="4">
        <v>8884</v>
      </c>
      <c r="C1399" t="s" s="5">
        <v>8865</v>
      </c>
      <c r="D1399" t="s" s="5">
        <v>8866</v>
      </c>
      <c r="E1399" t="s" s="5">
        <v>8885</v>
      </c>
      <c r="F1399" t="s" s="10">
        <v>8886</v>
      </c>
      <c r="G1399" t="s" s="7">
        <v>8887</v>
      </c>
      <c r="H1399" t="s" s="7">
        <v>8888</v>
      </c>
      <c r="I1399" t="str" s="8" cm="1">
        <f t="array" ref="I1399">SUBSTITUTE(H1399,B1399,"(          )")</f>
        <v>He gave a quick (          ) of agreement.</v>
      </c>
      <c r="J1399" s="9" cm="1">
        <f t="array" ref="J1399">SUMIF('외운 것 - 엑셀다운로드 파일(붙여넣기)'!A3:A562,A1399,'외운 것 - 엑셀다운로드 파일(붙여넣기)'!D3:D562)</f>
        <v>0</v>
      </c>
      <c r="K1399" s="9" cm="1">
        <f t="array" ref="K1399">_xlfn.COUNTIFS('외운 것 - 엑셀다운로드 파일(붙여넣기)'!A3:A562,A1399,'외운 것 - 엑셀다운로드 파일(붙여넣기)'!D3:D562,0)</f>
        <v>0</v>
      </c>
      <c r="L1399" s="9" cm="1">
        <f t="array" ref="L1399">IF(J1399&gt;=3,_xlfn.XLOOKUP(A1399,'외운 것 - 엑셀다운로드 파일(붙여넣기)'!A3:A562,'외운 것 - 엑셀다운로드 파일(붙여넣기)'!C3:C562,0,-1),0)</f>
        <v>0</v>
      </c>
    </row>
    <row r="1400" ht="23.45" customHeight="1">
      <c r="A1400" s="3">
        <v>1399</v>
      </c>
      <c r="B1400" t="s" s="4">
        <v>8890</v>
      </c>
      <c r="C1400" t="s" s="5">
        <v>8891</v>
      </c>
      <c r="D1400" t="s" s="5">
        <v>8866</v>
      </c>
      <c r="E1400" t="s" s="5">
        <v>8892</v>
      </c>
      <c r="F1400" t="s" s="10">
        <v>8893</v>
      </c>
      <c r="G1400" t="s" s="7">
        <v>8894</v>
      </c>
      <c r="H1400" t="s" s="7">
        <v>8895</v>
      </c>
      <c r="I1400" t="str" s="8" cm="1">
        <f t="array" ref="I1400">SUBSTITUTE(H1400,B1400,"(          )")</f>
        <v>I prefer reading (          ) books about history.</v>
      </c>
      <c r="J1400" s="9" cm="1">
        <f t="array" ref="J1400">SUMIF('외운 것 - 엑셀다운로드 파일(붙여넣기)'!A3:A562,A1400,'외운 것 - 엑셀다운로드 파일(붙여넣기)'!D3:D562)</f>
        <v>0</v>
      </c>
      <c r="K1400" s="9" cm="1">
        <f t="array" ref="K1400">_xlfn.COUNTIFS('외운 것 - 엑셀다운로드 파일(붙여넣기)'!A3:A562,A1400,'외운 것 - 엑셀다운로드 파일(붙여넣기)'!D3:D562,0)</f>
        <v>0</v>
      </c>
      <c r="L1400" s="9" cm="1">
        <f t="array" ref="L1400">IF(J1400&gt;=3,_xlfn.XLOOKUP(A1400,'외운 것 - 엑셀다운로드 파일(붙여넣기)'!A3:A562,'외운 것 - 엑셀다운로드 파일(붙여넣기)'!C3:C562,0,-1),0)</f>
        <v>0</v>
      </c>
    </row>
    <row r="1401" ht="23.45" customHeight="1">
      <c r="A1401" s="3">
        <v>1400</v>
      </c>
      <c r="B1401" t="s" s="4">
        <v>8897</v>
      </c>
      <c r="C1401" t="s" s="5">
        <v>8891</v>
      </c>
      <c r="D1401" t="s" s="5">
        <v>8866</v>
      </c>
      <c r="E1401" t="s" s="5">
        <v>8898</v>
      </c>
      <c r="F1401" t="s" s="10">
        <v>8899</v>
      </c>
      <c r="G1401" t="s" s="7">
        <v>8900</v>
      </c>
      <c r="H1401" t="s" s="7">
        <v>8901</v>
      </c>
      <c r="I1401" t="str" s="8" cm="1">
        <f t="array" ref="I1401">SUBSTITUTE(H1401,B1401,"(          )")</f>
        <v>Don't believe that (          ) about miracle weight loss pills.</v>
      </c>
      <c r="J1401" s="9" cm="1">
        <f t="array" ref="J1401">SUMIF('외운 것 - 엑셀다운로드 파일(붙여넣기)'!A3:A562,A1401,'외운 것 - 엑셀다운로드 파일(붙여넣기)'!D3:D562)</f>
        <v>0</v>
      </c>
      <c r="K1401" s="9" cm="1">
        <f t="array" ref="K1401">_xlfn.COUNTIFS('외운 것 - 엑셀다운로드 파일(붙여넣기)'!A3:A562,A1401,'외운 것 - 엑셀다운로드 파일(붙여넣기)'!D3:D562,0)</f>
        <v>0</v>
      </c>
      <c r="L1401" s="9" cm="1">
        <f t="array" ref="L1401">IF(J1401&gt;=3,_xlfn.XLOOKUP(A1401,'외운 것 - 엑셀다운로드 파일(붙여넣기)'!A3:A562,'외운 것 - 엑셀다운로드 파일(붙여넣기)'!C3:C562,0,-1),0)</f>
        <v>0</v>
      </c>
    </row>
    <row r="1402" ht="38.45" customHeight="1">
      <c r="A1402" s="3">
        <v>1401</v>
      </c>
      <c r="B1402" t="s" s="4">
        <v>8903</v>
      </c>
      <c r="C1402" t="s" s="5">
        <v>8904</v>
      </c>
      <c r="D1402" t="s" s="5">
        <v>8866</v>
      </c>
      <c r="E1402" t="s" s="5">
        <v>8905</v>
      </c>
      <c r="F1402" t="s" s="10">
        <v>8906</v>
      </c>
      <c r="G1402" t="s" s="7">
        <v>8907</v>
      </c>
      <c r="H1402" t="s" s="7">
        <v>8908</v>
      </c>
      <c r="I1402" t="str" s="8" cm="1">
        <f t="array" ref="I1402">SUBSTITUTE(H1402,B1402,"(          )")</f>
        <v>The Negro spirituals reflect the history of enslaved African Americans.</v>
      </c>
      <c r="J1402" s="9" cm="1">
        <f t="array" ref="J1402">SUMIF('외운 것 - 엑셀다운로드 파일(붙여넣기)'!A3:A562,A1402,'외운 것 - 엑셀다운로드 파일(붙여넣기)'!D3:D562)</f>
        <v>0</v>
      </c>
      <c r="K1402" s="9" cm="1">
        <f t="array" ref="K1402">_xlfn.COUNTIFS('외운 것 - 엑셀다운로드 파일(붙여넣기)'!A3:A562,A1402,'외운 것 - 엑셀다운로드 파일(붙여넣기)'!D3:D562,0)</f>
        <v>0</v>
      </c>
      <c r="L1402" s="9" cm="1">
        <f t="array" ref="L1402">IF(J1402&gt;=3,_xlfn.XLOOKUP(A1402,'외운 것 - 엑셀다운로드 파일(붙여넣기)'!A3:A562,'외운 것 - 엑셀다운로드 파일(붙여넣기)'!C3:C562,0,-1),0)</f>
        <v>0</v>
      </c>
    </row>
    <row r="1403" ht="36.4" customHeight="1">
      <c r="A1403" s="3">
        <v>1402</v>
      </c>
      <c r="B1403" t="s" s="4">
        <v>8910</v>
      </c>
      <c r="C1403" t="s" s="5">
        <v>8904</v>
      </c>
      <c r="D1403" t="s" s="5">
        <v>8866</v>
      </c>
      <c r="E1403" t="s" s="5">
        <v>8911</v>
      </c>
      <c r="F1403" t="s" s="10">
        <v>8912</v>
      </c>
      <c r="G1403" t="s" s="7">
        <v>8913</v>
      </c>
      <c r="H1403" t="s" s="7">
        <v>8914</v>
      </c>
      <c r="I1403" t="str" s="8" cm="1">
        <f t="array" ref="I1403">SUBSTITUTE(H1403,B1403,"(          )")</f>
        <v>The test results came back (          ), which is good news.</v>
      </c>
      <c r="J1403" s="9" cm="1">
        <f t="array" ref="J1403">SUMIF('외운 것 - 엑셀다운로드 파일(붙여넣기)'!A3:A562,A1403,'외운 것 - 엑셀다운로드 파일(붙여넣기)'!D3:D562)</f>
        <v>0</v>
      </c>
      <c r="K1403" s="9" cm="1">
        <f t="array" ref="K1403">_xlfn.COUNTIFS('외운 것 - 엑셀다운로드 파일(붙여넣기)'!A3:A562,A1403,'외운 것 - 엑셀다운로드 파일(붙여넣기)'!D3:D562,0)</f>
        <v>0</v>
      </c>
      <c r="L1403" s="9" cm="1">
        <f t="array" ref="L1403">IF(J1403&gt;=3,_xlfn.XLOOKUP(A1403,'외운 것 - 엑셀다운로드 파일(붙여넣기)'!A3:A562,'외운 것 - 엑셀다운로드 파일(붙여넣기)'!C3:C562,0,-1),0)</f>
        <v>0</v>
      </c>
    </row>
    <row r="1404" ht="38.45" customHeight="1">
      <c r="A1404" s="3">
        <v>1403</v>
      </c>
      <c r="B1404" t="s" s="4">
        <v>8916</v>
      </c>
      <c r="C1404" t="s" s="5">
        <v>8904</v>
      </c>
      <c r="D1404" t="s" s="5">
        <v>8866</v>
      </c>
      <c r="E1404" t="s" s="5">
        <v>8917</v>
      </c>
      <c r="F1404" t="s" s="10">
        <v>8918</v>
      </c>
      <c r="G1404" t="s" s="7">
        <v>8919</v>
      </c>
      <c r="H1404" t="s" s="7">
        <v>8920</v>
      </c>
      <c r="I1404" t="str" s="8" cm="1">
        <f t="array" ref="I1404">SUBSTITUTE(H1404,B1404,"(          )")</f>
        <v>The countries will (          ) a new trade agreement.</v>
      </c>
      <c r="J1404" s="9" cm="1">
        <f t="array" ref="J1404">SUMIF('외운 것 - 엑셀다운로드 파일(붙여넣기)'!A3:A562,A1404,'외운 것 - 엑셀다운로드 파일(붙여넣기)'!D3:D562)</f>
        <v>0</v>
      </c>
      <c r="K1404" s="9" cm="1">
        <f t="array" ref="K1404">_xlfn.COUNTIFS('외운 것 - 엑셀다운로드 파일(붙여넣기)'!A3:A562,A1404,'외운 것 - 엑셀다운로드 파일(붙여넣기)'!D3:D562,0)</f>
        <v>0</v>
      </c>
      <c r="L1404" s="9" cm="1">
        <f t="array" ref="L1404">IF(J1404&gt;=3,_xlfn.XLOOKUP(A1404,'외운 것 - 엑셀다운로드 파일(붙여넣기)'!A3:A562,'외운 것 - 엑셀다운로드 파일(붙여넣기)'!C3:C562,0,-1),0)</f>
        <v>0</v>
      </c>
    </row>
    <row r="1405" ht="36.4" customHeight="1">
      <c r="A1405" s="3">
        <v>1404</v>
      </c>
      <c r="B1405" t="s" s="4">
        <v>7933</v>
      </c>
      <c r="C1405" t="s" s="5">
        <v>8904</v>
      </c>
      <c r="D1405" t="s" s="5">
        <v>8866</v>
      </c>
      <c r="E1405" t="s" s="5">
        <v>7934</v>
      </c>
      <c r="F1405" t="s" s="10">
        <v>8922</v>
      </c>
      <c r="G1405" t="s" s="7">
        <v>8923</v>
      </c>
      <c r="H1405" t="s" s="7">
        <v>7937</v>
      </c>
      <c r="I1405" t="str" s="8" cm="1">
        <f t="array" ref="I1405">SUBSTITUTE(H1405,B1405,"(          )")</f>
        <v>Don't (          ) your health during busy times.</v>
      </c>
      <c r="J1405" s="9" cm="1">
        <f t="array" ref="J1405">SUMIF('외운 것 - 엑셀다운로드 파일(붙여넣기)'!A3:A562,A1405,'외운 것 - 엑셀다운로드 파일(붙여넣기)'!D3:D562)</f>
        <v>0</v>
      </c>
      <c r="K1405" s="9" cm="1">
        <f t="array" ref="K1405">_xlfn.COUNTIFS('외운 것 - 엑셀다운로드 파일(붙여넣기)'!A3:A562,A1405,'외운 것 - 엑셀다운로드 파일(붙여넣기)'!D3:D562,0)</f>
        <v>0</v>
      </c>
      <c r="L1405" s="9" cm="1">
        <f t="array" ref="L1405">IF(J1405&gt;=3,_xlfn.XLOOKUP(A1405,'외운 것 - 엑셀다운로드 파일(붙여넣기)'!A3:A562,'외운 것 - 엑셀다운로드 파일(붙여넣기)'!C3:C562,0,-1),0)</f>
        <v>0</v>
      </c>
    </row>
    <row r="1406" ht="38.45" customHeight="1">
      <c r="A1406" s="3">
        <v>1405</v>
      </c>
      <c r="B1406" t="s" s="4">
        <v>8924</v>
      </c>
      <c r="C1406" t="s" s="5">
        <v>8904</v>
      </c>
      <c r="D1406" t="s" s="5">
        <v>8866</v>
      </c>
      <c r="E1406" t="s" s="5">
        <v>8925</v>
      </c>
      <c r="F1406" t="s" s="10">
        <v>8926</v>
      </c>
      <c r="G1406" t="s" s="7">
        <v>8927</v>
      </c>
      <c r="H1406" t="s" s="7">
        <v>8928</v>
      </c>
      <c r="I1406" t="str" s="8" cm="1">
        <f t="array" ref="I1406">SUBSTITUTE(H1406,B1406,"(          )")</f>
        <v>The cost difference between the two options is (          ).</v>
      </c>
      <c r="J1406" s="9" cm="1">
        <f t="array" ref="J1406">SUMIF('외운 것 - 엑셀다운로드 파일(붙여넣기)'!A3:A562,A1406,'외운 것 - 엑셀다운로드 파일(붙여넣기)'!D3:D562)</f>
        <v>0</v>
      </c>
      <c r="K1406" s="9" cm="1">
        <f t="array" ref="K1406">_xlfn.COUNTIFS('외운 것 - 엑셀다운로드 파일(붙여넣기)'!A3:A562,A1406,'외운 것 - 엑셀다운로드 파일(붙여넣기)'!D3:D562,0)</f>
        <v>0</v>
      </c>
      <c r="L1406" s="9" cm="1">
        <f t="array" ref="L1406">IF(J1406&gt;=3,_xlfn.XLOOKUP(A1406,'외운 것 - 엑셀다운로드 파일(붙여넣기)'!A3:A562,'외운 것 - 엑셀다운로드 파일(붙여넣기)'!C3:C562,0,-1),0)</f>
        <v>0</v>
      </c>
    </row>
    <row r="1407" ht="50.45" customHeight="1">
      <c r="A1407" s="3">
        <v>1406</v>
      </c>
      <c r="B1407" t="s" s="4">
        <v>8930</v>
      </c>
      <c r="C1407" t="s" s="5">
        <v>8931</v>
      </c>
      <c r="D1407" t="s" s="5">
        <v>8866</v>
      </c>
      <c r="E1407" t="s" s="5">
        <v>8932</v>
      </c>
      <c r="F1407" t="s" s="10">
        <v>8933</v>
      </c>
      <c r="G1407" t="s" s="7">
        <v>8934</v>
      </c>
      <c r="H1407" t="s" s="7">
        <v>8935</v>
      </c>
      <c r="I1407" t="str" s="8" cm="1">
        <f t="array" ref="I1407">SUBSTITUTE(H1407,B1407,"(          )")</f>
        <v>The accident occurred due to (          ) by the driver.</v>
      </c>
      <c r="J1407" s="9" cm="1">
        <f t="array" ref="J1407">SUMIF('외운 것 - 엑셀다운로드 파일(붙여넣기)'!A3:A562,A1407,'외운 것 - 엑셀다운로드 파일(붙여넣기)'!D3:D562)</f>
        <v>0</v>
      </c>
      <c r="K1407" s="9" cm="1">
        <f t="array" ref="K1407">_xlfn.COUNTIFS('외운 것 - 엑셀다운로드 파일(붙여넣기)'!A3:A562,A1407,'외운 것 - 엑셀다운로드 파일(붙여넣기)'!D3:D562,0)</f>
        <v>0</v>
      </c>
      <c r="L1407" s="9" cm="1">
        <f t="array" ref="L1407">IF(J1407&gt;=3,_xlfn.XLOOKUP(A1407,'외운 것 - 엑셀다운로드 파일(붙여넣기)'!A3:A562,'외운 것 - 엑셀다운로드 파일(붙여넣기)'!C3:C562,0,-1),0)</f>
        <v>0</v>
      </c>
    </row>
    <row r="1408" ht="23.45" customHeight="1">
      <c r="A1408" s="3">
        <v>1407</v>
      </c>
      <c r="B1408" t="s" s="4">
        <v>8937</v>
      </c>
      <c r="C1408" t="s" s="5">
        <v>8938</v>
      </c>
      <c r="D1408" t="s" s="5">
        <v>8866</v>
      </c>
      <c r="E1408" t="s" s="5">
        <v>8939</v>
      </c>
      <c r="F1408" t="s" s="10">
        <v>8940</v>
      </c>
      <c r="G1408" t="s" s="7">
        <v>8941</v>
      </c>
      <c r="H1408" t="s" s="7">
        <v>8942</v>
      </c>
      <c r="I1408" t="str" s="8" cm="1">
        <f t="array" ref="I1408">SUBSTITUTE(H1408,B1408,"(          )")</f>
        <v>I have (          ) visited Australia.</v>
      </c>
      <c r="J1408" s="9" cm="1">
        <f t="array" ref="J1408">SUMIF('외운 것 - 엑셀다운로드 파일(붙여넣기)'!A3:A562,A1408,'외운 것 - 엑셀다운로드 파일(붙여넣기)'!D3:D562)</f>
        <v>0</v>
      </c>
      <c r="K1408" s="9" cm="1">
        <f t="array" ref="K1408">_xlfn.COUNTIFS('외운 것 - 엑셀다운로드 파일(붙여넣기)'!A3:A562,A1408,'외운 것 - 엑셀다운로드 파일(붙여넣기)'!D3:D562,0)</f>
        <v>0</v>
      </c>
      <c r="L1408" s="9" cm="1">
        <f t="array" ref="L1408">IF(J1408&gt;=3,_xlfn.XLOOKUP(A1408,'외운 것 - 엑셀다운로드 파일(붙여넣기)'!A3:A562,'외운 것 - 엑셀다운로드 파일(붙여넣기)'!C3:C562,0,-1),0)</f>
        <v>0</v>
      </c>
    </row>
    <row r="1409" ht="38.45" customHeight="1">
      <c r="A1409" s="3">
        <v>1408</v>
      </c>
      <c r="B1409" t="s" s="4">
        <v>8944</v>
      </c>
      <c r="C1409" t="s" s="5">
        <v>8945</v>
      </c>
      <c r="D1409" t="s" s="5">
        <v>8866</v>
      </c>
      <c r="E1409" t="s" s="5">
        <v>8946</v>
      </c>
      <c r="F1409" t="s" s="10">
        <v>8947</v>
      </c>
      <c r="G1409" t="s" s="7">
        <v>8948</v>
      </c>
      <c r="H1409" t="s" s="7">
        <v>8949</v>
      </c>
      <c r="I1409" t="str" s="8" cm="1">
        <f t="array" ref="I1409">SUBSTITUTE(H1409,B1409,"(          )")</f>
        <v>The climb was difficult; (          ), they reached the summit.</v>
      </c>
      <c r="J1409" s="9" cm="1">
        <f t="array" ref="J1409">SUMIF('외운 것 - 엑셀다운로드 파일(붙여넣기)'!A3:A562,A1409,'외운 것 - 엑셀다운로드 파일(붙여넣기)'!D3:D562)</f>
        <v>0</v>
      </c>
      <c r="K1409" s="9" cm="1">
        <f t="array" ref="K1409">_xlfn.COUNTIFS('외운 것 - 엑셀다운로드 파일(붙여넣기)'!A3:A562,A1409,'외운 것 - 엑셀다운로드 파일(붙여넣기)'!D3:D562,0)</f>
        <v>0</v>
      </c>
      <c r="L1409" s="9" cm="1">
        <f t="array" ref="L1409">IF(J1409&gt;=3,_xlfn.XLOOKUP(A1409,'외운 것 - 엑셀다운로드 파일(붙여넣기)'!A3:A562,'외운 것 - 엑셀다운로드 파일(붙여넣기)'!C3:C562,0,-1),0)</f>
        <v>0</v>
      </c>
    </row>
    <row r="1410" ht="38.45" customHeight="1">
      <c r="A1410" s="3">
        <v>1409</v>
      </c>
      <c r="B1410" t="s" s="4">
        <v>8951</v>
      </c>
      <c r="C1410" t="s" s="5">
        <v>8938</v>
      </c>
      <c r="D1410" t="s" s="5">
        <v>8866</v>
      </c>
      <c r="E1410" t="s" s="5">
        <v>8952</v>
      </c>
      <c r="F1410" t="s" s="10">
        <v>8953</v>
      </c>
      <c r="G1410" t="s" s="7">
        <v>8954</v>
      </c>
      <c r="H1410" t="s" s="7">
        <v>8955</v>
      </c>
      <c r="I1410" t="str" s="8" cm="1">
        <f t="array" ref="I1410">SUBSTITUTE(H1410,B1410,"(          )")</f>
        <v>Switzerland remained (          ) during World War II.</v>
      </c>
      <c r="J1410" s="9" cm="1">
        <f t="array" ref="J1410">SUMIF('외운 것 - 엑셀다운로드 파일(붙여넣기)'!A3:A562,A1410,'외운 것 - 엑셀다운로드 파일(붙여넣기)'!D3:D562)</f>
        <v>0</v>
      </c>
      <c r="K1410" s="9" cm="1">
        <f t="array" ref="K1410">_xlfn.COUNTIFS('외운 것 - 엑셀다운로드 파일(붙여넣기)'!A3:A562,A1410,'외운 것 - 엑셀다운로드 파일(붙여넣기)'!D3:D562,0)</f>
        <v>0</v>
      </c>
      <c r="L1410" s="9" cm="1">
        <f t="array" ref="L1410">IF(J1410&gt;=3,_xlfn.XLOOKUP(A1410,'외운 것 - 엑셀다운로드 파일(붙여넣기)'!A3:A562,'외운 것 - 엑셀다운로드 파일(붙여넣기)'!C3:C562,0,-1),0)</f>
        <v>0</v>
      </c>
    </row>
    <row r="1411" ht="23.45" customHeight="1">
      <c r="A1411" s="3">
        <v>1410</v>
      </c>
      <c r="B1411" t="s" s="4">
        <v>8957</v>
      </c>
      <c r="C1411" t="s" s="5">
        <v>8938</v>
      </c>
      <c r="D1411" t="s" s="5">
        <v>8866</v>
      </c>
      <c r="E1411" t="s" s="5">
        <v>8958</v>
      </c>
      <c r="F1411" t="s" s="10">
        <v>8959</v>
      </c>
      <c r="G1411" t="s" s="7">
        <v>8960</v>
      </c>
      <c r="H1411" t="s" s="7">
        <v>8961</v>
      </c>
      <c r="I1411" t="str" s="8" cm="1">
        <f t="array" ref="I1411">SUBSTITUTE(H1411,B1411,"(          )")</f>
        <v>Plants (          ) sunlight and water to grow.</v>
      </c>
      <c r="J1411" s="9" cm="1">
        <f t="array" ref="J1411">SUMIF('외운 것 - 엑셀다운로드 파일(붙여넣기)'!A3:A562,A1411,'외운 것 - 엑셀다운로드 파일(붙여넣기)'!D3:D562)</f>
        <v>0</v>
      </c>
      <c r="K1411" s="9" cm="1">
        <f t="array" ref="K1411">_xlfn.COUNTIFS('외운 것 - 엑셀다운로드 파일(붙여넣기)'!A3:A562,A1411,'외운 것 - 엑셀다운로드 파일(붙여넣기)'!D3:D562,0)</f>
        <v>0</v>
      </c>
      <c r="L1411" s="9" cm="1">
        <f t="array" ref="L1411">IF(J1411&gt;=3,_xlfn.XLOOKUP(A1411,'외운 것 - 엑셀다운로드 파일(붙여넣기)'!A3:A562,'외운 것 - 엑셀다운로드 파일(붙여넣기)'!C3:C562,0,-1),0)</f>
        <v>0</v>
      </c>
    </row>
    <row r="1412" ht="36.4" customHeight="1">
      <c r="A1412" s="3">
        <v>1411</v>
      </c>
      <c r="B1412" t="s" s="4">
        <v>8963</v>
      </c>
      <c r="C1412" t="s" s="5">
        <v>8964</v>
      </c>
      <c r="D1412" t="s" s="5">
        <v>8866</v>
      </c>
      <c r="E1412" t="s" s="5">
        <v>8965</v>
      </c>
      <c r="F1412" t="s" s="10">
        <v>8966</v>
      </c>
      <c r="G1412" t="s" s="7">
        <v>8967</v>
      </c>
      <c r="H1412" t="s" s="7">
        <v>8968</v>
      </c>
      <c r="I1412" t="str" s="8" cm="1">
        <f t="array" ref="I1412">SUBSTITUTE(H1412,B1412,"(          )")</f>
        <v>The nurse used a sterile (          ) for the injection.</v>
      </c>
      <c r="J1412" s="9" cm="1">
        <f t="array" ref="J1412">SUMIF('외운 것 - 엑셀다운로드 파일(붙여넣기)'!A3:A562,A1412,'외운 것 - 엑셀다운로드 파일(붙여넣기)'!D3:D562)</f>
        <v>0</v>
      </c>
      <c r="K1412" s="9" cm="1">
        <f t="array" ref="K1412">_xlfn.COUNTIFS('외운 것 - 엑셀다운로드 파일(붙여넣기)'!A3:A562,A1412,'외운 것 - 엑셀다운로드 파일(붙여넣기)'!D3:D562,0)</f>
        <v>0</v>
      </c>
      <c r="L1412" s="9" cm="1">
        <f t="array" ref="L1412">IF(J1412&gt;=3,_xlfn.XLOOKUP(A1412,'외운 것 - 엑셀다운로드 파일(붙여넣기)'!A3:A562,'외운 것 - 엑셀다운로드 파일(붙여넣기)'!C3:C562,0,-1),0)</f>
        <v>0</v>
      </c>
    </row>
    <row r="1413" ht="23.45" customHeight="1">
      <c r="A1413" s="3">
        <v>1412</v>
      </c>
      <c r="B1413" t="s" s="4">
        <v>8970</v>
      </c>
      <c r="C1413" t="s" s="5">
        <v>8971</v>
      </c>
      <c r="D1413" t="s" s="5">
        <v>8866</v>
      </c>
      <c r="E1413" t="s" s="5">
        <v>8972</v>
      </c>
      <c r="F1413" t="s" s="10">
        <v>8973</v>
      </c>
      <c r="G1413" t="s" s="7">
        <v>8974</v>
      </c>
      <c r="H1413" t="s" s="7">
        <v>8975</v>
      </c>
      <c r="I1413" t="str" s="8" cm="1">
        <f t="array" ref="I1413">SUBSTITUTE(H1413,B1413,"(          )")</f>
        <v>The artist painted (          ) figures in classical style.</v>
      </c>
      <c r="J1413" s="9" cm="1">
        <f t="array" ref="J1413">SUMIF('외운 것 - 엑셀다운로드 파일(붙여넣기)'!A3:A562,A1413,'외운 것 - 엑셀다운로드 파일(붙여넣기)'!D3:D562)</f>
        <v>0</v>
      </c>
      <c r="K1413" s="9" cm="1">
        <f t="array" ref="K1413">_xlfn.COUNTIFS('외운 것 - 엑셀다운로드 파일(붙여넣기)'!A3:A562,A1413,'외운 것 - 엑셀다운로드 파일(붙여넣기)'!D3:D562,0)</f>
        <v>0</v>
      </c>
      <c r="L1413" s="9" cm="1">
        <f t="array" ref="L1413">IF(J1413&gt;=3,_xlfn.XLOOKUP(A1413,'외운 것 - 엑셀다운로드 파일(붙여넣기)'!A3:A562,'외운 것 - 엑셀다운로드 파일(붙여넣기)'!C3:C562,0,-1),0)</f>
        <v>0</v>
      </c>
    </row>
    <row r="1414" ht="38.45" customHeight="1">
      <c r="A1414" s="3">
        <v>1413</v>
      </c>
      <c r="B1414" t="s" s="4">
        <v>8977</v>
      </c>
      <c r="C1414" t="s" s="5">
        <v>8971</v>
      </c>
      <c r="D1414" t="s" s="5">
        <v>8866</v>
      </c>
      <c r="E1414" t="s" s="5">
        <v>8978</v>
      </c>
      <c r="F1414" t="s" s="10">
        <v>8979</v>
      </c>
      <c r="G1414" t="s" s="7">
        <v>8980</v>
      </c>
      <c r="H1414" t="s" s="7">
        <v>8981</v>
      </c>
      <c r="I1414" t="str" s="8" cm="1">
        <f t="array" ref="I1414">SUBSTITUTE(H1414,B1414,"(          )")</f>
        <v>The squirrel collected (          )s for winter.</v>
      </c>
      <c r="J1414" s="9" cm="1">
        <f t="array" ref="J1414">SUMIF('외운 것 - 엑셀다운로드 파일(붙여넣기)'!A3:A562,A1414,'외운 것 - 엑셀다운로드 파일(붙여넣기)'!D3:D562)</f>
        <v>0</v>
      </c>
      <c r="K1414" s="9" cm="1">
        <f t="array" ref="K1414">_xlfn.COUNTIFS('외운 것 - 엑셀다운로드 파일(붙여넣기)'!A3:A562,A1414,'외운 것 - 엑셀다운로드 파일(붙여넣기)'!D3:D562,0)</f>
        <v>0</v>
      </c>
      <c r="L1414" s="9" cm="1">
        <f t="array" ref="L1414">IF(J1414&gt;=3,_xlfn.XLOOKUP(A1414,'외운 것 - 엑셀다운로드 파일(붙여넣기)'!A3:A562,'외운 것 - 엑셀다운로드 파일(붙여넣기)'!C3:C562,0,-1),0)</f>
        <v>0</v>
      </c>
    </row>
    <row r="1415" ht="38.45" customHeight="1">
      <c r="A1415" s="3">
        <v>1414</v>
      </c>
      <c r="B1415" t="s" s="4">
        <v>8983</v>
      </c>
      <c r="C1415" t="s" s="5">
        <v>8971</v>
      </c>
      <c r="D1415" t="s" s="5">
        <v>8866</v>
      </c>
      <c r="E1415" t="s" s="5">
        <v>8984</v>
      </c>
      <c r="F1415" t="s" s="10">
        <v>8985</v>
      </c>
      <c r="G1415" t="s" s="7">
        <v>8986</v>
      </c>
      <c r="H1415" t="s" s="7">
        <v>8987</v>
      </c>
      <c r="I1415" t="str" s="8" cm="1">
        <f t="array" ref="I1415">SUBSTITUTE(H1415,B1415,"(          )")</f>
        <v>Nuclear power plants generate electricity.</v>
      </c>
      <c r="J1415" s="9" cm="1">
        <f t="array" ref="J1415">SUMIF('외운 것 - 엑셀다운로드 파일(붙여넣기)'!A3:A562,A1415,'외운 것 - 엑셀다운로드 파일(붙여넣기)'!D3:D562)</f>
        <v>0</v>
      </c>
      <c r="K1415" s="9" cm="1">
        <f t="array" ref="K1415">_xlfn.COUNTIFS('외운 것 - 엑셀다운로드 파일(붙여넣기)'!A3:A562,A1415,'외운 것 - 엑셀다운로드 파일(붙여넣기)'!D3:D562,0)</f>
        <v>0</v>
      </c>
      <c r="L1415" s="9" cm="1">
        <f t="array" ref="L1415">IF(J1415&gt;=3,_xlfn.XLOOKUP(A1415,'외운 것 - 엑셀다운로드 파일(붙여넣기)'!A3:A562,'외운 것 - 엑셀다운로드 파일(붙여넣기)'!C3:C562,0,-1),0)</f>
        <v>0</v>
      </c>
    </row>
    <row r="1416" ht="38.45" customHeight="1">
      <c r="A1416" s="3">
        <v>1415</v>
      </c>
      <c r="B1416" t="s" s="4">
        <v>8989</v>
      </c>
      <c r="C1416" t="s" s="5">
        <v>8971</v>
      </c>
      <c r="D1416" t="s" s="5">
        <v>8866</v>
      </c>
      <c r="E1416" t="s" s="5">
        <v>8990</v>
      </c>
      <c r="F1416" t="s" s="10">
        <v>8991</v>
      </c>
      <c r="G1416" t="s" s="7">
        <v>8992</v>
      </c>
      <c r="H1416" t="s" s="7">
        <v>8993</v>
      </c>
      <c r="I1416" t="str" s="8" cm="1">
        <f t="array" ref="I1416">SUBSTITUTE(H1416,B1416,"(          )")</f>
        <v>Wearing a suit to interviews is the (          ) in conservative industries.</v>
      </c>
      <c r="J1416" s="9" cm="1">
        <f t="array" ref="J1416">SUMIF('외운 것 - 엑셀다운로드 파일(붙여넣기)'!A3:A562,A1416,'외운 것 - 엑셀다운로드 파일(붙여넣기)'!D3:D562)</f>
        <v>0</v>
      </c>
      <c r="K1416" s="9" cm="1">
        <f t="array" ref="K1416">_xlfn.COUNTIFS('외운 것 - 엑셀다운로드 파일(붙여넣기)'!A3:A562,A1416,'외운 것 - 엑셀다운로드 파일(붙여넣기)'!D3:D562,0)</f>
        <v>0</v>
      </c>
      <c r="L1416" s="9" cm="1">
        <f t="array" ref="L1416">IF(J1416&gt;=3,_xlfn.XLOOKUP(A1416,'외운 것 - 엑셀다운로드 파일(붙여넣기)'!A3:A562,'외운 것 - 엑셀다운로드 파일(붙여넣기)'!C3:C562,0,-1),0)</f>
        <v>0</v>
      </c>
    </row>
    <row r="1417" ht="36.4" customHeight="1">
      <c r="A1417" s="3">
        <v>1416</v>
      </c>
      <c r="B1417" t="s" s="4">
        <v>8995</v>
      </c>
      <c r="C1417" t="s" s="5">
        <v>8996</v>
      </c>
      <c r="D1417" t="s" s="5">
        <v>8866</v>
      </c>
      <c r="E1417" t="s" s="5">
        <v>8997</v>
      </c>
      <c r="F1417" t="s" s="10">
        <v>8998</v>
      </c>
      <c r="G1417" t="s" s="7">
        <v>8999</v>
      </c>
      <c r="H1417" t="s" s="7">
        <v>9000</v>
      </c>
      <c r="I1417" t="str" s="8" cm="1">
        <f t="array" ref="I1417">SUBSTITUTE(H1417,B1417,"(          )")</f>
        <v>It's (          ) to feel nervous before a presentation.</v>
      </c>
      <c r="J1417" s="9" cm="1">
        <f t="array" ref="J1417">SUMIF('외운 것 - 엑셀다운로드 파일(붙여넣기)'!A3:A562,A1417,'외운 것 - 엑셀다운로드 파일(붙여넣기)'!D3:D562)</f>
        <v>0</v>
      </c>
      <c r="K1417" s="9" cm="1">
        <f t="array" ref="K1417">_xlfn.COUNTIFS('외운 것 - 엑셀다운로드 파일(붙여넣기)'!A3:A562,A1417,'외운 것 - 엑셀다운로드 파일(붙여넣기)'!D3:D562,0)</f>
        <v>0</v>
      </c>
      <c r="L1417" s="9" cm="1">
        <f t="array" ref="L1417">IF(J1417&gt;=3,_xlfn.XLOOKUP(A1417,'외운 것 - 엑셀다운로드 파일(붙여넣기)'!A3:A562,'외운 것 - 엑셀다운로드 파일(붙여넣기)'!C3:C562,0,-1),0)</f>
        <v>0</v>
      </c>
    </row>
    <row r="1418" ht="38.45" customHeight="1">
      <c r="A1418" s="3">
        <v>1417</v>
      </c>
      <c r="B1418" t="s" s="4">
        <v>9001</v>
      </c>
      <c r="C1418" t="s" s="5">
        <v>8996</v>
      </c>
      <c r="D1418" t="s" s="5">
        <v>8866</v>
      </c>
      <c r="E1418" t="s" s="5">
        <v>9002</v>
      </c>
      <c r="F1418" t="s" s="10">
        <v>9003</v>
      </c>
      <c r="G1418" t="s" s="7">
        <v>9004</v>
      </c>
      <c r="H1418" t="s" s="7">
        <v>9005</v>
      </c>
      <c r="I1418" t="str" s="8" cm="1">
        <f t="array" ref="I1418">SUBSTITUTE(H1418,B1418,"(          )")</f>
        <v>The company works to (          ) flexible work schedules.</v>
      </c>
      <c r="J1418" s="9" cm="1">
        <f t="array" ref="J1418">SUMIF('외운 것 - 엑셀다운로드 파일(붙여넣기)'!A3:A562,A1418,'외운 것 - 엑셀다운로드 파일(붙여넣기)'!D3:D562)</f>
        <v>0</v>
      </c>
      <c r="K1418" s="9" cm="1">
        <f t="array" ref="K1418">_xlfn.COUNTIFS('외운 것 - 엑셀다운로드 파일(붙여넣기)'!A3:A562,A1418,'외운 것 - 엑셀다운로드 파일(붙여넣기)'!D3:D562,0)</f>
        <v>0</v>
      </c>
      <c r="L1418" s="9" cm="1">
        <f t="array" ref="L1418">IF(J1418&gt;=3,_xlfn.XLOOKUP(A1418,'외운 것 - 엑셀다운로드 파일(붙여넣기)'!A3:A562,'외운 것 - 엑셀다운로드 파일(붙여넣기)'!C3:C562,0,-1),0)</f>
        <v>0</v>
      </c>
    </row>
    <row r="1419" ht="36.4" customHeight="1">
      <c r="A1419" s="3">
        <v>1418</v>
      </c>
      <c r="B1419" t="s" s="4">
        <v>9007</v>
      </c>
      <c r="C1419" t="s" s="5">
        <v>8996</v>
      </c>
      <c r="D1419" t="s" s="5">
        <v>8866</v>
      </c>
      <c r="E1419" t="s" s="5">
        <v>9008</v>
      </c>
      <c r="F1419" t="s" s="10">
        <v>9009</v>
      </c>
      <c r="G1419" t="s" s="7">
        <v>9010</v>
      </c>
      <c r="H1419" t="s" s="7">
        <v>9011</v>
      </c>
      <c r="I1419" t="str" s="8" cm="1">
        <f t="array" ref="I1419">SUBSTITUTE(H1419,B1419,"(          )")</f>
        <v>The patient's body temperature was (          ).</v>
      </c>
      <c r="J1419" s="9" cm="1">
        <f t="array" ref="J1419">SUMIF('외운 것 - 엑셀다운로드 파일(붙여넣기)'!A3:A562,A1419,'외운 것 - 엑셀다운로드 파일(붙여넣기)'!D3:D562)</f>
        <v>0</v>
      </c>
      <c r="K1419" s="9" cm="1">
        <f t="array" ref="K1419">_xlfn.COUNTIFS('외운 것 - 엑셀다운로드 파일(붙여넣기)'!A3:A562,A1419,'외운 것 - 엑셀다운로드 파일(붙여넣기)'!D3:D562,0)</f>
        <v>0</v>
      </c>
      <c r="L1419" s="9" cm="1">
        <f t="array" ref="L1419">IF(J1419&gt;=3,_xlfn.XLOOKUP(A1419,'외운 것 - 엑셀다운로드 파일(붙여넣기)'!A3:A562,'외운 것 - 엑셀다운로드 파일(붙여넣기)'!C3:C562,0,-1),0)</f>
        <v>0</v>
      </c>
    </row>
    <row r="1420" ht="36.4" customHeight="1">
      <c r="A1420" s="3">
        <v>1419</v>
      </c>
      <c r="B1420" t="s" s="4">
        <v>689</v>
      </c>
      <c r="C1420" t="s" s="5">
        <v>8996</v>
      </c>
      <c r="D1420" t="s" s="5">
        <v>8866</v>
      </c>
      <c r="E1420" t="s" s="5">
        <v>690</v>
      </c>
      <c r="F1420" t="s" s="10">
        <v>9013</v>
      </c>
      <c r="G1420" t="s" s="7">
        <v>9014</v>
      </c>
      <c r="H1420" t="s" s="7">
        <v>693</v>
      </c>
      <c r="I1420" t="str" s="8" cm="1">
        <f t="array" ref="I1420">SUBSTITUTE(H1420,B1420,"(          )")</f>
        <v>The doctor noticed (          ) cells in the test results.</v>
      </c>
      <c r="J1420" s="9" cm="1">
        <f t="array" ref="J1420">SUMIF('외운 것 - 엑셀다운로드 파일(붙여넣기)'!A3:A562,A1420,'외운 것 - 엑셀다운로드 파일(붙여넣기)'!D3:D562)</f>
        <v>0</v>
      </c>
      <c r="K1420" s="9" cm="1">
        <f t="array" ref="K1420">_xlfn.COUNTIFS('외운 것 - 엑셀다운로드 파일(붙여넣기)'!A3:A562,A1420,'외운 것 - 엑셀다운로드 파일(붙여넣기)'!D3:D562,0)</f>
        <v>0</v>
      </c>
      <c r="L1420" s="9" cm="1">
        <f t="array" ref="L1420">IF(J1420&gt;=3,_xlfn.XLOOKUP(A1420,'외운 것 - 엑셀다운로드 파일(붙여넣기)'!A3:A562,'외운 것 - 엑셀다운로드 파일(붙여넣기)'!C3:C562,0,-1),0)</f>
        <v>0</v>
      </c>
    </row>
    <row r="1421" ht="38.45" customHeight="1">
      <c r="A1421" s="3">
        <v>1420</v>
      </c>
      <c r="B1421" t="s" s="4">
        <v>9015</v>
      </c>
      <c r="C1421" t="s" s="5">
        <v>8996</v>
      </c>
      <c r="D1421" t="s" s="5">
        <v>8866</v>
      </c>
      <c r="E1421" t="s" s="5">
        <v>9016</v>
      </c>
      <c r="F1421" t="s" s="10">
        <v>9017</v>
      </c>
      <c r="G1421" t="s" s="7">
        <v>9018</v>
      </c>
      <c r="H1421" t="s" s="7">
        <v>9019</v>
      </c>
      <c r="I1421" t="str" s="8" cm="1">
        <f t="array" ref="I1421">SUBSTITUTE(H1421,B1421,"(          )")</f>
        <v>The whale is an (          ) sea creature.</v>
      </c>
      <c r="J1421" s="9" cm="1">
        <f t="array" ref="J1421">SUMIF('외운 것 - 엑셀다운로드 파일(붙여넣기)'!A3:A562,A1421,'외운 것 - 엑셀다운로드 파일(붙여넣기)'!D3:D562)</f>
        <v>0</v>
      </c>
      <c r="K1421" s="9" cm="1">
        <f t="array" ref="K1421">_xlfn.COUNTIFS('외운 것 - 엑셀다운로드 파일(붙여넣기)'!A3:A562,A1421,'외운 것 - 엑셀다운로드 파일(붙여넣기)'!D3:D562,0)</f>
        <v>0</v>
      </c>
      <c r="L1421" s="9" cm="1">
        <f t="array" ref="L1421">IF(J1421&gt;=3,_xlfn.XLOOKUP(A1421,'외운 것 - 엑셀다운로드 파일(붙여넣기)'!A3:A562,'외운 것 - 엑셀다운로드 파일(붙여넣기)'!C3:C562,0,-1),0)</f>
        <v>0</v>
      </c>
    </row>
    <row r="1422" ht="38.45" customHeight="1">
      <c r="A1422" s="3">
        <v>1421</v>
      </c>
      <c r="B1422" t="s" s="4">
        <v>9021</v>
      </c>
      <c r="C1422" t="s" s="5">
        <v>9022</v>
      </c>
      <c r="D1422" t="s" s="5">
        <v>9023</v>
      </c>
      <c r="E1422" t="s" s="5">
        <v>9024</v>
      </c>
      <c r="F1422" t="s" s="10">
        <v>9025</v>
      </c>
      <c r="G1422" t="s" s="7">
        <v>9026</v>
      </c>
      <c r="H1422" t="s" s="7">
        <v>9027</v>
      </c>
      <c r="I1422" t="str" s="8" cm="1">
        <f t="array" ref="I1422">SUBSTITUTE(H1422,B1422,"(          )")</f>
        <v>Children love to play in the (          ).</v>
      </c>
      <c r="J1422" s="9" cm="1">
        <f t="array" ref="J1422">SUMIF('외운 것 - 엑셀다운로드 파일(붙여넣기)'!A3:A562,A1422,'외운 것 - 엑셀다운로드 파일(붙여넣기)'!D3:D562)</f>
        <v>0</v>
      </c>
      <c r="K1422" s="9" cm="1">
        <f t="array" ref="K1422">_xlfn.COUNTIFS('외운 것 - 엑셀다운로드 파일(붙여넣기)'!A3:A562,A1422,'외운 것 - 엑셀다운로드 파일(붙여넣기)'!D3:D562,0)</f>
        <v>0</v>
      </c>
      <c r="L1422" s="9" cm="1">
        <f t="array" ref="L1422">IF(J1422&gt;=3,_xlfn.XLOOKUP(A1422,'외운 것 - 엑셀다운로드 파일(붙여넣기)'!A3:A562,'외운 것 - 엑셀다운로드 파일(붙여넣기)'!C3:C562,0,-1),0)</f>
        <v>0</v>
      </c>
    </row>
    <row r="1423" ht="23.45" customHeight="1">
      <c r="A1423" s="3">
        <v>1422</v>
      </c>
      <c r="B1423" t="s" s="4">
        <v>9029</v>
      </c>
      <c r="C1423" t="s" s="5">
        <v>9022</v>
      </c>
      <c r="D1423" t="s" s="5">
        <v>9023</v>
      </c>
      <c r="E1423" t="s" s="5">
        <v>9030</v>
      </c>
      <c r="F1423" t="s" s="10">
        <v>9031</v>
      </c>
      <c r="G1423" t="s" s="7">
        <v>9032</v>
      </c>
      <c r="H1423" t="s" s="7">
        <v>9033</v>
      </c>
      <c r="I1423" t="str" s="8" cm="1">
        <f t="array" ref="I1423">SUBSTITUTE(H1423,B1423,"(          )")</f>
        <v>The (          ) slithered across the garden path.</v>
      </c>
      <c r="J1423" s="9" cm="1">
        <f t="array" ref="J1423">SUMIF('외운 것 - 엑셀다운로드 파일(붙여넣기)'!A3:A562,A1423,'외운 것 - 엑셀다운로드 파일(붙여넣기)'!D3:D562)</f>
        <v>0</v>
      </c>
      <c r="K1423" s="9" cm="1">
        <f t="array" ref="K1423">_xlfn.COUNTIFS('외운 것 - 엑셀다운로드 파일(붙여넣기)'!A3:A562,A1423,'외운 것 - 엑셀다운로드 파일(붙여넣기)'!D3:D562,0)</f>
        <v>0</v>
      </c>
      <c r="L1423" s="9" cm="1">
        <f t="array" ref="L1423">IF(J1423&gt;=3,_xlfn.XLOOKUP(A1423,'외운 것 - 엑셀다운로드 파일(붙여넣기)'!A3:A562,'외운 것 - 엑셀다운로드 파일(붙여넣기)'!C3:C562,0,-1),0)</f>
        <v>0</v>
      </c>
    </row>
    <row r="1424" ht="23.45" customHeight="1">
      <c r="A1424" s="3">
        <v>1423</v>
      </c>
      <c r="B1424" t="s" s="4">
        <v>9035</v>
      </c>
      <c r="C1424" t="s" s="5">
        <v>9022</v>
      </c>
      <c r="D1424" t="s" s="5">
        <v>9023</v>
      </c>
      <c r="E1424" t="s" s="5">
        <v>9036</v>
      </c>
      <c r="F1424" t="s" s="10">
        <v>9037</v>
      </c>
      <c r="G1424" t="s" s="7">
        <v>9038</v>
      </c>
      <c r="H1424" t="s" s="7">
        <v>9039</v>
      </c>
      <c r="I1424" t="str" s="8" cm="1">
        <f t="array" ref="I1424">SUBSTITUTE(H1424,B1424,"(          )")</f>
        <v>The thief tried to (          ) her purse.</v>
      </c>
      <c r="J1424" s="9" cm="1">
        <f t="array" ref="J1424">SUMIF('외운 것 - 엑셀다운로드 파일(붙여넣기)'!A3:A562,A1424,'외운 것 - 엑셀다운로드 파일(붙여넣기)'!D3:D562)</f>
        <v>0</v>
      </c>
      <c r="K1424" s="9" cm="1">
        <f t="array" ref="K1424">_xlfn.COUNTIFS('외운 것 - 엑셀다운로드 파일(붙여넣기)'!A3:A562,A1424,'외운 것 - 엑셀다운로드 파일(붙여넣기)'!D3:D562,0)</f>
        <v>0</v>
      </c>
      <c r="L1424" s="9" cm="1">
        <f t="array" ref="L1424">IF(J1424&gt;=3,_xlfn.XLOOKUP(A1424,'외운 것 - 엑셀다운로드 파일(붙여넣기)'!A3:A562,'외운 것 - 엑셀다운로드 파일(붙여넣기)'!C3:C562,0,-1),0)</f>
        <v>0</v>
      </c>
    </row>
    <row r="1425" ht="23.45" customHeight="1">
      <c r="A1425" s="3">
        <v>1424</v>
      </c>
      <c r="B1425" t="s" s="4">
        <v>9041</v>
      </c>
      <c r="C1425" t="s" s="5">
        <v>9022</v>
      </c>
      <c r="D1425" t="s" s="5">
        <v>9023</v>
      </c>
      <c r="E1425" t="s" s="5">
        <v>9042</v>
      </c>
      <c r="F1425" t="s" s="10">
        <v>9043</v>
      </c>
      <c r="G1425" t="s" s="7">
        <v>9044</v>
      </c>
      <c r="H1425" t="s" s="7">
        <v>9045</v>
      </c>
      <c r="I1425" t="str" s="8" cm="1">
        <f t="array" ref="I1425">SUBSTITUTE(H1425,B1425,"(          )")</f>
        <v>Hunters set a (          ) to catch rabbits.</v>
      </c>
      <c r="J1425" s="9" cm="1">
        <f t="array" ref="J1425">SUMIF('외운 것 - 엑셀다운로드 파일(붙여넣기)'!A3:A562,A1425,'외운 것 - 엑셀다운로드 파일(붙여넣기)'!D3:D562)</f>
        <v>0</v>
      </c>
      <c r="K1425" s="9" cm="1">
        <f t="array" ref="K1425">_xlfn.COUNTIFS('외운 것 - 엑셀다운로드 파일(붙여넣기)'!A3:A562,A1425,'외운 것 - 엑셀다운로드 파일(붙여넣기)'!D3:D562,0)</f>
        <v>0</v>
      </c>
      <c r="L1425" s="9" cm="1">
        <f t="array" ref="L1425">IF(J1425&gt;=3,_xlfn.XLOOKUP(A1425,'외운 것 - 엑셀다운로드 파일(붙여넣기)'!A3:A562,'외운 것 - 엑셀다운로드 파일(붙여넣기)'!C3:C562,0,-1),0)</f>
        <v>0</v>
      </c>
    </row>
    <row r="1426" ht="38.45" customHeight="1">
      <c r="A1426" s="3">
        <v>1425</v>
      </c>
      <c r="B1426" t="s" s="4">
        <v>9047</v>
      </c>
      <c r="C1426" t="s" s="5">
        <v>9022</v>
      </c>
      <c r="D1426" t="s" s="5">
        <v>9023</v>
      </c>
      <c r="E1426" t="s" s="5">
        <v>9048</v>
      </c>
      <c r="F1426" t="s" s="10">
        <v>9049</v>
      </c>
      <c r="G1426" t="s" s="7">
        <v>9050</v>
      </c>
      <c r="H1426" t="s" s="7">
        <v>9051</v>
      </c>
      <c r="I1426" t="str" s="8" cm="1">
        <f t="array" ref="I1426">SUBSTITUTE(H1426,B1426,"(          )")</f>
        <v>His sweater had a (          ) from catching on a nail.</v>
      </c>
      <c r="J1426" s="9" cm="1">
        <f t="array" ref="J1426">SUMIF('외운 것 - 엑셀다운로드 파일(붙여넣기)'!A3:A562,A1426,'외운 것 - 엑셀다운로드 파일(붙여넣기)'!D3:D562)</f>
        <v>0</v>
      </c>
      <c r="K1426" s="9" cm="1">
        <f t="array" ref="K1426">_xlfn.COUNTIFS('외운 것 - 엑셀다운로드 파일(붙여넣기)'!A3:A562,A1426,'외운 것 - 엑셀다운로드 파일(붙여넣기)'!D3:D562,0)</f>
        <v>0</v>
      </c>
      <c r="L1426" s="9" cm="1">
        <f t="array" ref="L1426">IF(J1426&gt;=3,_xlfn.XLOOKUP(A1426,'외운 것 - 엑셀다운로드 파일(붙여넣기)'!A3:A562,'외운 것 - 엑셀다운로드 파일(붙여넣기)'!C3:C562,0,-1),0)</f>
        <v>0</v>
      </c>
    </row>
    <row r="1427" ht="38.45" customHeight="1">
      <c r="A1427" s="3">
        <v>1426</v>
      </c>
      <c r="B1427" t="s" s="4">
        <v>9053</v>
      </c>
      <c r="C1427" t="s" s="5">
        <v>9022</v>
      </c>
      <c r="D1427" t="s" s="5">
        <v>9023</v>
      </c>
      <c r="E1427" t="s" s="5">
        <v>9054</v>
      </c>
      <c r="F1427" t="s" s="10">
        <v>9055</v>
      </c>
      <c r="G1427" t="s" s="7">
        <v>9056</v>
      </c>
      <c r="H1427" t="s" s="7">
        <v>9057</v>
      </c>
      <c r="I1427" t="str" s="8" cm="1">
        <f t="array" ref="I1427">SUBSTITUTE(H1427,B1427,"(          )")</f>
        <v>The twig will (          ) if you bend it too far.</v>
      </c>
      <c r="J1427" s="9" cm="1">
        <f t="array" ref="J1427">SUMIF('외운 것 - 엑셀다운로드 파일(붙여넣기)'!A3:A562,A1427,'외운 것 - 엑셀다운로드 파일(붙여넣기)'!D3:D562)</f>
        <v>0</v>
      </c>
      <c r="K1427" s="9" cm="1">
        <f t="array" ref="K1427">_xlfn.COUNTIFS('외운 것 - 엑셀다운로드 파일(붙여넣기)'!A3:A562,A1427,'외운 것 - 엑셀다운로드 파일(붙여넣기)'!D3:D562,0)</f>
        <v>0</v>
      </c>
      <c r="L1427" s="9" cm="1">
        <f t="array" ref="L1427">IF(J1427&gt;=3,_xlfn.XLOOKUP(A1427,'외운 것 - 엑셀다운로드 파일(붙여넣기)'!A3:A562,'외운 것 - 엑셀다운로드 파일(붙여넣기)'!C3:C562,0,-1),0)</f>
        <v>0</v>
      </c>
    </row>
    <row r="1428" ht="23.45" customHeight="1">
      <c r="A1428" s="3">
        <v>1427</v>
      </c>
      <c r="B1428" t="s" s="4">
        <v>9059</v>
      </c>
      <c r="C1428" t="s" s="5">
        <v>9060</v>
      </c>
      <c r="D1428" t="s" s="5">
        <v>9061</v>
      </c>
      <c r="E1428" t="s" s="5">
        <v>9062</v>
      </c>
      <c r="F1428" t="s" s="10">
        <v>9063</v>
      </c>
      <c r="G1428" t="s" s="7">
        <v>2461</v>
      </c>
      <c r="H1428" t="s" s="7">
        <v>9064</v>
      </c>
      <c r="I1428" t="str" s="8" cm="1">
        <f t="array" ref="I1428">SUBSTITUTE(H1428,B1428,"(          )")</f>
        <v>Japan is an island (          ) in East Asia.</v>
      </c>
      <c r="J1428" s="9" cm="1">
        <f t="array" ref="J1428">SUMIF('외운 것 - 엑셀다운로드 파일(붙여넣기)'!A3:A562,A1428,'외운 것 - 엑셀다운로드 파일(붙여넣기)'!D3:D562)</f>
        <v>0</v>
      </c>
      <c r="K1428" s="9" cm="1">
        <f t="array" ref="K1428">_xlfn.COUNTIFS('외운 것 - 엑셀다운로드 파일(붙여넣기)'!A3:A562,A1428,'외운 것 - 엑셀다운로드 파일(붙여넣기)'!D3:D562,0)</f>
        <v>0</v>
      </c>
      <c r="L1428" s="9" cm="1">
        <f t="array" ref="L1428">IF(J1428&gt;=3,_xlfn.XLOOKUP(A1428,'외운 것 - 엑셀다운로드 파일(붙여넣기)'!A3:A562,'외운 것 - 엑셀다운로드 파일(붙여넣기)'!C3:C562,0,-1),0)</f>
        <v>0</v>
      </c>
    </row>
    <row r="1429" ht="38.45" customHeight="1">
      <c r="A1429" s="3">
        <v>1428</v>
      </c>
      <c r="B1429" t="s" s="4">
        <v>9066</v>
      </c>
      <c r="C1429" t="s" s="5">
        <v>9067</v>
      </c>
      <c r="D1429" t="s" s="5">
        <v>9060</v>
      </c>
      <c r="E1429" t="s" s="5">
        <v>9068</v>
      </c>
      <c r="F1429" t="s" s="10">
        <v>9069</v>
      </c>
      <c r="G1429" t="s" s="7">
        <v>9070</v>
      </c>
      <c r="H1429" t="s" s="7">
        <v>9071</v>
      </c>
      <c r="I1429" t="str" s="8" cm="1">
        <f t="array" ref="I1429">SUBSTITUTE(H1429,B1429,"(          )")</f>
        <v>The airport handles both domestic and (          ) flights.</v>
      </c>
      <c r="J1429" s="9" cm="1">
        <f t="array" ref="J1429">SUMIF('외운 것 - 엑셀다운로드 파일(붙여넣기)'!A3:A562,A1429,'외운 것 - 엑셀다운로드 파일(붙여넣기)'!D3:D562)</f>
        <v>0</v>
      </c>
      <c r="K1429" s="9" cm="1">
        <f t="array" ref="K1429">_xlfn.COUNTIFS('외운 것 - 엑셀다운로드 파일(붙여넣기)'!A3:A562,A1429,'외운 것 - 엑셀다운로드 파일(붙여넣기)'!D3:D562,0)</f>
        <v>0</v>
      </c>
      <c r="L1429" s="9" cm="1">
        <f t="array" ref="L1429">IF(J1429&gt;=3,_xlfn.XLOOKUP(A1429,'외운 것 - 엑셀다운로드 파일(붙여넣기)'!A3:A562,'외운 것 - 엑셀다운로드 파일(붙여넣기)'!C3:C562,0,-1),0)</f>
        <v>0</v>
      </c>
    </row>
    <row r="1430" ht="23.45" customHeight="1">
      <c r="A1430" s="3">
        <v>1429</v>
      </c>
      <c r="B1430" t="s" s="4">
        <v>9073</v>
      </c>
      <c r="C1430" t="s" s="5">
        <v>9060</v>
      </c>
      <c r="D1430" t="s" s="5">
        <v>9061</v>
      </c>
      <c r="E1430" t="s" s="5">
        <v>9074</v>
      </c>
      <c r="F1430" t="s" s="10">
        <v>9075</v>
      </c>
      <c r="G1430" t="s" s="7">
        <v>9076</v>
      </c>
      <c r="H1430" t="s" s="7">
        <v>9077</v>
      </c>
      <c r="I1430" t="str" s="8" cm="1">
        <f t="array" ref="I1430">SUBSTITUTE(H1430,B1430,"(          )")</f>
        <v>She is a (          ) of Brazil but now lives in Canada.</v>
      </c>
      <c r="J1430" s="9" cm="1">
        <f t="array" ref="J1430">SUMIF('외운 것 - 엑셀다운로드 파일(붙여넣기)'!A3:A562,A1430,'외운 것 - 엑셀다운로드 파일(붙여넣기)'!D3:D562)</f>
        <v>0</v>
      </c>
      <c r="K1430" s="9" cm="1">
        <f t="array" ref="K1430">_xlfn.COUNTIFS('외운 것 - 엑셀다운로드 파일(붙여넣기)'!A3:A562,A1430,'외운 것 - 엑셀다운로드 파일(붙여넣기)'!D3:D562,0)</f>
        <v>0</v>
      </c>
      <c r="L1430" s="9" cm="1">
        <f t="array" ref="L1430">IF(J1430&gt;=3,_xlfn.XLOOKUP(A1430,'외운 것 - 엑셀다운로드 파일(붙여넣기)'!A3:A562,'외운 것 - 엑셀다운로드 파일(붙여넣기)'!C3:C562,0,-1),0)</f>
        <v>0</v>
      </c>
    </row>
    <row r="1431" ht="23.45" customHeight="1">
      <c r="A1431" s="3">
        <v>1430</v>
      </c>
      <c r="B1431" t="s" s="4">
        <v>9079</v>
      </c>
      <c r="C1431" t="s" s="5">
        <v>9060</v>
      </c>
      <c r="D1431" t="s" s="5">
        <v>9061</v>
      </c>
      <c r="E1431" t="s" s="5">
        <v>9080</v>
      </c>
      <c r="F1431" t="s" s="10">
        <v>9081</v>
      </c>
      <c r="G1431" t="s" s="7">
        <v>9082</v>
      </c>
      <c r="H1431" t="s" s="7">
        <v>9083</v>
      </c>
      <c r="I1431" t="str" s="8" cm="1">
        <f t="array" ref="I1431">SUBSTITUTE(H1431,B1431,"(          )")</f>
        <v>I love spending time in (          ), especially forests.</v>
      </c>
      <c r="J1431" s="9" cm="1">
        <f t="array" ref="J1431">SUMIF('외운 것 - 엑셀다운로드 파일(붙여넣기)'!A3:A562,A1431,'외운 것 - 엑셀다운로드 파일(붙여넣기)'!D3:D562)</f>
        <v>0</v>
      </c>
      <c r="K1431" s="9" cm="1">
        <f t="array" ref="K1431">_xlfn.COUNTIFS('외운 것 - 엑셀다운로드 파일(붙여넣기)'!A3:A562,A1431,'외운 것 - 엑셀다운로드 파일(붙여넣기)'!D3:D562,0)</f>
        <v>0</v>
      </c>
      <c r="L1431" s="9" cm="1">
        <f t="array" ref="L1431">IF(J1431&gt;=3,_xlfn.XLOOKUP(A1431,'외운 것 - 엑셀다운로드 파일(붙여넣기)'!A3:A562,'외운 것 - 엑셀다운로드 파일(붙여넣기)'!C3:C562,0,-1),0)</f>
        <v>0</v>
      </c>
    </row>
    <row r="1432" ht="36.4" customHeight="1">
      <c r="A1432" s="3">
        <v>1431</v>
      </c>
      <c r="B1432" t="s" s="4">
        <v>9085</v>
      </c>
      <c r="C1432" t="s" s="5">
        <v>9086</v>
      </c>
      <c r="D1432" t="s" s="5">
        <v>9060</v>
      </c>
      <c r="E1432" t="s" s="5">
        <v>9087</v>
      </c>
      <c r="F1432" t="s" s="10">
        <v>9088</v>
      </c>
      <c r="G1432" t="s" s="7">
        <v>9089</v>
      </c>
      <c r="H1432" t="s" s="7">
        <v>9090</v>
      </c>
      <c r="I1432" t="str" s="8" cm="1">
        <f t="array" ref="I1432">SUBSTITUTE(H1432,B1432,"(          )")</f>
        <v>The yogurt contains only (          ) ingredients.</v>
      </c>
      <c r="J1432" s="9" cm="1">
        <f t="array" ref="J1432">SUMIF('외운 것 - 엑셀다운로드 파일(붙여넣기)'!A3:A562,A1432,'외운 것 - 엑셀다운로드 파일(붙여넣기)'!D3:D562)</f>
        <v>0</v>
      </c>
      <c r="K1432" s="9" cm="1">
        <f t="array" ref="K1432">_xlfn.COUNTIFS('외운 것 - 엑셀다운로드 파일(붙여넣기)'!A3:A562,A1432,'외운 것 - 엑셀다운로드 파일(붙여넣기)'!D3:D562,0)</f>
        <v>0</v>
      </c>
      <c r="L1432" s="9" cm="1">
        <f t="array" ref="L1432">IF(J1432&gt;=3,_xlfn.XLOOKUP(A1432,'외운 것 - 엑셀다운로드 파일(붙여넣기)'!A3:A562,'외운 것 - 엑셀다운로드 파일(붙여넣기)'!C3:C562,0,-1),0)</f>
        <v>0</v>
      </c>
    </row>
    <row r="1433" ht="50.45" customHeight="1">
      <c r="A1433" s="3">
        <v>1432</v>
      </c>
      <c r="B1433" t="s" s="4">
        <v>9092</v>
      </c>
      <c r="C1433" t="s" s="5">
        <v>9093</v>
      </c>
      <c r="D1433" t="s" s="5">
        <v>9060</v>
      </c>
      <c r="E1433" t="s" s="5">
        <v>9094</v>
      </c>
      <c r="F1433" t="s" s="10">
        <v>9095</v>
      </c>
      <c r="G1433" t="s" s="7">
        <v>9096</v>
      </c>
      <c r="H1433" t="s" s="7">
        <v>9097</v>
      </c>
      <c r="I1433" t="str" s="8" cm="1">
        <f t="array" ref="I1433">SUBSTITUTE(H1433,B1433,"(          )")</f>
        <v>The movie explores (          ) phenomena.</v>
      </c>
      <c r="J1433" s="9" cm="1">
        <f t="array" ref="J1433">SUMIF('외운 것 - 엑셀다운로드 파일(붙여넣기)'!A3:A562,A1433,'외운 것 - 엑셀다운로드 파일(붙여넣기)'!D3:D562)</f>
        <v>0</v>
      </c>
      <c r="K1433" s="9" cm="1">
        <f t="array" ref="K1433">_xlfn.COUNTIFS('외운 것 - 엑셀다운로드 파일(붙여넣기)'!A3:A562,A1433,'외운 것 - 엑셀다운로드 파일(붙여넣기)'!D3:D562,0)</f>
        <v>0</v>
      </c>
      <c r="L1433" s="9" cm="1">
        <f t="array" ref="L1433">IF(J1433&gt;=3,_xlfn.XLOOKUP(A1433,'외운 것 - 엑셀다운로드 파일(붙여넣기)'!A3:A562,'외운 것 - 엑셀다운로드 파일(붙여넣기)'!C3:C562,0,-1),0)</f>
        <v>0</v>
      </c>
    </row>
    <row r="1434" ht="38.45" customHeight="1">
      <c r="A1434" s="3">
        <v>1433</v>
      </c>
      <c r="B1434" t="s" s="4">
        <v>9099</v>
      </c>
      <c r="C1434" t="s" s="5">
        <v>9060</v>
      </c>
      <c r="D1434" t="s" s="5">
        <v>9061</v>
      </c>
      <c r="E1434" t="s" s="5">
        <v>9100</v>
      </c>
      <c r="F1434" t="s" s="10">
        <v>9101</v>
      </c>
      <c r="G1434" t="s" s="7">
        <v>9102</v>
      </c>
      <c r="H1434" t="s" s="7">
        <v>9103</v>
      </c>
      <c r="I1434" t="str" s="8" cm="1">
        <f t="array" ref="I1434">SUBSTITUTE(H1434,B1434,"(          )")</f>
        <v>She has an (          ) talent for music.</v>
      </c>
      <c r="J1434" s="9" cm="1">
        <f t="array" ref="J1434">SUMIF('외운 것 - 엑셀다운로드 파일(붙여넣기)'!A3:A562,A1434,'외운 것 - 엑셀다운로드 파일(붙여넣기)'!D3:D562)</f>
        <v>0</v>
      </c>
      <c r="K1434" s="9" cm="1">
        <f t="array" ref="K1434">_xlfn.COUNTIFS('외운 것 - 엑셀다운로드 파일(붙여넣기)'!A3:A562,A1434,'외운 것 - 엑셀다운로드 파일(붙여넣기)'!D3:D562,0)</f>
        <v>0</v>
      </c>
      <c r="L1434" s="9" cm="1">
        <f t="array" ref="L1434">IF(J1434&gt;=3,_xlfn.XLOOKUP(A1434,'외운 것 - 엑셀다운로드 파일(붙여넣기)'!A3:A562,'외운 것 - 엑셀다운로드 파일(붙여넣기)'!C3:C562,0,-1),0)</f>
        <v>0</v>
      </c>
    </row>
    <row r="1435" ht="38.45" customHeight="1">
      <c r="A1435" s="3">
        <v>1434</v>
      </c>
      <c r="B1435" t="s" s="4">
        <v>9105</v>
      </c>
      <c r="C1435" t="s" s="5">
        <v>9060</v>
      </c>
      <c r="D1435" t="s" s="5">
        <v>9061</v>
      </c>
      <c r="E1435" t="s" s="5">
        <v>9106</v>
      </c>
      <c r="F1435" t="s" s="10">
        <v>9107</v>
      </c>
      <c r="G1435" t="s" s="7">
        <v>9108</v>
      </c>
      <c r="H1435" t="s" s="7">
        <v>9109</v>
      </c>
      <c r="I1435" t="str" s="8" cm="1">
        <f t="array" ref="I1435">SUBSTITUTE(H1435,B1435,"(          )")</f>
        <v>Oil and (          ) water are often found together.</v>
      </c>
      <c r="J1435" s="9" cm="1">
        <f t="array" ref="J1435">SUMIF('외운 것 - 엑셀다운로드 파일(붙여넣기)'!A3:A562,A1435,'외운 것 - 엑셀다운로드 파일(붙여넣기)'!D3:D562)</f>
        <v>0</v>
      </c>
      <c r="K1435" s="9" cm="1">
        <f t="array" ref="K1435">_xlfn.COUNTIFS('외운 것 - 엑셀다운로드 파일(붙여넣기)'!A3:A562,A1435,'외운 것 - 엑셀다운로드 파일(붙여넣기)'!D3:D562,0)</f>
        <v>0</v>
      </c>
      <c r="L1435" s="9" cm="1">
        <f t="array" ref="L1435">IF(J1435&gt;=3,_xlfn.XLOOKUP(A1435,'외운 것 - 엑셀다운로드 파일(붙여넣기)'!A3:A562,'외운 것 - 엑셀다운로드 파일(붙여넣기)'!C3:C562,0,-1),0)</f>
        <v>0</v>
      </c>
    </row>
    <row r="1436" ht="23.45" customHeight="1">
      <c r="A1436" s="3">
        <v>1435</v>
      </c>
      <c r="B1436" t="s" s="4">
        <v>9111</v>
      </c>
      <c r="C1436" t="s" s="5">
        <v>9112</v>
      </c>
      <c r="D1436" t="s" s="5">
        <v>9113</v>
      </c>
      <c r="E1436" t="s" s="5">
        <v>9114</v>
      </c>
      <c r="F1436" t="s" s="10">
        <v>9115</v>
      </c>
      <c r="G1436" t="s" s="7">
        <v>9116</v>
      </c>
      <c r="H1436" t="s" s="7">
        <v>9117</v>
      </c>
      <c r="I1436" t="str" s="8" cm="1">
        <f t="array" ref="I1436">SUBSTITUTE(H1436,B1436,"(          )")</f>
        <v>Her (          ) won several literary awards.</v>
      </c>
      <c r="J1436" s="9" cm="1">
        <f t="array" ref="J1436">SUMIF('외운 것 - 엑셀다운로드 파일(붙여넣기)'!A3:A562,A1436,'외운 것 - 엑셀다운로드 파일(붙여넣기)'!D3:D562)</f>
        <v>0</v>
      </c>
      <c r="K1436" s="9" cm="1">
        <f t="array" ref="K1436">_xlfn.COUNTIFS('외운 것 - 엑셀다운로드 파일(붙여넣기)'!A3:A562,A1436,'외운 것 - 엑셀다운로드 파일(붙여넣기)'!D3:D562,0)</f>
        <v>0</v>
      </c>
      <c r="L1436" s="9" cm="1">
        <f t="array" ref="L1436">IF(J1436&gt;=3,_xlfn.XLOOKUP(A1436,'외운 것 - 엑셀다운로드 파일(붙여넣기)'!A3:A562,'외운 것 - 엑셀다운로드 파일(붙여넣기)'!C3:C562,0,-1),0)</f>
        <v>0</v>
      </c>
    </row>
    <row r="1437" ht="36.4" customHeight="1">
      <c r="A1437" s="3">
        <v>1436</v>
      </c>
      <c r="B1437" t="s" s="4">
        <v>9119</v>
      </c>
      <c r="C1437" t="s" s="5">
        <v>9120</v>
      </c>
      <c r="D1437" t="s" s="5">
        <v>9112</v>
      </c>
      <c r="E1437" t="s" s="5">
        <v>9121</v>
      </c>
      <c r="F1437" t="s" s="10">
        <v>9122</v>
      </c>
      <c r="G1437" t="s" s="7">
        <v>9123</v>
      </c>
      <c r="H1437" t="s" s="7">
        <v>9124</v>
      </c>
      <c r="I1437" t="str" s="8" cm="1">
        <f t="array" ref="I1437">SUBSTITUTE(H1437,B1437,"(          )")</f>
        <v>The (          ) of the new toy quickly wore off.</v>
      </c>
      <c r="J1437" s="9" cm="1">
        <f t="array" ref="J1437">SUMIF('외운 것 - 엑셀다운로드 파일(붙여넣기)'!A3:A562,A1437,'외운 것 - 엑셀다운로드 파일(붙여넣기)'!D3:D562)</f>
        <v>0</v>
      </c>
      <c r="K1437" s="9" cm="1">
        <f t="array" ref="K1437">_xlfn.COUNTIFS('외운 것 - 엑셀다운로드 파일(붙여넣기)'!A3:A562,A1437,'외운 것 - 엑셀다운로드 파일(붙여넣기)'!D3:D562,0)</f>
        <v>0</v>
      </c>
      <c r="L1437" s="9" cm="1">
        <f t="array" ref="L1437">IF(J1437&gt;=3,_xlfn.XLOOKUP(A1437,'외운 것 - 엑셀다운로드 파일(붙여넣기)'!A3:A562,'외운 것 - 엑셀다운로드 파일(붙여넣기)'!C3:C562,0,-1),0)</f>
        <v>0</v>
      </c>
    </row>
    <row r="1438" ht="23.45" customHeight="1">
      <c r="A1438" s="3">
        <v>1437</v>
      </c>
      <c r="B1438" t="s" s="4">
        <v>9126</v>
      </c>
      <c r="C1438" t="s" s="5">
        <v>9112</v>
      </c>
      <c r="D1438" t="s" s="5">
        <v>9113</v>
      </c>
      <c r="E1438" t="s" s="5">
        <v>9127</v>
      </c>
      <c r="F1438" t="s" s="10">
        <v>9128</v>
      </c>
      <c r="G1438" t="s" s="7">
        <v>9129</v>
      </c>
      <c r="H1438" t="s" s="7">
        <v>9130</v>
      </c>
      <c r="I1438" t="str" s="8" cm="1">
        <f t="array" ref="I1438">SUBSTITUTE(H1438,B1438,"(          )")</f>
        <v>He is still a (          ) at chess.</v>
      </c>
      <c r="J1438" s="9" cm="1">
        <f t="array" ref="J1438">SUMIF('외운 것 - 엑셀다운로드 파일(붙여넣기)'!A3:A562,A1438,'외운 것 - 엑셀다운로드 파일(붙여넣기)'!D3:D562)</f>
        <v>0</v>
      </c>
      <c r="K1438" s="9" cm="1">
        <f t="array" ref="K1438">_xlfn.COUNTIFS('외운 것 - 엑셀다운로드 파일(붙여넣기)'!A3:A562,A1438,'외운 것 - 엑셀다운로드 파일(붙여넣기)'!D3:D562,0)</f>
        <v>0</v>
      </c>
      <c r="L1438" s="9" cm="1">
        <f t="array" ref="L1438">IF(J1438&gt;=3,_xlfn.XLOOKUP(A1438,'외운 것 - 엑셀다운로드 파일(붙여넣기)'!A3:A562,'외운 것 - 엑셀다운로드 파일(붙여넣기)'!C3:C562,0,-1),0)</f>
        <v>0</v>
      </c>
    </row>
    <row r="1439" ht="23.45" customHeight="1">
      <c r="A1439" s="3">
        <v>1438</v>
      </c>
      <c r="B1439" t="s" s="4">
        <v>9132</v>
      </c>
      <c r="C1439" t="s" s="5">
        <v>9112</v>
      </c>
      <c r="D1439" t="s" s="5">
        <v>9113</v>
      </c>
      <c r="E1439" t="s" s="5">
        <v>9133</v>
      </c>
      <c r="F1439" t="s" s="10">
        <v>9134</v>
      </c>
      <c r="G1439" t="s" s="7">
        <v>9135</v>
      </c>
      <c r="H1439" t="s" s="7">
        <v>9136</v>
      </c>
      <c r="I1439" t="str" s="8" cm="1">
        <f t="array" ref="I1439">SUBSTITUTE(H1439,B1439,"(          )")</f>
        <v>They plan to (          ) their kitchen next year.</v>
      </c>
      <c r="J1439" s="9" cm="1">
        <f t="array" ref="J1439">SUMIF('외운 것 - 엑셀다운로드 파일(붙여넣기)'!A3:A562,A1439,'외운 것 - 엑셀다운로드 파일(붙여넣기)'!D3:D562)</f>
        <v>0</v>
      </c>
      <c r="K1439" s="9" cm="1">
        <f t="array" ref="K1439">_xlfn.COUNTIFS('외운 것 - 엑셀다운로드 파일(붙여넣기)'!A3:A562,A1439,'외운 것 - 엑셀다운로드 파일(붙여넣기)'!D3:D562,0)</f>
        <v>0</v>
      </c>
      <c r="L1439" s="9" cm="1">
        <f t="array" ref="L1439">IF(J1439&gt;=3,_xlfn.XLOOKUP(A1439,'외운 것 - 엑셀다운로드 파일(붙여넣기)'!A3:A562,'외운 것 - 엑셀다운로드 파일(붙여넣기)'!C3:C562,0,-1),0)</f>
        <v>0</v>
      </c>
    </row>
    <row r="1440" ht="23.45" customHeight="1">
      <c r="A1440" s="3">
        <v>1439</v>
      </c>
      <c r="B1440" t="s" s="4">
        <v>9138</v>
      </c>
      <c r="C1440" t="s" s="5">
        <v>9112</v>
      </c>
      <c r="D1440" t="s" s="5">
        <v>9113</v>
      </c>
      <c r="E1440" t="s" s="5">
        <v>9139</v>
      </c>
      <c r="F1440" t="s" s="10">
        <v>9140</v>
      </c>
      <c r="G1440" t="s" s="7">
        <v>9141</v>
      </c>
      <c r="H1440" t="s" s="7">
        <v>9142</v>
      </c>
      <c r="I1440" t="str" s="8" cm="1">
        <f t="array" ref="I1440">SUBSTITUTE(H1440,B1440,"(          )")</f>
        <v>Companies must (          ) to stay competitive.</v>
      </c>
      <c r="J1440" s="9" cm="1">
        <f t="array" ref="J1440">SUMIF('외운 것 - 엑셀다운로드 파일(붙여넣기)'!A3:A562,A1440,'외운 것 - 엑셀다운로드 파일(붙여넣기)'!D3:D562)</f>
        <v>0</v>
      </c>
      <c r="K1440" s="9" cm="1">
        <f t="array" ref="K1440">_xlfn.COUNTIFS('외운 것 - 엑셀다운로드 파일(붙여넣기)'!A3:A562,A1440,'외운 것 - 엑셀다운로드 파일(붙여넣기)'!D3:D562,0)</f>
        <v>0</v>
      </c>
      <c r="L1440" s="9" cm="1">
        <f t="array" ref="L1440">IF(J1440&gt;=3,_xlfn.XLOOKUP(A1440,'외운 것 - 엑셀다운로드 파일(붙여넣기)'!A3:A562,'외운 것 - 엑셀다운로드 파일(붙여넣기)'!C3:C562,0,-1),0)</f>
        <v>0</v>
      </c>
    </row>
    <row r="1441" ht="23.45" customHeight="1">
      <c r="A1441" s="3">
        <v>1440</v>
      </c>
      <c r="B1441" t="s" s="4">
        <v>9144</v>
      </c>
      <c r="C1441" t="s" s="5">
        <v>9112</v>
      </c>
      <c r="D1441" t="s" s="5">
        <v>9113</v>
      </c>
      <c r="E1441" t="s" s="5">
        <v>9145</v>
      </c>
      <c r="F1441" t="s" s="10">
        <v>9146</v>
      </c>
      <c r="G1441" t="s" s="7">
        <v>9147</v>
      </c>
      <c r="H1441" t="s" s="7">
        <v>9148</v>
      </c>
      <c r="I1441" t="str" s="8" cm="1">
        <f t="array" ref="I1441">SUBSTITUTE(H1441,B1441,"(          )")</f>
        <v>Astronomers observed a (          ) in a distant galaxy.</v>
      </c>
      <c r="J1441" s="9" cm="1">
        <f t="array" ref="J1441">SUMIF('외운 것 - 엑셀다운로드 파일(붙여넣기)'!A3:A562,A1441,'외운 것 - 엑셀다운로드 파일(붙여넣기)'!D3:D562)</f>
        <v>0</v>
      </c>
      <c r="K1441" s="9" cm="1">
        <f t="array" ref="K1441">_xlfn.COUNTIFS('외운 것 - 엑셀다운로드 파일(붙여넣기)'!A3:A562,A1441,'외운 것 - 엑셀다운로드 파일(붙여넣기)'!D3:D562,0)</f>
        <v>0</v>
      </c>
      <c r="L1441" s="9" cm="1">
        <f t="array" ref="L1441">IF(J1441&gt;=3,_xlfn.XLOOKUP(A1441,'외운 것 - 엑셀다운로드 파일(붙여넣기)'!A3:A562,'외운 것 - 엑셀다운로드 파일(붙여넣기)'!C3:C562,0,-1),0)</f>
        <v>0</v>
      </c>
    </row>
    <row r="1442" ht="23.45" customHeight="1">
      <c r="A1442" s="3">
        <v>1441</v>
      </c>
      <c r="B1442" t="s" s="4">
        <v>9150</v>
      </c>
      <c r="C1442" t="s" s="5">
        <v>9151</v>
      </c>
      <c r="D1442" t="s" s="5">
        <v>9152</v>
      </c>
      <c r="E1442" t="s" s="5">
        <v>9153</v>
      </c>
      <c r="F1442" t="s" s="10">
        <v>9154</v>
      </c>
      <c r="G1442" t="s" s="7">
        <v>9155</v>
      </c>
      <c r="H1442" t="s" s="7">
        <v>9156</v>
      </c>
      <c r="I1442" t="str" s="8" cm="1">
        <f t="array" ref="I1442">SUBSTITUTE(H1442,B1442,"(          )")</f>
        <v>Leave a (          ) on the door if you're going out.</v>
      </c>
      <c r="J1442" s="9" cm="1">
        <f t="array" ref="J1442">SUMIF('외운 것 - 엑셀다운로드 파일(붙여넣기)'!A3:A562,A1442,'외운 것 - 엑셀다운로드 파일(붙여넣기)'!D3:D562)</f>
        <v>0</v>
      </c>
      <c r="K1442" s="9" cm="1">
        <f t="array" ref="K1442">_xlfn.COUNTIFS('외운 것 - 엑셀다운로드 파일(붙여넣기)'!A3:A562,A1442,'외운 것 - 엑셀다운로드 파일(붙여넣기)'!D3:D562,0)</f>
        <v>0</v>
      </c>
      <c r="L1442" s="9" cm="1">
        <f t="array" ref="L1442">IF(J1442&gt;=3,_xlfn.XLOOKUP(A1442,'외운 것 - 엑셀다운로드 파일(붙여넣기)'!A3:A562,'외운 것 - 엑셀다운로드 파일(붙여넣기)'!C3:C562,0,-1),0)</f>
        <v>0</v>
      </c>
    </row>
    <row r="1443" ht="23.45" customHeight="1">
      <c r="A1443" s="3">
        <v>1442</v>
      </c>
      <c r="B1443" t="s" s="4">
        <v>9158</v>
      </c>
      <c r="C1443" t="s" s="5">
        <v>9150</v>
      </c>
      <c r="D1443" t="s" s="5">
        <v>9152</v>
      </c>
      <c r="E1443" t="s" s="5">
        <v>9159</v>
      </c>
      <c r="F1443" t="s" s="10">
        <v>9160</v>
      </c>
      <c r="G1443" t="s" s="7">
        <v>9161</v>
      </c>
      <c r="H1443" t="s" s="7">
        <v>9162</v>
      </c>
      <c r="I1443" t="str" s="8" cm="1">
        <f t="array" ref="I1443">SUBSTITUTE(H1443,B1443,"(          )")</f>
        <v>I have no (          ) of what you're talking about.</v>
      </c>
      <c r="J1443" s="9" cm="1">
        <f t="array" ref="J1443">SUMIF('외운 것 - 엑셀다운로드 파일(붙여넣기)'!A3:A562,A1443,'외운 것 - 엑셀다운로드 파일(붙여넣기)'!D3:D562)</f>
        <v>0</v>
      </c>
      <c r="K1443" s="9" cm="1">
        <f t="array" ref="K1443">_xlfn.COUNTIFS('외운 것 - 엑셀다운로드 파일(붙여넣기)'!A3:A562,A1443,'외운 것 - 엑셀다운로드 파일(붙여넣기)'!D3:D562,0)</f>
        <v>0</v>
      </c>
      <c r="L1443" s="9" cm="1">
        <f t="array" ref="L1443">IF(J1443&gt;=3,_xlfn.XLOOKUP(A1443,'외운 것 - 엑셀다운로드 파일(붙여넣기)'!A3:A562,'외운 것 - 엑셀다운로드 파일(붙여넣기)'!C3:C562,0,-1),0)</f>
        <v>0</v>
      </c>
    </row>
    <row r="1444" ht="23.45" customHeight="1">
      <c r="A1444" s="3">
        <v>1443</v>
      </c>
      <c r="B1444" t="s" s="4">
        <v>9164</v>
      </c>
      <c r="C1444" t="s" s="5">
        <v>9150</v>
      </c>
      <c r="D1444" t="s" s="5">
        <v>9152</v>
      </c>
      <c r="E1444" t="s" s="5">
        <v>9165</v>
      </c>
      <c r="F1444" t="s" s="10">
        <v>9166</v>
      </c>
      <c r="G1444" t="s" s="7">
        <v>9167</v>
      </c>
      <c r="H1444" t="s" s="7">
        <v>9168</v>
      </c>
      <c r="I1444" t="str" s="8" cm="1">
        <f t="array" ref="I1444">SUBSTITUTE(H1444,B1444,"(          )")</f>
        <v>Please (          ) us of any changes to your address.</v>
      </c>
      <c r="J1444" s="9" cm="1">
        <f t="array" ref="J1444">SUMIF('외운 것 - 엑셀다운로드 파일(붙여넣기)'!A3:A562,A1444,'외운 것 - 엑셀다운로드 파일(붙여넣기)'!D3:D562)</f>
        <v>0</v>
      </c>
      <c r="K1444" s="9" cm="1">
        <f t="array" ref="K1444">_xlfn.COUNTIFS('외운 것 - 엑셀다운로드 파일(붙여넣기)'!A3:A562,A1444,'외운 것 - 엑셀다운로드 파일(붙여넣기)'!D3:D562,0)</f>
        <v>0</v>
      </c>
      <c r="L1444" s="9" cm="1">
        <f t="array" ref="L1444">IF(J1444&gt;=3,_xlfn.XLOOKUP(A1444,'외운 것 - 엑셀다운로드 파일(붙여넣기)'!A3:A562,'외운 것 - 엑셀다운로드 파일(붙여넣기)'!C3:C562,0,-1),0)</f>
        <v>0</v>
      </c>
    </row>
    <row r="1445" ht="23.45" customHeight="1">
      <c r="A1445" s="3">
        <v>1444</v>
      </c>
      <c r="B1445" t="s" s="4">
        <v>9170</v>
      </c>
      <c r="C1445" t="s" s="5">
        <v>9150</v>
      </c>
      <c r="D1445" t="s" s="5">
        <v>9152</v>
      </c>
      <c r="E1445" t="s" s="5">
        <v>9171</v>
      </c>
      <c r="F1445" t="s" s="10">
        <v>9172</v>
      </c>
      <c r="G1445" t="s" s="7">
        <v>9173</v>
      </c>
      <c r="H1445" t="s" s="7">
        <v>9174</v>
      </c>
      <c r="I1445" t="str" s="8" cm="1">
        <f t="array" ref="I1445">SUBSTITUTE(H1445,B1445,"(          )")</f>
        <v>The student wrote the assignment in her (          ).</v>
      </c>
      <c r="J1445" s="9" cm="1">
        <f t="array" ref="J1445">SUMIF('외운 것 - 엑셀다운로드 파일(붙여넣기)'!A3:A562,A1445,'외운 것 - 엑셀다운로드 파일(붙여넣기)'!D3:D562)</f>
        <v>0</v>
      </c>
      <c r="K1445" s="9" cm="1">
        <f t="array" ref="K1445">_xlfn.COUNTIFS('외운 것 - 엑셀다운로드 파일(붙여넣기)'!A3:A562,A1445,'외운 것 - 엑셀다운로드 파일(붙여넣기)'!D3:D562,0)</f>
        <v>0</v>
      </c>
      <c r="L1445" s="9" cm="1">
        <f t="array" ref="L1445">IF(J1445&gt;=3,_xlfn.XLOOKUP(A1445,'외운 것 - 엑셀다운로드 파일(붙여넣기)'!A3:A562,'외운 것 - 엑셀다운로드 파일(붙여넣기)'!C3:C562,0,-1),0)</f>
        <v>0</v>
      </c>
    </row>
    <row r="1446" ht="23.45" customHeight="1">
      <c r="A1446" s="3">
        <v>1445</v>
      </c>
      <c r="B1446" t="s" s="4">
        <v>9176</v>
      </c>
      <c r="C1446" t="s" s="5">
        <v>9150</v>
      </c>
      <c r="D1446" t="s" s="5">
        <v>9152</v>
      </c>
      <c r="E1446" t="s" s="5">
        <v>9177</v>
      </c>
      <c r="F1446" t="s" s="10">
        <v>9178</v>
      </c>
      <c r="G1446" t="s" s="7">
        <v>9179</v>
      </c>
      <c r="H1446" t="s" s="7">
        <v>9180</v>
      </c>
      <c r="I1446" t="str" s="8" cm="1">
        <f t="array" ref="I1446">SUBSTITUTE(H1446,B1446,"(          )")</f>
        <v>Musical (          ) allows composers to record their ideas.</v>
      </c>
      <c r="J1446" s="9" cm="1">
        <f t="array" ref="J1446">SUMIF('외운 것 - 엑셀다운로드 파일(붙여넣기)'!A3:A562,A1446,'외운 것 - 엑셀다운로드 파일(붙여넣기)'!D3:D562)</f>
        <v>0</v>
      </c>
      <c r="K1446" s="9" cm="1">
        <f t="array" ref="K1446">_xlfn.COUNTIFS('외운 것 - 엑셀다운로드 파일(붙여넣기)'!A3:A562,A1446,'외운 것 - 엑셀다운로드 파일(붙여넣기)'!D3:D562,0)</f>
        <v>0</v>
      </c>
      <c r="L1446" s="9" cm="1">
        <f t="array" ref="L1446">IF(J1446&gt;=3,_xlfn.XLOOKUP(A1446,'외운 것 - 엑셀다운로드 파일(붙여넣기)'!A3:A562,'외운 것 - 엑셀다운로드 파일(붙여넣기)'!C3:C562,0,-1),0)</f>
        <v>0</v>
      </c>
    </row>
    <row r="1447" ht="38.45" customHeight="1">
      <c r="A1447" s="3">
        <v>1446</v>
      </c>
      <c r="B1447" t="s" s="4">
        <v>9182</v>
      </c>
      <c r="C1447" t="s" s="5">
        <v>9150</v>
      </c>
      <c r="D1447" t="s" s="5">
        <v>9152</v>
      </c>
      <c r="E1447" t="s" s="5">
        <v>9183</v>
      </c>
      <c r="F1447" t="s" s="10">
        <v>9184</v>
      </c>
      <c r="G1447" t="s" s="7">
        <v>9185</v>
      </c>
      <c r="H1447" t="s" s="7">
        <v>9186</v>
      </c>
      <c r="I1447" t="str" s="8" cm="1">
        <f t="array" ref="I1447">SUBSTITUTE(H1447,B1447,"(          )")</f>
        <v>The professor added (          )s to the manuscript.</v>
      </c>
      <c r="J1447" s="9" cm="1">
        <f t="array" ref="J1447">SUMIF('외운 것 - 엑셀다운로드 파일(붙여넣기)'!A3:A562,A1447,'외운 것 - 엑셀다운로드 파일(붙여넣기)'!D3:D562)</f>
        <v>0</v>
      </c>
      <c r="K1447" s="9" cm="1">
        <f t="array" ref="K1447">_xlfn.COUNTIFS('외운 것 - 엑셀다운로드 파일(붙여넣기)'!A3:A562,A1447,'외운 것 - 엑셀다운로드 파일(붙여넣기)'!D3:D562,0)</f>
        <v>0</v>
      </c>
      <c r="L1447" s="9" cm="1">
        <f t="array" ref="L1447">IF(J1447&gt;=3,_xlfn.XLOOKUP(A1447,'외운 것 - 엑셀다운로드 파일(붙여넣기)'!A3:A562,'외운 것 - 엑셀다운로드 파일(붙여넣기)'!C3:C562,0,-1),0)</f>
        <v>0</v>
      </c>
    </row>
    <row r="1448" ht="23.45" customHeight="1">
      <c r="A1448" s="3">
        <v>1447</v>
      </c>
      <c r="B1448" t="s" s="4">
        <v>9188</v>
      </c>
      <c r="C1448" t="s" s="5">
        <v>9150</v>
      </c>
      <c r="D1448" t="s" s="5">
        <v>9152</v>
      </c>
      <c r="E1448" t="s" s="5">
        <v>9189</v>
      </c>
      <c r="F1448" t="s" s="10">
        <v>9190</v>
      </c>
      <c r="G1448" t="s" s="7">
        <v>9191</v>
      </c>
      <c r="H1448" t="s" s="7">
        <v>9192</v>
      </c>
      <c r="I1448" t="str" s="8" cm="1">
        <f t="array" ref="I1448">SUBSTITUTE(H1448,B1448,"(          )")</f>
        <v>Her contribution to the project was particularly (          ).</v>
      </c>
      <c r="J1448" s="9" cm="1">
        <f t="array" ref="J1448">SUMIF('외운 것 - 엑셀다운로드 파일(붙여넣기)'!A3:A562,A1448,'외운 것 - 엑셀다운로드 파일(붙여넣기)'!D3:D562)</f>
        <v>0</v>
      </c>
      <c r="K1448" s="9" cm="1">
        <f t="array" ref="K1448">_xlfn.COUNTIFS('외운 것 - 엑셀다운로드 파일(붙여넣기)'!A3:A562,A1448,'외운 것 - 엑셀다운로드 파일(붙여넣기)'!D3:D562,0)</f>
        <v>0</v>
      </c>
      <c r="L1448" s="9" cm="1">
        <f t="array" ref="L1448">IF(J1448&gt;=3,_xlfn.XLOOKUP(A1448,'외운 것 - 엑셀다운로드 파일(붙여넣기)'!A3:A562,'외운 것 - 엑셀다운로드 파일(붙여넣기)'!C3:C562,0,-1),0)</f>
        <v>0</v>
      </c>
    </row>
    <row r="1449" ht="38.45" customHeight="1">
      <c r="A1449" s="3">
        <v>1448</v>
      </c>
      <c r="B1449" t="s" s="4">
        <v>9194</v>
      </c>
      <c r="C1449" t="s" s="5">
        <v>9150</v>
      </c>
      <c r="D1449" t="s" s="5">
        <v>9152</v>
      </c>
      <c r="E1449" t="s" s="5">
        <v>9195</v>
      </c>
      <c r="F1449" t="s" s="10">
        <v>9196</v>
      </c>
      <c r="G1449" t="s" s="7">
        <v>9197</v>
      </c>
      <c r="H1449" t="s" s="7">
        <v>9198</v>
      </c>
      <c r="I1449" t="str" s="8" cm="1">
        <f t="array" ref="I1449">SUBSTITUTE(H1449,B1449,"(          )")</f>
        <v>Did you (          ) the new painting in the lobby?</v>
      </c>
      <c r="J1449" s="9" cm="1">
        <f t="array" ref="J1449">SUMIF('외운 것 - 엑셀다운로드 파일(붙여넣기)'!A3:A562,A1449,'외운 것 - 엑셀다운로드 파일(붙여넣기)'!D3:D562)</f>
        <v>0</v>
      </c>
      <c r="K1449" s="9" cm="1">
        <f t="array" ref="K1449">_xlfn.COUNTIFS('외운 것 - 엑셀다운로드 파일(붙여넣기)'!A3:A562,A1449,'외운 것 - 엑셀다운로드 파일(붙여넣기)'!D3:D562,0)</f>
        <v>0</v>
      </c>
      <c r="L1449" s="9" cm="1">
        <f t="array" ref="L1449">IF(J1449&gt;=3,_xlfn.XLOOKUP(A1449,'외운 것 - 엑셀다운로드 파일(붙여넣기)'!A3:A562,'외운 것 - 엑셀다운로드 파일(붙여넣기)'!C3:C562,0,-1),0)</f>
        <v>0</v>
      </c>
    </row>
    <row r="1450" ht="38.45" customHeight="1">
      <c r="A1450" s="3">
        <v>1449</v>
      </c>
      <c r="B1450" t="s" s="4">
        <v>9200</v>
      </c>
      <c r="C1450" t="s" s="5">
        <v>9201</v>
      </c>
      <c r="D1450" t="s" s="5">
        <v>9150</v>
      </c>
      <c r="E1450" t="s" s="5">
        <v>9202</v>
      </c>
      <c r="F1450" t="s" s="10">
        <v>9203</v>
      </c>
      <c r="G1450" t="s" s="7">
        <v>9204</v>
      </c>
      <c r="H1450" t="s" s="7">
        <v>9205</v>
      </c>
      <c r="I1450" t="str" s="8" cm="1">
        <f t="array" ref="I1450">SUBSTITUTE(H1450,B1450,"(          )")</f>
        <v>The area is (          ) for heavy traffic.</v>
      </c>
      <c r="J1450" s="9" cm="1">
        <f t="array" ref="J1450">SUMIF('외운 것 - 엑셀다운로드 파일(붙여넣기)'!A3:A562,A1450,'외운 것 - 엑셀다운로드 파일(붙여넣기)'!D3:D562)</f>
        <v>0</v>
      </c>
      <c r="K1450" s="9" cm="1">
        <f t="array" ref="K1450">_xlfn.COUNTIFS('외운 것 - 엑셀다운로드 파일(붙여넣기)'!A3:A562,A1450,'외운 것 - 엑셀다운로드 파일(붙여넣기)'!D3:D562,0)</f>
        <v>0</v>
      </c>
      <c r="L1450" s="9" cm="1">
        <f t="array" ref="L1450">IF(J1450&gt;=3,_xlfn.XLOOKUP(A1450,'외운 것 - 엑셀다운로드 파일(붙여넣기)'!A3:A562,'외운 것 - 엑셀다운로드 파일(붙여넣기)'!C3:C562,0,-1),0)</f>
        <v>0</v>
      </c>
    </row>
    <row r="1451" ht="23.45" customHeight="1">
      <c r="A1451" s="3">
        <v>1450</v>
      </c>
      <c r="B1451" t="s" s="4">
        <v>9207</v>
      </c>
      <c r="C1451" t="s" s="5">
        <v>9208</v>
      </c>
      <c r="D1451" t="s" s="5">
        <v>9209</v>
      </c>
      <c r="E1451" t="s" s="5">
        <v>9210</v>
      </c>
      <c r="F1451" t="s" s="10">
        <v>9211</v>
      </c>
      <c r="G1451" t="s" s="7">
        <v>9212</v>
      </c>
      <c r="H1451" t="s" s="7">
        <v>9213</v>
      </c>
      <c r="I1451" t="str" s="8" cm="1">
        <f t="array" ref="I1451">SUBSTITUTE(H1451,B1451,"(          )")</f>
        <v>The company will (          ) the new product next week.</v>
      </c>
      <c r="J1451" s="9" cm="1">
        <f t="array" ref="J1451">SUMIF('외운 것 - 엑셀다운로드 파일(붙여넣기)'!A3:A562,A1451,'외운 것 - 엑셀다운로드 파일(붙여넣기)'!D3:D562)</f>
        <v>0</v>
      </c>
      <c r="K1451" s="9" cm="1">
        <f t="array" ref="K1451">_xlfn.COUNTIFS('외운 것 - 엑셀다운로드 파일(붙여넣기)'!A3:A562,A1451,'외운 것 - 엑셀다운로드 파일(붙여넣기)'!D3:D562,0)</f>
        <v>0</v>
      </c>
      <c r="L1451" s="9" cm="1">
        <f t="array" ref="L1451">IF(J1451&gt;=3,_xlfn.XLOOKUP(A1451,'외운 것 - 엑셀다운로드 파일(붙여넣기)'!A3:A562,'외운 것 - 엑셀다운로드 파일(붙여넣기)'!C3:C562,0,-1),0)</f>
        <v>0</v>
      </c>
    </row>
    <row r="1452" ht="36.4" customHeight="1">
      <c r="A1452" s="3">
        <v>1451</v>
      </c>
      <c r="B1452" t="s" s="4">
        <v>9215</v>
      </c>
      <c r="C1452" t="s" s="5">
        <v>9216</v>
      </c>
      <c r="D1452" t="s" s="5">
        <v>9208</v>
      </c>
      <c r="E1452" t="s" s="5">
        <v>9217</v>
      </c>
      <c r="F1452" t="s" s="10">
        <v>9218</v>
      </c>
      <c r="G1452" t="s" s="7">
        <v>9219</v>
      </c>
      <c r="H1452" t="s" s="7">
        <v>9220</v>
      </c>
      <c r="I1452" t="str" s="8" cm="1">
        <f t="array" ref="I1452">SUBSTITUTE(H1452,B1452,"(          )")</f>
        <v>The sports (          ) described the exciting play.</v>
      </c>
      <c r="J1452" s="9" cm="1">
        <f t="array" ref="J1452">SUMIF('외운 것 - 엑셀다운로드 파일(붙여넣기)'!A3:A562,A1452,'외운 것 - 엑셀다운로드 파일(붙여넣기)'!D3:D562)</f>
        <v>0</v>
      </c>
      <c r="K1452" s="9" cm="1">
        <f t="array" ref="K1452">_xlfn.COUNTIFS('외운 것 - 엑셀다운로드 파일(붙여넣기)'!A3:A562,A1452,'외운 것 - 엑셀다운로드 파일(붙여넣기)'!D3:D562,0)</f>
        <v>0</v>
      </c>
      <c r="L1452" s="9" cm="1">
        <f t="array" ref="L1452">IF(J1452&gt;=3,_xlfn.XLOOKUP(A1452,'외운 것 - 엑셀다운로드 파일(붙여넣기)'!A3:A562,'외운 것 - 엑셀다운로드 파일(붙여넣기)'!C3:C562,0,-1),0)</f>
        <v>0</v>
      </c>
    </row>
    <row r="1453" ht="38.45" customHeight="1">
      <c r="A1453" s="3">
        <v>1452</v>
      </c>
      <c r="B1453" t="s" s="4">
        <v>9222</v>
      </c>
      <c r="C1453" t="s" s="5">
        <v>9208</v>
      </c>
      <c r="D1453" t="s" s="5">
        <v>9209</v>
      </c>
      <c r="E1453" t="s" s="5">
        <v>9223</v>
      </c>
      <c r="F1453" t="s" s="10">
        <v>9224</v>
      </c>
      <c r="G1453" t="s" s="7">
        <v>9225</v>
      </c>
      <c r="H1453" t="s" s="7">
        <v>9226</v>
      </c>
      <c r="I1453" t="str" s="8" cm="1">
        <f t="array" ref="I1453">SUBSTITUTE(H1453,B1453,"(          )")</f>
        <v>It's difficult to (          ) certain sounds in foreign languages.</v>
      </c>
      <c r="J1453" s="9" cm="1">
        <f t="array" ref="J1453">SUMIF('외운 것 - 엑셀다운로드 파일(붙여넣기)'!A3:A562,A1453,'외운 것 - 엑셀다운로드 파일(붙여넣기)'!D3:D562)</f>
        <v>0</v>
      </c>
      <c r="K1453" s="9" cm="1">
        <f t="array" ref="K1453">_xlfn.COUNTIFS('외운 것 - 엑셀다운로드 파일(붙여넣기)'!A3:A562,A1453,'외운 것 - 엑셀다운로드 파일(붙여넣기)'!D3:D562,0)</f>
        <v>0</v>
      </c>
      <c r="L1453" s="9" cm="1">
        <f t="array" ref="L1453">IF(J1453&gt;=3,_xlfn.XLOOKUP(A1453,'외운 것 - 엑셀다운로드 파일(붙여넣기)'!A3:A562,'외운 것 - 엑셀다운로드 파일(붙여넣기)'!C3:C562,0,-1),0)</f>
        <v>0</v>
      </c>
    </row>
    <row r="1454" ht="23.45" customHeight="1">
      <c r="A1454" s="3">
        <v>1453</v>
      </c>
      <c r="B1454" t="s" s="4">
        <v>9228</v>
      </c>
      <c r="C1454" t="s" s="5">
        <v>9208</v>
      </c>
      <c r="D1454" t="s" s="5">
        <v>9209</v>
      </c>
      <c r="E1454" t="s" s="5">
        <v>9229</v>
      </c>
      <c r="F1454" t="s" s="10">
        <v>9230</v>
      </c>
      <c r="G1454" t="s" s="7">
        <v>9231</v>
      </c>
      <c r="H1454" t="s" s="7">
        <v>9232</v>
      </c>
      <c r="I1454" t="str" s="8" cm="1">
        <f t="array" ref="I1454">SUBSTITUTE(H1454,B1454,"(          )")</f>
        <v>The politician (          )d corruption in government.</v>
      </c>
      <c r="J1454" s="9" cm="1">
        <f t="array" ref="J1454">SUMIF('외운 것 - 엑셀다운로드 파일(붙여넣기)'!A3:A562,A1454,'외운 것 - 엑셀다운로드 파일(붙여넣기)'!D3:D562)</f>
        <v>0</v>
      </c>
      <c r="K1454" s="9" cm="1">
        <f t="array" ref="K1454">_xlfn.COUNTIFS('외운 것 - 엑셀다운로드 파일(붙여넣기)'!A3:A562,A1454,'외운 것 - 엑셀다운로드 파일(붙여넣기)'!D3:D562,0)</f>
        <v>0</v>
      </c>
      <c r="L1454" s="9" cm="1">
        <f t="array" ref="L1454">IF(J1454&gt;=3,_xlfn.XLOOKUP(A1454,'외운 것 - 엑셀다운로드 파일(붙여넣기)'!A3:A562,'외운 것 - 엑셀다운로드 파일(붙여넣기)'!C3:C562,0,-1),0)</f>
        <v>0</v>
      </c>
    </row>
    <row r="1455" ht="23.45" customHeight="1">
      <c r="A1455" s="3">
        <v>1454</v>
      </c>
      <c r="B1455" t="s" s="4">
        <v>9234</v>
      </c>
      <c r="C1455" t="s" s="5">
        <v>9235</v>
      </c>
      <c r="D1455" t="s" s="5">
        <v>9236</v>
      </c>
      <c r="E1455" t="s" s="5">
        <v>9237</v>
      </c>
      <c r="F1455" t="s" s="10">
        <v>9238</v>
      </c>
      <c r="G1455" t="s" s="7">
        <v>9239</v>
      </c>
      <c r="H1455" t="s" s="7">
        <v>9240</v>
      </c>
      <c r="I1455" t="str" s="8" cm="1">
        <f t="array" ref="I1455">SUBSTITUTE(H1455,B1455,"(          )")</f>
        <v>The (          ) checked the patient's vital signs.</v>
      </c>
      <c r="J1455" s="9" cm="1">
        <f t="array" ref="J1455">SUMIF('외운 것 - 엑셀다운로드 파일(붙여넣기)'!A3:A562,A1455,'외운 것 - 엑셀다운로드 파일(붙여넣기)'!D3:D562)</f>
        <v>0</v>
      </c>
      <c r="K1455" s="9" cm="1">
        <f t="array" ref="K1455">_xlfn.COUNTIFS('외운 것 - 엑셀다운로드 파일(붙여넣기)'!A3:A562,A1455,'외운 것 - 엑셀다운로드 파일(붙여넣기)'!D3:D562,0)</f>
        <v>0</v>
      </c>
      <c r="L1455" s="9" cm="1">
        <f t="array" ref="L1455">IF(J1455&gt;=3,_xlfn.XLOOKUP(A1455,'외운 것 - 엑셀다운로드 파일(붙여넣기)'!A3:A562,'외운 것 - 엑셀다운로드 파일(붙여넣기)'!C3:C562,0,-1),0)</f>
        <v>0</v>
      </c>
    </row>
    <row r="1456" ht="38.45" customHeight="1">
      <c r="A1456" s="3">
        <v>1455</v>
      </c>
      <c r="B1456" t="s" s="4">
        <v>9242</v>
      </c>
      <c r="C1456" t="s" s="5">
        <v>9243</v>
      </c>
      <c r="D1456" t="s" s="5">
        <v>9235</v>
      </c>
      <c r="E1456" t="s" s="5">
        <v>9244</v>
      </c>
      <c r="F1456" t="s" s="10">
        <v>9245</v>
      </c>
      <c r="G1456" t="s" s="7">
        <v>9246</v>
      </c>
      <c r="H1456" t="s" s="7">
        <v>9247</v>
      </c>
      <c r="I1456" t="str" s="8" cm="1">
        <f t="array" ref="I1456">SUBSTITUTE(H1456,B1456,"(          )")</f>
        <v>The (          ) is decorated with colorful animal pictures.</v>
      </c>
      <c r="J1456" s="9" cm="1">
        <f t="array" ref="J1456">SUMIF('외운 것 - 엑셀다운로드 파일(붙여넣기)'!A3:A562,A1456,'외운 것 - 엑셀다운로드 파일(붙여넣기)'!D3:D562)</f>
        <v>0</v>
      </c>
      <c r="K1456" s="9" cm="1">
        <f t="array" ref="K1456">_xlfn.COUNTIFS('외운 것 - 엑셀다운로드 파일(붙여넣기)'!A3:A562,A1456,'외운 것 - 엑셀다운로드 파일(붙여넣기)'!D3:D562,0)</f>
        <v>0</v>
      </c>
      <c r="L1456" s="9" cm="1">
        <f t="array" ref="L1456">IF(J1456&gt;=3,_xlfn.XLOOKUP(A1456,'외운 것 - 엑셀다운로드 파일(붙여넣기)'!A3:A562,'외운 것 - 엑셀다운로드 파일(붙여넣기)'!C3:C562,0,-1),0)</f>
        <v>0</v>
      </c>
    </row>
    <row r="1457" ht="23.45" customHeight="1">
      <c r="A1457" s="3">
        <v>1456</v>
      </c>
      <c r="B1457" t="s" s="4">
        <v>9249</v>
      </c>
      <c r="C1457" t="s" s="5">
        <v>9235</v>
      </c>
      <c r="D1457" t="s" s="5">
        <v>9236</v>
      </c>
      <c r="E1457" t="s" s="5">
        <v>9250</v>
      </c>
      <c r="F1457" t="s" s="10">
        <v>9251</v>
      </c>
      <c r="G1457" t="s" s="7">
        <v>9252</v>
      </c>
      <c r="H1457" t="s" s="7">
        <v>9253</v>
      </c>
      <c r="I1457" t="str" s="8" cm="1">
        <f t="array" ref="I1457">SUBSTITUTE(H1457,B1457,"(          )")</f>
        <v>Parents (          ) their children's talents and interests.</v>
      </c>
      <c r="J1457" s="9" cm="1">
        <f t="array" ref="J1457">SUMIF('외운 것 - 엑셀다운로드 파일(붙여넣기)'!A3:A562,A1457,'외운 것 - 엑셀다운로드 파일(붙여넣기)'!D3:D562)</f>
        <v>0</v>
      </c>
      <c r="K1457" s="9" cm="1">
        <f t="array" ref="K1457">_xlfn.COUNTIFS('외운 것 - 엑셀다운로드 파일(붙여넣기)'!A3:A562,A1457,'외운 것 - 엑셀다운로드 파일(붙여넣기)'!D3:D562,0)</f>
        <v>0</v>
      </c>
      <c r="L1457" s="9" cm="1">
        <f t="array" ref="L1457">IF(J1457&gt;=3,_xlfn.XLOOKUP(A1457,'외운 것 - 엑셀다운로드 파일(붙여넣기)'!A3:A562,'외운 것 - 엑셀다운로드 파일(붙여넣기)'!C3:C562,0,-1),0)</f>
        <v>0</v>
      </c>
    </row>
    <row r="1458" ht="23.45" customHeight="1">
      <c r="A1458" s="3">
        <v>1457</v>
      </c>
      <c r="B1458" t="s" s="4">
        <v>9255</v>
      </c>
      <c r="C1458" t="s" s="5">
        <v>9256</v>
      </c>
      <c r="D1458" t="s" s="5">
        <v>9236</v>
      </c>
      <c r="E1458" t="s" s="5">
        <v>9257</v>
      </c>
      <c r="F1458" t="s" s="10">
        <v>9258</v>
      </c>
      <c r="G1458" t="s" s="7">
        <v>9259</v>
      </c>
      <c r="H1458" t="s" s="7">
        <v>9260</v>
      </c>
      <c r="I1458" t="str" s="8" cm="1">
        <f t="array" ref="I1458">SUBSTITUTE(H1458,B1458,"(          )")</f>
        <v>Good (          ) is essential for healthy development.</v>
      </c>
      <c r="J1458" s="9" cm="1">
        <f t="array" ref="J1458">SUMIF('외운 것 - 엑셀다운로드 파일(붙여넣기)'!A3:A562,A1458,'외운 것 - 엑셀다운로드 파일(붙여넣기)'!D3:D562)</f>
        <v>0</v>
      </c>
      <c r="K1458" s="9" cm="1">
        <f t="array" ref="K1458">_xlfn.COUNTIFS('외운 것 - 엑셀다운로드 파일(붙여넣기)'!A3:A562,A1458,'외운 것 - 엑셀다운로드 파일(붙여넣기)'!D3:D562,0)</f>
        <v>0</v>
      </c>
      <c r="L1458" s="9" cm="1">
        <f t="array" ref="L1458">IF(J1458&gt;=3,_xlfn.XLOOKUP(A1458,'외운 것 - 엑셀다운로드 파일(붙여넣기)'!A3:A562,'외운 것 - 엑셀다운로드 파일(붙여넣기)'!C3:C562,0,-1),0)</f>
        <v>0</v>
      </c>
    </row>
    <row r="1459" ht="23.45" customHeight="1">
      <c r="A1459" s="3">
        <v>1458</v>
      </c>
      <c r="B1459" t="s" s="4">
        <v>9262</v>
      </c>
      <c r="C1459" t="s" s="5">
        <v>9263</v>
      </c>
      <c r="D1459" t="s" s="5">
        <v>9236</v>
      </c>
      <c r="E1459" t="s" s="5">
        <v>9264</v>
      </c>
      <c r="F1459" t="s" s="10">
        <v>9265</v>
      </c>
      <c r="G1459" t="s" s="7">
        <v>9266</v>
      </c>
      <c r="H1459" t="s" s="7">
        <v>9267</v>
      </c>
      <c r="I1459" t="str" s="8" cm="1">
        <f t="array" ref="I1459">SUBSTITUTE(H1459,B1459,"(          )")</f>
        <v>Healthy food (          )es both body and mind.</v>
      </c>
      <c r="J1459" s="9" cm="1">
        <f t="array" ref="J1459">SUMIF('외운 것 - 엑셀다운로드 파일(붙여넣기)'!A3:A562,A1459,'외운 것 - 엑셀다운로드 파일(붙여넣기)'!D3:D562)</f>
        <v>0</v>
      </c>
      <c r="K1459" s="9" cm="1">
        <f t="array" ref="K1459">_xlfn.COUNTIFS('외운 것 - 엑셀다운로드 파일(붙여넣기)'!A3:A562,A1459,'외운 것 - 엑셀다운로드 파일(붙여넣기)'!D3:D562,0)</f>
        <v>0</v>
      </c>
      <c r="L1459" s="9" cm="1">
        <f t="array" ref="L1459">IF(J1459&gt;=3,_xlfn.XLOOKUP(A1459,'외운 것 - 엑셀다운로드 파일(붙여넣기)'!A3:A562,'외운 것 - 엑셀다운로드 파일(붙여넣기)'!C3:C562,0,-1),0)</f>
        <v>0</v>
      </c>
    </row>
    <row r="1460" ht="23.45" customHeight="1">
      <c r="A1460" s="3">
        <v>1459</v>
      </c>
      <c r="B1460" t="s" s="4">
        <v>6822</v>
      </c>
      <c r="C1460" t="s" s="5">
        <v>9269</v>
      </c>
      <c r="D1460" t="s" s="5">
        <v>9270</v>
      </c>
      <c r="E1460" t="s" s="5">
        <v>6823</v>
      </c>
      <c r="F1460" t="s" s="10">
        <v>9271</v>
      </c>
      <c r="G1460" t="s" s="7">
        <v>9272</v>
      </c>
      <c r="H1460" t="s" s="7">
        <v>6826</v>
      </c>
      <c r="I1460" t="str" s="8" cm="1">
        <f t="array" ref="I1460">SUBSTITUTE(H1460,B1460,"(          )")</f>
        <v>There is a strange (          ) in the sky.</v>
      </c>
      <c r="J1460" s="9" cm="1">
        <f t="array" ref="J1460">SUMIF('외운 것 - 엑셀다운로드 파일(붙여넣기)'!A3:A562,A1460,'외운 것 - 엑셀다운로드 파일(붙여넣기)'!D3:D562)</f>
        <v>0</v>
      </c>
      <c r="K1460" s="9" cm="1">
        <f t="array" ref="K1460">_xlfn.COUNTIFS('외운 것 - 엑셀다운로드 파일(붙여넣기)'!A3:A562,A1460,'외운 것 - 엑셀다운로드 파일(붙여넣기)'!D3:D562,0)</f>
        <v>0</v>
      </c>
      <c r="L1460" s="9" cm="1">
        <f t="array" ref="L1460">IF(J1460&gt;=3,_xlfn.XLOOKUP(A1460,'외운 것 - 엑셀다운로드 파일(붙여넣기)'!A3:A562,'외운 것 - 엑셀다운로드 파일(붙여넣기)'!C3:C562,0,-1),0)</f>
        <v>0</v>
      </c>
    </row>
    <row r="1461" ht="23.45" customHeight="1">
      <c r="A1461" s="3">
        <v>1460</v>
      </c>
      <c r="B1461" t="s" s="4">
        <v>9273</v>
      </c>
      <c r="C1461" t="s" s="5">
        <v>9269</v>
      </c>
      <c r="D1461" t="s" s="5">
        <v>9270</v>
      </c>
      <c r="E1461" t="s" s="5">
        <v>9274</v>
      </c>
      <c r="F1461" t="s" s="10">
        <v>9275</v>
      </c>
      <c r="G1461" t="s" s="7">
        <v>9276</v>
      </c>
      <c r="H1461" t="s" s="7">
        <v>9277</v>
      </c>
      <c r="I1461" t="str" s="8" cm="1">
        <f t="array" ref="I1461">SUBSTITUTE(H1461,B1461,"(          )")</f>
        <v>The athlete jumped over each (          ) in the race.</v>
      </c>
      <c r="J1461" s="9" cm="1">
        <f t="array" ref="J1461">SUMIF('외운 것 - 엑셀다운로드 파일(붙여넣기)'!A3:A562,A1461,'외운 것 - 엑셀다운로드 파일(붙여넣기)'!D3:D562)</f>
        <v>0</v>
      </c>
      <c r="K1461" s="9" cm="1">
        <f t="array" ref="K1461">_xlfn.COUNTIFS('외운 것 - 엑셀다운로드 파일(붙여넣기)'!A3:A562,A1461,'외운 것 - 엑셀다운로드 파일(붙여넣기)'!D3:D562,0)</f>
        <v>0</v>
      </c>
      <c r="L1461" s="9" cm="1">
        <f t="array" ref="L1461">IF(J1461&gt;=3,_xlfn.XLOOKUP(A1461,'외운 것 - 엑셀다운로드 파일(붙여넣기)'!A3:A562,'외운 것 - 엑셀다운로드 파일(붙여넣기)'!C3:C562,0,-1),0)</f>
        <v>0</v>
      </c>
    </row>
    <row r="1462" ht="23.45" customHeight="1">
      <c r="A1462" s="3">
        <v>1461</v>
      </c>
      <c r="B1462" t="s" s="4">
        <v>1399</v>
      </c>
      <c r="C1462" t="s" s="5">
        <v>9269</v>
      </c>
      <c r="D1462" t="s" s="5">
        <v>9270</v>
      </c>
      <c r="E1462" t="s" s="5">
        <v>1400</v>
      </c>
      <c r="F1462" t="s" s="10">
        <v>9279</v>
      </c>
      <c r="G1462" t="s" s="7">
        <v>9280</v>
      </c>
      <c r="H1462" t="s" s="7">
        <v>1403</v>
      </c>
      <c r="I1462" t="str" s="8" cm="1">
        <f t="array" ref="I1462">SUBSTITUTE(H1462,B1462,"(          )")</f>
        <v>The meaning of the poem is (          ) to many readers.</v>
      </c>
      <c r="J1462" s="9" cm="1">
        <f t="array" ref="J1462">SUMIF('외운 것 - 엑셀다운로드 파일(붙여넣기)'!A3:A562,A1462,'외운 것 - 엑셀다운로드 파일(붙여넣기)'!D3:D562)</f>
        <v>0</v>
      </c>
      <c r="K1462" s="9" cm="1">
        <f t="array" ref="K1462">_xlfn.COUNTIFS('외운 것 - 엑셀다운로드 파일(붙여넣기)'!A3:A562,A1462,'외운 것 - 엑셀다운로드 파일(붙여넣기)'!D3:D562,0)</f>
        <v>0</v>
      </c>
      <c r="L1462" s="9" cm="1">
        <f t="array" ref="L1462">IF(J1462&gt;=3,_xlfn.XLOOKUP(A1462,'외운 것 - 엑셀다운로드 파일(붙여넣기)'!A3:A562,'외운 것 - 엑셀다운로드 파일(붙여넣기)'!C3:C562,0,-1),0)</f>
        <v>0</v>
      </c>
    </row>
    <row r="1463" ht="38.45" customHeight="1">
      <c r="A1463" s="3">
        <v>1462</v>
      </c>
      <c r="B1463" t="s" s="4">
        <v>9281</v>
      </c>
      <c r="C1463" t="s" s="5">
        <v>9269</v>
      </c>
      <c r="D1463" t="s" s="5">
        <v>9270</v>
      </c>
      <c r="E1463" t="s" s="5">
        <v>9282</v>
      </c>
      <c r="F1463" t="s" s="10">
        <v>9283</v>
      </c>
      <c r="G1463" t="s" s="7">
        <v>9284</v>
      </c>
      <c r="H1463" t="s" s="7">
        <v>9285</v>
      </c>
      <c r="I1463" t="str" s="8" cm="1">
        <f t="array" ref="I1463">SUBSTITUTE(H1463,B1463,"(          )")</f>
        <v>Childhood (          ) is a growing health concern.</v>
      </c>
      <c r="J1463" s="9" cm="1">
        <f t="array" ref="J1463">SUMIF('외운 것 - 엑셀다운로드 파일(붙여넣기)'!A3:A562,A1463,'외운 것 - 엑셀다운로드 파일(붙여넣기)'!D3:D562)</f>
        <v>0</v>
      </c>
      <c r="K1463" s="9" cm="1">
        <f t="array" ref="K1463">_xlfn.COUNTIFS('외운 것 - 엑셀다운로드 파일(붙여넣기)'!A3:A562,A1463,'외운 것 - 엑셀다운로드 파일(붙여넣기)'!D3:D562,0)</f>
        <v>0</v>
      </c>
      <c r="L1463" s="9" cm="1">
        <f t="array" ref="L1463">IF(J1463&gt;=3,_xlfn.XLOOKUP(A1463,'외운 것 - 엑셀다운로드 파일(붙여넣기)'!A3:A562,'외운 것 - 엑셀다운로드 파일(붙여넣기)'!C3:C562,0,-1),0)</f>
        <v>0</v>
      </c>
    </row>
    <row r="1464" ht="23.45" customHeight="1">
      <c r="A1464" s="3">
        <v>1463</v>
      </c>
      <c r="B1464" t="s" s="4">
        <v>9287</v>
      </c>
      <c r="C1464" t="s" s="5">
        <v>9269</v>
      </c>
      <c r="D1464" t="s" s="5">
        <v>9270</v>
      </c>
      <c r="E1464" t="s" s="5">
        <v>9288</v>
      </c>
      <c r="F1464" t="s" s="10">
        <v>9289</v>
      </c>
      <c r="G1464" t="s" s="7">
        <v>9290</v>
      </c>
      <c r="H1464" t="s" s="7">
        <v>9291</v>
      </c>
      <c r="I1464" t="str" s="8" cm="1">
        <f t="array" ref="I1464">SUBSTITUTE(H1464,B1464,"(          )")</f>
        <v>Citizens must (          ) the law.</v>
      </c>
      <c r="J1464" s="9" cm="1">
        <f t="array" ref="J1464">SUMIF('외운 것 - 엑셀다운로드 파일(붙여넣기)'!A3:A562,A1464,'외운 것 - 엑셀다운로드 파일(붙여넣기)'!D3:D562)</f>
        <v>0</v>
      </c>
      <c r="K1464" s="9" cm="1">
        <f t="array" ref="K1464">_xlfn.COUNTIFS('외운 것 - 엑셀다운로드 파일(붙여넣기)'!A3:A562,A1464,'외운 것 - 엑셀다운로드 파일(붙여넣기)'!D3:D562,0)</f>
        <v>0</v>
      </c>
      <c r="L1464" s="9" cm="1">
        <f t="array" ref="L1464">IF(J1464&gt;=3,_xlfn.XLOOKUP(A1464,'외운 것 - 엑셀다운로드 파일(붙여넣기)'!A3:A562,'외운 것 - 엑셀다운로드 파일(붙여넣기)'!C3:C562,0,-1),0)</f>
        <v>0</v>
      </c>
    </row>
    <row r="1465" ht="38.45" customHeight="1">
      <c r="A1465" s="3">
        <v>1464</v>
      </c>
      <c r="B1465" t="s" s="4">
        <v>9293</v>
      </c>
      <c r="C1465" t="s" s="5">
        <v>9294</v>
      </c>
      <c r="D1465" t="s" s="5">
        <v>9269</v>
      </c>
      <c r="E1465" t="s" s="5">
        <v>9295</v>
      </c>
      <c r="F1465" t="s" s="10">
        <v>9296</v>
      </c>
      <c r="G1465" t="s" s="7">
        <v>9297</v>
      </c>
      <c r="H1465" t="s" s="7">
        <v>9298</v>
      </c>
      <c r="I1465" t="str" s="8" cm="1">
        <f t="array" ref="I1465">SUBSTITUTE(H1465,B1465,"(          )")</f>
        <v>The (          ) child refused to go to bed.</v>
      </c>
      <c r="J1465" s="9" cm="1">
        <f t="array" ref="J1465">SUMIF('외운 것 - 엑셀다운로드 파일(붙여넣기)'!A3:A562,A1465,'외운 것 - 엑셀다운로드 파일(붙여넣기)'!D3:D562)</f>
        <v>0</v>
      </c>
      <c r="K1465" s="9" cm="1">
        <f t="array" ref="K1465">_xlfn.COUNTIFS('외운 것 - 엑셀다운로드 파일(붙여넣기)'!A3:A562,A1465,'외운 것 - 엑셀다운로드 파일(붙여넣기)'!D3:D562,0)</f>
        <v>0</v>
      </c>
      <c r="L1465" s="9" cm="1">
        <f t="array" ref="L1465">IF(J1465&gt;=3,_xlfn.XLOOKUP(A1465,'외운 것 - 엑셀다운로드 파일(붙여넣기)'!A3:A562,'외운 것 - 엑셀다운로드 파일(붙여넣기)'!C3:C562,0,-1),0)</f>
        <v>0</v>
      </c>
    </row>
    <row r="1466" ht="23.45" customHeight="1">
      <c r="A1466" s="3">
        <v>1465</v>
      </c>
      <c r="B1466" t="s" s="4">
        <v>9300</v>
      </c>
      <c r="C1466" t="s" s="5">
        <v>9301</v>
      </c>
      <c r="D1466" t="s" s="5">
        <v>9302</v>
      </c>
      <c r="E1466" t="s" s="5">
        <v>9303</v>
      </c>
      <c r="F1466" t="s" s="10">
        <v>9304</v>
      </c>
      <c r="G1466" t="s" s="7">
        <v>9305</v>
      </c>
      <c r="H1466" t="s" s="7">
        <v>9306</v>
      </c>
      <c r="I1466" t="str" s="8" cm="1">
        <f t="array" ref="I1466">SUBSTITUTE(H1466,B1466,"(          )")</f>
        <v>We attended an (          ) at the famous Sydney Opera House.</v>
      </c>
      <c r="J1466" s="9" cm="1">
        <f t="array" ref="J1466">SUMIF('외운 것 - 엑셀다운로드 파일(붙여넣기)'!A3:A562,A1466,'외운 것 - 엑셀다운로드 파일(붙여넣기)'!D3:D562)</f>
        <v>0</v>
      </c>
      <c r="K1466" s="9" cm="1">
        <f t="array" ref="K1466">_xlfn.COUNTIFS('외운 것 - 엑셀다운로드 파일(붙여넣기)'!A3:A562,A1466,'외운 것 - 엑셀다운로드 파일(붙여넣기)'!D3:D562,0)</f>
        <v>0</v>
      </c>
      <c r="L1466" s="9" cm="1">
        <f t="array" ref="L1466">IF(J1466&gt;=3,_xlfn.XLOOKUP(A1466,'외운 것 - 엑셀다운로드 파일(붙여넣기)'!A3:A562,'외운 것 - 엑셀다운로드 파일(붙여넣기)'!C3:C562,0,-1),0)</f>
        <v>0</v>
      </c>
    </row>
    <row r="1467" ht="23.45" customHeight="1">
      <c r="A1467" s="3">
        <v>1466</v>
      </c>
      <c r="B1467" t="s" s="4">
        <v>9308</v>
      </c>
      <c r="C1467" t="s" s="5">
        <v>9301</v>
      </c>
      <c r="D1467" t="s" s="5">
        <v>9302</v>
      </c>
      <c r="E1467" t="s" s="5">
        <v>9309</v>
      </c>
      <c r="F1467" t="s" s="10">
        <v>9310</v>
      </c>
      <c r="G1467" t="s" s="7">
        <v>9311</v>
      </c>
      <c r="H1467" t="s" s="7">
        <v>9312</v>
      </c>
      <c r="I1467" t="str" s="8" cm="1">
        <f t="array" ref="I1467">SUBSTITUTE(H1467,B1467,"(          )")</f>
        <v>The surgeon will (          ) on the patient tomorrow.</v>
      </c>
      <c r="J1467" s="9" cm="1">
        <f t="array" ref="J1467">SUMIF('외운 것 - 엑셀다운로드 파일(붙여넣기)'!A3:A562,A1467,'외운 것 - 엑셀다운로드 파일(붙여넣기)'!D3:D562)</f>
        <v>0</v>
      </c>
      <c r="K1467" s="9" cm="1">
        <f t="array" ref="K1467">_xlfn.COUNTIFS('외운 것 - 엑셀다운로드 파일(붙여넣기)'!A3:A562,A1467,'외운 것 - 엑셀다운로드 파일(붙여넣기)'!D3:D562,0)</f>
        <v>0</v>
      </c>
      <c r="L1467" s="9" cm="1">
        <f t="array" ref="L1467">IF(J1467&gt;=3,_xlfn.XLOOKUP(A1467,'외운 것 - 엑셀다운로드 파일(붙여넣기)'!A3:A562,'외운 것 - 엑셀다운로드 파일(붙여넣기)'!C3:C562,0,-1),0)</f>
        <v>0</v>
      </c>
    </row>
    <row r="1468" ht="36.4" customHeight="1">
      <c r="A1468" s="3">
        <v>1467</v>
      </c>
      <c r="B1468" t="s" s="4">
        <v>9314</v>
      </c>
      <c r="C1468" t="s" s="5">
        <v>9315</v>
      </c>
      <c r="D1468" t="s" s="5">
        <v>9301</v>
      </c>
      <c r="E1468" t="s" s="5">
        <v>9316</v>
      </c>
      <c r="F1468" t="s" s="10">
        <v>9317</v>
      </c>
      <c r="G1468" t="s" s="7">
        <v>9318</v>
      </c>
      <c r="H1468" t="s" s="7">
        <v>9319</v>
      </c>
      <c r="I1468" t="str" s="8" cm="1">
        <f t="array" ref="I1468">SUBSTITUTE(H1468,B1468,"(          )")</f>
        <v>The (          ) word in this contract is "immediately."</v>
      </c>
      <c r="J1468" s="9" cm="1">
        <f t="array" ref="J1468">SUMIF('외운 것 - 엑셀다운로드 파일(붙여넣기)'!A3:A562,A1468,'외운 것 - 엑셀다운로드 파일(붙여넣기)'!D3:D562)</f>
        <v>0</v>
      </c>
      <c r="K1468" s="9" cm="1">
        <f t="array" ref="K1468">_xlfn.COUNTIFS('외운 것 - 엑셀다운로드 파일(붙여넣기)'!A3:A562,A1468,'외운 것 - 엑셀다운로드 파일(붙여넣기)'!D3:D562,0)</f>
        <v>0</v>
      </c>
      <c r="L1468" s="9" cm="1">
        <f t="array" ref="L1468">IF(J1468&gt;=3,_xlfn.XLOOKUP(A1468,'외운 것 - 엑셀다운로드 파일(붙여넣기)'!A3:A562,'외운 것 - 엑셀다운로드 파일(붙여넣기)'!C3:C562,0,-1),0)</f>
        <v>0</v>
      </c>
    </row>
    <row r="1469" ht="50.45" customHeight="1">
      <c r="A1469" s="3">
        <v>1468</v>
      </c>
      <c r="B1469" t="s" s="4">
        <v>9321</v>
      </c>
      <c r="C1469" t="s" s="5">
        <v>9322</v>
      </c>
      <c r="D1469" t="s" s="5">
        <v>9301</v>
      </c>
      <c r="E1469" t="s" s="5">
        <v>9323</v>
      </c>
      <c r="F1469" t="s" s="10">
        <v>9324</v>
      </c>
      <c r="G1469" t="s" s="7">
        <v>9325</v>
      </c>
      <c r="H1469" t="s" s="7">
        <v>9326</v>
      </c>
      <c r="I1469" t="str" s="8" cm="1">
        <f t="array" ref="I1469">SUBSTITUTE(H1469,B1469,"(          )")</f>
        <v>The elevator is (          ) due to maintenance.</v>
      </c>
      <c r="J1469" s="9" cm="1">
        <f t="array" ref="J1469">SUMIF('외운 것 - 엑셀다운로드 파일(붙여넣기)'!A3:A562,A1469,'외운 것 - 엑셀다운로드 파일(붙여넣기)'!D3:D562)</f>
        <v>0</v>
      </c>
      <c r="K1469" s="9" cm="1">
        <f t="array" ref="K1469">_xlfn.COUNTIFS('외운 것 - 엑셀다운로드 파일(붙여넣기)'!A3:A562,A1469,'외운 것 - 엑셀다운로드 파일(붙여넣기)'!D3:D562,0)</f>
        <v>0</v>
      </c>
      <c r="L1469" s="9" cm="1">
        <f t="array" ref="L1469">IF(J1469&gt;=3,_xlfn.XLOOKUP(A1469,'외운 것 - 엑셀다운로드 파일(붙여넣기)'!A3:A562,'외운 것 - 엑셀다운로드 파일(붙여넣기)'!C3:C562,0,-1),0)</f>
        <v>0</v>
      </c>
    </row>
    <row r="1470" ht="36.4" customHeight="1">
      <c r="A1470" s="3">
        <v>1469</v>
      </c>
      <c r="B1470" t="s" s="4">
        <v>9328</v>
      </c>
      <c r="C1470" t="s" s="5">
        <v>9315</v>
      </c>
      <c r="D1470" t="s" s="5">
        <v>9301</v>
      </c>
      <c r="E1470" t="s" s="5">
        <v>9329</v>
      </c>
      <c r="F1470" t="s" s="10">
        <v>9330</v>
      </c>
      <c r="G1470" t="s" s="7">
        <v>9331</v>
      </c>
      <c r="H1470" t="s" s="7">
        <v>9332</v>
      </c>
      <c r="I1470" t="str" s="8" cm="1">
        <f t="array" ref="I1470">SUBSTITUTE(H1470,B1470,"(          )")</f>
        <v>The two teams (          ) on environmental projects.</v>
      </c>
      <c r="J1470" s="9" cm="1">
        <f t="array" ref="J1470">SUMIF('외운 것 - 엑셀다운로드 파일(붙여넣기)'!A3:A562,A1470,'외운 것 - 엑셀다운로드 파일(붙여넣기)'!D3:D562)</f>
        <v>0</v>
      </c>
      <c r="K1470" s="9" cm="1">
        <f t="array" ref="K1470">_xlfn.COUNTIFS('외운 것 - 엑셀다운로드 파일(붙여넣기)'!A3:A562,A1470,'외운 것 - 엑셀다운로드 파일(붙여넣기)'!D3:D562,0)</f>
        <v>0</v>
      </c>
      <c r="L1470" s="9" cm="1">
        <f t="array" ref="L1470">IF(J1470&gt;=3,_xlfn.XLOOKUP(A1470,'외운 것 - 엑셀다운로드 파일(붙여넣기)'!A3:A562,'외운 것 - 엑셀다운로드 파일(붙여넣기)'!C3:C562,0,-1),0)</f>
        <v>0</v>
      </c>
    </row>
    <row r="1471" ht="23.45" customHeight="1">
      <c r="A1471" s="3">
        <v>1470</v>
      </c>
      <c r="B1471" t="s" s="4">
        <v>9334</v>
      </c>
      <c r="C1471" t="s" s="5">
        <v>9335</v>
      </c>
      <c r="D1471" t="s" s="5">
        <v>9336</v>
      </c>
      <c r="E1471" t="s" s="5">
        <v>9337</v>
      </c>
      <c r="F1471" t="s" s="10">
        <v>9338</v>
      </c>
      <c r="G1471" t="s" s="7">
        <v>9339</v>
      </c>
      <c r="H1471" t="s" s="7">
        <v>9340</v>
      </c>
      <c r="I1471" t="str" s="8" cm="1">
        <f t="array" ref="I1471">SUBSTITUTE(H1471,B1471,"(          )")</f>
        <v>The (          ) nerve connects the eye to the brain.</v>
      </c>
      <c r="J1471" s="9" cm="1">
        <f t="array" ref="J1471">SUMIF('외운 것 - 엑셀다운로드 파일(붙여넣기)'!A3:A562,A1471,'외운 것 - 엑셀다운로드 파일(붙여넣기)'!D3:D562)</f>
        <v>0</v>
      </c>
      <c r="K1471" s="9" cm="1">
        <f t="array" ref="K1471">_xlfn.COUNTIFS('외운 것 - 엑셀다운로드 파일(붙여넣기)'!A3:A562,A1471,'외운 것 - 엑셀다운로드 파일(붙여넣기)'!D3:D562,0)</f>
        <v>0</v>
      </c>
      <c r="L1471" s="9" cm="1">
        <f t="array" ref="L1471">IF(J1471&gt;=3,_xlfn.XLOOKUP(A1471,'외운 것 - 엑셀다운로드 파일(붙여넣기)'!A3:A562,'외운 것 - 엑셀다운로드 파일(붙여넣기)'!C3:C562,0,-1),0)</f>
        <v>0</v>
      </c>
    </row>
    <row r="1472" ht="23.45" customHeight="1">
      <c r="A1472" s="3">
        <v>1471</v>
      </c>
      <c r="B1472" t="s" s="4">
        <v>9342</v>
      </c>
      <c r="C1472" t="s" s="5">
        <v>9343</v>
      </c>
      <c r="D1472" t="s" s="5">
        <v>9335</v>
      </c>
      <c r="E1472" t="s" s="5">
        <v>9344</v>
      </c>
      <c r="F1472" t="s" s="10">
        <v>9345</v>
      </c>
      <c r="G1472" t="s" s="7">
        <v>9346</v>
      </c>
      <c r="H1472" t="s" s="7">
        <v>9347</v>
      </c>
      <c r="I1472" t="str" s="8" cm="1">
        <f t="array" ref="I1472">SUBSTITUTE(H1472,B1472,"(          )")</f>
        <v>The political (          ) of the decision were problematic.</v>
      </c>
      <c r="J1472" s="9" cm="1">
        <f t="array" ref="J1472">SUMIF('외운 것 - 엑셀다운로드 파일(붙여넣기)'!A3:A562,A1472,'외운 것 - 엑셀다운로드 파일(붙여넣기)'!D3:D562)</f>
        <v>0</v>
      </c>
      <c r="K1472" s="9" cm="1">
        <f t="array" ref="K1472">_xlfn.COUNTIFS('외운 것 - 엑셀다운로드 파일(붙여넣기)'!A3:A562,A1472,'외운 것 - 엑셀다운로드 파일(붙여넣기)'!D3:D562,0)</f>
        <v>0</v>
      </c>
      <c r="L1472" s="9" cm="1">
        <f t="array" ref="L1472">IF(J1472&gt;=3,_xlfn.XLOOKUP(A1472,'외운 것 - 엑셀다운로드 파일(붙여넣기)'!A3:A562,'외운 것 - 엑셀다운로드 파일(붙여넣기)'!C3:C562,0,-1),0)</f>
        <v>0</v>
      </c>
    </row>
    <row r="1473" ht="23.45" customHeight="1">
      <c r="A1473" s="3">
        <v>1472</v>
      </c>
      <c r="B1473" t="s" s="4">
        <v>9349</v>
      </c>
      <c r="C1473" t="s" s="5">
        <v>9343</v>
      </c>
      <c r="D1473" t="s" s="5">
        <v>9335</v>
      </c>
      <c r="E1473" t="s" s="5">
        <v>9350</v>
      </c>
      <c r="F1473" t="s" s="10">
        <v>9351</v>
      </c>
      <c r="G1473" t="s" s="7">
        <v>9352</v>
      </c>
      <c r="H1473" t="s" s="7">
        <v>9353</v>
      </c>
      <c r="I1473" t="str" s="8" cm="1">
        <f t="array" ref="I1473">SUBSTITUTE(H1473,B1473,"(          )")</f>
        <v>He needed (          ) lenses to correct his vision.</v>
      </c>
      <c r="J1473" s="9" cm="1">
        <f t="array" ref="J1473">SUMIF('외운 것 - 엑셀다운로드 파일(붙여넣기)'!A3:A562,A1473,'외운 것 - 엑셀다운로드 파일(붙여넣기)'!D3:D562)</f>
        <v>0</v>
      </c>
      <c r="K1473" s="9" cm="1">
        <f t="array" ref="K1473">_xlfn.COUNTIFS('외운 것 - 엑셀다운로드 파일(붙여넣기)'!A3:A562,A1473,'외운 것 - 엑셀다운로드 파일(붙여넣기)'!D3:D562,0)</f>
        <v>0</v>
      </c>
      <c r="L1473" s="9" cm="1">
        <f t="array" ref="L1473">IF(J1473&gt;=3,_xlfn.XLOOKUP(A1473,'외운 것 - 엑셀다운로드 파일(붙여넣기)'!A3:A562,'외운 것 - 엑셀다운로드 파일(붙여넣기)'!C3:C562,0,-1),0)</f>
        <v>0</v>
      </c>
    </row>
    <row r="1474" ht="38.45" customHeight="1">
      <c r="A1474" s="3">
        <v>1473</v>
      </c>
      <c r="B1474" t="s" s="4">
        <v>9355</v>
      </c>
      <c r="C1474" t="s" s="5">
        <v>9356</v>
      </c>
      <c r="D1474" t="s" s="5">
        <v>9335</v>
      </c>
      <c r="E1474" t="s" s="5">
        <v>9357</v>
      </c>
      <c r="F1474" t="s" s="10">
        <v>9358</v>
      </c>
      <c r="G1474" t="s" s="7">
        <v>9359</v>
      </c>
      <c r="H1474" t="s" s="7">
        <v>9360</v>
      </c>
      <c r="I1474" t="str" s="8" cm="1">
        <f t="array" ref="I1474">SUBSTITUTE(H1474,B1474,"(          )")</f>
        <v>Education provides opportunities for a better future.</v>
      </c>
      <c r="J1474" s="9" cm="1">
        <f t="array" ref="J1474">SUMIF('외운 것 - 엑셀다운로드 파일(붙여넣기)'!A3:A562,A1474,'외운 것 - 엑셀다운로드 파일(붙여넣기)'!D3:D562)</f>
        <v>0</v>
      </c>
      <c r="K1474" s="9" cm="1">
        <f t="array" ref="K1474">_xlfn.COUNTIFS('외운 것 - 엑셀다운로드 파일(붙여넣기)'!A3:A562,A1474,'외운 것 - 엑셀다운로드 파일(붙여넣기)'!D3:D562,0)</f>
        <v>0</v>
      </c>
      <c r="L1474" s="9" cm="1">
        <f t="array" ref="L1474">IF(J1474&gt;=3,_xlfn.XLOOKUP(A1474,'외운 것 - 엑셀다운로드 파일(붙여넣기)'!A3:A562,'외운 것 - 엑셀다운로드 파일(붙여넣기)'!C3:C562,0,-1),0)</f>
        <v>0</v>
      </c>
    </row>
    <row r="1475" ht="38.45" customHeight="1">
      <c r="A1475" s="3">
        <v>1474</v>
      </c>
      <c r="B1475" t="s" s="4">
        <v>9362</v>
      </c>
      <c r="C1475" t="s" s="5">
        <v>9335</v>
      </c>
      <c r="D1475" t="s" s="5">
        <v>9336</v>
      </c>
      <c r="E1475" t="s" s="5">
        <v>9363</v>
      </c>
      <c r="F1475" t="s" s="10">
        <v>9364</v>
      </c>
      <c r="G1475" t="s" s="7">
        <v>9365</v>
      </c>
      <c r="H1475" t="s" s="7">
        <v>9366</v>
      </c>
      <c r="I1475" t="str" s="8" cm="1">
        <f t="array" ref="I1475">SUBSTITUTE(H1475,B1475,"(          )")</f>
        <v>The restaurant offers a vegetarian (          ) on the menu.</v>
      </c>
      <c r="J1475" s="9" cm="1">
        <f t="array" ref="J1475">SUMIF('외운 것 - 엑셀다운로드 파일(붙여넣기)'!A3:A562,A1475,'외운 것 - 엑셀다운로드 파일(붙여넣기)'!D3:D562)</f>
        <v>0</v>
      </c>
      <c r="K1475" s="9" cm="1">
        <f t="array" ref="K1475">_xlfn.COUNTIFS('외운 것 - 엑셀다운로드 파일(붙여넣기)'!A3:A562,A1475,'외운 것 - 엑셀다운로드 파일(붙여넣기)'!D3:D562,0)</f>
        <v>0</v>
      </c>
      <c r="L1475" s="9" cm="1">
        <f t="array" ref="L1475">IF(J1475&gt;=3,_xlfn.XLOOKUP(A1475,'외운 것 - 엑셀다운로드 파일(붙여넣기)'!A3:A562,'외운 것 - 엑셀다운로드 파일(붙여넣기)'!C3:C562,0,-1),0)</f>
        <v>0</v>
      </c>
    </row>
    <row r="1476" ht="38.45" customHeight="1">
      <c r="A1476" s="3">
        <v>1475</v>
      </c>
      <c r="B1476" t="s" s="4">
        <v>9368</v>
      </c>
      <c r="C1476" t="s" s="5">
        <v>9335</v>
      </c>
      <c r="D1476" t="s" s="5">
        <v>9336</v>
      </c>
      <c r="E1476" t="s" s="5">
        <v>9369</v>
      </c>
      <c r="F1476" t="s" s="10">
        <v>9370</v>
      </c>
      <c r="G1476" t="s" s="7">
        <v>9371</v>
      </c>
      <c r="H1476" t="s" s="7">
        <v>9372</v>
      </c>
      <c r="I1476" t="str" s="8" cm="1">
        <f t="array" ref="I1476">SUBSTITUTE(H1476,B1476,"(          )")</f>
        <v>The family decided to (          ) a rescue dog.</v>
      </c>
      <c r="J1476" s="9" cm="1">
        <f t="array" ref="J1476">SUMIF('외운 것 - 엑셀다운로드 파일(붙여넣기)'!A3:A562,A1476,'외운 것 - 엑셀다운로드 파일(붙여넣기)'!D3:D562)</f>
        <v>0</v>
      </c>
      <c r="K1476" s="9" cm="1">
        <f t="array" ref="K1476">_xlfn.COUNTIFS('외운 것 - 엑셀다운로드 파일(붙여넣기)'!A3:A562,A1476,'외운 것 - 엑셀다운로드 파일(붙여넣기)'!D3:D562,0)</f>
        <v>0</v>
      </c>
      <c r="L1476" s="9" cm="1">
        <f t="array" ref="L1476">IF(J1476&gt;=3,_xlfn.XLOOKUP(A1476,'외운 것 - 엑셀다운로드 파일(붙여넣기)'!A3:A562,'외운 것 - 엑셀다운로드 파일(붙여넣기)'!C3:C562,0,-1),0)</f>
        <v>0</v>
      </c>
    </row>
    <row r="1477" ht="36.4" customHeight="1">
      <c r="A1477" s="3">
        <v>1476</v>
      </c>
      <c r="B1477" t="s" s="4">
        <v>9374</v>
      </c>
      <c r="C1477" t="s" s="5">
        <v>9375</v>
      </c>
      <c r="D1477" t="s" s="5">
        <v>9335</v>
      </c>
      <c r="E1477" t="s" s="5">
        <v>9376</v>
      </c>
      <c r="F1477" t="s" s="10">
        <v>9377</v>
      </c>
      <c r="G1477" t="s" s="7">
        <v>9378</v>
      </c>
      <c r="H1477" t="s" s="7">
        <v>9379</v>
      </c>
      <c r="I1477" t="str" s="8" cm="1">
        <f t="array" ref="I1477">SUBSTITUTE(H1477,B1477,"(          )")</f>
        <v>The (          ) process can take several months.</v>
      </c>
      <c r="J1477" s="9" cm="1">
        <f t="array" ref="J1477">SUMIF('외운 것 - 엑셀다운로드 파일(붙여넣기)'!A3:A562,A1477,'외운 것 - 엑셀다운로드 파일(붙여넣기)'!D3:D562)</f>
        <v>0</v>
      </c>
      <c r="K1477" s="9" cm="1">
        <f t="array" ref="K1477">_xlfn.COUNTIFS('외운 것 - 엑셀다운로드 파일(붙여넣기)'!A3:A562,A1477,'외운 것 - 엑셀다운로드 파일(붙여넣기)'!D3:D562,0)</f>
        <v>0</v>
      </c>
      <c r="L1477" s="9" cm="1">
        <f t="array" ref="L1477">IF(J1477&gt;=3,_xlfn.XLOOKUP(A1477,'외운 것 - 엑셀다운로드 파일(붙여넣기)'!A3:A562,'외운 것 - 엑셀다운로드 파일(붙여넣기)'!C3:C562,0,-1),0)</f>
        <v>0</v>
      </c>
    </row>
    <row r="1478" ht="23.45" customHeight="1">
      <c r="A1478" s="3">
        <v>1477</v>
      </c>
      <c r="B1478" t="s" s="4">
        <v>9381</v>
      </c>
      <c r="C1478" t="s" s="5">
        <v>9356</v>
      </c>
      <c r="D1478" t="s" s="5">
        <v>9335</v>
      </c>
      <c r="E1478" t="s" s="5">
        <v>9382</v>
      </c>
      <c r="F1478" t="s" s="10">
        <v>9383</v>
      </c>
      <c r="G1478" t="s" s="7">
        <v>9384</v>
      </c>
      <c r="H1478" t="s" s="7">
        <v>9385</v>
      </c>
      <c r="I1478" t="str" s="8" cm="1">
        <f t="array" ref="I1478">SUBSTITUTE(H1478,B1478,"(          )")</f>
        <v>Everyone has an (          ) about the controversial law.</v>
      </c>
      <c r="J1478" s="9" cm="1">
        <f t="array" ref="J1478">SUMIF('외운 것 - 엑셀다운로드 파일(붙여넣기)'!A3:A562,A1478,'외운 것 - 엑셀다운로드 파일(붙여넣기)'!D3:D562)</f>
        <v>0</v>
      </c>
      <c r="K1478" s="9" cm="1">
        <f t="array" ref="K1478">_xlfn.COUNTIFS('외운 것 - 엑셀다운로드 파일(붙여넣기)'!A3:A562,A1478,'외운 것 - 엑셀다운로드 파일(붙여넣기)'!D3:D562,0)</f>
        <v>0</v>
      </c>
      <c r="L1478" s="9" cm="1">
        <f t="array" ref="L1478">IF(J1478&gt;=3,_xlfn.XLOOKUP(A1478,'외운 것 - 엑셀다운로드 파일(붙여넣기)'!A3:A562,'외운 것 - 엑셀다운로드 파일(붙여넣기)'!C3:C562,0,-1),0)</f>
        <v>0</v>
      </c>
    </row>
    <row r="1479" ht="38.45" customHeight="1">
      <c r="A1479" s="3">
        <v>1478</v>
      </c>
      <c r="B1479" t="s" s="4">
        <v>9387</v>
      </c>
      <c r="C1479" t="s" s="5">
        <v>9356</v>
      </c>
      <c r="D1479" t="s" s="5">
        <v>9335</v>
      </c>
      <c r="E1479" t="s" s="5">
        <v>9388</v>
      </c>
      <c r="F1479" t="s" s="10">
        <v>9389</v>
      </c>
      <c r="G1479" t="s" s="7">
        <v>9390</v>
      </c>
      <c r="H1479" t="s" s="7">
        <v>9391</v>
      </c>
      <c r="I1479" t="str" s="8" cm="1">
        <f t="array" ref="I1479">SUBSTITUTE(H1479,B1479,"(          )")</f>
        <v>The (          ) temperature for plant growth is around 70°F.</v>
      </c>
      <c r="J1479" s="9" cm="1">
        <f t="array" ref="J1479">SUMIF('외운 것 - 엑셀다운로드 파일(붙여넣기)'!A3:A562,A1479,'외운 것 - 엑셀다운로드 파일(붙여넣기)'!D3:D562)</f>
        <v>0</v>
      </c>
      <c r="K1479" s="9" cm="1">
        <f t="array" ref="K1479">_xlfn.COUNTIFS('외운 것 - 엑셀다운로드 파일(붙여넣기)'!A3:A562,A1479,'외운 것 - 엑셀다운로드 파일(붙여넣기)'!D3:D562,0)</f>
        <v>0</v>
      </c>
      <c r="L1479" s="9" cm="1">
        <f t="array" ref="L1479">IF(J1479&gt;=3,_xlfn.XLOOKUP(A1479,'외운 것 - 엑셀다운로드 파일(붙여넣기)'!A3:A562,'외운 것 - 엑셀다운로드 파일(붙여넣기)'!C3:C562,0,-1),0)</f>
        <v>0</v>
      </c>
    </row>
    <row r="1480" ht="36.4" customHeight="1">
      <c r="A1480" s="3">
        <v>1479</v>
      </c>
      <c r="B1480" t="s" s="4">
        <v>9393</v>
      </c>
      <c r="C1480" t="s" s="5">
        <v>9394</v>
      </c>
      <c r="D1480" t="s" s="5">
        <v>9335</v>
      </c>
      <c r="E1480" t="s" s="5">
        <v>9395</v>
      </c>
      <c r="F1480" t="s" s="10">
        <v>9396</v>
      </c>
      <c r="G1480" t="s" s="7">
        <v>9397</v>
      </c>
      <c r="H1480" t="s" s="7">
        <v>9398</v>
      </c>
      <c r="I1480" t="str" s="8" cm="1">
        <f t="array" ref="I1480">SUBSTITUTE(H1480,B1480,"(          )")</f>
        <v>Her (          ) helped her through difficult times.</v>
      </c>
      <c r="J1480" s="9" cm="1">
        <f t="array" ref="J1480">SUMIF('외운 것 - 엑셀다운로드 파일(붙여넣기)'!A3:A562,A1480,'외운 것 - 엑셀다운로드 파일(붙여넣기)'!D3:D562)</f>
        <v>0</v>
      </c>
      <c r="K1480" s="9" cm="1">
        <f t="array" ref="K1480">_xlfn.COUNTIFS('외운 것 - 엑셀다운로드 파일(붙여넣기)'!A3:A562,A1480,'외운 것 - 엑셀다운로드 파일(붙여넣기)'!D3:D562,0)</f>
        <v>0</v>
      </c>
      <c r="L1480" s="9" cm="1">
        <f t="array" ref="L1480">IF(J1480&gt;=3,_xlfn.XLOOKUP(A1480,'외운 것 - 엑셀다운로드 파일(붙여넣기)'!A3:A562,'외운 것 - 엑셀다운로드 파일(붙여넣기)'!C3:C562,0,-1),0)</f>
        <v>0</v>
      </c>
    </row>
    <row r="1481" ht="50.45" customHeight="1">
      <c r="A1481" s="3">
        <v>1480</v>
      </c>
      <c r="B1481" t="s" s="4">
        <v>9400</v>
      </c>
      <c r="C1481" t="s" s="5">
        <v>9401</v>
      </c>
      <c r="D1481" t="s" s="5">
        <v>9335</v>
      </c>
      <c r="E1481" t="s" s="5">
        <v>9402</v>
      </c>
      <c r="F1481" t="s" s="10">
        <v>9403</v>
      </c>
      <c r="G1481" t="s" s="7">
        <v>9404</v>
      </c>
      <c r="H1481" t="s" s="7">
        <v>9405</v>
      </c>
      <c r="I1481" t="str" s="8" cm="1">
        <f t="array" ref="I1481">SUBSTITUTE(H1481,B1481,"(          )")</f>
        <v>Despite challenges, I remain (          ) about the future.</v>
      </c>
      <c r="J1481" s="9" cm="1">
        <f t="array" ref="J1481">SUMIF('외운 것 - 엑셀다운로드 파일(붙여넣기)'!A3:A562,A1481,'외운 것 - 엑셀다운로드 파일(붙여넣기)'!D3:D562)</f>
        <v>0</v>
      </c>
      <c r="K1481" s="9" cm="1">
        <f t="array" ref="K1481">_xlfn.COUNTIFS('외운 것 - 엑셀다운로드 파일(붙여넣기)'!A3:A562,A1481,'외운 것 - 엑셀다운로드 파일(붙여넣기)'!D3:D562,0)</f>
        <v>0</v>
      </c>
      <c r="L1481" s="9" cm="1">
        <f t="array" ref="L1481">IF(J1481&gt;=3,_xlfn.XLOOKUP(A1481,'외운 것 - 엑셀다운로드 파일(붙여넣기)'!A3:A562,'외운 것 - 엑셀다운로드 파일(붙여넣기)'!C3:C562,0,-1),0)</f>
        <v>0</v>
      </c>
    </row>
    <row r="1482" ht="36.4" customHeight="1">
      <c r="A1482" s="3">
        <v>1481</v>
      </c>
      <c r="B1482" t="s" s="4">
        <v>9407</v>
      </c>
      <c r="C1482" t="s" s="5">
        <v>9394</v>
      </c>
      <c r="D1482" t="s" s="5">
        <v>9335</v>
      </c>
      <c r="E1482" t="s" s="5">
        <v>9408</v>
      </c>
      <c r="F1482" t="s" s="10">
        <v>9409</v>
      </c>
      <c r="G1482" t="s" s="7">
        <v>9410</v>
      </c>
      <c r="H1482" t="s" s="7">
        <v>9411</v>
      </c>
      <c r="I1482" t="str" s="8" cm="1">
        <f t="array" ref="I1482">SUBSTITUTE(H1482,B1482,"(          )")</f>
        <v>We need to (          ) the website for mobile devices.</v>
      </c>
      <c r="J1482" s="9" cm="1">
        <f t="array" ref="J1482">SUMIF('외운 것 - 엑셀다운로드 파일(붙여넣기)'!A3:A562,A1482,'외운 것 - 엑셀다운로드 파일(붙여넣기)'!D3:D562)</f>
        <v>0</v>
      </c>
      <c r="K1482" s="9" cm="1">
        <f t="array" ref="K1482">_xlfn.COUNTIFS('외운 것 - 엑셀다운로드 파일(붙여넣기)'!A3:A562,A1482,'외운 것 - 엑셀다운로드 파일(붙여넣기)'!D3:D562,0)</f>
        <v>0</v>
      </c>
      <c r="L1482" s="9" cm="1">
        <f t="array" ref="L1482">IF(J1482&gt;=3,_xlfn.XLOOKUP(A1482,'외운 것 - 엑셀다운로드 파일(붙여넣기)'!A3:A562,'외운 것 - 엑셀다운로드 파일(붙여넣기)'!C3:C562,0,-1),0)</f>
        <v>0</v>
      </c>
    </row>
    <row r="1483" ht="23.45" customHeight="1">
      <c r="A1483" s="3">
        <v>1482</v>
      </c>
      <c r="B1483" t="s" s="4">
        <v>9413</v>
      </c>
      <c r="C1483" t="s" s="5">
        <v>9414</v>
      </c>
      <c r="D1483" t="s" s="5">
        <v>9415</v>
      </c>
      <c r="E1483" t="s" s="5">
        <v>9416</v>
      </c>
      <c r="F1483" t="s" s="10">
        <v>9417</v>
      </c>
      <c r="G1483" t="s" s="7">
        <v>9418</v>
      </c>
      <c r="H1483" t="s" s="7">
        <v>9419</v>
      </c>
      <c r="I1483" t="str" s="8" cm="1">
        <f t="array" ref="I1483">SUBSTITUTE(H1483,B1483,"(          )")</f>
        <v>The student gave an excellent (          ) presentation.</v>
      </c>
      <c r="J1483" s="9" cm="1">
        <f t="array" ref="J1483">SUMIF('외운 것 - 엑셀다운로드 파일(붙여넣기)'!A3:A562,A1483,'외운 것 - 엑셀다운로드 파일(붙여넣기)'!D3:D562)</f>
        <v>0</v>
      </c>
      <c r="K1483" s="9" cm="1">
        <f t="array" ref="K1483">_xlfn.COUNTIFS('외운 것 - 엑셀다운로드 파일(붙여넣기)'!A3:A562,A1483,'외운 것 - 엑셀다운로드 파일(붙여넣기)'!D3:D562,0)</f>
        <v>0</v>
      </c>
      <c r="L1483" s="9" cm="1">
        <f t="array" ref="L1483">IF(J1483&gt;=3,_xlfn.XLOOKUP(A1483,'외운 것 - 엑셀다운로드 파일(붙여넣기)'!A3:A562,'외운 것 - 엑셀다운로드 파일(붙여넣기)'!C3:C562,0,-1),0)</f>
        <v>0</v>
      </c>
    </row>
    <row r="1484" ht="38.45" customHeight="1">
      <c r="A1484" s="3">
        <v>1483</v>
      </c>
      <c r="B1484" t="s" s="4">
        <v>9421</v>
      </c>
      <c r="C1484" t="s" s="5">
        <v>9413</v>
      </c>
      <c r="D1484" t="s" s="5">
        <v>9422</v>
      </c>
      <c r="E1484" t="s" s="5">
        <v>9423</v>
      </c>
      <c r="F1484" t="s" s="10">
        <v>9424</v>
      </c>
      <c r="G1484" t="s" s="7">
        <v>9425</v>
      </c>
      <c r="H1484" t="s" s="7">
        <v>9426</v>
      </c>
      <c r="I1484" t="str" s="8" cm="1">
        <f t="array" ref="I1484">SUBSTITUTE(H1484,B1484,"(          )")</f>
        <v>The story teaches children important (          ) lessons.</v>
      </c>
      <c r="J1484" s="9" cm="1">
        <f t="array" ref="J1484">SUMIF('외운 것 - 엑셀다운로드 파일(붙여넣기)'!A3:A562,A1484,'외운 것 - 엑셀다운로드 파일(붙여넣기)'!D3:D562)</f>
        <v>0</v>
      </c>
      <c r="K1484" s="9" cm="1">
        <f t="array" ref="K1484">_xlfn.COUNTIFS('외운 것 - 엑셀다운로드 파일(붙여넣기)'!A3:A562,A1484,'외운 것 - 엑셀다운로드 파일(붙여넣기)'!D3:D562,0)</f>
        <v>0</v>
      </c>
      <c r="L1484" s="9" cm="1">
        <f t="array" ref="L1484">IF(J1484&gt;=3,_xlfn.XLOOKUP(A1484,'외운 것 - 엑셀다운로드 파일(붙여넣기)'!A3:A562,'외운 것 - 엑셀다운로드 파일(붙여넣기)'!C3:C562,0,-1),0)</f>
        <v>0</v>
      </c>
    </row>
    <row r="1485" ht="36.4" customHeight="1">
      <c r="A1485" s="3">
        <v>1484</v>
      </c>
      <c r="B1485" t="s" s="4">
        <v>9428</v>
      </c>
      <c r="C1485" t="s" s="5">
        <v>9429</v>
      </c>
      <c r="D1485" t="s" s="5">
        <v>9413</v>
      </c>
      <c r="E1485" t="s" s="5">
        <v>9430</v>
      </c>
      <c r="F1485" t="s" s="10">
        <v>9431</v>
      </c>
      <c r="G1485" t="s" s="7">
        <v>9432</v>
      </c>
      <c r="H1485" t="s" s="7">
        <v>9433</v>
      </c>
      <c r="I1485" t="str" s="8" cm="1">
        <f t="array" ref="I1485">SUBSTITUTE(H1485,B1485,"(          )")</f>
        <v>Many people consider lying (          ).</v>
      </c>
      <c r="J1485" s="9" cm="1">
        <f t="array" ref="J1485">SUMIF('외운 것 - 엑셀다운로드 파일(붙여넣기)'!A3:A562,A1485,'외운 것 - 엑셀다운로드 파일(붙여넣기)'!D3:D562)</f>
        <v>0</v>
      </c>
      <c r="K1485" s="9" cm="1">
        <f t="array" ref="K1485">_xlfn.COUNTIFS('외운 것 - 엑셀다운로드 파일(붙여넣기)'!A3:A562,A1485,'외운 것 - 엑셀다운로드 파일(붙여넣기)'!D3:D562,0)</f>
        <v>0</v>
      </c>
      <c r="L1485" s="9" cm="1">
        <f t="array" ref="L1485">IF(J1485&gt;=3,_xlfn.XLOOKUP(A1485,'외운 것 - 엑셀다운로드 파일(붙여넣기)'!A3:A562,'외운 것 - 엑셀다운로드 파일(붙여넣기)'!C3:C562,0,-1),0)</f>
        <v>0</v>
      </c>
    </row>
    <row r="1486" ht="38.45" customHeight="1">
      <c r="A1486" s="3">
        <v>1485</v>
      </c>
      <c r="B1486" t="s" s="4">
        <v>9435</v>
      </c>
      <c r="C1486" t="s" s="5">
        <v>9429</v>
      </c>
      <c r="D1486" t="s" s="5">
        <v>9413</v>
      </c>
      <c r="E1486" t="s" s="5">
        <v>9436</v>
      </c>
      <c r="F1486" t="s" s="10">
        <v>9437</v>
      </c>
      <c r="G1486" t="s" s="7">
        <v>9438</v>
      </c>
      <c r="H1486" t="s" s="7">
        <v>9439</v>
      </c>
      <c r="I1486" t="str" s="8" cm="1">
        <f t="array" ref="I1486">SUBSTITUTE(H1486,B1486,"(          )")</f>
        <v>Good leadership improves team (          ).</v>
      </c>
      <c r="J1486" s="9" cm="1">
        <f t="array" ref="J1486">SUMIF('외운 것 - 엑셀다운로드 파일(붙여넣기)'!A3:A562,A1486,'외운 것 - 엑셀다운로드 파일(붙여넣기)'!D3:D562)</f>
        <v>0</v>
      </c>
      <c r="K1486" s="9" cm="1">
        <f t="array" ref="K1486">_xlfn.COUNTIFS('외운 것 - 엑셀다운로드 파일(붙여넣기)'!A3:A562,A1486,'외운 것 - 엑셀다운로드 파일(붙여넣기)'!D3:D562,0)</f>
        <v>0</v>
      </c>
      <c r="L1486" s="9" cm="1">
        <f t="array" ref="L1486">IF(J1486&gt;=3,_xlfn.XLOOKUP(A1486,'외운 것 - 엑셀다운로드 파일(붙여넣기)'!A3:A562,'외운 것 - 엑셀다운로드 파일(붙여넣기)'!C3:C562,0,-1),0)</f>
        <v>0</v>
      </c>
    </row>
    <row r="1487" ht="50.45" customHeight="1">
      <c r="A1487" s="3">
        <v>1486</v>
      </c>
      <c r="B1487" t="s" s="4">
        <v>9441</v>
      </c>
      <c r="C1487" t="s" s="5">
        <v>9442</v>
      </c>
      <c r="D1487" t="s" s="5">
        <v>9413</v>
      </c>
      <c r="E1487" t="s" s="5">
        <v>9443</v>
      </c>
      <c r="F1487" t="s" s="10">
        <v>9444</v>
      </c>
      <c r="G1487" t="s" s="7">
        <v>9445</v>
      </c>
      <c r="H1487" t="s" s="7">
        <v>9446</v>
      </c>
      <c r="I1487" t="str" s="8" cm="1">
        <f t="array" ref="I1487">SUBSTITUTE(H1487,B1487,"(          )")</f>
        <v>Constant criticism can (          ) employees.</v>
      </c>
      <c r="J1487" s="9" cm="1">
        <f t="array" ref="J1487">SUMIF('외운 것 - 엑셀다운로드 파일(붙여넣기)'!A3:A562,A1487,'외운 것 - 엑셀다운로드 파일(붙여넣기)'!D3:D562)</f>
        <v>0</v>
      </c>
      <c r="K1487" s="9" cm="1">
        <f t="array" ref="K1487">_xlfn.COUNTIFS('외운 것 - 엑셀다운로드 파일(붙여넣기)'!A3:A562,A1487,'외운 것 - 엑셀다운로드 파일(붙여넣기)'!D3:D562,0)</f>
        <v>0</v>
      </c>
      <c r="L1487" s="9" cm="1">
        <f t="array" ref="L1487">IF(J1487&gt;=3,_xlfn.XLOOKUP(A1487,'외운 것 - 엑셀다운로드 파일(붙여넣기)'!A3:A562,'외운 것 - 엑셀다운로드 파일(붙여넣기)'!C3:C562,0,-1),0)</f>
        <v>0</v>
      </c>
    </row>
    <row r="1488" ht="38.45" customHeight="1">
      <c r="A1488" s="3">
        <v>1487</v>
      </c>
      <c r="B1488" t="s" s="4">
        <v>9448</v>
      </c>
      <c r="C1488" t="s" s="5">
        <v>9449</v>
      </c>
      <c r="D1488" t="s" s="5">
        <v>9450</v>
      </c>
      <c r="E1488" t="s" s="5">
        <v>9451</v>
      </c>
      <c r="F1488" t="s" s="10">
        <v>9452</v>
      </c>
      <c r="G1488" t="s" s="7">
        <v>9453</v>
      </c>
      <c r="H1488" t="s" s="7">
        <v>9454</v>
      </c>
      <c r="I1488" t="str" s="8" cm="1">
        <f t="array" ref="I1488">SUBSTITUTE(H1488,B1488,"(          )")</f>
        <v>Please put these files in alphabetical (          ).</v>
      </c>
      <c r="J1488" s="9" cm="1">
        <f t="array" ref="J1488">SUMIF('외운 것 - 엑셀다운로드 파일(붙여넣기)'!A3:A562,A1488,'외운 것 - 엑셀다운로드 파일(붙여넣기)'!D3:D562)</f>
        <v>0</v>
      </c>
      <c r="K1488" s="9" cm="1">
        <f t="array" ref="K1488">_xlfn.COUNTIFS('외운 것 - 엑셀다운로드 파일(붙여넣기)'!A3:A562,A1488,'외운 것 - 엑셀다운로드 파일(붙여넣기)'!D3:D562,0)</f>
        <v>0</v>
      </c>
      <c r="L1488" s="9" cm="1">
        <f t="array" ref="L1488">IF(J1488&gt;=3,_xlfn.XLOOKUP(A1488,'외운 것 - 엑셀다운로드 파일(붙여넣기)'!A3:A562,'외운 것 - 엑셀다운로드 파일(붙여넣기)'!C3:C562,0,-1),0)</f>
        <v>0</v>
      </c>
    </row>
    <row r="1489" ht="23.45" customHeight="1">
      <c r="A1489" s="3">
        <v>1488</v>
      </c>
      <c r="B1489" t="s" s="4">
        <v>9456</v>
      </c>
      <c r="C1489" t="s" s="5">
        <v>9449</v>
      </c>
      <c r="D1489" t="s" s="5">
        <v>9450</v>
      </c>
      <c r="E1489" t="s" s="5">
        <v>9457</v>
      </c>
      <c r="F1489" t="s" s="10">
        <v>9458</v>
      </c>
      <c r="G1489" t="s" s="7">
        <v>9459</v>
      </c>
      <c r="H1489" t="s" s="7">
        <v>9460</v>
      </c>
      <c r="I1489" t="str" s="8" cm="1">
        <f t="array" ref="I1489">SUBSTITUTE(H1489,B1489,"(          )")</f>
        <v>It was just an (          ) day until the surprise party.</v>
      </c>
      <c r="J1489" s="9" cm="1">
        <f t="array" ref="J1489">SUMIF('외운 것 - 엑셀다운로드 파일(붙여넣기)'!A3:A562,A1489,'외운 것 - 엑셀다운로드 파일(붙여넣기)'!D3:D562)</f>
        <v>0</v>
      </c>
      <c r="K1489" s="9" cm="1">
        <f t="array" ref="K1489">_xlfn.COUNTIFS('외운 것 - 엑셀다운로드 파일(붙여넣기)'!A3:A562,A1489,'외운 것 - 엑셀다운로드 파일(붙여넣기)'!D3:D562,0)</f>
        <v>0</v>
      </c>
      <c r="L1489" s="9" cm="1">
        <f t="array" ref="L1489">IF(J1489&gt;=3,_xlfn.XLOOKUP(A1489,'외운 것 - 엑셀다운로드 파일(붙여넣기)'!A3:A562,'외운 것 - 엑셀다운로드 파일(붙여넣기)'!C3:C562,0,-1),0)</f>
        <v>0</v>
      </c>
    </row>
    <row r="1490" ht="36.4" customHeight="1">
      <c r="A1490" s="3">
        <v>1489</v>
      </c>
      <c r="B1490" t="s" s="4">
        <v>9462</v>
      </c>
      <c r="C1490" t="s" s="5">
        <v>9463</v>
      </c>
      <c r="D1490" t="s" s="5">
        <v>9449</v>
      </c>
      <c r="E1490" t="s" s="5">
        <v>9464</v>
      </c>
      <c r="F1490" t="s" s="10">
        <v>9465</v>
      </c>
      <c r="G1490" t="s" s="7">
        <v>9466</v>
      </c>
      <c r="H1490" t="s" s="7">
        <v>9467</v>
      </c>
      <c r="I1490" t="str" s="8" cm="1">
        <f t="array" ref="I1490">SUBSTITUTE(H1490,B1490,"(          )")</f>
        <v>Her musical talent is truly (          ).</v>
      </c>
      <c r="J1490" s="9" cm="1">
        <f t="array" ref="J1490">SUMIF('외운 것 - 엑셀다운로드 파일(붙여넣기)'!A3:A562,A1490,'외운 것 - 엑셀다운로드 파일(붙여넣기)'!D3:D562)</f>
        <v>0</v>
      </c>
      <c r="K1490" s="9" cm="1">
        <f t="array" ref="K1490">_xlfn.COUNTIFS('외운 것 - 엑셀다운로드 파일(붙여넣기)'!A3:A562,A1490,'외운 것 - 엑셀다운로드 파일(붙여넣기)'!D3:D562,0)</f>
        <v>0</v>
      </c>
      <c r="L1490" s="9" cm="1">
        <f t="array" ref="L1490">IF(J1490&gt;=3,_xlfn.XLOOKUP(A1490,'외운 것 - 엑셀다운로드 파일(붙여넣기)'!A3:A562,'외운 것 - 엑셀다운로드 파일(붙여넣기)'!C3:C562,0,-1),0)</f>
        <v>0</v>
      </c>
    </row>
    <row r="1491" ht="23.45" customHeight="1">
      <c r="A1491" s="3">
        <v>1490</v>
      </c>
      <c r="B1491" t="s" s="4">
        <v>9469</v>
      </c>
      <c r="C1491" t="s" s="5">
        <v>9449</v>
      </c>
      <c r="D1491" t="s" s="5">
        <v>9450</v>
      </c>
      <c r="E1491" t="s" s="5">
        <v>9470</v>
      </c>
      <c r="F1491" t="s" s="10">
        <v>9471</v>
      </c>
      <c r="G1491" t="s" s="7">
        <v>9472</v>
      </c>
      <c r="H1491" t="s" s="7">
        <v>9473</v>
      </c>
      <c r="I1491" t="str" s="8" cm="1">
        <f t="array" ref="I1491">SUBSTITUTE(H1491,B1491,"(          )")</f>
        <v>Autism is a neurodevelopmental (          ).</v>
      </c>
      <c r="J1491" s="9" cm="1">
        <f t="array" ref="J1491">SUMIF('외운 것 - 엑셀다운로드 파일(붙여넣기)'!A3:A562,A1491,'외운 것 - 엑셀다운로드 파일(붙여넣기)'!D3:D562)</f>
        <v>0</v>
      </c>
      <c r="K1491" s="9" cm="1">
        <f t="array" ref="K1491">_xlfn.COUNTIFS('외운 것 - 엑셀다운로드 파일(붙여넣기)'!A3:A562,A1491,'외운 것 - 엑셀다운로드 파일(붙여넣기)'!D3:D562,0)</f>
        <v>0</v>
      </c>
      <c r="L1491" s="9" cm="1">
        <f t="array" ref="L1491">IF(J1491&gt;=3,_xlfn.XLOOKUP(A1491,'외운 것 - 엑셀다운로드 파일(붙여넣기)'!A3:A562,'외운 것 - 엑셀다운로드 파일(붙여넣기)'!C3:C562,0,-1),0)</f>
        <v>0</v>
      </c>
    </row>
    <row r="1492" ht="38.45" customHeight="1">
      <c r="A1492" s="3">
        <v>1491</v>
      </c>
      <c r="B1492" t="s" s="4">
        <v>9475</v>
      </c>
      <c r="C1492" t="s" s="5">
        <v>9449</v>
      </c>
      <c r="D1492" t="s" s="5">
        <v>9450</v>
      </c>
      <c r="E1492" t="s" s="5">
        <v>9476</v>
      </c>
      <c r="F1492" t="s" s="10">
        <v>9477</v>
      </c>
      <c r="G1492" t="s" s="7">
        <v>9478</v>
      </c>
      <c r="H1492" t="s" s="7">
        <v>9479</v>
      </c>
      <c r="I1492" t="str" s="8" cm="1">
        <f t="array" ref="I1492">SUBSTITUTE(H1492,B1492,"(          )")</f>
        <v>The event planner will (          ) all aspects of the wedding.</v>
      </c>
      <c r="J1492" s="9" cm="1">
        <f t="array" ref="J1492">SUMIF('외운 것 - 엑셀다운로드 파일(붙여넣기)'!A3:A562,A1492,'외운 것 - 엑셀다운로드 파일(붙여넣기)'!D3:D562)</f>
        <v>0</v>
      </c>
      <c r="K1492" s="9" cm="1">
        <f t="array" ref="K1492">_xlfn.COUNTIFS('외운 것 - 엑셀다운로드 파일(붙여넣기)'!A3:A562,A1492,'외운 것 - 엑셀다운로드 파일(붙여넣기)'!D3:D562,0)</f>
        <v>0</v>
      </c>
      <c r="L1492" s="9" cm="1">
        <f t="array" ref="L1492">IF(J1492&gt;=3,_xlfn.XLOOKUP(A1492,'외운 것 - 엑셀다운로드 파일(붙여넣기)'!A3:A562,'외운 것 - 엑셀다운로드 파일(붙여넣기)'!C3:C562,0,-1),0)</f>
        <v>0</v>
      </c>
    </row>
    <row r="1493" ht="38.45" customHeight="1">
      <c r="A1493" s="3">
        <v>1492</v>
      </c>
      <c r="B1493" t="s" s="4">
        <v>9481</v>
      </c>
      <c r="C1493" t="s" s="5">
        <v>9482</v>
      </c>
      <c r="D1493" t="s" s="5">
        <v>9449</v>
      </c>
      <c r="E1493" t="s" s="5">
        <v>9483</v>
      </c>
      <c r="F1493" t="s" s="10">
        <v>9484</v>
      </c>
      <c r="G1493" t="s" s="7">
        <v>9485</v>
      </c>
      <c r="H1493" t="s" s="7">
        <v>9486</v>
      </c>
      <c r="I1493" t="str" s="8" cm="1">
        <f t="array" ref="I1493">SUBSTITUTE(H1493,B1493,"(          )")</f>
        <v>The project (          ) ensures all tasks are completed on time.</v>
      </c>
      <c r="J1493" s="9" cm="1">
        <f t="array" ref="J1493">SUMIF('외운 것 - 엑셀다운로드 파일(붙여넣기)'!A3:A562,A1493,'외운 것 - 엑셀다운로드 파일(붙여넣기)'!D3:D562)</f>
        <v>0</v>
      </c>
      <c r="K1493" s="9" cm="1">
        <f t="array" ref="K1493">_xlfn.COUNTIFS('외운 것 - 엑셀다운로드 파일(붙여넣기)'!A3:A562,A1493,'외운 것 - 엑셀다운로드 파일(붙여넣기)'!D3:D562,0)</f>
        <v>0</v>
      </c>
      <c r="L1493" s="9" cm="1">
        <f t="array" ref="L1493">IF(J1493&gt;=3,_xlfn.XLOOKUP(A1493,'외운 것 - 엑셀다운로드 파일(붙여넣기)'!A3:A562,'외운 것 - 엑셀다운로드 파일(붙여넣기)'!C3:C562,0,-1),0)</f>
        <v>0</v>
      </c>
    </row>
    <row r="1494" ht="36.4" customHeight="1">
      <c r="A1494" s="3">
        <v>1493</v>
      </c>
      <c r="B1494" t="s" s="4">
        <v>9488</v>
      </c>
      <c r="C1494" t="s" s="5">
        <v>9482</v>
      </c>
      <c r="D1494" t="s" s="5">
        <v>9449</v>
      </c>
      <c r="E1494" t="s" s="5">
        <v>9489</v>
      </c>
      <c r="F1494" t="s" s="10">
        <v>9490</v>
      </c>
      <c r="G1494" t="s" s="7">
        <v>9491</v>
      </c>
      <c r="H1494" t="s" s="7">
        <v>9492</v>
      </c>
      <c r="I1494" t="str" s="8" cm="1">
        <f t="array" ref="I1494">SUBSTITUTE(H1494,B1494,"(          )")</f>
        <v>Good hand-eye (          ) is important in many sports.</v>
      </c>
      <c r="J1494" s="9" cm="1">
        <f t="array" ref="J1494">SUMIF('외운 것 - 엑셀다운로드 파일(붙여넣기)'!A3:A562,A1494,'외운 것 - 엑셀다운로드 파일(붙여넣기)'!D3:D562)</f>
        <v>0</v>
      </c>
      <c r="K1494" s="9" cm="1">
        <f t="array" ref="K1494">_xlfn.COUNTIFS('외운 것 - 엑셀다운로드 파일(붙여넣기)'!A3:A562,A1494,'외운 것 - 엑셀다운로드 파일(붙여넣기)'!D3:D562,0)</f>
        <v>0</v>
      </c>
      <c r="L1494" s="9" cm="1">
        <f t="array" ref="L1494">IF(J1494&gt;=3,_xlfn.XLOOKUP(A1494,'외운 것 - 엑셀다운로드 파일(붙여넣기)'!A3:A562,'외운 것 - 엑셀다운로드 파일(붙여넣기)'!C3:C562,0,-1),0)</f>
        <v>0</v>
      </c>
    </row>
    <row r="1495" ht="38.45" customHeight="1">
      <c r="A1495" s="3">
        <v>1494</v>
      </c>
      <c r="B1495" t="s" s="4">
        <v>9494</v>
      </c>
      <c r="C1495" t="s" s="5">
        <v>9449</v>
      </c>
      <c r="D1495" t="s" s="5">
        <v>9450</v>
      </c>
      <c r="E1495" t="s" s="5">
        <v>9495</v>
      </c>
      <c r="F1495" t="s" s="10">
        <v>9496</v>
      </c>
      <c r="G1495" t="s" s="7">
        <v>9497</v>
      </c>
      <c r="H1495" t="s" s="7">
        <v>9498</v>
      </c>
      <c r="I1495" t="str" s="8" cm="1">
        <f t="array" ref="I1495">SUBSTITUTE(H1495,B1495,"(          )")</f>
        <v>The manager delegates tasks to his (          )s.</v>
      </c>
      <c r="J1495" s="9" cm="1">
        <f t="array" ref="J1495">SUMIF('외운 것 - 엑셀다운로드 파일(붙여넣기)'!A3:A562,A1495,'외운 것 - 엑셀다운로드 파일(붙여넣기)'!D3:D562)</f>
        <v>0</v>
      </c>
      <c r="K1495" s="9" cm="1">
        <f t="array" ref="K1495">_xlfn.COUNTIFS('외운 것 - 엑셀다운로드 파일(붙여넣기)'!A3:A562,A1495,'외운 것 - 엑셀다운로드 파일(붙여넣기)'!D3:D562,0)</f>
        <v>0</v>
      </c>
      <c r="L1495" s="9" cm="1">
        <f t="array" ref="L1495">IF(J1495&gt;=3,_xlfn.XLOOKUP(A1495,'외운 것 - 엑셀다운로드 파일(붙여넣기)'!A3:A562,'외운 것 - 엑셀다운로드 파일(붙여넣기)'!C3:C562,0,-1),0)</f>
        <v>0</v>
      </c>
    </row>
    <row r="1496" ht="38.45" customHeight="1">
      <c r="A1496" s="3">
        <v>1495</v>
      </c>
      <c r="B1496" t="s" s="4">
        <v>9500</v>
      </c>
      <c r="C1496" t="s" s="5">
        <v>9501</v>
      </c>
      <c r="D1496" t="s" s="5">
        <v>9502</v>
      </c>
      <c r="E1496" t="s" s="5">
        <v>9503</v>
      </c>
      <c r="F1496" t="s" s="10">
        <v>9504</v>
      </c>
      <c r="G1496" t="s" s="7">
        <v>9505</v>
      </c>
      <c r="H1496" t="s" s="7">
        <v>9506</v>
      </c>
      <c r="I1496" t="str" s="8" cm="1">
        <f t="array" ref="I1496">SUBSTITUTE(H1496,B1496,"(          )")</f>
        <v>New employees need time to (          ) themselves to company procedures.</v>
      </c>
      <c r="J1496" s="9" cm="1">
        <f t="array" ref="J1496">SUMIF('외운 것 - 엑셀다운로드 파일(붙여넣기)'!A3:A562,A1496,'외운 것 - 엑셀다운로드 파일(붙여넣기)'!D3:D562)</f>
        <v>0</v>
      </c>
      <c r="K1496" s="9" cm="1">
        <f t="array" ref="K1496">_xlfn.COUNTIFS('외운 것 - 엑셀다운로드 파일(붙여넣기)'!A3:A562,A1496,'외운 것 - 엑셀다운로드 파일(붙여넣기)'!D3:D562,0)</f>
        <v>0</v>
      </c>
      <c r="L1496" s="9" cm="1">
        <f t="array" ref="L1496">IF(J1496&gt;=3,_xlfn.XLOOKUP(A1496,'외운 것 - 엑셀다운로드 파일(붙여넣기)'!A3:A562,'외운 것 - 엑셀다운로드 파일(붙여넣기)'!C3:C562,0,-1),0)</f>
        <v>0</v>
      </c>
    </row>
    <row r="1497" ht="23.45" customHeight="1">
      <c r="A1497" s="3">
        <v>1496</v>
      </c>
      <c r="B1497" t="s" s="4">
        <v>9508</v>
      </c>
      <c r="C1497" t="s" s="5">
        <v>9501</v>
      </c>
      <c r="D1497" t="s" s="5">
        <v>9502</v>
      </c>
      <c r="E1497" t="s" s="5">
        <v>9509</v>
      </c>
      <c r="F1497" t="s" s="10">
        <v>9510</v>
      </c>
      <c r="G1497" t="s" s="7">
        <v>9511</v>
      </c>
      <c r="H1497" t="s" s="7">
        <v>9512</v>
      </c>
      <c r="I1497" t="str" s="8" cm="1">
        <f t="array" ref="I1497">SUBSTITUTE(H1497,B1497,"(          )")</f>
        <v>The (          ) of the custom dates back to ancient times.</v>
      </c>
      <c r="J1497" s="9" cm="1">
        <f t="array" ref="J1497">SUMIF('외운 것 - 엑셀다운로드 파일(붙여넣기)'!A3:A562,A1497,'외운 것 - 엑셀다운로드 파일(붙여넣기)'!D3:D562)</f>
        <v>0</v>
      </c>
      <c r="K1497" s="9" cm="1">
        <f t="array" ref="K1497">_xlfn.COUNTIFS('외운 것 - 엑셀다운로드 파일(붙여넣기)'!A3:A562,A1497,'외운 것 - 엑셀다운로드 파일(붙여넣기)'!D3:D562,0)</f>
        <v>0</v>
      </c>
      <c r="L1497" s="9" cm="1">
        <f t="array" ref="L1497">IF(J1497&gt;=3,_xlfn.XLOOKUP(A1497,'외운 것 - 엑셀다운로드 파일(붙여넣기)'!A3:A562,'외운 것 - 엑셀다운로드 파일(붙여넣기)'!C3:C562,0,-1),0)</f>
        <v>0</v>
      </c>
    </row>
    <row r="1498" ht="23.45" customHeight="1">
      <c r="A1498" s="3">
        <v>1497</v>
      </c>
      <c r="B1498" t="s" s="4">
        <v>9514</v>
      </c>
      <c r="C1498" t="s" s="5">
        <v>9515</v>
      </c>
      <c r="D1498" t="s" s="5">
        <v>9501</v>
      </c>
      <c r="E1498" t="s" s="5">
        <v>9516</v>
      </c>
      <c r="F1498" t="s" s="10">
        <v>9517</v>
      </c>
      <c r="G1498" t="s" s="7">
        <v>9518</v>
      </c>
      <c r="H1498" t="s" s="7">
        <v>9519</v>
      </c>
      <c r="I1498" t="str" s="8" cm="1">
        <f t="array" ref="I1498">SUBSTITUTE(H1498,B1498,"(          )")</f>
        <v>She had an (          ) idea for solving the problem.</v>
      </c>
      <c r="J1498" s="9" cm="1">
        <f t="array" ref="J1498">SUMIF('외운 것 - 엑셀다운로드 파일(붙여넣기)'!A3:A562,A1498,'외운 것 - 엑셀다운로드 파일(붙여넣기)'!D3:D562)</f>
        <v>0</v>
      </c>
      <c r="K1498" s="9" cm="1">
        <f t="array" ref="K1498">_xlfn.COUNTIFS('외운 것 - 엑셀다운로드 파일(붙여넣기)'!A3:A562,A1498,'외운 것 - 엑셀다운로드 파일(붙여넣기)'!D3:D562,0)</f>
        <v>0</v>
      </c>
      <c r="L1498" s="9" cm="1">
        <f t="array" ref="L1498">IF(J1498&gt;=3,_xlfn.XLOOKUP(A1498,'외운 것 - 엑셀다운로드 파일(붙여넣기)'!A3:A562,'외운 것 - 엑셀다운로드 파일(붙여넣기)'!C3:C562,0,-1),0)</f>
        <v>0</v>
      </c>
    </row>
    <row r="1499" ht="38.45" customHeight="1">
      <c r="A1499" s="3">
        <v>1498</v>
      </c>
      <c r="B1499" t="s" s="4">
        <v>9521</v>
      </c>
      <c r="C1499" t="s" s="5">
        <v>9515</v>
      </c>
      <c r="D1499" t="s" s="5">
        <v>9501</v>
      </c>
      <c r="E1499" t="s" s="5">
        <v>9522</v>
      </c>
      <c r="F1499" t="s" s="10">
        <v>9523</v>
      </c>
      <c r="G1499" t="s" s="7">
        <v>9524</v>
      </c>
      <c r="H1499" t="s" s="7">
        <v>9525</v>
      </c>
      <c r="I1499" t="str" s="8" cm="1">
        <f t="array" ref="I1499">SUBSTITUTE(H1499,B1499,"(          )")</f>
        <v>The dance (          )d in West Africa.</v>
      </c>
      <c r="J1499" s="9" cm="1">
        <f t="array" ref="J1499">SUMIF('외운 것 - 엑셀다운로드 파일(붙여넣기)'!A3:A562,A1499,'외운 것 - 엑셀다운로드 파일(붙여넣기)'!D3:D562)</f>
        <v>0</v>
      </c>
      <c r="K1499" s="9" cm="1">
        <f t="array" ref="K1499">_xlfn.COUNTIFS('외운 것 - 엑셀다운로드 파일(붙여넣기)'!A3:A562,A1499,'외운 것 - 엑셀다운로드 파일(붙여넣기)'!D3:D562,0)</f>
        <v>0</v>
      </c>
      <c r="L1499" s="9" cm="1">
        <f t="array" ref="L1499">IF(J1499&gt;=3,_xlfn.XLOOKUP(A1499,'외운 것 - 엑셀다운로드 파일(붙여넣기)'!A3:A562,'외운 것 - 엑셀다운로드 파일(붙여넣기)'!C3:C562,0,-1),0)</f>
        <v>0</v>
      </c>
    </row>
    <row r="1500" ht="23.45" customHeight="1">
      <c r="A1500" s="3">
        <v>1499</v>
      </c>
      <c r="B1500" t="s" s="4">
        <v>9527</v>
      </c>
      <c r="C1500" t="s" s="5">
        <v>9528</v>
      </c>
      <c r="D1500" t="s" s="5">
        <v>9529</v>
      </c>
      <c r="E1500" t="s" s="5">
        <v>9530</v>
      </c>
      <c r="F1500" t="s" s="10">
        <v>9531</v>
      </c>
      <c r="G1500" t="s" s="7">
        <v>9532</v>
      </c>
      <c r="H1500" t="s" s="7">
        <v>9533</v>
      </c>
      <c r="I1500" t="str" s="8" cm="1">
        <f t="array" ref="I1500">SUBSTITUTE(H1500,B1500,"(          )")</f>
        <v>Create an (          ) before writing your essay.</v>
      </c>
      <c r="J1500" s="9" cm="1">
        <f t="array" ref="J1500">SUMIF('외운 것 - 엑셀다운로드 파일(붙여넣기)'!A3:A562,A1500,'외운 것 - 엑셀다운로드 파일(붙여넣기)'!D3:D562)</f>
        <v>0</v>
      </c>
      <c r="K1500" s="9" cm="1">
        <f t="array" ref="K1500">_xlfn.COUNTIFS('외운 것 - 엑셀다운로드 파일(붙여넣기)'!A3:A562,A1500,'외운 것 - 엑셀다운로드 파일(붙여넣기)'!D3:D562,0)</f>
        <v>0</v>
      </c>
      <c r="L1500" s="9" cm="1">
        <f t="array" ref="L1500">IF(J1500&gt;=3,_xlfn.XLOOKUP(A1500,'외운 것 - 엑셀다운로드 파일(붙여넣기)'!A3:A562,'외운 것 - 엑셀다운로드 파일(붙여넣기)'!C3:C562,0,-1),0)</f>
        <v>0</v>
      </c>
    </row>
    <row r="1501" ht="23.45" customHeight="1">
      <c r="A1501" s="3">
        <v>1500</v>
      </c>
      <c r="B1501" t="s" s="4">
        <v>9535</v>
      </c>
      <c r="C1501" t="s" s="5">
        <v>9528</v>
      </c>
      <c r="D1501" t="s" s="5">
        <v>9529</v>
      </c>
      <c r="E1501" t="s" s="5">
        <v>9536</v>
      </c>
      <c r="F1501" t="s" s="10">
        <v>9537</v>
      </c>
      <c r="G1501" t="s" s="7">
        <v>9538</v>
      </c>
      <c r="H1501" t="s" s="7">
        <v>9539</v>
      </c>
      <c r="I1501" t="str" s="8" cm="1">
        <f t="array" ref="I1501">SUBSTITUTE(H1501,B1501,"(          )")</f>
        <v>He maintains a positive (          ) despite challenges.</v>
      </c>
      <c r="J1501" s="9" cm="1">
        <f t="array" ref="J1501">SUMIF('외운 것 - 엑셀다운로드 파일(붙여넣기)'!A3:A562,A1501,'외운 것 - 엑셀다운로드 파일(붙여넣기)'!D3:D562)</f>
        <v>0</v>
      </c>
      <c r="K1501" s="9" cm="1">
        <f t="array" ref="K1501">_xlfn.COUNTIFS('외운 것 - 엑셀다운로드 파일(붙여넣기)'!A3:A562,A1501,'외운 것 - 엑셀다운로드 파일(붙여넣기)'!D3:D562,0)</f>
        <v>0</v>
      </c>
      <c r="L1501" s="9" cm="1">
        <f t="array" ref="L1501">IF(J1501&gt;=3,_xlfn.XLOOKUP(A1501,'외운 것 - 엑셀다운로드 파일(붙여넣기)'!A3:A562,'외운 것 - 엑셀다운로드 파일(붙여넣기)'!C3:C562,0,-1),0)</f>
        <v>0</v>
      </c>
    </row>
    <row r="1502" ht="23.45" customHeight="1">
      <c r="A1502" s="3">
        <v>1501</v>
      </c>
      <c r="B1502" t="s" s="4">
        <v>9541</v>
      </c>
      <c r="C1502" t="s" s="5">
        <v>9528</v>
      </c>
      <c r="D1502" t="s" s="5">
        <v>9529</v>
      </c>
      <c r="E1502" t="s" s="5">
        <v>9542</v>
      </c>
      <c r="F1502" t="s" s="10">
        <v>9543</v>
      </c>
      <c r="G1502" t="s" s="7">
        <v>9544</v>
      </c>
      <c r="H1502" t="s" s="7">
        <v>9545</v>
      </c>
      <c r="I1502" t="str" s="8" cm="1">
        <f t="array" ref="I1502">SUBSTITUTE(H1502,B1502,"(          )")</f>
        <v>The (          ) of the disease caused widespread concern.</v>
      </c>
      <c r="J1502" s="9" cm="1">
        <f t="array" ref="J1502">SUMIF('외운 것 - 엑셀다운로드 파일(붙여넣기)'!A3:A562,A1502,'외운 것 - 엑셀다운로드 파일(붙여넣기)'!D3:D562)</f>
        <v>0</v>
      </c>
      <c r="K1502" s="9" cm="1">
        <f t="array" ref="K1502">_xlfn.COUNTIFS('외운 것 - 엑셀다운로드 파일(붙여넣기)'!A3:A562,A1502,'외운 것 - 엑셀다운로드 파일(붙여넣기)'!D3:D562,0)</f>
        <v>0</v>
      </c>
      <c r="L1502" s="9" cm="1">
        <f t="array" ref="L1502">IF(J1502&gt;=3,_xlfn.XLOOKUP(A1502,'외운 것 - 엑셀다운로드 파일(붙여넣기)'!A3:A562,'외운 것 - 엑셀다운로드 파일(붙여넣기)'!C3:C562,0,-1),0)</f>
        <v>0</v>
      </c>
    </row>
    <row r="1503" ht="38.45" customHeight="1">
      <c r="A1503" s="3">
        <v>1502</v>
      </c>
      <c r="B1503" t="s" s="4">
        <v>9547</v>
      </c>
      <c r="C1503" t="s" s="5">
        <v>9528</v>
      </c>
      <c r="D1503" t="s" s="5">
        <v>9529</v>
      </c>
      <c r="E1503" t="s" s="5">
        <v>9548</v>
      </c>
      <c r="F1503" t="s" s="10">
        <v>9549</v>
      </c>
      <c r="G1503" t="s" s="7">
        <v>9550</v>
      </c>
      <c r="H1503" t="s" s="7">
        <v>9551</v>
      </c>
      <c r="I1503" t="str" s="8" cm="1">
        <f t="array" ref="I1503">SUBSTITUTE(H1503,B1503,"(          )")</f>
        <v>The power (          ) lasted for three hours.</v>
      </c>
      <c r="J1503" s="9" cm="1">
        <f t="array" ref="J1503">SUMIF('외운 것 - 엑셀다운로드 파일(붙여넣기)'!A3:A562,A1503,'외운 것 - 엑셀다운로드 파일(붙여넣기)'!D3:D562)</f>
        <v>0</v>
      </c>
      <c r="K1503" s="9" cm="1">
        <f t="array" ref="K1503">_xlfn.COUNTIFS('외운 것 - 엑셀다운로드 파일(붙여넣기)'!A3:A562,A1503,'외운 것 - 엑셀다운로드 파일(붙여넣기)'!D3:D562,0)</f>
        <v>0</v>
      </c>
      <c r="L1503" s="9" cm="1">
        <f t="array" ref="L1503">IF(J1503&gt;=3,_xlfn.XLOOKUP(A1503,'외운 것 - 엑셀다운로드 파일(붙여넣기)'!A3:A562,'외운 것 - 엑셀다운로드 파일(붙여넣기)'!C3:C562,0,-1),0)</f>
        <v>0</v>
      </c>
    </row>
    <row r="1504" ht="23.45" customHeight="1">
      <c r="A1504" s="3">
        <v>1503</v>
      </c>
      <c r="B1504" t="s" s="4">
        <v>9553</v>
      </c>
      <c r="C1504" t="s" s="5">
        <v>9528</v>
      </c>
      <c r="D1504" t="s" s="5">
        <v>9529</v>
      </c>
      <c r="E1504" t="s" s="5">
        <v>9554</v>
      </c>
      <c r="F1504" t="s" s="10">
        <v>9555</v>
      </c>
      <c r="G1504" t="s" s="7">
        <v>9556</v>
      </c>
      <c r="H1504" t="s" s="7">
        <v>9557</v>
      </c>
      <c r="I1504" t="str" s="8" cm="1">
        <f t="array" ref="I1504">SUBSTITUTE(H1504,B1504,"(          )")</f>
        <v>The factory increased its (          ) by 20% this year.</v>
      </c>
      <c r="J1504" s="9" cm="1">
        <f t="array" ref="J1504">SUMIF('외운 것 - 엑셀다운로드 파일(붙여넣기)'!A3:A562,A1504,'외운 것 - 엑셀다운로드 파일(붙여넣기)'!D3:D562)</f>
        <v>0</v>
      </c>
      <c r="K1504" s="9" cm="1">
        <f t="array" ref="K1504">_xlfn.COUNTIFS('외운 것 - 엑셀다운로드 파일(붙여넣기)'!A3:A562,A1504,'외운 것 - 엑셀다운로드 파일(붙여넣기)'!D3:D562,0)</f>
        <v>0</v>
      </c>
      <c r="L1504" s="9" cm="1">
        <f t="array" ref="L1504">IF(J1504&gt;=3,_xlfn.XLOOKUP(A1504,'외운 것 - 엑셀다운로드 파일(붙여넣기)'!A3:A562,'외운 것 - 엑셀다운로드 파일(붙여넣기)'!C3:C562,0,-1),0)</f>
        <v>0</v>
      </c>
    </row>
    <row r="1505" ht="23.45" customHeight="1">
      <c r="A1505" s="3">
        <v>1504</v>
      </c>
      <c r="B1505" t="s" s="4">
        <v>9559</v>
      </c>
      <c r="C1505" t="s" s="5">
        <v>9528</v>
      </c>
      <c r="D1505" t="s" s="5">
        <v>9529</v>
      </c>
      <c r="E1505" t="s" s="5">
        <v>9560</v>
      </c>
      <c r="F1505" t="s" s="10">
        <v>9561</v>
      </c>
      <c r="G1505" t="s" s="7">
        <v>9562</v>
      </c>
      <c r="H1505" t="s" s="7">
        <v>9563</v>
      </c>
      <c r="I1505" t="str" s="8" cm="1">
        <f t="array" ref="I1505">SUBSTITUTE(H1505,B1505,"(          )")</f>
        <v>The electrical (          ) needs to be repaired.</v>
      </c>
      <c r="J1505" s="9" cm="1">
        <f t="array" ref="J1505">SUMIF('외운 것 - 엑셀다운로드 파일(붙여넣기)'!A3:A562,A1505,'외운 것 - 엑셀다운로드 파일(붙여넣기)'!D3:D562)</f>
        <v>0</v>
      </c>
      <c r="K1505" s="9" cm="1">
        <f t="array" ref="K1505">_xlfn.COUNTIFS('외운 것 - 엑셀다운로드 파일(붙여넣기)'!A3:A562,A1505,'외운 것 - 엑셀다운로드 파일(붙여넣기)'!D3:D562,0)</f>
        <v>0</v>
      </c>
      <c r="L1505" s="9" cm="1">
        <f t="array" ref="L1505">IF(J1505&gt;=3,_xlfn.XLOOKUP(A1505,'외운 것 - 엑셀다운로드 파일(붙여넣기)'!A3:A562,'외운 것 - 엑셀다운로드 파일(붙여넣기)'!C3:C562,0,-1),0)</f>
        <v>0</v>
      </c>
    </row>
    <row r="1506" ht="23.45" customHeight="1">
      <c r="A1506" s="3">
        <v>1505</v>
      </c>
      <c r="B1506" t="s" s="4">
        <v>9565</v>
      </c>
      <c r="C1506" t="s" s="5">
        <v>9528</v>
      </c>
      <c r="D1506" t="s" s="5">
        <v>9529</v>
      </c>
      <c r="E1506" t="s" s="5">
        <v>9566</v>
      </c>
      <c r="F1506" t="s" s="10">
        <v>9567</v>
      </c>
      <c r="G1506" t="s" s="7">
        <v>9568</v>
      </c>
      <c r="H1506" t="s" s="7">
        <v>9569</v>
      </c>
      <c r="I1506" t="str" s="8" cm="1">
        <f t="array" ref="I1506">SUBSTITUTE(H1506,B1506,"(          )")</f>
        <v>She always tries to (          ) her previous performance.</v>
      </c>
      <c r="J1506" s="9" cm="1">
        <f t="array" ref="J1506">SUMIF('외운 것 - 엑셀다운로드 파일(붙여넣기)'!A3:A562,A1506,'외운 것 - 엑셀다운로드 파일(붙여넣기)'!D3:D562)</f>
        <v>0</v>
      </c>
      <c r="K1506" s="9" cm="1">
        <f t="array" ref="K1506">_xlfn.COUNTIFS('외운 것 - 엑셀다운로드 파일(붙여넣기)'!A3:A562,A1506,'외운 것 - 엑셀다운로드 파일(붙여넣기)'!D3:D562,0)</f>
        <v>0</v>
      </c>
      <c r="L1506" s="9" cm="1">
        <f t="array" ref="L1506">IF(J1506&gt;=3,_xlfn.XLOOKUP(A1506,'외운 것 - 엑셀다운로드 파일(붙여넣기)'!A3:A562,'외운 것 - 엑셀다운로드 파일(붙여넣기)'!C3:C562,0,-1),0)</f>
        <v>0</v>
      </c>
    </row>
    <row r="1507" ht="23.45" customHeight="1">
      <c r="A1507" s="3">
        <v>1506</v>
      </c>
      <c r="B1507" t="s" s="4">
        <v>9571</v>
      </c>
      <c r="C1507" t="s" s="5">
        <v>9528</v>
      </c>
      <c r="D1507" t="s" s="5">
        <v>9529</v>
      </c>
      <c r="E1507" t="s" s="5">
        <v>9572</v>
      </c>
      <c r="F1507" t="s" s="10">
        <v>9573</v>
      </c>
      <c r="G1507" t="s" s="7">
        <v>9574</v>
      </c>
      <c r="H1507" t="s" s="7">
        <v>9575</v>
      </c>
      <c r="I1507" t="str" s="8" cm="1">
        <f t="array" ref="I1507">SUBSTITUTE(H1507,B1507,"(          )")</f>
        <v>Modern buildings are designed to (          ) their creators.</v>
      </c>
      <c r="J1507" s="9" cm="1">
        <f t="array" ref="J1507">SUMIF('외운 것 - 엑셀다운로드 파일(붙여넣기)'!A3:A562,A1507,'외운 것 - 엑셀다운로드 파일(붙여넣기)'!D3:D562)</f>
        <v>0</v>
      </c>
      <c r="K1507" s="9" cm="1">
        <f t="array" ref="K1507">_xlfn.COUNTIFS('외운 것 - 엑셀다운로드 파일(붙여넣기)'!A3:A562,A1507,'외운 것 - 엑셀다운로드 파일(붙여넣기)'!D3:D562,0)</f>
        <v>0</v>
      </c>
      <c r="L1507" s="9" cm="1">
        <f t="array" ref="L1507">IF(J1507&gt;=3,_xlfn.XLOOKUP(A1507,'외운 것 - 엑셀다운로드 파일(붙여넣기)'!A3:A562,'외운 것 - 엑셀다운로드 파일(붙여넣기)'!C3:C562,0,-1),0)</f>
        <v>0</v>
      </c>
    </row>
    <row r="1508" ht="38.45" customHeight="1">
      <c r="A1508" s="3">
        <v>1507</v>
      </c>
      <c r="B1508" t="s" s="4">
        <v>9577</v>
      </c>
      <c r="C1508" t="s" s="5">
        <v>9578</v>
      </c>
      <c r="D1508" t="s" s="5">
        <v>9579</v>
      </c>
      <c r="E1508" t="s" s="5">
        <v>9580</v>
      </c>
      <c r="F1508" t="s" s="10">
        <v>9581</v>
      </c>
      <c r="G1508" t="s" s="7">
        <v>9582</v>
      </c>
      <c r="H1508" t="s" s="7">
        <v>9583</v>
      </c>
      <c r="I1508" t="str" s="8" cm="1">
        <f t="array" ref="I1508">SUBSTITUTE(H1508,B1508,"(          )")</f>
        <v>Airplane flew (          ) on their way to the airport.</v>
      </c>
      <c r="J1508" s="9" cm="1">
        <f t="array" ref="J1508">SUMIF('외운 것 - 엑셀다운로드 파일(붙여넣기)'!A3:A562,A1508,'외운 것 - 엑셀다운로드 파일(붙여넣기)'!D3:D562)</f>
        <v>0</v>
      </c>
      <c r="K1508" s="9" cm="1">
        <f t="array" ref="K1508">_xlfn.COUNTIFS('외운 것 - 엑셀다운로드 파일(붙여넣기)'!A3:A562,A1508,'외운 것 - 엑셀다운로드 파일(붙여넣기)'!D3:D562,0)</f>
        <v>0</v>
      </c>
      <c r="L1508" s="9" cm="1">
        <f t="array" ref="L1508">IF(J1508&gt;=3,_xlfn.XLOOKUP(A1508,'외운 것 - 엑셀다운로드 파일(붙여넣기)'!A3:A562,'외운 것 - 엑셀다운로드 파일(붙여넣기)'!C3:C562,0,-1),0)</f>
        <v>0</v>
      </c>
    </row>
    <row r="1509" ht="23.45" customHeight="1">
      <c r="A1509" s="3">
        <v>1508</v>
      </c>
      <c r="B1509" t="s" s="4">
        <v>9585</v>
      </c>
      <c r="C1509" t="s" s="5">
        <v>9578</v>
      </c>
      <c r="D1509" t="s" s="5">
        <v>9579</v>
      </c>
      <c r="E1509" t="s" s="5">
        <v>9586</v>
      </c>
      <c r="F1509" t="s" s="10">
        <v>9587</v>
      </c>
      <c r="G1509" t="s" s="7">
        <v>9588</v>
      </c>
      <c r="H1509" t="s" s="7">
        <v>9589</v>
      </c>
      <c r="I1509" t="str" s="8" cm="1">
        <f t="array" ref="I1509">SUBSTITUTE(H1509,B1509,"(          )")</f>
        <v>The stronger team will (          ) their opponents.</v>
      </c>
      <c r="J1509" s="9" cm="1">
        <f t="array" ref="J1509">SUMIF('외운 것 - 엑셀다운로드 파일(붙여넣기)'!A3:A562,A1509,'외운 것 - 엑셀다운로드 파일(붙여넣기)'!D3:D562)</f>
        <v>0</v>
      </c>
      <c r="K1509" s="9" cm="1">
        <f t="array" ref="K1509">_xlfn.COUNTIFS('외운 것 - 엑셀다운로드 파일(붙여넣기)'!A3:A562,A1509,'외운 것 - 엑셀다운로드 파일(붙여넣기)'!D3:D562,0)</f>
        <v>0</v>
      </c>
      <c r="L1509" s="9" cm="1">
        <f t="array" ref="L1509">IF(J1509&gt;=3,_xlfn.XLOOKUP(A1509,'외운 것 - 엑셀다운로드 파일(붙여넣기)'!A3:A562,'외운 것 - 엑셀다운로드 파일(붙여넣기)'!C3:C562,0,-1),0)</f>
        <v>0</v>
      </c>
    </row>
    <row r="1510" ht="38.45" customHeight="1">
      <c r="A1510" s="3">
        <v>1509</v>
      </c>
      <c r="B1510" t="s" s="4">
        <v>9591</v>
      </c>
      <c r="C1510" t="s" s="5">
        <v>9578</v>
      </c>
      <c r="D1510" t="s" s="5">
        <v>9579</v>
      </c>
      <c r="E1510" t="s" s="5">
        <v>9592</v>
      </c>
      <c r="F1510" t="s" s="10">
        <v>9593</v>
      </c>
      <c r="G1510" t="s" s="7">
        <v>9594</v>
      </c>
      <c r="H1510" t="s" s="7">
        <v>9595</v>
      </c>
      <c r="I1510" t="str" s="8" cm="1">
        <f t="array" ref="I1510">SUBSTITUTE(H1510,B1510,"(          )")</f>
        <v>Don't (          ) yourself by working too many hours.</v>
      </c>
      <c r="J1510" s="9" cm="1">
        <f t="array" ref="J1510">SUMIF('외운 것 - 엑셀다운로드 파일(붙여넣기)'!A3:A562,A1510,'외운 것 - 엑셀다운로드 파일(붙여넣기)'!D3:D562)</f>
        <v>0</v>
      </c>
      <c r="K1510" s="9" cm="1">
        <f t="array" ref="K1510">_xlfn.COUNTIFS('외운 것 - 엑셀다운로드 파일(붙여넣기)'!A3:A562,A1510,'외운 것 - 엑셀다운로드 파일(붙여넣기)'!D3:D562,0)</f>
        <v>0</v>
      </c>
      <c r="L1510" s="9" cm="1">
        <f t="array" ref="L1510">IF(J1510&gt;=3,_xlfn.XLOOKUP(A1510,'외운 것 - 엑셀다운로드 파일(붙여넣기)'!A3:A562,'외운 것 - 엑셀다운로드 파일(붙여넣기)'!C3:C562,0,-1),0)</f>
        <v>0</v>
      </c>
    </row>
    <row r="1511" ht="23.45" customHeight="1">
      <c r="A1511" s="3">
        <v>1510</v>
      </c>
      <c r="B1511" t="s" s="4">
        <v>9597</v>
      </c>
      <c r="C1511" t="s" s="5">
        <v>9578</v>
      </c>
      <c r="D1511" t="s" s="5">
        <v>9579</v>
      </c>
      <c r="E1511" t="s" s="5">
        <v>9598</v>
      </c>
      <c r="F1511" t="s" s="10">
        <v>9599</v>
      </c>
      <c r="G1511" t="s" s="7">
        <v>9600</v>
      </c>
      <c r="H1511" t="s" s="7">
        <v>9601</v>
      </c>
      <c r="I1511" t="str" s="8" cm="1">
        <f t="array" ref="I1511">SUBSTITUTE(H1511,B1511,"(          )")</f>
        <v>Wear a warm (          ) in cold weather.</v>
      </c>
      <c r="J1511" s="9" cm="1">
        <f t="array" ref="J1511">SUMIF('외운 것 - 엑셀다운로드 파일(붙여넣기)'!A3:A562,A1511,'외운 것 - 엑셀다운로드 파일(붙여넣기)'!D3:D562)</f>
        <v>0</v>
      </c>
      <c r="K1511" s="9" cm="1">
        <f t="array" ref="K1511">_xlfn.COUNTIFS('외운 것 - 엑셀다운로드 파일(붙여넣기)'!A3:A562,A1511,'외운 것 - 엑셀다운로드 파일(붙여넣기)'!D3:D562,0)</f>
        <v>0</v>
      </c>
      <c r="L1511" s="9" cm="1">
        <f t="array" ref="L1511">IF(J1511&gt;=3,_xlfn.XLOOKUP(A1511,'외운 것 - 엑셀다운로드 파일(붙여넣기)'!A3:A562,'외운 것 - 엑셀다운로드 파일(붙여넣기)'!C3:C562,0,-1),0)</f>
        <v>0</v>
      </c>
    </row>
    <row r="1512" ht="23.45" customHeight="1">
      <c r="A1512" s="3">
        <v>1511</v>
      </c>
      <c r="B1512" t="s" s="4">
        <v>9603</v>
      </c>
      <c r="C1512" t="s" s="5">
        <v>9578</v>
      </c>
      <c r="D1512" t="s" s="5">
        <v>9579</v>
      </c>
      <c r="E1512" t="s" s="5">
        <v>9604</v>
      </c>
      <c r="F1512" t="s" s="10">
        <v>9605</v>
      </c>
      <c r="G1512" t="s" s="7">
        <v>9606</v>
      </c>
      <c r="H1512" t="s" s="7">
        <v>9607</v>
      </c>
      <c r="I1512" t="str" s="8" cm="1">
        <f t="array" ref="I1512">SUBSTITUTE(H1512,B1512,"(          )")</f>
        <v>There is some (          ) between the two courses.</v>
      </c>
      <c r="J1512" s="9" cm="1">
        <f t="array" ref="J1512">SUMIF('외운 것 - 엑셀다운로드 파일(붙여넣기)'!A3:A562,A1512,'외운 것 - 엑셀다운로드 파일(붙여넣기)'!D3:D562)</f>
        <v>0</v>
      </c>
      <c r="K1512" s="9" cm="1">
        <f t="array" ref="K1512">_xlfn.COUNTIFS('외운 것 - 엑셀다운로드 파일(붙여넣기)'!A3:A562,A1512,'외운 것 - 엑셀다운로드 파일(붙여넣기)'!D3:D562,0)</f>
        <v>0</v>
      </c>
      <c r="L1512" s="9" cm="1">
        <f t="array" ref="L1512">IF(J1512&gt;=3,_xlfn.XLOOKUP(A1512,'외운 것 - 엑셀다운로드 파일(붙여넣기)'!A3:A562,'외운 것 - 엑셀다운로드 파일(붙여넣기)'!C3:C562,0,-1),0)</f>
        <v>0</v>
      </c>
    </row>
    <row r="1513" ht="23.45" customHeight="1">
      <c r="A1513" s="3">
        <v>1512</v>
      </c>
      <c r="B1513" t="s" s="4">
        <v>9609</v>
      </c>
      <c r="C1513" t="s" s="5">
        <v>9578</v>
      </c>
      <c r="D1513" t="s" s="5">
        <v>9579</v>
      </c>
      <c r="E1513" t="s" s="5">
        <v>9610</v>
      </c>
      <c r="F1513" t="s" s="10">
        <v>9611</v>
      </c>
      <c r="G1513" t="s" s="7">
        <v>9612</v>
      </c>
      <c r="H1513" t="s" s="7">
        <v>9613</v>
      </c>
      <c r="I1513" t="str" s="8" cm="1">
        <f t="array" ref="I1513">SUBSTITUTE(H1513,B1513,"(          )")</f>
        <v>The manager will (          ) the entire project.</v>
      </c>
      <c r="J1513" s="9" cm="1">
        <f t="array" ref="J1513">SUMIF('외운 것 - 엑셀다운로드 파일(붙여넣기)'!A3:A562,A1513,'외운 것 - 엑셀다운로드 파일(붙여넣기)'!D3:D562)</f>
        <v>0</v>
      </c>
      <c r="K1513" s="9" cm="1">
        <f t="array" ref="K1513">_xlfn.COUNTIFS('외운 것 - 엑셀다운로드 파일(붙여넣기)'!A3:A562,A1513,'외운 것 - 엑셀다운로드 파일(붙여넣기)'!D3:D562,0)</f>
        <v>0</v>
      </c>
      <c r="L1513" s="9" cm="1">
        <f t="array" ref="L1513">IF(J1513&gt;=3,_xlfn.XLOOKUP(A1513,'외운 것 - 엑셀다운로드 파일(붙여넣기)'!A3:A562,'외운 것 - 엑셀다운로드 파일(붙여넣기)'!C3:C562,0,-1),0)</f>
        <v>0</v>
      </c>
    </row>
    <row r="1514" ht="38.45" customHeight="1">
      <c r="A1514" s="3">
        <v>1513</v>
      </c>
      <c r="B1514" t="s" s="4">
        <v>9615</v>
      </c>
      <c r="C1514" t="s" s="5">
        <v>9578</v>
      </c>
      <c r="D1514" t="s" s="5">
        <v>9579</v>
      </c>
      <c r="E1514" t="s" s="5">
        <v>9616</v>
      </c>
      <c r="F1514" t="s" s="10">
        <v>9617</v>
      </c>
      <c r="G1514" t="s" s="7">
        <v>9618</v>
      </c>
      <c r="H1514" t="s" s="7">
        <v>9619</v>
      </c>
      <c r="I1514" t="str" s="8" cm="1">
        <f t="array" ref="I1514">SUBSTITUTE(H1514,B1514,"(          )")</f>
        <v>The library book is (          ) by one week.</v>
      </c>
      <c r="J1514" s="9" cm="1">
        <f t="array" ref="J1514">SUMIF('외운 것 - 엑셀다운로드 파일(붙여넣기)'!A3:A562,A1514,'외운 것 - 엑셀다운로드 파일(붙여넣기)'!D3:D562)</f>
        <v>0</v>
      </c>
      <c r="K1514" s="9" cm="1">
        <f t="array" ref="K1514">_xlfn.COUNTIFS('외운 것 - 엑셀다운로드 파일(붙여넣기)'!A3:A562,A1514,'외운 것 - 엑셀다운로드 파일(붙여넣기)'!D3:D562,0)</f>
        <v>0</v>
      </c>
      <c r="L1514" s="9" cm="1">
        <f t="array" ref="L1514">IF(J1514&gt;=3,_xlfn.XLOOKUP(A1514,'외운 것 - 엑셀다운로드 파일(붙여넣기)'!A3:A562,'외운 것 - 엑셀다운로드 파일(붙여넣기)'!C3:C562,0,-1),0)</f>
        <v>0</v>
      </c>
    </row>
    <row r="1515" ht="38.45" customHeight="1">
      <c r="A1515" s="3">
        <v>1514</v>
      </c>
      <c r="B1515" t="s" s="4">
        <v>9621</v>
      </c>
      <c r="C1515" t="s" s="5">
        <v>9578</v>
      </c>
      <c r="D1515" t="s" s="5">
        <v>9579</v>
      </c>
      <c r="E1515" t="s" s="5">
        <v>9622</v>
      </c>
      <c r="F1515" t="s" s="10">
        <v>9623</v>
      </c>
      <c r="G1515" t="s" s="7">
        <v>9624</v>
      </c>
      <c r="H1515" t="s" s="7">
        <v>9625</v>
      </c>
      <c r="I1515" t="str" s="8" cm="1">
        <f t="array" ref="I1515">SUBSTITUTE(H1515,B1515,"(          )")</f>
        <v>Don't (          ) the details in the contract.</v>
      </c>
      <c r="J1515" s="9" cm="1">
        <f t="array" ref="J1515">SUMIF('외운 것 - 엑셀다운로드 파일(붙여넣기)'!A3:A562,A1515,'외운 것 - 엑셀다운로드 파일(붙여넣기)'!D3:D562)</f>
        <v>0</v>
      </c>
      <c r="K1515" s="9" cm="1">
        <f t="array" ref="K1515">_xlfn.COUNTIFS('외운 것 - 엑셀다운로드 파일(붙여넣기)'!A3:A562,A1515,'외운 것 - 엑셀다운로드 파일(붙여넣기)'!D3:D562,0)</f>
        <v>0</v>
      </c>
      <c r="L1515" s="9" cm="1">
        <f t="array" ref="L1515">IF(J1515&gt;=3,_xlfn.XLOOKUP(A1515,'외운 것 - 엑셀다운로드 파일(붙여넣기)'!A3:A562,'외운 것 - 엑셀다운로드 파일(붙여넣기)'!C3:C562,0,-1),0)</f>
        <v>0</v>
      </c>
    </row>
    <row r="1516" ht="23.45" customHeight="1">
      <c r="A1516" s="3">
        <v>1515</v>
      </c>
      <c r="B1516" t="s" s="4">
        <v>9627</v>
      </c>
      <c r="C1516" t="s" s="5">
        <v>9578</v>
      </c>
      <c r="D1516" t="s" s="5">
        <v>9579</v>
      </c>
      <c r="E1516" t="s" s="5">
        <v>9628</v>
      </c>
      <c r="F1516" t="s" s="10">
        <v>9629</v>
      </c>
      <c r="G1516" t="s" s="7">
        <v>9630</v>
      </c>
      <c r="H1516" t="s" s="7">
        <v>9631</v>
      </c>
      <c r="I1516" t="str" s="8" cm="1">
        <f t="array" ref="I1516">SUBSTITUTE(H1516,B1516,"(          )")</f>
        <v>Don't let past failures (          ) your current success.</v>
      </c>
      <c r="J1516" s="9" cm="1">
        <f t="array" ref="J1516">SUMIF('외운 것 - 엑셀다운로드 파일(붙여넣기)'!A3:A562,A1516,'외운 것 - 엑셀다운로드 파일(붙여넣기)'!D3:D562)</f>
        <v>0</v>
      </c>
      <c r="K1516" s="9" cm="1">
        <f t="array" ref="K1516">_xlfn.COUNTIFS('외운 것 - 엑셀다운로드 파일(붙여넣기)'!A3:A562,A1516,'외운 것 - 엑셀다운로드 파일(붙여넣기)'!D3:D562,0)</f>
        <v>0</v>
      </c>
      <c r="L1516" s="9" cm="1">
        <f t="array" ref="L1516">IF(J1516&gt;=3,_xlfn.XLOOKUP(A1516,'외운 것 - 엑셀다운로드 파일(붙여넣기)'!A3:A562,'외운 것 - 엑셀다운로드 파일(붙여넣기)'!C3:C562,0,-1),0)</f>
        <v>0</v>
      </c>
    </row>
    <row r="1517" ht="23.45" customHeight="1">
      <c r="A1517" s="3">
        <v>1516</v>
      </c>
      <c r="B1517" t="s" s="4">
        <v>9633</v>
      </c>
      <c r="C1517" t="s" s="5">
        <v>9578</v>
      </c>
      <c r="D1517" t="s" s="5">
        <v>9579</v>
      </c>
      <c r="E1517" t="s" s="5">
        <v>9634</v>
      </c>
      <c r="F1517" t="s" s="10">
        <v>9635</v>
      </c>
      <c r="G1517" t="s" s="7">
        <v>9636</v>
      </c>
      <c r="H1517" t="s" s="7">
        <v>9637</v>
      </c>
      <c r="I1517" t="str" s="8" cm="1">
        <f t="array" ref="I1517">SUBSTITUTE(H1517,B1517,"(          )")</f>
        <v>The (          ) design of the building is impressive.</v>
      </c>
      <c r="J1517" s="9" cm="1">
        <f t="array" ref="J1517">SUMIF('외운 것 - 엑셀다운로드 파일(붙여넣기)'!A3:A562,A1517,'외운 것 - 엑셀다운로드 파일(붙여넣기)'!D3:D562)</f>
        <v>0</v>
      </c>
      <c r="K1517" s="9" cm="1">
        <f t="array" ref="K1517">_xlfn.COUNTIFS('외운 것 - 엑셀다운로드 파일(붙여넣기)'!A3:A562,A1517,'외운 것 - 엑셀다운로드 파일(붙여넣기)'!D3:D562,0)</f>
        <v>0</v>
      </c>
      <c r="L1517" s="9" cm="1">
        <f t="array" ref="L1517">IF(J1517&gt;=3,_xlfn.XLOOKUP(A1517,'외운 것 - 엑셀다운로드 파일(붙여넣기)'!A3:A562,'외운 것 - 엑셀다운로드 파일(붙여넣기)'!C3:C562,0,-1),0)</f>
        <v>0</v>
      </c>
    </row>
    <row r="1518" ht="38.45" customHeight="1">
      <c r="A1518" s="3">
        <v>1517</v>
      </c>
      <c r="B1518" t="s" s="4">
        <v>9639</v>
      </c>
      <c r="C1518" t="s" s="5">
        <v>9639</v>
      </c>
      <c r="D1518" t="s" s="5">
        <v>9640</v>
      </c>
      <c r="E1518" t="s" s="5">
        <v>9641</v>
      </c>
      <c r="F1518" t="s" s="10">
        <v>9642</v>
      </c>
      <c r="G1518" t="s" s="7">
        <v>9643</v>
      </c>
      <c r="H1518" t="s" s="7">
        <v>9644</v>
      </c>
      <c r="I1518" t="str" s="8" cm="1">
        <f t="array" ref="I1518">SUBSTITUTE(H1518,B1518,"(          )")</f>
        <v>Use a large (          ) to cook the paella.</v>
      </c>
      <c r="J1518" s="9" cm="1">
        <f t="array" ref="J1518">SUMIF('외운 것 - 엑셀다운로드 파일(붙여넣기)'!A3:A562,A1518,'외운 것 - 엑셀다운로드 파일(붙여넣기)'!D3:D562)</f>
        <v>0</v>
      </c>
      <c r="K1518" s="9" cm="1">
        <f t="array" ref="K1518">_xlfn.COUNTIFS('외운 것 - 엑셀다운로드 파일(붙여넣기)'!A3:A562,A1518,'외운 것 - 엑셀다운로드 파일(붙여넣기)'!D3:D562,0)</f>
        <v>0</v>
      </c>
      <c r="L1518" s="9" cm="1">
        <f t="array" ref="L1518">IF(J1518&gt;=3,_xlfn.XLOOKUP(A1518,'외운 것 - 엑셀다운로드 파일(붙여넣기)'!A3:A562,'외운 것 - 엑셀다운로드 파일(붙여넣기)'!C3:C562,0,-1),0)</f>
        <v>0</v>
      </c>
    </row>
    <row r="1519" ht="23.45" customHeight="1">
      <c r="A1519" s="3">
        <v>1518</v>
      </c>
      <c r="B1519" t="s" s="4">
        <v>9646</v>
      </c>
      <c r="C1519" t="s" s="5">
        <v>9639</v>
      </c>
      <c r="D1519" t="s" s="5">
        <v>9640</v>
      </c>
      <c r="E1519" t="s" s="5">
        <v>9647</v>
      </c>
      <c r="F1519" t="s" s="10">
        <v>9648</v>
      </c>
      <c r="G1519" t="s" s="7">
        <v>9649</v>
      </c>
      <c r="H1519" t="s" s="7">
        <v>9650</v>
      </c>
      <c r="I1519" t="str" s="8" cm="1">
        <f t="array" ref="I1519">SUBSTITUTE(H1519,B1519,"(          )")</f>
        <v>We eat (          )s with maple syrup for breakfast.</v>
      </c>
      <c r="J1519" s="9" cm="1">
        <f t="array" ref="J1519">SUMIF('외운 것 - 엑셀다운로드 파일(붙여넣기)'!A3:A562,A1519,'외운 것 - 엑셀다운로드 파일(붙여넣기)'!D3:D562)</f>
        <v>0</v>
      </c>
      <c r="K1519" s="9" cm="1">
        <f t="array" ref="K1519">_xlfn.COUNTIFS('외운 것 - 엑셀다운로드 파일(붙여넣기)'!A3:A562,A1519,'외운 것 - 엑셀다운로드 파일(붙여넣기)'!D3:D562,0)</f>
        <v>0</v>
      </c>
      <c r="L1519" s="9" cm="1">
        <f t="array" ref="L1519">IF(J1519&gt;=3,_xlfn.XLOOKUP(A1519,'외운 것 - 엑셀다운로드 파일(붙여넣기)'!A3:A562,'외운 것 - 엑셀다운로드 파일(붙여넣기)'!C3:C562,0,-1),0)</f>
        <v>0</v>
      </c>
    </row>
    <row r="1520" ht="53.45" customHeight="1">
      <c r="A1520" s="3">
        <v>1519</v>
      </c>
      <c r="B1520" t="s" s="4">
        <v>2271</v>
      </c>
      <c r="C1520" t="s" s="5">
        <v>9639</v>
      </c>
      <c r="D1520" t="s" s="5">
        <v>9640</v>
      </c>
      <c r="E1520" t="s" s="5">
        <v>2272</v>
      </c>
      <c r="F1520" t="s" s="10">
        <v>9652</v>
      </c>
      <c r="G1520" t="s" s="7">
        <v>9653</v>
      </c>
      <c r="H1520" t="s" s="7">
        <v>2275</v>
      </c>
      <c r="I1520" t="str" s="8" cm="1">
        <f t="array" ref="I1520">SUBSTITUTE(H1520,B1520,"(          )")</f>
        <v>The (          ) employs over 500 people.</v>
      </c>
      <c r="J1520" s="9" cm="1">
        <f t="array" ref="J1520">SUMIF('외운 것 - 엑셀다운로드 파일(붙여넣기)'!A3:A562,A1520,'외운 것 - 엑셀다운로드 파일(붙여넣기)'!D3:D562)</f>
        <v>0</v>
      </c>
      <c r="K1520" s="9" cm="1">
        <f t="array" ref="K1520">_xlfn.COUNTIFS('외운 것 - 엑셀다운로드 파일(붙여넣기)'!A3:A562,A1520,'외운 것 - 엑셀다운로드 파일(붙여넣기)'!D3:D562,0)</f>
        <v>0</v>
      </c>
      <c r="L1520" s="9" cm="1">
        <f t="array" ref="L1520">IF(J1520&gt;=3,_xlfn.XLOOKUP(A1520,'외운 것 - 엑셀다운로드 파일(붙여넣기)'!A3:A562,'외운 것 - 엑셀다운로드 파일(붙여넣기)'!C3:C562,0,-1),0)</f>
        <v>0</v>
      </c>
    </row>
    <row r="1521" ht="23.45" customHeight="1">
      <c r="A1521" s="3">
        <v>1520</v>
      </c>
      <c r="B1521" t="s" s="4">
        <v>9654</v>
      </c>
      <c r="C1521" t="s" s="5">
        <v>9639</v>
      </c>
      <c r="D1521" t="s" s="5">
        <v>9640</v>
      </c>
      <c r="E1521" t="s" s="5">
        <v>9655</v>
      </c>
      <c r="F1521" t="s" s="10">
        <v>9656</v>
      </c>
      <c r="G1521" t="s" s="7">
        <v>9657</v>
      </c>
      <c r="H1521" t="s" s="7">
        <v>9658</v>
      </c>
      <c r="I1521" t="str" s="8" cm="1">
        <f t="array" ref="I1521">SUBSTITUTE(H1521,B1521,"(          )")</f>
        <v>The hotel room offers a (          ) of the city skyline.</v>
      </c>
      <c r="J1521" s="9" cm="1">
        <f t="array" ref="J1521">SUMIF('외운 것 - 엑셀다운로드 파일(붙여넣기)'!A3:A562,A1521,'외운 것 - 엑셀다운로드 파일(붙여넣기)'!D3:D562)</f>
        <v>0</v>
      </c>
      <c r="K1521" s="9" cm="1">
        <f t="array" ref="K1521">_xlfn.COUNTIFS('외운 것 - 엑셀다운로드 파일(붙여넣기)'!A3:A562,A1521,'외운 것 - 엑셀다운로드 파일(붙여넣기)'!D3:D562,0)</f>
        <v>0</v>
      </c>
      <c r="L1521" s="9" cm="1">
        <f t="array" ref="L1521">IF(J1521&gt;=3,_xlfn.XLOOKUP(A1521,'외운 것 - 엑셀다운로드 파일(붙여넣기)'!A3:A562,'외운 것 - 엑셀다운로드 파일(붙여넣기)'!C3:C562,0,-1),0)</f>
        <v>0</v>
      </c>
    </row>
    <row r="1522" ht="23.45" customHeight="1">
      <c r="A1522" s="3">
        <v>1521</v>
      </c>
      <c r="B1522" t="s" s="4">
        <v>9660</v>
      </c>
      <c r="C1522" t="s" s="5">
        <v>9639</v>
      </c>
      <c r="D1522" t="s" s="5">
        <v>9640</v>
      </c>
      <c r="E1522" t="s" s="5">
        <v>9661</v>
      </c>
      <c r="F1522" t="s" s="10">
        <v>9662</v>
      </c>
      <c r="G1522" t="s" s="7">
        <v>9663</v>
      </c>
      <c r="H1522" t="s" s="7">
        <v>9664</v>
      </c>
      <c r="I1522" t="str" s="8" cm="1">
        <f t="array" ref="I1522">SUBSTITUTE(H1522,B1522,"(          )")</f>
        <v>The bridge (          )s the wide river.</v>
      </c>
      <c r="J1522" s="9" cm="1">
        <f t="array" ref="J1522">SUMIF('외운 것 - 엑셀다운로드 파일(붙여넣기)'!A3:A562,A1522,'외운 것 - 엑셀다운로드 파일(붙여넣기)'!D3:D562)</f>
        <v>0</v>
      </c>
      <c r="K1522" s="9" cm="1">
        <f t="array" ref="K1522">_xlfn.COUNTIFS('외운 것 - 엑셀다운로드 파일(붙여넣기)'!A3:A562,A1522,'외운 것 - 엑셀다운로드 파일(붙여넣기)'!D3:D562,0)</f>
        <v>0</v>
      </c>
      <c r="L1522" s="9" cm="1">
        <f t="array" ref="L1522">IF(J1522&gt;=3,_xlfn.XLOOKUP(A1522,'외운 것 - 엑셀다운로드 파일(붙여넣기)'!A3:A562,'외운 것 - 엑셀다운로드 파일(붙여넣기)'!C3:C562,0,-1),0)</f>
        <v>0</v>
      </c>
    </row>
    <row r="1523" ht="23.45" customHeight="1">
      <c r="A1523" s="3">
        <v>1522</v>
      </c>
      <c r="B1523" t="s" s="4">
        <v>9666</v>
      </c>
      <c r="C1523" t="s" s="5">
        <v>9639</v>
      </c>
      <c r="D1523" t="s" s="5">
        <v>9640</v>
      </c>
      <c r="E1523" t="s" s="5">
        <v>9667</v>
      </c>
      <c r="F1523" t="s" s="10">
        <v>9668</v>
      </c>
      <c r="G1523" t="s" s="7">
        <v>9669</v>
      </c>
      <c r="H1523" t="s" s="7">
        <v>9670</v>
      </c>
      <c r="I1523" t="str" s="8" cm="1">
        <f t="array" ref="I1523">SUBSTITUTE(H1523,B1523,"(          )")</f>
        <v>The company plans to (          ) its operations abroad.</v>
      </c>
      <c r="J1523" s="9" cm="1">
        <f t="array" ref="J1523">SUMIF('외운 것 - 엑셀다운로드 파일(붙여넣기)'!A3:A562,A1523,'외운 것 - 엑셀다운로드 파일(붙여넣기)'!D3:D562)</f>
        <v>0</v>
      </c>
      <c r="K1523" s="9" cm="1">
        <f t="array" ref="K1523">_xlfn.COUNTIFS('외운 것 - 엑셀다운로드 파일(붙여넣기)'!A3:A562,A1523,'외운 것 - 엑셀다운로드 파일(붙여넣기)'!D3:D562,0)</f>
        <v>0</v>
      </c>
      <c r="L1523" s="9" cm="1">
        <f t="array" ref="L1523">IF(J1523&gt;=3,_xlfn.XLOOKUP(A1523,'외운 것 - 엑셀다운로드 파일(붙여넣기)'!A3:A562,'외운 것 - 엑셀다운로드 파일(붙여넣기)'!C3:C562,0,-1),0)</f>
        <v>0</v>
      </c>
    </row>
    <row r="1524" ht="38.45" customHeight="1">
      <c r="A1524" s="3">
        <v>1523</v>
      </c>
      <c r="B1524" t="s" s="4">
        <v>9672</v>
      </c>
      <c r="C1524" t="s" s="5">
        <v>9673</v>
      </c>
      <c r="D1524" t="s" s="5">
        <v>9639</v>
      </c>
      <c r="E1524" t="s" s="5">
        <v>9674</v>
      </c>
      <c r="F1524" t="s" s="10">
        <v>9675</v>
      </c>
      <c r="G1524" t="s" s="7">
        <v>9676</v>
      </c>
      <c r="H1524" t="s" s="7">
        <v>9677</v>
      </c>
      <c r="I1524" t="str" s="8" cm="1">
        <f t="array" ref="I1524">SUBSTITUTE(H1524,B1524,"(          )")</f>
        <v>The house has an (          ) garden with many trees.</v>
      </c>
      <c r="J1524" s="9" cm="1">
        <f t="array" ref="J1524">SUMIF('외운 것 - 엑셀다운로드 파일(붙여넣기)'!A3:A562,A1524,'외운 것 - 엑셀다운로드 파일(붙여넣기)'!D3:D562)</f>
        <v>0</v>
      </c>
      <c r="K1524" s="9" cm="1">
        <f t="array" ref="K1524">_xlfn.COUNTIFS('외운 것 - 엑셀다운로드 파일(붙여넣기)'!A3:A562,A1524,'외운 것 - 엑셀다운로드 파일(붙여넣기)'!D3:D562,0)</f>
        <v>0</v>
      </c>
      <c r="L1524" s="9" cm="1">
        <f t="array" ref="L1524">IF(J1524&gt;=3,_xlfn.XLOOKUP(A1524,'외운 것 - 엑셀다운로드 파일(붙여넣기)'!A3:A562,'외운 것 - 엑셀다운로드 파일(붙여넣기)'!C3:C562,0,-1),0)</f>
        <v>0</v>
      </c>
    </row>
    <row r="1525" ht="36.4" customHeight="1">
      <c r="A1525" s="3">
        <v>1524</v>
      </c>
      <c r="B1525" t="s" s="4">
        <v>9679</v>
      </c>
      <c r="C1525" t="s" s="5">
        <v>9673</v>
      </c>
      <c r="D1525" t="s" s="5">
        <v>9639</v>
      </c>
      <c r="E1525" t="s" s="5">
        <v>9680</v>
      </c>
      <c r="F1525" t="s" s="10">
        <v>9681</v>
      </c>
      <c r="G1525" t="s" s="7">
        <v>9682</v>
      </c>
      <c r="H1525" t="s" s="7">
        <v>9683</v>
      </c>
      <c r="I1525" t="str" s="8" cm="1">
        <f t="array" ref="I1525">SUBSTITUTE(H1525,B1525,"(          )")</f>
        <v>Business (          ) requires careful planning.</v>
      </c>
      <c r="J1525" s="9" cm="1">
        <f t="array" ref="J1525">SUMIF('외운 것 - 엑셀다운로드 파일(붙여넣기)'!A3:A562,A1525,'외운 것 - 엑셀다운로드 파일(붙여넣기)'!D3:D562)</f>
        <v>0</v>
      </c>
      <c r="K1525" s="9" cm="1">
        <f t="array" ref="K1525">_xlfn.COUNTIFS('외운 것 - 엑셀다운로드 파일(붙여넣기)'!A3:A562,A1525,'외운 것 - 엑셀다운로드 파일(붙여넣기)'!D3:D562,0)</f>
        <v>0</v>
      </c>
      <c r="L1525" s="9" cm="1">
        <f t="array" ref="L1525">IF(J1525&gt;=3,_xlfn.XLOOKUP(A1525,'외운 것 - 엑셀다운로드 파일(붙여넣기)'!A3:A562,'외운 것 - 엑셀다운로드 파일(붙여넣기)'!C3:C562,0,-1),0)</f>
        <v>0</v>
      </c>
    </row>
    <row r="1526" ht="23.45" customHeight="1">
      <c r="A1526" s="3">
        <v>1525</v>
      </c>
      <c r="B1526" t="s" s="4">
        <v>9685</v>
      </c>
      <c r="C1526" t="s" s="5">
        <v>9686</v>
      </c>
      <c r="D1526" t="s" s="5">
        <v>9687</v>
      </c>
      <c r="E1526" t="s" s="5">
        <v>9688</v>
      </c>
      <c r="F1526" t="s" s="10">
        <v>9689</v>
      </c>
      <c r="G1526" t="s" s="7">
        <v>9690</v>
      </c>
      <c r="H1526" t="s" s="7">
        <v>9691</v>
      </c>
      <c r="I1526" t="str" s="8" cm="1">
        <f t="array" ref="I1526">SUBSTITUTE(H1526,B1526,"(          )")</f>
        <v>The holiday (          ) features colorful floats.</v>
      </c>
      <c r="J1526" s="9" cm="1">
        <f t="array" ref="J1526">SUMIF('외운 것 - 엑셀다운로드 파일(붙여넣기)'!A3:A562,A1526,'외운 것 - 엑셀다운로드 파일(붙여넣기)'!D3:D562)</f>
        <v>0</v>
      </c>
      <c r="K1526" s="9" cm="1">
        <f t="array" ref="K1526">_xlfn.COUNTIFS('외운 것 - 엑셀다운로드 파일(붙여넣기)'!A3:A562,A1526,'외운 것 - 엑셀다운로드 파일(붙여넣기)'!D3:D562,0)</f>
        <v>0</v>
      </c>
      <c r="L1526" s="9" cm="1">
        <f t="array" ref="L1526">IF(J1526&gt;=3,_xlfn.XLOOKUP(A1526,'외운 것 - 엑셀다운로드 파일(붙여넣기)'!A3:A562,'외운 것 - 엑셀다운로드 파일(붙여넣기)'!C3:C562,0,-1),0)</f>
        <v>0</v>
      </c>
    </row>
    <row r="1527" ht="38.45" customHeight="1">
      <c r="A1527" s="3">
        <v>1526</v>
      </c>
      <c r="B1527" t="s" s="4">
        <v>9693</v>
      </c>
      <c r="C1527" t="s" s="5">
        <v>9686</v>
      </c>
      <c r="D1527" t="s" s="5">
        <v>9687</v>
      </c>
      <c r="E1527" t="s" s="5">
        <v>9694</v>
      </c>
      <c r="F1527" t="s" s="10">
        <v>9695</v>
      </c>
      <c r="G1527" t="s" s="7">
        <v>9696</v>
      </c>
      <c r="H1527" t="s" s="7">
        <v>9697</v>
      </c>
      <c r="I1527" t="str" s="8" cm="1">
        <f t="array" ref="I1527">SUBSTITUTE(H1527,B1527,"(          )")</f>
        <v>Being a (          ) involves responsibility and joy.</v>
      </c>
      <c r="J1527" s="9" cm="1">
        <f t="array" ref="J1527">SUMIF('외운 것 - 엑셀다운로드 파일(붙여넣기)'!A3:A562,A1527,'외운 것 - 엑셀다운로드 파일(붙여넣기)'!D3:D562)</f>
        <v>0</v>
      </c>
      <c r="K1527" s="9" cm="1">
        <f t="array" ref="K1527">_xlfn.COUNTIFS('외운 것 - 엑셀다운로드 파일(붙여넣기)'!A3:A562,A1527,'외운 것 - 엑셀다운로드 파일(붙여넣기)'!D3:D562,0)</f>
        <v>0</v>
      </c>
      <c r="L1527" s="9" cm="1">
        <f t="array" ref="L1527">IF(J1527&gt;=3,_xlfn.XLOOKUP(A1527,'외운 것 - 엑셀다운로드 파일(붙여넣기)'!A3:A562,'외운 것 - 엑셀다운로드 파일(붙여넣기)'!C3:C562,0,-1),0)</f>
        <v>0</v>
      </c>
    </row>
    <row r="1528" ht="36.4" customHeight="1">
      <c r="A1528" s="3">
        <v>1527</v>
      </c>
      <c r="B1528" t="s" s="4">
        <v>9699</v>
      </c>
      <c r="C1528" t="s" s="5">
        <v>9700</v>
      </c>
      <c r="D1528" t="s" s="5">
        <v>9686</v>
      </c>
      <c r="E1528" t="s" s="5">
        <v>9701</v>
      </c>
      <c r="F1528" t="s" s="10">
        <v>9702</v>
      </c>
      <c r="G1528" t="s" s="7">
        <v>9703</v>
      </c>
      <c r="H1528" t="s" s="7">
        <v>9704</v>
      </c>
      <c r="I1528" t="str" s="8" cm="1">
        <f t="array" ref="I1528">SUBSTITUTE(H1528,B1528,"(          )")</f>
        <v>It was (          ) that something was wrong.</v>
      </c>
      <c r="J1528" s="9" cm="1">
        <f t="array" ref="J1528">SUMIF('외운 것 - 엑셀다운로드 파일(붙여넣기)'!A3:A562,A1528,'외운 것 - 엑셀다운로드 파일(붙여넣기)'!D3:D562)</f>
        <v>0</v>
      </c>
      <c r="K1528" s="9" cm="1">
        <f t="array" ref="K1528">_xlfn.COUNTIFS('외운 것 - 엑셀다운로드 파일(붙여넣기)'!A3:A562,A1528,'외운 것 - 엑셀다운로드 파일(붙여넣기)'!D3:D562,0)</f>
        <v>0</v>
      </c>
      <c r="L1528" s="9" cm="1">
        <f t="array" ref="L1528">IF(J1528&gt;=3,_xlfn.XLOOKUP(A1528,'외운 것 - 엑셀다운로드 파일(붙여넣기)'!A3:A562,'외운 것 - 엑셀다운로드 파일(붙여넣기)'!C3:C562,0,-1),0)</f>
        <v>0</v>
      </c>
    </row>
    <row r="1529" ht="38.45" customHeight="1">
      <c r="A1529" s="3">
        <v>1528</v>
      </c>
      <c r="B1529" t="s" s="4">
        <v>9706</v>
      </c>
      <c r="C1529" t="s" s="5">
        <v>9686</v>
      </c>
      <c r="D1529" t="s" s="5">
        <v>9687</v>
      </c>
      <c r="E1529" t="s" s="5">
        <v>9707</v>
      </c>
      <c r="F1529" t="s" s="10">
        <v>9708</v>
      </c>
      <c r="G1529" t="s" s="7">
        <v>9709</v>
      </c>
      <c r="H1529" t="s" s="7">
        <v>9710</v>
      </c>
      <c r="I1529" t="str" s="8" cm="1">
        <f t="array" ref="I1529">SUBSTITUTE(H1529,B1529,"(          )")</f>
        <v>The sun will (          ) on the horizon at dawn.</v>
      </c>
      <c r="J1529" s="9" cm="1">
        <f t="array" ref="J1529">SUMIF('외운 것 - 엑셀다운로드 파일(붙여넣기)'!A3:A562,A1529,'외운 것 - 엑셀다운로드 파일(붙여넣기)'!D3:D562)</f>
        <v>0</v>
      </c>
      <c r="K1529" s="9" cm="1">
        <f t="array" ref="K1529">_xlfn.COUNTIFS('외운 것 - 엑셀다운로드 파일(붙여넣기)'!A3:A562,A1529,'외운 것 - 엑셀다운로드 파일(붙여넣기)'!D3:D562,0)</f>
        <v>0</v>
      </c>
      <c r="L1529" s="9" cm="1">
        <f t="array" ref="L1529">IF(J1529&gt;=3,_xlfn.XLOOKUP(A1529,'외운 것 - 엑셀다운로드 파일(붙여넣기)'!A3:A562,'외운 것 - 엑셀다운로드 파일(붙여넣기)'!C3:C562,0,-1),0)</f>
        <v>0</v>
      </c>
    </row>
    <row r="1530" ht="36.4" customHeight="1">
      <c r="A1530" s="3">
        <v>1529</v>
      </c>
      <c r="B1530" t="s" s="4">
        <v>9712</v>
      </c>
      <c r="C1530" t="s" s="5">
        <v>9713</v>
      </c>
      <c r="D1530" t="s" s="5">
        <v>9686</v>
      </c>
      <c r="E1530" t="s" s="5">
        <v>9714</v>
      </c>
      <c r="F1530" t="s" s="10">
        <v>9715</v>
      </c>
      <c r="G1530" t="s" s="7">
        <v>9716</v>
      </c>
      <c r="H1530" t="s" s="7">
        <v>9717</v>
      </c>
      <c r="I1530" t="str" s="8" cm="1">
        <f t="array" ref="I1530">SUBSTITUTE(H1530,B1530,"(          )")</f>
        <v>The magician made the rabbit (          ).</v>
      </c>
      <c r="J1530" s="9" cm="1">
        <f t="array" ref="J1530">SUMIF('외운 것 - 엑셀다운로드 파일(붙여넣기)'!A3:A562,A1530,'외운 것 - 엑셀다운로드 파일(붙여넣기)'!D3:D562)</f>
        <v>0</v>
      </c>
      <c r="K1530" s="9" cm="1">
        <f t="array" ref="K1530">_xlfn.COUNTIFS('외운 것 - 엑셀다운로드 파일(붙여넣기)'!A3:A562,A1530,'외운 것 - 엑셀다운로드 파일(붙여넣기)'!D3:D562,0)</f>
        <v>0</v>
      </c>
      <c r="L1530" s="9" cm="1">
        <f t="array" ref="L1530">IF(J1530&gt;=3,_xlfn.XLOOKUP(A1530,'외운 것 - 엑셀다운로드 파일(붙여넣기)'!A3:A562,'외운 것 - 엑셀다운로드 파일(붙여넣기)'!C3:C562,0,-1),0)</f>
        <v>0</v>
      </c>
    </row>
    <row r="1531" ht="36.4" customHeight="1">
      <c r="A1531" s="3">
        <v>1530</v>
      </c>
      <c r="B1531" t="s" s="4">
        <v>9719</v>
      </c>
      <c r="C1531" t="s" s="5">
        <v>9713</v>
      </c>
      <c r="D1531" t="s" s="5">
        <v>9686</v>
      </c>
      <c r="E1531" t="s" s="5">
        <v>9720</v>
      </c>
      <c r="F1531" t="s" s="10">
        <v>9721</v>
      </c>
      <c r="G1531" t="s" s="7">
        <v>9722</v>
      </c>
      <c r="H1531" t="s" s="7">
        <v>9723</v>
      </c>
      <c r="I1531" t="str" s="8" cm="1">
        <f t="array" ref="I1531">SUBSTITUTE(H1531,B1531,"(          )")</f>
        <v>The (          ) glass allowed us to see inside.</v>
      </c>
      <c r="J1531" s="9" cm="1">
        <f t="array" ref="J1531">SUMIF('외운 것 - 엑셀다운로드 파일(붙여넣기)'!A3:A562,A1531,'외운 것 - 엑셀다운로드 파일(붙여넣기)'!D3:D562)</f>
        <v>0</v>
      </c>
      <c r="K1531" s="9" cm="1">
        <f t="array" ref="K1531">_xlfn.COUNTIFS('외운 것 - 엑셀다운로드 파일(붙여넣기)'!A3:A562,A1531,'외운 것 - 엑셀다운로드 파일(붙여넣기)'!D3:D562,0)</f>
        <v>0</v>
      </c>
      <c r="L1531" s="9" cm="1">
        <f t="array" ref="L1531">IF(J1531&gt;=3,_xlfn.XLOOKUP(A1531,'외운 것 - 엑셀다운로드 파일(붙여넣기)'!A3:A562,'외운 것 - 엑셀다운로드 파일(붙여넣기)'!C3:C562,0,-1),0)</f>
        <v>0</v>
      </c>
    </row>
    <row r="1532" ht="23.45" customHeight="1">
      <c r="A1532" s="3">
        <v>1531</v>
      </c>
      <c r="B1532" t="s" s="4">
        <v>2307</v>
      </c>
      <c r="C1532" t="s" s="5">
        <v>9686</v>
      </c>
      <c r="D1532" t="s" s="5">
        <v>9687</v>
      </c>
      <c r="E1532" t="s" s="5">
        <v>2308</v>
      </c>
      <c r="F1532" t="s" s="10">
        <v>9725</v>
      </c>
      <c r="G1532" t="s" s="7">
        <v>2310</v>
      </c>
      <c r="H1532" t="s" s="7">
        <v>2311</v>
      </c>
      <c r="I1532" t="str" s="8" cm="1">
        <f t="array" ref="I1532">SUBSTITUTE(H1532,B1532,"(          )")</f>
        <v>Let's (          ) prices before making a decision.</v>
      </c>
      <c r="J1532" s="9" cm="1">
        <f t="array" ref="J1532">SUMIF('외운 것 - 엑셀다운로드 파일(붙여넣기)'!A3:A562,A1532,'외운 것 - 엑셀다운로드 파일(붙여넣기)'!D3:D562)</f>
        <v>0</v>
      </c>
      <c r="K1532" s="9" cm="1">
        <f t="array" ref="K1532">_xlfn.COUNTIFS('외운 것 - 엑셀다운로드 파일(붙여넣기)'!A3:A562,A1532,'외운 것 - 엑셀다운로드 파일(붙여넣기)'!D3:D562,0)</f>
        <v>0</v>
      </c>
      <c r="L1532" s="9" cm="1">
        <f t="array" ref="L1532">IF(J1532&gt;=3,_xlfn.XLOOKUP(A1532,'외운 것 - 엑셀다운로드 파일(붙여넣기)'!A3:A562,'외운 것 - 엑셀다운로드 파일(붙여넣기)'!C3:C562,0,-1),0)</f>
        <v>0</v>
      </c>
    </row>
    <row r="1533" ht="36.4" customHeight="1">
      <c r="A1533" s="3">
        <v>1532</v>
      </c>
      <c r="B1533" t="s" s="4">
        <v>9726</v>
      </c>
      <c r="C1533" t="s" s="5">
        <v>9727</v>
      </c>
      <c r="D1533" t="s" s="5">
        <v>9686</v>
      </c>
      <c r="E1533" t="s" s="5">
        <v>9728</v>
      </c>
      <c r="F1533" t="s" s="10">
        <v>9729</v>
      </c>
      <c r="G1533" t="s" s="7">
        <v>9730</v>
      </c>
      <c r="H1533" t="s" s="7">
        <v>9731</v>
      </c>
      <c r="I1533" t="str" s="8" cm="1">
        <f t="array" ref="I1533">SUBSTITUTE(H1533,B1533,"(          )")</f>
        <v>The two products are (          ) in quality and price.</v>
      </c>
      <c r="J1533" s="9" cm="1">
        <f t="array" ref="J1533">SUMIF('외운 것 - 엑셀다운로드 파일(붙여넣기)'!A3:A562,A1533,'외운 것 - 엑셀다운로드 파일(붙여넣기)'!D3:D562)</f>
        <v>0</v>
      </c>
      <c r="K1533" s="9" cm="1">
        <f t="array" ref="K1533">_xlfn.COUNTIFS('외운 것 - 엑셀다운로드 파일(붙여넣기)'!A3:A562,A1533,'외운 것 - 엑셀다운로드 파일(붙여넣기)'!D3:D562,0)</f>
        <v>0</v>
      </c>
      <c r="L1533" s="9" cm="1">
        <f t="array" ref="L1533">IF(J1533&gt;=3,_xlfn.XLOOKUP(A1533,'외운 것 - 엑셀다운로드 파일(붙여넣기)'!A3:A562,'외운 것 - 엑셀다운로드 파일(붙여넣기)'!C3:C562,0,-1),0)</f>
        <v>0</v>
      </c>
    </row>
    <row r="1534" ht="23.45" customHeight="1">
      <c r="A1534" s="3">
        <v>1533</v>
      </c>
      <c r="B1534" t="s" s="4">
        <v>9733</v>
      </c>
      <c r="C1534" t="s" s="5">
        <v>9686</v>
      </c>
      <c r="D1534" t="s" s="5">
        <v>9687</v>
      </c>
      <c r="E1534" t="s" s="5">
        <v>9734</v>
      </c>
      <c r="F1534" t="s" s="10">
        <v>9735</v>
      </c>
      <c r="G1534" t="s" s="7">
        <v>9736</v>
      </c>
      <c r="H1534" t="s" s="7">
        <v>9737</v>
      </c>
      <c r="I1534" t="str" s="8" cm="1">
        <f t="array" ref="I1534">SUBSTITUTE(H1534,B1534,"(          )")</f>
        <v>I need to (          ) dinner for the guests.</v>
      </c>
      <c r="J1534" s="9" cm="1">
        <f t="array" ref="J1534">SUMIF('외운 것 - 엑셀다운로드 파일(붙여넣기)'!A3:A562,A1534,'외운 것 - 엑셀다운로드 파일(붙여넣기)'!D3:D562)</f>
        <v>0</v>
      </c>
      <c r="K1534" s="9" cm="1">
        <f t="array" ref="K1534">_xlfn.COUNTIFS('외운 것 - 엑셀다운로드 파일(붙여넣기)'!A3:A562,A1534,'외운 것 - 엑셀다운로드 파일(붙여넣기)'!D3:D562,0)</f>
        <v>0</v>
      </c>
      <c r="L1534" s="9" cm="1">
        <f t="array" ref="L1534">IF(J1534&gt;=3,_xlfn.XLOOKUP(A1534,'외운 것 - 엑셀다운로드 파일(붙여넣기)'!A3:A562,'외운 것 - 엑셀다운로드 파일(붙여넣기)'!C3:C562,0,-1),0)</f>
        <v>0</v>
      </c>
    </row>
    <row r="1535" ht="38.45" customHeight="1">
      <c r="A1535" s="3">
        <v>1534</v>
      </c>
      <c r="B1535" t="s" s="4">
        <v>9739</v>
      </c>
      <c r="C1535" t="s" s="5">
        <v>9740</v>
      </c>
      <c r="D1535" t="s" s="5">
        <v>9686</v>
      </c>
      <c r="E1535" t="s" s="5">
        <v>9741</v>
      </c>
      <c r="F1535" t="s" s="10">
        <v>9742</v>
      </c>
      <c r="G1535" t="s" s="7">
        <v>9743</v>
      </c>
      <c r="H1535" t="s" s="7">
        <v>9744</v>
      </c>
      <c r="I1535" t="str" s="8" cm="1">
        <f t="array" ref="I1535">SUBSTITUTE(H1535,B1535,"(          )")</f>
        <v>The store sells sports (          ) and equipment.</v>
      </c>
      <c r="J1535" s="9" cm="1">
        <f t="array" ref="J1535">SUMIF('외운 것 - 엑셀다운로드 파일(붙여넣기)'!A3:A562,A1535,'외운 것 - 엑셀다운로드 파일(붙여넣기)'!D3:D562)</f>
        <v>0</v>
      </c>
      <c r="K1535" s="9" cm="1">
        <f t="array" ref="K1535">_xlfn.COUNTIFS('외운 것 - 엑셀다운로드 파일(붙여넣기)'!A3:A562,A1535,'외운 것 - 엑셀다운로드 파일(붙여넣기)'!D3:D562,0)</f>
        <v>0</v>
      </c>
      <c r="L1535" s="9" cm="1">
        <f t="array" ref="L1535">IF(J1535&gt;=3,_xlfn.XLOOKUP(A1535,'외운 것 - 엑셀다운로드 파일(붙여넣기)'!A3:A562,'외운 것 - 엑셀다운로드 파일(붙여넣기)'!C3:C562,0,-1),0)</f>
        <v>0</v>
      </c>
    </row>
    <row r="1536" ht="53.45" customHeight="1">
      <c r="A1536" s="3">
        <v>1535</v>
      </c>
      <c r="B1536" t="s" s="4">
        <v>9746</v>
      </c>
      <c r="C1536" t="s" s="5">
        <v>9686</v>
      </c>
      <c r="D1536" t="s" s="5">
        <v>9687</v>
      </c>
      <c r="E1536" t="s" s="5">
        <v>9747</v>
      </c>
      <c r="F1536" t="s" s="10">
        <v>9748</v>
      </c>
      <c r="G1536" t="s" s="7">
        <v>9749</v>
      </c>
      <c r="H1536" t="s" s="7">
        <v>9750</v>
      </c>
      <c r="I1536" t="str" s="8" cm="1">
        <f t="array" ref="I1536">SUBSTITUTE(H1536,B1536,"(          )")</f>
        <v>The (          ) passed the new legislation yesterday.</v>
      </c>
      <c r="J1536" s="9" cm="1">
        <f t="array" ref="J1536">SUMIF('외운 것 - 엑셀다운로드 파일(붙여넣기)'!A3:A562,A1536,'외운 것 - 엑셀다운로드 파일(붙여넣기)'!D3:D562)</f>
        <v>0</v>
      </c>
      <c r="K1536" s="9" cm="1">
        <f t="array" ref="K1536">_xlfn.COUNTIFS('외운 것 - 엑셀다운로드 파일(붙여넣기)'!A3:A562,A1536,'외운 것 - 엑셀다운로드 파일(붙여넣기)'!D3:D562,0)</f>
        <v>0</v>
      </c>
      <c r="L1536" s="9" cm="1">
        <f t="array" ref="L1536">IF(J1536&gt;=3,_xlfn.XLOOKUP(A1536,'외운 것 - 엑셀다운로드 파일(붙여넣기)'!A3:A562,'외운 것 - 엑셀다운로드 파일(붙여넣기)'!C3:C562,0,-1),0)</f>
        <v>0</v>
      </c>
    </row>
    <row r="1537" ht="23.45" customHeight="1">
      <c r="A1537" s="3">
        <v>1536</v>
      </c>
      <c r="B1537" t="s" s="4">
        <v>9752</v>
      </c>
      <c r="C1537" t="s" s="5">
        <v>9686</v>
      </c>
      <c r="D1537" t="s" s="5">
        <v>9687</v>
      </c>
      <c r="E1537" t="s" s="5">
        <v>9753</v>
      </c>
      <c r="F1537" t="s" s="10">
        <v>9754</v>
      </c>
      <c r="G1537" t="s" s="7">
        <v>9755</v>
      </c>
      <c r="H1537" t="s" s="7">
        <v>9756</v>
      </c>
      <c r="I1537" t="str" s="8" cm="1">
        <f t="array" ref="I1537">SUBSTITUTE(H1537,B1537,"(          )")</f>
        <v>The colorful (          ) can mimic human speech.</v>
      </c>
      <c r="J1537" s="9" cm="1">
        <f t="array" ref="J1537">SUMIF('외운 것 - 엑셀다운로드 파일(붙여넣기)'!A3:A562,A1537,'외운 것 - 엑셀다운로드 파일(붙여넣기)'!D3:D562)</f>
        <v>0</v>
      </c>
      <c r="K1537" s="9" cm="1">
        <f t="array" ref="K1537">_xlfn.COUNTIFS('외운 것 - 엑셀다운로드 파일(붙여넣기)'!A3:A562,A1537,'외운 것 - 엑셀다운로드 파일(붙여넣기)'!D3:D562,0)</f>
        <v>0</v>
      </c>
      <c r="L1537" s="9" cm="1">
        <f t="array" ref="L1537">IF(J1537&gt;=3,_xlfn.XLOOKUP(A1537,'외운 것 - 엑셀다운로드 파일(붙여넣기)'!A3:A562,'외운 것 - 엑셀다운로드 파일(붙여넣기)'!C3:C562,0,-1),0)</f>
        <v>0</v>
      </c>
    </row>
    <row r="1538" ht="38.45" customHeight="1">
      <c r="A1538" s="3">
        <v>1537</v>
      </c>
      <c r="B1538" t="s" s="4">
        <v>9758</v>
      </c>
      <c r="C1538" t="s" s="5">
        <v>9686</v>
      </c>
      <c r="D1538" t="s" s="5">
        <v>9687</v>
      </c>
      <c r="E1538" t="s" s="5">
        <v>9759</v>
      </c>
      <c r="F1538" t="s" s="10">
        <v>9760</v>
      </c>
      <c r="G1538" t="s" s="7">
        <v>9761</v>
      </c>
      <c r="H1538" t="s" s="7">
        <v>9762</v>
      </c>
      <c r="I1538" t="str" s="8" cm="1">
        <f t="array" ref="I1538">SUBSTITUTE(H1538,B1538,"(          )")</f>
        <v>The comedian performed a (          ) of the famous actor.</v>
      </c>
      <c r="J1538" s="9" cm="1">
        <f t="array" ref="J1538">SUMIF('외운 것 - 엑셀다운로드 파일(붙여넣기)'!A3:A562,A1538,'외운 것 - 엑셀다운로드 파일(붙여넣기)'!D3:D562)</f>
        <v>0</v>
      </c>
      <c r="K1538" s="9" cm="1">
        <f t="array" ref="K1538">_xlfn.COUNTIFS('외운 것 - 엑셀다운로드 파일(붙여넣기)'!A3:A562,A1538,'외운 것 - 엑셀다운로드 파일(붙여넣기)'!D3:D562,0)</f>
        <v>0</v>
      </c>
      <c r="L1538" s="9" cm="1">
        <f t="array" ref="L1538">IF(J1538&gt;=3,_xlfn.XLOOKUP(A1538,'외운 것 - 엑셀다운로드 파일(붙여넣기)'!A3:A562,'외운 것 - 엑셀다운로드 파일(붙여넣기)'!C3:C562,0,-1),0)</f>
        <v>0</v>
      </c>
    </row>
    <row r="1539" ht="38.45" customHeight="1">
      <c r="A1539" s="3">
        <v>1538</v>
      </c>
      <c r="B1539" t="s" s="4">
        <v>3114</v>
      </c>
      <c r="C1539" t="s" s="5">
        <v>9764</v>
      </c>
      <c r="D1539" t="s" s="5">
        <v>9687</v>
      </c>
      <c r="E1539" t="s" s="5">
        <v>3115</v>
      </c>
      <c r="F1539" t="s" s="10">
        <v>9765</v>
      </c>
      <c r="G1539" t="s" s="7">
        <v>9766</v>
      </c>
      <c r="H1539" t="s" s="7">
        <v>3118</v>
      </c>
      <c r="I1539" t="str" s="8" cm="1">
        <f t="array" ref="I1539">SUBSTITUTE(H1539,B1539,"(          )")</f>
        <v>It's a (          ) that the more choices we have, the harder it is to choose.</v>
      </c>
      <c r="J1539" s="9" cm="1">
        <f t="array" ref="J1539">SUMIF('외운 것 - 엑셀다운로드 파일(붙여넣기)'!A3:A562,A1539,'외운 것 - 엑셀다운로드 파일(붙여넣기)'!D3:D562)</f>
        <v>0</v>
      </c>
      <c r="K1539" s="9" cm="1">
        <f t="array" ref="K1539">_xlfn.COUNTIFS('외운 것 - 엑셀다운로드 파일(붙여넣기)'!A3:A562,A1539,'외운 것 - 엑셀다운로드 파일(붙여넣기)'!D3:D562,0)</f>
        <v>0</v>
      </c>
      <c r="L1539" s="9" cm="1">
        <f t="array" ref="L1539">IF(J1539&gt;=3,_xlfn.XLOOKUP(A1539,'외운 것 - 엑셀다운로드 파일(붙여넣기)'!A3:A562,'외운 것 - 엑셀다운로드 파일(붙여넣기)'!C3:C562,0,-1),0)</f>
        <v>0</v>
      </c>
    </row>
    <row r="1540" ht="23.45" customHeight="1">
      <c r="A1540" s="3">
        <v>1539</v>
      </c>
      <c r="B1540" t="s" s="4">
        <v>9767</v>
      </c>
      <c r="C1540" t="s" s="5">
        <v>9764</v>
      </c>
      <c r="D1540" t="s" s="5">
        <v>9687</v>
      </c>
      <c r="E1540" t="s" s="5">
        <v>9768</v>
      </c>
      <c r="F1540" t="s" s="10">
        <v>9769</v>
      </c>
      <c r="G1540" t="s" s="7">
        <v>9770</v>
      </c>
      <c r="H1540" t="s" s="7">
        <v>9771</v>
      </c>
      <c r="I1540" t="str" s="8" cm="1">
        <f t="array" ref="I1540">SUBSTITUTE(H1540,B1540,"(          )")</f>
        <v>The two streets run (          ) to each other.</v>
      </c>
      <c r="J1540" s="9" cm="1">
        <f t="array" ref="J1540">SUMIF('외운 것 - 엑셀다운로드 파일(붙여넣기)'!A3:A562,A1540,'외운 것 - 엑셀다운로드 파일(붙여넣기)'!D3:D562)</f>
        <v>0</v>
      </c>
      <c r="K1540" s="9" cm="1">
        <f t="array" ref="K1540">_xlfn.COUNTIFS('외운 것 - 엑셀다운로드 파일(붙여넣기)'!A3:A562,A1540,'외운 것 - 엑셀다운로드 파일(붙여넣기)'!D3:D562,0)</f>
        <v>0</v>
      </c>
      <c r="L1540" s="9" cm="1">
        <f t="array" ref="L1540">IF(J1540&gt;=3,_xlfn.XLOOKUP(A1540,'외운 것 - 엑셀다운로드 파일(붙여넣기)'!A3:A562,'외운 것 - 엑셀다운로드 파일(붙여넣기)'!C3:C562,0,-1),0)</f>
        <v>0</v>
      </c>
    </row>
    <row r="1541" ht="38.45" customHeight="1">
      <c r="A1541" s="3">
        <v>1540</v>
      </c>
      <c r="B1541" t="s" s="4">
        <v>9773</v>
      </c>
      <c r="C1541" t="s" s="5">
        <v>9764</v>
      </c>
      <c r="D1541" t="s" s="5">
        <v>9687</v>
      </c>
      <c r="E1541" t="s" s="5">
        <v>9774</v>
      </c>
      <c r="F1541" t="s" s="10">
        <v>9775</v>
      </c>
      <c r="G1541" t="s" s="7">
        <v>9776</v>
      </c>
      <c r="H1541" t="s" s="7">
        <v>9777</v>
      </c>
      <c r="I1541" t="str" s="8" cm="1">
        <f t="array" ref="I1541">SUBSTITUTE(H1541,B1541,"(          )")</f>
        <v>The skydiver deployed his (          ) at 5,000 feet.</v>
      </c>
      <c r="J1541" s="9" cm="1">
        <f t="array" ref="J1541">SUMIF('외운 것 - 엑셀다운로드 파일(붙여넣기)'!A3:A562,A1541,'외운 것 - 엑셀다운로드 파일(붙여넣기)'!D3:D562)</f>
        <v>0</v>
      </c>
      <c r="K1541" s="9" cm="1">
        <f t="array" ref="K1541">_xlfn.COUNTIFS('외운 것 - 엑셀다운로드 파일(붙여넣기)'!A3:A562,A1541,'외운 것 - 엑셀다운로드 파일(붙여넣기)'!D3:D562,0)</f>
        <v>0</v>
      </c>
      <c r="L1541" s="9" cm="1">
        <f t="array" ref="L1541">IF(J1541&gt;=3,_xlfn.XLOOKUP(A1541,'외운 것 - 엑셀다운로드 파일(붙여넣기)'!A3:A562,'외운 것 - 엑셀다운로드 파일(붙여넣기)'!C3:C562,0,-1),0)</f>
        <v>0</v>
      </c>
    </row>
    <row r="1542" ht="38.45" customHeight="1">
      <c r="A1542" s="3">
        <v>1541</v>
      </c>
      <c r="B1542" t="s" s="4">
        <v>9779</v>
      </c>
      <c r="C1542" t="s" s="5">
        <v>9764</v>
      </c>
      <c r="D1542" t="s" s="5">
        <v>9687</v>
      </c>
      <c r="E1542" t="s" s="5">
        <v>9780</v>
      </c>
      <c r="F1542" t="s" s="10">
        <v>9781</v>
      </c>
      <c r="G1542" t="s" s="7">
        <v>9782</v>
      </c>
      <c r="H1542" t="s" s="7">
        <v>9783</v>
      </c>
      <c r="I1542" t="str" s="8" cm="1">
        <f t="array" ref="I1542">SUBSTITUTE(H1542,B1542,"(          )")</f>
        <v>Firefighters use specialized (          ) to rescue people.</v>
      </c>
      <c r="J1542" s="9" cm="1">
        <f t="array" ref="J1542">SUMIF('외운 것 - 엑셀다운로드 파일(붙여넣기)'!A3:A562,A1542,'외운 것 - 엑셀다운로드 파일(붙여넣기)'!D3:D562)</f>
        <v>0</v>
      </c>
      <c r="K1542" s="9" cm="1">
        <f t="array" ref="K1542">_xlfn.COUNTIFS('외운 것 - 엑셀다운로드 파일(붙여넣기)'!A3:A562,A1542,'외운 것 - 엑셀다운로드 파일(붙여넣기)'!D3:D562,0)</f>
        <v>0</v>
      </c>
      <c r="L1542" s="9" cm="1">
        <f t="array" ref="L1542">IF(J1542&gt;=3,_xlfn.XLOOKUP(A1542,'외운 것 - 엑셀다운로드 파일(붙여넣기)'!A3:A562,'외운 것 - 엑셀다운로드 파일(붙여넣기)'!C3:C562,0,-1),0)</f>
        <v>0</v>
      </c>
    </row>
    <row r="1543" ht="23.45" customHeight="1">
      <c r="A1543" s="3">
        <v>1542</v>
      </c>
      <c r="B1543" t="s" s="4">
        <v>9785</v>
      </c>
      <c r="C1543" t="s" s="5">
        <v>9764</v>
      </c>
      <c r="D1543" t="s" s="5">
        <v>9687</v>
      </c>
      <c r="E1543" t="s" s="5">
        <v>9786</v>
      </c>
      <c r="F1543" t="s" s="10">
        <v>9787</v>
      </c>
      <c r="G1543" t="s" s="7">
        <v>9788</v>
      </c>
      <c r="H1543" t="s" s="7">
        <v>9789</v>
      </c>
      <c r="I1543" t="str" s="8" cm="1">
        <f t="array" ref="I1543">SUBSTITUTE(H1543,B1543,"(          )")</f>
        <v>Keep the chemicals (          ) to prevent reaction.</v>
      </c>
      <c r="J1543" s="9" cm="1">
        <f t="array" ref="J1543">SUMIF('외운 것 - 엑셀다운로드 파일(붙여넣기)'!A3:A562,A1543,'외운 것 - 엑셀다운로드 파일(붙여넣기)'!D3:D562)</f>
        <v>0</v>
      </c>
      <c r="K1543" s="9" cm="1">
        <f t="array" ref="K1543">_xlfn.COUNTIFS('외운 것 - 엑셀다운로드 파일(붙여넣기)'!A3:A562,A1543,'외운 것 - 엑셀다운로드 파일(붙여넣기)'!D3:D562,0)</f>
        <v>0</v>
      </c>
      <c r="L1543" s="9" cm="1">
        <f t="array" ref="L1543">IF(J1543&gt;=3,_xlfn.XLOOKUP(A1543,'외운 것 - 엑셀다운로드 파일(붙여넣기)'!A3:A562,'외운 것 - 엑셀다운로드 파일(붙여넣기)'!C3:C562,0,-1),0)</f>
        <v>0</v>
      </c>
    </row>
    <row r="1544" ht="23.45" customHeight="1">
      <c r="A1544" s="3">
        <v>1543</v>
      </c>
      <c r="B1544" t="s" s="4">
        <v>9791</v>
      </c>
      <c r="C1544" t="s" s="5">
        <v>9764</v>
      </c>
      <c r="D1544" t="s" s="5">
        <v>9687</v>
      </c>
      <c r="E1544" t="s" s="5">
        <v>9792</v>
      </c>
      <c r="F1544" t="s" s="10">
        <v>9793</v>
      </c>
      <c r="G1544" t="s" s="7">
        <v>9794</v>
      </c>
      <c r="H1544" t="s" s="7">
        <v>9795</v>
      </c>
      <c r="I1544" t="str" s="8" cm="1">
        <f t="array" ref="I1544">SUBSTITUTE(H1544,B1544,"(          )")</f>
        <v>The tropical island was like a (          ) for tourists.</v>
      </c>
      <c r="J1544" s="9" cm="1">
        <f t="array" ref="J1544">SUMIF('외운 것 - 엑셀다운로드 파일(붙여넣기)'!A3:A562,A1544,'외운 것 - 엑셀다운로드 파일(붙여넣기)'!D3:D562)</f>
        <v>0</v>
      </c>
      <c r="K1544" s="9" cm="1">
        <f t="array" ref="K1544">_xlfn.COUNTIFS('외운 것 - 엑셀다운로드 파일(붙여넣기)'!A3:A562,A1544,'외운 것 - 엑셀다운로드 파일(붙여넣기)'!D3:D562,0)</f>
        <v>0</v>
      </c>
      <c r="L1544" s="9" cm="1">
        <f t="array" ref="L1544">IF(J1544&gt;=3,_xlfn.XLOOKUP(A1544,'외운 것 - 엑셀다운로드 파일(붙여넣기)'!A3:A562,'외운 것 - 엑셀다운로드 파일(붙여넣기)'!C3:C562,0,-1),0)</f>
        <v>0</v>
      </c>
    </row>
    <row r="1545" ht="23.45" customHeight="1">
      <c r="A1545" s="3">
        <v>1544</v>
      </c>
      <c r="B1545" t="s" s="4">
        <v>9797</v>
      </c>
      <c r="C1545" t="s" s="5">
        <v>9764</v>
      </c>
      <c r="D1545" t="s" s="5">
        <v>9687</v>
      </c>
      <c r="E1545" t="s" s="5">
        <v>9798</v>
      </c>
      <c r="F1545" t="s" s="10">
        <v>9799</v>
      </c>
      <c r="G1545" t="s" s="7">
        <v>9800</v>
      </c>
      <c r="H1545" t="s" s="7">
        <v>9801</v>
      </c>
      <c r="I1545" t="str" s="8" cm="1">
        <f t="array" ref="I1545">SUBSTITUTE(H1545,B1545,"(          )")</f>
        <v>I bought a (          ) of shoes yesterday.</v>
      </c>
      <c r="J1545" s="9" cm="1">
        <f t="array" ref="J1545">SUMIF('외운 것 - 엑셀다운로드 파일(붙여넣기)'!A3:A562,A1545,'외운 것 - 엑셀다운로드 파일(붙여넣기)'!D3:D562)</f>
        <v>0</v>
      </c>
      <c r="K1545" s="9" cm="1">
        <f t="array" ref="K1545">_xlfn.COUNTIFS('외운 것 - 엑셀다운로드 파일(붙여넣기)'!A3:A562,A1545,'외운 것 - 엑셀다운로드 파일(붙여넣기)'!D3:D562,0)</f>
        <v>0</v>
      </c>
      <c r="L1545" s="9" cm="1">
        <f t="array" ref="L1545">IF(J1545&gt;=3,_xlfn.XLOOKUP(A1545,'외운 것 - 엑셀다운로드 파일(붙여넣기)'!A3:A562,'외운 것 - 엑셀다운로드 파일(붙여넣기)'!C3:C562,0,-1),0)</f>
        <v>0</v>
      </c>
    </row>
    <row r="1546" ht="36.4" customHeight="1">
      <c r="A1546" s="3">
        <v>1545</v>
      </c>
      <c r="B1546" t="s" s="4">
        <v>9803</v>
      </c>
      <c r="C1546" t="s" s="5">
        <v>9804</v>
      </c>
      <c r="D1546" t="s" s="5">
        <v>9687</v>
      </c>
      <c r="E1546" t="s" s="5">
        <v>9805</v>
      </c>
      <c r="F1546" t="s" s="10">
        <v>9806</v>
      </c>
      <c r="G1546" t="s" s="7">
        <v>9807</v>
      </c>
      <c r="H1546" t="s" s="7">
        <v>9808</v>
      </c>
      <c r="I1546" t="str" s="8" cm="1">
        <f t="array" ref="I1546">SUBSTITUTE(H1546,B1546,"(          )")</f>
        <v>Alcohol can (          ) your judgment and coordination.</v>
      </c>
      <c r="J1546" s="9" cm="1">
        <f t="array" ref="J1546">SUMIF('외운 것 - 엑셀다운로드 파일(붙여넣기)'!A3:A562,A1546,'외운 것 - 엑셀다운로드 파일(붙여넣기)'!D3:D562)</f>
        <v>0</v>
      </c>
      <c r="K1546" s="9" cm="1">
        <f t="array" ref="K1546">_xlfn.COUNTIFS('외운 것 - 엑셀다운로드 파일(붙여넣기)'!A3:A562,A1546,'외운 것 - 엑셀다운로드 파일(붙여넣기)'!D3:D562,0)</f>
        <v>0</v>
      </c>
      <c r="L1546" s="9" cm="1">
        <f t="array" ref="L1546">IF(J1546&gt;=3,_xlfn.XLOOKUP(A1546,'외운 것 - 엑셀다운로드 파일(붙여넣기)'!A3:A562,'외운 것 - 엑셀다운로드 파일(붙여넣기)'!C3:C562,0,-1),0)</f>
        <v>0</v>
      </c>
    </row>
    <row r="1547" ht="36.4" customHeight="1">
      <c r="A1547" s="3">
        <v>1546</v>
      </c>
      <c r="B1547" t="s" s="4">
        <v>9810</v>
      </c>
      <c r="C1547" t="s" s="5">
        <v>9804</v>
      </c>
      <c r="D1547" t="s" s="5">
        <v>9687</v>
      </c>
      <c r="E1547" t="s" s="5">
        <v>9811</v>
      </c>
      <c r="F1547" t="s" s="10">
        <v>9812</v>
      </c>
      <c r="G1547" t="s" s="7">
        <v>9813</v>
      </c>
      <c r="H1547" t="s" s="7">
        <v>9814</v>
      </c>
      <c r="I1547" t="str" s="8" cm="1">
        <f t="array" ref="I1547">SUBSTITUTE(H1547,B1547,"(          )")</f>
        <v>The mechanic will (          ) your car by tomorrow.</v>
      </c>
      <c r="J1547" s="9" cm="1">
        <f t="array" ref="J1547">SUMIF('외운 것 - 엑셀다운로드 파일(붙여넣기)'!A3:A562,A1547,'외운 것 - 엑셀다운로드 파일(붙여넣기)'!D3:D562)</f>
        <v>0</v>
      </c>
      <c r="K1547" s="9" cm="1">
        <f t="array" ref="K1547">_xlfn.COUNTIFS('외운 것 - 엑셀다운로드 파일(붙여넣기)'!A3:A562,A1547,'외운 것 - 엑셀다운로드 파일(붙여넣기)'!D3:D562,0)</f>
        <v>0</v>
      </c>
      <c r="L1547" s="9" cm="1">
        <f t="array" ref="L1547">IF(J1547&gt;=3,_xlfn.XLOOKUP(A1547,'외운 것 - 엑셀다운로드 파일(붙여넣기)'!A3:A562,'외운 것 - 엑셀다운로드 파일(붙여넣기)'!C3:C562,0,-1),0)</f>
        <v>0</v>
      </c>
    </row>
    <row r="1548" ht="50.45" customHeight="1">
      <c r="A1548" s="3">
        <v>1547</v>
      </c>
      <c r="B1548" t="s" s="4">
        <v>9816</v>
      </c>
      <c r="C1548" t="s" s="5">
        <v>9817</v>
      </c>
      <c r="D1548" t="s" s="5">
        <v>9687</v>
      </c>
      <c r="E1548" t="s" s="5">
        <v>9818</v>
      </c>
      <c r="F1548" t="s" s="10">
        <v>9819</v>
      </c>
      <c r="G1548" t="s" s="7">
        <v>9820</v>
      </c>
      <c r="H1548" t="s" s="7">
        <v>9821</v>
      </c>
      <c r="I1548" t="str" s="8" cm="1">
        <f t="array" ref="I1548">SUBSTITUTE(H1548,B1548,"(          )")</f>
        <v>The (          ) fixed our refrigerator.</v>
      </c>
      <c r="J1548" s="9" cm="1">
        <f t="array" ref="J1548">SUMIF('외운 것 - 엑셀다운로드 파일(붙여넣기)'!A3:A562,A1548,'외운 것 - 엑셀다운로드 파일(붙여넣기)'!D3:D562)</f>
        <v>0</v>
      </c>
      <c r="K1548" s="9" cm="1">
        <f t="array" ref="K1548">_xlfn.COUNTIFS('외운 것 - 엑셀다운로드 파일(붙여넣기)'!A3:A562,A1548,'외운 것 - 엑셀다운로드 파일(붙여넣기)'!D3:D562,0)</f>
        <v>0</v>
      </c>
      <c r="L1548" s="9" cm="1">
        <f t="array" ref="L1548">IF(J1548&gt;=3,_xlfn.XLOOKUP(A1548,'외운 것 - 엑셀다운로드 파일(붙여넣기)'!A3:A562,'외운 것 - 엑셀다운로드 파일(붙여넣기)'!C3:C562,0,-1),0)</f>
        <v>0</v>
      </c>
    </row>
    <row r="1549" ht="50.45" customHeight="1">
      <c r="A1549" s="3">
        <v>1548</v>
      </c>
      <c r="B1549" t="s" s="4">
        <v>9823</v>
      </c>
      <c r="C1549" t="s" s="5">
        <v>9817</v>
      </c>
      <c r="D1549" t="s" s="5">
        <v>9687</v>
      </c>
      <c r="E1549" t="s" s="5">
        <v>9824</v>
      </c>
      <c r="F1549" t="s" s="10">
        <v>9825</v>
      </c>
      <c r="G1549" t="s" s="7">
        <v>9826</v>
      </c>
      <c r="H1549" t="s" s="7">
        <v>9827</v>
      </c>
      <c r="I1549" t="str" s="8" cm="1">
        <f t="array" ref="I1549">SUBSTITUTE(H1549,B1549,"(          )")</f>
        <v>The accident caused (          ) damage to the artwork.</v>
      </c>
      <c r="J1549" s="9" cm="1">
        <f t="array" ref="J1549">SUMIF('외운 것 - 엑셀다운로드 파일(붙여넣기)'!A3:A562,A1549,'외운 것 - 엑셀다운로드 파일(붙여넣기)'!D3:D562)</f>
        <v>0</v>
      </c>
      <c r="K1549" s="9" cm="1">
        <f t="array" ref="K1549">_xlfn.COUNTIFS('외운 것 - 엑셀다운로드 파일(붙여넣기)'!A3:A562,A1549,'외운 것 - 엑셀다운로드 파일(붙여넣기)'!D3:D562,0)</f>
        <v>0</v>
      </c>
      <c r="L1549" s="9" cm="1">
        <f t="array" ref="L1549">IF(J1549&gt;=3,_xlfn.XLOOKUP(A1549,'외운 것 - 엑셀다운로드 파일(붙여넣기)'!A3:A562,'외운 것 - 엑셀다운로드 파일(붙여넣기)'!C3:C562,0,-1),0)</f>
        <v>0</v>
      </c>
    </row>
    <row r="1550" ht="38.45" customHeight="1">
      <c r="A1550" s="3">
        <v>1549</v>
      </c>
      <c r="B1550" t="s" s="4">
        <v>9829</v>
      </c>
      <c r="C1550" t="s" s="5">
        <v>9804</v>
      </c>
      <c r="D1550" t="s" s="5">
        <v>9687</v>
      </c>
      <c r="E1550" t="s" s="5">
        <v>9830</v>
      </c>
      <c r="F1550" t="s" s="10">
        <v>9831</v>
      </c>
      <c r="G1550" t="s" s="7">
        <v>9832</v>
      </c>
      <c r="H1550" t="s" s="7">
        <v>9833</v>
      </c>
      <c r="I1550" t="str" s="8" cm="1">
        <f t="array" ref="I1550">SUBSTITUTE(H1550,B1550,"(          )")</f>
        <v>Don't give in to (          ) during difficult times.</v>
      </c>
      <c r="J1550" s="9" cm="1">
        <f t="array" ref="J1550">SUMIF('외운 것 - 엑셀다운로드 파일(붙여넣기)'!A3:A562,A1550,'외운 것 - 엑셀다운로드 파일(붙여넣기)'!D3:D562)</f>
        <v>0</v>
      </c>
      <c r="K1550" s="9" cm="1">
        <f t="array" ref="K1550">_xlfn.COUNTIFS('외운 것 - 엑셀다운로드 파일(붙여넣기)'!A3:A562,A1550,'외운 것 - 엑셀다운로드 파일(붙여넣기)'!D3:D562,0)</f>
        <v>0</v>
      </c>
      <c r="L1550" s="9" cm="1">
        <f t="array" ref="L1550">IF(J1550&gt;=3,_xlfn.XLOOKUP(A1550,'외운 것 - 엑셀다운로드 파일(붙여넣기)'!A3:A562,'외운 것 - 엑셀다운로드 파일(붙여넣기)'!C3:C562,0,-1),0)</f>
        <v>0</v>
      </c>
    </row>
    <row r="1551" ht="50.45" customHeight="1">
      <c r="A1551" s="3">
        <v>1550</v>
      </c>
      <c r="B1551" t="s" s="4">
        <v>9835</v>
      </c>
      <c r="C1551" t="s" s="5">
        <v>9836</v>
      </c>
      <c r="D1551" t="s" s="5">
        <v>9687</v>
      </c>
      <c r="E1551" t="s" s="5">
        <v>9837</v>
      </c>
      <c r="F1551" t="s" s="10">
        <v>9838</v>
      </c>
      <c r="G1551" t="s" s="7">
        <v>9839</v>
      </c>
      <c r="H1551" t="s" s="7">
        <v>9840</v>
      </c>
      <c r="I1551" t="str" s="8" cm="1">
        <f t="array" ref="I1551">SUBSTITUTE(H1551,B1551,"(          )")</f>
        <v>They made a (          ) attempt to save the drowning child.</v>
      </c>
      <c r="J1551" s="9" cm="1">
        <f t="array" ref="J1551">SUMIF('외운 것 - 엑셀다운로드 파일(붙여넣기)'!A3:A562,A1551,'외운 것 - 엑셀다운로드 파일(붙여넣기)'!D3:D562)</f>
        <v>0</v>
      </c>
      <c r="K1551" s="9" cm="1">
        <f t="array" ref="K1551">_xlfn.COUNTIFS('외운 것 - 엑셀다운로드 파일(붙여넣기)'!A3:A562,A1551,'외운 것 - 엑셀다운로드 파일(붙여넣기)'!D3:D562,0)</f>
        <v>0</v>
      </c>
      <c r="L1551" s="9" cm="1">
        <f t="array" ref="L1551">IF(J1551&gt;=3,_xlfn.XLOOKUP(A1551,'외운 것 - 엑셀다운로드 파일(붙여넣기)'!A3:A562,'외운 것 - 엑셀다운로드 파일(붙여넣기)'!C3:C562,0,-1),0)</f>
        <v>0</v>
      </c>
    </row>
    <row r="1552" ht="23.45" customHeight="1">
      <c r="A1552" s="3">
        <v>1551</v>
      </c>
      <c r="B1552" t="s" s="4">
        <v>9842</v>
      </c>
      <c r="C1552" t="s" s="5">
        <v>9686</v>
      </c>
      <c r="D1552" t="s" s="5">
        <v>9843</v>
      </c>
      <c r="E1552" t="s" s="5">
        <v>9844</v>
      </c>
      <c r="F1552" t="s" s="10">
        <v>9845</v>
      </c>
      <c r="G1552" t="s" s="7">
        <v>9846</v>
      </c>
      <c r="H1552" t="s" s="7">
        <v>9847</v>
      </c>
      <c r="I1552" t="str" s="8" cm="1">
        <f t="array" ref="I1552">SUBSTITUTE(H1552,B1552,"(          )")</f>
        <v>Which (          ) of the book did you enjoy most?</v>
      </c>
      <c r="J1552" s="9" cm="1">
        <f t="array" ref="J1552">SUMIF('외운 것 - 엑셀다운로드 파일(붙여넣기)'!A3:A562,A1552,'외운 것 - 엑셀다운로드 파일(붙여넣기)'!D3:D562)</f>
        <v>0</v>
      </c>
      <c r="K1552" s="9" cm="1">
        <f t="array" ref="K1552">_xlfn.COUNTIFS('외운 것 - 엑셀다운로드 파일(붙여넣기)'!A3:A562,A1552,'외운 것 - 엑셀다운로드 파일(붙여넣기)'!D3:D562,0)</f>
        <v>0</v>
      </c>
      <c r="L1552" s="9" cm="1">
        <f t="array" ref="L1552">IF(J1552&gt;=3,_xlfn.XLOOKUP(A1552,'외운 것 - 엑셀다운로드 파일(붙여넣기)'!A3:A562,'외운 것 - 엑셀다운로드 파일(붙여넣기)'!C3:C562,0,-1),0)</f>
        <v>0</v>
      </c>
    </row>
    <row r="1553" ht="23.45" customHeight="1">
      <c r="A1553" s="3">
        <v>1552</v>
      </c>
      <c r="B1553" t="s" s="4">
        <v>9849</v>
      </c>
      <c r="C1553" t="s" s="5">
        <v>9842</v>
      </c>
      <c r="D1553" t="s" s="5">
        <v>9843</v>
      </c>
      <c r="E1553" t="s" s="5">
        <v>9850</v>
      </c>
      <c r="F1553" t="s" s="10">
        <v>9851</v>
      </c>
      <c r="G1553" t="s" s="7">
        <v>9852</v>
      </c>
      <c r="H1553" t="s" s="7">
        <v>9853</v>
      </c>
      <c r="I1553" t="str" s="8" cm="1">
        <f t="array" ref="I1553">SUBSTITUTE(H1553,B1553,"(          )")</f>
        <v>The old building is falling (          ).</v>
      </c>
      <c r="J1553" s="9" cm="1">
        <f t="array" ref="J1553">SUMIF('외운 것 - 엑셀다운로드 파일(붙여넣기)'!A3:A562,A1553,'외운 것 - 엑셀다운로드 파일(붙여넣기)'!D3:D562)</f>
        <v>0</v>
      </c>
      <c r="K1553" s="9" cm="1">
        <f t="array" ref="K1553">_xlfn.COUNTIFS('외운 것 - 엑셀다운로드 파일(붙여넣기)'!A3:A562,A1553,'외운 것 - 엑셀다운로드 파일(붙여넣기)'!D3:D562,0)</f>
        <v>0</v>
      </c>
      <c r="L1553" s="9" cm="1">
        <f t="array" ref="L1553">IF(J1553&gt;=3,_xlfn.XLOOKUP(A1553,'외운 것 - 엑셀다운로드 파일(붙여넣기)'!A3:A562,'외운 것 - 엑셀다운로드 파일(붙여넣기)'!C3:C562,0,-1),0)</f>
        <v>0</v>
      </c>
    </row>
    <row r="1554" ht="38.45" customHeight="1">
      <c r="A1554" s="3">
        <v>1553</v>
      </c>
      <c r="B1554" t="s" s="4">
        <v>9855</v>
      </c>
      <c r="C1554" t="s" s="5">
        <v>9842</v>
      </c>
      <c r="D1554" t="s" s="5">
        <v>9843</v>
      </c>
      <c r="E1554" t="s" s="5">
        <v>9856</v>
      </c>
      <c r="F1554" t="s" s="10">
        <v>9857</v>
      </c>
      <c r="G1554" t="s" s="7">
        <v>9858</v>
      </c>
      <c r="H1554" t="s" s="7">
        <v>9859</v>
      </c>
      <c r="I1554" t="str" s="8" cm="1">
        <f t="array" ref="I1554">SUBSTITUTE(H1554,B1554,"(          )")</f>
        <v>She and her business (          ) started the company together.</v>
      </c>
      <c r="J1554" s="9" cm="1">
        <f t="array" ref="J1554">SUMIF('외운 것 - 엑셀다운로드 파일(붙여넣기)'!A3:A562,A1554,'외운 것 - 엑셀다운로드 파일(붙여넣기)'!D3:D562)</f>
        <v>0</v>
      </c>
      <c r="K1554" s="9" cm="1">
        <f t="array" ref="K1554">_xlfn.COUNTIFS('외운 것 - 엑셀다운로드 파일(붙여넣기)'!A3:A562,A1554,'외운 것 - 엑셀다운로드 파일(붙여넣기)'!D3:D562,0)</f>
        <v>0</v>
      </c>
      <c r="L1554" s="9" cm="1">
        <f t="array" ref="L1554">IF(J1554&gt;=3,_xlfn.XLOOKUP(A1554,'외운 것 - 엑셀다운로드 파일(붙여넣기)'!A3:A562,'외운 것 - 엑셀다운로드 파일(붙여넣기)'!C3:C562,0,-1),0)</f>
        <v>0</v>
      </c>
    </row>
    <row r="1555" ht="23.45" customHeight="1">
      <c r="A1555" s="3">
        <v>1554</v>
      </c>
      <c r="B1555" t="s" s="4">
        <v>9861</v>
      </c>
      <c r="C1555" t="s" s="5">
        <v>9842</v>
      </c>
      <c r="D1555" t="s" s="5">
        <v>9843</v>
      </c>
      <c r="E1555" t="s" s="5">
        <v>9862</v>
      </c>
      <c r="F1555" t="s" s="10">
        <v>9863</v>
      </c>
      <c r="G1555" t="s" s="7">
        <v>9864</v>
      </c>
      <c r="H1555" t="s" s="7">
        <v>9865</v>
      </c>
      <c r="I1555" t="str" s="8" cm="1">
        <f t="array" ref="I1555">SUBSTITUTE(H1555,B1555,"(          )")</f>
        <v>We're having a birthday (          ) on Saturday.</v>
      </c>
      <c r="J1555" s="9" cm="1">
        <f t="array" ref="J1555">SUMIF('외운 것 - 엑셀다운로드 파일(붙여넣기)'!A3:A562,A1555,'외운 것 - 엑셀다운로드 파일(붙여넣기)'!D3:D562)</f>
        <v>0</v>
      </c>
      <c r="K1555" s="9" cm="1">
        <f t="array" ref="K1555">_xlfn.COUNTIFS('외운 것 - 엑셀다운로드 파일(붙여넣기)'!A3:A562,A1555,'외운 것 - 엑셀다운로드 파일(붙여넣기)'!D3:D562,0)</f>
        <v>0</v>
      </c>
      <c r="L1555" s="9" cm="1">
        <f t="array" ref="L1555">IF(J1555&gt;=3,_xlfn.XLOOKUP(A1555,'외운 것 - 엑셀다운로드 파일(붙여넣기)'!A3:A562,'외운 것 - 엑셀다운로드 파일(붙여넣기)'!C3:C562,0,-1),0)</f>
        <v>0</v>
      </c>
    </row>
    <row r="1556" ht="23.45" customHeight="1">
      <c r="A1556" s="3">
        <v>1555</v>
      </c>
      <c r="B1556" t="s" s="4">
        <v>1108</v>
      </c>
      <c r="C1556" t="s" s="5">
        <v>9842</v>
      </c>
      <c r="D1556" t="s" s="5">
        <v>9843</v>
      </c>
      <c r="E1556" t="s" s="5">
        <v>1109</v>
      </c>
      <c r="F1556" t="s" s="10">
        <v>9867</v>
      </c>
      <c r="G1556" t="s" s="7">
        <v>9868</v>
      </c>
      <c r="H1556" t="s" s="7">
        <v>1112</v>
      </c>
      <c r="I1556" t="str" s="8" cm="1">
        <f t="array" ref="I1556">SUBSTITUTE(H1556,B1556,"(          )")</f>
        <v>Students eagerly (          ) in the science fair.</v>
      </c>
      <c r="J1556" s="9" cm="1">
        <f t="array" ref="J1556">SUMIF('외운 것 - 엑셀다운로드 파일(붙여넣기)'!A3:A562,A1556,'외운 것 - 엑셀다운로드 파일(붙여넣기)'!D3:D562)</f>
        <v>0</v>
      </c>
      <c r="K1556" s="9" cm="1">
        <f t="array" ref="K1556">_xlfn.COUNTIFS('외운 것 - 엑셀다운로드 파일(붙여넣기)'!A3:A562,A1556,'외운 것 - 엑셀다운로드 파일(붙여넣기)'!D3:D562,0)</f>
        <v>0</v>
      </c>
      <c r="L1556" s="9" cm="1">
        <f t="array" ref="L1556">IF(J1556&gt;=3,_xlfn.XLOOKUP(A1556,'외운 것 - 엑셀다운로드 파일(붙여넣기)'!A3:A562,'외운 것 - 엑셀다운로드 파일(붙여넣기)'!C3:C562,0,-1),0)</f>
        <v>0</v>
      </c>
    </row>
    <row r="1557" ht="38.45" customHeight="1">
      <c r="A1557" s="3">
        <v>1556</v>
      </c>
      <c r="B1557" t="s" s="4">
        <v>9869</v>
      </c>
      <c r="C1557" t="s" s="5">
        <v>9842</v>
      </c>
      <c r="D1557" t="s" s="5">
        <v>9843</v>
      </c>
      <c r="E1557" t="s" s="5">
        <v>9870</v>
      </c>
      <c r="F1557" t="s" s="10">
        <v>9871</v>
      </c>
      <c r="G1557" t="s" s="7">
        <v>9872</v>
      </c>
      <c r="H1557" t="s" s="7">
        <v>9873</v>
      </c>
      <c r="I1557" t="str" s="8" cm="1">
        <f t="array" ref="I1557">SUBSTITUTE(H1557,B1557,"(          )")</f>
        <v>He is very (          ) about how his coffee is made.</v>
      </c>
      <c r="J1557" s="9" cm="1">
        <f t="array" ref="J1557">SUMIF('외운 것 - 엑셀다운로드 파일(붙여넣기)'!A3:A562,A1557,'외운 것 - 엑셀다운로드 파일(붙여넣기)'!D3:D562)</f>
        <v>0</v>
      </c>
      <c r="K1557" s="9" cm="1">
        <f t="array" ref="K1557">_xlfn.COUNTIFS('외운 것 - 엑셀다운로드 파일(붙여넣기)'!A3:A562,A1557,'외운 것 - 엑셀다운로드 파일(붙여넣기)'!D3:D562,0)</f>
        <v>0</v>
      </c>
      <c r="L1557" s="9" cm="1">
        <f t="array" ref="L1557">IF(J1557&gt;=3,_xlfn.XLOOKUP(A1557,'외운 것 - 엑셀다운로드 파일(붙여넣기)'!A3:A562,'외운 것 - 엑셀다운로드 파일(붙여넣기)'!C3:C562,0,-1),0)</f>
        <v>0</v>
      </c>
    </row>
    <row r="1558" ht="36.4" customHeight="1">
      <c r="A1558" s="3">
        <v>1557</v>
      </c>
      <c r="B1558" t="s" s="4">
        <v>9875</v>
      </c>
      <c r="C1558" t="s" s="5">
        <v>9876</v>
      </c>
      <c r="D1558" t="s" s="5">
        <v>9842</v>
      </c>
      <c r="E1558" t="s" s="5">
        <v>9877</v>
      </c>
      <c r="F1558" t="s" s="10">
        <v>9878</v>
      </c>
      <c r="G1558" t="s" s="7">
        <v>9879</v>
      </c>
      <c r="H1558" t="s" s="7">
        <v>9880</v>
      </c>
      <c r="I1558" t="str" s="8" cm="1">
        <f t="array" ref="I1558">SUBSTITUTE(H1558,B1558,"(          )")</f>
        <v>I (          ) enjoy hiking in autumn.</v>
      </c>
      <c r="J1558" s="9" cm="1">
        <f t="array" ref="J1558">SUMIF('외운 것 - 엑셀다운로드 파일(붙여넣기)'!A3:A562,A1558,'외운 것 - 엑셀다운로드 파일(붙여넣기)'!D3:D562)</f>
        <v>0</v>
      </c>
      <c r="K1558" s="9" cm="1">
        <f t="array" ref="K1558">_xlfn.COUNTIFS('외운 것 - 엑셀다운로드 파일(붙여넣기)'!A3:A562,A1558,'외운 것 - 엑셀다운로드 파일(붙여넣기)'!D3:D562,0)</f>
        <v>0</v>
      </c>
      <c r="L1558" s="9" cm="1">
        <f t="array" ref="L1558">IF(J1558&gt;=3,_xlfn.XLOOKUP(A1558,'외운 것 - 엑셀다운로드 파일(붙여넣기)'!A3:A562,'외운 것 - 엑셀다운로드 파일(붙여넣기)'!C3:C562,0,-1),0)</f>
        <v>0</v>
      </c>
    </row>
    <row r="1559" ht="38.45" customHeight="1">
      <c r="A1559" s="3">
        <v>1558</v>
      </c>
      <c r="B1559" t="s" s="4">
        <v>2477</v>
      </c>
      <c r="C1559" t="s" s="5">
        <v>9842</v>
      </c>
      <c r="D1559" t="s" s="5">
        <v>9843</v>
      </c>
      <c r="E1559" t="s" s="5">
        <v>2479</v>
      </c>
      <c r="F1559" t="s" s="10">
        <v>9882</v>
      </c>
      <c r="G1559" t="s" s="7">
        <v>9883</v>
      </c>
      <c r="H1559" t="s" s="7">
        <v>2482</v>
      </c>
      <c r="I1559" t="str" s="8" cm="1">
        <f t="array" ref="I1559">SUBSTITUTE(H1559,B1559,"(          )")</f>
        <v>She met with her (          ) from the French company.</v>
      </c>
      <c r="J1559" s="9" cm="1">
        <f t="array" ref="J1559">SUMIF('외운 것 - 엑셀다운로드 파일(붙여넣기)'!A3:A562,A1559,'외운 것 - 엑셀다운로드 파일(붙여넣기)'!D3:D562)</f>
        <v>1</v>
      </c>
      <c r="K1559" s="9" cm="1">
        <f t="array" ref="K1559">_xlfn.COUNTIFS('외운 것 - 엑셀다운로드 파일(붙여넣기)'!A3:A562,A1559,'외운 것 - 엑셀다운로드 파일(붙여넣기)'!D3:D562,0)</f>
        <v>0</v>
      </c>
      <c r="L1559" s="9" cm="1">
        <f t="array" ref="L1559">IF(J1559&gt;=3,_xlfn.XLOOKUP(A1559,'외운 것 - 엑셀다운로드 파일(붙여넣기)'!A3:A562,'외운 것 - 엑셀다운로드 파일(붙여넣기)'!C3:C562,0,-1),0)</f>
        <v>0</v>
      </c>
    </row>
    <row r="1560" ht="23.45" customHeight="1">
      <c r="A1560" s="3">
        <v>1559</v>
      </c>
      <c r="B1560" t="s" s="4">
        <v>3627</v>
      </c>
      <c r="C1560" t="s" s="5">
        <v>9842</v>
      </c>
      <c r="D1560" t="s" s="5">
        <v>9843</v>
      </c>
      <c r="E1560" t="s" s="5">
        <v>3628</v>
      </c>
      <c r="F1560" t="s" s="10">
        <v>9884</v>
      </c>
      <c r="G1560" t="s" s="7">
        <v>9885</v>
      </c>
      <c r="H1560" t="s" s="7">
        <v>3631</v>
      </c>
      <c r="I1560" t="str" s="8" cm="1">
        <f t="array" ref="I1560">SUBSTITUTE(H1560,B1560,"(          )")</f>
        <v>The train will (          ) from platform 3.</v>
      </c>
      <c r="J1560" s="9" cm="1">
        <f t="array" ref="J1560">SUMIF('외운 것 - 엑셀다운로드 파일(붙여넣기)'!A3:A562,A1560,'외운 것 - 엑셀다운로드 파일(붙여넣기)'!D3:D562)</f>
        <v>0</v>
      </c>
      <c r="K1560" s="9" cm="1">
        <f t="array" ref="K1560">_xlfn.COUNTIFS('외운 것 - 엑셀다운로드 파일(붙여넣기)'!A3:A562,A1560,'외운 것 - 엑셀다운로드 파일(붙여넣기)'!D3:D562,0)</f>
        <v>0</v>
      </c>
      <c r="L1560" s="9" cm="1">
        <f t="array" ref="L1560">IF(J1560&gt;=3,_xlfn.XLOOKUP(A1560,'외운 것 - 엑셀다운로드 파일(붙여넣기)'!A3:A562,'외운 것 - 엑셀다운로드 파일(붙여넣기)'!C3:C562,0,-1),0)</f>
        <v>0</v>
      </c>
    </row>
    <row r="1561" ht="38.45" customHeight="1">
      <c r="A1561" s="3">
        <v>1560</v>
      </c>
      <c r="B1561" t="s" s="4">
        <v>9886</v>
      </c>
      <c r="C1561" t="s" s="5">
        <v>9842</v>
      </c>
      <c r="D1561" t="s" s="5">
        <v>9843</v>
      </c>
      <c r="E1561" t="s" s="5">
        <v>9887</v>
      </c>
      <c r="F1561" t="s" s="10">
        <v>9888</v>
      </c>
      <c r="G1561" t="s" s="7">
        <v>9889</v>
      </c>
      <c r="H1561" t="s" s="7">
        <v>9890</v>
      </c>
      <c r="I1561" t="str" s="8" cm="1">
        <f t="array" ref="I1561">SUBSTITUTE(H1561,B1561,"(          )")</f>
        <v>Scientists study subatomic (          )s.</v>
      </c>
      <c r="J1561" s="9" cm="1">
        <f t="array" ref="J1561">SUMIF('외운 것 - 엑셀다운로드 파일(붙여넣기)'!A3:A562,A1561,'외운 것 - 엑셀다운로드 파일(붙여넣기)'!D3:D562)</f>
        <v>0</v>
      </c>
      <c r="K1561" s="9" cm="1">
        <f t="array" ref="K1561">_xlfn.COUNTIFS('외운 것 - 엑셀다운로드 파일(붙여넣기)'!A3:A562,A1561,'외운 것 - 엑셀다운로드 파일(붙여넣기)'!D3:D562,0)</f>
        <v>0</v>
      </c>
      <c r="L1561" s="9" cm="1">
        <f t="array" ref="L1561">IF(J1561&gt;=3,_xlfn.XLOOKUP(A1561,'외운 것 - 엑셀다운로드 파일(붙여넣기)'!A3:A562,'외운 것 - 엑셀다운로드 파일(붙여넣기)'!C3:C562,0,-1),0)</f>
        <v>0</v>
      </c>
    </row>
    <row r="1562" ht="38.45" customHeight="1">
      <c r="A1562" s="3">
        <v>1561</v>
      </c>
      <c r="B1562" t="s" s="4">
        <v>9892</v>
      </c>
      <c r="C1562" t="s" s="5">
        <v>9686</v>
      </c>
      <c r="D1562" t="s" s="5">
        <v>9687</v>
      </c>
      <c r="E1562" t="s" s="5">
        <v>9893</v>
      </c>
      <c r="F1562" t="s" s="10">
        <v>9894</v>
      </c>
      <c r="G1562" t="s" s="7">
        <v>9895</v>
      </c>
      <c r="H1562" t="s" s="7">
        <v>9896</v>
      </c>
      <c r="I1562" t="str" s="8" cm="1">
        <f t="array" ref="I1562">SUBSTITUTE(H1562,B1562,"(          )")</f>
        <v>The delivery service will bring your (          ) tomorrow.</v>
      </c>
      <c r="J1562" s="9" cm="1">
        <f t="array" ref="J1562">SUMIF('외운 것 - 엑셀다운로드 파일(붙여넣기)'!A3:A562,A1562,'외운 것 - 엑셀다운로드 파일(붙여넣기)'!D3:D562)</f>
        <v>0</v>
      </c>
      <c r="K1562" s="9" cm="1">
        <f t="array" ref="K1562">_xlfn.COUNTIFS('외운 것 - 엑셀다운로드 파일(붙여넣기)'!A3:A562,A1562,'외운 것 - 엑셀다운로드 파일(붙여넣기)'!D3:D562,0)</f>
        <v>0</v>
      </c>
      <c r="L1562" s="9" cm="1">
        <f t="array" ref="L1562">IF(J1562&gt;=3,_xlfn.XLOOKUP(A1562,'외운 것 - 엑셀다운로드 파일(붙여넣기)'!A3:A562,'외운 것 - 엑셀다운로드 파일(붙여넣기)'!C3:C562,0,-1),0)</f>
        <v>0</v>
      </c>
    </row>
    <row r="1563" ht="23.45" customHeight="1">
      <c r="A1563" s="3">
        <v>1562</v>
      </c>
      <c r="B1563" t="s" s="4">
        <v>9898</v>
      </c>
      <c r="C1563" t="s" s="5">
        <v>9842</v>
      </c>
      <c r="D1563" t="s" s="5">
        <v>9843</v>
      </c>
      <c r="E1563" t="s" s="5">
        <v>9899</v>
      </c>
      <c r="F1563" t="s" s="10">
        <v>9900</v>
      </c>
      <c r="G1563" t="s" s="7">
        <v>9901</v>
      </c>
      <c r="H1563" t="s" s="7">
        <v>9902</v>
      </c>
      <c r="I1563" t="str" s="8" cm="1">
        <f t="array" ref="I1563">SUBSTITUTE(H1563,B1563,"(          )")</f>
        <v>I have a (          ) view of the mountains from my window.</v>
      </c>
      <c r="J1563" s="9" cm="1">
        <f t="array" ref="J1563">SUMIF('외운 것 - 엑셀다운로드 파일(붙여넣기)'!A3:A562,A1563,'외운 것 - 엑셀다운로드 파일(붙여넣기)'!D3:D562)</f>
        <v>0</v>
      </c>
      <c r="K1563" s="9" cm="1">
        <f t="array" ref="K1563">_xlfn.COUNTIFS('외운 것 - 엑셀다운로드 파일(붙여넣기)'!A3:A562,A1563,'외운 것 - 엑셀다운로드 파일(붙여넣기)'!D3:D562,0)</f>
        <v>0</v>
      </c>
      <c r="L1563" s="9" cm="1">
        <f t="array" ref="L1563">IF(J1563&gt;=3,_xlfn.XLOOKUP(A1563,'외운 것 - 엑셀다운로드 파일(붙여넣기)'!A3:A562,'외운 것 - 엑셀다운로드 파일(붙여넣기)'!C3:C562,0,-1),0)</f>
        <v>0</v>
      </c>
    </row>
    <row r="1564" ht="36.4" customHeight="1">
      <c r="A1564" s="3">
        <v>1563</v>
      </c>
      <c r="B1564" t="s" s="4">
        <v>9904</v>
      </c>
      <c r="C1564" t="s" s="5">
        <v>9905</v>
      </c>
      <c r="D1564" t="s" s="5">
        <v>9842</v>
      </c>
      <c r="E1564" t="s" s="5">
        <v>9906</v>
      </c>
      <c r="F1564" t="s" s="10">
        <v>9907</v>
      </c>
      <c r="G1564" t="s" s="7">
        <v>9908</v>
      </c>
      <c r="H1564" t="s" s="7">
        <v>9909</v>
      </c>
      <c r="I1564" t="str" s="8" cm="1">
        <f t="array" ref="I1564">SUBSTITUTE(H1564,B1564,"(          )")</f>
        <v>The judge must remain (          ) during the trial.</v>
      </c>
      <c r="J1564" s="9" cm="1">
        <f t="array" ref="J1564">SUMIF('외운 것 - 엑셀다운로드 파일(붙여넣기)'!A3:A562,A1564,'외운 것 - 엑셀다운로드 파일(붙여넣기)'!D3:D562)</f>
        <v>0</v>
      </c>
      <c r="K1564" s="9" cm="1">
        <f t="array" ref="K1564">_xlfn.COUNTIFS('외운 것 - 엑셀다운로드 파일(붙여넣기)'!A3:A562,A1564,'외운 것 - 엑셀다운로드 파일(붙여넣기)'!D3:D562,0)</f>
        <v>0</v>
      </c>
      <c r="L1564" s="9" cm="1">
        <f t="array" ref="L1564">IF(J1564&gt;=3,_xlfn.XLOOKUP(A1564,'외운 것 - 엑셀다운로드 파일(붙여넣기)'!A3:A562,'외운 것 - 엑셀다운로드 파일(붙여넣기)'!C3:C562,0,-1),0)</f>
        <v>0</v>
      </c>
    </row>
    <row r="1565" ht="38.45" customHeight="1">
      <c r="A1565" s="3">
        <v>1564</v>
      </c>
      <c r="B1565" t="s" s="4">
        <v>9911</v>
      </c>
      <c r="C1565" t="s" s="5">
        <v>9912</v>
      </c>
      <c r="D1565" t="s" s="5">
        <v>9913</v>
      </c>
      <c r="E1565" t="s" s="5">
        <v>9914</v>
      </c>
      <c r="F1565" t="s" s="10">
        <v>9915</v>
      </c>
      <c r="G1565" t="s" s="7">
        <v>9916</v>
      </c>
      <c r="H1565" t="s" s="7">
        <v>9917</v>
      </c>
      <c r="I1565" t="str" s="8" cm="1">
        <f t="array" ref="I1565">SUBSTITUTE(H1565,B1565,"(          )")</f>
        <v>The train will (          ) through several small towns.</v>
      </c>
      <c r="J1565" s="9" cm="1">
        <f t="array" ref="J1565">SUMIF('외운 것 - 엑셀다운로드 파일(붙여넣기)'!A3:A562,A1565,'외운 것 - 엑셀다운로드 파일(붙여넣기)'!D3:D562)</f>
        <v>0</v>
      </c>
      <c r="K1565" s="9" cm="1">
        <f t="array" ref="K1565">_xlfn.COUNTIFS('외운 것 - 엑셀다운로드 파일(붙여넣기)'!A3:A562,A1565,'외운 것 - 엑셀다운로드 파일(붙여넣기)'!D3:D562,0)</f>
        <v>0</v>
      </c>
      <c r="L1565" s="9" cm="1">
        <f t="array" ref="L1565">IF(J1565&gt;=3,_xlfn.XLOOKUP(A1565,'외운 것 - 엑셀다운로드 파일(붙여넣기)'!A3:A562,'외운 것 - 엑셀다운로드 파일(붙여넣기)'!C3:C562,0,-1),0)</f>
        <v>0</v>
      </c>
    </row>
    <row r="1566" ht="38.45" customHeight="1">
      <c r="A1566" s="3">
        <v>1565</v>
      </c>
      <c r="B1566" t="s" s="4">
        <v>9919</v>
      </c>
      <c r="C1566" t="s" s="5">
        <v>9911</v>
      </c>
      <c r="D1566" t="s" s="5">
        <v>9913</v>
      </c>
      <c r="E1566" t="s" s="5">
        <v>9920</v>
      </c>
      <c r="F1566" t="s" s="10">
        <v>9921</v>
      </c>
      <c r="G1566" t="s" s="7">
        <v>9922</v>
      </c>
      <c r="H1566" t="s" s="7">
        <v>9923</v>
      </c>
      <c r="I1566" t="str" s="8" cm="1">
        <f t="array" ref="I1566">SUBSTITUTE(H1566,B1566,"(          )")</f>
        <v>He took a (          ) role in the project.</v>
      </c>
      <c r="J1566" s="9" cm="1">
        <f t="array" ref="J1566">SUMIF('외운 것 - 엑셀다운로드 파일(붙여넣기)'!A3:A562,A1566,'외운 것 - 엑셀다운로드 파일(붙여넣기)'!D3:D562)</f>
        <v>0</v>
      </c>
      <c r="K1566" s="9" cm="1">
        <f t="array" ref="K1566">_xlfn.COUNTIFS('외운 것 - 엑셀다운로드 파일(붙여넣기)'!A3:A562,A1566,'외운 것 - 엑셀다운로드 파일(붙여넣기)'!D3:D562,0)</f>
        <v>0</v>
      </c>
      <c r="L1566" s="9" cm="1">
        <f t="array" ref="L1566">IF(J1566&gt;=3,_xlfn.XLOOKUP(A1566,'외운 것 - 엑셀다운로드 파일(붙여넣기)'!A3:A562,'외운 것 - 엑셀다운로드 파일(붙여넣기)'!C3:C562,0,-1),0)</f>
        <v>0</v>
      </c>
    </row>
    <row r="1567" ht="38.45" customHeight="1">
      <c r="A1567" s="3">
        <v>1566</v>
      </c>
      <c r="B1567" t="s" s="4">
        <v>9925</v>
      </c>
      <c r="C1567" t="s" s="5">
        <v>9911</v>
      </c>
      <c r="D1567" t="s" s="5">
        <v>9913</v>
      </c>
      <c r="E1567" t="s" s="5">
        <v>9926</v>
      </c>
      <c r="F1567" t="s" s="10">
        <v>9927</v>
      </c>
      <c r="G1567" t="s" s="7">
        <v>9928</v>
      </c>
      <c r="H1567" t="s" s="7">
        <v>9929</v>
      </c>
      <c r="I1567" t="str" s="8" cm="1">
        <f t="array" ref="I1567">SUBSTITUTE(H1567,B1567,"(          )")</f>
        <v>Each (          ) is allowed two carry-on bags.</v>
      </c>
      <c r="J1567" s="9" cm="1">
        <f t="array" ref="J1567">SUMIF('외운 것 - 엑셀다운로드 파일(붙여넣기)'!A3:A562,A1567,'외운 것 - 엑셀다운로드 파일(붙여넣기)'!D3:D562)</f>
        <v>0</v>
      </c>
      <c r="K1567" s="9" cm="1">
        <f t="array" ref="K1567">_xlfn.COUNTIFS('외운 것 - 엑셀다운로드 파일(붙여넣기)'!A3:A562,A1567,'외운 것 - 엑셀다운로드 파일(붙여넣기)'!D3:D562,0)</f>
        <v>0</v>
      </c>
      <c r="L1567" s="9" cm="1">
        <f t="array" ref="L1567">IF(J1567&gt;=3,_xlfn.XLOOKUP(A1567,'외운 것 - 엑셀다운로드 파일(붙여넣기)'!A3:A562,'외운 것 - 엑셀다운로드 파일(붙여넣기)'!C3:C562,0,-1),0)</f>
        <v>0</v>
      </c>
    </row>
    <row r="1568" ht="23.45" customHeight="1">
      <c r="A1568" s="3">
        <v>1567</v>
      </c>
      <c r="B1568" t="s" s="4">
        <v>9931</v>
      </c>
      <c r="C1568" t="s" s="5">
        <v>9911</v>
      </c>
      <c r="D1568" t="s" s="5">
        <v>9913</v>
      </c>
      <c r="E1568" t="s" s="5">
        <v>9932</v>
      </c>
      <c r="F1568" t="s" s="10">
        <v>9933</v>
      </c>
      <c r="G1568" t="s" s="7">
        <v>9934</v>
      </c>
      <c r="H1568" t="s" s="7">
        <v>9935</v>
      </c>
      <c r="I1568" t="str" s="8" cm="1">
        <f t="array" ref="I1568">SUBSTITUTE(H1568,B1568,"(          )")</f>
        <v>Hikers should carry a (          ) for navigation.</v>
      </c>
      <c r="J1568" s="9" cm="1">
        <f t="array" ref="J1568">SUMIF('외운 것 - 엑셀다운로드 파일(붙여넣기)'!A3:A562,A1568,'외운 것 - 엑셀다운로드 파일(붙여넣기)'!D3:D562)</f>
        <v>0</v>
      </c>
      <c r="K1568" s="9" cm="1">
        <f t="array" ref="K1568">_xlfn.COUNTIFS('외운 것 - 엑셀다운로드 파일(붙여넣기)'!A3:A562,A1568,'외운 것 - 엑셀다운로드 파일(붙여넣기)'!D3:D562,0)</f>
        <v>0</v>
      </c>
      <c r="L1568" s="9" cm="1">
        <f t="array" ref="L1568">IF(J1568&gt;=3,_xlfn.XLOOKUP(A1568,'외운 것 - 엑셀다운로드 파일(붙여넣기)'!A3:A562,'외운 것 - 엑셀다운로드 파일(붙여넣기)'!C3:C562,0,-1),0)</f>
        <v>0</v>
      </c>
    </row>
    <row r="1569" ht="23.45" customHeight="1">
      <c r="A1569" s="3">
        <v>1568</v>
      </c>
      <c r="B1569" t="s" s="4">
        <v>9937</v>
      </c>
      <c r="C1569" t="s" s="5">
        <v>9911</v>
      </c>
      <c r="D1569" t="s" s="5">
        <v>9913</v>
      </c>
      <c r="E1569" t="s" s="5">
        <v>9938</v>
      </c>
      <c r="F1569" t="s" s="10">
        <v>9939</v>
      </c>
      <c r="G1569" t="s" s="7">
        <v>9940</v>
      </c>
      <c r="H1569" t="s" s="7">
        <v>9941</v>
      </c>
      <c r="I1569" t="str" s="8" cm="1">
        <f t="array" ref="I1569">SUBSTITUTE(H1569,B1569,"(          )")</f>
        <v>The new highway will (          ) the congested town center.</v>
      </c>
      <c r="J1569" s="9" cm="1">
        <f t="array" ref="J1569">SUMIF('외운 것 - 엑셀다운로드 파일(붙여넣기)'!A3:A562,A1569,'외운 것 - 엑셀다운로드 파일(붙여넣기)'!D3:D562)</f>
        <v>0</v>
      </c>
      <c r="K1569" s="9" cm="1">
        <f t="array" ref="K1569">_xlfn.COUNTIFS('외운 것 - 엑셀다운로드 파일(붙여넣기)'!A3:A562,A1569,'외운 것 - 엑셀다운로드 파일(붙여넣기)'!D3:D562,0)</f>
        <v>0</v>
      </c>
      <c r="L1569" s="9" cm="1">
        <f t="array" ref="L1569">IF(J1569&gt;=3,_xlfn.XLOOKUP(A1569,'외운 것 - 엑셀다운로드 파일(붙여넣기)'!A3:A562,'외운 것 - 엑셀다운로드 파일(붙여넣기)'!C3:C562,0,-1),0)</f>
        <v>0</v>
      </c>
    </row>
    <row r="1570" ht="23.45" customHeight="1">
      <c r="A1570" s="3">
        <v>1569</v>
      </c>
      <c r="B1570" t="s" s="4">
        <v>9943</v>
      </c>
      <c r="C1570" t="s" s="5">
        <v>9911</v>
      </c>
      <c r="D1570" t="s" s="5">
        <v>9913</v>
      </c>
      <c r="E1570" t="s" s="5">
        <v>9944</v>
      </c>
      <c r="F1570" t="s" s="10">
        <v>9945</v>
      </c>
      <c r="G1570" t="s" s="7">
        <v>9946</v>
      </c>
      <c r="H1570" t="s" s="7">
        <v>9947</v>
      </c>
      <c r="I1570" t="str" s="8" cm="1">
        <f t="array" ref="I1570">SUBSTITUTE(H1570,B1570,"(          )")</f>
        <v>The train travels through an (          ) beneath the road.</v>
      </c>
      <c r="J1570" s="9" cm="1">
        <f t="array" ref="J1570">SUMIF('외운 것 - 엑셀다운로드 파일(붙여넣기)'!A3:A562,A1570,'외운 것 - 엑셀다운로드 파일(붙여넣기)'!D3:D562)</f>
        <v>0</v>
      </c>
      <c r="K1570" s="9" cm="1">
        <f t="array" ref="K1570">_xlfn.COUNTIFS('외운 것 - 엑셀다운로드 파일(붙여넣기)'!A3:A562,A1570,'외운 것 - 엑셀다운로드 파일(붙여넣기)'!D3:D562,0)</f>
        <v>0</v>
      </c>
      <c r="L1570" s="9" cm="1">
        <f t="array" ref="L1570">IF(J1570&gt;=3,_xlfn.XLOOKUP(A1570,'외운 것 - 엑셀다운로드 파일(붙여넣기)'!A3:A562,'외운 것 - 엑셀다운로드 파일(붙여넣기)'!C3:C562,0,-1),0)</f>
        <v>0</v>
      </c>
    </row>
    <row r="1571" ht="23.45" customHeight="1">
      <c r="A1571" s="3">
        <v>1570</v>
      </c>
      <c r="B1571" t="s" s="4">
        <v>9949</v>
      </c>
      <c r="C1571" t="s" s="5">
        <v>9911</v>
      </c>
      <c r="D1571" t="s" s="5">
        <v>9913</v>
      </c>
      <c r="E1571" t="s" s="5">
        <v>9950</v>
      </c>
      <c r="F1571" t="s" s="10">
        <v>9951</v>
      </c>
      <c r="G1571" t="s" s="7">
        <v>9952</v>
      </c>
      <c r="H1571" t="s" s="7">
        <v>9953</v>
      </c>
      <c r="I1571" t="str" s="8" cm="1">
        <f t="array" ref="I1571">SUBSTITUTE(H1571,B1571,"(          )")</f>
        <v>The (          ) provides a safe crossing for pedestrians.</v>
      </c>
      <c r="J1571" s="9" cm="1">
        <f t="array" ref="J1571">SUMIF('외운 것 - 엑셀다운로드 파일(붙여넣기)'!A3:A562,A1571,'외운 것 - 엑셀다운로드 파일(붙여넣기)'!D3:D562)</f>
        <v>0</v>
      </c>
      <c r="K1571" s="9" cm="1">
        <f t="array" ref="K1571">_xlfn.COUNTIFS('외운 것 - 엑셀다운로드 파일(붙여넣기)'!A3:A562,A1571,'외운 것 - 엑셀다운로드 파일(붙여넣기)'!D3:D562,0)</f>
        <v>0</v>
      </c>
      <c r="L1571" s="9" cm="1">
        <f t="array" ref="L1571">IF(J1571&gt;=3,_xlfn.XLOOKUP(A1571,'외운 것 - 엑셀다운로드 파일(붙여넣기)'!A3:A562,'외운 것 - 엑셀다운로드 파일(붙여넣기)'!C3:C562,0,-1),0)</f>
        <v>0</v>
      </c>
    </row>
    <row r="1572" ht="23.45" customHeight="1">
      <c r="A1572" s="3">
        <v>1571</v>
      </c>
      <c r="B1572" t="s" s="4">
        <v>9955</v>
      </c>
      <c r="C1572" t="s" s="5">
        <v>9911</v>
      </c>
      <c r="D1572" t="s" s="5">
        <v>9913</v>
      </c>
      <c r="E1572" t="s" s="5">
        <v>9956</v>
      </c>
      <c r="F1572" t="s" s="10">
        <v>9957</v>
      </c>
      <c r="G1572" t="s" s="7">
        <v>9958</v>
      </c>
      <c r="H1572" t="s" s="7">
        <v>9959</v>
      </c>
      <c r="I1572" t="str" s="8" cm="1">
        <f t="array" ref="I1572">SUBSTITUTE(H1572,B1572,"(          )")</f>
        <v>Her sales (          ) all previous records.</v>
      </c>
      <c r="J1572" s="9" cm="1">
        <f t="array" ref="J1572">SUMIF('외운 것 - 엑셀다운로드 파일(붙여넣기)'!A3:A562,A1572,'외운 것 - 엑셀다운로드 파일(붙여넣기)'!D3:D562)</f>
        <v>0</v>
      </c>
      <c r="K1572" s="9" cm="1">
        <f t="array" ref="K1572">_xlfn.COUNTIFS('외운 것 - 엑셀다운로드 파일(붙여넣기)'!A3:A562,A1572,'외운 것 - 엑셀다운로드 파일(붙여넣기)'!D3:D562,0)</f>
        <v>0</v>
      </c>
      <c r="L1572" s="9" cm="1">
        <f t="array" ref="L1572">IF(J1572&gt;=3,_xlfn.XLOOKUP(A1572,'외운 것 - 엑셀다운로드 파일(붙여넣기)'!A3:A562,'외운 것 - 엑셀다운로드 파일(붙여넣기)'!C3:C562,0,-1),0)</f>
        <v>0</v>
      </c>
    </row>
    <row r="1573" ht="23.45" customHeight="1">
      <c r="A1573" s="3">
        <v>1572</v>
      </c>
      <c r="B1573" t="s" s="4">
        <v>9961</v>
      </c>
      <c r="C1573" t="s" s="5">
        <v>9911</v>
      </c>
      <c r="D1573" t="s" s="5">
        <v>9913</v>
      </c>
      <c r="E1573" t="s" s="5">
        <v>9962</v>
      </c>
      <c r="F1573" t="s" s="10">
        <v>9963</v>
      </c>
      <c r="G1573" t="s" s="7">
        <v>9964</v>
      </c>
      <c r="H1573" t="s" s="7">
        <v>9965</v>
      </c>
      <c r="I1573" t="str" s="8" cm="1">
        <f t="array" ref="I1573">SUBSTITUTE(H1573,B1573,"(          )")</f>
        <v>Music is his greatest (          ).</v>
      </c>
      <c r="J1573" s="9" cm="1">
        <f t="array" ref="J1573">SUMIF('외운 것 - 엑셀다운로드 파일(붙여넣기)'!A3:A562,A1573,'외운 것 - 엑셀다운로드 파일(붙여넣기)'!D3:D562)</f>
        <v>0</v>
      </c>
      <c r="K1573" s="9" cm="1">
        <f t="array" ref="K1573">_xlfn.COUNTIFS('외운 것 - 엑셀다운로드 파일(붙여넣기)'!A3:A562,A1573,'외운 것 - 엑셀다운로드 파일(붙여넣기)'!D3:D562,0)</f>
        <v>0</v>
      </c>
      <c r="L1573" s="9" cm="1">
        <f t="array" ref="L1573">IF(J1573&gt;=3,_xlfn.XLOOKUP(A1573,'외운 것 - 엑셀다운로드 파일(붙여넣기)'!A3:A562,'외운 것 - 엑셀다운로드 파일(붙여넣기)'!C3:C562,0,-1),0)</f>
        <v>0</v>
      </c>
    </row>
    <row r="1574" ht="36.4" customHeight="1">
      <c r="A1574" s="3">
        <v>1573</v>
      </c>
      <c r="B1574" t="s" s="4">
        <v>9967</v>
      </c>
      <c r="C1574" t="s" s="5">
        <v>9968</v>
      </c>
      <c r="D1574" t="s" s="5">
        <v>9911</v>
      </c>
      <c r="E1574" t="s" s="5">
        <v>9969</v>
      </c>
      <c r="F1574" t="s" s="10">
        <v>9970</v>
      </c>
      <c r="G1574" t="s" s="7">
        <v>9971</v>
      </c>
      <c r="H1574" t="s" s="7">
        <v>9972</v>
      </c>
      <c r="I1574" t="str" s="8" cm="1">
        <f t="array" ref="I1574">SUBSTITUTE(H1574,B1574,"(          )")</f>
        <v>Nurses need (          ) as well as medical knowledge.</v>
      </c>
      <c r="J1574" s="9" cm="1">
        <f t="array" ref="J1574">SUMIF('외운 것 - 엑셀다운로드 파일(붙여넣기)'!A3:A562,A1574,'외운 것 - 엑셀다운로드 파일(붙여넣기)'!D3:D562)</f>
        <v>1</v>
      </c>
      <c r="K1574" s="9" cm="1">
        <f t="array" ref="K1574">_xlfn.COUNTIFS('외운 것 - 엑셀다운로드 파일(붙여넣기)'!A3:A562,A1574,'외운 것 - 엑셀다운로드 파일(붙여넣기)'!D3:D562,0)</f>
        <v>0</v>
      </c>
      <c r="L1574" s="9" cm="1">
        <f t="array" ref="L1574">IF(J1574&gt;=3,_xlfn.XLOOKUP(A1574,'외운 것 - 엑셀다운로드 파일(붙여넣기)'!A3:A562,'외운 것 - 엑셀다운로드 파일(붙여넣기)'!C3:C562,0,-1),0)</f>
        <v>0</v>
      </c>
    </row>
    <row r="1575" ht="23.45" customHeight="1">
      <c r="A1575" s="3">
        <v>1574</v>
      </c>
      <c r="B1575" t="s" s="4">
        <v>9974</v>
      </c>
      <c r="C1575" t="s" s="5">
        <v>9975</v>
      </c>
      <c r="D1575" t="s" s="5">
        <v>9976</v>
      </c>
      <c r="E1575" t="s" s="5">
        <v>9977</v>
      </c>
      <c r="F1575" t="s" s="10">
        <v>9978</v>
      </c>
      <c r="G1575" t="s" s="7">
        <v>9979</v>
      </c>
      <c r="H1575" t="s" s="7">
        <v>9980</v>
      </c>
      <c r="I1575" t="str" s="8" cm="1">
        <f t="array" ref="I1575">SUBSTITUTE(H1575,B1575,"(          )")</f>
        <v>His attempt to fix the car was (          ).</v>
      </c>
      <c r="J1575" s="9" cm="1">
        <f t="array" ref="J1575">SUMIF('외운 것 - 엑셀다운로드 파일(붙여넣기)'!A3:A562,A1575,'외운 것 - 엑셀다운로드 파일(붙여넣기)'!D3:D562)</f>
        <v>1</v>
      </c>
      <c r="K1575" s="9" cm="1">
        <f t="array" ref="K1575">_xlfn.COUNTIFS('외운 것 - 엑셀다운로드 파일(붙여넣기)'!A3:A562,A1575,'외운 것 - 엑셀다운로드 파일(붙여넣기)'!D3:D562,0)</f>
        <v>0</v>
      </c>
      <c r="L1575" s="9" cm="1">
        <f t="array" ref="L1575">IF(J1575&gt;=3,_xlfn.XLOOKUP(A1575,'외운 것 - 엑셀다운로드 파일(붙여넣기)'!A3:A562,'외운 것 - 엑셀다운로드 파일(붙여넣기)'!C3:C562,0,-1),0)</f>
        <v>0</v>
      </c>
    </row>
    <row r="1576" ht="23.45" customHeight="1">
      <c r="A1576" s="3">
        <v>1575</v>
      </c>
      <c r="B1576" t="s" s="4">
        <v>9982</v>
      </c>
      <c r="C1576" t="s" s="5">
        <v>9975</v>
      </c>
      <c r="D1576" t="s" s="5">
        <v>9976</v>
      </c>
      <c r="E1576" t="s" s="5">
        <v>9983</v>
      </c>
      <c r="F1576" t="s" s="10">
        <v>9984</v>
      </c>
      <c r="G1576" t="s" s="7">
        <v>9985</v>
      </c>
      <c r="H1576" t="s" s="7">
        <v>9986</v>
      </c>
      <c r="I1576" t="str" s="8" cm="1">
        <f t="array" ref="I1576">SUBSTITUTE(H1576,B1576,"(          )")</f>
        <v>Some people believe in (          ), or mind-reading.</v>
      </c>
      <c r="J1576" s="9" cm="1">
        <f t="array" ref="J1576">SUMIF('외운 것 - 엑셀다운로드 파일(붙여넣기)'!A3:A562,A1576,'외운 것 - 엑셀다운로드 파일(붙여넣기)'!D3:D562)</f>
        <v>0</v>
      </c>
      <c r="K1576" s="9" cm="1">
        <f t="array" ref="K1576">_xlfn.COUNTIFS('외운 것 - 엑셀다운로드 파일(붙여넣기)'!A3:A562,A1576,'외운 것 - 엑셀다운로드 파일(붙여넣기)'!D3:D562,0)</f>
        <v>0</v>
      </c>
      <c r="L1576" s="9" cm="1">
        <f t="array" ref="L1576">IF(J1576&gt;=3,_xlfn.XLOOKUP(A1576,'외운 것 - 엑셀다운로드 파일(붙여넣기)'!A3:A562,'외운 것 - 엑셀다운로드 파일(붙여넣기)'!C3:C562,0,-1),0)</f>
        <v>0</v>
      </c>
    </row>
    <row r="1577" ht="23.45" customHeight="1">
      <c r="A1577" s="3">
        <v>1576</v>
      </c>
      <c r="B1577" t="s" s="4">
        <v>9988</v>
      </c>
      <c r="C1577" t="s" s="5">
        <v>9975</v>
      </c>
      <c r="D1577" t="s" s="5">
        <v>9976</v>
      </c>
      <c r="E1577" t="s" s="5">
        <v>9989</v>
      </c>
      <c r="F1577" t="s" s="10">
        <v>9990</v>
      </c>
      <c r="G1577" t="s" s="7">
        <v>9991</v>
      </c>
      <c r="H1577" t="s" s="7">
        <v>9992</v>
      </c>
      <c r="I1577" t="str" s="8" cm="1">
        <f t="array" ref="I1577">SUBSTITUTE(H1577,B1577,"(          )")</f>
        <v>She sent a (          ) card after her friend's mother died.</v>
      </c>
      <c r="J1577" s="9" cm="1">
        <f t="array" ref="J1577">SUMIF('외운 것 - 엑셀다운로드 파일(붙여넣기)'!A3:A562,A1577,'외운 것 - 엑셀다운로드 파일(붙여넣기)'!D3:D562)</f>
        <v>0</v>
      </c>
      <c r="K1577" s="9" cm="1">
        <f t="array" ref="K1577">_xlfn.COUNTIFS('외운 것 - 엑셀다운로드 파일(붙여넣기)'!A3:A562,A1577,'외운 것 - 엑셀다운로드 파일(붙여넣기)'!D3:D562,0)</f>
        <v>0</v>
      </c>
      <c r="L1577" s="9" cm="1">
        <f t="array" ref="L1577">IF(J1577&gt;=3,_xlfn.XLOOKUP(A1577,'외운 것 - 엑셀다운로드 파일(붙여넣기)'!A3:A562,'외운 것 - 엑셀다운로드 파일(붙여넣기)'!C3:C562,0,-1),0)</f>
        <v>0</v>
      </c>
    </row>
    <row r="1578" ht="23.45" customHeight="1">
      <c r="A1578" s="3">
        <v>1577</v>
      </c>
      <c r="B1578" t="s" s="4">
        <v>9994</v>
      </c>
      <c r="C1578" t="s" s="5">
        <v>9995</v>
      </c>
      <c r="D1578" t="s" s="5">
        <v>9996</v>
      </c>
      <c r="E1578" t="s" s="5">
        <v>9997</v>
      </c>
      <c r="F1578" t="s" s="10">
        <v>9998</v>
      </c>
      <c r="G1578" t="s" s="7">
        <v>9999</v>
      </c>
      <c r="H1578" t="s" s="7">
        <v>10000</v>
      </c>
      <c r="I1578" t="str" s="8" cm="1">
        <f t="array" ref="I1578">SUBSTITUTE(H1578,B1578,"(          )")</f>
        <v>Wind will (          ) the sailboat across the lake.</v>
      </c>
      <c r="J1578" s="9" cm="1">
        <f t="array" ref="J1578">SUMIF('외운 것 - 엑셀다운로드 파일(붙여넣기)'!A3:A562,A1578,'외운 것 - 엑셀다운로드 파일(붙여넣기)'!D3:D562)</f>
        <v>0</v>
      </c>
      <c r="K1578" s="9" cm="1">
        <f t="array" ref="K1578">_xlfn.COUNTIFS('외운 것 - 엑셀다운로드 파일(붙여넣기)'!A3:A562,A1578,'외운 것 - 엑셀다운로드 파일(붙여넣기)'!D3:D562,0)</f>
        <v>0</v>
      </c>
      <c r="L1578" s="9" cm="1">
        <f t="array" ref="L1578">IF(J1578&gt;=3,_xlfn.XLOOKUP(A1578,'외운 것 - 엑셀다운로드 파일(붙여넣기)'!A3:A562,'외운 것 - 엑셀다운로드 파일(붙여넣기)'!C3:C562,0,-1),0)</f>
        <v>0</v>
      </c>
    </row>
    <row r="1579" ht="38.45" customHeight="1">
      <c r="A1579" s="3">
        <v>1578</v>
      </c>
      <c r="B1579" t="s" s="4">
        <v>10002</v>
      </c>
      <c r="C1579" t="s" s="5">
        <v>10003</v>
      </c>
      <c r="D1579" t="s" s="5">
        <v>9995</v>
      </c>
      <c r="E1579" t="s" s="5">
        <v>10004</v>
      </c>
      <c r="F1579" t="s" s="10">
        <v>10005</v>
      </c>
      <c r="G1579" t="s" s="7">
        <v>10006</v>
      </c>
      <c r="H1579" t="s" s="7">
        <v>10007</v>
      </c>
      <c r="I1579" t="str" s="8" cm="1">
        <f t="array" ref="I1579">SUBSTITUTE(H1579,B1579,"(          )")</f>
        <v>The (          ) of the small plane was damaged.</v>
      </c>
      <c r="J1579" s="9" cm="1">
        <f t="array" ref="J1579">SUMIF('외운 것 - 엑셀다운로드 파일(붙여넣기)'!A3:A562,A1579,'외운 것 - 엑셀다운로드 파일(붙여넣기)'!D3:D562)</f>
        <v>0</v>
      </c>
      <c r="K1579" s="9" cm="1">
        <f t="array" ref="K1579">_xlfn.COUNTIFS('외운 것 - 엑셀다운로드 파일(붙여넣기)'!A3:A562,A1579,'외운 것 - 엑셀다운로드 파일(붙여넣기)'!D3:D562,0)</f>
        <v>0</v>
      </c>
      <c r="L1579" s="9" cm="1">
        <f t="array" ref="L1579">IF(J1579&gt;=3,_xlfn.XLOOKUP(A1579,'외운 것 - 엑셀다운로드 파일(붙여넣기)'!A3:A562,'외운 것 - 엑셀다운로드 파일(붙여넣기)'!C3:C562,0,-1),0)</f>
        <v>0</v>
      </c>
    </row>
    <row r="1580" ht="38.45" customHeight="1">
      <c r="A1580" s="3">
        <v>1579</v>
      </c>
      <c r="B1580" t="s" s="4">
        <v>10009</v>
      </c>
      <c r="C1580" t="s" s="5">
        <v>9995</v>
      </c>
      <c r="D1580" t="s" s="5">
        <v>9996</v>
      </c>
      <c r="E1580" t="s" s="5">
        <v>10010</v>
      </c>
      <c r="F1580" t="s" s="10">
        <v>10011</v>
      </c>
      <c r="G1580" t="s" s="7">
        <v>10012</v>
      </c>
      <c r="H1580" t="s" s="7">
        <v>10013</v>
      </c>
      <c r="I1580" t="str" s="8" cm="1">
        <f t="array" ref="I1580">SUBSTITUTE(H1580,B1580,"(          )")</f>
        <v>Necessity (          )s us to make difficult choices.</v>
      </c>
      <c r="J1580" s="9" cm="1">
        <f t="array" ref="J1580">SUMIF('외운 것 - 엑셀다운로드 파일(붙여넣기)'!A3:A562,A1580,'외운 것 - 엑셀다운로드 파일(붙여넣기)'!D3:D562)</f>
        <v>0</v>
      </c>
      <c r="K1580" s="9" cm="1">
        <f t="array" ref="K1580">_xlfn.COUNTIFS('외운 것 - 엑셀다운로드 파일(붙여넣기)'!A3:A562,A1580,'외운 것 - 엑셀다운로드 파일(붙여넣기)'!D3:D562,0)</f>
        <v>0</v>
      </c>
      <c r="L1580" s="9" cm="1">
        <f t="array" ref="L1580">IF(J1580&gt;=3,_xlfn.XLOOKUP(A1580,'외운 것 - 엑셀다운로드 파일(붙여넣기)'!A3:A562,'외운 것 - 엑셀다운로드 파일(붙여넣기)'!C3:C562,0,-1),0)</f>
        <v>0</v>
      </c>
    </row>
    <row r="1581" ht="23.45" customHeight="1">
      <c r="A1581" s="3">
        <v>1580</v>
      </c>
      <c r="B1581" t="s" s="4">
        <v>10015</v>
      </c>
      <c r="C1581" t="s" s="5">
        <v>9995</v>
      </c>
      <c r="D1581" t="s" s="5">
        <v>9996</v>
      </c>
      <c r="E1581" t="s" s="5">
        <v>10016</v>
      </c>
      <c r="F1581" t="s" s="10">
        <v>10017</v>
      </c>
      <c r="G1581" t="s" s="7">
        <v>5445</v>
      </c>
      <c r="H1581" t="s" s="7">
        <v>10018</v>
      </c>
      <c r="I1581" t="str" s="8" cm="1">
        <f t="array" ref="I1581">SUBSTITUTE(H1581,B1581,"(          )")</f>
        <v>The insect (          )lent will (          ) mosquitoes.</v>
      </c>
      <c r="J1581" s="9" cm="1">
        <f t="array" ref="J1581">SUMIF('외운 것 - 엑셀다운로드 파일(붙여넣기)'!A3:A562,A1581,'외운 것 - 엑셀다운로드 파일(붙여넣기)'!D3:D562)</f>
        <v>0</v>
      </c>
      <c r="K1581" s="9" cm="1">
        <f t="array" ref="K1581">_xlfn.COUNTIFS('외운 것 - 엑셀다운로드 파일(붙여넣기)'!A3:A562,A1581,'외운 것 - 엑셀다운로드 파일(붙여넣기)'!D3:D562,0)</f>
        <v>1</v>
      </c>
      <c r="L1581" s="9" cm="1">
        <f t="array" ref="L1581">IF(J1581&gt;=3,_xlfn.XLOOKUP(A1581,'외운 것 - 엑셀다운로드 파일(붙여넣기)'!A3:A562,'외운 것 - 엑셀다운로드 파일(붙여넣기)'!C3:C562,0,-1),0)</f>
        <v>0</v>
      </c>
    </row>
    <row r="1582" ht="23.45" customHeight="1">
      <c r="A1582" s="3">
        <v>1581</v>
      </c>
      <c r="B1582" t="s" s="4">
        <v>10020</v>
      </c>
      <c r="C1582" t="s" s="5">
        <v>9995</v>
      </c>
      <c r="D1582" t="s" s="5">
        <v>9996</v>
      </c>
      <c r="E1582" t="s" s="5">
        <v>10021</v>
      </c>
      <c r="F1582" t="s" s="10">
        <v>10022</v>
      </c>
      <c r="G1582" t="s" s="7">
        <v>10023</v>
      </c>
      <c r="H1582" t="s" s="7">
        <v>10024</v>
      </c>
      <c r="I1582" t="str" s="8" cm="1">
        <f t="array" ref="I1582">SUBSTITUTE(H1582,B1582,"(          )")</f>
        <v>The school will (          ) students who cheat on exams.</v>
      </c>
      <c r="J1582" s="9" cm="1">
        <f t="array" ref="J1582">SUMIF('외운 것 - 엑셀다운로드 파일(붙여넣기)'!A3:A562,A1582,'외운 것 - 엑셀다운로드 파일(붙여넣기)'!D3:D562)</f>
        <v>0</v>
      </c>
      <c r="K1582" s="9" cm="1">
        <f t="array" ref="K1582">_xlfn.COUNTIFS('외운 것 - 엑셀다운로드 파일(붙여넣기)'!A3:A562,A1582,'외운 것 - 엑셀다운로드 파일(붙여넣기)'!D3:D562,0)</f>
        <v>0</v>
      </c>
      <c r="L1582" s="9" cm="1">
        <f t="array" ref="L1582">IF(J1582&gt;=3,_xlfn.XLOOKUP(A1582,'외운 것 - 엑셀다운로드 파일(붙여넣기)'!A3:A562,'외운 것 - 엑셀다운로드 파일(붙여넣기)'!C3:C562,0,-1),0)</f>
        <v>0</v>
      </c>
    </row>
    <row r="1583" ht="23.45" customHeight="1">
      <c r="A1583" s="3">
        <v>1582</v>
      </c>
      <c r="B1583" t="s" s="4">
        <v>10026</v>
      </c>
      <c r="C1583" t="s" s="5">
        <v>9995</v>
      </c>
      <c r="D1583" t="s" s="5">
        <v>9996</v>
      </c>
      <c r="E1583" t="s" s="5">
        <v>10027</v>
      </c>
      <c r="F1583" t="s" s="10">
        <v>10028</v>
      </c>
      <c r="G1583" t="s" s="7">
        <v>10029</v>
      </c>
      <c r="H1583" t="s" s="7">
        <v>10030</v>
      </c>
      <c r="I1583" t="str" s="8" cm="1">
        <f t="array" ref="I1583">SUBSTITUTE(H1583,B1583,"(          )")</f>
        <v>The report helps (          ) rumors about the company.</v>
      </c>
      <c r="J1583" s="9" cm="1">
        <f t="array" ref="J1583">SUMIF('외운 것 - 엑셀다운로드 파일(붙여넣기)'!A3:A562,A1583,'외운 것 - 엑셀다운로드 파일(붙여넣기)'!D3:D562)</f>
        <v>1</v>
      </c>
      <c r="K1583" s="9" cm="1">
        <f t="array" ref="K1583">_xlfn.COUNTIFS('외운 것 - 엑셀다운로드 파일(붙여넣기)'!A3:A562,A1583,'외운 것 - 엑셀다운로드 파일(붙여넣기)'!D3:D562,0)</f>
        <v>0</v>
      </c>
      <c r="L1583" s="9" cm="1">
        <f t="array" ref="L1583">IF(J1583&gt;=3,_xlfn.XLOOKUP(A1583,'외운 것 - 엑셀다운로드 파일(붙여넣기)'!A3:A562,'외운 것 - 엑셀다운로드 파일(붙여넣기)'!C3:C562,0,-1),0)</f>
        <v>0</v>
      </c>
    </row>
    <row r="1584" ht="23.45" customHeight="1">
      <c r="A1584" s="3">
        <v>1583</v>
      </c>
      <c r="B1584" t="s" s="4">
        <v>10032</v>
      </c>
      <c r="C1584" t="s" s="5">
        <v>10033</v>
      </c>
      <c r="D1584" t="s" s="5">
        <v>9996</v>
      </c>
      <c r="E1584" t="s" s="5">
        <v>10034</v>
      </c>
      <c r="F1584" t="s" s="10">
        <v>10035</v>
      </c>
      <c r="G1584" t="s" s="7">
        <v>10036</v>
      </c>
      <c r="H1584" t="s" s="7">
        <v>10037</v>
      </c>
      <c r="I1584" t="str" s="8" cm="1">
        <f t="array" ref="I1584">SUBSTITUTE(H1584,B1584,"(          )")</f>
        <v>The doctor checked the patient's (          ).</v>
      </c>
      <c r="J1584" s="9" cm="1">
        <f t="array" ref="J1584">SUMIF('외운 것 - 엑셀다운로드 파일(붙여넣기)'!A3:A562,A1584,'외운 것 - 엑셀다운로드 파일(붙여넣기)'!D3:D562)</f>
        <v>0</v>
      </c>
      <c r="K1584" s="9" cm="1">
        <f t="array" ref="K1584">_xlfn.COUNTIFS('외운 것 - 엑셀다운로드 파일(붙여넣기)'!A3:A562,A1584,'외운 것 - 엑셀다운로드 파일(붙여넣기)'!D3:D562,0)</f>
        <v>0</v>
      </c>
      <c r="L1584" s="9" cm="1">
        <f t="array" ref="L1584">IF(J1584&gt;=3,_xlfn.XLOOKUP(A1584,'외운 것 - 엑셀다운로드 파일(붙여넣기)'!A3:A562,'외운 것 - 엑셀다운로드 파일(붙여넣기)'!C3:C562,0,-1),0)</f>
        <v>0</v>
      </c>
    </row>
    <row r="1585" ht="23.45" customHeight="1">
      <c r="A1585" s="3">
        <v>1584</v>
      </c>
      <c r="B1585" t="s" s="4">
        <v>10039</v>
      </c>
      <c r="C1585" t="s" s="5">
        <v>10033</v>
      </c>
      <c r="D1585" t="s" s="5">
        <v>9996</v>
      </c>
      <c r="E1585" t="s" s="5">
        <v>10040</v>
      </c>
      <c r="F1585" t="s" s="10">
        <v>10041</v>
      </c>
      <c r="G1585" t="s" s="7">
        <v>10042</v>
      </c>
      <c r="H1585" t="s" s="7">
        <v>10043</v>
      </c>
      <c r="I1585" t="str" s="8" cm="1">
        <f t="array" ref="I1585">SUBSTITUTE(H1585,B1585,"(          )")</f>
        <v>He bought the expensive watch on (          ).</v>
      </c>
      <c r="J1585" s="9" cm="1">
        <f t="array" ref="J1585">SUMIF('외운 것 - 엑셀다운로드 파일(붙여넣기)'!A3:A562,A1585,'외운 것 - 엑셀다운로드 파일(붙여넣기)'!D3:D562)</f>
        <v>0</v>
      </c>
      <c r="K1585" s="9" cm="1">
        <f t="array" ref="K1585">_xlfn.COUNTIFS('외운 것 - 엑셀다운로드 파일(붙여넣기)'!A3:A562,A1585,'외운 것 - 엑셀다운로드 파일(붙여넣기)'!D3:D562,0)</f>
        <v>0</v>
      </c>
      <c r="L1585" s="9" cm="1">
        <f t="array" ref="L1585">IF(J1585&gt;=3,_xlfn.XLOOKUP(A1585,'외운 것 - 엑셀다운로드 파일(붙여넣기)'!A3:A562,'외운 것 - 엑셀다운로드 파일(붙여넣기)'!C3:C562,0,-1),0)</f>
        <v>0</v>
      </c>
    </row>
    <row r="1586" ht="38.45" customHeight="1">
      <c r="A1586" s="3">
        <v>1585</v>
      </c>
      <c r="B1586" t="s" s="4">
        <v>10045</v>
      </c>
      <c r="C1586" t="s" s="5">
        <v>10046</v>
      </c>
      <c r="D1586" t="s" s="5">
        <v>9996</v>
      </c>
      <c r="E1586" t="s" s="5">
        <v>10047</v>
      </c>
      <c r="F1586" t="s" s="10">
        <v>10048</v>
      </c>
      <c r="G1586" t="s" s="7">
        <v>10049</v>
      </c>
      <c r="H1586" t="s" s="7">
        <v>10050</v>
      </c>
      <c r="I1586" t="str" s="8" cm="1">
        <f t="array" ref="I1586">SUBSTITUTE(H1586,B1586,"(          )")</f>
        <v>Wearing a helmet is (          ) for motorcycle riders.</v>
      </c>
      <c r="J1586" s="9" cm="1">
        <f t="array" ref="J1586">SUMIF('외운 것 - 엑셀다운로드 파일(붙여넣기)'!A3:A562,A1586,'외운 것 - 엑셀다운로드 파일(붙여넣기)'!D3:D562)</f>
        <v>1</v>
      </c>
      <c r="K1586" s="9" cm="1">
        <f t="array" ref="K1586">_xlfn.COUNTIFS('외운 것 - 엑셀다운로드 파일(붙여넣기)'!A3:A562,A1586,'외운 것 - 엑셀다운로드 파일(붙여넣기)'!D3:D562,0)</f>
        <v>0</v>
      </c>
      <c r="L1586" s="9" cm="1">
        <f t="array" ref="L1586">IF(J1586&gt;=3,_xlfn.XLOOKUP(A1586,'외운 것 - 엑셀다운로드 파일(붙여넣기)'!A3:A562,'외운 것 - 엑셀다운로드 파일(붙여넣기)'!C3:C562,0,-1),0)</f>
        <v>0</v>
      </c>
    </row>
    <row r="1587" ht="23.45" customHeight="1">
      <c r="A1587" s="3">
        <v>1586</v>
      </c>
      <c r="B1587" t="s" s="4">
        <v>10052</v>
      </c>
      <c r="C1587" t="s" s="5">
        <v>10033</v>
      </c>
      <c r="D1587" t="s" s="5">
        <v>9996</v>
      </c>
      <c r="E1587" t="s" s="5">
        <v>10053</v>
      </c>
      <c r="F1587" t="s" s="10">
        <v>10054</v>
      </c>
      <c r="G1587" t="s" s="7">
        <v>10055</v>
      </c>
      <c r="H1587" t="s" s="7">
        <v>10056</v>
      </c>
      <c r="I1587" t="str" s="8" cm="1">
        <f t="array" ref="I1587">SUBSTITUTE(H1587,B1587,"(          )")</f>
        <v>The defendant will (          ) the court's decision.</v>
      </c>
      <c r="J1587" s="9" cm="1">
        <f t="array" ref="J1587">SUMIF('외운 것 - 엑셀다운로드 파일(붙여넣기)'!A3:A562,A1587,'외운 것 - 엑셀다운로드 파일(붙여넣기)'!D3:D562)</f>
        <v>1</v>
      </c>
      <c r="K1587" s="9" cm="1">
        <f t="array" ref="K1587">_xlfn.COUNTIFS('외운 것 - 엑셀다운로드 파일(붙여넣기)'!A3:A562,A1587,'외운 것 - 엑셀다운로드 파일(붙여넣기)'!D3:D562,0)</f>
        <v>0</v>
      </c>
      <c r="L1587" s="9" cm="1">
        <f t="array" ref="L1587">IF(J1587&gt;=3,_xlfn.XLOOKUP(A1587,'외운 것 - 엑셀다운로드 파일(붙여넣기)'!A3:A562,'외운 것 - 엑셀다운로드 파일(붙여넣기)'!C3:C562,0,-1),0)</f>
        <v>0</v>
      </c>
    </row>
    <row r="1588" ht="23.45" customHeight="1">
      <c r="A1588" s="3">
        <v>1587</v>
      </c>
      <c r="B1588" t="s" s="4">
        <v>10058</v>
      </c>
      <c r="C1588" t="s" s="5">
        <v>10059</v>
      </c>
      <c r="D1588" t="s" s="5">
        <v>10060</v>
      </c>
      <c r="E1588" t="s" s="5">
        <v>10061</v>
      </c>
      <c r="F1588" t="s" s="10">
        <v>10062</v>
      </c>
      <c r="G1588" t="s" s="7">
        <v>10063</v>
      </c>
      <c r="H1588" t="s" s="7">
        <v>10064</v>
      </c>
      <c r="I1588" t="str" s="8" cm="1">
        <f t="array" ref="I1588">SUBSTITUTE(H1588,B1588,"(          )")</f>
        <v>She wore a gold (          ) on a delicate chain.</v>
      </c>
      <c r="J1588" s="9" cm="1">
        <f t="array" ref="J1588">SUMIF('외운 것 - 엑셀다운로드 파일(붙여넣기)'!A3:A562,A1588,'외운 것 - 엑셀다운로드 파일(붙여넣기)'!D3:D562)</f>
        <v>0</v>
      </c>
      <c r="K1588" s="9" cm="1">
        <f t="array" ref="K1588">_xlfn.COUNTIFS('외운 것 - 엑셀다운로드 파일(붙여넣기)'!A3:A562,A1588,'외운 것 - 엑셀다운로드 파일(붙여넣기)'!D3:D562,0)</f>
        <v>1</v>
      </c>
      <c r="L1588" s="9" cm="1">
        <f t="array" ref="L1588">IF(J1588&gt;=3,_xlfn.XLOOKUP(A1588,'외운 것 - 엑셀다운로드 파일(붙여넣기)'!A3:A562,'외운 것 - 엑셀다운로드 파일(붙여넣기)'!C3:C562,0,-1),0)</f>
        <v>0</v>
      </c>
    </row>
    <row r="1589" ht="23.45" customHeight="1">
      <c r="A1589" s="3">
        <v>1588</v>
      </c>
      <c r="B1589" t="s" s="4">
        <v>10066</v>
      </c>
      <c r="C1589" t="s" s="5">
        <v>10059</v>
      </c>
      <c r="D1589" t="s" s="5">
        <v>10060</v>
      </c>
      <c r="E1589" t="s" s="5">
        <v>10067</v>
      </c>
      <c r="F1589" t="s" s="10">
        <v>10068</v>
      </c>
      <c r="G1589" t="s" s="7">
        <v>10069</v>
      </c>
      <c r="H1589" t="s" s="7">
        <v>10070</v>
      </c>
      <c r="I1589" t="str" s="8" cm="1">
        <f t="array" ref="I1589">SUBSTITUTE(H1589,B1589,"(          )")</f>
        <v>The success of the project (          )s on teamwork.</v>
      </c>
      <c r="J1589" s="9" cm="1">
        <f t="array" ref="J1589">SUMIF('외운 것 - 엑셀다운로드 파일(붙여넣기)'!A3:A562,A1589,'외운 것 - 엑셀다운로드 파일(붙여넣기)'!D3:D562)</f>
        <v>0</v>
      </c>
      <c r="K1589" s="9" cm="1">
        <f t="array" ref="K1589">_xlfn.COUNTIFS('외운 것 - 엑셀다운로드 파일(붙여넣기)'!A3:A562,A1589,'외운 것 - 엑셀다운로드 파일(붙여넣기)'!D3:D562,0)</f>
        <v>0</v>
      </c>
      <c r="L1589" s="9" cm="1">
        <f t="array" ref="L1589">IF(J1589&gt;=3,_xlfn.XLOOKUP(A1589,'외운 것 - 엑셀다운로드 파일(붙여넣기)'!A3:A562,'외운 것 - 엑셀다운로드 파일(붙여넣기)'!C3:C562,0,-1),0)</f>
        <v>0</v>
      </c>
    </row>
    <row r="1590" ht="36.4" customHeight="1">
      <c r="A1590" s="3">
        <v>1589</v>
      </c>
      <c r="B1590" t="s" s="4">
        <v>10072</v>
      </c>
      <c r="C1590" t="s" s="5">
        <v>10073</v>
      </c>
      <c r="D1590" t="s" s="5">
        <v>10059</v>
      </c>
      <c r="E1590" t="s" s="5">
        <v>10074</v>
      </c>
      <c r="F1590" t="s" s="10">
        <v>10075</v>
      </c>
      <c r="G1590" t="s" s="7">
        <v>10076</v>
      </c>
      <c r="H1590" t="s" s="7">
        <v>10077</v>
      </c>
      <c r="I1590" t="str" s="8" cm="1">
        <f t="array" ref="I1590">SUBSTITUTE(H1590,B1590,"(          )")</f>
        <v>The country celebrated its (          ) day.</v>
      </c>
      <c r="J1590" s="9" cm="1">
        <f t="array" ref="J1590">SUMIF('외운 것 - 엑셀다운로드 파일(붙여넣기)'!A3:A562,A1590,'외운 것 - 엑셀다운로드 파일(붙여넣기)'!D3:D562)</f>
        <v>0</v>
      </c>
      <c r="K1590" s="9" cm="1">
        <f t="array" ref="K1590">_xlfn.COUNTIFS('외운 것 - 엑셀다운로드 파일(붙여넣기)'!A3:A562,A1590,'외운 것 - 엑셀다운로드 파일(붙여넣기)'!D3:D562,0)</f>
        <v>0</v>
      </c>
      <c r="L1590" s="9" cm="1">
        <f t="array" ref="L1590">IF(J1590&gt;=3,_xlfn.XLOOKUP(A1590,'외운 것 - 엑셀다운로드 파일(붙여넣기)'!A3:A562,'외운 것 - 엑셀다운로드 파일(붙여넣기)'!C3:C562,0,-1),0)</f>
        <v>0</v>
      </c>
    </row>
    <row r="1591" ht="53.45" customHeight="1">
      <c r="A1591" s="3">
        <v>1590</v>
      </c>
      <c r="B1591" t="s" s="4">
        <v>10079</v>
      </c>
      <c r="C1591" t="s" s="5">
        <v>10080</v>
      </c>
      <c r="D1591" t="s" s="5">
        <v>10059</v>
      </c>
      <c r="E1591" t="s" s="5">
        <v>10081</v>
      </c>
      <c r="F1591" t="s" s="10">
        <v>10082</v>
      </c>
      <c r="G1591" t="s" s="7">
        <v>10083</v>
      </c>
      <c r="H1591" t="s" s="7">
        <v>10084</v>
      </c>
      <c r="I1591" t="str" s="8" cm="1">
        <f t="array" ref="I1591">SUBSTITUTE(H1591,B1591,"(          )")</f>
        <v>The (          ) is located in the lower right abdomen.</v>
      </c>
      <c r="J1591" s="9" cm="1">
        <f t="array" ref="J1591">SUMIF('외운 것 - 엑셀다운로드 파일(붙여넣기)'!A3:A562,A1591,'외운 것 - 엑셀다운로드 파일(붙여넣기)'!D3:D562)</f>
        <v>0</v>
      </c>
      <c r="K1591" s="9" cm="1">
        <f t="array" ref="K1591">_xlfn.COUNTIFS('외운 것 - 엑셀다운로드 파일(붙여넣기)'!A3:A562,A1591,'외운 것 - 엑셀다운로드 파일(붙여넣기)'!D3:D562,0)</f>
        <v>0</v>
      </c>
      <c r="L1591" s="9" cm="1">
        <f t="array" ref="L1591">IF(J1591&gt;=3,_xlfn.XLOOKUP(A1591,'외운 것 - 엑셀다운로드 파일(붙여넣기)'!A3:A562,'외운 것 - 엑셀다운로드 파일(붙여넣기)'!C3:C562,0,-1),0)</f>
        <v>0</v>
      </c>
    </row>
    <row r="1592" ht="23.45" customHeight="1">
      <c r="A1592" s="3">
        <v>1591</v>
      </c>
      <c r="B1592" t="s" s="4">
        <v>10086</v>
      </c>
      <c r="C1592" t="s" s="5">
        <v>10059</v>
      </c>
      <c r="D1592" t="s" s="5">
        <v>10060</v>
      </c>
      <c r="E1592" t="s" s="5">
        <v>10087</v>
      </c>
      <c r="F1592" t="s" s="10">
        <v>10088</v>
      </c>
      <c r="G1592" t="s" s="7">
        <v>10089</v>
      </c>
      <c r="H1592" t="s" s="7">
        <v>10090</v>
      </c>
      <c r="I1592" t="str" s="8" cm="1">
        <f t="array" ref="I1592">SUBSTITUTE(H1592,B1592,"(          )")</f>
        <v>The school may (          ) students for serious violations.</v>
      </c>
      <c r="J1592" s="9" cm="1">
        <f t="array" ref="J1592">SUMIF('외운 것 - 엑셀다운로드 파일(붙여넣기)'!A3:A562,A1592,'외운 것 - 엑셀다운로드 파일(붙여넣기)'!D3:D562)</f>
        <v>1</v>
      </c>
      <c r="K1592" s="9" cm="1">
        <f t="array" ref="K1592">_xlfn.COUNTIFS('외운 것 - 엑셀다운로드 파일(붙여넣기)'!A3:A562,A1592,'외운 것 - 엑셀다운로드 파일(붙여넣기)'!D3:D562,0)</f>
        <v>0</v>
      </c>
      <c r="L1592" s="9" cm="1">
        <f t="array" ref="L1592">IF(J1592&gt;=3,_xlfn.XLOOKUP(A1592,'외운 것 - 엑셀다운로드 파일(붙여넣기)'!A3:A562,'외운 것 - 엑셀다운로드 파일(붙여넣기)'!C3:C562,0,-1),0)</f>
        <v>0</v>
      </c>
    </row>
    <row r="1593" ht="38.45" customHeight="1">
      <c r="A1593" s="3">
        <v>1592</v>
      </c>
      <c r="B1593" t="s" s="4">
        <v>10092</v>
      </c>
      <c r="C1593" t="s" s="5">
        <v>10059</v>
      </c>
      <c r="D1593" t="s" s="5">
        <v>10060</v>
      </c>
      <c r="E1593" t="s" s="5">
        <v>10093</v>
      </c>
      <c r="F1593" t="s" s="10">
        <v>10094</v>
      </c>
      <c r="G1593" t="s" s="7">
        <v>10095</v>
      </c>
      <c r="H1593" t="s" s="7">
        <v>10096</v>
      </c>
      <c r="I1593" t="str" s="8" cm="1">
        <f t="array" ref="I1593">SUBSTITUTE(H1593,B1593,"(          )")</f>
        <v>The dark clouds suggested (          )ing rain.</v>
      </c>
      <c r="J1593" s="9" cm="1">
        <f t="array" ref="J1593">SUMIF('외운 것 - 엑셀다운로드 파일(붙여넣기)'!A3:A562,A1593,'외운 것 - 엑셀다운로드 파일(붙여넣기)'!D3:D562)</f>
        <v>0</v>
      </c>
      <c r="K1593" s="9" cm="1">
        <f t="array" ref="K1593">_xlfn.COUNTIFS('외운 것 - 엑셀다운로드 파일(붙여넣기)'!A3:A562,A1593,'외운 것 - 엑셀다운로드 파일(붙여넣기)'!D3:D562,0)</f>
        <v>0</v>
      </c>
      <c r="L1593" s="9" cm="1">
        <f t="array" ref="L1593">IF(J1593&gt;=3,_xlfn.XLOOKUP(A1593,'외운 것 - 엑셀다운로드 파일(붙여넣기)'!A3:A562,'외운 것 - 엑셀다운로드 파일(붙여넣기)'!C3:C562,0,-1),0)</f>
        <v>0</v>
      </c>
    </row>
    <row r="1594" ht="38.45" customHeight="1">
      <c r="A1594" s="3">
        <v>1593</v>
      </c>
      <c r="B1594" t="s" s="4">
        <v>10098</v>
      </c>
      <c r="C1594" t="s" s="5">
        <v>10059</v>
      </c>
      <c r="D1594" t="s" s="5">
        <v>10060</v>
      </c>
      <c r="E1594" t="s" s="5">
        <v>10099</v>
      </c>
      <c r="F1594" t="s" s="10">
        <v>10100</v>
      </c>
      <c r="G1594" t="s" s="7">
        <v>10101</v>
      </c>
      <c r="H1594" t="s" s="7">
        <v>10102</v>
      </c>
      <c r="I1594" t="str" s="8" cm="1">
        <f t="array" ref="I1594">SUBSTITUTE(H1594,B1594,"(          )")</f>
        <v>How do you (          ) your free time?</v>
      </c>
      <c r="J1594" s="9" cm="1">
        <f t="array" ref="J1594">SUMIF('외운 것 - 엑셀다운로드 파일(붙여넣기)'!A3:A562,A1594,'외운 것 - 엑셀다운로드 파일(붙여넣기)'!D3:D562)</f>
        <v>0</v>
      </c>
      <c r="K1594" s="9" cm="1">
        <f t="array" ref="K1594">_xlfn.COUNTIFS('외운 것 - 엑셀다운로드 파일(붙여넣기)'!A3:A562,A1594,'외운 것 - 엑셀다운로드 파일(붙여넣기)'!D3:D562,0)</f>
        <v>0</v>
      </c>
      <c r="L1594" s="9" cm="1">
        <f t="array" ref="L1594">IF(J1594&gt;=3,_xlfn.XLOOKUP(A1594,'외운 것 - 엑셀다운로드 파일(붙여넣기)'!A3:A562,'외운 것 - 엑셀다운로드 파일(붙여넣기)'!C3:C562,0,-1),0)</f>
        <v>0</v>
      </c>
    </row>
    <row r="1595" ht="23.45" customHeight="1">
      <c r="A1595" s="3">
        <v>1594</v>
      </c>
      <c r="B1595" t="s" s="4">
        <v>10104</v>
      </c>
      <c r="C1595" t="s" s="5">
        <v>10059</v>
      </c>
      <c r="D1595" t="s" s="5">
        <v>10060</v>
      </c>
      <c r="E1595" t="s" s="5">
        <v>10105</v>
      </c>
      <c r="F1595" t="s" s="10">
        <v>10106</v>
      </c>
      <c r="G1595" t="s" s="7">
        <v>10107</v>
      </c>
      <c r="H1595" t="s" s="7">
        <v>10108</v>
      </c>
      <c r="I1595" t="str" s="8" cm="1">
        <f t="array" ref="I1595">SUBSTITUTE(H1595,B1595,"(          )")</f>
        <v>These plastic utensils are (          ) after one use.</v>
      </c>
      <c r="J1595" s="9" cm="1">
        <f t="array" ref="J1595">SUMIF('외운 것 - 엑셀다운로드 파일(붙여넣기)'!A3:A562,A1595,'외운 것 - 엑셀다운로드 파일(붙여넣기)'!D3:D562)</f>
        <v>0</v>
      </c>
      <c r="K1595" s="9" cm="1">
        <f t="array" ref="K1595">_xlfn.COUNTIFS('외운 것 - 엑셀다운로드 파일(붙여넣기)'!A3:A562,A1595,'외운 것 - 엑셀다운로드 파일(붙여넣기)'!D3:D562,0)</f>
        <v>1</v>
      </c>
      <c r="L1595" s="9" cm="1">
        <f t="array" ref="L1595">IF(J1595&gt;=3,_xlfn.XLOOKUP(A1595,'외운 것 - 엑셀다운로드 파일(붙여넣기)'!A3:A562,'외운 것 - 엑셀다운로드 파일(붙여넣기)'!C3:C562,0,-1),0)</f>
        <v>0</v>
      </c>
    </row>
    <row r="1596" ht="50.45" customHeight="1">
      <c r="A1596" s="3">
        <v>1595</v>
      </c>
      <c r="B1596" t="s" s="4">
        <v>10110</v>
      </c>
      <c r="C1596" t="s" s="5">
        <v>10111</v>
      </c>
      <c r="D1596" t="s" s="5">
        <v>10059</v>
      </c>
      <c r="E1596" t="s" s="5">
        <v>10112</v>
      </c>
      <c r="F1596" t="s" s="10">
        <v>10113</v>
      </c>
      <c r="G1596" t="s" s="7">
        <v>10114</v>
      </c>
      <c r="H1596" t="s" s="7">
        <v>10115</v>
      </c>
      <c r="I1596" t="str" s="8" cm="1">
        <f t="array" ref="I1596">SUBSTITUTE(H1596,B1596,"(          )")</f>
        <v>Clean water is (          ) for human survival.</v>
      </c>
      <c r="J1596" s="9" cm="1">
        <f t="array" ref="J1596">SUMIF('외운 것 - 엑셀다운로드 파일(붙여넣기)'!A3:A562,A1596,'외운 것 - 엑셀다운로드 파일(붙여넣기)'!D3:D562)</f>
        <v>1</v>
      </c>
      <c r="K1596" s="9" cm="1">
        <f t="array" ref="K1596">_xlfn.COUNTIFS('외운 것 - 엑셀다운로드 파일(붙여넣기)'!A3:A562,A1596,'외운 것 - 엑셀다운로드 파일(붙여넣기)'!D3:D562,0)</f>
        <v>0</v>
      </c>
      <c r="L1596" s="9" cm="1">
        <f t="array" ref="L1596">IF(J1596&gt;=3,_xlfn.XLOOKUP(A1596,'외운 것 - 엑셀다운로드 파일(붙여넣기)'!A3:A562,'외운 것 - 엑셀다운로드 파일(붙여넣기)'!C3:C562,0,-1),0)</f>
        <v>0</v>
      </c>
    </row>
    <row r="1597" ht="36.4" customHeight="1">
      <c r="A1597" s="3">
        <v>1596</v>
      </c>
      <c r="B1597" t="s" s="4">
        <v>10117</v>
      </c>
      <c r="C1597" t="s" s="5">
        <v>10118</v>
      </c>
      <c r="D1597" t="s" s="5">
        <v>10059</v>
      </c>
      <c r="E1597" t="s" s="5">
        <v>10119</v>
      </c>
      <c r="F1597" t="s" s="10">
        <v>10120</v>
      </c>
      <c r="G1597" t="s" s="7">
        <v>10121</v>
      </c>
      <c r="H1597" t="s" s="7">
        <v>10122</v>
      </c>
      <c r="I1597" t="str" s="8" cm="1">
        <f t="array" ref="I1597">SUBSTITUTE(H1597,B1597,"(          )")</f>
        <v>Athletes (          ) a lot of energy during competition.</v>
      </c>
      <c r="J1597" s="9" cm="1">
        <f t="array" ref="J1597">SUMIF('외운 것 - 엑셀다운로드 파일(붙여넣기)'!A3:A562,A1597,'외운 것 - 엑셀다운로드 파일(붙여넣기)'!D3:D562)</f>
        <v>0</v>
      </c>
      <c r="K1597" s="9" cm="1">
        <f t="array" ref="K1597">_xlfn.COUNTIFS('외운 것 - 엑셀다운로드 파일(붙여넣기)'!A3:A562,A1597,'외운 것 - 엑셀다운로드 파일(붙여넣기)'!D3:D562,0)</f>
        <v>1</v>
      </c>
      <c r="L1597" s="9" cm="1">
        <f t="array" ref="L1597">IF(J1597&gt;=3,_xlfn.XLOOKUP(A1597,'외운 것 - 엑셀다운로드 파일(붙여넣기)'!A3:A562,'외운 것 - 엑셀다운로드 파일(붙여넣기)'!C3:C562,0,-1),0)</f>
        <v>0</v>
      </c>
    </row>
    <row r="1598" ht="38.45" customHeight="1">
      <c r="A1598" s="3">
        <v>1597</v>
      </c>
      <c r="B1598" t="s" s="4">
        <v>2313</v>
      </c>
      <c r="C1598" t="s" s="5">
        <v>10059</v>
      </c>
      <c r="D1598" t="s" s="5">
        <v>10060</v>
      </c>
      <c r="E1598" t="s" s="5">
        <v>2314</v>
      </c>
      <c r="F1598" t="s" s="10">
        <v>10124</v>
      </c>
      <c r="G1598" t="s" s="7">
        <v>10125</v>
      </c>
      <c r="H1598" t="s" s="7">
        <v>2317</v>
      </c>
      <c r="I1598" t="str" s="8" cm="1">
        <f t="array" ref="I1598">SUBSTITUTE(H1598,B1598,"(          )")</f>
        <v>The company will (          ) employees for overtime work.</v>
      </c>
      <c r="J1598" s="9" cm="1">
        <f t="array" ref="J1598">SUMIF('외운 것 - 엑셀다운로드 파일(붙여넣기)'!A3:A562,A1598,'외운 것 - 엑셀다운로드 파일(붙여넣기)'!D3:D562)</f>
        <v>1</v>
      </c>
      <c r="K1598" s="9" cm="1">
        <f t="array" ref="K1598">_xlfn.COUNTIFS('외운 것 - 엑셀다운로드 파일(붙여넣기)'!A3:A562,A1598,'외운 것 - 엑셀다운로드 파일(붙여넣기)'!D3:D562,0)</f>
        <v>0</v>
      </c>
      <c r="L1598" s="9" cm="1">
        <f t="array" ref="L1598">IF(J1598&gt;=3,_xlfn.XLOOKUP(A1598,'외운 것 - 엑셀다운로드 파일(붙여넣기)'!A3:A562,'외운 것 - 엑셀다운로드 파일(붙여넣기)'!C3:C562,0,-1),0)</f>
        <v>0</v>
      </c>
    </row>
    <row r="1599" ht="23.45" customHeight="1">
      <c r="A1599" s="3">
        <v>1598</v>
      </c>
      <c r="B1599" t="s" s="4">
        <v>5107</v>
      </c>
      <c r="C1599" t="s" s="5">
        <v>10126</v>
      </c>
      <c r="D1599" t="s" s="5">
        <v>10127</v>
      </c>
      <c r="E1599" t="s" s="5">
        <v>5110</v>
      </c>
      <c r="F1599" t="s" s="10">
        <v>10128</v>
      </c>
      <c r="G1599" t="s" s="7">
        <v>5112</v>
      </c>
      <c r="H1599" t="s" s="7">
        <v>5113</v>
      </c>
      <c r="I1599" t="str" s="8" cm="1">
        <f t="array" ref="I1599">SUBSTITUTE(H1599,B1599,"(          )")</f>
        <v>No one is (          ); everyone makes mistakes.</v>
      </c>
      <c r="J1599" s="9" cm="1">
        <f t="array" ref="J1599">SUMIF('외운 것 - 엑셀다운로드 파일(붙여넣기)'!A3:A562,A1599,'외운 것 - 엑셀다운로드 파일(붙여넣기)'!D3:D562)</f>
        <v>0</v>
      </c>
      <c r="K1599" s="9" cm="1">
        <f t="array" ref="K1599">_xlfn.COUNTIFS('외운 것 - 엑셀다운로드 파일(붙여넣기)'!A3:A562,A1599,'외운 것 - 엑셀다운로드 파일(붙여넣기)'!D3:D562,0)</f>
        <v>0</v>
      </c>
      <c r="L1599" s="9" cm="1">
        <f t="array" ref="L1599">IF(J1599&gt;=3,_xlfn.XLOOKUP(A1599,'외운 것 - 엑셀다운로드 파일(붙여넣기)'!A3:A562,'외운 것 - 엑셀다운로드 파일(붙여넣기)'!C3:C562,0,-1),0)</f>
        <v>0</v>
      </c>
    </row>
    <row r="1600" ht="23.45" customHeight="1">
      <c r="A1600" s="3">
        <v>1599</v>
      </c>
      <c r="B1600" t="s" s="4">
        <v>10129</v>
      </c>
      <c r="C1600" t="s" s="5">
        <v>10126</v>
      </c>
      <c r="D1600" t="s" s="5">
        <v>10127</v>
      </c>
      <c r="E1600" t="s" s="5">
        <v>10130</v>
      </c>
      <c r="F1600" t="s" s="10">
        <v>10131</v>
      </c>
      <c r="G1600" t="s" s="7">
        <v>10132</v>
      </c>
      <c r="H1600" t="s" s="7">
        <v>10133</v>
      </c>
      <c r="I1600" t="str" s="8" cm="1">
        <f t="array" ref="I1600">SUBSTITUTE(H1600,B1600,"(          )")</f>
        <v>Twenty (          ) of the students are international.</v>
      </c>
      <c r="J1600" s="9" cm="1">
        <f t="array" ref="J1600">SUMIF('외운 것 - 엑셀다운로드 파일(붙여넣기)'!A3:A562,A1600,'외운 것 - 엑셀다운로드 파일(붙여넣기)'!D3:D562)</f>
        <v>0</v>
      </c>
      <c r="K1600" s="9" cm="1">
        <f t="array" ref="K1600">_xlfn.COUNTIFS('외운 것 - 엑셀다운로드 파일(붙여넣기)'!A3:A562,A1600,'외운 것 - 엑셀다운로드 파일(붙여넣기)'!D3:D562,0)</f>
        <v>0</v>
      </c>
      <c r="L1600" s="9" cm="1">
        <f t="array" ref="L1600">IF(J1600&gt;=3,_xlfn.XLOOKUP(A1600,'외운 것 - 엑셀다운로드 파일(붙여넣기)'!A3:A562,'외운 것 - 엑셀다운로드 파일(붙여넣기)'!C3:C562,0,-1),0)</f>
        <v>0</v>
      </c>
    </row>
    <row r="1601" ht="38.45" customHeight="1">
      <c r="A1601" s="3">
        <v>1600</v>
      </c>
      <c r="B1601" t="s" s="4">
        <v>10135</v>
      </c>
      <c r="C1601" t="s" s="5">
        <v>10126</v>
      </c>
      <c r="D1601" t="s" s="5">
        <v>10127</v>
      </c>
      <c r="E1601" t="s" s="5">
        <v>10136</v>
      </c>
      <c r="F1601" t="s" s="10">
        <v>10137</v>
      </c>
      <c r="G1601" t="s" s="7">
        <v>10138</v>
      </c>
      <c r="H1601" t="s" s="7">
        <v>10139</v>
      </c>
      <c r="I1601" t="str" s="8" cm="1">
        <f t="array" ref="I1601">SUBSTITUTE(H1601,B1601,"(          )")</f>
        <v>The (          ) has a subtle floral fragrance.</v>
      </c>
      <c r="J1601" s="9" cm="1">
        <f t="array" ref="J1601">SUMIF('외운 것 - 엑셀다운로드 파일(붙여넣기)'!A3:A562,A1601,'외운 것 - 엑셀다운로드 파일(붙여넣기)'!D3:D562)</f>
        <v>0</v>
      </c>
      <c r="K1601" s="9" cm="1">
        <f t="array" ref="K1601">_xlfn.COUNTIFS('외운 것 - 엑셀다운로드 파일(붙여넣기)'!A3:A562,A1601,'외운 것 - 엑셀다운로드 파일(붙여넣기)'!D3:D562,0)</f>
        <v>0</v>
      </c>
      <c r="L1601" s="9" cm="1">
        <f t="array" ref="L1601">IF(J1601&gt;=3,_xlfn.XLOOKUP(A1601,'외운 것 - 엑셀다운로드 파일(붙여넣기)'!A3:A562,'외운 것 - 엑셀다운로드 파일(붙여넣기)'!C3:C562,0,-1),0)</f>
        <v>0</v>
      </c>
    </row>
    <row r="1602" ht="23.45" customHeight="1">
      <c r="A1602" s="3">
        <v>1601</v>
      </c>
      <c r="B1602" t="s" s="4">
        <v>10141</v>
      </c>
      <c r="C1602" t="s" s="5">
        <v>4123</v>
      </c>
      <c r="D1602" t="s" s="5">
        <v>4869</v>
      </c>
      <c r="E1602" t="s" s="5">
        <v>10142</v>
      </c>
      <c r="F1602" t="s" s="10">
        <v>10143</v>
      </c>
      <c r="G1602" t="s" s="7">
        <v>10144</v>
      </c>
      <c r="H1602" t="s" s="7">
        <v>10145</v>
      </c>
      <c r="I1602" t="str" s="8" cm="1">
        <f t="array" ref="I1602">SUBSTITUTE(H1602,B1602,"(          )")</f>
        <v>Toxic (          )s from the factory pollute the air.</v>
      </c>
      <c r="J1602" s="9" cm="1">
        <f t="array" ref="J1602">SUMIF('외운 것 - 엑셀다운로드 파일(붙여넣기)'!A3:A562,A1602,'외운 것 - 엑셀다운로드 파일(붙여넣기)'!D3:D562)</f>
        <v>1</v>
      </c>
      <c r="K1602" s="9" cm="1">
        <f t="array" ref="K1602">_xlfn.COUNTIFS('외운 것 - 엑셀다운로드 파일(붙여넣기)'!A3:A562,A1602,'외운 것 - 엑셀다운로드 파일(붙여넣기)'!D3:D562,0)</f>
        <v>0</v>
      </c>
      <c r="L1602" s="9" cm="1">
        <f t="array" ref="L1602">IF(J1602&gt;=3,_xlfn.XLOOKUP(A1602,'외운 것 - 엑셀다운로드 파일(붙여넣기)'!A3:A562,'외운 것 - 엑셀다운로드 파일(붙여넣기)'!C3:C562,0,-1),0)</f>
        <v>0</v>
      </c>
    </row>
    <row r="1603" ht="23.45" customHeight="1">
      <c r="A1603" s="3">
        <v>1602</v>
      </c>
      <c r="B1603" t="s" s="4">
        <v>10147</v>
      </c>
      <c r="C1603" t="s" s="5">
        <v>10126</v>
      </c>
      <c r="D1603" t="s" s="5">
        <v>10127</v>
      </c>
      <c r="E1603" t="s" s="5">
        <v>10148</v>
      </c>
      <c r="F1603" t="s" s="10">
        <v>10149</v>
      </c>
      <c r="G1603" t="s" s="7">
        <v>10150</v>
      </c>
      <c r="H1603" t="s" s="7">
        <v>10151</v>
      </c>
      <c r="I1603" t="str" s="8" cm="1">
        <f t="array" ref="I1603">SUBSTITUTE(H1603,B1603,"(          )")</f>
        <v>Each (          ) has unique talents and abilities.</v>
      </c>
      <c r="J1603" s="9" cm="1">
        <f t="array" ref="J1603">SUMIF('외운 것 - 엑셀다운로드 파일(붙여넣기)'!A3:A562,A1603,'외운 것 - 엑셀다운로드 파일(붙여넣기)'!D3:D562)</f>
        <v>0</v>
      </c>
      <c r="K1603" s="9" cm="1">
        <f t="array" ref="K1603">_xlfn.COUNTIFS('외운 것 - 엑셀다운로드 파일(붙여넣기)'!A3:A562,A1603,'외운 것 - 엑셀다운로드 파일(붙여넣기)'!D3:D562,0)</f>
        <v>0</v>
      </c>
      <c r="L1603" s="9" cm="1">
        <f t="array" ref="L1603">IF(J1603&gt;=3,_xlfn.XLOOKUP(A1603,'외운 것 - 엑셀다운로드 파일(붙여넣기)'!A3:A562,'외운 것 - 엑셀다운로드 파일(붙여넣기)'!C3:C562,0,-1),0)</f>
        <v>0</v>
      </c>
    </row>
    <row r="1604" ht="38.45" customHeight="1">
      <c r="A1604" s="3">
        <v>1603</v>
      </c>
      <c r="B1604" t="s" s="4">
        <v>10152</v>
      </c>
      <c r="C1604" t="s" s="5">
        <v>10153</v>
      </c>
      <c r="D1604" t="s" s="5">
        <v>10126</v>
      </c>
      <c r="E1604" t="s" s="5">
        <v>10154</v>
      </c>
      <c r="F1604" t="s" s="10">
        <v>10155</v>
      </c>
      <c r="G1604" t="s" s="7">
        <v>10156</v>
      </c>
      <c r="H1604" t="s" s="7">
        <v>10157</v>
      </c>
      <c r="I1604" t="str" s="8" cm="1">
        <f t="array" ref="I1604">SUBSTITUTE(H1604,B1604,"(          )")</f>
        <v>The company needs additional (          ) for the holiday season.</v>
      </c>
      <c r="J1604" s="9" cm="1">
        <f t="array" ref="J1604">SUMIF('외운 것 - 엑셀다운로드 파일(붙여넣기)'!A3:A562,A1604,'외운 것 - 엑셀다운로드 파일(붙여넣기)'!D3:D562)</f>
        <v>1</v>
      </c>
      <c r="K1604" s="9" cm="1">
        <f t="array" ref="K1604">_xlfn.COUNTIFS('외운 것 - 엑셀다운로드 파일(붙여넣기)'!A3:A562,A1604,'외운 것 - 엑셀다운로드 파일(붙여넣기)'!D3:D562,0)</f>
        <v>0</v>
      </c>
      <c r="L1604" s="9" cm="1">
        <f t="array" ref="L1604">IF(J1604&gt;=3,_xlfn.XLOOKUP(A1604,'외운 것 - 엑셀다운로드 파일(붙여넣기)'!A3:A562,'외운 것 - 엑셀다운로드 파일(붙여넣기)'!C3:C562,0,-1),0)</f>
        <v>0</v>
      </c>
    </row>
    <row r="1605" ht="36.4" customHeight="1">
      <c r="A1605" s="3">
        <v>1604</v>
      </c>
      <c r="B1605" t="s" s="4">
        <v>10159</v>
      </c>
      <c r="C1605" t="s" s="5">
        <v>10153</v>
      </c>
      <c r="D1605" t="s" s="5">
        <v>10126</v>
      </c>
      <c r="E1605" t="s" s="5">
        <v>10160</v>
      </c>
      <c r="F1605" t="s" s="10">
        <v>10161</v>
      </c>
      <c r="G1605" t="s" s="7">
        <v>10162</v>
      </c>
      <c r="H1605" t="s" s="7">
        <v>10163</v>
      </c>
      <c r="I1605" t="str" s="8" cm="1">
        <f t="array" ref="I1605">SUBSTITUTE(H1605,B1605,"(          )")</f>
        <v>This is my (          ) opinion, not an official statement.</v>
      </c>
      <c r="J1605" s="9" cm="1">
        <f t="array" ref="J1605">SUMIF('외운 것 - 엑셀다운로드 파일(붙여넣기)'!A3:A562,A1605,'외운 것 - 엑셀다운로드 파일(붙여넣기)'!D3:D562)</f>
        <v>0</v>
      </c>
      <c r="K1605" s="9" cm="1">
        <f t="array" ref="K1605">_xlfn.COUNTIFS('외운 것 - 엑셀다운로드 파일(붙여넣기)'!A3:A562,A1605,'외운 것 - 엑셀다운로드 파일(붙여넣기)'!D3:D562,0)</f>
        <v>0</v>
      </c>
      <c r="L1605" s="9" cm="1">
        <f t="array" ref="L1605">IF(J1605&gt;=3,_xlfn.XLOOKUP(A1605,'외운 것 - 엑셀다운로드 파일(붙여넣기)'!A3:A562,'외운 것 - 엑셀다운로드 파일(붙여넣기)'!C3:C562,0,-1),0)</f>
        <v>0</v>
      </c>
    </row>
    <row r="1606" ht="23.45" customHeight="1">
      <c r="A1606" s="3">
        <v>1605</v>
      </c>
      <c r="B1606" t="s" s="4">
        <v>10165</v>
      </c>
      <c r="C1606" t="s" s="5">
        <v>10126</v>
      </c>
      <c r="D1606" t="s" s="5">
        <v>10127</v>
      </c>
      <c r="E1606" t="s" s="5">
        <v>10166</v>
      </c>
      <c r="F1606" t="s" s="10">
        <v>10167</v>
      </c>
      <c r="G1606" t="s" s="7">
        <v>10168</v>
      </c>
      <c r="H1606" t="s" s="7">
        <v>10169</v>
      </c>
      <c r="I1606" t="str" s="8" cm="1">
        <f t="array" ref="I1606">SUBSTITUTE(H1606,B1606,"(          )")</f>
        <v>Many species will (          ) if their habitat is destroyed.</v>
      </c>
      <c r="J1606" s="9" cm="1">
        <f t="array" ref="J1606">SUMIF('외운 것 - 엑셀다운로드 파일(붙여넣기)'!A3:A562,A1606,'외운 것 - 엑셀다운로드 파일(붙여넣기)'!D3:D562)</f>
        <v>0</v>
      </c>
      <c r="K1606" s="9" cm="1">
        <f t="array" ref="K1606">_xlfn.COUNTIFS('외운 것 - 엑셀다운로드 파일(붙여넣기)'!A3:A562,A1606,'외운 것 - 엑셀다운로드 파일(붙여넣기)'!D3:D562,0)</f>
        <v>0</v>
      </c>
      <c r="L1606" s="9" cm="1">
        <f t="array" ref="L1606">IF(J1606&gt;=3,_xlfn.XLOOKUP(A1606,'외운 것 - 엑셀다운로드 파일(붙여넣기)'!A3:A562,'외운 것 - 엑셀다운로드 파일(붙여넣기)'!C3:C562,0,-1),0)</f>
        <v>0</v>
      </c>
    </row>
    <row r="1607" ht="38.45" customHeight="1">
      <c r="A1607" s="3">
        <v>1606</v>
      </c>
      <c r="B1607" t="s" s="4">
        <v>10171</v>
      </c>
      <c r="C1607" t="s" s="5">
        <v>10126</v>
      </c>
      <c r="D1607" t="s" s="5">
        <v>10127</v>
      </c>
      <c r="E1607" t="s" s="5">
        <v>10172</v>
      </c>
      <c r="F1607" t="s" s="10">
        <v>10173</v>
      </c>
      <c r="G1607" t="s" s="7">
        <v>10174</v>
      </c>
      <c r="H1607" t="s" s="7">
        <v>10175</v>
      </c>
      <c r="I1607" t="str" s="8" cm="1">
        <f t="array" ref="I1607">SUBSTITUTE(H1607,B1607,"(          )")</f>
        <v>This tattoo is (          ) and cannot be easily removed.</v>
      </c>
      <c r="J1607" s="9" cm="1">
        <f t="array" ref="J1607">SUMIF('외운 것 - 엑셀다운로드 파일(붙여넣기)'!A3:A562,A1607,'외운 것 - 엑셀다운로드 파일(붙여넣기)'!D3:D562)</f>
        <v>0</v>
      </c>
      <c r="K1607" s="9" cm="1">
        <f t="array" ref="K1607">_xlfn.COUNTIFS('외운 것 - 엑셀다운로드 파일(붙여넣기)'!A3:A562,A1607,'외운 것 - 엑셀다운로드 파일(붙여넣기)'!D3:D562,0)</f>
        <v>1</v>
      </c>
      <c r="L1607" s="9" cm="1">
        <f t="array" ref="L1607">IF(J1607&gt;=3,_xlfn.XLOOKUP(A1607,'외운 것 - 엑셀다운로드 파일(붙여넣기)'!A3:A562,'외운 것 - 엑셀다운로드 파일(붙여넣기)'!C3:C562,0,-1),0)</f>
        <v>0</v>
      </c>
    </row>
    <row r="1608" ht="38.45" customHeight="1">
      <c r="A1608" s="3">
        <v>1607</v>
      </c>
      <c r="B1608" t="s" s="4">
        <v>10177</v>
      </c>
      <c r="C1608" t="s" s="5">
        <v>10126</v>
      </c>
      <c r="D1608" t="s" s="5">
        <v>10127</v>
      </c>
      <c r="E1608" t="s" s="5">
        <v>10178</v>
      </c>
      <c r="F1608" t="s" s="10">
        <v>10179</v>
      </c>
      <c r="G1608" t="s" s="7">
        <v>10180</v>
      </c>
      <c r="H1608" t="s" s="7">
        <v>10181</v>
      </c>
      <c r="I1608" t="str" s="8" cm="1">
        <f t="array" ref="I1608">SUBSTITUTE(H1608,B1608,"(          )")</f>
        <v>She tried to (          ) her parents to let her go to the party.</v>
      </c>
      <c r="J1608" s="9" cm="1">
        <f t="array" ref="J1608">SUMIF('외운 것 - 엑셀다운로드 파일(붙여넣기)'!A3:A562,A1608,'외운 것 - 엑셀다운로드 파일(붙여넣기)'!D3:D562)</f>
        <v>0</v>
      </c>
      <c r="K1608" s="9" cm="1">
        <f t="array" ref="K1608">_xlfn.COUNTIFS('외운 것 - 엑셀다운로드 파일(붙여넣기)'!A3:A562,A1608,'외운 것 - 엑셀다운로드 파일(붙여넣기)'!D3:D562,0)</f>
        <v>0</v>
      </c>
      <c r="L1608" s="9" cm="1">
        <f t="array" ref="L1608">IF(J1608&gt;=3,_xlfn.XLOOKUP(A1608,'외운 것 - 엑셀다운로드 파일(붙여넣기)'!A3:A562,'외운 것 - 엑셀다운로드 파일(붙여넣기)'!C3:C562,0,-1),0)</f>
        <v>0</v>
      </c>
    </row>
    <row r="1609" ht="23.45" customHeight="1">
      <c r="A1609" s="3">
        <v>1608</v>
      </c>
      <c r="B1609" t="s" s="4">
        <v>10183</v>
      </c>
      <c r="C1609" t="s" s="5">
        <v>10184</v>
      </c>
      <c r="D1609" t="s" s="5">
        <v>10185</v>
      </c>
      <c r="E1609" t="s" s="5">
        <v>10186</v>
      </c>
      <c r="F1609" t="s" s="10">
        <v>10187</v>
      </c>
      <c r="G1609" t="s" s="7">
        <v>10188</v>
      </c>
      <c r="H1609" t="s" s="7">
        <v>10189</v>
      </c>
      <c r="I1609" t="str" s="8" cm="1">
        <f t="array" ref="I1609">SUBSTITUTE(H1609,B1609,"(          )")</f>
        <v>The central (          ) is surrounded by shops and restaurants.</v>
      </c>
      <c r="J1609" s="9" cm="1">
        <f t="array" ref="J1609">SUMIF('외운 것 - 엑셀다운로드 파일(붙여넣기)'!A3:A562,A1609,'외운 것 - 엑셀다운로드 파일(붙여넣기)'!D3:D562)</f>
        <v>1</v>
      </c>
      <c r="K1609" s="9" cm="1">
        <f t="array" ref="K1609">_xlfn.COUNTIFS('외운 것 - 엑셀다운로드 파일(붙여넣기)'!A3:A562,A1609,'외운 것 - 엑셀다운로드 파일(붙여넣기)'!D3:D562,0)</f>
        <v>0</v>
      </c>
      <c r="L1609" s="9" cm="1">
        <f t="array" ref="L1609">IF(J1609&gt;=3,_xlfn.XLOOKUP(A1609,'외운 것 - 엑셀다운로드 파일(붙여넣기)'!A3:A562,'외운 것 - 엑셀다운로드 파일(붙여넣기)'!C3:C562,0,-1),0)</f>
        <v>0</v>
      </c>
    </row>
    <row r="1610" ht="23.45" customHeight="1">
      <c r="A1610" s="3">
        <v>1609</v>
      </c>
      <c r="B1610" t="s" s="4">
        <v>10191</v>
      </c>
      <c r="C1610" t="s" s="5">
        <v>10184</v>
      </c>
      <c r="D1610" t="s" s="5">
        <v>10185</v>
      </c>
      <c r="E1610" t="s" s="5">
        <v>10192</v>
      </c>
      <c r="F1610" t="s" s="10">
        <v>10193</v>
      </c>
      <c r="G1610" t="s" s="7">
        <v>10194</v>
      </c>
      <c r="H1610" t="s" s="7">
        <v>10195</v>
      </c>
      <c r="I1610" t="str" s="8" cm="1">
        <f t="array" ref="I1610">SUBSTITUTE(H1610,B1610,"(          )")</f>
        <v>The developer submitted a (          ) for the new subdivision.</v>
      </c>
      <c r="J1610" s="9" cm="1">
        <f t="array" ref="J1610">SUMIF('외운 것 - 엑셀다운로드 파일(붙여넣기)'!A3:A562,A1610,'외운 것 - 엑셀다운로드 파일(붙여넣기)'!D3:D562)</f>
        <v>1</v>
      </c>
      <c r="K1610" s="9" cm="1">
        <f t="array" ref="K1610">_xlfn.COUNTIFS('외운 것 - 엑셀다운로드 파일(붙여넣기)'!A3:A562,A1610,'외운 것 - 엑셀다운로드 파일(붙여넣기)'!D3:D562,0)</f>
        <v>0</v>
      </c>
      <c r="L1610" s="9" cm="1">
        <f t="array" ref="L1610">IF(J1610&gt;=3,_xlfn.XLOOKUP(A1610,'외운 것 - 엑셀다운로드 파일(붙여넣기)'!A3:A562,'외운 것 - 엑셀다운로드 파일(붙여넣기)'!C3:C562,0,-1),0)</f>
        <v>0</v>
      </c>
    </row>
    <row r="1611" ht="23.45" customHeight="1">
      <c r="A1611" s="3">
        <v>1610</v>
      </c>
      <c r="B1611" t="s" s="4">
        <v>10197</v>
      </c>
      <c r="C1611" t="s" s="5">
        <v>10198</v>
      </c>
      <c r="D1611" t="s" s="5">
        <v>10184</v>
      </c>
      <c r="E1611" t="s" s="5">
        <v>10199</v>
      </c>
      <c r="F1611" t="s" s="10">
        <v>10200</v>
      </c>
      <c r="G1611" t="s" s="7">
        <v>10201</v>
      </c>
      <c r="H1611" t="s" s="7">
        <v>10202</v>
      </c>
      <c r="I1611" t="str" s="8" cm="1">
        <f t="array" ref="I1611">SUBSTITUTE(H1611,B1611,"(          )")</f>
        <v>The speaker stood on a (          ) so everyone could see.</v>
      </c>
      <c r="J1611" s="9" cm="1">
        <f t="array" ref="J1611">SUMIF('외운 것 - 엑셀다운로드 파일(붙여넣기)'!A3:A562,A1611,'외운 것 - 엑셀다운로드 파일(붙여넣기)'!D3:D562)</f>
        <v>0</v>
      </c>
      <c r="K1611" s="9" cm="1">
        <f t="array" ref="K1611">_xlfn.COUNTIFS('외운 것 - 엑셀다운로드 파일(붙여넣기)'!A3:A562,A1611,'외운 것 - 엑셀다운로드 파일(붙여넣기)'!D3:D562,0)</f>
        <v>0</v>
      </c>
      <c r="L1611" s="9" cm="1">
        <f t="array" ref="L1611">IF(J1611&gt;=3,_xlfn.XLOOKUP(A1611,'외운 것 - 엑셀다운로드 파일(붙여넣기)'!A3:A562,'외운 것 - 엑셀다운로드 파일(붙여넣기)'!C3:C562,0,-1),0)</f>
        <v>0</v>
      </c>
    </row>
    <row r="1612" ht="23.45" customHeight="1">
      <c r="A1612" s="3">
        <v>1611</v>
      </c>
      <c r="B1612" t="s" s="4">
        <v>10204</v>
      </c>
      <c r="C1612" t="s" s="5">
        <v>10184</v>
      </c>
      <c r="D1612" t="s" s="5">
        <v>10185</v>
      </c>
      <c r="E1612" t="s" s="5">
        <v>10205</v>
      </c>
      <c r="F1612" t="s" s="10">
        <v>10206</v>
      </c>
      <c r="G1612" t="s" s="7">
        <v>10207</v>
      </c>
      <c r="H1612" t="s" s="7">
        <v>10208</v>
      </c>
      <c r="I1612" t="str" s="8" cm="1">
        <f t="array" ref="I1612">SUBSTITUTE(H1612,B1612,"(          )")</f>
        <v>The workers applied fresh (          ) to the damaged wall.</v>
      </c>
      <c r="J1612" s="9" cm="1">
        <f t="array" ref="J1612">SUMIF('외운 것 - 엑셀다운로드 파일(붙여넣기)'!A3:A562,A1612,'외운 것 - 엑셀다운로드 파일(붙여넣기)'!D3:D562)</f>
        <v>1</v>
      </c>
      <c r="K1612" s="9" cm="1">
        <f t="array" ref="K1612">_xlfn.COUNTIFS('외운 것 - 엑셀다운로드 파일(붙여넣기)'!A3:A562,A1612,'외운 것 - 엑셀다운로드 파일(붙여넣기)'!D3:D562,0)</f>
        <v>0</v>
      </c>
      <c r="L1612" s="9" cm="1">
        <f t="array" ref="L1612">IF(J1612&gt;=3,_xlfn.XLOOKUP(A1612,'외운 것 - 엑셀다운로드 파일(붙여넣기)'!A3:A562,'외운 것 - 엑셀다운로드 파일(붙여넣기)'!C3:C562,0,-1),0)</f>
        <v>0</v>
      </c>
    </row>
    <row r="1613" ht="23.45" customHeight="1">
      <c r="A1613" s="3">
        <v>1612</v>
      </c>
      <c r="B1613" t="s" s="4">
        <v>10210</v>
      </c>
      <c r="C1613" t="s" s="5">
        <v>10184</v>
      </c>
      <c r="D1613" t="s" s="5">
        <v>10185</v>
      </c>
      <c r="E1613" t="s" s="5">
        <v>10211</v>
      </c>
      <c r="F1613" t="s" s="10">
        <v>10212</v>
      </c>
      <c r="G1613" t="s" s="7">
        <v>10213</v>
      </c>
      <c r="H1613" t="s" s="7">
        <v>10214</v>
      </c>
      <c r="I1613" t="str" s="8" cm="1">
        <f t="array" ref="I1613">SUBSTITUTE(H1613,B1613,"(          )")</f>
        <v>Put your dirty (          ) in the dishwasher.</v>
      </c>
      <c r="J1613" s="9" cm="1">
        <f t="array" ref="J1613">SUMIF('외운 것 - 엑셀다운로드 파일(붙여넣기)'!A3:A562,A1613,'외운 것 - 엑셀다운로드 파일(붙여넣기)'!D3:D562)</f>
        <v>0</v>
      </c>
      <c r="K1613" s="9" cm="1">
        <f t="array" ref="K1613">_xlfn.COUNTIFS('외운 것 - 엑셀다운로드 파일(붙여넣기)'!A3:A562,A1613,'외운 것 - 엑셀다운로드 파일(붙여넣기)'!D3:D562,0)</f>
        <v>0</v>
      </c>
      <c r="L1613" s="9" cm="1">
        <f t="array" ref="L1613">IF(J1613&gt;=3,_xlfn.XLOOKUP(A1613,'외운 것 - 엑셀다운로드 파일(붙여넣기)'!A3:A562,'외운 것 - 엑셀다운로드 파일(붙여넣기)'!C3:C562,0,-1),0)</f>
        <v>0</v>
      </c>
    </row>
    <row r="1614" ht="23.45" customHeight="1">
      <c r="A1614" s="3">
        <v>1613</v>
      </c>
      <c r="B1614" t="s" s="4">
        <v>10216</v>
      </c>
      <c r="C1614" t="s" s="5">
        <v>10184</v>
      </c>
      <c r="D1614" t="s" s="5">
        <v>10185</v>
      </c>
      <c r="E1614" t="s" s="5">
        <v>10217</v>
      </c>
      <c r="F1614" t="s" s="10">
        <v>10218</v>
      </c>
      <c r="G1614" t="s" s="7">
        <v>10219</v>
      </c>
      <c r="H1614" t="s" s="7">
        <v>10220</v>
      </c>
      <c r="I1614" t="str" s="8" cm="1">
        <f t="array" ref="I1614">SUBSTITUTE(H1614,B1614,"(          )")</f>
        <v>The hotel is in a convenient (          ) near the station.</v>
      </c>
      <c r="J1614" s="9" cm="1">
        <f t="array" ref="J1614">SUMIF('외운 것 - 엑셀다운로드 파일(붙여넣기)'!A3:A562,A1614,'외운 것 - 엑셀다운로드 파일(붙여넣기)'!D3:D562)</f>
        <v>0</v>
      </c>
      <c r="K1614" s="9" cm="1">
        <f t="array" ref="K1614">_xlfn.COUNTIFS('외운 것 - 엑셀다운로드 파일(붙여넣기)'!A3:A562,A1614,'외운 것 - 엑셀다운로드 파일(붙여넣기)'!D3:D562,0)</f>
        <v>0</v>
      </c>
      <c r="L1614" s="9" cm="1">
        <f t="array" ref="L1614">IF(J1614&gt;=3,_xlfn.XLOOKUP(A1614,'외운 것 - 엑셀다운로드 파일(붙여넣기)'!A3:A562,'외운 것 - 엑셀다운로드 파일(붙여넣기)'!C3:C562,0,-1),0)</f>
        <v>0</v>
      </c>
    </row>
    <row r="1615" ht="38.45" customHeight="1">
      <c r="A1615" s="3">
        <v>1614</v>
      </c>
      <c r="B1615" t="s" s="4">
        <v>10222</v>
      </c>
      <c r="C1615" t="s" s="5">
        <v>10223</v>
      </c>
      <c r="D1615" t="s" s="5">
        <v>10184</v>
      </c>
      <c r="E1615" t="s" s="5">
        <v>10224</v>
      </c>
      <c r="F1615" t="s" s="10">
        <v>10225</v>
      </c>
      <c r="G1615" t="s" s="7">
        <v>10226</v>
      </c>
      <c r="H1615" t="s" s="7">
        <v>10227</v>
      </c>
      <c r="I1615" t="str" s="8" cm="1">
        <f t="array" ref="I1615">SUBSTITUTE(H1615,B1615,"(          )")</f>
        <v>I always (          ) my keys and spend time looking for them.</v>
      </c>
      <c r="J1615" s="9" cm="1">
        <f t="array" ref="J1615">SUMIF('외운 것 - 엑셀다운로드 파일(붙여넣기)'!A3:A562,A1615,'외운 것 - 엑셀다운로드 파일(붙여넣기)'!D3:D562)</f>
        <v>0</v>
      </c>
      <c r="K1615" s="9" cm="1">
        <f t="array" ref="K1615">_xlfn.COUNTIFS('외운 것 - 엑셀다운로드 파일(붙여넣기)'!A3:A562,A1615,'외운 것 - 엑셀다운로드 파일(붙여넣기)'!D3:D562,0)</f>
        <v>0</v>
      </c>
      <c r="L1615" s="9" cm="1">
        <f t="array" ref="L1615">IF(J1615&gt;=3,_xlfn.XLOOKUP(A1615,'외운 것 - 엑셀다운로드 파일(붙여넣기)'!A3:A562,'외운 것 - 엑셀다운로드 파일(붙여넣기)'!C3:C562,0,-1),0)</f>
        <v>0</v>
      </c>
    </row>
    <row r="1616" ht="23.45" customHeight="1">
      <c r="A1616" s="3">
        <v>1615</v>
      </c>
      <c r="B1616" t="s" s="4">
        <v>10229</v>
      </c>
      <c r="C1616" t="s" s="5">
        <v>10223</v>
      </c>
      <c r="D1616" t="s" s="5">
        <v>10184</v>
      </c>
      <c r="E1616" t="s" s="5">
        <v>10230</v>
      </c>
      <c r="F1616" t="s" s="10">
        <v>10231</v>
      </c>
      <c r="G1616" t="s" s="7">
        <v>10232</v>
      </c>
      <c r="H1616" t="s" s="7">
        <v>10233</v>
      </c>
      <c r="I1616" t="str" s="8" cm="1">
        <f t="array" ref="I1616">SUBSTITUTE(H1616,B1616,"(          )")</f>
        <v>We need to (          ) the broken window.</v>
      </c>
      <c r="J1616" s="9" cm="1">
        <f t="array" ref="J1616">SUMIF('외운 것 - 엑셀다운로드 파일(붙여넣기)'!A3:A562,A1616,'외운 것 - 엑셀다운로드 파일(붙여넣기)'!D3:D562)</f>
        <v>1</v>
      </c>
      <c r="K1616" s="9" cm="1">
        <f t="array" ref="K1616">_xlfn.COUNTIFS('외운 것 - 엑셀다운로드 파일(붙여넣기)'!A3:A562,A1616,'외운 것 - 엑셀다운로드 파일(붙여넣기)'!D3:D562,0)</f>
        <v>0</v>
      </c>
      <c r="L1616" s="9" cm="1">
        <f t="array" ref="L1616">IF(J1616&gt;=3,_xlfn.XLOOKUP(A1616,'외운 것 - 엑셀다운로드 파일(붙여넣기)'!A3:A562,'외운 것 - 엑셀다운로드 파일(붙여넣기)'!C3:C562,0,-1),0)</f>
        <v>0</v>
      </c>
    </row>
    <row r="1617" ht="38.45" customHeight="1">
      <c r="A1617" s="3">
        <v>1616</v>
      </c>
      <c r="B1617" t="s" s="4">
        <v>10235</v>
      </c>
      <c r="C1617" t="s" s="5">
        <v>10223</v>
      </c>
      <c r="D1617" t="s" s="5">
        <v>10184</v>
      </c>
      <c r="E1617" t="s" s="5">
        <v>10236</v>
      </c>
      <c r="F1617" t="s" s="10">
        <v>10237</v>
      </c>
      <c r="G1617" t="s" s="7">
        <v>10238</v>
      </c>
      <c r="H1617" t="s" s="7">
        <v>10239</v>
      </c>
      <c r="I1617" t="str" s="8" cm="1">
        <f t="array" ref="I1617">SUBSTITUTE(H1617,B1617,"(          )")</f>
        <v>The flood (          )d thousands of people from their homes.</v>
      </c>
      <c r="J1617" s="9" cm="1">
        <f t="array" ref="J1617">SUMIF('외운 것 - 엑셀다운로드 파일(붙여넣기)'!A3:A562,A1617,'외운 것 - 엑셀다운로드 파일(붙여넣기)'!D3:D562)</f>
        <v>0</v>
      </c>
      <c r="K1617" s="9" cm="1">
        <f t="array" ref="K1617">_xlfn.COUNTIFS('외운 것 - 엑셀다운로드 파일(붙여넣기)'!A3:A562,A1617,'외운 것 - 엑셀다운로드 파일(붙여넣기)'!D3:D562,0)</f>
        <v>1</v>
      </c>
      <c r="L1617" s="9" cm="1">
        <f t="array" ref="L1617">IF(J1617&gt;=3,_xlfn.XLOOKUP(A1617,'외운 것 - 엑셀다운로드 파일(붙여넣기)'!A3:A562,'외운 것 - 엑셀다운로드 파일(붙여넣기)'!C3:C562,0,-1),0)</f>
        <v>0</v>
      </c>
    </row>
    <row r="1618" ht="23.45" customHeight="1">
      <c r="A1618" s="3">
        <v>1617</v>
      </c>
      <c r="B1618" t="s" s="4">
        <v>10241</v>
      </c>
      <c r="C1618" t="s" s="5">
        <v>10184</v>
      </c>
      <c r="D1618" t="s" s="5">
        <v>10185</v>
      </c>
      <c r="E1618" t="s" s="5">
        <v>10242</v>
      </c>
      <c r="F1618" t="s" s="10">
        <v>10243</v>
      </c>
      <c r="G1618" t="s" s="7">
        <v>10244</v>
      </c>
      <c r="H1618" t="s" s="7">
        <v>10245</v>
      </c>
      <c r="I1618" t="str" s="8" cm="1">
        <f t="array" ref="I1618">SUBSTITUTE(H1618,B1618,"(          )")</f>
        <v>What's your (          ) for the weekend?</v>
      </c>
      <c r="J1618" s="9" cm="1">
        <f t="array" ref="J1618">SUMIF('외운 것 - 엑셀다운로드 파일(붙여넣기)'!A3:A562,A1618,'외운 것 - 엑셀다운로드 파일(붙여넣기)'!D3:D562)</f>
        <v>1</v>
      </c>
      <c r="K1618" s="9" cm="1">
        <f t="array" ref="K1618">_xlfn.COUNTIFS('외운 것 - 엑셀다운로드 파일(붙여넣기)'!A3:A562,A1618,'외운 것 - 엑셀다운로드 파일(붙여넣기)'!D3:D562,0)</f>
        <v>0</v>
      </c>
      <c r="L1618" s="9" cm="1">
        <f t="array" ref="L1618">IF(J1618&gt;=3,_xlfn.XLOOKUP(A1618,'외운 것 - 엑셀다운로드 파일(붙여넣기)'!A3:A562,'외운 것 - 엑셀다운로드 파일(붙여넣기)'!C3:C562,0,-1),0)</f>
        <v>0</v>
      </c>
    </row>
    <row r="1619" ht="23.45" customHeight="1">
      <c r="A1619" s="3">
        <v>1618</v>
      </c>
      <c r="B1619" t="s" s="4">
        <v>10247</v>
      </c>
      <c r="C1619" t="s" s="5">
        <v>10248</v>
      </c>
      <c r="D1619" t="s" s="5">
        <v>10185</v>
      </c>
      <c r="E1619" t="s" s="5">
        <v>10249</v>
      </c>
      <c r="F1619" t="s" s="10">
        <v>10250</v>
      </c>
      <c r="G1619" t="s" s="7">
        <v>10251</v>
      </c>
      <c r="H1619" t="s" s="7">
        <v>10252</v>
      </c>
      <c r="I1619" t="str" s="8" cm="1">
        <f t="array" ref="I1619">SUBSTITUTE(H1619,B1619,"(          )")</f>
        <v>The (          ) flew high above the clouds.</v>
      </c>
      <c r="J1619" s="9" cm="1">
        <f t="array" ref="J1619">SUMIF('외운 것 - 엑셀다운로드 파일(붙여넣기)'!A3:A562,A1619,'외운 것 - 엑셀다운로드 파일(붙여넣기)'!D3:D562)</f>
        <v>1</v>
      </c>
      <c r="K1619" s="9" cm="1">
        <f t="array" ref="K1619">_xlfn.COUNTIFS('외운 것 - 엑셀다운로드 파일(붙여넣기)'!A3:A562,A1619,'외운 것 - 엑셀다운로드 파일(붙여넣기)'!D3:D562,0)</f>
        <v>0</v>
      </c>
      <c r="L1619" s="9" cm="1">
        <f t="array" ref="L1619">IF(J1619&gt;=3,_xlfn.XLOOKUP(A1619,'외운 것 - 엑셀다운로드 파일(붙여넣기)'!A3:A562,'외운 것 - 엑셀다운로드 파일(붙여넣기)'!C3:C562,0,-1),0)</f>
        <v>0</v>
      </c>
    </row>
    <row r="1620" ht="23.45" customHeight="1">
      <c r="A1620" s="3">
        <v>1619</v>
      </c>
      <c r="B1620" t="s" s="4">
        <v>10254</v>
      </c>
      <c r="C1620" t="s" s="5">
        <v>10248</v>
      </c>
      <c r="D1620" t="s" s="5">
        <v>10185</v>
      </c>
      <c r="E1620" t="s" s="5">
        <v>10255</v>
      </c>
      <c r="F1620" t="s" s="10">
        <v>10256</v>
      </c>
      <c r="G1620" t="s" s="7">
        <v>10257</v>
      </c>
      <c r="H1620" t="s" s="7">
        <v>10258</v>
      </c>
      <c r="I1620" t="str" s="8" cm="1">
        <f t="array" ref="I1620">SUBSTITUTE(H1620,B1620,"(          )")</f>
        <v>Mars is the fourth (          ) from the sun.</v>
      </c>
      <c r="J1620" s="9" cm="1">
        <f t="array" ref="J1620">SUMIF('외운 것 - 엑셀다운로드 파일(붙여넣기)'!A3:A562,A1620,'외운 것 - 엑셀다운로드 파일(붙여넣기)'!D3:D562)</f>
        <v>1</v>
      </c>
      <c r="K1620" s="9" cm="1">
        <f t="array" ref="K1620">_xlfn.COUNTIFS('외운 것 - 엑셀다운로드 파일(붙여넣기)'!A3:A562,A1620,'외운 것 - 엑셀다운로드 파일(붙여넣기)'!D3:D562,0)</f>
        <v>0</v>
      </c>
      <c r="L1620" s="9" cm="1">
        <f t="array" ref="L1620">IF(J1620&gt;=3,_xlfn.XLOOKUP(A1620,'외운 것 - 엑셀다운로드 파일(붙여넣기)'!A3:A562,'외운 것 - 엑셀다운로드 파일(붙여넣기)'!C3:C562,0,-1),0)</f>
        <v>0</v>
      </c>
    </row>
    <row r="1621" ht="23.45" customHeight="1">
      <c r="A1621" s="3">
        <v>1620</v>
      </c>
      <c r="B1621" t="s" s="4">
        <v>10260</v>
      </c>
      <c r="C1621" t="s" s="5">
        <v>10248</v>
      </c>
      <c r="D1621" t="s" s="5">
        <v>10185</v>
      </c>
      <c r="E1621" t="s" s="5">
        <v>10261</v>
      </c>
      <c r="F1621" t="s" s="10">
        <v>10262</v>
      </c>
      <c r="G1621" t="s" s="7">
        <v>10263</v>
      </c>
      <c r="H1621" t="s" s="7">
        <v>10264</v>
      </c>
      <c r="I1621" t="str" s="8" cm="1">
        <f t="array" ref="I1621">SUBSTITUTE(H1621,B1621,"(          )")</f>
        <v>The dress is (          ) but elegant.</v>
      </c>
      <c r="J1621" s="9" cm="1">
        <f t="array" ref="J1621">SUMIF('외운 것 - 엑셀다운로드 파일(붙여넣기)'!A3:A562,A1621,'외운 것 - 엑셀다운로드 파일(붙여넣기)'!D3:D562)</f>
        <v>1</v>
      </c>
      <c r="K1621" s="9" cm="1">
        <f t="array" ref="K1621">_xlfn.COUNTIFS('외운 것 - 엑셀다운로드 파일(붙여넣기)'!A3:A562,A1621,'외운 것 - 엑셀다운로드 파일(붙여넣기)'!D3:D562,0)</f>
        <v>0</v>
      </c>
      <c r="L1621" s="9" cm="1">
        <f t="array" ref="L1621">IF(J1621&gt;=3,_xlfn.XLOOKUP(A1621,'외운 것 - 엑셀다운로드 파일(붙여넣기)'!A3:A562,'외운 것 - 엑셀다운로드 파일(붙여넣기)'!C3:C562,0,-1),0)</f>
        <v>0</v>
      </c>
    </row>
    <row r="1622" ht="36.4" customHeight="1">
      <c r="A1622" s="3">
        <v>1621</v>
      </c>
      <c r="B1622" t="s" s="4">
        <v>10266</v>
      </c>
      <c r="C1622" t="s" s="5">
        <v>10267</v>
      </c>
      <c r="D1622" t="s" s="5">
        <v>10185</v>
      </c>
      <c r="E1622" t="s" s="5">
        <v>10268</v>
      </c>
      <c r="F1622" t="s" s="10">
        <v>10269</v>
      </c>
      <c r="G1622" t="s" s="7">
        <v>10270</v>
      </c>
      <c r="H1622" t="s" s="7">
        <v>10271</v>
      </c>
      <c r="I1622" t="str" s="8" cm="1">
        <f t="array" ref="I1622">SUBSTITUTE(H1622,B1622,"(          )")</f>
        <v>Let me (          ) how the machine works.</v>
      </c>
      <c r="J1622" s="9" cm="1">
        <f t="array" ref="J1622">SUMIF('외운 것 - 엑셀다운로드 파일(붙여넣기)'!A3:A562,A1622,'외운 것 - 엑셀다운로드 파일(붙여넣기)'!D3:D562)</f>
        <v>1</v>
      </c>
      <c r="K1622" s="9" cm="1">
        <f t="array" ref="K1622">_xlfn.COUNTIFS('외운 것 - 엑셀다운로드 파일(붙여넣기)'!A3:A562,A1622,'외운 것 - 엑셀다운로드 파일(붙여넣기)'!D3:D562,0)</f>
        <v>0</v>
      </c>
      <c r="L1622" s="9" cm="1">
        <f t="array" ref="L1622">IF(J1622&gt;=3,_xlfn.XLOOKUP(A1622,'외운 것 - 엑셀다운로드 파일(붙여넣기)'!A3:A562,'외운 것 - 엑셀다운로드 파일(붙여넣기)'!C3:C562,0,-1),0)</f>
        <v>0</v>
      </c>
    </row>
    <row r="1623" ht="38.45" customHeight="1">
      <c r="A1623" s="3">
        <v>1622</v>
      </c>
      <c r="B1623" t="s" s="4">
        <v>10273</v>
      </c>
      <c r="C1623" t="s" s="5">
        <v>10267</v>
      </c>
      <c r="D1623" t="s" s="5">
        <v>10185</v>
      </c>
      <c r="E1623" t="s" s="5">
        <v>10274</v>
      </c>
      <c r="F1623" t="s" s="10">
        <v>10275</v>
      </c>
      <c r="G1623" t="s" s="7">
        <v>10276</v>
      </c>
      <c r="H1623" t="s" s="7">
        <v>10277</v>
      </c>
      <c r="I1623" t="str" s="8" cm="1">
        <f t="array" ref="I1623">SUBSTITUTE(H1623,B1623,"(          )")</f>
        <v>Customers (          ) about the poor service.</v>
      </c>
      <c r="J1623" s="9" cm="1">
        <f t="array" ref="J1623">SUMIF('외운 것 - 엑셀다운로드 파일(붙여넣기)'!A3:A562,A1623,'외운 것 - 엑셀다운로드 파일(붙여넣기)'!D3:D562)</f>
        <v>1</v>
      </c>
      <c r="K1623" s="9" cm="1">
        <f t="array" ref="K1623">_xlfn.COUNTIFS('외운 것 - 엑셀다운로드 파일(붙여넣기)'!A3:A562,A1623,'외운 것 - 엑셀다운로드 파일(붙여넣기)'!D3:D562,0)</f>
        <v>0</v>
      </c>
      <c r="L1623" s="9" cm="1">
        <f t="array" ref="L1623">IF(J1623&gt;=3,_xlfn.XLOOKUP(A1623,'외운 것 - 엑셀다운로드 파일(붙여넣기)'!A3:A562,'외운 것 - 엑셀다운로드 파일(붙여넣기)'!C3:C562,0,-1),0)</f>
        <v>0</v>
      </c>
    </row>
    <row r="1624" ht="23.45" customHeight="1">
      <c r="A1624" s="3">
        <v>1623</v>
      </c>
      <c r="B1624" t="s" s="4">
        <v>10279</v>
      </c>
      <c r="C1624" t="s" s="5">
        <v>10248</v>
      </c>
      <c r="D1624" t="s" s="5">
        <v>10185</v>
      </c>
      <c r="E1624" t="s" s="5">
        <v>10280</v>
      </c>
      <c r="F1624" t="s" s="10">
        <v>10281</v>
      </c>
      <c r="G1624" t="s" s="7">
        <v>10282</v>
      </c>
      <c r="H1624" t="s" s="7">
        <v>10283</v>
      </c>
      <c r="I1624" t="str" s="8" cm="1">
        <f t="array" ref="I1624">SUBSTITUTE(H1624,B1624,"(          )")</f>
        <v>Water the (          ) twice a week.</v>
      </c>
      <c r="J1624" s="9" cm="1">
        <f t="array" ref="J1624">SUMIF('외운 것 - 엑셀다운로드 파일(붙여넣기)'!A3:A562,A1624,'외운 것 - 엑셀다운로드 파일(붙여넣기)'!D3:D562)</f>
        <v>1</v>
      </c>
      <c r="K1624" s="9" cm="1">
        <f t="array" ref="K1624">_xlfn.COUNTIFS('외운 것 - 엑셀다운로드 파일(붙여넣기)'!A3:A562,A1624,'외운 것 - 엑셀다운로드 파일(붙여넣기)'!D3:D562,0)</f>
        <v>0</v>
      </c>
      <c r="L1624" s="9" cm="1">
        <f t="array" ref="L1624">IF(J1624&gt;=3,_xlfn.XLOOKUP(A1624,'외운 것 - 엑셀다운로드 파일(붙여넣기)'!A3:A562,'외운 것 - 엑셀다운로드 파일(붙여넣기)'!C3:C562,0,-1),0)</f>
        <v>0</v>
      </c>
    </row>
    <row r="1625" ht="36.4" customHeight="1">
      <c r="A1625" s="3">
        <v>1624</v>
      </c>
      <c r="B1625" t="s" s="4">
        <v>10285</v>
      </c>
      <c r="C1625" t="s" s="5">
        <v>10286</v>
      </c>
      <c r="D1625" t="s" s="5">
        <v>10185</v>
      </c>
      <c r="E1625" t="s" s="5">
        <v>10287</v>
      </c>
      <c r="F1625" t="s" s="10">
        <v>10288</v>
      </c>
      <c r="G1625" t="s" s="7">
        <v>10289</v>
      </c>
      <c r="H1625" t="s" s="7">
        <v>10290</v>
      </c>
      <c r="I1625" t="str" s="8" cm="1">
        <f t="array" ref="I1625">SUBSTITUTE(H1625,B1625,"(          )")</f>
        <v>The surgeon will (          ) the artificial hip next week.</v>
      </c>
      <c r="J1625" s="9" cm="1">
        <f t="array" ref="J1625">SUMIF('외운 것 - 엑셀다운로드 파일(붙여넣기)'!A3:A562,A1625,'외운 것 - 엑셀다운로드 파일(붙여넣기)'!D3:D562)</f>
        <v>1</v>
      </c>
      <c r="K1625" s="9" cm="1">
        <f t="array" ref="K1625">_xlfn.COUNTIFS('외운 것 - 엑셀다운로드 파일(붙여넣기)'!A3:A562,A1625,'외운 것 - 엑셀다운로드 파일(붙여넣기)'!D3:D562,0)</f>
        <v>0</v>
      </c>
      <c r="L1625" s="9" cm="1">
        <f t="array" ref="L1625">IF(J1625&gt;=3,_xlfn.XLOOKUP(A1625,'외운 것 - 엑셀다운로드 파일(붙여넣기)'!A3:A562,'외운 것 - 엑셀다운로드 파일(붙여넣기)'!C3:C562,0,-1),0)</f>
        <v>0</v>
      </c>
    </row>
    <row r="1626" ht="36.4" customHeight="1">
      <c r="A1626" s="3">
        <v>1625</v>
      </c>
      <c r="B1626" t="s" s="4">
        <v>10292</v>
      </c>
      <c r="C1626" t="s" s="5">
        <v>10286</v>
      </c>
      <c r="D1626" t="s" s="5">
        <v>10185</v>
      </c>
      <c r="E1626" t="s" s="5">
        <v>10293</v>
      </c>
      <c r="F1626" t="s" s="10">
        <v>10294</v>
      </c>
      <c r="G1626" t="s" s="7">
        <v>10295</v>
      </c>
      <c r="H1626" t="s" s="7">
        <v>10296</v>
      </c>
      <c r="I1626" t="str" s="8" cm="1">
        <f t="array" ref="I1626">SUBSTITUTE(H1626,B1626,"(          )")</f>
        <v>New technology (          )s older methods over time.</v>
      </c>
      <c r="J1626" s="9" cm="1">
        <f t="array" ref="J1626">SUMIF('외운 것 - 엑셀다운로드 파일(붙여넣기)'!A3:A562,A1626,'외운 것 - 엑셀다운로드 파일(붙여넣기)'!D3:D562)</f>
        <v>0</v>
      </c>
      <c r="K1626" s="9" cm="1">
        <f t="array" ref="K1626">_xlfn.COUNTIFS('외운 것 - 엑셀다운로드 파일(붙여넣기)'!A3:A562,A1626,'외운 것 - 엑셀다운로드 파일(붙여넣기)'!D3:D562,0)</f>
        <v>1</v>
      </c>
      <c r="L1626" s="9" cm="1">
        <f t="array" ref="L1626">IF(J1626&gt;=3,_xlfn.XLOOKUP(A1626,'외운 것 - 엑셀다운로드 파일(붙여넣기)'!A3:A562,'외운 것 - 엑셀다운로드 파일(붙여넣기)'!C3:C562,0,-1),0)</f>
        <v>0</v>
      </c>
    </row>
    <row r="1627" ht="23.45" customHeight="1">
      <c r="A1627" s="3">
        <v>1626</v>
      </c>
      <c r="B1627" t="s" s="4">
        <v>10298</v>
      </c>
      <c r="C1627" t="s" s="5">
        <v>10299</v>
      </c>
      <c r="D1627" t="s" s="5">
        <v>10300</v>
      </c>
      <c r="E1627" t="s" s="5">
        <v>10301</v>
      </c>
      <c r="F1627" t="s" s="10">
        <v>10302</v>
      </c>
      <c r="G1627" t="s" s="7">
        <v>10303</v>
      </c>
      <c r="H1627" t="s" s="7">
        <v>10304</v>
      </c>
      <c r="I1627" t="str" s="8" cm="1">
        <f t="array" ref="I1627">SUBSTITUTE(H1627,B1627,"(          )")</f>
        <v>We have (          ) of time before the concert starts.</v>
      </c>
      <c r="J1627" s="9" cm="1">
        <f t="array" ref="J1627">SUMIF('외운 것 - 엑셀다운로드 파일(붙여넣기)'!A3:A562,A1627,'외운 것 - 엑셀다운로드 파일(붙여넣기)'!D3:D562)</f>
        <v>1</v>
      </c>
      <c r="K1627" s="9" cm="1">
        <f t="array" ref="K1627">_xlfn.COUNTIFS('외운 것 - 엑셀다운로드 파일(붙여넣기)'!A3:A562,A1627,'외운 것 - 엑셀다운로드 파일(붙여넣기)'!D3:D562,0)</f>
        <v>0</v>
      </c>
      <c r="L1627" s="9" cm="1">
        <f t="array" ref="L1627">IF(J1627&gt;=3,_xlfn.XLOOKUP(A1627,'외운 것 - 엑셀다운로드 파일(붙여넣기)'!A3:A562,'외운 것 - 엑셀다운로드 파일(붙여넣기)'!C3:C562,0,-1),0)</f>
        <v>0</v>
      </c>
    </row>
    <row r="1628" ht="23.45" customHeight="1">
      <c r="A1628" s="3">
        <v>1627</v>
      </c>
      <c r="B1628" t="s" s="4">
        <v>10306</v>
      </c>
      <c r="C1628" t="s" s="5">
        <v>10299</v>
      </c>
      <c r="D1628" t="s" s="5">
        <v>10300</v>
      </c>
      <c r="E1628" t="s" s="5">
        <v>10307</v>
      </c>
      <c r="F1628" t="s" s="10">
        <v>10308</v>
      </c>
      <c r="G1628" t="s" s="7">
        <v>10309</v>
      </c>
      <c r="H1628" t="s" s="7">
        <v>10310</v>
      </c>
      <c r="I1628" t="str" s="8" cm="1">
        <f t="array" ref="I1628">SUBSTITUTE(H1628,B1628,"(          )")</f>
        <v>The accident caused (          ) injuries.</v>
      </c>
      <c r="J1628" s="9" cm="1">
        <f t="array" ref="J1628">SUMIF('외운 것 - 엑셀다운로드 파일(붙여넣기)'!A3:A562,A1628,'외운 것 - 엑셀다운로드 파일(붙여넣기)'!D3:D562)</f>
        <v>1</v>
      </c>
      <c r="K1628" s="9" cm="1">
        <f t="array" ref="K1628">_xlfn.COUNTIFS('외운 것 - 엑셀다운로드 파일(붙여넣기)'!A3:A562,A1628,'외운 것 - 엑셀다운로드 파일(붙여넣기)'!D3:D562,0)</f>
        <v>0</v>
      </c>
      <c r="L1628" s="9" cm="1">
        <f t="array" ref="L1628">IF(J1628&gt;=3,_xlfn.XLOOKUP(A1628,'외운 것 - 엑셀다운로드 파일(붙여넣기)'!A3:A562,'외운 것 - 엑셀다운로드 파일(붙여넣기)'!C3:C562,0,-1),0)</f>
        <v>0</v>
      </c>
    </row>
    <row r="1629" ht="38.45" customHeight="1">
      <c r="A1629" s="3">
        <v>1628</v>
      </c>
      <c r="B1629" t="s" s="4">
        <v>10312</v>
      </c>
      <c r="C1629" t="s" s="5">
        <v>10313</v>
      </c>
      <c r="D1629" t="s" s="5">
        <v>10300</v>
      </c>
      <c r="E1629" t="s" s="5">
        <v>10314</v>
      </c>
      <c r="F1629" t="s" s="10">
        <v>10315</v>
      </c>
      <c r="G1629" t="s" s="7">
        <v>10316</v>
      </c>
      <c r="H1629" t="s" s="7">
        <v>10317</v>
      </c>
      <c r="I1629" t="str" s="8" cm="1">
        <f t="array" ref="I1629">SUBSTITUTE(H1629,B1629,"(          )")</f>
        <v>Two (          ) by three equals six.</v>
      </c>
      <c r="J1629" s="9" cm="1">
        <f t="array" ref="J1629">SUMIF('외운 것 - 엑셀다운로드 파일(붙여넣기)'!A3:A562,A1629,'외운 것 - 엑셀다운로드 파일(붙여넣기)'!D3:D562)</f>
        <v>0</v>
      </c>
      <c r="K1629" s="9" cm="1">
        <f t="array" ref="K1629">_xlfn.COUNTIFS('외운 것 - 엑셀다운로드 파일(붙여넣기)'!A3:A562,A1629,'외운 것 - 엑셀다운로드 파일(붙여넣기)'!D3:D562,0)</f>
        <v>1</v>
      </c>
      <c r="L1629" s="9" cm="1">
        <f t="array" ref="L1629">IF(J1629&gt;=3,_xlfn.XLOOKUP(A1629,'외운 것 - 엑셀다운로드 파일(붙여넣기)'!A3:A562,'외운 것 - 엑셀다운로드 파일(붙여넣기)'!C3:C562,0,-1),0)</f>
        <v>0</v>
      </c>
    </row>
    <row r="1630" ht="23.45" customHeight="1">
      <c r="A1630" s="3">
        <v>1629</v>
      </c>
      <c r="B1630" t="s" s="4">
        <v>10319</v>
      </c>
      <c r="C1630" t="s" s="5">
        <v>10313</v>
      </c>
      <c r="D1630" t="s" s="5">
        <v>10300</v>
      </c>
      <c r="E1630" t="s" s="5">
        <v>10320</v>
      </c>
      <c r="F1630" t="s" s="10">
        <v>10321</v>
      </c>
      <c r="G1630" t="s" s="7">
        <v>10322</v>
      </c>
      <c r="H1630" t="s" s="7">
        <v>10323</v>
      </c>
      <c r="I1630" t="str" s="8" cm="1">
        <f t="array" ref="I1630">SUBSTITUTE(H1630,B1630,"(          )")</f>
        <v>Overfishing (          )s ocean resources.</v>
      </c>
      <c r="J1630" s="9" cm="1">
        <f t="array" ref="J1630">SUMIF('외운 것 - 엑셀다운로드 파일(붙여넣기)'!A3:A562,A1630,'외운 것 - 엑셀다운로드 파일(붙여넣기)'!D3:D562)</f>
        <v>1</v>
      </c>
      <c r="K1630" s="9" cm="1">
        <f t="array" ref="K1630">_xlfn.COUNTIFS('외운 것 - 엑셀다운로드 파일(붙여넣기)'!A3:A562,A1630,'외운 것 - 엑셀다운로드 파일(붙여넣기)'!D3:D562,0)</f>
        <v>0</v>
      </c>
      <c r="L1630" s="9" cm="1">
        <f t="array" ref="L1630">IF(J1630&gt;=3,_xlfn.XLOOKUP(A1630,'외운 것 - 엑셀다운로드 파일(붙여넣기)'!A3:A562,'외운 것 - 엑셀다운로드 파일(붙여넣기)'!C3:C562,0,-1),0)</f>
        <v>0</v>
      </c>
    </row>
    <row r="1631" ht="23.45" customHeight="1">
      <c r="A1631" s="3">
        <v>1630</v>
      </c>
      <c r="B1631" t="s" s="4">
        <v>10325</v>
      </c>
      <c r="C1631" t="s" s="5">
        <v>10299</v>
      </c>
      <c r="D1631" t="s" s="5">
        <v>10300</v>
      </c>
      <c r="E1631" t="s" s="5">
        <v>10326</v>
      </c>
      <c r="F1631" t="s" s="10">
        <v>10327</v>
      </c>
      <c r="G1631" t="s" s="7">
        <v>10328</v>
      </c>
      <c r="H1631" t="s" s="7">
        <v>10329</v>
      </c>
      <c r="I1631" t="str" s="8" cm="1">
        <f t="array" ref="I1631">SUBSTITUTE(H1631,B1631,"(          )")</f>
        <v>Please (          ) the form and return it by Friday.</v>
      </c>
      <c r="J1631" s="9" cm="1">
        <f t="array" ref="J1631">SUMIF('외운 것 - 엑셀다운로드 파일(붙여넣기)'!A3:A562,A1631,'외운 것 - 엑셀다운로드 파일(붙여넣기)'!D3:D562)</f>
        <v>1</v>
      </c>
      <c r="K1631" s="9" cm="1">
        <f t="array" ref="K1631">_xlfn.COUNTIFS('외운 것 - 엑셀다운로드 파일(붙여넣기)'!A3:A562,A1631,'외운 것 - 엑셀다운로드 파일(붙여넣기)'!D3:D562,0)</f>
        <v>0</v>
      </c>
      <c r="L1631" s="9" cm="1">
        <f t="array" ref="L1631">IF(J1631&gt;=3,_xlfn.XLOOKUP(A1631,'외운 것 - 엑셀다운로드 파일(붙여넣기)'!A3:A562,'외운 것 - 엑셀다운로드 파일(붙여넣기)'!C3:C562,0,-1),0)</f>
        <v>0</v>
      </c>
    </row>
    <row r="1632" ht="36.4" customHeight="1">
      <c r="A1632" s="3">
        <v>1631</v>
      </c>
      <c r="B1632" t="s" s="4">
        <v>10331</v>
      </c>
      <c r="C1632" t="s" s="5">
        <v>10332</v>
      </c>
      <c r="D1632" t="s" s="5">
        <v>10299</v>
      </c>
      <c r="E1632" t="s" s="5">
        <v>10333</v>
      </c>
      <c r="F1632" t="s" s="10">
        <v>10334</v>
      </c>
      <c r="G1632" t="s" s="7">
        <v>10335</v>
      </c>
      <c r="H1632" t="s" s="7">
        <v>10336</v>
      </c>
      <c r="I1632" t="str" s="8" cm="1">
        <f t="array" ref="I1632">SUBSTITUTE(H1632,B1632,"(          )")</f>
        <v>The application was rejected because it was (          ).</v>
      </c>
      <c r="J1632" s="9" cm="1">
        <f t="array" ref="J1632">SUMIF('외운 것 - 엑셀다운로드 파일(붙여넣기)'!A3:A562,A1632,'외운 것 - 엑셀다운로드 파일(붙여넣기)'!D3:D562)</f>
        <v>1</v>
      </c>
      <c r="K1632" s="9" cm="1">
        <f t="array" ref="K1632">_xlfn.COUNTIFS('외운 것 - 엑셀다운로드 파일(붙여넣기)'!A3:A562,A1632,'외운 것 - 엑셀다운로드 파일(붙여넣기)'!D3:D562,0)</f>
        <v>0</v>
      </c>
      <c r="L1632" s="9" cm="1">
        <f t="array" ref="L1632">IF(J1632&gt;=3,_xlfn.XLOOKUP(A1632,'외운 것 - 엑셀다운로드 파일(붙여넣기)'!A3:A562,'외운 것 - 엑셀다운로드 파일(붙여넣기)'!C3:C562,0,-1),0)</f>
        <v>0</v>
      </c>
    </row>
    <row r="1633" ht="50.45" customHeight="1">
      <c r="A1633" s="3">
        <v>1632</v>
      </c>
      <c r="B1633" t="s" s="4">
        <v>10338</v>
      </c>
      <c r="C1633" t="s" s="5">
        <v>10339</v>
      </c>
      <c r="D1633" t="s" s="5">
        <v>10299</v>
      </c>
      <c r="E1633" t="s" s="5">
        <v>10340</v>
      </c>
      <c r="F1633" t="s" s="10">
        <v>10341</v>
      </c>
      <c r="G1633" t="s" s="7">
        <v>10342</v>
      </c>
      <c r="H1633" t="s" s="7">
        <v>10343</v>
      </c>
      <c r="I1633" t="str" s="8" cm="1">
        <f t="array" ref="I1633">SUBSTITUTE(H1633,B1633,"(          )")</f>
        <v>Her skills (          ) his in the business partnership.</v>
      </c>
      <c r="J1633" s="9" cm="1">
        <f t="array" ref="J1633">SUMIF('외운 것 - 엑셀다운로드 파일(붙여넣기)'!A3:A562,A1633,'외운 것 - 엑셀다운로드 파일(붙여넣기)'!D3:D562)</f>
        <v>0</v>
      </c>
      <c r="K1633" s="9" cm="1">
        <f t="array" ref="K1633">_xlfn.COUNTIFS('외운 것 - 엑셀다운로드 파일(붙여넣기)'!A3:A562,A1633,'외운 것 - 엑셀다운로드 파일(붙여넣기)'!D3:D562,0)</f>
        <v>1</v>
      </c>
      <c r="L1633" s="9" cm="1">
        <f t="array" ref="L1633">IF(J1633&gt;=3,_xlfn.XLOOKUP(A1633,'외운 것 - 엑셀다운로드 파일(붙여넣기)'!A3:A562,'외운 것 - 엑셀다운로드 파일(붙여넣기)'!C3:C562,0,-1),0)</f>
        <v>0</v>
      </c>
    </row>
    <row r="1634" ht="23.45" customHeight="1">
      <c r="A1634" s="3">
        <v>1633</v>
      </c>
      <c r="B1634" t="s" s="4">
        <v>10345</v>
      </c>
      <c r="C1634" t="s" s="5">
        <v>10346</v>
      </c>
      <c r="D1634" t="s" s="5">
        <v>10299</v>
      </c>
      <c r="E1634" t="s" s="5">
        <v>10340</v>
      </c>
      <c r="F1634" t="s" s="10">
        <v>10347</v>
      </c>
      <c r="G1634" t="s" s="7">
        <v>8388</v>
      </c>
      <c r="H1634" t="s" s="7">
        <v>10348</v>
      </c>
      <c r="I1634" t="str" s="8" cm="1">
        <f t="array" ref="I1634">SUBSTITUTE(H1634,B1634,"(          )")</f>
        <v>He gave her a (          ) on her new haircut.</v>
      </c>
      <c r="J1634" s="9" cm="1">
        <f t="array" ref="J1634">SUMIF('외운 것 - 엑셀다운로드 파일(붙여넣기)'!A3:A562,A1634,'외운 것 - 엑셀다운로드 파일(붙여넣기)'!D3:D562)</f>
        <v>0</v>
      </c>
      <c r="K1634" s="9" cm="1">
        <f t="array" ref="K1634">_xlfn.COUNTIFS('외운 것 - 엑셀다운로드 파일(붙여넣기)'!A3:A562,A1634,'외운 것 - 엑셀다운로드 파일(붙여넣기)'!D3:D562,0)</f>
        <v>1</v>
      </c>
      <c r="L1634" s="9" cm="1">
        <f t="array" ref="L1634">IF(J1634&gt;=3,_xlfn.XLOOKUP(A1634,'외운 것 - 엑셀다운로드 파일(붙여넣기)'!A3:A562,'외운 것 - 엑셀다운로드 파일(붙여넣기)'!C3:C562,0,-1),0)</f>
        <v>0</v>
      </c>
    </row>
    <row r="1635" ht="38.45" customHeight="1">
      <c r="A1635" s="3">
        <v>1634</v>
      </c>
      <c r="B1635" t="s" s="4">
        <v>10350</v>
      </c>
      <c r="C1635" t="s" s="5">
        <v>10299</v>
      </c>
      <c r="D1635" t="s" s="5">
        <v>10300</v>
      </c>
      <c r="E1635" t="s" s="5">
        <v>10351</v>
      </c>
      <c r="F1635" t="s" s="10">
        <v>10352</v>
      </c>
      <c r="G1635" t="s" s="7">
        <v>10353</v>
      </c>
      <c r="H1635" t="s" s="7">
        <v>10354</v>
      </c>
      <c r="I1635" t="str" s="8" cm="1">
        <f t="array" ref="I1635">SUBSTITUTE(H1635,B1635,"(          )")</f>
        <v>Take a vitamin (          ) if your diet lacks nutrients.</v>
      </c>
      <c r="J1635" s="9" cm="1">
        <f t="array" ref="J1635">SUMIF('외운 것 - 엑셀다운로드 파일(붙여넣기)'!A3:A562,A1635,'외운 것 - 엑셀다운로드 파일(붙여넣기)'!D3:D562)</f>
        <v>0</v>
      </c>
      <c r="K1635" s="9" cm="1">
        <f t="array" ref="K1635">_xlfn.COUNTIFS('외운 것 - 엑셀다운로드 파일(붙여넣기)'!A3:A562,A1635,'외운 것 - 엑셀다운로드 파일(붙여넣기)'!D3:D562,0)</f>
        <v>1</v>
      </c>
      <c r="L1635" s="9" cm="1">
        <f t="array" ref="L1635">IF(J1635&gt;=3,_xlfn.XLOOKUP(A1635,'외운 것 - 엑셀다운로드 파일(붙여넣기)'!A3:A562,'외운 것 - 엑셀다운로드 파일(붙여넣기)'!C3:C562,0,-1),0)</f>
        <v>0</v>
      </c>
    </row>
    <row r="1636" ht="23.45" customHeight="1">
      <c r="A1636" s="3">
        <v>1635</v>
      </c>
      <c r="B1636" t="s" s="4">
        <v>10356</v>
      </c>
      <c r="C1636" t="s" s="5">
        <v>10299</v>
      </c>
      <c r="D1636" t="s" s="5">
        <v>10300</v>
      </c>
      <c r="E1636" t="s" s="5">
        <v>10357</v>
      </c>
      <c r="F1636" t="s" s="10">
        <v>10358</v>
      </c>
      <c r="G1636" t="s" s="7">
        <v>10359</v>
      </c>
      <c r="H1636" t="s" s="7">
        <v>10360</v>
      </c>
      <c r="I1636" t="str" s="8" cm="1">
        <f t="array" ref="I1636">SUBSTITUTE(H1636,B1636,"(          )")</f>
        <v>The company will (          ) the new policy next month.</v>
      </c>
      <c r="J1636" s="9" cm="1">
        <f t="array" ref="J1636">SUMIF('외운 것 - 엑셀다운로드 파일(붙여넣기)'!A3:A562,A1636,'외운 것 - 엑셀다운로드 파일(붙여넣기)'!D3:D562)</f>
        <v>0</v>
      </c>
      <c r="K1636" s="9" cm="1">
        <f t="array" ref="K1636">_xlfn.COUNTIFS('외운 것 - 엑셀다운로드 파일(붙여넣기)'!A3:A562,A1636,'외운 것 - 엑셀다운로드 파일(붙여넣기)'!D3:D562,0)</f>
        <v>1</v>
      </c>
      <c r="L1636" s="9" cm="1">
        <f t="array" ref="L1636">IF(J1636&gt;=3,_xlfn.XLOOKUP(A1636,'외운 것 - 엑셀다운로드 파일(붙여넣기)'!A3:A562,'외운 것 - 엑셀다운로드 파일(붙여넣기)'!C3:C562,0,-1),0)</f>
        <v>0</v>
      </c>
    </row>
    <row r="1637" ht="51.4" customHeight="1">
      <c r="A1637" s="3">
        <v>1636</v>
      </c>
      <c r="B1637" t="s" s="4">
        <v>10362</v>
      </c>
      <c r="C1637" t="s" s="5">
        <v>10299</v>
      </c>
      <c r="D1637" t="s" s="5">
        <v>10300</v>
      </c>
      <c r="E1637" t="s" s="5">
        <v>10363</v>
      </c>
      <c r="F1637" t="s" s="10">
        <v>10364</v>
      </c>
      <c r="G1637" t="s" s="7">
        <v>10365</v>
      </c>
      <c r="H1637" t="s" s="7">
        <v>10366</v>
      </c>
      <c r="I1637" t="str" s="8" cm="1">
        <f t="array" ref="I1637">SUBSTITUTE(H1637,B1637,"(          )")</f>
        <v>Quantum physics is a (          ) subject.</v>
      </c>
      <c r="J1637" s="9" cm="1">
        <f t="array" ref="J1637">SUMIF('외운 것 - 엑셀다운로드 파일(붙여넣기)'!A3:A562,A1637,'외운 것 - 엑셀다운로드 파일(붙여넣기)'!D3:D562)</f>
        <v>1</v>
      </c>
      <c r="K1637" s="9" cm="1">
        <f t="array" ref="K1637">_xlfn.COUNTIFS('외운 것 - 엑셀다운로드 파일(붙여넣기)'!A3:A562,A1637,'외운 것 - 엑셀다운로드 파일(붙여넣기)'!D3:D562,0)</f>
        <v>0</v>
      </c>
      <c r="L1637" s="9" cm="1">
        <f t="array" ref="L1637">IF(J1637&gt;=3,_xlfn.XLOOKUP(A1637,'외운 것 - 엑셀다운로드 파일(붙여넣기)'!A3:A562,'외운 것 - 엑셀다운로드 파일(붙여넣기)'!C3:C562,0,-1),0)</f>
        <v>0</v>
      </c>
    </row>
    <row r="1638" ht="38.45" customHeight="1">
      <c r="A1638" s="3">
        <v>1637</v>
      </c>
      <c r="B1638" t="s" s="4">
        <v>10368</v>
      </c>
      <c r="C1638" t="s" s="5">
        <v>10346</v>
      </c>
      <c r="D1638" t="s" s="5">
        <v>10300</v>
      </c>
      <c r="E1638" t="s" s="5">
        <v>10369</v>
      </c>
      <c r="F1638" t="s" s="10">
        <v>10370</v>
      </c>
      <c r="G1638" t="s" s="7">
        <v>10371</v>
      </c>
      <c r="H1638" t="s" s="7">
        <v>10372</v>
      </c>
      <c r="I1638" t="str" s="8" cm="1">
        <f t="array" ref="I1638">SUBSTITUTE(H1638,B1638,"(          )")</f>
        <v>Don't (          ) things with unnecessary details.</v>
      </c>
      <c r="J1638" s="9" cm="1">
        <f t="array" ref="J1638">SUMIF('외운 것 - 엑셀다운로드 파일(붙여넣기)'!A3:A562,A1638,'외운 것 - 엑셀다운로드 파일(붙여넣기)'!D3:D562)</f>
        <v>1</v>
      </c>
      <c r="K1638" s="9" cm="1">
        <f t="array" ref="K1638">_xlfn.COUNTIFS('외운 것 - 엑셀다운로드 파일(붙여넣기)'!A3:A562,A1638,'외운 것 - 엑셀다운로드 파일(붙여넣기)'!D3:D562,0)</f>
        <v>0</v>
      </c>
      <c r="L1638" s="9" cm="1">
        <f t="array" ref="L1638">IF(J1638&gt;=3,_xlfn.XLOOKUP(A1638,'외운 것 - 엑셀다운로드 파일(붙여넣기)'!A3:A562,'외운 것 - 엑셀다운로드 파일(붙여넣기)'!C3:C562,0,-1),0)</f>
        <v>0</v>
      </c>
    </row>
    <row r="1639" ht="38.45" customHeight="1">
      <c r="A1639" s="3">
        <v>1638</v>
      </c>
      <c r="B1639" t="s" s="4">
        <v>10374</v>
      </c>
      <c r="C1639" t="s" s="5">
        <v>10346</v>
      </c>
      <c r="D1639" t="s" s="5">
        <v>10300</v>
      </c>
      <c r="E1639" t="s" s="5">
        <v>10375</v>
      </c>
      <c r="F1639" t="s" s="10">
        <v>10376</v>
      </c>
      <c r="G1639" t="s" s="7">
        <v>10377</v>
      </c>
      <c r="H1639" t="s" s="7">
        <v>10378</v>
      </c>
      <c r="I1639" t="str" s="8" cm="1">
        <f t="array" ref="I1639">SUBSTITUTE(H1639,B1639,"(          )")</f>
        <v>The evidence (          )s him in the fraud.</v>
      </c>
      <c r="J1639" s="9" cm="1">
        <f t="array" ref="J1639">SUMIF('외운 것 - 엑셀다운로드 파일(붙여넣기)'!A3:A562,A1639,'외운 것 - 엑셀다운로드 파일(붙여넣기)'!D3:D562)</f>
        <v>0</v>
      </c>
      <c r="K1639" s="9" cm="1">
        <f t="array" ref="K1639">_xlfn.COUNTIFS('외운 것 - 엑셀다운로드 파일(붙여넣기)'!A3:A562,A1639,'외운 것 - 엑셀다운로드 파일(붙여넣기)'!D3:D562,0)</f>
        <v>1</v>
      </c>
      <c r="L1639" s="9" cm="1">
        <f t="array" ref="L1639">IF(J1639&gt;=3,_xlfn.XLOOKUP(A1639,'외운 것 - 엑셀다운로드 파일(붙여넣기)'!A3:A562,'외운 것 - 엑셀다운로드 파일(붙여넣기)'!C3:C562,0,-1),0)</f>
        <v>0</v>
      </c>
    </row>
    <row r="1640" ht="38.45" customHeight="1">
      <c r="A1640" s="3">
        <v>1639</v>
      </c>
      <c r="B1640" t="s" s="4">
        <v>10380</v>
      </c>
      <c r="C1640" t="s" s="5">
        <v>10346</v>
      </c>
      <c r="D1640" t="s" s="5">
        <v>10300</v>
      </c>
      <c r="E1640" t="s" s="5">
        <v>10381</v>
      </c>
      <c r="F1640" t="s" s="10">
        <v>10382</v>
      </c>
      <c r="G1640" t="s" s="7">
        <v>10383</v>
      </c>
      <c r="H1640" t="s" s="7">
        <v>10384</v>
      </c>
      <c r="I1640" t="str" s="8" cm="1">
        <f t="array" ref="I1640">SUBSTITUTE(H1640,B1640,"(          )")</f>
        <v>Make a (          ) copy of important documents.</v>
      </c>
      <c r="J1640" s="9" cm="1">
        <f t="array" ref="J1640">SUMIF('외운 것 - 엑셀다운로드 파일(붙여넣기)'!A3:A562,A1640,'외운 것 - 엑셀다운로드 파일(붙여넣기)'!D3:D562)</f>
        <v>0</v>
      </c>
      <c r="K1640" s="9" cm="1">
        <f t="array" ref="K1640">_xlfn.COUNTIFS('외운 것 - 엑셀다운로드 파일(붙여넣기)'!A3:A562,A1640,'외운 것 - 엑셀다운로드 파일(붙여넣기)'!D3:D562,0)</f>
        <v>1</v>
      </c>
      <c r="L1640" s="9" cm="1">
        <f t="array" ref="L1640">IF(J1640&gt;=3,_xlfn.XLOOKUP(A1640,'외운 것 - 엑셀다운로드 파일(붙여넣기)'!A3:A562,'외운 것 - 엑셀다운로드 파일(붙여넣기)'!C3:C562,0,-1),0)</f>
        <v>0</v>
      </c>
    </row>
    <row r="1641" ht="38.45" customHeight="1">
      <c r="A1641" s="3">
        <v>1640</v>
      </c>
      <c r="B1641" t="s" s="4">
        <v>10386</v>
      </c>
      <c r="C1641" t="s" s="5">
        <v>10346</v>
      </c>
      <c r="D1641" t="s" s="5">
        <v>10300</v>
      </c>
      <c r="E1641" t="s" s="5">
        <v>10387</v>
      </c>
      <c r="F1641" t="s" s="10">
        <v>10388</v>
      </c>
      <c r="G1641" t="s" s="7">
        <v>10389</v>
      </c>
      <c r="H1641" t="s" s="7">
        <v>10390</v>
      </c>
      <c r="I1641" t="str" s="8" cm="1">
        <f t="array" ref="I1641">SUBSTITUTE(H1641,B1641,"(          )")</f>
        <v>She (          )ed her goal of running a marathon.</v>
      </c>
      <c r="J1641" s="9" cm="1">
        <f t="array" ref="J1641">SUMIF('외운 것 - 엑셀다운로드 파일(붙여넣기)'!A3:A562,A1641,'외운 것 - 엑셀다운로드 파일(붙여넣기)'!D3:D562)</f>
        <v>0</v>
      </c>
      <c r="K1641" s="9" cm="1">
        <f t="array" ref="K1641">_xlfn.COUNTIFS('외운 것 - 엑셀다운로드 파일(붙여넣기)'!A3:A562,A1641,'외운 것 - 엑셀다운로드 파일(붙여넣기)'!D3:D562,0)</f>
        <v>1</v>
      </c>
      <c r="L1641" s="9" cm="1">
        <f t="array" ref="L1641">IF(J1641&gt;=3,_xlfn.XLOOKUP(A1641,'외운 것 - 엑셀다운로드 파일(붙여넣기)'!A3:A562,'외운 것 - 엑셀다운로드 파일(붙여넣기)'!C3:C562,0,-1),0)</f>
        <v>0</v>
      </c>
    </row>
    <row r="1642" ht="23.45" customHeight="1">
      <c r="A1642" s="3">
        <v>1641</v>
      </c>
      <c r="B1642" t="s" s="4">
        <v>10392</v>
      </c>
      <c r="C1642" t="s" s="5">
        <v>10313</v>
      </c>
      <c r="D1642" t="s" s="5">
        <v>10300</v>
      </c>
      <c r="E1642" t="s" s="5">
        <v>10393</v>
      </c>
      <c r="F1642" t="s" s="10">
        <v>10394</v>
      </c>
      <c r="G1642" t="s" s="7">
        <v>10395</v>
      </c>
      <c r="H1642" t="s" s="7">
        <v>10396</v>
      </c>
      <c r="I1642" t="str" s="8" cm="1">
        <f t="array" ref="I1642">SUBSTITUTE(H1642,B1642,"(          )")</f>
        <v>All citizens must (          ) with the law.</v>
      </c>
      <c r="J1642" s="9" cm="1">
        <f t="array" ref="J1642">SUMIF('외운 것 - 엑셀다운로드 파일(붙여넣기)'!A3:A562,A1642,'외운 것 - 엑셀다운로드 파일(붙여넣기)'!D3:D562)</f>
        <v>1</v>
      </c>
      <c r="K1642" s="9" cm="1">
        <f t="array" ref="K1642">_xlfn.COUNTIFS('외운 것 - 엑셀다운로드 파일(붙여넣기)'!A3:A562,A1642,'외운 것 - 엑셀다운로드 파일(붙여넣기)'!D3:D562,0)</f>
        <v>0</v>
      </c>
      <c r="L1642" s="9" cm="1">
        <f t="array" ref="L1642">IF(J1642&gt;=3,_xlfn.XLOOKUP(A1642,'외운 것 - 엑셀다운로드 파일(붙여넣기)'!A3:A562,'외운 것 - 엑셀다운로드 파일(붙여넣기)'!C3:C562,0,-1),0)</f>
        <v>0</v>
      </c>
    </row>
    <row r="1643" ht="23.45" customHeight="1">
      <c r="A1643" s="3">
        <v>1642</v>
      </c>
      <c r="B1643" t="s" s="4">
        <v>10398</v>
      </c>
      <c r="C1643" t="s" s="5">
        <v>10313</v>
      </c>
      <c r="D1643" t="s" s="5">
        <v>10300</v>
      </c>
      <c r="E1643" t="s" s="5">
        <v>10399</v>
      </c>
      <c r="F1643" t="s" s="10">
        <v>10400</v>
      </c>
      <c r="G1643" t="s" s="7">
        <v>10401</v>
      </c>
      <c r="H1643" t="s" s="7">
        <v>10402</v>
      </c>
      <c r="I1643" t="str" s="8" cm="1">
        <f t="array" ref="I1643">SUBSTITUTE(H1643,B1643,"(          )")</f>
        <v>I'm still waiting for her (          ) to my email.</v>
      </c>
      <c r="J1643" s="9" cm="1">
        <f t="array" ref="J1643">SUMIF('외운 것 - 엑셀다운로드 파일(붙여넣기)'!A3:A562,A1643,'외운 것 - 엑셀다운로드 파일(붙여넣기)'!D3:D562)</f>
        <v>1</v>
      </c>
      <c r="K1643" s="9" cm="1">
        <f t="array" ref="K1643">_xlfn.COUNTIFS('외운 것 - 엑셀다운로드 파일(붙여넣기)'!A3:A562,A1643,'외운 것 - 엑셀다운로드 파일(붙여넣기)'!D3:D562,0)</f>
        <v>0</v>
      </c>
      <c r="L1643" s="9" cm="1">
        <f t="array" ref="L1643">IF(J1643&gt;=3,_xlfn.XLOOKUP(A1643,'외운 것 - 엑셀다운로드 파일(붙여넣기)'!A3:A562,'외운 것 - 엑셀다운로드 파일(붙여넣기)'!C3:C562,0,-1),0)</f>
        <v>0</v>
      </c>
    </row>
    <row r="1644" ht="38.45" customHeight="1">
      <c r="A1644" s="3">
        <v>1643</v>
      </c>
      <c r="B1644" t="s" s="4">
        <v>10404</v>
      </c>
      <c r="C1644" t="s" s="5">
        <v>10313</v>
      </c>
      <c r="D1644" t="s" s="5">
        <v>10300</v>
      </c>
      <c r="E1644" t="s" s="5">
        <v>10405</v>
      </c>
      <c r="F1644" t="s" s="10">
        <v>10406</v>
      </c>
      <c r="G1644" t="s" s="7">
        <v>10407</v>
      </c>
      <c r="H1644" t="s" s="7">
        <v>10408</v>
      </c>
      <c r="I1644" t="str" s="8" cm="1">
        <f t="array" ref="I1644">SUBSTITUTE(H1644,B1644,"(          )")</f>
        <v>You should (          ) for the job before the deadline.</v>
      </c>
      <c r="J1644" s="9" cm="1">
        <f t="array" ref="J1644">SUMIF('외운 것 - 엑셀다운로드 파일(붙여넣기)'!A3:A562,A1644,'외운 것 - 엑셀다운로드 파일(붙여넣기)'!D3:D562)</f>
        <v>1</v>
      </c>
      <c r="K1644" s="9" cm="1">
        <f t="array" ref="K1644">_xlfn.COUNTIFS('외운 것 - 엑셀다운로드 파일(붙여넣기)'!A3:A562,A1644,'외운 것 - 엑셀다운로드 파일(붙여넣기)'!D3:D562,0)</f>
        <v>0</v>
      </c>
      <c r="L1644" s="9" cm="1">
        <f t="array" ref="L1644">IF(J1644&gt;=3,_xlfn.XLOOKUP(A1644,'외운 것 - 엑셀다운로드 파일(붙여넣기)'!A3:A562,'외운 것 - 엑셀다운로드 파일(붙여넣기)'!C3:C562,0,-1),0)</f>
        <v>0</v>
      </c>
    </row>
    <row r="1645" ht="36.4" customHeight="1">
      <c r="A1645" s="3">
        <v>1644</v>
      </c>
      <c r="B1645" t="s" s="4">
        <v>10410</v>
      </c>
      <c r="C1645" t="s" s="5">
        <v>10411</v>
      </c>
      <c r="D1645" t="s" s="5">
        <v>10300</v>
      </c>
      <c r="E1645" t="s" s="5">
        <v>10412</v>
      </c>
      <c r="F1645" t="s" s="10">
        <v>10413</v>
      </c>
      <c r="G1645" t="s" s="7">
        <v>10414</v>
      </c>
      <c r="H1645" t="s" s="7">
        <v>10415</v>
      </c>
      <c r="I1645" t="str" s="8" cm="1">
        <f t="array" ref="I1645">SUBSTITUTE(H1645,B1645,"(          )")</f>
        <v>Each (          ) must complete an interview.</v>
      </c>
      <c r="J1645" s="9" cm="1">
        <f t="array" ref="J1645">SUMIF('외운 것 - 엑셀다운로드 파일(붙여넣기)'!A3:A562,A1645,'외운 것 - 엑셀다운로드 파일(붙여넣기)'!D3:D562)</f>
        <v>1</v>
      </c>
      <c r="K1645" s="9" cm="1">
        <f t="array" ref="K1645">_xlfn.COUNTIFS('외운 것 - 엑셀다운로드 파일(붙여넣기)'!A3:A562,A1645,'외운 것 - 엑셀다운로드 파일(붙여넣기)'!D3:D562,0)</f>
        <v>0</v>
      </c>
      <c r="L1645" s="9" cm="1">
        <f t="array" ref="L1645">IF(J1645&gt;=3,_xlfn.XLOOKUP(A1645,'외운 것 - 엑셀다운로드 파일(붙여넣기)'!A3:A562,'외운 것 - 엑셀다운로드 파일(붙여넣기)'!C3:C562,0,-1),0)</f>
        <v>0</v>
      </c>
    </row>
    <row r="1646" ht="38.45" customHeight="1">
      <c r="A1646" s="3">
        <v>1645</v>
      </c>
      <c r="B1646" t="s" s="4">
        <v>10417</v>
      </c>
      <c r="C1646" t="s" s="5">
        <v>10418</v>
      </c>
      <c r="D1646" t="s" s="5">
        <v>10300</v>
      </c>
      <c r="E1646" t="s" s="5">
        <v>10419</v>
      </c>
      <c r="F1646" t="s" s="10">
        <v>10420</v>
      </c>
      <c r="G1646" t="s" s="7">
        <v>10421</v>
      </c>
      <c r="H1646" t="s" s="7">
        <v>10422</v>
      </c>
      <c r="I1646" t="str" s="8" cm="1">
        <f t="array" ref="I1646">SUBSTITUTE(H1646,B1646,"(          )")</f>
        <v>The factory (          )s 500 workers.</v>
      </c>
      <c r="J1646" s="9" cm="1">
        <f t="array" ref="J1646">SUMIF('외운 것 - 엑셀다운로드 파일(붙여넣기)'!A3:A562,A1646,'외운 것 - 엑셀다운로드 파일(붙여넣기)'!D3:D562)</f>
        <v>0</v>
      </c>
      <c r="K1646" s="9" cm="1">
        <f t="array" ref="K1646">_xlfn.COUNTIFS('외운 것 - 엑셀다운로드 파일(붙여넣기)'!A3:A562,A1646,'외운 것 - 엑셀다운로드 파일(붙여넣기)'!D3:D562,0)</f>
        <v>1</v>
      </c>
      <c r="L1646" s="9" cm="1">
        <f t="array" ref="L1646">IF(J1646&gt;=3,_xlfn.XLOOKUP(A1646,'외운 것 - 엑셀다운로드 파일(붙여넣기)'!A3:A562,'외운 것 - 엑셀다운로드 파일(붙여넣기)'!C3:C562,0,-1),0)</f>
        <v>0</v>
      </c>
    </row>
    <row r="1647" ht="50.45" customHeight="1">
      <c r="A1647" s="3">
        <v>1646</v>
      </c>
      <c r="B1647" t="s" s="4">
        <v>10424</v>
      </c>
      <c r="C1647" t="s" s="5">
        <v>10425</v>
      </c>
      <c r="D1647" t="s" s="5">
        <v>10300</v>
      </c>
      <c r="E1647" t="s" s="5">
        <v>10426</v>
      </c>
      <c r="F1647" t="s" s="10">
        <v>10427</v>
      </c>
      <c r="G1647" t="s" s="7">
        <v>10428</v>
      </c>
      <c r="H1647" t="s" s="7">
        <v>10429</v>
      </c>
      <c r="I1647" t="str" s="8" cm="1">
        <f t="array" ref="I1647">SUBSTITUTE(H1647,B1647,"(          )")</f>
        <v>The (          ) provides health insurance benefits.</v>
      </c>
      <c r="J1647" s="9" cm="1">
        <f t="array" ref="J1647">SUMIF('외운 것 - 엑셀다운로드 파일(붙여넣기)'!A3:A562,A1647,'외운 것 - 엑셀다운로드 파일(붙여넣기)'!D3:D562)</f>
        <v>1</v>
      </c>
      <c r="K1647" s="9" cm="1">
        <f t="array" ref="K1647">_xlfn.COUNTIFS('외운 것 - 엑셀다운로드 파일(붙여넣기)'!A3:A562,A1647,'외운 것 - 엑셀다운로드 파일(붙여넣기)'!D3:D562,0)</f>
        <v>0</v>
      </c>
      <c r="L1647" s="9" cm="1">
        <f t="array" ref="L1647">IF(J1647&gt;=3,_xlfn.XLOOKUP(A1647,'외운 것 - 엑셀다운로드 파일(붙여넣기)'!A3:A562,'외운 것 - 엑셀다운로드 파일(붙여넣기)'!C3:C562,0,-1),0)</f>
        <v>0</v>
      </c>
    </row>
    <row r="1648" ht="50.45" customHeight="1">
      <c r="A1648" s="3">
        <v>1647</v>
      </c>
      <c r="B1648" t="s" s="4">
        <v>10431</v>
      </c>
      <c r="C1648" t="s" s="5">
        <v>10425</v>
      </c>
      <c r="D1648" t="s" s="5">
        <v>10300</v>
      </c>
      <c r="E1648" t="s" s="5">
        <v>10432</v>
      </c>
      <c r="F1648" t="s" s="10">
        <v>10433</v>
      </c>
      <c r="G1648" t="s" s="7">
        <v>10434</v>
      </c>
      <c r="H1648" t="s" s="7">
        <v>10435</v>
      </c>
      <c r="I1648" t="str" s="8" cm="1">
        <f t="array" ref="I1648">SUBSTITUTE(H1648,B1648,"(          )")</f>
        <v>The company recognizes its (          )s with annual awards.</v>
      </c>
      <c r="J1648" s="9" cm="1">
        <f t="array" ref="J1648">SUMIF('외운 것 - 엑셀다운로드 파일(붙여넣기)'!A3:A562,A1648,'외운 것 - 엑셀다운로드 파일(붙여넣기)'!D3:D562)</f>
        <v>1</v>
      </c>
      <c r="K1648" s="9" cm="1">
        <f t="array" ref="K1648">_xlfn.COUNTIFS('외운 것 - 엑셀다운로드 파일(붙여넣기)'!A3:A562,A1648,'외운 것 - 엑셀다운로드 파일(붙여넣기)'!D3:D562,0)</f>
        <v>0</v>
      </c>
      <c r="L1648" s="9" cm="1">
        <f t="array" ref="L1648">IF(J1648&gt;=3,_xlfn.XLOOKUP(A1648,'외운 것 - 엑셀다운로드 파일(붙여넣기)'!A3:A562,'외운 것 - 엑셀다운로드 파일(붙여넣기)'!C3:C562,0,-1),0)</f>
        <v>0</v>
      </c>
    </row>
    <row r="1649" ht="38.45" customHeight="1">
      <c r="A1649" s="3">
        <v>1648</v>
      </c>
      <c r="B1649" t="s" s="4">
        <v>10437</v>
      </c>
      <c r="C1649" t="s" s="5">
        <v>10438</v>
      </c>
      <c r="D1649" t="s" s="5">
        <v>10300</v>
      </c>
      <c r="E1649" t="s" s="5">
        <v>10439</v>
      </c>
      <c r="F1649" t="s" s="10">
        <v>10440</v>
      </c>
      <c r="G1649" t="s" s="7">
        <v>10441</v>
      </c>
      <c r="H1649" t="s" s="7">
        <v>10442</v>
      </c>
      <c r="I1649" t="str" s="8" cm="1">
        <f t="array" ref="I1649">SUBSTITUTE(H1649,B1649,"(          )")</f>
        <v>The company has a (          ) on smartphone production in that country.</v>
      </c>
      <c r="J1649" s="9" cm="1">
        <f t="array" ref="J1649">SUMIF('외운 것 - 엑셀다운로드 파일(붙여넣기)'!A3:A562,A1649,'외운 것 - 엑셀다운로드 파일(붙여넣기)'!D3:D562)</f>
        <v>1</v>
      </c>
      <c r="K1649" s="9" cm="1">
        <f t="array" ref="K1649">_xlfn.COUNTIFS('외운 것 - 엑셀다운로드 파일(붙여넣기)'!A3:A562,A1649,'외운 것 - 엑셀다운로드 파일(붙여넣기)'!D3:D562,0)</f>
        <v>0</v>
      </c>
      <c r="L1649" s="9" cm="1">
        <f t="array" ref="L1649">IF(J1649&gt;=3,_xlfn.XLOOKUP(A1649,'외운 것 - 엑셀다운로드 파일(붙여넣기)'!A3:A562,'외운 것 - 엑셀다운로드 파일(붙여넣기)'!C3:C562,0,-1),0)</f>
        <v>0</v>
      </c>
    </row>
    <row r="1650" ht="23.45" customHeight="1">
      <c r="A1650" s="3">
        <v>1649</v>
      </c>
      <c r="B1650" t="s" s="4">
        <v>10444</v>
      </c>
      <c r="C1650" t="s" s="5">
        <v>10445</v>
      </c>
      <c r="D1650" t="s" s="5">
        <v>10300</v>
      </c>
      <c r="E1650" t="s" s="5">
        <v>10446</v>
      </c>
      <c r="F1650" t="s" s="10">
        <v>10447</v>
      </c>
      <c r="G1650" t="s" s="7">
        <v>10448</v>
      </c>
      <c r="H1650" t="s" s="7">
        <v>10449</v>
      </c>
      <c r="I1650" t="str" s="8" cm="1">
        <f t="array" ref="I1650">SUBSTITUTE(H1650,B1650,"(          )")</f>
        <v>Five (          ) three equals eight.</v>
      </c>
      <c r="J1650" s="9" cm="1">
        <f t="array" ref="J1650">SUMIF('외운 것 - 엑셀다운로드 파일(붙여넣기)'!A3:A562,A1650,'외운 것 - 엑셀다운로드 파일(붙여넣기)'!D3:D562)</f>
        <v>3</v>
      </c>
      <c r="K1650" s="9" cm="1">
        <f t="array" ref="K1650">_xlfn.COUNTIFS('외운 것 - 엑셀다운로드 파일(붙여넣기)'!A3:A562,A1650,'외운 것 - 엑셀다운로드 파일(붙여넣기)'!D3:D562,0)</f>
        <v>0</v>
      </c>
      <c r="L1650" t="str" s="8" cm="1">
        <f t="array" ref="L1650">IF(J1650&gt;=3,_xlfn.XLOOKUP(A1650,'외운 것 - 엑셀다운로드 파일(붙여넣기)'!A3:A562,'외운 것 - 엑셀다운로드 파일(붙여넣기)'!C3:C562,0,-1),0)</f>
        <v>2026-03-15</v>
      </c>
    </row>
    <row r="1651" ht="23.45" customHeight="1">
      <c r="A1651" s="3">
        <v>1650</v>
      </c>
      <c r="B1651" t="s" s="4">
        <v>10452</v>
      </c>
      <c r="C1651" t="s" s="5">
        <v>10445</v>
      </c>
      <c r="D1651" t="s" s="5">
        <v>10300</v>
      </c>
      <c r="E1651" t="s" s="5">
        <v>10453</v>
      </c>
      <c r="F1651" t="s" s="10">
        <v>10454</v>
      </c>
      <c r="G1651" t="s" s="7">
        <v>10455</v>
      </c>
      <c r="H1651" t="s" s="7">
        <v>10456</v>
      </c>
      <c r="I1651" t="str" s="8" cm="1">
        <f t="array" ref="I1651">SUBSTITUTE(H1651,B1651,"(          )")</f>
        <v>The budget (          ) will be invested in education.</v>
      </c>
      <c r="J1651" s="9" cm="1">
        <f t="array" ref="J1651">SUMIF('외운 것 - 엑셀다운로드 파일(붙여넣기)'!A3:A562,A1651,'외운 것 - 엑셀다운로드 파일(붙여넣기)'!D3:D562)</f>
        <v>0</v>
      </c>
      <c r="K1651" s="9" cm="1">
        <f t="array" ref="K1651">_xlfn.COUNTIFS('외운 것 - 엑셀다운로드 파일(붙여넣기)'!A3:A562,A1651,'외운 것 - 엑셀다운로드 파일(붙여넣기)'!D3:D562,0)</f>
        <v>1</v>
      </c>
      <c r="L1651" s="9" cm="1">
        <f t="array" ref="L1651">IF(J1651&gt;=3,_xlfn.XLOOKUP(A1651,'외운 것 - 엑셀다운로드 파일(붙여넣기)'!A3:A562,'외운 것 - 엑셀다운로드 파일(붙여넣기)'!C3:C562,0,-1),0)</f>
        <v>0</v>
      </c>
    </row>
    <row r="1652" ht="23.45" customHeight="1">
      <c r="A1652" s="3">
        <v>1651</v>
      </c>
      <c r="B1652" t="s" s="4">
        <v>10458</v>
      </c>
      <c r="C1652" t="s" s="5">
        <v>10459</v>
      </c>
      <c r="D1652" t="s" s="5">
        <v>10460</v>
      </c>
      <c r="E1652" t="s" s="5">
        <v>10461</v>
      </c>
      <c r="F1652" t="s" s="10">
        <v>10462</v>
      </c>
      <c r="G1652" t="s" s="7">
        <v>10463</v>
      </c>
      <c r="H1652" t="s" s="7">
        <v>10464</v>
      </c>
      <c r="I1652" t="str" s="8" cm="1">
        <f t="array" ref="I1652">SUBSTITUTE(H1652,B1652,"(          )")</f>
        <v>We ate (          ) while watching the movie.</v>
      </c>
      <c r="J1652" s="9" cm="1">
        <f t="array" ref="J1652">SUMIF('외운 것 - 엑셀다운로드 파일(붙여넣기)'!A3:A562,A1652,'외운 것 - 엑셀다운로드 파일(붙여넣기)'!D3:D562)</f>
        <v>3</v>
      </c>
      <c r="K1652" s="9" cm="1">
        <f t="array" ref="K1652">_xlfn.COUNTIFS('외운 것 - 엑셀다운로드 파일(붙여넣기)'!A3:A562,A1652,'외운 것 - 엑셀다운로드 파일(붙여넣기)'!D3:D562,0)</f>
        <v>0</v>
      </c>
      <c r="L1652" t="str" s="8" cm="1">
        <f t="array" ref="L1652">IF(J1652&gt;=3,_xlfn.XLOOKUP(A1652,'외운 것 - 엑셀다운로드 파일(붙여넣기)'!A3:A562,'외운 것 - 엑셀다운로드 파일(붙여넣기)'!C3:C562,0,-1),0)</f>
        <v>2026-03-15</v>
      </c>
    </row>
    <row r="1653" ht="23.45" customHeight="1">
      <c r="A1653" s="3">
        <v>1652</v>
      </c>
      <c r="B1653" t="s" s="4">
        <v>10466</v>
      </c>
      <c r="C1653" t="s" s="5">
        <v>10459</v>
      </c>
      <c r="D1653" t="s" s="5">
        <v>10460</v>
      </c>
      <c r="E1653" t="s" s="5">
        <v>10467</v>
      </c>
      <c r="F1653" t="s" s="10">
        <v>10468</v>
      </c>
      <c r="G1653" t="s" s="7">
        <v>10469</v>
      </c>
      <c r="H1653" t="s" s="7">
        <v>10470</v>
      </c>
      <c r="I1653" t="str" s="8" cm="1">
        <f t="array" ref="I1653">SUBSTITUTE(H1653,B1653,"(          )")</f>
        <v>The catchy (          ) played constantly on the radio.</v>
      </c>
      <c r="J1653" s="9" cm="1">
        <f t="array" ref="J1653">SUMIF('외운 것 - 엑셀다운로드 파일(붙여넣기)'!A3:A562,A1653,'외운 것 - 엑셀다운로드 파일(붙여넣기)'!D3:D562)</f>
        <v>3</v>
      </c>
      <c r="K1653" s="9" cm="1">
        <f t="array" ref="K1653">_xlfn.COUNTIFS('외운 것 - 엑셀다운로드 파일(붙여넣기)'!A3:A562,A1653,'외운 것 - 엑셀다운로드 파일(붙여넣기)'!D3:D562,0)</f>
        <v>0</v>
      </c>
      <c r="L1653" t="str" s="8" cm="1">
        <f t="array" ref="L1653">IF(J1653&gt;=3,_xlfn.XLOOKUP(A1653,'외운 것 - 엑셀다운로드 파일(붙여넣기)'!A3:A562,'외운 것 - 엑셀다운로드 파일(붙여넣기)'!C3:C562,0,-1),0)</f>
        <v>2026-03-15</v>
      </c>
    </row>
    <row r="1654" ht="23.45" customHeight="1">
      <c r="A1654" s="3">
        <v>1653</v>
      </c>
      <c r="B1654" t="s" s="4">
        <v>10472</v>
      </c>
      <c r="C1654" t="s" s="5">
        <v>10459</v>
      </c>
      <c r="D1654" t="s" s="5">
        <v>10460</v>
      </c>
      <c r="E1654" t="s" s="5">
        <v>10473</v>
      </c>
      <c r="F1654" t="s" s="10">
        <v>10474</v>
      </c>
      <c r="G1654" t="s" s="7">
        <v>10475</v>
      </c>
      <c r="H1654" t="s" s="7">
        <v>10476</v>
      </c>
      <c r="I1654" t="str" s="8" cm="1">
        <f t="array" ref="I1654">SUBSTITUTE(H1654,B1654,"(          )")</f>
        <v>Basketball is a (          ) sport worldwide.</v>
      </c>
      <c r="J1654" s="9" cm="1">
        <f t="array" ref="J1654">SUMIF('외운 것 - 엑셀다운로드 파일(붙여넣기)'!A3:A562,A1654,'외운 것 - 엑셀다운로드 파일(붙여넣기)'!D3:D562)</f>
        <v>3</v>
      </c>
      <c r="K1654" s="9" cm="1">
        <f t="array" ref="K1654">_xlfn.COUNTIFS('외운 것 - 엑셀다운로드 파일(붙여넣기)'!A3:A562,A1654,'외운 것 - 엑셀다운로드 파일(붙여넣기)'!D3:D562,0)</f>
        <v>0</v>
      </c>
      <c r="L1654" t="str" s="8" cm="1">
        <f t="array" ref="L1654">IF(J1654&gt;=3,_xlfn.XLOOKUP(A1654,'외운 것 - 엑셀다운로드 파일(붙여넣기)'!A3:A562,'외운 것 - 엑셀다운로드 파일(붙여넣기)'!C3:C562,0,-1),0)</f>
        <v>2026-03-15</v>
      </c>
    </row>
    <row r="1655" ht="38.45" customHeight="1">
      <c r="A1655" s="3">
        <v>1654</v>
      </c>
      <c r="B1655" t="s" s="4">
        <v>10478</v>
      </c>
      <c r="C1655" t="s" s="5">
        <v>10479</v>
      </c>
      <c r="D1655" t="s" s="5">
        <v>10459</v>
      </c>
      <c r="E1655" t="s" s="5">
        <v>10480</v>
      </c>
      <c r="F1655" t="s" s="10">
        <v>10481</v>
      </c>
      <c r="G1655" t="s" s="7">
        <v>10482</v>
      </c>
      <c r="H1655" t="s" s="7">
        <v>10483</v>
      </c>
      <c r="I1655" t="str" s="8" cm="1">
        <f t="array" ref="I1655">SUBSTITUTE(H1655,B1655,"(          )")</f>
        <v>The politician's (          ) increased after the successful project.</v>
      </c>
      <c r="J1655" s="9" cm="1">
        <f t="array" ref="J1655">SUMIF('외운 것 - 엑셀다운로드 파일(붙여넣기)'!A3:A562,A1655,'외운 것 - 엑셀다운로드 파일(붙여넣기)'!D3:D562)</f>
        <v>1</v>
      </c>
      <c r="K1655" s="9" cm="1">
        <f t="array" ref="K1655">_xlfn.COUNTIFS('외운 것 - 엑셀다운로드 파일(붙여넣기)'!A3:A562,A1655,'외운 것 - 엑셀다운로드 파일(붙여넣기)'!D3:D562,0)</f>
        <v>0</v>
      </c>
      <c r="L1655" s="9" cm="1">
        <f t="array" ref="L1655">IF(J1655&gt;=3,_xlfn.XLOOKUP(A1655,'외운 것 - 엑셀다운로드 파일(붙여넣기)'!A3:A562,'외운 것 - 엑셀다운로드 파일(붙여넣기)'!C3:C562,0,-1),0)</f>
        <v>0</v>
      </c>
    </row>
    <row r="1656" ht="23.45" customHeight="1">
      <c r="A1656" s="3">
        <v>1655</v>
      </c>
      <c r="B1656" t="s" s="4">
        <v>10485</v>
      </c>
      <c r="C1656" t="s" s="5">
        <v>10459</v>
      </c>
      <c r="D1656" t="s" s="5">
        <v>10460</v>
      </c>
      <c r="E1656" t="s" s="5">
        <v>10486</v>
      </c>
      <c r="F1656" t="s" s="10">
        <v>10487</v>
      </c>
      <c r="G1656" t="s" s="7">
        <v>10488</v>
      </c>
      <c r="H1656" t="s" s="7">
        <v>10489</v>
      </c>
      <c r="I1656" t="str" s="8" cm="1">
        <f t="array" ref="I1656">SUBSTITUTE(H1656,B1656,"(          )")</f>
        <v>The (          ) of Tokyo exceeds 13 million people.</v>
      </c>
      <c r="J1656" s="9" cm="1">
        <f t="array" ref="J1656">SUMIF('외운 것 - 엑셀다운로드 파일(붙여넣기)'!A3:A562,A1656,'외운 것 - 엑셀다운로드 파일(붙여넣기)'!D3:D562)</f>
        <v>1</v>
      </c>
      <c r="K1656" s="9" cm="1">
        <f t="array" ref="K1656">_xlfn.COUNTIFS('외운 것 - 엑셀다운로드 파일(붙여넣기)'!A3:A562,A1656,'외운 것 - 엑셀다운로드 파일(붙여넣기)'!D3:D562,0)</f>
        <v>0</v>
      </c>
      <c r="L1656" s="9" cm="1">
        <f t="array" ref="L1656">IF(J1656&gt;=3,_xlfn.XLOOKUP(A1656,'외운 것 - 엑셀다운로드 파일(붙여넣기)'!A3:A562,'외운 것 - 엑셀다운로드 파일(붙여넣기)'!C3:C562,0,-1),0)</f>
        <v>0</v>
      </c>
    </row>
    <row r="1657" ht="38.45" customHeight="1">
      <c r="A1657" s="3">
        <v>1656</v>
      </c>
      <c r="B1657" t="s" s="4">
        <v>10491</v>
      </c>
      <c r="C1657" t="s" s="5">
        <v>9912</v>
      </c>
      <c r="D1657" t="s" s="5">
        <v>10492</v>
      </c>
      <c r="E1657" t="s" s="5">
        <v>10493</v>
      </c>
      <c r="F1657" t="s" s="10">
        <v>10494</v>
      </c>
      <c r="G1657" t="s" s="7">
        <v>10495</v>
      </c>
      <c r="H1657" t="s" s="7">
        <v>10496</v>
      </c>
      <c r="I1657" t="str" s="8" cm="1">
        <f t="array" ref="I1657">SUBSTITUTE(H1657,B1657,"(          )")</f>
        <v>We met friends at the local (          ) for dinner.</v>
      </c>
      <c r="J1657" s="9" cm="1">
        <f t="array" ref="J1657">SUMIF('외운 것 - 엑셀다운로드 파일(붙여넣기)'!A3:A562,A1657,'외운 것 - 엑셀다운로드 파일(붙여넣기)'!D3:D562)</f>
        <v>0</v>
      </c>
      <c r="K1657" s="9" cm="1">
        <f t="array" ref="K1657">_xlfn.COUNTIFS('외운 것 - 엑셀다운로드 파일(붙여넣기)'!A3:A562,A1657,'외운 것 - 엑셀다운로드 파일(붙여넣기)'!D3:D562,0)</f>
        <v>0</v>
      </c>
      <c r="L1657" s="9" cm="1">
        <f t="array" ref="L1657">IF(J1657&gt;=3,_xlfn.XLOOKUP(A1657,'외운 것 - 엑셀다운로드 파일(붙여넣기)'!A3:A562,'외운 것 - 엑셀다운로드 파일(붙여넣기)'!C3:C562,0,-1),0)</f>
        <v>0</v>
      </c>
    </row>
    <row r="1658" ht="23.45" customHeight="1">
      <c r="A1658" s="3">
        <v>1657</v>
      </c>
      <c r="B1658" t="s" s="4">
        <v>10498</v>
      </c>
      <c r="C1658" t="s" s="5">
        <v>10491</v>
      </c>
      <c r="D1658" t="s" s="5">
        <v>10492</v>
      </c>
      <c r="E1658" t="s" s="5">
        <v>10499</v>
      </c>
      <c r="F1658" t="s" s="10">
        <v>10500</v>
      </c>
      <c r="G1658" t="s" s="7">
        <v>10501</v>
      </c>
      <c r="H1658" t="s" s="7">
        <v>10502</v>
      </c>
      <c r="I1658" t="str" s="8" cm="1">
        <f t="array" ref="I1658">SUBSTITUTE(H1658,B1658,"(          )")</f>
        <v>The (          ) library is open to everyone.</v>
      </c>
      <c r="J1658" s="9" cm="1">
        <f t="array" ref="J1658">SUMIF('외운 것 - 엑셀다운로드 파일(붙여넣기)'!A3:A562,A1658,'외운 것 - 엑셀다운로드 파일(붙여넣기)'!D3:D562)</f>
        <v>0</v>
      </c>
      <c r="K1658" s="9" cm="1">
        <f t="array" ref="K1658">_xlfn.COUNTIFS('외운 것 - 엑셀다운로드 파일(붙여넣기)'!A3:A562,A1658,'외운 것 - 엑셀다운로드 파일(붙여넣기)'!D3:D562,0)</f>
        <v>0</v>
      </c>
      <c r="L1658" s="9" cm="1">
        <f t="array" ref="L1658">IF(J1658&gt;=3,_xlfn.XLOOKUP(A1658,'외운 것 - 엑셀다운로드 파일(붙여넣기)'!A3:A562,'외운 것 - 엑셀다운로드 파일(붙여넣기)'!C3:C562,0,-1),0)</f>
        <v>0</v>
      </c>
    </row>
    <row r="1659" ht="38.45" customHeight="1">
      <c r="A1659" s="3">
        <v>1658</v>
      </c>
      <c r="B1659" t="s" s="4">
        <v>10504</v>
      </c>
      <c r="C1659" t="s" s="5">
        <v>10491</v>
      </c>
      <c r="D1659" t="s" s="5">
        <v>10492</v>
      </c>
      <c r="E1659" t="s" s="5">
        <v>10505</v>
      </c>
      <c r="F1659" t="s" s="10">
        <v>10506</v>
      </c>
      <c r="G1659" t="s" s="7">
        <v>10507</v>
      </c>
      <c r="H1659" t="s" s="7">
        <v>10508</v>
      </c>
      <c r="I1659" t="str" s="8" cm="1">
        <f t="array" ref="I1659">SUBSTITUTE(H1659,B1659,"(          )")</f>
        <v>She hopes to (          ) her novel next year.</v>
      </c>
      <c r="J1659" s="9" cm="1">
        <f t="array" ref="J1659">SUMIF('외운 것 - 엑셀다운로드 파일(붙여넣기)'!A3:A562,A1659,'외운 것 - 엑셀다운로드 파일(붙여넣기)'!D3:D562)</f>
        <v>0</v>
      </c>
      <c r="K1659" s="9" cm="1">
        <f t="array" ref="K1659">_xlfn.COUNTIFS('외운 것 - 엑셀다운로드 파일(붙여넣기)'!A3:A562,A1659,'외운 것 - 엑셀다운로드 파일(붙여넣기)'!D3:D562,0)</f>
        <v>0</v>
      </c>
      <c r="L1659" s="9" cm="1">
        <f t="array" ref="L1659">IF(J1659&gt;=3,_xlfn.XLOOKUP(A1659,'외운 것 - 엑셀다운로드 파일(붙여넣기)'!A3:A562,'외운 것 - 엑셀다운로드 파일(붙여넣기)'!C3:C562,0,-1),0)</f>
        <v>0</v>
      </c>
    </row>
    <row r="1660" ht="23.45" customHeight="1">
      <c r="A1660" s="3">
        <v>1659</v>
      </c>
      <c r="B1660" t="s" s="4">
        <v>10510</v>
      </c>
      <c r="C1660" t="s" s="5">
        <v>10510</v>
      </c>
      <c r="D1660" t="s" s="5">
        <v>10511</v>
      </c>
      <c r="E1660" t="s" s="5">
        <v>10512</v>
      </c>
      <c r="F1660" t="s" s="10">
        <v>10513</v>
      </c>
      <c r="G1660" t="s" s="7">
        <v>10514</v>
      </c>
      <c r="H1660" t="s" s="7">
        <v>10515</v>
      </c>
      <c r="I1660" t="str" s="8" cm="1">
        <f t="array" ref="I1660">SUBSTITUTE(H1660,B1660,"(          )")</f>
        <v>The ship will dock at the (          ) tomorrow morning.</v>
      </c>
      <c r="J1660" s="9" cm="1">
        <f t="array" ref="J1660">SUMIF('외운 것 - 엑셀다운로드 파일(붙여넣기)'!A3:A562,A1660,'외운 것 - 엑셀다운로드 파일(붙여넣기)'!D3:D562)</f>
        <v>0</v>
      </c>
      <c r="K1660" s="9" cm="1">
        <f t="array" ref="K1660">_xlfn.COUNTIFS('외운 것 - 엑셀다운로드 파일(붙여넣기)'!A3:A562,A1660,'외운 것 - 엑셀다운로드 파일(붙여넣기)'!D3:D562,0)</f>
        <v>0</v>
      </c>
      <c r="L1660" s="9" cm="1">
        <f t="array" ref="L1660">IF(J1660&gt;=3,_xlfn.XLOOKUP(A1660,'외운 것 - 엑셀다운로드 파일(붙여넣기)'!A3:A562,'외운 것 - 엑셀다운로드 파일(붙여넣기)'!C3:C562,0,-1),0)</f>
        <v>0</v>
      </c>
    </row>
    <row r="1661" ht="23.45" customHeight="1">
      <c r="A1661" s="3">
        <v>1660</v>
      </c>
      <c r="B1661" t="s" s="4">
        <v>10517</v>
      </c>
      <c r="C1661" t="s" s="5">
        <v>10510</v>
      </c>
      <c r="D1661" t="s" s="5">
        <v>10511</v>
      </c>
      <c r="E1661" t="s" s="5">
        <v>10518</v>
      </c>
      <c r="F1661" t="s" s="10">
        <v>10519</v>
      </c>
      <c r="G1661" t="s" s="7">
        <v>10520</v>
      </c>
      <c r="H1661" t="s" s="7">
        <v>10521</v>
      </c>
      <c r="I1661" t="str" s="8" cm="1">
        <f t="array" ref="I1661">SUBSTITUTE(H1661,B1661,"(          )")</f>
        <v>I bought a (          ) speaker for outdoor parties.</v>
      </c>
      <c r="J1661" s="9" cm="1">
        <f t="array" ref="J1661">SUMIF('외운 것 - 엑셀다운로드 파일(붙여넣기)'!A3:A562,A1661,'외운 것 - 엑셀다운로드 파일(붙여넣기)'!D3:D562)</f>
        <v>0</v>
      </c>
      <c r="K1661" s="9" cm="1">
        <f t="array" ref="K1661">_xlfn.COUNTIFS('외운 것 - 엑셀다운로드 파일(붙여넣기)'!A3:A562,A1661,'외운 것 - 엑셀다운로드 파일(붙여넣기)'!D3:D562,0)</f>
        <v>0</v>
      </c>
      <c r="L1661" s="9" cm="1">
        <f t="array" ref="L1661">IF(J1661&gt;=3,_xlfn.XLOOKUP(A1661,'외운 것 - 엑셀다운로드 파일(붙여넣기)'!A3:A562,'외운 것 - 엑셀다운로드 파일(붙여넣기)'!C3:C562,0,-1),0)</f>
        <v>0</v>
      </c>
    </row>
    <row r="1662" ht="23.45" customHeight="1">
      <c r="A1662" s="3">
        <v>1661</v>
      </c>
      <c r="B1662" t="s" s="4">
        <v>10523</v>
      </c>
      <c r="C1662" t="s" s="5">
        <v>10510</v>
      </c>
      <c r="D1662" t="s" s="5">
        <v>10511</v>
      </c>
      <c r="E1662" t="s" s="5">
        <v>10524</v>
      </c>
      <c r="F1662" t="s" s="10">
        <v>10525</v>
      </c>
      <c r="G1662" t="s" s="7">
        <v>10526</v>
      </c>
      <c r="H1662" t="s" s="7">
        <v>10527</v>
      </c>
      <c r="I1662" t="str" s="8" cm="1">
        <f t="array" ref="I1662">SUBSTITUTE(H1662,B1662,"(          )")</f>
        <v>The (          ) carried our bags to the hotel room.</v>
      </c>
      <c r="J1662" s="9" cm="1">
        <f t="array" ref="J1662">SUMIF('외운 것 - 엑셀다운로드 파일(붙여넣기)'!A3:A562,A1662,'외운 것 - 엑셀다운로드 파일(붙여넣기)'!D3:D562)</f>
        <v>0</v>
      </c>
      <c r="K1662" s="9" cm="1">
        <f t="array" ref="K1662">_xlfn.COUNTIFS('외운 것 - 엑셀다운로드 파일(붙여넣기)'!A3:A562,A1662,'외운 것 - 엑셀다운로드 파일(붙여넣기)'!D3:D562,0)</f>
        <v>0</v>
      </c>
      <c r="L1662" s="9" cm="1">
        <f t="array" ref="L1662">IF(J1662&gt;=3,_xlfn.XLOOKUP(A1662,'외운 것 - 엑셀다운로드 파일(붙여넣기)'!A3:A562,'외운 것 - 엑셀다운로드 파일(붙여넣기)'!C3:C562,0,-1),0)</f>
        <v>0</v>
      </c>
    </row>
    <row r="1663" ht="38.45" customHeight="1">
      <c r="A1663" s="3">
        <v>1662</v>
      </c>
      <c r="B1663" t="s" s="4">
        <v>10529</v>
      </c>
      <c r="C1663" t="s" s="5">
        <v>10510</v>
      </c>
      <c r="D1663" t="s" s="5">
        <v>10511</v>
      </c>
      <c r="E1663" t="s" s="5">
        <v>10530</v>
      </c>
      <c r="F1663" t="s" s="10">
        <v>10531</v>
      </c>
      <c r="G1663" t="s" s="7">
        <v>10532</v>
      </c>
      <c r="H1663" t="s" s="7">
        <v>10533</v>
      </c>
      <c r="I1663" t="str" s="8" cm="1">
        <f t="array" ref="I1663">SUBSTITUTE(H1663,B1663,"(          )")</f>
        <v>The website serves as a (          ) to various educational resources.</v>
      </c>
      <c r="J1663" s="9" cm="1">
        <f t="array" ref="J1663">SUMIF('외운 것 - 엑셀다운로드 파일(붙여넣기)'!A3:A562,A1663,'외운 것 - 엑셀다운로드 파일(붙여넣기)'!D3:D562)</f>
        <v>0</v>
      </c>
      <c r="K1663" s="9" cm="1">
        <f t="array" ref="K1663">_xlfn.COUNTIFS('외운 것 - 엑셀다운로드 파일(붙여넣기)'!A3:A562,A1663,'외운 것 - 엑셀다운로드 파일(붙여넣기)'!D3:D562,0)</f>
        <v>0</v>
      </c>
      <c r="L1663" s="9" cm="1">
        <f t="array" ref="L1663">IF(J1663&gt;=3,_xlfn.XLOOKUP(A1663,'외운 것 - 엑셀다운로드 파일(붙여넣기)'!A3:A562,'외운 것 - 엑셀다운로드 파일(붙여넣기)'!C3:C562,0,-1),0)</f>
        <v>0</v>
      </c>
    </row>
    <row r="1664" ht="38.45" customHeight="1">
      <c r="A1664" s="3">
        <v>1663</v>
      </c>
      <c r="B1664" t="s" s="4">
        <v>10535</v>
      </c>
      <c r="C1664" t="s" s="5">
        <v>10510</v>
      </c>
      <c r="D1664" t="s" s="5">
        <v>10511</v>
      </c>
      <c r="E1664" t="s" s="5">
        <v>10536</v>
      </c>
      <c r="F1664" t="s" s="10">
        <v>10537</v>
      </c>
      <c r="G1664" t="s" s="7">
        <v>10538</v>
      </c>
      <c r="H1664" t="s" s="7">
        <v>10539</v>
      </c>
      <c r="I1664" t="str" s="8" cm="1">
        <f t="array" ref="I1664">SUBSTITUTE(H1664,B1664,"(          )")</f>
        <v>We sat on the (          ) enjoying the cool evening breeze.</v>
      </c>
      <c r="J1664" s="9" cm="1">
        <f t="array" ref="J1664">SUMIF('외운 것 - 엑셀다운로드 파일(붙여넣기)'!A3:A562,A1664,'외운 것 - 엑셀다운로드 파일(붙여넣기)'!D3:D562)</f>
        <v>0</v>
      </c>
      <c r="K1664" s="9" cm="1">
        <f t="array" ref="K1664">_xlfn.COUNTIFS('외운 것 - 엑셀다운로드 파일(붙여넣기)'!A3:A562,A1664,'외운 것 - 엑셀다운로드 파일(붙여넣기)'!D3:D562,0)</f>
        <v>0</v>
      </c>
      <c r="L1664" s="9" cm="1">
        <f t="array" ref="L1664">IF(J1664&gt;=3,_xlfn.XLOOKUP(A1664,'외운 것 - 엑셀다운로드 파일(붙여넣기)'!A3:A562,'외운 것 - 엑셀다운로드 파일(붙여넣기)'!C3:C562,0,-1),0)</f>
        <v>0</v>
      </c>
    </row>
    <row r="1665" ht="38.45" customHeight="1">
      <c r="A1665" s="3">
        <v>1664</v>
      </c>
      <c r="B1665" t="s" s="4">
        <v>10541</v>
      </c>
      <c r="C1665" t="s" s="5">
        <v>10510</v>
      </c>
      <c r="D1665" t="s" s="5">
        <v>10511</v>
      </c>
      <c r="E1665" t="s" s="5">
        <v>10542</v>
      </c>
      <c r="F1665" t="s" s="10">
        <v>10543</v>
      </c>
      <c r="G1665" t="s" s="7">
        <v>10544</v>
      </c>
      <c r="H1665" t="s" s="7">
        <v>10545</v>
      </c>
      <c r="I1665" t="str" s="8" cm="1">
        <f t="array" ref="I1665">SUBSTITUTE(H1665,B1665,"(          )")</f>
        <v>The artist showed us her (          ) of recent work.</v>
      </c>
      <c r="J1665" s="9" cm="1">
        <f t="array" ref="J1665">SUMIF('외운 것 - 엑셀다운로드 파일(붙여넣기)'!A3:A562,A1665,'외운 것 - 엑셀다운로드 파일(붙여넣기)'!D3:D562)</f>
        <v>0</v>
      </c>
      <c r="K1665" s="9" cm="1">
        <f t="array" ref="K1665">_xlfn.COUNTIFS('외운 것 - 엑셀다운로드 파일(붙여넣기)'!A3:A562,A1665,'외운 것 - 엑셀다운로드 파일(붙여넣기)'!D3:D562,0)</f>
        <v>0</v>
      </c>
      <c r="L1665" s="9" cm="1">
        <f t="array" ref="L1665">IF(J1665&gt;=3,_xlfn.XLOOKUP(A1665,'외운 것 - 엑셀다운로드 파일(붙여넣기)'!A3:A562,'외운 것 - 엑셀다운로드 파일(붙여넣기)'!C3:C562,0,-1),0)</f>
        <v>0</v>
      </c>
    </row>
    <row r="1666" ht="23.45" customHeight="1">
      <c r="A1666" s="3">
        <v>1665</v>
      </c>
      <c r="B1666" t="s" s="4">
        <v>10547</v>
      </c>
      <c r="C1666" t="s" s="5">
        <v>10510</v>
      </c>
      <c r="D1666" t="s" s="5">
        <v>10511</v>
      </c>
      <c r="E1666" t="s" s="5">
        <v>10548</v>
      </c>
      <c r="F1666" t="s" s="10">
        <v>10549</v>
      </c>
      <c r="G1666" t="s" s="7">
        <v>10550</v>
      </c>
      <c r="H1666" t="s" s="7">
        <v>10551</v>
      </c>
      <c r="I1666" t="str" s="8" cm="1">
        <f t="array" ref="I1666">SUBSTITUTE(H1666,B1666,"(          )")</f>
        <v>The museum displays (          )s of historical figures.</v>
      </c>
      <c r="J1666" s="9" cm="1">
        <f t="array" ref="J1666">SUMIF('외운 것 - 엑셀다운로드 파일(붙여넣기)'!A3:A562,A1666,'외운 것 - 엑셀다운로드 파일(붙여넣기)'!D3:D562)</f>
        <v>0</v>
      </c>
      <c r="K1666" s="9" cm="1">
        <f t="array" ref="K1666">_xlfn.COUNTIFS('외운 것 - 엑셀다운로드 파일(붙여넣기)'!A3:A562,A1666,'외운 것 - 엑셀다운로드 파일(붙여넣기)'!D3:D562,0)</f>
        <v>0</v>
      </c>
      <c r="L1666" s="9" cm="1">
        <f t="array" ref="L1666">IF(J1666&gt;=3,_xlfn.XLOOKUP(A1666,'외운 것 - 엑셀다운로드 파일(붙여넣기)'!A3:A562,'외운 것 - 엑셀다운로드 파일(붙여넣기)'!C3:C562,0,-1),0)</f>
        <v>0</v>
      </c>
    </row>
    <row r="1667" ht="23.45" customHeight="1">
      <c r="A1667" s="3">
        <v>1666</v>
      </c>
      <c r="B1667" t="s" s="4">
        <v>10553</v>
      </c>
      <c r="C1667" t="s" s="5">
        <v>10510</v>
      </c>
      <c r="D1667" t="s" s="5">
        <v>10511</v>
      </c>
      <c r="E1667" t="s" s="5">
        <v>10554</v>
      </c>
      <c r="F1667" t="s" s="10">
        <v>10555</v>
      </c>
      <c r="G1667" t="s" s="7">
        <v>10556</v>
      </c>
      <c r="H1667" t="s" s="7">
        <v>10557</v>
      </c>
      <c r="I1667" t="str" s="8" cm="1">
        <f t="array" ref="I1667">SUBSTITUTE(H1667,B1667,"(          )")</f>
        <v>He ate only a small (          ) of his dinner.</v>
      </c>
      <c r="J1667" s="9" cm="1">
        <f t="array" ref="J1667">SUMIF('외운 것 - 엑셀다운로드 파일(붙여넣기)'!A3:A562,A1667,'외운 것 - 엑셀다운로드 파일(붙여넣기)'!D3:D562)</f>
        <v>0</v>
      </c>
      <c r="K1667" s="9" cm="1">
        <f t="array" ref="K1667">_xlfn.COUNTIFS('외운 것 - 엑셀다운로드 파일(붙여넣기)'!A3:A562,A1667,'외운 것 - 엑셀다운로드 파일(붙여넣기)'!D3:D562,0)</f>
        <v>0</v>
      </c>
      <c r="L1667" s="9" cm="1">
        <f t="array" ref="L1667">IF(J1667&gt;=3,_xlfn.XLOOKUP(A1667,'외운 것 - 엑셀다운로드 파일(붙여넣기)'!A3:A562,'외운 것 - 엑셀다운로드 파일(붙여넣기)'!C3:C562,0,-1),0)</f>
        <v>0</v>
      </c>
    </row>
    <row r="1668" ht="38.45" customHeight="1">
      <c r="A1668" s="3">
        <v>1667</v>
      </c>
      <c r="B1668" t="s" s="4">
        <v>10559</v>
      </c>
      <c r="C1668" t="s" s="5">
        <v>10560</v>
      </c>
      <c r="D1668" t="s" s="5">
        <v>10510</v>
      </c>
      <c r="E1668" t="s" s="5">
        <v>10561</v>
      </c>
      <c r="F1668" t="s" s="10">
        <v>10562</v>
      </c>
      <c r="G1668" t="s" s="7">
        <v>10563</v>
      </c>
      <c r="H1668" t="s" s="7">
        <v>10564</v>
      </c>
      <c r="I1668" t="str" s="8" cm="1">
        <f t="array" ref="I1668">SUBSTITUTE(H1668,B1668,"(          )")</f>
        <v>The painting maintains perfect (          ) between all elements.</v>
      </c>
      <c r="J1668" s="9" cm="1">
        <f t="array" ref="J1668">SUMIF('외운 것 - 엑셀다운로드 파일(붙여넣기)'!A3:A562,A1668,'외운 것 - 엑셀다운로드 파일(붙여넣기)'!D3:D562)</f>
        <v>0</v>
      </c>
      <c r="K1668" s="9" cm="1">
        <f t="array" ref="K1668">_xlfn.COUNTIFS('외운 것 - 엑셀다운로드 파일(붙여넣기)'!A3:A562,A1668,'외운 것 - 엑셀다운로드 파일(붙여넣기)'!D3:D562,0)</f>
        <v>0</v>
      </c>
      <c r="L1668" s="9" cm="1">
        <f t="array" ref="L1668">IF(J1668&gt;=3,_xlfn.XLOOKUP(A1668,'외운 것 - 엑셀다운로드 파일(붙여넣기)'!A3:A562,'외운 것 - 엑셀다운로드 파일(붙여넣기)'!C3:C562,0,-1),0)</f>
        <v>0</v>
      </c>
    </row>
    <row r="1669" ht="23.45" customHeight="1">
      <c r="A1669" s="3">
        <v>1668</v>
      </c>
      <c r="B1669" t="s" s="4">
        <v>10566</v>
      </c>
      <c r="C1669" t="s" s="5">
        <v>10510</v>
      </c>
      <c r="D1669" t="s" s="5">
        <v>10511</v>
      </c>
      <c r="E1669" t="s" s="5">
        <v>10567</v>
      </c>
      <c r="F1669" t="s" s="10">
        <v>10568</v>
      </c>
      <c r="G1669" t="s" s="7">
        <v>10569</v>
      </c>
      <c r="H1669" t="s" s="7">
        <v>10570</v>
      </c>
      <c r="I1669" t="str" s="8" cm="1">
        <f t="array" ref="I1669">SUBSTITUTE(H1669,B1669,"(          )")</f>
        <v>We arrived at the (          ) two hours before our flight.</v>
      </c>
      <c r="J1669" s="9" cm="1">
        <f t="array" ref="J1669">SUMIF('외운 것 - 엑셀다운로드 파일(붙여넣기)'!A3:A562,A1669,'외운 것 - 엑셀다운로드 파일(붙여넣기)'!D3:D562)</f>
        <v>0</v>
      </c>
      <c r="K1669" s="9" cm="1">
        <f t="array" ref="K1669">_xlfn.COUNTIFS('외운 것 - 엑셀다운로드 파일(붙여넣기)'!A3:A562,A1669,'외운 것 - 엑셀다운로드 파일(붙여넣기)'!D3:D562,0)</f>
        <v>0</v>
      </c>
      <c r="L1669" s="9" cm="1">
        <f t="array" ref="L1669">IF(J1669&gt;=3,_xlfn.XLOOKUP(A1669,'외운 것 - 엑셀다운로드 파일(붙여넣기)'!A3:A562,'외운 것 - 엑셀다운로드 파일(붙여넣기)'!C3:C562,0,-1),0)</f>
        <v>0</v>
      </c>
    </row>
    <row r="1670" ht="23.45" customHeight="1">
      <c r="A1670" s="3">
        <v>1669</v>
      </c>
      <c r="B1670" t="s" s="4">
        <v>10572</v>
      </c>
      <c r="C1670" t="s" s="5">
        <v>10510</v>
      </c>
      <c r="D1670" t="s" s="5">
        <v>10511</v>
      </c>
      <c r="E1670" t="s" s="5">
        <v>10573</v>
      </c>
      <c r="F1670" t="s" s="10">
        <v>10574</v>
      </c>
      <c r="G1670" t="s" s="7">
        <v>10575</v>
      </c>
      <c r="H1670" t="s" s="7">
        <v>10576</v>
      </c>
      <c r="I1670" t="str" s="8" cm="1">
        <f t="array" ref="I1670">SUBSTITUTE(H1670,B1670,"(          )")</f>
        <v>You need a valid (          ) for international travel.</v>
      </c>
      <c r="J1670" s="9" cm="1">
        <f t="array" ref="J1670">SUMIF('외운 것 - 엑셀다운로드 파일(붙여넣기)'!A3:A562,A1670,'외운 것 - 엑셀다운로드 파일(붙여넣기)'!D3:D562)</f>
        <v>0</v>
      </c>
      <c r="K1670" s="9" cm="1">
        <f t="array" ref="K1670">_xlfn.COUNTIFS('외운 것 - 엑셀다운로드 파일(붙여넣기)'!A3:A562,A1670,'외운 것 - 엑셀다운로드 파일(붙여넣기)'!D3:D562,0)</f>
        <v>0</v>
      </c>
      <c r="L1670" s="9" cm="1">
        <f t="array" ref="L1670">IF(J1670&gt;=3,_xlfn.XLOOKUP(A1670,'외운 것 - 엑셀다운로드 파일(붙여넣기)'!A3:A562,'외운 것 - 엑셀다운로드 파일(붙여넣기)'!C3:C562,0,-1),0)</f>
        <v>0</v>
      </c>
    </row>
    <row r="1671" ht="23.45" customHeight="1">
      <c r="A1671" s="3">
        <v>1670</v>
      </c>
      <c r="B1671" t="s" s="4">
        <v>10578</v>
      </c>
      <c r="C1671" t="s" s="5">
        <v>10510</v>
      </c>
      <c r="D1671" t="s" s="5">
        <v>10511</v>
      </c>
      <c r="E1671" t="s" s="5">
        <v>10579</v>
      </c>
      <c r="F1671" t="s" s="10">
        <v>10580</v>
      </c>
      <c r="G1671" t="s" s="7">
        <v>10581</v>
      </c>
      <c r="H1671" t="s" s="7">
        <v>10582</v>
      </c>
      <c r="I1671" t="str" s="8" cm="1">
        <f t="array" ref="I1671">SUBSTITUTE(H1671,B1671,"(          )")</f>
        <v>The company provides (          ) for its employees.</v>
      </c>
      <c r="J1671" s="9" cm="1">
        <f t="array" ref="J1671">SUMIF('외운 것 - 엑셀다운로드 파일(붙여넣기)'!A3:A562,A1671,'외운 것 - 엑셀다운로드 파일(붙여넣기)'!D3:D562)</f>
        <v>0</v>
      </c>
      <c r="K1671" s="9" cm="1">
        <f t="array" ref="K1671">_xlfn.COUNTIFS('외운 것 - 엑셀다운로드 파일(붙여넣기)'!A3:A562,A1671,'외운 것 - 엑셀다운로드 파일(붙여넣기)'!D3:D562,0)</f>
        <v>0</v>
      </c>
      <c r="L1671" s="9" cm="1">
        <f t="array" ref="L1671">IF(J1671&gt;=3,_xlfn.XLOOKUP(A1671,'외운 것 - 엑셀다운로드 파일(붙여넣기)'!A3:A562,'외운 것 - 엑셀다운로드 파일(붙여넣기)'!C3:C562,0,-1),0)</f>
        <v>0</v>
      </c>
    </row>
    <row r="1672" ht="23.45" customHeight="1">
      <c r="A1672" s="3">
        <v>1671</v>
      </c>
      <c r="B1672" t="s" s="4">
        <v>10584</v>
      </c>
      <c r="C1672" t="s" s="5">
        <v>10510</v>
      </c>
      <c r="D1672" t="s" s="5">
        <v>10511</v>
      </c>
      <c r="E1672" t="s" s="5">
        <v>10585</v>
      </c>
      <c r="F1672" t="s" s="10">
        <v>10586</v>
      </c>
      <c r="G1672" t="s" s="7">
        <v>10587</v>
      </c>
      <c r="H1672" t="s" s="7">
        <v>10588</v>
      </c>
      <c r="I1672" t="str" s="8" cm="1">
        <f t="array" ref="I1672">SUBSTITUTE(H1672,B1672,"(          )")</f>
        <v>Japan must (          ) most of its oil.</v>
      </c>
      <c r="J1672" s="9" cm="1">
        <f t="array" ref="J1672">SUMIF('외운 것 - 엑셀다운로드 파일(붙여넣기)'!A3:A562,A1672,'외운 것 - 엑셀다운로드 파일(붙여넣기)'!D3:D562)</f>
        <v>0</v>
      </c>
      <c r="K1672" s="9" cm="1">
        <f t="array" ref="K1672">_xlfn.COUNTIFS('외운 것 - 엑셀다운로드 파일(붙여넣기)'!A3:A562,A1672,'외운 것 - 엑셀다운로드 파일(붙여넣기)'!D3:D562,0)</f>
        <v>0</v>
      </c>
      <c r="L1672" s="9" cm="1">
        <f t="array" ref="L1672">IF(J1672&gt;=3,_xlfn.XLOOKUP(A1672,'외운 것 - 엑셀다운로드 파일(붙여넣기)'!A3:A562,'외운 것 - 엑셀다운로드 파일(붙여넣기)'!C3:C562,0,-1),0)</f>
        <v>0</v>
      </c>
    </row>
    <row r="1673" ht="23.45" customHeight="1">
      <c r="A1673" s="3">
        <v>1672</v>
      </c>
      <c r="B1673" t="s" s="4">
        <v>10590</v>
      </c>
      <c r="C1673" t="s" s="5">
        <v>10510</v>
      </c>
      <c r="D1673" t="s" s="5">
        <v>10511</v>
      </c>
      <c r="E1673" t="s" s="5">
        <v>10591</v>
      </c>
      <c r="F1673" t="s" s="10">
        <v>10592</v>
      </c>
      <c r="G1673" t="s" s="7">
        <v>10593</v>
      </c>
      <c r="H1673" t="s" s="7">
        <v>10594</v>
      </c>
      <c r="I1673" t="str" s="8" cm="1">
        <f t="array" ref="I1673">SUBSTITUTE(H1673,B1673,"(          )")</f>
        <v>It's (          ) to exercise regularly.</v>
      </c>
      <c r="J1673" s="9" cm="1">
        <f t="array" ref="J1673">SUMIF('외운 것 - 엑셀다운로드 파일(붙여넣기)'!A3:A562,A1673,'외운 것 - 엑셀다운로드 파일(붙여넣기)'!D3:D562)</f>
        <v>0</v>
      </c>
      <c r="K1673" s="9" cm="1">
        <f t="array" ref="K1673">_xlfn.COUNTIFS('외운 것 - 엑셀다운로드 파일(붙여넣기)'!A3:A562,A1673,'외운 것 - 엑셀다운로드 파일(붙여넣기)'!D3:D562,0)</f>
        <v>0</v>
      </c>
      <c r="L1673" s="9" cm="1">
        <f t="array" ref="L1673">IF(J1673&gt;=3,_xlfn.XLOOKUP(A1673,'외운 것 - 엑셀다운로드 파일(붙여넣기)'!A3:A562,'외운 것 - 엑셀다운로드 파일(붙여넣기)'!C3:C562,0,-1),0)</f>
        <v>0</v>
      </c>
    </row>
    <row r="1674" ht="23.45" customHeight="1">
      <c r="A1674" s="3">
        <v>1673</v>
      </c>
      <c r="B1674" t="s" s="4">
        <v>10596</v>
      </c>
      <c r="C1674" t="s" s="5">
        <v>10510</v>
      </c>
      <c r="D1674" t="s" s="5">
        <v>10511</v>
      </c>
      <c r="E1674" t="s" s="5">
        <v>10597</v>
      </c>
      <c r="F1674" t="s" s="10">
        <v>10598</v>
      </c>
      <c r="G1674" t="s" s="7">
        <v>10599</v>
      </c>
      <c r="H1674" t="s" s="7">
        <v>10600</v>
      </c>
      <c r="I1674" t="str" s="8" cm="1">
        <f t="array" ref="I1674">SUBSTITUTE(H1674,B1674,"(          )")</f>
        <v>Thailand (          )s rice to many countries.</v>
      </c>
      <c r="J1674" s="9" cm="1">
        <f t="array" ref="J1674">SUMIF('외운 것 - 엑셀다운로드 파일(붙여넣기)'!A3:A562,A1674,'외운 것 - 엑셀다운로드 파일(붙여넣기)'!D3:D562)</f>
        <v>0</v>
      </c>
      <c r="K1674" s="9" cm="1">
        <f t="array" ref="K1674">_xlfn.COUNTIFS('외운 것 - 엑셀다운로드 파일(붙여넣기)'!A3:A562,A1674,'외운 것 - 엑셀다운로드 파일(붙여넣기)'!D3:D562,0)</f>
        <v>0</v>
      </c>
      <c r="L1674" s="9" cm="1">
        <f t="array" ref="L1674">IF(J1674&gt;=3,_xlfn.XLOOKUP(A1674,'외운 것 - 엑셀다운로드 파일(붙여넣기)'!A3:A562,'외운 것 - 엑셀다운로드 파일(붙여넣기)'!C3:C562,0,-1),0)</f>
        <v>0</v>
      </c>
    </row>
    <row r="1675" ht="23.45" customHeight="1">
      <c r="A1675" s="3">
        <v>1674</v>
      </c>
      <c r="B1675" t="s" s="4">
        <v>10602</v>
      </c>
      <c r="C1675" t="s" s="5">
        <v>10510</v>
      </c>
      <c r="D1675" t="s" s="5">
        <v>10511</v>
      </c>
      <c r="E1675" t="s" s="5">
        <v>10603</v>
      </c>
      <c r="F1675" t="s" s="10">
        <v>10604</v>
      </c>
      <c r="G1675" t="s" s="7">
        <v>10605</v>
      </c>
      <c r="H1675" t="s" s="7">
        <v>10606</v>
      </c>
      <c r="I1675" t="str" s="8" cm="1">
        <f t="array" ref="I1675">SUBSTITUTE(H1675,B1675,"(          )")</f>
        <v>The country may (          ) illegal immigrants.</v>
      </c>
      <c r="J1675" s="9" cm="1">
        <f t="array" ref="J1675">SUMIF('외운 것 - 엑셀다운로드 파일(붙여넣기)'!A3:A562,A1675,'외운 것 - 엑셀다운로드 파일(붙여넣기)'!D3:D562)</f>
        <v>0</v>
      </c>
      <c r="K1675" s="9" cm="1">
        <f t="array" ref="K1675">_xlfn.COUNTIFS('외운 것 - 엑셀다운로드 파일(붙여넣기)'!A3:A562,A1675,'외운 것 - 엑셀다운로드 파일(붙여넣기)'!D3:D562,0)</f>
        <v>0</v>
      </c>
      <c r="L1675" s="9" cm="1">
        <f t="array" ref="L1675">IF(J1675&gt;=3,_xlfn.XLOOKUP(A1675,'외운 것 - 엑셀다운로드 파일(붙여넣기)'!A3:A562,'외운 것 - 엑셀다운로드 파일(붙여넣기)'!C3:C562,0,-1),0)</f>
        <v>0</v>
      </c>
    </row>
    <row r="1676" ht="23.45" customHeight="1">
      <c r="A1676" s="3">
        <v>1675</v>
      </c>
      <c r="B1676" t="s" s="4">
        <v>10608</v>
      </c>
      <c r="C1676" t="s" s="5">
        <v>10510</v>
      </c>
      <c r="D1676" t="s" s="5">
        <v>10511</v>
      </c>
      <c r="E1676" t="s" s="5">
        <v>10609</v>
      </c>
      <c r="F1676" t="s" s="10">
        <v>10610</v>
      </c>
      <c r="G1676" t="s" s="7">
        <v>10611</v>
      </c>
      <c r="H1676" t="s" s="7">
        <v>10612</v>
      </c>
      <c r="I1676" t="str" s="8" cm="1">
        <f t="array" ref="I1676">SUBSTITUTE(H1676,B1676,"(          )")</f>
        <v>The scientists published a (          ) on climate change.</v>
      </c>
      <c r="J1676" s="9" cm="1">
        <f t="array" ref="J1676">SUMIF('외운 것 - 엑셀다운로드 파일(붙여넣기)'!A3:A562,A1676,'외운 것 - 엑셀다운로드 파일(붙여넣기)'!D3:D562)</f>
        <v>0</v>
      </c>
      <c r="K1676" s="9" cm="1">
        <f t="array" ref="K1676">_xlfn.COUNTIFS('외운 것 - 엑셀다운로드 파일(붙여넣기)'!A3:A562,A1676,'외운 것 - 엑셀다운로드 파일(붙여넣기)'!D3:D562,0)</f>
        <v>0</v>
      </c>
      <c r="L1676" s="9" cm="1">
        <f t="array" ref="L1676">IF(J1676&gt;=3,_xlfn.XLOOKUP(A1676,'외운 것 - 엑셀다운로드 파일(붙여넣기)'!A3:A562,'외운 것 - 엑셀다운로드 파일(붙여넣기)'!C3:C562,0,-1),0)</f>
        <v>0</v>
      </c>
    </row>
    <row r="1677" ht="36.4" customHeight="1">
      <c r="A1677" s="3">
        <v>1676</v>
      </c>
      <c r="B1677" t="s" s="4">
        <v>10614</v>
      </c>
      <c r="C1677" t="s" s="5">
        <v>10615</v>
      </c>
      <c r="D1677" t="s" s="5">
        <v>10510</v>
      </c>
      <c r="E1677" t="s" s="5">
        <v>10616</v>
      </c>
      <c r="F1677" t="s" s="10">
        <v>10617</v>
      </c>
      <c r="G1677" t="s" s="7">
        <v>10618</v>
      </c>
      <c r="H1677" t="s" s="7">
        <v>10619</v>
      </c>
      <c r="I1677" t="str" s="8" cm="1">
        <f t="array" ref="I1677">SUBSTITUTE(H1677,B1677,"(          )")</f>
        <v>The (          ) interviewed survivors of the disaster.</v>
      </c>
      <c r="J1677" s="9" cm="1">
        <f t="array" ref="J1677">SUMIF('외운 것 - 엑셀다운로드 파일(붙여넣기)'!A3:A562,A1677,'외운 것 - 엑셀다운로드 파일(붙여넣기)'!D3:D562)</f>
        <v>0</v>
      </c>
      <c r="K1677" s="9" cm="1">
        <f t="array" ref="K1677">_xlfn.COUNTIFS('외운 것 - 엑셀다운로드 파일(붙여넣기)'!A3:A562,A1677,'외운 것 - 엑셀다운로드 파일(붙여넣기)'!D3:D562,0)</f>
        <v>0</v>
      </c>
      <c r="L1677" s="9" cm="1">
        <f t="array" ref="L1677">IF(J1677&gt;=3,_xlfn.XLOOKUP(A1677,'외운 것 - 엑셀다운로드 파일(붙여넣기)'!A3:A562,'외운 것 - 엑셀다운로드 파일(붙여넣기)'!C3:C562,0,-1),0)</f>
        <v>0</v>
      </c>
    </row>
    <row r="1678" ht="38.45" customHeight="1">
      <c r="A1678" s="3">
        <v>1677</v>
      </c>
      <c r="B1678" t="s" s="4">
        <v>10621</v>
      </c>
      <c r="C1678" t="s" s="5">
        <v>10510</v>
      </c>
      <c r="D1678" t="s" s="5">
        <v>10511</v>
      </c>
      <c r="E1678" t="s" s="5">
        <v>10622</v>
      </c>
      <c r="F1678" t="s" s="10">
        <v>10623</v>
      </c>
      <c r="G1678" t="s" s="7">
        <v>10624</v>
      </c>
      <c r="H1678" t="s" s="7">
        <v>10625</v>
      </c>
      <c r="I1678" t="str" s="8" cm="1">
        <f t="array" ref="I1678">SUBSTITUTE(H1678,B1678,"(          )")</f>
        <v>Parents (          ) their children both emotionally and financially.</v>
      </c>
      <c r="J1678" s="9" cm="1">
        <f t="array" ref="J1678">SUMIF('외운 것 - 엑셀다운로드 파일(붙여넣기)'!A3:A562,A1678,'외운 것 - 엑셀다운로드 파일(붙여넣기)'!D3:D562)</f>
        <v>0</v>
      </c>
      <c r="K1678" s="9" cm="1">
        <f t="array" ref="K1678">_xlfn.COUNTIFS('외운 것 - 엑셀다운로드 파일(붙여넣기)'!A3:A562,A1678,'외운 것 - 엑셀다운로드 파일(붙여넣기)'!D3:D562,0)</f>
        <v>0</v>
      </c>
      <c r="L1678" s="9" cm="1">
        <f t="array" ref="L1678">IF(J1678&gt;=3,_xlfn.XLOOKUP(A1678,'외운 것 - 엑셀다운로드 파일(붙여넣기)'!A3:A562,'외운 것 - 엑셀다운로드 파일(붙여넣기)'!C3:C562,0,-1),0)</f>
        <v>0</v>
      </c>
    </row>
    <row r="1679" ht="38.45" customHeight="1">
      <c r="A1679" s="3">
        <v>1678</v>
      </c>
      <c r="B1679" t="s" s="4">
        <v>9355</v>
      </c>
      <c r="C1679" t="s" s="5">
        <v>10510</v>
      </c>
      <c r="D1679" t="s" s="5">
        <v>10511</v>
      </c>
      <c r="E1679" t="s" s="5">
        <v>9357</v>
      </c>
      <c r="F1679" t="s" s="10">
        <v>10627</v>
      </c>
      <c r="G1679" t="s" s="7">
        <v>9359</v>
      </c>
      <c r="H1679" t="s" s="7">
        <v>9360</v>
      </c>
      <c r="I1679" t="str" s="8" cm="1">
        <f t="array" ref="I1679">SUBSTITUTE(H1679,B1679,"(          )")</f>
        <v>Education provides opportunities for a better future.</v>
      </c>
      <c r="J1679" s="9" cm="1">
        <f t="array" ref="J1679">SUMIF('외운 것 - 엑셀다운로드 파일(붙여넣기)'!A3:A562,A1679,'외운 것 - 엑셀다운로드 파일(붙여넣기)'!D3:D562)</f>
        <v>0</v>
      </c>
      <c r="K1679" s="9" cm="1">
        <f t="array" ref="K1679">_xlfn.COUNTIFS('외운 것 - 엑셀다운로드 파일(붙여넣기)'!A3:A562,A1679,'외운 것 - 엑셀다운로드 파일(붙여넣기)'!D3:D562,0)</f>
        <v>0</v>
      </c>
      <c r="L1679" s="9" cm="1">
        <f t="array" ref="L1679">IF(J1679&gt;=3,_xlfn.XLOOKUP(A1679,'외운 것 - 엑셀다운로드 파일(붙여넣기)'!A3:A562,'외운 것 - 엑셀다운로드 파일(붙여넣기)'!C3:C562,0,-1),0)</f>
        <v>0</v>
      </c>
    </row>
    <row r="1680" ht="38.45" customHeight="1">
      <c r="A1680" s="3">
        <v>1679</v>
      </c>
      <c r="B1680" t="s" s="4">
        <v>10628</v>
      </c>
      <c r="C1680" t="s" s="5">
        <v>10629</v>
      </c>
      <c r="D1680" t="s" s="5">
        <v>10630</v>
      </c>
      <c r="E1680" t="s" s="5">
        <v>10631</v>
      </c>
      <c r="F1680" t="s" s="10">
        <v>10632</v>
      </c>
      <c r="G1680" t="s" s="7">
        <v>10633</v>
      </c>
      <c r="H1680" t="s" s="7">
        <v>10634</v>
      </c>
      <c r="I1680" t="str" s="8" cm="1">
        <f t="array" ref="I1680">SUBSTITUTE(H1680,B1680,"(          )")</f>
        <v>Please (          ) your name clearly on the form.</v>
      </c>
      <c r="J1680" s="9" cm="1">
        <f t="array" ref="J1680">SUMIF('외운 것 - 엑셀다운로드 파일(붙여넣기)'!A3:A562,A1680,'외운 것 - 엑셀다운로드 파일(붙여넣기)'!D3:D562)</f>
        <v>0</v>
      </c>
      <c r="K1680" s="9" cm="1">
        <f t="array" ref="K1680">_xlfn.COUNTIFS('외운 것 - 엑셀다운로드 파일(붙여넣기)'!A3:A562,A1680,'외운 것 - 엑셀다운로드 파일(붙여넣기)'!D3:D562,0)</f>
        <v>0</v>
      </c>
      <c r="L1680" s="9" cm="1">
        <f t="array" ref="L1680">IF(J1680&gt;=3,_xlfn.XLOOKUP(A1680,'외운 것 - 엑셀다운로드 파일(붙여넣기)'!A3:A562,'외운 것 - 엑셀다운로드 파일(붙여넣기)'!C3:C562,0,-1),0)</f>
        <v>0</v>
      </c>
    </row>
    <row r="1681" ht="38.45" customHeight="1">
      <c r="A1681" s="3">
        <v>1680</v>
      </c>
      <c r="B1681" t="s" s="4">
        <v>10636</v>
      </c>
      <c r="C1681" t="s" s="5">
        <v>10629</v>
      </c>
      <c r="D1681" t="s" s="5">
        <v>10630</v>
      </c>
      <c r="E1681" t="s" s="5">
        <v>10637</v>
      </c>
      <c r="F1681" t="s" s="10">
        <v>10638</v>
      </c>
      <c r="G1681" t="s" s="7">
        <v>10639</v>
      </c>
      <c r="H1681" t="s" s="7">
        <v>10640</v>
      </c>
      <c r="I1681" t="str" s="8" cm="1">
        <f t="array" ref="I1681">SUBSTITUTE(H1681,B1681,"(          )")</f>
        <v>The parents felt (          ) in their child's accomplishments.</v>
      </c>
      <c r="J1681" s="9" cm="1">
        <f t="array" ref="J1681">SUMIF('외운 것 - 엑셀다운로드 파일(붙여넣기)'!A3:A562,A1681,'외운 것 - 엑셀다운로드 파일(붙여넣기)'!D3:D562)</f>
        <v>0</v>
      </c>
      <c r="K1681" s="9" cm="1">
        <f t="array" ref="K1681">_xlfn.COUNTIFS('외운 것 - 엑셀다운로드 파일(붙여넣기)'!A3:A562,A1681,'외운 것 - 엑셀다운로드 파일(붙여넣기)'!D3:D562,0)</f>
        <v>0</v>
      </c>
      <c r="L1681" s="9" cm="1">
        <f t="array" ref="L1681">IF(J1681&gt;=3,_xlfn.XLOOKUP(A1681,'외운 것 - 엑셀다운로드 파일(붙여넣기)'!A3:A562,'외운 것 - 엑셀다운로드 파일(붙여넣기)'!C3:C562,0,-1),0)</f>
        <v>0</v>
      </c>
    </row>
    <row r="1682" ht="38.45" customHeight="1">
      <c r="A1682" s="3">
        <v>1681</v>
      </c>
      <c r="B1682" t="s" s="4">
        <v>10642</v>
      </c>
      <c r="C1682" t="s" s="5">
        <v>10629</v>
      </c>
      <c r="D1682" t="s" s="5">
        <v>10630</v>
      </c>
      <c r="E1682" t="s" s="5">
        <v>10643</v>
      </c>
      <c r="F1682" t="s" s="10">
        <v>10644</v>
      </c>
      <c r="G1682" t="s" s="7">
        <v>10645</v>
      </c>
      <c r="H1682" t="s" s="7">
        <v>10646</v>
      </c>
      <c r="I1682" t="str" s="8" cm="1">
        <f t="array" ref="I1682">SUBSTITUTE(H1682,B1682,"(          )")</f>
        <v>She was (          ) of completing the marathon.</v>
      </c>
      <c r="J1682" s="9" cm="1">
        <f t="array" ref="J1682">SUMIF('외운 것 - 엑셀다운로드 파일(붙여넣기)'!A3:A562,A1682,'외운 것 - 엑셀다운로드 파일(붙여넣기)'!D3:D562)</f>
        <v>0</v>
      </c>
      <c r="K1682" s="9" cm="1">
        <f t="array" ref="K1682">_xlfn.COUNTIFS('외운 것 - 엑셀다운로드 파일(붙여넣기)'!A3:A562,A1682,'외운 것 - 엑셀다운로드 파일(붙여넣기)'!D3:D562,0)</f>
        <v>0</v>
      </c>
      <c r="L1682" s="9" cm="1">
        <f t="array" ref="L1682">IF(J1682&gt;=3,_xlfn.XLOOKUP(A1682,'외운 것 - 엑셀다운로드 파일(붙여넣기)'!A3:A562,'외운 것 - 엑셀다운로드 파일(붙여넣기)'!C3:C562,0,-1),0)</f>
        <v>0</v>
      </c>
    </row>
    <row r="1683" ht="38.45" customHeight="1">
      <c r="A1683" s="3">
        <v>1682</v>
      </c>
      <c r="B1683" t="s" s="4">
        <v>10648</v>
      </c>
      <c r="C1683" t="s" s="5">
        <v>10649</v>
      </c>
      <c r="D1683" t="s" s="5">
        <v>10629</v>
      </c>
      <c r="E1683" t="s" s="5">
        <v>10650</v>
      </c>
      <c r="F1683" t="s" s="10">
        <v>10651</v>
      </c>
      <c r="G1683" t="s" s="7">
        <v>10652</v>
      </c>
      <c r="H1683" t="s" s="7">
        <v>10653</v>
      </c>
      <c r="I1683" t="str" s="8" cm="1">
        <f t="array" ref="I1683">SUBSTITUTE(H1683,B1683,"(          )")</f>
        <v>Flowers bloom in (          ).</v>
      </c>
      <c r="J1683" s="9" cm="1">
        <f t="array" ref="J1683">SUMIF('외운 것 - 엑셀다운로드 파일(붙여넣기)'!A3:A562,A1683,'외운 것 - 엑셀다운로드 파일(붙여넣기)'!D3:D562)</f>
        <v>0</v>
      </c>
      <c r="K1683" s="9" cm="1">
        <f t="array" ref="K1683">_xlfn.COUNTIFS('외운 것 - 엑셀다운로드 파일(붙여넣기)'!A3:A562,A1683,'외운 것 - 엑셀다운로드 파일(붙여넣기)'!D3:D562,0)</f>
        <v>0</v>
      </c>
      <c r="L1683" s="9" cm="1">
        <f t="array" ref="L1683">IF(J1683&gt;=3,_xlfn.XLOOKUP(A1683,'외운 것 - 엑셀다운로드 파일(붙여넣기)'!A3:A562,'외운 것 - 엑셀다운로드 파일(붙여넣기)'!C3:C562,0,-1),0)</f>
        <v>0</v>
      </c>
    </row>
    <row r="1684" ht="38.45" customHeight="1">
      <c r="A1684" s="3">
        <v>1683</v>
      </c>
      <c r="B1684" t="s" s="4">
        <v>10655</v>
      </c>
      <c r="C1684" t="s" s="5">
        <v>10649</v>
      </c>
      <c r="D1684" t="s" s="5">
        <v>10629</v>
      </c>
      <c r="E1684" t="s" s="5">
        <v>10656</v>
      </c>
      <c r="F1684" t="s" s="10">
        <v>10657</v>
      </c>
      <c r="G1684" t="s" s="7">
        <v>10658</v>
      </c>
      <c r="H1684" t="s" s="7">
        <v>10659</v>
      </c>
      <c r="I1684" t="str" s="8" cm="1">
        <f t="array" ref="I1684">SUBSTITUTE(H1684,B1684,"(          )")</f>
        <v>Bean seeds (          ) quickly with proper care.</v>
      </c>
      <c r="J1684" s="9" cm="1">
        <f t="array" ref="J1684">SUMIF('외운 것 - 엑셀다운로드 파일(붙여넣기)'!A3:A562,A1684,'외운 것 - 엑셀다운로드 파일(붙여넣기)'!D3:D562)</f>
        <v>0</v>
      </c>
      <c r="K1684" s="9" cm="1">
        <f t="array" ref="K1684">_xlfn.COUNTIFS('외운 것 - 엑셀다운로드 파일(붙여넣기)'!A3:A562,A1684,'외운 것 - 엑셀다운로드 파일(붙여넣기)'!D3:D562,0)</f>
        <v>0</v>
      </c>
      <c r="L1684" s="9" cm="1">
        <f t="array" ref="L1684">IF(J1684&gt;=3,_xlfn.XLOOKUP(A1684,'외운 것 - 엑셀다운로드 파일(붙여넣기)'!A3:A562,'외운 것 - 엑셀다운로드 파일(붙여넣기)'!C3:C562,0,-1),0)</f>
        <v>0</v>
      </c>
    </row>
    <row r="1685" ht="23.45" customHeight="1">
      <c r="A1685" s="3">
        <v>1684</v>
      </c>
      <c r="B1685" t="s" s="4">
        <v>10661</v>
      </c>
      <c r="C1685" t="s" s="5">
        <v>10649</v>
      </c>
      <c r="D1685" t="s" s="5">
        <v>10629</v>
      </c>
      <c r="E1685" t="s" s="5">
        <v>10662</v>
      </c>
      <c r="F1685" t="s" s="10">
        <v>10663</v>
      </c>
      <c r="G1685" t="s" s="7">
        <v>10664</v>
      </c>
      <c r="H1685" t="s" s="7">
        <v>10665</v>
      </c>
      <c r="I1685" t="str" s="8" cm="1">
        <f t="array" ref="I1685">SUBSTITUTE(H1685,B1685,"(          )")</f>
        <v>The (          ) danced through the magical forest.</v>
      </c>
      <c r="J1685" s="9" cm="1">
        <f t="array" ref="J1685">SUMIF('외운 것 - 엑셀다운로드 파일(붙여넣기)'!A3:A562,A1685,'외운 것 - 엑셀다운로드 파일(붙여넣기)'!D3:D562)</f>
        <v>0</v>
      </c>
      <c r="K1685" s="9" cm="1">
        <f t="array" ref="K1685">_xlfn.COUNTIFS('외운 것 - 엑셀다운로드 파일(붙여넣기)'!A3:A562,A1685,'외운 것 - 엑셀다운로드 파일(붙여넣기)'!D3:D562,0)</f>
        <v>0</v>
      </c>
      <c r="L1685" s="9" cm="1">
        <f t="array" ref="L1685">IF(J1685&gt;=3,_xlfn.XLOOKUP(A1685,'외운 것 - 엑셀다운로드 파일(붙여넣기)'!A3:A562,'외운 것 - 엑셀다운로드 파일(붙여넣기)'!C3:C562,0,-1),0)</f>
        <v>0</v>
      </c>
    </row>
    <row r="1686" ht="38.45" customHeight="1">
      <c r="A1686" s="3">
        <v>1685</v>
      </c>
      <c r="B1686" t="s" s="4">
        <v>10667</v>
      </c>
      <c r="C1686" t="s" s="5">
        <v>10649</v>
      </c>
      <c r="D1686" t="s" s="5">
        <v>10629</v>
      </c>
      <c r="E1686" t="s" s="5">
        <v>10668</v>
      </c>
      <c r="F1686" t="s" s="10">
        <v>10669</v>
      </c>
      <c r="G1686" t="s" s="7">
        <v>10670</v>
      </c>
      <c r="H1686" t="s" s="7">
        <v>10671</v>
      </c>
      <c r="I1686" t="str" s="8" cm="1">
        <f t="array" ref="I1686">SUBSTITUTE(H1686,B1686,"(          )")</f>
        <v>The athlete can (          ) 100 meters in under 10 seconds.</v>
      </c>
      <c r="J1686" s="9" cm="1">
        <f t="array" ref="J1686">SUMIF('외운 것 - 엑셀다운로드 파일(붙여넣기)'!A3:A562,A1686,'외운 것 - 엑셀다운로드 파일(붙여넣기)'!D3:D562)</f>
        <v>0</v>
      </c>
      <c r="K1686" s="9" cm="1">
        <f t="array" ref="K1686">_xlfn.COUNTIFS('외운 것 - 엑셀다운로드 파일(붙여넣기)'!A3:A562,A1686,'외운 것 - 엑셀다운로드 파일(붙여넣기)'!D3:D562,0)</f>
        <v>0</v>
      </c>
      <c r="L1686" s="9" cm="1">
        <f t="array" ref="L1686">IF(J1686&gt;=3,_xlfn.XLOOKUP(A1686,'외운 것 - 엑셀다운로드 파일(붙여넣기)'!A3:A562,'외운 것 - 엑셀다운로드 파일(붙여넣기)'!C3:C562,0,-1),0)</f>
        <v>0</v>
      </c>
    </row>
    <row r="1687" ht="38.45" customHeight="1">
      <c r="A1687" s="3">
        <v>1686</v>
      </c>
      <c r="B1687" t="s" s="4">
        <v>10673</v>
      </c>
      <c r="C1687" t="s" s="5">
        <v>10649</v>
      </c>
      <c r="D1687" t="s" s="5">
        <v>10629</v>
      </c>
      <c r="E1687" t="s" s="5">
        <v>10674</v>
      </c>
      <c r="F1687" t="s" s="10">
        <v>10675</v>
      </c>
      <c r="G1687" t="s" s="7">
        <v>2693</v>
      </c>
      <c r="H1687" t="s" s="7">
        <v>10676</v>
      </c>
      <c r="I1687" t="str" s="8" cm="1">
        <f t="array" ref="I1687">SUBSTITUTE(H1687,B1687,"(          )")</f>
        <v>Sprinkle some salt on the food to enhance the flavor.</v>
      </c>
      <c r="J1687" s="9" cm="1">
        <f t="array" ref="J1687">SUMIF('외운 것 - 엑셀다운로드 파일(붙여넣기)'!A3:A562,A1687,'외운 것 - 엑셀다운로드 파일(붙여넣기)'!D3:D562)</f>
        <v>0</v>
      </c>
      <c r="K1687" s="9" cm="1">
        <f t="array" ref="K1687">_xlfn.COUNTIFS('외운 것 - 엑셀다운로드 파일(붙여넣기)'!A3:A562,A1687,'외운 것 - 엑셀다운로드 파일(붙여넣기)'!D3:D562,0)</f>
        <v>0</v>
      </c>
      <c r="L1687" s="9" cm="1">
        <f t="array" ref="L1687">IF(J1687&gt;=3,_xlfn.XLOOKUP(A1687,'외운 것 - 엑셀다운로드 파일(붙여넣기)'!A3:A562,'외운 것 - 엑셀다운로드 파일(붙여넣기)'!C3:C562,0,-1),0)</f>
        <v>0</v>
      </c>
    </row>
    <row r="1688" ht="23.45" customHeight="1">
      <c r="A1688" s="3">
        <v>1687</v>
      </c>
      <c r="B1688" t="s" s="4">
        <v>10678</v>
      </c>
      <c r="C1688" t="s" s="5">
        <v>10649</v>
      </c>
      <c r="D1688" t="s" s="5">
        <v>10629</v>
      </c>
      <c r="E1688" t="s" s="5">
        <v>10679</v>
      </c>
      <c r="F1688" t="s" s="10">
        <v>10680</v>
      </c>
      <c r="G1688" t="s" s="7">
        <v>10681</v>
      </c>
      <c r="H1688" t="s" s="7">
        <v>10682</v>
      </c>
      <c r="I1688" t="str" s="8" cm="1">
        <f t="array" ref="I1688">SUBSTITUTE(H1688,B1688,"(          )")</f>
        <v>The gardener will (          ) the plants to control pests.</v>
      </c>
      <c r="J1688" s="9" cm="1">
        <f t="array" ref="J1688">SUMIF('외운 것 - 엑셀다운로드 파일(붙여넣기)'!A3:A562,A1688,'외운 것 - 엑셀다운로드 파일(붙여넣기)'!D3:D562)</f>
        <v>0</v>
      </c>
      <c r="K1688" s="9" cm="1">
        <f t="array" ref="K1688">_xlfn.COUNTIFS('외운 것 - 엑셀다운로드 파일(붙여넣기)'!A3:A562,A1688,'외운 것 - 엑셀다운로드 파일(붙여넣기)'!D3:D562,0)</f>
        <v>0</v>
      </c>
      <c r="L1688" s="9" cm="1">
        <f t="array" ref="L1688">IF(J1688&gt;=3,_xlfn.XLOOKUP(A1688,'외운 것 - 엑셀다운로드 파일(붙여넣기)'!A3:A562,'외운 것 - 엑셀다운로드 파일(붙여넣기)'!C3:C562,0,-1),0)</f>
        <v>0</v>
      </c>
    </row>
    <row r="1689" ht="23.45" customHeight="1">
      <c r="A1689" s="3">
        <v>1688</v>
      </c>
      <c r="B1689" t="s" s="4">
        <v>10684</v>
      </c>
      <c r="C1689" t="s" s="5">
        <v>10649</v>
      </c>
      <c r="D1689" t="s" s="5">
        <v>10629</v>
      </c>
      <c r="E1689" t="s" s="5">
        <v>10685</v>
      </c>
      <c r="F1689" t="s" s="10">
        <v>10686</v>
      </c>
      <c r="G1689" t="s" s="7">
        <v>10687</v>
      </c>
      <c r="H1689" t="s" s="7">
        <v>10688</v>
      </c>
      <c r="I1689" t="str" s="8" cm="1">
        <f t="array" ref="I1689">SUBSTITUTE(H1689,B1689,"(          )")</f>
        <v>The disease can (          ) through physical contact.</v>
      </c>
      <c r="J1689" s="9" cm="1">
        <f t="array" ref="J1689">SUMIF('외운 것 - 엑셀다운로드 파일(붙여넣기)'!A3:A562,A1689,'외운 것 - 엑셀다운로드 파일(붙여넣기)'!D3:D562)</f>
        <v>0</v>
      </c>
      <c r="K1689" s="9" cm="1">
        <f t="array" ref="K1689">_xlfn.COUNTIFS('외운 것 - 엑셀다운로드 파일(붙여넣기)'!A3:A562,A1689,'외운 것 - 엑셀다운로드 파일(붙여넣기)'!D3:D562,0)</f>
        <v>0</v>
      </c>
      <c r="L1689" s="9" cm="1">
        <f t="array" ref="L1689">IF(J1689&gt;=3,_xlfn.XLOOKUP(A1689,'외운 것 - 엑셀다운로드 파일(붙여넣기)'!A3:A562,'외운 것 - 엑셀다운로드 파일(붙여넣기)'!C3:C562,0,-1),0)</f>
        <v>0</v>
      </c>
    </row>
    <row r="1690" ht="36.4" customHeight="1">
      <c r="A1690" s="3">
        <v>1689</v>
      </c>
      <c r="B1690" t="s" s="4">
        <v>10690</v>
      </c>
      <c r="C1690" t="s" s="5">
        <v>10691</v>
      </c>
      <c r="D1690" t="s" s="5">
        <v>10629</v>
      </c>
      <c r="E1690" t="s" s="5">
        <v>10692</v>
      </c>
      <c r="F1690" t="s" s="10">
        <v>10693</v>
      </c>
      <c r="G1690" t="s" s="7">
        <v>10694</v>
      </c>
      <c r="H1690" t="s" s="7">
        <v>10695</v>
      </c>
      <c r="I1690" t="str" s="8" cm="1">
        <f t="array" ref="I1690">SUBSTITUTE(H1690,B1690,"(          )")</f>
        <v>The flu became (          ) during winter months.</v>
      </c>
      <c r="J1690" s="9" cm="1">
        <f t="array" ref="J1690">SUMIF('외운 것 - 엑셀다운로드 파일(붙여넣기)'!A3:A562,A1690,'외운 것 - 엑셀다운로드 파일(붙여넣기)'!D3:D562)</f>
        <v>0</v>
      </c>
      <c r="K1690" s="9" cm="1">
        <f t="array" ref="K1690">_xlfn.COUNTIFS('외운 것 - 엑셀다운로드 파일(붙여넣기)'!A3:A562,A1690,'외운 것 - 엑셀다운로드 파일(붙여넣기)'!D3:D562,0)</f>
        <v>0</v>
      </c>
      <c r="L1690" s="9" cm="1">
        <f t="array" ref="L1690">IF(J1690&gt;=3,_xlfn.XLOOKUP(A1690,'외운 것 - 엑셀다운로드 파일(붙여넣기)'!A3:A562,'외운 것 - 엑셀다운로드 파일(붙여넣기)'!C3:C562,0,-1),0)</f>
        <v>0</v>
      </c>
    </row>
    <row r="1691" ht="23.45" customHeight="1">
      <c r="A1691" s="3">
        <v>1690</v>
      </c>
      <c r="B1691" t="s" s="4">
        <v>10697</v>
      </c>
      <c r="C1691" t="s" s="5">
        <v>10698</v>
      </c>
      <c r="D1691" t="s" s="5">
        <v>10699</v>
      </c>
      <c r="E1691" t="s" s="5">
        <v>10700</v>
      </c>
      <c r="F1691" t="s" s="10">
        <v>10701</v>
      </c>
      <c r="G1691" t="s" s="7">
        <v>10702</v>
      </c>
      <c r="H1691" t="s" s="7">
        <v>10703</v>
      </c>
      <c r="I1691" t="str" s="8" cm="1">
        <f t="array" ref="I1691">SUBSTITUTE(H1691,B1691,"(          )")</f>
        <v>The (          ) of diabetes is increasing worldwide.</v>
      </c>
      <c r="J1691" s="9" cm="1">
        <f t="array" ref="J1691">SUMIF('외운 것 - 엑셀다운로드 파일(붙여넣기)'!A3:A562,A1691,'외운 것 - 엑셀다운로드 파일(붙여넣기)'!D3:D562)</f>
        <v>0</v>
      </c>
      <c r="K1691" s="9" cm="1">
        <f t="array" ref="K1691">_xlfn.COUNTIFS('외운 것 - 엑셀다운로드 파일(붙여넣기)'!A3:A562,A1691,'외운 것 - 엑셀다운로드 파일(붙여넣기)'!D3:D562,0)</f>
        <v>0</v>
      </c>
      <c r="L1691" s="9" cm="1">
        <f t="array" ref="L1691">IF(J1691&gt;=3,_xlfn.XLOOKUP(A1691,'외운 것 - 엑셀다운로드 파일(붙여넣기)'!A3:A562,'외운 것 - 엑셀다운로드 파일(붙여넣기)'!C3:C562,0,-1),0)</f>
        <v>0</v>
      </c>
    </row>
    <row r="1692" ht="23.45" customHeight="1">
      <c r="A1692" s="3">
        <v>1691</v>
      </c>
      <c r="B1692" t="s" s="4">
        <v>10705</v>
      </c>
      <c r="C1692" t="s" s="5">
        <v>10698</v>
      </c>
      <c r="D1692" t="s" s="5">
        <v>10699</v>
      </c>
      <c r="E1692" t="s" s="5">
        <v>10706</v>
      </c>
      <c r="F1692" t="s" s="10">
        <v>10707</v>
      </c>
      <c r="G1692" t="s" s="7">
        <v>10708</v>
      </c>
      <c r="H1692" t="s" s="7">
        <v>10709</v>
      </c>
      <c r="I1692" t="str" s="8" cm="1">
        <f t="array" ref="I1692">SUBSTITUTE(H1692,B1692,"(          )")</f>
        <v>The minister (          )es every Sunday morning.</v>
      </c>
      <c r="J1692" s="9" cm="1">
        <f t="array" ref="J1692">SUMIF('외운 것 - 엑셀다운로드 파일(붙여넣기)'!A3:A562,A1692,'외운 것 - 엑셀다운로드 파일(붙여넣기)'!D3:D562)</f>
        <v>0</v>
      </c>
      <c r="K1692" s="9" cm="1">
        <f t="array" ref="K1692">_xlfn.COUNTIFS('외운 것 - 엑셀다운로드 파일(붙여넣기)'!A3:A562,A1692,'외운 것 - 엑셀다운로드 파일(붙여넣기)'!D3:D562,0)</f>
        <v>0</v>
      </c>
      <c r="L1692" s="9" cm="1">
        <f t="array" ref="L1692">IF(J1692&gt;=3,_xlfn.XLOOKUP(A1692,'외운 것 - 엑셀다운로드 파일(붙여넣기)'!A3:A562,'외운 것 - 엑셀다운로드 파일(붙여넣기)'!C3:C562,0,-1),0)</f>
        <v>0</v>
      </c>
    </row>
    <row r="1693" ht="23.45" customHeight="1">
      <c r="A1693" s="3">
        <v>1692</v>
      </c>
      <c r="B1693" t="s" s="4">
        <v>10711</v>
      </c>
      <c r="C1693" t="s" s="5">
        <v>10698</v>
      </c>
      <c r="D1693" t="s" s="5">
        <v>10699</v>
      </c>
      <c r="E1693" t="s" s="5">
        <v>10712</v>
      </c>
      <c r="F1693" t="s" s="10">
        <v>10713</v>
      </c>
      <c r="G1693" t="s" s="7">
        <v>10714</v>
      </c>
      <c r="H1693" t="s" s="7">
        <v>10715</v>
      </c>
      <c r="I1693" t="str" s="8" cm="1">
        <f t="array" ref="I1693">SUBSTITUTE(H1693,B1693,"(          )")</f>
        <v>The insurance (          ) increased this year.</v>
      </c>
      <c r="J1693" s="9" cm="1">
        <f t="array" ref="J1693">SUMIF('외운 것 - 엑셀다운로드 파일(붙여넣기)'!A3:A562,A1693,'외운 것 - 엑셀다운로드 파일(붙여넣기)'!D3:D562)</f>
        <v>0</v>
      </c>
      <c r="K1693" s="9" cm="1">
        <f t="array" ref="K1693">_xlfn.COUNTIFS('외운 것 - 엑셀다운로드 파일(붙여넣기)'!A3:A562,A1693,'외운 것 - 엑셀다운로드 파일(붙여넣기)'!D3:D562,0)</f>
        <v>0</v>
      </c>
      <c r="L1693" s="9" cm="1">
        <f t="array" ref="L1693">IF(J1693&gt;=3,_xlfn.XLOOKUP(A1693,'외운 것 - 엑셀다운로드 파일(붙여넣기)'!A3:A562,'외운 것 - 엑셀다운로드 파일(붙여넣기)'!C3:C562,0,-1),0)</f>
        <v>0</v>
      </c>
    </row>
    <row r="1694" ht="38.45" customHeight="1">
      <c r="A1694" s="3">
        <v>1693</v>
      </c>
      <c r="B1694" t="s" s="4">
        <v>10717</v>
      </c>
      <c r="C1694" t="s" s="5">
        <v>10698</v>
      </c>
      <c r="D1694" t="s" s="5">
        <v>10699</v>
      </c>
      <c r="E1694" t="s" s="5">
        <v>10718</v>
      </c>
      <c r="F1694" t="s" s="10">
        <v>10719</v>
      </c>
      <c r="G1694" t="s" s="7">
        <v>10720</v>
      </c>
      <c r="H1694" t="s" s="7">
        <v>10721</v>
      </c>
      <c r="I1694" t="str" s="8" cm="1">
        <f t="array" ref="I1694">SUBSTITUTE(H1694,B1694,"(          )")</f>
        <v>The (          ) of the province announced new economic policies.</v>
      </c>
      <c r="J1694" s="9" cm="1">
        <f t="array" ref="J1694">SUMIF('외운 것 - 엑셀다운로드 파일(붙여넣기)'!A3:A562,A1694,'외운 것 - 엑셀다운로드 파일(붙여넣기)'!D3:D562)</f>
        <v>0</v>
      </c>
      <c r="K1694" s="9" cm="1">
        <f t="array" ref="K1694">_xlfn.COUNTIFS('외운 것 - 엑셀다운로드 파일(붙여넣기)'!A3:A562,A1694,'외운 것 - 엑셀다운로드 파일(붙여넣기)'!D3:D562,0)</f>
        <v>0</v>
      </c>
      <c r="L1694" s="9" cm="1">
        <f t="array" ref="L1694">IF(J1694&gt;=3,_xlfn.XLOOKUP(A1694,'외운 것 - 엑셀다운로드 파일(붙여넣기)'!A3:A562,'외운 것 - 엑셀다운로드 파일(붙여넣기)'!C3:C562,0,-1),0)</f>
        <v>0</v>
      </c>
    </row>
    <row r="1695" ht="23.45" customHeight="1">
      <c r="A1695" s="3">
        <v>1694</v>
      </c>
      <c r="B1695" t="s" s="4">
        <v>10723</v>
      </c>
      <c r="C1695" t="s" s="5">
        <v>10698</v>
      </c>
      <c r="D1695" t="s" s="5">
        <v>10699</v>
      </c>
      <c r="E1695" t="s" s="5">
        <v>10724</v>
      </c>
      <c r="F1695" t="s" s="10">
        <v>10725</v>
      </c>
      <c r="G1695" t="s" s="7">
        <v>10726</v>
      </c>
      <c r="H1695" t="s" s="7">
        <v>10727</v>
      </c>
      <c r="I1695" t="str" s="8" cm="1">
        <f t="array" ref="I1695">SUBSTITUTE(H1695,B1695,"(          )")</f>
        <v>These are (          ) results; the final data will come later.</v>
      </c>
      <c r="J1695" s="9" cm="1">
        <f t="array" ref="J1695">SUMIF('외운 것 - 엑셀다운로드 파일(붙여넣기)'!A3:A562,A1695,'외운 것 - 엑셀다운로드 파일(붙여넣기)'!D3:D562)</f>
        <v>0</v>
      </c>
      <c r="K1695" s="9" cm="1">
        <f t="array" ref="K1695">_xlfn.COUNTIFS('외운 것 - 엑셀다운로드 파일(붙여넣기)'!A3:A562,A1695,'외운 것 - 엑셀다운로드 파일(붙여넣기)'!D3:D562,0)</f>
        <v>0</v>
      </c>
      <c r="L1695" s="9" cm="1">
        <f t="array" ref="L1695">IF(J1695&gt;=3,_xlfn.XLOOKUP(A1695,'외운 것 - 엑셀다운로드 파일(붙여넣기)'!A3:A562,'외운 것 - 엑셀다운로드 파일(붙여넣기)'!C3:C562,0,-1),0)</f>
        <v>0</v>
      </c>
    </row>
    <row r="1696" ht="23.45" customHeight="1">
      <c r="A1696" s="3">
        <v>1695</v>
      </c>
      <c r="B1696" t="s" s="4">
        <v>10729</v>
      </c>
      <c r="C1696" t="s" s="5">
        <v>10698</v>
      </c>
      <c r="D1696" t="s" s="5">
        <v>10699</v>
      </c>
      <c r="E1696" t="s" s="5">
        <v>10730</v>
      </c>
      <c r="F1696" t="s" s="10">
        <v>10731</v>
      </c>
      <c r="G1696" t="s" s="7">
        <v>10732</v>
      </c>
      <c r="H1696" t="s" s="7">
        <v>10733</v>
      </c>
      <c r="I1696" t="str" s="8" cm="1">
        <f t="array" ref="I1696">SUBSTITUTE(H1696,B1696,"(          )")</f>
        <v>His (          ) job was in a hospital.</v>
      </c>
      <c r="J1696" s="9" cm="1">
        <f t="array" ref="J1696">SUMIF('외운 것 - 엑셀다운로드 파일(붙여넣기)'!A3:A562,A1696,'외운 것 - 엑셀다운로드 파일(붙여넣기)'!D3:D562)</f>
        <v>0</v>
      </c>
      <c r="K1696" s="9" cm="1">
        <f t="array" ref="K1696">_xlfn.COUNTIFS('외운 것 - 엑셀다운로드 파일(붙여넣기)'!A3:A562,A1696,'외운 것 - 엑셀다운로드 파일(붙여넣기)'!D3:D562,0)</f>
        <v>0</v>
      </c>
      <c r="L1696" s="9" cm="1">
        <f t="array" ref="L1696">IF(J1696&gt;=3,_xlfn.XLOOKUP(A1696,'외운 것 - 엑셀다운로드 파일(붙여넣기)'!A3:A562,'외운 것 - 엑셀다운로드 파일(붙여넣기)'!C3:C562,0,-1),0)</f>
        <v>0</v>
      </c>
    </row>
    <row r="1697" ht="23.45" customHeight="1">
      <c r="A1697" s="3">
        <v>1696</v>
      </c>
      <c r="B1697" t="s" s="4">
        <v>10735</v>
      </c>
      <c r="C1697" t="s" s="5">
        <v>10736</v>
      </c>
      <c r="D1697" t="s" s="5">
        <v>10698</v>
      </c>
      <c r="E1697" t="s" s="5">
        <v>10737</v>
      </c>
      <c r="F1697" t="s" s="10">
        <v>10738</v>
      </c>
      <c r="G1697" t="s" s="7">
        <v>10739</v>
      </c>
      <c r="H1697" t="s" s="7">
        <v>10740</v>
      </c>
      <c r="I1697" t="str" s="8" cm="1">
        <f t="array" ref="I1697">SUBSTITUTE(H1697,B1697,"(          )")</f>
        <v>Safety is our top (          ).</v>
      </c>
      <c r="J1697" s="9" cm="1">
        <f t="array" ref="J1697">SUMIF('외운 것 - 엑셀다운로드 파일(붙여넣기)'!A3:A562,A1697,'외운 것 - 엑셀다운로드 파일(붙여넣기)'!D3:D562)</f>
        <v>0</v>
      </c>
      <c r="K1697" s="9" cm="1">
        <f t="array" ref="K1697">_xlfn.COUNTIFS('외운 것 - 엑셀다운로드 파일(붙여넣기)'!A3:A562,A1697,'외운 것 - 엑셀다운로드 파일(붙여넣기)'!D3:D562,0)</f>
        <v>0</v>
      </c>
      <c r="L1697" s="9" cm="1">
        <f t="array" ref="L1697">IF(J1697&gt;=3,_xlfn.XLOOKUP(A1697,'외운 것 - 엑셀다운로드 파일(붙여넣기)'!A3:A562,'외운 것 - 엑셀다운로드 파일(붙여넣기)'!C3:C562,0,-1),0)</f>
        <v>0</v>
      </c>
    </row>
    <row r="1698" ht="23.45" customHeight="1">
      <c r="A1698" s="3">
        <v>1697</v>
      </c>
      <c r="B1698" t="s" s="4">
        <v>10742</v>
      </c>
      <c r="C1698" t="s" s="5">
        <v>10743</v>
      </c>
      <c r="D1698" t="s" s="5">
        <v>10698</v>
      </c>
      <c r="E1698" t="s" s="5">
        <v>10744</v>
      </c>
      <c r="F1698" t="s" s="10">
        <v>10745</v>
      </c>
      <c r="G1698" t="s" s="7">
        <v>10746</v>
      </c>
      <c r="H1698" t="s" s="7">
        <v>10747</v>
      </c>
      <c r="I1698" t="str" s="8" cm="1">
        <f t="array" ref="I1698">SUBSTITUTE(H1698,B1698,"(          )")</f>
        <v>We need to solve this (          ) quickly.</v>
      </c>
      <c r="J1698" s="9" cm="1">
        <f t="array" ref="J1698">SUMIF('외운 것 - 엑셀다운로드 파일(붙여넣기)'!A3:A562,A1698,'외운 것 - 엑셀다운로드 파일(붙여넣기)'!D3:D562)</f>
        <v>0</v>
      </c>
      <c r="K1698" s="9" cm="1">
        <f t="array" ref="K1698">_xlfn.COUNTIFS('외운 것 - 엑셀다운로드 파일(붙여넣기)'!A3:A562,A1698,'외운 것 - 엑셀다운로드 파일(붙여넣기)'!D3:D562,0)</f>
        <v>0</v>
      </c>
      <c r="L1698" s="9" cm="1">
        <f t="array" ref="L1698">IF(J1698&gt;=3,_xlfn.XLOOKUP(A1698,'외운 것 - 엑셀다운로드 파일(붙여넣기)'!A3:A562,'외운 것 - 엑셀다운로드 파일(붙여넣기)'!C3:C562,0,-1),0)</f>
        <v>0</v>
      </c>
    </row>
    <row r="1699" ht="23.45" customHeight="1">
      <c r="A1699" s="3">
        <v>1698</v>
      </c>
      <c r="B1699" t="s" s="4">
        <v>8781</v>
      </c>
      <c r="C1699" t="s" s="5">
        <v>10743</v>
      </c>
      <c r="D1699" t="s" s="5">
        <v>10698</v>
      </c>
      <c r="E1699" t="s" s="5">
        <v>8782</v>
      </c>
      <c r="F1699" t="s" s="10">
        <v>10749</v>
      </c>
      <c r="G1699" t="s" s="7">
        <v>10750</v>
      </c>
      <c r="H1699" t="s" s="7">
        <v>8785</v>
      </c>
      <c r="I1699" t="str" s="8" cm="1">
        <f t="array" ref="I1699">SUBSTITUTE(H1699,B1699,"(          )")</f>
        <v>He has a (          ) role in the new movie.</v>
      </c>
      <c r="J1699" s="9" cm="1">
        <f t="array" ref="J1699">SUMIF('외운 것 - 엑셀다운로드 파일(붙여넣기)'!A3:A562,A1699,'외운 것 - 엑셀다운로드 파일(붙여넣기)'!D3:D562)</f>
        <v>0</v>
      </c>
      <c r="K1699" s="9" cm="1">
        <f t="array" ref="K1699">_xlfn.COUNTIFS('외운 것 - 엑셀다운로드 파일(붙여넣기)'!A3:A562,A1699,'외운 것 - 엑셀다운로드 파일(붙여넣기)'!D3:D562,0)</f>
        <v>0</v>
      </c>
      <c r="L1699" s="9" cm="1">
        <f t="array" ref="L1699">IF(J1699&gt;=3,_xlfn.XLOOKUP(A1699,'외운 것 - 엑셀다운로드 파일(붙여넣기)'!A3:A562,'외운 것 - 엑셀다운로드 파일(붙여넣기)'!C3:C562,0,-1),0)</f>
        <v>0</v>
      </c>
    </row>
    <row r="1700" ht="23.45" customHeight="1">
      <c r="A1700" s="3">
        <v>1699</v>
      </c>
      <c r="B1700" t="s" s="4">
        <v>10751</v>
      </c>
      <c r="C1700" t="s" s="5">
        <v>10743</v>
      </c>
      <c r="D1700" t="s" s="5">
        <v>10698</v>
      </c>
      <c r="E1700" t="s" s="5">
        <v>10752</v>
      </c>
      <c r="F1700" t="s" s="10">
        <v>10753</v>
      </c>
      <c r="G1700" t="s" s="7">
        <v>10754</v>
      </c>
      <c r="H1700" t="s" s="7">
        <v>10755</v>
      </c>
      <c r="I1700" t="str" s="8" cm="1">
        <f t="array" ref="I1700">SUBSTITUTE(H1700,B1700,"(          )")</f>
        <v>The nail (          )s from the wall and could be dangerous.</v>
      </c>
      <c r="J1700" s="9" cm="1">
        <f t="array" ref="J1700">SUMIF('외운 것 - 엑셀다운로드 파일(붙여넣기)'!A3:A562,A1700,'외운 것 - 엑셀다운로드 파일(붙여넣기)'!D3:D562)</f>
        <v>0</v>
      </c>
      <c r="K1700" s="9" cm="1">
        <f t="array" ref="K1700">_xlfn.COUNTIFS('외운 것 - 엑셀다운로드 파일(붙여넣기)'!A3:A562,A1700,'외운 것 - 엑셀다운로드 파일(붙여넣기)'!D3:D562,0)</f>
        <v>0</v>
      </c>
      <c r="L1700" s="9" cm="1">
        <f t="array" ref="L1700">IF(J1700&gt;=3,_xlfn.XLOOKUP(A1700,'외운 것 - 엑셀다운로드 파일(붙여넣기)'!A3:A562,'외운 것 - 엑셀다운로드 파일(붙여넣기)'!C3:C562,0,-1),0)</f>
        <v>0</v>
      </c>
    </row>
    <row r="1701" ht="23.45" customHeight="1">
      <c r="A1701" s="3">
        <v>1700</v>
      </c>
      <c r="B1701" t="s" s="4">
        <v>10757</v>
      </c>
      <c r="C1701" t="s" s="5">
        <v>10743</v>
      </c>
      <c r="D1701" t="s" s="5">
        <v>10698</v>
      </c>
      <c r="E1701" t="s" s="5">
        <v>10758</v>
      </c>
      <c r="F1701" t="s" s="10">
        <v>10759</v>
      </c>
      <c r="G1701" t="s" s="7">
        <v>10760</v>
      </c>
      <c r="H1701" t="s" s="7">
        <v>10761</v>
      </c>
      <c r="I1701" t="str" s="8" cm="1">
        <f t="array" ref="I1701">SUBSTITUTE(H1701,B1701,"(          )")</f>
        <v>The teacher's question (          )ed an interesting discussion.</v>
      </c>
      <c r="J1701" s="9" cm="1">
        <f t="array" ref="J1701">SUMIF('외운 것 - 엑셀다운로드 파일(붙여넣기)'!A3:A562,A1701,'외운 것 - 엑셀다운로드 파일(붙여넣기)'!D3:D562)</f>
        <v>0</v>
      </c>
      <c r="K1701" s="9" cm="1">
        <f t="array" ref="K1701">_xlfn.COUNTIFS('외운 것 - 엑셀다운로드 파일(붙여넣기)'!A3:A562,A1701,'외운 것 - 엑셀다운로드 파일(붙여넣기)'!D3:D562,0)</f>
        <v>0</v>
      </c>
      <c r="L1701" s="9" cm="1">
        <f t="array" ref="L1701">IF(J1701&gt;=3,_xlfn.XLOOKUP(A1701,'외운 것 - 엑셀다운로드 파일(붙여넣기)'!A3:A562,'외운 것 - 엑셀다운로드 파일(붙여넣기)'!C3:C562,0,-1),0)</f>
        <v>0</v>
      </c>
    </row>
    <row r="1702" ht="23.45" customHeight="1">
      <c r="A1702" s="3">
        <v>1701</v>
      </c>
      <c r="B1702" t="s" s="4">
        <v>10763</v>
      </c>
      <c r="C1702" t="s" s="5">
        <v>10743</v>
      </c>
      <c r="D1702" t="s" s="5">
        <v>10698</v>
      </c>
      <c r="E1702" t="s" s="5">
        <v>10764</v>
      </c>
      <c r="F1702" t="s" s="10">
        <v>10765</v>
      </c>
      <c r="G1702" t="s" s="7">
        <v>10766</v>
      </c>
      <c r="H1702" t="s" s="7">
        <v>10767</v>
      </c>
      <c r="I1702" t="str" s="8" cm="1">
        <f t="array" ref="I1702">SUBSTITUTE(H1702,B1702,"(          )")</f>
        <v>Diplomats must follow strict (          )s at official events.</v>
      </c>
      <c r="J1702" s="9" cm="1">
        <f t="array" ref="J1702">SUMIF('외운 것 - 엑셀다운로드 파일(붙여넣기)'!A3:A562,A1702,'외운 것 - 엑셀다운로드 파일(붙여넣기)'!D3:D562)</f>
        <v>0</v>
      </c>
      <c r="K1702" s="9" cm="1">
        <f t="array" ref="K1702">_xlfn.COUNTIFS('외운 것 - 엑셀다운로드 파일(붙여넣기)'!A3:A562,A1702,'외운 것 - 엑셀다운로드 파일(붙여넣기)'!D3:D562,0)</f>
        <v>0</v>
      </c>
      <c r="L1702" s="9" cm="1">
        <f t="array" ref="L1702">IF(J1702&gt;=3,_xlfn.XLOOKUP(A1702,'외운 것 - 엑셀다운로드 파일(붙여넣기)'!A3:A562,'외운 것 - 엑셀다운로드 파일(붙여넣기)'!C3:C562,0,-1),0)</f>
        <v>0</v>
      </c>
    </row>
    <row r="1703" ht="38.45" customHeight="1">
      <c r="A1703" s="3">
        <v>1702</v>
      </c>
      <c r="B1703" t="s" s="4">
        <v>10769</v>
      </c>
      <c r="C1703" t="s" s="5">
        <v>10743</v>
      </c>
      <c r="D1703" t="s" s="5">
        <v>10698</v>
      </c>
      <c r="E1703" t="s" s="5">
        <v>10770</v>
      </c>
      <c r="F1703" t="s" s="10">
        <v>10771</v>
      </c>
      <c r="G1703" t="s" s="7">
        <v>10772</v>
      </c>
      <c r="H1703" t="s" s="7">
        <v>10773</v>
      </c>
      <c r="I1703" t="str" s="8" cm="1">
        <f t="array" ref="I1703">SUBSTITUTE(H1703,B1703,"(          )")</f>
        <v>The ancient (          ) predicted a time of great change.</v>
      </c>
      <c r="J1703" s="9" cm="1">
        <f t="array" ref="J1703">SUMIF('외운 것 - 엑셀다운로드 파일(붙여넣기)'!A3:A562,A1703,'외운 것 - 엑셀다운로드 파일(붙여넣기)'!D3:D562)</f>
        <v>0</v>
      </c>
      <c r="K1703" s="9" cm="1">
        <f t="array" ref="K1703">_xlfn.COUNTIFS('외운 것 - 엑셀다운로드 파일(붙여넣기)'!A3:A562,A1703,'외운 것 - 엑셀다운로드 파일(붙여넣기)'!D3:D562,0)</f>
        <v>0</v>
      </c>
      <c r="L1703" s="9" cm="1">
        <f t="array" ref="L1703">IF(J1703&gt;=3,_xlfn.XLOOKUP(A1703,'외운 것 - 엑셀다운로드 파일(붙여넣기)'!A3:A562,'외운 것 - 엑셀다운로드 파일(붙여넣기)'!C3:C562,0,-1),0)</f>
        <v>0</v>
      </c>
    </row>
    <row r="1704" ht="23.45" customHeight="1">
      <c r="A1704" s="3">
        <v>1703</v>
      </c>
      <c r="B1704" t="s" s="4">
        <v>10775</v>
      </c>
      <c r="C1704" t="s" s="5">
        <v>10743</v>
      </c>
      <c r="D1704" t="s" s="5">
        <v>10698</v>
      </c>
      <c r="E1704" t="s" s="5">
        <v>10776</v>
      </c>
      <c r="F1704" t="s" s="10">
        <v>10777</v>
      </c>
      <c r="G1704" t="s" s="7">
        <v>10778</v>
      </c>
      <c r="H1704" t="s" s="7">
        <v>10779</v>
      </c>
      <c r="I1704" t="str" s="8" cm="1">
        <f t="array" ref="I1704">SUBSTITUTE(H1704,B1704,"(          )")</f>
        <v>The hotel's (          ) to the beach makes it popular.</v>
      </c>
      <c r="J1704" s="9" cm="1">
        <f t="array" ref="J1704">SUMIF('외운 것 - 엑셀다운로드 파일(붙여넣기)'!A3:A562,A1704,'외운 것 - 엑셀다운로드 파일(붙여넣기)'!D3:D562)</f>
        <v>0</v>
      </c>
      <c r="K1704" s="9" cm="1">
        <f t="array" ref="K1704">_xlfn.COUNTIFS('외운 것 - 엑셀다운로드 파일(붙여넣기)'!A3:A562,A1704,'외운 것 - 엑셀다운로드 파일(붙여넣기)'!D3:D562,0)</f>
        <v>0</v>
      </c>
      <c r="L1704" s="9" cm="1">
        <f t="array" ref="L1704">IF(J1704&gt;=3,_xlfn.XLOOKUP(A1704,'외운 것 - 엑셀다운로드 파일(붙여넣기)'!A3:A562,'외운 것 - 엑셀다운로드 파일(붙여넣기)'!C3:C562,0,-1),0)</f>
        <v>0</v>
      </c>
    </row>
    <row r="1705" ht="38.45" customHeight="1">
      <c r="A1705" s="3">
        <v>1704</v>
      </c>
      <c r="B1705" t="s" s="4">
        <v>10781</v>
      </c>
      <c r="C1705" t="s" s="5">
        <v>10743</v>
      </c>
      <c r="D1705" t="s" s="5">
        <v>10698</v>
      </c>
      <c r="E1705" t="s" s="5">
        <v>10782</v>
      </c>
      <c r="F1705" t="s" s="10">
        <v>10783</v>
      </c>
      <c r="G1705" t="s" s="7">
        <v>10784</v>
      </c>
      <c r="H1705" t="s" s="7">
        <v>10785</v>
      </c>
      <c r="I1705" t="str" s="8" cm="1">
        <f t="array" ref="I1705">SUBSTITUTE(H1705,B1705,"(          )")</f>
        <v>Hard work helped the business (          ) despite economic challenges.</v>
      </c>
      <c r="J1705" s="9" cm="1">
        <f t="array" ref="J1705">SUMIF('외운 것 - 엑셀다운로드 파일(붙여넣기)'!A3:A562,A1705,'외운 것 - 엑셀다운로드 파일(붙여넣기)'!D3:D562)</f>
        <v>0</v>
      </c>
      <c r="K1705" s="9" cm="1">
        <f t="array" ref="K1705">_xlfn.COUNTIFS('외운 것 - 엑셀다운로드 파일(붙여넣기)'!A3:A562,A1705,'외운 것 - 엑셀다운로드 파일(붙여넣기)'!D3:D562,0)</f>
        <v>0</v>
      </c>
      <c r="L1705" s="9" cm="1">
        <f t="array" ref="L1705">IF(J1705&gt;=3,_xlfn.XLOOKUP(A1705,'외운 것 - 엑셀다운로드 파일(붙여넣기)'!A3:A562,'외운 것 - 엑셀다운로드 파일(붙여넣기)'!C3:C562,0,-1),0)</f>
        <v>0</v>
      </c>
    </row>
    <row r="1706" ht="38.45" customHeight="1">
      <c r="A1706" s="3">
        <v>1705</v>
      </c>
      <c r="B1706" t="s" s="4">
        <v>10787</v>
      </c>
      <c r="C1706" t="s" s="5">
        <v>10743</v>
      </c>
      <c r="D1706" t="s" s="5">
        <v>10698</v>
      </c>
      <c r="E1706" t="s" s="5">
        <v>10788</v>
      </c>
      <c r="F1706" t="s" s="10">
        <v>10789</v>
      </c>
      <c r="G1706" t="s" s="7">
        <v>10790</v>
      </c>
      <c r="H1706" t="s" s="7">
        <v>10791</v>
      </c>
      <c r="I1706" t="str" s="8" cm="1">
        <f t="array" ref="I1706">SUBSTITUTE(H1706,B1706,"(          )")</f>
        <v>Quebec is the largest (          ) in Canada.</v>
      </c>
      <c r="J1706" s="9" cm="1">
        <f t="array" ref="J1706">SUMIF('외운 것 - 엑셀다운로드 파일(붙여넣기)'!A3:A562,A1706,'외운 것 - 엑셀다운로드 파일(붙여넣기)'!D3:D562)</f>
        <v>0</v>
      </c>
      <c r="K1706" s="9" cm="1">
        <f t="array" ref="K1706">_xlfn.COUNTIFS('외운 것 - 엑셀다운로드 파일(붙여넣기)'!A3:A562,A1706,'외운 것 - 엑셀다운로드 파일(붙여넣기)'!D3:D562,0)</f>
        <v>0</v>
      </c>
      <c r="L1706" s="9" cm="1">
        <f t="array" ref="L1706">IF(J1706&gt;=3,_xlfn.XLOOKUP(A1706,'외운 것 - 엑셀다운로드 파일(붙여넣기)'!A3:A562,'외운 것 - 엑셀다운로드 파일(붙여넣기)'!C3:C562,0,-1),0)</f>
        <v>0</v>
      </c>
    </row>
    <row r="1707" ht="38.45" customHeight="1">
      <c r="A1707" s="3">
        <v>1706</v>
      </c>
      <c r="B1707" t="s" s="4">
        <v>10793</v>
      </c>
      <c r="C1707" t="s" s="5">
        <v>10743</v>
      </c>
      <c r="D1707" t="s" s="5">
        <v>10698</v>
      </c>
      <c r="E1707" t="s" s="5">
        <v>10794</v>
      </c>
      <c r="F1707" t="s" s="10">
        <v>10795</v>
      </c>
      <c r="G1707" t="s" s="7">
        <v>10796</v>
      </c>
      <c r="H1707" t="s" s="7">
        <v>10797</v>
      </c>
      <c r="I1707" t="str" s="8" cm="1">
        <f t="array" ref="I1707">SUBSTITUTE(H1707,B1707,"(          )")</f>
        <v>The district attorney will (          ) the case.</v>
      </c>
      <c r="J1707" s="9" cm="1">
        <f t="array" ref="J1707">SUMIF('외운 것 - 엑셀다운로드 파일(붙여넣기)'!A3:A562,A1707,'외운 것 - 엑셀다운로드 파일(붙여넣기)'!D3:D562)</f>
        <v>0</v>
      </c>
      <c r="K1707" s="9" cm="1">
        <f t="array" ref="K1707">_xlfn.COUNTIFS('외운 것 - 엑셀다운로드 파일(붙여넣기)'!A3:A562,A1707,'외운 것 - 엑셀다운로드 파일(붙여넣기)'!D3:D562,0)</f>
        <v>0</v>
      </c>
      <c r="L1707" s="9" cm="1">
        <f t="array" ref="L1707">IF(J1707&gt;=3,_xlfn.XLOOKUP(A1707,'외운 것 - 엑셀다운로드 파일(붙여넣기)'!A3:A562,'외운 것 - 엑셀다운로드 파일(붙여넣기)'!C3:C562,0,-1),0)</f>
        <v>0</v>
      </c>
    </row>
    <row r="1708" ht="23.45" customHeight="1">
      <c r="A1708" s="3">
        <v>1707</v>
      </c>
      <c r="B1708" t="s" s="4">
        <v>10799</v>
      </c>
      <c r="C1708" t="s" s="5">
        <v>10743</v>
      </c>
      <c r="D1708" t="s" s="5">
        <v>10698</v>
      </c>
      <c r="E1708" t="s" s="5">
        <v>10800</v>
      </c>
      <c r="F1708" t="s" s="10">
        <v>10801</v>
      </c>
      <c r="G1708" t="s" s="7">
        <v>10802</v>
      </c>
      <c r="H1708" t="s" s="7">
        <v>10803</v>
      </c>
      <c r="I1708" t="str" s="8" cm="1">
        <f t="array" ref="I1708">SUBSTITUTE(H1708,B1708,"(          )")</f>
        <v>The experiment will (          ) or dis(          ) the theory.</v>
      </c>
      <c r="J1708" s="9" cm="1">
        <f t="array" ref="J1708">SUMIF('외운 것 - 엑셀다운로드 파일(붙여넣기)'!A3:A562,A1708,'외운 것 - 엑셀다운로드 파일(붙여넣기)'!D3:D562)</f>
        <v>0</v>
      </c>
      <c r="K1708" s="9" cm="1">
        <f t="array" ref="K1708">_xlfn.COUNTIFS('외운 것 - 엑셀다운로드 파일(붙여넣기)'!A3:A562,A1708,'외운 것 - 엑셀다운로드 파일(붙여넣기)'!D3:D562,0)</f>
        <v>0</v>
      </c>
      <c r="L1708" s="9" cm="1">
        <f t="array" ref="L1708">IF(J1708&gt;=3,_xlfn.XLOOKUP(A1708,'외운 것 - 엑셀다운로드 파일(붙여넣기)'!A3:A562,'외운 것 - 엑셀다운로드 파일(붙여넣기)'!C3:C562,0,-1),0)</f>
        <v>0</v>
      </c>
    </row>
    <row r="1709" ht="38.45" customHeight="1">
      <c r="A1709" s="3">
        <v>1708</v>
      </c>
      <c r="B1709" t="s" s="4">
        <v>10805</v>
      </c>
      <c r="C1709" t="s" s="5">
        <v>10806</v>
      </c>
      <c r="D1709" t="s" s="5">
        <v>10698</v>
      </c>
      <c r="E1709" t="s" s="5">
        <v>10807</v>
      </c>
      <c r="F1709" t="s" s="10">
        <v>10808</v>
      </c>
      <c r="G1709" t="s" s="7">
        <v>10809</v>
      </c>
      <c r="H1709" t="s" s="7">
        <v>10810</v>
      </c>
      <c r="I1709" t="str" s="8" cm="1">
        <f t="array" ref="I1709">SUBSTITUTE(H1709,B1709,"(          )")</f>
        <v>Regular practice will (          ) your piano playing.</v>
      </c>
      <c r="J1709" s="9" cm="1">
        <f t="array" ref="J1709">SUMIF('외운 것 - 엑셀다운로드 파일(붙여넣기)'!A3:A562,A1709,'외운 것 - 엑셀다운로드 파일(붙여넣기)'!D3:D562)</f>
        <v>0</v>
      </c>
      <c r="K1709" s="9" cm="1">
        <f t="array" ref="K1709">_xlfn.COUNTIFS('외운 것 - 엑셀다운로드 파일(붙여넣기)'!A3:A562,A1709,'외운 것 - 엑셀다운로드 파일(붙여넣기)'!D3:D562,0)</f>
        <v>0</v>
      </c>
      <c r="L1709" s="9" cm="1">
        <f t="array" ref="L1709">IF(J1709&gt;=3,_xlfn.XLOOKUP(A1709,'외운 것 - 엑셀다운로드 파일(붙여넣기)'!A3:A562,'외운 것 - 엑셀다운로드 파일(붙여넣기)'!C3:C562,0,-1),0)</f>
        <v>0</v>
      </c>
    </row>
    <row r="1710" ht="36.4" customHeight="1">
      <c r="A1710" s="3">
        <v>1709</v>
      </c>
      <c r="B1710" t="s" s="4">
        <v>10812</v>
      </c>
      <c r="C1710" t="s" s="5">
        <v>10806</v>
      </c>
      <c r="D1710" t="s" s="5">
        <v>10698</v>
      </c>
      <c r="E1710" t="s" s="5">
        <v>10813</v>
      </c>
      <c r="F1710" t="s" s="10">
        <v>10814</v>
      </c>
      <c r="G1710" t="s" s="7">
        <v>10815</v>
      </c>
      <c r="H1710" t="s" s="7">
        <v>10816</v>
      </c>
      <c r="I1710" t="str" s="8" cm="1">
        <f t="array" ref="I1710">SUBSTITUTE(H1710,B1710,"(          )")</f>
        <v>The board should (          ) the budget next week.</v>
      </c>
      <c r="J1710" s="9" cm="1">
        <f t="array" ref="J1710">SUMIF('외운 것 - 엑셀다운로드 파일(붙여넣기)'!A3:A562,A1710,'외운 것 - 엑셀다운로드 파일(붙여넣기)'!D3:D562)</f>
        <v>0</v>
      </c>
      <c r="K1710" s="9" cm="1">
        <f t="array" ref="K1710">_xlfn.COUNTIFS('외운 것 - 엑셀다운로드 파일(붙여넣기)'!A3:A562,A1710,'외운 것 - 엑셀다운로드 파일(붙여넣기)'!D3:D562,0)</f>
        <v>0</v>
      </c>
      <c r="L1710" s="9" cm="1">
        <f t="array" ref="L1710">IF(J1710&gt;=3,_xlfn.XLOOKUP(A1710,'외운 것 - 엑셀다운로드 파일(붙여넣기)'!A3:A562,'외운 것 - 엑셀다운로드 파일(붙여넣기)'!C3:C562,0,-1),0)</f>
        <v>0</v>
      </c>
    </row>
    <row r="1711" ht="64.35" customHeight="1">
      <c r="A1711" s="3">
        <v>1710</v>
      </c>
      <c r="B1711" t="s" s="4">
        <v>10818</v>
      </c>
      <c r="C1711" t="s" s="5">
        <v>10819</v>
      </c>
      <c r="D1711" t="s" s="5">
        <v>10698</v>
      </c>
      <c r="E1711" t="s" s="5">
        <v>10820</v>
      </c>
      <c r="F1711" t="s" s="10">
        <v>10821</v>
      </c>
      <c r="G1711" t="s" s="7">
        <v>10822</v>
      </c>
      <c r="H1711" t="s" s="7">
        <v>10823</v>
      </c>
      <c r="I1711" t="str" s="8" cm="1">
        <f t="array" ref="I1711">SUBSTITUTE(H1711,B1711,"(          )")</f>
        <v>Her (          ) was evident from her frown.</v>
      </c>
      <c r="J1711" s="9" cm="1">
        <f t="array" ref="J1711">SUMIF('외운 것 - 엑셀다운로드 파일(붙여넣기)'!A3:A562,A1711,'외운 것 - 엑셀다운로드 파일(붙여넣기)'!D3:D562)</f>
        <v>0</v>
      </c>
      <c r="K1711" s="9" cm="1">
        <f t="array" ref="K1711">_xlfn.COUNTIFS('외운 것 - 엑셀다운로드 파일(붙여넣기)'!A3:A562,A1711,'외운 것 - 엑셀다운로드 파일(붙여넣기)'!D3:D562,0)</f>
        <v>0</v>
      </c>
      <c r="L1711" s="9" cm="1">
        <f t="array" ref="L1711">IF(J1711&gt;=3,_xlfn.XLOOKUP(A1711,'외운 것 - 엑셀다운로드 파일(붙여넣기)'!A3:A562,'외운 것 - 엑셀다운로드 파일(붙여넣기)'!C3:C562,0,-1),0)</f>
        <v>0</v>
      </c>
    </row>
    <row r="1712" ht="38.45" customHeight="1">
      <c r="A1712" s="3">
        <v>1711</v>
      </c>
      <c r="B1712" t="s" s="4">
        <v>10825</v>
      </c>
      <c r="C1712" t="s" s="5">
        <v>10826</v>
      </c>
      <c r="D1712" t="s" s="5">
        <v>10827</v>
      </c>
      <c r="E1712" t="s" s="5">
        <v>10828</v>
      </c>
      <c r="F1712" t="s" s="10">
        <v>10829</v>
      </c>
      <c r="G1712" t="s" s="7">
        <v>10830</v>
      </c>
      <c r="H1712" t="s" s="7">
        <v>10831</v>
      </c>
      <c r="I1712" t="str" s="8" cm="1">
        <f t="array" ref="I1712">SUBSTITUTE(H1712,B1712,"(          )")</f>
        <v>The athlete is in his (          ) at age 25.</v>
      </c>
      <c r="J1712" s="9" cm="1">
        <f t="array" ref="J1712">SUMIF('외운 것 - 엑셀다운로드 파일(붙여넣기)'!A3:A562,A1712,'외운 것 - 엑셀다운로드 파일(붙여넣기)'!D3:D562)</f>
        <v>0</v>
      </c>
      <c r="K1712" s="9" cm="1">
        <f t="array" ref="K1712">_xlfn.COUNTIFS('외운 것 - 엑셀다운로드 파일(붙여넣기)'!A3:A562,A1712,'외운 것 - 엑셀다운로드 파일(붙여넣기)'!D3:D562,0)</f>
        <v>0</v>
      </c>
      <c r="L1712" s="9" cm="1">
        <f t="array" ref="L1712">IF(J1712&gt;=3,_xlfn.XLOOKUP(A1712,'외운 것 - 엑셀다운로드 파일(붙여넣기)'!A3:A562,'외운 것 - 엑셀다운로드 파일(붙여넣기)'!C3:C562,0,-1),0)</f>
        <v>0</v>
      </c>
    </row>
    <row r="1713" ht="23.45" customHeight="1">
      <c r="A1713" s="3">
        <v>1712</v>
      </c>
      <c r="B1713" t="s" s="4">
        <v>10833</v>
      </c>
      <c r="C1713" t="s" s="5">
        <v>10826</v>
      </c>
      <c r="D1713" t="s" s="5">
        <v>10827</v>
      </c>
      <c r="E1713" t="s" s="5">
        <v>10834</v>
      </c>
      <c r="F1713" t="s" s="10">
        <v>10835</v>
      </c>
      <c r="G1713" t="s" s="7">
        <v>10836</v>
      </c>
      <c r="H1713" t="s" s="7">
        <v>10837</v>
      </c>
      <c r="I1713" t="str" s="8" cm="1">
        <f t="array" ref="I1713">SUBSTITUTE(H1713,B1713,"(          )")</f>
        <v>Reading is a (          ) skill taught in early education.</v>
      </c>
      <c r="J1713" s="9" cm="1">
        <f t="array" ref="J1713">SUMIF('외운 것 - 엑셀다운로드 파일(붙여넣기)'!A3:A562,A1713,'외운 것 - 엑셀다운로드 파일(붙여넣기)'!D3:D562)</f>
        <v>0</v>
      </c>
      <c r="K1713" s="9" cm="1">
        <f t="array" ref="K1713">_xlfn.COUNTIFS('외운 것 - 엑셀다운로드 파일(붙여넣기)'!A3:A562,A1713,'외운 것 - 엑셀다운로드 파일(붙여넣기)'!D3:D562,0)</f>
        <v>0</v>
      </c>
      <c r="L1713" s="9" cm="1">
        <f t="array" ref="L1713">IF(J1713&gt;=3,_xlfn.XLOOKUP(A1713,'외운 것 - 엑셀다운로드 파일(붙여넣기)'!A3:A562,'외운 것 - 엑셀다운로드 파일(붙여넣기)'!C3:C562,0,-1),0)</f>
        <v>0</v>
      </c>
    </row>
    <row r="1714" ht="38.45" customHeight="1">
      <c r="A1714" s="3">
        <v>1713</v>
      </c>
      <c r="B1714" t="s" s="4">
        <v>10839</v>
      </c>
      <c r="C1714" t="s" s="5">
        <v>10826</v>
      </c>
      <c r="D1714" t="s" s="5">
        <v>10827</v>
      </c>
      <c r="E1714" t="s" s="5">
        <v>10840</v>
      </c>
      <c r="F1714" t="s" s="10">
        <v>10841</v>
      </c>
      <c r="G1714" t="s" s="7">
        <v>10842</v>
      </c>
      <c r="H1714" t="s" s="7">
        <v>10843</v>
      </c>
      <c r="I1714" t="str" s="8" cm="1">
        <f t="array" ref="I1714">SUBSTITUTE(H1714,B1714,"(          )")</f>
        <v>Archaeologists discovered (          ) tools from ancient civilizations.</v>
      </c>
      <c r="J1714" s="9" cm="1">
        <f t="array" ref="J1714">SUMIF('외운 것 - 엑셀다운로드 파일(붙여넣기)'!A3:A562,A1714,'외운 것 - 엑셀다운로드 파일(붙여넣기)'!D3:D562)</f>
        <v>0</v>
      </c>
      <c r="K1714" s="9" cm="1">
        <f t="array" ref="K1714">_xlfn.COUNTIFS('외운 것 - 엑셀다운로드 파일(붙여넣기)'!A3:A562,A1714,'외운 것 - 엑셀다운로드 파일(붙여넣기)'!D3:D562,0)</f>
        <v>0</v>
      </c>
      <c r="L1714" s="9" cm="1">
        <f t="array" ref="L1714">IF(J1714&gt;=3,_xlfn.XLOOKUP(A1714,'외운 것 - 엑셀다운로드 파일(붙여넣기)'!A3:A562,'외운 것 - 엑셀다운로드 파일(붙여넣기)'!C3:C562,0,-1),0)</f>
        <v>0</v>
      </c>
    </row>
    <row r="1715" ht="23.45" customHeight="1">
      <c r="A1715" s="3">
        <v>1714</v>
      </c>
      <c r="B1715" t="s" s="4">
        <v>10845</v>
      </c>
      <c r="C1715" t="s" s="5">
        <v>10846</v>
      </c>
      <c r="D1715" t="s" s="5">
        <v>10827</v>
      </c>
      <c r="E1715" t="s" s="5">
        <v>10847</v>
      </c>
      <c r="F1715" t="s" s="10">
        <v>10848</v>
      </c>
      <c r="G1715" t="s" s="7">
        <v>10849</v>
      </c>
      <c r="H1715" t="s" s="7">
        <v>10850</v>
      </c>
      <c r="I1715" t="str" s="8" cm="1">
        <f t="array" ref="I1715">SUBSTITUTE(H1715,B1715,"(          )")</f>
        <v>The (          ) will someday become king.</v>
      </c>
      <c r="J1715" s="9" cm="1">
        <f t="array" ref="J1715">SUMIF('외운 것 - 엑셀다운로드 파일(붙여넣기)'!A3:A562,A1715,'외운 것 - 엑셀다운로드 파일(붙여넣기)'!D3:D562)</f>
        <v>0</v>
      </c>
      <c r="K1715" s="9" cm="1">
        <f t="array" ref="K1715">_xlfn.COUNTIFS('외운 것 - 엑셀다운로드 파일(붙여넣기)'!A3:A562,A1715,'외운 것 - 엑셀다운로드 파일(붙여넣기)'!D3:D562,0)</f>
        <v>0</v>
      </c>
      <c r="L1715" s="9" cm="1">
        <f t="array" ref="L1715">IF(J1715&gt;=3,_xlfn.XLOOKUP(A1715,'외운 것 - 엑셀다운로드 파일(붙여넣기)'!A3:A562,'외운 것 - 엑셀다운로드 파일(붙여넣기)'!C3:C562,0,-1),0)</f>
        <v>0</v>
      </c>
    </row>
    <row r="1716" ht="36.4" customHeight="1">
      <c r="A1716" s="3">
        <v>1715</v>
      </c>
      <c r="B1716" t="s" s="4">
        <v>10852</v>
      </c>
      <c r="C1716" t="s" s="5">
        <v>10853</v>
      </c>
      <c r="D1716" t="s" s="5">
        <v>10827</v>
      </c>
      <c r="E1716" t="s" s="5">
        <v>10854</v>
      </c>
      <c r="F1716" t="s" s="10">
        <v>10855</v>
      </c>
      <c r="G1716" t="s" s="7">
        <v>10856</v>
      </c>
      <c r="H1716" t="s" s="7">
        <v>10857</v>
      </c>
      <c r="I1716" t="str" s="8" cm="1">
        <f t="array" ref="I1716">SUBSTITUTE(H1716,B1716,"(          )")</f>
        <v>The (          ) visited children at the hospital.</v>
      </c>
      <c r="J1716" s="9" cm="1">
        <f t="array" ref="J1716">SUMIF('외운 것 - 엑셀다운로드 파일(붙여넣기)'!A3:A562,A1716,'외운 것 - 엑셀다운로드 파일(붙여넣기)'!D3:D562)</f>
        <v>0</v>
      </c>
      <c r="K1716" s="9" cm="1">
        <f t="array" ref="K1716">_xlfn.COUNTIFS('외운 것 - 엑셀다운로드 파일(붙여넣기)'!A3:A562,A1716,'외운 것 - 엑셀다운로드 파일(붙여넣기)'!D3:D562,0)</f>
        <v>0</v>
      </c>
      <c r="L1716" s="9" cm="1">
        <f t="array" ref="L1716">IF(J1716&gt;=3,_xlfn.XLOOKUP(A1716,'외운 것 - 엑셀다운로드 파일(붙여넣기)'!A3:A562,'외운 것 - 엑셀다운로드 파일(붙여넣기)'!C3:C562,0,-1),0)</f>
        <v>0</v>
      </c>
    </row>
    <row r="1717" ht="38.45" customHeight="1">
      <c r="A1717" s="3">
        <v>1716</v>
      </c>
      <c r="B1717" t="s" s="4">
        <v>1090</v>
      </c>
      <c r="C1717" t="s" s="5">
        <v>10853</v>
      </c>
      <c r="D1717" t="s" s="5">
        <v>10827</v>
      </c>
      <c r="E1717" t="s" s="5">
        <v>1091</v>
      </c>
      <c r="F1717" t="s" s="10">
        <v>10859</v>
      </c>
      <c r="G1717" t="s" s="7">
        <v>1093</v>
      </c>
      <c r="H1717" t="s" s="7">
        <v>1094</v>
      </c>
      <c r="I1717" t="str" s="8" cm="1">
        <f t="array" ref="I1717">SUBSTITUTE(H1717,B1717,"(          )")</f>
        <v>The school (          ) spoke at the graduation ceremony.</v>
      </c>
      <c r="J1717" s="9" cm="1">
        <f t="array" ref="J1717">SUMIF('외운 것 - 엑셀다운로드 파일(붙여넣기)'!A3:A562,A1717,'외운 것 - 엑셀다운로드 파일(붙여넣기)'!D3:D562)</f>
        <v>0</v>
      </c>
      <c r="K1717" s="9" cm="1">
        <f t="array" ref="K1717">_xlfn.COUNTIFS('외운 것 - 엑셀다운로드 파일(붙여넣기)'!A3:A562,A1717,'외운 것 - 엑셀다운로드 파일(붙여넣기)'!D3:D562,0)</f>
        <v>0</v>
      </c>
      <c r="L1717" s="9" cm="1">
        <f t="array" ref="L1717">IF(J1717&gt;=3,_xlfn.XLOOKUP(A1717,'외운 것 - 엑셀다운로드 파일(붙여넣기)'!A3:A562,'외운 것 - 엑셀다운로드 파일(붙여넣기)'!C3:C562,0,-1),0)</f>
        <v>0</v>
      </c>
    </row>
    <row r="1718" ht="38.45" customHeight="1">
      <c r="A1718" s="3">
        <v>1717</v>
      </c>
      <c r="B1718" t="s" s="4">
        <v>1102</v>
      </c>
      <c r="C1718" t="s" s="5">
        <v>10853</v>
      </c>
      <c r="D1718" t="s" s="5">
        <v>10827</v>
      </c>
      <c r="E1718" t="s" s="5">
        <v>1103</v>
      </c>
      <c r="F1718" t="s" s="10">
        <v>10860</v>
      </c>
      <c r="G1718" t="s" s="7">
        <v>10861</v>
      </c>
      <c r="H1718" t="s" s="7">
        <v>1106</v>
      </c>
      <c r="I1718" t="str" s="8" cm="1">
        <f t="array" ref="I1718">SUBSTITUTE(H1718,B1718,"(          )")</f>
        <v>Honesty is an important (          ) in journalism.</v>
      </c>
      <c r="J1718" s="9" cm="1">
        <f t="array" ref="J1718">SUMIF('외운 것 - 엑셀다운로드 파일(붙여넣기)'!A3:A562,A1718,'외운 것 - 엑셀다운로드 파일(붙여넣기)'!D3:D562)</f>
        <v>0</v>
      </c>
      <c r="K1718" s="9" cm="1">
        <f t="array" ref="K1718">_xlfn.COUNTIFS('외운 것 - 엑셀다운로드 파일(붙여넣기)'!A3:A562,A1718,'외운 것 - 엑셀다운로드 파일(붙여넣기)'!D3:D562,0)</f>
        <v>0</v>
      </c>
      <c r="L1718" s="9" cm="1">
        <f t="array" ref="L1718">IF(J1718&gt;=3,_xlfn.XLOOKUP(A1718,'외운 것 - 엑셀다운로드 파일(붙여넣기)'!A3:A562,'외운 것 - 엑셀다운로드 파일(붙여넣기)'!C3:C562,0,-1),0)</f>
        <v>0</v>
      </c>
    </row>
    <row r="1719" ht="23.45" customHeight="1">
      <c r="A1719" s="3">
        <v>1718</v>
      </c>
      <c r="B1719" t="s" s="4">
        <v>10862</v>
      </c>
      <c r="C1719" t="s" s="5">
        <v>10863</v>
      </c>
      <c r="D1719" t="s" s="5">
        <v>10864</v>
      </c>
      <c r="E1719" t="s" s="5">
        <v>10865</v>
      </c>
      <c r="F1719" t="s" s="10">
        <v>10866</v>
      </c>
      <c r="G1719" t="s" s="7">
        <v>10867</v>
      </c>
      <c r="H1719" t="s" s="7">
        <v>10868</v>
      </c>
      <c r="I1719" t="str" s="8" cm="1">
        <f t="array" ref="I1719">SUBSTITUTE(H1719,B1719,"(          )")</f>
        <v>The (          ) of the concert tickets seemed reasonable.</v>
      </c>
      <c r="J1719" s="9" cm="1">
        <f t="array" ref="J1719">SUMIF('외운 것 - 엑셀다운로드 파일(붙여넣기)'!A3:A562,A1719,'외운 것 - 엑셀다운로드 파일(붙여넣기)'!D3:D562)</f>
        <v>0</v>
      </c>
      <c r="K1719" s="9" cm="1">
        <f t="array" ref="K1719">_xlfn.COUNTIFS('외운 것 - 엑셀다운로드 파일(붙여넣기)'!A3:A562,A1719,'외운 것 - 엑셀다운로드 파일(붙여넣기)'!D3:D562,0)</f>
        <v>0</v>
      </c>
      <c r="L1719" s="9" cm="1">
        <f t="array" ref="L1719">IF(J1719&gt;=3,_xlfn.XLOOKUP(A1719,'외운 것 - 엑셀다운로드 파일(붙여넣기)'!A3:A562,'외운 것 - 엑셀다운로드 파일(붙여넣기)'!C3:C562,0,-1),0)</f>
        <v>0</v>
      </c>
    </row>
    <row r="1720" ht="23.45" customHeight="1">
      <c r="A1720" s="3">
        <v>1719</v>
      </c>
      <c r="B1720" t="s" s="4">
        <v>10870</v>
      </c>
      <c r="C1720" t="s" s="5">
        <v>10871</v>
      </c>
      <c r="D1720" t="s" s="5">
        <v>10864</v>
      </c>
      <c r="E1720" t="s" s="5">
        <v>10872</v>
      </c>
      <c r="F1720" t="s" s="10">
        <v>10873</v>
      </c>
      <c r="G1720" t="s" s="7">
        <v>10874</v>
      </c>
      <c r="H1720" t="s" s="7">
        <v>10875</v>
      </c>
      <c r="I1720" t="str" s="8" cm="1">
        <f t="array" ref="I1720">SUBSTITUTE(H1720,B1720,"(          )")</f>
        <v>She won first (          ) in the science competition.</v>
      </c>
      <c r="J1720" s="9" cm="1">
        <f t="array" ref="J1720">SUMIF('외운 것 - 엑셀다운로드 파일(붙여넣기)'!A3:A562,A1720,'외운 것 - 엑셀다운로드 파일(붙여넣기)'!D3:D562)</f>
        <v>0</v>
      </c>
      <c r="K1720" s="9" cm="1">
        <f t="array" ref="K1720">_xlfn.COUNTIFS('외운 것 - 엑셀다운로드 파일(붙여넣기)'!A3:A562,A1720,'외운 것 - 엑셀다운로드 파일(붙여넣기)'!D3:D562,0)</f>
        <v>0</v>
      </c>
      <c r="L1720" s="9" cm="1">
        <f t="array" ref="L1720">IF(J1720&gt;=3,_xlfn.XLOOKUP(A1720,'외운 것 - 엑셀다운로드 파일(붙여넣기)'!A3:A562,'외운 것 - 엑셀다운로드 파일(붙여넣기)'!C3:C562,0,-1),0)</f>
        <v>0</v>
      </c>
    </row>
    <row r="1721" ht="23.45" customHeight="1">
      <c r="A1721" s="3">
        <v>1720</v>
      </c>
      <c r="B1721" t="s" s="4">
        <v>10877</v>
      </c>
      <c r="C1721" t="s" s="5">
        <v>10878</v>
      </c>
      <c r="D1721" t="s" s="5">
        <v>10864</v>
      </c>
      <c r="E1721" t="s" s="5">
        <v>10879</v>
      </c>
      <c r="F1721" t="s" s="10">
        <v>10880</v>
      </c>
      <c r="G1721" t="s" s="7">
        <v>10881</v>
      </c>
      <c r="H1721" t="s" s="7">
        <v>10882</v>
      </c>
      <c r="I1721" t="str" s="8" cm="1">
        <f t="array" ref="I1721">SUBSTITUTE(H1721,B1721,"(          )")</f>
        <v>Gold is a (          ) metal.</v>
      </c>
      <c r="J1721" s="9" cm="1">
        <f t="array" ref="J1721">SUMIF('외운 것 - 엑셀다운로드 파일(붙여넣기)'!A3:A562,A1721,'외운 것 - 엑셀다운로드 파일(붙여넣기)'!D3:D562)</f>
        <v>0</v>
      </c>
      <c r="K1721" s="9" cm="1">
        <f t="array" ref="K1721">_xlfn.COUNTIFS('외운 것 - 엑셀다운로드 파일(붙여넣기)'!A3:A562,A1721,'외운 것 - 엑셀다운로드 파일(붙여넣기)'!D3:D562,0)</f>
        <v>0</v>
      </c>
      <c r="L1721" s="9" cm="1">
        <f t="array" ref="L1721">IF(J1721&gt;=3,_xlfn.XLOOKUP(A1721,'외운 것 - 엑셀다운로드 파일(붙여넣기)'!A3:A562,'외운 것 - 엑셀다운로드 파일(붙여넣기)'!C3:C562,0,-1),0)</f>
        <v>0</v>
      </c>
    </row>
    <row r="1722" ht="38.45" customHeight="1">
      <c r="A1722" s="3">
        <v>1721</v>
      </c>
      <c r="B1722" t="s" s="4">
        <v>10884</v>
      </c>
      <c r="C1722" t="s" s="5">
        <v>10878</v>
      </c>
      <c r="D1722" t="s" s="5">
        <v>10864</v>
      </c>
      <c r="E1722" t="s" s="5">
        <v>10885</v>
      </c>
      <c r="F1722" t="s" s="10">
        <v>10886</v>
      </c>
      <c r="G1722" t="s" s="7">
        <v>10887</v>
      </c>
      <c r="H1722" t="s" s="7">
        <v>10888</v>
      </c>
      <c r="I1722" t="str" s="8" cm="1">
        <f t="array" ref="I1722">SUBSTITUTE(H1722,B1722,"(          )")</f>
        <v>I (          ) your help with this difficult project.</v>
      </c>
      <c r="J1722" s="9" cm="1">
        <f t="array" ref="J1722">SUMIF('외운 것 - 엑셀다운로드 파일(붙여넣기)'!A3:A562,A1722,'외운 것 - 엑셀다운로드 파일(붙여넣기)'!D3:D562)</f>
        <v>0</v>
      </c>
      <c r="K1722" s="9" cm="1">
        <f t="array" ref="K1722">_xlfn.COUNTIFS('외운 것 - 엑셀다운로드 파일(붙여넣기)'!A3:A562,A1722,'외운 것 - 엑셀다운로드 파일(붙여넣기)'!D3:D562,0)</f>
        <v>0</v>
      </c>
      <c r="L1722" s="9" cm="1">
        <f t="array" ref="L1722">IF(J1722&gt;=3,_xlfn.XLOOKUP(A1722,'외운 것 - 엑셀다운로드 파일(붙여넣기)'!A3:A562,'외운 것 - 엑셀다운로드 파일(붙여넣기)'!C3:C562,0,-1),0)</f>
        <v>0</v>
      </c>
    </row>
    <row r="1723" ht="38.45" customHeight="1">
      <c r="A1723" s="3">
        <v>1722</v>
      </c>
      <c r="B1723" t="s" s="4">
        <v>10890</v>
      </c>
      <c r="C1723" t="s" s="5">
        <v>10891</v>
      </c>
      <c r="D1723" t="s" s="5">
        <v>10863</v>
      </c>
      <c r="E1723" t="s" s="5">
        <v>10892</v>
      </c>
      <c r="F1723" t="s" s="10">
        <v>10893</v>
      </c>
      <c r="G1723" t="s" s="7">
        <v>10894</v>
      </c>
      <c r="H1723" t="s" s="7">
        <v>10895</v>
      </c>
      <c r="I1723" t="str" s="8" cm="1">
        <f t="array" ref="I1723">SUBSTITUTE(H1723,B1723,"(          )")</f>
        <v>The investment showed (          ) growth over five years.</v>
      </c>
      <c r="J1723" s="9" cm="1">
        <f t="array" ref="J1723">SUMIF('외운 것 - 엑셀다운로드 파일(붙여넣기)'!A3:A562,A1723,'외운 것 - 엑셀다운로드 파일(붙여넣기)'!D3:D562)</f>
        <v>0</v>
      </c>
      <c r="K1723" s="9" cm="1">
        <f t="array" ref="K1723">_xlfn.COUNTIFS('외운 것 - 엑셀다운로드 파일(붙여넣기)'!A3:A562,A1723,'외운 것 - 엑셀다운로드 파일(붙여넣기)'!D3:D562,0)</f>
        <v>0</v>
      </c>
      <c r="L1723" s="9" cm="1">
        <f t="array" ref="L1723">IF(J1723&gt;=3,_xlfn.XLOOKUP(A1723,'외운 것 - 엑셀다운로드 파일(붙여넣기)'!A3:A562,'외운 것 - 엑셀다운로드 파일(붙여넣기)'!C3:C562,0,-1),0)</f>
        <v>0</v>
      </c>
    </row>
    <row r="1724" ht="38.45" customHeight="1">
      <c r="A1724" s="3">
        <v>1723</v>
      </c>
      <c r="B1724" t="s" s="4">
        <v>10897</v>
      </c>
      <c r="C1724" t="s" s="5">
        <v>10878</v>
      </c>
      <c r="D1724" t="s" s="5">
        <v>10863</v>
      </c>
      <c r="E1724" t="s" s="5">
        <v>10898</v>
      </c>
      <c r="F1724" t="s" s="10">
        <v>10899</v>
      </c>
      <c r="G1724" t="s" s="7">
        <v>10900</v>
      </c>
      <c r="H1724" t="s" s="7">
        <v>10901</v>
      </c>
      <c r="I1724" t="str" s="8" cm="1">
        <f t="array" ref="I1724">SUBSTITUTE(H1724,B1724,"(          )")</f>
        <v>Cars (          ) quickly in the first few years.</v>
      </c>
      <c r="J1724" s="9" cm="1">
        <f t="array" ref="J1724">SUMIF('외운 것 - 엑셀다운로드 파일(붙여넣기)'!A3:A562,A1724,'외운 것 - 엑셀다운로드 파일(붙여넣기)'!D3:D562)</f>
        <v>0</v>
      </c>
      <c r="K1724" s="9" cm="1">
        <f t="array" ref="K1724">_xlfn.COUNTIFS('외운 것 - 엑셀다운로드 파일(붙여넣기)'!A3:A562,A1724,'외운 것 - 엑셀다운로드 파일(붙여넣기)'!D3:D562,0)</f>
        <v>0</v>
      </c>
      <c r="L1724" s="9" cm="1">
        <f t="array" ref="L1724">IF(J1724&gt;=3,_xlfn.XLOOKUP(A1724,'외운 것 - 엑셀다운로드 파일(붙여넣기)'!A3:A562,'외운 것 - 엑셀다운로드 파일(붙여넣기)'!C3:C562,0,-1),0)</f>
        <v>0</v>
      </c>
    </row>
    <row r="1725" ht="23.45" customHeight="1">
      <c r="A1725" s="3">
        <v>1724</v>
      </c>
      <c r="B1725" t="s" s="4">
        <v>10903</v>
      </c>
      <c r="C1725" t="s" s="5">
        <v>10904</v>
      </c>
      <c r="D1725" t="s" s="5">
        <v>10905</v>
      </c>
      <c r="E1725" t="s" s="5">
        <v>10906</v>
      </c>
      <c r="F1725" t="s" s="10">
        <v>10907</v>
      </c>
      <c r="G1725" t="s" s="7">
        <v>10908</v>
      </c>
      <c r="H1725" t="s" s="7">
        <v>10909</v>
      </c>
      <c r="I1725" t="str" s="8" cm="1">
        <f t="array" ref="I1725">SUBSTITUTE(H1725,B1725,"(          )")</f>
        <v>The meeting is (          ); only team members may attend.</v>
      </c>
      <c r="J1725" s="9" cm="1">
        <f t="array" ref="J1725">SUMIF('외운 것 - 엑셀다운로드 파일(붙여넣기)'!A3:A562,A1725,'외운 것 - 엑셀다운로드 파일(붙여넣기)'!D3:D562)</f>
        <v>0</v>
      </c>
      <c r="K1725" s="9" cm="1">
        <f t="array" ref="K1725">_xlfn.COUNTIFS('외운 것 - 엑셀다운로드 파일(붙여넣기)'!A3:A562,A1725,'외운 것 - 엑셀다운로드 파일(붙여넣기)'!D3:D562,0)</f>
        <v>0</v>
      </c>
      <c r="L1725" s="9" cm="1">
        <f t="array" ref="L1725">IF(J1725&gt;=3,_xlfn.XLOOKUP(A1725,'외운 것 - 엑셀다운로드 파일(붙여넣기)'!A3:A562,'외운 것 - 엑셀다운로드 파일(붙여넣기)'!C3:C562,0,-1),0)</f>
        <v>0</v>
      </c>
    </row>
    <row r="1726" ht="38.45" customHeight="1">
      <c r="A1726" s="3">
        <v>1725</v>
      </c>
      <c r="B1726" t="s" s="4">
        <v>10911</v>
      </c>
      <c r="C1726" t="s" s="5">
        <v>10904</v>
      </c>
      <c r="D1726" t="s" s="5">
        <v>10905</v>
      </c>
      <c r="E1726" t="s" s="5">
        <v>10912</v>
      </c>
      <c r="F1726" t="s" s="10">
        <v>10913</v>
      </c>
      <c r="G1726" t="s" s="7">
        <v>10914</v>
      </c>
      <c r="H1726" t="s" s="7">
        <v>10915</v>
      </c>
      <c r="I1726" t="str" s="8" cm="1">
        <f t="array" ref="I1726">SUBSTITUTE(H1726,B1726,"(          )")</f>
        <v>Don't (          ) yourself of adequate sleep.</v>
      </c>
      <c r="J1726" s="9" cm="1">
        <f t="array" ref="J1726">SUMIF('외운 것 - 엑셀다운로드 파일(붙여넣기)'!A3:A562,A1726,'외운 것 - 엑셀다운로드 파일(붙여넣기)'!D3:D562)</f>
        <v>0</v>
      </c>
      <c r="K1726" s="9" cm="1">
        <f t="array" ref="K1726">_xlfn.COUNTIFS('외운 것 - 엑셀다운로드 파일(붙여넣기)'!A3:A562,A1726,'외운 것 - 엑셀다운로드 파일(붙여넣기)'!D3:D562,0)</f>
        <v>0</v>
      </c>
      <c r="L1726" s="9" cm="1">
        <f t="array" ref="L1726">IF(J1726&gt;=3,_xlfn.XLOOKUP(A1726,'외운 것 - 엑셀다운로드 파일(붙여넣기)'!A3:A562,'외운 것 - 엑셀다운로드 파일(붙여넣기)'!C3:C562,0,-1),0)</f>
        <v>0</v>
      </c>
    </row>
    <row r="1727" ht="23.45" customHeight="1">
      <c r="A1727" s="3">
        <v>1726</v>
      </c>
      <c r="B1727" t="s" s="4">
        <v>7516</v>
      </c>
      <c r="C1727" t="s" s="5">
        <v>10904</v>
      </c>
      <c r="D1727" t="s" s="5">
        <v>10905</v>
      </c>
      <c r="E1727" t="s" s="5">
        <v>7517</v>
      </c>
      <c r="F1727" t="s" s="10">
        <v>10917</v>
      </c>
      <c r="G1727" t="s" s="7">
        <v>7519</v>
      </c>
      <c r="H1727" t="s" s="7">
        <v>7520</v>
      </c>
      <c r="I1727" t="str" s="8" cm="1">
        <f t="array" ref="I1727">SUBSTITUTE(H1727,B1727,"(          )")</f>
        <v>It's a (          ) to work with such talented colleagues.</v>
      </c>
      <c r="J1727" s="9" cm="1">
        <f t="array" ref="J1727">SUMIF('외운 것 - 엑셀다운로드 파일(붙여넣기)'!A3:A562,A1727,'외운 것 - 엑셀다운로드 파일(붙여넣기)'!D3:D562)</f>
        <v>0</v>
      </c>
      <c r="K1727" s="9" cm="1">
        <f t="array" ref="K1727">_xlfn.COUNTIFS('외운 것 - 엑셀다운로드 파일(붙여넣기)'!A3:A562,A1727,'외운 것 - 엑셀다운로드 파일(붙여넣기)'!D3:D562,0)</f>
        <v>0</v>
      </c>
      <c r="L1727" s="9" cm="1">
        <f t="array" ref="L1727">IF(J1727&gt;=3,_xlfn.XLOOKUP(A1727,'외운 것 - 엑셀다운로드 파일(붙여넣기)'!A3:A562,'외운 것 - 엑셀다운로드 파일(붙여넣기)'!C3:C562,0,-1),0)</f>
        <v>0</v>
      </c>
    </row>
    <row r="1728" ht="38.45" customHeight="1">
      <c r="A1728" s="3">
        <v>1727</v>
      </c>
      <c r="B1728" t="s" s="4">
        <v>10918</v>
      </c>
      <c r="C1728" t="s" s="5">
        <v>9912</v>
      </c>
      <c r="D1728" t="s" s="5">
        <v>10919</v>
      </c>
      <c r="E1728" t="s" s="5">
        <v>10920</v>
      </c>
      <c r="F1728" t="s" s="10">
        <v>10921</v>
      </c>
      <c r="G1728" t="s" s="7">
        <v>10922</v>
      </c>
      <c r="H1728" t="s" s="7">
        <v>10923</v>
      </c>
      <c r="I1728" t="str" s="8" cm="1">
        <f t="array" ref="I1728">SUBSTITUTE(H1728,B1728,"(          )")</f>
        <v>The reporter works for the local (          ).</v>
      </c>
      <c r="J1728" s="9" cm="1">
        <f t="array" ref="J1728">SUMIF('외운 것 - 엑셀다운로드 파일(붙여넣기)'!A3:A562,A1728,'외운 것 - 엑셀다운로드 파일(붙여넣기)'!D3:D562)</f>
        <v>0</v>
      </c>
      <c r="K1728" s="9" cm="1">
        <f t="array" ref="K1728">_xlfn.COUNTIFS('외운 것 - 엑셀다운로드 파일(붙여넣기)'!A3:A562,A1728,'외운 것 - 엑셀다운로드 파일(붙여넣기)'!D3:D562,0)</f>
        <v>0</v>
      </c>
      <c r="L1728" s="9" cm="1">
        <f t="array" ref="L1728">IF(J1728&gt;=3,_xlfn.XLOOKUP(A1728,'외운 것 - 엑셀다운로드 파일(붙여넣기)'!A3:A562,'외운 것 - 엑셀다운로드 파일(붙여넣기)'!C3:C562,0,-1),0)</f>
        <v>0</v>
      </c>
    </row>
    <row r="1729" ht="23.45" customHeight="1">
      <c r="A1729" s="3">
        <v>1728</v>
      </c>
      <c r="B1729" t="s" s="4">
        <v>10925</v>
      </c>
      <c r="C1729" t="s" s="5">
        <v>10918</v>
      </c>
      <c r="D1729" t="s" s="5">
        <v>10919</v>
      </c>
      <c r="E1729" t="s" s="5">
        <v>10926</v>
      </c>
      <c r="F1729" t="s" s="10">
        <v>10927</v>
      </c>
      <c r="G1729" t="s" s="7">
        <v>10928</v>
      </c>
      <c r="H1729" t="s" s="7">
        <v>10929</v>
      </c>
      <c r="I1729" t="str" s="8" cm="1">
        <f t="array" ref="I1729">SUBSTITUTE(H1729,B1729,"(          )")</f>
        <v>High blood (          ) can cause health problems.</v>
      </c>
      <c r="J1729" s="9" cm="1">
        <f t="array" ref="J1729">SUMIF('외운 것 - 엑셀다운로드 파일(붙여넣기)'!A3:A562,A1729,'외운 것 - 엑셀다운로드 파일(붙여넣기)'!D3:D562)</f>
        <v>0</v>
      </c>
      <c r="K1729" s="9" cm="1">
        <f t="array" ref="K1729">_xlfn.COUNTIFS('외운 것 - 엑셀다운로드 파일(붙여넣기)'!A3:A562,A1729,'외운 것 - 엑셀다운로드 파일(붙여넣기)'!D3:D562,0)</f>
        <v>0</v>
      </c>
      <c r="L1729" s="9" cm="1">
        <f t="array" ref="L1729">IF(J1729&gt;=3,_xlfn.XLOOKUP(A1729,'외운 것 - 엑셀다운로드 파일(붙여넣기)'!A3:A562,'외운 것 - 엑셀다운로드 파일(붙여넣기)'!C3:C562,0,-1),0)</f>
        <v>0</v>
      </c>
    </row>
    <row r="1730" ht="23.45" customHeight="1">
      <c r="A1730" s="3">
        <v>1729</v>
      </c>
      <c r="B1730" t="s" s="4">
        <v>10931</v>
      </c>
      <c r="C1730" t="s" s="5">
        <v>10918</v>
      </c>
      <c r="D1730" t="s" s="5">
        <v>10919</v>
      </c>
      <c r="E1730" t="s" s="5">
        <v>10932</v>
      </c>
      <c r="F1730" t="s" s="10">
        <v>10933</v>
      </c>
      <c r="G1730" t="s" s="7">
        <v>10934</v>
      </c>
      <c r="H1730" t="s" s="7">
        <v>10935</v>
      </c>
      <c r="I1730" t="str" s="8" cm="1">
        <f t="array" ref="I1730">SUBSTITUTE(H1730,B1730,"(          )")</f>
        <v>The nurse applied a cold (          ) to reduce swelling.</v>
      </c>
      <c r="J1730" s="9" cm="1">
        <f t="array" ref="J1730">SUMIF('외운 것 - 엑셀다운로드 파일(붙여넣기)'!A3:A562,A1730,'외운 것 - 엑셀다운로드 파일(붙여넣기)'!D3:D562)</f>
        <v>0</v>
      </c>
      <c r="K1730" s="9" cm="1">
        <f t="array" ref="K1730">_xlfn.COUNTIFS('외운 것 - 엑셀다운로드 파일(붙여넣기)'!A3:A562,A1730,'외운 것 - 엑셀다운로드 파일(붙여넣기)'!D3:D562,0)</f>
        <v>0</v>
      </c>
      <c r="L1730" s="9" cm="1">
        <f t="array" ref="L1730">IF(J1730&gt;=3,_xlfn.XLOOKUP(A1730,'외운 것 - 엑셀다운로드 파일(붙여넣기)'!A3:A562,'외운 것 - 엑셀다운로드 파일(붙여넣기)'!C3:C562,0,-1),0)</f>
        <v>0</v>
      </c>
    </row>
    <row r="1731" ht="38.45" customHeight="1">
      <c r="A1731" s="3">
        <v>1730</v>
      </c>
      <c r="B1731" t="s" s="4">
        <v>10937</v>
      </c>
      <c r="C1731" t="s" s="5">
        <v>10918</v>
      </c>
      <c r="D1731" t="s" s="5">
        <v>10919</v>
      </c>
      <c r="E1731" t="s" s="5">
        <v>10938</v>
      </c>
      <c r="F1731" t="s" s="10">
        <v>10939</v>
      </c>
      <c r="G1731" t="s" s="7">
        <v>10940</v>
      </c>
      <c r="H1731" t="s" s="7">
        <v>10941</v>
      </c>
      <c r="I1731" t="str" s="8" cm="1">
        <f t="array" ref="I1731">SUBSTITUTE(H1731,B1731,"(          )")</f>
        <v>Dictators often (          ) people who disagree with them.</v>
      </c>
      <c r="J1731" s="9" cm="1">
        <f t="array" ref="J1731">SUMIF('외운 것 - 엑셀다운로드 파일(붙여넣기)'!A3:A562,A1731,'외운 것 - 엑셀다운로드 파일(붙여넣기)'!D3:D562)</f>
        <v>0</v>
      </c>
      <c r="K1731" s="9" cm="1">
        <f t="array" ref="K1731">_xlfn.COUNTIFS('외운 것 - 엑셀다운로드 파일(붙여넣기)'!A3:A562,A1731,'외운 것 - 엑셀다운로드 파일(붙여넣기)'!D3:D562,0)</f>
        <v>0</v>
      </c>
      <c r="L1731" s="9" cm="1">
        <f t="array" ref="L1731">IF(J1731&gt;=3,_xlfn.XLOOKUP(A1731,'외운 것 - 엑셀다운로드 파일(붙여넣기)'!A3:A562,'외운 것 - 엑셀다운로드 파일(붙여넣기)'!C3:C562,0,-1),0)</f>
        <v>0</v>
      </c>
    </row>
    <row r="1732" ht="38.45" customHeight="1">
      <c r="A1732" s="3">
        <v>1731</v>
      </c>
      <c r="B1732" t="s" s="4">
        <v>10943</v>
      </c>
      <c r="C1732" t="s" s="5">
        <v>10918</v>
      </c>
      <c r="D1732" t="s" s="5">
        <v>10919</v>
      </c>
      <c r="E1732" t="s" s="5">
        <v>10944</v>
      </c>
      <c r="F1732" t="s" s="10">
        <v>10945</v>
      </c>
      <c r="G1732" t="s" s="7">
        <v>10946</v>
      </c>
      <c r="H1732" t="s" s="7">
        <v>10947</v>
      </c>
      <c r="I1732" t="str" s="8" cm="1">
        <f t="array" ref="I1732">SUBSTITUTE(H1732,B1732,"(          )")</f>
        <v>The medication helps (          ) the symptoms of the disease.</v>
      </c>
      <c r="J1732" s="9" cm="1">
        <f t="array" ref="J1732">SUMIF('외운 것 - 엑셀다운로드 파일(붙여넣기)'!A3:A562,A1732,'외운 것 - 엑셀다운로드 파일(붙여넣기)'!D3:D562)</f>
        <v>0</v>
      </c>
      <c r="K1732" s="9" cm="1">
        <f t="array" ref="K1732">_xlfn.COUNTIFS('외운 것 - 엑셀다운로드 파일(붙여넣기)'!A3:A562,A1732,'외운 것 - 엑셀다운로드 파일(붙여넣기)'!D3:D562,0)</f>
        <v>0</v>
      </c>
      <c r="L1732" s="9" cm="1">
        <f t="array" ref="L1732">IF(J1732&gt;=3,_xlfn.XLOOKUP(A1732,'외운 것 - 엑셀다운로드 파일(붙여넣기)'!A3:A562,'외운 것 - 엑셀다운로드 파일(붙여넣기)'!C3:C562,0,-1),0)</f>
        <v>0</v>
      </c>
    </row>
    <row r="1733" ht="23.45" customHeight="1">
      <c r="A1733" s="3">
        <v>1732</v>
      </c>
      <c r="B1733" t="s" s="4">
        <v>3483</v>
      </c>
      <c r="C1733" t="s" s="5">
        <v>10918</v>
      </c>
      <c r="D1733" t="s" s="5">
        <v>10919</v>
      </c>
      <c r="E1733" t="s" s="5">
        <v>3486</v>
      </c>
      <c r="F1733" t="s" s="10">
        <v>10949</v>
      </c>
      <c r="G1733" t="s" s="7">
        <v>10950</v>
      </c>
      <c r="H1733" t="s" s="7">
        <v>3489</v>
      </c>
      <c r="I1733" t="str" s="8" cm="1">
        <f t="array" ref="I1733">SUBSTITUTE(H1733,B1733,"(          )")</f>
        <v>Bad news can (          ) your mood.</v>
      </c>
      <c r="J1733" s="9" cm="1">
        <f t="array" ref="J1733">SUMIF('외운 것 - 엑셀다운로드 파일(붙여넣기)'!A3:A562,A1733,'외운 것 - 엑셀다운로드 파일(붙여넣기)'!D3:D562)</f>
        <v>0</v>
      </c>
      <c r="K1733" s="9" cm="1">
        <f t="array" ref="K1733">_xlfn.COUNTIFS('외운 것 - 엑셀다운로드 파일(붙여넣기)'!A3:A562,A1733,'외운 것 - 엑셀다운로드 파일(붙여넣기)'!D3:D562,0)</f>
        <v>0</v>
      </c>
      <c r="L1733" s="9" cm="1">
        <f t="array" ref="L1733">IF(J1733&gt;=3,_xlfn.XLOOKUP(A1733,'외운 것 - 엑셀다운로드 파일(붙여넣기)'!A3:A562,'외운 것 - 엑셀다운로드 파일(붙여넣기)'!C3:C562,0,-1),0)</f>
        <v>0</v>
      </c>
    </row>
    <row r="1734" ht="53.45" customHeight="1">
      <c r="A1734" s="3">
        <v>1733</v>
      </c>
      <c r="B1734" t="s" s="4">
        <v>10951</v>
      </c>
      <c r="C1734" t="s" s="5">
        <v>10918</v>
      </c>
      <c r="D1734" t="s" s="5">
        <v>10919</v>
      </c>
      <c r="E1734" t="s" s="5">
        <v>10952</v>
      </c>
      <c r="F1734" t="s" s="10">
        <v>10953</v>
      </c>
      <c r="G1734" t="s" s="7">
        <v>10954</v>
      </c>
      <c r="H1734" t="s" s="7">
        <v>10955</v>
      </c>
      <c r="I1734" t="str" s="8" cm="1">
        <f t="array" ref="I1734">SUBSTITUTE(H1734,B1734,"(          )")</f>
        <v>She (          )ed her concerns about the new policy.</v>
      </c>
      <c r="J1734" s="9" cm="1">
        <f t="array" ref="J1734">SUMIF('외운 것 - 엑셀다운로드 파일(붙여넣기)'!A3:A562,A1734,'외운 것 - 엑셀다운로드 파일(붙여넣기)'!D3:D562)</f>
        <v>0</v>
      </c>
      <c r="K1734" s="9" cm="1">
        <f t="array" ref="K1734">_xlfn.COUNTIFS('외운 것 - 엑셀다운로드 파일(붙여넣기)'!A3:A562,A1734,'외운 것 - 엑셀다운로드 파일(붙여넣기)'!D3:D562,0)</f>
        <v>0</v>
      </c>
      <c r="L1734" s="9" cm="1">
        <f t="array" ref="L1734">IF(J1734&gt;=3,_xlfn.XLOOKUP(A1734,'외운 것 - 엑셀다운로드 파일(붙여넣기)'!A3:A562,'외운 것 - 엑셀다운로드 파일(붙여넣기)'!C3:C562,0,-1),0)</f>
        <v>0</v>
      </c>
    </row>
    <row r="1735" ht="38.45" customHeight="1">
      <c r="A1735" s="3">
        <v>1734</v>
      </c>
      <c r="B1735" t="s" s="4">
        <v>10957</v>
      </c>
      <c r="C1735" t="s" s="5">
        <v>10918</v>
      </c>
      <c r="D1735" t="s" s="5">
        <v>10919</v>
      </c>
      <c r="E1735" t="s" s="5">
        <v>10958</v>
      </c>
      <c r="F1735" t="s" s="10">
        <v>10959</v>
      </c>
      <c r="G1735" t="s" s="7">
        <v>10960</v>
      </c>
      <c r="H1735" t="s" s="7">
        <v>10961</v>
      </c>
      <c r="I1735" t="str" s="8" cm="1">
        <f t="array" ref="I1735">SUBSTITUTE(H1735,B1735,"(          )")</f>
        <v>The interview left a positive (          ) on the hiring manager.</v>
      </c>
      <c r="J1735" s="9" cm="1">
        <f t="array" ref="J1735">SUMIF('외운 것 - 엑셀다운로드 파일(붙여넣기)'!A3:A562,A1735,'외운 것 - 엑셀다운로드 파일(붙여넣기)'!D3:D562)</f>
        <v>0</v>
      </c>
      <c r="K1735" s="9" cm="1">
        <f t="array" ref="K1735">_xlfn.COUNTIFS('외운 것 - 엑셀다운로드 파일(붙여넣기)'!A3:A562,A1735,'외운 것 - 엑셀다운로드 파일(붙여넣기)'!D3:D562,0)</f>
        <v>0</v>
      </c>
      <c r="L1735" s="9" cm="1">
        <f t="array" ref="L1735">IF(J1735&gt;=3,_xlfn.XLOOKUP(A1735,'외운 것 - 엑셀다운로드 파일(붙여넣기)'!A3:A562,'외운 것 - 엑셀다운로드 파일(붙여넣기)'!C3:C562,0,-1),0)</f>
        <v>0</v>
      </c>
    </row>
    <row r="1736" ht="23.45" customHeight="1">
      <c r="A1736" s="3">
        <v>1735</v>
      </c>
      <c r="B1736" t="s" s="4">
        <v>10963</v>
      </c>
      <c r="C1736" t="s" s="5">
        <v>10964</v>
      </c>
      <c r="D1736" t="s" s="5">
        <v>10965</v>
      </c>
      <c r="E1736" t="s" s="5">
        <v>10966</v>
      </c>
      <c r="F1736" t="s" s="10">
        <v>10967</v>
      </c>
      <c r="G1736" t="s" s="7">
        <v>10968</v>
      </c>
      <c r="H1736" t="s" s="7">
        <v>10969</v>
      </c>
      <c r="I1736" t="str" s="8" cm="1">
        <f t="array" ref="I1736">SUBSTITUTE(H1736,B1736,"(          )")</f>
        <v>He served five years in (          ) for the crime.</v>
      </c>
      <c r="J1736" s="9" cm="1">
        <f t="array" ref="J1736">SUMIF('외운 것 - 엑셀다운로드 파일(붙여넣기)'!A3:A562,A1736,'외운 것 - 엑셀다운로드 파일(붙여넣기)'!D3:D562)</f>
        <v>0</v>
      </c>
      <c r="K1736" s="9" cm="1">
        <f t="array" ref="K1736">_xlfn.COUNTIFS('외운 것 - 엑셀다운로드 파일(붙여넣기)'!A3:A562,A1736,'외운 것 - 엑셀다운로드 파일(붙여넣기)'!D3:D562,0)</f>
        <v>0</v>
      </c>
      <c r="L1736" s="9" cm="1">
        <f t="array" ref="L1736">IF(J1736&gt;=3,_xlfn.XLOOKUP(A1736,'외운 것 - 엑셀다운로드 파일(붙여넣기)'!A3:A562,'외운 것 - 엑셀다운로드 파일(붙여넣기)'!C3:C562,0,-1),0)</f>
        <v>0</v>
      </c>
    </row>
    <row r="1737" ht="36.4" customHeight="1">
      <c r="A1737" s="3">
        <v>1736</v>
      </c>
      <c r="B1737" t="s" s="4">
        <v>10971</v>
      </c>
      <c r="C1737" t="s" s="5">
        <v>10972</v>
      </c>
      <c r="D1737" t="s" s="5">
        <v>10964</v>
      </c>
      <c r="E1737" t="s" s="5">
        <v>10973</v>
      </c>
      <c r="F1737" t="s" s="10">
        <v>10974</v>
      </c>
      <c r="G1737" t="s" s="7">
        <v>10975</v>
      </c>
      <c r="H1737" t="s" s="7">
        <v>10976</v>
      </c>
      <c r="I1737" t="str" s="8" cm="1">
        <f t="array" ref="I1737">SUBSTITUTE(H1737,B1737,"(          )")</f>
        <v>The (          ) was released after serving his sentence.</v>
      </c>
      <c r="J1737" s="9" cm="1">
        <f t="array" ref="J1737">SUMIF('외운 것 - 엑셀다운로드 파일(붙여넣기)'!A3:A562,A1737,'외운 것 - 엑셀다운로드 파일(붙여넣기)'!D3:D562)</f>
        <v>0</v>
      </c>
      <c r="K1737" s="9" cm="1">
        <f t="array" ref="K1737">_xlfn.COUNTIFS('외운 것 - 엑셀다운로드 파일(붙여넣기)'!A3:A562,A1737,'외운 것 - 엑셀다운로드 파일(붙여넣기)'!D3:D562,0)</f>
        <v>0</v>
      </c>
      <c r="L1737" s="9" cm="1">
        <f t="array" ref="L1737">IF(J1737&gt;=3,_xlfn.XLOOKUP(A1737,'외운 것 - 엑셀다운로드 파일(붙여넣기)'!A3:A562,'외운 것 - 엑셀다운로드 파일(붙여넣기)'!C3:C562,0,-1),0)</f>
        <v>0</v>
      </c>
    </row>
    <row r="1738" ht="23.45" customHeight="1">
      <c r="A1738" s="3">
        <v>1737</v>
      </c>
      <c r="B1738" t="s" s="4">
        <v>10978</v>
      </c>
      <c r="C1738" t="s" s="5">
        <v>10964</v>
      </c>
      <c r="D1738" t="s" s="5">
        <v>10965</v>
      </c>
      <c r="E1738" t="s" s="5">
        <v>10979</v>
      </c>
      <c r="F1738" t="s" s="10">
        <v>10980</v>
      </c>
      <c r="G1738" t="s" s="7">
        <v>10981</v>
      </c>
      <c r="H1738" t="s" s="7">
        <v>10982</v>
      </c>
      <c r="I1738" t="str" s="8" cm="1">
        <f t="array" ref="I1738">SUBSTITUTE(H1738,B1738,"(          )")</f>
        <v>The party was a complete (          ) for her birthday.</v>
      </c>
      <c r="J1738" s="9" cm="1">
        <f t="array" ref="J1738">SUMIF('외운 것 - 엑셀다운로드 파일(붙여넣기)'!A3:A562,A1738,'외운 것 - 엑셀다운로드 파일(붙여넣기)'!D3:D562)</f>
        <v>0</v>
      </c>
      <c r="K1738" s="9" cm="1">
        <f t="array" ref="K1738">_xlfn.COUNTIFS('외운 것 - 엑셀다운로드 파일(붙여넣기)'!A3:A562,A1738,'외운 것 - 엑셀다운로드 파일(붙여넣기)'!D3:D562,0)</f>
        <v>0</v>
      </c>
      <c r="L1738" s="9" cm="1">
        <f t="array" ref="L1738">IF(J1738&gt;=3,_xlfn.XLOOKUP(A1738,'외운 것 - 엑셀다운로드 파일(붙여넣기)'!A3:A562,'외운 것 - 엑셀다운로드 파일(붙여넣기)'!C3:C562,0,-1),0)</f>
        <v>0</v>
      </c>
    </row>
    <row r="1739" ht="23.45" customHeight="1">
      <c r="A1739" s="3">
        <v>1738</v>
      </c>
      <c r="B1739" t="s" s="4">
        <v>10984</v>
      </c>
      <c r="C1739" t="s" s="5">
        <v>10964</v>
      </c>
      <c r="D1739" t="s" s="5">
        <v>10965</v>
      </c>
      <c r="E1739" t="s" s="5">
        <v>10985</v>
      </c>
      <c r="F1739" t="s" s="10">
        <v>10986</v>
      </c>
      <c r="G1739" t="s" s="7">
        <v>10987</v>
      </c>
      <c r="H1739" t="s" s="7">
        <v>10988</v>
      </c>
      <c r="I1739" t="str" s="8" cm="1">
        <f t="array" ref="I1739">SUBSTITUTE(H1739,B1739,"(          )")</f>
        <v>Starting a new (          ) requires courage and planning.</v>
      </c>
      <c r="J1739" s="9" cm="1">
        <f t="array" ref="J1739">SUMIF('외운 것 - 엑셀다운로드 파일(붙여넣기)'!A3:A562,A1739,'외운 것 - 엑셀다운로드 파일(붙여넣기)'!D3:D562)</f>
        <v>0</v>
      </c>
      <c r="K1739" s="9" cm="1">
        <f t="array" ref="K1739">_xlfn.COUNTIFS('외운 것 - 엑셀다운로드 파일(붙여넣기)'!A3:A562,A1739,'외운 것 - 엑셀다운로드 파일(붙여넣기)'!D3:D562,0)</f>
        <v>0</v>
      </c>
      <c r="L1739" s="9" cm="1">
        <f t="array" ref="L1739">IF(J1739&gt;=3,_xlfn.XLOOKUP(A1739,'외운 것 - 엑셀다운로드 파일(붙여넣기)'!A3:A562,'외운 것 - 엑셀다운로드 파일(붙여넣기)'!C3:C562,0,-1),0)</f>
        <v>0</v>
      </c>
    </row>
    <row r="1740" ht="38.45" customHeight="1">
      <c r="A1740" s="3">
        <v>1739</v>
      </c>
      <c r="B1740" t="s" s="4">
        <v>10990</v>
      </c>
      <c r="C1740" t="s" s="5">
        <v>10964</v>
      </c>
      <c r="D1740" t="s" s="5">
        <v>10965</v>
      </c>
      <c r="E1740" t="s" s="5">
        <v>10991</v>
      </c>
      <c r="F1740" t="s" s="10">
        <v>10992</v>
      </c>
      <c r="G1740" t="s" s="7">
        <v>2087</v>
      </c>
      <c r="H1740" t="s" s="7">
        <v>10993</v>
      </c>
      <c r="I1740" t="str" s="8" cm="1">
        <f t="array" ref="I1740">SUBSTITUTE(H1740,B1740,"(          )")</f>
        <v>The committee (          )s members from various departments.</v>
      </c>
      <c r="J1740" s="9" cm="1">
        <f t="array" ref="J1740">SUMIF('외운 것 - 엑셀다운로드 파일(붙여넣기)'!A3:A562,A1740,'외운 것 - 엑셀다운로드 파일(붙여넣기)'!D3:D562)</f>
        <v>0</v>
      </c>
      <c r="K1740" s="9" cm="1">
        <f t="array" ref="K1740">_xlfn.COUNTIFS('외운 것 - 엑셀다운로드 파일(붙여넣기)'!A3:A562,A1740,'외운 것 - 엑셀다운로드 파일(붙여넣기)'!D3:D562,0)</f>
        <v>0</v>
      </c>
      <c r="L1740" s="9" cm="1">
        <f t="array" ref="L1740">IF(J1740&gt;=3,_xlfn.XLOOKUP(A1740,'외운 것 - 엑셀다운로드 파일(붙여넣기)'!A3:A562,'외운 것 - 엑셀다운로드 파일(붙여넣기)'!C3:C562,0,-1),0)</f>
        <v>0</v>
      </c>
    </row>
    <row r="1741" ht="23.45" customHeight="1">
      <c r="A1741" s="3">
        <v>1740</v>
      </c>
      <c r="B1741" t="s" s="4">
        <v>10995</v>
      </c>
      <c r="C1741" t="s" s="5">
        <v>10996</v>
      </c>
      <c r="D1741" t="s" s="5">
        <v>10997</v>
      </c>
      <c r="E1741" t="s" s="5">
        <v>10998</v>
      </c>
      <c r="F1741" t="s" s="10">
        <v>10999</v>
      </c>
      <c r="G1741" t="s" s="7">
        <v>11000</v>
      </c>
      <c r="H1741" t="s" s="7">
        <v>11001</v>
      </c>
      <c r="I1741" t="str" s="8" cm="1">
        <f t="array" ref="I1741">SUBSTITUTE(H1741,B1741,"(          )")</f>
        <v>Today is a (          ) occasion worth celebrating.</v>
      </c>
      <c r="J1741" s="9" cm="1">
        <f t="array" ref="J1741">SUMIF('외운 것 - 엑셀다운로드 파일(붙여넣기)'!A3:A562,A1741,'외운 것 - 엑셀다운로드 파일(붙여넣기)'!D3:D562)</f>
        <v>0</v>
      </c>
      <c r="K1741" s="9" cm="1">
        <f t="array" ref="K1741">_xlfn.COUNTIFS('외운 것 - 엑셀다운로드 파일(붙여넣기)'!A3:A562,A1741,'외운 것 - 엑셀다운로드 파일(붙여넣기)'!D3:D562,0)</f>
        <v>0</v>
      </c>
      <c r="L1741" s="9" cm="1">
        <f t="array" ref="L1741">IF(J1741&gt;=3,_xlfn.XLOOKUP(A1741,'외운 것 - 엑셀다운로드 파일(붙여넣기)'!A3:A562,'외운 것 - 엑셀다운로드 파일(붙여넣기)'!C3:C562,0,-1),0)</f>
        <v>0</v>
      </c>
    </row>
    <row r="1742" ht="36.4" customHeight="1">
      <c r="A1742" s="3">
        <v>1741</v>
      </c>
      <c r="B1742" t="s" s="4">
        <v>11003</v>
      </c>
      <c r="C1742" t="s" s="5">
        <v>11004</v>
      </c>
      <c r="D1742" t="s" s="5">
        <v>10996</v>
      </c>
      <c r="E1742" t="s" s="5">
        <v>11005</v>
      </c>
      <c r="F1742" t="s" s="10">
        <v>11006</v>
      </c>
      <c r="G1742" t="s" s="7">
        <v>11007</v>
      </c>
      <c r="H1742" t="s" s="7">
        <v>11008</v>
      </c>
      <c r="I1742" t="str" s="8" cm="1">
        <f t="array" ref="I1742">SUBSTITUTE(H1742,B1742,"(          )")</f>
        <v>She consulted a (          ) about her knee injury.</v>
      </c>
      <c r="J1742" s="9" cm="1">
        <f t="array" ref="J1742">SUMIF('외운 것 - 엑셀다운로드 파일(붙여넣기)'!A3:A562,A1742,'외운 것 - 엑셀다운로드 파일(붙여넣기)'!D3:D562)</f>
        <v>0</v>
      </c>
      <c r="K1742" s="9" cm="1">
        <f t="array" ref="K1742">_xlfn.COUNTIFS('외운 것 - 엑셀다운로드 파일(붙여넣기)'!A3:A562,A1742,'외운 것 - 엑셀다운로드 파일(붙여넣기)'!D3:D562,0)</f>
        <v>0</v>
      </c>
      <c r="L1742" s="9" cm="1">
        <f t="array" ref="L1742">IF(J1742&gt;=3,_xlfn.XLOOKUP(A1742,'외운 것 - 엑셀다운로드 파일(붙여넣기)'!A3:A562,'외운 것 - 엑셀다운로드 파일(붙여넣기)'!C3:C562,0,-1),0)</f>
        <v>0</v>
      </c>
    </row>
    <row r="1743" ht="38.45" customHeight="1">
      <c r="A1743" s="3">
        <v>1742</v>
      </c>
      <c r="B1743" t="s" s="4">
        <v>11010</v>
      </c>
      <c r="C1743" t="s" s="5">
        <v>10996</v>
      </c>
      <c r="D1743" t="s" s="5">
        <v>10997</v>
      </c>
      <c r="E1743" t="s" s="5">
        <v>11011</v>
      </c>
      <c r="F1743" t="s" s="10">
        <v>11012</v>
      </c>
      <c r="G1743" t="s" s="7">
        <v>11013</v>
      </c>
      <c r="H1743" t="s" s="7">
        <v>1473</v>
      </c>
      <c r="I1743" t="str" s="8" cm="1">
        <f t="array" ref="I1743">SUBSTITUTE(H1743,B1743,"(          )")</f>
        <v>Scientists discover new (          ) in the rainforest every year.</v>
      </c>
      <c r="J1743" s="9" cm="1">
        <f t="array" ref="J1743">SUMIF('외운 것 - 엑셀다운로드 파일(붙여넣기)'!A3:A562,A1743,'외운 것 - 엑셀다운로드 파일(붙여넣기)'!D3:D562)</f>
        <v>0</v>
      </c>
      <c r="K1743" s="9" cm="1">
        <f t="array" ref="K1743">_xlfn.COUNTIFS('외운 것 - 엑셀다운로드 파일(붙여넣기)'!A3:A562,A1743,'외운 것 - 엑셀다운로드 파일(붙여넣기)'!D3:D562,0)</f>
        <v>0</v>
      </c>
      <c r="L1743" s="9" cm="1">
        <f t="array" ref="L1743">IF(J1743&gt;=3,_xlfn.XLOOKUP(A1743,'외운 것 - 엑셀다운로드 파일(붙여넣기)'!A3:A562,'외운 것 - 엑셀다운로드 파일(붙여넣기)'!C3:C562,0,-1),0)</f>
        <v>0</v>
      </c>
    </row>
    <row r="1744" ht="23.45" customHeight="1">
      <c r="A1744" s="3">
        <v>1743</v>
      </c>
      <c r="B1744" t="s" s="4">
        <v>11015</v>
      </c>
      <c r="C1744" t="s" s="5">
        <v>10996</v>
      </c>
      <c r="D1744" t="s" s="5">
        <v>10997</v>
      </c>
      <c r="E1744" t="s" s="5">
        <v>11016</v>
      </c>
      <c r="F1744" t="s" s="10">
        <v>11017</v>
      </c>
      <c r="G1744" t="s" s="7">
        <v>11018</v>
      </c>
      <c r="H1744" t="s" s="7">
        <v>11019</v>
      </c>
      <c r="I1744" t="str" s="8" cm="1">
        <f t="array" ref="I1744">SUBSTITUTE(H1744,B1744,"(          )")</f>
        <v>The doctor collected a blood (          ) for testing.</v>
      </c>
      <c r="J1744" s="9" cm="1">
        <f t="array" ref="J1744">SUMIF('외운 것 - 엑셀다운로드 파일(붙여넣기)'!A3:A562,A1744,'외운 것 - 엑셀다운로드 파일(붙여넣기)'!D3:D562)</f>
        <v>0</v>
      </c>
      <c r="K1744" s="9" cm="1">
        <f t="array" ref="K1744">_xlfn.COUNTIFS('외운 것 - 엑셀다운로드 파일(붙여넣기)'!A3:A562,A1744,'외운 것 - 엑셀다운로드 파일(붙여넣기)'!D3:D562,0)</f>
        <v>0</v>
      </c>
      <c r="L1744" s="9" cm="1">
        <f t="array" ref="L1744">IF(J1744&gt;=3,_xlfn.XLOOKUP(A1744,'외운 것 - 엑셀다운로드 파일(붙여넣기)'!A3:A562,'외운 것 - 엑셀다운로드 파일(붙여넣기)'!C3:C562,0,-1),0)</f>
        <v>0</v>
      </c>
    </row>
    <row r="1745" ht="23.45" customHeight="1">
      <c r="A1745" s="3">
        <v>1744</v>
      </c>
      <c r="B1745" t="s" s="4">
        <v>11021</v>
      </c>
      <c r="C1745" t="s" s="5">
        <v>10996</v>
      </c>
      <c r="D1745" t="s" s="5">
        <v>10997</v>
      </c>
      <c r="E1745" t="s" s="5">
        <v>11022</v>
      </c>
      <c r="F1745" t="s" s="10">
        <v>11023</v>
      </c>
      <c r="G1745" t="s" s="7">
        <v>11024</v>
      </c>
      <c r="H1745" t="s" s="7">
        <v>11025</v>
      </c>
      <c r="I1745" t="str" s="8" cm="1">
        <f t="array" ref="I1745">SUBSTITUTE(H1745,B1745,"(          )")</f>
        <v>The circus performance was quite a (          ).</v>
      </c>
      <c r="J1745" s="9" cm="1">
        <f t="array" ref="J1745">SUMIF('외운 것 - 엑셀다운로드 파일(붙여넣기)'!A3:A562,A1745,'외운 것 - 엑셀다운로드 파일(붙여넣기)'!D3:D562)</f>
        <v>0</v>
      </c>
      <c r="K1745" s="9" cm="1">
        <f t="array" ref="K1745">_xlfn.COUNTIFS('외운 것 - 엑셀다운로드 파일(붙여넣기)'!A3:A562,A1745,'외운 것 - 엑셀다운로드 파일(붙여넣기)'!D3:D562,0)</f>
        <v>0</v>
      </c>
      <c r="L1745" s="9" cm="1">
        <f t="array" ref="L1745">IF(J1745&gt;=3,_xlfn.XLOOKUP(A1745,'외운 것 - 엑셀다운로드 파일(붙여넣기)'!A3:A562,'외운 것 - 엑셀다운로드 파일(붙여넣기)'!C3:C562,0,-1),0)</f>
        <v>0</v>
      </c>
    </row>
    <row r="1746" ht="23.45" customHeight="1">
      <c r="A1746" s="3">
        <v>1745</v>
      </c>
      <c r="B1746" t="s" s="4">
        <v>11027</v>
      </c>
      <c r="C1746" t="s" s="5">
        <v>10996</v>
      </c>
      <c r="D1746" t="s" s="5">
        <v>10997</v>
      </c>
      <c r="E1746" t="s" s="5">
        <v>11028</v>
      </c>
      <c r="F1746" t="s" s="10">
        <v>11029</v>
      </c>
      <c r="G1746" t="s" s="7">
        <v>11030</v>
      </c>
      <c r="H1746" t="s" s="7">
        <v>11031</v>
      </c>
      <c r="I1746" t="str" s="8" cm="1">
        <f t="array" ref="I1746">SUBSTITUTE(H1746,B1746,"(          )")</f>
        <v>The (          ) cheered loudly for his favorite team.</v>
      </c>
      <c r="J1746" s="9" cm="1">
        <f t="array" ref="J1746">SUMIF('외운 것 - 엑셀다운로드 파일(붙여넣기)'!A3:A562,A1746,'외운 것 - 엑셀다운로드 파일(붙여넣기)'!D3:D562)</f>
        <v>0</v>
      </c>
      <c r="K1746" s="9" cm="1">
        <f t="array" ref="K1746">_xlfn.COUNTIFS('외운 것 - 엑셀다운로드 파일(붙여넣기)'!A3:A562,A1746,'외운 것 - 엑셀다운로드 파일(붙여넣기)'!D3:D562,0)</f>
        <v>0</v>
      </c>
      <c r="L1746" s="9" cm="1">
        <f t="array" ref="L1746">IF(J1746&gt;=3,_xlfn.XLOOKUP(A1746,'외운 것 - 엑셀다운로드 파일(붙여넣기)'!A3:A562,'외운 것 - 엑셀다운로드 파일(붙여넣기)'!C3:C562,0,-1),0)</f>
        <v>0</v>
      </c>
    </row>
    <row r="1747" ht="23.45" customHeight="1">
      <c r="A1747" s="3">
        <v>1746</v>
      </c>
      <c r="B1747" t="s" s="4">
        <v>11033</v>
      </c>
      <c r="C1747" t="s" s="5">
        <v>10996</v>
      </c>
      <c r="D1747" t="s" s="5">
        <v>10997</v>
      </c>
      <c r="E1747" t="s" s="5">
        <v>11034</v>
      </c>
      <c r="F1747" t="s" s="10">
        <v>11035</v>
      </c>
      <c r="G1747" t="s" s="7">
        <v>11036</v>
      </c>
      <c r="H1747" t="s" s="7">
        <v>11037</v>
      </c>
      <c r="I1747" t="str" s="8" cm="1">
        <f t="array" ref="I1747">SUBSTITUTE(H1747,B1747,"(          )")</f>
        <v>Economists (          ) about future market trends.</v>
      </c>
      <c r="J1747" s="9" cm="1">
        <f t="array" ref="J1747">SUMIF('외운 것 - 엑셀다운로드 파일(붙여넣기)'!A3:A562,A1747,'외운 것 - 엑셀다운로드 파일(붙여넣기)'!D3:D562)</f>
        <v>0</v>
      </c>
      <c r="K1747" s="9" cm="1">
        <f t="array" ref="K1747">_xlfn.COUNTIFS('외운 것 - 엑셀다운로드 파일(붙여넣기)'!A3:A562,A1747,'외운 것 - 엑셀다운로드 파일(붙여넣기)'!D3:D562,0)</f>
        <v>0</v>
      </c>
      <c r="L1747" s="9" cm="1">
        <f t="array" ref="L1747">IF(J1747&gt;=3,_xlfn.XLOOKUP(A1747,'외운 것 - 엑셀다운로드 파일(붙여넣기)'!A3:A562,'외운 것 - 엑셀다운로드 파일(붙여넣기)'!C3:C562,0,-1),0)</f>
        <v>0</v>
      </c>
    </row>
    <row r="1748" ht="23.45" customHeight="1">
      <c r="A1748" s="3">
        <v>1747</v>
      </c>
      <c r="B1748" t="s" s="4">
        <v>11039</v>
      </c>
      <c r="C1748" t="s" s="5">
        <v>10996</v>
      </c>
      <c r="D1748" t="s" s="5">
        <v>10997</v>
      </c>
      <c r="E1748" t="s" s="5">
        <v>11040</v>
      </c>
      <c r="F1748" t="s" s="10">
        <v>11041</v>
      </c>
      <c r="G1748" t="s" s="7">
        <v>11042</v>
      </c>
      <c r="H1748" t="s" s="7">
        <v>11043</v>
      </c>
      <c r="I1748" t="str" s="8" cm="1">
        <f t="array" ref="I1748">SUBSTITUTE(H1748,B1748,"(          )")</f>
        <v>Please be more (          ) about what you need.</v>
      </c>
      <c r="J1748" s="9" cm="1">
        <f t="array" ref="J1748">SUMIF('외운 것 - 엑셀다운로드 파일(붙여넣기)'!A3:A562,A1748,'외운 것 - 엑셀다운로드 파일(붙여넣기)'!D3:D562)</f>
        <v>0</v>
      </c>
      <c r="K1748" s="9" cm="1">
        <f t="array" ref="K1748">_xlfn.COUNTIFS('외운 것 - 엑셀다운로드 파일(붙여넣기)'!A3:A562,A1748,'외운 것 - 엑셀다운로드 파일(붙여넣기)'!D3:D562,0)</f>
        <v>0</v>
      </c>
      <c r="L1748" s="9" cm="1">
        <f t="array" ref="L1748">IF(J1748&gt;=3,_xlfn.XLOOKUP(A1748,'외운 것 - 엑셀다운로드 파일(붙여넣기)'!A3:A562,'외운 것 - 엑셀다운로드 파일(붙여넣기)'!C3:C562,0,-1),0)</f>
        <v>0</v>
      </c>
    </row>
    <row r="1749" ht="23.45" customHeight="1">
      <c r="A1749" s="3">
        <v>1748</v>
      </c>
      <c r="B1749" t="s" s="4">
        <v>11045</v>
      </c>
      <c r="C1749" t="s" s="5">
        <v>10996</v>
      </c>
      <c r="D1749" t="s" s="5">
        <v>10997</v>
      </c>
      <c r="E1749" t="s" s="5">
        <v>11046</v>
      </c>
      <c r="F1749" t="s" s="10">
        <v>11047</v>
      </c>
      <c r="G1749" t="s" s="7">
        <v>11048</v>
      </c>
      <c r="H1749" t="s" s="7">
        <v>11049</v>
      </c>
      <c r="I1749" t="str" s="8" cm="1">
        <f t="array" ref="I1749">SUBSTITUTE(H1749,B1749,"(          )")</f>
        <v>We need to consider every (          ) of the problem.</v>
      </c>
      <c r="J1749" s="9" cm="1">
        <f t="array" ref="J1749">SUMIF('외운 것 - 엑셀다운로드 파일(붙여넣기)'!A3:A562,A1749,'외운 것 - 엑셀다운로드 파일(붙여넣기)'!D3:D562)</f>
        <v>0</v>
      </c>
      <c r="K1749" s="9" cm="1">
        <f t="array" ref="K1749">_xlfn.COUNTIFS('외운 것 - 엑셀다운로드 파일(붙여넣기)'!A3:A562,A1749,'외운 것 - 엑셀다운로드 파일(붙여넣기)'!D3:D562,0)</f>
        <v>0</v>
      </c>
      <c r="L1749" s="9" cm="1">
        <f t="array" ref="L1749">IF(J1749&gt;=3,_xlfn.XLOOKUP(A1749,'외운 것 - 엑셀다운로드 파일(붙여넣기)'!A3:A562,'외운 것 - 엑셀다운로드 파일(붙여넣기)'!C3:C562,0,-1),0)</f>
        <v>0</v>
      </c>
    </row>
    <row r="1750" ht="38.45" customHeight="1">
      <c r="A1750" s="3">
        <v>1749</v>
      </c>
      <c r="B1750" t="s" s="4">
        <v>11051</v>
      </c>
      <c r="C1750" t="s" s="5">
        <v>10996</v>
      </c>
      <c r="D1750" t="s" s="5">
        <v>10997</v>
      </c>
      <c r="E1750" t="s" s="5">
        <v>11052</v>
      </c>
      <c r="F1750" t="s" s="10">
        <v>11053</v>
      </c>
      <c r="G1750" t="s" s="7">
        <v>11053</v>
      </c>
      <c r="H1750" t="s" s="7">
        <v>11054</v>
      </c>
      <c r="I1750" t="str" s="8" cm="1">
        <f t="array" ref="I1750">SUBSTITUTE(H1750,B1750,"(          )")</f>
        <v>Police (          ) the neighbor of stealing the package.</v>
      </c>
      <c r="J1750" s="9" cm="1">
        <f t="array" ref="J1750">SUMIF('외운 것 - 엑셀다운로드 파일(붙여넣기)'!A3:A562,A1750,'외운 것 - 엑셀다운로드 파일(붙여넣기)'!D3:D562)</f>
        <v>0</v>
      </c>
      <c r="K1750" s="9" cm="1">
        <f t="array" ref="K1750">_xlfn.COUNTIFS('외운 것 - 엑셀다운로드 파일(붙여넣기)'!A3:A562,A1750,'외운 것 - 엑셀다운로드 파일(붙여넣기)'!D3:D562,0)</f>
        <v>0</v>
      </c>
      <c r="L1750" s="9" cm="1">
        <f t="array" ref="L1750">IF(J1750&gt;=3,_xlfn.XLOOKUP(A1750,'외운 것 - 엑셀다운로드 파일(붙여넣기)'!A3:A562,'외운 것 - 엑셀다운로드 파일(붙여넣기)'!C3:C562,0,-1),0)</f>
        <v>0</v>
      </c>
    </row>
    <row r="1751" ht="23.45" customHeight="1">
      <c r="A1751" s="3">
        <v>1750</v>
      </c>
      <c r="B1751" t="s" s="4">
        <v>11056</v>
      </c>
      <c r="C1751" t="s" s="5">
        <v>10996</v>
      </c>
      <c r="D1751" t="s" s="5">
        <v>10997</v>
      </c>
      <c r="E1751" t="s" s="5">
        <v>11057</v>
      </c>
      <c r="F1751" t="s" s="10">
        <v>11058</v>
      </c>
      <c r="G1751" t="s" s="7">
        <v>11059</v>
      </c>
      <c r="H1751" t="s" s="7">
        <v>11060</v>
      </c>
      <c r="I1751" t="str" s="8" cm="1">
        <f t="array" ref="I1751">SUBSTITUTE(H1751,B1751,"(          )")</f>
        <v>The mechanic will (          ) your car for problems.</v>
      </c>
      <c r="J1751" s="9" cm="1">
        <f t="array" ref="J1751">SUMIF('외운 것 - 엑셀다운로드 파일(붙여넣기)'!A3:A562,A1751,'외운 것 - 엑셀다운로드 파일(붙여넣기)'!D3:D562)</f>
        <v>0</v>
      </c>
      <c r="K1751" s="9" cm="1">
        <f t="array" ref="K1751">_xlfn.COUNTIFS('외운 것 - 엑셀다운로드 파일(붙여넣기)'!A3:A562,A1751,'외운 것 - 엑셀다운로드 파일(붙여넣기)'!D3:D562,0)</f>
        <v>0</v>
      </c>
      <c r="L1751" s="9" cm="1">
        <f t="array" ref="L1751">IF(J1751&gt;=3,_xlfn.XLOOKUP(A1751,'외운 것 - 엑셀다운로드 파일(붙여넣기)'!A3:A562,'외운 것 - 엑셀다운로드 파일(붙여넣기)'!C3:C562,0,-1),0)</f>
        <v>0</v>
      </c>
    </row>
    <row r="1752" ht="23.45" customHeight="1">
      <c r="A1752" s="3">
        <v>1751</v>
      </c>
      <c r="B1752" t="s" s="4">
        <v>11062</v>
      </c>
      <c r="C1752" t="s" s="5">
        <v>10996</v>
      </c>
      <c r="D1752" t="s" s="5">
        <v>10997</v>
      </c>
      <c r="E1752" t="s" s="5">
        <v>11063</v>
      </c>
      <c r="F1752" t="s" s="10">
        <v>11064</v>
      </c>
      <c r="G1752" t="s" s="7">
        <v>11065</v>
      </c>
      <c r="H1752" t="s" s="7">
        <v>11066</v>
      </c>
      <c r="I1752" t="str" s="8" cm="1">
        <f t="array" ref="I1752">SUBSTITUTE(H1752,B1752,"(          )")</f>
        <v>The (          ) of traveling abroad excites me.</v>
      </c>
      <c r="J1752" s="9" cm="1">
        <f t="array" ref="J1752">SUMIF('외운 것 - 엑셀다운로드 파일(붙여넣기)'!A3:A562,A1752,'외운 것 - 엑셀다운로드 파일(붙여넣기)'!D3:D562)</f>
        <v>0</v>
      </c>
      <c r="K1752" s="9" cm="1">
        <f t="array" ref="K1752">_xlfn.COUNTIFS('외운 것 - 엑셀다운로드 파일(붙여넣기)'!A3:A562,A1752,'외운 것 - 엑셀다운로드 파일(붙여넣기)'!D3:D562,0)</f>
        <v>0</v>
      </c>
      <c r="L1752" s="9" cm="1">
        <f t="array" ref="L1752">IF(J1752&gt;=3,_xlfn.XLOOKUP(A1752,'외운 것 - 엑셀다운로드 파일(붙여넣기)'!A3:A562,'외운 것 - 엑셀다운로드 파일(붙여넣기)'!C3:C562,0,-1),0)</f>
        <v>0</v>
      </c>
    </row>
    <row r="1753" ht="23.45" customHeight="1">
      <c r="A1753" s="3">
        <v>1752</v>
      </c>
      <c r="B1753" t="s" s="4">
        <v>11068</v>
      </c>
      <c r="C1753" t="s" s="5">
        <v>10996</v>
      </c>
      <c r="D1753" t="s" s="5">
        <v>10997</v>
      </c>
      <c r="E1753" t="s" s="5">
        <v>11069</v>
      </c>
      <c r="F1753" t="s" s="10">
        <v>11070</v>
      </c>
      <c r="G1753" t="s" s="7">
        <v>11071</v>
      </c>
      <c r="H1753" t="s" s="7">
        <v>11072</v>
      </c>
      <c r="I1753" t="str" s="8" cm="1">
        <f t="array" ref="I1753">SUBSTITUTE(H1753,B1753,"(          )")</f>
        <v>We (          ) the package to arrive tomorrow.</v>
      </c>
      <c r="J1753" s="9" cm="1">
        <f t="array" ref="J1753">SUMIF('외운 것 - 엑셀다운로드 파일(붙여넣기)'!A3:A562,A1753,'외운 것 - 엑셀다운로드 파일(붙여넣기)'!D3:D562)</f>
        <v>0</v>
      </c>
      <c r="K1753" s="9" cm="1">
        <f t="array" ref="K1753">_xlfn.COUNTIFS('외운 것 - 엑셀다운로드 파일(붙여넣기)'!A3:A562,A1753,'외운 것 - 엑셀다운로드 파일(붙여넣기)'!D3:D562,0)</f>
        <v>0</v>
      </c>
      <c r="L1753" s="9" cm="1">
        <f t="array" ref="L1753">IF(J1753&gt;=3,_xlfn.XLOOKUP(A1753,'외운 것 - 엑셀다운로드 파일(붙여넣기)'!A3:A562,'외운 것 - 엑셀다운로드 파일(붙여넣기)'!C3:C562,0,-1),0)</f>
        <v>0</v>
      </c>
    </row>
    <row r="1754" ht="23.45" customHeight="1">
      <c r="A1754" s="3">
        <v>1753</v>
      </c>
      <c r="B1754" t="s" s="4">
        <v>11074</v>
      </c>
      <c r="C1754" t="s" s="5">
        <v>10996</v>
      </c>
      <c r="D1754" t="s" s="5">
        <v>10997</v>
      </c>
      <c r="E1754" t="s" s="5">
        <v>11075</v>
      </c>
      <c r="F1754" t="s" s="10">
        <v>11076</v>
      </c>
      <c r="G1754" t="s" s="7">
        <v>11077</v>
      </c>
      <c r="H1754" t="s" s="7">
        <v>11078</v>
      </c>
      <c r="I1754" t="str" s="8" cm="1">
        <f t="array" ref="I1754">SUBSTITUTE(H1754,B1754,"(          )")</f>
        <v>Children should (          ) their elders.</v>
      </c>
      <c r="J1754" s="9" cm="1">
        <f t="array" ref="J1754">SUMIF('외운 것 - 엑셀다운로드 파일(붙여넣기)'!A3:A562,A1754,'외운 것 - 엑셀다운로드 파일(붙여넣기)'!D3:D562)</f>
        <v>0</v>
      </c>
      <c r="K1754" s="9" cm="1">
        <f t="array" ref="K1754">_xlfn.COUNTIFS('외운 것 - 엑셀다운로드 파일(붙여넣기)'!A3:A562,A1754,'외운 것 - 엑셀다운로드 파일(붙여넣기)'!D3:D562,0)</f>
        <v>0</v>
      </c>
      <c r="L1754" s="9" cm="1">
        <f t="array" ref="L1754">IF(J1754&gt;=3,_xlfn.XLOOKUP(A1754,'외운 것 - 엑셀다운로드 파일(붙여넣기)'!A3:A562,'외운 것 - 엑셀다운로드 파일(붙여넣기)'!C3:C562,0,-1),0)</f>
        <v>0</v>
      </c>
    </row>
    <row r="1755" ht="38.45" customHeight="1">
      <c r="A1755" s="3">
        <v>1754</v>
      </c>
      <c r="B1755" t="s" s="4">
        <v>11080</v>
      </c>
      <c r="C1755" t="s" s="5">
        <v>11081</v>
      </c>
      <c r="D1755" t="s" s="5">
        <v>10996</v>
      </c>
      <c r="E1755" t="s" s="5">
        <v>11082</v>
      </c>
      <c r="F1755" t="s" s="10">
        <v>11083</v>
      </c>
      <c r="G1755" t="s" s="7">
        <v>11084</v>
      </c>
      <c r="H1755" t="s" s="7">
        <v>11085</v>
      </c>
      <c r="I1755" t="str" s="8" cm="1">
        <f t="array" ref="I1755">SUBSTITUTE(H1755,B1755,"(          )")</f>
        <v>The students returned to their (          ) homes for the holiday.</v>
      </c>
      <c r="J1755" s="9" cm="1">
        <f t="array" ref="J1755">SUMIF('외운 것 - 엑셀다운로드 파일(붙여넣기)'!A3:A562,A1755,'외운 것 - 엑셀다운로드 파일(붙여넣기)'!D3:D562)</f>
        <v>0</v>
      </c>
      <c r="K1755" s="9" cm="1">
        <f t="array" ref="K1755">_xlfn.COUNTIFS('외운 것 - 엑셀다운로드 파일(붙여넣기)'!A3:A562,A1755,'외운 것 - 엑셀다운로드 파일(붙여넣기)'!D3:D562,0)</f>
        <v>0</v>
      </c>
      <c r="L1755" s="9" cm="1">
        <f t="array" ref="L1755">IF(J1755&gt;=3,_xlfn.XLOOKUP(A1755,'외운 것 - 엑셀다운로드 파일(붙여넣기)'!A3:A562,'외운 것 - 엑셀다운로드 파일(붙여넣기)'!C3:C562,0,-1),0)</f>
        <v>0</v>
      </c>
    </row>
    <row r="1756" ht="50.45" customHeight="1">
      <c r="A1756" s="3">
        <v>1755</v>
      </c>
      <c r="B1756" t="s" s="4">
        <v>11087</v>
      </c>
      <c r="C1756" t="s" s="5">
        <v>11088</v>
      </c>
      <c r="D1756" t="s" s="5">
        <v>10996</v>
      </c>
      <c r="E1756" t="s" s="5">
        <v>11089</v>
      </c>
      <c r="F1756" t="s" s="10">
        <v>11090</v>
      </c>
      <c r="G1756" t="s" s="7">
        <v>11091</v>
      </c>
      <c r="H1756" t="s" s="7">
        <v>11092</v>
      </c>
      <c r="I1756" t="str" s="8" cm="1">
        <f t="array" ref="I1756">SUBSTITUTE(H1756,B1756,"(          )")</f>
        <v>All citizens have certain rights, (          ) of their background.</v>
      </c>
      <c r="J1756" s="9" cm="1">
        <f t="array" ref="J1756">SUMIF('외운 것 - 엑셀다운로드 파일(붙여넣기)'!A3:A562,A1756,'외운 것 - 엑셀다운로드 파일(붙여넣기)'!D3:D562)</f>
        <v>0</v>
      </c>
      <c r="K1756" s="9" cm="1">
        <f t="array" ref="K1756">_xlfn.COUNTIFS('외운 것 - 엑셀다운로드 파일(붙여넣기)'!A3:A562,A1756,'외운 것 - 엑셀다운로드 파일(붙여넣기)'!D3:D562,0)</f>
        <v>0</v>
      </c>
      <c r="L1756" s="9" cm="1">
        <f t="array" ref="L1756">IF(J1756&gt;=3,_xlfn.XLOOKUP(A1756,'외운 것 - 엑셀다운로드 파일(붙여넣기)'!A3:A562,'외운 것 - 엑셀다운로드 파일(붙여넣기)'!C3:C562,0,-1),0)</f>
        <v>0</v>
      </c>
    </row>
    <row r="1757" ht="23.45" customHeight="1">
      <c r="A1757" s="3">
        <v>1756</v>
      </c>
      <c r="B1757" t="s" s="4">
        <v>11094</v>
      </c>
      <c r="C1757" t="s" s="5">
        <v>11095</v>
      </c>
      <c r="D1757" t="s" s="5">
        <v>11096</v>
      </c>
      <c r="E1757" t="s" s="5">
        <v>11097</v>
      </c>
      <c r="F1757" t="s" s="10">
        <v>11098</v>
      </c>
      <c r="G1757" t="s" s="7">
        <v>11099</v>
      </c>
      <c r="H1757" t="s" s="7">
        <v>11100</v>
      </c>
      <c r="I1757" t="str" s="8" cm="1">
        <f t="array" ref="I1757">SUBSTITUTE(H1757,B1757,"(          )")</f>
        <v>The team played with great (          ) despite losing.</v>
      </c>
      <c r="J1757" s="9" cm="1">
        <f t="array" ref="J1757">SUMIF('외운 것 - 엑셀다운로드 파일(붙여넣기)'!A3:A562,A1757,'외운 것 - 엑셀다운로드 파일(붙여넣기)'!D3:D562)</f>
        <v>0</v>
      </c>
      <c r="K1757" s="9" cm="1">
        <f t="array" ref="K1757">_xlfn.COUNTIFS('외운 것 - 엑셀다운로드 파일(붙여넣기)'!A3:A562,A1757,'외운 것 - 엑셀다운로드 파일(붙여넣기)'!D3:D562,0)</f>
        <v>0</v>
      </c>
      <c r="L1757" s="9" cm="1">
        <f t="array" ref="L1757">IF(J1757&gt;=3,_xlfn.XLOOKUP(A1757,'외운 것 - 엑셀다운로드 파일(붙여넣기)'!A3:A562,'외운 것 - 엑셀다운로드 파일(붙여넣기)'!C3:C562,0,-1),0)</f>
        <v>0</v>
      </c>
    </row>
    <row r="1758" ht="23.45" customHeight="1">
      <c r="A1758" s="3">
        <v>1757</v>
      </c>
      <c r="B1758" t="s" s="4">
        <v>11102</v>
      </c>
      <c r="C1758" t="s" s="5">
        <v>11095</v>
      </c>
      <c r="D1758" t="s" s="5">
        <v>11096</v>
      </c>
      <c r="E1758" t="s" s="5">
        <v>11103</v>
      </c>
      <c r="F1758" t="s" s="10">
        <v>11104</v>
      </c>
      <c r="G1758" t="s" s="7">
        <v>11105</v>
      </c>
      <c r="H1758" t="s" s="7">
        <v>11106</v>
      </c>
      <c r="I1758" t="str" s="8" cm="1">
        <f t="array" ref="I1758">SUBSTITUTE(H1758,B1758,"(          )")</f>
        <v>Good teachers (          ) their students to excel.</v>
      </c>
      <c r="J1758" s="9" cm="1">
        <f t="array" ref="J1758">SUMIF('외운 것 - 엑셀다운로드 파일(붙여넣기)'!A3:A562,A1758,'외운 것 - 엑셀다운로드 파일(붙여넣기)'!D3:D562)</f>
        <v>0</v>
      </c>
      <c r="K1758" s="9" cm="1">
        <f t="array" ref="K1758">_xlfn.COUNTIFS('외운 것 - 엑셀다운로드 파일(붙여넣기)'!A3:A562,A1758,'외운 것 - 엑셀다운로드 파일(붙여넣기)'!D3:D562,0)</f>
        <v>0</v>
      </c>
      <c r="L1758" s="9" cm="1">
        <f t="array" ref="L1758">IF(J1758&gt;=3,_xlfn.XLOOKUP(A1758,'외운 것 - 엑셀다운로드 파일(붙여넣기)'!A3:A562,'외운 것 - 엑셀다운로드 파일(붙여넣기)'!C3:C562,0,-1),0)</f>
        <v>0</v>
      </c>
    </row>
    <row r="1759" ht="36.4" customHeight="1">
      <c r="A1759" s="3">
        <v>1758</v>
      </c>
      <c r="B1759" t="s" s="4">
        <v>11108</v>
      </c>
      <c r="C1759" t="s" s="5">
        <v>11109</v>
      </c>
      <c r="D1759" t="s" s="5">
        <v>11095</v>
      </c>
      <c r="E1759" t="s" s="5">
        <v>11110</v>
      </c>
      <c r="F1759" t="s" s="10">
        <v>11111</v>
      </c>
      <c r="G1759" t="s" s="7">
        <v>11112</v>
      </c>
      <c r="H1759" t="s" s="7">
        <v>11113</v>
      </c>
      <c r="I1759" t="str" s="8" cm="1">
        <f t="array" ref="I1759">SUBSTITUTE(H1759,B1759,"(          )")</f>
        <v>Nature provides (          ) for many artists.</v>
      </c>
      <c r="J1759" s="9" cm="1">
        <f t="array" ref="J1759">SUMIF('외운 것 - 엑셀다운로드 파일(붙여넣기)'!A3:A562,A1759,'외운 것 - 엑셀다운로드 파일(붙여넣기)'!D3:D562)</f>
        <v>0</v>
      </c>
      <c r="K1759" s="9" cm="1">
        <f t="array" ref="K1759">_xlfn.COUNTIFS('외운 것 - 엑셀다운로드 파일(붙여넣기)'!A3:A562,A1759,'외운 것 - 엑셀다운로드 파일(붙여넣기)'!D3:D562,0)</f>
        <v>0</v>
      </c>
      <c r="L1759" s="9" cm="1">
        <f t="array" ref="L1759">IF(J1759&gt;=3,_xlfn.XLOOKUP(A1759,'외운 것 - 엑셀다운로드 파일(붙여넣기)'!A3:A562,'외운 것 - 엑셀다운로드 파일(붙여넣기)'!C3:C562,0,-1),0)</f>
        <v>0</v>
      </c>
    </row>
    <row r="1760" ht="38.45" customHeight="1">
      <c r="A1760" s="3">
        <v>1759</v>
      </c>
      <c r="B1760" t="s" s="4">
        <v>11115</v>
      </c>
      <c r="C1760" t="s" s="5">
        <v>11095</v>
      </c>
      <c r="D1760" t="s" s="5">
        <v>11096</v>
      </c>
      <c r="E1760" t="s" s="5">
        <v>11116</v>
      </c>
      <c r="F1760" t="s" s="10">
        <v>11117</v>
      </c>
      <c r="G1760" t="s" s="7">
        <v>11118</v>
      </c>
      <c r="H1760" t="s" s="7">
        <v>11119</v>
      </c>
      <c r="I1760" t="str" s="8" cm="1">
        <f t="array" ref="I1760">SUBSTITUTE(H1760,B1760,"(          )")</f>
        <v>Many young athletes (          ) to compete in the Olympics.</v>
      </c>
      <c r="J1760" s="9" cm="1">
        <f t="array" ref="J1760">SUMIF('외운 것 - 엑셀다운로드 파일(붙여넣기)'!A3:A562,A1760,'외운 것 - 엑셀다운로드 파일(붙여넣기)'!D3:D562)</f>
        <v>0</v>
      </c>
      <c r="K1760" s="9" cm="1">
        <f t="array" ref="K1760">_xlfn.COUNTIFS('외운 것 - 엑셀다운로드 파일(붙여넣기)'!A3:A562,A1760,'외운 것 - 엑셀다운로드 파일(붙여넣기)'!D3:D562,0)</f>
        <v>0</v>
      </c>
      <c r="L1760" s="9" cm="1">
        <f t="array" ref="L1760">IF(J1760&gt;=3,_xlfn.XLOOKUP(A1760,'외운 것 - 엑셀다운로드 파일(붙여넣기)'!A3:A562,'외운 것 - 엑셀다운로드 파일(붙여넣기)'!C3:C562,0,-1),0)</f>
        <v>0</v>
      </c>
    </row>
    <row r="1761" ht="23.45" customHeight="1">
      <c r="A1761" s="3">
        <v>1760</v>
      </c>
      <c r="B1761" t="s" s="4">
        <v>11121</v>
      </c>
      <c r="C1761" t="s" s="5">
        <v>11095</v>
      </c>
      <c r="D1761" t="s" s="5">
        <v>11096</v>
      </c>
      <c r="E1761" t="s" s="5">
        <v>11122</v>
      </c>
      <c r="F1761" t="s" s="10">
        <v>11123</v>
      </c>
      <c r="G1761" t="s" s="7">
        <v>11124</v>
      </c>
      <c r="H1761" t="s" s="7">
        <v>11125</v>
      </c>
      <c r="I1761" t="str" s="8" cm="1">
        <f t="array" ref="I1761">SUBSTITUTE(H1761,B1761,"(          )")</f>
        <v>The criminals (          )d to rob the bank.</v>
      </c>
      <c r="J1761" s="9" cm="1">
        <f t="array" ref="J1761">SUMIF('외운 것 - 엑셀다운로드 파일(붙여넣기)'!A3:A562,A1761,'외운 것 - 엑셀다운로드 파일(붙여넣기)'!D3:D562)</f>
        <v>0</v>
      </c>
      <c r="K1761" s="9" cm="1">
        <f t="array" ref="K1761">_xlfn.COUNTIFS('외운 것 - 엑셀다운로드 파일(붙여넣기)'!A3:A562,A1761,'외운 것 - 엑셀다운로드 파일(붙여넣기)'!D3:D562,0)</f>
        <v>0</v>
      </c>
      <c r="L1761" s="9" cm="1">
        <f t="array" ref="L1761">IF(J1761&gt;=3,_xlfn.XLOOKUP(A1761,'외운 것 - 엑셀다운로드 파일(붙여넣기)'!A3:A562,'외운 것 - 엑셀다운로드 파일(붙여넣기)'!C3:C562,0,-1),0)</f>
        <v>0</v>
      </c>
    </row>
    <row r="1762" ht="38.45" customHeight="1">
      <c r="A1762" s="3">
        <v>1761</v>
      </c>
      <c r="B1762" t="s" s="4">
        <v>11127</v>
      </c>
      <c r="C1762" t="s" s="5">
        <v>11128</v>
      </c>
      <c r="D1762" t="s" s="5">
        <v>11096</v>
      </c>
      <c r="E1762" t="s" s="5">
        <v>11129</v>
      </c>
      <c r="F1762" t="s" s="10">
        <v>11130</v>
      </c>
      <c r="G1762" t="s" s="7">
        <v>11131</v>
      </c>
      <c r="H1762" t="s" s="7">
        <v>11132</v>
      </c>
      <c r="I1762" t="str" s="8" cm="1">
        <f t="array" ref="I1762">SUBSTITUTE(H1762,B1762,"(          )")</f>
        <v>The milk will (          ) next week.</v>
      </c>
      <c r="J1762" s="9" cm="1">
        <f t="array" ref="J1762">SUMIF('외운 것 - 엑셀다운로드 파일(붙여넣기)'!A3:A562,A1762,'외운 것 - 엑셀다운로드 파일(붙여넣기)'!D3:D562)</f>
        <v>0</v>
      </c>
      <c r="K1762" s="9" cm="1">
        <f t="array" ref="K1762">_xlfn.COUNTIFS('외운 것 - 엑셀다운로드 파일(붙여넣기)'!A3:A562,A1762,'외운 것 - 엑셀다운로드 파일(붙여넣기)'!D3:D562,0)</f>
        <v>0</v>
      </c>
      <c r="L1762" s="9" cm="1">
        <f t="array" ref="L1762">IF(J1762&gt;=3,_xlfn.XLOOKUP(A1762,'외운 것 - 엑셀다운로드 파일(붙여넣기)'!A3:A562,'외운 것 - 엑셀다운로드 파일(붙여넣기)'!C3:C562,0,-1),0)</f>
        <v>0</v>
      </c>
    </row>
    <row r="1763" ht="23.45" customHeight="1">
      <c r="A1763" s="3">
        <v>1762</v>
      </c>
      <c r="B1763" t="s" s="4">
        <v>11134</v>
      </c>
      <c r="C1763" t="s" s="5">
        <v>9912</v>
      </c>
      <c r="D1763" t="s" s="5">
        <v>11135</v>
      </c>
      <c r="E1763" t="s" s="5">
        <v>11136</v>
      </c>
      <c r="F1763" t="s" s="10">
        <v>11137</v>
      </c>
      <c r="G1763" t="s" s="7">
        <v>11138</v>
      </c>
      <c r="H1763" t="s" s="7">
        <v>11139</v>
      </c>
      <c r="I1763" t="str" s="8" cm="1">
        <f t="array" ref="I1763">SUBSTITUTE(H1763,B1763,"(          )")</f>
        <v>Use a (          ) to secure the fabric before sewing.</v>
      </c>
      <c r="J1763" s="9" cm="1">
        <f t="array" ref="J1763">SUMIF('외운 것 - 엑셀다운로드 파일(붙여넣기)'!A3:A562,A1763,'외운 것 - 엑셀다운로드 파일(붙여넣기)'!D3:D562)</f>
        <v>0</v>
      </c>
      <c r="K1763" s="9" cm="1">
        <f t="array" ref="K1763">_xlfn.COUNTIFS('외운 것 - 엑셀다운로드 파일(붙여넣기)'!A3:A562,A1763,'외운 것 - 엑셀다운로드 파일(붙여넣기)'!D3:D562,0)</f>
        <v>0</v>
      </c>
      <c r="L1763" s="9" cm="1">
        <f t="array" ref="L1763">IF(J1763&gt;=3,_xlfn.XLOOKUP(A1763,'외운 것 - 엑셀다운로드 파일(붙여넣기)'!A3:A562,'외운 것 - 엑셀다운로드 파일(붙여넣기)'!C3:C562,0,-1),0)</f>
        <v>0</v>
      </c>
    </row>
    <row r="1764" ht="38.45" customHeight="1">
      <c r="A1764" s="3">
        <v>1763</v>
      </c>
      <c r="B1764" t="s" s="4">
        <v>11141</v>
      </c>
      <c r="C1764" t="s" s="5">
        <v>11134</v>
      </c>
      <c r="D1764" t="s" s="5">
        <v>11135</v>
      </c>
      <c r="E1764" t="s" s="5">
        <v>11142</v>
      </c>
      <c r="F1764" t="s" s="10">
        <v>11143</v>
      </c>
      <c r="G1764" t="s" s="7">
        <v>11144</v>
      </c>
      <c r="H1764" t="s" s="7">
        <v>11145</v>
      </c>
      <c r="I1764" t="str" s="8" cm="1">
        <f t="array" ref="I1764">SUBSTITUTE(H1764,B1764,"(          )")</f>
        <v>Reaching the summit represents the (          ) of the climber's career.</v>
      </c>
      <c r="J1764" s="9" cm="1">
        <f t="array" ref="J1764">SUMIF('외운 것 - 엑셀다운로드 파일(붙여넣기)'!A3:A562,A1764,'외운 것 - 엑셀다운로드 파일(붙여넣기)'!D3:D562)</f>
        <v>0</v>
      </c>
      <c r="K1764" s="9" cm="1">
        <f t="array" ref="K1764">_xlfn.COUNTIFS('외운 것 - 엑셀다운로드 파일(붙여넣기)'!A3:A562,A1764,'외운 것 - 엑셀다운로드 파일(붙여넣기)'!D3:D562,0)</f>
        <v>0</v>
      </c>
      <c r="L1764" s="9" cm="1">
        <f t="array" ref="L1764">IF(J1764&gt;=3,_xlfn.XLOOKUP(A1764,'외운 것 - 엑셀다운로드 파일(붙여넣기)'!A3:A562,'외운 것 - 엑셀다운로드 파일(붙여넣기)'!C3:C562,0,-1),0)</f>
        <v>0</v>
      </c>
    </row>
    <row r="1765" ht="23.45" customHeight="1">
      <c r="A1765" s="3">
        <v>1764</v>
      </c>
      <c r="B1765" t="s" s="4">
        <v>11147</v>
      </c>
      <c r="C1765" t="s" s="5">
        <v>11134</v>
      </c>
      <c r="D1765" t="s" s="5">
        <v>11135</v>
      </c>
      <c r="E1765" t="s" s="5">
        <v>11148</v>
      </c>
      <c r="F1765" t="s" s="10">
        <v>11149</v>
      </c>
      <c r="G1765" t="s" s="7">
        <v>11150</v>
      </c>
      <c r="H1765" t="s" s="7">
        <v>11151</v>
      </c>
      <c r="I1765" t="str" s="8" cm="1">
        <f t="array" ref="I1765">SUBSTITUTE(H1765,B1765,"(          )")</f>
        <v>The furniture is made of solid (          ) wood.</v>
      </c>
      <c r="J1765" s="9" cm="1">
        <f t="array" ref="J1765">SUMIF('외운 것 - 엑셀다운로드 파일(붙여넣기)'!A3:A562,A1765,'외운 것 - 엑셀다운로드 파일(붙여넣기)'!D3:D562)</f>
        <v>0</v>
      </c>
      <c r="K1765" s="9" cm="1">
        <f t="array" ref="K1765">_xlfn.COUNTIFS('외운 것 - 엑셀다운로드 파일(붙여넣기)'!A3:A562,A1765,'외운 것 - 엑셀다운로드 파일(붙여넣기)'!D3:D562,0)</f>
        <v>0</v>
      </c>
      <c r="L1765" s="9" cm="1">
        <f t="array" ref="L1765">IF(J1765&gt;=3,_xlfn.XLOOKUP(A1765,'외운 것 - 엑셀다운로드 파일(붙여넣기)'!A3:A562,'외운 것 - 엑셀다운로드 파일(붙여넣기)'!C3:C562,0,-1),0)</f>
        <v>0</v>
      </c>
    </row>
    <row r="1766" ht="23.45" customHeight="1">
      <c r="A1766" s="3">
        <v>1765</v>
      </c>
      <c r="B1766" t="s" s="4">
        <v>11153</v>
      </c>
      <c r="C1766" t="s" s="5">
        <v>11134</v>
      </c>
      <c r="D1766" t="s" s="5">
        <v>11135</v>
      </c>
      <c r="E1766" t="s" s="5">
        <v>11154</v>
      </c>
      <c r="F1766" t="s" s="10">
        <v>11155</v>
      </c>
      <c r="G1766" t="s" s="7">
        <v>11156</v>
      </c>
      <c r="H1766" t="s" s="7">
        <v>11157</v>
      </c>
      <c r="I1766" t="str" s="8" cm="1">
        <f t="array" ref="I1766">SUBSTITUTE(H1766,B1766,"(          )")</f>
        <v>Pineapple is a sweet tropical fruit.</v>
      </c>
      <c r="J1766" s="9" cm="1">
        <f t="array" ref="J1766">SUMIF('외운 것 - 엑셀다운로드 파일(붙여넣기)'!A3:A562,A1766,'외운 것 - 엑셀다운로드 파일(붙여넣기)'!D3:D562)</f>
        <v>0</v>
      </c>
      <c r="K1766" s="9" cm="1">
        <f t="array" ref="K1766">_xlfn.COUNTIFS('외운 것 - 엑셀다운로드 파일(붙여넣기)'!A3:A562,A1766,'외운 것 - 엑셀다운로드 파일(붙여넣기)'!D3:D562,0)</f>
        <v>0</v>
      </c>
      <c r="L1766" s="9" cm="1">
        <f t="array" ref="L1766">IF(J1766&gt;=3,_xlfn.XLOOKUP(A1766,'외운 것 - 엑셀다운로드 파일(붙여넣기)'!A3:A562,'외운 것 - 엑셀다운로드 파일(붙여넣기)'!C3:C562,0,-1),0)</f>
        <v>0</v>
      </c>
    </row>
    <row r="1767" ht="23.45" customHeight="1">
      <c r="A1767" s="3">
        <v>1766</v>
      </c>
      <c r="B1767" t="s" s="4">
        <v>11159</v>
      </c>
      <c r="C1767" t="s" s="5">
        <v>11134</v>
      </c>
      <c r="D1767" t="s" s="5">
        <v>11135</v>
      </c>
      <c r="E1767" t="s" s="5">
        <v>11160</v>
      </c>
      <c r="F1767" t="s" s="10">
        <v>11161</v>
      </c>
      <c r="G1767" t="s" s="7">
        <v>11162</v>
      </c>
      <c r="H1767" t="s" s="7">
        <v>11163</v>
      </c>
      <c r="I1767" t="str" s="8" cm="1">
        <f t="array" ref="I1767">SUBSTITUTE(H1767,B1767,"(          )")</f>
        <v>The doctor examined the patient's (          ) for injury.</v>
      </c>
      <c r="J1767" s="9" cm="1">
        <f t="array" ref="J1767">SUMIF('외운 것 - 엑셀다운로드 파일(붙여넣기)'!A3:A562,A1767,'외운 것 - 엑셀다운로드 파일(붙여넣기)'!D3:D562)</f>
        <v>0</v>
      </c>
      <c r="K1767" s="9" cm="1">
        <f t="array" ref="K1767">_xlfn.COUNTIFS('외운 것 - 엑셀다운로드 파일(붙여넣기)'!A3:A562,A1767,'외운 것 - 엑셀다운로드 파일(붙여넣기)'!D3:D562,0)</f>
        <v>0</v>
      </c>
      <c r="L1767" s="9" cm="1">
        <f t="array" ref="L1767">IF(J1767&gt;=3,_xlfn.XLOOKUP(A1767,'외운 것 - 엑셀다운로드 파일(붙여넣기)'!A3:A562,'외운 것 - 엑셀다운로드 파일(붙여넣기)'!C3:C562,0,-1),0)</f>
        <v>0</v>
      </c>
    </row>
    <row r="1768" ht="38.45" customHeight="1">
      <c r="A1768" s="3">
        <v>1767</v>
      </c>
      <c r="B1768" t="s" s="4">
        <v>11165</v>
      </c>
      <c r="C1768" t="s" s="5">
        <v>11134</v>
      </c>
      <c r="D1768" t="s" s="5">
        <v>11135</v>
      </c>
      <c r="E1768" t="s" s="5">
        <v>11166</v>
      </c>
      <c r="F1768" t="s" s="10">
        <v>11167</v>
      </c>
      <c r="G1768" t="s" s="7">
        <v>11168</v>
      </c>
      <c r="H1768" t="s" s="7">
        <v>11169</v>
      </c>
      <c r="I1768" t="str" s="8" cm="1">
        <f t="array" ref="I1768">SUBSTITUTE(H1768,B1768,"(          )")</f>
        <v>Add a (          ) of salt to the recipe.</v>
      </c>
      <c r="J1768" s="9" cm="1">
        <f t="array" ref="J1768">SUMIF('외운 것 - 엑셀다운로드 파일(붙여넣기)'!A3:A562,A1768,'외운 것 - 엑셀다운로드 파일(붙여넣기)'!D3:D562)</f>
        <v>0</v>
      </c>
      <c r="K1768" s="9" cm="1">
        <f t="array" ref="K1768">_xlfn.COUNTIFS('외운 것 - 엑셀다운로드 파일(붙여넣기)'!A3:A562,A1768,'외운 것 - 엑셀다운로드 파일(붙여넣기)'!D3:D562,0)</f>
        <v>0</v>
      </c>
      <c r="L1768" s="9" cm="1">
        <f t="array" ref="L1768">IF(J1768&gt;=3,_xlfn.XLOOKUP(A1768,'외운 것 - 엑셀다운로드 파일(붙여넣기)'!A3:A562,'외운 것 - 엑셀다운로드 파일(붙여넣기)'!C3:C562,0,-1),0)</f>
        <v>0</v>
      </c>
    </row>
    <row r="1769" ht="38.45" customHeight="1">
      <c r="A1769" s="3">
        <v>1768</v>
      </c>
      <c r="B1769" t="s" s="4">
        <v>11171</v>
      </c>
      <c r="C1769" t="s" s="5">
        <v>11134</v>
      </c>
      <c r="D1769" t="s" s="5">
        <v>11135</v>
      </c>
      <c r="E1769" t="s" s="5">
        <v>11172</v>
      </c>
      <c r="F1769" t="s" s="10">
        <v>11173</v>
      </c>
      <c r="G1769" t="s" s="7">
        <v>11174</v>
      </c>
      <c r="H1769" t="s" s="7">
        <v>11175</v>
      </c>
      <c r="I1769" t="str" s="8" cm="1">
        <f t="array" ref="I1769">SUBSTITUTE(H1769,B1769,"(          )")</f>
        <v>The Earth (          )s on its axis once every 24 hours.</v>
      </c>
      <c r="J1769" s="9" cm="1">
        <f t="array" ref="J1769">SUMIF('외운 것 - 엑셀다운로드 파일(붙여넣기)'!A3:A562,A1769,'외운 것 - 엑셀다운로드 파일(붙여넣기)'!D3:D562)</f>
        <v>0</v>
      </c>
      <c r="K1769" s="9" cm="1">
        <f t="array" ref="K1769">_xlfn.COUNTIFS('외운 것 - 엑셀다운로드 파일(붙여넣기)'!A3:A562,A1769,'외운 것 - 엑셀다운로드 파일(붙여넣기)'!D3:D562,0)</f>
        <v>0</v>
      </c>
      <c r="L1769" s="9" cm="1">
        <f t="array" ref="L1769">IF(J1769&gt;=3,_xlfn.XLOOKUP(A1769,'외운 것 - 엑셀다운로드 파일(붙여넣기)'!A3:A562,'외운 것 - 엑셀다운로드 파일(붙여넣기)'!C3:C562,0,-1),0)</f>
        <v>0</v>
      </c>
    </row>
    <row r="1770" ht="38.45" customHeight="1">
      <c r="A1770" s="3">
        <v>1769</v>
      </c>
      <c r="B1770" t="s" s="4">
        <v>11177</v>
      </c>
      <c r="C1770" t="s" s="5">
        <v>9912</v>
      </c>
      <c r="D1770" t="s" s="5">
        <v>11178</v>
      </c>
      <c r="E1770" t="s" s="5">
        <v>11179</v>
      </c>
      <c r="F1770" t="s" s="10">
        <v>11180</v>
      </c>
      <c r="G1770" t="s" s="7">
        <v>11181</v>
      </c>
      <c r="H1770" t="s" s="7">
        <v>11182</v>
      </c>
      <c r="I1770" t="str" s="8" cm="1">
        <f t="array" ref="I1770">SUBSTITUTE(H1770,B1770,"(          )")</f>
        <v>The model will (          ) for the artist.</v>
      </c>
      <c r="J1770" s="9" cm="1">
        <f t="array" ref="J1770">SUMIF('외운 것 - 엑셀다운로드 파일(붙여넣기)'!A3:A562,A1770,'외운 것 - 엑셀다운로드 파일(붙여넣기)'!D3:D562)</f>
        <v>0</v>
      </c>
      <c r="K1770" s="9" cm="1">
        <f t="array" ref="K1770">_xlfn.COUNTIFS('외운 것 - 엑셀다운로드 파일(붙여넣기)'!A3:A562,A1770,'외운 것 - 엑셀다운로드 파일(붙여넣기)'!D3:D562,0)</f>
        <v>0</v>
      </c>
      <c r="L1770" s="9" cm="1">
        <f t="array" ref="L1770">IF(J1770&gt;=3,_xlfn.XLOOKUP(A1770,'외운 것 - 엑셀다운로드 파일(붙여넣기)'!A3:A562,'외운 것 - 엑셀다운로드 파일(붙여넣기)'!C3:C562,0,-1),0)</f>
        <v>0</v>
      </c>
    </row>
    <row r="1771" ht="38.45" customHeight="1">
      <c r="A1771" s="3">
        <v>1770</v>
      </c>
      <c r="B1771" t="s" s="4">
        <v>11184</v>
      </c>
      <c r="C1771" t="s" s="5">
        <v>11177</v>
      </c>
      <c r="D1771" t="s" s="5">
        <v>11178</v>
      </c>
      <c r="E1771" t="s" s="5">
        <v>11185</v>
      </c>
      <c r="F1771" t="s" s="10">
        <v>11186</v>
      </c>
      <c r="G1771" t="s" s="7">
        <v>7677</v>
      </c>
      <c r="H1771" t="s" s="7">
        <v>11187</v>
      </c>
      <c r="I1771" t="str" s="8" cm="1">
        <f t="array" ref="I1771">SUBSTITUTE(H1771,B1771,"(          )")</f>
        <v>The company offers a management (          ) with good benefits.</v>
      </c>
      <c r="J1771" s="9" cm="1">
        <f t="array" ref="J1771">SUMIF('외운 것 - 엑셀다운로드 파일(붙여넣기)'!A3:A562,A1771,'외운 것 - 엑셀다운로드 파일(붙여넣기)'!D3:D562)</f>
        <v>0</v>
      </c>
      <c r="K1771" s="9" cm="1">
        <f t="array" ref="K1771">_xlfn.COUNTIFS('외운 것 - 엑셀다운로드 파일(붙여넣기)'!A3:A562,A1771,'외운 것 - 엑셀다운로드 파일(붙여넣기)'!D3:D562,0)</f>
        <v>0</v>
      </c>
      <c r="L1771" s="9" cm="1">
        <f t="array" ref="L1771">IF(J1771&gt;=3,_xlfn.XLOOKUP(A1771,'외운 것 - 엑셀다운로드 파일(붙여넣기)'!A3:A562,'외운 것 - 엑셀다운로드 파일(붙여넣기)'!C3:C562,0,-1),0)</f>
        <v>0</v>
      </c>
    </row>
    <row r="1772" ht="38.45" customHeight="1">
      <c r="A1772" s="3">
        <v>1771</v>
      </c>
      <c r="B1772" t="s" s="4">
        <v>11189</v>
      </c>
      <c r="C1772" t="s" s="5">
        <v>11177</v>
      </c>
      <c r="D1772" t="s" s="5">
        <v>11178</v>
      </c>
      <c r="E1772" t="s" s="5">
        <v>11190</v>
      </c>
      <c r="F1772" t="s" s="10">
        <v>11191</v>
      </c>
      <c r="G1772" t="s" s="7">
        <v>11192</v>
      </c>
      <c r="H1772" t="s" s="7">
        <v>11193</v>
      </c>
      <c r="I1772" t="str" s="8" cm="1">
        <f t="array" ref="I1772">SUBSTITUTE(H1772,B1772,"(          )")</f>
        <v>She handled the difficult question with (          ) and confidence.</v>
      </c>
      <c r="J1772" s="9" cm="1">
        <f t="array" ref="J1772">SUMIF('외운 것 - 엑셀다운로드 파일(붙여넣기)'!A3:A562,A1772,'외운 것 - 엑셀다운로드 파일(붙여넣기)'!D3:D562)</f>
        <v>0</v>
      </c>
      <c r="K1772" s="9" cm="1">
        <f t="array" ref="K1772">_xlfn.COUNTIFS('외운 것 - 엑셀다운로드 파일(붙여넣기)'!A3:A562,A1772,'외운 것 - 엑셀다운로드 파일(붙여넣기)'!D3:D562,0)</f>
        <v>0</v>
      </c>
      <c r="L1772" s="9" cm="1">
        <f t="array" ref="L1772">IF(J1772&gt;=3,_xlfn.XLOOKUP(A1772,'외운 것 - 엑셀다운로드 파일(붙여넣기)'!A3:A562,'외운 것 - 엑셀다운로드 파일(붙여넣기)'!C3:C562,0,-1),0)</f>
        <v>0</v>
      </c>
    </row>
    <row r="1773" ht="38.45" customHeight="1">
      <c r="A1773" s="3">
        <v>1772</v>
      </c>
      <c r="B1773" t="s" s="4">
        <v>11195</v>
      </c>
      <c r="C1773" t="s" s="5">
        <v>9912</v>
      </c>
      <c r="D1773" t="s" s="5">
        <v>11178</v>
      </c>
      <c r="E1773" t="s" s="5">
        <v>11196</v>
      </c>
      <c r="F1773" t="s" s="10">
        <v>11197</v>
      </c>
      <c r="G1773" t="s" s="7">
        <v>11198</v>
      </c>
      <c r="H1773" t="s" s="7">
        <v>11199</v>
      </c>
      <c r="I1773" t="str" s="8" cm="1">
        <f t="array" ref="I1773">SUBSTITUTE(H1773,B1773,"(          )")</f>
        <v>There was a brief (          ) in the conversation.</v>
      </c>
      <c r="J1773" s="9" cm="1">
        <f t="array" ref="J1773">SUMIF('외운 것 - 엑셀다운로드 파일(붙여넣기)'!A3:A562,A1773,'외운 것 - 엑셀다운로드 파일(붙여넣기)'!D3:D562)</f>
        <v>0</v>
      </c>
      <c r="K1773" s="9" cm="1">
        <f t="array" ref="K1773">_xlfn.COUNTIFS('외운 것 - 엑셀다운로드 파일(붙여넣기)'!A3:A562,A1773,'외운 것 - 엑셀다운로드 파일(붙여넣기)'!D3:D562,0)</f>
        <v>0</v>
      </c>
      <c r="L1773" s="9" cm="1">
        <f t="array" ref="L1773">IF(J1773&gt;=3,_xlfn.XLOOKUP(A1773,'외운 것 - 엑셀다운로드 파일(붙여넣기)'!A3:A562,'외운 것 - 엑셀다운로드 파일(붙여넣기)'!C3:C562,0,-1),0)</f>
        <v>0</v>
      </c>
    </row>
    <row r="1774" ht="36.4" customHeight="1">
      <c r="A1774" s="3">
        <v>1773</v>
      </c>
      <c r="B1774" t="s" s="4">
        <v>11201</v>
      </c>
      <c r="C1774" t="s" s="5">
        <v>11202</v>
      </c>
      <c r="D1774" t="s" s="5">
        <v>11178</v>
      </c>
      <c r="E1774" t="s" s="5">
        <v>11203</v>
      </c>
      <c r="F1774" t="s" s="10">
        <v>11204</v>
      </c>
      <c r="G1774" t="s" s="7">
        <v>11205</v>
      </c>
      <c r="H1774" t="s" s="7">
        <v>11206</v>
      </c>
      <c r="I1774" t="str" s="8" cm="1">
        <f t="array" ref="I1774">SUBSTITUTE(H1774,B1774,"(          )")</f>
        <v>Let's (          ) the meeting until next week.</v>
      </c>
      <c r="J1774" s="9" cm="1">
        <f t="array" ref="J1774">SUMIF('외운 것 - 엑셀다운로드 파일(붙여넣기)'!A3:A562,A1774,'외운 것 - 엑셀다운로드 파일(붙여넣기)'!D3:D562)</f>
        <v>0</v>
      </c>
      <c r="K1774" s="9" cm="1">
        <f t="array" ref="K1774">_xlfn.COUNTIFS('외운 것 - 엑셀다운로드 파일(붙여넣기)'!A3:A562,A1774,'외운 것 - 엑셀다운로드 파일(붙여넣기)'!D3:D562,0)</f>
        <v>0</v>
      </c>
      <c r="L1774" s="9" cm="1">
        <f t="array" ref="L1774">IF(J1774&gt;=3,_xlfn.XLOOKUP(A1774,'외운 것 - 엑셀다운로드 파일(붙여넣기)'!A3:A562,'외운 것 - 엑셀다운로드 파일(붙여넣기)'!C3:C562,0,-1),0)</f>
        <v>0</v>
      </c>
    </row>
    <row r="1775" ht="23.45" customHeight="1">
      <c r="A1775" s="3">
        <v>1774</v>
      </c>
      <c r="B1775" t="s" s="4">
        <v>11208</v>
      </c>
      <c r="C1775" t="s" s="5">
        <v>11177</v>
      </c>
      <c r="D1775" t="s" s="5">
        <v>11178</v>
      </c>
      <c r="E1775" t="s" s="5">
        <v>11209</v>
      </c>
      <c r="F1775" t="s" s="10">
        <v>11210</v>
      </c>
      <c r="G1775" t="s" s="7">
        <v>5608</v>
      </c>
      <c r="H1775" t="s" s="7">
        <v>11211</v>
      </c>
      <c r="I1775" t="str" s="8" cm="1">
        <f t="array" ref="I1775">SUBSTITUTE(H1775,B1775,"(          )")</f>
        <v>He plans to (          ) marriage during their vacation.</v>
      </c>
      <c r="J1775" s="9" cm="1">
        <f t="array" ref="J1775">SUMIF('외운 것 - 엑셀다운로드 파일(붙여넣기)'!A3:A562,A1775,'외운 것 - 엑셀다운로드 파일(붙여넣기)'!D3:D562)</f>
        <v>0</v>
      </c>
      <c r="K1775" s="9" cm="1">
        <f t="array" ref="K1775">_xlfn.COUNTIFS('외운 것 - 엑셀다운로드 파일(붙여넣기)'!A3:A562,A1775,'외운 것 - 엑셀다운로드 파일(붙여넣기)'!D3:D562,0)</f>
        <v>0</v>
      </c>
      <c r="L1775" s="9" cm="1">
        <f t="array" ref="L1775">IF(J1775&gt;=3,_xlfn.XLOOKUP(A1775,'외운 것 - 엑셀다운로드 파일(붙여넣기)'!A3:A562,'외운 것 - 엑셀다운로드 파일(붙여넣기)'!C3:C562,0,-1),0)</f>
        <v>0</v>
      </c>
    </row>
    <row r="1776" ht="38.45" customHeight="1">
      <c r="A1776" s="3">
        <v>1775</v>
      </c>
      <c r="B1776" t="s" s="4">
        <v>11213</v>
      </c>
      <c r="C1776" t="s" s="5">
        <v>11177</v>
      </c>
      <c r="D1776" t="s" s="5">
        <v>11178</v>
      </c>
      <c r="E1776" t="s" s="5">
        <v>11214</v>
      </c>
      <c r="F1776" t="s" s="10">
        <v>11215</v>
      </c>
      <c r="G1776" t="s" s="7">
        <v>11216</v>
      </c>
      <c r="H1776" t="s" s="7">
        <v>11217</v>
      </c>
      <c r="I1776" t="str" s="8" cm="1">
        <f t="array" ref="I1776">SUBSTITUTE(H1776,B1776,"(          )")</f>
        <v>The (          ) of the study is to evaluate new treatments.</v>
      </c>
      <c r="J1776" s="9" cm="1">
        <f t="array" ref="J1776">SUMIF('외운 것 - 엑셀다운로드 파일(붙여넣기)'!A3:A562,A1776,'외운 것 - 엑셀다운로드 파일(붙여넣기)'!D3:D562)</f>
        <v>0</v>
      </c>
      <c r="K1776" s="9" cm="1">
        <f t="array" ref="K1776">_xlfn.COUNTIFS('외운 것 - 엑셀다운로드 파일(붙여넣기)'!A3:A562,A1776,'외운 것 - 엑셀다운로드 파일(붙여넣기)'!D3:D562,0)</f>
        <v>0</v>
      </c>
      <c r="L1776" s="9" cm="1">
        <f t="array" ref="L1776">IF(J1776&gt;=3,_xlfn.XLOOKUP(A1776,'외운 것 - 엑셀다운로드 파일(붙여넣기)'!A3:A562,'외운 것 - 엑셀다운로드 파일(붙여넣기)'!C3:C562,0,-1),0)</f>
        <v>0</v>
      </c>
    </row>
    <row r="1777" ht="23.45" customHeight="1">
      <c r="A1777" s="3">
        <v>1776</v>
      </c>
      <c r="B1777" t="s" s="4">
        <v>11219</v>
      </c>
      <c r="C1777" t="s" s="5">
        <v>11177</v>
      </c>
      <c r="D1777" t="s" s="5">
        <v>11178</v>
      </c>
      <c r="E1777" t="s" s="5">
        <v>11220</v>
      </c>
      <c r="F1777" t="s" s="10">
        <v>11221</v>
      </c>
      <c r="G1777" t="s" s="7">
        <v>11222</v>
      </c>
      <c r="H1777" t="s" s="7">
        <v>11223</v>
      </c>
      <c r="I1777" t="str" s="8" cm="1">
        <f t="array" ref="I1777">SUBSTITUTE(H1777,B1777,"(          )")</f>
        <v>Mozart began to (          ) music at a very young age.</v>
      </c>
      <c r="J1777" s="9" cm="1">
        <f t="array" ref="J1777">SUMIF('외운 것 - 엑셀다운로드 파일(붙여넣기)'!A3:A562,A1777,'외운 것 - 엑셀다운로드 파일(붙여넣기)'!D3:D562)</f>
        <v>0</v>
      </c>
      <c r="K1777" s="9" cm="1">
        <f t="array" ref="K1777">_xlfn.COUNTIFS('외운 것 - 엑셀다운로드 파일(붙여넣기)'!A3:A562,A1777,'외운 것 - 엑셀다운로드 파일(붙여넣기)'!D3:D562,0)</f>
        <v>0</v>
      </c>
      <c r="L1777" s="9" cm="1">
        <f t="array" ref="L1777">IF(J1777&gt;=3,_xlfn.XLOOKUP(A1777,'외운 것 - 엑셀다운로드 파일(붙여넣기)'!A3:A562,'외운 것 - 엑셀다운로드 파일(붙여넣기)'!C3:C562,0,-1),0)</f>
        <v>0</v>
      </c>
    </row>
    <row r="1778" ht="23.45" customHeight="1">
      <c r="A1778" s="3">
        <v>1777</v>
      </c>
      <c r="B1778" t="s" s="4">
        <v>11225</v>
      </c>
      <c r="C1778" t="s" s="5">
        <v>11177</v>
      </c>
      <c r="D1778" t="s" s="5">
        <v>11178</v>
      </c>
      <c r="E1778" t="s" s="5">
        <v>11226</v>
      </c>
      <c r="F1778" t="s" s="10">
        <v>11227</v>
      </c>
      <c r="G1778" t="s" s="7">
        <v>11228</v>
      </c>
      <c r="H1778" t="s" s="7">
        <v>11229</v>
      </c>
      <c r="I1778" t="str" s="8" cm="1">
        <f t="array" ref="I1778">SUBSTITUTE(H1778,B1778,"(          )")</f>
        <v>I (          ) we could try your suggestion.</v>
      </c>
      <c r="J1778" s="9" cm="1">
        <f t="array" ref="J1778">SUMIF('외운 것 - 엑셀다운로드 파일(붙여넣기)'!A3:A562,A1778,'외운 것 - 엑셀다운로드 파일(붙여넣기)'!D3:D562)</f>
        <v>0</v>
      </c>
      <c r="K1778" s="9" cm="1">
        <f t="array" ref="K1778">_xlfn.COUNTIFS('외운 것 - 엑셀다운로드 파일(붙여넣기)'!A3:A562,A1778,'외운 것 - 엑셀다운로드 파일(붙여넣기)'!D3:D562,0)</f>
        <v>0</v>
      </c>
      <c r="L1778" s="9" cm="1">
        <f t="array" ref="L1778">IF(J1778&gt;=3,_xlfn.XLOOKUP(A1778,'외운 것 - 엑셀다운로드 파일(붙여넣기)'!A3:A562,'외운 것 - 엑셀다운로드 파일(붙여넣기)'!C3:C562,0,-1),0)</f>
        <v>0</v>
      </c>
    </row>
    <row r="1779" ht="38.45" customHeight="1">
      <c r="A1779" s="3">
        <v>1778</v>
      </c>
      <c r="B1779" t="s" s="4">
        <v>11231</v>
      </c>
      <c r="C1779" t="s" s="5">
        <v>11177</v>
      </c>
      <c r="D1779" t="s" s="5">
        <v>11178</v>
      </c>
      <c r="E1779" t="s" s="5">
        <v>11232</v>
      </c>
      <c r="F1779" t="s" s="10">
        <v>11233</v>
      </c>
      <c r="G1779" t="s" s="7">
        <v>11234</v>
      </c>
      <c r="H1779" t="s" s="7">
        <v>11235</v>
      </c>
      <c r="I1779" t="str" s="8" cm="1">
        <f t="array" ref="I1779">SUBSTITUTE(H1779,B1779,"(          )")</f>
        <v>Many citizens (          ) the new tax increase.</v>
      </c>
      <c r="J1779" s="9" cm="1">
        <f t="array" ref="J1779">SUMIF('외운 것 - 엑셀다운로드 파일(붙여넣기)'!A3:A562,A1779,'외운 것 - 엑셀다운로드 파일(붙여넣기)'!D3:D562)</f>
        <v>0</v>
      </c>
      <c r="K1779" s="9" cm="1">
        <f t="array" ref="K1779">_xlfn.COUNTIFS('외운 것 - 엑셀다운로드 파일(붙여넣기)'!A3:A562,A1779,'외운 것 - 엑셀다운로드 파일(붙여넣기)'!D3:D562,0)</f>
        <v>0</v>
      </c>
      <c r="L1779" s="9" cm="1">
        <f t="array" ref="L1779">IF(J1779&gt;=3,_xlfn.XLOOKUP(A1779,'외운 것 - 엑셀다운로드 파일(붙여넣기)'!A3:A562,'외운 것 - 엑셀다운로드 파일(붙여넣기)'!C3:C562,0,-1),0)</f>
        <v>0</v>
      </c>
    </row>
    <row r="1780" ht="36.4" customHeight="1">
      <c r="A1780" s="3">
        <v>1779</v>
      </c>
      <c r="B1780" t="s" s="4">
        <v>11237</v>
      </c>
      <c r="C1780" t="s" s="5">
        <v>11238</v>
      </c>
      <c r="D1780" t="s" s="5">
        <v>11177</v>
      </c>
      <c r="E1780" t="s" s="5">
        <v>11239</v>
      </c>
      <c r="F1780" t="s" s="10">
        <v>11240</v>
      </c>
      <c r="G1780" t="s" s="7">
        <v>11241</v>
      </c>
      <c r="H1780" t="s" s="7">
        <v>11242</v>
      </c>
      <c r="I1780" t="str" s="8" cm="1">
        <f t="array" ref="I1780">SUBSTITUTE(H1780,B1780,"(          )")</f>
        <v>The library is on the (          ) side of the street.</v>
      </c>
      <c r="J1780" s="9" cm="1">
        <f t="array" ref="J1780">SUMIF('외운 것 - 엑셀다운로드 파일(붙여넣기)'!A3:A562,A1780,'외운 것 - 엑셀다운로드 파일(붙여넣기)'!D3:D562)</f>
        <v>0</v>
      </c>
      <c r="K1780" s="9" cm="1">
        <f t="array" ref="K1780">_xlfn.COUNTIFS('외운 것 - 엑셀다운로드 파일(붙여넣기)'!A3:A562,A1780,'외운 것 - 엑셀다운로드 파일(붙여넣기)'!D3:D562,0)</f>
        <v>0</v>
      </c>
      <c r="L1780" s="9" cm="1">
        <f t="array" ref="L1780">IF(J1780&gt;=3,_xlfn.XLOOKUP(A1780,'외운 것 - 엑셀다운로드 파일(붙여넣기)'!A3:A562,'외운 것 - 엑셀다운로드 파일(붙여넣기)'!C3:C562,0,-1),0)</f>
        <v>0</v>
      </c>
    </row>
    <row r="1781" ht="38.45" customHeight="1">
      <c r="A1781" s="3">
        <v>1780</v>
      </c>
      <c r="B1781" t="s" s="4">
        <v>11244</v>
      </c>
      <c r="C1781" t="s" s="5">
        <v>11245</v>
      </c>
      <c r="D1781" t="s" s="5">
        <v>11177</v>
      </c>
      <c r="E1781" t="s" s="5">
        <v>11246</v>
      </c>
      <c r="F1781" t="s" s="10">
        <v>11247</v>
      </c>
      <c r="G1781" t="s" s="7">
        <v>11248</v>
      </c>
      <c r="H1781" t="s" s="7">
        <v>11249</v>
      </c>
      <c r="I1781" t="str" s="8" cm="1">
        <f t="array" ref="I1781">SUBSTITUTE(H1781,B1781,"(          )")</f>
        <v>You must pay a (          ) when renting an apartment.</v>
      </c>
      <c r="J1781" s="9" cm="1">
        <f t="array" ref="J1781">SUMIF('외운 것 - 엑셀다운로드 파일(붙여넣기)'!A3:A562,A1781,'외운 것 - 엑셀다운로드 파일(붙여넣기)'!D3:D562)</f>
        <v>0</v>
      </c>
      <c r="K1781" s="9" cm="1">
        <f t="array" ref="K1781">_xlfn.COUNTIFS('외운 것 - 엑셀다운로드 파일(붙여넣기)'!A3:A562,A1781,'외운 것 - 엑셀다운로드 파일(붙여넣기)'!D3:D562,0)</f>
        <v>0</v>
      </c>
      <c r="L1781" s="9" cm="1">
        <f t="array" ref="L1781">IF(J1781&gt;=3,_xlfn.XLOOKUP(A1781,'외운 것 - 엑셀다운로드 파일(붙여넣기)'!A3:A562,'외운 것 - 엑셀다운로드 파일(붙여넣기)'!C3:C562,0,-1),0)</f>
        <v>0</v>
      </c>
    </row>
    <row r="1782" ht="38.45" customHeight="1">
      <c r="A1782" s="3">
        <v>1781</v>
      </c>
      <c r="B1782" t="s" s="4">
        <v>11251</v>
      </c>
      <c r="C1782" t="s" s="5">
        <v>11177</v>
      </c>
      <c r="D1782" t="s" s="5">
        <v>11178</v>
      </c>
      <c r="E1782" t="s" s="5">
        <v>11252</v>
      </c>
      <c r="F1782" t="s" s="10">
        <v>11253</v>
      </c>
      <c r="G1782" t="s" s="7">
        <v>11254</v>
      </c>
      <c r="H1782" t="s" s="7">
        <v>11255</v>
      </c>
      <c r="I1782" t="str" s="8" cm="1">
        <f t="array" ref="I1782">SUBSTITUTE(H1782,B1782,"(          )")</f>
        <v>Please (          ) of trash properly.</v>
      </c>
      <c r="J1782" s="9" cm="1">
        <f t="array" ref="J1782">SUMIF('외운 것 - 엑셀다운로드 파일(붙여넣기)'!A3:A562,A1782,'외운 것 - 엑셀다운로드 파일(붙여넣기)'!D3:D562)</f>
        <v>0</v>
      </c>
      <c r="K1782" s="9" cm="1">
        <f t="array" ref="K1782">_xlfn.COUNTIFS('외운 것 - 엑셀다운로드 파일(붙여넣기)'!A3:A562,A1782,'외운 것 - 엑셀다운로드 파일(붙여넣기)'!D3:D562,0)</f>
        <v>0</v>
      </c>
      <c r="L1782" s="9" cm="1">
        <f t="array" ref="L1782">IF(J1782&gt;=3,_xlfn.XLOOKUP(A1782,'외운 것 - 엑셀다운로드 파일(붙여넣기)'!A3:A562,'외운 것 - 엑셀다운로드 파일(붙여넣기)'!C3:C562,0,-1),0)</f>
        <v>0</v>
      </c>
    </row>
    <row r="1783" ht="23.45" customHeight="1">
      <c r="A1783" s="3">
        <v>1782</v>
      </c>
      <c r="B1783" t="s" s="4">
        <v>11257</v>
      </c>
      <c r="C1783" t="s" s="5">
        <v>11177</v>
      </c>
      <c r="D1783" t="s" s="5">
        <v>11178</v>
      </c>
      <c r="E1783" t="s" s="5">
        <v>11258</v>
      </c>
      <c r="F1783" t="s" s="10">
        <v>11259</v>
      </c>
      <c r="G1783" t="s" s="7">
        <v>11260</v>
      </c>
      <c r="H1783" t="s" s="7">
        <v>11261</v>
      </c>
      <c r="I1783" t="str" s="8" cm="1">
        <f t="array" ref="I1783">SUBSTITUTE(H1783,B1783,"(          )")</f>
        <v>The photograph was (          )d to light and ruined.</v>
      </c>
      <c r="J1783" s="9" cm="1">
        <f t="array" ref="J1783">SUMIF('외운 것 - 엑셀다운로드 파일(붙여넣기)'!A3:A562,A1783,'외운 것 - 엑셀다운로드 파일(붙여넣기)'!D3:D562)</f>
        <v>0</v>
      </c>
      <c r="K1783" s="9" cm="1">
        <f t="array" ref="K1783">_xlfn.COUNTIFS('외운 것 - 엑셀다운로드 파일(붙여넣기)'!A3:A562,A1783,'외운 것 - 엑셀다운로드 파일(붙여넣기)'!D3:D562,0)</f>
        <v>0</v>
      </c>
      <c r="L1783" s="9" cm="1">
        <f t="array" ref="L1783">IF(J1783&gt;=3,_xlfn.XLOOKUP(A1783,'외운 것 - 엑셀다운로드 파일(붙여넣기)'!A3:A562,'외운 것 - 엑셀다운로드 파일(붙여넣기)'!C3:C562,0,-1),0)</f>
        <v>0</v>
      </c>
    </row>
    <row r="1784" ht="23.45" customHeight="1">
      <c r="A1784" s="3">
        <v>1783</v>
      </c>
      <c r="B1784" t="s" s="4">
        <v>11263</v>
      </c>
      <c r="C1784" t="s" s="5">
        <v>11177</v>
      </c>
      <c r="D1784" t="s" s="5">
        <v>11178</v>
      </c>
      <c r="E1784" t="s" s="5">
        <v>11264</v>
      </c>
      <c r="F1784" t="s" s="10">
        <v>11265</v>
      </c>
      <c r="G1784" t="s" s="7">
        <v>11266</v>
      </c>
      <c r="H1784" t="s" s="7">
        <v>11267</v>
      </c>
      <c r="I1784" t="str" s="8" cm="1">
        <f t="array" ref="I1784">SUBSTITUTE(H1784,B1784,"(          )")</f>
        <v>Limit your (          ) to the sun to prevent sunburn.</v>
      </c>
      <c r="J1784" s="9" cm="1">
        <f t="array" ref="J1784">SUMIF('외운 것 - 엑셀다운로드 파일(붙여넣기)'!A3:A562,A1784,'외운 것 - 엑셀다운로드 파일(붙여넣기)'!D3:D562)</f>
        <v>0</v>
      </c>
      <c r="K1784" s="9" cm="1">
        <f t="array" ref="K1784">_xlfn.COUNTIFS('외운 것 - 엑셀다운로드 파일(붙여넣기)'!A3:A562,A1784,'외운 것 - 엑셀다운로드 파일(붙여넣기)'!D3:D562,0)</f>
        <v>0</v>
      </c>
      <c r="L1784" s="9" cm="1">
        <f t="array" ref="L1784">IF(J1784&gt;=3,_xlfn.XLOOKUP(A1784,'외운 것 - 엑셀다운로드 파일(붙여넣기)'!A3:A562,'외운 것 - 엑셀다운로드 파일(붙여넣기)'!C3:C562,0,-1),0)</f>
        <v>0</v>
      </c>
    </row>
    <row r="1785" ht="36.4" customHeight="1">
      <c r="A1785" s="3">
        <v>1784</v>
      </c>
      <c r="B1785" t="s" s="4">
        <v>11269</v>
      </c>
      <c r="C1785" t="s" s="5">
        <v>11270</v>
      </c>
      <c r="D1785" t="s" s="5">
        <v>11177</v>
      </c>
      <c r="E1785" t="s" s="5">
        <v>11271</v>
      </c>
      <c r="F1785" t="s" s="10">
        <v>11272</v>
      </c>
      <c r="G1785" t="s" s="7">
        <v>11273</v>
      </c>
      <c r="H1785" t="s" s="7">
        <v>11274</v>
      </c>
      <c r="I1785" t="str" s="8" cm="1">
        <f t="array" ref="I1785">SUBSTITUTE(H1785,B1785,"(          )")</f>
        <v>The art (          ) features works by local artists.</v>
      </c>
      <c r="J1785" s="9" cm="1">
        <f t="array" ref="J1785">SUMIF('외운 것 - 엑셀다운로드 파일(붙여넣기)'!A3:A562,A1785,'외운 것 - 엑셀다운로드 파일(붙여넣기)'!D3:D562)</f>
        <v>0</v>
      </c>
      <c r="K1785" s="9" cm="1">
        <f t="array" ref="K1785">_xlfn.COUNTIFS('외운 것 - 엑셀다운로드 파일(붙여넣기)'!A3:A562,A1785,'외운 것 - 엑셀다운로드 파일(붙여넣기)'!D3:D562,0)</f>
        <v>0</v>
      </c>
      <c r="L1785" s="9" cm="1">
        <f t="array" ref="L1785">IF(J1785&gt;=3,_xlfn.XLOOKUP(A1785,'외운 것 - 엑셀다운로드 파일(붙여넣기)'!A3:A562,'외운 것 - 엑셀다운로드 파일(붙여넣기)'!C3:C562,0,-1),0)</f>
        <v>0</v>
      </c>
    </row>
    <row r="1786" ht="23.45" customHeight="1">
      <c r="A1786" s="3">
        <v>1785</v>
      </c>
      <c r="B1786" t="s" s="4">
        <v>11276</v>
      </c>
      <c r="C1786" t="s" s="5">
        <v>11177</v>
      </c>
      <c r="D1786" t="s" s="5">
        <v>11178</v>
      </c>
      <c r="E1786" t="s" s="5">
        <v>11277</v>
      </c>
      <c r="F1786" t="s" s="10">
        <v>11278</v>
      </c>
      <c r="G1786" t="s" s="7">
        <v>11279</v>
      </c>
      <c r="H1786" t="s" s="7">
        <v>11280</v>
      </c>
      <c r="I1786" t="str" s="8" cm="1">
        <f t="array" ref="I1786">SUBSTITUTE(H1786,B1786,"(          )")</f>
        <v>The court (          )d a heavy fine for the violation.</v>
      </c>
      <c r="J1786" s="9" cm="1">
        <f t="array" ref="J1786">SUMIF('외운 것 - 엑셀다운로드 파일(붙여넣기)'!A3:A562,A1786,'외운 것 - 엑셀다운로드 파일(붙여넣기)'!D3:D562)</f>
        <v>0</v>
      </c>
      <c r="K1786" s="9" cm="1">
        <f t="array" ref="K1786">_xlfn.COUNTIFS('외운 것 - 엑셀다운로드 파일(붙여넣기)'!A3:A562,A1786,'외운 것 - 엑셀다운로드 파일(붙여넣기)'!D3:D562,0)</f>
        <v>0</v>
      </c>
      <c r="L1786" s="9" cm="1">
        <f t="array" ref="L1786">IF(J1786&gt;=3,_xlfn.XLOOKUP(A1786,'외운 것 - 엑셀다운로드 파일(붙여넣기)'!A3:A562,'외운 것 - 엑셀다운로드 파일(붙여넣기)'!C3:C562,0,-1),0)</f>
        <v>0</v>
      </c>
    </row>
    <row r="1787" ht="38.45" customHeight="1">
      <c r="A1787" s="3">
        <v>1786</v>
      </c>
      <c r="B1787" t="s" s="4">
        <v>2277</v>
      </c>
      <c r="C1787" t="s" s="5">
        <v>11282</v>
      </c>
      <c r="D1787" t="s" s="5">
        <v>11283</v>
      </c>
      <c r="E1787" t="s" s="5">
        <v>2278</v>
      </c>
      <c r="F1787" t="s" s="10">
        <v>11284</v>
      </c>
      <c r="G1787" t="s" s="7">
        <v>11285</v>
      </c>
      <c r="H1787" t="s" s="7">
        <v>2281</v>
      </c>
      <c r="I1787" t="str" s="8" cm="1">
        <f t="array" ref="I1787">SUBSTITUTE(H1787,B1787,"(          )")</f>
        <v>I need a new (          ) for my graphic design work.</v>
      </c>
      <c r="J1787" s="9" cm="1">
        <f t="array" ref="J1787">SUMIF('외운 것 - 엑셀다운로드 파일(붙여넣기)'!A3:A562,A1787,'외운 것 - 엑셀다운로드 파일(붙여넣기)'!D3:D562)</f>
        <v>0</v>
      </c>
      <c r="K1787" s="9" cm="1">
        <f t="array" ref="K1787">_xlfn.COUNTIFS('외운 것 - 엑셀다운로드 파일(붙여넣기)'!A3:A562,A1787,'외운 것 - 엑셀다운로드 파일(붙여넣기)'!D3:D562,0)</f>
        <v>0</v>
      </c>
      <c r="L1787" s="9" cm="1">
        <f t="array" ref="L1787">IF(J1787&gt;=3,_xlfn.XLOOKUP(A1787,'외운 것 - 엑셀다운로드 파일(붙여넣기)'!A3:A562,'외운 것 - 엑셀다운로드 파일(붙여넣기)'!C3:C562,0,-1),0)</f>
        <v>0</v>
      </c>
    </row>
    <row r="1788" ht="23.45" customHeight="1">
      <c r="A1788" s="3">
        <v>1787</v>
      </c>
      <c r="B1788" t="s" s="4">
        <v>11286</v>
      </c>
      <c r="C1788" t="s" s="5">
        <v>11282</v>
      </c>
      <c r="D1788" t="s" s="5">
        <v>11283</v>
      </c>
      <c r="E1788" t="s" s="5">
        <v>11287</v>
      </c>
      <c r="F1788" t="s" s="10">
        <v>11288</v>
      </c>
      <c r="G1788" t="s" s="7">
        <v>11289</v>
      </c>
      <c r="H1788" t="s" s="7">
        <v>11290</v>
      </c>
      <c r="I1788" t="str" s="8" cm="1">
        <f t="array" ref="I1788">SUBSTITUTE(H1788,B1788,"(          )")</f>
        <v>The restaurant has an excellent (          ) for quality food.</v>
      </c>
      <c r="J1788" s="9" cm="1">
        <f t="array" ref="J1788">SUMIF('외운 것 - 엑셀다운로드 파일(붙여넣기)'!A3:A562,A1788,'외운 것 - 엑셀다운로드 파일(붙여넣기)'!D3:D562)</f>
        <v>0</v>
      </c>
      <c r="K1788" s="9" cm="1">
        <f t="array" ref="K1788">_xlfn.COUNTIFS('외운 것 - 엑셀다운로드 파일(붙여넣기)'!A3:A562,A1788,'외운 것 - 엑셀다운로드 파일(붙여넣기)'!D3:D562,0)</f>
        <v>0</v>
      </c>
      <c r="L1788" s="9" cm="1">
        <f t="array" ref="L1788">IF(J1788&gt;=3,_xlfn.XLOOKUP(A1788,'외운 것 - 엑셀다운로드 파일(붙여넣기)'!A3:A562,'외운 것 - 엑셀다운로드 파일(붙여넣기)'!C3:C562,0,-1),0)</f>
        <v>0</v>
      </c>
    </row>
    <row r="1789" ht="38.45" customHeight="1">
      <c r="A1789" s="3">
        <v>1788</v>
      </c>
      <c r="B1789" t="s" s="4">
        <v>11292</v>
      </c>
      <c r="C1789" t="s" s="5">
        <v>11282</v>
      </c>
      <c r="D1789" t="s" s="5">
        <v>11283</v>
      </c>
      <c r="E1789" t="s" s="5">
        <v>11293</v>
      </c>
      <c r="F1789" t="s" s="10">
        <v>11294</v>
      </c>
      <c r="G1789" t="s" s="7">
        <v>11295</v>
      </c>
      <c r="H1789" t="s" s="7">
        <v>11296</v>
      </c>
      <c r="I1789" t="str" s="8" cm="1">
        <f t="array" ref="I1789">SUBSTITUTE(H1789,B1789,"(          )")</f>
        <v>The neighbors have a (          ) about the property line.</v>
      </c>
      <c r="J1789" s="9" cm="1">
        <f t="array" ref="J1789">SUMIF('외운 것 - 엑셀다운로드 파일(붙여넣기)'!A3:A562,A1789,'외운 것 - 엑셀다운로드 파일(붙여넣기)'!D3:D562)</f>
        <v>0</v>
      </c>
      <c r="K1789" s="9" cm="1">
        <f t="array" ref="K1789">_xlfn.COUNTIFS('외운 것 - 엑셀다운로드 파일(붙여넣기)'!A3:A562,A1789,'외운 것 - 엑셀다운로드 파일(붙여넣기)'!D3:D562,0)</f>
        <v>0</v>
      </c>
      <c r="L1789" s="9" cm="1">
        <f t="array" ref="L1789">IF(J1789&gt;=3,_xlfn.XLOOKUP(A1789,'외운 것 - 엑셀다운로드 파일(붙여넣기)'!A3:A562,'외운 것 - 엑셀다운로드 파일(붙여넣기)'!C3:C562,0,-1),0)</f>
        <v>0</v>
      </c>
    </row>
    <row r="1790" ht="38.45" customHeight="1">
      <c r="A1790" s="3">
        <v>1789</v>
      </c>
      <c r="B1790" t="s" s="4">
        <v>11298</v>
      </c>
      <c r="C1790" t="s" s="5">
        <v>11299</v>
      </c>
      <c r="D1790" t="s" s="5">
        <v>11300</v>
      </c>
      <c r="E1790" t="s" s="5">
        <v>11301</v>
      </c>
      <c r="F1790" t="s" s="10">
        <v>11302</v>
      </c>
      <c r="G1790" t="s" s="7">
        <v>11303</v>
      </c>
      <c r="H1790" t="s" s="7">
        <v>11304</v>
      </c>
      <c r="I1790" t="str" s="8" cm="1">
        <f t="array" ref="I1790">SUBSTITUTE(H1790,B1790,"(          )")</f>
        <v>The knight embarked on a (          ) to rescue the princess.</v>
      </c>
      <c r="J1790" s="9" cm="1">
        <f t="array" ref="J1790">SUMIF('외운 것 - 엑셀다운로드 파일(붙여넣기)'!A3:A562,A1790,'외운 것 - 엑셀다운로드 파일(붙여넣기)'!D3:D562)</f>
        <v>0</v>
      </c>
      <c r="K1790" s="9" cm="1">
        <f t="array" ref="K1790">_xlfn.COUNTIFS('외운 것 - 엑셀다운로드 파일(붙여넣기)'!A3:A562,A1790,'외운 것 - 엑셀다운로드 파일(붙여넣기)'!D3:D562,0)</f>
        <v>0</v>
      </c>
      <c r="L1790" s="9" cm="1">
        <f t="array" ref="L1790">IF(J1790&gt;=3,_xlfn.XLOOKUP(A1790,'외운 것 - 엑셀다운로드 파일(붙여넣기)'!A3:A562,'외운 것 - 엑셀다운로드 파일(붙여넣기)'!C3:C562,0,-1),0)</f>
        <v>0</v>
      </c>
    </row>
    <row r="1791" ht="23.45" customHeight="1">
      <c r="A1791" s="3">
        <v>1790</v>
      </c>
      <c r="B1791" t="s" s="4">
        <v>11306</v>
      </c>
      <c r="C1791" t="s" s="5">
        <v>11307</v>
      </c>
      <c r="D1791" t="s" s="5">
        <v>11299</v>
      </c>
      <c r="E1791" t="s" s="5">
        <v>11308</v>
      </c>
      <c r="F1791" t="s" s="10">
        <v>11309</v>
      </c>
      <c r="G1791" t="s" s="7">
        <v>11310</v>
      </c>
      <c r="H1791" t="s" s="7">
        <v>11311</v>
      </c>
      <c r="I1791" t="str" s="8" cm="1">
        <f t="array" ref="I1791">SUBSTITUTE(H1791,B1791,"(          )")</f>
        <v>The teacher asked a difficult (          ) on the exam.</v>
      </c>
      <c r="J1791" s="9" cm="1">
        <f t="array" ref="J1791">SUMIF('외운 것 - 엑셀다운로드 파일(붙여넣기)'!A3:A562,A1791,'외운 것 - 엑셀다운로드 파일(붙여넣기)'!D3:D562)</f>
        <v>0</v>
      </c>
      <c r="K1791" s="9" cm="1">
        <f t="array" ref="K1791">_xlfn.COUNTIFS('외운 것 - 엑셀다운로드 파일(붙여넣기)'!A3:A562,A1791,'외운 것 - 엑셀다운로드 파일(붙여넣기)'!D3:D562,0)</f>
        <v>0</v>
      </c>
      <c r="L1791" s="9" cm="1">
        <f t="array" ref="L1791">IF(J1791&gt;=3,_xlfn.XLOOKUP(A1791,'외운 것 - 엑셀다운로드 파일(붙여넣기)'!A3:A562,'외운 것 - 엑셀다운로드 파일(붙여넣기)'!C3:C562,0,-1),0)</f>
        <v>0</v>
      </c>
    </row>
    <row r="1792" ht="36.4" customHeight="1">
      <c r="A1792" s="3">
        <v>1791</v>
      </c>
      <c r="B1792" t="s" s="4">
        <v>11313</v>
      </c>
      <c r="C1792" t="s" s="5">
        <v>11307</v>
      </c>
      <c r="D1792" t="s" s="5">
        <v>11299</v>
      </c>
      <c r="E1792" t="s" s="5">
        <v>11314</v>
      </c>
      <c r="F1792" t="s" s="10">
        <v>11315</v>
      </c>
      <c r="G1792" t="s" s="7">
        <v>11316</v>
      </c>
      <c r="H1792" t="s" s="7">
        <v>11317</v>
      </c>
      <c r="I1792" t="str" s="8" cm="1">
        <f t="array" ref="I1792">SUBSTITUTE(H1792,B1792,"(          )")</f>
        <v>The (          ) of space began with the first satellite launch.</v>
      </c>
      <c r="J1792" s="9" cm="1">
        <f t="array" ref="J1792">SUMIF('외운 것 - 엑셀다운로드 파일(붙여넣기)'!A3:A562,A1792,'외운 것 - 엑셀다운로드 파일(붙여넣기)'!D3:D562)</f>
        <v>0</v>
      </c>
      <c r="K1792" s="9" cm="1">
        <f t="array" ref="K1792">_xlfn.COUNTIFS('외운 것 - 엑셀다운로드 파일(붙여넣기)'!A3:A562,A1792,'외운 것 - 엑셀다운로드 파일(붙여넣기)'!D3:D562,0)</f>
        <v>0</v>
      </c>
      <c r="L1792" s="9" cm="1">
        <f t="array" ref="L1792">IF(J1792&gt;=3,_xlfn.XLOOKUP(A1792,'외운 것 - 엑셀다운로드 파일(붙여넣기)'!A3:A562,'외운 것 - 엑셀다운로드 파일(붙여넣기)'!C3:C562,0,-1),0)</f>
        <v>0</v>
      </c>
    </row>
    <row r="1793" ht="38.45" customHeight="1">
      <c r="A1793" s="3">
        <v>1792</v>
      </c>
      <c r="B1793" t="s" s="4">
        <v>11319</v>
      </c>
      <c r="C1793" t="s" s="5">
        <v>11307</v>
      </c>
      <c r="D1793" t="s" s="5">
        <v>11299</v>
      </c>
      <c r="E1793" t="s" s="5">
        <v>11320</v>
      </c>
      <c r="F1793" t="s" s="10">
        <v>11321</v>
      </c>
      <c r="G1793" t="s" s="7">
        <v>8191</v>
      </c>
      <c r="H1793" t="s" s="7">
        <v>11322</v>
      </c>
      <c r="I1793" t="str" s="8" cm="1">
        <f t="array" ref="I1793">SUBSTITUTE(H1793,B1793,"(          )")</f>
        <v>I would like to (          ) additional information about the program.</v>
      </c>
      <c r="J1793" s="9" cm="1">
        <f t="array" ref="J1793">SUMIF('외운 것 - 엑셀다운로드 파일(붙여넣기)'!A3:A562,A1793,'외운 것 - 엑셀다운로드 파일(붙여넣기)'!D3:D562)</f>
        <v>0</v>
      </c>
      <c r="K1793" s="9" cm="1">
        <f t="array" ref="K1793">_xlfn.COUNTIFS('외운 것 - 엑셀다운로드 파일(붙여넣기)'!A3:A562,A1793,'외운 것 - 엑셀다운로드 파일(붙여넣기)'!D3:D562,0)</f>
        <v>0</v>
      </c>
      <c r="L1793" s="9" cm="1">
        <f t="array" ref="L1793">IF(J1793&gt;=3,_xlfn.XLOOKUP(A1793,'외운 것 - 엑셀다운로드 파일(붙여넣기)'!A3:A562,'외운 것 - 엑셀다운로드 파일(붙여넣기)'!C3:C562,0,-1),0)</f>
        <v>0</v>
      </c>
    </row>
    <row r="1794" ht="23.45" customHeight="1">
      <c r="A1794" s="3">
        <v>1793</v>
      </c>
      <c r="B1794" t="s" s="4">
        <v>11324</v>
      </c>
      <c r="C1794" t="s" s="5">
        <v>11325</v>
      </c>
      <c r="D1794" t="s" s="5">
        <v>11326</v>
      </c>
      <c r="E1794" t="s" s="5">
        <v>11327</v>
      </c>
      <c r="F1794" t="s" s="10">
        <v>11328</v>
      </c>
      <c r="G1794" t="s" s="7">
        <v>11329</v>
      </c>
      <c r="H1794" t="s" s="7">
        <v>11330</v>
      </c>
      <c r="I1794" t="str" s="8" cm="1">
        <f t="array" ref="I1794">SUBSTITUTE(H1794,B1794,"(          )")</f>
        <v>Please (          ) at the front desk for directions.</v>
      </c>
      <c r="J1794" s="9" cm="1">
        <f t="array" ref="J1794">SUMIF('외운 것 - 엑셀다운로드 파일(붙여넣기)'!A3:A562,A1794,'외운 것 - 엑셀다운로드 파일(붙여넣기)'!D3:D562)</f>
        <v>0</v>
      </c>
      <c r="K1794" s="9" cm="1">
        <f t="array" ref="K1794">_xlfn.COUNTIFS('외운 것 - 엑셀다운로드 파일(붙여넣기)'!A3:A562,A1794,'외운 것 - 엑셀다운로드 파일(붙여넣기)'!D3:D562,0)</f>
        <v>0</v>
      </c>
      <c r="L1794" s="9" cm="1">
        <f t="array" ref="L1794">IF(J1794&gt;=3,_xlfn.XLOOKUP(A1794,'외운 것 - 엑셀다운로드 파일(붙여넣기)'!A3:A562,'외운 것 - 엑셀다운로드 파일(붙여넣기)'!C3:C562,0,-1),0)</f>
        <v>0</v>
      </c>
    </row>
    <row r="1795" ht="38.45" customHeight="1">
      <c r="A1795" s="3">
        <v>1794</v>
      </c>
      <c r="B1795" t="s" s="4">
        <v>11332</v>
      </c>
      <c r="C1795" t="s" s="5">
        <v>11325</v>
      </c>
      <c r="D1795" t="s" s="5">
        <v>11326</v>
      </c>
      <c r="E1795" t="s" s="5">
        <v>11327</v>
      </c>
      <c r="F1795" t="s" s="10">
        <v>11333</v>
      </c>
      <c r="G1795" t="s" s="7">
        <v>11334</v>
      </c>
      <c r="H1795" t="s" s="7">
        <v>11335</v>
      </c>
      <c r="I1795" t="str" s="8" cm="1">
        <f t="array" ref="I1795">SUBSTITUTE(H1795,B1795,"(          )")</f>
        <v>I called to (          ) about the job opening.</v>
      </c>
      <c r="J1795" s="9" cm="1">
        <f t="array" ref="J1795">SUMIF('외운 것 - 엑셀다운로드 파일(붙여넣기)'!A3:A562,A1795,'외운 것 - 엑셀다운로드 파일(붙여넣기)'!D3:D562)</f>
        <v>0</v>
      </c>
      <c r="K1795" s="9" cm="1">
        <f t="array" ref="K1795">_xlfn.COUNTIFS('외운 것 - 엑셀다운로드 파일(붙여넣기)'!A3:A562,A1795,'외운 것 - 엑셀다운로드 파일(붙여넣기)'!D3:D562,0)</f>
        <v>0</v>
      </c>
      <c r="L1795" s="9" cm="1">
        <f t="array" ref="L1795">IF(J1795&gt;=3,_xlfn.XLOOKUP(A1795,'외운 것 - 엑셀다운로드 파일(붙여넣기)'!A3:A562,'외운 것 - 엑셀다운로드 파일(붙여넣기)'!C3:C562,0,-1),0)</f>
        <v>0</v>
      </c>
    </row>
    <row r="1796" ht="23.45" customHeight="1">
      <c r="A1796" s="3">
        <v>1795</v>
      </c>
      <c r="B1796" t="s" s="4">
        <v>11337</v>
      </c>
      <c r="C1796" t="s" s="5">
        <v>11325</v>
      </c>
      <c r="D1796" t="s" s="5">
        <v>11326</v>
      </c>
      <c r="E1796" t="s" s="5">
        <v>11338</v>
      </c>
      <c r="F1796" t="s" s="10">
        <v>11339</v>
      </c>
      <c r="G1796" t="s" s="7">
        <v>11340</v>
      </c>
      <c r="H1796" t="s" s="7">
        <v>11341</v>
      </c>
      <c r="I1796" t="str" s="8" cm="1">
        <f t="array" ref="I1796">SUBSTITUTE(H1796,B1796,"(          )")</f>
        <v>This position (          )s experience in marketing.</v>
      </c>
      <c r="J1796" s="9" cm="1">
        <f t="array" ref="J1796">SUMIF('외운 것 - 엑셀다운로드 파일(붙여넣기)'!A3:A562,A1796,'외운 것 - 엑셀다운로드 파일(붙여넣기)'!D3:D562)</f>
        <v>0</v>
      </c>
      <c r="K1796" s="9" cm="1">
        <f t="array" ref="K1796">_xlfn.COUNTIFS('외운 것 - 엑셀다운로드 파일(붙여넣기)'!A3:A562,A1796,'외운 것 - 엑셀다운로드 파일(붙여넣기)'!D3:D562,0)</f>
        <v>0</v>
      </c>
      <c r="L1796" s="9" cm="1">
        <f t="array" ref="L1796">IF(J1796&gt;=3,_xlfn.XLOOKUP(A1796,'외운 것 - 엑셀다운로드 파일(붙여넣기)'!A3:A562,'외운 것 - 엑셀다운로드 파일(붙여넣기)'!C3:C562,0,-1),0)</f>
        <v>0</v>
      </c>
    </row>
    <row r="1797" ht="38.45" customHeight="1">
      <c r="A1797" s="3">
        <v>1796</v>
      </c>
      <c r="B1797" t="s" s="4">
        <v>11343</v>
      </c>
      <c r="C1797" t="s" s="5">
        <v>11325</v>
      </c>
      <c r="D1797" t="s" s="5">
        <v>11326</v>
      </c>
      <c r="E1797" t="s" s="5">
        <v>11344</v>
      </c>
      <c r="F1797" t="s" s="10">
        <v>11345</v>
      </c>
      <c r="G1797" t="s" s="7">
        <v>11346</v>
      </c>
      <c r="H1797" t="s" s="7">
        <v>11347</v>
      </c>
      <c r="I1797" t="str" s="8" cm="1">
        <f t="array" ref="I1797">SUBSTITUTE(H1797,B1797,"(          )")</f>
        <v>The company plans to (          ) its smaller competitor.</v>
      </c>
      <c r="J1797" s="9" cm="1">
        <f t="array" ref="J1797">SUMIF('외운 것 - 엑셀다운로드 파일(붙여넣기)'!A3:A562,A1797,'외운 것 - 엑셀다운로드 파일(붙여넣기)'!D3:D562)</f>
        <v>0</v>
      </c>
      <c r="K1797" s="9" cm="1">
        <f t="array" ref="K1797">_xlfn.COUNTIFS('외운 것 - 엑셀다운로드 파일(붙여넣기)'!A3:A562,A1797,'외운 것 - 엑셀다운로드 파일(붙여넣기)'!D3:D562,0)</f>
        <v>0</v>
      </c>
      <c r="L1797" s="9" cm="1">
        <f t="array" ref="L1797">IF(J1797&gt;=3,_xlfn.XLOOKUP(A1797,'외운 것 - 엑셀다운로드 파일(붙여넣기)'!A3:A562,'외운 것 - 엑셀다운로드 파일(붙여넣기)'!C3:C562,0,-1),0)</f>
        <v>0</v>
      </c>
    </row>
    <row r="1798" ht="38.45" customHeight="1">
      <c r="A1798" s="3">
        <v>1797</v>
      </c>
      <c r="B1798" t="s" s="4">
        <v>11349</v>
      </c>
      <c r="C1798" t="s" s="5">
        <v>11350</v>
      </c>
      <c r="D1798" t="s" s="5">
        <v>11351</v>
      </c>
      <c r="E1798" t="s" s="5">
        <v>11352</v>
      </c>
      <c r="F1798" t="s" s="10">
        <v>11353</v>
      </c>
      <c r="G1798" t="s" s="7">
        <v>11354</v>
      </c>
      <c r="H1798" t="s" s="7">
        <v>11355</v>
      </c>
      <c r="I1798" t="str" s="8" cm="1">
        <f t="array" ref="I1798">SUBSTITUTE(H1798,B1798,"(          )")</f>
        <v>Squeeze the lemon to extract the juice.</v>
      </c>
      <c r="J1798" s="9" cm="1">
        <f t="array" ref="J1798">SUMIF('외운 것 - 엑셀다운로드 파일(붙여넣기)'!A3:A562,A1798,'외운 것 - 엑셀다운로드 파일(붙여넣기)'!D3:D562)</f>
        <v>0</v>
      </c>
      <c r="K1798" s="9" cm="1">
        <f t="array" ref="K1798">_xlfn.COUNTIFS('외운 것 - 엑셀다운로드 파일(붙여넣기)'!A3:A562,A1798,'외운 것 - 엑셀다운로드 파일(붙여넣기)'!D3:D562,0)</f>
        <v>0</v>
      </c>
      <c r="L1798" s="9" cm="1">
        <f t="array" ref="L1798">IF(J1798&gt;=3,_xlfn.XLOOKUP(A1798,'외운 것 - 엑셀다운로드 파일(붙여넣기)'!A3:A562,'외운 것 - 엑셀다운로드 파일(붙여넣기)'!C3:C562,0,-1),0)</f>
        <v>0</v>
      </c>
    </row>
    <row r="1799" ht="38.45" customHeight="1">
      <c r="A1799" s="3">
        <v>1798</v>
      </c>
      <c r="B1799" t="s" s="4">
        <v>11357</v>
      </c>
      <c r="C1799" t="s" s="5">
        <v>11350</v>
      </c>
      <c r="D1799" t="s" s="5">
        <v>11351</v>
      </c>
      <c r="E1799" t="s" s="5">
        <v>11358</v>
      </c>
      <c r="F1799" t="s" s="6">
        <v>11359</v>
      </c>
      <c r="G1799" t="s" s="7">
        <v>11360</v>
      </c>
      <c r="H1799" t="s" s="7">
        <v>11361</v>
      </c>
      <c r="I1799" t="str" s="8" cm="1">
        <f t="array" ref="I1799">SUBSTITUTE(H1799,B1799,"(          )")</f>
        <v>The town (          ) is surrounded by historic buildings.</v>
      </c>
      <c r="J1799" s="9" cm="1">
        <f t="array" ref="J1799">SUMIF('외운 것 - 엑셀다운로드 파일(붙여넣기)'!A3:A562,A1799,'외운 것 - 엑셀다운로드 파일(붙여넣기)'!D3:D562)</f>
        <v>0</v>
      </c>
      <c r="K1799" s="9" cm="1">
        <f t="array" ref="K1799">_xlfn.COUNTIFS('외운 것 - 엑셀다운로드 파일(붙여넣기)'!A3:A562,A1799,'외운 것 - 엑셀다운로드 파일(붙여넣기)'!D3:D562,0)</f>
        <v>0</v>
      </c>
      <c r="L1799" s="9" cm="1">
        <f t="array" ref="L1799">IF(J1799&gt;=3,_xlfn.XLOOKUP(A1799,'외운 것 - 엑셀다운로드 파일(붙여넣기)'!A3:A562,'외운 것 - 엑셀다운로드 파일(붙여넣기)'!C3:C562,0,-1),0)</f>
        <v>0</v>
      </c>
    </row>
    <row r="1800" ht="23.45" customHeight="1">
      <c r="A1800" s="3">
        <v>1799</v>
      </c>
      <c r="B1800" t="s" s="4">
        <v>11363</v>
      </c>
      <c r="C1800" t="s" s="5">
        <v>11350</v>
      </c>
      <c r="D1800" t="s" s="5">
        <v>11351</v>
      </c>
      <c r="E1800" t="s" s="5">
        <v>11364</v>
      </c>
      <c r="F1800" t="s" s="10">
        <v>11365</v>
      </c>
      <c r="G1800" t="s" s="7">
        <v>11366</v>
      </c>
      <c r="H1800" t="s" s="7">
        <v>11367</v>
      </c>
      <c r="I1800" t="str" s="8" cm="1">
        <f t="array" ref="I1800">SUBSTITUTE(H1800,B1800,"(          )")</f>
        <v>The police (          ) arrived quickly after the call.</v>
      </c>
      <c r="J1800" s="9" cm="1">
        <f t="array" ref="J1800">SUMIF('외운 것 - 엑셀다운로드 파일(붙여넣기)'!A3:A562,A1800,'외운 것 - 엑셀다운로드 파일(붙여넣기)'!D3:D562)</f>
        <v>0</v>
      </c>
      <c r="K1800" s="9" cm="1">
        <f t="array" ref="K1800">_xlfn.COUNTIFS('외운 것 - 엑셀다운로드 파일(붙여넣기)'!A3:A562,A1800,'외운 것 - 엑셀다운로드 파일(붙여넣기)'!D3:D562,0)</f>
        <v>0</v>
      </c>
      <c r="L1800" s="9" cm="1">
        <f t="array" ref="L1800">IF(J1800&gt;=3,_xlfn.XLOOKUP(A1800,'외운 것 - 엑셀다운로드 파일(붙여넣기)'!A3:A562,'외운 것 - 엑셀다운로드 파일(붙여넣기)'!C3:C562,0,-1),0)</f>
        <v>0</v>
      </c>
    </row>
    <row r="1801" ht="38.45" customHeight="1">
      <c r="A1801" s="3">
        <v>1800</v>
      </c>
      <c r="B1801" t="s" s="4">
        <v>11369</v>
      </c>
      <c r="C1801" t="s" s="5">
        <v>11350</v>
      </c>
      <c r="D1801" t="s" s="5">
        <v>11351</v>
      </c>
      <c r="E1801" t="s" s="5">
        <v>11370</v>
      </c>
      <c r="F1801" t="s" s="10">
        <v>11371</v>
      </c>
      <c r="G1801" t="s" s="7">
        <v>11372</v>
      </c>
      <c r="H1801" t="s" s="7">
        <v>11373</v>
      </c>
      <c r="I1801" t="str" s="8" cm="1">
        <f t="array" ref="I1801">SUBSTITUTE(H1801,B1801,"(          )")</f>
        <v>The large box will (          ) the delicate items beneath it.</v>
      </c>
      <c r="J1801" s="9" cm="1">
        <f t="array" ref="J1801">SUMIF('외운 것 - 엑셀다운로드 파일(붙여넣기)'!A3:A562,A1801,'외운 것 - 엑셀다운로드 파일(붙여넣기)'!D3:D562)</f>
        <v>0</v>
      </c>
      <c r="K1801" s="9" cm="1">
        <f t="array" ref="K1801">_xlfn.COUNTIFS('외운 것 - 엑셀다운로드 파일(붙여넣기)'!A3:A562,A1801,'외운 것 - 엑셀다운로드 파일(붙여넣기)'!D3:D562,0)</f>
        <v>0</v>
      </c>
      <c r="L1801" s="9" cm="1">
        <f t="array" ref="L1801">IF(J1801&gt;=3,_xlfn.XLOOKUP(A1801,'외운 것 - 엑셀다운로드 파일(붙여넣기)'!A3:A562,'외운 것 - 엑셀다운로드 파일(붙여넣기)'!C3:C562,0,-1),0)</f>
        <v>0</v>
      </c>
    </row>
    <row r="1802" ht="23.45" customHeight="1">
      <c r="A1802" s="3">
        <v>1801</v>
      </c>
      <c r="B1802" t="s" s="4">
        <v>11375</v>
      </c>
      <c r="C1802" t="s" s="5">
        <v>11376</v>
      </c>
      <c r="D1802" t="s" s="5">
        <v>11377</v>
      </c>
      <c r="E1802" t="s" s="5">
        <v>11378</v>
      </c>
      <c r="F1802" t="s" s="10">
        <v>11379</v>
      </c>
      <c r="G1802" t="s" s="7">
        <v>11380</v>
      </c>
      <c r="H1802" t="s" s="7">
        <v>11381</v>
      </c>
      <c r="I1802" t="str" s="8" cm="1">
        <f t="array" ref="I1802">SUBSTITUTE(H1802,B1802,"(          )")</f>
        <v>All citizens deserve (          ) treatment under the law.</v>
      </c>
      <c r="J1802" s="9" cm="1">
        <f t="array" ref="J1802">SUMIF('외운 것 - 엑셀다운로드 파일(붙여넣기)'!A3:A562,A1802,'외운 것 - 엑셀다운로드 파일(붙여넣기)'!D3:D562)</f>
        <v>0</v>
      </c>
      <c r="K1802" s="9" cm="1">
        <f t="array" ref="K1802">_xlfn.COUNTIFS('외운 것 - 엑셀다운로드 파일(붙여넣기)'!A3:A562,A1802,'외운 것 - 엑셀다운로드 파일(붙여넣기)'!D3:D562,0)</f>
        <v>0</v>
      </c>
      <c r="L1802" s="9" cm="1">
        <f t="array" ref="L1802">IF(J1802&gt;=3,_xlfn.XLOOKUP(A1802,'외운 것 - 엑셀다운로드 파일(붙여넣기)'!A3:A562,'외운 것 - 엑셀다운로드 파일(붙여넣기)'!C3:C562,0,-1),0)</f>
        <v>0</v>
      </c>
    </row>
    <row r="1803" ht="23.45" customHeight="1">
      <c r="A1803" s="3">
        <v>1802</v>
      </c>
      <c r="B1803" t="s" s="4">
        <v>11383</v>
      </c>
      <c r="C1803" t="s" s="5">
        <v>11376</v>
      </c>
      <c r="D1803" t="s" s="5">
        <v>11377</v>
      </c>
      <c r="E1803" t="s" s="5">
        <v>11384</v>
      </c>
      <c r="F1803" t="s" s="10">
        <v>11385</v>
      </c>
      <c r="G1803" t="s" s="7">
        <v>11386</v>
      </c>
      <c r="H1803" t="s" s="7">
        <v>11387</v>
      </c>
      <c r="I1803" t="str" s="8" cm="1">
        <f t="array" ref="I1803">SUBSTITUTE(H1803,B1803,"(          )")</f>
        <v>The mathematical (          ) is complex but solvable.</v>
      </c>
      <c r="J1803" s="9" cm="1">
        <f t="array" ref="J1803">SUMIF('외운 것 - 엑셀다운로드 파일(붙여넣기)'!A3:A562,A1803,'외운 것 - 엑셀다운로드 파일(붙여넣기)'!D3:D562)</f>
        <v>0</v>
      </c>
      <c r="K1803" s="9" cm="1">
        <f t="array" ref="K1803">_xlfn.COUNTIFS('외운 것 - 엑셀다운로드 파일(붙여넣기)'!A3:A562,A1803,'외운 것 - 엑셀다운로드 파일(붙여넣기)'!D3:D562,0)</f>
        <v>0</v>
      </c>
      <c r="L1803" s="9" cm="1">
        <f t="array" ref="L1803">IF(J1803&gt;=3,_xlfn.XLOOKUP(A1803,'외운 것 - 엑셀다운로드 파일(붙여넣기)'!A3:A562,'외운 것 - 엑셀다운로드 파일(붙여넣기)'!C3:C562,0,-1),0)</f>
        <v>0</v>
      </c>
    </row>
    <row r="1804" ht="23.45" customHeight="1">
      <c r="A1804" s="3">
        <v>1803</v>
      </c>
      <c r="B1804" t="s" s="4">
        <v>11389</v>
      </c>
      <c r="C1804" t="s" s="5">
        <v>11376</v>
      </c>
      <c r="D1804" t="s" s="5">
        <v>11377</v>
      </c>
      <c r="E1804" t="s" s="5">
        <v>11390</v>
      </c>
      <c r="F1804" t="s" s="10">
        <v>11391</v>
      </c>
      <c r="G1804" t="s" s="7">
        <v>5340</v>
      </c>
      <c r="H1804" t="s" s="7">
        <v>11392</v>
      </c>
      <c r="I1804" t="str" s="8" cm="1">
        <f t="array" ref="I1804">SUBSTITUTE(H1804,B1804,"(          )")</f>
        <v>The room is (          ) for our small family.</v>
      </c>
      <c r="J1804" s="9" cm="1">
        <f t="array" ref="J1804">SUMIF('외운 것 - 엑셀다운로드 파일(붙여넣기)'!A3:A562,A1804,'외운 것 - 엑셀다운로드 파일(붙여넣기)'!D3:D562)</f>
        <v>0</v>
      </c>
      <c r="K1804" s="9" cm="1">
        <f t="array" ref="K1804">_xlfn.COUNTIFS('외운 것 - 엑셀다운로드 파일(붙여넣기)'!A3:A562,A1804,'외운 것 - 엑셀다운로드 파일(붙여넣기)'!D3:D562,0)</f>
        <v>0</v>
      </c>
      <c r="L1804" s="9" cm="1">
        <f t="array" ref="L1804">IF(J1804&gt;=3,_xlfn.XLOOKUP(A1804,'외운 것 - 엑셀다운로드 파일(붙여넣기)'!A3:A562,'외운 것 - 엑셀다운로드 파일(붙여넣기)'!C3:C562,0,-1),0)</f>
        <v>0</v>
      </c>
    </row>
    <row r="1805" ht="36.4" customHeight="1">
      <c r="A1805" s="3">
        <v>1804</v>
      </c>
      <c r="B1805" t="s" s="4">
        <v>11394</v>
      </c>
      <c r="C1805" t="s" s="5">
        <v>11395</v>
      </c>
      <c r="D1805" t="s" s="5">
        <v>11376</v>
      </c>
      <c r="E1805" t="s" s="5">
        <v>11396</v>
      </c>
      <c r="F1805" t="s" s="10">
        <v>11397</v>
      </c>
      <c r="G1805" t="s" s="7">
        <v>11398</v>
      </c>
      <c r="H1805" t="s" s="7">
        <v>11399</v>
      </c>
      <c r="I1805" t="str" s="8" cm="1">
        <f t="array" ref="I1805">SUBSTITUTE(H1805,B1805,"(          )")</f>
        <v>The current staff is (          ) for the increased workload.</v>
      </c>
      <c r="J1805" s="9" cm="1">
        <f t="array" ref="J1805">SUMIF('외운 것 - 엑셀다운로드 파일(붙여넣기)'!A3:A562,A1805,'외운 것 - 엑셀다운로드 파일(붙여넣기)'!D3:D562)</f>
        <v>0</v>
      </c>
      <c r="K1805" s="9" cm="1">
        <f t="array" ref="K1805">_xlfn.COUNTIFS('외운 것 - 엑셀다운로드 파일(붙여넣기)'!A3:A562,A1805,'외운 것 - 엑셀다운로드 파일(붙여넣기)'!D3:D562,0)</f>
        <v>0</v>
      </c>
      <c r="L1805" s="9" cm="1">
        <f t="array" ref="L1805">IF(J1805&gt;=3,_xlfn.XLOOKUP(A1805,'외운 것 - 엑셀다운로드 파일(붙여넣기)'!A3:A562,'외운 것 - 엑셀다운로드 파일(붙여넣기)'!C3:C562,0,-1),0)</f>
        <v>0</v>
      </c>
    </row>
    <row r="1806" ht="23.45" customHeight="1">
      <c r="A1806" s="3">
        <v>1805</v>
      </c>
      <c r="B1806" t="s" s="4">
        <v>11401</v>
      </c>
      <c r="C1806" t="s" s="5">
        <v>11376</v>
      </c>
      <c r="D1806" t="s" s="5">
        <v>11377</v>
      </c>
      <c r="E1806" t="s" s="5">
        <v>11402</v>
      </c>
      <c r="F1806" t="s" s="10">
        <v>11403</v>
      </c>
      <c r="G1806" t="s" s="7">
        <v>11404</v>
      </c>
      <c r="H1806" t="s" s="7">
        <v>11405</v>
      </c>
      <c r="I1806" t="str" s="8" cm="1">
        <f t="array" ref="I1806">SUBSTITUTE(H1806,B1806,"(          )")</f>
        <v>Homeowners build (          ) as they pay their mortgage.</v>
      </c>
      <c r="J1806" s="9" cm="1">
        <f t="array" ref="J1806">SUMIF('외운 것 - 엑셀다운로드 파일(붙여넣기)'!A3:A562,A1806,'외운 것 - 엑셀다운로드 파일(붙여넣기)'!D3:D562)</f>
        <v>0</v>
      </c>
      <c r="K1806" s="9" cm="1">
        <f t="array" ref="K1806">_xlfn.COUNTIFS('외운 것 - 엑셀다운로드 파일(붙여넣기)'!A3:A562,A1806,'외운 것 - 엑셀다운로드 파일(붙여넣기)'!D3:D562,0)</f>
        <v>0</v>
      </c>
      <c r="L1806" s="9" cm="1">
        <f t="array" ref="L1806">IF(J1806&gt;=3,_xlfn.XLOOKUP(A1806,'외운 것 - 엑셀다운로드 파일(붙여넣기)'!A3:A562,'외운 것 - 엑셀다운로드 파일(붙여넣기)'!C3:C562,0,-1),0)</f>
        <v>0</v>
      </c>
    </row>
    <row r="1807" ht="23.45" customHeight="1">
      <c r="A1807" s="3">
        <v>1806</v>
      </c>
      <c r="B1807" t="s" s="4">
        <v>11407</v>
      </c>
      <c r="C1807" t="s" s="5">
        <v>11376</v>
      </c>
      <c r="D1807" t="s" s="5">
        <v>11377</v>
      </c>
      <c r="E1807" t="s" s="5">
        <v>11408</v>
      </c>
      <c r="F1807" t="s" s="10">
        <v>11409</v>
      </c>
      <c r="G1807" t="s" s="7">
        <v>11410</v>
      </c>
      <c r="H1807" t="s" s="7">
        <v>11411</v>
      </c>
      <c r="I1807" t="str" s="8" cm="1">
        <f t="array" ref="I1807">SUBSTITUTE(H1807,B1807,"(          )")</f>
        <v>There is no (          ) between the two situations.</v>
      </c>
      <c r="J1807" s="9" cm="1">
        <f t="array" ref="J1807">SUMIF('외운 것 - 엑셀다운로드 파일(붙여넣기)'!A3:A562,A1807,'외운 것 - 엑셀다운로드 파일(붙여넣기)'!D3:D562)</f>
        <v>0</v>
      </c>
      <c r="K1807" s="9" cm="1">
        <f t="array" ref="K1807">_xlfn.COUNTIFS('외운 것 - 엑셀다운로드 파일(붙여넣기)'!A3:A562,A1807,'외운 것 - 엑셀다운로드 파일(붙여넣기)'!D3:D562,0)</f>
        <v>0</v>
      </c>
      <c r="L1807" s="9" cm="1">
        <f t="array" ref="L1807">IF(J1807&gt;=3,_xlfn.XLOOKUP(A1807,'외운 것 - 엑셀다운로드 파일(붙여넣기)'!A3:A562,'외운 것 - 엑셀다운로드 파일(붙여넣기)'!C3:C562,0,-1),0)</f>
        <v>0</v>
      </c>
    </row>
    <row r="1808" ht="23.45" customHeight="1">
      <c r="A1808" s="3">
        <v>1807</v>
      </c>
      <c r="B1808" t="s" s="4">
        <v>11413</v>
      </c>
      <c r="C1808" t="s" s="5">
        <v>11376</v>
      </c>
      <c r="D1808" t="s" s="5">
        <v>11377</v>
      </c>
      <c r="E1808" t="s" s="5">
        <v>11414</v>
      </c>
      <c r="F1808" t="s" s="10">
        <v>11415</v>
      </c>
      <c r="G1808" t="s" s="7">
        <v>11416</v>
      </c>
      <c r="H1808" t="s" s="7">
        <v>11417</v>
      </c>
      <c r="I1808" t="str" s="8" cm="1">
        <f t="array" ref="I1808">SUBSTITUTE(H1808,B1808,"(          )")</f>
        <v>The ecosystem maintains a delicate (          ).</v>
      </c>
      <c r="J1808" s="9" cm="1">
        <f t="array" ref="J1808">SUMIF('외운 것 - 엑셀다운로드 파일(붙여넣기)'!A3:A562,A1808,'외운 것 - 엑셀다운로드 파일(붙여넣기)'!D3:D562)</f>
        <v>0</v>
      </c>
      <c r="K1808" s="9" cm="1">
        <f t="array" ref="K1808">_xlfn.COUNTIFS('외운 것 - 엑셀다운로드 파일(붙여넣기)'!A3:A562,A1808,'외운 것 - 엑셀다운로드 파일(붙여넣기)'!D3:D562,0)</f>
        <v>0</v>
      </c>
      <c r="L1808" s="9" cm="1">
        <f t="array" ref="L1808">IF(J1808&gt;=3,_xlfn.XLOOKUP(A1808,'외운 것 - 엑셀다운로드 파일(붙여넣기)'!A3:A562,'외운 것 - 엑셀다운로드 파일(붙여넣기)'!C3:C562,0,-1),0)</f>
        <v>0</v>
      </c>
    </row>
    <row r="1809" ht="23.45" customHeight="1">
      <c r="A1809" s="3">
        <v>1808</v>
      </c>
      <c r="B1809" t="s" s="4">
        <v>11419</v>
      </c>
      <c r="C1809" t="s" s="5">
        <v>11376</v>
      </c>
      <c r="D1809" t="s" s="5">
        <v>11377</v>
      </c>
      <c r="E1809" t="s" s="5">
        <v>11420</v>
      </c>
      <c r="F1809" t="s" s="10">
        <v>11421</v>
      </c>
      <c r="G1809" t="s" s="7">
        <v>11422</v>
      </c>
      <c r="H1809" t="s" s="7">
        <v>11423</v>
      </c>
      <c r="I1809" t="str" s="8" cm="1">
        <f t="array" ref="I1809">SUBSTITUTE(H1809,B1809,"(          )")</f>
        <v>The school will (          ) all classrooms with computers.</v>
      </c>
      <c r="J1809" s="9" cm="1">
        <f t="array" ref="J1809">SUMIF('외운 것 - 엑셀다운로드 파일(붙여넣기)'!A3:A562,A1809,'외운 것 - 엑셀다운로드 파일(붙여넣기)'!D3:D562)</f>
        <v>0</v>
      </c>
      <c r="K1809" s="9" cm="1">
        <f t="array" ref="K1809">_xlfn.COUNTIFS('외운 것 - 엑셀다운로드 파일(붙여넣기)'!A3:A562,A1809,'외운 것 - 엑셀다운로드 파일(붙여넣기)'!D3:D562,0)</f>
        <v>0</v>
      </c>
      <c r="L1809" s="9" cm="1">
        <f t="array" ref="L1809">IF(J1809&gt;=3,_xlfn.XLOOKUP(A1809,'외운 것 - 엑셀다운로드 파일(붙여넣기)'!A3:A562,'외운 것 - 엑셀다운로드 파일(붙여넣기)'!C3:C562,0,-1),0)</f>
        <v>0</v>
      </c>
    </row>
    <row r="1810" ht="23.45" customHeight="1">
      <c r="A1810" s="3">
        <v>1809</v>
      </c>
      <c r="B1810" t="s" s="4">
        <v>11425</v>
      </c>
      <c r="C1810" t="s" s="5">
        <v>11376</v>
      </c>
      <c r="D1810" t="s" s="5">
        <v>11377</v>
      </c>
      <c r="E1810" t="s" s="5">
        <v>11426</v>
      </c>
      <c r="F1810" t="s" s="10">
        <v>11427</v>
      </c>
      <c r="G1810" t="s" s="7">
        <v>11428</v>
      </c>
      <c r="H1810" t="s" s="7">
        <v>11429</v>
      </c>
      <c r="I1810" t="str" s="8" cm="1">
        <f t="array" ref="I1810">SUBSTITUTE(H1810,B1810,"(          )")</f>
        <v>Countries near the (          ) have tropical climates.</v>
      </c>
      <c r="J1810" s="9" cm="1">
        <f t="array" ref="J1810">SUMIF('외운 것 - 엑셀다운로드 파일(붙여넣기)'!A3:A562,A1810,'외운 것 - 엑셀다운로드 파일(붙여넣기)'!D3:D562)</f>
        <v>0</v>
      </c>
      <c r="K1810" s="9" cm="1">
        <f t="array" ref="K1810">_xlfn.COUNTIFS('외운 것 - 엑셀다운로드 파일(붙여넣기)'!A3:A562,A1810,'외운 것 - 엑셀다운로드 파일(붙여넣기)'!D3:D562,0)</f>
        <v>0</v>
      </c>
      <c r="L1810" s="9" cm="1">
        <f t="array" ref="L1810">IF(J1810&gt;=3,_xlfn.XLOOKUP(A1810,'외운 것 - 엑셀다운로드 파일(붙여넣기)'!A3:A562,'외운 것 - 엑셀다운로드 파일(붙여넣기)'!C3:C562,0,-1),0)</f>
        <v>0</v>
      </c>
    </row>
    <row r="1811" ht="23.45" customHeight="1">
      <c r="A1811" s="3">
        <v>1810</v>
      </c>
      <c r="B1811" t="s" s="4">
        <v>11431</v>
      </c>
      <c r="C1811" t="s" s="5">
        <v>11432</v>
      </c>
      <c r="D1811" t="s" s="5">
        <v>11433</v>
      </c>
      <c r="E1811" t="s" s="5">
        <v>11434</v>
      </c>
      <c r="F1811" t="s" s="10">
        <v>11435</v>
      </c>
      <c r="G1811" t="s" s="7">
        <v>11436</v>
      </c>
      <c r="H1811" t="s" s="7">
        <v>11437</v>
      </c>
      <c r="I1811" t="str" s="8" cm="1">
        <f t="array" ref="I1811">SUBSTITUTE(H1811,B1811,"(          )")</f>
        <v>The airport (          ) detects approaching aircraft.</v>
      </c>
      <c r="J1811" s="9" cm="1">
        <f t="array" ref="J1811">SUMIF('외운 것 - 엑셀다운로드 파일(붙여넣기)'!A3:A562,A1811,'외운 것 - 엑셀다운로드 파일(붙여넣기)'!D3:D562)</f>
        <v>0</v>
      </c>
      <c r="K1811" s="9" cm="1">
        <f t="array" ref="K1811">_xlfn.COUNTIFS('외운 것 - 엑셀다운로드 파일(붙여넣기)'!A3:A562,A1811,'외운 것 - 엑셀다운로드 파일(붙여넣기)'!D3:D562,0)</f>
        <v>0</v>
      </c>
      <c r="L1811" s="9" cm="1">
        <f t="array" ref="L1811">IF(J1811&gt;=3,_xlfn.XLOOKUP(A1811,'외운 것 - 엑셀다운로드 파일(붙여넣기)'!A3:A562,'외운 것 - 엑셀다운로드 파일(붙여넣기)'!C3:C562,0,-1),0)</f>
        <v>0</v>
      </c>
    </row>
    <row r="1812" ht="38.45" customHeight="1">
      <c r="A1812" s="3">
        <v>1811</v>
      </c>
      <c r="B1812" t="s" s="4">
        <v>11439</v>
      </c>
      <c r="C1812" t="s" s="5">
        <v>11432</v>
      </c>
      <c r="D1812" t="s" s="5">
        <v>11433</v>
      </c>
      <c r="E1812" t="s" s="5">
        <v>11440</v>
      </c>
      <c r="F1812" t="s" s="10">
        <v>11441</v>
      </c>
      <c r="G1812" t="s" s="7">
        <v>11442</v>
      </c>
      <c r="H1812" t="s" s="7">
        <v>11443</v>
      </c>
      <c r="I1812" t="str" s="8" cm="1">
        <f t="array" ref="I1812">SUBSTITUTE(H1812,B1812,"(          )")</f>
        <v>We listen to the (          ) during our morning commute.</v>
      </c>
      <c r="J1812" s="9" cm="1">
        <f t="array" ref="J1812">SUMIF('외운 것 - 엑셀다운로드 파일(붙여넣기)'!A3:A562,A1812,'외운 것 - 엑셀다운로드 파일(붙여넣기)'!D3:D562)</f>
        <v>0</v>
      </c>
      <c r="K1812" s="9" cm="1">
        <f t="array" ref="K1812">_xlfn.COUNTIFS('외운 것 - 엑셀다운로드 파일(붙여넣기)'!A3:A562,A1812,'외운 것 - 엑셀다운로드 파일(붙여넣기)'!D3:D562,0)</f>
        <v>0</v>
      </c>
      <c r="L1812" s="9" cm="1">
        <f t="array" ref="L1812">IF(J1812&gt;=3,_xlfn.XLOOKUP(A1812,'외운 것 - 엑셀다운로드 파일(붙여넣기)'!A3:A562,'외운 것 - 엑셀다운로드 파일(붙여넣기)'!C3:C562,0,-1),0)</f>
        <v>0</v>
      </c>
    </row>
    <row r="1813" ht="38.45" customHeight="1">
      <c r="A1813" s="3">
        <v>1812</v>
      </c>
      <c r="B1813" t="s" s="4">
        <v>11445</v>
      </c>
      <c r="C1813" t="s" s="5">
        <v>11446</v>
      </c>
      <c r="D1813" t="s" s="5">
        <v>11432</v>
      </c>
      <c r="E1813" t="s" s="5">
        <v>11447</v>
      </c>
      <c r="F1813" t="s" s="10">
        <v>11448</v>
      </c>
      <c r="G1813" t="s" s="7">
        <v>11449</v>
      </c>
      <c r="H1813" t="s" s="7">
        <v>11450</v>
      </c>
      <c r="I1813" t="str" s="8" cm="1">
        <f t="array" ref="I1813">SUBSTITUTE(H1813,B1813,"(          )")</f>
        <v>Scientists measure (          ) with special instruments.</v>
      </c>
      <c r="J1813" s="9" cm="1">
        <f t="array" ref="J1813">SUMIF('외운 것 - 엑셀다운로드 파일(붙여넣기)'!A3:A562,A1813,'외운 것 - 엑셀다운로드 파일(붙여넣기)'!D3:D562)</f>
        <v>0</v>
      </c>
      <c r="K1813" s="9" cm="1">
        <f t="array" ref="K1813">_xlfn.COUNTIFS('외운 것 - 엑셀다운로드 파일(붙여넣기)'!A3:A562,A1813,'외운 것 - 엑셀다운로드 파일(붙여넣기)'!D3:D562,0)</f>
        <v>0</v>
      </c>
      <c r="L1813" s="9" cm="1">
        <f t="array" ref="L1813">IF(J1813&gt;=3,_xlfn.XLOOKUP(A1813,'외운 것 - 엑셀다운로드 파일(붙여넣기)'!A3:A562,'외운 것 - 엑셀다운로드 파일(붙여넣기)'!C3:C562,0,-1),0)</f>
        <v>0</v>
      </c>
    </row>
    <row r="1814" ht="36.4" customHeight="1">
      <c r="A1814" s="3">
        <v>1813</v>
      </c>
      <c r="B1814" t="s" s="4">
        <v>11452</v>
      </c>
      <c r="C1814" t="s" s="5">
        <v>11453</v>
      </c>
      <c r="D1814" t="s" s="5">
        <v>11432</v>
      </c>
      <c r="E1814" t="s" s="5">
        <v>11454</v>
      </c>
      <c r="F1814" t="s" s="10">
        <v>11455</v>
      </c>
      <c r="G1814" t="s" s="7">
        <v>11456</v>
      </c>
      <c r="H1814" t="s" s="7">
        <v>11457</v>
      </c>
      <c r="I1814" t="str" s="8" cm="1">
        <f t="array" ref="I1814">SUBSTITUTE(H1814,B1814,"(          )")</f>
        <v>The sun (          )s heat and light.</v>
      </c>
      <c r="J1814" s="9" cm="1">
        <f t="array" ref="J1814">SUMIF('외운 것 - 엑셀다운로드 파일(붙여넣기)'!A3:A562,A1814,'외운 것 - 엑셀다운로드 파일(붙여넣기)'!D3:D562)</f>
        <v>0</v>
      </c>
      <c r="K1814" s="9" cm="1">
        <f t="array" ref="K1814">_xlfn.COUNTIFS('외운 것 - 엑셀다운로드 파일(붙여넣기)'!A3:A562,A1814,'외운 것 - 엑셀다운로드 파일(붙여넣기)'!D3:D562,0)</f>
        <v>0</v>
      </c>
      <c r="L1814" s="9" cm="1">
        <f t="array" ref="L1814">IF(J1814&gt;=3,_xlfn.XLOOKUP(A1814,'외운 것 - 엑셀다운로드 파일(붙여넣기)'!A3:A562,'외운 것 - 엑셀다운로드 파일(붙여넣기)'!C3:C562,0,-1),0)</f>
        <v>0</v>
      </c>
    </row>
    <row r="1815" ht="38.45" customHeight="1">
      <c r="A1815" s="3">
        <v>1814</v>
      </c>
      <c r="B1815" t="s" s="4">
        <v>11459</v>
      </c>
      <c r="C1815" t="s" s="5">
        <v>11432</v>
      </c>
      <c r="D1815" t="s" s="5">
        <v>11433</v>
      </c>
      <c r="E1815" t="s" s="5">
        <v>11460</v>
      </c>
      <c r="F1815" t="s" s="10">
        <v>11461</v>
      </c>
      <c r="G1815" t="s" s="7">
        <v>11462</v>
      </c>
      <c r="H1815" t="s" s="7">
        <v>11463</v>
      </c>
      <c r="I1815" t="str" s="8" cm="1">
        <f t="array" ref="I1815">SUBSTITUTE(H1815,B1815,"(          )")</f>
        <v>The new treatment represents a (          ) approach to the disease.</v>
      </c>
      <c r="J1815" s="9" cm="1">
        <f t="array" ref="J1815">SUMIF('외운 것 - 엑셀다운로드 파일(붙여넣기)'!A3:A562,A1815,'외운 것 - 엑셀다운로드 파일(붙여넣기)'!D3:D562)</f>
        <v>0</v>
      </c>
      <c r="K1815" s="9" cm="1">
        <f t="array" ref="K1815">_xlfn.COUNTIFS('외운 것 - 엑셀다운로드 파일(붙여넣기)'!A3:A562,A1815,'외운 것 - 엑셀다운로드 파일(붙여넣기)'!D3:D562,0)</f>
        <v>0</v>
      </c>
      <c r="L1815" s="9" cm="1">
        <f t="array" ref="L1815">IF(J1815&gt;=3,_xlfn.XLOOKUP(A1815,'외운 것 - 엑셀다운로드 파일(붙여넣기)'!A3:A562,'외운 것 - 엑셀다운로드 파일(붙여넣기)'!C3:C562,0,-1),0)</f>
        <v>0</v>
      </c>
    </row>
    <row r="1816" ht="23.45" customHeight="1">
      <c r="A1816" s="3">
        <v>1815</v>
      </c>
      <c r="B1816" t="s" s="4">
        <v>11465</v>
      </c>
      <c r="C1816" t="s" s="5">
        <v>11432</v>
      </c>
      <c r="D1816" t="s" s="5">
        <v>11433</v>
      </c>
      <c r="E1816" t="s" s="5">
        <v>11466</v>
      </c>
      <c r="F1816" t="s" s="10">
        <v>11467</v>
      </c>
      <c r="G1816" t="s" s="7">
        <v>11468</v>
      </c>
      <c r="H1816" t="s" s="7">
        <v>11469</v>
      </c>
      <c r="I1816" t="str" s="8" cm="1">
        <f t="array" ref="I1816">SUBSTITUTE(H1816,B1816,"(          )")</f>
        <v>The (          ) adds a spicy crunch to the salad.</v>
      </c>
      <c r="J1816" s="9" cm="1">
        <f t="array" ref="J1816">SUMIF('외운 것 - 엑셀다운로드 파일(붙여넣기)'!A3:A562,A1816,'외운 것 - 엑셀다운로드 파일(붙여넣기)'!D3:D562)</f>
        <v>0</v>
      </c>
      <c r="K1816" s="9" cm="1">
        <f t="array" ref="K1816">_xlfn.COUNTIFS('외운 것 - 엑셀다운로드 파일(붙여넣기)'!A3:A562,A1816,'외운 것 - 엑셀다운로드 파일(붙여넣기)'!D3:D562,0)</f>
        <v>0</v>
      </c>
      <c r="L1816" s="9" cm="1">
        <f t="array" ref="L1816">IF(J1816&gt;=3,_xlfn.XLOOKUP(A1816,'외운 것 - 엑셀다운로드 파일(붙여넣기)'!A3:A562,'외운 것 - 엑셀다운로드 파일(붙여넣기)'!C3:C562,0,-1),0)</f>
        <v>0</v>
      </c>
    </row>
    <row r="1817" ht="38.45" customHeight="1">
      <c r="A1817" s="3">
        <v>1816</v>
      </c>
      <c r="B1817" t="s" s="4">
        <v>11471</v>
      </c>
      <c r="C1817" t="s" s="5">
        <v>11432</v>
      </c>
      <c r="D1817" t="s" s="5">
        <v>11433</v>
      </c>
      <c r="E1817" t="s" s="5">
        <v>11472</v>
      </c>
      <c r="F1817" t="s" s="10">
        <v>11473</v>
      </c>
      <c r="G1817" t="s" s="7">
        <v>11474</v>
      </c>
      <c r="H1817" t="s" s="7">
        <v>11475</v>
      </c>
      <c r="I1817" t="str" s="8" cm="1">
        <f t="array" ref="I1817">SUBSTITUTE(H1817,B1817,"(          )")</f>
        <v>The goal is to (          ) the disease worldwide.</v>
      </c>
      <c r="J1817" s="9" cm="1">
        <f t="array" ref="J1817">SUMIF('외운 것 - 엑셀다운로드 파일(붙여넣기)'!A3:A562,A1817,'외운 것 - 엑셀다운로드 파일(붙여넣기)'!D3:D562)</f>
        <v>0</v>
      </c>
      <c r="K1817" s="9" cm="1">
        <f t="array" ref="K1817">_xlfn.COUNTIFS('외운 것 - 엑셀다운로드 파일(붙여넣기)'!A3:A562,A1817,'외운 것 - 엑셀다운로드 파일(붙여넣기)'!D3:D562,0)</f>
        <v>0</v>
      </c>
      <c r="L1817" s="9" cm="1">
        <f t="array" ref="L1817">IF(J1817&gt;=3,_xlfn.XLOOKUP(A1817,'외운 것 - 엑셀다운로드 파일(붙여넣기)'!A3:A562,'외운 것 - 엑셀다운로드 파일(붙여넣기)'!C3:C562,0,-1),0)</f>
        <v>0</v>
      </c>
    </row>
    <row r="1818" ht="38.45" customHeight="1">
      <c r="A1818" s="3">
        <v>1817</v>
      </c>
      <c r="B1818" t="s" s="4">
        <v>11477</v>
      </c>
      <c r="C1818" t="s" s="5">
        <v>11478</v>
      </c>
      <c r="D1818" t="s" s="5">
        <v>11479</v>
      </c>
      <c r="E1818" t="s" s="5">
        <v>11480</v>
      </c>
      <c r="F1818" t="s" s="10">
        <v>11481</v>
      </c>
      <c r="G1818" t="s" s="7">
        <v>11482</v>
      </c>
      <c r="H1818" t="s" s="7">
        <v>11483</v>
      </c>
      <c r="I1818" t="str" s="8" cm="1">
        <f t="array" ref="I1818">SUBSTITUTE(H1818,B1818,"(          )")</f>
        <v>He sought (          ) for the wrong done to his family.</v>
      </c>
      <c r="J1818" s="9" cm="1">
        <f t="array" ref="J1818">SUMIF('외운 것 - 엑셀다운로드 파일(붙여넣기)'!A3:A562,A1818,'외운 것 - 엑셀다운로드 파일(붙여넣기)'!D3:D562)</f>
        <v>0</v>
      </c>
      <c r="K1818" s="9" cm="1">
        <f t="array" ref="K1818">_xlfn.COUNTIFS('외운 것 - 엑셀다운로드 파일(붙여넣기)'!A3:A562,A1818,'외운 것 - 엑셀다운로드 파일(붙여넣기)'!D3:D562,0)</f>
        <v>0</v>
      </c>
      <c r="L1818" s="9" cm="1">
        <f t="array" ref="L1818">IF(J1818&gt;=3,_xlfn.XLOOKUP(A1818,'외운 것 - 엑셀다운로드 파일(붙여넣기)'!A3:A562,'외운 것 - 엑셀다운로드 파일(붙여넣기)'!C3:C562,0,-1),0)</f>
        <v>0</v>
      </c>
    </row>
    <row r="1819" ht="38.45" customHeight="1">
      <c r="A1819" s="3">
        <v>1818</v>
      </c>
      <c r="B1819" t="s" s="4">
        <v>11485</v>
      </c>
      <c r="C1819" t="s" s="5">
        <v>11478</v>
      </c>
      <c r="D1819" t="s" s="5">
        <v>11479</v>
      </c>
      <c r="E1819" t="s" s="5">
        <v>11486</v>
      </c>
      <c r="F1819" t="s" s="10">
        <v>11487</v>
      </c>
      <c r="G1819" t="s" s="7">
        <v>11488</v>
      </c>
      <c r="H1819" t="s" s="7">
        <v>11489</v>
      </c>
      <c r="I1819" t="str" s="8" cm="1">
        <f t="array" ref="I1819">SUBSTITUTE(H1819,B1819,"(          )")</f>
        <v>The company will (          ) the new product at the conference.</v>
      </c>
      <c r="J1819" s="9" cm="1">
        <f t="array" ref="J1819">SUMIF('외운 것 - 엑셀다운로드 파일(붙여넣기)'!A3:A562,A1819,'외운 것 - 엑셀다운로드 파일(붙여넣기)'!D3:D562)</f>
        <v>0</v>
      </c>
      <c r="K1819" s="9" cm="1">
        <f t="array" ref="K1819">_xlfn.COUNTIFS('외운 것 - 엑셀다운로드 파일(붙여넣기)'!A3:A562,A1819,'외운 것 - 엑셀다운로드 파일(붙여넣기)'!D3:D562,0)</f>
        <v>0</v>
      </c>
      <c r="L1819" s="9" cm="1">
        <f t="array" ref="L1819">IF(J1819&gt;=3,_xlfn.XLOOKUP(A1819,'외운 것 - 엑셀다운로드 파일(붙여넣기)'!A3:A562,'외운 것 - 엑셀다운로드 파일(붙여넣기)'!C3:C562,0,-1),0)</f>
        <v>0</v>
      </c>
    </row>
    <row r="1820" ht="38.45" customHeight="1">
      <c r="A1820" s="3">
        <v>1819</v>
      </c>
      <c r="B1820" t="s" s="4">
        <v>11491</v>
      </c>
      <c r="C1820" t="s" s="5">
        <v>11478</v>
      </c>
      <c r="D1820" t="s" s="5">
        <v>11479</v>
      </c>
      <c r="E1820" t="s" s="5">
        <v>11492</v>
      </c>
      <c r="F1820" t="s" s="10">
        <v>11493</v>
      </c>
      <c r="G1820" t="s" s="7">
        <v>11494</v>
      </c>
      <c r="H1820" t="s" s="7">
        <v>11495</v>
      </c>
      <c r="I1820" t="str" s="8" cm="1">
        <f t="array" ref="I1820">SUBSTITUTE(H1820,B1820,"(          )")</f>
        <v>The teacher gave a gentle (          ) for the student's behavior.</v>
      </c>
      <c r="J1820" s="9" cm="1">
        <f t="array" ref="J1820">SUMIF('외운 것 - 엑셀다운로드 파일(붙여넣기)'!A3:A562,A1820,'외운 것 - 엑셀다운로드 파일(붙여넣기)'!D3:D562)</f>
        <v>0</v>
      </c>
      <c r="K1820" s="9" cm="1">
        <f t="array" ref="K1820">_xlfn.COUNTIFS('외운 것 - 엑셀다운로드 파일(붙여넣기)'!A3:A562,A1820,'외운 것 - 엑셀다운로드 파일(붙여넣기)'!D3:D562,0)</f>
        <v>0</v>
      </c>
      <c r="L1820" s="9" cm="1">
        <f t="array" ref="L1820">IF(J1820&gt;=3,_xlfn.XLOOKUP(A1820,'외운 것 - 엑셀다운로드 파일(붙여넣기)'!A3:A562,'외운 것 - 엑셀다운로드 파일(붙여넣기)'!C3:C562,0,-1),0)</f>
        <v>0</v>
      </c>
    </row>
    <row r="1821" ht="23.45" customHeight="1">
      <c r="A1821" s="3">
        <v>1820</v>
      </c>
      <c r="B1821" t="s" s="4">
        <v>11497</v>
      </c>
      <c r="C1821" t="s" s="5">
        <v>11478</v>
      </c>
      <c r="D1821" t="s" s="5">
        <v>11479</v>
      </c>
      <c r="E1821" t="s" s="5">
        <v>11498</v>
      </c>
      <c r="F1821" t="s" s="10">
        <v>11499</v>
      </c>
      <c r="G1821" t="s" s="7">
        <v>11500</v>
      </c>
      <c r="H1821" t="s" s="7">
        <v>11501</v>
      </c>
      <c r="I1821" t="str" s="8" cm="1">
        <f t="array" ref="I1821">SUBSTITUTE(H1821,B1821,"(          )")</f>
        <v>Please (          ) from using your phone during the concert.</v>
      </c>
      <c r="J1821" s="9" cm="1">
        <f t="array" ref="J1821">SUMIF('외운 것 - 엑셀다운로드 파일(붙여넣기)'!A3:A562,A1821,'외운 것 - 엑셀다운로드 파일(붙여넣기)'!D3:D562)</f>
        <v>0</v>
      </c>
      <c r="K1821" s="9" cm="1">
        <f t="array" ref="K1821">_xlfn.COUNTIFS('외운 것 - 엑셀다운로드 파일(붙여넣기)'!A3:A562,A1821,'외운 것 - 엑셀다운로드 파일(붙여넣기)'!D3:D562,0)</f>
        <v>0</v>
      </c>
      <c r="L1821" s="9" cm="1">
        <f t="array" ref="L1821">IF(J1821&gt;=3,_xlfn.XLOOKUP(A1821,'외운 것 - 엑셀다운로드 파일(붙여넣기)'!A3:A562,'외운 것 - 엑셀다운로드 파일(붙여넣기)'!C3:C562,0,-1),0)</f>
        <v>0</v>
      </c>
    </row>
    <row r="1822" ht="23.45" customHeight="1">
      <c r="A1822" s="3">
        <v>1821</v>
      </c>
      <c r="B1822" t="s" s="4">
        <v>11503</v>
      </c>
      <c r="C1822" t="s" s="5">
        <v>11478</v>
      </c>
      <c r="D1822" t="s" s="5">
        <v>11479</v>
      </c>
      <c r="E1822" t="s" s="5">
        <v>11504</v>
      </c>
      <c r="F1822" t="s" s="10">
        <v>11505</v>
      </c>
      <c r="G1822" t="s" s="7">
        <v>11506</v>
      </c>
      <c r="H1822" t="s" s="7">
        <v>11507</v>
      </c>
      <c r="I1822" t="str" s="8" cm="1">
        <f t="array" ref="I1822">SUBSTITUTE(H1822,B1822,"(          )")</f>
        <v>Have you seen any good movies (          )?</v>
      </c>
      <c r="J1822" s="9" cm="1">
        <f t="array" ref="J1822">SUMIF('외운 것 - 엑셀다운로드 파일(붙여넣기)'!A3:A562,A1822,'외운 것 - 엑셀다운로드 파일(붙여넣기)'!D3:D562)</f>
        <v>0</v>
      </c>
      <c r="K1822" s="9" cm="1">
        <f t="array" ref="K1822">_xlfn.COUNTIFS('외운 것 - 엑셀다운로드 파일(붙여넣기)'!A3:A562,A1822,'외운 것 - 엑셀다운로드 파일(붙여넣기)'!D3:D562,0)</f>
        <v>0</v>
      </c>
      <c r="L1822" s="9" cm="1">
        <f t="array" ref="L1822">IF(J1822&gt;=3,_xlfn.XLOOKUP(A1822,'외운 것 - 엑셀다운로드 파일(붙여넣기)'!A3:A562,'외운 것 - 엑셀다운로드 파일(붙여넣기)'!C3:C562,0,-1),0)</f>
        <v>0</v>
      </c>
    </row>
    <row r="1823" ht="38.45" customHeight="1">
      <c r="A1823" s="3">
        <v>1822</v>
      </c>
      <c r="B1823" t="s" s="4">
        <v>11509</v>
      </c>
      <c r="C1823" t="s" s="5">
        <v>11478</v>
      </c>
      <c r="D1823" t="s" s="5">
        <v>11479</v>
      </c>
      <c r="E1823" t="s" s="5">
        <v>11510</v>
      </c>
      <c r="F1823" t="s" s="10">
        <v>11511</v>
      </c>
      <c r="G1823" t="s" s="7">
        <v>11512</v>
      </c>
      <c r="H1823" t="s" s="7">
        <v>11513</v>
      </c>
      <c r="I1823" t="str" s="8" cm="1">
        <f t="array" ref="I1823">SUBSTITUTE(H1823,B1823,"(          )")</f>
        <v>Freedom of (          ) is protected by the constitution.</v>
      </c>
      <c r="J1823" s="9" cm="1">
        <f t="array" ref="J1823">SUMIF('외운 것 - 엑셀다운로드 파일(붙여넣기)'!A3:A562,A1823,'외운 것 - 엑셀다운로드 파일(붙여넣기)'!D3:D562)</f>
        <v>0</v>
      </c>
      <c r="K1823" s="9" cm="1">
        <f t="array" ref="K1823">_xlfn.COUNTIFS('외운 것 - 엑셀다운로드 파일(붙여넣기)'!A3:A562,A1823,'외운 것 - 엑셀다운로드 파일(붙여넣기)'!D3:D562,0)</f>
        <v>0</v>
      </c>
      <c r="L1823" s="9" cm="1">
        <f t="array" ref="L1823">IF(J1823&gt;=3,_xlfn.XLOOKUP(A1823,'외운 것 - 엑셀다운로드 파일(붙여넣기)'!A3:A562,'외운 것 - 엑셀다운로드 파일(붙여넣기)'!C3:C562,0,-1),0)</f>
        <v>0</v>
      </c>
    </row>
    <row r="1824" ht="23.45" customHeight="1">
      <c r="A1824" s="3">
        <v>1823</v>
      </c>
      <c r="B1824" t="s" s="4">
        <v>11515</v>
      </c>
      <c r="C1824" t="s" s="5">
        <v>11478</v>
      </c>
      <c r="D1824" t="s" s="5">
        <v>11479</v>
      </c>
      <c r="E1824" t="s" s="5">
        <v>11516</v>
      </c>
      <c r="F1824" t="s" s="10">
        <v>11517</v>
      </c>
      <c r="G1824" t="s" s="7">
        <v>11518</v>
      </c>
      <c r="H1824" t="s" s="7">
        <v>11519</v>
      </c>
      <c r="I1824" t="str" s="8" cm="1">
        <f t="array" ref="I1824">SUBSTITUTE(H1824,B1824,"(          )")</f>
        <v>You can (          ) on me to keep your secret.</v>
      </c>
      <c r="J1824" s="9" cm="1">
        <f t="array" ref="J1824">SUMIF('외운 것 - 엑셀다운로드 파일(붙여넣기)'!A3:A562,A1824,'외운 것 - 엑셀다운로드 파일(붙여넣기)'!D3:D562)</f>
        <v>0</v>
      </c>
      <c r="K1824" s="9" cm="1">
        <f t="array" ref="K1824">_xlfn.COUNTIFS('외운 것 - 엑셀다운로드 파일(붙여넣기)'!A3:A562,A1824,'외운 것 - 엑셀다운로드 파일(붙여넣기)'!D3:D562,0)</f>
        <v>0</v>
      </c>
      <c r="L1824" s="9" cm="1">
        <f t="array" ref="L1824">IF(J1824&gt;=3,_xlfn.XLOOKUP(A1824,'외운 것 - 엑셀다운로드 파일(붙여넣기)'!A3:A562,'외운 것 - 엑셀다운로드 파일(붙여넣기)'!C3:C562,0,-1),0)</f>
        <v>0</v>
      </c>
    </row>
    <row r="1825" ht="38.45" customHeight="1">
      <c r="A1825" s="3">
        <v>1824</v>
      </c>
      <c r="B1825" t="s" s="4">
        <v>11521</v>
      </c>
      <c r="C1825" t="s" s="5">
        <v>11478</v>
      </c>
      <c r="D1825" t="s" s="5">
        <v>11479</v>
      </c>
      <c r="E1825" t="s" s="5">
        <v>11522</v>
      </c>
      <c r="F1825" t="s" s="10">
        <v>11523</v>
      </c>
      <c r="G1825" t="s" s="7">
        <v>11524</v>
      </c>
      <c r="H1825" t="s" s="7">
        <v>11525</v>
      </c>
      <c r="I1825" t="str" s="8" cm="1">
        <f t="array" ref="I1825">SUBSTITUTE(H1825,B1825,"(          )")</f>
        <v>I (          ) not learning to play a musical instrument as a child.</v>
      </c>
      <c r="J1825" s="9" cm="1">
        <f t="array" ref="J1825">SUMIF('외운 것 - 엑셀다운로드 파일(붙여넣기)'!A3:A562,A1825,'외운 것 - 엑셀다운로드 파일(붙여넣기)'!D3:D562)</f>
        <v>0</v>
      </c>
      <c r="K1825" s="9" cm="1">
        <f t="array" ref="K1825">_xlfn.COUNTIFS('외운 것 - 엑셀다운로드 파일(붙여넣기)'!A3:A562,A1825,'외운 것 - 엑셀다운로드 파일(붙여넣기)'!D3:D562,0)</f>
        <v>0</v>
      </c>
      <c r="L1825" s="9" cm="1">
        <f t="array" ref="L1825">IF(J1825&gt;=3,_xlfn.XLOOKUP(A1825,'외운 것 - 엑셀다운로드 파일(붙여넣기)'!A3:A562,'외운 것 - 엑셀다운로드 파일(붙여넣기)'!C3:C562,0,-1),0)</f>
        <v>0</v>
      </c>
    </row>
    <row r="1826" ht="38.45" customHeight="1">
      <c r="A1826" s="3">
        <v>1825</v>
      </c>
      <c r="B1826" t="s" s="4">
        <v>11527</v>
      </c>
      <c r="C1826" t="s" s="5">
        <v>11478</v>
      </c>
      <c r="D1826" t="s" s="5">
        <v>11479</v>
      </c>
      <c r="E1826" t="s" s="5">
        <v>11528</v>
      </c>
      <c r="F1826" t="s" s="10">
        <v>11529</v>
      </c>
      <c r="G1826" t="s" s="7">
        <v>11530</v>
      </c>
      <c r="H1826" t="s" s="7">
        <v>11531</v>
      </c>
      <c r="I1826" t="str" s="8" cm="1">
        <f t="array" ref="I1826">SUBSTITUTE(H1826,B1826,"(          )")</f>
        <v>The company will (          ) employees for travel expenses.</v>
      </c>
      <c r="J1826" s="9" cm="1">
        <f t="array" ref="J1826">SUMIF('외운 것 - 엑셀다운로드 파일(붙여넣기)'!A3:A562,A1826,'외운 것 - 엑셀다운로드 파일(붙여넣기)'!D3:D562)</f>
        <v>0</v>
      </c>
      <c r="K1826" s="9" cm="1">
        <f t="array" ref="K1826">_xlfn.COUNTIFS('외운 것 - 엑셀다운로드 파일(붙여넣기)'!A3:A562,A1826,'외운 것 - 엑셀다운로드 파일(붙여넣기)'!D3:D562,0)</f>
        <v>0</v>
      </c>
      <c r="L1826" s="9" cm="1">
        <f t="array" ref="L1826">IF(J1826&gt;=3,_xlfn.XLOOKUP(A1826,'외운 것 - 엑셀다운로드 파일(붙여넣기)'!A3:A562,'외운 것 - 엑셀다운로드 파일(붙여넣기)'!C3:C562,0,-1),0)</f>
        <v>0</v>
      </c>
    </row>
    <row r="1827" ht="38.45" customHeight="1">
      <c r="A1827" s="3">
        <v>1826</v>
      </c>
      <c r="B1827" t="s" s="4">
        <v>11533</v>
      </c>
      <c r="C1827" t="s" s="5">
        <v>11534</v>
      </c>
      <c r="D1827" t="s" s="5">
        <v>11535</v>
      </c>
      <c r="E1827" t="s" s="5">
        <v>11536</v>
      </c>
      <c r="F1827" t="s" s="10">
        <v>11537</v>
      </c>
      <c r="G1827" t="s" s="7">
        <v>11538</v>
      </c>
      <c r="H1827" t="s" s="7">
        <v>11539</v>
      </c>
      <c r="I1827" t="str" s="8" cm="1">
        <f t="array" ref="I1827">SUBSTITUTE(H1827,B1827,"(          )")</f>
        <v>The tour guide will (          ) us to the famous landmarks.</v>
      </c>
      <c r="J1827" s="9" cm="1">
        <f t="array" ref="J1827">SUMIF('외운 것 - 엑셀다운로드 파일(붙여넣기)'!A3:A562,A1827,'외운 것 - 엑셀다운로드 파일(붙여넣기)'!D3:D562)</f>
        <v>0</v>
      </c>
      <c r="K1827" s="9" cm="1">
        <f t="array" ref="K1827">_xlfn.COUNTIFS('외운 것 - 엑셀다운로드 파일(붙여넣기)'!A3:A562,A1827,'외운 것 - 엑셀다운로드 파일(붙여넣기)'!D3:D562,0)</f>
        <v>0</v>
      </c>
      <c r="L1827" s="9" cm="1">
        <f t="array" ref="L1827">IF(J1827&gt;=3,_xlfn.XLOOKUP(A1827,'외운 것 - 엑셀다운로드 파일(붙여넣기)'!A3:A562,'외운 것 - 엑셀다운로드 파일(붙여넣기)'!C3:C562,0,-1),0)</f>
        <v>0</v>
      </c>
    </row>
    <row r="1828" ht="38.45" customHeight="1">
      <c r="A1828" s="3">
        <v>1827</v>
      </c>
      <c r="B1828" t="s" s="4">
        <v>11541</v>
      </c>
      <c r="C1828" t="s" s="5">
        <v>11542</v>
      </c>
      <c r="D1828" t="s" s="5">
        <v>11534</v>
      </c>
      <c r="E1828" t="s" s="5">
        <v>11543</v>
      </c>
      <c r="F1828" t="s" s="10">
        <v>11544</v>
      </c>
      <c r="G1828" t="s" s="7">
        <v>11545</v>
      </c>
      <c r="H1828" t="s" s="7">
        <v>11546</v>
      </c>
      <c r="I1828" t="str" s="8" cm="1">
        <f t="array" ref="I1828">SUBSTITUTE(H1828,B1828,"(          )")</f>
        <v>The (          ) is responsible for the artistic vision of the film.</v>
      </c>
      <c r="J1828" s="9" cm="1">
        <f t="array" ref="J1828">SUMIF('외운 것 - 엑셀다운로드 파일(붙여넣기)'!A3:A562,A1828,'외운 것 - 엑셀다운로드 파일(붙여넣기)'!D3:D562)</f>
        <v>0</v>
      </c>
      <c r="K1828" s="9" cm="1">
        <f t="array" ref="K1828">_xlfn.COUNTIFS('외운 것 - 엑셀다운로드 파일(붙여넣기)'!A3:A562,A1828,'외운 것 - 엑셀다운로드 파일(붙여넣기)'!D3:D562,0)</f>
        <v>0</v>
      </c>
      <c r="L1828" s="9" cm="1">
        <f t="array" ref="L1828">IF(J1828&gt;=3,_xlfn.XLOOKUP(A1828,'외운 것 - 엑셀다운로드 파일(붙여넣기)'!A3:A562,'외운 것 - 엑셀다운로드 파일(붙여넣기)'!C3:C562,0,-1),0)</f>
        <v>0</v>
      </c>
    </row>
    <row r="1829" ht="36.4" customHeight="1">
      <c r="A1829" s="3">
        <v>1828</v>
      </c>
      <c r="B1829" t="s" s="4">
        <v>11548</v>
      </c>
      <c r="C1829" t="s" s="5">
        <v>11542</v>
      </c>
      <c r="D1829" t="s" s="5">
        <v>11534</v>
      </c>
      <c r="E1829" t="s" s="5">
        <v>11549</v>
      </c>
      <c r="F1829" t="s" s="10">
        <v>11550</v>
      </c>
      <c r="G1829" t="s" s="7">
        <v>11551</v>
      </c>
      <c r="H1829" t="s" s="7">
        <v>11552</v>
      </c>
      <c r="I1829" t="str" s="8" cm="1">
        <f t="array" ref="I1829">SUBSTITUTE(H1829,B1829,"(          )")</f>
        <v>Could you give me (          )s to the nearest hotel?</v>
      </c>
      <c r="J1829" s="9" cm="1">
        <f t="array" ref="J1829">SUMIF('외운 것 - 엑셀다운로드 파일(붙여넣기)'!A3:A562,A1829,'외운 것 - 엑셀다운로드 파일(붙여넣기)'!D3:D562)</f>
        <v>0</v>
      </c>
      <c r="K1829" s="9" cm="1">
        <f t="array" ref="K1829">_xlfn.COUNTIFS('외운 것 - 엑셀다운로드 파일(붙여넣기)'!A3:A562,A1829,'외운 것 - 엑셀다운로드 파일(붙여넣기)'!D3:D562,0)</f>
        <v>0</v>
      </c>
      <c r="L1829" s="9" cm="1">
        <f t="array" ref="L1829">IF(J1829&gt;=3,_xlfn.XLOOKUP(A1829,'외운 것 - 엑셀다운로드 파일(붙여넣기)'!A3:A562,'외운 것 - 엑셀다운로드 파일(붙여넣기)'!C3:C562,0,-1),0)</f>
        <v>0</v>
      </c>
    </row>
    <row r="1830" ht="23.45" customHeight="1">
      <c r="A1830" s="3">
        <v>1829</v>
      </c>
      <c r="B1830" t="s" s="4">
        <v>11554</v>
      </c>
      <c r="C1830" t="s" s="5">
        <v>11534</v>
      </c>
      <c r="D1830" t="s" s="5">
        <v>11535</v>
      </c>
      <c r="E1830" t="s" s="5">
        <v>11555</v>
      </c>
      <c r="F1830" t="s" s="10">
        <v>11556</v>
      </c>
      <c r="G1830" t="s" s="7">
        <v>11557</v>
      </c>
      <c r="H1830" t="s" s="7">
        <v>11558</v>
      </c>
      <c r="I1830" t="str" s="8" cm="1">
        <f t="array" ref="I1830">SUBSTITUTE(H1830,B1830,"(          )")</f>
        <v>Workers will (          ) a statue in the town square.</v>
      </c>
      <c r="J1830" s="9" cm="1">
        <f t="array" ref="J1830">SUMIF('외운 것 - 엑셀다운로드 파일(붙여넣기)'!A3:A562,A1830,'외운 것 - 엑셀다운로드 파일(붙여넣기)'!D3:D562)</f>
        <v>0</v>
      </c>
      <c r="K1830" s="9" cm="1">
        <f t="array" ref="K1830">_xlfn.COUNTIFS('외운 것 - 엑셀다운로드 파일(붙여넣기)'!A3:A562,A1830,'외운 것 - 엑셀다운로드 파일(붙여넣기)'!D3:D562,0)</f>
        <v>0</v>
      </c>
      <c r="L1830" s="9" cm="1">
        <f t="array" ref="L1830">IF(J1830&gt;=3,_xlfn.XLOOKUP(A1830,'외운 것 - 엑셀다운로드 파일(붙여넣기)'!A3:A562,'외운 것 - 엑셀다운로드 파일(붙여넣기)'!C3:C562,0,-1),0)</f>
        <v>0</v>
      </c>
    </row>
    <row r="1831" ht="23.45" customHeight="1">
      <c r="A1831" s="3">
        <v>1830</v>
      </c>
      <c r="B1831" t="s" s="4">
        <v>11560</v>
      </c>
      <c r="C1831" t="s" s="5">
        <v>11534</v>
      </c>
      <c r="D1831" t="s" s="5">
        <v>11535</v>
      </c>
      <c r="E1831" t="s" s="5">
        <v>11561</v>
      </c>
      <c r="F1831" t="s" s="10">
        <v>11562</v>
      </c>
      <c r="G1831" t="s" s="7">
        <v>11563</v>
      </c>
      <c r="H1831" t="s" s="7">
        <v>11564</v>
      </c>
      <c r="I1831" t="str" s="8" cm="1">
        <f t="array" ref="I1831">SUBSTITUTE(H1831,B1831,"(          )")</f>
        <v>The teacher will (          ) the exam papers this weekend.</v>
      </c>
      <c r="J1831" s="9" cm="1">
        <f t="array" ref="J1831">SUMIF('외운 것 - 엑셀다운로드 파일(붙여넣기)'!A3:A562,A1831,'외운 것 - 엑셀다운로드 파일(붙여넣기)'!D3:D562)</f>
        <v>0</v>
      </c>
      <c r="K1831" s="9" cm="1">
        <f t="array" ref="K1831">_xlfn.COUNTIFS('외운 것 - 엑셀다운로드 파일(붙여넣기)'!A3:A562,A1831,'외운 것 - 엑셀다운로드 파일(붙여넣기)'!D3:D562,0)</f>
        <v>0</v>
      </c>
      <c r="L1831" s="9" cm="1">
        <f t="array" ref="L1831">IF(J1831&gt;=3,_xlfn.XLOOKUP(A1831,'외운 것 - 엑셀다운로드 파일(붙여넣기)'!A3:A562,'외운 것 - 엑셀다운로드 파일(붙여넣기)'!C3:C562,0,-1),0)</f>
        <v>0</v>
      </c>
    </row>
    <row r="1832" ht="23.45" customHeight="1">
      <c r="A1832" s="3">
        <v>1831</v>
      </c>
      <c r="B1832" t="s" s="4">
        <v>11566</v>
      </c>
      <c r="C1832" t="s" s="5">
        <v>11567</v>
      </c>
      <c r="D1832" t="s" s="5">
        <v>11568</v>
      </c>
      <c r="E1832" t="s" s="5">
        <v>11569</v>
      </c>
      <c r="F1832" t="s" s="10">
        <v>11570</v>
      </c>
      <c r="G1832" t="s" s="7">
        <v>11571</v>
      </c>
      <c r="H1832" t="s" s="7">
        <v>11572</v>
      </c>
      <c r="I1832" t="str" s="8" cm="1">
        <f t="array" ref="I1832">SUBSTITUTE(H1832,B1832,"(          )")</f>
        <v>The ball will (          ) down the hill.</v>
      </c>
      <c r="J1832" s="9" cm="1">
        <f t="array" ref="J1832">SUMIF('외운 것 - 엑셀다운로드 파일(붙여넣기)'!A3:A562,A1832,'외운 것 - 엑셀다운로드 파일(붙여넣기)'!D3:D562)</f>
        <v>0</v>
      </c>
      <c r="K1832" s="9" cm="1">
        <f t="array" ref="K1832">_xlfn.COUNTIFS('외운 것 - 엑셀다운로드 파일(붙여넣기)'!A3:A562,A1832,'외운 것 - 엑셀다운로드 파일(붙여넣기)'!D3:D562,0)</f>
        <v>0</v>
      </c>
      <c r="L1832" s="9" cm="1">
        <f t="array" ref="L1832">IF(J1832&gt;=3,_xlfn.XLOOKUP(A1832,'외운 것 - 엑셀다운로드 파일(붙여넣기)'!A3:A562,'외운 것 - 엑셀다운로드 파일(붙여넣기)'!C3:C562,0,-1),0)</f>
        <v>0</v>
      </c>
    </row>
    <row r="1833" ht="38.45" customHeight="1">
      <c r="A1833" s="3">
        <v>1832</v>
      </c>
      <c r="B1833" t="s" s="4">
        <v>2753</v>
      </c>
      <c r="C1833" t="s" s="5">
        <v>11574</v>
      </c>
      <c r="D1833" t="s" s="5">
        <v>11567</v>
      </c>
      <c r="E1833" t="s" s="5">
        <v>2754</v>
      </c>
      <c r="F1833" t="s" s="10">
        <v>11575</v>
      </c>
      <c r="G1833" t="s" s="7">
        <v>11576</v>
      </c>
      <c r="H1833" t="s" s="7">
        <v>2757</v>
      </c>
      <c r="I1833" t="str" s="8" cm="1">
        <f t="array" ref="I1833">SUBSTITUTE(H1833,B1833,"(          )")</f>
        <v>Scroll down the page to read more information.</v>
      </c>
      <c r="J1833" s="9" cm="1">
        <f t="array" ref="J1833">SUMIF('외운 것 - 엑셀다운로드 파일(붙여넣기)'!A3:A562,A1833,'외운 것 - 엑셀다운로드 파일(붙여넣기)'!D3:D562)</f>
        <v>0</v>
      </c>
      <c r="K1833" s="9" cm="1">
        <f t="array" ref="K1833">_xlfn.COUNTIFS('외운 것 - 엑셀다운로드 파일(붙여넣기)'!A3:A562,A1833,'외운 것 - 엑셀다운로드 파일(붙여넣기)'!D3:D562,0)</f>
        <v>0</v>
      </c>
      <c r="L1833" s="9" cm="1">
        <f t="array" ref="L1833">IF(J1833&gt;=3,_xlfn.XLOOKUP(A1833,'외운 것 - 엑셀다운로드 파일(붙여넣기)'!A3:A562,'외운 것 - 엑셀다운로드 파일(붙여넣기)'!C3:C562,0,-1),0)</f>
        <v>0</v>
      </c>
    </row>
    <row r="1834" ht="23.45" customHeight="1">
      <c r="A1834" s="3">
        <v>1833</v>
      </c>
      <c r="B1834" t="s" s="4">
        <v>3925</v>
      </c>
      <c r="C1834" t="s" s="5">
        <v>11574</v>
      </c>
      <c r="D1834" t="s" s="5">
        <v>11567</v>
      </c>
      <c r="E1834" t="s" s="5">
        <v>3926</v>
      </c>
      <c r="F1834" t="s" s="10">
        <v>11577</v>
      </c>
      <c r="G1834" t="s" s="7">
        <v>11578</v>
      </c>
      <c r="H1834" t="s" s="7">
        <v>3929</v>
      </c>
      <c r="I1834" t="str" s="8" cm="1">
        <f t="array" ref="I1834">SUBSTITUTE(H1834,B1834,"(          )")</f>
        <v>You can (          ) in the course online.</v>
      </c>
      <c r="J1834" s="9" cm="1">
        <f t="array" ref="J1834">SUMIF('외운 것 - 엑셀다운로드 파일(붙여넣기)'!A3:A562,A1834,'외운 것 - 엑셀다운로드 파일(붙여넣기)'!D3:D562)</f>
        <v>0</v>
      </c>
      <c r="K1834" s="9" cm="1">
        <f t="array" ref="K1834">_xlfn.COUNTIFS('외운 것 - 엑셀다운로드 파일(붙여넣기)'!A3:A562,A1834,'외운 것 - 엑셀다운로드 파일(붙여넣기)'!D3:D562,0)</f>
        <v>0</v>
      </c>
      <c r="L1834" s="9" cm="1">
        <f t="array" ref="L1834">IF(J1834&gt;=3,_xlfn.XLOOKUP(A1834,'외운 것 - 엑셀다운로드 파일(붙여넣기)'!A3:A562,'외운 것 - 엑셀다운로드 파일(붙여넣기)'!C3:C562,0,-1),0)</f>
        <v>0</v>
      </c>
    </row>
    <row r="1835" ht="23.45" customHeight="1">
      <c r="A1835" s="3">
        <v>1834</v>
      </c>
      <c r="B1835" t="s" s="4">
        <v>11579</v>
      </c>
      <c r="C1835" t="s" s="5">
        <v>11567</v>
      </c>
      <c r="D1835" t="s" s="5">
        <v>11568</v>
      </c>
      <c r="E1835" t="s" s="5">
        <v>11580</v>
      </c>
      <c r="F1835" t="s" s="10">
        <v>11581</v>
      </c>
      <c r="G1835" t="s" s="7">
        <v>11582</v>
      </c>
      <c r="H1835" t="s" s="7">
        <v>11583</v>
      </c>
      <c r="I1835" t="str" s="8" cm="1">
        <f t="array" ref="I1835">SUBSTITUTE(H1835,B1835,"(          )")</f>
        <v>The Earth is (          ), not flat.</v>
      </c>
      <c r="J1835" s="9" cm="1">
        <f t="array" ref="J1835">SUMIF('외운 것 - 엑셀다운로드 파일(붙여넣기)'!A3:A562,A1835,'외운 것 - 엑셀다운로드 파일(붙여넣기)'!D3:D562)</f>
        <v>0</v>
      </c>
      <c r="K1835" s="9" cm="1">
        <f t="array" ref="K1835">_xlfn.COUNTIFS('외운 것 - 엑셀다운로드 파일(붙여넣기)'!A3:A562,A1835,'외운 것 - 엑셀다운로드 파일(붙여넣기)'!D3:D562,0)</f>
        <v>0</v>
      </c>
      <c r="L1835" s="9" cm="1">
        <f t="array" ref="L1835">IF(J1835&gt;=3,_xlfn.XLOOKUP(A1835,'외운 것 - 엑셀다운로드 파일(붙여넣기)'!A3:A562,'외운 것 - 엑셀다운로드 파일(붙여넣기)'!C3:C562,0,-1),0)</f>
        <v>0</v>
      </c>
    </row>
    <row r="1836" ht="23.45" customHeight="1">
      <c r="A1836" s="3">
        <v>1835</v>
      </c>
      <c r="B1836" t="s" s="4">
        <v>11585</v>
      </c>
      <c r="C1836" t="s" s="5">
        <v>11586</v>
      </c>
      <c r="D1836" t="s" s="5">
        <v>11567</v>
      </c>
      <c r="E1836" t="s" s="5">
        <v>11587</v>
      </c>
      <c r="F1836" t="s" s="10">
        <v>11588</v>
      </c>
      <c r="G1836" t="s" s="7">
        <v>11589</v>
      </c>
      <c r="H1836" t="s" s="7">
        <v>11590</v>
      </c>
      <c r="I1836" t="str" s="8" cm="1">
        <f t="array" ref="I1836">SUBSTITUTE(H1836,B1836,"(          )")</f>
        <v>Mountains (          ) the peaceful valley.</v>
      </c>
      <c r="J1836" s="9" cm="1">
        <f t="array" ref="J1836">SUMIF('외운 것 - 엑셀다운로드 파일(붙여넣기)'!A3:A562,A1836,'외운 것 - 엑셀다운로드 파일(붙여넣기)'!D3:D562)</f>
        <v>0</v>
      </c>
      <c r="K1836" s="9" cm="1">
        <f t="array" ref="K1836">_xlfn.COUNTIFS('외운 것 - 엑셀다운로드 파일(붙여넣기)'!A3:A562,A1836,'외운 것 - 엑셀다운로드 파일(붙여넣기)'!D3:D562,0)</f>
        <v>0</v>
      </c>
      <c r="L1836" s="9" cm="1">
        <f t="array" ref="L1836">IF(J1836&gt;=3,_xlfn.XLOOKUP(A1836,'외운 것 - 엑셀다운로드 파일(붙여넣기)'!A3:A562,'외운 것 - 엑셀다운로드 파일(붙여넣기)'!C3:C562,0,-1),0)</f>
        <v>0</v>
      </c>
    </row>
    <row r="1837" ht="38.45" customHeight="1">
      <c r="A1837" s="3">
        <v>1836</v>
      </c>
      <c r="B1837" t="s" s="4">
        <v>11592</v>
      </c>
      <c r="C1837" t="s" s="5">
        <v>11586</v>
      </c>
      <c r="D1837" t="s" s="5">
        <v>11567</v>
      </c>
      <c r="E1837" t="s" s="5">
        <v>11593</v>
      </c>
      <c r="F1837" t="s" s="10">
        <v>11594</v>
      </c>
      <c r="G1837" t="s" s="7">
        <v>11595</v>
      </c>
      <c r="H1837" t="s" s="7">
        <v>11596</v>
      </c>
      <c r="I1837" t="str" s="8" cm="1">
        <f t="array" ref="I1837">SUBSTITUTE(H1837,B1837,"(          )")</f>
        <v>The coffee (          )s can be used as garden fertilizer.</v>
      </c>
      <c r="J1837" s="9" cm="1">
        <f t="array" ref="J1837">SUMIF('외운 것 - 엑셀다운로드 파일(붙여넣기)'!A3:A562,A1837,'외운 것 - 엑셀다운로드 파일(붙여넣기)'!D3:D562)</f>
        <v>0</v>
      </c>
      <c r="K1837" s="9" cm="1">
        <f t="array" ref="K1837">_xlfn.COUNTIFS('외운 것 - 엑셀다운로드 파일(붙여넣기)'!A3:A562,A1837,'외운 것 - 엑셀다운로드 파일(붙여넣기)'!D3:D562,0)</f>
        <v>0</v>
      </c>
      <c r="L1837" s="9" cm="1">
        <f t="array" ref="L1837">IF(J1837&gt;=3,_xlfn.XLOOKUP(A1837,'외운 것 - 엑셀다운로드 파일(붙여넣기)'!A3:A562,'외운 것 - 엑셀다운로드 파일(붙여넣기)'!C3:C562,0,-1),0)</f>
        <v>0</v>
      </c>
    </row>
    <row r="1838" ht="23.45" customHeight="1">
      <c r="A1838" s="3">
        <v>1837</v>
      </c>
      <c r="B1838" t="s" s="4">
        <v>11598</v>
      </c>
      <c r="C1838" t="s" s="5">
        <v>11567</v>
      </c>
      <c r="D1838" t="s" s="5">
        <v>11568</v>
      </c>
      <c r="E1838" t="s" s="5">
        <v>11599</v>
      </c>
      <c r="F1838" t="s" s="10">
        <v>11600</v>
      </c>
      <c r="G1838" t="s" s="7">
        <v>11601</v>
      </c>
      <c r="H1838" t="s" s="7">
        <v>11602</v>
      </c>
      <c r="I1838" t="str" s="8" cm="1">
        <f t="array" ref="I1838">SUBSTITUTE(H1838,B1838,"(          )")</f>
        <v>The Earth (          )s on its axis once every 24 hours.</v>
      </c>
      <c r="J1838" s="9" cm="1">
        <f t="array" ref="J1838">SUMIF('외운 것 - 엑셀다운로드 파일(붙여넣기)'!A3:A562,A1838,'외운 것 - 엑셀다운로드 파일(붙여넣기)'!D3:D562)</f>
        <v>0</v>
      </c>
      <c r="K1838" s="9" cm="1">
        <f t="array" ref="K1838">_xlfn.COUNTIFS('외운 것 - 엑셀다운로드 파일(붙여넣기)'!A3:A562,A1838,'외운 것 - 엑셀다운로드 파일(붙여넣기)'!D3:D562,0)</f>
        <v>0</v>
      </c>
      <c r="L1838" s="9" cm="1">
        <f t="array" ref="L1838">IF(J1838&gt;=3,_xlfn.XLOOKUP(A1838,'외운 것 - 엑셀다운로드 파일(붙여넣기)'!A3:A562,'외운 것 - 엑셀다운로드 파일(붙여넣기)'!C3:C562,0,-1),0)</f>
        <v>0</v>
      </c>
    </row>
    <row r="1839" ht="23.45" customHeight="1">
      <c r="A1839" s="3">
        <v>1838</v>
      </c>
      <c r="B1839" t="s" s="4">
        <v>11603</v>
      </c>
      <c r="C1839" t="s" s="5">
        <v>11567</v>
      </c>
      <c r="D1839" t="s" s="5">
        <v>11568</v>
      </c>
      <c r="E1839" t="s" s="5">
        <v>11604</v>
      </c>
      <c r="F1839" t="s" s="10">
        <v>11605</v>
      </c>
      <c r="G1839" t="s" s="7">
        <v>11606</v>
      </c>
      <c r="H1839" t="s" s="7">
        <v>11607</v>
      </c>
      <c r="I1839" t="str" s="8" cm="1">
        <f t="array" ref="I1839">SUBSTITUTE(H1839,B1839,"(          )")</f>
        <v>The (          ) to the mountain is narrow and winding.</v>
      </c>
      <c r="J1839" s="9" cm="1">
        <f t="array" ref="J1839">SUMIF('외운 것 - 엑셀다운로드 파일(붙여넣기)'!A3:A562,A1839,'외운 것 - 엑셀다운로드 파일(붙여넣기)'!D3:D562)</f>
        <v>0</v>
      </c>
      <c r="K1839" s="9" cm="1">
        <f t="array" ref="K1839">_xlfn.COUNTIFS('외운 것 - 엑셀다운로드 파일(붙여넣기)'!A3:A562,A1839,'외운 것 - 엑셀다운로드 파일(붙여넣기)'!D3:D562,0)</f>
        <v>0</v>
      </c>
      <c r="L1839" s="9" cm="1">
        <f t="array" ref="L1839">IF(J1839&gt;=3,_xlfn.XLOOKUP(A1839,'외운 것 - 엑셀다운로드 파일(붙여넣기)'!A3:A562,'외운 것 - 엑셀다운로드 파일(붙여넣기)'!C3:C562,0,-1),0)</f>
        <v>0</v>
      </c>
    </row>
    <row r="1840" ht="38.45" customHeight="1">
      <c r="A1840" s="3">
        <v>1839</v>
      </c>
      <c r="B1840" t="s" s="4">
        <v>11609</v>
      </c>
      <c r="C1840" t="s" s="5">
        <v>11567</v>
      </c>
      <c r="D1840" t="s" s="5">
        <v>11568</v>
      </c>
      <c r="E1840" t="s" s="5">
        <v>11610</v>
      </c>
      <c r="F1840" t="s" s="10">
        <v>11611</v>
      </c>
      <c r="G1840" t="s" s="7">
        <v>11612</v>
      </c>
      <c r="H1840" t="s" s="7">
        <v>11613</v>
      </c>
      <c r="I1840" t="str" s="8" cm="1">
        <f t="array" ref="I1840">SUBSTITUTE(H1840,B1840,"(          )")</f>
        <v>Wild horses (          ) freely across the plains.</v>
      </c>
      <c r="J1840" s="9" cm="1">
        <f t="array" ref="J1840">SUMIF('외운 것 - 엑셀다운로드 파일(붙여넣기)'!A3:A562,A1840,'외운 것 - 엑셀다운로드 파일(붙여넣기)'!D3:D562)</f>
        <v>0</v>
      </c>
      <c r="K1840" s="9" cm="1">
        <f t="array" ref="K1840">_xlfn.COUNTIFS('외운 것 - 엑셀다운로드 파일(붙여넣기)'!A3:A562,A1840,'외운 것 - 엑셀다운로드 파일(붙여넣기)'!D3:D562,0)</f>
        <v>0</v>
      </c>
      <c r="L1840" s="9" cm="1">
        <f t="array" ref="L1840">IF(J1840&gt;=3,_xlfn.XLOOKUP(A1840,'외운 것 - 엑셀다운로드 파일(붙여넣기)'!A3:A562,'외운 것 - 엑셀다운로드 파일(붙여넣기)'!C3:C562,0,-1),0)</f>
        <v>0</v>
      </c>
    </row>
    <row r="1841" ht="38.45" customHeight="1">
      <c r="A1841" s="3">
        <v>1840</v>
      </c>
      <c r="B1841" t="s" s="4">
        <v>11615</v>
      </c>
      <c r="C1841" t="s" s="5">
        <v>11567</v>
      </c>
      <c r="D1841" t="s" s="5">
        <v>11568</v>
      </c>
      <c r="E1841" t="s" s="5">
        <v>11616</v>
      </c>
      <c r="F1841" t="s" s="10">
        <v>11617</v>
      </c>
      <c r="G1841" t="s" s="7">
        <v>11618</v>
      </c>
      <c r="H1841" t="s" s="7">
        <v>11619</v>
      </c>
      <c r="I1841" t="str" s="8" cm="1">
        <f t="array" ref="I1841">SUBSTITUTE(H1841,B1841,"(          )")</f>
        <v>The large (          ) blocked the path.</v>
      </c>
      <c r="J1841" s="9" cm="1">
        <f t="array" ref="J1841">SUMIF('외운 것 - 엑셀다운로드 파일(붙여넣기)'!A3:A562,A1841,'외운 것 - 엑셀다운로드 파일(붙여넣기)'!D3:D562)</f>
        <v>0</v>
      </c>
      <c r="K1841" s="9" cm="1">
        <f t="array" ref="K1841">_xlfn.COUNTIFS('외운 것 - 엑셀다운로드 파일(붙여넣기)'!A3:A562,A1841,'외운 것 - 엑셀다운로드 파일(붙여넣기)'!D3:D562,0)</f>
        <v>0</v>
      </c>
      <c r="L1841" s="9" cm="1">
        <f t="array" ref="L1841">IF(J1841&gt;=3,_xlfn.XLOOKUP(A1841,'외운 것 - 엑셀다운로드 파일(붙여넣기)'!A3:A562,'외운 것 - 엑셀다운로드 파일(붙여넣기)'!C3:C562,0,-1),0)</f>
        <v>0</v>
      </c>
    </row>
    <row r="1842" ht="23.45" customHeight="1">
      <c r="A1842" s="3">
        <v>1841</v>
      </c>
      <c r="B1842" t="s" s="4">
        <v>11621</v>
      </c>
      <c r="C1842" t="s" s="5">
        <v>11567</v>
      </c>
      <c r="D1842" t="s" s="5">
        <v>11568</v>
      </c>
      <c r="E1842" t="s" s="5">
        <v>11622</v>
      </c>
      <c r="F1842" t="s" s="10">
        <v>11623</v>
      </c>
      <c r="G1842" t="s" s="7">
        <v>11606</v>
      </c>
      <c r="H1842" t="s" s="7">
        <v>11624</v>
      </c>
      <c r="I1842" t="str" s="8" cm="1">
        <f t="array" ref="I1842">SUBSTITUTE(H1842,B1842,"(          )")</f>
        <v>The bus (          ) includes stops at the museum and library.</v>
      </c>
      <c r="J1842" s="9" cm="1">
        <f t="array" ref="J1842">SUMIF('외운 것 - 엑셀다운로드 파일(붙여넣기)'!A3:A562,A1842,'외운 것 - 엑셀다운로드 파일(붙여넣기)'!D3:D562)</f>
        <v>0</v>
      </c>
      <c r="K1842" s="9" cm="1">
        <f t="array" ref="K1842">_xlfn.COUNTIFS('외운 것 - 엑셀다운로드 파일(붙여넣기)'!A3:A562,A1842,'외운 것 - 엑셀다운로드 파일(붙여넣기)'!D3:D562,0)</f>
        <v>0</v>
      </c>
      <c r="L1842" s="9" cm="1">
        <f t="array" ref="L1842">IF(J1842&gt;=3,_xlfn.XLOOKUP(A1842,'외운 것 - 엑셀다운로드 파일(붙여넣기)'!A3:A562,'외운 것 - 엑셀다운로드 파일(붙여넣기)'!C3:C562,0,-1),0)</f>
        <v>0</v>
      </c>
    </row>
    <row r="1843" ht="23.45" customHeight="1">
      <c r="A1843" s="3">
        <v>1842</v>
      </c>
      <c r="B1843" t="s" s="4">
        <v>11626</v>
      </c>
      <c r="C1843" t="s" s="5">
        <v>11567</v>
      </c>
      <c r="D1843" t="s" s="5">
        <v>11568</v>
      </c>
      <c r="E1843" t="s" s="5">
        <v>11627</v>
      </c>
      <c r="F1843" t="s" s="10">
        <v>11628</v>
      </c>
      <c r="G1843" t="s" s="7">
        <v>11629</v>
      </c>
      <c r="H1843" t="s" s="7">
        <v>11630</v>
      </c>
      <c r="I1843" t="str" s="8" cm="1">
        <f t="array" ref="I1843">SUBSTITUTE(H1843,B1843,"(          )")</f>
        <v>The students sat in the front (          ) during the lecture.</v>
      </c>
      <c r="J1843" s="9" cm="1">
        <f t="array" ref="J1843">SUMIF('외운 것 - 엑셀다운로드 파일(붙여넣기)'!A3:A562,A1843,'외운 것 - 엑셀다운로드 파일(붙여넣기)'!D3:D562)</f>
        <v>0</v>
      </c>
      <c r="K1843" s="9" cm="1">
        <f t="array" ref="K1843">_xlfn.COUNTIFS('외운 것 - 엑셀다운로드 파일(붙여넣기)'!A3:A562,A1843,'외운 것 - 엑셀다운로드 파일(붙여넣기)'!D3:D562,0)</f>
        <v>0</v>
      </c>
      <c r="L1843" s="9" cm="1">
        <f t="array" ref="L1843">IF(J1843&gt;=3,_xlfn.XLOOKUP(A1843,'외운 것 - 엑셀다운로드 파일(붙여넣기)'!A3:A562,'외운 것 - 엑셀다운로드 파일(붙여넣기)'!C3:C562,0,-1),0)</f>
        <v>0</v>
      </c>
    </row>
    <row r="1844" ht="38.45" customHeight="1">
      <c r="A1844" s="3">
        <v>1843</v>
      </c>
      <c r="B1844" t="s" s="4">
        <v>11632</v>
      </c>
      <c r="C1844" t="s" s="5">
        <v>11567</v>
      </c>
      <c r="D1844" t="s" s="5">
        <v>11568</v>
      </c>
      <c r="E1844" t="s" s="5">
        <v>11633</v>
      </c>
      <c r="F1844" t="s" s="10">
        <v>11634</v>
      </c>
      <c r="G1844" t="s" s="7">
        <v>11635</v>
      </c>
      <c r="H1844" t="s" s="7">
        <v>11636</v>
      </c>
      <c r="I1844" t="str" s="8" cm="1">
        <f t="array" ref="I1844">SUBSTITUTE(H1844,B1844,"(          )")</f>
        <v>The climber secured himself with a strong (          ).</v>
      </c>
      <c r="J1844" s="9" cm="1">
        <f t="array" ref="J1844">SUMIF('외운 것 - 엑셀다운로드 파일(붙여넣기)'!A3:A562,A1844,'외운 것 - 엑셀다운로드 파일(붙여넣기)'!D3:D562)</f>
        <v>0</v>
      </c>
      <c r="K1844" s="9" cm="1">
        <f t="array" ref="K1844">_xlfn.COUNTIFS('외운 것 - 엑셀다운로드 파일(붙여넣기)'!A3:A562,A1844,'외운 것 - 엑셀다운로드 파일(붙여넣기)'!D3:D562,0)</f>
        <v>0</v>
      </c>
      <c r="L1844" s="9" cm="1">
        <f t="array" ref="L1844">IF(J1844&gt;=3,_xlfn.XLOOKUP(A1844,'외운 것 - 엑셀다운로드 파일(붙여넣기)'!A3:A562,'외운 것 - 엑셀다운로드 파일(붙여넣기)'!C3:C562,0,-1),0)</f>
        <v>0</v>
      </c>
    </row>
    <row r="1845" ht="23.45" customHeight="1">
      <c r="A1845" s="3">
        <v>1844</v>
      </c>
      <c r="B1845" t="s" s="4">
        <v>11638</v>
      </c>
      <c r="C1845" t="s" s="5">
        <v>11567</v>
      </c>
      <c r="D1845" t="s" s="5">
        <v>11568</v>
      </c>
      <c r="E1845" t="s" s="5">
        <v>11639</v>
      </c>
      <c r="F1845" t="s" s="10">
        <v>11640</v>
      </c>
      <c r="G1845" t="s" s="7">
        <v>11641</v>
      </c>
      <c r="H1845" t="s" s="7">
        <v>11642</v>
      </c>
      <c r="I1845" t="str" s="8" cm="1">
        <f t="array" ref="I1845">SUBSTITUTE(H1845,B1845,"(          )")</f>
        <v>Fruit will (          ) if left in warm temperatures too long.</v>
      </c>
      <c r="J1845" s="9" cm="1">
        <f t="array" ref="J1845">SUMIF('외운 것 - 엑셀다운로드 파일(붙여넣기)'!A3:A562,A1845,'외운 것 - 엑셀다운로드 파일(붙여넣기)'!D3:D562)</f>
        <v>0</v>
      </c>
      <c r="K1845" s="9" cm="1">
        <f t="array" ref="K1845">_xlfn.COUNTIFS('외운 것 - 엑셀다운로드 파일(붙여넣기)'!A3:A562,A1845,'외운 것 - 엑셀다운로드 파일(붙여넣기)'!D3:D562,0)</f>
        <v>0</v>
      </c>
      <c r="L1845" s="9" cm="1">
        <f t="array" ref="L1845">IF(J1845&gt;=3,_xlfn.XLOOKUP(A1845,'외운 것 - 엑셀다운로드 파일(붙여넣기)'!A3:A562,'외운 것 - 엑셀다운로드 파일(붙여넣기)'!C3:C562,0,-1),0)</f>
        <v>0</v>
      </c>
    </row>
    <row r="1846" ht="23.45" customHeight="1">
      <c r="A1846" s="3">
        <v>1845</v>
      </c>
      <c r="B1846" t="s" s="4">
        <v>11644</v>
      </c>
      <c r="C1846" t="s" s="5">
        <v>11645</v>
      </c>
      <c r="D1846" t="s" s="5">
        <v>11646</v>
      </c>
      <c r="E1846" t="s" s="5">
        <v>11647</v>
      </c>
      <c r="F1846" t="s" s="10">
        <v>11648</v>
      </c>
      <c r="G1846" t="s" s="7">
        <v>11649</v>
      </c>
      <c r="H1846" t="s" s="7">
        <v>11650</v>
      </c>
      <c r="I1846" t="str" s="8" cm="1">
        <f t="array" ref="I1846">SUBSTITUTE(H1846,B1846,"(          )")</f>
        <v>The old pipe might (          ) during the winter freeze.</v>
      </c>
      <c r="J1846" s="9" cm="1">
        <f t="array" ref="J1846">SUMIF('외운 것 - 엑셀다운로드 파일(붙여넣기)'!A3:A562,A1846,'외운 것 - 엑셀다운로드 파일(붙여넣기)'!D3:D562)</f>
        <v>0</v>
      </c>
      <c r="K1846" s="9" cm="1">
        <f t="array" ref="K1846">_xlfn.COUNTIFS('외운 것 - 엑셀다운로드 파일(붙여넣기)'!A3:A562,A1846,'외운 것 - 엑셀다운로드 파일(붙여넣기)'!D3:D562,0)</f>
        <v>0</v>
      </c>
      <c r="L1846" s="9" cm="1">
        <f t="array" ref="L1846">IF(J1846&gt;=3,_xlfn.XLOOKUP(A1846,'외운 것 - 엑셀다운로드 파일(붙여넣기)'!A3:A562,'외운 것 - 엑셀다운로드 파일(붙여넣기)'!C3:C562,0,-1),0)</f>
        <v>0</v>
      </c>
    </row>
    <row r="1847" ht="38.45" customHeight="1">
      <c r="A1847" s="3">
        <v>1846</v>
      </c>
      <c r="B1847" t="s" s="4">
        <v>737</v>
      </c>
      <c r="C1847" t="s" s="5">
        <v>11645</v>
      </c>
      <c r="D1847" t="s" s="5">
        <v>11646</v>
      </c>
      <c r="E1847" t="s" s="5">
        <v>738</v>
      </c>
      <c r="F1847" t="s" s="10">
        <v>11652</v>
      </c>
      <c r="G1847" t="s" s="7">
        <v>11653</v>
      </c>
      <c r="H1847" t="s" s="7">
        <v>741</v>
      </c>
      <c r="I1847" t="str" s="8" cm="1">
        <f t="array" ref="I1847">SUBSTITUTE(H1847,B1847,"(          )")</f>
        <v>The conversation came to an (          ) end when she left.</v>
      </c>
      <c r="J1847" s="9" cm="1">
        <f t="array" ref="J1847">SUMIF('외운 것 - 엑셀다운로드 파일(붙여넣기)'!A3:A562,A1847,'외운 것 - 엑셀다운로드 파일(붙여넣기)'!D3:D562)</f>
        <v>0</v>
      </c>
      <c r="K1847" s="9" cm="1">
        <f t="array" ref="K1847">_xlfn.COUNTIFS('외운 것 - 엑셀다운로드 파일(붙여넣기)'!A3:A562,A1847,'외운 것 - 엑셀다운로드 파일(붙여넣기)'!D3:D562,0)</f>
        <v>0</v>
      </c>
      <c r="L1847" s="9" cm="1">
        <f t="array" ref="L1847">IF(J1847&gt;=3,_xlfn.XLOOKUP(A1847,'외운 것 - 엑셀다운로드 파일(붙여넣기)'!A3:A562,'외운 것 - 엑셀다운로드 파일(붙여넣기)'!C3:C562,0,-1),0)</f>
        <v>0</v>
      </c>
    </row>
    <row r="1848" ht="23.45" customHeight="1">
      <c r="A1848" s="3">
        <v>1847</v>
      </c>
      <c r="B1848" t="s" s="4">
        <v>11654</v>
      </c>
      <c r="C1848" t="s" s="5">
        <v>11645</v>
      </c>
      <c r="D1848" t="s" s="5">
        <v>11646</v>
      </c>
      <c r="E1848" t="s" s="5">
        <v>11655</v>
      </c>
      <c r="F1848" t="s" s="10">
        <v>11656</v>
      </c>
      <c r="G1848" t="s" s="7">
        <v>11657</v>
      </c>
      <c r="H1848" t="s" s="7">
        <v>11658</v>
      </c>
      <c r="I1848" t="str" s="8" cm="1">
        <f t="array" ref="I1848">SUBSTITUTE(H1848,B1848,"(          )")</f>
        <v>Please don't (          ) while someone else is speaking.</v>
      </c>
      <c r="J1848" s="9" cm="1">
        <f t="array" ref="J1848">SUMIF('외운 것 - 엑셀다운로드 파일(붙여넣기)'!A3:A562,A1848,'외운 것 - 엑셀다운로드 파일(붙여넣기)'!D3:D562)</f>
        <v>0</v>
      </c>
      <c r="K1848" s="9" cm="1">
        <f t="array" ref="K1848">_xlfn.COUNTIFS('외운 것 - 엑셀다운로드 파일(붙여넣기)'!A3:A562,A1848,'외운 것 - 엑셀다운로드 파일(붙여넣기)'!D3:D562,0)</f>
        <v>0</v>
      </c>
      <c r="L1848" s="9" cm="1">
        <f t="array" ref="L1848">IF(J1848&gt;=3,_xlfn.XLOOKUP(A1848,'외운 것 - 엑셀다운로드 파일(붙여넣기)'!A3:A562,'외운 것 - 엑셀다운로드 파일(붙여넣기)'!C3:C562,0,-1),0)</f>
        <v>0</v>
      </c>
    </row>
    <row r="1849" ht="36.4" customHeight="1">
      <c r="A1849" s="3">
        <v>1848</v>
      </c>
      <c r="B1849" t="s" s="4">
        <v>11660</v>
      </c>
      <c r="C1849" t="s" s="5">
        <v>11661</v>
      </c>
      <c r="D1849" t="s" s="5">
        <v>11645</v>
      </c>
      <c r="E1849" t="s" s="5">
        <v>11662</v>
      </c>
      <c r="F1849" t="s" s="10">
        <v>11663</v>
      </c>
      <c r="G1849" t="s" s="7">
        <v>11664</v>
      </c>
      <c r="H1849" t="s" s="7">
        <v>11665</v>
      </c>
      <c r="I1849" t="str" s="8" cm="1">
        <f t="array" ref="I1849">SUBSTITUTE(H1849,B1849,"(          )")</f>
        <v>The power (          ) lasted about two hours.</v>
      </c>
      <c r="J1849" s="9" cm="1">
        <f t="array" ref="J1849">SUMIF('외운 것 - 엑셀다운로드 파일(붙여넣기)'!A3:A562,A1849,'외운 것 - 엑셀다운로드 파일(붙여넣기)'!D3:D562)</f>
        <v>0</v>
      </c>
      <c r="K1849" s="9" cm="1">
        <f t="array" ref="K1849">_xlfn.COUNTIFS('외운 것 - 엑셀다운로드 파일(붙여넣기)'!A3:A562,A1849,'외운 것 - 엑셀다운로드 파일(붙여넣기)'!D3:D562,0)</f>
        <v>0</v>
      </c>
      <c r="L1849" s="9" cm="1">
        <f t="array" ref="L1849">IF(J1849&gt;=3,_xlfn.XLOOKUP(A1849,'외운 것 - 엑셀다운로드 파일(붙여넣기)'!A3:A562,'외운 것 - 엑셀다운로드 파일(붙여넣기)'!C3:C562,0,-1),0)</f>
        <v>0</v>
      </c>
    </row>
    <row r="1850" ht="38.45" customHeight="1">
      <c r="A1850" s="3">
        <v>1849</v>
      </c>
      <c r="B1850" t="s" s="4">
        <v>11667</v>
      </c>
      <c r="C1850" t="s" s="5">
        <v>11645</v>
      </c>
      <c r="D1850" t="s" s="5">
        <v>11646</v>
      </c>
      <c r="E1850" t="s" s="5">
        <v>11668</v>
      </c>
      <c r="F1850" t="s" s="10">
        <v>11669</v>
      </c>
      <c r="G1850" t="s" s="7">
        <v>11670</v>
      </c>
      <c r="H1850" t="s" s="7">
        <v>11671</v>
      </c>
      <c r="I1850" t="str" s="8" cm="1">
        <f t="array" ref="I1850">SUBSTITUTE(H1850,B1850,"(          )")</f>
        <v>Corrupt officials accepted bribes for government contracts.</v>
      </c>
      <c r="J1850" s="9" cm="1">
        <f t="array" ref="J1850">SUMIF('외운 것 - 엑셀다운로드 파일(붙여넣기)'!A3:A562,A1850,'외운 것 - 엑셀다운로드 파일(붙여넣기)'!D3:D562)</f>
        <v>0</v>
      </c>
      <c r="K1850" s="9" cm="1">
        <f t="array" ref="K1850">_xlfn.COUNTIFS('외운 것 - 엑셀다운로드 파일(붙여넣기)'!A3:A562,A1850,'외운 것 - 엑셀다운로드 파일(붙여넣기)'!D3:D562,0)</f>
        <v>0</v>
      </c>
      <c r="L1850" s="9" cm="1">
        <f t="array" ref="L1850">IF(J1850&gt;=3,_xlfn.XLOOKUP(A1850,'외운 것 - 엑셀다운로드 파일(붙여넣기)'!A3:A562,'외운 것 - 엑셀다운로드 파일(붙여넣기)'!C3:C562,0,-1),0)</f>
        <v>0</v>
      </c>
    </row>
    <row r="1851" ht="38.45" customHeight="1">
      <c r="A1851" s="3">
        <v>1850</v>
      </c>
      <c r="B1851" t="s" s="4">
        <v>11673</v>
      </c>
      <c r="C1851" t="s" s="5">
        <v>11645</v>
      </c>
      <c r="D1851" t="s" s="5">
        <v>11646</v>
      </c>
      <c r="E1851" t="s" s="5">
        <v>11674</v>
      </c>
      <c r="F1851" t="s" s="10">
        <v>11675</v>
      </c>
      <c r="G1851" t="s" s="7">
        <v>11676</v>
      </c>
      <c r="H1851" t="s" s="7">
        <v>11677</v>
      </c>
      <c r="I1851" t="str" s="8" cm="1">
        <f t="array" ref="I1851">SUBSTITUTE(H1851,B1851,"(          )")</f>
        <v>The storm will (          ) travel plans across the region.</v>
      </c>
      <c r="J1851" s="9" cm="1">
        <f t="array" ref="J1851">SUMIF('외운 것 - 엑셀다운로드 파일(붙여넣기)'!A3:A562,A1851,'외운 것 - 엑셀다운로드 파일(붙여넣기)'!D3:D562)</f>
        <v>0</v>
      </c>
      <c r="K1851" s="9" cm="1">
        <f t="array" ref="K1851">_xlfn.COUNTIFS('외운 것 - 엑셀다운로드 파일(붙여넣기)'!A3:A562,A1851,'외운 것 - 엑셀다운로드 파일(붙여넣기)'!D3:D562,0)</f>
        <v>0</v>
      </c>
      <c r="L1851" s="9" cm="1">
        <f t="array" ref="L1851">IF(J1851&gt;=3,_xlfn.XLOOKUP(A1851,'외운 것 - 엑셀다운로드 파일(붙여넣기)'!A3:A562,'외운 것 - 엑셀다운로드 파일(붙여넣기)'!C3:C562,0,-1),0)</f>
        <v>0</v>
      </c>
    </row>
    <row r="1852" ht="23.45" customHeight="1">
      <c r="A1852" s="3">
        <v>1851</v>
      </c>
      <c r="B1852" t="s" s="4">
        <v>11679</v>
      </c>
      <c r="C1852" t="s" s="5">
        <v>11645</v>
      </c>
      <c r="D1852" t="s" s="5">
        <v>11646</v>
      </c>
      <c r="E1852" t="s" s="5">
        <v>11680</v>
      </c>
      <c r="F1852" t="s" s="10">
        <v>11681</v>
      </c>
      <c r="G1852" t="s" s="7">
        <v>11682</v>
      </c>
      <c r="H1852" t="s" s="7">
        <v>11683</v>
      </c>
      <c r="I1852" t="str" s="8" cm="1">
        <f t="array" ref="I1852">SUBSTITUTE(H1852,B1852,"(          )")</f>
        <v>The volcano could (          ) at any moment.</v>
      </c>
      <c r="J1852" s="9" cm="1">
        <f t="array" ref="J1852">SUMIF('외운 것 - 엑셀다운로드 파일(붙여넣기)'!A3:A562,A1852,'외운 것 - 엑셀다운로드 파일(붙여넣기)'!D3:D562)</f>
        <v>0</v>
      </c>
      <c r="K1852" s="9" cm="1">
        <f t="array" ref="K1852">_xlfn.COUNTIFS('외운 것 - 엑셀다운로드 파일(붙여넣기)'!A3:A562,A1852,'외운 것 - 엑셀다운로드 파일(붙여넣기)'!D3:D562,0)</f>
        <v>0</v>
      </c>
      <c r="L1852" s="9" cm="1">
        <f t="array" ref="L1852">IF(J1852&gt;=3,_xlfn.XLOOKUP(A1852,'외운 것 - 엑셀다운로드 파일(붙여넣기)'!A3:A562,'외운 것 - 엑셀다운로드 파일(붙여넣기)'!C3:C562,0,-1),0)</f>
        <v>0</v>
      </c>
    </row>
    <row r="1853" ht="38.45" customHeight="1">
      <c r="A1853" s="3">
        <v>1852</v>
      </c>
      <c r="B1853" t="s" s="4">
        <v>11685</v>
      </c>
      <c r="C1853" t="s" s="5">
        <v>11645</v>
      </c>
      <c r="D1853" t="s" s="5">
        <v>11646</v>
      </c>
      <c r="E1853" t="s" s="5">
        <v>11686</v>
      </c>
      <c r="F1853" t="s" s="10">
        <v>11687</v>
      </c>
      <c r="G1853" t="s" s="7">
        <v>11688</v>
      </c>
      <c r="H1853" t="s" s="7">
        <v>11689</v>
      </c>
      <c r="I1853" t="str" s="8" cm="1">
        <f t="array" ref="I1853">SUBSTITUTE(H1853,B1853,"(          )")</f>
        <v>The company went (          ) during the economic crisis.</v>
      </c>
      <c r="J1853" s="9" cm="1">
        <f t="array" ref="J1853">SUMIF('외운 것 - 엑셀다운로드 파일(붙여넣기)'!A3:A562,A1853,'외운 것 - 엑셀다운로드 파일(붙여넣기)'!D3:D562)</f>
        <v>0</v>
      </c>
      <c r="K1853" s="9" cm="1">
        <f t="array" ref="K1853">_xlfn.COUNTIFS('외운 것 - 엑셀다운로드 파일(붙여넣기)'!A3:A562,A1853,'외운 것 - 엑셀다운로드 파일(붙여넣기)'!D3:D562,0)</f>
        <v>0</v>
      </c>
      <c r="L1853" s="9" cm="1">
        <f t="array" ref="L1853">IF(J1853&gt;=3,_xlfn.XLOOKUP(A1853,'외운 것 - 엑셀다운로드 파일(붙여넣기)'!A3:A562,'외운 것 - 엑셀다운로드 파일(붙여넣기)'!C3:C562,0,-1),0)</f>
        <v>0</v>
      </c>
    </row>
    <row r="1854" ht="23.45" customHeight="1">
      <c r="A1854" s="3">
        <v>1853</v>
      </c>
      <c r="B1854" t="s" s="4">
        <v>11691</v>
      </c>
      <c r="C1854" t="s" s="5">
        <v>11691</v>
      </c>
      <c r="D1854" t="s" s="5">
        <v>11692</v>
      </c>
      <c r="E1854" t="s" s="5">
        <v>11693</v>
      </c>
      <c r="F1854" t="s" s="10">
        <v>11694</v>
      </c>
      <c r="G1854" t="s" s="7">
        <v>11695</v>
      </c>
      <c r="H1854" t="s" s="7">
        <v>11696</v>
      </c>
      <c r="I1854" t="str" s="8" cm="1">
        <f t="array" ref="I1854">SUBSTITUTE(H1854,B1854,"(          )")</f>
        <v>He broke his (          ) playing football.</v>
      </c>
      <c r="J1854" s="9" cm="1">
        <f t="array" ref="J1854">SUMIF('외운 것 - 엑셀다운로드 파일(붙여넣기)'!A3:A562,A1854,'외운 것 - 엑셀다운로드 파일(붙여넣기)'!D3:D562)</f>
        <v>0</v>
      </c>
      <c r="K1854" s="9" cm="1">
        <f t="array" ref="K1854">_xlfn.COUNTIFS('외운 것 - 엑셀다운로드 파일(붙여넣기)'!A3:A562,A1854,'외운 것 - 엑셀다운로드 파일(붙여넣기)'!D3:D562,0)</f>
        <v>0</v>
      </c>
      <c r="L1854" s="9" cm="1">
        <f t="array" ref="L1854">IF(J1854&gt;=3,_xlfn.XLOOKUP(A1854,'외운 것 - 엑셀다운로드 파일(붙여넣기)'!A3:A562,'외운 것 - 엑셀다운로드 파일(붙여넣기)'!C3:C562,0,-1),0)</f>
        <v>0</v>
      </c>
    </row>
    <row r="1855" ht="23.45" customHeight="1">
      <c r="A1855" s="3">
        <v>1854</v>
      </c>
      <c r="B1855" t="s" s="4">
        <v>11698</v>
      </c>
      <c r="C1855" t="s" s="5">
        <v>11691</v>
      </c>
      <c r="D1855" t="s" s="5">
        <v>11692</v>
      </c>
      <c r="E1855" t="s" s="5">
        <v>11699</v>
      </c>
      <c r="F1855" t="s" s="10">
        <v>11700</v>
      </c>
      <c r="G1855" t="s" s="7">
        <v>11701</v>
      </c>
      <c r="H1855" t="s" s="7">
        <v>11702</v>
      </c>
      <c r="I1855" t="str" s="8" cm="1">
        <f t="array" ref="I1855">SUBSTITUTE(H1855,B1855,"(          )")</f>
        <v>Police worked to (          ) the dangerous suspect.</v>
      </c>
      <c r="J1855" s="9" cm="1">
        <f t="array" ref="J1855">SUMIF('외운 것 - 엑셀다운로드 파일(붙여넣기)'!A3:A562,A1855,'외운 것 - 엑셀다운로드 파일(붙여넣기)'!D3:D562)</f>
        <v>0</v>
      </c>
      <c r="K1855" s="9" cm="1">
        <f t="array" ref="K1855">_xlfn.COUNTIFS('외운 것 - 엑셀다운로드 파일(붙여넣기)'!A3:A562,A1855,'외운 것 - 엑셀다운로드 파일(붙여넣기)'!D3:D562,0)</f>
        <v>0</v>
      </c>
      <c r="L1855" s="9" cm="1">
        <f t="array" ref="L1855">IF(J1855&gt;=3,_xlfn.XLOOKUP(A1855,'외운 것 - 엑셀다운로드 파일(붙여넣기)'!A3:A562,'외운 것 - 엑셀다운로드 파일(붙여넣기)'!C3:C562,0,-1),0)</f>
        <v>0</v>
      </c>
    </row>
    <row r="1856" ht="23.45" customHeight="1">
      <c r="A1856" s="3">
        <v>1855</v>
      </c>
      <c r="B1856" t="s" s="4">
        <v>11704</v>
      </c>
      <c r="C1856" t="s" s="5">
        <v>11691</v>
      </c>
      <c r="D1856" t="s" s="5">
        <v>11692</v>
      </c>
      <c r="E1856" t="s" s="5">
        <v>11705</v>
      </c>
      <c r="F1856" t="s" s="10">
        <v>11706</v>
      </c>
      <c r="G1856" t="s" s="7">
        <v>11707</v>
      </c>
      <c r="H1856" t="s" s="7">
        <v>11708</v>
      </c>
      <c r="I1856" t="str" s="8" cm="1">
        <f t="array" ref="I1856">SUBSTITUTE(H1856,B1856,"(          )")</f>
        <v>The (          ) defended the borders of the country.</v>
      </c>
      <c r="J1856" s="9" cm="1">
        <f t="array" ref="J1856">SUMIF('외운 것 - 엑셀다운로드 파일(붙여넣기)'!A3:A562,A1856,'외운 것 - 엑셀다운로드 파일(붙여넣기)'!D3:D562)</f>
        <v>0</v>
      </c>
      <c r="K1856" s="9" cm="1">
        <f t="array" ref="K1856">_xlfn.COUNTIFS('외운 것 - 엑셀다운로드 파일(붙여넣기)'!A3:A562,A1856,'외운 것 - 엑셀다운로드 파일(붙여넣기)'!D3:D562,0)</f>
        <v>0</v>
      </c>
      <c r="L1856" s="9" cm="1">
        <f t="array" ref="L1856">IF(J1856&gt;=3,_xlfn.XLOOKUP(A1856,'외운 것 - 엑셀다운로드 파일(붙여넣기)'!A3:A562,'외운 것 - 엑셀다운로드 파일(붙여넣기)'!C3:C562,0,-1),0)</f>
        <v>0</v>
      </c>
    </row>
    <row r="1857" ht="38.45" customHeight="1">
      <c r="A1857" s="3">
        <v>1856</v>
      </c>
      <c r="B1857" t="s" s="4">
        <v>11710</v>
      </c>
      <c r="C1857" t="s" s="5">
        <v>11691</v>
      </c>
      <c r="D1857" t="s" s="5">
        <v>11692</v>
      </c>
      <c r="E1857" t="s" s="5">
        <v>11711</v>
      </c>
      <c r="F1857" t="s" s="10">
        <v>11712</v>
      </c>
      <c r="G1857" t="s" s="7">
        <v>11713</v>
      </c>
      <c r="H1857" t="s" s="7">
        <v>11714</v>
      </c>
      <c r="I1857" t="str" s="8" cm="1">
        <f t="array" ref="I1857">SUBSTITUTE(H1857,B1857,"(          )")</f>
        <v>Medieval knights wore heavy (          ) in battle.</v>
      </c>
      <c r="J1857" s="9" cm="1">
        <f t="array" ref="J1857">SUMIF('외운 것 - 엑셀다운로드 파일(붙여넣기)'!A3:A562,A1857,'외운 것 - 엑셀다운로드 파일(붙여넣기)'!D3:D562)</f>
        <v>0</v>
      </c>
      <c r="K1857" s="9" cm="1">
        <f t="array" ref="K1857">_xlfn.COUNTIFS('외운 것 - 엑셀다운로드 파일(붙여넣기)'!A3:A562,A1857,'외운 것 - 엑셀다운로드 파일(붙여넣기)'!D3:D562,0)</f>
        <v>0</v>
      </c>
      <c r="L1857" s="9" cm="1">
        <f t="array" ref="L1857">IF(J1857&gt;=3,_xlfn.XLOOKUP(A1857,'외운 것 - 엑셀다운로드 파일(붙여넣기)'!A3:A562,'외운 것 - 엑셀다운로드 파일(붙여넣기)'!C3:C562,0,-1),0)</f>
        <v>0</v>
      </c>
    </row>
    <row r="1858" ht="23.45" customHeight="1">
      <c r="A1858" s="3">
        <v>1857</v>
      </c>
      <c r="B1858" t="s" s="4">
        <v>11716</v>
      </c>
      <c r="C1858" t="s" s="5">
        <v>11691</v>
      </c>
      <c r="D1858" t="s" s="5">
        <v>11692</v>
      </c>
      <c r="E1858" t="s" s="5">
        <v>11717</v>
      </c>
      <c r="F1858" t="s" s="10">
        <v>11718</v>
      </c>
      <c r="G1858" t="s" s="7">
        <v>11719</v>
      </c>
      <c r="H1858" t="s" s="7">
        <v>11720</v>
      </c>
      <c r="I1858" t="str" s="8" cm="1">
        <f t="array" ref="I1858">SUBSTITUTE(H1858,B1858,"(          )")</f>
        <v>Smoking can (          ) your health.</v>
      </c>
      <c r="J1858" s="9" cm="1">
        <f t="array" ref="J1858">SUMIF('외운 것 - 엑셀다운로드 파일(붙여넣기)'!A3:A562,A1858,'외운 것 - 엑셀다운로드 파일(붙여넣기)'!D3:D562)</f>
        <v>0</v>
      </c>
      <c r="K1858" s="9" cm="1">
        <f t="array" ref="K1858">_xlfn.COUNTIFS('외운 것 - 엑셀다운로드 파일(붙여넣기)'!A3:A562,A1858,'외운 것 - 엑셀다운로드 파일(붙여넣기)'!D3:D562,0)</f>
        <v>0</v>
      </c>
      <c r="L1858" s="9" cm="1">
        <f t="array" ref="L1858">IF(J1858&gt;=3,_xlfn.XLOOKUP(A1858,'외운 것 - 엑셀다운로드 파일(붙여넣기)'!A3:A562,'외운 것 - 엑셀다운로드 파일(붙여넣기)'!C3:C562,0,-1),0)</f>
        <v>0</v>
      </c>
    </row>
    <row r="1859" ht="36.4" customHeight="1">
      <c r="A1859" s="3">
        <v>1858</v>
      </c>
      <c r="B1859" t="s" s="4">
        <v>11722</v>
      </c>
      <c r="C1859" t="s" s="5">
        <v>11723</v>
      </c>
      <c r="D1859" t="s" s="5">
        <v>11691</v>
      </c>
      <c r="E1859" t="s" s="5">
        <v>11724</v>
      </c>
      <c r="F1859" t="s" s="10">
        <v>11725</v>
      </c>
      <c r="G1859" t="s" s="7">
        <v>11726</v>
      </c>
      <c r="H1859" t="s" s="7">
        <v>11727</v>
      </c>
      <c r="I1859" t="str" s="8" cm="1">
        <f t="array" ref="I1859">SUBSTITUTE(H1859,B1859,"(          )")</f>
        <v>Some chemicals are (          ) to the environment.</v>
      </c>
      <c r="J1859" s="9" cm="1">
        <f t="array" ref="J1859">SUMIF('외운 것 - 엑셀다운로드 파일(붙여넣기)'!A3:A562,A1859,'외운 것 - 엑셀다운로드 파일(붙여넣기)'!D3:D562)</f>
        <v>0</v>
      </c>
      <c r="K1859" s="9" cm="1">
        <f t="array" ref="K1859">_xlfn.COUNTIFS('외운 것 - 엑셀다운로드 파일(붙여넣기)'!A3:A562,A1859,'외운 것 - 엑셀다운로드 파일(붙여넣기)'!D3:D562,0)</f>
        <v>0</v>
      </c>
      <c r="L1859" s="9" cm="1">
        <f t="array" ref="L1859">IF(J1859&gt;=3,_xlfn.XLOOKUP(A1859,'외운 것 - 엑셀다운로드 파일(붙여넣기)'!A3:A562,'외운 것 - 엑셀다운로드 파일(붙여넣기)'!C3:C562,0,-1),0)</f>
        <v>0</v>
      </c>
    </row>
    <row r="1860" ht="38.45" customHeight="1">
      <c r="A1860" s="3">
        <v>1859</v>
      </c>
      <c r="B1860" t="s" s="4">
        <v>11729</v>
      </c>
      <c r="C1860" t="s" s="5">
        <v>11691</v>
      </c>
      <c r="D1860" t="s" s="5">
        <v>11692</v>
      </c>
      <c r="E1860" t="s" s="5">
        <v>11730</v>
      </c>
      <c r="F1860" t="s" s="10">
        <v>11731</v>
      </c>
      <c r="G1860" t="s" s="7">
        <v>11732</v>
      </c>
      <c r="H1860" t="s" s="7">
        <v>11733</v>
      </c>
      <c r="I1860" t="str" s="8" cm="1">
        <f t="array" ref="I1860">SUBSTITUTE(H1860,B1860,"(          )")</f>
        <v>The fire (          ) sounded and everyone evacuated the building.</v>
      </c>
      <c r="J1860" s="9" cm="1">
        <f t="array" ref="J1860">SUMIF('외운 것 - 엑셀다운로드 파일(붙여넣기)'!A3:A562,A1860,'외운 것 - 엑셀다운로드 파일(붙여넣기)'!D3:D562)</f>
        <v>0</v>
      </c>
      <c r="K1860" s="9" cm="1">
        <f t="array" ref="K1860">_xlfn.COUNTIFS('외운 것 - 엑셀다운로드 파일(붙여넣기)'!A3:A562,A1860,'외운 것 - 엑셀다운로드 파일(붙여넣기)'!D3:D562,0)</f>
        <v>0</v>
      </c>
      <c r="L1860" s="9" cm="1">
        <f t="array" ref="L1860">IF(J1860&gt;=3,_xlfn.XLOOKUP(A1860,'외운 것 - 엑셀다운로드 파일(붙여넣기)'!A3:A562,'외운 것 - 엑셀다운로드 파일(붙여넣기)'!C3:C562,0,-1),0)</f>
        <v>0</v>
      </c>
    </row>
    <row r="1861" ht="23.45" customHeight="1">
      <c r="A1861" s="3">
        <v>1860</v>
      </c>
      <c r="B1861" t="s" s="4">
        <v>7915</v>
      </c>
      <c r="C1861" t="s" s="5">
        <v>11735</v>
      </c>
      <c r="D1861" t="s" s="5">
        <v>11736</v>
      </c>
      <c r="E1861" t="s" s="5">
        <v>7916</v>
      </c>
      <c r="F1861" t="s" s="10">
        <v>11737</v>
      </c>
      <c r="G1861" t="s" s="7">
        <v>11738</v>
      </c>
      <c r="H1861" t="s" s="7">
        <v>7919</v>
      </c>
      <c r="I1861" t="str" s="8" cm="1">
        <f t="array" ref="I1861">SUBSTITUTE(H1861,B1861,"(          )")</f>
        <v>Select the best candidate for the position.</v>
      </c>
      <c r="J1861" s="9" cm="1">
        <f t="array" ref="J1861">SUMIF('외운 것 - 엑셀다운로드 파일(붙여넣기)'!A3:A562,A1861,'외운 것 - 엑셀다운로드 파일(붙여넣기)'!D3:D562)</f>
        <v>0</v>
      </c>
      <c r="K1861" s="9" cm="1">
        <f t="array" ref="K1861">_xlfn.COUNTIFS('외운 것 - 엑셀다운로드 파일(붙여넣기)'!A3:A562,A1861,'외운 것 - 엑셀다운로드 파일(붙여넣기)'!D3:D562,0)</f>
        <v>0</v>
      </c>
      <c r="L1861" s="9" cm="1">
        <f t="array" ref="L1861">IF(J1861&gt;=3,_xlfn.XLOOKUP(A1861,'외운 것 - 엑셀다운로드 파일(붙여넣기)'!A3:A562,'외운 것 - 엑셀다운로드 파일(붙여넣기)'!C3:C562,0,-1),0)</f>
        <v>0</v>
      </c>
    </row>
    <row r="1862" ht="23.45" customHeight="1">
      <c r="A1862" s="3">
        <v>1861</v>
      </c>
      <c r="B1862" t="s" s="4">
        <v>9785</v>
      </c>
      <c r="C1862" t="s" s="5">
        <v>11735</v>
      </c>
      <c r="D1862" t="s" s="5">
        <v>11736</v>
      </c>
      <c r="E1862" t="s" s="5">
        <v>9786</v>
      </c>
      <c r="F1862" t="s" s="10">
        <v>11739</v>
      </c>
      <c r="G1862" t="s" s="7">
        <v>9788</v>
      </c>
      <c r="H1862" t="s" s="7">
        <v>9789</v>
      </c>
      <c r="I1862" t="str" s="8" cm="1">
        <f t="array" ref="I1862">SUBSTITUTE(H1862,B1862,"(          )")</f>
        <v>Keep the chemicals (          ) to prevent reaction.</v>
      </c>
      <c r="J1862" s="9" cm="1">
        <f t="array" ref="J1862">SUMIF('외운 것 - 엑셀다운로드 파일(붙여넣기)'!A3:A562,A1862,'외운 것 - 엑셀다운로드 파일(붙여넣기)'!D3:D562)</f>
        <v>0</v>
      </c>
      <c r="K1862" s="9" cm="1">
        <f t="array" ref="K1862">_xlfn.COUNTIFS('외운 것 - 엑셀다운로드 파일(붙여넣기)'!A3:A562,A1862,'외운 것 - 엑셀다운로드 파일(붙여넣기)'!D3:D562,0)</f>
        <v>0</v>
      </c>
      <c r="L1862" s="9" cm="1">
        <f t="array" ref="L1862">IF(J1862&gt;=3,_xlfn.XLOOKUP(A1862,'외운 것 - 엑셀다운로드 파일(붙여넣기)'!A3:A562,'외운 것 - 엑셀다운로드 파일(붙여넣기)'!C3:C562,0,-1),0)</f>
        <v>0</v>
      </c>
    </row>
    <row r="1863" ht="38.45" customHeight="1">
      <c r="A1863" s="3">
        <v>1862</v>
      </c>
      <c r="B1863" t="s" s="4">
        <v>11740</v>
      </c>
      <c r="C1863" t="s" s="5">
        <v>11735</v>
      </c>
      <c r="D1863" t="s" s="5">
        <v>11736</v>
      </c>
      <c r="E1863" t="s" s="5">
        <v>11741</v>
      </c>
      <c r="F1863" t="s" s="10">
        <v>11742</v>
      </c>
      <c r="G1863" t="s" s="7">
        <v>11743</v>
      </c>
      <c r="H1863" t="s" s="7">
        <v>11744</v>
      </c>
      <c r="I1863" t="str" s="8" cm="1">
        <f t="array" ref="I1863">SUBSTITUTE(H1863,B1863,"(          )")</f>
        <v>This (          ) of the program focuses on international news.</v>
      </c>
      <c r="J1863" s="9" cm="1">
        <f t="array" ref="J1863">SUMIF('외운 것 - 엑셀다운로드 파일(붙여넣기)'!A3:A562,A1863,'외운 것 - 엑셀다운로드 파일(붙여넣기)'!D3:D562)</f>
        <v>0</v>
      </c>
      <c r="K1863" s="9" cm="1">
        <f t="array" ref="K1863">_xlfn.COUNTIFS('외운 것 - 엑셀다운로드 파일(붙여넣기)'!A3:A562,A1863,'외운 것 - 엑셀다운로드 파일(붙여넣기)'!D3:D562,0)</f>
        <v>0</v>
      </c>
      <c r="L1863" s="9" cm="1">
        <f t="array" ref="L1863">IF(J1863&gt;=3,_xlfn.XLOOKUP(A1863,'외운 것 - 엑셀다운로드 파일(붙여넣기)'!A3:A562,'외운 것 - 엑셀다운로드 파일(붙여넣기)'!C3:C562,0,-1),0)</f>
        <v>0</v>
      </c>
    </row>
    <row r="1864" ht="38.45" customHeight="1">
      <c r="A1864" s="3">
        <v>1863</v>
      </c>
      <c r="B1864" t="s" s="4">
        <v>11746</v>
      </c>
      <c r="C1864" t="s" s="5">
        <v>11735</v>
      </c>
      <c r="D1864" t="s" s="5">
        <v>11736</v>
      </c>
      <c r="E1864" t="s" s="5">
        <v>11747</v>
      </c>
      <c r="F1864" t="s" s="10">
        <v>11748</v>
      </c>
      <c r="G1864" t="s" s="7">
        <v>11749</v>
      </c>
      <c r="H1864" t="s" s="7">
        <v>11750</v>
      </c>
      <c r="I1864" t="str" s="8" cm="1">
        <f t="array" ref="I1864">SUBSTITUTE(H1864,B1864,"(          )")</f>
        <v>Cancer is a (          ) disease requiring prompt treatment.</v>
      </c>
      <c r="J1864" s="9" cm="1">
        <f t="array" ref="J1864">SUMIF('외운 것 - 엑셀다운로드 파일(붙여넣기)'!A3:A562,A1864,'외운 것 - 엑셀다운로드 파일(붙여넣기)'!D3:D562)</f>
        <v>0</v>
      </c>
      <c r="K1864" s="9" cm="1">
        <f t="array" ref="K1864">_xlfn.COUNTIFS('외운 것 - 엑셀다운로드 파일(붙여넣기)'!A3:A562,A1864,'외운 것 - 엑셀다운로드 파일(붙여넣기)'!D3:D562,0)</f>
        <v>0</v>
      </c>
      <c r="L1864" s="9" cm="1">
        <f t="array" ref="L1864">IF(J1864&gt;=3,_xlfn.XLOOKUP(A1864,'외운 것 - 엑셀다운로드 파일(붙여넣기)'!A3:A562,'외운 것 - 엑셀다운로드 파일(붙여넣기)'!C3:C562,0,-1),0)</f>
        <v>0</v>
      </c>
    </row>
    <row r="1865" ht="53.45" customHeight="1">
      <c r="A1865" s="3">
        <v>1864</v>
      </c>
      <c r="B1865" t="s" s="4">
        <v>11752</v>
      </c>
      <c r="C1865" t="s" s="5">
        <v>11735</v>
      </c>
      <c r="D1865" t="s" s="5">
        <v>11736</v>
      </c>
      <c r="E1865" t="s" s="5">
        <v>11753</v>
      </c>
      <c r="F1865" t="s" s="10">
        <v>11754</v>
      </c>
      <c r="G1865" t="s" s="7">
        <v>11755</v>
      </c>
      <c r="H1865" t="s" s="7">
        <v>11756</v>
      </c>
      <c r="I1865" t="str" s="8" cm="1">
        <f t="array" ref="I1865">SUBSTITUTE(H1865,B1865,"(          )")</f>
        <v>The teacher explained the correct (          ) of steps.</v>
      </c>
      <c r="J1865" s="9" cm="1">
        <f t="array" ref="J1865">SUMIF('외운 것 - 엑셀다운로드 파일(붙여넣기)'!A3:A562,A1865,'외운 것 - 엑셀다운로드 파일(붙여넣기)'!D3:D562)</f>
        <v>0</v>
      </c>
      <c r="K1865" s="9" cm="1">
        <f t="array" ref="K1865">_xlfn.COUNTIFS('외운 것 - 엑셀다운로드 파일(붙여넣기)'!A3:A562,A1865,'외운 것 - 엑셀다운로드 파일(붙여넣기)'!D3:D562,0)</f>
        <v>0</v>
      </c>
      <c r="L1865" s="9" cm="1">
        <f t="array" ref="L1865">IF(J1865&gt;=3,_xlfn.XLOOKUP(A1865,'외운 것 - 엑셀다운로드 파일(붙여넣기)'!A3:A562,'외운 것 - 엑셀다운로드 파일(붙여넣기)'!C3:C562,0,-1),0)</f>
        <v>0</v>
      </c>
    </row>
    <row r="1866" ht="38.45" customHeight="1">
      <c r="A1866" s="3">
        <v>1865</v>
      </c>
      <c r="B1866" t="s" s="4">
        <v>11758</v>
      </c>
      <c r="C1866" t="s" s="5">
        <v>11759</v>
      </c>
      <c r="D1866" t="s" s="5">
        <v>11735</v>
      </c>
      <c r="E1866" t="s" s="5">
        <v>11760</v>
      </c>
      <c r="F1866" t="s" s="10">
        <v>11761</v>
      </c>
      <c r="G1866" t="s" s="7">
        <v>11762</v>
      </c>
      <c r="H1866" t="s" s="7">
        <v>11763</v>
      </c>
      <c r="I1866" t="str" s="8" cm="1">
        <f t="array" ref="I1866">SUBSTITUTE(H1866,B1866,"(          )")</f>
        <v>She makes (          ) trips to visit her grandmother.</v>
      </c>
      <c r="J1866" s="9" cm="1">
        <f t="array" ref="J1866">SUMIF('외운 것 - 엑셀다운로드 파일(붙여넣기)'!A3:A562,A1866,'외운 것 - 엑셀다운로드 파일(붙여넣기)'!D3:D562)</f>
        <v>0</v>
      </c>
      <c r="K1866" s="9" cm="1">
        <f t="array" ref="K1866">_xlfn.COUNTIFS('외운 것 - 엑셀다운로드 파일(붙여넣기)'!A3:A562,A1866,'외운 것 - 엑셀다운로드 파일(붙여넣기)'!D3:D562,0)</f>
        <v>0</v>
      </c>
      <c r="L1866" s="9" cm="1">
        <f t="array" ref="L1866">IF(J1866&gt;=3,_xlfn.XLOOKUP(A1866,'외운 것 - 엑셀다운로드 파일(붙여넣기)'!A3:A562,'외운 것 - 엑셀다운로드 파일(붙여넣기)'!C3:C562,0,-1),0)</f>
        <v>0</v>
      </c>
    </row>
    <row r="1867" ht="38.45" customHeight="1">
      <c r="A1867" s="3">
        <v>1866</v>
      </c>
      <c r="B1867" t="s" s="4">
        <v>11765</v>
      </c>
      <c r="C1867" t="s" s="5">
        <v>11766</v>
      </c>
      <c r="D1867" t="s" s="5">
        <v>11735</v>
      </c>
      <c r="E1867" t="s" s="5">
        <v>11767</v>
      </c>
      <c r="F1867" t="s" s="10">
        <v>11768</v>
      </c>
      <c r="G1867" t="s" s="7">
        <v>11769</v>
      </c>
      <c r="H1867" t="s" s="7">
        <v>11770</v>
      </c>
      <c r="I1867" t="str" s="8" cm="1">
        <f t="array" ref="I1867">SUBSTITUTE(H1867,B1867,"(          )")</f>
        <v>The airport increased (          ) after the incident.</v>
      </c>
      <c r="J1867" s="9" cm="1">
        <f t="array" ref="J1867">SUMIF('외운 것 - 엑셀다운로드 파일(붙여넣기)'!A3:A562,A1867,'외운 것 - 엑셀다운로드 파일(붙여넣기)'!D3:D562)</f>
        <v>0</v>
      </c>
      <c r="K1867" s="9" cm="1">
        <f t="array" ref="K1867">_xlfn.COUNTIFS('외운 것 - 엑셀다운로드 파일(붙여넣기)'!A3:A562,A1867,'외운 것 - 엑셀다운로드 파일(붙여넣기)'!D3:D562,0)</f>
        <v>0</v>
      </c>
      <c r="L1867" s="9" cm="1">
        <f t="array" ref="L1867">IF(J1867&gt;=3,_xlfn.XLOOKUP(A1867,'외운 것 - 엑셀다운로드 파일(붙여넣기)'!A3:A562,'외운 것 - 엑셀다운로드 파일(붙여넣기)'!C3:C562,0,-1),0)</f>
        <v>0</v>
      </c>
    </row>
    <row r="1868" ht="38.45" customHeight="1">
      <c r="A1868" s="3">
        <v>1867</v>
      </c>
      <c r="B1868" t="s" s="4">
        <v>10793</v>
      </c>
      <c r="C1868" t="s" s="5">
        <v>11772</v>
      </c>
      <c r="D1868" t="s" s="5">
        <v>11735</v>
      </c>
      <c r="E1868" t="s" s="5">
        <v>10794</v>
      </c>
      <c r="F1868" t="s" s="10">
        <v>10795</v>
      </c>
      <c r="G1868" t="s" s="7">
        <v>10796</v>
      </c>
      <c r="H1868" t="s" s="7">
        <v>10797</v>
      </c>
      <c r="I1868" t="str" s="8" cm="1">
        <f t="array" ref="I1868">SUBSTITUTE(H1868,B1868,"(          )")</f>
        <v>The district attorney will (          ) the case.</v>
      </c>
      <c r="J1868" s="9" cm="1">
        <f t="array" ref="J1868">SUMIF('외운 것 - 엑셀다운로드 파일(붙여넣기)'!A3:A562,A1868,'외운 것 - 엑셀다운로드 파일(붙여넣기)'!D3:D562)</f>
        <v>0</v>
      </c>
      <c r="K1868" s="9" cm="1">
        <f t="array" ref="K1868">_xlfn.COUNTIFS('외운 것 - 엑셀다운로드 파일(붙여넣기)'!A3:A562,A1868,'외운 것 - 엑셀다운로드 파일(붙여넣기)'!D3:D562,0)</f>
        <v>0</v>
      </c>
      <c r="L1868" s="9" cm="1">
        <f t="array" ref="L1868">IF(J1868&gt;=3,_xlfn.XLOOKUP(A1868,'외운 것 - 엑셀다운로드 파일(붙여넣기)'!A3:A562,'외운 것 - 엑셀다운로드 파일(붙여넣기)'!C3:C562,0,-1),0)</f>
        <v>0</v>
      </c>
    </row>
    <row r="1869" ht="23.45" customHeight="1">
      <c r="A1869" s="3">
        <v>1868</v>
      </c>
      <c r="B1869" t="s" s="4">
        <v>11773</v>
      </c>
      <c r="C1869" t="s" s="5">
        <v>11766</v>
      </c>
      <c r="D1869" t="s" s="5">
        <v>11735</v>
      </c>
      <c r="E1869" t="s" s="5">
        <v>11774</v>
      </c>
      <c r="F1869" t="s" s="10">
        <v>11775</v>
      </c>
      <c r="G1869" t="s" s="7">
        <v>11776</v>
      </c>
      <c r="H1869" t="s" s="7">
        <v>11777</v>
      </c>
      <c r="I1869" t="str" s="8" cm="1">
        <f t="array" ref="I1869">SUBSTITUTE(H1869,B1869,"(          )")</f>
        <v>The team won five (          ) games.</v>
      </c>
      <c r="J1869" s="9" cm="1">
        <f t="array" ref="J1869">SUMIF('외운 것 - 엑셀다운로드 파일(붙여넣기)'!A3:A562,A1869,'외운 것 - 엑셀다운로드 파일(붙여넣기)'!D3:D562)</f>
        <v>0</v>
      </c>
      <c r="K1869" s="9" cm="1">
        <f t="array" ref="K1869">_xlfn.COUNTIFS('외운 것 - 엑셀다운로드 파일(붙여넣기)'!A3:A562,A1869,'외운 것 - 엑셀다운로드 파일(붙여넣기)'!D3:D562,0)</f>
        <v>0</v>
      </c>
      <c r="L1869" s="9" cm="1">
        <f t="array" ref="L1869">IF(J1869&gt;=3,_xlfn.XLOOKUP(A1869,'외운 것 - 엑셀다운로드 파일(붙여넣기)'!A3:A562,'외운 것 - 엑셀다운로드 파일(붙여넣기)'!C3:C562,0,-1),0)</f>
        <v>0</v>
      </c>
    </row>
    <row r="1870" ht="23.45" customHeight="1">
      <c r="A1870" s="3">
        <v>1869</v>
      </c>
      <c r="B1870" t="s" s="4">
        <v>11779</v>
      </c>
      <c r="C1870" t="s" s="5">
        <v>11780</v>
      </c>
      <c r="D1870" t="s" s="5">
        <v>11735</v>
      </c>
      <c r="E1870" t="s" s="5">
        <v>11781</v>
      </c>
      <c r="F1870" t="s" s="10">
        <v>11782</v>
      </c>
      <c r="G1870" t="s" s="7">
        <v>11783</v>
      </c>
      <c r="H1870" t="s" s="7">
        <v>11784</v>
      </c>
      <c r="I1870" t="str" s="8" cm="1">
        <f t="array" ref="I1870">SUBSTITUTE(H1870,B1870,"(          )")</f>
        <v>This (          ) of the forest is protected.</v>
      </c>
      <c r="J1870" s="9" cm="1">
        <f t="array" ref="J1870">SUMIF('외운 것 - 엑셀다운로드 파일(붙여넣기)'!A3:A562,A1870,'외운 것 - 엑셀다운로드 파일(붙여넣기)'!D3:D562)</f>
        <v>0</v>
      </c>
      <c r="K1870" s="9" cm="1">
        <f t="array" ref="K1870">_xlfn.COUNTIFS('외운 것 - 엑셀다운로드 파일(붙여넣기)'!A3:A562,A1870,'외운 것 - 엑셀다운로드 파일(붙여넣기)'!D3:D562,0)</f>
        <v>0</v>
      </c>
      <c r="L1870" s="9" cm="1">
        <f t="array" ref="L1870">IF(J1870&gt;=3,_xlfn.XLOOKUP(A1870,'외운 것 - 엑셀다운로드 파일(붙여넣기)'!A3:A562,'외운 것 - 엑셀다운로드 파일(붙여넣기)'!C3:C562,0,-1),0)</f>
        <v>0</v>
      </c>
    </row>
    <row r="1871" ht="23.45" customHeight="1">
      <c r="A1871" s="3">
        <v>1870</v>
      </c>
      <c r="B1871" t="s" s="4">
        <v>11786</v>
      </c>
      <c r="C1871" t="s" s="5">
        <v>11780</v>
      </c>
      <c r="D1871" t="s" s="5">
        <v>11735</v>
      </c>
      <c r="E1871" t="s" s="5">
        <v>11787</v>
      </c>
      <c r="F1871" t="s" s="10">
        <v>11788</v>
      </c>
      <c r="G1871" t="s" s="7">
        <v>11789</v>
      </c>
      <c r="H1871" t="s" s="7">
        <v>11790</v>
      </c>
      <c r="I1871" t="str" s="8" cm="1">
        <f t="array" ref="I1871">SUBSTITUTE(H1871,B1871,"(          )")</f>
        <v>The (          ) has six legs and two antennae.</v>
      </c>
      <c r="J1871" s="9" cm="1">
        <f t="array" ref="J1871">SUMIF('외운 것 - 엑셀다운로드 파일(붙여넣기)'!A3:A562,A1871,'외운 것 - 엑셀다운로드 파일(붙여넣기)'!D3:D562)</f>
        <v>0</v>
      </c>
      <c r="K1871" s="9" cm="1">
        <f t="array" ref="K1871">_xlfn.COUNTIFS('외운 것 - 엑셀다운로드 파일(붙여넣기)'!A3:A562,A1871,'외운 것 - 엑셀다운로드 파일(붙여넣기)'!D3:D562,0)</f>
        <v>0</v>
      </c>
      <c r="L1871" s="9" cm="1">
        <f t="array" ref="L1871">IF(J1871&gt;=3,_xlfn.XLOOKUP(A1871,'외운 것 - 엑셀다운로드 파일(붙여넣기)'!A3:A562,'외운 것 - 엑셀다운로드 파일(붙여넣기)'!C3:C562,0,-1),0)</f>
        <v>0</v>
      </c>
    </row>
    <row r="1872" ht="23.45" customHeight="1">
      <c r="A1872" s="3">
        <v>1871</v>
      </c>
      <c r="B1872" t="s" s="4">
        <v>403</v>
      </c>
      <c r="C1872" t="s" s="5">
        <v>11780</v>
      </c>
      <c r="D1872" t="s" s="5">
        <v>11735</v>
      </c>
      <c r="E1872" t="s" s="5">
        <v>404</v>
      </c>
      <c r="F1872" t="s" s="10">
        <v>11792</v>
      </c>
      <c r="G1872" t="s" s="7">
        <v>406</v>
      </c>
      <c r="H1872" t="s" s="7">
        <v>407</v>
      </c>
      <c r="I1872" t="str" s="8" cm="1">
        <f t="array" ref="I1872">SUBSTITUTE(H1872,B1872,"(          )")</f>
        <v>The river (          )s the city into north and south regions.</v>
      </c>
      <c r="J1872" s="9" cm="1">
        <f t="array" ref="J1872">SUMIF('외운 것 - 엑셀다운로드 파일(붙여넣기)'!A3:A562,A1872,'외운 것 - 엑셀다운로드 파일(붙여넣기)'!D3:D562)</f>
        <v>0</v>
      </c>
      <c r="K1872" s="9" cm="1">
        <f t="array" ref="K1872">_xlfn.COUNTIFS('외운 것 - 엑셀다운로드 파일(붙여넣기)'!A3:A562,A1872,'외운 것 - 엑셀다운로드 파일(붙여넣기)'!D3:D562,0)</f>
        <v>0</v>
      </c>
      <c r="L1872" s="9" cm="1">
        <f t="array" ref="L1872">IF(J1872&gt;=3,_xlfn.XLOOKUP(A1872,'외운 것 - 엑셀다운로드 파일(붙여넣기)'!A3:A562,'외운 것 - 엑셀다운로드 파일(붙여넣기)'!C3:C562,0,-1),0)</f>
        <v>0</v>
      </c>
    </row>
    <row r="1873" ht="23.45" customHeight="1">
      <c r="A1873" s="3">
        <v>1872</v>
      </c>
      <c r="B1873" t="s" s="4">
        <v>11793</v>
      </c>
      <c r="C1873" t="s" s="5">
        <v>11780</v>
      </c>
      <c r="D1873" t="s" s="5">
        <v>11735</v>
      </c>
      <c r="E1873" t="s" s="5">
        <v>11794</v>
      </c>
      <c r="F1873" t="s" s="10">
        <v>11795</v>
      </c>
      <c r="G1873" t="s" s="7">
        <v>11796</v>
      </c>
      <c r="H1873" t="s" s="7">
        <v>11797</v>
      </c>
      <c r="I1873" t="str" s="8" cm="1">
        <f t="array" ref="I1873">SUBSTITUTE(H1873,B1873,"(          )")</f>
        <v>Several students raised their hands to answer.</v>
      </c>
      <c r="J1873" s="9" cm="1">
        <f t="array" ref="J1873">SUMIF('외운 것 - 엑셀다운로드 파일(붙여넣기)'!A3:A562,A1873,'외운 것 - 엑셀다운로드 파일(붙여넣기)'!D3:D562)</f>
        <v>0</v>
      </c>
      <c r="K1873" s="9" cm="1">
        <f t="array" ref="K1873">_xlfn.COUNTIFS('외운 것 - 엑셀다운로드 파일(붙여넣기)'!A3:A562,A1873,'외운 것 - 엑셀다운로드 파일(붙여넣기)'!D3:D562,0)</f>
        <v>0</v>
      </c>
      <c r="L1873" s="9" cm="1">
        <f t="array" ref="L1873">IF(J1873&gt;=3,_xlfn.XLOOKUP(A1873,'외운 것 - 엑셀다운로드 파일(붙여넣기)'!A3:A562,'외운 것 - 엑셀다운로드 파일(붙여넣기)'!C3:C562,0,-1),0)</f>
        <v>0</v>
      </c>
    </row>
    <row r="1874" ht="23.45" customHeight="1">
      <c r="A1874" s="3">
        <v>1873</v>
      </c>
      <c r="B1874" t="s" s="4">
        <v>11799</v>
      </c>
      <c r="C1874" t="s" s="5">
        <v>11800</v>
      </c>
      <c r="D1874" t="s" s="5">
        <v>11735</v>
      </c>
      <c r="E1874" t="s" s="5">
        <v>11801</v>
      </c>
      <c r="F1874" t="s" s="10">
        <v>11802</v>
      </c>
      <c r="G1874" t="s" s="7">
        <v>11803</v>
      </c>
      <c r="H1874" t="s" s="7">
        <v>11804</v>
      </c>
      <c r="I1874" t="str" s="8" cm="1">
        <f t="array" ref="I1874">SUBSTITUTE(H1874,B1874,"(          )")</f>
        <v>War can (          ) families for many years.</v>
      </c>
      <c r="J1874" s="9" cm="1">
        <f t="array" ref="J1874">SUMIF('외운 것 - 엑셀다운로드 파일(붙여넣기)'!A3:A562,A1874,'외운 것 - 엑셀다운로드 파일(붙여넣기)'!D3:D562)</f>
        <v>0</v>
      </c>
      <c r="K1874" s="9" cm="1">
        <f t="array" ref="K1874">_xlfn.COUNTIFS('외운 것 - 엑셀다운로드 파일(붙여넣기)'!A3:A562,A1874,'외운 것 - 엑셀다운로드 파일(붙여넣기)'!D3:D562,0)</f>
        <v>0</v>
      </c>
      <c r="L1874" s="9" cm="1">
        <f t="array" ref="L1874">IF(J1874&gt;=3,_xlfn.XLOOKUP(A1874,'외운 것 - 엑셀다운로드 파일(붙여넣기)'!A3:A562,'외운 것 - 엑셀다운로드 파일(붙여넣기)'!C3:C562,0,-1),0)</f>
        <v>0</v>
      </c>
    </row>
    <row r="1875" ht="38.45" customHeight="1">
      <c r="A1875" s="3">
        <v>1874</v>
      </c>
      <c r="B1875" t="s" s="4">
        <v>11806</v>
      </c>
      <c r="C1875" t="s" s="5">
        <v>11800</v>
      </c>
      <c r="D1875" t="s" s="5">
        <v>11735</v>
      </c>
      <c r="E1875" t="s" s="5">
        <v>11807</v>
      </c>
      <c r="F1875" t="s" s="10">
        <v>11808</v>
      </c>
      <c r="G1875" t="s" s="7">
        <v>11809</v>
      </c>
      <c r="H1875" t="s" s="7">
        <v>11810</v>
      </c>
      <c r="I1875" t="str" s="8" cm="1">
        <f t="array" ref="I1875">SUBSTITUTE(H1875,B1875,"(          )")</f>
        <v>The accident caused (          ) damage to the vehicle.</v>
      </c>
      <c r="J1875" s="9" cm="1">
        <f t="array" ref="J1875">SUMIF('외운 것 - 엑셀다운로드 파일(붙여넣기)'!A3:A562,A1875,'외운 것 - 엑셀다운로드 파일(붙여넣기)'!D3:D562)</f>
        <v>0</v>
      </c>
      <c r="K1875" s="9" cm="1">
        <f t="array" ref="K1875">_xlfn.COUNTIFS('외운 것 - 엑셀다운로드 파일(붙여넣기)'!A3:A562,A1875,'외운 것 - 엑셀다운로드 파일(붙여넣기)'!D3:D562,0)</f>
        <v>0</v>
      </c>
      <c r="L1875" s="9" cm="1">
        <f t="array" ref="L1875">IF(J1875&gt;=3,_xlfn.XLOOKUP(A1875,'외운 것 - 엑셀다운로드 파일(붙여넣기)'!A3:A562,'외운 것 - 엑셀다운로드 파일(붙여넣기)'!C3:C562,0,-1),0)</f>
        <v>0</v>
      </c>
    </row>
    <row r="1876" ht="36.4" customHeight="1">
      <c r="A1876" s="3">
        <v>1875</v>
      </c>
      <c r="B1876" t="s" s="4">
        <v>11812</v>
      </c>
      <c r="C1876" t="s" s="5">
        <v>11813</v>
      </c>
      <c r="D1876" t="s" s="5">
        <v>11735</v>
      </c>
      <c r="E1876" t="s" s="5">
        <v>11814</v>
      </c>
      <c r="F1876" t="s" s="10">
        <v>11815</v>
      </c>
      <c r="G1876" t="s" s="7">
        <v>11816</v>
      </c>
      <c r="H1876" t="s" s="7">
        <v>11817</v>
      </c>
      <c r="I1876" t="str" s="8" cm="1">
        <f t="array" ref="I1876">SUBSTITUTE(H1876,B1876,"(          )")</f>
        <v>If you (          ), you will eventually succeed.</v>
      </c>
      <c r="J1876" s="9" cm="1">
        <f t="array" ref="J1876">SUMIF('외운 것 - 엑셀다운로드 파일(붙여넣기)'!A3:A562,A1876,'외운 것 - 엑셀다운로드 파일(붙여넣기)'!D3:D562)</f>
        <v>0</v>
      </c>
      <c r="K1876" s="9" cm="1">
        <f t="array" ref="K1876">_xlfn.COUNTIFS('외운 것 - 엑셀다운로드 파일(붙여넣기)'!A3:A562,A1876,'외운 것 - 엑셀다운로드 파일(붙여넣기)'!D3:D562,0)</f>
        <v>0</v>
      </c>
      <c r="L1876" s="9" cm="1">
        <f t="array" ref="L1876">IF(J1876&gt;=3,_xlfn.XLOOKUP(A1876,'외운 것 - 엑셀다운로드 파일(붙여넣기)'!A3:A562,'외운 것 - 엑셀다운로드 파일(붙여넣기)'!C3:C562,0,-1),0)</f>
        <v>0</v>
      </c>
    </row>
    <row r="1877" ht="23.45" customHeight="1">
      <c r="A1877" s="3">
        <v>1876</v>
      </c>
      <c r="B1877" t="s" s="4">
        <v>11819</v>
      </c>
      <c r="C1877" t="s" s="5">
        <v>11820</v>
      </c>
      <c r="D1877" t="s" s="5">
        <v>11821</v>
      </c>
      <c r="E1877" t="s" s="5">
        <v>11822</v>
      </c>
      <c r="F1877" t="s" s="10">
        <v>11823</v>
      </c>
      <c r="G1877" t="s" s="7">
        <v>11824</v>
      </c>
      <c r="H1877" t="s" s="7">
        <v>11825</v>
      </c>
      <c r="I1877" t="str" s="8" cm="1">
        <f t="array" ref="I1877">SUBSTITUTE(H1877,B1877,"(          )")</f>
        <v>Can you keep a (          )?</v>
      </c>
      <c r="J1877" s="9" cm="1">
        <f t="array" ref="J1877">SUMIF('외운 것 - 엑셀다운로드 파일(붙여넣기)'!A3:A562,A1877,'외운 것 - 엑셀다운로드 파일(붙여넣기)'!D3:D562)</f>
        <v>0</v>
      </c>
      <c r="K1877" s="9" cm="1">
        <f t="array" ref="K1877">_xlfn.COUNTIFS('외운 것 - 엑셀다운로드 파일(붙여넣기)'!A3:A562,A1877,'외운 것 - 엑셀다운로드 파일(붙여넣기)'!D3:D562,0)</f>
        <v>0</v>
      </c>
      <c r="L1877" s="9" cm="1">
        <f t="array" ref="L1877">IF(J1877&gt;=3,_xlfn.XLOOKUP(A1877,'외운 것 - 엑셀다운로드 파일(붙여넣기)'!A3:A562,'외운 것 - 엑셀다운로드 파일(붙여넣기)'!C3:C562,0,-1),0)</f>
        <v>0</v>
      </c>
    </row>
    <row r="1878" ht="36.4" customHeight="1">
      <c r="A1878" s="3">
        <v>1877</v>
      </c>
      <c r="B1878" t="s" s="4">
        <v>11827</v>
      </c>
      <c r="C1878" t="s" s="5">
        <v>11828</v>
      </c>
      <c r="D1878" t="s" s="5">
        <v>11820</v>
      </c>
      <c r="E1878" t="s" s="5">
        <v>11829</v>
      </c>
      <c r="F1878" t="s" s="10">
        <v>11830</v>
      </c>
      <c r="G1878" t="s" s="7">
        <v>11831</v>
      </c>
      <c r="H1878" t="s" s="7">
        <v>11832</v>
      </c>
      <c r="I1878" t="str" s="8" cm="1">
        <f t="array" ref="I1878">SUBSTITUTE(H1878,B1878,"(          )")</f>
        <v>The (          ) scheduled appointments for the executive.</v>
      </c>
      <c r="J1878" s="9" cm="1">
        <f t="array" ref="J1878">SUMIF('외운 것 - 엑셀다운로드 파일(붙여넣기)'!A3:A562,A1878,'외운 것 - 엑셀다운로드 파일(붙여넣기)'!D3:D562)</f>
        <v>0</v>
      </c>
      <c r="K1878" s="9" cm="1">
        <f t="array" ref="K1878">_xlfn.COUNTIFS('외운 것 - 엑셀다운로드 파일(붙여넣기)'!A3:A562,A1878,'외운 것 - 엑셀다운로드 파일(붙여넣기)'!D3:D562,0)</f>
        <v>0</v>
      </c>
      <c r="L1878" s="9" cm="1">
        <f t="array" ref="L1878">IF(J1878&gt;=3,_xlfn.XLOOKUP(A1878,'외운 것 - 엑셀다운로드 파일(붙여넣기)'!A3:A562,'외운 것 - 엑셀다운로드 파일(붙여넣기)'!C3:C562,0,-1),0)</f>
        <v>0</v>
      </c>
    </row>
    <row r="1879" ht="23.45" customHeight="1">
      <c r="A1879" s="3">
        <v>1878</v>
      </c>
      <c r="B1879" t="s" s="4">
        <v>11834</v>
      </c>
      <c r="C1879" t="s" s="5">
        <v>11835</v>
      </c>
      <c r="D1879" t="s" s="5">
        <v>11820</v>
      </c>
      <c r="E1879" t="s" s="5">
        <v>11836</v>
      </c>
      <c r="F1879" t="s" s="10">
        <v>11837</v>
      </c>
      <c r="G1879" t="s" s="7">
        <v>11837</v>
      </c>
      <c r="H1879" t="s" s="7">
        <v>11838</v>
      </c>
      <c r="I1879" t="str" s="8" cm="1">
        <f t="array" ref="I1879">SUBSTITUTE(H1879,B1879,"(          )")</f>
        <v>The temple is considered (          ) by many religions.</v>
      </c>
      <c r="J1879" s="9" cm="1">
        <f t="array" ref="J1879">SUMIF('외운 것 - 엑셀다운로드 파일(붙여넣기)'!A3:A562,A1879,'외운 것 - 엑셀다운로드 파일(붙여넣기)'!D3:D562)</f>
        <v>0</v>
      </c>
      <c r="K1879" s="9" cm="1">
        <f t="array" ref="K1879">_xlfn.COUNTIFS('외운 것 - 엑셀다운로드 파일(붙여넣기)'!A3:A562,A1879,'외운 것 - 엑셀다운로드 파일(붙여넣기)'!D3:D562,0)</f>
        <v>0</v>
      </c>
      <c r="L1879" s="9" cm="1">
        <f t="array" ref="L1879">IF(J1879&gt;=3,_xlfn.XLOOKUP(A1879,'외운 것 - 엑셀다운로드 파일(붙여넣기)'!A3:A562,'외운 것 - 엑셀다운로드 파일(붙여넣기)'!C3:C562,0,-1),0)</f>
        <v>0</v>
      </c>
    </row>
    <row r="1880" ht="23.45" customHeight="1">
      <c r="A1880" s="3">
        <v>1879</v>
      </c>
      <c r="B1880" t="s" s="4">
        <v>11840</v>
      </c>
      <c r="C1880" t="s" s="5">
        <v>11835</v>
      </c>
      <c r="D1880" t="s" s="5">
        <v>11820</v>
      </c>
      <c r="E1880" t="s" s="5">
        <v>11841</v>
      </c>
      <c r="F1880" t="s" s="10">
        <v>11842</v>
      </c>
      <c r="G1880" t="s" s="7">
        <v>11843</v>
      </c>
      <c r="H1880" t="s" s="7">
        <v>11844</v>
      </c>
      <c r="I1880" t="str" s="8" cm="1">
        <f t="array" ref="I1880">SUBSTITUTE(H1880,B1880,"(          )")</f>
        <v>Parents often (          ) their own comfort for their children.</v>
      </c>
      <c r="J1880" s="9" cm="1">
        <f t="array" ref="J1880">SUMIF('외운 것 - 엑셀다운로드 파일(붙여넣기)'!A3:A562,A1880,'외운 것 - 엑셀다운로드 파일(붙여넣기)'!D3:D562)</f>
        <v>0</v>
      </c>
      <c r="K1880" s="9" cm="1">
        <f t="array" ref="K1880">_xlfn.COUNTIFS('외운 것 - 엑셀다운로드 파일(붙여넣기)'!A3:A562,A1880,'외운 것 - 엑셀다운로드 파일(붙여넣기)'!D3:D562,0)</f>
        <v>0</v>
      </c>
      <c r="L1880" s="9" cm="1">
        <f t="array" ref="L1880">IF(J1880&gt;=3,_xlfn.XLOOKUP(A1880,'외운 것 - 엑셀다운로드 파일(붙여넣기)'!A3:A562,'외운 것 - 엑셀다운로드 파일(붙여넣기)'!C3:C562,0,-1),0)</f>
        <v>0</v>
      </c>
    </row>
    <row r="1881" ht="23.45" customHeight="1">
      <c r="A1881" s="3">
        <v>1880</v>
      </c>
      <c r="B1881" t="s" s="4">
        <v>11846</v>
      </c>
      <c r="C1881" t="s" s="5">
        <v>11847</v>
      </c>
      <c r="D1881" t="s" s="5">
        <v>11848</v>
      </c>
      <c r="E1881" t="s" s="5">
        <v>11849</v>
      </c>
      <c r="F1881" t="s" s="10">
        <v>11850</v>
      </c>
      <c r="G1881" t="s" s="7">
        <v>11851</v>
      </c>
      <c r="H1881" t="s" s="7">
        <v>11852</v>
      </c>
      <c r="I1881" t="str" s="8" cm="1">
        <f t="array" ref="I1881">SUBSTITUTE(H1881,B1881,"(          )")</f>
        <v>Please (          ) in this chair while you wait.</v>
      </c>
      <c r="J1881" s="9" cm="1">
        <f t="array" ref="J1881">SUMIF('외운 것 - 엑셀다운로드 파일(붙여넣기)'!A3:A562,A1881,'외운 것 - 엑셀다운로드 파일(붙여넣기)'!D3:D562)</f>
        <v>0</v>
      </c>
      <c r="K1881" s="9" cm="1">
        <f t="array" ref="K1881">_xlfn.COUNTIFS('외운 것 - 엑셀다운로드 파일(붙여넣기)'!A3:A562,A1881,'외운 것 - 엑셀다운로드 파일(붙여넣기)'!D3:D562,0)</f>
        <v>0</v>
      </c>
      <c r="L1881" s="9" cm="1">
        <f t="array" ref="L1881">IF(J1881&gt;=3,_xlfn.XLOOKUP(A1881,'외운 것 - 엑셀다운로드 파일(붙여넣기)'!A3:A562,'외운 것 - 엑셀다운로드 파일(붙여넣기)'!C3:C562,0,-1),0)</f>
        <v>0</v>
      </c>
    </row>
    <row r="1882" ht="38.45" customHeight="1">
      <c r="A1882" s="3">
        <v>1881</v>
      </c>
      <c r="B1882" t="s" s="4">
        <v>11854</v>
      </c>
      <c r="C1882" t="s" s="5">
        <v>11846</v>
      </c>
      <c r="D1882" t="s" s="5">
        <v>11848</v>
      </c>
      <c r="E1882" t="s" s="5">
        <v>1903</v>
      </c>
      <c r="F1882" t="s" s="10">
        <v>11855</v>
      </c>
      <c r="G1882" t="s" s="7">
        <v>11856</v>
      </c>
      <c r="H1882" t="s" s="7">
        <v>11857</v>
      </c>
      <c r="I1882" t="str" s="8" cm="1">
        <f t="array" ref="I1882">SUBSTITUTE(H1882,B1882,"(          )")</f>
        <v>The archaeological (          ) contains ancient ruins.</v>
      </c>
      <c r="J1882" s="9" cm="1">
        <f t="array" ref="J1882">SUMIF('외운 것 - 엑셀다운로드 파일(붙여넣기)'!A3:A562,A1882,'외운 것 - 엑셀다운로드 파일(붙여넣기)'!D3:D562)</f>
        <v>0</v>
      </c>
      <c r="K1882" s="9" cm="1">
        <f t="array" ref="K1882">_xlfn.COUNTIFS('외운 것 - 엑셀다운로드 파일(붙여넣기)'!A3:A562,A1882,'외운 것 - 엑셀다운로드 파일(붙여넣기)'!D3:D562,0)</f>
        <v>0</v>
      </c>
      <c r="L1882" s="9" cm="1">
        <f t="array" ref="L1882">IF(J1882&gt;=3,_xlfn.XLOOKUP(A1882,'외운 것 - 엑셀다운로드 파일(붙여넣기)'!A3:A562,'외운 것 - 엑셀다운로드 파일(붙여넣기)'!C3:C562,0,-1),0)</f>
        <v>0</v>
      </c>
    </row>
    <row r="1883" ht="23.45" customHeight="1">
      <c r="A1883" s="3">
        <v>1882</v>
      </c>
      <c r="B1883" t="s" s="4">
        <v>11859</v>
      </c>
      <c r="C1883" t="s" s="5">
        <v>11846</v>
      </c>
      <c r="D1883" t="s" s="5">
        <v>11848</v>
      </c>
      <c r="E1883" t="s" s="5">
        <v>11860</v>
      </c>
      <c r="F1883" t="s" s="10">
        <v>11861</v>
      </c>
      <c r="G1883" t="s" s="7">
        <v>11862</v>
      </c>
      <c r="H1883" t="s" s="7">
        <v>11863</v>
      </c>
      <c r="I1883" t="str" s="8" cm="1">
        <f t="array" ref="I1883">SUBSTITUTE(H1883,B1883,"(          )")</f>
        <v>We need to evaluate the (          ) carefully.</v>
      </c>
      <c r="J1883" s="9" cm="1">
        <f t="array" ref="J1883">SUMIF('외운 것 - 엑셀다운로드 파일(붙여넣기)'!A3:A562,A1883,'외운 것 - 엑셀다운로드 파일(붙여넣기)'!D3:D562)</f>
        <v>0</v>
      </c>
      <c r="K1883" s="9" cm="1">
        <f t="array" ref="K1883">_xlfn.COUNTIFS('외운 것 - 엑셀다운로드 파일(붙여넣기)'!A3:A562,A1883,'외운 것 - 엑셀다운로드 파일(붙여넣기)'!D3:D562,0)</f>
        <v>0</v>
      </c>
      <c r="L1883" s="9" cm="1">
        <f t="array" ref="L1883">IF(J1883&gt;=3,_xlfn.XLOOKUP(A1883,'외운 것 - 엑셀다운로드 파일(붙여넣기)'!A3:A562,'외운 것 - 엑셀다운로드 파일(붙여넣기)'!C3:C562,0,-1),0)</f>
        <v>0</v>
      </c>
    </row>
    <row r="1884" ht="23.45" customHeight="1">
      <c r="A1884" s="3">
        <v>1883</v>
      </c>
      <c r="B1884" t="s" s="4">
        <v>11865</v>
      </c>
      <c r="C1884" t="s" s="5">
        <v>11846</v>
      </c>
      <c r="D1884" t="s" s="5">
        <v>11848</v>
      </c>
      <c r="E1884" t="s" s="5">
        <v>11866</v>
      </c>
      <c r="F1884" t="s" s="10">
        <v>11867</v>
      </c>
      <c r="G1884" t="s" s="7">
        <v>11868</v>
      </c>
      <c r="H1884" t="s" s="7">
        <v>11869</v>
      </c>
      <c r="I1884" t="str" s="8" cm="1">
        <f t="array" ref="I1884">SUBSTITUTE(H1884,B1884,"(          )")</f>
        <v>The sun (          )s in the west.</v>
      </c>
      <c r="J1884" s="9" cm="1">
        <f t="array" ref="J1884">SUMIF('외운 것 - 엑셀다운로드 파일(붙여넣기)'!A3:A562,A1884,'외운 것 - 엑셀다운로드 파일(붙여넣기)'!D3:D562)</f>
        <v>0</v>
      </c>
      <c r="K1884" s="9" cm="1">
        <f t="array" ref="K1884">_xlfn.COUNTIFS('외운 것 - 엑셀다운로드 파일(붙여넣기)'!A3:A562,A1884,'외운 것 - 엑셀다운로드 파일(붙여넣기)'!D3:D562,0)</f>
        <v>0</v>
      </c>
      <c r="L1884" s="9" cm="1">
        <f t="array" ref="L1884">IF(J1884&gt;=3,_xlfn.XLOOKUP(A1884,'외운 것 - 엑셀다운로드 파일(붙여넣기)'!A3:A562,'외운 것 - 엑셀다운로드 파일(붙여넣기)'!C3:C562,0,-1),0)</f>
        <v>0</v>
      </c>
    </row>
    <row r="1885" ht="38.45" customHeight="1">
      <c r="A1885" s="3">
        <v>1884</v>
      </c>
      <c r="B1885" t="s" s="4">
        <v>11871</v>
      </c>
      <c r="C1885" t="s" s="5">
        <v>11846</v>
      </c>
      <c r="D1885" t="s" s="5">
        <v>11848</v>
      </c>
      <c r="E1885" t="s" s="5">
        <v>11872</v>
      </c>
      <c r="F1885" t="s" s="10">
        <v>11873</v>
      </c>
      <c r="G1885" t="s" s="7">
        <v>11874</v>
      </c>
      <c r="H1885" t="s" s="7">
        <v>11875</v>
      </c>
      <c r="I1885" t="str" s="8" cm="1">
        <f t="array" ref="I1885">SUBSTITUTE(H1885,B1885,"(          )")</f>
        <v>All passengers must remain in their (          )s during takeoff.</v>
      </c>
      <c r="J1885" s="9" cm="1">
        <f t="array" ref="J1885">SUMIF('외운 것 - 엑셀다운로드 파일(붙여넣기)'!A3:A562,A1885,'외운 것 - 엑셀다운로드 파일(붙여넣기)'!D3:D562)</f>
        <v>0</v>
      </c>
      <c r="K1885" s="9" cm="1">
        <f t="array" ref="K1885">_xlfn.COUNTIFS('외운 것 - 엑셀다운로드 파일(붙여넣기)'!A3:A562,A1885,'외운 것 - 엑셀다운로드 파일(붙여넣기)'!D3:D562,0)</f>
        <v>0</v>
      </c>
      <c r="L1885" s="9" cm="1">
        <f t="array" ref="L1885">IF(J1885&gt;=3,_xlfn.XLOOKUP(A1885,'외운 것 - 엑셀다운로드 파일(붙여넣기)'!A3:A562,'외운 것 - 엑셀다운로드 파일(붙여넣기)'!C3:C562,0,-1),0)</f>
        <v>0</v>
      </c>
    </row>
    <row r="1886" ht="23.45" customHeight="1">
      <c r="A1886" s="3">
        <v>1885</v>
      </c>
      <c r="B1886" t="s" s="4">
        <v>11877</v>
      </c>
      <c r="C1886" t="s" s="5">
        <v>11878</v>
      </c>
      <c r="D1886" t="s" s="5">
        <v>11846</v>
      </c>
      <c r="E1886" t="s" s="5">
        <v>11879</v>
      </c>
      <c r="F1886" t="s" s="10">
        <v>11880</v>
      </c>
      <c r="G1886" t="s" s="7">
        <v>11881</v>
      </c>
      <c r="H1886" t="s" s="7">
        <v>11882</v>
      </c>
      <c r="I1886" t="str" s="8" cm="1">
        <f t="array" ref="I1886">SUBSTITUTE(H1886,B1886,"(          )")</f>
        <v>The legal (          ) included compensation for damages.</v>
      </c>
      <c r="J1886" s="9" cm="1">
        <f t="array" ref="J1886">SUMIF('외운 것 - 엑셀다운로드 파일(붙여넣기)'!A3:A562,A1886,'외운 것 - 엑셀다운로드 파일(붙여넣기)'!D3:D562)</f>
        <v>0</v>
      </c>
      <c r="K1886" s="9" cm="1">
        <f t="array" ref="K1886">_xlfn.COUNTIFS('외운 것 - 엑셀다운로드 파일(붙여넣기)'!A3:A562,A1886,'외운 것 - 엑셀다운로드 파일(붙여넣기)'!D3:D562,0)</f>
        <v>0</v>
      </c>
      <c r="L1886" s="9" cm="1">
        <f t="array" ref="L1886">IF(J1886&gt;=3,_xlfn.XLOOKUP(A1886,'외운 것 - 엑셀다운로드 파일(붙여넣기)'!A3:A562,'외운 것 - 엑셀다운로드 파일(붙여넣기)'!C3:C562,0,-1),0)</f>
        <v>0</v>
      </c>
    </row>
    <row r="1887" ht="23.45" customHeight="1">
      <c r="A1887" s="3">
        <v>1886</v>
      </c>
      <c r="B1887" t="s" s="4">
        <v>11884</v>
      </c>
      <c r="C1887" t="s" s="5">
        <v>11878</v>
      </c>
      <c r="D1887" t="s" s="5">
        <v>11846</v>
      </c>
      <c r="E1887" t="s" s="5">
        <v>11885</v>
      </c>
      <c r="F1887" t="s" s="10">
        <v>11886</v>
      </c>
      <c r="G1887" t="s" s="7">
        <v>11887</v>
      </c>
      <c r="H1887" t="s" s="7">
        <v>11888</v>
      </c>
      <c r="I1887" t="str" s="8" cm="1">
        <f t="array" ref="I1887">SUBSTITUTE(H1887,B1887,"(          )")</f>
        <v>The company's most valuable (          ) is its skilled workforce.</v>
      </c>
      <c r="J1887" s="9" cm="1">
        <f t="array" ref="J1887">SUMIF('외운 것 - 엑셀다운로드 파일(붙여넣기)'!A3:A562,A1887,'외운 것 - 엑셀다운로드 파일(붙여넣기)'!D3:D562)</f>
        <v>0</v>
      </c>
      <c r="K1887" s="9" cm="1">
        <f t="array" ref="K1887">_xlfn.COUNTIFS('외운 것 - 엑셀다운로드 파일(붙여넣기)'!A3:A562,A1887,'외운 것 - 엑셀다운로드 파일(붙여넣기)'!D3:D562,0)</f>
        <v>0</v>
      </c>
      <c r="L1887" s="9" cm="1">
        <f t="array" ref="L1887">IF(J1887&gt;=3,_xlfn.XLOOKUP(A1887,'외운 것 - 엑셀다운로드 파일(붙여넣기)'!A3:A562,'외운 것 - 엑셀다운로드 파일(붙여넣기)'!C3:C562,0,-1),0)</f>
        <v>0</v>
      </c>
    </row>
    <row r="1888" ht="23.45" customHeight="1">
      <c r="A1888" s="3">
        <v>1887</v>
      </c>
      <c r="B1888" t="s" s="4">
        <v>11890</v>
      </c>
      <c r="C1888" t="s" s="5">
        <v>11878</v>
      </c>
      <c r="D1888" t="s" s="5">
        <v>11846</v>
      </c>
      <c r="E1888" t="s" s="5">
        <v>11891</v>
      </c>
      <c r="F1888" t="s" s="10">
        <v>11892</v>
      </c>
      <c r="G1888" t="s" s="7">
        <v>11893</v>
      </c>
      <c r="H1888" t="s" s="7">
        <v>11894</v>
      </c>
      <c r="I1888" t="str" s="8" cm="1">
        <f t="array" ref="I1888">SUBSTITUTE(H1888,B1888,"(          )")</f>
        <v>The (          ) of winter brings colder temperatures.</v>
      </c>
      <c r="J1888" s="9" cm="1">
        <f t="array" ref="J1888">SUMIF('외운 것 - 엑셀다운로드 파일(붙여넣기)'!A3:A562,A1888,'외운 것 - 엑셀다운로드 파일(붙여넣기)'!D3:D562)</f>
        <v>0</v>
      </c>
      <c r="K1888" s="9" cm="1">
        <f t="array" ref="K1888">_xlfn.COUNTIFS('외운 것 - 엑셀다운로드 파일(붙여넣기)'!A3:A562,A1888,'외운 것 - 엑셀다운로드 파일(붙여넣기)'!D3:D562,0)</f>
        <v>0</v>
      </c>
      <c r="L1888" s="9" cm="1">
        <f t="array" ref="L1888">IF(J1888&gt;=3,_xlfn.XLOOKUP(A1888,'외운 것 - 엑셀다운로드 파일(붙여넣기)'!A3:A562,'외운 것 - 엑셀다운로드 파일(붙여넣기)'!C3:C562,0,-1),0)</f>
        <v>0</v>
      </c>
    </row>
    <row r="1889" ht="38.45" customHeight="1">
      <c r="A1889" s="3">
        <v>1888</v>
      </c>
      <c r="B1889" t="s" s="4">
        <v>11896</v>
      </c>
      <c r="C1889" t="s" s="5">
        <v>11878</v>
      </c>
      <c r="D1889" t="s" s="5">
        <v>11846</v>
      </c>
      <c r="E1889" t="s" s="5">
        <v>11897</v>
      </c>
      <c r="F1889" t="s" s="10">
        <v>11898</v>
      </c>
      <c r="G1889" t="s" s="7">
        <v>11899</v>
      </c>
      <c r="H1889" t="s" s="7">
        <v>11900</v>
      </c>
      <c r="I1889" t="str" s="8" cm="1">
        <f t="array" ref="I1889">SUBSTITUTE(H1889,B1889,"(          )")</f>
        <v>From the (          ), it was clear the project would be challenging.</v>
      </c>
      <c r="J1889" s="9" cm="1">
        <f t="array" ref="J1889">SUMIF('외운 것 - 엑셀다운로드 파일(붙여넣기)'!A3:A562,A1889,'외운 것 - 엑셀다운로드 파일(붙여넣기)'!D3:D562)</f>
        <v>0</v>
      </c>
      <c r="K1889" s="9" cm="1">
        <f t="array" ref="K1889">_xlfn.COUNTIFS('외운 것 - 엑셀다운로드 파일(붙여넣기)'!A3:A562,A1889,'외운 것 - 엑셀다운로드 파일(붙여넣기)'!D3:D562,0)</f>
        <v>0</v>
      </c>
      <c r="L1889" s="9" cm="1">
        <f t="array" ref="L1889">IF(J1889&gt;=3,_xlfn.XLOOKUP(A1889,'외운 것 - 엑셀다운로드 파일(붙여넣기)'!A3:A562,'외운 것 - 엑셀다운로드 파일(붙여넣기)'!C3:C562,0,-1),0)</f>
        <v>0</v>
      </c>
    </row>
    <row r="1890" ht="23.45" customHeight="1">
      <c r="A1890" s="3">
        <v>1889</v>
      </c>
      <c r="B1890" t="s" s="4">
        <v>11902</v>
      </c>
      <c r="C1890" t="s" s="5">
        <v>11878</v>
      </c>
      <c r="D1890" t="s" s="5">
        <v>11846</v>
      </c>
      <c r="E1890" t="s" s="5">
        <v>11903</v>
      </c>
      <c r="F1890" t="s" s="10">
        <v>11904</v>
      </c>
      <c r="G1890" t="s" s="7">
        <v>11905</v>
      </c>
      <c r="H1890" t="s" s="7">
        <v>11906</v>
      </c>
      <c r="I1890" t="str" s="8" cm="1">
        <f t="array" ref="I1890">SUBSTITUTE(H1890,B1890,"(          )")</f>
        <v>The bad news (          ) her greatly.</v>
      </c>
      <c r="J1890" s="9" cm="1">
        <f t="array" ref="J1890">SUMIF('외운 것 - 엑셀다운로드 파일(붙여넣기)'!A3:A562,A1890,'외운 것 - 엑셀다운로드 파일(붙여넣기)'!D3:D562)</f>
        <v>0</v>
      </c>
      <c r="K1890" s="9" cm="1">
        <f t="array" ref="K1890">_xlfn.COUNTIFS('외운 것 - 엑셀다운로드 파일(붙여넣기)'!A3:A562,A1890,'외운 것 - 엑셀다운로드 파일(붙여넣기)'!D3:D562,0)</f>
        <v>0</v>
      </c>
      <c r="L1890" s="9" cm="1">
        <f t="array" ref="L1890">IF(J1890&gt;=3,_xlfn.XLOOKUP(A1890,'외운 것 - 엑셀다운로드 파일(붙여넣기)'!A3:A562,'외운 것 - 엑셀다운로드 파일(붙여넣기)'!C3:C562,0,-1),0)</f>
        <v>0</v>
      </c>
    </row>
    <row r="1891" ht="23.45" customHeight="1">
      <c r="A1891" s="3">
        <v>1890</v>
      </c>
      <c r="B1891" t="s" s="4">
        <v>11908</v>
      </c>
      <c r="C1891" t="s" s="5">
        <v>11909</v>
      </c>
      <c r="D1891" t="s" s="5">
        <v>11910</v>
      </c>
      <c r="E1891" t="s" s="5">
        <v>11911</v>
      </c>
      <c r="F1891" t="s" s="10">
        <v>11912</v>
      </c>
      <c r="G1891" t="s" s="7">
        <v>11913</v>
      </c>
      <c r="H1891" t="s" s="7">
        <v>11914</v>
      </c>
      <c r="I1891" t="str" s="8" cm="1">
        <f t="array" ref="I1891">SUBSTITUTE(H1891,B1891,"(          )")</f>
        <v>Few plants can survive in the hot (          ).</v>
      </c>
      <c r="J1891" s="9" cm="1">
        <f t="array" ref="J1891">SUMIF('외운 것 - 엑셀다운로드 파일(붙여넣기)'!A3:A562,A1891,'외운 것 - 엑셀다운로드 파일(붙여넣기)'!D3:D562)</f>
        <v>0</v>
      </c>
      <c r="K1891" s="9" cm="1">
        <f t="array" ref="K1891">_xlfn.COUNTIFS('외운 것 - 엑셀다운로드 파일(붙여넣기)'!A3:A562,A1891,'외운 것 - 엑셀다운로드 파일(붙여넣기)'!D3:D562,0)</f>
        <v>0</v>
      </c>
      <c r="L1891" s="9" cm="1">
        <f t="array" ref="L1891">IF(J1891&gt;=3,_xlfn.XLOOKUP(A1891,'외운 것 - 엑셀다운로드 파일(붙여넣기)'!A3:A562,'외운 것 - 엑셀다운로드 파일(붙여넣기)'!C3:C562,0,-1),0)</f>
        <v>0</v>
      </c>
    </row>
    <row r="1892" ht="23.45" customHeight="1">
      <c r="A1892" s="3">
        <v>1891</v>
      </c>
      <c r="B1892" t="s" s="4">
        <v>11916</v>
      </c>
      <c r="C1892" t="s" s="5">
        <v>11909</v>
      </c>
      <c r="D1892" t="s" s="5">
        <v>11910</v>
      </c>
      <c r="E1892" t="s" s="5">
        <v>11917</v>
      </c>
      <c r="F1892" t="s" s="10">
        <v>11918</v>
      </c>
      <c r="G1892" t="s" s="7">
        <v>7525</v>
      </c>
      <c r="H1892" t="s" s="7">
        <v>11919</v>
      </c>
      <c r="I1892" t="str" s="8" cm="1">
        <f t="array" ref="I1892">SUBSTITUTE(H1892,B1892,"(          )")</f>
        <v>He (          )ed his innocence throughout the trial.</v>
      </c>
      <c r="J1892" s="9" cm="1">
        <f t="array" ref="J1892">SUMIF('외운 것 - 엑셀다운로드 파일(붙여넣기)'!A3:A562,A1892,'외운 것 - 엑셀다운로드 파일(붙여넣기)'!D3:D562)</f>
        <v>0</v>
      </c>
      <c r="K1892" s="9" cm="1">
        <f t="array" ref="K1892">_xlfn.COUNTIFS('외운 것 - 엑셀다운로드 파일(붙여넣기)'!A3:A562,A1892,'외운 것 - 엑셀다운로드 파일(붙여넣기)'!D3:D562,0)</f>
        <v>0</v>
      </c>
      <c r="L1892" s="9" cm="1">
        <f t="array" ref="L1892">IF(J1892&gt;=3,_xlfn.XLOOKUP(A1892,'외운 것 - 엑셀다운로드 파일(붙여넣기)'!A3:A562,'외운 것 - 엑셀다운로드 파일(붙여넣기)'!C3:C562,0,-1),0)</f>
        <v>0</v>
      </c>
    </row>
    <row r="1893" ht="36.4" customHeight="1">
      <c r="A1893" s="3">
        <v>1892</v>
      </c>
      <c r="B1893" t="s" s="4">
        <v>11921</v>
      </c>
      <c r="C1893" t="s" s="5">
        <v>11922</v>
      </c>
      <c r="D1893" t="s" s="5">
        <v>11909</v>
      </c>
      <c r="E1893" t="s" s="5">
        <v>11923</v>
      </c>
      <c r="F1893" t="s" s="10">
        <v>11924</v>
      </c>
      <c r="G1893" t="s" s="7">
        <v>11925</v>
      </c>
      <c r="H1893" t="s" s="7">
        <v>11926</v>
      </c>
      <c r="I1893" t="str" s="8" cm="1">
        <f t="array" ref="I1893">SUBSTITUTE(H1893,B1893,"(          )")</f>
        <v>Her (          ) about the facts proved correct.</v>
      </c>
      <c r="J1893" s="9" cm="1">
        <f t="array" ref="J1893">SUMIF('외운 것 - 엑셀다운로드 파일(붙여넣기)'!A3:A562,A1893,'외운 것 - 엑셀다운로드 파일(붙여넣기)'!D3:D562)</f>
        <v>0</v>
      </c>
      <c r="K1893" s="9" cm="1">
        <f t="array" ref="K1893">_xlfn.COUNTIFS('외운 것 - 엑셀다운로드 파일(붙여넣기)'!A3:A562,A1893,'외운 것 - 엑셀다운로드 파일(붙여넣기)'!D3:D562,0)</f>
        <v>0</v>
      </c>
      <c r="L1893" s="9" cm="1">
        <f t="array" ref="L1893">IF(J1893&gt;=3,_xlfn.XLOOKUP(A1893,'외운 것 - 엑셀다운로드 파일(붙여넣기)'!A3:A562,'외운 것 - 엑셀다운로드 파일(붙여넣기)'!C3:C562,0,-1),0)</f>
        <v>0</v>
      </c>
    </row>
    <row r="1894" ht="23.45" customHeight="1">
      <c r="A1894" s="3">
        <v>1893</v>
      </c>
      <c r="B1894" t="s" s="4">
        <v>11928</v>
      </c>
      <c r="C1894" t="s" s="5">
        <v>11909</v>
      </c>
      <c r="D1894" t="s" s="5">
        <v>11910</v>
      </c>
      <c r="E1894" t="s" s="5">
        <v>11929</v>
      </c>
      <c r="F1894" t="s" s="10">
        <v>11930</v>
      </c>
      <c r="G1894" t="s" s="7">
        <v>11931</v>
      </c>
      <c r="H1894" t="s" s="7">
        <v>11932</v>
      </c>
      <c r="I1894" t="str" s="8" cm="1">
        <f t="array" ref="I1894">SUBSTITUTE(H1894,B1894,"(          )")</f>
        <v>Insert the key and turn it clockwise.</v>
      </c>
      <c r="J1894" s="9" cm="1">
        <f t="array" ref="J1894">SUMIF('외운 것 - 엑셀다운로드 파일(붙여넣기)'!A3:A562,A1894,'외운 것 - 엑셀다운로드 파일(붙여넣기)'!D3:D562)</f>
        <v>0</v>
      </c>
      <c r="K1894" s="9" cm="1">
        <f t="array" ref="K1894">_xlfn.COUNTIFS('외운 것 - 엑셀다운로드 파일(붙여넣기)'!A3:A562,A1894,'외운 것 - 엑셀다운로드 파일(붙여넣기)'!D3:D562,0)</f>
        <v>0</v>
      </c>
      <c r="L1894" s="9" cm="1">
        <f t="array" ref="L1894">IF(J1894&gt;=3,_xlfn.XLOOKUP(A1894,'외운 것 - 엑셀다운로드 파일(붙여넣기)'!A3:A562,'외운 것 - 엑셀다운로드 파일(붙여넣기)'!C3:C562,0,-1),0)</f>
        <v>0</v>
      </c>
    </row>
    <row r="1895" ht="23.45" customHeight="1">
      <c r="A1895" s="3">
        <v>1894</v>
      </c>
      <c r="B1895" t="s" s="4">
        <v>11934</v>
      </c>
      <c r="C1895" t="s" s="5">
        <v>11909</v>
      </c>
      <c r="D1895" t="s" s="5">
        <v>11910</v>
      </c>
      <c r="E1895" t="s" s="5">
        <v>11935</v>
      </c>
      <c r="F1895" t="s" s="10">
        <v>11936</v>
      </c>
      <c r="G1895" t="s" s="7">
        <v>11937</v>
      </c>
      <c r="H1895" t="s" s="7">
        <v>11938</v>
      </c>
      <c r="I1895" t="str" s="8" cm="1">
        <f t="array" ref="I1895">SUBSTITUTE(H1895,B1895,"(          )")</f>
        <v>You need to (          ) pressure on the lever.</v>
      </c>
      <c r="J1895" s="9" cm="1">
        <f t="array" ref="J1895">SUMIF('외운 것 - 엑셀다운로드 파일(붙여넣기)'!A3:A562,A1895,'외운 것 - 엑셀다운로드 파일(붙여넣기)'!D3:D562)</f>
        <v>0</v>
      </c>
      <c r="K1895" s="9" cm="1">
        <f t="array" ref="K1895">_xlfn.COUNTIFS('외운 것 - 엑셀다운로드 파일(붙여넣기)'!A3:A562,A1895,'외운 것 - 엑셀다운로드 파일(붙여넣기)'!D3:D562,0)</f>
        <v>0</v>
      </c>
      <c r="L1895" s="9" cm="1">
        <f t="array" ref="L1895">IF(J1895&gt;=3,_xlfn.XLOOKUP(A1895,'외운 것 - 엑셀다운로드 파일(붙여넣기)'!A3:A562,'외운 것 - 엑셀다운로드 파일(붙여넣기)'!C3:C562,0,-1),0)</f>
        <v>0</v>
      </c>
    </row>
    <row r="1896" ht="23.45" customHeight="1">
      <c r="A1896" s="3">
        <v>1895</v>
      </c>
      <c r="B1896" t="s" s="4">
        <v>731</v>
      </c>
      <c r="C1896" t="s" s="5">
        <v>11940</v>
      </c>
      <c r="D1896" t="s" s="5">
        <v>11941</v>
      </c>
      <c r="E1896" t="s" s="5">
        <v>732</v>
      </c>
      <c r="F1896" t="s" s="10">
        <v>11942</v>
      </c>
      <c r="G1896" t="s" s="7">
        <v>11943</v>
      </c>
      <c r="H1896" t="s" s="7">
        <v>735</v>
      </c>
      <c r="I1896" t="str" s="8" cm="1">
        <f t="array" ref="I1896">SUBSTITUTE(H1896,B1896,"(          )")</f>
        <v>Three students were (          ) from class today.</v>
      </c>
      <c r="J1896" s="9" cm="1">
        <f t="array" ref="J1896">SUMIF('외운 것 - 엑셀다운로드 파일(붙여넣기)'!A3:A562,A1896,'외운 것 - 엑셀다운로드 파일(붙여넣기)'!D3:D562)</f>
        <v>0</v>
      </c>
      <c r="K1896" s="9" cm="1">
        <f t="array" ref="K1896">_xlfn.COUNTIFS('외운 것 - 엑셀다운로드 파일(붙여넣기)'!A3:A562,A1896,'외운 것 - 엑셀다운로드 파일(붙여넣기)'!D3:D562,0)</f>
        <v>0</v>
      </c>
      <c r="L1896" s="9" cm="1">
        <f t="array" ref="L1896">IF(J1896&gt;=3,_xlfn.XLOOKUP(A1896,'외운 것 - 엑셀다운로드 파일(붙여넣기)'!A3:A562,'외운 것 - 엑셀다운로드 파일(붙여넣기)'!C3:C562,0,-1),0)</f>
        <v>0</v>
      </c>
    </row>
    <row r="1897" ht="38.45" customHeight="1">
      <c r="A1897" s="3">
        <v>1896</v>
      </c>
      <c r="B1897" t="s" s="4">
        <v>11944</v>
      </c>
      <c r="C1897" t="s" s="5">
        <v>11940</v>
      </c>
      <c r="D1897" t="s" s="5">
        <v>11941</v>
      </c>
      <c r="E1897" t="s" s="5">
        <v>11945</v>
      </c>
      <c r="F1897" t="s" s="10">
        <v>11946</v>
      </c>
      <c r="G1897" t="s" s="7">
        <v>11947</v>
      </c>
      <c r="H1897" t="s" s="7">
        <v>11948</v>
      </c>
      <c r="I1897" t="str" s="8" cm="1">
        <f t="array" ref="I1897">SUBSTITUTE(H1897,B1897,"(          )")</f>
        <v>She will (          ) her research at the conference.</v>
      </c>
      <c r="J1897" s="9" cm="1">
        <f t="array" ref="J1897">SUMIF('외운 것 - 엑셀다운로드 파일(붙여넣기)'!A3:A562,A1897,'외운 것 - 엑셀다운로드 파일(붙여넣기)'!D3:D562)</f>
        <v>0</v>
      </c>
      <c r="K1897" s="9" cm="1">
        <f t="array" ref="K1897">_xlfn.COUNTIFS('외운 것 - 엑셀다운로드 파일(붙여넣기)'!A3:A562,A1897,'외운 것 - 엑셀다운로드 파일(붙여넣기)'!D3:D562,0)</f>
        <v>0</v>
      </c>
      <c r="L1897" s="9" cm="1">
        <f t="array" ref="L1897">IF(J1897&gt;=3,_xlfn.XLOOKUP(A1897,'외운 것 - 엑셀다운로드 파일(붙여넣기)'!A3:A562,'외운 것 - 엑셀다운로드 파일(붙여넣기)'!C3:C562,0,-1),0)</f>
        <v>0</v>
      </c>
    </row>
    <row r="1898" ht="36.4" customHeight="1">
      <c r="A1898" s="3">
        <v>1897</v>
      </c>
      <c r="B1898" t="s" s="4">
        <v>11950</v>
      </c>
      <c r="C1898" t="s" s="5">
        <v>11951</v>
      </c>
      <c r="D1898" t="s" s="5">
        <v>11940</v>
      </c>
      <c r="E1898" t="s" s="5">
        <v>11952</v>
      </c>
      <c r="F1898" t="s" s="10">
        <v>11953</v>
      </c>
      <c r="G1898" t="s" s="7">
        <v>11954</v>
      </c>
      <c r="H1898" t="s" s="7">
        <v>11955</v>
      </c>
      <c r="I1898" t="str" s="8" cm="1">
        <f t="array" ref="I1898">SUBSTITUTE(H1898,B1898,"(          )")</f>
        <v>His (          ) at the meeting was required.</v>
      </c>
      <c r="J1898" s="9" cm="1">
        <f t="array" ref="J1898">SUMIF('외운 것 - 엑셀다운로드 파일(붙여넣기)'!A3:A562,A1898,'외운 것 - 엑셀다운로드 파일(붙여넣기)'!D3:D562)</f>
        <v>0</v>
      </c>
      <c r="K1898" s="9" cm="1">
        <f t="array" ref="K1898">_xlfn.COUNTIFS('외운 것 - 엑셀다운로드 파일(붙여넣기)'!A3:A562,A1898,'외운 것 - 엑셀다운로드 파일(붙여넣기)'!D3:D562,0)</f>
        <v>0</v>
      </c>
      <c r="L1898" s="9" cm="1">
        <f t="array" ref="L1898">IF(J1898&gt;=3,_xlfn.XLOOKUP(A1898,'외운 것 - 엑셀다운로드 파일(붙여넣기)'!A3:A562,'외운 것 - 엑셀다운로드 파일(붙여넣기)'!C3:C562,0,-1),0)</f>
        <v>0</v>
      </c>
    </row>
    <row r="1899" ht="36.4" customHeight="1">
      <c r="A1899" s="3">
        <v>1898</v>
      </c>
      <c r="B1899" t="s" s="4">
        <v>11957</v>
      </c>
      <c r="C1899" t="s" s="5">
        <v>11951</v>
      </c>
      <c r="D1899" t="s" s="5">
        <v>11940</v>
      </c>
      <c r="E1899" t="s" s="5">
        <v>11958</v>
      </c>
      <c r="F1899" t="s" s="10">
        <v>11959</v>
      </c>
      <c r="G1899" t="s" s="7">
        <v>11960</v>
      </c>
      <c r="H1899" t="s" s="7">
        <v>11961</v>
      </c>
      <c r="I1899" t="str" s="8" cm="1">
        <f t="array" ref="I1899">SUBSTITUTE(H1899,B1899,"(          )")</f>
        <v>The (          ) included colorful graphs and charts.</v>
      </c>
      <c r="J1899" s="9" cm="1">
        <f t="array" ref="J1899">SUMIF('외운 것 - 엑셀다운로드 파일(붙여넣기)'!A3:A562,A1899,'외운 것 - 엑셀다운로드 파일(붙여넣기)'!D3:D562)</f>
        <v>0</v>
      </c>
      <c r="K1899" s="9" cm="1">
        <f t="array" ref="K1899">_xlfn.COUNTIFS('외운 것 - 엑셀다운로드 파일(붙여넣기)'!A3:A562,A1899,'외운 것 - 엑셀다운로드 파일(붙여넣기)'!D3:D562,0)</f>
        <v>0</v>
      </c>
      <c r="L1899" s="9" cm="1">
        <f t="array" ref="L1899">IF(J1899&gt;=3,_xlfn.XLOOKUP(A1899,'외운 것 - 엑셀다운로드 파일(붙여넣기)'!A3:A562,'외운 것 - 엑셀다운로드 파일(붙여넣기)'!C3:C562,0,-1),0)</f>
        <v>0</v>
      </c>
    </row>
    <row r="1900" ht="36.4" customHeight="1">
      <c r="A1900" s="3">
        <v>1899</v>
      </c>
      <c r="B1900" t="s" s="4">
        <v>11963</v>
      </c>
      <c r="C1900" t="s" s="5">
        <v>11951</v>
      </c>
      <c r="D1900" t="s" s="5">
        <v>11940</v>
      </c>
      <c r="E1900" t="s" s="5">
        <v>11964</v>
      </c>
      <c r="F1900" t="s" s="10">
        <v>11965</v>
      </c>
      <c r="G1900" t="s" s="7">
        <v>11966</v>
      </c>
      <c r="H1900" t="s" s="7">
        <v>11967</v>
      </c>
      <c r="I1900" t="str" s="8" cm="1">
        <f t="array" ref="I1900">SUBSTITUTE(H1900,B1900,"(          )")</f>
        <v>The attorney will (          ) you in court.</v>
      </c>
      <c r="J1900" s="9" cm="1">
        <f t="array" ref="J1900">SUMIF('외운 것 - 엑셀다운로드 파일(붙여넣기)'!A3:A562,A1900,'외운 것 - 엑셀다운로드 파일(붙여넣기)'!D3:D562)</f>
        <v>0</v>
      </c>
      <c r="K1900" s="9" cm="1">
        <f t="array" ref="K1900">_xlfn.COUNTIFS('외운 것 - 엑셀다운로드 파일(붙여넣기)'!A3:A562,A1900,'외운 것 - 엑셀다운로드 파일(붙여넣기)'!D3:D562,0)</f>
        <v>0</v>
      </c>
      <c r="L1900" s="9" cm="1">
        <f t="array" ref="L1900">IF(J1900&gt;=3,_xlfn.XLOOKUP(A1900,'외운 것 - 엑셀다운로드 파일(붙여넣기)'!A3:A562,'외운 것 - 엑셀다운로드 파일(붙여넣기)'!C3:C562,0,-1),0)</f>
        <v>0</v>
      </c>
    </row>
    <row r="1901" ht="38.45" customHeight="1">
      <c r="A1901" s="3">
        <v>1900</v>
      </c>
      <c r="B1901" t="s" s="4">
        <v>11969</v>
      </c>
      <c r="C1901" t="s" s="5">
        <v>11970</v>
      </c>
      <c r="D1901" t="s" s="5">
        <v>11971</v>
      </c>
      <c r="E1901" t="s" s="5">
        <v>11972</v>
      </c>
      <c r="F1901" t="s" s="10">
        <v>11973</v>
      </c>
      <c r="G1901" t="s" s="7">
        <v>11974</v>
      </c>
      <c r="H1901" t="s" s="7">
        <v>11975</v>
      </c>
      <c r="I1901" t="str" s="8" cm="1">
        <f t="array" ref="I1901">SUBSTITUTE(H1901,B1901,"(          )")</f>
        <v>The restaurant (          )s lunch from noon until 3:00 PM.</v>
      </c>
      <c r="J1901" s="9" cm="1">
        <f t="array" ref="J1901">SUMIF('외운 것 - 엑셀다운로드 파일(붙여넣기)'!A3:A562,A1901,'외운 것 - 엑셀다운로드 파일(붙여넣기)'!D3:D562)</f>
        <v>0</v>
      </c>
      <c r="K1901" s="9" cm="1">
        <f t="array" ref="K1901">_xlfn.COUNTIFS('외운 것 - 엑셀다운로드 파일(붙여넣기)'!A3:A562,A1901,'외운 것 - 엑셀다운로드 파일(붙여넣기)'!D3:D562,0)</f>
        <v>0</v>
      </c>
      <c r="L1901" s="9" cm="1">
        <f t="array" ref="L1901">IF(J1901&gt;=3,_xlfn.XLOOKUP(A1901,'외운 것 - 엑셀다운로드 파일(붙여넣기)'!A3:A562,'외운 것 - 엑셀다운로드 파일(붙여넣기)'!C3:C562,0,-1),0)</f>
        <v>0</v>
      </c>
    </row>
    <row r="1902" ht="23.45" customHeight="1">
      <c r="A1902" s="3">
        <v>1901</v>
      </c>
      <c r="B1902" t="s" s="4">
        <v>11977</v>
      </c>
      <c r="C1902" t="s" s="5">
        <v>11970</v>
      </c>
      <c r="D1902" t="s" s="5">
        <v>11971</v>
      </c>
      <c r="E1902" t="s" s="5">
        <v>11978</v>
      </c>
      <c r="F1902" t="s" s="10">
        <v>11979</v>
      </c>
      <c r="G1902" t="s" s="7">
        <v>11980</v>
      </c>
      <c r="H1902" t="s" s="7">
        <v>11981</v>
      </c>
      <c r="I1902" t="str" s="8" cm="1">
        <f t="array" ref="I1902">SUBSTITUTE(H1902,B1902,"(          )")</f>
        <v>The company provides excellent customer (          ).</v>
      </c>
      <c r="J1902" s="9" cm="1">
        <f t="array" ref="J1902">SUMIF('외운 것 - 엑셀다운로드 파일(붙여넣기)'!A3:A562,A1902,'외운 것 - 엑셀다운로드 파일(붙여넣기)'!D3:D562)</f>
        <v>0</v>
      </c>
      <c r="K1902" s="9" cm="1">
        <f t="array" ref="K1902">_xlfn.COUNTIFS('외운 것 - 엑셀다운로드 파일(붙여넣기)'!A3:A562,A1902,'외운 것 - 엑셀다운로드 파일(붙여넣기)'!D3:D562,0)</f>
        <v>0</v>
      </c>
      <c r="L1902" s="9" cm="1">
        <f t="array" ref="L1902">IF(J1902&gt;=3,_xlfn.XLOOKUP(A1902,'외운 것 - 엑셀다운로드 파일(붙여넣기)'!A3:A562,'외운 것 - 엑셀다운로드 파일(붙여넣기)'!C3:C562,0,-1),0)</f>
        <v>0</v>
      </c>
    </row>
    <row r="1903" ht="36.4" customHeight="1">
      <c r="A1903" s="3">
        <v>1902</v>
      </c>
      <c r="B1903" t="s" s="4">
        <v>11983</v>
      </c>
      <c r="C1903" t="s" s="5">
        <v>11984</v>
      </c>
      <c r="D1903" t="s" s="5">
        <v>11970</v>
      </c>
      <c r="E1903" t="s" s="5">
        <v>11985</v>
      </c>
      <c r="F1903" t="s" s="10">
        <v>11986</v>
      </c>
      <c r="G1903" t="s" s="7">
        <v>11987</v>
      </c>
      <c r="H1903" t="s" s="7">
        <v>11988</v>
      </c>
      <c r="I1903" t="str" s="8" cm="1">
        <f t="array" ref="I1903">SUBSTITUTE(H1903,B1903,"(          )")</f>
        <v>The royal family employed many (          )s.</v>
      </c>
      <c r="J1903" s="9" cm="1">
        <f t="array" ref="J1903">SUMIF('외운 것 - 엑셀다운로드 파일(붙여넣기)'!A3:A562,A1903,'외운 것 - 엑셀다운로드 파일(붙여넣기)'!D3:D562)</f>
        <v>0</v>
      </c>
      <c r="K1903" s="9" cm="1">
        <f t="array" ref="K1903">_xlfn.COUNTIFS('외운 것 - 엑셀다운로드 파일(붙여넣기)'!A3:A562,A1903,'외운 것 - 엑셀다운로드 파일(붙여넣기)'!D3:D562,0)</f>
        <v>0</v>
      </c>
      <c r="L1903" s="9" cm="1">
        <f t="array" ref="L1903">IF(J1903&gt;=3,_xlfn.XLOOKUP(A1903,'외운 것 - 엑셀다운로드 파일(붙여넣기)'!A3:A562,'외운 것 - 엑셀다운로드 파일(붙여넣기)'!C3:C562,0,-1),0)</f>
        <v>0</v>
      </c>
    </row>
    <row r="1904" ht="38.45" customHeight="1">
      <c r="A1904" s="3">
        <v>1903</v>
      </c>
      <c r="B1904" t="s" s="4">
        <v>11990</v>
      </c>
      <c r="C1904" t="s" s="5">
        <v>11991</v>
      </c>
      <c r="D1904" t="s" s="5">
        <v>11970</v>
      </c>
      <c r="E1904" t="s" s="5">
        <v>11992</v>
      </c>
      <c r="F1904" t="s" s="10">
        <v>11993</v>
      </c>
      <c r="G1904" t="s" s="7">
        <v>11994</v>
      </c>
      <c r="H1904" t="s" s="7">
        <v>11995</v>
      </c>
      <c r="I1904" t="str" s="8" cm="1">
        <f t="array" ref="I1904">SUBSTITUTE(H1904,B1904,"(          )")</f>
        <v>Scientists (          ) animal behavior in the wild.</v>
      </c>
      <c r="J1904" s="9" cm="1">
        <f t="array" ref="J1904">SUMIF('외운 것 - 엑셀다운로드 파일(붙여넣기)'!A3:A562,A1904,'외운 것 - 엑셀다운로드 파일(붙여넣기)'!D3:D562)</f>
        <v>0</v>
      </c>
      <c r="K1904" s="9" cm="1">
        <f t="array" ref="K1904">_xlfn.COUNTIFS('외운 것 - 엑셀다운로드 파일(붙여넣기)'!A3:A562,A1904,'외운 것 - 엑셀다운로드 파일(붙여넣기)'!D3:D562,0)</f>
        <v>0</v>
      </c>
      <c r="L1904" s="9" cm="1">
        <f t="array" ref="L1904">IF(J1904&gt;=3,_xlfn.XLOOKUP(A1904,'외운 것 - 엑셀다운로드 파일(붙여넣기)'!A3:A562,'외운 것 - 엑셀다운로드 파일(붙여넣기)'!C3:C562,0,-1),0)</f>
        <v>0</v>
      </c>
    </row>
    <row r="1905" ht="36.4" customHeight="1">
      <c r="A1905" s="3">
        <v>1904</v>
      </c>
      <c r="B1905" t="s" s="4">
        <v>11997</v>
      </c>
      <c r="C1905" t="s" s="5">
        <v>11991</v>
      </c>
      <c r="D1905" t="s" s="5">
        <v>11970</v>
      </c>
      <c r="E1905" t="s" s="5">
        <v>11998</v>
      </c>
      <c r="F1905" t="s" s="10">
        <v>11999</v>
      </c>
      <c r="G1905" t="s" s="7">
        <v>12000</v>
      </c>
      <c r="H1905" t="s" s="7">
        <v>12001</v>
      </c>
      <c r="I1905" t="str" s="8" cm="1">
        <f t="array" ref="I1905">SUBSTITUTE(H1905,B1905,"(          )")</f>
        <v>Hard-working students (          ) recognition.</v>
      </c>
      <c r="J1905" s="9" cm="1">
        <f t="array" ref="J1905">SUMIF('외운 것 - 엑셀다운로드 파일(붙여넣기)'!A3:A562,A1905,'외운 것 - 엑셀다운로드 파일(붙여넣기)'!D3:D562)</f>
        <v>0</v>
      </c>
      <c r="K1905" s="9" cm="1">
        <f t="array" ref="K1905">_xlfn.COUNTIFS('외운 것 - 엑셀다운로드 파일(붙여넣기)'!A3:A562,A1905,'외운 것 - 엑셀다운로드 파일(붙여넣기)'!D3:D562,0)</f>
        <v>0</v>
      </c>
      <c r="L1905" s="9" cm="1">
        <f t="array" ref="L1905">IF(J1905&gt;=3,_xlfn.XLOOKUP(A1905,'외운 것 - 엑셀다운로드 파일(붙여넣기)'!A3:A562,'외운 것 - 엑셀다운로드 파일(붙여넣기)'!C3:C562,0,-1),0)</f>
        <v>0</v>
      </c>
    </row>
    <row r="1906" ht="36.4" customHeight="1">
      <c r="A1906" s="3">
        <v>1905</v>
      </c>
      <c r="B1906" t="s" s="4">
        <v>12003</v>
      </c>
      <c r="C1906" t="s" s="5">
        <v>11991</v>
      </c>
      <c r="D1906" t="s" s="5">
        <v>11970</v>
      </c>
      <c r="E1906" t="s" s="5">
        <v>12004</v>
      </c>
      <c r="F1906" t="s" s="10">
        <v>12005</v>
      </c>
      <c r="G1906" t="s" s="7">
        <v>12006</v>
      </c>
      <c r="H1906" t="s" s="7">
        <v>12007</v>
      </c>
      <c r="I1906" t="str" s="8" cm="1">
        <f t="array" ref="I1906">SUBSTITUTE(H1906,B1906,"(          )")</f>
        <v>We must (          ) endangered species from extinction.</v>
      </c>
      <c r="J1906" s="9" cm="1">
        <f t="array" ref="J1906">SUMIF('외운 것 - 엑셀다운로드 파일(붙여넣기)'!A3:A562,A1906,'외운 것 - 엑셀다운로드 파일(붙여넣기)'!D3:D562)</f>
        <v>0</v>
      </c>
      <c r="K1906" s="9" cm="1">
        <f t="array" ref="K1906">_xlfn.COUNTIFS('외운 것 - 엑셀다운로드 파일(붙여넣기)'!A3:A562,A1906,'외운 것 - 엑셀다운로드 파일(붙여넣기)'!D3:D562,0)</f>
        <v>0</v>
      </c>
      <c r="L1906" s="9" cm="1">
        <f t="array" ref="L1906">IF(J1906&gt;=3,_xlfn.XLOOKUP(A1906,'외운 것 - 엑셀다운로드 파일(붙여넣기)'!A3:A562,'외운 것 - 엑셀다운로드 파일(붙여넣기)'!C3:C562,0,-1),0)</f>
        <v>0</v>
      </c>
    </row>
    <row r="1907" ht="38.45" customHeight="1">
      <c r="A1907" s="3">
        <v>1906</v>
      </c>
      <c r="B1907" t="s" s="4">
        <v>12009</v>
      </c>
      <c r="C1907" t="s" s="5">
        <v>11991</v>
      </c>
      <c r="D1907" t="s" s="5">
        <v>11970</v>
      </c>
      <c r="E1907" t="s" s="5">
        <v>12010</v>
      </c>
      <c r="F1907" t="s" s="10">
        <v>12011</v>
      </c>
      <c r="G1907" t="s" s="7">
        <v>12012</v>
      </c>
      <c r="H1907" t="s" s="7">
        <v>12013</v>
      </c>
      <c r="I1907" t="str" s="8" cm="1">
        <f t="array" ref="I1907">SUBSTITUTE(H1907,B1907,"(          )")</f>
        <v>Turn off lights to (          ) energy.</v>
      </c>
      <c r="J1907" s="9" cm="1">
        <f t="array" ref="J1907">SUMIF('외운 것 - 엑셀다운로드 파일(붙여넣기)'!A3:A562,A1907,'외운 것 - 엑셀다운로드 파일(붙여넣기)'!D3:D562)</f>
        <v>0</v>
      </c>
      <c r="K1907" s="9" cm="1">
        <f t="array" ref="K1907">_xlfn.COUNTIFS('외운 것 - 엑셀다운로드 파일(붙여넣기)'!A3:A562,A1907,'외운 것 - 엑셀다운로드 파일(붙여넣기)'!D3:D562,0)</f>
        <v>0</v>
      </c>
      <c r="L1907" s="9" cm="1">
        <f t="array" ref="L1907">IF(J1907&gt;=3,_xlfn.XLOOKUP(A1907,'외운 것 - 엑셀다운로드 파일(붙여넣기)'!A3:A562,'외운 것 - 엑셀다운로드 파일(붙여넣기)'!C3:C562,0,-1),0)</f>
        <v>0</v>
      </c>
    </row>
    <row r="1908" ht="36.4" customHeight="1">
      <c r="A1908" s="3">
        <v>1907</v>
      </c>
      <c r="B1908" t="s" s="4">
        <v>12015</v>
      </c>
      <c r="C1908" t="s" s="5">
        <v>11991</v>
      </c>
      <c r="D1908" t="s" s="5">
        <v>11970</v>
      </c>
      <c r="E1908" t="s" s="5">
        <v>12016</v>
      </c>
      <c r="F1908" t="s" s="10">
        <v>12017</v>
      </c>
      <c r="G1908" t="s" s="7">
        <v>12018</v>
      </c>
      <c r="H1908" t="s" s="7">
        <v>12019</v>
      </c>
      <c r="I1908" t="str" s="8" cm="1">
        <f t="array" ref="I1908">SUBSTITUTE(H1908,B1908,"(          )")</f>
        <v>Please (          ) a table for dinner tonight.</v>
      </c>
      <c r="J1908" s="9" cm="1">
        <f t="array" ref="J1908">SUMIF('외운 것 - 엑셀다운로드 파일(붙여넣기)'!A3:A562,A1908,'외운 것 - 엑셀다운로드 파일(붙여넣기)'!D3:D562)</f>
        <v>0</v>
      </c>
      <c r="K1908" s="9" cm="1">
        <f t="array" ref="K1908">_xlfn.COUNTIFS('외운 것 - 엑셀다운로드 파일(붙여넣기)'!A3:A562,A1908,'외운 것 - 엑셀다운로드 파일(붙여넣기)'!D3:D562,0)</f>
        <v>0</v>
      </c>
      <c r="L1908" s="9" cm="1">
        <f t="array" ref="L1908">IF(J1908&gt;=3,_xlfn.XLOOKUP(A1908,'외운 것 - 엑셀다운로드 파일(붙여넣기)'!A3:A562,'외운 것 - 엑셀다운로드 파일(붙여넣기)'!C3:C562,0,-1),0)</f>
        <v>0</v>
      </c>
    </row>
    <row r="1909" ht="36.4" customHeight="1">
      <c r="A1909" s="3">
        <v>1908</v>
      </c>
      <c r="B1909" t="s" s="4">
        <v>12021</v>
      </c>
      <c r="C1909" t="s" s="5">
        <v>12022</v>
      </c>
      <c r="D1909" t="s" s="5">
        <v>11970</v>
      </c>
      <c r="E1909" t="s" s="5">
        <v>12023</v>
      </c>
      <c r="F1909" t="s" s="10">
        <v>12024</v>
      </c>
      <c r="G1909" t="s" s="7">
        <v>12025</v>
      </c>
      <c r="H1909" t="s" s="7">
        <v>12026</v>
      </c>
      <c r="I1909" t="str" s="8" cm="1">
        <f t="array" ref="I1909">SUBSTITUTE(H1909,B1909,"(          )")</f>
        <v>The (          ) provides water for the entire city.</v>
      </c>
      <c r="J1909" s="9" cm="1">
        <f t="array" ref="J1909">SUMIF('외운 것 - 엑셀다운로드 파일(붙여넣기)'!A3:A562,A1909,'외운 것 - 엑셀다운로드 파일(붙여넣기)'!D3:D562)</f>
        <v>0</v>
      </c>
      <c r="K1909" s="9" cm="1">
        <f t="array" ref="K1909">_xlfn.COUNTIFS('외운 것 - 엑셀다운로드 파일(붙여넣기)'!A3:A562,A1909,'외운 것 - 엑셀다운로드 파일(붙여넣기)'!D3:D562,0)</f>
        <v>0</v>
      </c>
      <c r="L1909" s="9" cm="1">
        <f t="array" ref="L1909">IF(J1909&gt;=3,_xlfn.XLOOKUP(A1909,'외운 것 - 엑셀다운로드 파일(붙여넣기)'!A3:A562,'외운 것 - 엑셀다운로드 파일(붙여넣기)'!C3:C562,0,-1),0)</f>
        <v>0</v>
      </c>
    </row>
    <row r="1910" ht="23.45" customHeight="1">
      <c r="A1910" s="3">
        <v>1909</v>
      </c>
      <c r="B1910" t="s" s="4">
        <v>12028</v>
      </c>
      <c r="C1910" t="s" s="5">
        <v>11847</v>
      </c>
      <c r="D1910" t="s" s="5">
        <v>12029</v>
      </c>
      <c r="E1910" t="s" s="5">
        <v>12030</v>
      </c>
      <c r="F1910" t="s" s="10">
        <v>12031</v>
      </c>
      <c r="G1910" t="s" s="7">
        <v>12032</v>
      </c>
      <c r="H1910" t="s" s="7">
        <v>12033</v>
      </c>
      <c r="I1910" t="str" s="8" cm="1">
        <f t="array" ref="I1910">SUBSTITUTE(H1910,B1910,"(          )")</f>
        <v>Which (          ) of the road do they drive on in Japan?</v>
      </c>
      <c r="J1910" s="9" cm="1">
        <f t="array" ref="J1910">SUMIF('외운 것 - 엑셀다운로드 파일(붙여넣기)'!A3:A562,A1910,'외운 것 - 엑셀다운로드 파일(붙여넣기)'!D3:D562)</f>
        <v>0</v>
      </c>
      <c r="K1910" s="9" cm="1">
        <f t="array" ref="K1910">_xlfn.COUNTIFS('외운 것 - 엑셀다운로드 파일(붙여넣기)'!A3:A562,A1910,'외운 것 - 엑셀다운로드 파일(붙여넣기)'!D3:D562,0)</f>
        <v>0</v>
      </c>
      <c r="L1910" s="9" cm="1">
        <f t="array" ref="L1910">IF(J1910&gt;=3,_xlfn.XLOOKUP(A1910,'외운 것 - 엑셀다운로드 파일(붙여넣기)'!A3:A562,'외운 것 - 엑셀다운로드 파일(붙여넣기)'!C3:C562,0,-1),0)</f>
        <v>0</v>
      </c>
    </row>
    <row r="1911" ht="38.45" customHeight="1">
      <c r="A1911" s="3">
        <v>1910</v>
      </c>
      <c r="B1911" t="s" s="4">
        <v>12035</v>
      </c>
      <c r="C1911" t="s" s="5">
        <v>12036</v>
      </c>
      <c r="D1911" t="s" s="5">
        <v>12029</v>
      </c>
      <c r="E1911" t="s" s="5">
        <v>12037</v>
      </c>
      <c r="F1911" t="s" s="10">
        <v>12038</v>
      </c>
      <c r="G1911" t="s" s="7">
        <v>12039</v>
      </c>
      <c r="H1911" t="s" s="7">
        <v>12040</v>
      </c>
      <c r="I1911" t="str" s="8" cm="1">
        <f t="array" ref="I1911">SUBSTITUTE(H1911,B1911,"(          )")</f>
        <v>The corporation has (          ) companies in several countries.</v>
      </c>
      <c r="J1911" s="9" cm="1">
        <f t="array" ref="J1911">SUMIF('외운 것 - 엑셀다운로드 파일(붙여넣기)'!A3:A562,A1911,'외운 것 - 엑셀다운로드 파일(붙여넣기)'!D3:D562)</f>
        <v>0</v>
      </c>
      <c r="K1911" s="9" cm="1">
        <f t="array" ref="K1911">_xlfn.COUNTIFS('외운 것 - 엑셀다운로드 파일(붙여넣기)'!A3:A562,A1911,'외운 것 - 엑셀다운로드 파일(붙여넣기)'!D3:D562,0)</f>
        <v>0</v>
      </c>
      <c r="L1911" s="9" cm="1">
        <f t="array" ref="L1911">IF(J1911&gt;=3,_xlfn.XLOOKUP(A1911,'외운 것 - 엑셀다운로드 파일(붙여넣기)'!A3:A562,'외운 것 - 엑셀다운로드 파일(붙여넣기)'!C3:C562,0,-1),0)</f>
        <v>0</v>
      </c>
    </row>
    <row r="1912" ht="23.45" customHeight="1">
      <c r="A1912" s="3">
        <v>1911</v>
      </c>
      <c r="B1912" t="s" s="4">
        <v>12042</v>
      </c>
      <c r="C1912" t="s" s="5">
        <v>12028</v>
      </c>
      <c r="D1912" t="s" s="5">
        <v>12029</v>
      </c>
      <c r="E1912" t="s" s="5">
        <v>12043</v>
      </c>
      <c r="F1912" t="s" s="10">
        <v>12044</v>
      </c>
      <c r="G1912" t="s" s="7">
        <v>12045</v>
      </c>
      <c r="H1912" t="s" s="7">
        <v>12046</v>
      </c>
      <c r="I1912" t="str" s="8" cm="1">
        <f t="array" ref="I1912">SUBSTITUTE(H1912,B1912,"(          )")</f>
        <v>The family (          )s in a small apartment downtown.</v>
      </c>
      <c r="J1912" s="9" cm="1">
        <f t="array" ref="J1912">SUMIF('외운 것 - 엑셀다운로드 파일(붙여넣기)'!A3:A562,A1912,'외운 것 - 엑셀다운로드 파일(붙여넣기)'!D3:D562)</f>
        <v>0</v>
      </c>
      <c r="K1912" s="9" cm="1">
        <f t="array" ref="K1912">_xlfn.COUNTIFS('외운 것 - 엑셀다운로드 파일(붙여넣기)'!A3:A562,A1912,'외운 것 - 엑셀다운로드 파일(붙여넣기)'!D3:D562,0)</f>
        <v>0</v>
      </c>
      <c r="L1912" s="9" cm="1">
        <f t="array" ref="L1912">IF(J1912&gt;=3,_xlfn.XLOOKUP(A1912,'외운 것 - 엑셀다운로드 파일(붙여넣기)'!A3:A562,'외운 것 - 엑셀다운로드 파일(붙여넣기)'!C3:C562,0,-1),0)</f>
        <v>0</v>
      </c>
    </row>
    <row r="1913" ht="36.4" customHeight="1">
      <c r="A1913" s="3">
        <v>1912</v>
      </c>
      <c r="B1913" t="s" s="4">
        <v>12048</v>
      </c>
      <c r="C1913" t="s" s="5">
        <v>12049</v>
      </c>
      <c r="D1913" t="s" s="5">
        <v>12028</v>
      </c>
      <c r="E1913" t="s" s="5">
        <v>12050</v>
      </c>
      <c r="F1913" t="s" s="10">
        <v>12051</v>
      </c>
      <c r="G1913" t="s" s="7">
        <v>12052</v>
      </c>
      <c r="H1913" t="s" s="7">
        <v>12053</v>
      </c>
      <c r="I1913" t="str" s="8" cm="1">
        <f t="array" ref="I1913">SUBSTITUTE(H1913,B1913,"(          )")</f>
        <v>The university provides (          ) halls for students.</v>
      </c>
      <c r="J1913" s="9" cm="1">
        <f t="array" ref="J1913">SUMIF('외운 것 - 엑셀다운로드 파일(붙여넣기)'!A3:A562,A1913,'외운 것 - 엑셀다운로드 파일(붙여넣기)'!D3:D562)</f>
        <v>0</v>
      </c>
      <c r="K1913" s="9" cm="1">
        <f t="array" ref="K1913">_xlfn.COUNTIFS('외운 것 - 엑셀다운로드 파일(붙여넣기)'!A3:A562,A1913,'외운 것 - 엑셀다운로드 파일(붙여넣기)'!D3:D562,0)</f>
        <v>0</v>
      </c>
      <c r="L1913" s="9" cm="1">
        <f t="array" ref="L1913">IF(J1913&gt;=3,_xlfn.XLOOKUP(A1913,'외운 것 - 엑셀다운로드 파일(붙여넣기)'!A3:A562,'외운 것 - 엑셀다운로드 파일(붙여넣기)'!C3:C562,0,-1),0)</f>
        <v>0</v>
      </c>
    </row>
    <row r="1914" ht="23.45" customHeight="1">
      <c r="A1914" s="3">
        <v>1913</v>
      </c>
      <c r="B1914" t="s" s="4">
        <v>12055</v>
      </c>
      <c r="C1914" t="s" s="5">
        <v>12028</v>
      </c>
      <c r="D1914" t="s" s="5">
        <v>12029</v>
      </c>
      <c r="E1914" t="s" s="5">
        <v>12056</v>
      </c>
      <c r="F1914" t="s" s="10">
        <v>12057</v>
      </c>
      <c r="G1914" t="s" s="7">
        <v>12058</v>
      </c>
      <c r="H1914" t="s" s="7">
        <v>12059</v>
      </c>
      <c r="I1914" t="str" s="8" cm="1">
        <f t="array" ref="I1914">SUBSTITUTE(H1914,B1914,"(          )")</f>
        <v>The chairperson will (          ) over the meeting.</v>
      </c>
      <c r="J1914" s="9" cm="1">
        <f t="array" ref="J1914">SUMIF('외운 것 - 엑셀다운로드 파일(붙여넣기)'!A3:A562,A1914,'외운 것 - 엑셀다운로드 파일(붙여넣기)'!D3:D562)</f>
        <v>0</v>
      </c>
      <c r="K1914" s="9" cm="1">
        <f t="array" ref="K1914">_xlfn.COUNTIFS('외운 것 - 엑셀다운로드 파일(붙여넣기)'!A3:A562,A1914,'외운 것 - 엑셀다운로드 파일(붙여넣기)'!D3:D562,0)</f>
        <v>0</v>
      </c>
      <c r="L1914" s="9" cm="1">
        <f t="array" ref="L1914">IF(J1914&gt;=3,_xlfn.XLOOKUP(A1914,'외운 것 - 엑셀다운로드 파일(붙여넣기)'!A3:A562,'외운 것 - 엑셀다운로드 파일(붙여넣기)'!C3:C562,0,-1),0)</f>
        <v>0</v>
      </c>
    </row>
    <row r="1915" ht="38.45" customHeight="1">
      <c r="A1915" s="3">
        <v>1914</v>
      </c>
      <c r="B1915" t="s" s="4">
        <v>12061</v>
      </c>
      <c r="C1915" t="s" s="5">
        <v>12062</v>
      </c>
      <c r="D1915" t="s" s="5">
        <v>12028</v>
      </c>
      <c r="E1915" t="s" s="5">
        <v>12063</v>
      </c>
      <c r="F1915" t="s" s="10">
        <v>12064</v>
      </c>
      <c r="G1915" t="s" s="7">
        <v>12065</v>
      </c>
      <c r="H1915" t="s" s="7">
        <v>12066</v>
      </c>
      <c r="I1915" t="str" s="8" cm="1">
        <f t="array" ref="I1915">SUBSTITUTE(H1915,B1915,"(          )")</f>
        <v>The (          ) of the company announced new initiatives.</v>
      </c>
      <c r="J1915" s="9" cm="1">
        <f t="array" ref="J1915">SUMIF('외운 것 - 엑셀다운로드 파일(붙여넣기)'!A3:A562,A1915,'외운 것 - 엑셀다운로드 파일(붙여넣기)'!D3:D562)</f>
        <v>0</v>
      </c>
      <c r="K1915" s="9" cm="1">
        <f t="array" ref="K1915">_xlfn.COUNTIFS('외운 것 - 엑셀다운로드 파일(붙여넣기)'!A3:A562,A1915,'외운 것 - 엑셀다운로드 파일(붙여넣기)'!D3:D562,0)</f>
        <v>0</v>
      </c>
      <c r="L1915" s="9" cm="1">
        <f t="array" ref="L1915">IF(J1915&gt;=3,_xlfn.XLOOKUP(A1915,'외운 것 - 엑셀다운로드 파일(붙여넣기)'!A3:A562,'외운 것 - 엑셀다운로드 파일(붙여넣기)'!C3:C562,0,-1),0)</f>
        <v>0</v>
      </c>
    </row>
    <row r="1916" ht="23.45" customHeight="1">
      <c r="A1916" s="3">
        <v>1915</v>
      </c>
      <c r="B1916" t="s" s="4">
        <v>12068</v>
      </c>
      <c r="C1916" t="s" s="5">
        <v>12028</v>
      </c>
      <c r="D1916" t="s" s="5">
        <v>12029</v>
      </c>
      <c r="E1916" t="s" s="5">
        <v>12069</v>
      </c>
      <c r="F1916" t="s" s="10">
        <v>12070</v>
      </c>
      <c r="G1916" t="s" s="7">
        <v>12071</v>
      </c>
      <c r="H1916" t="s" s="7">
        <v>12072</v>
      </c>
      <c r="I1916" t="str" s="8" cm="1">
        <f t="array" ref="I1916">SUBSTITUTE(H1916,B1916,"(          )")</f>
        <v>Please (          ) all options before making a decision.</v>
      </c>
      <c r="J1916" s="9" cm="1">
        <f t="array" ref="J1916">SUMIF('외운 것 - 엑셀다운로드 파일(붙여넣기)'!A3:A562,A1916,'외운 것 - 엑셀다운로드 파일(붙여넣기)'!D3:D562)</f>
        <v>0</v>
      </c>
      <c r="K1916" s="9" cm="1">
        <f t="array" ref="K1916">_xlfn.COUNTIFS('외운 것 - 엑셀다운로드 파일(붙여넣기)'!A3:A562,A1916,'외운 것 - 엑셀다운로드 파일(붙여넣기)'!D3:D562,0)</f>
        <v>0</v>
      </c>
      <c r="L1916" s="9" cm="1">
        <f t="array" ref="L1916">IF(J1916&gt;=3,_xlfn.XLOOKUP(A1916,'외운 것 - 엑셀다운로드 파일(붙여넣기)'!A3:A562,'외운 것 - 엑셀다운로드 파일(붙여넣기)'!C3:C562,0,-1),0)</f>
        <v>0</v>
      </c>
    </row>
    <row r="1917" ht="38.45" customHeight="1">
      <c r="A1917" s="3">
        <v>1916</v>
      </c>
      <c r="B1917" t="s" s="4">
        <v>12074</v>
      </c>
      <c r="C1917" t="s" s="5">
        <v>12075</v>
      </c>
      <c r="D1917" t="s" s="5">
        <v>12028</v>
      </c>
      <c r="E1917" t="s" s="5">
        <v>12076</v>
      </c>
      <c r="F1917" t="s" s="10">
        <v>12077</v>
      </c>
      <c r="G1917" t="s" s="7">
        <v>12078</v>
      </c>
      <c r="H1917" t="s" s="7">
        <v>12079</v>
      </c>
      <c r="I1917" t="str" s="8" cm="1">
        <f t="array" ref="I1917">SUBSTITUTE(H1917,B1917,"(          )")</f>
        <v>It was (          ) of you to help with the cleaning.</v>
      </c>
      <c r="J1917" s="9" cm="1">
        <f t="array" ref="J1917">SUMIF('외운 것 - 엑셀다운로드 파일(붙여넣기)'!A3:A562,A1917,'외운 것 - 엑셀다운로드 파일(붙여넣기)'!D3:D562)</f>
        <v>0</v>
      </c>
      <c r="K1917" s="9" cm="1">
        <f t="array" ref="K1917">_xlfn.COUNTIFS('외운 것 - 엑셀다운로드 파일(붙여넣기)'!A3:A562,A1917,'외운 것 - 엑셀다운로드 파일(붙여넣기)'!D3:D562,0)</f>
        <v>0</v>
      </c>
      <c r="L1917" s="9" cm="1">
        <f t="array" ref="L1917">IF(J1917&gt;=3,_xlfn.XLOOKUP(A1917,'외운 것 - 엑셀다운로드 파일(붙여넣기)'!A3:A562,'외운 것 - 엑셀다운로드 파일(붙여넣기)'!C3:C562,0,-1),0)</f>
        <v>0</v>
      </c>
    </row>
    <row r="1918" ht="36.4" customHeight="1">
      <c r="A1918" s="3">
        <v>1917</v>
      </c>
      <c r="B1918" t="s" s="4">
        <v>12081</v>
      </c>
      <c r="C1918" t="s" s="5">
        <v>12075</v>
      </c>
      <c r="D1918" t="s" s="5">
        <v>12028</v>
      </c>
      <c r="E1918" t="s" s="5">
        <v>12082</v>
      </c>
      <c r="F1918" t="s" s="10">
        <v>12083</v>
      </c>
      <c r="G1918" t="s" s="7">
        <v>12084</v>
      </c>
      <c r="H1918" t="s" s="7">
        <v>12085</v>
      </c>
      <c r="I1918" t="str" s="8" cm="1">
        <f t="array" ref="I1918">SUBSTITUTE(H1918,B1918,"(          )")</f>
        <v>The project requires (          ) time and effort.</v>
      </c>
      <c r="J1918" s="9" cm="1">
        <f t="array" ref="J1918">SUMIF('외운 것 - 엑셀다운로드 파일(붙여넣기)'!A3:A562,A1918,'외운 것 - 엑셀다운로드 파일(붙여넣기)'!D3:D562)</f>
        <v>0</v>
      </c>
      <c r="K1918" s="9" cm="1">
        <f t="array" ref="K1918">_xlfn.COUNTIFS('외운 것 - 엑셀다운로드 파일(붙여넣기)'!A3:A562,A1918,'외운 것 - 엑셀다운로드 파일(붙여넣기)'!D3:D562,0)</f>
        <v>0</v>
      </c>
      <c r="L1918" s="9" cm="1">
        <f t="array" ref="L1918">IF(J1918&gt;=3,_xlfn.XLOOKUP(A1918,'외운 것 - 엑셀다운로드 파일(붙여넣기)'!A3:A562,'외운 것 - 엑셀다운로드 파일(붙여넣기)'!C3:C562,0,-1),0)</f>
        <v>0</v>
      </c>
    </row>
    <row r="1919" ht="38.45" customHeight="1">
      <c r="A1919" s="3">
        <v>1918</v>
      </c>
      <c r="B1919" t="s" s="4">
        <v>12087</v>
      </c>
      <c r="C1919" t="s" s="5">
        <v>12088</v>
      </c>
      <c r="D1919" t="s" s="5">
        <v>12089</v>
      </c>
      <c r="E1919" t="s" s="5">
        <v>12090</v>
      </c>
      <c r="F1919" t="s" s="10">
        <v>12091</v>
      </c>
      <c r="G1919" t="s" s="7">
        <v>12092</v>
      </c>
      <c r="H1919" t="s" s="7">
        <v>12093</v>
      </c>
      <c r="I1919" t="str" s="8" cm="1">
        <f t="array" ref="I1919">SUBSTITUTE(H1919,B1919,"(          )")</f>
        <v>The twins look very (          ) but have different personalities.</v>
      </c>
      <c r="J1919" s="9" cm="1">
        <f t="array" ref="J1919">SUMIF('외운 것 - 엑셀다운로드 파일(붙여넣기)'!A3:A562,A1919,'외운 것 - 엑셀다운로드 파일(붙여넣기)'!D3:D562)</f>
        <v>0</v>
      </c>
      <c r="K1919" s="9" cm="1">
        <f t="array" ref="K1919">_xlfn.COUNTIFS('외운 것 - 엑셀다운로드 파일(붙여넣기)'!A3:A562,A1919,'외운 것 - 엑셀다운로드 파일(붙여넣기)'!D3:D562,0)</f>
        <v>0</v>
      </c>
      <c r="L1919" s="9" cm="1">
        <f t="array" ref="L1919">IF(J1919&gt;=3,_xlfn.XLOOKUP(A1919,'외운 것 - 엑셀다운로드 파일(붙여넣기)'!A3:A562,'외운 것 - 엑셀다운로드 파일(붙여넣기)'!C3:C562,0,-1),0)</f>
        <v>0</v>
      </c>
    </row>
    <row r="1920" ht="38.45" customHeight="1">
      <c r="A1920" s="3">
        <v>1919</v>
      </c>
      <c r="B1920" t="s" s="4">
        <v>12095</v>
      </c>
      <c r="C1920" t="s" s="5">
        <v>12096</v>
      </c>
      <c r="D1920" t="s" s="5">
        <v>12088</v>
      </c>
      <c r="E1920" t="s" s="5">
        <v>12097</v>
      </c>
      <c r="F1920" t="s" s="10">
        <v>12098</v>
      </c>
      <c r="G1920" t="s" s="7">
        <v>12099</v>
      </c>
      <c r="H1920" t="s" s="7">
        <v>12100</v>
      </c>
      <c r="I1920" t="str" s="8" cm="1">
        <f t="array" ref="I1920">SUBSTITUTE(H1920,B1920,"(          )")</f>
        <v>Their approaches to the problem were completely (          ).</v>
      </c>
      <c r="J1920" s="9" cm="1">
        <f t="array" ref="J1920">SUMIF('외운 것 - 엑셀다운로드 파일(붙여넣기)'!A3:A562,A1920,'외운 것 - 엑셀다운로드 파일(붙여넣기)'!D3:D562)</f>
        <v>0</v>
      </c>
      <c r="K1920" s="9" cm="1">
        <f t="array" ref="K1920">_xlfn.COUNTIFS('외운 것 - 엑셀다운로드 파일(붙여넣기)'!A3:A562,A1920,'외운 것 - 엑셀다운로드 파일(붙여넣기)'!D3:D562,0)</f>
        <v>0</v>
      </c>
      <c r="L1920" s="9" cm="1">
        <f t="array" ref="L1920">IF(J1920&gt;=3,_xlfn.XLOOKUP(A1920,'외운 것 - 엑셀다운로드 파일(붙여넣기)'!A3:A562,'외운 것 - 엑셀다운로드 파일(붙여넣기)'!C3:C562,0,-1),0)</f>
        <v>0</v>
      </c>
    </row>
    <row r="1921" ht="38.45" customHeight="1">
      <c r="A1921" s="3">
        <v>1920</v>
      </c>
      <c r="B1921" t="s" s="4">
        <v>12102</v>
      </c>
      <c r="C1921" t="s" s="5">
        <v>12088</v>
      </c>
      <c r="D1921" t="s" s="5">
        <v>12089</v>
      </c>
      <c r="E1921" t="s" s="5">
        <v>12103</v>
      </c>
      <c r="F1921" t="s" s="10">
        <v>12104</v>
      </c>
      <c r="G1921" t="s" s="7">
        <v>12105</v>
      </c>
      <c r="H1921" t="s" s="7">
        <v>12106</v>
      </c>
      <c r="I1921" t="str" s="8" cm="1">
        <f t="array" ref="I1921">SUBSTITUTE(H1921,B1921,"(          )")</f>
        <v>Simultaneous translation was provided at the international conference.</v>
      </c>
      <c r="J1921" s="9" cm="1">
        <f t="array" ref="J1921">SUMIF('외운 것 - 엑셀다운로드 파일(붙여넣기)'!A3:A562,A1921,'외운 것 - 엑셀다운로드 파일(붙여넣기)'!D3:D562)</f>
        <v>0</v>
      </c>
      <c r="K1921" s="9" cm="1">
        <f t="array" ref="K1921">_xlfn.COUNTIFS('외운 것 - 엑셀다운로드 파일(붙여넣기)'!A3:A562,A1921,'외운 것 - 엑셀다운로드 파일(붙여넣기)'!D3:D562,0)</f>
        <v>0</v>
      </c>
      <c r="L1921" s="9" cm="1">
        <f t="array" ref="L1921">IF(J1921&gt;=3,_xlfn.XLOOKUP(A1921,'외운 것 - 엑셀다운로드 파일(붙여넣기)'!A3:A562,'외운 것 - 엑셀다운로드 파일(붙여넣기)'!C3:C562,0,-1),0)</f>
        <v>0</v>
      </c>
    </row>
    <row r="1922" ht="50.45" customHeight="1">
      <c r="A1922" s="3">
        <v>1921</v>
      </c>
      <c r="B1922" t="s" s="4">
        <v>12108</v>
      </c>
      <c r="C1922" t="s" s="5">
        <v>12109</v>
      </c>
      <c r="D1922" t="s" s="5">
        <v>12088</v>
      </c>
      <c r="E1922" t="s" s="5">
        <v>12110</v>
      </c>
      <c r="F1922" t="s" s="10">
        <v>12111</v>
      </c>
      <c r="G1922" t="s" s="7">
        <v>12112</v>
      </c>
      <c r="H1922" t="s" s="7">
        <v>12113</v>
      </c>
      <c r="I1922" t="str" s="8" cm="1">
        <f t="array" ref="I1922">SUBSTITUTE(H1922,B1922,"(          )")</f>
        <v>The computer program can (          ) weather patterns.</v>
      </c>
      <c r="J1922" s="9" cm="1">
        <f t="array" ref="J1922">SUMIF('외운 것 - 엑셀다운로드 파일(붙여넣기)'!A3:A562,A1922,'외운 것 - 엑셀다운로드 파일(붙여넣기)'!D3:D562)</f>
        <v>0</v>
      </c>
      <c r="K1922" s="9" cm="1">
        <f t="array" ref="K1922">_xlfn.COUNTIFS('외운 것 - 엑셀다운로드 파일(붙여넣기)'!A3:A562,A1922,'외운 것 - 엑셀다운로드 파일(붙여넣기)'!D3:D562,0)</f>
        <v>0</v>
      </c>
      <c r="L1922" s="9" cm="1">
        <f t="array" ref="L1922">IF(J1922&gt;=3,_xlfn.XLOOKUP(A1922,'외운 것 - 엑셀다운로드 파일(붙여넣기)'!A3:A562,'외운 것 - 엑셀다운로드 파일(붙여넣기)'!C3:C562,0,-1),0)</f>
        <v>0</v>
      </c>
    </row>
    <row r="1923" ht="38.45" customHeight="1">
      <c r="A1923" s="3">
        <v>1922</v>
      </c>
      <c r="B1923" t="s" s="4">
        <v>12115</v>
      </c>
      <c r="C1923" t="s" s="5">
        <v>12088</v>
      </c>
      <c r="D1923" t="s" s="5">
        <v>12089</v>
      </c>
      <c r="E1923" t="s" s="5">
        <v>12116</v>
      </c>
      <c r="F1923" t="s" s="10">
        <v>12117</v>
      </c>
      <c r="G1923" t="s" s="7">
        <v>12118</v>
      </c>
      <c r="H1923" t="s" s="7">
        <v>12119</v>
      </c>
      <c r="I1923" t="str" s="8" cm="1">
        <f t="array" ref="I1923">SUBSTITUTE(H1923,B1923,"(          )")</f>
        <v>The recipe is (          ) enough for beginners.</v>
      </c>
      <c r="J1923" s="9" cm="1">
        <f t="array" ref="J1923">SUMIF('외운 것 - 엑셀다운로드 파일(붙여넣기)'!A3:A562,A1923,'외운 것 - 엑셀다운로드 파일(붙여넣기)'!D3:D562)</f>
        <v>0</v>
      </c>
      <c r="K1923" s="9" cm="1">
        <f t="array" ref="K1923">_xlfn.COUNTIFS('외운 것 - 엑셀다운로드 파일(붙여넣기)'!A3:A562,A1923,'외운 것 - 엑셀다운로드 파일(붙여넣기)'!D3:D562,0)</f>
        <v>0</v>
      </c>
      <c r="L1923" s="9" cm="1">
        <f t="array" ref="L1923">IF(J1923&gt;=3,_xlfn.XLOOKUP(A1923,'외운 것 - 엑셀다운로드 파일(붙여넣기)'!A3:A562,'외운 것 - 엑셀다운로드 파일(붙여넣기)'!C3:C562,0,-1),0)</f>
        <v>0</v>
      </c>
    </row>
    <row r="1924" ht="23.45" customHeight="1">
      <c r="A1924" s="3">
        <v>1923</v>
      </c>
      <c r="B1924" t="s" s="4">
        <v>12121</v>
      </c>
      <c r="C1924" t="s" s="5">
        <v>12122</v>
      </c>
      <c r="D1924" t="s" s="5">
        <v>12123</v>
      </c>
      <c r="E1924" t="s" s="5">
        <v>12124</v>
      </c>
      <c r="F1924" t="s" s="10">
        <v>12125</v>
      </c>
      <c r="G1924" t="s" s="7">
        <v>12126</v>
      </c>
      <c r="H1924" t="s" s="7">
        <v>12127</v>
      </c>
      <c r="I1924" t="str" s="8" cm="1">
        <f t="array" ref="I1924">SUBSTITUTE(H1924,B1924,"(          )")</f>
        <v>Workers (          ) the cars at this factory.</v>
      </c>
      <c r="J1924" s="9" cm="1">
        <f t="array" ref="J1924">SUMIF('외운 것 - 엑셀다운로드 파일(붙여넣기)'!A3:A562,A1924,'외운 것 - 엑셀다운로드 파일(붙여넣기)'!D3:D562)</f>
        <v>0</v>
      </c>
      <c r="K1924" s="9" cm="1">
        <f t="array" ref="K1924">_xlfn.COUNTIFS('외운 것 - 엑셀다운로드 파일(붙여넣기)'!A3:A562,A1924,'외운 것 - 엑셀다운로드 파일(붙여넣기)'!D3:D562,0)</f>
        <v>0</v>
      </c>
      <c r="L1924" s="9" cm="1">
        <f t="array" ref="L1924">IF(J1924&gt;=3,_xlfn.XLOOKUP(A1924,'외운 것 - 엑셀다운로드 파일(붙여넣기)'!A3:A562,'외운 것 - 엑셀다운로드 파일(붙여넣기)'!C3:C562,0,-1),0)</f>
        <v>0</v>
      </c>
    </row>
    <row r="1925" ht="36.4" customHeight="1">
      <c r="A1925" s="3">
        <v>1924</v>
      </c>
      <c r="B1925" t="s" s="4">
        <v>12129</v>
      </c>
      <c r="C1925" t="s" s="5">
        <v>12130</v>
      </c>
      <c r="D1925" t="s" s="5">
        <v>12122</v>
      </c>
      <c r="E1925" t="s" s="5">
        <v>12131</v>
      </c>
      <c r="F1925" t="s" s="10">
        <v>12132</v>
      </c>
      <c r="G1925" t="s" s="7">
        <v>12133</v>
      </c>
      <c r="H1925" t="s" s="7">
        <v>12134</v>
      </c>
      <c r="I1925" t="str" s="8" cm="1">
        <f t="array" ref="I1925">SUBSTITUTE(H1925,B1925,"(          )")</f>
        <v>The student (          ) meets every Friday morning.</v>
      </c>
      <c r="J1925" s="9" cm="1">
        <f t="array" ref="J1925">SUMIF('외운 것 - 엑셀다운로드 파일(붙여넣기)'!A3:A562,A1925,'외운 것 - 엑셀다운로드 파일(붙여넣기)'!D3:D562)</f>
        <v>0</v>
      </c>
      <c r="K1925" s="9" cm="1">
        <f t="array" ref="K1925">_xlfn.COUNTIFS('외운 것 - 엑셀다운로드 파일(붙여넣기)'!A3:A562,A1925,'외운 것 - 엑셀다운로드 파일(붙여넣기)'!D3:D562,0)</f>
        <v>0</v>
      </c>
      <c r="L1925" s="9" cm="1">
        <f t="array" ref="L1925">IF(J1925&gt;=3,_xlfn.XLOOKUP(A1925,'외운 것 - 엑셀다운로드 파일(붙여넣기)'!A3:A562,'외운 것 - 엑셀다운로드 파일(붙여넣기)'!C3:C562,0,-1),0)</f>
        <v>0</v>
      </c>
    </row>
    <row r="1926" ht="36.4" customHeight="1">
      <c r="A1926" s="3">
        <v>1925</v>
      </c>
      <c r="B1926" t="s" s="4">
        <v>12136</v>
      </c>
      <c r="C1926" t="s" s="5">
        <v>12130</v>
      </c>
      <c r="D1926" t="s" s="5">
        <v>12122</v>
      </c>
      <c r="E1926" t="s" s="5">
        <v>12137</v>
      </c>
      <c r="F1926" t="s" s="10">
        <v>12138</v>
      </c>
      <c r="G1926" t="s" s="7">
        <v>12139</v>
      </c>
      <c r="H1926" t="s" s="7">
        <v>12140</v>
      </c>
      <c r="I1926" t="str" s="8" cm="1">
        <f t="array" ref="I1926">SUBSTITUTE(H1926,B1926,"(          )")</f>
        <v>I had to (          ) the clock to repair it.</v>
      </c>
      <c r="J1926" s="9" cm="1">
        <f t="array" ref="J1926">SUMIF('외운 것 - 엑셀다운로드 파일(붙여넣기)'!A3:A562,A1926,'외운 것 - 엑셀다운로드 파일(붙여넣기)'!D3:D562)</f>
        <v>0</v>
      </c>
      <c r="K1926" s="9" cm="1">
        <f t="array" ref="K1926">_xlfn.COUNTIFS('외운 것 - 엑셀다운로드 파일(붙여넣기)'!A3:A562,A1926,'외운 것 - 엑셀다운로드 파일(붙여넣기)'!D3:D562,0)</f>
        <v>0</v>
      </c>
      <c r="L1926" s="9" cm="1">
        <f t="array" ref="L1926">IF(J1926&gt;=3,_xlfn.XLOOKUP(A1926,'외운 것 - 엑셀다운로드 파일(붙여넣기)'!A3:A562,'외운 것 - 엑셀다운로드 파일(붙여넣기)'!C3:C562,0,-1),0)</f>
        <v>0</v>
      </c>
    </row>
    <row r="1927" ht="36.4" customHeight="1">
      <c r="A1927" s="3">
        <v>1926</v>
      </c>
      <c r="B1927" t="s" s="4">
        <v>12142</v>
      </c>
      <c r="C1927" t="s" s="5">
        <v>12130</v>
      </c>
      <c r="D1927" t="s" s="5">
        <v>12122</v>
      </c>
      <c r="E1927" t="s" s="5">
        <v>12143</v>
      </c>
      <c r="F1927" t="s" s="10">
        <v>12144</v>
      </c>
      <c r="G1927" t="s" s="7">
        <v>12145</v>
      </c>
      <c r="H1927" t="s" s="7">
        <v>12146</v>
      </c>
      <c r="I1927" t="str" s="8" cm="1">
        <f t="array" ref="I1927">SUBSTITUTE(H1927,B1927,"(          )")</f>
        <v>The child (          )s her grandmother.</v>
      </c>
      <c r="J1927" s="9" cm="1">
        <f t="array" ref="J1927">SUMIF('외운 것 - 엑셀다운로드 파일(붙여넣기)'!A3:A562,A1927,'외운 것 - 엑셀다운로드 파일(붙여넣기)'!D3:D562)</f>
        <v>0</v>
      </c>
      <c r="K1927" s="9" cm="1">
        <f t="array" ref="K1927">_xlfn.COUNTIFS('외운 것 - 엑셀다운로드 파일(붙여넣기)'!A3:A562,A1927,'외운 것 - 엑셀다운로드 파일(붙여넣기)'!D3:D562,0)</f>
        <v>0</v>
      </c>
      <c r="L1927" s="9" cm="1">
        <f t="array" ref="L1927">IF(J1927&gt;=3,_xlfn.XLOOKUP(A1927,'외운 것 - 엑셀다운로드 파일(붙여넣기)'!A3:A562,'외운 것 - 엑셀다운로드 파일(붙여넣기)'!C3:C562,0,-1),0)</f>
        <v>0</v>
      </c>
    </row>
    <row r="1928" ht="23.45" customHeight="1">
      <c r="A1928" s="3">
        <v>1927</v>
      </c>
      <c r="B1928" t="s" s="4">
        <v>12148</v>
      </c>
      <c r="C1928" t="s" s="5">
        <v>12149</v>
      </c>
      <c r="D1928" t="s" s="5">
        <v>12150</v>
      </c>
      <c r="E1928" t="s" s="5">
        <v>12151</v>
      </c>
      <c r="F1928" t="s" s="10">
        <v>12152</v>
      </c>
      <c r="G1928" t="s" s="7">
        <v>12153</v>
      </c>
      <c r="H1928" t="s" s="7">
        <v>12154</v>
      </c>
      <c r="I1928" t="str" s="8" cm="1">
        <f t="array" ref="I1928">SUBSTITUTE(H1928,B1928,"(          )")</f>
        <v>Humans are (          ) creatures who live in communities.</v>
      </c>
      <c r="J1928" s="9" cm="1">
        <f t="array" ref="J1928">SUMIF('외운 것 - 엑셀다운로드 파일(붙여넣기)'!A3:A562,A1928,'외운 것 - 엑셀다운로드 파일(붙여넣기)'!D3:D562)</f>
        <v>0</v>
      </c>
      <c r="K1928" s="9" cm="1">
        <f t="array" ref="K1928">_xlfn.COUNTIFS('외운 것 - 엑셀다운로드 파일(붙여넣기)'!A3:A562,A1928,'외운 것 - 엑셀다운로드 파일(붙여넣기)'!D3:D562,0)</f>
        <v>0</v>
      </c>
      <c r="L1928" s="9" cm="1">
        <f t="array" ref="L1928">IF(J1928&gt;=3,_xlfn.XLOOKUP(A1928,'외운 것 - 엑셀다운로드 파일(붙여넣기)'!A3:A562,'외운 것 - 엑셀다운로드 파일(붙여넣기)'!C3:C562,0,-1),0)</f>
        <v>0</v>
      </c>
    </row>
    <row r="1929" ht="38.45" customHeight="1">
      <c r="A1929" s="3">
        <v>1928</v>
      </c>
      <c r="B1929" t="s" s="4">
        <v>12156</v>
      </c>
      <c r="C1929" t="s" s="5">
        <v>12149</v>
      </c>
      <c r="D1929" t="s" s="5">
        <v>12150</v>
      </c>
      <c r="E1929" t="s" s="5">
        <v>12157</v>
      </c>
      <c r="F1929" t="s" s="10">
        <v>12158</v>
      </c>
      <c r="G1929" t="s" s="7">
        <v>12159</v>
      </c>
      <c r="H1929" t="s" s="7">
        <v>12160</v>
      </c>
      <c r="I1929" t="str" s="8" cm="1">
        <f t="array" ref="I1929">SUBSTITUTE(H1929,B1929,"(          )")</f>
        <v>Dogs are naturally (          ) animals.</v>
      </c>
      <c r="J1929" s="9" cm="1">
        <f t="array" ref="J1929">SUMIF('외운 것 - 엑셀다운로드 파일(붙여넣기)'!A3:A562,A1929,'외운 것 - 엑셀다운로드 파일(붙여넣기)'!D3:D562)</f>
        <v>0</v>
      </c>
      <c r="K1929" s="9" cm="1">
        <f t="array" ref="K1929">_xlfn.COUNTIFS('외운 것 - 엑셀다운로드 파일(붙여넣기)'!A3:A562,A1929,'외운 것 - 엑셀다운로드 파일(붙여넣기)'!D3:D562,0)</f>
        <v>0</v>
      </c>
      <c r="L1929" s="9" cm="1">
        <f t="array" ref="L1929">IF(J1929&gt;=3,_xlfn.XLOOKUP(A1929,'외운 것 - 엑셀다운로드 파일(붙여넣기)'!A3:A562,'외운 것 - 엑셀다운로드 파일(붙여넣기)'!C3:C562,0,-1),0)</f>
        <v>0</v>
      </c>
    </row>
    <row r="1930" ht="23.45" customHeight="1">
      <c r="A1930" s="3">
        <v>1929</v>
      </c>
      <c r="B1930" t="s" s="4">
        <v>12162</v>
      </c>
      <c r="C1930" t="s" s="5">
        <v>12149</v>
      </c>
      <c r="D1930" t="s" s="5">
        <v>12150</v>
      </c>
      <c r="E1930" t="s" s="5">
        <v>12163</v>
      </c>
      <c r="F1930" t="s" s="10">
        <v>12164</v>
      </c>
      <c r="G1930" t="s" s="7">
        <v>12165</v>
      </c>
      <c r="H1930" t="s" s="7">
        <v>12166</v>
      </c>
      <c r="I1930" t="str" s="8" cm="1">
        <f t="array" ref="I1930">SUBSTITUTE(H1930,B1930,"(          )")</f>
        <v>Education shapes the future of (          ).</v>
      </c>
      <c r="J1930" s="9" cm="1">
        <f t="array" ref="J1930">SUMIF('외운 것 - 엑셀다운로드 파일(붙여넣기)'!A3:A562,A1930,'외운 것 - 엑셀다운로드 파일(붙여넣기)'!D3:D562)</f>
        <v>0</v>
      </c>
      <c r="K1930" s="9" cm="1">
        <f t="array" ref="K1930">_xlfn.COUNTIFS('외운 것 - 엑셀다운로드 파일(붙여넣기)'!A3:A562,A1930,'외운 것 - 엑셀다운로드 파일(붙여넣기)'!D3:D562,0)</f>
        <v>0</v>
      </c>
      <c r="L1930" s="9" cm="1">
        <f t="array" ref="L1930">IF(J1930&gt;=3,_xlfn.XLOOKUP(A1930,'외운 것 - 엑셀다운로드 파일(붙여넣기)'!A3:A562,'외운 것 - 엑셀다운로드 파일(붙여넣기)'!C3:C562,0,-1),0)</f>
        <v>0</v>
      </c>
    </row>
    <row r="1931" ht="38.45" customHeight="1">
      <c r="A1931" s="3">
        <v>1930</v>
      </c>
      <c r="B1931" t="s" s="4">
        <v>12168</v>
      </c>
      <c r="C1931" t="s" s="5">
        <v>12149</v>
      </c>
      <c r="D1931" t="s" s="5">
        <v>12150</v>
      </c>
      <c r="E1931" t="s" s="5">
        <v>12169</v>
      </c>
      <c r="F1931" t="s" s="10">
        <v>12170</v>
      </c>
      <c r="G1931" t="s" s="7">
        <v>12171</v>
      </c>
      <c r="H1931" t="s" s="7">
        <v>12172</v>
      </c>
      <c r="I1931" t="str" s="8" cm="1">
        <f t="array" ref="I1931">SUBSTITUTE(H1931,B1931,"(          )")</f>
        <v>I (          ) the smell of cinnamon with Christmas.</v>
      </c>
      <c r="J1931" s="9" cm="1">
        <f t="array" ref="J1931">SUMIF('외운 것 - 엑셀다운로드 파일(붙여넣기)'!A3:A562,A1931,'외운 것 - 엑셀다운로드 파일(붙여넣기)'!D3:D562)</f>
        <v>0</v>
      </c>
      <c r="K1931" s="9" cm="1">
        <f t="array" ref="K1931">_xlfn.COUNTIFS('외운 것 - 엑셀다운로드 파일(붙여넣기)'!A3:A562,A1931,'외운 것 - 엑셀다운로드 파일(붙여넣기)'!D3:D562,0)</f>
        <v>0</v>
      </c>
      <c r="L1931" s="9" cm="1">
        <f t="array" ref="L1931">IF(J1931&gt;=3,_xlfn.XLOOKUP(A1931,'외운 것 - 엑셀다운로드 파일(붙여넣기)'!A3:A562,'외운 것 - 엑셀다운로드 파일(붙여넣기)'!C3:C562,0,-1),0)</f>
        <v>0</v>
      </c>
    </row>
    <row r="1932" ht="23.45" customHeight="1">
      <c r="A1932" s="3">
        <v>1931</v>
      </c>
      <c r="B1932" t="s" s="4">
        <v>12174</v>
      </c>
      <c r="C1932" t="s" s="5">
        <v>12175</v>
      </c>
      <c r="D1932" t="s" s="5">
        <v>12176</v>
      </c>
      <c r="E1932" t="s" s="5">
        <v>12177</v>
      </c>
      <c r="F1932" t="s" s="10">
        <v>12178</v>
      </c>
      <c r="G1932" t="s" s="7">
        <v>12179</v>
      </c>
      <c r="H1932" t="s" s="7">
        <v>12180</v>
      </c>
      <c r="I1932" t="str" s="8" cm="1">
        <f t="array" ref="I1932">SUBSTITUTE(H1932,B1932,"(          )")</f>
        <v>The detective worked to (          ) the mystery.</v>
      </c>
      <c r="J1932" s="9" cm="1">
        <f t="array" ref="J1932">SUMIF('외운 것 - 엑셀다운로드 파일(붙여넣기)'!A3:A562,A1932,'외운 것 - 엑셀다운로드 파일(붙여넣기)'!D3:D562)</f>
        <v>0</v>
      </c>
      <c r="K1932" s="9" cm="1">
        <f t="array" ref="K1932">_xlfn.COUNTIFS('외운 것 - 엑셀다운로드 파일(붙여넣기)'!A3:A562,A1932,'외운 것 - 엑셀다운로드 파일(붙여넣기)'!D3:D562,0)</f>
        <v>0</v>
      </c>
      <c r="L1932" s="9" cm="1">
        <f t="array" ref="L1932">IF(J1932&gt;=3,_xlfn.XLOOKUP(A1932,'외운 것 - 엑셀다운로드 파일(붙여넣기)'!A3:A562,'외운 것 - 엑셀다운로드 파일(붙여넣기)'!C3:C562,0,-1),0)</f>
        <v>0</v>
      </c>
    </row>
    <row r="1933" ht="38.45" customHeight="1">
      <c r="A1933" s="3">
        <v>1932</v>
      </c>
      <c r="B1933" t="s" s="4">
        <v>12182</v>
      </c>
      <c r="C1933" t="s" s="5">
        <v>12175</v>
      </c>
      <c r="D1933" t="s" s="5">
        <v>12176</v>
      </c>
      <c r="E1933" t="s" s="5">
        <v>12183</v>
      </c>
      <c r="F1933" t="s" s="10">
        <v>12184</v>
      </c>
      <c r="G1933" t="s" s="7">
        <v>12185</v>
      </c>
      <c r="H1933" t="s" s="7">
        <v>12186</v>
      </c>
      <c r="I1933" t="str" s="8" cm="1">
        <f t="array" ref="I1933">SUBSTITUTE(H1933,B1933,"(          )")</f>
        <v>The company remained (          ) despite economic challenges.</v>
      </c>
      <c r="J1933" s="9" cm="1">
        <f t="array" ref="J1933">SUMIF('외운 것 - 엑셀다운로드 파일(붙여넣기)'!A3:A562,A1933,'외운 것 - 엑셀다운로드 파일(붙여넣기)'!D3:D562)</f>
        <v>0</v>
      </c>
      <c r="K1933" s="9" cm="1">
        <f t="array" ref="K1933">_xlfn.COUNTIFS('외운 것 - 엑셀다운로드 파일(붙여넣기)'!A3:A562,A1933,'외운 것 - 엑셀다운로드 파일(붙여넣기)'!D3:D562,0)</f>
        <v>0</v>
      </c>
      <c r="L1933" s="9" cm="1">
        <f t="array" ref="L1933">IF(J1933&gt;=3,_xlfn.XLOOKUP(A1933,'외운 것 - 엑셀다운로드 파일(붙여넣기)'!A3:A562,'외운 것 - 엑셀다운로드 파일(붙여넣기)'!C3:C562,0,-1),0)</f>
        <v>0</v>
      </c>
    </row>
    <row r="1934" ht="36.4" customHeight="1">
      <c r="A1934" s="3">
        <v>1933</v>
      </c>
      <c r="B1934" t="s" s="4">
        <v>12188</v>
      </c>
      <c r="C1934" t="s" s="5">
        <v>12189</v>
      </c>
      <c r="D1934" t="s" s="5">
        <v>12176</v>
      </c>
      <c r="E1934" t="s" s="5">
        <v>12190</v>
      </c>
      <c r="F1934" t="s" s="10">
        <v>12191</v>
      </c>
      <c r="G1934" t="s" s="7">
        <v>12192</v>
      </c>
      <c r="H1934" t="s" s="7">
        <v>12193</v>
      </c>
      <c r="I1934" t="str" s="8" cm="1">
        <f t="array" ref="I1934">SUBSTITUTE(H1934,B1934,"(          )")</f>
        <v>Finding a (          ) requires creative thinking.</v>
      </c>
      <c r="J1934" s="9" cm="1">
        <f t="array" ref="J1934">SUMIF('외운 것 - 엑셀다운로드 파일(붙여넣기)'!A3:A562,A1934,'외운 것 - 엑셀다운로드 파일(붙여넣기)'!D3:D562)</f>
        <v>0</v>
      </c>
      <c r="K1934" s="9" cm="1">
        <f t="array" ref="K1934">_xlfn.COUNTIFS('외운 것 - 엑셀다운로드 파일(붙여넣기)'!A3:A562,A1934,'외운 것 - 엑셀다운로드 파일(붙여넣기)'!D3:D562,0)</f>
        <v>0</v>
      </c>
      <c r="L1934" s="9" cm="1">
        <f t="array" ref="L1934">IF(J1934&gt;=3,_xlfn.XLOOKUP(A1934,'외운 것 - 엑셀다운로드 파일(붙여넣기)'!A3:A562,'외운 것 - 엑셀다운로드 파일(붙여넣기)'!C3:C562,0,-1),0)</f>
        <v>0</v>
      </c>
    </row>
    <row r="1935" ht="38.45" customHeight="1">
      <c r="A1935" s="3">
        <v>1934</v>
      </c>
      <c r="B1935" t="s" s="4">
        <v>12195</v>
      </c>
      <c r="C1935" t="s" s="5">
        <v>12175</v>
      </c>
      <c r="D1935" t="s" s="5">
        <v>12176</v>
      </c>
      <c r="E1935" t="s" s="5">
        <v>12196</v>
      </c>
      <c r="F1935" t="s" s="10">
        <v>12197</v>
      </c>
      <c r="G1935" t="s" s="7">
        <v>12198</v>
      </c>
      <c r="H1935" t="s" s="7">
        <v>12199</v>
      </c>
      <c r="I1935" t="str" s="8" cm="1">
        <f t="array" ref="I1935">SUBSTITUTE(H1935,B1935,"(          )")</f>
        <v>Sugar (          )s in hot water.</v>
      </c>
      <c r="J1935" s="9" cm="1">
        <f t="array" ref="J1935">SUMIF('외운 것 - 엑셀다운로드 파일(붙여넣기)'!A3:A562,A1935,'외운 것 - 엑셀다운로드 파일(붙여넣기)'!D3:D562)</f>
        <v>0</v>
      </c>
      <c r="K1935" s="9" cm="1">
        <f t="array" ref="K1935">_xlfn.COUNTIFS('외운 것 - 엑셀다운로드 파일(붙여넣기)'!A3:A562,A1935,'외운 것 - 엑셀다운로드 파일(붙여넣기)'!D3:D562,0)</f>
        <v>0</v>
      </c>
      <c r="L1935" s="9" cm="1">
        <f t="array" ref="L1935">IF(J1935&gt;=3,_xlfn.XLOOKUP(A1935,'외운 것 - 엑셀다운로드 파일(붙여넣기)'!A3:A562,'외운 것 - 엑셀다운로드 파일(붙여넣기)'!C3:C562,0,-1),0)</f>
        <v>0</v>
      </c>
    </row>
    <row r="1936" ht="23.45" customHeight="1">
      <c r="A1936" s="3">
        <v>1935</v>
      </c>
      <c r="B1936" t="s" s="4">
        <v>725</v>
      </c>
      <c r="C1936" t="s" s="5">
        <v>12175</v>
      </c>
      <c r="D1936" t="s" s="5">
        <v>12176</v>
      </c>
      <c r="E1936" t="s" s="5">
        <v>726</v>
      </c>
      <c r="F1936" t="s" s="10">
        <v>12201</v>
      </c>
      <c r="G1936" t="s" s="7">
        <v>12202</v>
      </c>
      <c r="H1936" t="s" s="7">
        <v>729</v>
      </c>
      <c r="I1936" t="str" s="8" cm="1">
        <f t="array" ref="I1936">SUBSTITUTE(H1936,B1936,"(          )")</f>
        <v>The evidence helped to (          ) him of any blame.</v>
      </c>
      <c r="J1936" s="9" cm="1">
        <f t="array" ref="J1936">SUMIF('외운 것 - 엑셀다운로드 파일(붙여넣기)'!A3:A562,A1936,'외운 것 - 엑셀다운로드 파일(붙여넣기)'!D3:D562)</f>
        <v>0</v>
      </c>
      <c r="K1936" s="9" cm="1">
        <f t="array" ref="K1936">_xlfn.COUNTIFS('외운 것 - 엑셀다운로드 파일(붙여넣기)'!A3:A562,A1936,'외운 것 - 엑셀다운로드 파일(붙여넣기)'!D3:D562,0)</f>
        <v>0</v>
      </c>
      <c r="L1936" s="9" cm="1">
        <f t="array" ref="L1936">IF(J1936&gt;=3,_xlfn.XLOOKUP(A1936,'외운 것 - 엑셀다운로드 파일(붙여넣기)'!A3:A562,'외운 것 - 엑셀다운로드 파일(붙여넣기)'!C3:C562,0,-1),0)</f>
        <v>0</v>
      </c>
    </row>
    <row r="1937" ht="38.45" customHeight="1">
      <c r="A1937" s="3">
        <v>1936</v>
      </c>
      <c r="B1937" t="s" s="4">
        <v>719</v>
      </c>
      <c r="C1937" t="s" s="5">
        <v>12189</v>
      </c>
      <c r="D1937" t="s" s="5">
        <v>12176</v>
      </c>
      <c r="E1937" t="s" s="5">
        <v>720</v>
      </c>
      <c r="F1937" t="s" s="10">
        <v>12203</v>
      </c>
      <c r="G1937" t="s" s="7">
        <v>12204</v>
      </c>
      <c r="H1937" t="s" s="7">
        <v>723</v>
      </c>
      <c r="I1937" t="str" s="8" cm="1">
        <f t="array" ref="I1937">SUBSTITUTE(H1937,B1937,"(          )")</f>
        <v>I have (          ) confidence in her abilities.</v>
      </c>
      <c r="J1937" s="9" cm="1">
        <f t="array" ref="J1937">SUMIF('외운 것 - 엑셀다운로드 파일(붙여넣기)'!A3:A562,A1937,'외운 것 - 엑셀다운로드 파일(붙여넣기)'!D3:D562)</f>
        <v>0</v>
      </c>
      <c r="K1937" s="9" cm="1">
        <f t="array" ref="K1937">_xlfn.COUNTIFS('외운 것 - 엑셀다운로드 파일(붙여넣기)'!A3:A562,A1937,'외운 것 - 엑셀다운로드 파일(붙여넣기)'!D3:D562,0)</f>
        <v>0</v>
      </c>
      <c r="L1937" s="9" cm="1">
        <f t="array" ref="L1937">IF(J1937&gt;=3,_xlfn.XLOOKUP(A1937,'외운 것 - 엑셀다운로드 파일(붙여넣기)'!A3:A562,'외운 것 - 엑셀다운로드 파일(붙여넣기)'!C3:C562,0,-1),0)</f>
        <v>0</v>
      </c>
    </row>
    <row r="1938" ht="38.45" customHeight="1">
      <c r="A1938" s="3">
        <v>1937</v>
      </c>
      <c r="B1938" t="s" s="4">
        <v>12205</v>
      </c>
      <c r="C1938" t="s" s="5">
        <v>12175</v>
      </c>
      <c r="D1938" t="s" s="5">
        <v>12176</v>
      </c>
      <c r="E1938" t="s" s="5">
        <v>12206</v>
      </c>
      <c r="F1938" t="s" s="10">
        <v>12207</v>
      </c>
      <c r="G1938" t="s" s="7">
        <v>12208</v>
      </c>
      <c r="H1938" t="s" s="7">
        <v>12209</v>
      </c>
      <c r="I1938" t="str" s="8" cm="1">
        <f t="array" ref="I1938">SUBSTITUTE(H1938,B1938,"(          )")</f>
        <v>They (          )d to exercise more in the new year.</v>
      </c>
      <c r="J1938" s="9" cm="1">
        <f t="array" ref="J1938">SUMIF('외운 것 - 엑셀다운로드 파일(붙여넣기)'!A3:A562,A1938,'외운 것 - 엑셀다운로드 파일(붙여넣기)'!D3:D562)</f>
        <v>0</v>
      </c>
      <c r="K1938" s="9" cm="1">
        <f t="array" ref="K1938">_xlfn.COUNTIFS('외운 것 - 엑셀다운로드 파일(붙여넣기)'!A3:A562,A1938,'외운 것 - 엑셀다운로드 파일(붙여넣기)'!D3:D562,0)</f>
        <v>0</v>
      </c>
      <c r="L1938" s="9" cm="1">
        <f t="array" ref="L1938">IF(J1938&gt;=3,_xlfn.XLOOKUP(A1938,'외운 것 - 엑셀다운로드 파일(붙여넣기)'!A3:A562,'외운 것 - 엑셀다운로드 파일(붙여넣기)'!C3:C562,0,-1),0)</f>
        <v>0</v>
      </c>
    </row>
    <row r="1939" ht="23.45" customHeight="1">
      <c r="A1939" s="3">
        <v>1938</v>
      </c>
      <c r="B1939" t="s" s="4">
        <v>12211</v>
      </c>
      <c r="C1939" t="s" s="5">
        <v>12212</v>
      </c>
      <c r="D1939" t="s" s="5">
        <v>12213</v>
      </c>
      <c r="E1939" t="s" s="5">
        <v>12214</v>
      </c>
      <c r="F1939" t="s" s="10">
        <v>12215</v>
      </c>
      <c r="G1939" t="s" s="7">
        <v>12216</v>
      </c>
      <c r="H1939" t="s" s="7">
        <v>12217</v>
      </c>
      <c r="I1939" t="str" s="8" cm="1">
        <f t="array" ref="I1939">SUBSTITUTE(H1939,B1939,"(          )")</f>
        <v>Dogs have a keen (          ) of smell.</v>
      </c>
      <c r="J1939" s="9" cm="1">
        <f t="array" ref="J1939">SUMIF('외운 것 - 엑셀다운로드 파일(붙여넣기)'!A3:A562,A1939,'외운 것 - 엑셀다운로드 파일(붙여넣기)'!D3:D562)</f>
        <v>0</v>
      </c>
      <c r="K1939" s="9" cm="1">
        <f t="array" ref="K1939">_xlfn.COUNTIFS('외운 것 - 엑셀다운로드 파일(붙여넣기)'!A3:A562,A1939,'외운 것 - 엑셀다운로드 파일(붙여넣기)'!D3:D562,0)</f>
        <v>0</v>
      </c>
      <c r="L1939" s="9" cm="1">
        <f t="array" ref="L1939">IF(J1939&gt;=3,_xlfn.XLOOKUP(A1939,'외운 것 - 엑셀다운로드 파일(붙여넣기)'!A3:A562,'외운 것 - 엑셀다운로드 파일(붙여넣기)'!C3:C562,0,-1),0)</f>
        <v>0</v>
      </c>
    </row>
    <row r="1940" ht="38.45" customHeight="1">
      <c r="A1940" s="3">
        <v>1939</v>
      </c>
      <c r="B1940" t="s" s="4">
        <v>12219</v>
      </c>
      <c r="C1940" t="s" s="5">
        <v>12212</v>
      </c>
      <c r="D1940" t="s" s="5">
        <v>12213</v>
      </c>
      <c r="E1940" t="s" s="5">
        <v>12220</v>
      </c>
      <c r="F1940" t="s" s="10">
        <v>12221</v>
      </c>
      <c r="G1940" t="s" s="7">
        <v>991</v>
      </c>
      <c r="H1940" t="s" s="7">
        <v>12222</v>
      </c>
      <c r="I1940" t="str" s="8" cm="1">
        <f t="array" ref="I1940">SUBSTITUTE(H1940,B1940,"(          )")</f>
        <v>Some people have (          ) skin that burns easily in the sun.</v>
      </c>
      <c r="J1940" s="9" cm="1">
        <f t="array" ref="J1940">SUMIF('외운 것 - 엑셀다운로드 파일(붙여넣기)'!A3:A562,A1940,'외운 것 - 엑셀다운로드 파일(붙여넣기)'!D3:D562)</f>
        <v>0</v>
      </c>
      <c r="K1940" s="9" cm="1">
        <f t="array" ref="K1940">_xlfn.COUNTIFS('외운 것 - 엑셀다운로드 파일(붙여넣기)'!A3:A562,A1940,'외운 것 - 엑셀다운로드 파일(붙여넣기)'!D3:D562,0)</f>
        <v>0</v>
      </c>
      <c r="L1940" s="9" cm="1">
        <f t="array" ref="L1940">IF(J1940&gt;=3,_xlfn.XLOOKUP(A1940,'외운 것 - 엑셀다운로드 파일(붙여넣기)'!A3:A562,'외운 것 - 엑셀다운로드 파일(붙여넣기)'!C3:C562,0,-1),0)</f>
        <v>0</v>
      </c>
    </row>
    <row r="1941" ht="38.45" customHeight="1">
      <c r="A1941" s="3">
        <v>1940</v>
      </c>
      <c r="B1941" t="s" s="4">
        <v>12224</v>
      </c>
      <c r="C1941" t="s" s="5">
        <v>12212</v>
      </c>
      <c r="D1941" t="s" s="5">
        <v>12213</v>
      </c>
      <c r="E1941" t="s" s="5">
        <v>12225</v>
      </c>
      <c r="F1941" t="s" s="10">
        <v>12226</v>
      </c>
      <c r="G1941" t="s" s="7">
        <v>12227</v>
      </c>
      <c r="H1941" t="s" s="7">
        <v>12228</v>
      </c>
      <c r="I1941" t="str" s="8" cm="1">
        <f t="array" ref="I1941">SUBSTITUTE(H1941,B1941,"(          )")</f>
        <v>Wearing a coat in cold weather is (          ).</v>
      </c>
      <c r="J1941" s="9" cm="1">
        <f t="array" ref="J1941">SUMIF('외운 것 - 엑셀다운로드 파일(붙여넣기)'!A3:A562,A1941,'외운 것 - 엑셀다운로드 파일(붙여넣기)'!D3:D562)</f>
        <v>0</v>
      </c>
      <c r="K1941" s="9" cm="1">
        <f t="array" ref="K1941">_xlfn.COUNTIFS('외운 것 - 엑셀다운로드 파일(붙여넣기)'!A3:A562,A1941,'외운 것 - 엑셀다운로드 파일(붙여넣기)'!D3:D562,0)</f>
        <v>0</v>
      </c>
      <c r="L1941" s="9" cm="1">
        <f t="array" ref="L1941">IF(J1941&gt;=3,_xlfn.XLOOKUP(A1941,'외운 것 - 엑셀다운로드 파일(붙여넣기)'!A3:A562,'외운 것 - 엑셀다운로드 파일(붙여넣기)'!C3:C562,0,-1),0)</f>
        <v>0</v>
      </c>
    </row>
    <row r="1942" ht="23.45" customHeight="1">
      <c r="A1942" s="3">
        <v>1941</v>
      </c>
      <c r="B1942" t="s" s="4">
        <v>12230</v>
      </c>
      <c r="C1942" t="s" s="5">
        <v>12212</v>
      </c>
      <c r="D1942" t="s" s="5">
        <v>12213</v>
      </c>
      <c r="E1942" t="s" s="5">
        <v>12231</v>
      </c>
      <c r="F1942" t="s" s="10">
        <v>12232</v>
      </c>
      <c r="G1942" t="s" s="7">
        <v>12233</v>
      </c>
      <c r="H1942" t="s" s="7">
        <v>12234</v>
      </c>
      <c r="I1942" t="str" s="8" cm="1">
        <f t="array" ref="I1942">SUBSTITUTE(H1942,B1942,"(          )")</f>
        <v>The perfume has a rich, (          ) fragrance.</v>
      </c>
      <c r="J1942" s="9" cm="1">
        <f t="array" ref="J1942">SUMIF('외운 것 - 엑셀다운로드 파일(붙여넣기)'!A3:A562,A1942,'외운 것 - 엑셀다운로드 파일(붙여넣기)'!D3:D562)</f>
        <v>0</v>
      </c>
      <c r="K1942" s="9" cm="1">
        <f t="array" ref="K1942">_xlfn.COUNTIFS('외운 것 - 엑셀다운로드 파일(붙여넣기)'!A3:A562,A1942,'외운 것 - 엑셀다운로드 파일(붙여넣기)'!D3:D562,0)</f>
        <v>0</v>
      </c>
      <c r="L1942" s="9" cm="1">
        <f t="array" ref="L1942">IF(J1942&gt;=3,_xlfn.XLOOKUP(A1942,'외운 것 - 엑셀다운로드 파일(붙여넣기)'!A3:A562,'외운 것 - 엑셀다운로드 파일(붙여넣기)'!C3:C562,0,-1),0)</f>
        <v>0</v>
      </c>
    </row>
    <row r="1943" ht="38.45" customHeight="1">
      <c r="A1943" s="3">
        <v>1942</v>
      </c>
      <c r="B1943" t="s" s="4">
        <v>12236</v>
      </c>
      <c r="C1943" t="s" s="5">
        <v>12237</v>
      </c>
      <c r="D1943" t="s" s="5">
        <v>12213</v>
      </c>
      <c r="E1943" t="s" s="5">
        <v>12238</v>
      </c>
      <c r="F1943" t="s" s="10">
        <v>12239</v>
      </c>
      <c r="G1943" t="s" s="7">
        <v>12240</v>
      </c>
      <c r="H1943" t="s" s="7">
        <v>12241</v>
      </c>
      <c r="I1943" t="str" s="8" cm="1">
        <f t="array" ref="I1943">SUBSTITUTE(H1943,B1943,"(          )")</f>
        <v>The old photograph has (          ) value to me.</v>
      </c>
      <c r="J1943" s="9" cm="1">
        <f t="array" ref="J1943">SUMIF('외운 것 - 엑셀다운로드 파일(붙여넣기)'!A3:A562,A1943,'외운 것 - 엑셀다운로드 파일(붙여넣기)'!D3:D562)</f>
        <v>0</v>
      </c>
      <c r="K1943" s="9" cm="1">
        <f t="array" ref="K1943">_xlfn.COUNTIFS('외운 것 - 엑셀다운로드 파일(붙여넣기)'!A3:A562,A1943,'외운 것 - 엑셀다운로드 파일(붙여넣기)'!D3:D562,0)</f>
        <v>0</v>
      </c>
      <c r="L1943" s="9" cm="1">
        <f t="array" ref="L1943">IF(J1943&gt;=3,_xlfn.XLOOKUP(A1943,'외운 것 - 엑셀다운로드 파일(붙여넣기)'!A3:A562,'외운 것 - 엑셀다운로드 파일(붙여넣기)'!C3:C562,0,-1),0)</f>
        <v>0</v>
      </c>
    </row>
    <row r="1944" ht="23.45" customHeight="1">
      <c r="A1944" s="3">
        <v>1943</v>
      </c>
      <c r="B1944" t="s" s="4">
        <v>12243</v>
      </c>
      <c r="C1944" t="s" s="5">
        <v>12237</v>
      </c>
      <c r="D1944" t="s" s="5">
        <v>12213</v>
      </c>
      <c r="E1944" t="s" s="5">
        <v>12244</v>
      </c>
      <c r="F1944" t="s" s="10">
        <v>12245</v>
      </c>
      <c r="G1944" t="s" s="7">
        <v>12246</v>
      </c>
      <c r="H1944" t="s" s="7">
        <v>12247</v>
      </c>
      <c r="I1944" t="str" s="8" cm="1">
        <f t="array" ref="I1944">SUBSTITUTE(H1944,B1944,"(          )")</f>
        <v>The judge will (          ) the convicted criminal tomorrow.</v>
      </c>
      <c r="J1944" s="9" cm="1">
        <f t="array" ref="J1944">SUMIF('외운 것 - 엑셀다운로드 파일(붙여넣기)'!A3:A562,A1944,'외운 것 - 엑셀다운로드 파일(붙여넣기)'!D3:D562)</f>
        <v>0</v>
      </c>
      <c r="K1944" s="9" cm="1">
        <f t="array" ref="K1944">_xlfn.COUNTIFS('외운 것 - 엑셀다운로드 파일(붙여넣기)'!A3:A562,A1944,'외운 것 - 엑셀다운로드 파일(붙여넣기)'!D3:D562,0)</f>
        <v>0</v>
      </c>
      <c r="L1944" s="9" cm="1">
        <f t="array" ref="L1944">IF(J1944&gt;=3,_xlfn.XLOOKUP(A1944,'외운 것 - 엑셀다운로드 파일(붙여넣기)'!A3:A562,'외운 것 - 엑셀다운로드 파일(붙여넣기)'!C3:C562,0,-1),0)</f>
        <v>0</v>
      </c>
    </row>
    <row r="1945" ht="23.45" customHeight="1">
      <c r="A1945" s="3">
        <v>1944</v>
      </c>
      <c r="B1945" t="s" s="4">
        <v>12249</v>
      </c>
      <c r="C1945" t="s" s="5">
        <v>12237</v>
      </c>
      <c r="D1945" t="s" s="5">
        <v>12213</v>
      </c>
      <c r="E1945" t="s" s="5">
        <v>12250</v>
      </c>
      <c r="F1945" t="s" s="10">
        <v>12251</v>
      </c>
      <c r="G1945" t="s" s="7">
        <v>12252</v>
      </c>
      <c r="H1945" t="s" s="7">
        <v>12253</v>
      </c>
      <c r="I1945" t="str" s="8" cm="1">
        <f t="array" ref="I1945">SUBSTITUTE(H1945,B1945,"(          )")</f>
        <v>The committee gave its (          ) to the proposal.</v>
      </c>
      <c r="J1945" s="9" cm="1">
        <f t="array" ref="J1945">SUMIF('외운 것 - 엑셀다운로드 파일(붙여넣기)'!A3:A562,A1945,'외운 것 - 엑셀다운로드 파일(붙여넣기)'!D3:D562)</f>
        <v>0</v>
      </c>
      <c r="K1945" s="9" cm="1">
        <f t="array" ref="K1945">_xlfn.COUNTIFS('외운 것 - 엑셀다운로드 파일(붙여넣기)'!A3:A562,A1945,'외운 것 - 엑셀다운로드 파일(붙여넣기)'!D3:D562,0)</f>
        <v>0</v>
      </c>
      <c r="L1945" s="9" cm="1">
        <f t="array" ref="L1945">IF(J1945&gt;=3,_xlfn.XLOOKUP(A1945,'외운 것 - 엑셀다운로드 파일(붙여넣기)'!A3:A562,'외운 것 - 엑셀다운로드 파일(붙여넣기)'!C3:C562,0,-1),0)</f>
        <v>0</v>
      </c>
    </row>
    <row r="1946" ht="38.45" customHeight="1">
      <c r="A1946" s="3">
        <v>1945</v>
      </c>
      <c r="B1946" t="s" s="4">
        <v>12255</v>
      </c>
      <c r="C1946" t="s" s="5">
        <v>12237</v>
      </c>
      <c r="D1946" t="s" s="5">
        <v>12213</v>
      </c>
      <c r="E1946" t="s" s="5">
        <v>12256</v>
      </c>
      <c r="F1946" t="s" s="10">
        <v>12257</v>
      </c>
      <c r="G1946" t="s" s="7">
        <v>12252</v>
      </c>
      <c r="H1946" t="s" s="7">
        <v>12258</v>
      </c>
      <c r="I1946" t="str" s="8" cm="1">
        <f t="array" ref="I1946">SUBSTITUTE(H1946,B1946,"(          )")</f>
        <v>Parents must give (          ) for children's medical treatment.</v>
      </c>
      <c r="J1946" s="9" cm="1">
        <f t="array" ref="J1946">SUMIF('외운 것 - 엑셀다운로드 파일(붙여넣기)'!A3:A562,A1946,'외운 것 - 엑셀다운로드 파일(붙여넣기)'!D3:D562)</f>
        <v>0</v>
      </c>
      <c r="K1946" s="9" cm="1">
        <f t="array" ref="K1946">_xlfn.COUNTIFS('외운 것 - 엑셀다운로드 파일(붙여넣기)'!A3:A562,A1946,'외운 것 - 엑셀다운로드 파일(붙여넣기)'!D3:D562,0)</f>
        <v>0</v>
      </c>
      <c r="L1946" s="9" cm="1">
        <f t="array" ref="L1946">IF(J1946&gt;=3,_xlfn.XLOOKUP(A1946,'외운 것 - 엑셀다운로드 파일(붙여넣기)'!A3:A562,'외운 것 - 엑셀다운로드 파일(붙여넣기)'!C3:C562,0,-1),0)</f>
        <v>0</v>
      </c>
    </row>
    <row r="1947" ht="38.45" customHeight="1">
      <c r="A1947" s="3">
        <v>1946</v>
      </c>
      <c r="B1947" t="s" s="4">
        <v>12260</v>
      </c>
      <c r="C1947" t="s" s="5">
        <v>12237</v>
      </c>
      <c r="D1947" t="s" s="5">
        <v>12213</v>
      </c>
      <c r="E1947" t="s" s="5">
        <v>12261</v>
      </c>
      <c r="F1947" t="s" s="10">
        <v>12262</v>
      </c>
      <c r="G1947" t="s" s="7">
        <v>12263</v>
      </c>
      <c r="H1947" t="s" s="7">
        <v>12264</v>
      </c>
      <c r="I1947" t="str" s="8" cm="1">
        <f t="array" ref="I1947">SUBSTITUTE(H1947,B1947,"(          )")</f>
        <v>The group reached a (          ) after hours of discussion.</v>
      </c>
      <c r="J1947" s="9" cm="1">
        <f t="array" ref="J1947">SUMIF('외운 것 - 엑셀다운로드 파일(붙여넣기)'!A3:A562,A1947,'외운 것 - 엑셀다운로드 파일(붙여넣기)'!D3:D562)</f>
        <v>0</v>
      </c>
      <c r="K1947" s="9" cm="1">
        <f t="array" ref="K1947">_xlfn.COUNTIFS('외운 것 - 엑셀다운로드 파일(붙여넣기)'!A3:A562,A1947,'외운 것 - 엑셀다운로드 파일(붙여넣기)'!D3:D562,0)</f>
        <v>0</v>
      </c>
      <c r="L1947" s="9" cm="1">
        <f t="array" ref="L1947">IF(J1947&gt;=3,_xlfn.XLOOKUP(A1947,'외운 것 - 엑셀다운로드 파일(붙여넣기)'!A3:A562,'외운 것 - 엑셀다운로드 파일(붙여넣기)'!C3:C562,0,-1),0)</f>
        <v>0</v>
      </c>
    </row>
    <row r="1948" ht="38.45" customHeight="1">
      <c r="A1948" s="3">
        <v>1947</v>
      </c>
      <c r="B1948" t="s" s="4">
        <v>12266</v>
      </c>
      <c r="C1948" t="s" s="5">
        <v>12237</v>
      </c>
      <c r="D1948" t="s" s="5">
        <v>12213</v>
      </c>
      <c r="E1948" t="s" s="5">
        <v>2779</v>
      </c>
      <c r="F1948" t="s" s="10">
        <v>12267</v>
      </c>
      <c r="G1948" t="s" s="7">
        <v>12268</v>
      </c>
      <c r="H1948" t="s" s="7">
        <v>12269</v>
      </c>
      <c r="I1948" t="str" s="8" cm="1">
        <f t="array" ref="I1948">SUBSTITUTE(H1948,B1948,"(          )")</f>
        <v>The court allows judges to express (          ) from majority opinions.</v>
      </c>
      <c r="J1948" s="9" cm="1">
        <f t="array" ref="J1948">SUMIF('외운 것 - 엑셀다운로드 파일(붙여넣기)'!A3:A562,A1948,'외운 것 - 엑셀다운로드 파일(붙여넣기)'!D3:D562)</f>
        <v>0</v>
      </c>
      <c r="K1948" s="9" cm="1">
        <f t="array" ref="K1948">_xlfn.COUNTIFS('외운 것 - 엑셀다운로드 파일(붙여넣기)'!A3:A562,A1948,'외운 것 - 엑셀다운로드 파일(붙여넣기)'!D3:D562,0)</f>
        <v>0</v>
      </c>
      <c r="L1948" s="9" cm="1">
        <f t="array" ref="L1948">IF(J1948&gt;=3,_xlfn.XLOOKUP(A1948,'외운 것 - 엑셀다운로드 파일(붙여넣기)'!A3:A562,'외운 것 - 엑셀다운로드 파일(붙여넣기)'!C3:C562,0,-1),0)</f>
        <v>0</v>
      </c>
    </row>
    <row r="1949" ht="23.45" customHeight="1">
      <c r="A1949" s="3">
        <v>1948</v>
      </c>
      <c r="B1949" t="s" s="4">
        <v>12271</v>
      </c>
      <c r="C1949" t="s" s="5">
        <v>12237</v>
      </c>
      <c r="D1949" t="s" s="5">
        <v>12213</v>
      </c>
      <c r="E1949" t="s" s="5">
        <v>12272</v>
      </c>
      <c r="F1949" t="s" s="10">
        <v>12273</v>
      </c>
      <c r="G1949" t="s" s="7">
        <v>12274</v>
      </c>
      <c r="H1949" t="s" s="7">
        <v>12275</v>
      </c>
      <c r="I1949" t="str" s="8" cm="1">
        <f t="array" ref="I1949">SUBSTITUTE(H1949,B1949,"(          )")</f>
        <v>Don't (          ) others for their success.</v>
      </c>
      <c r="J1949" s="9" cm="1">
        <f t="array" ref="J1949">SUMIF('외운 것 - 엑셀다운로드 파일(붙여넣기)'!A3:A562,A1949,'외운 것 - 엑셀다운로드 파일(붙여넣기)'!D3:D562)</f>
        <v>0</v>
      </c>
      <c r="K1949" s="9" cm="1">
        <f t="array" ref="K1949">_xlfn.COUNTIFS('외운 것 - 엑셀다운로드 파일(붙여넣기)'!A3:A562,A1949,'외운 것 - 엑셀다운로드 파일(붙여넣기)'!D3:D562,0)</f>
        <v>0</v>
      </c>
      <c r="L1949" s="9" cm="1">
        <f t="array" ref="L1949">IF(J1949&gt;=3,_xlfn.XLOOKUP(A1949,'외운 것 - 엑셀다운로드 파일(붙여넣기)'!A3:A562,'외운 것 - 엑셀다운로드 파일(붙여넣기)'!C3:C562,0,-1),0)</f>
        <v>0</v>
      </c>
    </row>
    <row r="1950" ht="38.45" customHeight="1">
      <c r="A1950" s="3">
        <v>1949</v>
      </c>
      <c r="B1950" t="s" s="4">
        <v>12277</v>
      </c>
      <c r="C1950" t="s" s="5">
        <v>11847</v>
      </c>
      <c r="D1950" t="s" s="5">
        <v>12278</v>
      </c>
      <c r="E1950" t="s" s="5">
        <v>12279</v>
      </c>
      <c r="F1950" t="s" s="10">
        <v>12280</v>
      </c>
      <c r="G1950" t="s" s="7">
        <v>12281</v>
      </c>
      <c r="H1950" t="s" s="7">
        <v>12282</v>
      </c>
      <c r="I1950" t="str" s="8" cm="1">
        <f t="array" ref="I1950">SUBSTITUTE(H1950,B1950,"(          )")</f>
        <v>Please (          ) your name on the dotted line.</v>
      </c>
      <c r="J1950" s="9" cm="1">
        <f t="array" ref="J1950">SUMIF('외운 것 - 엑셀다운로드 파일(붙여넣기)'!A3:A562,A1950,'외운 것 - 엑셀다운로드 파일(붙여넣기)'!D3:D562)</f>
        <v>0</v>
      </c>
      <c r="K1950" s="9" cm="1">
        <f t="array" ref="K1950">_xlfn.COUNTIFS('외운 것 - 엑셀다운로드 파일(붙여넣기)'!A3:A562,A1950,'외운 것 - 엑셀다운로드 파일(붙여넣기)'!D3:D562,0)</f>
        <v>0</v>
      </c>
      <c r="L1950" s="9" cm="1">
        <f t="array" ref="L1950">IF(J1950&gt;=3,_xlfn.XLOOKUP(A1950,'외운 것 - 엑셀다운로드 파일(붙여넣기)'!A3:A562,'외운 것 - 엑셀다운로드 파일(붙여넣기)'!C3:C562,0,-1),0)</f>
        <v>0</v>
      </c>
    </row>
    <row r="1951" ht="23.45" customHeight="1">
      <c r="A1951" s="3">
        <v>1950</v>
      </c>
      <c r="B1951" t="s" s="4">
        <v>12284</v>
      </c>
      <c r="C1951" t="s" s="5">
        <v>12277</v>
      </c>
      <c r="D1951" t="s" s="5">
        <v>12278</v>
      </c>
      <c r="E1951" t="s" s="5">
        <v>12285</v>
      </c>
      <c r="F1951" t="s" s="10">
        <v>12286</v>
      </c>
      <c r="G1951" t="s" s="7">
        <v>12287</v>
      </c>
      <c r="H1951" t="s" s="7">
        <v>12288</v>
      </c>
      <c r="I1951" t="str" s="8" cm="1">
        <f t="array" ref="I1951">SUBSTITUTE(H1951,B1951,"(          )")</f>
        <v>The traffic (          ) changed from red to green.</v>
      </c>
      <c r="J1951" s="9" cm="1">
        <f t="array" ref="J1951">SUMIF('외운 것 - 엑셀다운로드 파일(붙여넣기)'!A3:A562,A1951,'외운 것 - 엑셀다운로드 파일(붙여넣기)'!D3:D562)</f>
        <v>0</v>
      </c>
      <c r="K1951" s="9" cm="1">
        <f t="array" ref="K1951">_xlfn.COUNTIFS('외운 것 - 엑셀다운로드 파일(붙여넣기)'!A3:A562,A1951,'외운 것 - 엑셀다운로드 파일(붙여넣기)'!D3:D562,0)</f>
        <v>0</v>
      </c>
      <c r="L1951" s="9" cm="1">
        <f t="array" ref="L1951">IF(J1951&gt;=3,_xlfn.XLOOKUP(A1951,'외운 것 - 엑셀다운로드 파일(붙여넣기)'!A3:A562,'외운 것 - 엑셀다운로드 파일(붙여넣기)'!C3:C562,0,-1),0)</f>
        <v>0</v>
      </c>
    </row>
    <row r="1952" ht="23.45" customHeight="1">
      <c r="A1952" s="3">
        <v>1951</v>
      </c>
      <c r="B1952" t="s" s="4">
        <v>12290</v>
      </c>
      <c r="C1952" t="s" s="5">
        <v>12277</v>
      </c>
      <c r="D1952" t="s" s="5">
        <v>12278</v>
      </c>
      <c r="E1952" t="s" s="5">
        <v>12291</v>
      </c>
      <c r="F1952" t="s" s="10">
        <v>12292</v>
      </c>
      <c r="G1952" t="s" s="7">
        <v>12293</v>
      </c>
      <c r="H1952" t="s" s="7">
        <v>12294</v>
      </c>
      <c r="I1952" t="str" s="8" cm="1">
        <f t="array" ref="I1952">SUBSTITUTE(H1952,B1952,"(          )")</f>
        <v>Your (          ) is required on all official documents.</v>
      </c>
      <c r="J1952" s="9" cm="1">
        <f t="array" ref="J1952">SUMIF('외운 것 - 엑셀다운로드 파일(붙여넣기)'!A3:A562,A1952,'외운 것 - 엑셀다운로드 파일(붙여넣기)'!D3:D562)</f>
        <v>0</v>
      </c>
      <c r="K1952" s="9" cm="1">
        <f t="array" ref="K1952">_xlfn.COUNTIFS('외운 것 - 엑셀다운로드 파일(붙여넣기)'!A3:A562,A1952,'외운 것 - 엑셀다운로드 파일(붙여넣기)'!D3:D562,0)</f>
        <v>0</v>
      </c>
      <c r="L1952" s="9" cm="1">
        <f t="array" ref="L1952">IF(J1952&gt;=3,_xlfn.XLOOKUP(A1952,'외운 것 - 엑셀다운로드 파일(붙여넣기)'!A3:A562,'외운 것 - 엑셀다운로드 파일(붙여넣기)'!C3:C562,0,-1),0)</f>
        <v>0</v>
      </c>
    </row>
    <row r="1953" ht="38.45" customHeight="1">
      <c r="A1953" s="3">
        <v>1952</v>
      </c>
      <c r="B1953" t="s" s="4">
        <v>12296</v>
      </c>
      <c r="C1953" t="s" s="5">
        <v>12277</v>
      </c>
      <c r="D1953" t="s" s="5">
        <v>12278</v>
      </c>
      <c r="E1953" t="s" s="5">
        <v>12297</v>
      </c>
      <c r="F1953" t="s" s="10">
        <v>12298</v>
      </c>
      <c r="G1953" t="s" s="7">
        <v>9191</v>
      </c>
      <c r="H1953" t="s" s="7">
        <v>12299</v>
      </c>
      <c r="I1953" t="str" s="8" cm="1">
        <f t="array" ref="I1953">SUBSTITUTE(H1953,B1953,"(          )")</f>
        <v>The discovery represents a (          ) advance in cancer treatment.</v>
      </c>
      <c r="J1953" s="9" cm="1">
        <f t="array" ref="J1953">SUMIF('외운 것 - 엑셀다운로드 파일(붙여넣기)'!A3:A562,A1953,'외운 것 - 엑셀다운로드 파일(붙여넣기)'!D3:D562)</f>
        <v>0</v>
      </c>
      <c r="K1953" s="9" cm="1">
        <f t="array" ref="K1953">_xlfn.COUNTIFS('외운 것 - 엑셀다운로드 파일(붙여넣기)'!A3:A562,A1953,'외운 것 - 엑셀다운로드 파일(붙여넣기)'!D3:D562,0)</f>
        <v>0</v>
      </c>
      <c r="L1953" s="9" cm="1">
        <f t="array" ref="L1953">IF(J1953&gt;=3,_xlfn.XLOOKUP(A1953,'외운 것 - 엑셀다운로드 파일(붙여넣기)'!A3:A562,'외운 것 - 엑셀다운로드 파일(붙여넣기)'!C3:C562,0,-1),0)</f>
        <v>0</v>
      </c>
    </row>
    <row r="1954" ht="36.4" customHeight="1">
      <c r="A1954" s="3">
        <v>1953</v>
      </c>
      <c r="B1954" t="s" s="4">
        <v>12301</v>
      </c>
      <c r="C1954" t="s" s="5">
        <v>12302</v>
      </c>
      <c r="D1954" t="s" s="5">
        <v>12277</v>
      </c>
      <c r="E1954" t="s" s="5">
        <v>12303</v>
      </c>
      <c r="F1954" t="s" s="10">
        <v>12304</v>
      </c>
      <c r="G1954" t="s" s="7">
        <v>12305</v>
      </c>
      <c r="H1954" t="s" s="7">
        <v>12306</v>
      </c>
      <c r="I1954" t="str" s="8" cm="1">
        <f t="array" ref="I1954">SUBSTITUTE(H1954,B1954,"(          )")</f>
        <v>The error was (          ) and did not affect the outcome.</v>
      </c>
      <c r="J1954" s="9" cm="1">
        <f t="array" ref="J1954">SUMIF('외운 것 - 엑셀다운로드 파일(붙여넣기)'!A3:A562,A1954,'외운 것 - 엑셀다운로드 파일(붙여넣기)'!D3:D562)</f>
        <v>0</v>
      </c>
      <c r="K1954" s="9" cm="1">
        <f t="array" ref="K1954">_xlfn.COUNTIFS('외운 것 - 엑셀다운로드 파일(붙여넣기)'!A3:A562,A1954,'외운 것 - 엑셀다운로드 파일(붙여넣기)'!D3:D562,0)</f>
        <v>0</v>
      </c>
      <c r="L1954" s="9" cm="1">
        <f t="array" ref="L1954">IF(J1954&gt;=3,_xlfn.XLOOKUP(A1954,'외운 것 - 엑셀다운로드 파일(붙여넣기)'!A3:A562,'외운 것 - 엑셀다운로드 파일(붙여넣기)'!C3:C562,0,-1),0)</f>
        <v>0</v>
      </c>
    </row>
    <row r="1955" ht="38.45" customHeight="1">
      <c r="A1955" s="3">
        <v>1954</v>
      </c>
      <c r="B1955" t="s" s="4">
        <v>12308</v>
      </c>
      <c r="C1955" t="s" s="5">
        <v>12277</v>
      </c>
      <c r="D1955" t="s" s="5">
        <v>12278</v>
      </c>
      <c r="E1955" t="s" s="5">
        <v>12309</v>
      </c>
      <c r="F1955" t="s" s="10">
        <v>12310</v>
      </c>
      <c r="G1955" t="s" s="7">
        <v>12311</v>
      </c>
      <c r="H1955" t="s" s="7">
        <v>12312</v>
      </c>
      <c r="I1955" t="str" s="8" cm="1">
        <f t="array" ref="I1955">SUBSTITUTE(H1955,B1955,"(          )")</f>
        <v>The architect will (          ) the new library.</v>
      </c>
      <c r="J1955" s="9" cm="1">
        <f t="array" ref="J1955">SUMIF('외운 것 - 엑셀다운로드 파일(붙여넣기)'!A3:A562,A1955,'외운 것 - 엑셀다운로드 파일(붙여넣기)'!D3:D562)</f>
        <v>0</v>
      </c>
      <c r="K1955" s="9" cm="1">
        <f t="array" ref="K1955">_xlfn.COUNTIFS('외운 것 - 엑셀다운로드 파일(붙여넣기)'!A3:A562,A1955,'외운 것 - 엑셀다운로드 파일(붙여넣기)'!D3:D562,0)</f>
        <v>0</v>
      </c>
      <c r="L1955" s="9" cm="1">
        <f t="array" ref="L1955">IF(J1955&gt;=3,_xlfn.XLOOKUP(A1955,'외운 것 - 엑셀다운로드 파일(붙여넣기)'!A3:A562,'외운 것 - 엑셀다운로드 파일(붙여넣기)'!C3:C562,0,-1),0)</f>
        <v>0</v>
      </c>
    </row>
    <row r="1956" ht="38.45" customHeight="1">
      <c r="A1956" s="3">
        <v>1955</v>
      </c>
      <c r="B1956" t="s" s="4">
        <v>12314</v>
      </c>
      <c r="C1956" t="s" s="5">
        <v>12315</v>
      </c>
      <c r="D1956" t="s" s="5">
        <v>12277</v>
      </c>
      <c r="E1956" t="s" s="5">
        <v>12316</v>
      </c>
      <c r="F1956" t="s" s="10">
        <v>12317</v>
      </c>
      <c r="G1956" t="s" s="7">
        <v>12318</v>
      </c>
      <c r="H1956" t="s" s="7">
        <v>12319</v>
      </c>
      <c r="I1956" t="str" s="8" cm="1">
        <f t="array" ref="I1956">SUBSTITUTE(H1956,B1956,"(          )")</f>
        <v>The company (          )d a special area for employee breaks.</v>
      </c>
      <c r="J1956" s="9" cm="1">
        <f t="array" ref="J1956">SUMIF('외운 것 - 엑셀다운로드 파일(붙여넣기)'!A3:A562,A1956,'외운 것 - 엑셀다운로드 파일(붙여넣기)'!D3:D562)</f>
        <v>0</v>
      </c>
      <c r="K1956" s="9" cm="1">
        <f t="array" ref="K1956">_xlfn.COUNTIFS('외운 것 - 엑셀다운로드 파일(붙여넣기)'!A3:A562,A1956,'외운 것 - 엑셀다운로드 파일(붙여넣기)'!D3:D562,0)</f>
        <v>0</v>
      </c>
      <c r="L1956" s="9" cm="1">
        <f t="array" ref="L1956">IF(J1956&gt;=3,_xlfn.XLOOKUP(A1956,'외운 것 - 엑셀다운로드 파일(붙여넣기)'!A3:A562,'외운 것 - 엑셀다운로드 파일(붙여넣기)'!C3:C562,0,-1),0)</f>
        <v>0</v>
      </c>
    </row>
    <row r="1957" ht="23.45" customHeight="1">
      <c r="A1957" s="3">
        <v>1956</v>
      </c>
      <c r="B1957" t="s" s="4">
        <v>12321</v>
      </c>
      <c r="C1957" t="s" s="5">
        <v>12277</v>
      </c>
      <c r="D1957" t="s" s="5">
        <v>12278</v>
      </c>
      <c r="E1957" t="s" s="5">
        <v>12322</v>
      </c>
      <c r="F1957" t="s" s="10">
        <v>12323</v>
      </c>
      <c r="G1957" t="s" s="7">
        <v>12324</v>
      </c>
      <c r="H1957" t="s" s="7">
        <v>12325</v>
      </c>
      <c r="I1957" t="str" s="8" cm="1">
        <f t="array" ref="I1957">SUBSTITUTE(H1957,B1957,"(          )")</f>
        <v>The teacher will (          ) homework for the weekend.</v>
      </c>
      <c r="J1957" s="9" cm="1">
        <f t="array" ref="J1957">SUMIF('외운 것 - 엑셀다운로드 파일(붙여넣기)'!A3:A562,A1957,'외운 것 - 엑셀다운로드 파일(붙여넣기)'!D3:D562)</f>
        <v>0</v>
      </c>
      <c r="K1957" s="9" cm="1">
        <f t="array" ref="K1957">_xlfn.COUNTIFS('외운 것 - 엑셀다운로드 파일(붙여넣기)'!A3:A562,A1957,'외운 것 - 엑셀다운로드 파일(붙여넣기)'!D3:D562,0)</f>
        <v>0</v>
      </c>
      <c r="L1957" s="9" cm="1">
        <f t="array" ref="L1957">IF(J1957&gt;=3,_xlfn.XLOOKUP(A1957,'외운 것 - 엑셀다운로드 파일(붙여넣기)'!A3:A562,'외운 것 - 엑셀다운로드 파일(붙여넣기)'!C3:C562,0,-1),0)</f>
        <v>0</v>
      </c>
    </row>
    <row r="1958" ht="23.45" customHeight="1">
      <c r="A1958" s="3">
        <v>1957</v>
      </c>
      <c r="B1958" t="s" s="4">
        <v>12327</v>
      </c>
      <c r="C1958" t="s" s="5">
        <v>12277</v>
      </c>
      <c r="D1958" t="s" s="5">
        <v>12278</v>
      </c>
      <c r="E1958" t="s" s="5">
        <v>12328</v>
      </c>
      <c r="F1958" t="s" s="10">
        <v>12329</v>
      </c>
      <c r="G1958" t="s" s="7">
        <v>12330</v>
      </c>
      <c r="H1958" t="s" s="7">
        <v>12331</v>
      </c>
      <c r="I1958" t="str" s="8" cm="1">
        <f t="array" ref="I1958">SUBSTITUTE(H1958,B1958,"(          )")</f>
        <v>He decided to (          ) from his position after ten years.</v>
      </c>
      <c r="J1958" s="9" cm="1">
        <f t="array" ref="J1958">SUMIF('외운 것 - 엑셀다운로드 파일(붙여넣기)'!A3:A562,A1958,'외운 것 - 엑셀다운로드 파일(붙여넣기)'!D3:D562)</f>
        <v>0</v>
      </c>
      <c r="K1958" s="9" cm="1">
        <f t="array" ref="K1958">_xlfn.COUNTIFS('외운 것 - 엑셀다운로드 파일(붙여넣기)'!A3:A562,A1958,'외운 것 - 엑셀다운로드 파일(붙여넣기)'!D3:D562,0)</f>
        <v>0</v>
      </c>
      <c r="L1958" s="9" cm="1">
        <f t="array" ref="L1958">IF(J1958&gt;=3,_xlfn.XLOOKUP(A1958,'외운 것 - 엑셀다운로드 파일(붙여넣기)'!A3:A562,'외운 것 - 엑셀다운로드 파일(붙여넣기)'!C3:C562,0,-1),0)</f>
        <v>0</v>
      </c>
    </row>
    <row r="1959" ht="23.45" customHeight="1">
      <c r="A1959" s="3">
        <v>1958</v>
      </c>
      <c r="B1959" t="s" s="4">
        <v>12333</v>
      </c>
      <c r="C1959" t="s" s="5">
        <v>12334</v>
      </c>
      <c r="D1959" t="s" s="5">
        <v>12335</v>
      </c>
      <c r="E1959" t="s" s="5">
        <v>12336</v>
      </c>
      <c r="F1959" t="s" s="10">
        <v>12337</v>
      </c>
      <c r="G1959" t="s" s="7">
        <v>12338</v>
      </c>
      <c r="H1959" t="s" s="7">
        <v>12339</v>
      </c>
      <c r="I1959" t="str" s="8" cm="1">
        <f t="array" ref="I1959">SUBSTITUTE(H1959,B1959,"(          )")</f>
        <v>Students must pass a final (          ) to complete the course.</v>
      </c>
      <c r="J1959" s="9" cm="1">
        <f t="array" ref="J1959">SUMIF('외운 것 - 엑셀다운로드 파일(붙여넣기)'!A3:A562,A1959,'외운 것 - 엑셀다운로드 파일(붙여넣기)'!D3:D562)</f>
        <v>0</v>
      </c>
      <c r="K1959" s="9" cm="1">
        <f t="array" ref="K1959">_xlfn.COUNTIFS('외운 것 - 엑셀다운로드 파일(붙여넣기)'!A3:A562,A1959,'외운 것 - 엑셀다운로드 파일(붙여넣기)'!D3:D562,0)</f>
        <v>0</v>
      </c>
      <c r="L1959" s="9" cm="1">
        <f t="array" ref="L1959">IF(J1959&gt;=3,_xlfn.XLOOKUP(A1959,'외운 것 - 엑셀다운로드 파일(붙여넣기)'!A3:A562,'외운 것 - 엑셀다운로드 파일(붙여넣기)'!C3:C562,0,-1),0)</f>
        <v>0</v>
      </c>
    </row>
    <row r="1960" ht="23.45" customHeight="1">
      <c r="A1960" s="3">
        <v>1959</v>
      </c>
      <c r="B1960" t="s" s="4">
        <v>12341</v>
      </c>
      <c r="C1960" t="s" s="5">
        <v>12333</v>
      </c>
      <c r="D1960" t="s" s="5">
        <v>12335</v>
      </c>
      <c r="E1960" t="s" s="5">
        <v>12342</v>
      </c>
      <c r="F1960" t="s" s="10">
        <v>12343</v>
      </c>
      <c r="G1960" t="s" s="7">
        <v>12344</v>
      </c>
      <c r="H1960" t="s" s="7">
        <v>12345</v>
      </c>
      <c r="I1960" t="str" s="8" cm="1">
        <f t="array" ref="I1960">SUBSTITUTE(H1960,B1960,"(          )")</f>
        <v>I can (          ) to her excellent character and work ethic.</v>
      </c>
      <c r="J1960" s="9" cm="1">
        <f t="array" ref="J1960">SUMIF('외운 것 - 엑셀다운로드 파일(붙여넣기)'!A3:A562,A1960,'외운 것 - 엑셀다운로드 파일(붙여넣기)'!D3:D562)</f>
        <v>0</v>
      </c>
      <c r="K1960" s="9" cm="1">
        <f t="array" ref="K1960">_xlfn.COUNTIFS('외운 것 - 엑셀다운로드 파일(붙여넣기)'!A3:A562,A1960,'외운 것 - 엑셀다운로드 파일(붙여넣기)'!D3:D562,0)</f>
        <v>0</v>
      </c>
      <c r="L1960" s="9" cm="1">
        <f t="array" ref="L1960">IF(J1960&gt;=3,_xlfn.XLOOKUP(A1960,'외운 것 - 엑셀다운로드 파일(붙여넣기)'!A3:A562,'외운 것 - 엑셀다운로드 파일(붙여넣기)'!C3:C562,0,-1),0)</f>
        <v>0</v>
      </c>
    </row>
    <row r="1961" ht="38.45" customHeight="1">
      <c r="A1961" s="3">
        <v>1960</v>
      </c>
      <c r="B1961" t="s" s="4">
        <v>12347</v>
      </c>
      <c r="C1961" t="s" s="5">
        <v>12333</v>
      </c>
      <c r="D1961" t="s" s="5">
        <v>12335</v>
      </c>
      <c r="E1961" t="s" s="5">
        <v>12348</v>
      </c>
      <c r="F1961" t="s" s="10">
        <v>12349</v>
      </c>
      <c r="G1961" t="s" s="7">
        <v>12350</v>
      </c>
      <c r="H1961" t="s" s="7">
        <v>12351</v>
      </c>
      <c r="I1961" t="str" s="8" cm="1">
        <f t="array" ref="I1961">SUBSTITUTE(H1961,B1961,"(          )")</f>
        <v>His (          ) helped convict the criminal.</v>
      </c>
      <c r="J1961" s="9" cm="1">
        <f t="array" ref="J1961">SUMIF('외운 것 - 엑셀다운로드 파일(붙여넣기)'!A3:A562,A1961,'외운 것 - 엑셀다운로드 파일(붙여넣기)'!D3:D562)</f>
        <v>0</v>
      </c>
      <c r="K1961" s="9" cm="1">
        <f t="array" ref="K1961">_xlfn.COUNTIFS('외운 것 - 엑셀다운로드 파일(붙여넣기)'!A3:A562,A1961,'외운 것 - 엑셀다운로드 파일(붙여넣기)'!D3:D562,0)</f>
        <v>0</v>
      </c>
      <c r="L1961" s="9" cm="1">
        <f t="array" ref="L1961">IF(J1961&gt;=3,_xlfn.XLOOKUP(A1961,'외운 것 - 엑셀다운로드 파일(붙여넣기)'!A3:A562,'외운 것 - 엑셀다운로드 파일(붙여넣기)'!C3:C562,0,-1),0)</f>
        <v>0</v>
      </c>
    </row>
    <row r="1962" ht="38.45" customHeight="1">
      <c r="A1962" s="3">
        <v>1961</v>
      </c>
      <c r="B1962" t="s" s="4">
        <v>12353</v>
      </c>
      <c r="C1962" t="s" s="5">
        <v>12333</v>
      </c>
      <c r="D1962" t="s" s="5">
        <v>12335</v>
      </c>
      <c r="E1962" t="s" s="5">
        <v>12354</v>
      </c>
      <c r="F1962" t="s" s="10">
        <v>12355</v>
      </c>
      <c r="G1962" t="s" s="7">
        <v>12356</v>
      </c>
      <c r="H1962" t="s" s="7">
        <v>12357</v>
      </c>
      <c r="I1962" t="str" s="8" cm="1">
        <f t="array" ref="I1962">SUBSTITUTE(H1962,B1962,"(          )")</f>
        <v>The winner of the (          ) receives a cash prize.</v>
      </c>
      <c r="J1962" s="9" cm="1">
        <f t="array" ref="J1962">SUMIF('외운 것 - 엑셀다운로드 파일(붙여넣기)'!A3:A562,A1962,'외운 것 - 엑셀다운로드 파일(붙여넣기)'!D3:D562)</f>
        <v>0</v>
      </c>
      <c r="K1962" s="9" cm="1">
        <f t="array" ref="K1962">_xlfn.COUNTIFS('외운 것 - 엑셀다운로드 파일(붙여넣기)'!A3:A562,A1962,'외운 것 - 엑셀다운로드 파일(붙여넣기)'!D3:D562,0)</f>
        <v>0</v>
      </c>
      <c r="L1962" s="9" cm="1">
        <f t="array" ref="L1962">IF(J1962&gt;=3,_xlfn.XLOOKUP(A1962,'외운 것 - 엑셀다운로드 파일(붙여넣기)'!A3:A562,'외운 것 - 엑셀다운로드 파일(붙여넣기)'!C3:C562,0,-1),0)</f>
        <v>0</v>
      </c>
    </row>
    <row r="1963" ht="23.45" customHeight="1">
      <c r="A1963" s="3">
        <v>1962</v>
      </c>
      <c r="B1963" t="s" s="4">
        <v>12359</v>
      </c>
      <c r="C1963" t="s" s="5">
        <v>12333</v>
      </c>
      <c r="D1963" t="s" s="5">
        <v>12335</v>
      </c>
      <c r="E1963" t="s" s="5">
        <v>12360</v>
      </c>
      <c r="F1963" t="s" s="10">
        <v>12361</v>
      </c>
      <c r="G1963" t="s" s="7">
        <v>12362</v>
      </c>
      <c r="H1963" t="s" s="7">
        <v>12363</v>
      </c>
      <c r="I1963" t="str" s="8" cm="1">
        <f t="array" ref="I1963">SUBSTITUTE(H1963,B1963,"(          )")</f>
        <v>Citizens (          ) against the unfair law.</v>
      </c>
      <c r="J1963" s="9" cm="1">
        <f t="array" ref="J1963">SUMIF('외운 것 - 엑셀다운로드 파일(붙여넣기)'!A3:A562,A1963,'외운 것 - 엑셀다운로드 파일(붙여넣기)'!D3:D562)</f>
        <v>0</v>
      </c>
      <c r="K1963" s="9" cm="1">
        <f t="array" ref="K1963">_xlfn.COUNTIFS('외운 것 - 엑셀다운로드 파일(붙여넣기)'!A3:A562,A1963,'외운 것 - 엑셀다운로드 파일(붙여넣기)'!D3:D562,0)</f>
        <v>0</v>
      </c>
      <c r="L1963" s="9" cm="1">
        <f t="array" ref="L1963">IF(J1963&gt;=3,_xlfn.XLOOKUP(A1963,'외운 것 - 엑셀다운로드 파일(붙여넣기)'!A3:A562,'외운 것 - 엑셀다운로드 파일(붙여넣기)'!C3:C562,0,-1),0)</f>
        <v>0</v>
      </c>
    </row>
    <row r="1964" ht="23.45" customHeight="1">
      <c r="A1964" s="3">
        <v>1963</v>
      </c>
      <c r="B1964" t="s" s="4">
        <v>12365</v>
      </c>
      <c r="C1964" t="s" s="5">
        <v>12333</v>
      </c>
      <c r="D1964" t="s" s="5">
        <v>12335</v>
      </c>
      <c r="E1964" t="s" s="5">
        <v>12366</v>
      </c>
      <c r="F1964" t="s" s="10">
        <v>12367</v>
      </c>
      <c r="G1964" t="s" s="7">
        <v>12368</v>
      </c>
      <c r="H1964" t="s" s="7">
        <v>12369</v>
      </c>
      <c r="I1964" t="str" s="8" cm="1">
        <f t="array" ref="I1964">SUBSTITUTE(H1964,B1964,"(          )")</f>
        <v>I (          ) waiting in long lines.</v>
      </c>
      <c r="J1964" s="9" cm="1">
        <f t="array" ref="J1964">SUMIF('외운 것 - 엑셀다운로드 파일(붙여넣기)'!A3:A562,A1964,'외운 것 - 엑셀다운로드 파일(붙여넣기)'!D3:D562)</f>
        <v>0</v>
      </c>
      <c r="K1964" s="9" cm="1">
        <f t="array" ref="K1964">_xlfn.COUNTIFS('외운 것 - 엑셀다운로드 파일(붙여넣기)'!A3:A562,A1964,'외운 것 - 엑셀다운로드 파일(붙여넣기)'!D3:D562,0)</f>
        <v>0</v>
      </c>
      <c r="L1964" s="9" cm="1">
        <f t="array" ref="L1964">IF(J1964&gt;=3,_xlfn.XLOOKUP(A1964,'외운 것 - 엑셀다운로드 파일(붙여넣기)'!A3:A562,'외운 것 - 엑셀다운로드 파일(붙여넣기)'!C3:C562,0,-1),0)</f>
        <v>0</v>
      </c>
    </row>
    <row r="1965" ht="23.45" customHeight="1">
      <c r="A1965" s="3">
        <v>1964</v>
      </c>
      <c r="B1965" t="s" s="4">
        <v>12370</v>
      </c>
      <c r="C1965" t="s" s="5">
        <v>12371</v>
      </c>
      <c r="D1965" t="s" s="5">
        <v>12372</v>
      </c>
      <c r="E1965" t="s" s="5">
        <v>12373</v>
      </c>
      <c r="F1965" t="s" s="10">
        <v>12374</v>
      </c>
      <c r="G1965" t="s" s="7">
        <v>12375</v>
      </c>
      <c r="H1965" t="s" s="7">
        <v>12376</v>
      </c>
      <c r="I1965" t="str" s="8" cm="1">
        <f t="array" ref="I1965">SUBSTITUTE(H1965,B1965,"(          )")</f>
        <v>Please (          ) when the judge enters the courtroom.</v>
      </c>
      <c r="J1965" s="9" cm="1">
        <f t="array" ref="J1965">SUMIF('외운 것 - 엑셀다운로드 파일(붙여넣기)'!A3:A562,A1965,'외운 것 - 엑셀다운로드 파일(붙여넣기)'!D3:D562)</f>
        <v>0</v>
      </c>
      <c r="K1965" s="9" cm="1">
        <f t="array" ref="K1965">_xlfn.COUNTIFS('외운 것 - 엑셀다운로드 파일(붙여넣기)'!A3:A562,A1965,'외운 것 - 엑셀다운로드 파일(붙여넣기)'!D3:D562,0)</f>
        <v>0</v>
      </c>
      <c r="L1965" s="9" cm="1">
        <f t="array" ref="L1965">IF(J1965&gt;=3,_xlfn.XLOOKUP(A1965,'외운 것 - 엑셀다운로드 파일(붙여넣기)'!A3:A562,'외운 것 - 엑셀다운로드 파일(붙여넣기)'!C3:C562,0,-1),0)</f>
        <v>0</v>
      </c>
    </row>
    <row r="1966" ht="38.45" customHeight="1">
      <c r="A1966" s="3">
        <v>1965</v>
      </c>
      <c r="B1966" t="s" s="4">
        <v>12378</v>
      </c>
      <c r="C1966" t="s" s="5">
        <v>12379</v>
      </c>
      <c r="D1966" t="s" s="5">
        <v>12371</v>
      </c>
      <c r="E1966" t="s" s="5">
        <v>12380</v>
      </c>
      <c r="F1966" t="s" s="10">
        <v>12381</v>
      </c>
      <c r="G1966" t="s" s="7">
        <v>8284</v>
      </c>
      <c r="H1966" t="s" s="7">
        <v>12382</v>
      </c>
      <c r="I1966" t="str" s="8" cm="1">
        <f t="array" ref="I1966">SUBSTITUTE(H1966,B1966,"(          )")</f>
        <v>The school maintains high academic (          )s.</v>
      </c>
      <c r="J1966" s="9" cm="1">
        <f t="array" ref="J1966">SUMIF('외운 것 - 엑셀다운로드 파일(붙여넣기)'!A3:A562,A1966,'외운 것 - 엑셀다운로드 파일(붙여넣기)'!D3:D562)</f>
        <v>0</v>
      </c>
      <c r="K1966" s="9" cm="1">
        <f t="array" ref="K1966">_xlfn.COUNTIFS('외운 것 - 엑셀다운로드 파일(붙여넣기)'!A3:A562,A1966,'외운 것 - 엑셀다운로드 파일(붙여넣기)'!D3:D562,0)</f>
        <v>0</v>
      </c>
      <c r="L1966" s="9" cm="1">
        <f t="array" ref="L1966">IF(J1966&gt;=3,_xlfn.XLOOKUP(A1966,'외운 것 - 엑셀다운로드 파일(붙여넣기)'!A3:A562,'외운 것 - 엑셀다운로드 파일(붙여넣기)'!C3:C562,0,-1),0)</f>
        <v>0</v>
      </c>
    </row>
    <row r="1967" ht="23.45" customHeight="1">
      <c r="A1967" s="3">
        <v>1966</v>
      </c>
      <c r="B1967" t="s" s="4">
        <v>12384</v>
      </c>
      <c r="C1967" t="s" s="5">
        <v>12379</v>
      </c>
      <c r="D1967" t="s" s="5">
        <v>12371</v>
      </c>
      <c r="E1967" t="s" s="5">
        <v>12385</v>
      </c>
      <c r="F1967" t="s" s="10">
        <v>12386</v>
      </c>
      <c r="G1967" t="s" s="7">
        <v>12387</v>
      </c>
      <c r="H1967" t="s" s="7">
        <v>12388</v>
      </c>
      <c r="I1967" t="str" s="8" cm="1">
        <f t="array" ref="I1967">SUBSTITUTE(H1967,B1967,"(          )")</f>
        <v>Traffic came to a (          ) during the snowstorm.</v>
      </c>
      <c r="J1967" s="9" cm="1">
        <f t="array" ref="J1967">SUMIF('외운 것 - 엑셀다운로드 파일(붙여넣기)'!A3:A562,A1967,'외운 것 - 엑셀다운로드 파일(붙여넣기)'!D3:D562)</f>
        <v>0</v>
      </c>
      <c r="K1967" s="9" cm="1">
        <f t="array" ref="K1967">_xlfn.COUNTIFS('외운 것 - 엑셀다운로드 파일(붙여넣기)'!A3:A562,A1967,'외운 것 - 엑셀다운로드 파일(붙여넣기)'!D3:D562,0)</f>
        <v>0</v>
      </c>
      <c r="L1967" s="9" cm="1">
        <f t="array" ref="L1967">IF(J1967&gt;=3,_xlfn.XLOOKUP(A1967,'외운 것 - 엑셀다운로드 파일(붙여넣기)'!A3:A562,'외운 것 - 엑셀다운로드 파일(붙여넣기)'!C3:C562,0,-1),0)</f>
        <v>0</v>
      </c>
    </row>
    <row r="1968" ht="23.45" customHeight="1">
      <c r="A1968" s="3">
        <v>1967</v>
      </c>
      <c r="B1968" t="s" s="4">
        <v>12390</v>
      </c>
      <c r="C1968" t="s" s="5">
        <v>12379</v>
      </c>
      <c r="D1968" t="s" s="5">
        <v>12371</v>
      </c>
      <c r="E1968" t="s" s="5">
        <v>12391</v>
      </c>
      <c r="F1968" t="s" s="10">
        <v>12392</v>
      </c>
      <c r="G1968" t="s" s="7">
        <v>12393</v>
      </c>
      <c r="H1968" t="s" s="7">
        <v>12394</v>
      </c>
      <c r="I1968" t="str" s="8" cm="1">
        <f t="array" ref="I1968">SUBSTITUTE(H1968,B1968,"(          )")</f>
        <v>From a legal (          ), the contract is valid.</v>
      </c>
      <c r="J1968" s="9" cm="1">
        <f t="array" ref="J1968">SUMIF('외운 것 - 엑셀다운로드 파일(붙여넣기)'!A3:A562,A1968,'외운 것 - 엑셀다운로드 파일(붙여넣기)'!D3:D562)</f>
        <v>0</v>
      </c>
      <c r="K1968" s="9" cm="1">
        <f t="array" ref="K1968">_xlfn.COUNTIFS('외운 것 - 엑셀다운로드 파일(붙여넣기)'!A3:A562,A1968,'외운 것 - 엑셀다운로드 파일(붙여넣기)'!D3:D562,0)</f>
        <v>0</v>
      </c>
      <c r="L1968" s="9" cm="1">
        <f t="array" ref="L1968">IF(J1968&gt;=3,_xlfn.XLOOKUP(A1968,'외운 것 - 엑셀다운로드 파일(붙여넣기)'!A3:A562,'외운 것 - 엑셀다운로드 파일(붙여넣기)'!C3:C562,0,-1),0)</f>
        <v>0</v>
      </c>
    </row>
    <row r="1969" ht="38.45" customHeight="1">
      <c r="A1969" s="3">
        <v>1968</v>
      </c>
      <c r="B1969" t="s" s="4">
        <v>12396</v>
      </c>
      <c r="C1969" t="s" s="5">
        <v>12379</v>
      </c>
      <c r="D1969" t="s" s="5">
        <v>12371</v>
      </c>
      <c r="E1969" t="s" s="5">
        <v>12397</v>
      </c>
      <c r="F1969" t="s" s="10">
        <v>12398</v>
      </c>
      <c r="G1969" t="s" s="7">
        <v>12399</v>
      </c>
      <c r="H1969" t="s" s="7">
        <v>12400</v>
      </c>
      <c r="I1969" t="str" s="8" cm="1">
        <f t="array" ref="I1969">SUBSTITUTE(H1969,B1969,"(          )")</f>
        <v>I don't (          ) how the machine works.</v>
      </c>
      <c r="J1969" s="9" cm="1">
        <f t="array" ref="J1969">SUMIF('외운 것 - 엑셀다운로드 파일(붙여넣기)'!A3:A562,A1969,'외운 것 - 엑셀다운로드 파일(붙여넣기)'!D3:D562)</f>
        <v>0</v>
      </c>
      <c r="K1969" s="9" cm="1">
        <f t="array" ref="K1969">_xlfn.COUNTIFS('외운 것 - 엑셀다운로드 파일(붙여넣기)'!A3:A562,A1969,'외운 것 - 엑셀다운로드 파일(붙여넣기)'!D3:D562,0)</f>
        <v>0</v>
      </c>
      <c r="L1969" s="9" cm="1">
        <f t="array" ref="L1969">IF(J1969&gt;=3,_xlfn.XLOOKUP(A1969,'외운 것 - 엑셀다운로드 파일(붙여넣기)'!A3:A562,'외운 것 - 엑셀다운로드 파일(붙여넣기)'!C3:C562,0,-1),0)</f>
        <v>0</v>
      </c>
    </row>
    <row r="1970" ht="23.45" customHeight="1">
      <c r="A1970" s="3">
        <v>1969</v>
      </c>
      <c r="B1970" t="s" s="4">
        <v>12402</v>
      </c>
      <c r="C1970" t="s" s="5">
        <v>12379</v>
      </c>
      <c r="D1970" t="s" s="5">
        <v>12371</v>
      </c>
      <c r="E1970" t="s" s="5">
        <v>12403</v>
      </c>
      <c r="F1970" t="s" s="10">
        <v>12404</v>
      </c>
      <c r="G1970" t="s" s="7">
        <v>12405</v>
      </c>
      <c r="H1970" t="s" s="7">
        <v>12406</v>
      </c>
      <c r="I1970" t="str" s="8" cm="1">
        <f t="array" ref="I1970">SUBSTITUTE(H1970,B1970,"(          )")</f>
        <v>He misunderstood the directions and got lost.</v>
      </c>
      <c r="J1970" s="9" cm="1">
        <f t="array" ref="J1970">SUMIF('외운 것 - 엑셀다운로드 파일(붙여넣기)'!A3:A562,A1970,'외운 것 - 엑셀다운로드 파일(붙여넣기)'!D3:D562)</f>
        <v>0</v>
      </c>
      <c r="K1970" s="9" cm="1">
        <f t="array" ref="K1970">_xlfn.COUNTIFS('외운 것 - 엑셀다운로드 파일(붙여넣기)'!A3:A562,A1970,'외운 것 - 엑셀다운로드 파일(붙여넣기)'!D3:D562,0)</f>
        <v>0</v>
      </c>
      <c r="L1970" s="9" cm="1">
        <f t="array" ref="L1970">IF(J1970&gt;=3,_xlfn.XLOOKUP(A1970,'외운 것 - 엑셀다운로드 파일(붙여넣기)'!A3:A562,'외운 것 - 엑셀다운로드 파일(붙여넣기)'!C3:C562,0,-1),0)</f>
        <v>0</v>
      </c>
    </row>
    <row r="1971" ht="38.45" customHeight="1">
      <c r="A1971" s="3">
        <v>1970</v>
      </c>
      <c r="B1971" t="s" s="4">
        <v>12408</v>
      </c>
      <c r="C1971" t="s" s="5">
        <v>12379</v>
      </c>
      <c r="D1971" t="s" s="5">
        <v>12371</v>
      </c>
      <c r="E1971" t="s" s="5">
        <v>12409</v>
      </c>
      <c r="F1971" t="s" s="10">
        <v>12410</v>
      </c>
      <c r="G1971" t="s" s="7">
        <v>12411</v>
      </c>
      <c r="H1971" t="s" s="7">
        <v>12412</v>
      </c>
      <c r="I1971" t="str" s="8" cm="1">
        <f t="array" ref="I1971">SUBSTITUTE(H1971,B1971,"(          )")</f>
        <v>The building was designed to (          ) strong earthquakes.</v>
      </c>
      <c r="J1971" s="9" cm="1">
        <f t="array" ref="J1971">SUMIF('외운 것 - 엑셀다운로드 파일(붙여넣기)'!A3:A562,A1971,'외운 것 - 엑셀다운로드 파일(붙여넣기)'!D3:D562)</f>
        <v>0</v>
      </c>
      <c r="K1971" s="9" cm="1">
        <f t="array" ref="K1971">_xlfn.COUNTIFS('외운 것 - 엑셀다운로드 파일(붙여넣기)'!A3:A562,A1971,'외운 것 - 엑셀다운로드 파일(붙여넣기)'!D3:D562,0)</f>
        <v>0</v>
      </c>
      <c r="L1971" s="9" cm="1">
        <f t="array" ref="L1971">IF(J1971&gt;=3,_xlfn.XLOOKUP(A1971,'외운 것 - 엑셀다운로드 파일(붙여넣기)'!A3:A562,'외운 것 - 엑셀다운로드 파일(붙여넣기)'!C3:C562,0,-1),0)</f>
        <v>0</v>
      </c>
    </row>
    <row r="1972" ht="50.45" customHeight="1">
      <c r="A1972" s="3">
        <v>1971</v>
      </c>
      <c r="B1972" t="s" s="4">
        <v>12414</v>
      </c>
      <c r="C1972" t="s" s="5">
        <v>12415</v>
      </c>
      <c r="D1972" t="s" s="5">
        <v>12371</v>
      </c>
      <c r="E1972" t="s" s="5">
        <v>12416</v>
      </c>
      <c r="F1972" t="s" s="10">
        <v>12417</v>
      </c>
      <c r="G1972" t="s" s="7">
        <v>8948</v>
      </c>
      <c r="H1972" t="s" s="7">
        <v>12418</v>
      </c>
      <c r="I1972" t="str" s="8" cm="1">
        <f t="array" ref="I1972">SUBSTITUTE(H1972,B1972,"(          )")</f>
        <v>Notwithstanding his injury, he completed the marathon.</v>
      </c>
      <c r="J1972" s="9" cm="1">
        <f t="array" ref="J1972">SUMIF('외운 것 - 엑셀다운로드 파일(붙여넣기)'!A3:A562,A1972,'외운 것 - 엑셀다운로드 파일(붙여넣기)'!D3:D562)</f>
        <v>0</v>
      </c>
      <c r="K1972" s="9" cm="1">
        <f t="array" ref="K1972">_xlfn.COUNTIFS('외운 것 - 엑셀다운로드 파일(붙여넣기)'!A3:A562,A1972,'외운 것 - 엑셀다운로드 파일(붙여넣기)'!D3:D562,0)</f>
        <v>0</v>
      </c>
      <c r="L1972" s="9" cm="1">
        <f t="array" ref="L1972">IF(J1972&gt;=3,_xlfn.XLOOKUP(A1972,'외운 것 - 엑셀다운로드 파일(붙여넣기)'!A3:A562,'외운 것 - 엑셀다운로드 파일(붙여넣기)'!C3:C562,0,-1),0)</f>
        <v>0</v>
      </c>
    </row>
    <row r="1973" ht="38.45" customHeight="1">
      <c r="A1973" s="3">
        <v>1972</v>
      </c>
      <c r="B1973" t="s" s="4">
        <v>12420</v>
      </c>
      <c r="C1973" t="s" s="5">
        <v>12379</v>
      </c>
      <c r="D1973" t="s" s="5">
        <v>12371</v>
      </c>
      <c r="E1973" t="s" s="5">
        <v>12421</v>
      </c>
      <c r="F1973" t="s" s="10">
        <v>12422</v>
      </c>
      <c r="G1973" t="s" s="7">
        <v>12423</v>
      </c>
      <c r="H1973" t="s" s="7">
        <v>12424</v>
      </c>
      <c r="I1973" t="str" s="8" cm="1">
        <f t="array" ref="I1973">SUBSTITUTE(H1973,B1973,"(          )")</f>
        <v>She received an award for her (          ) achievement.</v>
      </c>
      <c r="J1973" s="9" cm="1">
        <f t="array" ref="J1973">SUMIF('외운 것 - 엑셀다운로드 파일(붙여넣기)'!A3:A562,A1973,'외운 것 - 엑셀다운로드 파일(붙여넣기)'!D3:D562)</f>
        <v>0</v>
      </c>
      <c r="K1973" s="9" cm="1">
        <f t="array" ref="K1973">_xlfn.COUNTIFS('외운 것 - 엑셀다운로드 파일(붙여넣기)'!A3:A562,A1973,'외운 것 - 엑셀다운로드 파일(붙여넣기)'!D3:D562,0)</f>
        <v>0</v>
      </c>
      <c r="L1973" s="9" cm="1">
        <f t="array" ref="L1973">IF(J1973&gt;=3,_xlfn.XLOOKUP(A1973,'외운 것 - 엑셀다운로드 파일(붙여넣기)'!A3:A562,'외운 것 - 엑셀다운로드 파일(붙여넣기)'!C3:C562,0,-1),0)</f>
        <v>0</v>
      </c>
    </row>
    <row r="1974" ht="23.45" customHeight="1">
      <c r="A1974" s="3">
        <v>1973</v>
      </c>
      <c r="B1974" t="s" s="4">
        <v>12426</v>
      </c>
      <c r="C1974" t="s" s="5">
        <v>12371</v>
      </c>
      <c r="D1974" t="s" s="5">
        <v>12372</v>
      </c>
      <c r="E1974" t="s" s="5">
        <v>12427</v>
      </c>
      <c r="F1974" t="s" s="10">
        <v>12428</v>
      </c>
      <c r="G1974" t="s" s="7">
        <v>12429</v>
      </c>
      <c r="H1974" t="s" s="7">
        <v>12430</v>
      </c>
      <c r="I1974" t="str" s="8" cm="1">
        <f t="array" ref="I1974">SUBSTITUTE(H1974,B1974,"(          )")</f>
        <v>Hold the camera (          ) to avoid blurry photos.</v>
      </c>
      <c r="J1974" s="9" cm="1">
        <f t="array" ref="J1974">SUMIF('외운 것 - 엑셀다운로드 파일(붙여넣기)'!A3:A562,A1974,'외운 것 - 엑셀다운로드 파일(붙여넣기)'!D3:D562)</f>
        <v>0</v>
      </c>
      <c r="K1974" s="9" cm="1">
        <f t="array" ref="K1974">_xlfn.COUNTIFS('외운 것 - 엑셀다운로드 파일(붙여넣기)'!A3:A562,A1974,'외운 것 - 엑셀다운로드 파일(붙여넣기)'!D3:D562,0)</f>
        <v>0</v>
      </c>
      <c r="L1974" s="9" cm="1">
        <f t="array" ref="L1974">IF(J1974&gt;=3,_xlfn.XLOOKUP(A1974,'외운 것 - 엑셀다운로드 파일(붙여넣기)'!A3:A562,'외운 것 - 엑셀다운로드 파일(붙여넣기)'!C3:C562,0,-1),0)</f>
        <v>0</v>
      </c>
    </row>
    <row r="1975" ht="23.45" customHeight="1">
      <c r="A1975" s="3">
        <v>1974</v>
      </c>
      <c r="B1975" t="s" s="4">
        <v>770</v>
      </c>
      <c r="C1975" t="s" s="5">
        <v>12432</v>
      </c>
      <c r="D1975" t="s" s="5">
        <v>12371</v>
      </c>
      <c r="E1975" t="s" s="5">
        <v>771</v>
      </c>
      <c r="F1975" t="s" s="10">
        <v>12433</v>
      </c>
      <c r="G1975" t="s" s="7">
        <v>12434</v>
      </c>
      <c r="H1975" t="s" s="7">
        <v>774</v>
      </c>
      <c r="I1975" t="str" s="8" cm="1">
        <f t="array" ref="I1975">SUBSTITUTE(H1975,B1975,"(          )")</f>
        <v>Under no (          ) should you open this door.</v>
      </c>
      <c r="J1975" s="9" cm="1">
        <f t="array" ref="J1975">SUMIF('외운 것 - 엑셀다운로드 파일(붙여넣기)'!A3:A562,A1975,'외운 것 - 엑셀다운로드 파일(붙여넣기)'!D3:D562)</f>
        <v>0</v>
      </c>
      <c r="K1975" s="9" cm="1">
        <f t="array" ref="K1975">_xlfn.COUNTIFS('외운 것 - 엑셀다운로드 파일(붙여넣기)'!A3:A562,A1975,'외운 것 - 엑셀다운로드 파일(붙여넣기)'!D3:D562,0)</f>
        <v>0</v>
      </c>
      <c r="L1975" s="9" cm="1">
        <f t="array" ref="L1975">IF(J1975&gt;=3,_xlfn.XLOOKUP(A1975,'외운 것 - 엑셀다운로드 파일(붙여넣기)'!A3:A562,'외운 것 - 엑셀다운로드 파일(붙여넣기)'!C3:C562,0,-1),0)</f>
        <v>0</v>
      </c>
    </row>
    <row r="1976" ht="38.45" customHeight="1">
      <c r="A1976" s="3">
        <v>1975</v>
      </c>
      <c r="B1976" t="s" s="4">
        <v>12435</v>
      </c>
      <c r="C1976" t="s" s="5">
        <v>12432</v>
      </c>
      <c r="D1976" t="s" s="5">
        <v>12371</v>
      </c>
      <c r="E1976" t="s" s="5">
        <v>12436</v>
      </c>
      <c r="F1976" t="s" s="10">
        <v>12437</v>
      </c>
      <c r="G1976" t="s" s="7">
        <v>12438</v>
      </c>
      <c r="H1976" t="s" s="7">
        <v>12439</v>
      </c>
      <c r="I1976" t="str" s="8" cm="1">
        <f t="array" ref="I1976">SUBSTITUTE(H1976,B1976,"(          )")</f>
        <v>Water is a (          ) essential for life.</v>
      </c>
      <c r="J1976" s="9" cm="1">
        <f t="array" ref="J1976">SUMIF('외운 것 - 엑셀다운로드 파일(붙여넣기)'!A3:A562,A1976,'외운 것 - 엑셀다운로드 파일(붙여넣기)'!D3:D562)</f>
        <v>0</v>
      </c>
      <c r="K1976" s="9" cm="1">
        <f t="array" ref="K1976">_xlfn.COUNTIFS('외운 것 - 엑셀다운로드 파일(붙여넣기)'!A3:A562,A1976,'외운 것 - 엑셀다운로드 파일(붙여넣기)'!D3:D562,0)</f>
        <v>0</v>
      </c>
      <c r="L1976" s="9" cm="1">
        <f t="array" ref="L1976">IF(J1976&gt;=3,_xlfn.XLOOKUP(A1976,'외운 것 - 엑셀다운로드 파일(붙여넣기)'!A3:A562,'외운 것 - 엑셀다운로드 파일(붙여넣기)'!C3:C562,0,-1),0)</f>
        <v>0</v>
      </c>
    </row>
    <row r="1977" ht="50.45" customHeight="1">
      <c r="A1977" s="3">
        <v>1976</v>
      </c>
      <c r="B1977" t="s" s="4">
        <v>12441</v>
      </c>
      <c r="C1977" t="s" s="5">
        <v>12442</v>
      </c>
      <c r="D1977" t="s" s="5">
        <v>12371</v>
      </c>
      <c r="E1977" t="s" s="5">
        <v>12443</v>
      </c>
      <c r="F1977" t="s" s="10">
        <v>12444</v>
      </c>
      <c r="G1977" t="s" s="7">
        <v>12445</v>
      </c>
      <c r="H1977" t="s" s="7">
        <v>12446</v>
      </c>
      <c r="I1977" t="str" s="8" cm="1">
        <f t="array" ref="I1977">SUBSTITUTE(H1977,B1977,"(          )")</f>
        <v>He inherited a (          ) amount of money.</v>
      </c>
      <c r="J1977" s="9" cm="1">
        <f t="array" ref="J1977">SUMIF('외운 것 - 엑셀다운로드 파일(붙여넣기)'!A3:A562,A1977,'외운 것 - 엑셀다운로드 파일(붙여넣기)'!D3:D562)</f>
        <v>0</v>
      </c>
      <c r="K1977" s="9" cm="1">
        <f t="array" ref="K1977">_xlfn.COUNTIFS('외운 것 - 엑셀다운로드 파일(붙여넣기)'!A3:A562,A1977,'외운 것 - 엑셀다운로드 파일(붙여넣기)'!D3:D562,0)</f>
        <v>0</v>
      </c>
      <c r="L1977" s="9" cm="1">
        <f t="array" ref="L1977">IF(J1977&gt;=3,_xlfn.XLOOKUP(A1977,'외운 것 - 엑셀다운로드 파일(붙여넣기)'!A3:A562,'외운 것 - 엑셀다운로드 파일(붙여넣기)'!C3:C562,0,-1),0)</f>
        <v>0</v>
      </c>
    </row>
    <row r="1978" ht="78.4" customHeight="1">
      <c r="A1978" s="3">
        <v>1977</v>
      </c>
      <c r="B1978" t="s" s="4">
        <v>12448</v>
      </c>
      <c r="C1978" t="s" s="5">
        <v>12449</v>
      </c>
      <c r="D1978" t="s" s="5">
        <v>12371</v>
      </c>
      <c r="E1978" t="s" s="5">
        <v>12450</v>
      </c>
      <c r="F1978" t="s" s="10">
        <v>12451</v>
      </c>
      <c r="G1978" t="s" s="7">
        <v>12452</v>
      </c>
      <c r="H1978" t="s" s="7">
        <v>12453</v>
      </c>
      <c r="I1978" t="str" s="8" cm="1">
        <f t="array" ref="I1978">SUBSTITUTE(H1978,B1978,"(          )")</f>
        <v>The evidence supporting the claim was (          ).</v>
      </c>
      <c r="J1978" s="9" cm="1">
        <f t="array" ref="J1978">SUMIF('외운 것 - 엑셀다운로드 파일(붙여넣기)'!A3:A562,A1978,'외운 것 - 엑셀다운로드 파일(붙여넣기)'!D3:D562)</f>
        <v>0</v>
      </c>
      <c r="K1978" s="9" cm="1">
        <f t="array" ref="K1978">_xlfn.COUNTIFS('외운 것 - 엑셀다운로드 파일(붙여넣기)'!A3:A562,A1978,'외운 것 - 엑셀다운로드 파일(붙여넣기)'!D3:D562,0)</f>
        <v>0</v>
      </c>
      <c r="L1978" s="9" cm="1">
        <f t="array" ref="L1978">IF(J1978&gt;=3,_xlfn.XLOOKUP(A1978,'외운 것 - 엑셀다운로드 파일(붙여넣기)'!A3:A562,'외운 것 - 엑셀다운로드 파일(붙여넣기)'!C3:C562,0,-1),0)</f>
        <v>0</v>
      </c>
    </row>
    <row r="1979" ht="23.45" customHeight="1">
      <c r="A1979" s="3">
        <v>1978</v>
      </c>
      <c r="B1979" t="s" s="4">
        <v>12455</v>
      </c>
      <c r="C1979" t="s" s="5">
        <v>12432</v>
      </c>
      <c r="D1979" t="s" s="5">
        <v>12371</v>
      </c>
      <c r="E1979" t="s" s="5">
        <v>12456</v>
      </c>
      <c r="F1979" t="s" s="10">
        <v>12457</v>
      </c>
      <c r="G1979" t="s" s="7">
        <v>12458</v>
      </c>
      <c r="H1979" t="s" s="7">
        <v>12459</v>
      </c>
      <c r="I1979" t="str" s="8" cm="1">
        <f t="array" ref="I1979">SUBSTITUTE(H1979,B1979,"(          )")</f>
        <v>This is a rare (          ) of that butterfly species.</v>
      </c>
      <c r="J1979" s="9" cm="1">
        <f t="array" ref="J1979">SUMIF('외운 것 - 엑셀다운로드 파일(붙여넣기)'!A3:A562,A1979,'외운 것 - 엑셀다운로드 파일(붙여넣기)'!D3:D562)</f>
        <v>0</v>
      </c>
      <c r="K1979" s="9" cm="1">
        <f t="array" ref="K1979">_xlfn.COUNTIFS('외운 것 - 엑셀다운로드 파일(붙여넣기)'!A3:A562,A1979,'외운 것 - 엑셀다운로드 파일(붙여넣기)'!D3:D562,0)</f>
        <v>0</v>
      </c>
      <c r="L1979" s="9" cm="1">
        <f t="array" ref="L1979">IF(J1979&gt;=3,_xlfn.XLOOKUP(A1979,'외운 것 - 엑셀다운로드 파일(붙여넣기)'!A3:A562,'외운 것 - 엑셀다운로드 파일(붙여넣기)'!C3:C562,0,-1),0)</f>
        <v>0</v>
      </c>
    </row>
    <row r="1980" ht="50.45" customHeight="1">
      <c r="A1980" s="3">
        <v>1979</v>
      </c>
      <c r="B1980" t="s" s="4">
        <v>12461</v>
      </c>
      <c r="C1980" t="s" s="5">
        <v>12462</v>
      </c>
      <c r="D1980" t="s" s="5">
        <v>12371</v>
      </c>
      <c r="E1980" t="s" s="5">
        <v>12463</v>
      </c>
      <c r="F1980" t="s" s="10">
        <v>12464</v>
      </c>
      <c r="G1980" t="s" s="7">
        <v>12465</v>
      </c>
      <c r="H1980" t="s" s="7">
        <v>12466</v>
      </c>
      <c r="I1980" t="str" s="8" cm="1">
        <f t="array" ref="I1980">SUBSTITUTE(H1980,B1980,"(          )")</f>
        <v>Instant coffee dissolves quickly in hot water.</v>
      </c>
      <c r="J1980" s="9" cm="1">
        <f t="array" ref="J1980">SUMIF('외운 것 - 엑셀다운로드 파일(붙여넣기)'!A3:A562,A1980,'외운 것 - 엑셀다운로드 파일(붙여넣기)'!D3:D562)</f>
        <v>0</v>
      </c>
      <c r="K1980" s="9" cm="1">
        <f t="array" ref="K1980">_xlfn.COUNTIFS('외운 것 - 엑셀다운로드 파일(붙여넣기)'!A3:A562,A1980,'외운 것 - 엑셀다운로드 파일(붙여넣기)'!D3:D562,0)</f>
        <v>0</v>
      </c>
      <c r="L1980" s="9" cm="1">
        <f t="array" ref="L1980">IF(J1980&gt;=3,_xlfn.XLOOKUP(A1980,'외운 것 - 엑셀다운로드 파일(붙여넣기)'!A3:A562,'외운 것 - 엑셀다운로드 파일(붙여넣기)'!C3:C562,0,-1),0)</f>
        <v>0</v>
      </c>
    </row>
    <row r="1981" ht="50.45" customHeight="1">
      <c r="A1981" s="3">
        <v>1980</v>
      </c>
      <c r="B1981" t="s" s="4">
        <v>12468</v>
      </c>
      <c r="C1981" t="s" s="5">
        <v>12462</v>
      </c>
      <c r="D1981" t="s" s="5">
        <v>12371</v>
      </c>
      <c r="E1981" t="s" s="5">
        <v>12469</v>
      </c>
      <c r="F1981" t="s" s="10">
        <v>12470</v>
      </c>
      <c r="G1981" t="s" s="7">
        <v>12471</v>
      </c>
      <c r="H1981" t="s" s="7">
        <v>12472</v>
      </c>
      <c r="I1981" t="str" s="8" cm="1">
        <f t="array" ref="I1981">SUBSTITUTE(H1981,B1981,"(          )")</f>
        <v>We could see the (          ) mountains on the horizon.</v>
      </c>
      <c r="J1981" s="9" cm="1">
        <f t="array" ref="J1981">SUMIF('외운 것 - 엑셀다운로드 파일(붙여넣기)'!A3:A562,A1981,'외운 것 - 엑셀다운로드 파일(붙여넣기)'!D3:D562)</f>
        <v>0</v>
      </c>
      <c r="K1981" s="9" cm="1">
        <f t="array" ref="K1981">_xlfn.COUNTIFS('외운 것 - 엑셀다운로드 파일(붙여넣기)'!A3:A562,A1981,'외운 것 - 엑셀다운로드 파일(붙여넣기)'!D3:D562,0)</f>
        <v>0</v>
      </c>
      <c r="L1981" s="9" cm="1">
        <f t="array" ref="L1981">IF(J1981&gt;=3,_xlfn.XLOOKUP(A1981,'외운 것 - 엑셀다운로드 파일(붙여넣기)'!A3:A562,'외운 것 - 엑셀다운로드 파일(붙여넣기)'!C3:C562,0,-1),0)</f>
        <v>0</v>
      </c>
    </row>
    <row r="1982" ht="50.45" customHeight="1">
      <c r="A1982" s="3">
        <v>1981</v>
      </c>
      <c r="B1982" t="s" s="4">
        <v>12474</v>
      </c>
      <c r="C1982" t="s" s="5">
        <v>12462</v>
      </c>
      <c r="D1982" t="s" s="5">
        <v>12371</v>
      </c>
      <c r="E1982" t="s" s="5">
        <v>12475</v>
      </c>
      <c r="F1982" t="s" s="10">
        <v>12476</v>
      </c>
      <c r="G1982" t="s" s="7">
        <v>12477</v>
      </c>
      <c r="H1982" t="s" s="7">
        <v>12478</v>
      </c>
      <c r="I1982" t="str" s="8" cm="1">
        <f t="array" ref="I1982">SUBSTITUTE(H1982,B1982,"(          )")</f>
        <v>The (          ) noise from construction made it hard to concentrate.</v>
      </c>
      <c r="J1982" s="9" cm="1">
        <f t="array" ref="J1982">SUMIF('외운 것 - 엑셀다운로드 파일(붙여넣기)'!A3:A562,A1982,'외운 것 - 엑셀다운로드 파일(붙여넣기)'!D3:D562)</f>
        <v>0</v>
      </c>
      <c r="K1982" s="9" cm="1">
        <f t="array" ref="K1982">_xlfn.COUNTIFS('외운 것 - 엑셀다운로드 파일(붙여넣기)'!A3:A562,A1982,'외운 것 - 엑셀다운로드 파일(붙여넣기)'!D3:D562,0)</f>
        <v>0</v>
      </c>
      <c r="L1982" s="9" cm="1">
        <f t="array" ref="L1982">IF(J1982&gt;=3,_xlfn.XLOOKUP(A1982,'외운 것 - 엑셀다운로드 파일(붙여넣기)'!A3:A562,'외운 것 - 엑셀다운로드 파일(붙여넣기)'!C3:C562,0,-1),0)</f>
        <v>0</v>
      </c>
    </row>
    <row r="1983" ht="23.45" customHeight="1">
      <c r="A1983" s="3">
        <v>1982</v>
      </c>
      <c r="B1983" t="s" s="4">
        <v>12480</v>
      </c>
      <c r="C1983" t="s" s="5">
        <v>12371</v>
      </c>
      <c r="D1983" t="s" s="5">
        <v>12372</v>
      </c>
      <c r="E1983" t="s" s="5">
        <v>12481</v>
      </c>
      <c r="F1983" t="s" s="10">
        <v>12482</v>
      </c>
      <c r="G1983" t="s" s="7">
        <v>12483</v>
      </c>
      <c r="H1983" t="s" s="7">
        <v>12484</v>
      </c>
      <c r="I1983" t="str" s="8" cm="1">
        <f t="array" ref="I1983">SUBSTITUTE(H1983,B1983,"(          )")</f>
        <v>The fire (          ) responds quickly to emergencies.</v>
      </c>
      <c r="J1983" s="9" cm="1">
        <f t="array" ref="J1983">SUMIF('외운 것 - 엑셀다운로드 파일(붙여넣기)'!A3:A562,A1983,'외운 것 - 엑셀다운로드 파일(붙여넣기)'!D3:D562)</f>
        <v>0</v>
      </c>
      <c r="K1983" s="9" cm="1">
        <f t="array" ref="K1983">_xlfn.COUNTIFS('외운 것 - 엑셀다운로드 파일(붙여넣기)'!A3:A562,A1983,'외운 것 - 엑셀다운로드 파일(붙여넣기)'!D3:D562,0)</f>
        <v>0</v>
      </c>
      <c r="L1983" s="9" cm="1">
        <f t="array" ref="L1983">IF(J1983&gt;=3,_xlfn.XLOOKUP(A1983,'외운 것 - 엑셀다운로드 파일(붙여넣기)'!A3:A562,'외운 것 - 엑셀다운로드 파일(붙여넣기)'!C3:C562,0,-1),0)</f>
        <v>0</v>
      </c>
    </row>
    <row r="1984" ht="38.45" customHeight="1">
      <c r="A1984" s="3">
        <v>1983</v>
      </c>
      <c r="B1984" t="s" s="4">
        <v>12486</v>
      </c>
      <c r="C1984" t="s" s="5">
        <v>12487</v>
      </c>
      <c r="D1984" t="s" s="5">
        <v>12371</v>
      </c>
      <c r="E1984" t="s" s="5">
        <v>12488</v>
      </c>
      <c r="F1984" t="s" s="10">
        <v>12489</v>
      </c>
      <c r="G1984" t="s" s="7">
        <v>12490</v>
      </c>
      <c r="H1984" t="s" s="7">
        <v>12491</v>
      </c>
      <c r="I1984" t="str" s="8" cm="1">
        <f t="array" ref="I1984">SUBSTITUTE(H1984,B1984,"(          )")</f>
        <v>The (          ) bicycle provides good exercise indoors.</v>
      </c>
      <c r="J1984" s="9" cm="1">
        <f t="array" ref="J1984">SUMIF('외운 것 - 엑셀다운로드 파일(붙여넣기)'!A3:A562,A1984,'외운 것 - 엑셀다운로드 파일(붙여넣기)'!D3:D562)</f>
        <v>0</v>
      </c>
      <c r="K1984" s="9" cm="1">
        <f t="array" ref="K1984">_xlfn.COUNTIFS('외운 것 - 엑셀다운로드 파일(붙여넣기)'!A3:A562,A1984,'외운 것 - 엑셀다운로드 파일(붙여넣기)'!D3:D562,0)</f>
        <v>0</v>
      </c>
      <c r="L1984" s="9" cm="1">
        <f t="array" ref="L1984">IF(J1984&gt;=3,_xlfn.XLOOKUP(A1984,'외운 것 - 엑셀다운로드 파일(붙여넣기)'!A3:A562,'외운 것 - 엑셀다운로드 파일(붙여넣기)'!C3:C562,0,-1),0)</f>
        <v>0</v>
      </c>
    </row>
    <row r="1985" ht="38.45" customHeight="1">
      <c r="A1985" s="3">
        <v>1984</v>
      </c>
      <c r="B1985" t="s" s="4">
        <v>12493</v>
      </c>
      <c r="C1985" t="s" s="5">
        <v>12371</v>
      </c>
      <c r="D1985" t="s" s="5">
        <v>12372</v>
      </c>
      <c r="E1985" t="s" s="5">
        <v>12494</v>
      </c>
      <c r="F1985" t="s" s="10">
        <v>12495</v>
      </c>
      <c r="G1985" t="s" s="7">
        <v>12496</v>
      </c>
      <c r="H1985" t="s" s="7">
        <v>12497</v>
      </c>
      <c r="I1985" t="str" s="8" cm="1">
        <f t="array" ref="I1985">SUBSTITUTE(H1985,B1985,"(          )")</f>
        <v>What (          ) do you live in?</v>
      </c>
      <c r="J1985" s="9" cm="1">
        <f t="array" ref="J1985">SUMIF('외운 것 - 엑셀다운로드 파일(붙여넣기)'!A3:A562,A1985,'외운 것 - 엑셀다운로드 파일(붙여넣기)'!D3:D562)</f>
        <v>0</v>
      </c>
      <c r="K1985" s="9" cm="1">
        <f t="array" ref="K1985">_xlfn.COUNTIFS('외운 것 - 엑셀다운로드 파일(붙여넣기)'!A3:A562,A1985,'외운 것 - 엑셀다운로드 파일(붙여넣기)'!D3:D562,0)</f>
        <v>0</v>
      </c>
      <c r="L1985" s="9" cm="1">
        <f t="array" ref="L1985">IF(J1985&gt;=3,_xlfn.XLOOKUP(A1985,'외운 것 - 엑셀다운로드 파일(붙여넣기)'!A3:A562,'외운 것 - 엑셀다운로드 파일(붙여넣기)'!C3:C562,0,-1),0)</f>
        <v>0</v>
      </c>
    </row>
    <row r="1986" ht="38.45" customHeight="1">
      <c r="A1986" s="3">
        <v>1985</v>
      </c>
      <c r="B1986" t="s" s="4">
        <v>12499</v>
      </c>
      <c r="C1986" t="s" s="5">
        <v>12371</v>
      </c>
      <c r="D1986" t="s" s="5">
        <v>12372</v>
      </c>
      <c r="E1986" t="s" s="5">
        <v>12500</v>
      </c>
      <c r="F1986" t="s" s="10">
        <v>12501</v>
      </c>
      <c r="G1986" t="s" s="7">
        <v>12502</v>
      </c>
      <c r="H1986" t="s" s="7">
        <v>12503</v>
      </c>
      <c r="I1986" t="str" s="8" cm="1">
        <f t="array" ref="I1986">SUBSTITUTE(H1986,B1986,"(          )")</f>
        <v>The bronze (          ) commemorates the town's founder.</v>
      </c>
      <c r="J1986" s="9" cm="1">
        <f t="array" ref="J1986">SUMIF('외운 것 - 엑셀다운로드 파일(붙여넣기)'!A3:A562,A1986,'외운 것 - 엑셀다운로드 파일(붙여넣기)'!D3:D562)</f>
        <v>0</v>
      </c>
      <c r="K1986" s="9" cm="1">
        <f t="array" ref="K1986">_xlfn.COUNTIFS('외운 것 - 엑셀다운로드 파일(붙여넣기)'!A3:A562,A1986,'외운 것 - 엑셀다운로드 파일(붙여넣기)'!D3:D562,0)</f>
        <v>0</v>
      </c>
      <c r="L1986" s="9" cm="1">
        <f t="array" ref="L1986">IF(J1986&gt;=3,_xlfn.XLOOKUP(A1986,'외운 것 - 엑셀다운로드 파일(붙여넣기)'!A3:A562,'외운 것 - 엑셀다운로드 파일(붙여넣기)'!C3:C562,0,-1),0)</f>
        <v>0</v>
      </c>
    </row>
    <row r="1987" ht="38.45" customHeight="1">
      <c r="A1987" s="3">
        <v>1986</v>
      </c>
      <c r="B1987" t="s" s="4">
        <v>12505</v>
      </c>
      <c r="C1987" t="s" s="5">
        <v>12506</v>
      </c>
      <c r="D1987" t="s" s="5">
        <v>12371</v>
      </c>
      <c r="E1987" t="s" s="5">
        <v>12507</v>
      </c>
      <c r="F1987" t="s" s="10">
        <v>12508</v>
      </c>
      <c r="G1987" t="s" s="7">
        <v>12509</v>
      </c>
      <c r="H1987" t="s" s="7">
        <v>12510</v>
      </c>
      <c r="I1987" t="str" s="8" cm="1">
        <f t="array" ref="I1987">SUBSTITUTE(H1987,B1987,"(          )")</f>
        <v>They inherited a large (          ) in the countryside.</v>
      </c>
      <c r="J1987" s="9" cm="1">
        <f t="array" ref="J1987">SUMIF('외운 것 - 엑셀다운로드 파일(붙여넣기)'!A3:A562,A1987,'외운 것 - 엑셀다운로드 파일(붙여넣기)'!D3:D562)</f>
        <v>0</v>
      </c>
      <c r="K1987" s="9" cm="1">
        <f t="array" ref="K1987">_xlfn.COUNTIFS('외운 것 - 엑셀다운로드 파일(붙여넣기)'!A3:A562,A1987,'외운 것 - 엑셀다운로드 파일(붙여넣기)'!D3:D562,0)</f>
        <v>0</v>
      </c>
      <c r="L1987" s="9" cm="1">
        <f t="array" ref="L1987">IF(J1987&gt;=3,_xlfn.XLOOKUP(A1987,'외운 것 - 엑셀다운로드 파일(붙여넣기)'!A3:A562,'외운 것 - 엑셀다운로드 파일(붙여넣기)'!C3:C562,0,-1),0)</f>
        <v>0</v>
      </c>
    </row>
    <row r="1988" ht="23.45" customHeight="1">
      <c r="A1988" s="3">
        <v>1987</v>
      </c>
      <c r="B1988" t="s" s="4">
        <v>12512</v>
      </c>
      <c r="C1988" t="s" s="5">
        <v>12371</v>
      </c>
      <c r="D1988" t="s" s="5">
        <v>12372</v>
      </c>
      <c r="E1988" t="s" s="5">
        <v>12513</v>
      </c>
      <c r="F1988" t="s" s="10">
        <v>12514</v>
      </c>
      <c r="G1988" t="s" s="7">
        <v>12515</v>
      </c>
      <c r="H1988" t="s" s="7">
        <v>12516</v>
      </c>
      <c r="I1988" t="str" s="8" cm="1">
        <f t="array" ref="I1988">SUBSTITUTE(H1988,B1988,"(          )")</f>
        <v>The patient's condition is (          ) after surgery.</v>
      </c>
      <c r="J1988" s="9" cm="1">
        <f t="array" ref="J1988">SUMIF('외운 것 - 엑셀다운로드 파일(붙여넣기)'!A3:A562,A1988,'외운 것 - 엑셀다운로드 파일(붙여넣기)'!D3:D562)</f>
        <v>0</v>
      </c>
      <c r="K1988" s="9" cm="1">
        <f t="array" ref="K1988">_xlfn.COUNTIFS('외운 것 - 엑셀다운로드 파일(붙여넣기)'!A3:A562,A1988,'외운 것 - 엑셀다운로드 파일(붙여넣기)'!D3:D562,0)</f>
        <v>0</v>
      </c>
      <c r="L1988" s="9" cm="1">
        <f t="array" ref="L1988">IF(J1988&gt;=3,_xlfn.XLOOKUP(A1988,'외운 것 - 엑셀다운로드 파일(붙여넣기)'!A3:A562,'외운 것 - 엑셀다운로드 파일(붙여넣기)'!C3:C562,0,-1),0)</f>
        <v>0</v>
      </c>
    </row>
    <row r="1989" ht="36.4" customHeight="1">
      <c r="A1989" s="3">
        <v>1988</v>
      </c>
      <c r="B1989" t="s" s="4">
        <v>12518</v>
      </c>
      <c r="C1989" t="s" s="5">
        <v>12519</v>
      </c>
      <c r="D1989" t="s" s="5">
        <v>12371</v>
      </c>
      <c r="E1989" t="s" s="5">
        <v>12520</v>
      </c>
      <c r="F1989" t="s" s="10">
        <v>12521</v>
      </c>
      <c r="G1989" t="s" s="7">
        <v>12522</v>
      </c>
      <c r="H1989" t="s" s="7">
        <v>12523</v>
      </c>
      <c r="I1989" t="str" s="8" cm="1">
        <f t="array" ref="I1989">SUBSTITUTE(H1989,B1989,"(          )")</f>
        <v>Political (          ) deterred foreign investors.</v>
      </c>
      <c r="J1989" s="9" cm="1">
        <f t="array" ref="J1989">SUMIF('외운 것 - 엑셀다운로드 파일(붙여넣기)'!A3:A562,A1989,'외운 것 - 엑셀다운로드 파일(붙여넣기)'!D3:D562)</f>
        <v>0</v>
      </c>
      <c r="K1989" s="9" cm="1">
        <f t="array" ref="K1989">_xlfn.COUNTIFS('외운 것 - 엑셀다운로드 파일(붙여넣기)'!A3:A562,A1989,'외운 것 - 엑셀다운로드 파일(붙여넣기)'!D3:D562,0)</f>
        <v>0</v>
      </c>
      <c r="L1989" s="9" cm="1">
        <f t="array" ref="L1989">IF(J1989&gt;=3,_xlfn.XLOOKUP(A1989,'외운 것 - 엑셀다운로드 파일(붙여넣기)'!A3:A562,'외운 것 - 엑셀다운로드 파일(붙여넣기)'!C3:C562,0,-1),0)</f>
        <v>0</v>
      </c>
    </row>
    <row r="1990" ht="23.45" customHeight="1">
      <c r="A1990" s="3">
        <v>1989</v>
      </c>
      <c r="B1990" t="s" s="4">
        <v>4049</v>
      </c>
      <c r="C1990" t="s" s="5">
        <v>12525</v>
      </c>
      <c r="D1990" t="s" s="5">
        <v>12371</v>
      </c>
      <c r="E1990" t="s" s="5">
        <v>4051</v>
      </c>
      <c r="F1990" t="s" s="10">
        <v>12526</v>
      </c>
      <c r="G1990" t="s" s="7">
        <v>12527</v>
      </c>
      <c r="H1990" t="s" s="7">
        <v>4054</v>
      </c>
      <c r="I1990" t="str" s="8" cm="1">
        <f t="array" ref="I1990">SUBSTITUTE(H1990,B1990,"(          )")</f>
        <v>The company wants to (          ) a new branch in Asia.</v>
      </c>
      <c r="J1990" s="9" cm="1">
        <f t="array" ref="J1990">SUMIF('외운 것 - 엑셀다운로드 파일(붙여넣기)'!A3:A562,A1990,'외운 것 - 엑셀다운로드 파일(붙여넣기)'!D3:D562)</f>
        <v>0</v>
      </c>
      <c r="K1990" s="9" cm="1">
        <f t="array" ref="K1990">_xlfn.COUNTIFS('외운 것 - 엑셀다운로드 파일(붙여넣기)'!A3:A562,A1990,'외운 것 - 엑셀다운로드 파일(붙여넣기)'!D3:D562,0)</f>
        <v>0</v>
      </c>
      <c r="L1990" s="9" cm="1">
        <f t="array" ref="L1990">IF(J1990&gt;=3,_xlfn.XLOOKUP(A1990,'외운 것 - 엑셀다운로드 파일(붙여넣기)'!A3:A562,'외운 것 - 엑셀다운로드 파일(붙여넣기)'!C3:C562,0,-1),0)</f>
        <v>0</v>
      </c>
    </row>
    <row r="1991" ht="23.45" customHeight="1">
      <c r="A1991" s="3">
        <v>1990</v>
      </c>
      <c r="B1991" t="s" s="4">
        <v>12528</v>
      </c>
      <c r="C1991" t="s" s="5">
        <v>12371</v>
      </c>
      <c r="D1991" t="s" s="5">
        <v>12372</v>
      </c>
      <c r="E1991" t="s" s="5">
        <v>12529</v>
      </c>
      <c r="F1991" t="s" s="10">
        <v>12530</v>
      </c>
      <c r="G1991" t="s" s="7">
        <v>12531</v>
      </c>
      <c r="H1991" t="s" s="7">
        <v>12532</v>
      </c>
      <c r="I1991" t="str" s="8" cm="1">
        <f t="array" ref="I1991">SUBSTITUTE(H1991,B1991,"(          )")</f>
        <v>The actor performed brilliantly on (          ).</v>
      </c>
      <c r="J1991" s="9" cm="1">
        <f t="array" ref="J1991">SUMIF('외운 것 - 엑셀다운로드 파일(붙여넣기)'!A3:A562,A1991,'외운 것 - 엑셀다운로드 파일(붙여넣기)'!D3:D562)</f>
        <v>0</v>
      </c>
      <c r="K1991" s="9" cm="1">
        <f t="array" ref="K1991">_xlfn.COUNTIFS('외운 것 - 엑셀다운로드 파일(붙여넣기)'!A3:A562,A1991,'외운 것 - 엑셀다운로드 파일(붙여넣기)'!D3:D562,0)</f>
        <v>0</v>
      </c>
      <c r="L1991" s="9" cm="1">
        <f t="array" ref="L1991">IF(J1991&gt;=3,_xlfn.XLOOKUP(A1991,'외운 것 - 엑셀다운로드 파일(붙여넣기)'!A3:A562,'외운 것 - 엑셀다운로드 파일(붙여넣기)'!C3:C562,0,-1),0)</f>
        <v>0</v>
      </c>
    </row>
    <row r="1992" ht="50.45" customHeight="1">
      <c r="A1992" s="3">
        <v>1991</v>
      </c>
      <c r="B1992" t="s" s="4">
        <v>12534</v>
      </c>
      <c r="C1992" t="s" s="5">
        <v>12535</v>
      </c>
      <c r="D1992" t="s" s="5">
        <v>12371</v>
      </c>
      <c r="E1992" t="s" s="5">
        <v>12536</v>
      </c>
      <c r="F1992" t="s" s="10">
        <v>12537</v>
      </c>
      <c r="G1992" t="s" s="7">
        <v>12538</v>
      </c>
      <c r="H1992" t="s" s="7">
        <v>12539</v>
      </c>
      <c r="I1992" t="str" s="8" cm="1">
        <f t="array" ref="I1992">SUBSTITUTE(H1992,B1992,"(          )")</f>
        <v>The university enjoys great (          ) in academic circles.</v>
      </c>
      <c r="J1992" s="9" cm="1">
        <f t="array" ref="J1992">SUMIF('외운 것 - 엑셀다운로드 파일(붙여넣기)'!A3:A562,A1992,'외운 것 - 엑셀다운로드 파일(붙여넣기)'!D3:D562)</f>
        <v>0</v>
      </c>
      <c r="K1992" s="9" cm="1">
        <f t="array" ref="K1992">_xlfn.COUNTIFS('외운 것 - 엑셀다운로드 파일(붙여넣기)'!A3:A562,A1992,'외운 것 - 엑셀다운로드 파일(붙여넣기)'!D3:D562,0)</f>
        <v>0</v>
      </c>
      <c r="L1992" s="9" cm="1">
        <f t="array" ref="L1992">IF(J1992&gt;=3,_xlfn.XLOOKUP(A1992,'외운 것 - 엑셀다운로드 파일(붙여넣기)'!A3:A562,'외운 것 - 엑셀다운로드 파일(붙여넣기)'!C3:C562,0,-1),0)</f>
        <v>0</v>
      </c>
    </row>
    <row r="1993" ht="23.45" customHeight="1">
      <c r="A1993" s="3">
        <v>1992</v>
      </c>
      <c r="B1993" t="s" s="4">
        <v>12541</v>
      </c>
      <c r="C1993" t="s" s="5">
        <v>12542</v>
      </c>
      <c r="D1993" t="s" s="5">
        <v>12371</v>
      </c>
      <c r="E1993" t="s" s="5">
        <v>12543</v>
      </c>
      <c r="F1993" t="s" s="10">
        <v>12544</v>
      </c>
      <c r="G1993" t="s" s="7">
        <v>12545</v>
      </c>
      <c r="H1993" t="s" s="7">
        <v>12546</v>
      </c>
      <c r="I1993" t="str" s="8" cm="1">
        <f t="array" ref="I1993">SUBSTITUTE(H1993,B1993,"(          )")</f>
        <v>The corn (          ) grew over six feet tall.</v>
      </c>
      <c r="J1993" s="9" cm="1">
        <f t="array" ref="J1993">SUMIF('외운 것 - 엑셀다운로드 파일(붙여넣기)'!A3:A562,A1993,'외운 것 - 엑셀다운로드 파일(붙여넣기)'!D3:D562)</f>
        <v>0</v>
      </c>
      <c r="K1993" s="9" cm="1">
        <f t="array" ref="K1993">_xlfn.COUNTIFS('외운 것 - 엑셀다운로드 파일(붙여넣기)'!A3:A562,A1993,'외운 것 - 엑셀다운로드 파일(붙여넣기)'!D3:D562,0)</f>
        <v>0</v>
      </c>
      <c r="L1993" s="9" cm="1">
        <f t="array" ref="L1993">IF(J1993&gt;=3,_xlfn.XLOOKUP(A1993,'외운 것 - 엑셀다운로드 파일(붙여넣기)'!A3:A562,'외운 것 - 엑셀다운로드 파일(붙여넣기)'!C3:C562,0,-1),0)</f>
        <v>0</v>
      </c>
    </row>
    <row r="1994" ht="38.45" customHeight="1">
      <c r="A1994" s="3">
        <v>1993</v>
      </c>
      <c r="B1994" t="s" s="4">
        <v>12548</v>
      </c>
      <c r="C1994" t="s" s="5">
        <v>12542</v>
      </c>
      <c r="D1994" t="s" s="5">
        <v>12371</v>
      </c>
      <c r="E1994" t="s" s="5">
        <v>12549</v>
      </c>
      <c r="F1994" t="s" s="10">
        <v>12550</v>
      </c>
      <c r="G1994" t="s" s="7">
        <v>12551</v>
      </c>
      <c r="H1994" t="s" s="7">
        <v>12552</v>
      </c>
      <c r="I1994" t="str" s="8" cm="1">
        <f t="array" ref="I1994">SUBSTITUTE(H1994,B1994,"(          )")</f>
        <v>The hospital (          ) works around the clock.</v>
      </c>
      <c r="J1994" s="9" cm="1">
        <f t="array" ref="J1994">SUMIF('외운 것 - 엑셀다운로드 파일(붙여넣기)'!A3:A562,A1994,'외운 것 - 엑셀다운로드 파일(붙여넣기)'!D3:D562)</f>
        <v>0</v>
      </c>
      <c r="K1994" s="9" cm="1">
        <f t="array" ref="K1994">_xlfn.COUNTIFS('외운 것 - 엑셀다운로드 파일(붙여넣기)'!A3:A562,A1994,'외운 것 - 엑셀다운로드 파일(붙여넣기)'!D3:D562,0)</f>
        <v>0</v>
      </c>
      <c r="L1994" s="9" cm="1">
        <f t="array" ref="L1994">IF(J1994&gt;=3,_xlfn.XLOOKUP(A1994,'외운 것 - 엑셀다운로드 파일(붙여넣기)'!A3:A562,'외운 것 - 엑셀다운로드 파일(붙여넣기)'!C3:C562,0,-1),0)</f>
        <v>0</v>
      </c>
    </row>
    <row r="1995" ht="38.45" customHeight="1">
      <c r="A1995" s="3">
        <v>1994</v>
      </c>
      <c r="B1995" t="s" s="4">
        <v>12554</v>
      </c>
      <c r="C1995" t="s" s="5">
        <v>12371</v>
      </c>
      <c r="D1995" t="s" s="5">
        <v>12371</v>
      </c>
      <c r="E1995" t="s" s="5">
        <v>12555</v>
      </c>
      <c r="F1995" t="s" s="10">
        <v>12556</v>
      </c>
      <c r="G1995" t="s" s="7">
        <v>12557</v>
      </c>
      <c r="H1995" t="s" s="7">
        <v>12558</v>
      </c>
      <c r="I1995" t="str" s="8" cm="1">
        <f t="array" ref="I1995">SUBSTITUTE(H1995,B1995,"(          )")</f>
        <v>The wine left a red (          ) on the tablecloth.</v>
      </c>
      <c r="J1995" s="9" cm="1">
        <f t="array" ref="J1995">SUMIF('외운 것 - 엑셀다운로드 파일(붙여넣기)'!A3:A562,A1995,'외운 것 - 엑셀다운로드 파일(붙여넣기)'!D3:D562)</f>
        <v>0</v>
      </c>
      <c r="K1995" s="9" cm="1">
        <f t="array" ref="K1995">_xlfn.COUNTIFS('외운 것 - 엑셀다운로드 파일(붙여넣기)'!A3:A562,A1995,'외운 것 - 엑셀다운로드 파일(붙여넣기)'!D3:D562,0)</f>
        <v>0</v>
      </c>
      <c r="L1995" s="9" cm="1">
        <f t="array" ref="L1995">IF(J1995&gt;=3,_xlfn.XLOOKUP(A1995,'외운 것 - 엑셀다운로드 파일(붙여넣기)'!A3:A562,'외운 것 - 엑셀다운로드 파일(붙여넣기)'!C3:C562,0,-1),0)</f>
        <v>0</v>
      </c>
    </row>
    <row r="1996" ht="23.45" customHeight="1">
      <c r="A1996" s="3">
        <v>1995</v>
      </c>
      <c r="B1996" t="s" s="4">
        <v>12560</v>
      </c>
      <c r="C1996" t="s" s="5">
        <v>12371</v>
      </c>
      <c r="D1996" t="s" s="5">
        <v>12371</v>
      </c>
      <c r="E1996" t="s" s="5">
        <v>12561</v>
      </c>
      <c r="F1996" t="s" s="10">
        <v>12562</v>
      </c>
      <c r="G1996" t="s" s="7">
        <v>12563</v>
      </c>
      <c r="H1996" t="s" s="7">
        <v>12564</v>
      </c>
      <c r="I1996" t="str" s="8" cm="1">
        <f t="array" ref="I1996">SUBSTITUTE(H1996,B1996,"(          )")</f>
        <v>The race will (          ) at noon.</v>
      </c>
      <c r="J1996" s="9" cm="1">
        <f t="array" ref="J1996">SUMIF('외운 것 - 엑셀다운로드 파일(붙여넣기)'!A3:A562,A1996,'외운 것 - 엑셀다운로드 파일(붙여넣기)'!D3:D562)</f>
        <v>0</v>
      </c>
      <c r="K1996" s="9" cm="1">
        <f t="array" ref="K1996">_xlfn.COUNTIFS('외운 것 - 엑셀다운로드 파일(붙여넣기)'!A3:A562,A1996,'외운 것 - 엑셀다운로드 파일(붙여넣기)'!D3:D562,0)</f>
        <v>0</v>
      </c>
      <c r="L1996" s="9" cm="1">
        <f t="array" ref="L1996">IF(J1996&gt;=3,_xlfn.XLOOKUP(A1996,'외운 것 - 엑셀다운로드 파일(붙여넣기)'!A3:A562,'외운 것 - 엑셀다운로드 파일(붙여넣기)'!C3:C562,0,-1),0)</f>
        <v>0</v>
      </c>
    </row>
    <row r="1997" ht="38.45" customHeight="1">
      <c r="A1997" s="3">
        <v>1996</v>
      </c>
      <c r="B1997" t="s" s="4">
        <v>12566</v>
      </c>
      <c r="C1997" t="s" s="5">
        <v>12567</v>
      </c>
      <c r="D1997" t="s" s="5">
        <v>12371</v>
      </c>
      <c r="E1997" t="s" s="5">
        <v>12568</v>
      </c>
      <c r="F1997" t="s" s="10">
        <v>12569</v>
      </c>
      <c r="G1997" t="s" s="7">
        <v>12570</v>
      </c>
      <c r="H1997" t="s" s="7">
        <v>12571</v>
      </c>
      <c r="I1997" t="str" s="8" cm="1">
        <f t="array" ref="I1997">SUBSTITUTE(H1997,B1997,"(          )")</f>
        <v>The sudden noise (          )d the sleeping baby.</v>
      </c>
      <c r="J1997" s="9" cm="1">
        <f t="array" ref="J1997">SUMIF('외운 것 - 엑셀다운로드 파일(붙여넣기)'!A3:A562,A1997,'외운 것 - 엑셀다운로드 파일(붙여넣기)'!D3:D562)</f>
        <v>0</v>
      </c>
      <c r="K1997" s="9" cm="1">
        <f t="array" ref="K1997">_xlfn.COUNTIFS('외운 것 - 엑셀다운로드 파일(붙여넣기)'!A3:A562,A1997,'외운 것 - 엑셀다운로드 파일(붙여넣기)'!D3:D562,0)</f>
        <v>0</v>
      </c>
      <c r="L1997" s="9" cm="1">
        <f t="array" ref="L1997">IF(J1997&gt;=3,_xlfn.XLOOKUP(A1997,'외운 것 - 엑셀다운로드 파일(붙여넣기)'!A3:A562,'외운 것 - 엑셀다운로드 파일(붙여넣기)'!C3:C562,0,-1),0)</f>
        <v>0</v>
      </c>
    </row>
    <row r="1998" ht="23.45" customHeight="1">
      <c r="A1998" s="3">
        <v>1997</v>
      </c>
      <c r="B1998" t="s" s="4">
        <v>12573</v>
      </c>
      <c r="C1998" t="s" s="5">
        <v>12542</v>
      </c>
      <c r="D1998" t="s" s="5">
        <v>12371</v>
      </c>
      <c r="E1998" t="s" s="5">
        <v>12574</v>
      </c>
      <c r="F1998" t="s" s="10">
        <v>12575</v>
      </c>
      <c r="G1998" t="s" s="7">
        <v>12576</v>
      </c>
      <c r="H1998" t="s" s="7">
        <v>12577</v>
      </c>
      <c r="I1998" t="str" s="8" cm="1">
        <f t="array" ref="I1998">SUBSTITUTE(H1998,B1998,"(          )")</f>
        <v>Marathon runners need great (          ).</v>
      </c>
      <c r="J1998" s="9" cm="1">
        <f t="array" ref="J1998">SUMIF('외운 것 - 엑셀다운로드 파일(붙여넣기)'!A3:A562,A1998,'외운 것 - 엑셀다운로드 파일(붙여넣기)'!D3:D562)</f>
        <v>0</v>
      </c>
      <c r="K1998" s="9" cm="1">
        <f t="array" ref="K1998">_xlfn.COUNTIFS('외운 것 - 엑셀다운로드 파일(붙여넣기)'!A3:A562,A1998,'외운 것 - 엑셀다운로드 파일(붙여넣기)'!D3:D562,0)</f>
        <v>0</v>
      </c>
      <c r="L1998" s="9" cm="1">
        <f t="array" ref="L1998">IF(J1998&gt;=3,_xlfn.XLOOKUP(A1998,'외운 것 - 엑셀다운로드 파일(붙여넣기)'!A3:A562,'외운 것 - 엑셀다운로드 파일(붙여넣기)'!C3:C562,0,-1),0)</f>
        <v>0</v>
      </c>
    </row>
    <row r="1999" ht="38.45" customHeight="1">
      <c r="A1999" s="3">
        <v>1998</v>
      </c>
      <c r="B1999" t="s" s="4">
        <v>12579</v>
      </c>
      <c r="C1999" t="s" s="5">
        <v>12542</v>
      </c>
      <c r="D1999" t="s" s="5">
        <v>12371</v>
      </c>
      <c r="E1999" t="s" s="5">
        <v>12580</v>
      </c>
      <c r="F1999" t="s" s="10">
        <v>12581</v>
      </c>
      <c r="G1999" t="s" s="7">
        <v>12582</v>
      </c>
      <c r="H1999" t="s" s="7">
        <v>12583</v>
      </c>
      <c r="I1999" t="str" s="8" cm="1">
        <f t="array" ref="I1999">SUBSTITUTE(H1999,B1999,"(          )")</f>
        <v>Thousands of fans filled the (          ) for the championship game.</v>
      </c>
      <c r="J1999" s="9" cm="1">
        <f t="array" ref="J1999">SUMIF('외운 것 - 엑셀다운로드 파일(붙여넣기)'!A3:A562,A1999,'외운 것 - 엑셀다운로드 파일(붙여넣기)'!D3:D562)</f>
        <v>0</v>
      </c>
      <c r="K1999" s="9" cm="1">
        <f t="array" ref="K1999">_xlfn.COUNTIFS('외운 것 - 엑셀다운로드 파일(붙여넣기)'!A3:A562,A1999,'외운 것 - 엑셀다운로드 파일(붙여넣기)'!D3:D562,0)</f>
        <v>0</v>
      </c>
      <c r="L1999" s="9" cm="1">
        <f t="array" ref="L1999">IF(J1999&gt;=3,_xlfn.XLOOKUP(A1999,'외운 것 - 엑셀다운로드 파일(붙여넣기)'!A3:A562,'외운 것 - 엑셀다운로드 파일(붙여넣기)'!C3:C562,0,-1),0)</f>
        <v>0</v>
      </c>
    </row>
    <row r="2000" ht="23.45" customHeight="1">
      <c r="A2000" s="3">
        <v>1999</v>
      </c>
      <c r="B2000" t="s" s="4">
        <v>12585</v>
      </c>
      <c r="C2000" t="s" s="5">
        <v>12542</v>
      </c>
      <c r="D2000" t="s" s="5">
        <v>12371</v>
      </c>
      <c r="E2000" t="s" s="5">
        <v>12586</v>
      </c>
      <c r="F2000" t="s" s="10">
        <v>12587</v>
      </c>
      <c r="G2000" t="s" s="7">
        <v>12588</v>
      </c>
      <c r="H2000" t="s" s="7">
        <v>12589</v>
      </c>
      <c r="I2000" t="str" s="8" cm="1">
        <f t="array" ref="I2000">SUBSTITUTE(H2000,B2000,"(          )")</f>
        <v>We plan to (          ) at a hotel near the beach.</v>
      </c>
      <c r="J2000" s="9" cm="1">
        <f t="array" ref="J2000">SUMIF('외운 것 - 엑셀다운로드 파일(붙여넣기)'!A3:A562,A2000,'외운 것 - 엑셀다운로드 파일(붙여넣기)'!D3:D562)</f>
        <v>0</v>
      </c>
      <c r="K2000" s="9" cm="1">
        <f t="array" ref="K2000">_xlfn.COUNTIFS('외운 것 - 엑셀다운로드 파일(붙여넣기)'!A3:A562,A2000,'외운 것 - 엑셀다운로드 파일(붙여넣기)'!D3:D562,0)</f>
        <v>0</v>
      </c>
      <c r="L2000" s="9" cm="1">
        <f t="array" ref="L2000">IF(J2000&gt;=3,_xlfn.XLOOKUP(A2000,'외운 것 - 엑셀다운로드 파일(붙여넣기)'!A3:A562,'외운 것 - 엑셀다운로드 파일(붙여넣기)'!C3:C562,0,-1),0)</f>
        <v>0</v>
      </c>
    </row>
    <row r="2001" ht="38.45" customHeight="1">
      <c r="A2001" s="3">
        <v>2000</v>
      </c>
      <c r="B2001" t="s" s="4">
        <v>12591</v>
      </c>
      <c r="C2001" t="s" s="5">
        <v>12542</v>
      </c>
      <c r="D2001" t="s" s="5">
        <v>12371</v>
      </c>
      <c r="E2001" t="s" s="5">
        <v>12592</v>
      </c>
      <c r="F2001" t="s" s="10">
        <v>12593</v>
      </c>
      <c r="G2001" t="s" s="7">
        <v>12594</v>
      </c>
      <c r="H2001" t="s" s="7">
        <v>12595</v>
      </c>
      <c r="I2001" t="str" s="8" cm="1">
        <f t="array" ref="I2001">SUBSTITUTE(H2001,B2001,"(          )")</f>
        <v>Put a (          ) on the envelope before mailing it.</v>
      </c>
      <c r="J2001" s="9" cm="1">
        <f t="array" ref="J2001">SUMIF('외운 것 - 엑셀다운로드 파일(붙여넣기)'!A3:A562,A2001,'외운 것 - 엑셀다운로드 파일(붙여넣기)'!D3:D562)</f>
        <v>0</v>
      </c>
      <c r="K2001" s="9" cm="1">
        <f t="array" ref="K2001">_xlfn.COUNTIFS('외운 것 - 엑셀다운로드 파일(붙여넣기)'!A3:A562,A2001,'외운 것 - 엑셀다운로드 파일(붙여넣기)'!D3:D562,0)</f>
        <v>0</v>
      </c>
      <c r="L2001" s="9" cm="1">
        <f t="array" ref="L2001">IF(J2001&gt;=3,_xlfn.XLOOKUP(A2001,'외운 것 - 엑셀다운로드 파일(붙여넣기)'!A3:A562,'외운 것 - 엑셀다운로드 파일(붙여넣기)'!C3:C562,0,-1),0)</f>
        <v>0</v>
      </c>
    </row>
    <row r="2002" ht="38.45" customHeight="1">
      <c r="A2002" s="3">
        <v>2001</v>
      </c>
      <c r="B2002" t="s" s="4">
        <v>12597</v>
      </c>
      <c r="C2002" t="s" s="5">
        <v>12542</v>
      </c>
      <c r="D2002" t="s" s="5">
        <v>12371</v>
      </c>
      <c r="E2002" t="s" s="5">
        <v>12598</v>
      </c>
      <c r="F2002" t="s" s="10">
        <v>12599</v>
      </c>
      <c r="G2002" t="s" s="7">
        <v>12600</v>
      </c>
      <c r="H2002" t="s" s="7">
        <v>12601</v>
      </c>
      <c r="I2002" t="str" s="8" cm="1">
        <f t="array" ref="I2002">SUBSTITUTE(H2002,B2002,"(          )")</f>
        <v>Be careful going down the (          )s in the dark.</v>
      </c>
      <c r="J2002" s="9" cm="1">
        <f t="array" ref="J2002">SUMIF('외운 것 - 엑셀다운로드 파일(붙여넣기)'!A3:A562,A2002,'외운 것 - 엑셀다운로드 파일(붙여넣기)'!D3:D562)</f>
        <v>0</v>
      </c>
      <c r="K2002" s="9" cm="1">
        <f t="array" ref="K2002">_xlfn.COUNTIFS('외운 것 - 엑셀다운로드 파일(붙여넣기)'!A3:A562,A2002,'외운 것 - 엑셀다운로드 파일(붙여넣기)'!D3:D562,0)</f>
        <v>0</v>
      </c>
      <c r="L2002" s="9" cm="1">
        <f t="array" ref="L2002">IF(J2002&gt;=3,_xlfn.XLOOKUP(A2002,'외운 것 - 엑셀다운로드 파일(붙여넣기)'!A3:A562,'외운 것 - 엑셀다운로드 파일(붙여넣기)'!C3:C562,0,-1),0)</f>
        <v>0</v>
      </c>
    </row>
    <row r="2003" ht="38.45" customHeight="1">
      <c r="A2003" s="3">
        <v>2002</v>
      </c>
      <c r="B2003" t="s" s="4">
        <v>12603</v>
      </c>
      <c r="C2003" t="s" s="5">
        <v>12542</v>
      </c>
      <c r="D2003" t="s" s="5">
        <v>12371</v>
      </c>
      <c r="E2003" t="s" s="5">
        <v>12604</v>
      </c>
      <c r="F2003" t="s" s="10">
        <v>12605</v>
      </c>
      <c r="G2003" t="s" s="7">
        <v>12606</v>
      </c>
      <c r="H2003" t="s" s="7">
        <v>12607</v>
      </c>
      <c r="I2003" t="str" s="8" cm="1">
        <f t="array" ref="I2003">SUBSTITUTE(H2003,B2003,"(          )")</f>
        <v>Modern skyscrapers are built with (          ) frames.</v>
      </c>
      <c r="J2003" s="9" cm="1">
        <f t="array" ref="J2003">SUMIF('외운 것 - 엑셀다운로드 파일(붙여넣기)'!A3:A562,A2003,'외운 것 - 엑셀다운로드 파일(붙여넣기)'!D3:D562)</f>
        <v>0</v>
      </c>
      <c r="K2003" s="9" cm="1">
        <f t="array" ref="K2003">_xlfn.COUNTIFS('외운 것 - 엑셀다운로드 파일(붙여넣기)'!A3:A562,A2003,'외운 것 - 엑셀다운로드 파일(붙여넣기)'!D3:D562,0)</f>
        <v>0</v>
      </c>
      <c r="L2003" s="9" cm="1">
        <f t="array" ref="L2003">IF(J2003&gt;=3,_xlfn.XLOOKUP(A2003,'외운 것 - 엑셀다운로드 파일(붙여넣기)'!A3:A562,'외운 것 - 엑셀다운로드 파일(붙여넣기)'!C3:C562,0,-1),0)</f>
        <v>0</v>
      </c>
    </row>
    <row r="2004" ht="23.45" customHeight="1">
      <c r="A2004" s="3">
        <v>2003</v>
      </c>
      <c r="B2004" t="s" s="4">
        <v>12609</v>
      </c>
      <c r="C2004" t="s" s="5">
        <v>12542</v>
      </c>
      <c r="D2004" t="s" s="5">
        <v>12371</v>
      </c>
      <c r="E2004" t="s" s="5">
        <v>12610</v>
      </c>
      <c r="F2004" t="s" s="10">
        <v>12611</v>
      </c>
      <c r="G2004" t="s" s="7">
        <v>12545</v>
      </c>
      <c r="H2004" t="s" s="7">
        <v>12612</v>
      </c>
      <c r="I2004" t="str" s="8" cm="1">
        <f t="array" ref="I2004">SUBSTITUTE(H2004,B2004,"(          )")</f>
        <v>The rose has a long (          ) with thorns.</v>
      </c>
      <c r="J2004" s="9" cm="1">
        <f t="array" ref="J2004">SUMIF('외운 것 - 엑셀다운로드 파일(붙여넣기)'!A3:A562,A2004,'외운 것 - 엑셀다운로드 파일(붙여넣기)'!D3:D562)</f>
        <v>0</v>
      </c>
      <c r="K2004" s="9" cm="1">
        <f t="array" ref="K2004">_xlfn.COUNTIFS('외운 것 - 엑셀다운로드 파일(붙여넣기)'!A3:A562,A2004,'외운 것 - 엑셀다운로드 파일(붙여넣기)'!D3:D562,0)</f>
        <v>0</v>
      </c>
      <c r="L2004" s="9" cm="1">
        <f t="array" ref="L2004">IF(J2004&gt;=3,_xlfn.XLOOKUP(A2004,'외운 것 - 엑셀다운로드 파일(붙여넣기)'!A3:A562,'외운 것 - 엑셀다운로드 파일(붙여넣기)'!C3:C562,0,-1),0)</f>
        <v>0</v>
      </c>
    </row>
    <row r="2005" ht="36.4" customHeight="1">
      <c r="A2005" s="3">
        <v>2004</v>
      </c>
      <c r="B2005" t="s" s="4">
        <v>12614</v>
      </c>
      <c r="C2005" t="s" s="5">
        <v>12615</v>
      </c>
      <c r="D2005" t="s" s="5">
        <v>12371</v>
      </c>
      <c r="E2005" t="s" s="5">
        <v>12616</v>
      </c>
      <c r="F2005" t="s" s="10">
        <v>12617</v>
      </c>
      <c r="G2005" t="s" s="7">
        <v>12618</v>
      </c>
      <c r="H2005" t="s" s="7">
        <v>12619</v>
      </c>
      <c r="I2005" t="str" s="8" cm="1">
        <f t="array" ref="I2005">SUBSTITUTE(H2005,B2005,"(          )")</f>
        <v>Steam rises from the boiling water.</v>
      </c>
      <c r="J2005" s="9" cm="1">
        <f t="array" ref="J2005">SUMIF('외운 것 - 엑셀다운로드 파일(붙여넣기)'!A3:A562,A2005,'외운 것 - 엑셀다운로드 파일(붙여넣기)'!D3:D562)</f>
        <v>0</v>
      </c>
      <c r="K2005" s="9" cm="1">
        <f t="array" ref="K2005">_xlfn.COUNTIFS('외운 것 - 엑셀다운로드 파일(붙여넣기)'!A3:A562,A2005,'외운 것 - 엑셀다운로드 파일(붙여넣기)'!D3:D562,0)</f>
        <v>0</v>
      </c>
      <c r="L2005" s="9" cm="1">
        <f t="array" ref="L2005">IF(J2005&gt;=3,_xlfn.XLOOKUP(A2005,'외운 것 - 엑셀다운로드 파일(붙여넣기)'!A3:A562,'외운 것 - 엑셀다운로드 파일(붙여넣기)'!C3:C562,0,-1),0)</f>
        <v>0</v>
      </c>
    </row>
    <row r="2006" ht="36.4" customHeight="1">
      <c r="A2006" s="3">
        <v>2005</v>
      </c>
      <c r="B2006" t="s" s="4">
        <v>12621</v>
      </c>
      <c r="C2006" t="s" s="5">
        <v>12622</v>
      </c>
      <c r="D2006" t="s" s="5">
        <v>12371</v>
      </c>
      <c r="E2006" t="s" s="5">
        <v>12623</v>
      </c>
      <c r="F2006" t="s" s="10">
        <v>12624</v>
      </c>
      <c r="G2006" t="s" s="7">
        <v>12625</v>
      </c>
      <c r="H2006" t="s" s="7">
        <v>12626</v>
      </c>
      <c r="I2006" t="str" s="8" cm="1">
        <f t="array" ref="I2006">SUBSTITUTE(H2006,B2006,"(          )")</f>
        <v>The detective conducted a (          ) search for clues.</v>
      </c>
      <c r="J2006" s="9" cm="1">
        <f t="array" ref="J2006">SUMIF('외운 것 - 엑셀다운로드 파일(붙여넣기)'!A3:A562,A2006,'외운 것 - 엑셀다운로드 파일(붙여넣기)'!D3:D562)</f>
        <v>0</v>
      </c>
      <c r="K2006" s="9" cm="1">
        <f t="array" ref="K2006">_xlfn.COUNTIFS('외운 것 - 엑셀다운로드 파일(붙여넣기)'!A3:A562,A2006,'외운 것 - 엑셀다운로드 파일(붙여넣기)'!D3:D562,0)</f>
        <v>0</v>
      </c>
      <c r="L2006" s="9" cm="1">
        <f t="array" ref="L2006">IF(J2006&gt;=3,_xlfn.XLOOKUP(A2006,'외운 것 - 엑셀다운로드 파일(붙여넣기)'!A3:A562,'외운 것 - 엑셀다운로드 파일(붙여넣기)'!C3:C562,0,-1),0)</f>
        <v>0</v>
      </c>
    </row>
    <row r="2007" ht="38.45" customHeight="1">
      <c r="A2007" s="3">
        <v>2006</v>
      </c>
      <c r="B2007" t="s" s="4">
        <v>12628</v>
      </c>
      <c r="C2007" t="s" s="5">
        <v>12371</v>
      </c>
      <c r="D2007" t="s" s="5">
        <v>12371</v>
      </c>
      <c r="E2007" t="s" s="5">
        <v>12629</v>
      </c>
      <c r="F2007" t="s" s="10">
        <v>12630</v>
      </c>
      <c r="G2007" t="s" s="7">
        <v>12631</v>
      </c>
      <c r="H2007" t="s" s="7">
        <v>12632</v>
      </c>
      <c r="I2007" t="str" s="8" cm="1">
        <f t="array" ref="I2007">SUBSTITUTE(H2007,B2007,"(          )")</f>
        <v>Take one (          ) at a time down the steep path.</v>
      </c>
      <c r="J2007" s="9" cm="1">
        <f t="array" ref="J2007">SUMIF('외운 것 - 엑셀다운로드 파일(붙여넣기)'!A3:A562,A2007,'외운 것 - 엑셀다운로드 파일(붙여넣기)'!D3:D562)</f>
        <v>0</v>
      </c>
      <c r="K2007" s="9" cm="1">
        <f t="array" ref="K2007">_xlfn.COUNTIFS('외운 것 - 엑셀다운로드 파일(붙여넣기)'!A3:A562,A2007,'외운 것 - 엑셀다운로드 파일(붙여넣기)'!D3:D562,0)</f>
        <v>0</v>
      </c>
      <c r="L2007" s="9" cm="1">
        <f t="array" ref="L2007">IF(J2007&gt;=3,_xlfn.XLOOKUP(A2007,'외운 것 - 엑셀다운로드 파일(붙여넣기)'!A3:A562,'외운 것 - 엑셀다운로드 파일(붙여넣기)'!C3:C562,0,-1),0)</f>
        <v>0</v>
      </c>
    </row>
    <row r="2008" ht="23.45" customHeight="1">
      <c r="A2008" s="3">
        <v>2007</v>
      </c>
      <c r="B2008" t="s" s="4">
        <v>12634</v>
      </c>
      <c r="C2008" t="s" s="5">
        <v>12635</v>
      </c>
      <c r="D2008" t="s" s="5">
        <v>12371</v>
      </c>
      <c r="E2008" t="s" s="5">
        <v>12636</v>
      </c>
      <c r="F2008" t="s" s="10">
        <v>12637</v>
      </c>
      <c r="G2008" t="s" s="7">
        <v>12638</v>
      </c>
      <c r="H2008" t="s" s="7">
        <v>12639</v>
      </c>
      <c r="I2008" t="str" s="8" cm="1">
        <f t="array" ref="I2008">SUBSTITUTE(H2008,B2008,"(          )")</f>
        <v>The ancient temple was built of (          ).</v>
      </c>
      <c r="J2008" s="9" cm="1">
        <f t="array" ref="J2008">SUMIF('외운 것 - 엑셀다운로드 파일(붙여넣기)'!A3:A562,A2008,'외운 것 - 엑셀다운로드 파일(붙여넣기)'!D3:D562)</f>
        <v>0</v>
      </c>
      <c r="K2008" s="9" cm="1">
        <f t="array" ref="K2008">_xlfn.COUNTIFS('외운 것 - 엑셀다운로드 파일(붙여넣기)'!A3:A562,A2008,'외운 것 - 엑셀다운로드 파일(붙여넣기)'!D3:D562,0)</f>
        <v>0</v>
      </c>
      <c r="L2008" s="9" cm="1">
        <f t="array" ref="L2008">IF(J2008&gt;=3,_xlfn.XLOOKUP(A2008,'외운 것 - 엑셀다운로드 파일(붙여넣기)'!A3:A562,'외운 것 - 엑셀다운로드 파일(붙여넣기)'!C3:C562,0,-1),0)</f>
        <v>0</v>
      </c>
    </row>
    <row r="2009" ht="36.4" customHeight="1">
      <c r="A2009" s="3">
        <v>2008</v>
      </c>
      <c r="B2009" t="s" s="4">
        <v>12641</v>
      </c>
      <c r="C2009" t="s" s="5">
        <v>12642</v>
      </c>
      <c r="D2009" t="s" s="5">
        <v>12371</v>
      </c>
      <c r="E2009" t="s" s="5">
        <v>12643</v>
      </c>
      <c r="F2009" t="s" s="10">
        <v>12644</v>
      </c>
      <c r="G2009" t="s" s="7">
        <v>12645</v>
      </c>
      <c r="H2009" t="s" s="7">
        <v>12646</v>
      </c>
      <c r="I2009" t="str" s="8" cm="1">
        <f t="array" ref="I2009">SUBSTITUTE(H2009,B2009,"(          )")</f>
        <v>The news of his sudden death (          )ned everyone.</v>
      </c>
      <c r="J2009" s="9" cm="1">
        <f t="array" ref="J2009">SUMIF('외운 것 - 엑셀다운로드 파일(붙여넣기)'!A3:A562,A2009,'외운 것 - 엑셀다운로드 파일(붙여넣기)'!D3:D562)</f>
        <v>0</v>
      </c>
      <c r="K2009" s="9" cm="1">
        <f t="array" ref="K2009">_xlfn.COUNTIFS('외운 것 - 엑셀다운로드 파일(붙여넣기)'!A3:A562,A2009,'외운 것 - 엑셀다운로드 파일(붙여넣기)'!D3:D562,0)</f>
        <v>0</v>
      </c>
      <c r="L2009" s="9" cm="1">
        <f t="array" ref="L2009">IF(J2009&gt;=3,_xlfn.XLOOKUP(A2009,'외운 것 - 엑셀다운로드 파일(붙여넣기)'!A3:A562,'외운 것 - 엑셀다운로드 파일(붙여넣기)'!C3:C562,0,-1),0)</f>
        <v>0</v>
      </c>
    </row>
    <row r="2010" ht="50.45" customHeight="1">
      <c r="A2010" s="3">
        <v>2009</v>
      </c>
      <c r="B2010" t="s" s="4">
        <v>12648</v>
      </c>
      <c r="C2010" t="s" s="5">
        <v>12649</v>
      </c>
      <c r="D2010" t="s" s="5">
        <v>12371</v>
      </c>
      <c r="E2010" t="s" s="5">
        <v>12650</v>
      </c>
      <c r="F2010" t="s" s="10">
        <v>12651</v>
      </c>
      <c r="G2010" t="s" s="7">
        <v>10981</v>
      </c>
      <c r="H2010" t="s" s="7">
        <v>12652</v>
      </c>
      <c r="I2010" t="str" s="8" cm="1">
        <f t="array" ref="I2010">SUBSTITUTE(H2010,B2010,"(          )")</f>
        <v>The magician's tricks (          ) the audience.</v>
      </c>
      <c r="J2010" s="9" cm="1">
        <f t="array" ref="J2010">SUMIF('외운 것 - 엑셀다운로드 파일(붙여넣기)'!A3:A562,A2010,'외운 것 - 엑셀다운로드 파일(붙여넣기)'!D3:D562)</f>
        <v>0</v>
      </c>
      <c r="K2010" s="9" cm="1">
        <f t="array" ref="K2010">_xlfn.COUNTIFS('외운 것 - 엑셀다운로드 파일(붙여넣기)'!A3:A562,A2010,'외운 것 - 엑셀다운로드 파일(붙여넣기)'!D3:D562,0)</f>
        <v>0</v>
      </c>
      <c r="L2010" s="9" cm="1">
        <f t="array" ref="L2010">IF(J2010&gt;=3,_xlfn.XLOOKUP(A2010,'외운 것 - 엑셀다운로드 파일(붙여넣기)'!A3:A562,'외운 것 - 엑셀다운로드 파일(붙여넣기)'!C3:C562,0,-1),0)</f>
        <v>0</v>
      </c>
    </row>
    <row r="2011" ht="38.45" customHeight="1">
      <c r="A2011" s="3">
        <v>2010</v>
      </c>
      <c r="B2011" t="s" s="4">
        <v>12654</v>
      </c>
      <c r="C2011" t="s" s="5">
        <v>12635</v>
      </c>
      <c r="D2011" t="s" s="5">
        <v>12371</v>
      </c>
      <c r="E2011" t="s" s="5">
        <v>12655</v>
      </c>
      <c r="F2011" t="s" s="10">
        <v>12656</v>
      </c>
      <c r="G2011" t="s" s="7">
        <v>12657</v>
      </c>
      <c r="H2011" t="s" s="7">
        <v>12658</v>
      </c>
      <c r="I2011" t="str" s="8" cm="1">
        <f t="array" ref="I2011">SUBSTITUTE(H2011,B2011,"(          )")</f>
        <v>I need to go to the grocery (          ) today.</v>
      </c>
      <c r="J2011" s="9" cm="1">
        <f t="array" ref="J2011">SUMIF('외운 것 - 엑셀다운로드 파일(붙여넣기)'!A3:A562,A2011,'외운 것 - 엑셀다운로드 파일(붙여넣기)'!D3:D562)</f>
        <v>0</v>
      </c>
      <c r="K2011" s="9" cm="1">
        <f t="array" ref="K2011">_xlfn.COUNTIFS('외운 것 - 엑셀다운로드 파일(붙여넣기)'!A3:A562,A2011,'외운 것 - 엑셀다운로드 파일(붙여넣기)'!D3:D562,0)</f>
        <v>0</v>
      </c>
      <c r="L2011" s="9" cm="1">
        <f t="array" ref="L2011">IF(J2011&gt;=3,_xlfn.XLOOKUP(A2011,'외운 것 - 엑셀다운로드 파일(붙여넣기)'!A3:A562,'외운 것 - 엑셀다운로드 파일(붙여넣기)'!C3:C562,0,-1),0)</f>
        <v>0</v>
      </c>
    </row>
    <row r="2012" ht="38.45" customHeight="1">
      <c r="A2012" s="3">
        <v>2011</v>
      </c>
      <c r="B2012" t="s" s="4">
        <v>12660</v>
      </c>
      <c r="C2012" t="s" s="5">
        <v>12661</v>
      </c>
      <c r="D2012" t="s" s="5">
        <v>12371</v>
      </c>
      <c r="E2012" t="s" s="5">
        <v>12662</v>
      </c>
      <c r="F2012" t="s" s="10">
        <v>12663</v>
      </c>
      <c r="G2012" t="s" s="7">
        <v>12664</v>
      </c>
      <c r="H2012" t="s" s="7">
        <v>12665</v>
      </c>
      <c r="I2012" t="str" s="8" cm="1">
        <f t="array" ref="I2012">SUBSTITUTE(H2012,B2012,"(          )")</f>
        <v>The children enjoyed the bedtime (          ).</v>
      </c>
      <c r="J2012" s="9" cm="1">
        <f t="array" ref="J2012">SUMIF('외운 것 - 엑셀다운로드 파일(붙여넣기)'!A3:A562,A2012,'외운 것 - 엑셀다운로드 파일(붙여넣기)'!D3:D562)</f>
        <v>0</v>
      </c>
      <c r="K2012" s="9" cm="1">
        <f t="array" ref="K2012">_xlfn.COUNTIFS('외운 것 - 엑셀다운로드 파일(붙여넣기)'!A3:A562,A2012,'외운 것 - 엑셀다운로드 파일(붙여넣기)'!D3:D562,0)</f>
        <v>0</v>
      </c>
      <c r="L2012" s="9" cm="1">
        <f t="array" ref="L2012">IF(J2012&gt;=3,_xlfn.XLOOKUP(A2012,'외운 것 - 엑셀다운로드 파일(붙여넣기)'!A3:A562,'외운 것 - 엑셀다운로드 파일(붙여넣기)'!C3:C562,0,-1),0)</f>
        <v>0</v>
      </c>
    </row>
    <row r="2013" ht="36.4" customHeight="1">
      <c r="A2013" s="3">
        <v>2012</v>
      </c>
      <c r="B2013" t="s" s="4">
        <v>12667</v>
      </c>
      <c r="C2013" t="s" s="5">
        <v>12661</v>
      </c>
      <c r="D2013" t="s" s="5">
        <v>12371</v>
      </c>
      <c r="E2013" t="s" s="5">
        <v>12668</v>
      </c>
      <c r="F2013" t="s" s="10">
        <v>12669</v>
      </c>
      <c r="G2013" t="s" s="7">
        <v>12670</v>
      </c>
      <c r="H2013" t="s" s="7">
        <v>12671</v>
      </c>
      <c r="I2013" t="str" s="8" cm="1">
        <f t="array" ref="I2013">SUBSTITUTE(H2013,B2013,"(          )")</f>
        <v>The museum worked to (          ) the damaged painting.</v>
      </c>
      <c r="J2013" s="9" cm="1">
        <f t="array" ref="J2013">SUMIF('외운 것 - 엑셀다운로드 파일(붙여넣기)'!A3:A562,A2013,'외운 것 - 엑셀다운로드 파일(붙여넣기)'!D3:D562)</f>
        <v>0</v>
      </c>
      <c r="K2013" s="9" cm="1">
        <f t="array" ref="K2013">_xlfn.COUNTIFS('외운 것 - 엑셀다운로드 파일(붙여넣기)'!A3:A562,A2013,'외운 것 - 엑셀다운로드 파일(붙여넣기)'!D3:D562,0)</f>
        <v>0</v>
      </c>
      <c r="L2013" s="9" cm="1">
        <f t="array" ref="L2013">IF(J2013&gt;=3,_xlfn.XLOOKUP(A2013,'외운 것 - 엑셀다운로드 파일(붙여넣기)'!A3:A562,'외운 것 - 엑셀다운로드 파일(붙여넣기)'!C3:C562,0,-1),0)</f>
        <v>0</v>
      </c>
    </row>
    <row r="2014" ht="23.45" customHeight="1">
      <c r="A2014" s="3">
        <v>2013</v>
      </c>
      <c r="B2014" t="s" s="4">
        <v>12673</v>
      </c>
      <c r="C2014" t="s" s="5">
        <v>12674</v>
      </c>
      <c r="D2014" t="s" s="5">
        <v>12371</v>
      </c>
      <c r="E2014" t="s" s="5">
        <v>12675</v>
      </c>
      <c r="F2014" t="s" s="10">
        <v>12676</v>
      </c>
      <c r="G2014" t="s" s="7">
        <v>12677</v>
      </c>
      <c r="H2014" t="s" s="7">
        <v>12678</v>
      </c>
      <c r="I2014" t="str" s="8" cm="1">
        <f t="array" ref="I2014">SUBSTITUTE(H2014,B2014,"(          )")</f>
        <v>The technician will (          ) the new software tomorrow.</v>
      </c>
      <c r="J2014" s="9" cm="1">
        <f t="array" ref="J2014">SUMIF('외운 것 - 엑셀다운로드 파일(붙여넣기)'!A3:A562,A2014,'외운 것 - 엑셀다운로드 파일(붙여넣기)'!D3:D562)</f>
        <v>0</v>
      </c>
      <c r="K2014" s="9" cm="1">
        <f t="array" ref="K2014">_xlfn.COUNTIFS('외운 것 - 엑셀다운로드 파일(붙여넣기)'!A3:A562,A2014,'외운 것 - 엑셀다운로드 파일(붙여넣기)'!D3:D562,0)</f>
        <v>0</v>
      </c>
      <c r="L2014" s="9" cm="1">
        <f t="array" ref="L2014">IF(J2014&gt;=3,_xlfn.XLOOKUP(A2014,'외운 것 - 엑셀다운로드 파일(붙여넣기)'!A3:A562,'외운 것 - 엑셀다운로드 파일(붙여넣기)'!C3:C562,0,-1),0)</f>
        <v>0</v>
      </c>
    </row>
    <row r="2015" ht="38.45" customHeight="1">
      <c r="A2015" s="3">
        <v>2014</v>
      </c>
      <c r="B2015" t="s" s="4">
        <v>12680</v>
      </c>
      <c r="C2015" t="s" s="5">
        <v>12371</v>
      </c>
      <c r="D2015" t="s" s="5">
        <v>12372</v>
      </c>
      <c r="E2015" t="s" s="5">
        <v>12681</v>
      </c>
      <c r="F2015" t="s" s="10">
        <v>12682</v>
      </c>
      <c r="G2015" t="s" s="7">
        <v>12683</v>
      </c>
      <c r="H2015" t="s" s="7">
        <v>12684</v>
      </c>
      <c r="I2015" t="str" s="8" cm="1">
        <f t="array" ref="I2015">SUBSTITUTE(H2015,B2015,"(          )")</f>
        <v>The bartender sat on a high (          ) behind the counter.</v>
      </c>
      <c r="J2015" s="9" cm="1">
        <f t="array" ref="J2015">SUMIF('외운 것 - 엑셀다운로드 파일(붙여넣기)'!A3:A562,A2015,'외운 것 - 엑셀다운로드 파일(붙여넣기)'!D3:D562)</f>
        <v>0</v>
      </c>
      <c r="K2015" s="9" cm="1">
        <f t="array" ref="K2015">_xlfn.COUNTIFS('외운 것 - 엑셀다운로드 파일(붙여넣기)'!A3:A562,A2015,'외운 것 - 엑셀다운로드 파일(붙여넣기)'!D3:D562,0)</f>
        <v>0</v>
      </c>
      <c r="L2015" s="9" cm="1">
        <f t="array" ref="L2015">IF(J2015&gt;=3,_xlfn.XLOOKUP(A2015,'외운 것 - 엑셀다운로드 파일(붙여넣기)'!A3:A562,'외운 것 - 엑셀다운로드 파일(붙여넣기)'!C3:C562,0,-1),0)</f>
        <v>0</v>
      </c>
    </row>
    <row r="2016" ht="23.45" customHeight="1">
      <c r="A2016" s="3">
        <v>2015</v>
      </c>
      <c r="B2016" t="s" s="4">
        <v>12686</v>
      </c>
      <c r="C2016" t="s" s="5">
        <v>12371</v>
      </c>
      <c r="D2016" t="s" s="5">
        <v>12372</v>
      </c>
      <c r="E2016" t="s" s="5">
        <v>12687</v>
      </c>
      <c r="F2016" t="s" s="10">
        <v>12688</v>
      </c>
      <c r="G2016" t="s" s="7">
        <v>12689</v>
      </c>
      <c r="H2016" t="s" s="7">
        <v>12690</v>
      </c>
      <c r="I2016" t="str" s="8" cm="1">
        <f t="array" ref="I2016">SUBSTITUTE(H2016,B2016,"(          )")</f>
        <v>She has a (          ) of books to read during vacation.</v>
      </c>
      <c r="J2016" s="9" cm="1">
        <f t="array" ref="J2016">SUMIF('외운 것 - 엑셀다운로드 파일(붙여넣기)'!A3:A562,A2016,'외운 것 - 엑셀다운로드 파일(붙여넣기)'!D3:D562)</f>
        <v>0</v>
      </c>
      <c r="K2016" s="9" cm="1">
        <f t="array" ref="K2016">_xlfn.COUNTIFS('외운 것 - 엑셀다운로드 파일(붙여넣기)'!A3:A562,A2016,'외운 것 - 엑셀다운로드 파일(붙여넣기)'!D3:D562,0)</f>
        <v>0</v>
      </c>
      <c r="L2016" s="9" cm="1">
        <f t="array" ref="L2016">IF(J2016&gt;=3,_xlfn.XLOOKUP(A2016,'외운 것 - 엑셀다운로드 파일(붙여넣기)'!A3:A562,'외운 것 - 엑셀다운로드 파일(붙여넣기)'!C3:C562,0,-1),0)</f>
        <v>0</v>
      </c>
    </row>
    <row r="2017" ht="23.45" customHeight="1">
      <c r="A2017" s="3">
        <v>2016</v>
      </c>
      <c r="B2017" t="s" s="4">
        <v>12692</v>
      </c>
      <c r="C2017" t="s" s="5">
        <v>12635</v>
      </c>
      <c r="D2017" t="s" s="5">
        <v>12372</v>
      </c>
      <c r="E2017" t="s" s="5">
        <v>12693</v>
      </c>
      <c r="F2017" t="s" s="10">
        <v>12694</v>
      </c>
      <c r="G2017" t="s" s="7">
        <v>12695</v>
      </c>
      <c r="H2017" t="s" s="7">
        <v>12696</v>
      </c>
      <c r="I2017" t="str" s="8" cm="1">
        <f t="array" ref="I2017">SUBSTITUTE(H2017,B2017,"(          )")</f>
        <v>The (          ) caused power outages across the city.</v>
      </c>
      <c r="J2017" s="9" cm="1">
        <f t="array" ref="J2017">SUMIF('외운 것 - 엑셀다운로드 파일(붙여넣기)'!A3:A562,A2017,'외운 것 - 엑셀다운로드 파일(붙여넣기)'!D3:D562)</f>
        <v>0</v>
      </c>
      <c r="K2017" s="9" cm="1">
        <f t="array" ref="K2017">_xlfn.COUNTIFS('외운 것 - 엑셀다운로드 파일(붙여넣기)'!A3:A562,A2017,'외운 것 - 엑셀다운로드 파일(붙여넣기)'!D3:D562,0)</f>
        <v>0</v>
      </c>
      <c r="L2017" s="9" cm="1">
        <f t="array" ref="L2017">IF(J2017&gt;=3,_xlfn.XLOOKUP(A2017,'외운 것 - 엑셀다운로드 파일(붙여넣기)'!A3:A562,'외운 것 - 엑셀다운로드 파일(붙여넣기)'!C3:C562,0,-1),0)</f>
        <v>0</v>
      </c>
    </row>
    <row r="2018" ht="23.45" customHeight="1">
      <c r="A2018" s="3">
        <v>2017</v>
      </c>
      <c r="B2018" t="s" s="4">
        <v>12698</v>
      </c>
      <c r="C2018" t="s" s="5">
        <v>12371</v>
      </c>
      <c r="D2018" t="s" s="5">
        <v>12372</v>
      </c>
      <c r="E2018" t="s" s="5">
        <v>12699</v>
      </c>
      <c r="F2018" t="s" s="10">
        <v>12700</v>
      </c>
      <c r="G2018" t="s" s="7">
        <v>12701</v>
      </c>
      <c r="H2018" t="s" s="7">
        <v>12702</v>
      </c>
      <c r="I2018" t="str" s="8" cm="1">
        <f t="array" ref="I2018">SUBSTITUTE(H2018,B2018,"(          )")</f>
        <v>Cook the soup on the (          ) over low heat.</v>
      </c>
      <c r="J2018" s="9" cm="1">
        <f t="array" ref="J2018">SUMIF('외운 것 - 엑셀다운로드 파일(붙여넣기)'!A3:A562,A2018,'외운 것 - 엑셀다운로드 파일(붙여넣기)'!D3:D562)</f>
        <v>0</v>
      </c>
      <c r="K2018" s="9" cm="1">
        <f t="array" ref="K2018">_xlfn.COUNTIFS('외운 것 - 엑셀다운로드 파일(붙여넣기)'!A3:A562,A2018,'외운 것 - 엑셀다운로드 파일(붙여넣기)'!D3:D562,0)</f>
        <v>0</v>
      </c>
      <c r="L2018" s="9" cm="1">
        <f t="array" ref="L2018">IF(J2018&gt;=3,_xlfn.XLOOKUP(A2018,'외운 것 - 엑셀다운로드 파일(붙여넣기)'!A3:A562,'외운 것 - 엑셀다운로드 파일(붙여넣기)'!C3:C562,0,-1),0)</f>
        <v>0</v>
      </c>
    </row>
    <row r="2019" ht="23.45" customHeight="1">
      <c r="A2019" s="3">
        <v>2018</v>
      </c>
      <c r="B2019" t="s" s="4">
        <v>12704</v>
      </c>
      <c r="C2019" t="s" s="5">
        <v>12635</v>
      </c>
      <c r="D2019" t="s" s="5">
        <v>12372</v>
      </c>
      <c r="E2019" t="s" s="5">
        <v>12705</v>
      </c>
      <c r="F2019" t="s" s="10">
        <v>12706</v>
      </c>
      <c r="G2019" t="s" s="7">
        <v>12707</v>
      </c>
      <c r="H2019" t="s" s="7">
        <v>12708</v>
      </c>
      <c r="I2019" t="str" s="8" cm="1">
        <f t="array" ref="I2019">SUBSTITUTE(H2019,B2019,"(          )")</f>
        <v>The bus will (          ) at the corner.</v>
      </c>
      <c r="J2019" s="9" cm="1">
        <f t="array" ref="J2019">SUMIF('외운 것 - 엑셀다운로드 파일(붙여넣기)'!A3:A562,A2019,'외운 것 - 엑셀다운로드 파일(붙여넣기)'!D3:D562)</f>
        <v>0</v>
      </c>
      <c r="K2019" s="9" cm="1">
        <f t="array" ref="K2019">_xlfn.COUNTIFS('외운 것 - 엑셀다운로드 파일(붙여넣기)'!A3:A562,A2019,'외운 것 - 엑셀다운로드 파일(붙여넣기)'!D3:D562,0)</f>
        <v>0</v>
      </c>
      <c r="L2019" s="9" cm="1">
        <f t="array" ref="L2019">IF(J2019&gt;=3,_xlfn.XLOOKUP(A2019,'외운 것 - 엑셀다운로드 파일(붙여넣기)'!A3:A562,'외운 것 - 엑셀다운로드 파일(붙여넣기)'!C3:C562,0,-1),0)</f>
        <v>0</v>
      </c>
    </row>
    <row r="2020" ht="23.45" customHeight="1">
      <c r="A2020" s="3">
        <v>2019</v>
      </c>
      <c r="B2020" t="s" s="4">
        <v>12710</v>
      </c>
      <c r="C2020" t="s" s="5">
        <v>12635</v>
      </c>
      <c r="D2020" t="s" s="5">
        <v>12372</v>
      </c>
      <c r="E2020" t="s" s="5">
        <v>12711</v>
      </c>
      <c r="F2020" t="s" s="10">
        <v>12712</v>
      </c>
      <c r="G2020" t="s" s="7">
        <v>12713</v>
      </c>
      <c r="H2020" t="s" s="7">
        <v>12714</v>
      </c>
      <c r="I2020" t="str" s="8" cm="1">
        <f t="array" ref="I2020">SUBSTITUTE(H2020,B2020,"(          )")</f>
        <v>The water in the lake is (          ) and clear.</v>
      </c>
      <c r="J2020" s="9" cm="1">
        <f t="array" ref="J2020">SUMIF('외운 것 - 엑셀다운로드 파일(붙여넣기)'!A3:A562,A2020,'외운 것 - 엑셀다운로드 파일(붙여넣기)'!D3:D562)</f>
        <v>0</v>
      </c>
      <c r="K2020" s="9" cm="1">
        <f t="array" ref="K2020">_xlfn.COUNTIFS('외운 것 - 엑셀다운로드 파일(붙여넣기)'!A3:A562,A2020,'외운 것 - 엑셀다운로드 파일(붙여넣기)'!D3:D562,0)</f>
        <v>0</v>
      </c>
      <c r="L2020" s="9" cm="1">
        <f t="array" ref="L2020">IF(J2020&gt;=3,_xlfn.XLOOKUP(A2020,'외운 것 - 엑셀다운로드 파일(붙여넣기)'!A3:A562,'외운 것 - 엑셀다운로드 파일(붙여넣기)'!C3:C562,0,-1),0)</f>
        <v>0</v>
      </c>
    </row>
    <row r="2021" ht="38.45" customHeight="1">
      <c r="A2021" s="3">
        <v>2020</v>
      </c>
      <c r="B2021" t="s" s="4">
        <v>12716</v>
      </c>
      <c r="C2021" t="s" s="5">
        <v>12717</v>
      </c>
      <c r="D2021" t="s" s="5">
        <v>12372</v>
      </c>
      <c r="E2021" t="s" s="5">
        <v>12718</v>
      </c>
      <c r="F2021" t="s" s="10">
        <v>12719</v>
      </c>
      <c r="G2021" t="s" s="7">
        <v>12720</v>
      </c>
      <c r="H2021" t="s" s="7">
        <v>12721</v>
      </c>
      <c r="I2021" t="str" s="8" cm="1">
        <f t="array" ref="I2021">SUBSTITUTE(H2021,B2021,"(          )")</f>
        <v>They (          ) whiskey using traditional methods.</v>
      </c>
      <c r="J2021" s="9" cm="1">
        <f t="array" ref="J2021">SUMIF('외운 것 - 엑셀다운로드 파일(붙여넣기)'!A3:A562,A2021,'외운 것 - 엑셀다운로드 파일(붙여넣기)'!D3:D562)</f>
        <v>0</v>
      </c>
      <c r="K2021" s="9" cm="1">
        <f t="array" ref="K2021">_xlfn.COUNTIFS('외운 것 - 엑셀다운로드 파일(붙여넣기)'!A3:A562,A2021,'외운 것 - 엑셀다운로드 파일(붙여넣기)'!D3:D562,0)</f>
        <v>0</v>
      </c>
      <c r="L2021" s="9" cm="1">
        <f t="array" ref="L2021">IF(J2021&gt;=3,_xlfn.XLOOKUP(A2021,'외운 것 - 엑셀다운로드 파일(붙여넣기)'!A3:A562,'외운 것 - 엑셀다운로드 파일(붙여넣기)'!C3:C562,0,-1),0)</f>
        <v>0</v>
      </c>
    </row>
    <row r="2022" ht="23.45" customHeight="1">
      <c r="A2022" s="3">
        <v>2021</v>
      </c>
      <c r="B2022" t="s" s="4">
        <v>12723</v>
      </c>
      <c r="C2022" t="s" s="5">
        <v>12635</v>
      </c>
      <c r="D2022" t="s" s="5">
        <v>12372</v>
      </c>
      <c r="E2022" t="s" s="5">
        <v>12724</v>
      </c>
      <c r="F2022" t="s" s="10">
        <v>12725</v>
      </c>
      <c r="G2022" t="s" s="7">
        <v>12726</v>
      </c>
      <c r="H2022" t="s" s="7">
        <v>12727</v>
      </c>
      <c r="I2022" t="str" s="8" cm="1">
        <f t="array" ref="I2022">SUBSTITUTE(H2022,B2022,"(          )")</f>
        <v>Some people believe (          ) determines their path in life.</v>
      </c>
      <c r="J2022" s="9" cm="1">
        <f t="array" ref="J2022">SUMIF('외운 것 - 엑셀다운로드 파일(붙여넣기)'!A3:A562,A2022,'외운 것 - 엑셀다운로드 파일(붙여넣기)'!D3:D562)</f>
        <v>0</v>
      </c>
      <c r="K2022" s="9" cm="1">
        <f t="array" ref="K2022">_xlfn.COUNTIFS('외운 것 - 엑셀다운로드 파일(붙여넣기)'!A3:A562,A2022,'외운 것 - 엑셀다운로드 파일(붙여넣기)'!D3:D562,0)</f>
        <v>0</v>
      </c>
      <c r="L2022" s="9" cm="1">
        <f t="array" ref="L2022">IF(J2022&gt;=3,_xlfn.XLOOKUP(A2022,'외운 것 - 엑셀다운로드 파일(붙여넣기)'!A3:A562,'외운 것 - 엑셀다운로드 파일(붙여넣기)'!C3:C562,0,-1),0)</f>
        <v>0</v>
      </c>
    </row>
    <row r="2023" ht="36.4" customHeight="1">
      <c r="A2023" s="3">
        <v>2022</v>
      </c>
      <c r="B2023" t="s" s="4">
        <v>12729</v>
      </c>
      <c r="C2023" t="s" s="5">
        <v>12730</v>
      </c>
      <c r="D2023" t="s" s="5">
        <v>12372</v>
      </c>
      <c r="E2023" t="s" s="5">
        <v>12731</v>
      </c>
      <c r="F2023" t="s" s="10">
        <v>12732</v>
      </c>
      <c r="G2023" t="s" s="7">
        <v>12733</v>
      </c>
      <c r="H2023" t="s" s="7">
        <v>12734</v>
      </c>
      <c r="I2023" t="str" s="8" cm="1">
        <f t="array" ref="I2023">SUBSTITUTE(H2023,B2023,"(          )")</f>
        <v>Paris is a popular tourist (          ).</v>
      </c>
      <c r="J2023" s="9" cm="1">
        <f t="array" ref="J2023">SUMIF('외운 것 - 엑셀다운로드 파일(붙여넣기)'!A3:A562,A2023,'외운 것 - 엑셀다운로드 파일(붙여넣기)'!D3:D562)</f>
        <v>0</v>
      </c>
      <c r="K2023" s="9" cm="1">
        <f t="array" ref="K2023">_xlfn.COUNTIFS('외운 것 - 엑셀다운로드 파일(붙여넣기)'!A3:A562,A2023,'외운 것 - 엑셀다운로드 파일(붙여넣기)'!D3:D562,0)</f>
        <v>0</v>
      </c>
      <c r="L2023" s="9" cm="1">
        <f t="array" ref="L2023">IF(J2023&gt;=3,_xlfn.XLOOKUP(A2023,'외운 것 - 엑셀다운로드 파일(붙여넣기)'!A3:A562,'외운 것 - 엑셀다운로드 파일(붙여넣기)'!C3:C562,0,-1),0)</f>
        <v>0</v>
      </c>
    </row>
    <row r="2024" ht="23.45" customHeight="1">
      <c r="A2024" s="3">
        <v>2023</v>
      </c>
      <c r="B2024" t="s" s="4">
        <v>12736</v>
      </c>
      <c r="C2024" t="s" s="5">
        <v>12737</v>
      </c>
      <c r="D2024" t="s" s="5">
        <v>12738</v>
      </c>
      <c r="E2024" t="s" s="5">
        <v>12739</v>
      </c>
      <c r="F2024" t="s" s="10">
        <v>12740</v>
      </c>
      <c r="G2024" t="s" s="7">
        <v>12741</v>
      </c>
      <c r="H2024" t="s" s="7">
        <v>12742</v>
      </c>
      <c r="I2024" t="str" s="8" cm="1">
        <f t="array" ref="I2024">SUBSTITUTE(H2024,B2024,"(          )")</f>
        <v>The nurse will (          ) the doctor during surgery.</v>
      </c>
      <c r="J2024" s="9" cm="1">
        <f t="array" ref="J2024">SUMIF('외운 것 - 엑셀다운로드 파일(붙여넣기)'!A3:A562,A2024,'외운 것 - 엑셀다운로드 파일(붙여넣기)'!D3:D562)</f>
        <v>0</v>
      </c>
      <c r="K2024" s="9" cm="1">
        <f t="array" ref="K2024">_xlfn.COUNTIFS('외운 것 - 엑셀다운로드 파일(붙여넣기)'!A3:A562,A2024,'외운 것 - 엑셀다운로드 파일(붙여넣기)'!D3:D562,0)</f>
        <v>0</v>
      </c>
      <c r="L2024" s="9" cm="1">
        <f t="array" ref="L2024">IF(J2024&gt;=3,_xlfn.XLOOKUP(A2024,'외운 것 - 엑셀다운로드 파일(붙여넣기)'!A3:A562,'외운 것 - 엑셀다운로드 파일(붙여넣기)'!C3:C562,0,-1),0)</f>
        <v>0</v>
      </c>
    </row>
    <row r="2025" ht="23.45" customHeight="1">
      <c r="A2025" s="3">
        <v>2024</v>
      </c>
      <c r="B2025" t="s" s="4">
        <v>12744</v>
      </c>
      <c r="C2025" t="s" s="5">
        <v>12737</v>
      </c>
      <c r="D2025" t="s" s="5">
        <v>12738</v>
      </c>
      <c r="E2025" t="s" s="5">
        <v>12745</v>
      </c>
      <c r="F2025" t="s" s="10">
        <v>12746</v>
      </c>
      <c r="G2025" t="s" s="7">
        <v>12747</v>
      </c>
      <c r="H2025" t="s" s="7">
        <v>12748</v>
      </c>
      <c r="I2025" t="str" s="8" cm="1">
        <f t="array" ref="I2025">SUBSTITUTE(H2025,B2025,"(          )")</f>
        <v>The committee (          )s of five members.</v>
      </c>
      <c r="J2025" s="9" cm="1">
        <f t="array" ref="J2025">SUMIF('외운 것 - 엑셀다운로드 파일(붙여넣기)'!A3:A562,A2025,'외운 것 - 엑셀다운로드 파일(붙여넣기)'!D3:D562)</f>
        <v>0</v>
      </c>
      <c r="K2025" s="9" cm="1">
        <f t="array" ref="K2025">_xlfn.COUNTIFS('외운 것 - 엑셀다운로드 파일(붙여넣기)'!A3:A562,A2025,'외운 것 - 엑셀다운로드 파일(붙여넣기)'!D3:D562,0)</f>
        <v>0</v>
      </c>
      <c r="L2025" s="9" cm="1">
        <f t="array" ref="L2025">IF(J2025&gt;=3,_xlfn.XLOOKUP(A2025,'외운 것 - 엑셀다운로드 파일(붙여넣기)'!A3:A562,'외운 것 - 엑셀다운로드 파일(붙여넣기)'!C3:C562,0,-1),0)</f>
        <v>0</v>
      </c>
    </row>
    <row r="2026" ht="36.4" customHeight="1">
      <c r="A2026" s="3">
        <v>2025</v>
      </c>
      <c r="B2026" t="s" s="4">
        <v>12750</v>
      </c>
      <c r="C2026" t="s" s="5">
        <v>12751</v>
      </c>
      <c r="D2026" t="s" s="5">
        <v>12737</v>
      </c>
      <c r="E2026" t="s" s="5">
        <v>12752</v>
      </c>
      <c r="F2026" t="s" s="10">
        <v>12753</v>
      </c>
      <c r="G2026" t="s" s="7">
        <v>12754</v>
      </c>
      <c r="H2026" t="s" s="7">
        <v>12755</v>
      </c>
      <c r="I2026" t="str" s="8" cm="1">
        <f t="array" ref="I2026">SUBSTITUTE(H2026,B2026,"(          )")</f>
        <v>Her work is of (          ) high quality.</v>
      </c>
      <c r="J2026" s="9" cm="1">
        <f t="array" ref="J2026">SUMIF('외운 것 - 엑셀다운로드 파일(붙여넣기)'!A3:A562,A2026,'외운 것 - 엑셀다운로드 파일(붙여넣기)'!D3:D562)</f>
        <v>0</v>
      </c>
      <c r="K2026" s="9" cm="1">
        <f t="array" ref="K2026">_xlfn.COUNTIFS('외운 것 - 엑셀다운로드 파일(붙여넣기)'!A3:A562,A2026,'외운 것 - 엑셀다운로드 파일(붙여넣기)'!D3:D562,0)</f>
        <v>0</v>
      </c>
      <c r="L2026" s="9" cm="1">
        <f t="array" ref="L2026">IF(J2026&gt;=3,_xlfn.XLOOKUP(A2026,'외운 것 - 엑셀다운로드 파일(붙여넣기)'!A3:A562,'외운 것 - 엑셀다운로드 파일(붙여넣기)'!C3:C562,0,-1),0)</f>
        <v>0</v>
      </c>
    </row>
    <row r="2027" ht="23.45" customHeight="1">
      <c r="A2027" s="3">
        <v>2026</v>
      </c>
      <c r="B2027" t="s" s="4">
        <v>12757</v>
      </c>
      <c r="C2027" t="s" s="5">
        <v>12758</v>
      </c>
      <c r="D2027" t="s" s="5">
        <v>12737</v>
      </c>
      <c r="E2027" t="s" s="5">
        <v>12759</v>
      </c>
      <c r="F2027" t="s" s="10">
        <v>12760</v>
      </c>
      <c r="G2027" t="s" s="7">
        <v>12761</v>
      </c>
      <c r="H2027" t="s" s="7">
        <v>12762</v>
      </c>
      <c r="I2027" t="str" s="8" cm="1">
        <f t="array" ref="I2027">SUBSTITUTE(H2027,B2027,"(          )")</f>
        <v>Does life (          ) on other planets?</v>
      </c>
      <c r="J2027" s="9" cm="1">
        <f t="array" ref="J2027">SUMIF('외운 것 - 엑셀다운로드 파일(붙여넣기)'!A3:A562,A2027,'외운 것 - 엑셀다운로드 파일(붙여넣기)'!D3:D562)</f>
        <v>0</v>
      </c>
      <c r="K2027" s="9" cm="1">
        <f t="array" ref="K2027">_xlfn.COUNTIFS('외운 것 - 엑셀다운로드 파일(붙여넣기)'!A3:A562,A2027,'외운 것 - 엑셀다운로드 파일(붙여넣기)'!D3:D562,0)</f>
        <v>0</v>
      </c>
      <c r="L2027" s="9" cm="1">
        <f t="array" ref="L2027">IF(J2027&gt;=3,_xlfn.XLOOKUP(A2027,'외운 것 - 엑셀다운로드 파일(붙여넣기)'!A3:A562,'외운 것 - 엑셀다운로드 파일(붙여넣기)'!C3:C562,0,-1),0)</f>
        <v>0</v>
      </c>
    </row>
    <row r="2028" ht="23.45" customHeight="1">
      <c r="A2028" s="3">
        <v>2027</v>
      </c>
      <c r="B2028" t="s" s="4">
        <v>12764</v>
      </c>
      <c r="C2028" t="s" s="5">
        <v>12737</v>
      </c>
      <c r="D2028" t="s" s="5">
        <v>12738</v>
      </c>
      <c r="E2028" t="s" s="5">
        <v>12765</v>
      </c>
      <c r="F2028" t="s" s="10">
        <v>12766</v>
      </c>
      <c r="G2028" t="s" s="7">
        <v>7525</v>
      </c>
      <c r="H2028" t="s" s="7">
        <v>12767</v>
      </c>
      <c r="I2028" t="str" s="8" cm="1">
        <f t="array" ref="I2028">SUBSTITUTE(H2028,B2028,"(          )")</f>
        <v>She (          )ed on paying for dinner.</v>
      </c>
      <c r="J2028" s="9" cm="1">
        <f t="array" ref="J2028">SUMIF('외운 것 - 엑셀다운로드 파일(붙여넣기)'!A3:A562,A2028,'외운 것 - 엑셀다운로드 파일(붙여넣기)'!D3:D562)</f>
        <v>0</v>
      </c>
      <c r="K2028" s="9" cm="1">
        <f t="array" ref="K2028">_xlfn.COUNTIFS('외운 것 - 엑셀다운로드 파일(붙여넣기)'!A3:A562,A2028,'외운 것 - 엑셀다운로드 파일(붙여넣기)'!D3:D562,0)</f>
        <v>0</v>
      </c>
      <c r="L2028" s="9" cm="1">
        <f t="array" ref="L2028">IF(J2028&gt;=3,_xlfn.XLOOKUP(A2028,'외운 것 - 엑셀다운로드 파일(붙여넣기)'!A3:A562,'외운 것 - 엑셀다운로드 파일(붙여넣기)'!C3:C562,0,-1),0)</f>
        <v>0</v>
      </c>
    </row>
    <row r="2029" ht="38.45" customHeight="1">
      <c r="A2029" s="3">
        <v>2028</v>
      </c>
      <c r="B2029" t="s" s="4">
        <v>12769</v>
      </c>
      <c r="C2029" t="s" s="5">
        <v>12737</v>
      </c>
      <c r="D2029" t="s" s="5">
        <v>12738</v>
      </c>
      <c r="E2029" t="s" s="5">
        <v>12770</v>
      </c>
      <c r="F2029" t="s" s="10">
        <v>12771</v>
      </c>
      <c r="G2029" t="s" s="7">
        <v>12772</v>
      </c>
      <c r="H2029" t="s" s="7">
        <v>12773</v>
      </c>
      <c r="I2029" t="str" s="8" cm="1">
        <f t="array" ref="I2029">SUBSTITUTE(H2029,B2029,"(          )")</f>
        <v>The problem (          )s despite our efforts to solve it.</v>
      </c>
      <c r="J2029" s="9" cm="1">
        <f t="array" ref="J2029">SUMIF('외운 것 - 엑셀다운로드 파일(붙여넣기)'!A3:A562,A2029,'외운 것 - 엑셀다운로드 파일(붙여넣기)'!D3:D562)</f>
        <v>0</v>
      </c>
      <c r="K2029" s="9" cm="1">
        <f t="array" ref="K2029">_xlfn.COUNTIFS('외운 것 - 엑셀다운로드 파일(붙여넣기)'!A3:A562,A2029,'외운 것 - 엑셀다운로드 파일(붙여넣기)'!D3:D562,0)</f>
        <v>0</v>
      </c>
      <c r="L2029" s="9" cm="1">
        <f t="array" ref="L2029">IF(J2029&gt;=3,_xlfn.XLOOKUP(A2029,'외운 것 - 엑셀다운로드 파일(붙여넣기)'!A3:A562,'외운 것 - 엑셀다운로드 파일(붙여넣기)'!C3:C562,0,-1),0)</f>
        <v>0</v>
      </c>
    </row>
    <row r="2030" ht="23.45" customHeight="1">
      <c r="A2030" s="3">
        <v>2029</v>
      </c>
      <c r="B2030" t="s" s="4">
        <v>12775</v>
      </c>
      <c r="C2030" t="s" s="5">
        <v>12737</v>
      </c>
      <c r="D2030" t="s" s="5">
        <v>12738</v>
      </c>
      <c r="E2030" t="s" s="5">
        <v>12776</v>
      </c>
      <c r="F2030" t="s" s="10">
        <v>12777</v>
      </c>
      <c r="G2030" t="s" s="7">
        <v>12778</v>
      </c>
      <c r="H2030" t="s" s="7">
        <v>12779</v>
      </c>
      <c r="I2030" t="str" s="8" cm="1">
        <f t="array" ref="I2030">SUBSTITUTE(H2030,B2030,"(          )")</f>
        <v>It's difficult to (          ) chocolate when you're on a diet.</v>
      </c>
      <c r="J2030" s="9" cm="1">
        <f t="array" ref="J2030">SUMIF('외운 것 - 엑셀다운로드 파일(붙여넣기)'!A3:A562,A2030,'외운 것 - 엑셀다운로드 파일(붙여넣기)'!D3:D562)</f>
        <v>0</v>
      </c>
      <c r="K2030" s="9" cm="1">
        <f t="array" ref="K2030">_xlfn.COUNTIFS('외운 것 - 엑셀다운로드 파일(붙여넣기)'!A3:A562,A2030,'외운 것 - 엑셀다운로드 파일(붙여넣기)'!D3:D562,0)</f>
        <v>0</v>
      </c>
      <c r="L2030" s="9" cm="1">
        <f t="array" ref="L2030">IF(J2030&gt;=3,_xlfn.XLOOKUP(A2030,'외운 것 - 엑셀다운로드 파일(붙여넣기)'!A3:A562,'외운 것 - 엑셀다운로드 파일(붙여넣기)'!C3:C562,0,-1),0)</f>
        <v>0</v>
      </c>
    </row>
    <row r="2031" ht="36.4" customHeight="1">
      <c r="A2031" s="3">
        <v>2030</v>
      </c>
      <c r="B2031" t="s" s="4">
        <v>12781</v>
      </c>
      <c r="C2031" t="s" s="5">
        <v>12782</v>
      </c>
      <c r="D2031" t="s" s="5">
        <v>12737</v>
      </c>
      <c r="E2031" t="s" s="5">
        <v>12783</v>
      </c>
      <c r="F2031" t="s" s="10">
        <v>12784</v>
      </c>
      <c r="G2031" t="s" s="7">
        <v>12785</v>
      </c>
      <c r="H2031" t="s" s="7">
        <v>12786</v>
      </c>
      <c r="I2031" t="str" s="8" cm="1">
        <f t="array" ref="I2031">SUBSTITUTE(H2031,B2031,"(          )")</f>
        <v>The bacteria developed (          ) to antibiotics.</v>
      </c>
      <c r="J2031" s="9" cm="1">
        <f t="array" ref="J2031">SUMIF('외운 것 - 엑셀다운로드 파일(붙여넣기)'!A3:A562,A2031,'외운 것 - 엑셀다운로드 파일(붙여넣기)'!D3:D562)</f>
        <v>0</v>
      </c>
      <c r="K2031" s="9" cm="1">
        <f t="array" ref="K2031">_xlfn.COUNTIFS('외운 것 - 엑셀다운로드 파일(붙여넣기)'!A3:A562,A2031,'외운 것 - 엑셀다운로드 파일(붙여넣기)'!D3:D562,0)</f>
        <v>0</v>
      </c>
      <c r="L2031" s="9" cm="1">
        <f t="array" ref="L2031">IF(J2031&gt;=3,_xlfn.XLOOKUP(A2031,'외운 것 - 엑셀다운로드 파일(붙여넣기)'!A3:A562,'외운 것 - 엑셀다운로드 파일(붙여넣기)'!C3:C562,0,-1),0)</f>
        <v>0</v>
      </c>
    </row>
    <row r="2032" ht="50.45" customHeight="1">
      <c r="A2032" s="3">
        <v>2031</v>
      </c>
      <c r="B2032" t="s" s="4">
        <v>12788</v>
      </c>
      <c r="C2032" t="s" s="5">
        <v>12789</v>
      </c>
      <c r="D2032" t="s" s="5">
        <v>12737</v>
      </c>
      <c r="E2032" t="s" s="5">
        <v>12790</v>
      </c>
      <c r="F2032" t="s" s="10">
        <v>12791</v>
      </c>
      <c r="G2032" t="s" s="7">
        <v>12792</v>
      </c>
      <c r="H2032" t="s" s="7">
        <v>12793</v>
      </c>
      <c r="I2032" t="str" s="8" cm="1">
        <f t="array" ref="I2032">SUBSTITUTE(H2032,B2032,"(          )")</f>
        <v>The smell of freshly baked bread is (          ).</v>
      </c>
      <c r="J2032" s="9" cm="1">
        <f t="array" ref="J2032">SUMIF('외운 것 - 엑셀다운로드 파일(붙여넣기)'!A3:A562,A2032,'외운 것 - 엑셀다운로드 파일(붙여넣기)'!D3:D562)</f>
        <v>0</v>
      </c>
      <c r="K2032" s="9" cm="1">
        <f t="array" ref="K2032">_xlfn.COUNTIFS('외운 것 - 엑셀다운로드 파일(붙여넣기)'!A3:A562,A2032,'외운 것 - 엑셀다운로드 파일(붙여넣기)'!D3:D562,0)</f>
        <v>0</v>
      </c>
      <c r="L2032" s="9" cm="1">
        <f t="array" ref="L2032">IF(J2032&gt;=3,_xlfn.XLOOKUP(A2032,'외운 것 - 엑셀다운로드 파일(붙여넣기)'!A3:A562,'외운 것 - 엑셀다운로드 파일(붙여넣기)'!C3:C562,0,-1),0)</f>
        <v>0</v>
      </c>
    </row>
    <row r="2033" ht="38.45" customHeight="1">
      <c r="A2033" s="3">
        <v>2032</v>
      </c>
      <c r="B2033" t="s" s="4">
        <v>12795</v>
      </c>
      <c r="C2033" t="s" s="5">
        <v>12796</v>
      </c>
      <c r="D2033" t="s" s="5">
        <v>12797</v>
      </c>
      <c r="E2033" t="s" s="5">
        <v>12798</v>
      </c>
      <c r="F2033" t="s" s="10">
        <v>12799</v>
      </c>
      <c r="G2033" t="s" s="7">
        <v>12800</v>
      </c>
      <c r="H2033" t="s" s="7">
        <v>12801</v>
      </c>
      <c r="I2033" t="str" s="8" cm="1">
        <f t="array" ref="I2033">SUBSTITUTE(H2033,B2033,"(          )")</f>
        <v>The research (          ) studies climate change.</v>
      </c>
      <c r="J2033" s="9" cm="1">
        <f t="array" ref="J2033">SUMIF('외운 것 - 엑셀다운로드 파일(붙여넣기)'!A3:A562,A2033,'외운 것 - 엑셀다운로드 파일(붙여넣기)'!D3:D562)</f>
        <v>0</v>
      </c>
      <c r="K2033" s="9" cm="1">
        <f t="array" ref="K2033">_xlfn.COUNTIFS('외운 것 - 엑셀다운로드 파일(붙여넣기)'!A3:A562,A2033,'외운 것 - 엑셀다운로드 파일(붙여넣기)'!D3:D562,0)</f>
        <v>0</v>
      </c>
      <c r="L2033" s="9" cm="1">
        <f t="array" ref="L2033">IF(J2033&gt;=3,_xlfn.XLOOKUP(A2033,'외운 것 - 엑셀다운로드 파일(붙여넣기)'!A3:A562,'외운 것 - 엑셀다운로드 파일(붙여넣기)'!C3:C562,0,-1),0)</f>
        <v>0</v>
      </c>
    </row>
    <row r="2034" ht="23.45" customHeight="1">
      <c r="A2034" s="3">
        <v>2033</v>
      </c>
      <c r="B2034" t="s" s="4">
        <v>12803</v>
      </c>
      <c r="C2034" t="s" s="5">
        <v>12796</v>
      </c>
      <c r="D2034" t="s" s="5">
        <v>12797</v>
      </c>
      <c r="E2034" t="s" s="5">
        <v>12804</v>
      </c>
      <c r="F2034" t="s" s="10">
        <v>12805</v>
      </c>
      <c r="G2034" t="s" s="7">
        <v>12806</v>
      </c>
      <c r="H2034" t="s" s="7">
        <v>12807</v>
      </c>
      <c r="I2034" t="str" s="8" cm="1">
        <f t="array" ref="I2034">SUBSTITUTE(H2034,B2034,"(          )")</f>
        <v>These three states (          ) the tri-state area.</v>
      </c>
      <c r="J2034" s="9" cm="1">
        <f t="array" ref="J2034">SUMIF('외운 것 - 엑셀다운로드 파일(붙여넣기)'!A3:A562,A2034,'외운 것 - 엑셀다운로드 파일(붙여넣기)'!D3:D562)</f>
        <v>0</v>
      </c>
      <c r="K2034" s="9" cm="1">
        <f t="array" ref="K2034">_xlfn.COUNTIFS('외운 것 - 엑셀다운로드 파일(붙여넣기)'!A3:A562,A2034,'외운 것 - 엑셀다운로드 파일(붙여넣기)'!D3:D562,0)</f>
        <v>0</v>
      </c>
      <c r="L2034" s="9" cm="1">
        <f t="array" ref="L2034">IF(J2034&gt;=3,_xlfn.XLOOKUP(A2034,'외운 것 - 엑셀다운로드 파일(붙여넣기)'!A3:A562,'외운 것 - 엑셀다운로드 파일(붙여넣기)'!C3:C562,0,-1),0)</f>
        <v>0</v>
      </c>
    </row>
    <row r="2035" ht="38.45" customHeight="1">
      <c r="A2035" s="3">
        <v>2034</v>
      </c>
      <c r="B2035" t="s" s="4">
        <v>12809</v>
      </c>
      <c r="C2035" t="s" s="5">
        <v>12796</v>
      </c>
      <c r="D2035" t="s" s="5">
        <v>12797</v>
      </c>
      <c r="E2035" t="s" s="5">
        <v>12810</v>
      </c>
      <c r="F2035" t="s" s="10">
        <v>12811</v>
      </c>
      <c r="G2035" t="s" s="7">
        <v>12812</v>
      </c>
      <c r="H2035" t="s" s="7">
        <v>12813</v>
      </c>
      <c r="I2035" t="str" s="8" cm="1">
        <f t="array" ref="I2035">SUBSTITUTE(H2035,B2035,"(          )")</f>
        <v>The teacher found a (          ) to cover her class.</v>
      </c>
      <c r="J2035" s="9" cm="1">
        <f t="array" ref="J2035">SUMIF('외운 것 - 엑셀다운로드 파일(붙여넣기)'!A3:A562,A2035,'외운 것 - 엑셀다운로드 파일(붙여넣기)'!D3:D562)</f>
        <v>0</v>
      </c>
      <c r="K2035" s="9" cm="1">
        <f t="array" ref="K2035">_xlfn.COUNTIFS('외운 것 - 엑셀다운로드 파일(붙여넣기)'!A3:A562,A2035,'외운 것 - 엑셀다운로드 파일(붙여넣기)'!D3:D562,0)</f>
        <v>0</v>
      </c>
      <c r="L2035" s="9" cm="1">
        <f t="array" ref="L2035">IF(J2035&gt;=3,_xlfn.XLOOKUP(A2035,'외운 것 - 엑셀다운로드 파일(붙여넣기)'!A3:A562,'외운 것 - 엑셀다운로드 파일(붙여넣기)'!C3:C562,0,-1),0)</f>
        <v>0</v>
      </c>
    </row>
    <row r="2036" ht="38.45" customHeight="1">
      <c r="A2036" s="3">
        <v>2035</v>
      </c>
      <c r="B2036" t="s" s="4">
        <v>12815</v>
      </c>
      <c r="C2036" t="s" s="5">
        <v>12816</v>
      </c>
      <c r="D2036" t="s" s="5">
        <v>12817</v>
      </c>
      <c r="E2036" t="s" s="5">
        <v>12818</v>
      </c>
      <c r="F2036" t="s" s="10">
        <v>12819</v>
      </c>
      <c r="G2036" t="s" s="7">
        <v>12820</v>
      </c>
      <c r="H2036" t="s" s="7">
        <v>12821</v>
      </c>
      <c r="I2036" t="str" s="8" cm="1">
        <f t="array" ref="I2036">SUBSTITUTE(H2036,B2036,"(          )")</f>
        <v>The internal (          ) of the building is very strong.</v>
      </c>
      <c r="J2036" s="9" cm="1">
        <f t="array" ref="J2036">SUMIF('외운 것 - 엑셀다운로드 파일(붙여넣기)'!A3:A562,A2036,'외운 것 - 엑셀다운로드 파일(붙여넣기)'!D3:D562)</f>
        <v>0</v>
      </c>
      <c r="K2036" s="9" cm="1">
        <f t="array" ref="K2036">_xlfn.COUNTIFS('외운 것 - 엑셀다운로드 파일(붙여넣기)'!A3:A562,A2036,'외운 것 - 엑셀다운로드 파일(붙여넣기)'!D3:D562,0)</f>
        <v>0</v>
      </c>
      <c r="L2036" s="9" cm="1">
        <f t="array" ref="L2036">IF(J2036&gt;=3,_xlfn.XLOOKUP(A2036,'외운 것 - 엑셀다운로드 파일(붙여넣기)'!A3:A562,'외운 것 - 엑셀다운로드 파일(붙여넣기)'!C3:C562,0,-1),0)</f>
        <v>0</v>
      </c>
    </row>
    <row r="2037" ht="38.45" customHeight="1">
      <c r="A2037" s="3">
        <v>2036</v>
      </c>
      <c r="B2037" t="s" s="4">
        <v>12823</v>
      </c>
      <c r="C2037" t="s" s="5">
        <v>12816</v>
      </c>
      <c r="D2037" t="s" s="5">
        <v>12817</v>
      </c>
      <c r="E2037" t="s" s="5">
        <v>12824</v>
      </c>
      <c r="F2037" t="s" s="10">
        <v>12825</v>
      </c>
      <c r="G2037" t="s" s="7">
        <v>12826</v>
      </c>
      <c r="H2037" t="s" s="7">
        <v>12827</v>
      </c>
      <c r="I2037" t="str" s="8" cm="1">
        <f t="array" ref="I2037">SUBSTITUTE(H2037,B2037,"(          )")</f>
        <v>The professor will (          ) students in advanced calculus.</v>
      </c>
      <c r="J2037" s="9" cm="1">
        <f t="array" ref="J2037">SUMIF('외운 것 - 엑셀다운로드 파일(붙여넣기)'!A3:A562,A2037,'외운 것 - 엑셀다운로드 파일(붙여넣기)'!D3:D562)</f>
        <v>0</v>
      </c>
      <c r="K2037" s="9" cm="1">
        <f t="array" ref="K2037">_xlfn.COUNTIFS('외운 것 - 엑셀다운로드 파일(붙여넣기)'!A3:A562,A2037,'외운 것 - 엑셀다운로드 파일(붙여넣기)'!D3:D562,0)</f>
        <v>0</v>
      </c>
      <c r="L2037" s="9" cm="1">
        <f t="array" ref="L2037">IF(J2037&gt;=3,_xlfn.XLOOKUP(A2037,'외운 것 - 엑셀다운로드 파일(붙여넣기)'!A3:A562,'외운 것 - 엑셀다운로드 파일(붙여넣기)'!C3:C562,0,-1),0)</f>
        <v>0</v>
      </c>
    </row>
    <row r="2038" ht="38.45" customHeight="1">
      <c r="A2038" s="3">
        <v>2037</v>
      </c>
      <c r="B2038" t="s" s="4">
        <v>12829</v>
      </c>
      <c r="C2038" t="s" s="5">
        <v>12816</v>
      </c>
      <c r="D2038" t="s" s="5">
        <v>12817</v>
      </c>
      <c r="E2038" t="s" s="5">
        <v>12830</v>
      </c>
      <c r="F2038" t="s" s="10">
        <v>12831</v>
      </c>
      <c r="G2038" t="s" s="7">
        <v>12832</v>
      </c>
      <c r="H2038" t="s" s="7">
        <v>12833</v>
      </c>
      <c r="I2038" t="str" s="8" cm="1">
        <f t="array" ref="I2038">SUBSTITUTE(H2038,B2038,"(          )")</f>
        <v>Fallen trees (          ) the road after the storm.</v>
      </c>
      <c r="J2038" s="9" cm="1">
        <f t="array" ref="J2038">SUMIF('외운 것 - 엑셀다운로드 파일(붙여넣기)'!A3:A562,A2038,'외운 것 - 엑셀다운로드 파일(붙여넣기)'!D3:D562)</f>
        <v>0</v>
      </c>
      <c r="K2038" s="9" cm="1">
        <f t="array" ref="K2038">_xlfn.COUNTIFS('외운 것 - 엑셀다운로드 파일(붙여넣기)'!A3:A562,A2038,'외운 것 - 엑셀다운로드 파일(붙여넣기)'!D3:D562,0)</f>
        <v>0</v>
      </c>
      <c r="L2038" s="9" cm="1">
        <f t="array" ref="L2038">IF(J2038&gt;=3,_xlfn.XLOOKUP(A2038,'외운 것 - 엑셀다운로드 파일(붙여넣기)'!A3:A562,'외운 것 - 엑셀다운로드 파일(붙여넣기)'!C3:C562,0,-1),0)</f>
        <v>0</v>
      </c>
    </row>
    <row r="2039" ht="23.45" customHeight="1">
      <c r="A2039" s="3">
        <v>2038</v>
      </c>
      <c r="B2039" t="s" s="4">
        <v>12835</v>
      </c>
      <c r="C2039" t="s" s="5">
        <v>12816</v>
      </c>
      <c r="D2039" t="s" s="5">
        <v>12817</v>
      </c>
      <c r="E2039" t="s" s="5">
        <v>12836</v>
      </c>
      <c r="F2039" t="s" s="6">
        <v>12837</v>
      </c>
      <c r="G2039" t="s" s="7">
        <v>12838</v>
      </c>
      <c r="H2039" t="s" s="7">
        <v>12839</v>
      </c>
      <c r="I2039" t="str" s="8" cm="1">
        <f t="array" ref="I2039">SUBSTITUTE(H2039,B2039,"(          )")</f>
        <v>The hurricane was highly (          ) to coastal areas.</v>
      </c>
      <c r="J2039" s="9" cm="1">
        <f t="array" ref="J2039">SUMIF('외운 것 - 엑셀다운로드 파일(붙여넣기)'!A3:A562,A2039,'외운 것 - 엑셀다운로드 파일(붙여넣기)'!D3:D562)</f>
        <v>0</v>
      </c>
      <c r="K2039" s="9" cm="1">
        <f t="array" ref="K2039">_xlfn.COUNTIFS('외운 것 - 엑셀다운로드 파일(붙여넣기)'!A3:A562,A2039,'외운 것 - 엑셀다운로드 파일(붙여넣기)'!D3:D562,0)</f>
        <v>0</v>
      </c>
      <c r="L2039" s="9" cm="1">
        <f t="array" ref="L2039">IF(J2039&gt;=3,_xlfn.XLOOKUP(A2039,'외운 것 - 엑셀다운로드 파일(붙여넣기)'!A3:A562,'외운 것 - 엑셀다운로드 파일(붙여넣기)'!C3:C562,0,-1),0)</f>
        <v>0</v>
      </c>
    </row>
    <row r="2040" ht="38.45" customHeight="1">
      <c r="A2040" s="3">
        <v>2039</v>
      </c>
      <c r="B2040" t="s" s="4">
        <v>12841</v>
      </c>
      <c r="C2040" t="s" s="5">
        <v>12816</v>
      </c>
      <c r="D2040" t="s" s="5">
        <v>12817</v>
      </c>
      <c r="E2040" t="s" s="5">
        <v>12842</v>
      </c>
      <c r="F2040" t="s" s="10">
        <v>12843</v>
      </c>
      <c r="G2040" t="s" s="7">
        <v>12844</v>
      </c>
      <c r="H2040" t="s" s="7">
        <v>12845</v>
      </c>
      <c r="I2040" t="str" s="8" cm="1">
        <f t="array" ref="I2040">SUBSTITUTE(H2040,B2040,"(          )")</f>
        <v>The company will (          ) a new office building.</v>
      </c>
      <c r="J2040" s="9" cm="1">
        <f t="array" ref="J2040">SUMIF('외운 것 - 엑셀다운로드 파일(붙여넣기)'!A3:A562,A2040,'외운 것 - 엑셀다운로드 파일(붙여넣기)'!D3:D562)</f>
        <v>0</v>
      </c>
      <c r="K2040" s="9" cm="1">
        <f t="array" ref="K2040">_xlfn.COUNTIFS('외운 것 - 엑셀다운로드 파일(붙여넣기)'!A3:A562,A2040,'외운 것 - 엑셀다운로드 파일(붙여넣기)'!D3:D562,0)</f>
        <v>0</v>
      </c>
      <c r="L2040" s="9" cm="1">
        <f t="array" ref="L2040">IF(J2040&gt;=3,_xlfn.XLOOKUP(A2040,'외운 것 - 엑셀다운로드 파일(붙여넣기)'!A3:A562,'외운 것 - 엑셀다운로드 파일(붙여넣기)'!C3:C562,0,-1),0)</f>
        <v>0</v>
      </c>
    </row>
    <row r="2041" ht="23.45" customHeight="1">
      <c r="A2041" s="3">
        <v>2040</v>
      </c>
      <c r="B2041" t="s" s="4">
        <v>12847</v>
      </c>
      <c r="C2041" t="s" s="5">
        <v>12848</v>
      </c>
      <c r="D2041" t="s" s="5">
        <v>12849</v>
      </c>
      <c r="E2041" t="s" s="5">
        <v>12850</v>
      </c>
      <c r="F2041" t="s" s="10">
        <v>12851</v>
      </c>
      <c r="G2041" t="s" s="7">
        <v>12852</v>
      </c>
      <c r="H2041" t="s" s="7">
        <v>12853</v>
      </c>
      <c r="I2041" t="str" s="8" cm="1">
        <f t="array" ref="I2041">SUBSTITUTE(H2041,B2041,"(          )")</f>
        <v>The poem (          )s the beauty of nature.</v>
      </c>
      <c r="J2041" s="9" cm="1">
        <f t="array" ref="J2041">SUMIF('외운 것 - 엑셀다운로드 파일(붙여넣기)'!A3:A562,A2041,'외운 것 - 엑셀다운로드 파일(붙여넣기)'!D3:D562)</f>
        <v>0</v>
      </c>
      <c r="K2041" s="9" cm="1">
        <f t="array" ref="K2041">_xlfn.COUNTIFS('외운 것 - 엑셀다운로드 파일(붙여넣기)'!A3:A562,A2041,'외운 것 - 엑셀다운로드 파일(붙여넣기)'!D3:D562,0)</f>
        <v>0</v>
      </c>
      <c r="L2041" s="9" cm="1">
        <f t="array" ref="L2041">IF(J2041&gt;=3,_xlfn.XLOOKUP(A2041,'외운 것 - 엑셀다운로드 파일(붙여넣기)'!A3:A562,'외운 것 - 엑셀다운로드 파일(붙여넣기)'!C3:C562,0,-1),0)</f>
        <v>0</v>
      </c>
    </row>
    <row r="2042" ht="23.45" customHeight="1">
      <c r="A2042" s="3">
        <v>2041</v>
      </c>
      <c r="B2042" t="s" s="4">
        <v>12855</v>
      </c>
      <c r="C2042" t="s" s="5">
        <v>12856</v>
      </c>
      <c r="D2042" t="s" s="5">
        <v>12848</v>
      </c>
      <c r="E2042" t="s" s="5">
        <v>12857</v>
      </c>
      <c r="F2042" t="s" s="10">
        <v>12858</v>
      </c>
      <c r="G2042" t="s" s="7">
        <v>12859</v>
      </c>
      <c r="H2042" t="s" s="7">
        <v>12860</v>
      </c>
      <c r="I2042" t="str" s="8" cm="1">
        <f t="array" ref="I2042">SUBSTITUTE(H2042,B2042,"(          )")</f>
        <v>The king holds an (          ) position in society.</v>
      </c>
      <c r="J2042" s="9" cm="1">
        <f t="array" ref="J2042">SUMIF('외운 것 - 엑셀다운로드 파일(붙여넣기)'!A3:A562,A2042,'외운 것 - 엑셀다운로드 파일(붙여넣기)'!D3:D562)</f>
        <v>0</v>
      </c>
      <c r="K2042" s="9" cm="1">
        <f t="array" ref="K2042">_xlfn.COUNTIFS('외운 것 - 엑셀다운로드 파일(붙여넣기)'!A3:A562,A2042,'외운 것 - 엑셀다운로드 파일(붙여넣기)'!D3:D562,0)</f>
        <v>0</v>
      </c>
      <c r="L2042" s="9" cm="1">
        <f t="array" ref="L2042">IF(J2042&gt;=3,_xlfn.XLOOKUP(A2042,'외운 것 - 엑셀다운로드 파일(붙여넣기)'!A3:A562,'외운 것 - 엑셀다운로드 파일(붙여넣기)'!C3:C562,0,-1),0)</f>
        <v>0</v>
      </c>
    </row>
    <row r="2043" ht="23.45" customHeight="1">
      <c r="A2043" s="3">
        <v>2042</v>
      </c>
      <c r="B2043" t="s" s="4">
        <v>12862</v>
      </c>
      <c r="C2043" t="s" s="5">
        <v>12848</v>
      </c>
      <c r="D2043" t="s" s="5">
        <v>12849</v>
      </c>
      <c r="E2043" t="s" s="5">
        <v>12863</v>
      </c>
      <c r="F2043" t="s" s="10">
        <v>12864</v>
      </c>
      <c r="G2043" t="s" s="7">
        <v>12865</v>
      </c>
      <c r="H2043" t="s" s="7">
        <v>12866</v>
      </c>
      <c r="I2043" t="str" s="8" cm="1">
        <f t="array" ref="I2043">SUBSTITUTE(H2043,B2043,"(          )")</f>
        <v>The bride and groom stood before the (          ).</v>
      </c>
      <c r="J2043" s="9" cm="1">
        <f t="array" ref="J2043">SUMIF('외운 것 - 엑셀다운로드 파일(붙여넣기)'!A3:A562,A2043,'외운 것 - 엑셀다운로드 파일(붙여넣기)'!D3:D562)</f>
        <v>0</v>
      </c>
      <c r="K2043" s="9" cm="1">
        <f t="array" ref="K2043">_xlfn.COUNTIFS('외운 것 - 엑셀다운로드 파일(붙여넣기)'!A3:A562,A2043,'외운 것 - 엑셀다운로드 파일(붙여넣기)'!D3:D562,0)</f>
        <v>0</v>
      </c>
      <c r="L2043" s="9" cm="1">
        <f t="array" ref="L2043">IF(J2043&gt;=3,_xlfn.XLOOKUP(A2043,'외운 것 - 엑셀다운로드 파일(붙여넣기)'!A3:A562,'외운 것 - 엑셀다운로드 파일(붙여넣기)'!C3:C562,0,-1),0)</f>
        <v>0</v>
      </c>
    </row>
    <row r="2044" ht="23.45" customHeight="1">
      <c r="A2044" s="3">
        <v>2043</v>
      </c>
      <c r="B2044" t="s" s="4">
        <v>12868</v>
      </c>
      <c r="C2044" t="s" s="5">
        <v>12848</v>
      </c>
      <c r="D2044" t="s" s="5">
        <v>12849</v>
      </c>
      <c r="E2044" t="s" s="5">
        <v>12869</v>
      </c>
      <c r="F2044" t="s" s="10">
        <v>12870</v>
      </c>
      <c r="G2044" t="s" s="7">
        <v>12871</v>
      </c>
      <c r="H2044" t="s" s="7">
        <v>12872</v>
      </c>
      <c r="I2044" t="str" s="8" cm="1">
        <f t="array" ref="I2044">SUBSTITUTE(H2044,B2044,"(          )")</f>
        <v>Pilots must monitor their (          ) during flight.</v>
      </c>
      <c r="J2044" s="9" cm="1">
        <f t="array" ref="J2044">SUMIF('외운 것 - 엑셀다운로드 파일(붙여넣기)'!A3:A562,A2044,'외운 것 - 엑셀다운로드 파일(붙여넣기)'!D3:D562)</f>
        <v>0</v>
      </c>
      <c r="K2044" s="9" cm="1">
        <f t="array" ref="K2044">_xlfn.COUNTIFS('외운 것 - 엑셀다운로드 파일(붙여넣기)'!A3:A562,A2044,'외운 것 - 엑셀다운로드 파일(붙여넣기)'!D3:D562,0)</f>
        <v>0</v>
      </c>
      <c r="L2044" s="9" cm="1">
        <f t="array" ref="L2044">IF(J2044&gt;=3,_xlfn.XLOOKUP(A2044,'외운 것 - 엑셀다운로드 파일(붙여넣기)'!A3:A562,'외운 것 - 엑셀다운로드 파일(붙여넣기)'!C3:C562,0,-1),0)</f>
        <v>0</v>
      </c>
    </row>
    <row r="2045" ht="23.45" customHeight="1">
      <c r="A2045" s="3">
        <v>2044</v>
      </c>
      <c r="B2045" t="s" s="4">
        <v>12874</v>
      </c>
      <c r="C2045" t="s" s="5">
        <v>12848</v>
      </c>
      <c r="D2045" t="s" s="5">
        <v>12849</v>
      </c>
      <c r="E2045" t="s" s="5">
        <v>12863</v>
      </c>
      <c r="F2045" t="s" s="10">
        <v>12875</v>
      </c>
      <c r="G2045" t="s" s="7">
        <v>12876</v>
      </c>
      <c r="H2045" t="s" s="7">
        <v>12877</v>
      </c>
      <c r="I2045" t="str" s="8" cm="1">
        <f t="array" ref="I2045">SUBSTITUTE(H2045,B2045,"(          )")</f>
        <v>Climate change will (          ) weather patterns worldwide.</v>
      </c>
      <c r="J2045" s="9" cm="1">
        <f t="array" ref="J2045">SUMIF('외운 것 - 엑셀다운로드 파일(붙여넣기)'!A3:A562,A2045,'외운 것 - 엑셀다운로드 파일(붙여넣기)'!D3:D562)</f>
        <v>0</v>
      </c>
      <c r="K2045" s="9" cm="1">
        <f t="array" ref="K2045">_xlfn.COUNTIFS('외운 것 - 엑셀다운로드 파일(붙여넣기)'!A3:A562,A2045,'외운 것 - 엑셀다운로드 파일(붙여넣기)'!D3:D562,0)</f>
        <v>0</v>
      </c>
      <c r="L2045" s="9" cm="1">
        <f t="array" ref="L2045">IF(J2045&gt;=3,_xlfn.XLOOKUP(A2045,'외운 것 - 엑셀다운로드 파일(붙여넣기)'!A3:A562,'외운 것 - 엑셀다운로드 파일(붙여넣기)'!C3:C562,0,-1),0)</f>
        <v>0</v>
      </c>
    </row>
    <row r="2046" ht="38.45" customHeight="1">
      <c r="A2046" s="3">
        <v>2045</v>
      </c>
      <c r="B2046" t="s" s="4">
        <v>12879</v>
      </c>
      <c r="C2046" t="s" s="5">
        <v>12880</v>
      </c>
      <c r="D2046" t="s" s="5">
        <v>12848</v>
      </c>
      <c r="E2046" t="s" s="5">
        <v>12881</v>
      </c>
      <c r="F2046" t="s" s="10">
        <v>12882</v>
      </c>
      <c r="G2046" t="s" s="7">
        <v>12883</v>
      </c>
      <c r="H2046" t="s" s="7">
        <v>12884</v>
      </c>
      <c r="I2046" t="str" s="8" cm="1">
        <f t="array" ref="I2046">SUBSTITUTE(H2046,B2046,"(          )")</f>
        <v>Take (          ) routes to avoid traffic congestion.</v>
      </c>
      <c r="J2046" s="9" cm="1">
        <f t="array" ref="J2046">SUMIF('외운 것 - 엑셀다운로드 파일(붙여넣기)'!A3:A562,A2046,'외운 것 - 엑셀다운로드 파일(붙여넣기)'!D3:D562)</f>
        <v>0</v>
      </c>
      <c r="K2046" s="9" cm="1">
        <f t="array" ref="K2046">_xlfn.COUNTIFS('외운 것 - 엑셀다운로드 파일(붙여넣기)'!A3:A562,A2046,'외운 것 - 엑셀다운로드 파일(붙여넣기)'!D3:D562,0)</f>
        <v>0</v>
      </c>
      <c r="L2046" s="9" cm="1">
        <f t="array" ref="L2046">IF(J2046&gt;=3,_xlfn.XLOOKUP(A2046,'외운 것 - 엑셀다운로드 파일(붙여넣기)'!A3:A562,'외운 것 - 엑셀다운로드 파일(붙여넣기)'!C3:C562,0,-1),0)</f>
        <v>0</v>
      </c>
    </row>
    <row r="2047" ht="38.45" customHeight="1">
      <c r="A2047" s="3">
        <v>2046</v>
      </c>
      <c r="B2047" t="s" s="4">
        <v>12886</v>
      </c>
      <c r="C2047" t="s" s="5">
        <v>12887</v>
      </c>
      <c r="D2047" t="s" s="5">
        <v>12848</v>
      </c>
      <c r="E2047" t="s" s="5">
        <v>12888</v>
      </c>
      <c r="F2047" t="s" s="10">
        <v>12889</v>
      </c>
      <c r="G2047" t="s" s="7">
        <v>12890</v>
      </c>
      <c r="H2047" t="s" s="7">
        <v>12891</v>
      </c>
      <c r="I2047" t="str" s="8" cm="1">
        <f t="array" ref="I2047">SUBSTITUTE(H2047,B2047,"(          )")</f>
        <v>Consider (          ) sources of energy such as solar power.</v>
      </c>
      <c r="J2047" s="9" cm="1">
        <f t="array" ref="J2047">SUMIF('외운 것 - 엑셀다운로드 파일(붙여넣기)'!A3:A562,A2047,'외운 것 - 엑셀다운로드 파일(붙여넣기)'!D3:D562)</f>
        <v>0</v>
      </c>
      <c r="K2047" s="9" cm="1">
        <f t="array" ref="K2047">_xlfn.COUNTIFS('외운 것 - 엑셀다운로드 파일(붙여넣기)'!A3:A562,A2047,'외운 것 - 엑셀다운로드 파일(붙여넣기)'!D3:D562,0)</f>
        <v>0</v>
      </c>
      <c r="L2047" s="9" cm="1">
        <f t="array" ref="L2047">IF(J2047&gt;=3,_xlfn.XLOOKUP(A2047,'외운 것 - 엑셀다운로드 파일(붙여넣기)'!A3:A562,'외운 것 - 엑셀다운로드 파일(붙여넣기)'!C3:C562,0,-1),0)</f>
        <v>0</v>
      </c>
    </row>
    <row r="2048" ht="23.45" customHeight="1">
      <c r="A2048" s="3">
        <v>2047</v>
      </c>
      <c r="B2048" t="s" s="4">
        <v>12893</v>
      </c>
      <c r="C2048" t="s" s="5">
        <v>12848</v>
      </c>
      <c r="D2048" t="s" s="5">
        <v>12849</v>
      </c>
      <c r="E2048" t="s" s="5">
        <v>12894</v>
      </c>
      <c r="F2048" t="s" s="10">
        <v>12895</v>
      </c>
      <c r="G2048" t="s" s="7">
        <v>12896</v>
      </c>
      <c r="H2048" t="s" s="7">
        <v>12897</v>
      </c>
      <c r="I2048" t="str" s="8" cm="1">
        <f t="array" ref="I2048">SUBSTITUTE(H2048,B2048,"(          )")</f>
        <v>Her (          ) led her to volunteer at the homeless shelter.</v>
      </c>
      <c r="J2048" s="9" cm="1">
        <f t="array" ref="J2048">SUMIF('외운 것 - 엑셀다운로드 파일(붙여넣기)'!A3:A562,A2048,'외운 것 - 엑셀다운로드 파일(붙여넣기)'!D3:D562)</f>
        <v>0</v>
      </c>
      <c r="K2048" s="9" cm="1">
        <f t="array" ref="K2048">_xlfn.COUNTIFS('외운 것 - 엑셀다운로드 파일(붙여넣기)'!A3:A562,A2048,'외운 것 - 엑셀다운로드 파일(붙여넣기)'!D3:D562,0)</f>
        <v>0</v>
      </c>
      <c r="L2048" s="9" cm="1">
        <f t="array" ref="L2048">IF(J2048&gt;=3,_xlfn.XLOOKUP(A2048,'외운 것 - 엑셀다운로드 파일(붙여넣기)'!A3:A562,'외운 것 - 엑셀다운로드 파일(붙여넣기)'!C3:C562,0,-1),0)</f>
        <v>0</v>
      </c>
    </row>
    <row r="2049" ht="23.45" customHeight="1">
      <c r="A2049" s="3">
        <v>2048</v>
      </c>
      <c r="B2049" t="s" s="4">
        <v>12899</v>
      </c>
      <c r="C2049" t="s" s="5">
        <v>12900</v>
      </c>
      <c r="D2049" t="s" s="5">
        <v>12901</v>
      </c>
      <c r="E2049" t="s" s="5">
        <v>12902</v>
      </c>
      <c r="F2049" t="s" s="10">
        <v>12903</v>
      </c>
      <c r="G2049" t="s" s="7">
        <v>12904</v>
      </c>
      <c r="H2049" t="s" s="7">
        <v>12905</v>
      </c>
      <c r="I2049" t="str" s="8" cm="1">
        <f t="array" ref="I2049">SUBSTITUTE(H2049,B2049,"(          )")</f>
        <v>The (          ) crafts beautiful pottery by hand.</v>
      </c>
      <c r="J2049" s="9" cm="1">
        <f t="array" ref="J2049">SUMIF('외운 것 - 엑셀다운로드 파일(붙여넣기)'!A3:A562,A2049,'외운 것 - 엑셀다운로드 파일(붙여넣기)'!D3:D562)</f>
        <v>0</v>
      </c>
      <c r="K2049" s="9" cm="1">
        <f t="array" ref="K2049">_xlfn.COUNTIFS('외운 것 - 엑셀다운로드 파일(붙여넣기)'!A3:A562,A2049,'외운 것 - 엑셀다운로드 파일(붙여넣기)'!D3:D562,0)</f>
        <v>0</v>
      </c>
      <c r="L2049" s="9" cm="1">
        <f t="array" ref="L2049">IF(J2049&gt;=3,_xlfn.XLOOKUP(A2049,'외운 것 - 엑셀다운로드 파일(붙여넣기)'!A3:A562,'외운 것 - 엑셀다운로드 파일(붙여넣기)'!C3:C562,0,-1),0)</f>
        <v>0</v>
      </c>
    </row>
    <row r="2050" ht="38.45" customHeight="1">
      <c r="A2050" s="3">
        <v>2049</v>
      </c>
      <c r="B2050" t="s" s="4">
        <v>5252</v>
      </c>
      <c r="C2050" t="s" s="5">
        <v>12900</v>
      </c>
      <c r="D2050" t="s" s="5">
        <v>12901</v>
      </c>
      <c r="E2050" t="s" s="5">
        <v>5253</v>
      </c>
      <c r="F2050" t="s" s="10">
        <v>12907</v>
      </c>
      <c r="G2050" t="s" s="7">
        <v>12908</v>
      </c>
      <c r="H2050" t="s" s="7">
        <v>5256</v>
      </c>
      <c r="I2050" t="str" s="8" cm="1">
        <f t="array" ref="I2050">SUBSTITUTE(H2050,B2050,"(          )")</f>
        <v>The flower looked so (          ) that no one believed it was real.</v>
      </c>
      <c r="J2050" s="9" cm="1">
        <f t="array" ref="J2050">SUMIF('외운 것 - 엑셀다운로드 파일(붙여넣기)'!A3:A562,A2050,'외운 것 - 엑셀다운로드 파일(붙여넣기)'!D3:D562)</f>
        <v>0</v>
      </c>
      <c r="K2050" s="9" cm="1">
        <f t="array" ref="K2050">_xlfn.COUNTIFS('외운 것 - 엑셀다운로드 파일(붙여넣기)'!A3:A562,A2050,'외운 것 - 엑셀다운로드 파일(붙여넣기)'!D3:D562,0)</f>
        <v>0</v>
      </c>
      <c r="L2050" s="9" cm="1">
        <f t="array" ref="L2050">IF(J2050&gt;=3,_xlfn.XLOOKUP(A2050,'외운 것 - 엑셀다운로드 파일(붙여넣기)'!A3:A562,'외운 것 - 엑셀다운로드 파일(붙여넣기)'!C3:C562,0,-1),0)</f>
        <v>0</v>
      </c>
    </row>
    <row r="2051" ht="23.45" customHeight="1">
      <c r="A2051" s="3">
        <v>2050</v>
      </c>
      <c r="B2051" t="s" s="4">
        <v>12909</v>
      </c>
      <c r="C2051" t="s" s="5">
        <v>12900</v>
      </c>
      <c r="D2051" t="s" s="5">
        <v>12901</v>
      </c>
      <c r="E2051" t="s" s="5">
        <v>12910</v>
      </c>
      <c r="F2051" t="s" s="10">
        <v>12911</v>
      </c>
      <c r="G2051" t="s" s="7">
        <v>12912</v>
      </c>
      <c r="H2051" t="s" s="7">
        <v>12913</v>
      </c>
      <c r="I2051" t="str" s="8" cm="1">
        <f t="array" ref="I2051">SUBSTITUTE(H2051,B2051,"(          )")</f>
        <v>I read an interesting (          ) about space exploration.</v>
      </c>
      <c r="J2051" s="9" cm="1">
        <f t="array" ref="J2051">SUMIF('외운 것 - 엑셀다운로드 파일(붙여넣기)'!A3:A562,A2051,'외운 것 - 엑셀다운로드 파일(붙여넣기)'!D3:D562)</f>
        <v>0</v>
      </c>
      <c r="K2051" s="9" cm="1">
        <f t="array" ref="K2051">_xlfn.COUNTIFS('외운 것 - 엑셀다운로드 파일(붙여넣기)'!A3:A562,A2051,'외운 것 - 엑셀다운로드 파일(붙여넣기)'!D3:D562,0)</f>
        <v>0</v>
      </c>
      <c r="L2051" s="9" cm="1">
        <f t="array" ref="L2051">IF(J2051&gt;=3,_xlfn.XLOOKUP(A2051,'외운 것 - 엑셀다운로드 파일(붙여넣기)'!A3:A562,'외운 것 - 엑셀다운로드 파일(붙여넣기)'!C3:C562,0,-1),0)</f>
        <v>0</v>
      </c>
    </row>
    <row r="2052" ht="38.45" customHeight="1">
      <c r="A2052" s="3">
        <v>2051</v>
      </c>
      <c r="B2052" t="s" s="4">
        <v>12915</v>
      </c>
      <c r="C2052" t="s" s="5">
        <v>12900</v>
      </c>
      <c r="D2052" t="s" s="5">
        <v>12901</v>
      </c>
      <c r="E2052" t="s" s="5">
        <v>12916</v>
      </c>
      <c r="F2052" t="s" s="10">
        <v>12917</v>
      </c>
      <c r="G2052" t="s" s="7">
        <v>12918</v>
      </c>
      <c r="H2052" t="s" s="7">
        <v>12919</v>
      </c>
      <c r="I2052" t="str" s="8" cm="1">
        <f t="array" ref="I2052">SUBSTITUTE(H2052,B2052,"(          )")</f>
        <v>The main (          ) into the city is congested during rush hour.</v>
      </c>
      <c r="J2052" s="9" cm="1">
        <f t="array" ref="J2052">SUMIF('외운 것 - 엑셀다운로드 파일(붙여넣기)'!A3:A562,A2052,'외운 것 - 엑셀다운로드 파일(붙여넣기)'!D3:D562)</f>
        <v>0</v>
      </c>
      <c r="K2052" s="9" cm="1">
        <f t="array" ref="K2052">_xlfn.COUNTIFS('외운 것 - 엑셀다운로드 파일(붙여넣기)'!A3:A562,A2052,'외운 것 - 엑셀다운로드 파일(붙여넣기)'!D3:D562,0)</f>
        <v>0</v>
      </c>
      <c r="L2052" s="9" cm="1">
        <f t="array" ref="L2052">IF(J2052&gt;=3,_xlfn.XLOOKUP(A2052,'외운 것 - 엑셀다운로드 파일(붙여넣기)'!A3:A562,'외운 것 - 엑셀다운로드 파일(붙여넣기)'!C3:C562,0,-1),0)</f>
        <v>0</v>
      </c>
    </row>
    <row r="2053" ht="23.45" customHeight="1">
      <c r="A2053" s="3">
        <v>2052</v>
      </c>
      <c r="B2053" t="s" s="4">
        <v>12921</v>
      </c>
      <c r="C2053" t="s" s="5">
        <v>12922</v>
      </c>
      <c r="D2053" t="s" s="5">
        <v>12923</v>
      </c>
      <c r="E2053" t="s" s="5">
        <v>12924</v>
      </c>
      <c r="F2053" t="s" s="10">
        <v>12925</v>
      </c>
      <c r="G2053" t="s" s="7">
        <v>12926</v>
      </c>
      <c r="H2053" t="s" s="7">
        <v>12927</v>
      </c>
      <c r="I2053" t="str" s="8" cm="1">
        <f t="array" ref="I2053">SUBSTITUTE(H2053,B2053,"(          )")</f>
        <v>The nurse had difficulty finding a (          ) for the injection.</v>
      </c>
      <c r="J2053" s="9" cm="1">
        <f t="array" ref="J2053">SUMIF('외운 것 - 엑셀다운로드 파일(붙여넣기)'!A3:A562,A2053,'외운 것 - 엑셀다운로드 파일(붙여넣기)'!D3:D562)</f>
        <v>0</v>
      </c>
      <c r="K2053" s="9" cm="1">
        <f t="array" ref="K2053">_xlfn.COUNTIFS('외운 것 - 엑셀다운로드 파일(붙여넣기)'!A3:A562,A2053,'외운 것 - 엑셀다운로드 파일(붙여넣기)'!D3:D562,0)</f>
        <v>0</v>
      </c>
      <c r="L2053" s="9" cm="1">
        <f t="array" ref="L2053">IF(J2053&gt;=3,_xlfn.XLOOKUP(A2053,'외운 것 - 엑셀다운로드 파일(붙여넣기)'!A3:A562,'외운 것 - 엑셀다운로드 파일(붙여넣기)'!C3:C562,0,-1),0)</f>
        <v>0</v>
      </c>
    </row>
    <row r="2054" ht="38.45" customHeight="1">
      <c r="A2054" s="3">
        <v>2053</v>
      </c>
      <c r="B2054" t="s" s="4">
        <v>12929</v>
      </c>
      <c r="C2054" t="s" s="5">
        <v>12334</v>
      </c>
      <c r="D2054" t="s" s="5">
        <v>12930</v>
      </c>
      <c r="E2054" t="s" s="5">
        <v>12931</v>
      </c>
      <c r="F2054" t="s" s="10">
        <v>12932</v>
      </c>
      <c r="G2054" t="s" s="7">
        <v>12933</v>
      </c>
      <c r="H2054" t="s" s="7">
        <v>12934</v>
      </c>
      <c r="I2054" t="str" s="8" cm="1">
        <f t="array" ref="I2054">SUBSTITUTE(H2054,B2054,"(          )")</f>
        <v>The dog wagged its (          ) happily.</v>
      </c>
      <c r="J2054" s="9" cm="1">
        <f t="array" ref="J2054">SUMIF('외운 것 - 엑셀다운로드 파일(붙여넣기)'!A3:A562,A2054,'외운 것 - 엑셀다운로드 파일(붙여넣기)'!D3:D562)</f>
        <v>0</v>
      </c>
      <c r="K2054" s="9" cm="1">
        <f t="array" ref="K2054">_xlfn.COUNTIFS('외운 것 - 엑셀다운로드 파일(붙여넣기)'!A3:A562,A2054,'외운 것 - 엑셀다운로드 파일(붙여넣기)'!D3:D562,0)</f>
        <v>0</v>
      </c>
      <c r="L2054" s="9" cm="1">
        <f t="array" ref="L2054">IF(J2054&gt;=3,_xlfn.XLOOKUP(A2054,'외운 것 - 엑셀다운로드 파일(붙여넣기)'!A3:A562,'외운 것 - 엑셀다운로드 파일(붙여넣기)'!C3:C562,0,-1),0)</f>
        <v>0</v>
      </c>
    </row>
    <row r="2055" ht="23.45" customHeight="1">
      <c r="A2055" s="3">
        <v>2054</v>
      </c>
      <c r="B2055" t="s" s="4">
        <v>12936</v>
      </c>
      <c r="C2055" t="s" s="5">
        <v>12929</v>
      </c>
      <c r="D2055" t="s" s="5">
        <v>12930</v>
      </c>
      <c r="E2055" t="s" s="5">
        <v>12937</v>
      </c>
      <c r="F2055" t="s" s="10">
        <v>12938</v>
      </c>
      <c r="G2055" t="s" s="7">
        <v>12939</v>
      </c>
      <c r="H2055" t="s" s="7">
        <v>12940</v>
      </c>
      <c r="I2055" t="str" s="8" cm="1">
        <f t="array" ref="I2055">SUBSTITUTE(H2055,B2055,"(          )")</f>
        <v>The (          ) altered the suit to fit perfectly.</v>
      </c>
      <c r="J2055" s="9" cm="1">
        <f t="array" ref="J2055">SUMIF('외운 것 - 엑셀다운로드 파일(붙여넣기)'!A3:A562,A2055,'외운 것 - 엑셀다운로드 파일(붙여넣기)'!D3:D562)</f>
        <v>0</v>
      </c>
      <c r="K2055" s="9" cm="1">
        <f t="array" ref="K2055">_xlfn.COUNTIFS('외운 것 - 엑셀다운로드 파일(붙여넣기)'!A3:A562,A2055,'외운 것 - 엑셀다운로드 파일(붙여넣기)'!D3:D562,0)</f>
        <v>0</v>
      </c>
      <c r="L2055" s="9" cm="1">
        <f t="array" ref="L2055">IF(J2055&gt;=3,_xlfn.XLOOKUP(A2055,'외운 것 - 엑셀다운로드 파일(붙여넣기)'!A3:A562,'외운 것 - 엑셀다운로드 파일(붙여넣기)'!C3:C562,0,-1),0)</f>
        <v>0</v>
      </c>
    </row>
    <row r="2056" ht="38.45" customHeight="1">
      <c r="A2056" s="3">
        <v>2055</v>
      </c>
      <c r="B2056" t="s" s="4">
        <v>12942</v>
      </c>
      <c r="C2056" t="s" s="5">
        <v>12929</v>
      </c>
      <c r="D2056" t="s" s="5">
        <v>12930</v>
      </c>
      <c r="E2056" t="s" s="5">
        <v>12943</v>
      </c>
      <c r="F2056" t="s" s="10">
        <v>12944</v>
      </c>
      <c r="G2056" t="s" s="7">
        <v>12945</v>
      </c>
      <c r="H2056" t="s" s="7">
        <v>12946</v>
      </c>
      <c r="I2056" t="str" s="8" cm="1">
        <f t="array" ref="I2056">SUBSTITUTE(H2056,B2056,"(          )")</f>
        <v>Pay attention to every (          ) in the contract.</v>
      </c>
      <c r="J2056" s="9" cm="1">
        <f t="array" ref="J2056">SUMIF('외운 것 - 엑셀다운로드 파일(붙여넣기)'!A3:A562,A2056,'외운 것 - 엑셀다운로드 파일(붙여넣기)'!D3:D562)</f>
        <v>0</v>
      </c>
      <c r="K2056" s="9" cm="1">
        <f t="array" ref="K2056">_xlfn.COUNTIFS('외운 것 - 엑셀다운로드 파일(붙여넣기)'!A3:A562,A2056,'외운 것 - 엑셀다운로드 파일(붙여넣기)'!D3:D562,0)</f>
        <v>0</v>
      </c>
      <c r="L2056" s="9" cm="1">
        <f t="array" ref="L2056">IF(J2056&gt;=3,_xlfn.XLOOKUP(A2056,'외운 것 - 엑셀다운로드 파일(붙여넣기)'!A3:A562,'외운 것 - 엑셀다운로드 파일(붙여넣기)'!C3:C562,0,-1),0)</f>
        <v>0</v>
      </c>
    </row>
    <row r="2057" ht="23.45" customHeight="1">
      <c r="A2057" s="3">
        <v>2056</v>
      </c>
      <c r="B2057" t="s" s="4">
        <v>12948</v>
      </c>
      <c r="C2057" t="s" s="5">
        <v>12929</v>
      </c>
      <c r="D2057" t="s" s="5">
        <v>12930</v>
      </c>
      <c r="E2057" t="s" s="5">
        <v>12949</v>
      </c>
      <c r="F2057" t="s" s="10">
        <v>12950</v>
      </c>
      <c r="G2057" t="s" s="7">
        <v>12951</v>
      </c>
      <c r="H2057" t="s" s="7">
        <v>12952</v>
      </c>
      <c r="I2057" t="str" s="8" cm="1">
        <f t="array" ref="I2057">SUBSTITUTE(H2057,B2057,"(          )")</f>
        <v>Budget cuts forced the school to (          ) some programs.</v>
      </c>
      <c r="J2057" s="9" cm="1">
        <f t="array" ref="J2057">SUMIF('외운 것 - 엑셀다운로드 파일(붙여넣기)'!A3:A562,A2057,'외운 것 - 엑셀다운로드 파일(붙여넣기)'!D3:D562)</f>
        <v>0</v>
      </c>
      <c r="K2057" s="9" cm="1">
        <f t="array" ref="K2057">_xlfn.COUNTIFS('외운 것 - 엑셀다운로드 파일(붙여넣기)'!A3:A562,A2057,'외운 것 - 엑셀다운로드 파일(붙여넣기)'!D3:D562,0)</f>
        <v>0</v>
      </c>
      <c r="L2057" s="9" cm="1">
        <f t="array" ref="L2057">IF(J2057&gt;=3,_xlfn.XLOOKUP(A2057,'외운 것 - 엑셀다운로드 파일(붙여넣기)'!A3:A562,'외운 것 - 엑셀다운로드 파일(붙여넣기)'!C3:C562,0,-1),0)</f>
        <v>0</v>
      </c>
    </row>
    <row r="2058" ht="38.45" customHeight="1">
      <c r="A2058" s="3">
        <v>2057</v>
      </c>
      <c r="B2058" t="s" s="4">
        <v>12954</v>
      </c>
      <c r="C2058" t="s" s="5">
        <v>12929</v>
      </c>
      <c r="D2058" t="s" s="5">
        <v>12930</v>
      </c>
      <c r="E2058" t="s" s="5">
        <v>12955</v>
      </c>
      <c r="F2058" t="s" s="10">
        <v>12956</v>
      </c>
      <c r="G2058" t="s" s="7">
        <v>12957</v>
      </c>
      <c r="H2058" t="s" s="7">
        <v>12958</v>
      </c>
      <c r="I2058" t="str" s="8" cm="1">
        <f t="array" ref="I2058">SUBSTITUTE(H2058,B2058,"(          )")</f>
        <v>The shoes are available at (          ) stores nationwide.</v>
      </c>
      <c r="J2058" s="9" cm="1">
        <f t="array" ref="J2058">SUMIF('외운 것 - 엑셀다운로드 파일(붙여넣기)'!A3:A562,A2058,'외운 것 - 엑셀다운로드 파일(붙여넣기)'!D3:D562)</f>
        <v>0</v>
      </c>
      <c r="K2058" s="9" cm="1">
        <f t="array" ref="K2058">_xlfn.COUNTIFS('외운 것 - 엑셀다운로드 파일(붙여넣기)'!A3:A562,A2058,'외운 것 - 엑셀다운로드 파일(붙여넣기)'!D3:D562,0)</f>
        <v>0</v>
      </c>
      <c r="L2058" s="9" cm="1">
        <f t="array" ref="L2058">IF(J2058&gt;=3,_xlfn.XLOOKUP(A2058,'외운 것 - 엑셀다운로드 파일(붙여넣기)'!A3:A562,'외운 것 - 엑셀다운로드 파일(붙여넣기)'!C3:C562,0,-1),0)</f>
        <v>0</v>
      </c>
    </row>
    <row r="2059" ht="38.45" customHeight="1">
      <c r="A2059" s="3">
        <v>2058</v>
      </c>
      <c r="B2059" t="s" s="4">
        <v>12960</v>
      </c>
      <c r="C2059" t="s" s="5">
        <v>12961</v>
      </c>
      <c r="D2059" t="s" s="5">
        <v>12962</v>
      </c>
      <c r="E2059" t="s" s="5">
        <v>12963</v>
      </c>
      <c r="F2059" t="s" s="10">
        <v>12964</v>
      </c>
      <c r="G2059" t="s" s="7">
        <v>12965</v>
      </c>
      <c r="H2059" t="s" s="7">
        <v>12966</v>
      </c>
      <c r="I2059" t="str" s="8" cm="1">
        <f t="array" ref="I2059">SUBSTITUTE(H2059,B2059,"(          )")</f>
        <v>Restaurants buy food at (          ) prices.</v>
      </c>
      <c r="J2059" s="9" cm="1">
        <f t="array" ref="J2059">SUMIF('외운 것 - 엑셀다운로드 파일(붙여넣기)'!A3:A562,A2059,'외운 것 - 엑셀다운로드 파일(붙여넣기)'!D3:D562)</f>
        <v>0</v>
      </c>
      <c r="K2059" s="9" cm="1">
        <f t="array" ref="K2059">_xlfn.COUNTIFS('외운 것 - 엑셀다운로드 파일(붙여넣기)'!A3:A562,A2059,'외운 것 - 엑셀다운로드 파일(붙여넣기)'!D3:D562,0)</f>
        <v>0</v>
      </c>
      <c r="L2059" s="9" cm="1">
        <f t="array" ref="L2059">IF(J2059&gt;=3,_xlfn.XLOOKUP(A2059,'외운 것 - 엑셀다운로드 파일(붙여넣기)'!A3:A562,'외운 것 - 엑셀다운로드 파일(붙여넣기)'!C3:C562,0,-1),0)</f>
        <v>0</v>
      </c>
    </row>
    <row r="2060" ht="38.45" customHeight="1">
      <c r="A2060" s="3">
        <v>2059</v>
      </c>
      <c r="B2060" t="s" s="4">
        <v>12968</v>
      </c>
      <c r="C2060" t="s" s="5">
        <v>12969</v>
      </c>
      <c r="D2060" t="s" s="5">
        <v>12970</v>
      </c>
      <c r="E2060" t="s" s="5">
        <v>12971</v>
      </c>
      <c r="F2060" t="s" s="10">
        <v>12972</v>
      </c>
      <c r="G2060" t="s" s="7">
        <v>12973</v>
      </c>
      <c r="H2060" t="s" s="7">
        <v>12974</v>
      </c>
      <c r="I2060" t="str" s="8" cm="1">
        <f t="array" ref="I2060">SUBSTITUTE(H2060,B2060,"(          )")</f>
        <v>The (          ) designed the award-winning museum.</v>
      </c>
      <c r="J2060" s="9" cm="1">
        <f t="array" ref="J2060">SUMIF('외운 것 - 엑셀다운로드 파일(붙여넣기)'!A3:A562,A2060,'외운 것 - 엑셀다운로드 파일(붙여넣기)'!D3:D562)</f>
        <v>0</v>
      </c>
      <c r="K2060" s="9" cm="1">
        <f t="array" ref="K2060">_xlfn.COUNTIFS('외운 것 - 엑셀다운로드 파일(붙여넣기)'!A3:A562,A2060,'외운 것 - 엑셀다운로드 파일(붙여넣기)'!D3:D562,0)</f>
        <v>0</v>
      </c>
      <c r="L2060" s="9" cm="1">
        <f t="array" ref="L2060">IF(J2060&gt;=3,_xlfn.XLOOKUP(A2060,'외운 것 - 엑셀다운로드 파일(붙여넣기)'!A3:A562,'외운 것 - 엑셀다운로드 파일(붙여넣기)'!C3:C562,0,-1),0)</f>
        <v>0</v>
      </c>
    </row>
    <row r="2061" ht="23.45" customHeight="1">
      <c r="A2061" s="3">
        <v>2060</v>
      </c>
      <c r="B2061" t="s" s="4">
        <v>12976</v>
      </c>
      <c r="C2061" t="s" s="5">
        <v>12969</v>
      </c>
      <c r="D2061" t="s" s="5">
        <v>12970</v>
      </c>
      <c r="E2061" t="s" s="5">
        <v>12977</v>
      </c>
      <c r="F2061" t="s" s="10">
        <v>12978</v>
      </c>
      <c r="G2061" t="s" s="7">
        <v>12979</v>
      </c>
      <c r="H2061" t="s" s="7">
        <v>12980</v>
      </c>
      <c r="I2061" t="str" s="8" cm="1">
        <f t="array" ref="I2061">SUBSTITUTE(H2061,B2061,"(          )")</f>
        <v>Sunscreen helps (          ) your skin from damage.</v>
      </c>
      <c r="J2061" s="9" cm="1">
        <f t="array" ref="J2061">SUMIF('외운 것 - 엑셀다운로드 파일(붙여넣기)'!A3:A562,A2061,'외운 것 - 엑셀다운로드 파일(붙여넣기)'!D3:D562)</f>
        <v>0</v>
      </c>
      <c r="K2061" s="9" cm="1">
        <f t="array" ref="K2061">_xlfn.COUNTIFS('외운 것 - 엑셀다운로드 파일(붙여넣기)'!A3:A562,A2061,'외운 것 - 엑셀다운로드 파일(붙여넣기)'!D3:D562,0)</f>
        <v>0</v>
      </c>
      <c r="L2061" s="9" cm="1">
        <f t="array" ref="L2061">IF(J2061&gt;=3,_xlfn.XLOOKUP(A2061,'외운 것 - 엑셀다운로드 파일(붙여넣기)'!A3:A562,'외운 것 - 엑셀다운로드 파일(붙여넣기)'!C3:C562,0,-1),0)</f>
        <v>0</v>
      </c>
    </row>
    <row r="2062" ht="23.45" customHeight="1">
      <c r="A2062" s="3">
        <v>2061</v>
      </c>
      <c r="B2062" t="s" s="4">
        <v>12982</v>
      </c>
      <c r="C2062" t="s" s="5">
        <v>12982</v>
      </c>
      <c r="D2062" t="s" s="5">
        <v>12983</v>
      </c>
      <c r="E2062" t="s" s="5">
        <v>12984</v>
      </c>
      <c r="F2062" t="s" s="10">
        <v>12985</v>
      </c>
      <c r="G2062" t="s" s="7">
        <v>12986</v>
      </c>
      <c r="H2062" t="s" s="7">
        <v>12987</v>
      </c>
      <c r="I2062" t="str" s="8" cm="1">
        <f t="array" ref="I2062">SUBSTITUTE(H2062,B2062,"(          )")</f>
        <v>Nurses (          ) to patients in the hospital.</v>
      </c>
      <c r="J2062" s="9" cm="1">
        <f t="array" ref="J2062">SUMIF('외운 것 - 엑셀다운로드 파일(붙여넣기)'!A3:A562,A2062,'외운 것 - 엑셀다운로드 파일(붙여넣기)'!D3:D562)</f>
        <v>0</v>
      </c>
      <c r="K2062" s="9" cm="1">
        <f t="array" ref="K2062">_xlfn.COUNTIFS('외운 것 - 엑셀다운로드 파일(붙여넣기)'!A3:A562,A2062,'외운 것 - 엑셀다운로드 파일(붙여넣기)'!D3:D562,0)</f>
        <v>0</v>
      </c>
      <c r="L2062" s="9" cm="1">
        <f t="array" ref="L2062">IF(J2062&gt;=3,_xlfn.XLOOKUP(A2062,'외운 것 - 엑셀다운로드 파일(붙여넣기)'!A3:A562,'외운 것 - 엑셀다운로드 파일(붙여넣기)'!C3:C562,0,-1),0)</f>
        <v>0</v>
      </c>
    </row>
    <row r="2063" ht="38.45" customHeight="1">
      <c r="A2063" s="3">
        <v>2062</v>
      </c>
      <c r="B2063" t="s" s="4">
        <v>12989</v>
      </c>
      <c r="C2063" t="s" s="5">
        <v>12982</v>
      </c>
      <c r="D2063" t="s" s="5">
        <v>12983</v>
      </c>
      <c r="E2063" t="s" s="5">
        <v>12990</v>
      </c>
      <c r="F2063" t="s" s="10">
        <v>12991</v>
      </c>
      <c r="G2063" t="s" s="7">
        <v>12992</v>
      </c>
      <c r="H2063" t="s" s="7">
        <v>12993</v>
      </c>
      <c r="I2063" t="str" s="8" cm="1">
        <f t="array" ref="I2063">SUBSTITUTE(H2063,B2063,"(          )")</f>
        <v>The current (          ) in fashion is eco-friendly clothing.</v>
      </c>
      <c r="J2063" s="9" cm="1">
        <f t="array" ref="J2063">SUMIF('외운 것 - 엑셀다운로드 파일(붙여넣기)'!A3:A562,A2063,'외운 것 - 엑셀다운로드 파일(붙여넣기)'!D3:D562)</f>
        <v>0</v>
      </c>
      <c r="K2063" s="9" cm="1">
        <f t="array" ref="K2063">_xlfn.COUNTIFS('외운 것 - 엑셀다운로드 파일(붙여넣기)'!A3:A562,A2063,'외운 것 - 엑셀다운로드 파일(붙여넣기)'!D3:D562,0)</f>
        <v>0</v>
      </c>
      <c r="L2063" s="9" cm="1">
        <f t="array" ref="L2063">IF(J2063&gt;=3,_xlfn.XLOOKUP(A2063,'외운 것 - 엑셀다운로드 파일(붙여넣기)'!A3:A562,'외운 것 - 엑셀다운로드 파일(붙여넣기)'!C3:C562,0,-1),0)</f>
        <v>0</v>
      </c>
    </row>
    <row r="2064" ht="38.45" customHeight="1">
      <c r="A2064" s="3">
        <v>2063</v>
      </c>
      <c r="B2064" t="s" s="4">
        <v>12995</v>
      </c>
      <c r="C2064" t="s" s="5">
        <v>12982</v>
      </c>
      <c r="D2064" t="s" s="5">
        <v>12983</v>
      </c>
      <c r="E2064" t="s" s="5">
        <v>12996</v>
      </c>
      <c r="F2064" t="s" s="10">
        <v>12997</v>
      </c>
      <c r="G2064" t="s" s="7">
        <v>12998</v>
      </c>
      <c r="H2064" t="s" s="7">
        <v>12999</v>
      </c>
      <c r="I2064" t="str" s="8" cm="1">
        <f t="array" ref="I2064">SUBSTITUTE(H2064,B2064,"(          )")</f>
        <v>I (          ) to finish this project by Friday.</v>
      </c>
      <c r="J2064" s="9" cm="1">
        <f t="array" ref="J2064">SUMIF('외운 것 - 엑셀다운로드 파일(붙여넣기)'!A3:A562,A2064,'외운 것 - 엑셀다운로드 파일(붙여넣기)'!D3:D562)</f>
        <v>0</v>
      </c>
      <c r="K2064" s="9" cm="1">
        <f t="array" ref="K2064">_xlfn.COUNTIFS('외운 것 - 엑셀다운로드 파일(붙여넣기)'!A3:A562,A2064,'외운 것 - 엑셀다운로드 파일(붙여넣기)'!D3:D562,0)</f>
        <v>0</v>
      </c>
      <c r="L2064" s="9" cm="1">
        <f t="array" ref="L2064">IF(J2064&gt;=3,_xlfn.XLOOKUP(A2064,'외운 것 - 엑셀다운로드 파일(붙여넣기)'!A3:A562,'외운 것 - 엑셀다운로드 파일(붙여넣기)'!C3:C562,0,-1),0)</f>
        <v>0</v>
      </c>
    </row>
    <row r="2065" ht="38.45" customHeight="1">
      <c r="A2065" s="3">
        <v>2064</v>
      </c>
      <c r="B2065" t="s" s="4">
        <v>13001</v>
      </c>
      <c r="C2065" t="s" s="5">
        <v>12982</v>
      </c>
      <c r="D2065" t="s" s="5">
        <v>12983</v>
      </c>
      <c r="E2065" t="s" s="5">
        <v>13002</v>
      </c>
      <c r="F2065" t="s" s="10">
        <v>13003</v>
      </c>
      <c r="G2065" t="s" s="7">
        <v>13004</v>
      </c>
      <c r="H2065" t="s" s="7">
        <v>13005</v>
      </c>
      <c r="I2065" t="str" s="8" cm="1">
        <f t="array" ref="I2065">SUBSTITUTE(H2065,B2065,"(          )")</f>
        <v>Children often (          ) to be their favorite superheroes.</v>
      </c>
      <c r="J2065" s="9" cm="1">
        <f t="array" ref="J2065">SUMIF('외운 것 - 엑셀다운로드 파일(붙여넣기)'!A3:A562,A2065,'외운 것 - 엑셀다운로드 파일(붙여넣기)'!D3:D562)</f>
        <v>0</v>
      </c>
      <c r="K2065" s="9" cm="1">
        <f t="array" ref="K2065">_xlfn.COUNTIFS('외운 것 - 엑셀다운로드 파일(붙여넣기)'!A3:A562,A2065,'외운 것 - 엑셀다운로드 파일(붙여넣기)'!D3:D562,0)</f>
        <v>0</v>
      </c>
      <c r="L2065" s="9" cm="1">
        <f t="array" ref="L2065">IF(J2065&gt;=3,_xlfn.XLOOKUP(A2065,'외운 것 - 엑셀다운로드 파일(붙여넣기)'!A3:A562,'외운 것 - 엑셀다운로드 파일(붙여넣기)'!C3:C562,0,-1),0)</f>
        <v>0</v>
      </c>
    </row>
    <row r="2066" ht="23.45" customHeight="1">
      <c r="A2066" s="3">
        <v>2065</v>
      </c>
      <c r="B2066" t="s" s="4">
        <v>13007</v>
      </c>
      <c r="C2066" t="s" s="5">
        <v>12982</v>
      </c>
      <c r="D2066" t="s" s="5">
        <v>12983</v>
      </c>
      <c r="E2066" t="s" s="5">
        <v>13008</v>
      </c>
      <c r="F2066" t="s" s="10">
        <v>13009</v>
      </c>
      <c r="G2066" t="s" s="7">
        <v>13010</v>
      </c>
      <c r="H2066" t="s" s="7">
        <v>13011</v>
      </c>
      <c r="I2066" t="str" s="8" cm="1">
        <f t="array" ref="I2066">SUBSTITUTE(H2066,B2066,"(          )")</f>
        <v>Will you (          ) the conference next week?</v>
      </c>
      <c r="J2066" s="9" cm="1">
        <f t="array" ref="J2066">SUMIF('외운 것 - 엑셀다운로드 파일(붙여넣기)'!A3:A562,A2066,'외운 것 - 엑셀다운로드 파일(붙여넣기)'!D3:D562)</f>
        <v>0</v>
      </c>
      <c r="K2066" s="9" cm="1">
        <f t="array" ref="K2066">_xlfn.COUNTIFS('외운 것 - 엑셀다운로드 파일(붙여넣기)'!A3:A562,A2066,'외운 것 - 엑셀다운로드 파일(붙여넣기)'!D3:D562,0)</f>
        <v>0</v>
      </c>
      <c r="L2066" s="9" cm="1">
        <f t="array" ref="L2066">IF(J2066&gt;=3,_xlfn.XLOOKUP(A2066,'외운 것 - 엑셀다운로드 파일(붙여넣기)'!A3:A562,'외운 것 - 엑셀다운로드 파일(붙여넣기)'!C3:C562,0,-1),0)</f>
        <v>0</v>
      </c>
    </row>
    <row r="2067" ht="36.4" customHeight="1">
      <c r="A2067" s="3">
        <v>2066</v>
      </c>
      <c r="B2067" t="s" s="4">
        <v>13013</v>
      </c>
      <c r="C2067" t="s" s="5">
        <v>13014</v>
      </c>
      <c r="D2067" t="s" s="5">
        <v>12982</v>
      </c>
      <c r="E2067" t="s" s="5">
        <v>13015</v>
      </c>
      <c r="F2067" t="s" s="10">
        <v>13016</v>
      </c>
      <c r="G2067" t="s" s="7">
        <v>13017</v>
      </c>
      <c r="H2067" t="s" s="7">
        <v>13018</v>
      </c>
      <c r="I2067" t="str" s="8" cm="1">
        <f t="array" ref="I2067">SUBSTITUTE(H2067,B2067,"(          )")</f>
        <v>The teacher called for the students' (          ).</v>
      </c>
      <c r="J2067" s="9" cm="1">
        <f t="array" ref="J2067">SUMIF('외운 것 - 엑셀다운로드 파일(붙여넣기)'!A3:A562,A2067,'외운 것 - 엑셀다운로드 파일(붙여넣기)'!D3:D562)</f>
        <v>0</v>
      </c>
      <c r="K2067" s="9" cm="1">
        <f t="array" ref="K2067">_xlfn.COUNTIFS('외운 것 - 엑셀다운로드 파일(붙여넣기)'!A3:A562,A2067,'외운 것 - 엑셀다운로드 파일(붙여넣기)'!D3:D562,0)</f>
        <v>0</v>
      </c>
      <c r="L2067" s="9" cm="1">
        <f t="array" ref="L2067">IF(J2067&gt;=3,_xlfn.XLOOKUP(A2067,'외운 것 - 엑셀다운로드 파일(붙여넣기)'!A3:A562,'외운 것 - 엑셀다운로드 파일(붙여넣기)'!C3:C562,0,-1),0)</f>
        <v>0</v>
      </c>
    </row>
    <row r="2068" ht="38.45" customHeight="1">
      <c r="A2068" s="3">
        <v>2067</v>
      </c>
      <c r="B2068" t="s" s="4">
        <v>13020</v>
      </c>
      <c r="C2068" t="s" s="5">
        <v>12982</v>
      </c>
      <c r="D2068" t="s" s="5">
        <v>12983</v>
      </c>
      <c r="E2068" t="s" s="5">
        <v>13021</v>
      </c>
      <c r="F2068" t="s" s="10">
        <v>13022</v>
      </c>
      <c r="G2068" t="s" s="7">
        <v>13023</v>
      </c>
      <c r="H2068" t="s" s="7">
        <v>13024</v>
      </c>
      <c r="I2068" t="str" s="8" cm="1">
        <f t="array" ref="I2068">SUBSTITUTE(H2068,B2068,"(          )")</f>
        <v>Several teams (          ) for the championship each year.</v>
      </c>
      <c r="J2068" s="9" cm="1">
        <f t="array" ref="J2068">SUMIF('외운 것 - 엑셀다운로드 파일(붙여넣기)'!A3:A562,A2068,'외운 것 - 엑셀다운로드 파일(붙여넣기)'!D3:D562)</f>
        <v>0</v>
      </c>
      <c r="K2068" s="9" cm="1">
        <f t="array" ref="K2068">_xlfn.COUNTIFS('외운 것 - 엑셀다운로드 파일(붙여넣기)'!A3:A562,A2068,'외운 것 - 엑셀다운로드 파일(붙여넣기)'!D3:D562,0)</f>
        <v>0</v>
      </c>
      <c r="L2068" s="9" cm="1">
        <f t="array" ref="L2068">IF(J2068&gt;=3,_xlfn.XLOOKUP(A2068,'외운 것 - 엑셀다운로드 파일(붙여넣기)'!A3:A562,'외운 것 - 엑셀다운로드 파일(붙여넣기)'!C3:C562,0,-1),0)</f>
        <v>0</v>
      </c>
    </row>
    <row r="2069" ht="38.45" customHeight="1">
      <c r="A2069" s="3">
        <v>2068</v>
      </c>
      <c r="B2069" t="s" s="4">
        <v>13026</v>
      </c>
      <c r="C2069" t="s" s="5">
        <v>12982</v>
      </c>
      <c r="D2069" t="s" s="5">
        <v>12983</v>
      </c>
      <c r="E2069" t="s" s="5">
        <v>13027</v>
      </c>
      <c r="F2069" t="s" s="10">
        <v>13028</v>
      </c>
      <c r="G2069" t="s" s="7">
        <v>13029</v>
      </c>
      <c r="H2069" t="s" s="7">
        <v>13030</v>
      </c>
      <c r="I2069" t="str" s="8" cm="1">
        <f t="array" ref="I2069">SUBSTITUTE(H2069,B2069,"(          )")</f>
        <v>The company will (          ) its hours during the holiday season.</v>
      </c>
      <c r="J2069" s="9" cm="1">
        <f t="array" ref="J2069">SUMIF('외운 것 - 엑셀다운로드 파일(붙여넣기)'!A3:A562,A2069,'외운 것 - 엑셀다운로드 파일(붙여넣기)'!D3:D562)</f>
        <v>0</v>
      </c>
      <c r="K2069" s="9" cm="1">
        <f t="array" ref="K2069">_xlfn.COUNTIFS('외운 것 - 엑셀다운로드 파일(붙여넣기)'!A3:A562,A2069,'외운 것 - 엑셀다운로드 파일(붙여넣기)'!D3:D562,0)</f>
        <v>0</v>
      </c>
      <c r="L2069" s="9" cm="1">
        <f t="array" ref="L2069">IF(J2069&gt;=3,_xlfn.XLOOKUP(A2069,'외운 것 - 엑셀다운로드 파일(붙여넣기)'!A3:A562,'외운 것 - 엑셀다운로드 파일(붙여넣기)'!C3:C562,0,-1),0)</f>
        <v>0</v>
      </c>
    </row>
    <row r="2070" ht="38.45" customHeight="1">
      <c r="A2070" s="3">
        <v>2069</v>
      </c>
      <c r="B2070" t="s" s="4">
        <v>13032</v>
      </c>
      <c r="C2070" t="s" s="5">
        <v>13033</v>
      </c>
      <c r="D2070" t="s" s="5">
        <v>12982</v>
      </c>
      <c r="E2070" t="s" s="5">
        <v>13034</v>
      </c>
      <c r="F2070" t="s" s="10">
        <v>13035</v>
      </c>
      <c r="G2070" t="s" s="7">
        <v>13036</v>
      </c>
      <c r="H2070" t="s" s="7">
        <v>13037</v>
      </c>
      <c r="I2070" t="str" s="8" cm="1">
        <f t="array" ref="I2070">SUBSTITUTE(H2070,B2070,"(          )")</f>
        <v>I was surprised by the (          ) of the damage after the storm.</v>
      </c>
      <c r="J2070" s="9" cm="1">
        <f t="array" ref="J2070">SUMIF('외운 것 - 엑셀다운로드 파일(붙여넣기)'!A3:A562,A2070,'외운 것 - 엑셀다운로드 파일(붙여넣기)'!D3:D562)</f>
        <v>0</v>
      </c>
      <c r="K2070" s="9" cm="1">
        <f t="array" ref="K2070">_xlfn.COUNTIFS('외운 것 - 엑셀다운로드 파일(붙여넣기)'!A3:A562,A2070,'외운 것 - 엑셀다운로드 파일(붙여넣기)'!D3:D562,0)</f>
        <v>0</v>
      </c>
      <c r="L2070" s="9" cm="1">
        <f t="array" ref="L2070">IF(J2070&gt;=3,_xlfn.XLOOKUP(A2070,'외운 것 - 엑셀다운로드 파일(붙여넣기)'!A3:A562,'외운 것 - 엑셀다운로드 파일(붙여넣기)'!C3:C562,0,-1),0)</f>
        <v>0</v>
      </c>
    </row>
    <row r="2071" ht="36.4" customHeight="1">
      <c r="A2071" s="3">
        <v>2070</v>
      </c>
      <c r="B2071" t="s" s="4">
        <v>13039</v>
      </c>
      <c r="C2071" t="s" s="5">
        <v>13033</v>
      </c>
      <c r="D2071" t="s" s="5">
        <v>12982</v>
      </c>
      <c r="E2071" t="s" s="5">
        <v>13040</v>
      </c>
      <c r="F2071" t="s" s="10">
        <v>13041</v>
      </c>
      <c r="G2071" t="s" s="7">
        <v>13042</v>
      </c>
      <c r="H2071" t="s" s="7">
        <v>13043</v>
      </c>
      <c r="I2071" t="str" s="8" cm="1">
        <f t="array" ref="I2071">SUBSTITUTE(H2071,B2071,"(          )")</f>
        <v>The library granted an (          ) on the due date.</v>
      </c>
      <c r="J2071" s="9" cm="1">
        <f t="array" ref="J2071">SUMIF('외운 것 - 엑셀다운로드 파일(붙여넣기)'!A3:A562,A2071,'외운 것 - 엑셀다운로드 파일(붙여넣기)'!D3:D562)</f>
        <v>0</v>
      </c>
      <c r="K2071" s="9" cm="1">
        <f t="array" ref="K2071">_xlfn.COUNTIFS('외운 것 - 엑셀다운로드 파일(붙여넣기)'!A3:A562,A2071,'외운 것 - 엑셀다운로드 파일(붙여넣기)'!D3:D562,0)</f>
        <v>0</v>
      </c>
      <c r="L2071" s="9" cm="1">
        <f t="array" ref="L2071">IF(J2071&gt;=3,_xlfn.XLOOKUP(A2071,'외운 것 - 엑셀다운로드 파일(붙여넣기)'!A3:A562,'외운 것 - 엑셀다운로드 파일(붙여넣기)'!C3:C562,0,-1),0)</f>
        <v>0</v>
      </c>
    </row>
    <row r="2072" ht="38.45" customHeight="1">
      <c r="A2072" s="3">
        <v>2071</v>
      </c>
      <c r="B2072" t="s" s="4">
        <v>13045</v>
      </c>
      <c r="C2072" t="s" s="5">
        <v>13033</v>
      </c>
      <c r="D2072" t="s" s="5">
        <v>12982</v>
      </c>
      <c r="E2072" t="s" s="5">
        <v>13046</v>
      </c>
      <c r="F2072" t="s" s="10">
        <v>13047</v>
      </c>
      <c r="G2072" t="s" s="7">
        <v>13048</v>
      </c>
      <c r="H2072" t="s" s="7">
        <v>13049</v>
      </c>
      <c r="I2072" t="str" s="8" cm="1">
        <f t="array" ref="I2072">SUBSTITUTE(H2072,B2072,"(          )")</f>
        <v>The museum has an (          ) collection of ancient artifacts.</v>
      </c>
      <c r="J2072" s="9" cm="1">
        <f t="array" ref="J2072">SUMIF('외운 것 - 엑셀다운로드 파일(붙여넣기)'!A3:A562,A2072,'외운 것 - 엑셀다운로드 파일(붙여넣기)'!D3:D562)</f>
        <v>0</v>
      </c>
      <c r="K2072" s="9" cm="1">
        <f t="array" ref="K2072">_xlfn.COUNTIFS('외운 것 - 엑셀다운로드 파일(붙여넣기)'!A3:A562,A2072,'외운 것 - 엑셀다운로드 파일(붙여넣기)'!D3:D562,0)</f>
        <v>0</v>
      </c>
      <c r="L2072" s="9" cm="1">
        <f t="array" ref="L2072">IF(J2072&gt;=3,_xlfn.XLOOKUP(A2072,'외운 것 - 엑셀다운로드 파일(붙여넣기)'!A3:A562,'외운 것 - 엑셀다운로드 파일(붙여넣기)'!C3:C562,0,-1),0)</f>
        <v>0</v>
      </c>
    </row>
    <row r="2073" ht="36.4" customHeight="1">
      <c r="A2073" s="3">
        <v>2072</v>
      </c>
      <c r="B2073" t="s" s="4">
        <v>13051</v>
      </c>
      <c r="C2073" t="s" s="5">
        <v>13052</v>
      </c>
      <c r="D2073" t="s" s="5">
        <v>12982</v>
      </c>
      <c r="E2073" t="s" s="5">
        <v>13053</v>
      </c>
      <c r="F2073" t="s" s="10">
        <v>13054</v>
      </c>
      <c r="G2073" t="s" s="7">
        <v>13055</v>
      </c>
      <c r="H2073" t="s" s="7">
        <v>13056</v>
      </c>
      <c r="I2073" t="str" s="8" cm="1">
        <f t="array" ref="I2073">SUBSTITUTE(H2073,B2073,"(          )")</f>
        <v>There is (          ) between the two competing teams.</v>
      </c>
      <c r="J2073" s="9" cm="1">
        <f t="array" ref="J2073">SUMIF('외운 것 - 엑셀다운로드 파일(붙여넣기)'!A3:A562,A2073,'외운 것 - 엑셀다운로드 파일(붙여넣기)'!D3:D562)</f>
        <v>0</v>
      </c>
      <c r="K2073" s="9" cm="1">
        <f t="array" ref="K2073">_xlfn.COUNTIFS('외운 것 - 엑셀다운로드 파일(붙여넣기)'!A3:A562,A2073,'외운 것 - 엑셀다운로드 파일(붙여넣기)'!D3:D562,0)</f>
        <v>0</v>
      </c>
      <c r="L2073" s="9" cm="1">
        <f t="array" ref="L2073">IF(J2073&gt;=3,_xlfn.XLOOKUP(A2073,'외운 것 - 엑셀다운로드 파일(붙여넣기)'!A3:A562,'외운 것 - 엑셀다운로드 파일(붙여넣기)'!C3:C562,0,-1),0)</f>
        <v>0</v>
      </c>
    </row>
    <row r="2074" ht="38.45" customHeight="1">
      <c r="A2074" s="3">
        <v>2073</v>
      </c>
      <c r="B2074" t="s" s="4">
        <v>13058</v>
      </c>
      <c r="C2074" t="s" s="5">
        <v>13052</v>
      </c>
      <c r="D2074" t="s" s="5">
        <v>12982</v>
      </c>
      <c r="E2074" t="s" s="5">
        <v>13059</v>
      </c>
      <c r="F2074" t="s" s="10">
        <v>13060</v>
      </c>
      <c r="G2074" t="s" s="7">
        <v>13060</v>
      </c>
      <c r="H2074" t="s" s="7">
        <v>13061</v>
      </c>
      <c r="I2074" t="str" s="8" cm="1">
        <f t="array" ref="I2074">SUBSTITUTE(H2074,B2074,"(          )")</f>
        <v>The storm will (          ) before reaching land.</v>
      </c>
      <c r="J2074" s="9" cm="1">
        <f t="array" ref="J2074">SUMIF('외운 것 - 엑셀다운로드 파일(붙여넣기)'!A3:A562,A2074,'외운 것 - 엑셀다운로드 파일(붙여넣기)'!D3:D562)</f>
        <v>0</v>
      </c>
      <c r="K2074" s="9" cm="1">
        <f t="array" ref="K2074">_xlfn.COUNTIFS('외운 것 - 엑셀다운로드 파일(붙여넣기)'!A3:A562,A2074,'외운 것 - 엑셀다운로드 파일(붙여넣기)'!D3:D562,0)</f>
        <v>0</v>
      </c>
      <c r="L2074" s="9" cm="1">
        <f t="array" ref="L2074">IF(J2074&gt;=3,_xlfn.XLOOKUP(A2074,'외운 것 - 엑셀다운로드 파일(붙여넣기)'!A3:A562,'외운 것 - 엑셀다운로드 파일(붙여넣기)'!C3:C562,0,-1),0)</f>
        <v>0</v>
      </c>
    </row>
    <row r="2075" ht="50.45" customHeight="1">
      <c r="A2075" s="3">
        <v>2074</v>
      </c>
      <c r="B2075" t="s" s="4">
        <v>13063</v>
      </c>
      <c r="C2075" t="s" s="5">
        <v>13064</v>
      </c>
      <c r="D2075" t="s" s="5">
        <v>12982</v>
      </c>
      <c r="E2075" t="s" s="5">
        <v>13065</v>
      </c>
      <c r="F2075" t="s" s="10">
        <v>13066</v>
      </c>
      <c r="G2075" t="s" s="7">
        <v>13067</v>
      </c>
      <c r="H2075" t="s" s="7">
        <v>13068</v>
      </c>
      <c r="I2075" t="str" s="8" cm="1">
        <f t="array" ref="I2075">SUBSTITUTE(H2075,B2075,"(          )")</f>
        <v>Learning a language requires (          ) study.</v>
      </c>
      <c r="J2075" s="9" cm="1">
        <f t="array" ref="J2075">SUMIF('외운 것 - 엑셀다운로드 파일(붙여넣기)'!A3:A562,A2075,'외운 것 - 엑셀다운로드 파일(붙여넣기)'!D3:D562)</f>
        <v>0</v>
      </c>
      <c r="K2075" s="9" cm="1">
        <f t="array" ref="K2075">_xlfn.COUNTIFS('외운 것 - 엑셀다운로드 파일(붙여넣기)'!A3:A562,A2075,'외운 것 - 엑셀다운로드 파일(붙여넣기)'!D3:D562,0)</f>
        <v>0</v>
      </c>
      <c r="L2075" s="9" cm="1">
        <f t="array" ref="L2075">IF(J2075&gt;=3,_xlfn.XLOOKUP(A2075,'외운 것 - 엑셀다운로드 파일(붙여넣기)'!A3:A562,'외운 것 - 엑셀다운로드 파일(붙여넣기)'!C3:C562,0,-1),0)</f>
        <v>0</v>
      </c>
    </row>
    <row r="2076" ht="38.45" customHeight="1">
      <c r="A2076" s="3">
        <v>2075</v>
      </c>
      <c r="B2076" t="s" s="4">
        <v>13070</v>
      </c>
      <c r="C2076" t="s" s="5">
        <v>13070</v>
      </c>
      <c r="D2076" t="s" s="5">
        <v>13071</v>
      </c>
      <c r="E2076" t="s" s="5">
        <v>13072</v>
      </c>
      <c r="F2076" t="s" s="10">
        <v>13073</v>
      </c>
      <c r="G2076" t="s" s="7">
        <v>13074</v>
      </c>
      <c r="H2076" t="s" s="7">
        <v>13075</v>
      </c>
      <c r="I2076" t="str" s="8" cm="1">
        <f t="array" ref="I2076">SUBSTITUTE(H2076,B2076,"(          )")</f>
        <v>We took a guided (          ) of the historic castle.</v>
      </c>
      <c r="J2076" s="9" cm="1">
        <f t="array" ref="J2076">SUMIF('외운 것 - 엑셀다운로드 파일(붙여넣기)'!A3:A562,A2076,'외운 것 - 엑셀다운로드 파일(붙여넣기)'!D3:D562)</f>
        <v>0</v>
      </c>
      <c r="K2076" s="9" cm="1">
        <f t="array" ref="K2076">_xlfn.COUNTIFS('외운 것 - 엑셀다운로드 파일(붙여넣기)'!A3:A562,A2076,'외운 것 - 엑셀다운로드 파일(붙여넣기)'!D3:D562,0)</f>
        <v>0</v>
      </c>
      <c r="L2076" s="9" cm="1">
        <f t="array" ref="L2076">IF(J2076&gt;=3,_xlfn.XLOOKUP(A2076,'외운 것 - 엑셀다운로드 파일(붙여넣기)'!A3:A562,'외운 것 - 엑셀다운로드 파일(붙여넣기)'!C3:C562,0,-1),0)</f>
        <v>0</v>
      </c>
    </row>
    <row r="2077" ht="23.45" customHeight="1">
      <c r="A2077" s="3">
        <v>2076</v>
      </c>
      <c r="B2077" t="s" s="4">
        <v>13077</v>
      </c>
      <c r="C2077" t="s" s="5">
        <v>13070</v>
      </c>
      <c r="D2077" t="s" s="5">
        <v>13071</v>
      </c>
      <c r="E2077" t="s" s="5">
        <v>13078</v>
      </c>
      <c r="F2077" t="s" s="10">
        <v>13079</v>
      </c>
      <c r="G2077" t="s" s="7">
        <v>13080</v>
      </c>
      <c r="H2077" t="s" s="7">
        <v>13081</v>
      </c>
      <c r="I2077" t="str" s="8" cm="1">
        <f t="array" ref="I2077">SUBSTITUTE(H2077,B2077,"(          )")</f>
        <v>Many (          )s visit Paris to see the Eiffel Tower.</v>
      </c>
      <c r="J2077" s="9" cm="1">
        <f t="array" ref="J2077">SUMIF('외운 것 - 엑셀다운로드 파일(붙여넣기)'!A3:A562,A2077,'외운 것 - 엑셀다운로드 파일(붙여넣기)'!D3:D562)</f>
        <v>0</v>
      </c>
      <c r="K2077" s="9" cm="1">
        <f t="array" ref="K2077">_xlfn.COUNTIFS('외운 것 - 엑셀다운로드 파일(붙여넣기)'!A3:A562,A2077,'외운 것 - 엑셀다운로드 파일(붙여넣기)'!D3:D562,0)</f>
        <v>0</v>
      </c>
      <c r="L2077" s="9" cm="1">
        <f t="array" ref="L2077">IF(J2077&gt;=3,_xlfn.XLOOKUP(A2077,'외운 것 - 엑셀다운로드 파일(붙여넣기)'!A3:A562,'외운 것 - 엑셀다운로드 파일(붙여넣기)'!C3:C562,0,-1),0)</f>
        <v>0</v>
      </c>
    </row>
    <row r="2078" ht="23.45" customHeight="1">
      <c r="A2078" s="3">
        <v>2077</v>
      </c>
      <c r="B2078" t="s" s="4">
        <v>13083</v>
      </c>
      <c r="C2078" t="s" s="5">
        <v>13070</v>
      </c>
      <c r="D2078" t="s" s="5">
        <v>13071</v>
      </c>
      <c r="E2078" t="s" s="5">
        <v>13084</v>
      </c>
      <c r="F2078" t="s" s="10">
        <v>13085</v>
      </c>
      <c r="G2078" t="s" s="7">
        <v>13086</v>
      </c>
      <c r="H2078" t="s" s="7">
        <v>13087</v>
      </c>
      <c r="I2078" t="str" s="8" cm="1">
        <f t="array" ref="I2078">SUBSTITUTE(H2078,B2078,"(          )")</f>
        <v>The construction requires drivers to take a (          ).</v>
      </c>
      <c r="J2078" s="9" cm="1">
        <f t="array" ref="J2078">SUMIF('외운 것 - 엑셀다운로드 파일(붙여넣기)'!A3:A562,A2078,'외운 것 - 엑셀다운로드 파일(붙여넣기)'!D3:D562)</f>
        <v>0</v>
      </c>
      <c r="K2078" s="9" cm="1">
        <f t="array" ref="K2078">_xlfn.COUNTIFS('외운 것 - 엑셀다운로드 파일(붙여넣기)'!A3:A562,A2078,'외운 것 - 엑셀다운로드 파일(붙여넣기)'!D3:D562,0)</f>
        <v>0</v>
      </c>
      <c r="L2078" s="9" cm="1">
        <f t="array" ref="L2078">IF(J2078&gt;=3,_xlfn.XLOOKUP(A2078,'외운 것 - 엑셀다운로드 파일(붙여넣기)'!A3:A562,'외운 것 - 엑셀다운로드 파일(붙여넣기)'!C3:C562,0,-1),0)</f>
        <v>0</v>
      </c>
    </row>
    <row r="2079" ht="38.45" customHeight="1">
      <c r="A2079" s="3">
        <v>2078</v>
      </c>
      <c r="B2079" t="s" s="4">
        <v>13089</v>
      </c>
      <c r="C2079" t="s" s="5">
        <v>13070</v>
      </c>
      <c r="D2079" t="s" s="5">
        <v>13071</v>
      </c>
      <c r="E2079" t="s" s="5">
        <v>13090</v>
      </c>
      <c r="F2079" t="s" s="10">
        <v>13091</v>
      </c>
      <c r="G2079" t="s" s="7">
        <v>13092</v>
      </c>
      <c r="H2079" t="s" s="7">
        <v>13093</v>
      </c>
      <c r="I2079" t="str" s="8" cm="1">
        <f t="array" ref="I2079">SUBSTITUTE(H2079,B2079,"(          )")</f>
        <v>The (          ) of the land changes from flat plains to rolling hills.</v>
      </c>
      <c r="J2079" s="9" cm="1">
        <f t="array" ref="J2079">SUMIF('외운 것 - 엑셀다운로드 파일(붙여넣기)'!A3:A562,A2079,'외운 것 - 엑셀다운로드 파일(붙여넣기)'!D3:D562)</f>
        <v>0</v>
      </c>
      <c r="K2079" s="9" cm="1">
        <f t="array" ref="K2079">_xlfn.COUNTIFS('외운 것 - 엑셀다운로드 파일(붙여넣기)'!A3:A562,A2079,'외운 것 - 엑셀다운로드 파일(붙여넣기)'!D3:D562,0)</f>
        <v>0</v>
      </c>
      <c r="L2079" s="9" cm="1">
        <f t="array" ref="L2079">IF(J2079&gt;=3,_xlfn.XLOOKUP(A2079,'외운 것 - 엑셀다운로드 파일(붙여넣기)'!A3:A562,'외운 것 - 엑셀다운로드 파일(붙여넣기)'!C3:C562,0,-1),0)</f>
        <v>0</v>
      </c>
    </row>
    <row r="2080" ht="38.45" customHeight="1">
      <c r="A2080" s="3">
        <v>2079</v>
      </c>
      <c r="B2080" t="s" s="4">
        <v>13095</v>
      </c>
      <c r="C2080" t="s" s="5">
        <v>13096</v>
      </c>
      <c r="D2080" t="s" s="5">
        <v>13070</v>
      </c>
      <c r="E2080" t="s" s="5">
        <v>13097</v>
      </c>
      <c r="F2080" t="s" s="10">
        <v>13098</v>
      </c>
      <c r="G2080" t="s" s="7">
        <v>13099</v>
      </c>
      <c r="H2080" t="s" s="7">
        <v>13100</v>
      </c>
      <c r="I2080" t="str" s="8" cm="1">
        <f t="array" ref="I2080">SUBSTITUTE(H2080,B2080,"(          )")</f>
        <v>The Olympic (          ) travels around the host country before the games.</v>
      </c>
      <c r="J2080" s="9" cm="1">
        <f t="array" ref="J2080">SUMIF('외운 것 - 엑셀다운로드 파일(붙여넣기)'!A3:A562,A2080,'외운 것 - 엑셀다운로드 파일(붙여넣기)'!D3:D562)</f>
        <v>0</v>
      </c>
      <c r="K2080" s="9" cm="1">
        <f t="array" ref="K2080">_xlfn.COUNTIFS('외운 것 - 엑셀다운로드 파일(붙여넣기)'!A3:A562,A2080,'외운 것 - 엑셀다운로드 파일(붙여넣기)'!D3:D562,0)</f>
        <v>0</v>
      </c>
      <c r="L2080" s="9" cm="1">
        <f t="array" ref="L2080">IF(J2080&gt;=3,_xlfn.XLOOKUP(A2080,'외운 것 - 엑셀다운로드 파일(붙여넣기)'!A3:A562,'외운 것 - 엑셀다운로드 파일(붙여넣기)'!C3:C562,0,-1),0)</f>
        <v>0</v>
      </c>
    </row>
    <row r="2081" ht="23.45" customHeight="1">
      <c r="A2081" s="3">
        <v>2080</v>
      </c>
      <c r="B2081" t="s" s="4">
        <v>13102</v>
      </c>
      <c r="C2081" t="s" s="5">
        <v>13096</v>
      </c>
      <c r="D2081" t="s" s="5">
        <v>13070</v>
      </c>
      <c r="E2081" t="s" s="5">
        <v>13103</v>
      </c>
      <c r="F2081" t="s" s="10">
        <v>13104</v>
      </c>
      <c r="G2081" t="s" s="7">
        <v>13105</v>
      </c>
      <c r="H2081" t="s" s="7">
        <v>13106</v>
      </c>
      <c r="I2081" t="str" s="8" cm="1">
        <f t="array" ref="I2081">SUBSTITUTE(H2081,B2081,"(          )")</f>
        <v>The prisoner was subjected to (          ) during interrogation.</v>
      </c>
      <c r="J2081" s="9" cm="1">
        <f t="array" ref="J2081">SUMIF('외운 것 - 엑셀다운로드 파일(붙여넣기)'!A3:A562,A2081,'외운 것 - 엑셀다운로드 파일(붙여넣기)'!D3:D562)</f>
        <v>0</v>
      </c>
      <c r="K2081" s="9" cm="1">
        <f t="array" ref="K2081">_xlfn.COUNTIFS('외운 것 - 엑셀다운로드 파일(붙여넣기)'!A3:A562,A2081,'외운 것 - 엑셀다운로드 파일(붙여넣기)'!D3:D562,0)</f>
        <v>0</v>
      </c>
      <c r="L2081" s="9" cm="1">
        <f t="array" ref="L2081">IF(J2081&gt;=3,_xlfn.XLOOKUP(A2081,'외운 것 - 엑셀다운로드 파일(붙여넣기)'!A3:A562,'외운 것 - 엑셀다운로드 파일(붙여넣기)'!C3:C562,0,-1),0)</f>
        <v>0</v>
      </c>
    </row>
    <row r="2082" ht="36.4" customHeight="1">
      <c r="A2082" s="3">
        <v>2081</v>
      </c>
      <c r="B2082" t="s" s="4">
        <v>13108</v>
      </c>
      <c r="C2082" t="s" s="5">
        <v>13109</v>
      </c>
      <c r="D2082" t="s" s="5">
        <v>13070</v>
      </c>
      <c r="E2082" t="s" s="5">
        <v>13110</v>
      </c>
      <c r="F2082" t="s" s="10">
        <v>13111</v>
      </c>
      <c r="G2082" t="s" s="7">
        <v>13112</v>
      </c>
      <c r="H2082" t="s" s="7">
        <v>13113</v>
      </c>
      <c r="I2082" t="str" s="8" cm="1">
        <f t="array" ref="I2082">SUBSTITUTE(H2082,B2082,"(          )")</f>
        <v>The mirror can (          ) your reflection.</v>
      </c>
      <c r="J2082" s="9" cm="1">
        <f t="array" ref="J2082">SUMIF('외운 것 - 엑셀다운로드 파일(붙여넣기)'!A3:A562,A2082,'외운 것 - 엑셀다운로드 파일(붙여넣기)'!D3:D562)</f>
        <v>0</v>
      </c>
      <c r="K2082" s="9" cm="1">
        <f t="array" ref="K2082">_xlfn.COUNTIFS('외운 것 - 엑셀다운로드 파일(붙여넣기)'!A3:A562,A2082,'외운 것 - 엑셀다운로드 파일(붙여넣기)'!D3:D562,0)</f>
        <v>0</v>
      </c>
      <c r="L2082" s="9" cm="1">
        <f t="array" ref="L2082">IF(J2082&gt;=3,_xlfn.XLOOKUP(A2082,'외운 것 - 엑셀다운로드 파일(붙여넣기)'!A3:A562,'외운 것 - 엑셀다운로드 파일(붙여넣기)'!C3:C562,0,-1),0)</f>
        <v>0</v>
      </c>
    </row>
    <row r="2083" ht="50.45" customHeight="1">
      <c r="A2083" s="3">
        <v>2082</v>
      </c>
      <c r="B2083" t="s" s="4">
        <v>13115</v>
      </c>
      <c r="C2083" t="s" s="5">
        <v>13116</v>
      </c>
      <c r="D2083" t="s" s="5">
        <v>13070</v>
      </c>
      <c r="E2083" t="s" s="5">
        <v>13117</v>
      </c>
      <c r="F2083" t="s" s="10">
        <v>13118</v>
      </c>
      <c r="G2083" t="s" s="7">
        <v>13119</v>
      </c>
      <c r="H2083" t="s" s="7">
        <v>13120</v>
      </c>
      <c r="I2083" t="str" s="8" cm="1">
        <f t="array" ref="I2083">SUBSTITUTE(H2083,B2083,"(          )")</f>
        <v>The old radio produces sound (          ).</v>
      </c>
      <c r="J2083" s="9" cm="1">
        <f t="array" ref="J2083">SUMIF('외운 것 - 엑셀다운로드 파일(붙여넣기)'!A3:A562,A2083,'외운 것 - 엑셀다운로드 파일(붙여넣기)'!D3:D562)</f>
        <v>0</v>
      </c>
      <c r="K2083" s="9" cm="1">
        <f t="array" ref="K2083">_xlfn.COUNTIFS('외운 것 - 엑셀다운로드 파일(붙여넣기)'!A3:A562,A2083,'외운 것 - 엑셀다운로드 파일(붙여넣기)'!D3:D562,0)</f>
        <v>0</v>
      </c>
      <c r="L2083" s="9" cm="1">
        <f t="array" ref="L2083">IF(J2083&gt;=3,_xlfn.XLOOKUP(A2083,'외운 것 - 엑셀다운로드 파일(붙여넣기)'!A3:A562,'외운 것 - 엑셀다운로드 파일(붙여넣기)'!C3:C562,0,-1),0)</f>
        <v>0</v>
      </c>
    </row>
    <row r="2084" ht="23.45" customHeight="1">
      <c r="A2084" s="3">
        <v>2083</v>
      </c>
      <c r="B2084" t="s" s="4">
        <v>13122</v>
      </c>
      <c r="C2084" t="s" s="5">
        <v>13123</v>
      </c>
      <c r="D2084" t="s" s="5">
        <v>13124</v>
      </c>
      <c r="E2084" t="s" s="5">
        <v>13125</v>
      </c>
      <c r="F2084" t="s" s="10">
        <v>13126</v>
      </c>
      <c r="G2084" t="s" s="7">
        <v>13127</v>
      </c>
      <c r="H2084" t="s" s="7">
        <v>13128</v>
      </c>
      <c r="I2084" t="str" s="8" cm="1">
        <f t="array" ref="I2084">SUBSTITUTE(H2084,B2084,"(          )")</f>
        <v>The (          ) arrives at the station at 9:00 AM.</v>
      </c>
      <c r="J2084" s="9" cm="1">
        <f t="array" ref="J2084">SUMIF('외운 것 - 엑셀다운로드 파일(붙여넣기)'!A3:A562,A2084,'외운 것 - 엑셀다운로드 파일(붙여넣기)'!D3:D562)</f>
        <v>0</v>
      </c>
      <c r="K2084" s="9" cm="1">
        <f t="array" ref="K2084">_xlfn.COUNTIFS('외운 것 - 엑셀다운로드 파일(붙여넣기)'!A3:A562,A2084,'외운 것 - 엑셀다운로드 파일(붙여넣기)'!D3:D562,0)</f>
        <v>0</v>
      </c>
      <c r="L2084" s="9" cm="1">
        <f t="array" ref="L2084">IF(J2084&gt;=3,_xlfn.XLOOKUP(A2084,'외운 것 - 엑셀다운로드 파일(붙여넣기)'!A3:A562,'외운 것 - 엑셀다운로드 파일(붙여넣기)'!C3:C562,0,-1),0)</f>
        <v>0</v>
      </c>
    </row>
    <row r="2085" ht="38.45" customHeight="1">
      <c r="A2085" s="3">
        <v>2084</v>
      </c>
      <c r="B2085" t="s" s="4">
        <v>13130</v>
      </c>
      <c r="C2085" t="s" s="5">
        <v>13123</v>
      </c>
      <c r="D2085" t="s" s="5">
        <v>13124</v>
      </c>
      <c r="E2085" t="s" s="5">
        <v>13131</v>
      </c>
      <c r="F2085" t="s" s="10">
        <v>13132</v>
      </c>
      <c r="G2085" t="s" s="7">
        <v>13133</v>
      </c>
      <c r="H2085" t="s" s="7">
        <v>13134</v>
      </c>
      <c r="I2085" t="str" s="8" cm="1">
        <f t="array" ref="I2085">SUBSTITUTE(H2085,B2085,"(          )")</f>
        <v>The (          ) provides convenient transportation in the city center.</v>
      </c>
      <c r="J2085" s="9" cm="1">
        <f t="array" ref="J2085">SUMIF('외운 것 - 엑셀다운로드 파일(붙여넣기)'!A3:A562,A2085,'외운 것 - 엑셀다운로드 파일(붙여넣기)'!D3:D562)</f>
        <v>0</v>
      </c>
      <c r="K2085" s="9" cm="1">
        <f t="array" ref="K2085">_xlfn.COUNTIFS('외운 것 - 엑셀다운로드 파일(붙여넣기)'!A3:A562,A2085,'외운 것 - 엑셀다운로드 파일(붙여넣기)'!D3:D562,0)</f>
        <v>0</v>
      </c>
      <c r="L2085" s="9" cm="1">
        <f t="array" ref="L2085">IF(J2085&gt;=3,_xlfn.XLOOKUP(A2085,'외운 것 - 엑셀다운로드 파일(붙여넣기)'!A3:A562,'외운 것 - 엑셀다운로드 파일(붙여넣기)'!C3:C562,0,-1),0)</f>
        <v>0</v>
      </c>
    </row>
    <row r="2086" ht="23.45" customHeight="1">
      <c r="A2086" s="3">
        <v>2085</v>
      </c>
      <c r="B2086" t="s" s="4">
        <v>13136</v>
      </c>
      <c r="C2086" t="s" s="5">
        <v>13123</v>
      </c>
      <c r="D2086" t="s" s="5">
        <v>13124</v>
      </c>
      <c r="E2086" t="s" s="5">
        <v>13137</v>
      </c>
      <c r="F2086" t="s" s="10">
        <v>13138</v>
      </c>
      <c r="G2086" t="s" s="7">
        <v>13139</v>
      </c>
      <c r="H2086" t="s" s="7">
        <v>13140</v>
      </c>
      <c r="I2086" t="str" s="8" cm="1">
        <f t="array" ref="I2086">SUBSTITUTE(H2086,B2086,"(          )")</f>
        <v>Athletes compete on the running (          ).</v>
      </c>
      <c r="J2086" s="9" cm="1">
        <f t="array" ref="J2086">SUMIF('외운 것 - 엑셀다운로드 파일(붙여넣기)'!A3:A562,A2086,'외운 것 - 엑셀다운로드 파일(붙여넣기)'!D3:D562)</f>
        <v>0</v>
      </c>
      <c r="K2086" s="9" cm="1">
        <f t="array" ref="K2086">_xlfn.COUNTIFS('외운 것 - 엑셀다운로드 파일(붙여넣기)'!A3:A562,A2086,'외운 것 - 엑셀다운로드 파일(붙여넣기)'!D3:D562,0)</f>
        <v>0</v>
      </c>
      <c r="L2086" s="9" cm="1">
        <f t="array" ref="L2086">IF(J2086&gt;=3,_xlfn.XLOOKUP(A2086,'외운 것 - 엑셀다운로드 파일(붙여넣기)'!A3:A562,'외운 것 - 엑셀다운로드 파일(붙여넣기)'!C3:C562,0,-1),0)</f>
        <v>0</v>
      </c>
    </row>
    <row r="2087" ht="23.45" customHeight="1">
      <c r="A2087" s="3">
        <v>2086</v>
      </c>
      <c r="B2087" t="s" s="4">
        <v>13142</v>
      </c>
      <c r="C2087" t="s" s="5">
        <v>13123</v>
      </c>
      <c r="D2087" t="s" s="5">
        <v>13124</v>
      </c>
      <c r="E2087" t="s" s="5">
        <v>13143</v>
      </c>
      <c r="F2087" t="s" s="10">
        <v>13144</v>
      </c>
      <c r="G2087" t="s" s="7">
        <v>13145</v>
      </c>
      <c r="H2087" t="s" s="7">
        <v>13146</v>
      </c>
      <c r="I2087" t="str" s="8" cm="1">
        <f t="array" ref="I2087">SUBSTITUTE(H2087,B2087,"(          )")</f>
        <v>Hikers follow the (          ) through the forest.</v>
      </c>
      <c r="J2087" s="9" cm="1">
        <f t="array" ref="J2087">SUMIF('외운 것 - 엑셀다운로드 파일(붙여넣기)'!A3:A562,A2087,'외운 것 - 엑셀다운로드 파일(붙여넣기)'!D3:D562)</f>
        <v>0</v>
      </c>
      <c r="K2087" s="9" cm="1">
        <f t="array" ref="K2087">_xlfn.COUNTIFS('외운 것 - 엑셀다운로드 파일(붙여넣기)'!A3:A562,A2087,'외운 것 - 엑셀다운로드 파일(붙여넣기)'!D3:D562,0)</f>
        <v>0</v>
      </c>
      <c r="L2087" s="9" cm="1">
        <f t="array" ref="L2087">IF(J2087&gt;=3,_xlfn.XLOOKUP(A2087,'외운 것 - 엑셀다운로드 파일(붙여넣기)'!A3:A562,'외운 것 - 엑셀다운로드 파일(붙여넣기)'!C3:C562,0,-1),0)</f>
        <v>0</v>
      </c>
    </row>
    <row r="2088" ht="38.45" customHeight="1">
      <c r="A2088" s="3">
        <v>2087</v>
      </c>
      <c r="B2088" t="s" s="4">
        <v>13148</v>
      </c>
      <c r="C2088" t="s" s="5">
        <v>13149</v>
      </c>
      <c r="D2088" t="s" s="5">
        <v>13123</v>
      </c>
      <c r="E2088" t="s" s="5">
        <v>13150</v>
      </c>
      <c r="F2088" t="s" s="10">
        <v>13151</v>
      </c>
      <c r="G2088" t="s" s="7">
        <v>13152</v>
      </c>
      <c r="H2088" t="s" s="7">
        <v>13153</v>
      </c>
      <c r="I2088" t="str" s="8" cm="1">
        <f t="array" ref="I2088">SUBSTITUTE(H2088,B2088,"(          )")</f>
        <v>The movie (          ) made me want to see the film.</v>
      </c>
      <c r="J2088" s="9" cm="1">
        <f t="array" ref="J2088">SUMIF('외운 것 - 엑셀다운로드 파일(붙여넣기)'!A3:A562,A2088,'외운 것 - 엑셀다운로드 파일(붙여넣기)'!D3:D562)</f>
        <v>0</v>
      </c>
      <c r="K2088" s="9" cm="1">
        <f t="array" ref="K2088">_xlfn.COUNTIFS('외운 것 - 엑셀다운로드 파일(붙여넣기)'!A3:A562,A2088,'외운 것 - 엑셀다운로드 파일(붙여넣기)'!D3:D562,0)</f>
        <v>0</v>
      </c>
      <c r="L2088" s="9" cm="1">
        <f t="array" ref="L2088">IF(J2088&gt;=3,_xlfn.XLOOKUP(A2088,'외운 것 - 엑셀다운로드 파일(붙여넣기)'!A3:A562,'외운 것 - 엑셀다운로드 파일(붙여넣기)'!C3:C562,0,-1),0)</f>
        <v>0</v>
      </c>
    </row>
    <row r="2089" ht="38.45" customHeight="1">
      <c r="A2089" s="3">
        <v>2088</v>
      </c>
      <c r="B2089" t="s" s="4">
        <v>13155</v>
      </c>
      <c r="C2089" t="s" s="5">
        <v>13123</v>
      </c>
      <c r="D2089" t="s" s="5">
        <v>13124</v>
      </c>
      <c r="E2089" t="s" s="5">
        <v>13156</v>
      </c>
      <c r="F2089" t="s" s="10">
        <v>13157</v>
      </c>
      <c r="G2089" t="s" s="7">
        <v>13158</v>
      </c>
      <c r="H2089" t="s" s="7">
        <v>13159</v>
      </c>
      <c r="I2089" t="str" s="8" cm="1">
        <f t="array" ref="I2089">SUBSTITUTE(H2089,B2089,"(          )")</f>
        <v>We (          ) to new countries whenever possible.</v>
      </c>
      <c r="J2089" s="9" cm="1">
        <f t="array" ref="J2089">SUMIF('외운 것 - 엑셀다운로드 파일(붙여넣기)'!A3:A562,A2089,'외운 것 - 엑셀다운로드 파일(붙여넣기)'!D3:D562)</f>
        <v>0</v>
      </c>
      <c r="K2089" s="9" cm="1">
        <f t="array" ref="K2089">_xlfn.COUNTIFS('외운 것 - 엑셀다운로드 파일(붙여넣기)'!A3:A562,A2089,'외운 것 - 엑셀다운로드 파일(붙여넣기)'!D3:D562,0)</f>
        <v>0</v>
      </c>
      <c r="L2089" s="9" cm="1">
        <f t="array" ref="L2089">IF(J2089&gt;=3,_xlfn.XLOOKUP(A2089,'외운 것 - 엑셀다운로드 파일(붙여넣기)'!A3:A562,'외운 것 - 엑셀다운로드 파일(붙여넣기)'!C3:C562,0,-1),0)</f>
        <v>0</v>
      </c>
    </row>
    <row r="2090" ht="23.45" customHeight="1">
      <c r="A2090" s="3">
        <v>2089</v>
      </c>
      <c r="B2090" t="s" s="4">
        <v>5282</v>
      </c>
      <c r="C2090" t="s" s="5">
        <v>13123</v>
      </c>
      <c r="D2090" t="s" s="5">
        <v>13124</v>
      </c>
      <c r="E2090" t="s" s="5">
        <v>5283</v>
      </c>
      <c r="F2090" t="s" s="10">
        <v>13161</v>
      </c>
      <c r="G2090" t="s" s="7">
        <v>13162</v>
      </c>
      <c r="H2090" t="s" s="7">
        <v>5286</v>
      </c>
      <c r="I2090" t="str" s="8" cm="1">
        <f t="array" ref="I2090">SUBSTITUTE(H2090,B2090,"(          )")</f>
        <v>Morning (          ) is always heavy in the city center.</v>
      </c>
      <c r="J2090" s="9" cm="1">
        <f t="array" ref="J2090">SUMIF('외운 것 - 엑셀다운로드 파일(붙여넣기)'!A3:A562,A2090,'외운 것 - 엑셀다운로드 파일(붙여넣기)'!D3:D562)</f>
        <v>0</v>
      </c>
      <c r="K2090" s="9" cm="1">
        <f t="array" ref="K2090">_xlfn.COUNTIFS('외운 것 - 엑셀다운로드 파일(붙여넣기)'!A3:A562,A2090,'외운 것 - 엑셀다운로드 파일(붙여넣기)'!D3:D562,0)</f>
        <v>0</v>
      </c>
      <c r="L2090" s="9" cm="1">
        <f t="array" ref="L2090">IF(J2090&gt;=3,_xlfn.XLOOKUP(A2090,'외운 것 - 엑셀다운로드 파일(붙여넣기)'!A3:A562,'외운 것 - 엑셀다운로드 파일(붙여넣기)'!C3:C562,0,-1),0)</f>
        <v>0</v>
      </c>
    </row>
    <row r="2091" ht="38.45" customHeight="1">
      <c r="A2091" s="3">
        <v>2090</v>
      </c>
      <c r="B2091" t="s" s="4">
        <v>13163</v>
      </c>
      <c r="C2091" t="s" s="5">
        <v>13123</v>
      </c>
      <c r="D2091" t="s" s="5">
        <v>13124</v>
      </c>
      <c r="E2091" t="s" s="5">
        <v>13164</v>
      </c>
      <c r="F2091" t="s" s="10">
        <v>13165</v>
      </c>
      <c r="G2091" t="s" s="7">
        <v>13166</v>
      </c>
      <c r="H2091" t="s" s="7">
        <v>13167</v>
      </c>
      <c r="I2091" t="str" s="8" cm="1">
        <f t="array" ref="I2091">SUBSTITUTE(H2091,B2091,"(          )")</f>
        <v>The family maintains the (          ) of Sunday dinner together.</v>
      </c>
      <c r="J2091" s="9" cm="1">
        <f t="array" ref="J2091">SUMIF('외운 것 - 엑셀다운로드 파일(붙여넣기)'!A3:A562,A2091,'외운 것 - 엑셀다운로드 파일(붙여넣기)'!D3:D562)</f>
        <v>0</v>
      </c>
      <c r="K2091" s="9" cm="1">
        <f t="array" ref="K2091">_xlfn.COUNTIFS('외운 것 - 엑셀다운로드 파일(붙여넣기)'!A3:A562,A2091,'외운 것 - 엑셀다운로드 파일(붙여넣기)'!D3:D562,0)</f>
        <v>0</v>
      </c>
      <c r="L2091" s="9" cm="1">
        <f t="array" ref="L2091">IF(J2091&gt;=3,_xlfn.XLOOKUP(A2091,'외운 것 - 엑셀다운로드 파일(붙여넣기)'!A3:A562,'외운 것 - 엑셀다운로드 파일(붙여넣기)'!C3:C562,0,-1),0)</f>
        <v>0</v>
      </c>
    </row>
    <row r="2092" ht="23.45" customHeight="1">
      <c r="A2092" s="3">
        <v>2091</v>
      </c>
      <c r="B2092" t="s" s="4">
        <v>13169</v>
      </c>
      <c r="C2092" t="s" s="5">
        <v>13123</v>
      </c>
      <c r="D2092" t="s" s="5">
        <v>13124</v>
      </c>
      <c r="E2092" t="s" s="5">
        <v>13170</v>
      </c>
      <c r="F2092" t="s" s="10">
        <v>13171</v>
      </c>
      <c r="G2092" t="s" s="7">
        <v>13172</v>
      </c>
      <c r="H2092" t="s" s="7">
        <v>13173</v>
      </c>
      <c r="I2092" t="str" s="8" cm="1">
        <f t="array" ref="I2092">SUBSTITUTE(H2092,B2092,"(          )")</f>
        <v>The waiter carried drinks on a (          ).</v>
      </c>
      <c r="J2092" s="9" cm="1">
        <f t="array" ref="J2092">SUMIF('외운 것 - 엑셀다운로드 파일(붙여넣기)'!A3:A562,A2092,'외운 것 - 엑셀다운로드 파일(붙여넣기)'!D3:D562)</f>
        <v>0</v>
      </c>
      <c r="K2092" s="9" cm="1">
        <f t="array" ref="K2092">_xlfn.COUNTIFS('외운 것 - 엑셀다운로드 파일(붙여넣기)'!A3:A562,A2092,'외운 것 - 엑셀다운로드 파일(붙여넣기)'!D3:D562,0)</f>
        <v>0</v>
      </c>
      <c r="L2092" s="9" cm="1">
        <f t="array" ref="L2092">IF(J2092&gt;=3,_xlfn.XLOOKUP(A2092,'외운 것 - 엑셀다운로드 파일(붙여넣기)'!A3:A562,'외운 것 - 엑셀다운로드 파일(붙여넣기)'!C3:C562,0,-1),0)</f>
        <v>0</v>
      </c>
    </row>
    <row r="2093" ht="38.45" customHeight="1">
      <c r="A2093" s="3">
        <v>2092</v>
      </c>
      <c r="B2093" t="s" s="4">
        <v>13175</v>
      </c>
      <c r="C2093" t="s" s="5">
        <v>13176</v>
      </c>
      <c r="D2093" t="s" s="5">
        <v>13123</v>
      </c>
      <c r="E2093" t="s" s="5">
        <v>13177</v>
      </c>
      <c r="F2093" t="s" s="10">
        <v>13178</v>
      </c>
      <c r="G2093" t="s" s="7">
        <v>13179</v>
      </c>
      <c r="H2093" t="s" s="7">
        <v>13180</v>
      </c>
      <c r="I2093" t="str" s="8" cm="1">
        <f t="array" ref="I2093">SUBSTITUTE(H2093,B2093,"(          )")</f>
        <v>He would never (          ) a friend's confidence.</v>
      </c>
      <c r="J2093" s="9" cm="1">
        <f t="array" ref="J2093">SUMIF('외운 것 - 엑셀다운로드 파일(붙여넣기)'!A3:A562,A2093,'외운 것 - 엑셀다운로드 파일(붙여넣기)'!D3:D562)</f>
        <v>0</v>
      </c>
      <c r="K2093" s="9" cm="1">
        <f t="array" ref="K2093">_xlfn.COUNTIFS('외운 것 - 엑셀다운로드 파일(붙여넣기)'!A3:A562,A2093,'외운 것 - 엑셀다운로드 파일(붙여넣기)'!D3:D562,0)</f>
        <v>0</v>
      </c>
      <c r="L2093" s="9" cm="1">
        <f t="array" ref="L2093">IF(J2093&gt;=3,_xlfn.XLOOKUP(A2093,'외운 것 - 엑셀다운로드 파일(붙여넣기)'!A3:A562,'외운 것 - 엑셀다운로드 파일(붙여넣기)'!C3:C562,0,-1),0)</f>
        <v>0</v>
      </c>
    </row>
    <row r="2094" ht="23.45" customHeight="1">
      <c r="A2094" s="3">
        <v>2093</v>
      </c>
      <c r="B2094" t="s" s="4">
        <v>13136</v>
      </c>
      <c r="C2094" t="s" s="5">
        <v>13182</v>
      </c>
      <c r="D2094" t="s" s="5">
        <v>13183</v>
      </c>
      <c r="E2094" t="s" s="5">
        <v>13137</v>
      </c>
      <c r="F2094" t="s" s="10">
        <v>13184</v>
      </c>
      <c r="G2094" t="s" s="7">
        <v>13185</v>
      </c>
      <c r="H2094" t="s" s="7">
        <v>13140</v>
      </c>
      <c r="I2094" t="str" s="8" cm="1">
        <f t="array" ref="I2094">SUBSTITUTE(H2094,B2094,"(          )")</f>
        <v>Athletes compete on the running (          ).</v>
      </c>
      <c r="J2094" s="9" cm="1">
        <f t="array" ref="J2094">SUMIF('외운 것 - 엑셀다운로드 파일(붙여넣기)'!A3:A562,A2094,'외운 것 - 엑셀다운로드 파일(붙여넣기)'!D3:D562)</f>
        <v>0</v>
      </c>
      <c r="K2094" s="9" cm="1">
        <f t="array" ref="K2094">_xlfn.COUNTIFS('외운 것 - 엑셀다운로드 파일(붙여넣기)'!A3:A562,A2094,'외운 것 - 엑셀다운로드 파일(붙여넣기)'!D3:D562,0)</f>
        <v>0</v>
      </c>
      <c r="L2094" s="9" cm="1">
        <f t="array" ref="L2094">IF(J2094&gt;=3,_xlfn.XLOOKUP(A2094,'외운 것 - 엑셀다운로드 파일(붙여넣기)'!A3:A562,'외운 것 - 엑셀다운로드 파일(붙여넣기)'!C3:C562,0,-1),0)</f>
        <v>0</v>
      </c>
    </row>
    <row r="2095" ht="23.45" customHeight="1">
      <c r="A2095" s="3">
        <v>2094</v>
      </c>
      <c r="B2095" t="s" s="4">
        <v>13186</v>
      </c>
      <c r="C2095" t="s" s="5">
        <v>13182</v>
      </c>
      <c r="D2095" t="s" s="5">
        <v>13183</v>
      </c>
      <c r="E2095" t="s" s="5">
        <v>13187</v>
      </c>
      <c r="F2095" t="s" s="10">
        <v>13188</v>
      </c>
      <c r="G2095" t="s" s="7">
        <v>13189</v>
      </c>
      <c r="H2095" t="s" s="7">
        <v>13190</v>
      </c>
      <c r="I2095" t="str" s="8" cm="1">
        <f t="array" ref="I2095">SUBSTITUTE(H2095,B2095,"(          )")</f>
        <v>The detective found no (          ) of the missing jewels.</v>
      </c>
      <c r="J2095" s="9" cm="1">
        <f t="array" ref="J2095">SUMIF('외운 것 - 엑셀다운로드 파일(붙여넣기)'!A3:A562,A2095,'외운 것 - 엑셀다운로드 파일(붙여넣기)'!D3:D562)</f>
        <v>0</v>
      </c>
      <c r="K2095" s="9" cm="1">
        <f t="array" ref="K2095">_xlfn.COUNTIFS('외운 것 - 엑셀다운로드 파일(붙여넣기)'!A3:A562,A2095,'외운 것 - 엑셀다운로드 파일(붙여넣기)'!D3:D562,0)</f>
        <v>0</v>
      </c>
      <c r="L2095" s="9" cm="1">
        <f t="array" ref="L2095">IF(J2095&gt;=3,_xlfn.XLOOKUP(A2095,'외운 것 - 엑셀다운로드 파일(붙여넣기)'!A3:A562,'외운 것 - 엑셀다운로드 파일(붙여넣기)'!C3:C562,0,-1),0)</f>
        <v>0</v>
      </c>
    </row>
    <row r="2096" ht="23.45" customHeight="1">
      <c r="A2096" s="3">
        <v>2095</v>
      </c>
      <c r="B2096" t="s" s="4">
        <v>13192</v>
      </c>
      <c r="C2096" t="s" s="5">
        <v>13193</v>
      </c>
      <c r="D2096" t="s" s="5">
        <v>13182</v>
      </c>
      <c r="E2096" t="s" s="5">
        <v>13194</v>
      </c>
      <c r="F2096" t="s" s="10">
        <v>13195</v>
      </c>
      <c r="G2096" t="s" s="7">
        <v>13196</v>
      </c>
      <c r="H2096" t="s" s="7">
        <v>13197</v>
      </c>
      <c r="I2096" t="str" s="8" cm="1">
        <f t="array" ref="I2096">SUBSTITUTE(H2096,B2096,"(          )")</f>
        <v>The farmer uses a (          ) to plow the fields.</v>
      </c>
      <c r="J2096" s="9" cm="1">
        <f t="array" ref="J2096">SUMIF('외운 것 - 엑셀다운로드 파일(붙여넣기)'!A3:A562,A2096,'외운 것 - 엑셀다운로드 파일(붙여넣기)'!D3:D562)</f>
        <v>0</v>
      </c>
      <c r="K2096" s="9" cm="1">
        <f t="array" ref="K2096">_xlfn.COUNTIFS('외운 것 - 엑셀다운로드 파일(붙여넣기)'!A3:A562,A2096,'외운 것 - 엑셀다운로드 파일(붙여넣기)'!D3:D562,0)</f>
        <v>0</v>
      </c>
      <c r="L2096" s="9" cm="1">
        <f t="array" ref="L2096">IF(J2096&gt;=3,_xlfn.XLOOKUP(A2096,'외운 것 - 엑셀다운로드 파일(붙여넣기)'!A3:A562,'외운 것 - 엑셀다운로드 파일(붙여넣기)'!C3:C562,0,-1),0)</f>
        <v>0</v>
      </c>
    </row>
    <row r="2097" ht="38.45" customHeight="1">
      <c r="A2097" s="3">
        <v>2096</v>
      </c>
      <c r="B2097" t="s" s="4">
        <v>13199</v>
      </c>
      <c r="C2097" t="s" s="5">
        <v>13193</v>
      </c>
      <c r="D2097" t="s" s="5">
        <v>13182</v>
      </c>
      <c r="E2097" t="s" s="5">
        <v>13200</v>
      </c>
      <c r="F2097" t="s" s="10">
        <v>13201</v>
      </c>
      <c r="G2097" t="s" s="7">
        <v>13202</v>
      </c>
      <c r="H2097" t="s" s="7">
        <v>13203</v>
      </c>
      <c r="I2097" t="str" s="8" cm="1">
        <f t="array" ref="I2097">SUBSTITUTE(H2097,B2097,"(          )")</f>
        <v>Flowers (          ) bees with bright colors and sweet nectar.</v>
      </c>
      <c r="J2097" s="9" cm="1">
        <f t="array" ref="J2097">SUMIF('외운 것 - 엑셀다운로드 파일(붙여넣기)'!A3:A562,A2097,'외운 것 - 엑셀다운로드 파일(붙여넣기)'!D3:D562)</f>
        <v>0</v>
      </c>
      <c r="K2097" s="9" cm="1">
        <f t="array" ref="K2097">_xlfn.COUNTIFS('외운 것 - 엑셀다운로드 파일(붙여넣기)'!A3:A562,A2097,'외운 것 - 엑셀다운로드 파일(붙여넣기)'!D3:D562,0)</f>
        <v>0</v>
      </c>
      <c r="L2097" s="9" cm="1">
        <f t="array" ref="L2097">IF(J2097&gt;=3,_xlfn.XLOOKUP(A2097,'외운 것 - 엑셀다운로드 파일(붙여넣기)'!A3:A562,'외운 것 - 엑셀다운로드 파일(붙여넣기)'!C3:C562,0,-1),0)</f>
        <v>0</v>
      </c>
    </row>
    <row r="2098" ht="23.45" customHeight="1">
      <c r="A2098" s="3">
        <v>2097</v>
      </c>
      <c r="B2098" t="s" s="4">
        <v>13205</v>
      </c>
      <c r="C2098" t="s" s="5">
        <v>13193</v>
      </c>
      <c r="D2098" t="s" s="5">
        <v>13182</v>
      </c>
      <c r="E2098" t="s" s="5">
        <v>13206</v>
      </c>
      <c r="F2098" t="s" s="10">
        <v>13207</v>
      </c>
      <c r="G2098" t="s" s="7">
        <v>13208</v>
      </c>
      <c r="H2098" t="s" s="7">
        <v>13209</v>
      </c>
      <c r="I2098" t="str" s="8" cm="1">
        <f t="array" ref="I2098">SUBSTITUTE(H2098,B2098,"(          )")</f>
        <v>Vanilla (          ) adds flavor to baked goods.</v>
      </c>
      <c r="J2098" s="9" cm="1">
        <f t="array" ref="J2098">SUMIF('외운 것 - 엑셀다운로드 파일(붙여넣기)'!A3:A562,A2098,'외운 것 - 엑셀다운로드 파일(붙여넣기)'!D3:D562)</f>
        <v>0</v>
      </c>
      <c r="K2098" s="9" cm="1">
        <f t="array" ref="K2098">_xlfn.COUNTIFS('외운 것 - 엑셀다운로드 파일(붙여넣기)'!A3:A562,A2098,'외운 것 - 엑셀다운로드 파일(붙여넣기)'!D3:D562,0)</f>
        <v>0</v>
      </c>
      <c r="L2098" s="9" cm="1">
        <f t="array" ref="L2098">IF(J2098&gt;=3,_xlfn.XLOOKUP(A2098,'외운 것 - 엑셀다운로드 파일(붙여넣기)'!A3:A562,'외운 것 - 엑셀다운로드 파일(붙여넣기)'!C3:C562,0,-1),0)</f>
        <v>0</v>
      </c>
    </row>
    <row r="2099" ht="23.45" customHeight="1">
      <c r="A2099" s="3">
        <v>2098</v>
      </c>
      <c r="B2099" t="s" s="4">
        <v>13211</v>
      </c>
      <c r="C2099" t="s" s="5">
        <v>13193</v>
      </c>
      <c r="D2099" t="s" s="5">
        <v>13182</v>
      </c>
      <c r="E2099" t="s" s="5">
        <v>13212</v>
      </c>
      <c r="F2099" t="s" s="10">
        <v>13213</v>
      </c>
      <c r="G2099" t="s" s="7">
        <v>13214</v>
      </c>
      <c r="H2099" t="s" s="7">
        <v>13215</v>
      </c>
      <c r="I2099" t="str" s="8" cm="1">
        <f t="array" ref="I2099">SUBSTITUTE(H2099,B2099,"(          )")</f>
        <v>Subtract three from ten and you get seven.</v>
      </c>
      <c r="J2099" s="9" cm="1">
        <f t="array" ref="J2099">SUMIF('외운 것 - 엑셀다운로드 파일(붙여넣기)'!A3:A562,A2099,'외운 것 - 엑셀다운로드 파일(붙여넣기)'!D3:D562)</f>
        <v>0</v>
      </c>
      <c r="K2099" s="9" cm="1">
        <f t="array" ref="K2099">_xlfn.COUNTIFS('외운 것 - 엑셀다운로드 파일(붙여넣기)'!A3:A562,A2099,'외운 것 - 엑셀다운로드 파일(붙여넣기)'!D3:D562,0)</f>
        <v>0</v>
      </c>
      <c r="L2099" s="9" cm="1">
        <f t="array" ref="L2099">IF(J2099&gt;=3,_xlfn.XLOOKUP(A2099,'외운 것 - 엑셀다운로드 파일(붙여넣기)'!A3:A562,'외운 것 - 엑셀다운로드 파일(붙여넣기)'!C3:C562,0,-1),0)</f>
        <v>0</v>
      </c>
    </row>
    <row r="2100" ht="38.45" customHeight="1">
      <c r="A2100" s="3">
        <v>2099</v>
      </c>
      <c r="B2100" t="s" s="4">
        <v>13217</v>
      </c>
      <c r="C2100" t="s" s="5">
        <v>13193</v>
      </c>
      <c r="D2100" t="s" s="5">
        <v>13182</v>
      </c>
      <c r="E2100" t="s" s="5">
        <v>13218</v>
      </c>
      <c r="F2100" t="s" s="10">
        <v>13219</v>
      </c>
      <c r="G2100" t="s" s="7">
        <v>13220</v>
      </c>
      <c r="H2100" t="s" s="7">
        <v>13221</v>
      </c>
      <c r="I2100" t="str" s="8" cm="1">
        <f t="array" ref="I2100">SUBSTITUTE(H2100,B2100,"(          )")</f>
        <v>The builder signed a (          ) for the new project.</v>
      </c>
      <c r="J2100" s="9" cm="1">
        <f t="array" ref="J2100">SUMIF('외운 것 - 엑셀다운로드 파일(붙여넣기)'!A3:A562,A2100,'외운 것 - 엑셀다운로드 파일(붙여넣기)'!D3:D562)</f>
        <v>0</v>
      </c>
      <c r="K2100" s="9" cm="1">
        <f t="array" ref="K2100">_xlfn.COUNTIFS('외운 것 - 엑셀다운로드 파일(붙여넣기)'!A3:A562,A2100,'외운 것 - 엑셀다운로드 파일(붙여넣기)'!D3:D562,0)</f>
        <v>0</v>
      </c>
      <c r="L2100" s="9" cm="1">
        <f t="array" ref="L2100">IF(J2100&gt;=3,_xlfn.XLOOKUP(A2100,'외운 것 - 엑셀다운로드 파일(붙여넣기)'!A3:A562,'외운 것 - 엑셀다운로드 파일(붙여넣기)'!C3:C562,0,-1),0)</f>
        <v>0</v>
      </c>
    </row>
    <row r="2101" ht="23.45" customHeight="1">
      <c r="A2101" s="3">
        <v>2100</v>
      </c>
      <c r="B2101" t="s" s="4">
        <v>13223</v>
      </c>
      <c r="C2101" t="s" s="5">
        <v>13193</v>
      </c>
      <c r="D2101" t="s" s="5">
        <v>13182</v>
      </c>
      <c r="E2101" t="s" s="5">
        <v>13224</v>
      </c>
      <c r="F2101" t="s" s="10">
        <v>13225</v>
      </c>
      <c r="G2101" t="s" s="7">
        <v>13226</v>
      </c>
      <c r="H2101" t="s" s="7">
        <v>13227</v>
      </c>
      <c r="I2101" t="str" s="8" cm="1">
        <f t="array" ref="I2101">SUBSTITUTE(H2101,B2101,"(          )")</f>
        <v>The painting features (          ) shapes and bold colors.</v>
      </c>
      <c r="J2101" s="9" cm="1">
        <f t="array" ref="J2101">SUMIF('외운 것 - 엑셀다운로드 파일(붙여넣기)'!A3:A562,A2101,'외운 것 - 엑셀다운로드 파일(붙여넣기)'!D3:D562)</f>
        <v>0</v>
      </c>
      <c r="K2101" s="9" cm="1">
        <f t="array" ref="K2101">_xlfn.COUNTIFS('외운 것 - 엑셀다운로드 파일(붙여넣기)'!A3:A562,A2101,'외운 것 - 엑셀다운로드 파일(붙여넣기)'!D3:D562,0)</f>
        <v>0</v>
      </c>
      <c r="L2101" s="9" cm="1">
        <f t="array" ref="L2101">IF(J2101&gt;=3,_xlfn.XLOOKUP(A2101,'외운 것 - 엑셀다운로드 파일(붙여넣기)'!A3:A562,'외운 것 - 엑셀다운로드 파일(붙여넣기)'!C3:C562,0,-1),0)</f>
        <v>0</v>
      </c>
    </row>
    <row r="2102" ht="38.45" customHeight="1">
      <c r="A2102" s="3">
        <v>2101</v>
      </c>
      <c r="B2102" t="s" s="4">
        <v>13229</v>
      </c>
      <c r="C2102" t="s" s="5">
        <v>13193</v>
      </c>
      <c r="D2102" t="s" s="5">
        <v>13182</v>
      </c>
      <c r="E2102" t="s" s="5">
        <v>13230</v>
      </c>
      <c r="F2102" t="s" s="10">
        <v>13231</v>
      </c>
      <c r="G2102" t="s" s="7">
        <v>13232</v>
      </c>
      <c r="H2102" t="s" s="7">
        <v>13233</v>
      </c>
      <c r="I2102" t="str" s="8" cm="1">
        <f t="array" ref="I2102">SUBSTITUTE(H2102,B2102,"(          )")</f>
        <v>Don't let your phone (          ) you while driving.</v>
      </c>
      <c r="J2102" s="9" cm="1">
        <f t="array" ref="J2102">SUMIF('외운 것 - 엑셀다운로드 파일(붙여넣기)'!A3:A562,A2102,'외운 것 - 엑셀다운로드 파일(붙여넣기)'!D3:D562)</f>
        <v>0</v>
      </c>
      <c r="K2102" s="9" cm="1">
        <f t="array" ref="K2102">_xlfn.COUNTIFS('외운 것 - 엑셀다운로드 파일(붙여넣기)'!A3:A562,A2102,'외운 것 - 엑셀다운로드 파일(붙여넣기)'!D3:D562,0)</f>
        <v>0</v>
      </c>
      <c r="L2102" s="9" cm="1">
        <f t="array" ref="L2102">IF(J2102&gt;=3,_xlfn.XLOOKUP(A2102,'외운 것 - 엑셀다운로드 파일(붙여넣기)'!A3:A562,'외운 것 - 엑셀다운로드 파일(붙여넣기)'!C3:C562,0,-1),0)</f>
        <v>0</v>
      </c>
    </row>
    <row r="2103" ht="36.4" customHeight="1">
      <c r="A2103" s="3">
        <v>2102</v>
      </c>
      <c r="B2103" t="s" s="4">
        <v>13235</v>
      </c>
      <c r="C2103" t="s" s="5">
        <v>13236</v>
      </c>
      <c r="D2103" t="s" s="5">
        <v>13182</v>
      </c>
      <c r="E2103" t="s" s="5">
        <v>13237</v>
      </c>
      <c r="F2103" t="s" s="10">
        <v>13238</v>
      </c>
      <c r="G2103" t="s" s="7">
        <v>13239</v>
      </c>
      <c r="H2103" t="s" s="7">
        <v>13240</v>
      </c>
      <c r="I2103" t="str" s="8" cm="1">
        <f t="array" ref="I2103">SUBSTITUTE(H2103,B2103,"(          )")</f>
        <v>Social media can be a major (          ) when studying.</v>
      </c>
      <c r="J2103" s="9" cm="1">
        <f t="array" ref="J2103">SUMIF('외운 것 - 엑셀다운로드 파일(붙여넣기)'!A3:A562,A2103,'외운 것 - 엑셀다운로드 파일(붙여넣기)'!D3:D562)</f>
        <v>0</v>
      </c>
      <c r="K2103" s="9" cm="1">
        <f t="array" ref="K2103">_xlfn.COUNTIFS('외운 것 - 엑셀다운로드 파일(붙여넣기)'!A3:A562,A2103,'외운 것 - 엑셀다운로드 파일(붙여넣기)'!D3:D562,0)</f>
        <v>0</v>
      </c>
      <c r="L2103" s="9" cm="1">
        <f t="array" ref="L2103">IF(J2103&gt;=3,_xlfn.XLOOKUP(A2103,'외운 것 - 엑셀다운로드 파일(붙여넣기)'!A3:A562,'외운 것 - 엑셀다운로드 파일(붙여넣기)'!C3:C562,0,-1),0)</f>
        <v>0</v>
      </c>
    </row>
    <row r="2104" ht="23.45" customHeight="1">
      <c r="A2104" s="3">
        <v>2103</v>
      </c>
      <c r="B2104" t="s" s="4">
        <v>13242</v>
      </c>
      <c r="C2104" t="s" s="5">
        <v>13243</v>
      </c>
      <c r="D2104" t="s" s="5">
        <v>13244</v>
      </c>
      <c r="E2104" t="s" s="5">
        <v>13245</v>
      </c>
      <c r="F2104" t="s" s="10">
        <v>13246</v>
      </c>
      <c r="G2104" t="s" s="7">
        <v>13247</v>
      </c>
      <c r="H2104" t="s" s="7">
        <v>13248</v>
      </c>
      <c r="I2104" t="str" s="8" cm="1">
        <f t="array" ref="I2104">SUBSTITUTE(H2104,B2104,"(          )")</f>
        <v>The company plans to (          ) its business model.</v>
      </c>
      <c r="J2104" s="9" cm="1">
        <f t="array" ref="J2104">SUMIF('외운 것 - 엑셀다운로드 파일(붙여넣기)'!A3:A562,A2104,'외운 것 - 엑셀다운로드 파일(붙여넣기)'!D3:D562)</f>
        <v>0</v>
      </c>
      <c r="K2104" s="9" cm="1">
        <f t="array" ref="K2104">_xlfn.COUNTIFS('외운 것 - 엑셀다운로드 파일(붙여넣기)'!A3:A562,A2104,'외운 것 - 엑셀다운로드 파일(붙여넣기)'!D3:D562,0)</f>
        <v>0</v>
      </c>
      <c r="L2104" s="9" cm="1">
        <f t="array" ref="L2104">IF(J2104&gt;=3,_xlfn.XLOOKUP(A2104,'외운 것 - 엑셀다운로드 파일(붙여넣기)'!A3:A562,'외운 것 - 엑셀다운로드 파일(붙여넣기)'!C3:C562,0,-1),0)</f>
        <v>0</v>
      </c>
    </row>
    <row r="2105" ht="38.45" customHeight="1">
      <c r="A2105" s="3">
        <v>2104</v>
      </c>
      <c r="B2105" t="s" s="4">
        <v>4332</v>
      </c>
      <c r="C2105" t="s" s="5">
        <v>13243</v>
      </c>
      <c r="D2105" t="s" s="5">
        <v>13244</v>
      </c>
      <c r="E2105" t="s" s="5">
        <v>4333</v>
      </c>
      <c r="F2105" t="s" s="10">
        <v>13250</v>
      </c>
      <c r="G2105" t="s" s="7">
        <v>13251</v>
      </c>
      <c r="H2105" t="s" s="7">
        <v>4336</v>
      </c>
      <c r="I2105" t="str" s="8" cm="1">
        <f t="array" ref="I2105">SUBSTITUTE(H2105,B2105,"(          )")</f>
        <v>You need to (          ) to the blue line at the next station.</v>
      </c>
      <c r="J2105" s="9" cm="1">
        <f t="array" ref="J2105">SUMIF('외운 것 - 엑셀다운로드 파일(붙여넣기)'!A3:A562,A2105,'외운 것 - 엑셀다운로드 파일(붙여넣기)'!D3:D562)</f>
        <v>0</v>
      </c>
      <c r="K2105" s="9" cm="1">
        <f t="array" ref="K2105">_xlfn.COUNTIFS('외운 것 - 엑셀다운로드 파일(붙여넣기)'!A3:A562,A2105,'외운 것 - 엑셀다운로드 파일(붙여넣기)'!D3:D562,0)</f>
        <v>0</v>
      </c>
      <c r="L2105" s="9" cm="1">
        <f t="array" ref="L2105">IF(J2105&gt;=3,_xlfn.XLOOKUP(A2105,'외운 것 - 엑셀다운로드 파일(붙여넣기)'!A3:A562,'외운 것 - 엑셀다운로드 파일(붙여넣기)'!C3:C562,0,-1),0)</f>
        <v>0</v>
      </c>
    </row>
    <row r="2106" ht="38.45" customHeight="1">
      <c r="A2106" s="3">
        <v>2105</v>
      </c>
      <c r="B2106" t="s" s="4">
        <v>10578</v>
      </c>
      <c r="C2106" t="s" s="5">
        <v>13243</v>
      </c>
      <c r="D2106" t="s" s="5">
        <v>13244</v>
      </c>
      <c r="E2106" t="s" s="5">
        <v>10579</v>
      </c>
      <c r="F2106" t="s" s="10">
        <v>13252</v>
      </c>
      <c r="G2106" t="s" s="7">
        <v>10581</v>
      </c>
      <c r="H2106" t="s" s="7">
        <v>10582</v>
      </c>
      <c r="I2106" t="str" s="8" cm="1">
        <f t="array" ref="I2106">SUBSTITUTE(H2106,B2106,"(          )")</f>
        <v>The company provides (          ) for its employees.</v>
      </c>
      <c r="J2106" s="9" cm="1">
        <f t="array" ref="J2106">SUMIF('외운 것 - 엑셀다운로드 파일(붙여넣기)'!A3:A562,A2106,'외운 것 - 엑셀다운로드 파일(붙여넣기)'!D3:D562)</f>
        <v>0</v>
      </c>
      <c r="K2106" s="9" cm="1">
        <f t="array" ref="K2106">_xlfn.COUNTIFS('외운 것 - 엑셀다운로드 파일(붙여넣기)'!A3:A562,A2106,'외운 것 - 엑셀다운로드 파일(붙여넣기)'!D3:D562,0)</f>
        <v>0</v>
      </c>
      <c r="L2106" s="9" cm="1">
        <f t="array" ref="L2106">IF(J2106&gt;=3,_xlfn.XLOOKUP(A2106,'외운 것 - 엑셀다운로드 파일(붙여넣기)'!A3:A562,'외운 것 - 엑셀다운로드 파일(붙여넣기)'!C3:C562,0,-1),0)</f>
        <v>0</v>
      </c>
    </row>
    <row r="2107" ht="23.45" customHeight="1">
      <c r="A2107" s="3">
        <v>2106</v>
      </c>
      <c r="B2107" t="s" s="4">
        <v>13253</v>
      </c>
      <c r="C2107" t="s" s="5">
        <v>13243</v>
      </c>
      <c r="D2107" t="s" s="5">
        <v>13244</v>
      </c>
      <c r="E2107" t="s" s="5">
        <v>13254</v>
      </c>
      <c r="F2107" t="s" s="10">
        <v>13255</v>
      </c>
      <c r="G2107" t="s" s="7">
        <v>13256</v>
      </c>
      <c r="H2107" t="s" s="7">
        <v>13257</v>
      </c>
      <c r="I2107" t="str" s="8" cm="1">
        <f t="array" ref="I2107">SUBSTITUTE(H2107,B2107,"(          )")</f>
        <v>The patient received a kidney (          ) last year.</v>
      </c>
      <c r="J2107" s="9" cm="1">
        <f t="array" ref="J2107">SUMIF('외운 것 - 엑셀다운로드 파일(붙여넣기)'!A3:A562,A2107,'외운 것 - 엑셀다운로드 파일(붙여넣기)'!D3:D562)</f>
        <v>0</v>
      </c>
      <c r="K2107" s="9" cm="1">
        <f t="array" ref="K2107">_xlfn.COUNTIFS('외운 것 - 엑셀다운로드 파일(붙여넣기)'!A3:A562,A2107,'외운 것 - 엑셀다운로드 파일(붙여넣기)'!D3:D562,0)</f>
        <v>0</v>
      </c>
      <c r="L2107" s="9" cm="1">
        <f t="array" ref="L2107">IF(J2107&gt;=3,_xlfn.XLOOKUP(A2107,'외운 것 - 엑셀다운로드 파일(붙여넣기)'!A3:A562,'외운 것 - 엑셀다운로드 파일(붙여넣기)'!C3:C562,0,-1),0)</f>
        <v>0</v>
      </c>
    </row>
    <row r="2108" ht="23.45" customHeight="1">
      <c r="A2108" s="3">
        <v>2107</v>
      </c>
      <c r="B2108" t="s" s="4">
        <v>7869</v>
      </c>
      <c r="C2108" t="s" s="5">
        <v>13243</v>
      </c>
      <c r="D2108" t="s" s="5">
        <v>13244</v>
      </c>
      <c r="E2108" t="s" s="5">
        <v>7870</v>
      </c>
      <c r="F2108" t="s" s="10">
        <v>13259</v>
      </c>
      <c r="G2108" t="s" s="7">
        <v>7872</v>
      </c>
      <c r="H2108" t="s" s="7">
        <v>7873</v>
      </c>
      <c r="I2108" t="str" s="8" cm="1">
        <f t="array" ref="I2108">SUBSTITUTE(H2108,B2108,"(          )")</f>
        <v>Can you (          ) this document from Spanish to English?</v>
      </c>
      <c r="J2108" s="9" cm="1">
        <f t="array" ref="J2108">SUMIF('외운 것 - 엑셀다운로드 파일(붙여넣기)'!A3:A562,A2108,'외운 것 - 엑셀다운로드 파일(붙여넣기)'!D3:D562)</f>
        <v>0</v>
      </c>
      <c r="K2108" s="9" cm="1">
        <f t="array" ref="K2108">_xlfn.COUNTIFS('외운 것 - 엑셀다운로드 파일(붙여넣기)'!A3:A562,A2108,'외운 것 - 엑셀다운로드 파일(붙여넣기)'!D3:D562,0)</f>
        <v>0</v>
      </c>
      <c r="L2108" s="9" cm="1">
        <f t="array" ref="L2108">IF(J2108&gt;=3,_xlfn.XLOOKUP(A2108,'외운 것 - 엑셀다운로드 파일(붙여넣기)'!A3:A562,'외운 것 - 엑셀다운로드 파일(붙여넣기)'!C3:C562,0,-1),0)</f>
        <v>0</v>
      </c>
    </row>
    <row r="2109" ht="38.45" customHeight="1">
      <c r="A2109" s="3">
        <v>2108</v>
      </c>
      <c r="B2109" t="s" s="4">
        <v>9719</v>
      </c>
      <c r="C2109" t="s" s="5">
        <v>13243</v>
      </c>
      <c r="D2109" t="s" s="5">
        <v>13244</v>
      </c>
      <c r="E2109" t="s" s="5">
        <v>9720</v>
      </c>
      <c r="F2109" t="s" s="10">
        <v>13260</v>
      </c>
      <c r="G2109" t="s" s="7">
        <v>13261</v>
      </c>
      <c r="H2109" t="s" s="7">
        <v>9723</v>
      </c>
      <c r="I2109" t="str" s="8" cm="1">
        <f t="array" ref="I2109">SUBSTITUTE(H2109,B2109,"(          )")</f>
        <v>The (          ) glass allowed us to see inside.</v>
      </c>
      <c r="J2109" s="9" cm="1">
        <f t="array" ref="J2109">SUMIF('외운 것 - 엑셀다운로드 파일(붙여넣기)'!A3:A562,A2109,'외운 것 - 엑셀다운로드 파일(붙여넣기)'!D3:D562)</f>
        <v>0</v>
      </c>
      <c r="K2109" s="9" cm="1">
        <f t="array" ref="K2109">_xlfn.COUNTIFS('외운 것 - 엑셀다운로드 파일(붙여넣기)'!A3:A562,A2109,'외운 것 - 엑셀다운로드 파일(붙여넣기)'!D3:D562,0)</f>
        <v>0</v>
      </c>
      <c r="L2109" s="9" cm="1">
        <f t="array" ref="L2109">IF(J2109&gt;=3,_xlfn.XLOOKUP(A2109,'외운 것 - 엑셀다운로드 파일(붙여넣기)'!A3:A562,'외운 것 - 엑셀다운로드 파일(붙여넣기)'!C3:C562,0,-1),0)</f>
        <v>0</v>
      </c>
    </row>
    <row r="2110" ht="38.45" customHeight="1">
      <c r="A2110" s="3">
        <v>2109</v>
      </c>
      <c r="B2110" t="s" s="4">
        <v>13262</v>
      </c>
      <c r="C2110" t="s" s="5">
        <v>12334</v>
      </c>
      <c r="D2110" t="s" s="5">
        <v>13263</v>
      </c>
      <c r="E2110" t="s" s="5">
        <v>13264</v>
      </c>
      <c r="F2110" t="s" s="10">
        <v>13265</v>
      </c>
      <c r="G2110" t="s" s="7">
        <v>13266</v>
      </c>
      <c r="H2110" t="s" s="7">
        <v>13267</v>
      </c>
      <c r="I2110" t="str" s="8" cm="1">
        <f t="array" ref="I2110">SUBSTITUTE(H2110,B2110,"(          )")</f>
        <v>Turn left at the next intersection.</v>
      </c>
      <c r="J2110" s="9" cm="1">
        <f t="array" ref="J2110">SUMIF('외운 것 - 엑셀다운로드 파일(붙여넣기)'!A3:A562,A2110,'외운 것 - 엑셀다운로드 파일(붙여넣기)'!D3:D562)</f>
        <v>0</v>
      </c>
      <c r="K2110" s="9" cm="1">
        <f t="array" ref="K2110">_xlfn.COUNTIFS('외운 것 - 엑셀다운로드 파일(붙여넣기)'!A3:A562,A2110,'외운 것 - 엑셀다운로드 파일(붙여넣기)'!D3:D562,0)</f>
        <v>0</v>
      </c>
      <c r="L2110" s="9" cm="1">
        <f t="array" ref="L2110">IF(J2110&gt;=3,_xlfn.XLOOKUP(A2110,'외운 것 - 엑셀다운로드 파일(붙여넣기)'!A3:A562,'외운 것 - 엑셀다운로드 파일(붙여넣기)'!C3:C562,0,-1),0)</f>
        <v>0</v>
      </c>
    </row>
    <row r="2111" ht="23.45" customHeight="1">
      <c r="A2111" s="3">
        <v>2110</v>
      </c>
      <c r="B2111" t="s" s="4">
        <v>13269</v>
      </c>
      <c r="C2111" t="s" s="5">
        <v>13270</v>
      </c>
      <c r="D2111" t="s" s="5">
        <v>13263</v>
      </c>
      <c r="E2111" t="s" s="5">
        <v>13271</v>
      </c>
      <c r="F2111" t="s" s="10">
        <v>13272</v>
      </c>
      <c r="G2111" t="s" s="7">
        <v>13273</v>
      </c>
      <c r="H2111" t="s" s="7">
        <v>13274</v>
      </c>
      <c r="I2111" t="str" s="8" cm="1">
        <f t="array" ref="I2111">SUBSTITUTE(H2111,B2111,"(          )")</f>
        <v>The medical (          ) works long hours at the hospital.</v>
      </c>
      <c r="J2111" s="9" cm="1">
        <f t="array" ref="J2111">SUMIF('외운 것 - 엑셀다운로드 파일(붙여넣기)'!A3:A562,A2111,'외운 것 - 엑셀다운로드 파일(붙여넣기)'!D3:D562)</f>
        <v>0</v>
      </c>
      <c r="K2111" s="9" cm="1">
        <f t="array" ref="K2111">_xlfn.COUNTIFS('외운 것 - 엑셀다운로드 파일(붙여넣기)'!A3:A562,A2111,'외운 것 - 엑셀다운로드 파일(붙여넣기)'!D3:D562,0)</f>
        <v>0</v>
      </c>
      <c r="L2111" s="9" cm="1">
        <f t="array" ref="L2111">IF(J2111&gt;=3,_xlfn.XLOOKUP(A2111,'외운 것 - 엑셀다운로드 파일(붙여넣기)'!A3:A562,'외운 것 - 엑셀다운로드 파일(붙여넣기)'!C3:C562,0,-1),0)</f>
        <v>0</v>
      </c>
    </row>
    <row r="2112" ht="36.4" customHeight="1">
      <c r="A2112" s="3">
        <v>2111</v>
      </c>
      <c r="B2112" t="s" s="4">
        <v>13276</v>
      </c>
      <c r="C2112" t="s" s="5">
        <v>13277</v>
      </c>
      <c r="D2112" t="s" s="5">
        <v>13263</v>
      </c>
      <c r="E2112" t="s" s="5">
        <v>13278</v>
      </c>
      <c r="F2112" t="s" s="10">
        <v>13279</v>
      </c>
      <c r="G2112" t="s" s="7">
        <v>13280</v>
      </c>
      <c r="H2112" t="s" s="7">
        <v>13281</v>
      </c>
      <c r="I2112" t="str" s="8" cm="1">
        <f t="array" ref="I2112">SUBSTITUTE(H2112,B2112,"(          )")</f>
        <v>The company conducted an (          ) review of its policies.</v>
      </c>
      <c r="J2112" s="9" cm="1">
        <f t="array" ref="J2112">SUMIF('외운 것 - 엑셀다운로드 파일(붙여넣기)'!A3:A562,A2112,'외운 것 - 엑셀다운로드 파일(붙여넣기)'!D3:D562)</f>
        <v>0</v>
      </c>
      <c r="K2112" s="9" cm="1">
        <f t="array" ref="K2112">_xlfn.COUNTIFS('외운 것 - 엑셀다운로드 파일(붙여넣기)'!A3:A562,A2112,'외운 것 - 엑셀다운로드 파일(붙여넣기)'!D3:D562,0)</f>
        <v>0</v>
      </c>
      <c r="L2112" s="9" cm="1">
        <f t="array" ref="L2112">IF(J2112&gt;=3,_xlfn.XLOOKUP(A2112,'외운 것 - 엑셀다운로드 파일(붙여넣기)'!A3:A562,'외운 것 - 엑셀다운로드 파일(붙여넣기)'!C3:C562,0,-1),0)</f>
        <v>0</v>
      </c>
    </row>
    <row r="2113" ht="53.45" customHeight="1">
      <c r="A2113" s="3">
        <v>2112</v>
      </c>
      <c r="B2113" t="s" s="4">
        <v>13283</v>
      </c>
      <c r="C2113" t="s" s="5">
        <v>13277</v>
      </c>
      <c r="D2113" t="s" s="5">
        <v>13263</v>
      </c>
      <c r="E2113" t="s" s="5">
        <v>13284</v>
      </c>
      <c r="F2113" t="s" s="10">
        <v>13285</v>
      </c>
      <c r="G2113" t="s" s="7">
        <v>13286</v>
      </c>
      <c r="H2113" t="s" s="7">
        <v>13287</v>
      </c>
      <c r="I2113" t="str" s="8" cm="1">
        <f t="array" ref="I2113">SUBSTITUTE(H2113,B2113,"(          )")</f>
        <v>The summer (          ) provides valuable work experience.</v>
      </c>
      <c r="J2113" s="9" cm="1">
        <f t="array" ref="J2113">SUMIF('외운 것 - 엑셀다운로드 파일(붙여넣기)'!A3:A562,A2113,'외운 것 - 엑셀다운로드 파일(붙여넣기)'!D3:D562)</f>
        <v>0</v>
      </c>
      <c r="K2113" s="9" cm="1">
        <f t="array" ref="K2113">_xlfn.COUNTIFS('외운 것 - 엑셀다운로드 파일(붙여넣기)'!A3:A562,A2113,'외운 것 - 엑셀다운로드 파일(붙여넣기)'!D3:D562,0)</f>
        <v>0</v>
      </c>
      <c r="L2113" s="9" cm="1">
        <f t="array" ref="L2113">IF(J2113&gt;=3,_xlfn.XLOOKUP(A2113,'외운 것 - 엑셀다운로드 파일(붙여넣기)'!A3:A562,'외운 것 - 엑셀다운로드 파일(붙여넣기)'!C3:C562,0,-1),0)</f>
        <v>0</v>
      </c>
    </row>
    <row r="2114" ht="23.45" customHeight="1">
      <c r="A2114" s="3">
        <v>2113</v>
      </c>
      <c r="B2114" t="s" s="4">
        <v>13289</v>
      </c>
      <c r="C2114" t="s" s="5">
        <v>13270</v>
      </c>
      <c r="D2114" t="s" s="5">
        <v>13263</v>
      </c>
      <c r="E2114" t="s" s="5">
        <v>13290</v>
      </c>
      <c r="F2114" t="s" s="10">
        <v>13291</v>
      </c>
      <c r="G2114" t="s" s="7">
        <v>13292</v>
      </c>
      <c r="H2114" t="s" s="7">
        <v>13293</v>
      </c>
      <c r="I2114" t="str" s="8" cm="1">
        <f t="array" ref="I2114">SUBSTITUTE(H2114,B2114,"(          )")</f>
        <v>Some religions believe in (          ) life after death.</v>
      </c>
      <c r="J2114" s="9" cm="1">
        <f t="array" ref="J2114">SUMIF('외운 것 - 엑셀다운로드 파일(붙여넣기)'!A3:A562,A2114,'외운 것 - 엑셀다운로드 파일(붙여넣기)'!D3:D562)</f>
        <v>0</v>
      </c>
      <c r="K2114" s="9" cm="1">
        <f t="array" ref="K2114">_xlfn.COUNTIFS('외운 것 - 엑셀다운로드 파일(붙여넣기)'!A3:A562,A2114,'외운 것 - 엑셀다운로드 파일(붙여넣기)'!D3:D562,0)</f>
        <v>0</v>
      </c>
      <c r="L2114" s="9" cm="1">
        <f t="array" ref="L2114">IF(J2114&gt;=3,_xlfn.XLOOKUP(A2114,'외운 것 - 엑셀다운로드 파일(붙여넣기)'!A3:A562,'외운 것 - 엑셀다운로드 파일(붙여넣기)'!C3:C562,0,-1),0)</f>
        <v>0</v>
      </c>
    </row>
    <row r="2115" ht="23.45" customHeight="1">
      <c r="A2115" s="3">
        <v>2114</v>
      </c>
      <c r="B2115" t="s" s="4">
        <v>13295</v>
      </c>
      <c r="C2115" t="s" s="5">
        <v>13262</v>
      </c>
      <c r="D2115" t="s" s="5">
        <v>13263</v>
      </c>
      <c r="E2115" t="s" s="5">
        <v>13296</v>
      </c>
      <c r="F2115" t="s" s="10">
        <v>13297</v>
      </c>
      <c r="G2115" t="s" s="7">
        <v>13298</v>
      </c>
      <c r="H2115" t="s" s="7">
        <v>13299</v>
      </c>
      <c r="I2115" t="str" s="8" cm="1">
        <f t="array" ref="I2115">SUBSTITUTE(H2115,B2115,"(          )")</f>
        <v>When do you plan to (          ) from your trip?</v>
      </c>
      <c r="J2115" s="9" cm="1">
        <f t="array" ref="J2115">SUMIF('외운 것 - 엑셀다운로드 파일(붙여넣기)'!A3:A562,A2115,'외운 것 - 엑셀다운로드 파일(붙여넣기)'!D3:D562)</f>
        <v>0</v>
      </c>
      <c r="K2115" s="9" cm="1">
        <f t="array" ref="K2115">_xlfn.COUNTIFS('외운 것 - 엑셀다운로드 파일(붙여넣기)'!A3:A562,A2115,'외운 것 - 엑셀다운로드 파일(붙여넣기)'!D3:D562,0)</f>
        <v>0</v>
      </c>
      <c r="L2115" s="9" cm="1">
        <f t="array" ref="L2115">IF(J2115&gt;=3,_xlfn.XLOOKUP(A2115,'외운 것 - 엑셀다운로드 파일(붙여넣기)'!A3:A562,'외운 것 - 엑셀다운로드 파일(붙여넣기)'!C3:C562,0,-1),0)</f>
        <v>0</v>
      </c>
    </row>
    <row r="2116" ht="23.45" customHeight="1">
      <c r="A2116" s="3">
        <v>2115</v>
      </c>
      <c r="B2116" t="s" s="4">
        <v>13301</v>
      </c>
      <c r="C2116" t="s" s="5">
        <v>13302</v>
      </c>
      <c r="D2116" t="s" s="5">
        <v>13303</v>
      </c>
      <c r="E2116" t="s" s="5">
        <v>13304</v>
      </c>
      <c r="F2116" t="s" s="10">
        <v>13305</v>
      </c>
      <c r="G2116" t="s" s="7">
        <v>13306</v>
      </c>
      <c r="H2116" t="s" s="7">
        <v>13307</v>
      </c>
      <c r="I2116" t="str" s="8" cm="1">
        <f t="array" ref="I2116">SUBSTITUTE(H2116,B2116,"(          )")</f>
        <v>The musical (          ) performs jazz standards.</v>
      </c>
      <c r="J2116" s="9" cm="1">
        <f t="array" ref="J2116">SUMIF('외운 것 - 엑셀다운로드 파일(붙여넣기)'!A3:A562,A2116,'외운 것 - 엑셀다운로드 파일(붙여넣기)'!D3:D562)</f>
        <v>0</v>
      </c>
      <c r="K2116" s="9" cm="1">
        <f t="array" ref="K2116">_xlfn.COUNTIFS('외운 것 - 엑셀다운로드 파일(붙여넣기)'!A3:A562,A2116,'외운 것 - 엑셀다운로드 파일(붙여넣기)'!D3:D562,0)</f>
        <v>0</v>
      </c>
      <c r="L2116" s="9" cm="1">
        <f t="array" ref="L2116">IF(J2116&gt;=3,_xlfn.XLOOKUP(A2116,'외운 것 - 엑셀다운로드 파일(붙여넣기)'!A3:A562,'외운 것 - 엑셀다운로드 파일(붙여넣기)'!C3:C562,0,-1),0)</f>
        <v>0</v>
      </c>
    </row>
    <row r="2117" ht="23.45" customHeight="1">
      <c r="A2117" s="3">
        <v>2116</v>
      </c>
      <c r="B2117" t="s" s="4">
        <v>13309</v>
      </c>
      <c r="C2117" t="s" s="5">
        <v>13302</v>
      </c>
      <c r="D2117" t="s" s="5">
        <v>13303</v>
      </c>
      <c r="E2117" t="s" s="5">
        <v>13310</v>
      </c>
      <c r="F2117" t="s" s="10">
        <v>13311</v>
      </c>
      <c r="G2117" t="s" s="7">
        <v>13312</v>
      </c>
      <c r="H2117" t="s" s="7">
        <v>13313</v>
      </c>
      <c r="I2117" t="str" s="8" cm="1">
        <f t="array" ref="I2117">SUBSTITUTE(H2117,B2117,"(          )")</f>
        <v>A (          ) has three sides and three angles.</v>
      </c>
      <c r="J2117" s="9" cm="1">
        <f t="array" ref="J2117">SUMIF('외운 것 - 엑셀다운로드 파일(붙여넣기)'!A3:A562,A2117,'외운 것 - 엑셀다운로드 파일(붙여넣기)'!D3:D562)</f>
        <v>0</v>
      </c>
      <c r="K2117" s="9" cm="1">
        <f t="array" ref="K2117">_xlfn.COUNTIFS('외운 것 - 엑셀다운로드 파일(붙여넣기)'!A3:A562,A2117,'외운 것 - 엑셀다운로드 파일(붙여넣기)'!D3:D562,0)</f>
        <v>0</v>
      </c>
      <c r="L2117" s="9" cm="1">
        <f t="array" ref="L2117">IF(J2117&gt;=3,_xlfn.XLOOKUP(A2117,'외운 것 - 엑셀다운로드 파일(붙여넣기)'!A3:A562,'외운 것 - 엑셀다운로드 파일(붙여넣기)'!C3:C562,0,-1),0)</f>
        <v>0</v>
      </c>
    </row>
    <row r="2118" ht="23.45" customHeight="1">
      <c r="A2118" s="3">
        <v>2117</v>
      </c>
      <c r="B2118" t="s" s="4">
        <v>13315</v>
      </c>
      <c r="C2118" t="s" s="5">
        <v>13302</v>
      </c>
      <c r="D2118" t="s" s="5">
        <v>13303</v>
      </c>
      <c r="E2118" t="s" s="5">
        <v>13316</v>
      </c>
      <c r="F2118" t="s" s="10">
        <v>13317</v>
      </c>
      <c r="G2118" t="s" s="7">
        <v>13318</v>
      </c>
      <c r="H2118" t="s" s="7">
        <v>13319</v>
      </c>
      <c r="I2118" t="str" s="8" cm="1">
        <f t="array" ref="I2118">SUBSTITUTE(H2118,B2118,"(          )")</f>
        <v>The company (          )d its profits last year.</v>
      </c>
      <c r="J2118" s="9" cm="1">
        <f t="array" ref="J2118">SUMIF('외운 것 - 엑셀다운로드 파일(붙여넣기)'!A3:A562,A2118,'외운 것 - 엑셀다운로드 파일(붙여넣기)'!D3:D562)</f>
        <v>0</v>
      </c>
      <c r="K2118" s="9" cm="1">
        <f t="array" ref="K2118">_xlfn.COUNTIFS('외운 것 - 엑셀다운로드 파일(붙여넣기)'!A3:A562,A2118,'외운 것 - 엑셀다운로드 파일(붙여넣기)'!D3:D562,0)</f>
        <v>0</v>
      </c>
      <c r="L2118" s="9" cm="1">
        <f t="array" ref="L2118">IF(J2118&gt;=3,_xlfn.XLOOKUP(A2118,'외운 것 - 엑셀다운로드 파일(붙여넣기)'!A3:A562,'외운 것 - 엑셀다운로드 파일(붙여넣기)'!C3:C562,0,-1),0)</f>
        <v>0</v>
      </c>
    </row>
    <row r="2119" ht="23.45" customHeight="1">
      <c r="A2119" s="3">
        <v>2118</v>
      </c>
      <c r="B2119" t="s" s="4">
        <v>13321</v>
      </c>
      <c r="C2119" t="s" s="5">
        <v>13123</v>
      </c>
      <c r="D2119" t="s" s="5">
        <v>13124</v>
      </c>
      <c r="E2119" t="s" s="5">
        <v>13322</v>
      </c>
      <c r="F2119" t="s" s="10">
        <v>13323</v>
      </c>
      <c r="G2119" t="s" s="7">
        <v>13324</v>
      </c>
      <c r="H2119" t="s" s="7">
        <v>13325</v>
      </c>
      <c r="I2119" t="str" s="8" cm="1">
        <f t="array" ref="I2119">SUBSTITUTE(H2119,B2119,"(          )")</f>
        <v>The indigenous (          ) has lived in this region for centuries.</v>
      </c>
      <c r="J2119" s="9" cm="1">
        <f t="array" ref="J2119">SUMIF('외운 것 - 엑셀다운로드 파일(붙여넣기)'!A3:A562,A2119,'외운 것 - 엑셀다운로드 파일(붙여넣기)'!D3:D562)</f>
        <v>0</v>
      </c>
      <c r="K2119" s="9" cm="1">
        <f t="array" ref="K2119">_xlfn.COUNTIFS('외운 것 - 엑셀다운로드 파일(붙여넣기)'!A3:A562,A2119,'외운 것 - 엑셀다운로드 파일(붙여넣기)'!D3:D562,0)</f>
        <v>0</v>
      </c>
      <c r="L2119" s="9" cm="1">
        <f t="array" ref="L2119">IF(J2119&gt;=3,_xlfn.XLOOKUP(A2119,'외운 것 - 엑셀다운로드 파일(붙여넣기)'!A3:A562,'외운 것 - 엑셀다운로드 파일(붙여넣기)'!C3:C562,0,-1),0)</f>
        <v>0</v>
      </c>
    </row>
    <row r="2120" ht="38.45" customHeight="1">
      <c r="A2120" s="3">
        <v>2119</v>
      </c>
      <c r="B2120" t="s" s="4">
        <v>13327</v>
      </c>
      <c r="C2120" t="s" s="5">
        <v>13123</v>
      </c>
      <c r="D2120" t="s" s="5">
        <v>13124</v>
      </c>
      <c r="E2120" t="s" s="5">
        <v>13328</v>
      </c>
      <c r="F2120" t="s" s="10">
        <v>13329</v>
      </c>
      <c r="G2120" t="s" s="7">
        <v>13330</v>
      </c>
      <c r="H2120" t="s" s="7">
        <v>13331</v>
      </c>
      <c r="I2120" t="str" s="8" cm="1">
        <f t="array" ref="I2120">SUBSTITUTE(H2120,B2120,"(          )")</f>
        <v>The concert was a (          ) to the legendary musician.</v>
      </c>
      <c r="J2120" s="9" cm="1">
        <f t="array" ref="J2120">SUMIF('외운 것 - 엑셀다운로드 파일(붙여넣기)'!A3:A562,A2120,'외운 것 - 엑셀다운로드 파일(붙여넣기)'!D3:D562)</f>
        <v>0</v>
      </c>
      <c r="K2120" s="9" cm="1">
        <f t="array" ref="K2120">_xlfn.COUNTIFS('외운 것 - 엑셀다운로드 파일(붙여넣기)'!A3:A562,A2120,'외운 것 - 엑셀다운로드 파일(붙여넣기)'!D3:D562,0)</f>
        <v>0</v>
      </c>
      <c r="L2120" s="9" cm="1">
        <f t="array" ref="L2120">IF(J2120&gt;=3,_xlfn.XLOOKUP(A2120,'외운 것 - 엑셀다운로드 파일(붙여넣기)'!A3:A562,'외운 것 - 엑셀다운로드 파일(붙여넣기)'!C3:C562,0,-1),0)</f>
        <v>0</v>
      </c>
    </row>
    <row r="2121" ht="38.45" customHeight="1">
      <c r="A2121" s="3">
        <v>2120</v>
      </c>
      <c r="B2121" t="s" s="4">
        <v>13333</v>
      </c>
      <c r="C2121" t="s" s="5">
        <v>13334</v>
      </c>
      <c r="D2121" t="s" s="5">
        <v>13123</v>
      </c>
      <c r="E2121" t="s" s="5">
        <v>13335</v>
      </c>
      <c r="F2121" t="s" s="10">
        <v>13336</v>
      </c>
      <c r="G2121" t="s" s="7">
        <v>13337</v>
      </c>
      <c r="H2121" t="s" s="7">
        <v>13338</v>
      </c>
      <c r="I2121" t="str" s="8" cm="1">
        <f t="array" ref="I2121">SUBSTITUTE(H2121,B2121,"(          )")</f>
        <v>We (          ) our success to hard work and perseverance.</v>
      </c>
      <c r="J2121" s="9" cm="1">
        <f t="array" ref="J2121">SUMIF('외운 것 - 엑셀다운로드 파일(붙여넣기)'!A3:A562,A2121,'외운 것 - 엑셀다운로드 파일(붙여넣기)'!D3:D562)</f>
        <v>0</v>
      </c>
      <c r="K2121" s="9" cm="1">
        <f t="array" ref="K2121">_xlfn.COUNTIFS('외운 것 - 엑셀다운로드 파일(붙여넣기)'!A3:A562,A2121,'외운 것 - 엑셀다운로드 파일(붙여넣기)'!D3:D562,0)</f>
        <v>0</v>
      </c>
      <c r="L2121" s="9" cm="1">
        <f t="array" ref="L2121">IF(J2121&gt;=3,_xlfn.XLOOKUP(A2121,'외운 것 - 엑셀다운로드 파일(붙여넣기)'!A3:A562,'외운 것 - 엑셀다운로드 파일(붙여넣기)'!C3:C562,0,-1),0)</f>
        <v>0</v>
      </c>
    </row>
    <row r="2122" ht="23.45" customHeight="1">
      <c r="A2122" s="3">
        <v>2121</v>
      </c>
      <c r="B2122" t="s" s="4">
        <v>13340</v>
      </c>
      <c r="C2122" t="s" s="5">
        <v>13334</v>
      </c>
      <c r="D2122" t="s" s="5">
        <v>13123</v>
      </c>
      <c r="E2122" t="s" s="5">
        <v>13341</v>
      </c>
      <c r="F2122" t="s" s="10">
        <v>13342</v>
      </c>
      <c r="G2122" t="s" s="7">
        <v>3240</v>
      </c>
      <c r="H2122" t="s" s="7">
        <v>13343</v>
      </c>
      <c r="I2122" t="str" s="8" cm="1">
        <f t="array" ref="I2122">SUBSTITUTE(H2122,B2122,"(          )")</f>
        <v>Please (          ) to the fundraising campaign if possible.</v>
      </c>
      <c r="J2122" s="9" cm="1">
        <f t="array" ref="J2122">SUMIF('외운 것 - 엑셀다운로드 파일(붙여넣기)'!A3:A562,A2122,'외운 것 - 엑셀다운로드 파일(붙여넣기)'!D3:D562)</f>
        <v>0</v>
      </c>
      <c r="K2122" s="9" cm="1">
        <f t="array" ref="K2122">_xlfn.COUNTIFS('외운 것 - 엑셀다운로드 파일(붙여넣기)'!A3:A562,A2122,'외운 것 - 엑셀다운로드 파일(붙여넣기)'!D3:D562,0)</f>
        <v>0</v>
      </c>
      <c r="L2122" s="9" cm="1">
        <f t="array" ref="L2122">IF(J2122&gt;=3,_xlfn.XLOOKUP(A2122,'외운 것 - 엑셀다운로드 파일(붙여넣기)'!A3:A562,'외운 것 - 엑셀다운로드 파일(붙여넣기)'!C3:C562,0,-1),0)</f>
        <v>0</v>
      </c>
    </row>
    <row r="2123" ht="23.45" customHeight="1">
      <c r="A2123" s="3">
        <v>2122</v>
      </c>
      <c r="B2123" t="s" s="4">
        <v>13345</v>
      </c>
      <c r="C2123" t="s" s="5">
        <v>13334</v>
      </c>
      <c r="D2123" t="s" s="5">
        <v>13123</v>
      </c>
      <c r="E2123" t="s" s="5">
        <v>13346</v>
      </c>
      <c r="F2123" t="s" s="10">
        <v>13347</v>
      </c>
      <c r="G2123" t="s" s="7">
        <v>13348</v>
      </c>
      <c r="H2123" t="s" s="7">
        <v>13349</v>
      </c>
      <c r="I2123" t="str" s="8" cm="1">
        <f t="array" ref="I2123">SUBSTITUTE(H2123,B2123,"(          )")</f>
        <v>Volunteers (          ) food to homeless people.</v>
      </c>
      <c r="J2123" s="9" cm="1">
        <f t="array" ref="J2123">SUMIF('외운 것 - 엑셀다운로드 파일(붙여넣기)'!A3:A562,A2123,'외운 것 - 엑셀다운로드 파일(붙여넣기)'!D3:D562)</f>
        <v>0</v>
      </c>
      <c r="K2123" s="9" cm="1">
        <f t="array" ref="K2123">_xlfn.COUNTIFS('외운 것 - 엑셀다운로드 파일(붙여넣기)'!A3:A562,A2123,'외운 것 - 엑셀다운로드 파일(붙여넣기)'!D3:D562,0)</f>
        <v>0</v>
      </c>
      <c r="L2123" s="9" cm="1">
        <f t="array" ref="L2123">IF(J2123&gt;=3,_xlfn.XLOOKUP(A2123,'외운 것 - 엑셀다운로드 파일(붙여넣기)'!A3:A562,'외운 것 - 엑셀다운로드 파일(붙여넣기)'!C3:C562,0,-1),0)</f>
        <v>0</v>
      </c>
    </row>
    <row r="2124" ht="36.4" customHeight="1">
      <c r="A2124" s="3">
        <v>2123</v>
      </c>
      <c r="B2124" t="s" s="4">
        <v>13351</v>
      </c>
      <c r="C2124" t="s" s="5">
        <v>13352</v>
      </c>
      <c r="D2124" t="s" s="5">
        <v>13123</v>
      </c>
      <c r="E2124" t="s" s="5">
        <v>13353</v>
      </c>
      <c r="F2124" t="s" s="10">
        <v>13354</v>
      </c>
      <c r="G2124" t="s" s="7">
        <v>13355</v>
      </c>
      <c r="H2124" t="s" s="7">
        <v>13356</v>
      </c>
      <c r="I2124" t="str" s="8" cm="1">
        <f t="array" ref="I2124">SUBSTITUTE(H2124,B2124,"(          )")</f>
        <v>The book (          ) spans over 50 countries.</v>
      </c>
      <c r="J2124" s="9" cm="1">
        <f t="array" ref="J2124">SUMIF('외운 것 - 엑셀다운로드 파일(붙여넣기)'!A3:A562,A2124,'외운 것 - 엑셀다운로드 파일(붙여넣기)'!D3:D562)</f>
        <v>0</v>
      </c>
      <c r="K2124" s="9" cm="1">
        <f t="array" ref="K2124">_xlfn.COUNTIFS('외운 것 - 엑셀다운로드 파일(붙여넣기)'!A3:A562,A2124,'외운 것 - 엑셀다운로드 파일(붙여넣기)'!D3:D562,0)</f>
        <v>0</v>
      </c>
      <c r="L2124" s="9" cm="1">
        <f t="array" ref="L2124">IF(J2124&gt;=3,_xlfn.XLOOKUP(A2124,'외운 것 - 엑셀다운로드 파일(붙여넣기)'!A3:A562,'외운 것 - 엑셀다운로드 파일(붙여넣기)'!C3:C562,0,-1),0)</f>
        <v>0</v>
      </c>
    </row>
    <row r="2125" ht="23.45" customHeight="1">
      <c r="A2125" s="3">
        <v>2124</v>
      </c>
      <c r="B2125" t="s" s="4">
        <v>13358</v>
      </c>
      <c r="C2125" t="s" s="5">
        <v>13359</v>
      </c>
      <c r="D2125" t="s" s="5">
        <v>13360</v>
      </c>
      <c r="E2125" t="s" s="5">
        <v>13361</v>
      </c>
      <c r="F2125" t="s" s="10">
        <v>13362</v>
      </c>
      <c r="G2125" t="s" s="7">
        <v>13363</v>
      </c>
      <c r="H2125" t="s" s="7">
        <v>13364</v>
      </c>
      <c r="I2125" t="str" s="8" cm="1">
        <f t="array" ref="I2125">SUBSTITUTE(H2125,B2125,"(          )")</f>
        <v>The (          ) of excited children filled the playground.</v>
      </c>
      <c r="J2125" s="9" cm="1">
        <f t="array" ref="J2125">SUMIF('외운 것 - 엑셀다운로드 파일(붙여넣기)'!A3:A562,A2125,'외운 것 - 엑셀다운로드 파일(붙여넣기)'!D3:D562)</f>
        <v>0</v>
      </c>
      <c r="K2125" s="9" cm="1">
        <f t="array" ref="K2125">_xlfn.COUNTIFS('외운 것 - 엑셀다운로드 파일(붙여넣기)'!A3:A562,A2125,'외운 것 - 엑셀다운로드 파일(붙여넣기)'!D3:D562,0)</f>
        <v>0</v>
      </c>
      <c r="L2125" s="9" cm="1">
        <f t="array" ref="L2125">IF(J2125&gt;=3,_xlfn.XLOOKUP(A2125,'외운 것 - 엑셀다운로드 파일(붙여넣기)'!A3:A562,'외운 것 - 엑셀다운로드 파일(붙여넣기)'!C3:C562,0,-1),0)</f>
        <v>0</v>
      </c>
    </row>
    <row r="2126" ht="38.45" customHeight="1">
      <c r="A2126" s="3">
        <v>2125</v>
      </c>
      <c r="B2126" t="s" s="4">
        <v>4563</v>
      </c>
      <c r="C2126" t="s" s="5">
        <v>13359</v>
      </c>
      <c r="D2126" t="s" s="5">
        <v>13360</v>
      </c>
      <c r="E2126" t="s" s="5">
        <v>4564</v>
      </c>
      <c r="F2126" t="s" s="10">
        <v>13366</v>
      </c>
      <c r="G2126" t="s" s="7">
        <v>13367</v>
      </c>
      <c r="H2126" t="s" s="7">
        <v>4567</v>
      </c>
      <c r="I2126" t="str" s="8" cm="1">
        <f t="array" ref="I2126">SUBSTITUTE(H2126,B2126,"(          )")</f>
        <v>His compliments (          ) her.</v>
      </c>
      <c r="J2126" s="9" cm="1">
        <f t="array" ref="J2126">SUMIF('외운 것 - 엑셀다운로드 파일(붙여넣기)'!A3:A562,A2126,'외운 것 - 엑셀다운로드 파일(붙여넣기)'!D3:D562)</f>
        <v>0</v>
      </c>
      <c r="K2126" s="9" cm="1">
        <f t="array" ref="K2126">_xlfn.COUNTIFS('외운 것 - 엑셀다운로드 파일(붙여넣기)'!A3:A562,A2126,'외운 것 - 엑셀다운로드 파일(붙여넣기)'!D3:D562,0)</f>
        <v>0</v>
      </c>
      <c r="L2126" s="9" cm="1">
        <f t="array" ref="L2126">IF(J2126&gt;=3,_xlfn.XLOOKUP(A2126,'외운 것 - 엑셀다운로드 파일(붙여넣기)'!A3:A562,'외운 것 - 엑셀다운로드 파일(붙여넣기)'!C3:C562,0,-1),0)</f>
        <v>0</v>
      </c>
    </row>
    <row r="2127" ht="23.45" customHeight="1">
      <c r="A2127" s="3">
        <v>2126</v>
      </c>
      <c r="B2127" t="s" s="4">
        <v>5651</v>
      </c>
      <c r="C2127" t="s" s="5">
        <v>13359</v>
      </c>
      <c r="D2127" t="s" s="5">
        <v>13360</v>
      </c>
      <c r="E2127" t="s" s="5">
        <v>5652</v>
      </c>
      <c r="F2127" t="s" s="10">
        <v>13368</v>
      </c>
      <c r="G2127" t="s" s="7">
        <v>5654</v>
      </c>
      <c r="H2127" t="s" s="7">
        <v>5655</v>
      </c>
      <c r="I2127" t="str" s="8" cm="1">
        <f t="array" ref="I2127">SUBSTITUTE(H2127,B2127,"(          )")</f>
        <v>Children love crafts with (          ).</v>
      </c>
      <c r="J2127" s="9" cm="1">
        <f t="array" ref="J2127">SUMIF('외운 것 - 엑셀다운로드 파일(붙여넣기)'!A3:A562,A2127,'외운 것 - 엑셀다운로드 파일(붙여넣기)'!D3:D562)</f>
        <v>0</v>
      </c>
      <c r="K2127" s="9" cm="1">
        <f t="array" ref="K2127">_xlfn.COUNTIFS('외운 것 - 엑셀다운로드 파일(붙여넣기)'!A3:A562,A2127,'외운 것 - 엑셀다운로드 파일(붙여넣기)'!D3:D562,0)</f>
        <v>0</v>
      </c>
      <c r="L2127" s="9" cm="1">
        <f t="array" ref="L2127">IF(J2127&gt;=3,_xlfn.XLOOKUP(A2127,'외운 것 - 엑셀다운로드 파일(붙여넣기)'!A3:A562,'외운 것 - 엑셀다운로드 파일(붙여넣기)'!C3:C562,0,-1),0)</f>
        <v>0</v>
      </c>
    </row>
    <row r="2128" ht="23.45" customHeight="1">
      <c r="A2128" s="3">
        <v>2127</v>
      </c>
      <c r="B2128" t="s" s="4">
        <v>13369</v>
      </c>
      <c r="C2128" t="s" s="5">
        <v>13359</v>
      </c>
      <c r="D2128" t="s" s="5">
        <v>13360</v>
      </c>
      <c r="E2128" t="s" s="5">
        <v>13370</v>
      </c>
      <c r="F2128" t="s" s="10">
        <v>13371</v>
      </c>
      <c r="G2128" t="s" s="7">
        <v>13372</v>
      </c>
      <c r="H2128" t="s" s="7">
        <v>13373</v>
      </c>
      <c r="I2128" t="str" s="8" cm="1">
        <f t="array" ref="I2128">SUBSTITUTE(H2128,B2128,"(          )")</f>
        <v>The glass vase will (          ) if dropped on the floor.</v>
      </c>
      <c r="J2128" s="9" cm="1">
        <f t="array" ref="J2128">SUMIF('외운 것 - 엑셀다운로드 파일(붙여넣기)'!A3:A562,A2128,'외운 것 - 엑셀다운로드 파일(붙여넣기)'!D3:D562)</f>
        <v>0</v>
      </c>
      <c r="K2128" s="9" cm="1">
        <f t="array" ref="K2128">_xlfn.COUNTIFS('외운 것 - 엑셀다운로드 파일(붙여넣기)'!A3:A562,A2128,'외운 것 - 엑셀다운로드 파일(붙여넣기)'!D3:D562,0)</f>
        <v>0</v>
      </c>
      <c r="L2128" s="9" cm="1">
        <f t="array" ref="L2128">IF(J2128&gt;=3,_xlfn.XLOOKUP(A2128,'외운 것 - 엑셀다운로드 파일(붙여넣기)'!A3:A562,'외운 것 - 엑셀다운로드 파일(붙여넣기)'!C3:C562,0,-1),0)</f>
        <v>0</v>
      </c>
    </row>
    <row r="2129" ht="23.45" customHeight="1">
      <c r="A2129" s="3">
        <v>2128</v>
      </c>
      <c r="B2129" t="s" s="4">
        <v>2690</v>
      </c>
      <c r="C2129" t="s" s="5">
        <v>13359</v>
      </c>
      <c r="D2129" t="s" s="5">
        <v>13360</v>
      </c>
      <c r="E2129" t="s" s="5">
        <v>2691</v>
      </c>
      <c r="F2129" t="s" s="10">
        <v>13375</v>
      </c>
      <c r="G2129" t="s" s="7">
        <v>2693</v>
      </c>
      <c r="H2129" t="s" s="7">
        <v>2694</v>
      </c>
      <c r="I2129" t="str" s="8" cm="1">
        <f t="array" ref="I2129">SUBSTITUTE(H2129,B2129,"(          )")</f>
        <v>Wind will (          ) leaves across the yard.</v>
      </c>
      <c r="J2129" s="9" cm="1">
        <f t="array" ref="J2129">SUMIF('외운 것 - 엑셀다운로드 파일(붙여넣기)'!A3:A562,A2129,'외운 것 - 엑셀다운로드 파일(붙여넣기)'!D3:D562)</f>
        <v>0</v>
      </c>
      <c r="K2129" s="9" cm="1">
        <f t="array" ref="K2129">_xlfn.COUNTIFS('외운 것 - 엑셀다운로드 파일(붙여넣기)'!A3:A562,A2129,'외운 것 - 엑셀다운로드 파일(붙여넣기)'!D3:D562,0)</f>
        <v>0</v>
      </c>
      <c r="L2129" s="9" cm="1">
        <f t="array" ref="L2129">IF(J2129&gt;=3,_xlfn.XLOOKUP(A2129,'외운 것 - 엑셀다운로드 파일(붙여넣기)'!A3:A562,'외운 것 - 엑셀다운로드 파일(붙여넣기)'!C3:C562,0,-1),0)</f>
        <v>0</v>
      </c>
    </row>
    <row r="2130" ht="23.45" customHeight="1">
      <c r="A2130" s="3">
        <v>2129</v>
      </c>
      <c r="B2130" t="s" s="4">
        <v>13376</v>
      </c>
      <c r="C2130" t="s" s="5">
        <v>13359</v>
      </c>
      <c r="D2130" t="s" s="5">
        <v>13360</v>
      </c>
      <c r="E2130" t="s" s="5">
        <v>13377</v>
      </c>
      <c r="F2130" t="s" s="10">
        <v>13378</v>
      </c>
      <c r="G2130" t="s" s="7">
        <v>2731</v>
      </c>
      <c r="H2130" t="s" s="7">
        <v>13379</v>
      </c>
      <c r="I2130" t="str" s="8" cm="1">
        <f t="array" ref="I2130">SUBSTITUTE(H2130,B2130,"(          )")</f>
        <v>Please don't (          ); use the trash cans provided.</v>
      </c>
      <c r="J2130" s="9" cm="1">
        <f t="array" ref="J2130">SUMIF('외운 것 - 엑셀다운로드 파일(붙여넣기)'!A3:A562,A2130,'외운 것 - 엑셀다운로드 파일(붙여넣기)'!D3:D562)</f>
        <v>0</v>
      </c>
      <c r="K2130" s="9" cm="1">
        <f t="array" ref="K2130">_xlfn.COUNTIFS('외운 것 - 엑셀다운로드 파일(붙여넣기)'!A3:A562,A2130,'외운 것 - 엑셀다운로드 파일(붙여넣기)'!D3:D562,0)</f>
        <v>0</v>
      </c>
      <c r="L2130" s="9" cm="1">
        <f t="array" ref="L2130">IF(J2130&gt;=3,_xlfn.XLOOKUP(A2130,'외운 것 - 엑셀다운로드 파일(붙여넣기)'!A3:A562,'외운 것 - 엑셀다운로드 파일(붙여넣기)'!C3:C562,0,-1),0)</f>
        <v>0</v>
      </c>
    </row>
    <row r="2131" ht="38.45" customHeight="1">
      <c r="A2131" s="3">
        <v>2130</v>
      </c>
      <c r="B2131" t="s" s="4">
        <v>13381</v>
      </c>
      <c r="C2131" t="s" s="5">
        <v>13359</v>
      </c>
      <c r="D2131" t="s" s="5">
        <v>13360</v>
      </c>
      <c r="E2131" t="s" s="5">
        <v>13382</v>
      </c>
      <c r="F2131" t="s" s="10">
        <v>13383</v>
      </c>
      <c r="G2131" t="s" s="7">
        <v>13384</v>
      </c>
      <c r="H2131" t="s" s="7">
        <v>13385</v>
      </c>
      <c r="I2131" t="str" s="8" cm="1">
        <f t="array" ref="I2131">SUBSTITUTE(H2131,B2131,"(          )")</f>
        <v>She didn't (          ) a single word during the entire meeting.</v>
      </c>
      <c r="J2131" s="9" cm="1">
        <f t="array" ref="J2131">SUMIF('외운 것 - 엑셀다운로드 파일(붙여넣기)'!A3:A562,A2131,'외운 것 - 엑셀다운로드 파일(붙여넣기)'!D3:D562)</f>
        <v>0</v>
      </c>
      <c r="K2131" s="9" cm="1">
        <f t="array" ref="K2131">_xlfn.COUNTIFS('외운 것 - 엑셀다운로드 파일(붙여넣기)'!A3:A562,A2131,'외운 것 - 엑셀다운로드 파일(붙여넣기)'!D3:D562,0)</f>
        <v>0</v>
      </c>
      <c r="L2131" s="9" cm="1">
        <f t="array" ref="L2131">IF(J2131&gt;=3,_xlfn.XLOOKUP(A2131,'외운 것 - 엑셀다운로드 파일(붙여넣기)'!A3:A562,'외운 것 - 엑셀다운로드 파일(붙여넣기)'!C3:C562,0,-1),0)</f>
        <v>0</v>
      </c>
    </row>
    <row r="2132" ht="38.45" customHeight="1">
      <c r="A2132" s="3">
        <v>2131</v>
      </c>
      <c r="B2132" t="s" s="4">
        <v>13387</v>
      </c>
      <c r="C2132" t="s" s="5">
        <v>13359</v>
      </c>
      <c r="D2132" t="s" s="5">
        <v>13360</v>
      </c>
      <c r="E2132" t="s" s="5">
        <v>13388</v>
      </c>
      <c r="F2132" t="s" s="10">
        <v>13389</v>
      </c>
      <c r="G2132" t="s" s="7">
        <v>13390</v>
      </c>
      <c r="H2132" t="s" s="7">
        <v>13391</v>
      </c>
      <c r="I2132" t="str" s="8" cm="1">
        <f t="array" ref="I2132">SUBSTITUTE(H2132,B2132,"(          )")</f>
        <v>He began to (          ) complaints under his breath.</v>
      </c>
      <c r="J2132" s="9" cm="1">
        <f t="array" ref="J2132">SUMIF('외운 것 - 엑셀다운로드 파일(붙여넣기)'!A3:A562,A2132,'외운 것 - 엑셀다운로드 파일(붙여넣기)'!D3:D562)</f>
        <v>0</v>
      </c>
      <c r="K2132" s="9" cm="1">
        <f t="array" ref="K2132">_xlfn.COUNTIFS('외운 것 - 엑셀다운로드 파일(붙여넣기)'!A3:A562,A2132,'외운 것 - 엑셀다운로드 파일(붙여넣기)'!D3:D562,0)</f>
        <v>0</v>
      </c>
      <c r="L2132" s="9" cm="1">
        <f t="array" ref="L2132">IF(J2132&gt;=3,_xlfn.XLOOKUP(A2132,'외운 것 - 엑셀다운로드 파일(붙여넣기)'!A3:A562,'외운 것 - 엑셀다운로드 파일(붙여넣기)'!C3:C562,0,-1),0)</f>
        <v>0</v>
      </c>
    </row>
    <row r="2133" ht="23.45" customHeight="1">
      <c r="A2133" s="3">
        <v>2132</v>
      </c>
      <c r="B2133" t="s" s="4">
        <v>13393</v>
      </c>
      <c r="C2133" t="s" s="5">
        <v>13394</v>
      </c>
      <c r="D2133" t="s" s="5">
        <v>13395</v>
      </c>
      <c r="E2133" t="s" s="5">
        <v>13396</v>
      </c>
      <c r="F2133" t="s" s="10">
        <v>13397</v>
      </c>
      <c r="G2133" t="s" s="7">
        <v>13398</v>
      </c>
      <c r="H2133" t="s" s="7">
        <v>13399</v>
      </c>
      <c r="I2133" t="str" s="8" cm="1">
        <f t="array" ref="I2133">SUBSTITUTE(H2133,B2133,"(          )")</f>
        <v>Use a (          ) to support the young tree.</v>
      </c>
      <c r="J2133" s="9" cm="1">
        <f t="array" ref="J2133">SUMIF('외운 것 - 엑셀다운로드 파일(붙여넣기)'!A3:A562,A2133,'외운 것 - 엑셀다운로드 파일(붙여넣기)'!D3:D562)</f>
        <v>0</v>
      </c>
      <c r="K2133" s="9" cm="1">
        <f t="array" ref="K2133">_xlfn.COUNTIFS('외운 것 - 엑셀다운로드 파일(붙여넣기)'!A3:A562,A2133,'외운 것 - 엑셀다운로드 파일(붙여넣기)'!D3:D562,0)</f>
        <v>0</v>
      </c>
      <c r="L2133" s="9" cm="1">
        <f t="array" ref="L2133">IF(J2133&gt;=3,_xlfn.XLOOKUP(A2133,'외운 것 - 엑셀다운로드 파일(붙여넣기)'!A3:A562,'외운 것 - 엑셀다운로드 파일(붙여넣기)'!C3:C562,0,-1),0)</f>
        <v>0</v>
      </c>
    </row>
    <row r="2134" ht="23.45" customHeight="1">
      <c r="A2134" s="3">
        <v>2133</v>
      </c>
      <c r="B2134" t="s" s="4">
        <v>13401</v>
      </c>
      <c r="C2134" t="s" s="5">
        <v>13394</v>
      </c>
      <c r="D2134" t="s" s="5">
        <v>13395</v>
      </c>
      <c r="E2134" t="s" s="5">
        <v>13402</v>
      </c>
      <c r="F2134" t="s" s="10">
        <v>13403</v>
      </c>
      <c r="G2134" t="s" s="7">
        <v>13404</v>
      </c>
      <c r="H2134" t="s" s="7">
        <v>13405</v>
      </c>
      <c r="I2134" t="str" s="8" cm="1">
        <f t="array" ref="I2134">SUBSTITUTE(H2134,B2134,"(          )")</f>
        <v>Be careful of bees that might (          ) when disturbed.</v>
      </c>
      <c r="J2134" s="9" cm="1">
        <f t="array" ref="J2134">SUMIF('외운 것 - 엑셀다운로드 파일(붙여넣기)'!A3:A562,A2134,'외운 것 - 엑셀다운로드 파일(붙여넣기)'!D3:D562)</f>
        <v>0</v>
      </c>
      <c r="K2134" s="9" cm="1">
        <f t="array" ref="K2134">_xlfn.COUNTIFS('외운 것 - 엑셀다운로드 파일(붙여넣기)'!A3:A562,A2134,'외운 것 - 엑셀다운로드 파일(붙여넣기)'!D3:D562,0)</f>
        <v>0</v>
      </c>
      <c r="L2134" s="9" cm="1">
        <f t="array" ref="L2134">IF(J2134&gt;=3,_xlfn.XLOOKUP(A2134,'외운 것 - 엑셀다운로드 파일(붙여넣기)'!A3:A562,'외운 것 - 엑셀다운로드 파일(붙여넣기)'!C3:C562,0,-1),0)</f>
        <v>0</v>
      </c>
    </row>
    <row r="2135" ht="23.45" customHeight="1">
      <c r="A2135" s="3">
        <v>2134</v>
      </c>
      <c r="B2135" t="s" s="4">
        <v>13407</v>
      </c>
      <c r="C2135" t="s" s="5">
        <v>13408</v>
      </c>
      <c r="D2135" t="s" s="5">
        <v>13394</v>
      </c>
      <c r="E2135" t="s" s="5">
        <v>13409</v>
      </c>
      <c r="F2135" t="s" s="10">
        <v>13410</v>
      </c>
      <c r="G2135" t="s" s="7">
        <v>13411</v>
      </c>
      <c r="H2135" t="s" s="7">
        <v>13412</v>
      </c>
      <c r="I2135" t="str" s="8" cm="1">
        <f t="array" ref="I2135">SUBSTITUTE(H2135,B2135,"(          )")</f>
        <v>It's difficult to (          ) between the identical twins.</v>
      </c>
      <c r="J2135" s="9" cm="1">
        <f t="array" ref="J2135">SUMIF('외운 것 - 엑셀다운로드 파일(붙여넣기)'!A3:A562,A2135,'외운 것 - 엑셀다운로드 파일(붙여넣기)'!D3:D562)</f>
        <v>0</v>
      </c>
      <c r="K2135" s="9" cm="1">
        <f t="array" ref="K2135">_xlfn.COUNTIFS('외운 것 - 엑셀다운로드 파일(붙여넣기)'!A3:A562,A2135,'외운 것 - 엑셀다운로드 파일(붙여넣기)'!D3:D562,0)</f>
        <v>0</v>
      </c>
      <c r="L2135" s="9" cm="1">
        <f t="array" ref="L2135">IF(J2135&gt;=3,_xlfn.XLOOKUP(A2135,'외운 것 - 엑셀다운로드 파일(붙여넣기)'!A3:A562,'외운 것 - 엑셀다운로드 파일(붙여넣기)'!C3:C562,0,-1),0)</f>
        <v>0</v>
      </c>
    </row>
    <row r="2136" ht="50.45" customHeight="1">
      <c r="A2136" s="3">
        <v>2135</v>
      </c>
      <c r="B2136" t="s" s="4">
        <v>13414</v>
      </c>
      <c r="C2136" t="s" s="5">
        <v>13415</v>
      </c>
      <c r="D2136" t="s" s="5">
        <v>13394</v>
      </c>
      <c r="E2136" t="s" s="5">
        <v>13416</v>
      </c>
      <c r="F2136" t="s" s="10">
        <v>13417</v>
      </c>
      <c r="G2136" t="s" s="7">
        <v>13418</v>
      </c>
      <c r="H2136" t="s" s="7">
        <v>13419</v>
      </c>
      <c r="I2136" t="str" s="8" cm="1">
        <f t="array" ref="I2136">SUBSTITUTE(H2136,B2136,"(          )")</f>
        <v>The fake painting was easily (          ) from the original.</v>
      </c>
      <c r="J2136" s="9" cm="1">
        <f t="array" ref="J2136">SUMIF('외운 것 - 엑셀다운로드 파일(붙여넣기)'!A3:A562,A2136,'외운 것 - 엑셀다운로드 파일(붙여넣기)'!D3:D562)</f>
        <v>0</v>
      </c>
      <c r="K2136" s="9" cm="1">
        <f t="array" ref="K2136">_xlfn.COUNTIFS('외운 것 - 엑셀다운로드 파일(붙여넣기)'!A3:A562,A2136,'외운 것 - 엑셀다운로드 파일(붙여넣기)'!D3:D562,0)</f>
        <v>0</v>
      </c>
      <c r="L2136" s="9" cm="1">
        <f t="array" ref="L2136">IF(J2136&gt;=3,_xlfn.XLOOKUP(A2136,'외운 것 - 엑셀다운로드 파일(붙여넣기)'!A3:A562,'외운 것 - 엑셀다운로드 파일(붙여넣기)'!C3:C562,0,-1),0)</f>
        <v>0</v>
      </c>
    </row>
    <row r="2137" ht="50.45" customHeight="1">
      <c r="A2137" s="3">
        <v>2136</v>
      </c>
      <c r="B2137" t="s" s="4">
        <v>13421</v>
      </c>
      <c r="C2137" t="s" s="5">
        <v>13415</v>
      </c>
      <c r="D2137" t="s" s="5">
        <v>13394</v>
      </c>
      <c r="E2137" t="s" s="5">
        <v>13422</v>
      </c>
      <c r="F2137" t="s" s="10">
        <v>13423</v>
      </c>
      <c r="G2137" t="s" s="7">
        <v>13424</v>
      </c>
      <c r="H2137" t="s" s="7">
        <v>13425</v>
      </c>
      <c r="I2137" t="str" s="8" cm="1">
        <f t="array" ref="I2137">SUBSTITUTE(H2137,B2137,"(          )")</f>
        <v>The (          ) professor received many academic awards.</v>
      </c>
      <c r="J2137" s="9" cm="1">
        <f t="array" ref="J2137">SUMIF('외운 것 - 엑셀다운로드 파일(붙여넣기)'!A3:A562,A2137,'외운 것 - 엑셀다운로드 파일(붙여넣기)'!D3:D562)</f>
        <v>0</v>
      </c>
      <c r="K2137" s="9" cm="1">
        <f t="array" ref="K2137">_xlfn.COUNTIFS('외운 것 - 엑셀다운로드 파일(붙여넣기)'!A3:A562,A2137,'외운 것 - 엑셀다운로드 파일(붙여넣기)'!D3:D562,0)</f>
        <v>0</v>
      </c>
      <c r="L2137" s="9" cm="1">
        <f t="array" ref="L2137">IF(J2137&gt;=3,_xlfn.XLOOKUP(A2137,'외운 것 - 엑셀다운로드 파일(붙여넣기)'!A3:A562,'외운 것 - 엑셀다운로드 파일(붙여넣기)'!C3:C562,0,-1),0)</f>
        <v>0</v>
      </c>
    </row>
    <row r="2138" ht="38.45" customHeight="1">
      <c r="A2138" s="3">
        <v>2137</v>
      </c>
      <c r="B2138" t="s" s="4">
        <v>13427</v>
      </c>
      <c r="C2138" t="s" s="5">
        <v>13408</v>
      </c>
      <c r="D2138" t="s" s="5">
        <v>13394</v>
      </c>
      <c r="E2138" t="s" s="5">
        <v>13428</v>
      </c>
      <c r="F2138" t="s" s="10">
        <v>13429</v>
      </c>
      <c r="G2138" t="s" s="7">
        <v>13430</v>
      </c>
      <c r="H2138" t="s" s="7">
        <v>13431</v>
      </c>
      <c r="I2138" t="str" s="8" cm="1">
        <f t="array" ref="I2138">SUBSTITUTE(H2138,B2138,"(          )")</f>
        <v>Firefighters worked to (          ) the forest fire.</v>
      </c>
      <c r="J2138" s="9" cm="1">
        <f t="array" ref="J2138">SUMIF('외운 것 - 엑셀다운로드 파일(붙여넣기)'!A3:A562,A2138,'외운 것 - 엑셀다운로드 파일(붙여넣기)'!D3:D562)</f>
        <v>0</v>
      </c>
      <c r="K2138" s="9" cm="1">
        <f t="array" ref="K2138">_xlfn.COUNTIFS('외운 것 - 엑셀다운로드 파일(붙여넣기)'!A3:A562,A2138,'외운 것 - 엑셀다운로드 파일(붙여넣기)'!D3:D562,0)</f>
        <v>0</v>
      </c>
      <c r="L2138" s="9" cm="1">
        <f t="array" ref="L2138">IF(J2138&gt;=3,_xlfn.XLOOKUP(A2138,'외운 것 - 엑셀다운로드 파일(붙여넣기)'!A3:A562,'외운 것 - 엑셀다운로드 파일(붙여넣기)'!C3:C562,0,-1),0)</f>
        <v>0</v>
      </c>
    </row>
    <row r="2139" ht="50.45" customHeight="1">
      <c r="A2139" s="3">
        <v>2138</v>
      </c>
      <c r="B2139" t="s" s="4">
        <v>13433</v>
      </c>
      <c r="C2139" t="s" s="5">
        <v>13434</v>
      </c>
      <c r="D2139" t="s" s="5">
        <v>13394</v>
      </c>
      <c r="E2139" t="s" s="5">
        <v>13435</v>
      </c>
      <c r="F2139" t="s" s="10">
        <v>13436</v>
      </c>
      <c r="G2139" t="s" s="7">
        <v>13437</v>
      </c>
      <c r="H2139" t="s" s="7">
        <v>13438</v>
      </c>
      <c r="I2139" t="str" s="8" cm="1">
        <f t="array" ref="I2139">SUBSTITUTE(H2139,B2139,"(          )")</f>
        <v>Dinosaurs have been (          ) for millions of years.</v>
      </c>
      <c r="J2139" s="9" cm="1">
        <f t="array" ref="J2139">SUMIF('외운 것 - 엑셀다운로드 파일(붙여넣기)'!A3:A562,A2139,'외운 것 - 엑셀다운로드 파일(붙여넣기)'!D3:D562)</f>
        <v>0</v>
      </c>
      <c r="K2139" s="9" cm="1">
        <f t="array" ref="K2139">_xlfn.COUNTIFS('외운 것 - 엑셀다운로드 파일(붙여넣기)'!A3:A562,A2139,'외운 것 - 엑셀다운로드 파일(붙여넣기)'!D3:D562,0)</f>
        <v>0</v>
      </c>
      <c r="L2139" s="9" cm="1">
        <f t="array" ref="L2139">IF(J2139&gt;=3,_xlfn.XLOOKUP(A2139,'외운 것 - 엑셀다운로드 파일(붙여넣기)'!A3:A562,'외운 것 - 엑셀다운로드 파일(붙여넣기)'!C3:C562,0,-1),0)</f>
        <v>0</v>
      </c>
    </row>
    <row r="2140" ht="36.4" customHeight="1">
      <c r="A2140" s="3">
        <v>2139</v>
      </c>
      <c r="B2140" t="s" s="4">
        <v>13440</v>
      </c>
      <c r="C2140" t="s" s="5">
        <v>13441</v>
      </c>
      <c r="D2140" t="s" s="5">
        <v>13394</v>
      </c>
      <c r="E2140" t="s" s="5">
        <v>13442</v>
      </c>
      <c r="F2140" t="s" s="10">
        <v>13443</v>
      </c>
      <c r="G2140" t="s" s="7">
        <v>13444</v>
      </c>
      <c r="H2140" t="s" s="7">
        <v>13445</v>
      </c>
      <c r="I2140" t="str" s="8" cm="1">
        <f t="array" ref="I2140">SUBSTITUTE(H2140,B2140,"(          )")</f>
        <v>The two proposals are quite (          ) in their approach.</v>
      </c>
      <c r="J2140" s="9" cm="1">
        <f t="array" ref="J2140">SUMIF('외운 것 - 엑셀다운로드 파일(붙여넣기)'!A3:A562,A2140,'외운 것 - 엑셀다운로드 파일(붙여넣기)'!D3:D562)</f>
        <v>0</v>
      </c>
      <c r="K2140" s="9" cm="1">
        <f t="array" ref="K2140">_xlfn.COUNTIFS('외운 것 - 엑셀다운로드 파일(붙여넣기)'!A3:A562,A2140,'외운 것 - 엑셀다운로드 파일(붙여넣기)'!D3:D562,0)</f>
        <v>0</v>
      </c>
      <c r="L2140" s="9" cm="1">
        <f t="array" ref="L2140">IF(J2140&gt;=3,_xlfn.XLOOKUP(A2140,'외운 것 - 엑셀다운로드 파일(붙여넣기)'!A3:A562,'외운 것 - 엑셀다운로드 파일(붙여넣기)'!C3:C562,0,-1),0)</f>
        <v>0</v>
      </c>
    </row>
    <row r="2141" ht="23.45" customHeight="1">
      <c r="A2141" s="3">
        <v>2140</v>
      </c>
      <c r="B2141" t="s" s="4">
        <v>13447</v>
      </c>
      <c r="C2141" t="s" s="5">
        <v>13408</v>
      </c>
      <c r="D2141" t="s" s="5">
        <v>13394</v>
      </c>
      <c r="E2141" t="s" s="5">
        <v>13448</v>
      </c>
      <c r="F2141" t="s" s="10">
        <v>13449</v>
      </c>
      <c r="G2141" t="s" s="7">
        <v>13450</v>
      </c>
      <c r="H2141" t="s" s="7">
        <v>13451</v>
      </c>
      <c r="I2141" t="str" s="8" cm="1">
        <f t="array" ref="I2141">SUBSTITUTE(H2141,B2141,"(          )")</f>
        <v>A mother's (          ) to protect her child is very strong.</v>
      </c>
      <c r="J2141" s="9" cm="1">
        <f t="array" ref="J2141">SUMIF('외운 것 - 엑셀다운로드 파일(붙여넣기)'!A3:A562,A2141,'외운 것 - 엑셀다운로드 파일(붙여넣기)'!D3:D562)</f>
        <v>0</v>
      </c>
      <c r="K2141" s="9" cm="1">
        <f t="array" ref="K2141">_xlfn.COUNTIFS('외운 것 - 엑셀다운로드 파일(붙여넣기)'!A3:A562,A2141,'외운 것 - 엑셀다운로드 파일(붙여넣기)'!D3:D562,0)</f>
        <v>0</v>
      </c>
      <c r="L2141" s="9" cm="1">
        <f t="array" ref="L2141">IF(J2141&gt;=3,_xlfn.XLOOKUP(A2141,'외운 것 - 엑셀다운로드 파일(붙여넣기)'!A3:A562,'외운 것 - 엑셀다운로드 파일(붙여넣기)'!C3:C562,0,-1),0)</f>
        <v>0</v>
      </c>
    </row>
    <row r="2142" ht="23.45" customHeight="1">
      <c r="A2142" s="3">
        <v>2141</v>
      </c>
      <c r="B2142" t="s" s="4">
        <v>13453</v>
      </c>
      <c r="C2142" t="s" s="5">
        <v>13394</v>
      </c>
      <c r="D2142" t="s" s="5">
        <v>13395</v>
      </c>
      <c r="E2142" t="s" s="5">
        <v>13454</v>
      </c>
      <c r="F2142" t="s" s="10">
        <v>13455</v>
      </c>
      <c r="G2142" t="s" s="7">
        <v>13456</v>
      </c>
      <c r="H2142" t="s" s="7">
        <v>13457</v>
      </c>
      <c r="I2142" t="str" s="8" cm="1">
        <f t="array" ref="I2142">SUBSTITUTE(H2142,B2142,"(          )")</f>
        <v>Stir the soup occasionally while it cooks.</v>
      </c>
      <c r="J2142" s="9" cm="1">
        <f t="array" ref="J2142">SUMIF('외운 것 - 엑셀다운로드 파일(붙여넣기)'!A3:A562,A2142,'외운 것 - 엑셀다운로드 파일(붙여넣기)'!D3:D562)</f>
        <v>0</v>
      </c>
      <c r="K2142" s="9" cm="1">
        <f t="array" ref="K2142">_xlfn.COUNTIFS('외운 것 - 엑셀다운로드 파일(붙여넣기)'!A3:A562,A2142,'외운 것 - 엑셀다운로드 파일(붙여넣기)'!D3:D562,0)</f>
        <v>0</v>
      </c>
      <c r="L2142" s="9" cm="1">
        <f t="array" ref="L2142">IF(J2142&gt;=3,_xlfn.XLOOKUP(A2142,'외운 것 - 엑셀다운로드 파일(붙여넣기)'!A3:A562,'외운 것 - 엑셀다운로드 파일(붙여넣기)'!C3:C562,0,-1),0)</f>
        <v>0</v>
      </c>
    </row>
    <row r="2143" ht="38.45" customHeight="1">
      <c r="A2143" s="3">
        <v>2142</v>
      </c>
      <c r="B2143" t="s" s="4">
        <v>13459</v>
      </c>
      <c r="C2143" t="s" s="5">
        <v>13394</v>
      </c>
      <c r="D2143" t="s" s="5">
        <v>13395</v>
      </c>
      <c r="E2143" t="s" s="5">
        <v>13460</v>
      </c>
      <c r="F2143" t="s" s="10">
        <v>13461</v>
      </c>
      <c r="G2143" t="s" s="7">
        <v>13462</v>
      </c>
      <c r="H2143" t="s" s="7">
        <v>13463</v>
      </c>
      <c r="I2143" t="str" s="8" cm="1">
        <f t="array" ref="I2143">SUBSTITUTE(H2143,B2143,"(          )")</f>
        <v>Coffee can (          ) your brain and increase alertness.</v>
      </c>
      <c r="J2143" s="9" cm="1">
        <f t="array" ref="J2143">SUMIF('외운 것 - 엑셀다운로드 파일(붙여넣기)'!A3:A562,A2143,'외운 것 - 엑셀다운로드 파일(붙여넣기)'!D3:D562)</f>
        <v>0</v>
      </c>
      <c r="K2143" s="9" cm="1">
        <f t="array" ref="K2143">_xlfn.COUNTIFS('외운 것 - 엑셀다운로드 파일(붙여넣기)'!A3:A562,A2143,'외운 것 - 엑셀다운로드 파일(붙여넣기)'!D3:D562,0)</f>
        <v>0</v>
      </c>
      <c r="L2143" s="9" cm="1">
        <f t="array" ref="L2143">IF(J2143&gt;=3,_xlfn.XLOOKUP(A2143,'외운 것 - 엑셀다운로드 파일(붙여넣기)'!A3:A562,'외운 것 - 엑셀다운로드 파일(붙여넣기)'!C3:C562,0,-1),0)</f>
        <v>0</v>
      </c>
    </row>
    <row r="2144" ht="23.45" customHeight="1">
      <c r="A2144" s="3">
        <v>2143</v>
      </c>
      <c r="B2144" t="s" s="4">
        <v>13465</v>
      </c>
      <c r="C2144" t="s" s="5">
        <v>13394</v>
      </c>
      <c r="D2144" t="s" s="5">
        <v>13395</v>
      </c>
      <c r="E2144" t="s" s="5">
        <v>13466</v>
      </c>
      <c r="F2144" t="s" s="10">
        <v>13467</v>
      </c>
      <c r="G2144" t="s" s="7">
        <v>13468</v>
      </c>
      <c r="H2144" t="s" s="7">
        <v>13469</v>
      </c>
      <c r="I2144" t="str" s="8" cm="1">
        <f t="array" ref="I2144">SUBSTITUTE(H2144,B2144,"(          )")</f>
        <v>Rotten eggs (          ) terribly.</v>
      </c>
      <c r="J2144" s="9" cm="1">
        <f t="array" ref="J2144">SUMIF('외운 것 - 엑셀다운로드 파일(붙여넣기)'!A3:A562,A2144,'외운 것 - 엑셀다운로드 파일(붙여넣기)'!D3:D562)</f>
        <v>0</v>
      </c>
      <c r="K2144" s="9" cm="1">
        <f t="array" ref="K2144">_xlfn.COUNTIFS('외운 것 - 엑셀다운로드 파일(붙여넣기)'!A3:A562,A2144,'외운 것 - 엑셀다운로드 파일(붙여넣기)'!D3:D562,0)</f>
        <v>0</v>
      </c>
      <c r="L2144" s="9" cm="1">
        <f t="array" ref="L2144">IF(J2144&gt;=3,_xlfn.XLOOKUP(A2144,'외운 것 - 엑셀다운로드 파일(붙여넣기)'!A3:A562,'외운 것 - 엑셀다운로드 파일(붙여넣기)'!C3:C562,0,-1),0)</f>
        <v>0</v>
      </c>
    </row>
    <row r="2145" ht="23.45" customHeight="1">
      <c r="A2145" s="3">
        <v>2144</v>
      </c>
      <c r="B2145" t="s" s="4">
        <v>13471</v>
      </c>
      <c r="C2145" t="s" s="5">
        <v>13394</v>
      </c>
      <c r="D2145" t="s" s="5">
        <v>13395</v>
      </c>
      <c r="E2145" t="s" s="5">
        <v>13472</v>
      </c>
      <c r="F2145" t="s" s="10">
        <v>13473</v>
      </c>
      <c r="G2145" t="s" s="7">
        <v>13474</v>
      </c>
      <c r="H2145" t="s" s="7">
        <v>13475</v>
      </c>
      <c r="I2145" t="str" s="8" cm="1">
        <f t="array" ref="I2145">SUBSTITUTE(H2145,B2145,"(          )")</f>
        <v>The plumber will (          ) the cost of repairs.</v>
      </c>
      <c r="J2145" s="9" cm="1">
        <f t="array" ref="J2145">SUMIF('외운 것 - 엑셀다운로드 파일(붙여넣기)'!A3:A562,A2145,'외운 것 - 엑셀다운로드 파일(붙여넣기)'!D3:D562)</f>
        <v>0</v>
      </c>
      <c r="K2145" s="9" cm="1">
        <f t="array" ref="K2145">_xlfn.COUNTIFS('외운 것 - 엑셀다운로드 파일(붙여넣기)'!A3:A562,A2145,'외운 것 - 엑셀다운로드 파일(붙여넣기)'!D3:D562,0)</f>
        <v>0</v>
      </c>
      <c r="L2145" s="9" cm="1">
        <f t="array" ref="L2145">IF(J2145&gt;=3,_xlfn.XLOOKUP(A2145,'외운 것 - 엑셀다운로드 파일(붙여넣기)'!A3:A562,'외운 것 - 엑셀다운로드 파일(붙여넣기)'!C3:C562,0,-1),0)</f>
        <v>0</v>
      </c>
    </row>
    <row r="2146" ht="38.45" customHeight="1">
      <c r="A2146" s="3">
        <v>2145</v>
      </c>
      <c r="B2146" t="s" s="4">
        <v>13477</v>
      </c>
      <c r="C2146" t="s" s="5">
        <v>13478</v>
      </c>
      <c r="D2146" t="s" s="5">
        <v>13395</v>
      </c>
      <c r="E2146" t="s" s="5">
        <v>13479</v>
      </c>
      <c r="F2146" t="s" s="10">
        <v>13480</v>
      </c>
      <c r="G2146" t="s" s="7">
        <v>13481</v>
      </c>
      <c r="H2146" t="s" s="7">
        <v>13482</v>
      </c>
      <c r="I2146" t="str" s="8" cm="1">
        <f t="array" ref="I2146">SUBSTITUTE(H2146,B2146,"(          )")</f>
        <v>The teacher holds her students in high (          ).</v>
      </c>
      <c r="J2146" s="9" cm="1">
        <f t="array" ref="J2146">SUMIF('외운 것 - 엑셀다운로드 파일(붙여넣기)'!A3:A562,A2146,'외운 것 - 엑셀다운로드 파일(붙여넣기)'!D3:D562)</f>
        <v>0</v>
      </c>
      <c r="K2146" s="9" cm="1">
        <f t="array" ref="K2146">_xlfn.COUNTIFS('외운 것 - 엑셀다운로드 파일(붙여넣기)'!A3:A562,A2146,'외운 것 - 엑셀다운로드 파일(붙여넣기)'!D3:D562,0)</f>
        <v>0</v>
      </c>
      <c r="L2146" s="9" cm="1">
        <f t="array" ref="L2146">IF(J2146&gt;=3,_xlfn.XLOOKUP(A2146,'외운 것 - 엑셀다운로드 파일(붙여넣기)'!A3:A562,'외운 것 - 엑셀다운로드 파일(붙여넣기)'!C3:C562,0,-1),0)</f>
        <v>0</v>
      </c>
    </row>
    <row r="2147" ht="23.45" customHeight="1">
      <c r="A2147" s="3">
        <v>2146</v>
      </c>
      <c r="B2147" t="s" s="4">
        <v>13484</v>
      </c>
      <c r="C2147" t="s" s="5">
        <v>13394</v>
      </c>
      <c r="D2147" t="s" s="5">
        <v>13395</v>
      </c>
      <c r="E2147" t="s" s="5">
        <v>13485</v>
      </c>
      <c r="F2147" t="s" s="10">
        <v>13486</v>
      </c>
      <c r="G2147" t="s" s="7">
        <v>13487</v>
      </c>
      <c r="H2147" t="s" s="7">
        <v>13488</v>
      </c>
      <c r="I2147" t="str" s="8" cm="1">
        <f t="array" ref="I2147">SUBSTITUTE(H2147,B2147,"(          )")</f>
        <v>The surgeon used small (          )es to close the wound.</v>
      </c>
      <c r="J2147" s="9" cm="1">
        <f t="array" ref="J2147">SUMIF('외운 것 - 엑셀다운로드 파일(붙여넣기)'!A3:A562,A2147,'외운 것 - 엑셀다운로드 파일(붙여넣기)'!D3:D562)</f>
        <v>0</v>
      </c>
      <c r="K2147" s="9" cm="1">
        <f t="array" ref="K2147">_xlfn.COUNTIFS('외운 것 - 엑셀다운로드 파일(붙여넣기)'!A3:A562,A2147,'외운 것 - 엑셀다운로드 파일(붙여넣기)'!D3:D562,0)</f>
        <v>0</v>
      </c>
      <c r="L2147" s="9" cm="1">
        <f t="array" ref="L2147">IF(J2147&gt;=3,_xlfn.XLOOKUP(A2147,'외운 것 - 엑셀다운로드 파일(붙여넣기)'!A3:A562,'외운 것 - 엑셀다운로드 파일(붙여넣기)'!C3:C562,0,-1),0)</f>
        <v>0</v>
      </c>
    </row>
    <row r="2148" ht="23.45" customHeight="1">
      <c r="A2148" s="3">
        <v>2147</v>
      </c>
      <c r="B2148" t="s" s="4">
        <v>13490</v>
      </c>
      <c r="C2148" t="s" s="5">
        <v>13491</v>
      </c>
      <c r="D2148" t="s" s="5">
        <v>13492</v>
      </c>
      <c r="E2148" t="s" s="5">
        <v>13493</v>
      </c>
      <c r="F2148" t="s" s="10">
        <v>13494</v>
      </c>
      <c r="G2148" t="s" s="7">
        <v>13495</v>
      </c>
      <c r="H2148" t="s" s="7">
        <v>13496</v>
      </c>
      <c r="I2148" t="str" s="8" cm="1">
        <f t="array" ref="I2148">SUBSTITUTE(H2148,B2148,"(          )")</f>
        <v>Draw a (          ) line between the two points.</v>
      </c>
      <c r="J2148" s="9" cm="1">
        <f t="array" ref="J2148">SUMIF('외운 것 - 엑셀다운로드 파일(붙여넣기)'!A3:A562,A2148,'외운 것 - 엑셀다운로드 파일(붙여넣기)'!D3:D562)</f>
        <v>0</v>
      </c>
      <c r="K2148" s="9" cm="1">
        <f t="array" ref="K2148">_xlfn.COUNTIFS('외운 것 - 엑셀다운로드 파일(붙여넣기)'!A3:A562,A2148,'외운 것 - 엑셀다운로드 파일(붙여넣기)'!D3:D562,0)</f>
        <v>0</v>
      </c>
      <c r="L2148" s="9" cm="1">
        <f t="array" ref="L2148">IF(J2148&gt;=3,_xlfn.XLOOKUP(A2148,'외운 것 - 엑셀다운로드 파일(붙여넣기)'!A3:A562,'외운 것 - 엑셀다운로드 파일(붙여넣기)'!C3:C562,0,-1),0)</f>
        <v>0</v>
      </c>
    </row>
    <row r="2149" ht="50.45" customHeight="1">
      <c r="A2149" s="3">
        <v>2148</v>
      </c>
      <c r="B2149" t="s" s="4">
        <v>13498</v>
      </c>
      <c r="C2149" t="s" s="5">
        <v>13499</v>
      </c>
      <c r="D2149" t="s" s="5">
        <v>13492</v>
      </c>
      <c r="E2149" t="s" s="5">
        <v>13493</v>
      </c>
      <c r="F2149" t="s" s="10">
        <v>13500</v>
      </c>
      <c r="G2149" t="s" s="7">
        <v>13501</v>
      </c>
      <c r="H2149" t="s" s="7">
        <v>13502</v>
      </c>
      <c r="I2149" t="str" s="8" cm="1">
        <f t="array" ref="I2149">SUBSTITUTE(H2149,B2149,"(          )")</f>
        <v>Ships navigate through the narrow (          ) between the islands.</v>
      </c>
      <c r="J2149" s="9" cm="1">
        <f t="array" ref="J2149">SUMIF('외운 것 - 엑셀다운로드 파일(붙여넣기)'!A3:A562,A2149,'외운 것 - 엑셀다운로드 파일(붙여넣기)'!D3:D562)</f>
        <v>0</v>
      </c>
      <c r="K2149" s="9" cm="1">
        <f t="array" ref="K2149">_xlfn.COUNTIFS('외운 것 - 엑셀다운로드 파일(붙여넣기)'!A3:A562,A2149,'외운 것 - 엑셀다운로드 파일(붙여넣기)'!D3:D562,0)</f>
        <v>0</v>
      </c>
      <c r="L2149" s="9" cm="1">
        <f t="array" ref="L2149">IF(J2149&gt;=3,_xlfn.XLOOKUP(A2149,'외운 것 - 엑셀다운로드 파일(붙여넣기)'!A3:A562,'외운 것 - 엑셀다운로드 파일(붙여넣기)'!C3:C562,0,-1),0)</f>
        <v>0</v>
      </c>
    </row>
    <row r="2150" ht="38.45" customHeight="1">
      <c r="A2150" s="3">
        <v>2149</v>
      </c>
      <c r="B2150" t="s" s="4">
        <v>13504</v>
      </c>
      <c r="C2150" t="s" s="5">
        <v>13491</v>
      </c>
      <c r="D2150" t="s" s="5">
        <v>13492</v>
      </c>
      <c r="E2150" t="s" s="5">
        <v>13505</v>
      </c>
      <c r="F2150" t="s" s="10">
        <v>13506</v>
      </c>
      <c r="G2150" t="s" s="7">
        <v>13507</v>
      </c>
      <c r="H2150" t="s" s="7">
        <v>13508</v>
      </c>
      <c r="I2150" t="str" s="8" cm="1">
        <f t="array" ref="I2150">SUBSTITUTE(H2150,B2150,"(          )")</f>
        <v>The company developed a (          ) to increase sales.</v>
      </c>
      <c r="J2150" s="9" cm="1">
        <f t="array" ref="J2150">SUMIF('외운 것 - 엑셀다운로드 파일(붙여넣기)'!A3:A562,A2150,'외운 것 - 엑셀다운로드 파일(붙여넣기)'!D3:D562)</f>
        <v>0</v>
      </c>
      <c r="K2150" s="9" cm="1">
        <f t="array" ref="K2150">_xlfn.COUNTIFS('외운 것 - 엑셀다운로드 파일(붙여넣기)'!A3:A562,A2150,'외운 것 - 엑셀다운로드 파일(붙여넣기)'!D3:D562,0)</f>
        <v>0</v>
      </c>
      <c r="L2150" s="9" cm="1">
        <f t="array" ref="L2150">IF(J2150&gt;=3,_xlfn.XLOOKUP(A2150,'외운 것 - 엑셀다운로드 파일(붙여넣기)'!A3:A562,'외운 것 - 엑셀다운로드 파일(붙여넣기)'!C3:C562,0,-1),0)</f>
        <v>0</v>
      </c>
    </row>
    <row r="2151" ht="38.45" customHeight="1">
      <c r="A2151" s="3">
        <v>2150</v>
      </c>
      <c r="B2151" t="s" s="4">
        <v>13510</v>
      </c>
      <c r="C2151" t="s" s="5">
        <v>13491</v>
      </c>
      <c r="D2151" t="s" s="5">
        <v>13492</v>
      </c>
      <c r="E2151" t="s" s="5">
        <v>13511</v>
      </c>
      <c r="F2151" t="s" s="10">
        <v>13512</v>
      </c>
      <c r="G2151" t="s" s="7">
        <v>13513</v>
      </c>
      <c r="H2151" t="s" s="7">
        <v>13514</v>
      </c>
      <c r="I2151" t="str" s="8" cm="1">
        <f t="array" ref="I2151">SUBSTITUTE(H2151,B2151,"(          )")</f>
        <v>Fasten the (          ) on your helmet for safety.</v>
      </c>
      <c r="J2151" s="9" cm="1">
        <f t="array" ref="J2151">SUMIF('외운 것 - 엑셀다운로드 파일(붙여넣기)'!A3:A562,A2151,'외운 것 - 엑셀다운로드 파일(붙여넣기)'!D3:D562)</f>
        <v>0</v>
      </c>
      <c r="K2151" s="9" cm="1">
        <f t="array" ref="K2151">_xlfn.COUNTIFS('외운 것 - 엑셀다운로드 파일(붙여넣기)'!A3:A562,A2151,'외운 것 - 엑셀다운로드 파일(붙여넣기)'!D3:D562,0)</f>
        <v>0</v>
      </c>
      <c r="L2151" s="9" cm="1">
        <f t="array" ref="L2151">IF(J2151&gt;=3,_xlfn.XLOOKUP(A2151,'외운 것 - 엑셀다운로드 파일(붙여넣기)'!A3:A562,'외운 것 - 엑셀다운로드 파일(붙여넣기)'!C3:C562,0,-1),0)</f>
        <v>0</v>
      </c>
    </row>
    <row r="2152" ht="23.45" customHeight="1">
      <c r="A2152" s="3">
        <v>2151</v>
      </c>
      <c r="B2152" t="s" s="4">
        <v>13516</v>
      </c>
      <c r="C2152" t="s" s="5">
        <v>13491</v>
      </c>
      <c r="D2152" t="s" s="5">
        <v>13492</v>
      </c>
      <c r="E2152" t="s" s="5">
        <v>13517</v>
      </c>
      <c r="F2152" t="s" s="10">
        <v>13518</v>
      </c>
      <c r="G2152" t="s" s="7">
        <v>13519</v>
      </c>
      <c r="H2152" t="s" s="7">
        <v>13520</v>
      </c>
      <c r="I2152" t="str" s="8" cm="1">
        <f t="array" ref="I2152">SUBSTITUTE(H2152,B2152,"(          )")</f>
        <v>The heavy lifting put (          ) on his back.</v>
      </c>
      <c r="J2152" s="9" cm="1">
        <f t="array" ref="J2152">SUMIF('외운 것 - 엑셀다운로드 파일(붙여넣기)'!A3:A562,A2152,'외운 것 - 엑셀다운로드 파일(붙여넣기)'!D3:D562)</f>
        <v>0</v>
      </c>
      <c r="K2152" s="9" cm="1">
        <f t="array" ref="K2152">_xlfn.COUNTIFS('외운 것 - 엑셀다운로드 파일(붙여넣기)'!A3:A562,A2152,'외운 것 - 엑셀다운로드 파일(붙여넣기)'!D3:D562,0)</f>
        <v>0</v>
      </c>
      <c r="L2152" s="9" cm="1">
        <f t="array" ref="L2152">IF(J2152&gt;=3,_xlfn.XLOOKUP(A2152,'외운 것 - 엑셀다운로드 파일(붙여넣기)'!A3:A562,'외운 것 - 엑셀다운로드 파일(붙여넣기)'!C3:C562,0,-1),0)</f>
        <v>0</v>
      </c>
    </row>
    <row r="2153" ht="36.4" customHeight="1">
      <c r="A2153" s="3">
        <v>2152</v>
      </c>
      <c r="B2153" t="s" s="4">
        <v>13522</v>
      </c>
      <c r="C2153" t="s" s="5">
        <v>13523</v>
      </c>
      <c r="D2153" t="s" s="5">
        <v>13492</v>
      </c>
      <c r="E2153" t="s" s="5">
        <v>13524</v>
      </c>
      <c r="F2153" t="s" s="10">
        <v>13525</v>
      </c>
      <c r="G2153" t="s" s="7">
        <v>13526</v>
      </c>
      <c r="H2153" t="s" s="7">
        <v>13527</v>
      </c>
      <c r="I2153" t="str" s="8" cm="1">
        <f t="array" ref="I2153">SUBSTITUTE(H2153,B2153,"(          )")</f>
        <v>Budget limitations (          ) our options.</v>
      </c>
      <c r="J2153" s="9" cm="1">
        <f t="array" ref="J2153">SUMIF('외운 것 - 엑셀다운로드 파일(붙여넣기)'!A3:A562,A2153,'외운 것 - 엑셀다운로드 파일(붙여넣기)'!D3:D562)</f>
        <v>0</v>
      </c>
      <c r="K2153" s="9" cm="1">
        <f t="array" ref="K2153">_xlfn.COUNTIFS('외운 것 - 엑셀다운로드 파일(붙여넣기)'!A3:A562,A2153,'외운 것 - 엑셀다운로드 파일(붙여넣기)'!D3:D562,0)</f>
        <v>0</v>
      </c>
      <c r="L2153" s="9" cm="1">
        <f t="array" ref="L2153">IF(J2153&gt;=3,_xlfn.XLOOKUP(A2153,'외운 것 - 엑셀다운로드 파일(붙여넣기)'!A3:A562,'외운 것 - 엑셀다운로드 파일(붙여넣기)'!C3:C562,0,-1),0)</f>
        <v>0</v>
      </c>
    </row>
    <row r="2154" ht="36.4" customHeight="1">
      <c r="A2154" s="3">
        <v>2153</v>
      </c>
      <c r="B2154" t="s" s="4">
        <v>13529</v>
      </c>
      <c r="C2154" t="s" s="5">
        <v>13523</v>
      </c>
      <c r="D2154" t="s" s="5">
        <v>13492</v>
      </c>
      <c r="E2154" t="s" s="5">
        <v>13530</v>
      </c>
      <c r="F2154" t="s" s="10">
        <v>13531</v>
      </c>
      <c r="G2154" t="s" s="7">
        <v>13532</v>
      </c>
      <c r="H2154" t="s" s="7">
        <v>13533</v>
      </c>
      <c r="I2154" t="str" s="8" cm="1">
        <f t="array" ref="I2154">SUBSTITUTE(H2154,B2154,"(          )")</f>
        <v>The security guards had to (          ) the angry customer.</v>
      </c>
      <c r="J2154" s="9" cm="1">
        <f t="array" ref="J2154">SUMIF('외운 것 - 엑셀다운로드 파일(붙여넣기)'!A3:A562,A2154,'외운 것 - 엑셀다운로드 파일(붙여넣기)'!D3:D562)</f>
        <v>0</v>
      </c>
      <c r="K2154" s="9" cm="1">
        <f t="array" ref="K2154">_xlfn.COUNTIFS('외운 것 - 엑셀다운로드 파일(붙여넣기)'!A3:A562,A2154,'외운 것 - 엑셀다운로드 파일(붙여넣기)'!D3:D562,0)</f>
        <v>0</v>
      </c>
      <c r="L2154" s="9" cm="1">
        <f t="array" ref="L2154">IF(J2154&gt;=3,_xlfn.XLOOKUP(A2154,'외운 것 - 엑셀다운로드 파일(붙여넣기)'!A3:A562,'외운 것 - 엑셀다운로드 파일(붙여넣기)'!C3:C562,0,-1),0)</f>
        <v>0</v>
      </c>
    </row>
    <row r="2155" ht="38.45" customHeight="1">
      <c r="A2155" s="3">
        <v>2154</v>
      </c>
      <c r="B2155" t="s" s="4">
        <v>13535</v>
      </c>
      <c r="C2155" t="s" s="5">
        <v>13491</v>
      </c>
      <c r="D2155" t="s" s="5">
        <v>13492</v>
      </c>
      <c r="E2155" t="s" s="5">
        <v>13536</v>
      </c>
      <c r="F2155" t="s" s="10">
        <v>13537</v>
      </c>
      <c r="G2155" t="s" s="7">
        <v>13538</v>
      </c>
      <c r="H2155" t="s" s="7">
        <v>13539</v>
      </c>
      <c r="I2155" t="str" s="8" cm="1">
        <f t="array" ref="I2155">SUBSTITUTE(H2155,B2155,"(          )")</f>
        <v>She sipped her drink through a (          ).</v>
      </c>
      <c r="J2155" s="9" cm="1">
        <f t="array" ref="J2155">SUMIF('외운 것 - 엑셀다운로드 파일(붙여넣기)'!A3:A562,A2155,'외운 것 - 엑셀다운로드 파일(붙여넣기)'!D3:D562)</f>
        <v>0</v>
      </c>
      <c r="K2155" s="9" cm="1">
        <f t="array" ref="K2155">_xlfn.COUNTIFS('외운 것 - 엑셀다운로드 파일(붙여넣기)'!A3:A562,A2155,'외운 것 - 엑셀다운로드 파일(붙여넣기)'!D3:D562,0)</f>
        <v>0</v>
      </c>
      <c r="L2155" s="9" cm="1">
        <f t="array" ref="L2155">IF(J2155&gt;=3,_xlfn.XLOOKUP(A2155,'외운 것 - 엑셀다운로드 파일(붙여넣기)'!A3:A562,'외운 것 - 엑셀다운로드 파일(붙여넣기)'!C3:C562,0,-1),0)</f>
        <v>0</v>
      </c>
    </row>
    <row r="2156" ht="23.45" customHeight="1">
      <c r="A2156" s="3">
        <v>2155</v>
      </c>
      <c r="B2156" t="s" s="4">
        <v>13541</v>
      </c>
      <c r="C2156" t="s" s="5">
        <v>13542</v>
      </c>
      <c r="D2156" t="s" s="5">
        <v>13492</v>
      </c>
      <c r="E2156" t="s" s="5">
        <v>13543</v>
      </c>
      <c r="F2156" t="s" s="10">
        <v>13544</v>
      </c>
      <c r="G2156" t="s" s="7">
        <v>13545</v>
      </c>
      <c r="H2156" t="s" s="7">
        <v>13546</v>
      </c>
      <c r="I2156" t="str" s="8" cm="1">
        <f t="array" ref="I2156">SUBSTITUTE(H2156,B2156,"(          )")</f>
        <v>Our house is on a quiet (          ) with little traffic.</v>
      </c>
      <c r="J2156" s="9" cm="1">
        <f t="array" ref="J2156">SUMIF('외운 것 - 엑셀다운로드 파일(붙여넣기)'!A3:A562,A2156,'외운 것 - 엑셀다운로드 파일(붙여넣기)'!D3:D562)</f>
        <v>0</v>
      </c>
      <c r="K2156" s="9" cm="1">
        <f t="array" ref="K2156">_xlfn.COUNTIFS('외운 것 - 엑셀다운로드 파일(붙여넣기)'!A3:A562,A2156,'외운 것 - 엑셀다운로드 파일(붙여넣기)'!D3:D562,0)</f>
        <v>0</v>
      </c>
      <c r="L2156" s="9" cm="1">
        <f t="array" ref="L2156">IF(J2156&gt;=3,_xlfn.XLOOKUP(A2156,'외운 것 - 엑셀다운로드 파일(붙여넣기)'!A3:A562,'외운 것 - 엑셀다운로드 파일(붙여넣기)'!C3:C562,0,-1),0)</f>
        <v>0</v>
      </c>
    </row>
    <row r="2157" ht="23.45" customHeight="1">
      <c r="A2157" s="3">
        <v>2156</v>
      </c>
      <c r="B2157" t="s" s="4">
        <v>13548</v>
      </c>
      <c r="C2157" t="s" s="5">
        <v>13542</v>
      </c>
      <c r="D2157" t="s" s="5">
        <v>13492</v>
      </c>
      <c r="E2157" t="s" s="5">
        <v>13549</v>
      </c>
      <c r="F2157" t="s" s="10">
        <v>13550</v>
      </c>
      <c r="G2157" t="s" s="7">
        <v>13551</v>
      </c>
      <c r="H2157" t="s" s="7">
        <v>13552</v>
      </c>
      <c r="I2157" t="str" s="8" cm="1">
        <f t="array" ref="I2157">SUBSTITUTE(H2157,B2157,"(          )")</f>
        <v>The (          ) flows down from the mountain.</v>
      </c>
      <c r="J2157" s="9" cm="1">
        <f t="array" ref="J2157">SUMIF('외운 것 - 엑셀다운로드 파일(붙여넣기)'!A3:A562,A2157,'외운 것 - 엑셀다운로드 파일(붙여넣기)'!D3:D562)</f>
        <v>0</v>
      </c>
      <c r="K2157" s="9" cm="1">
        <f t="array" ref="K2157">_xlfn.COUNTIFS('외운 것 - 엑셀다운로드 파일(붙여넣기)'!A3:A562,A2157,'외운 것 - 엑셀다운로드 파일(붙여넣기)'!D3:D562,0)</f>
        <v>0</v>
      </c>
      <c r="L2157" s="9" cm="1">
        <f t="array" ref="L2157">IF(J2157&gt;=3,_xlfn.XLOOKUP(A2157,'외운 것 - 엑셀다운로드 파일(붙여넣기)'!A3:A562,'외운 것 - 엑셀다운로드 파일(붙여넣기)'!C3:C562,0,-1),0)</f>
        <v>0</v>
      </c>
    </row>
    <row r="2158" ht="23.45" customHeight="1">
      <c r="A2158" s="3">
        <v>2157</v>
      </c>
      <c r="B2158" t="s" s="4">
        <v>13554</v>
      </c>
      <c r="C2158" t="s" s="5">
        <v>13555</v>
      </c>
      <c r="D2158" t="s" s="5">
        <v>13492</v>
      </c>
      <c r="E2158" t="s" s="5">
        <v>13556</v>
      </c>
      <c r="F2158" t="s" s="10">
        <v>13557</v>
      </c>
      <c r="G2158" t="s" s="7">
        <v>13558</v>
      </c>
      <c r="H2158" t="s" s="7">
        <v>13559</v>
      </c>
      <c r="I2158" t="str" s="8" cm="1">
        <f t="array" ref="I2158">SUBSTITUTE(H2158,B2158,"(          )")</f>
        <v>The team has a winning (          ) of five games.</v>
      </c>
      <c r="J2158" s="9" cm="1">
        <f t="array" ref="J2158">SUMIF('외운 것 - 엑셀다운로드 파일(붙여넣기)'!A3:A562,A2158,'외운 것 - 엑셀다운로드 파일(붙여넣기)'!D3:D562)</f>
        <v>0</v>
      </c>
      <c r="K2158" s="9" cm="1">
        <f t="array" ref="K2158">_xlfn.COUNTIFS('외운 것 - 엑셀다운로드 파일(붙여넣기)'!A3:A562,A2158,'외운 것 - 엑셀다운로드 파일(붙여넣기)'!D3:D562,0)</f>
        <v>0</v>
      </c>
      <c r="L2158" s="9" cm="1">
        <f t="array" ref="L2158">IF(J2158&gt;=3,_xlfn.XLOOKUP(A2158,'외운 것 - 엑셀다운로드 파일(붙여넣기)'!A3:A562,'외운 것 - 엑셀다운로드 파일(붙여넣기)'!C3:C562,0,-1),0)</f>
        <v>0</v>
      </c>
    </row>
    <row r="2159" ht="38.45" customHeight="1">
      <c r="A2159" s="3">
        <v>2158</v>
      </c>
      <c r="B2159" t="s" s="4">
        <v>13561</v>
      </c>
      <c r="C2159" t="s" s="5">
        <v>13555</v>
      </c>
      <c r="D2159" t="s" s="5">
        <v>13492</v>
      </c>
      <c r="E2159" t="s" s="5">
        <v>13562</v>
      </c>
      <c r="F2159" t="s" s="10">
        <v>13563</v>
      </c>
      <c r="G2159" t="s" s="7">
        <v>13564</v>
      </c>
      <c r="H2159" t="s" s="7">
        <v>13565</v>
      </c>
      <c r="I2159" t="str" s="8" cm="1">
        <f t="array" ref="I2159">SUBSTITUTE(H2159,B2159,"(          )")</f>
        <v>The animal shelter takes care of (          ) dogs and cats.</v>
      </c>
      <c r="J2159" s="9" cm="1">
        <f t="array" ref="J2159">SUMIF('외운 것 - 엑셀다운로드 파일(붙여넣기)'!A3:A562,A2159,'외운 것 - 엑셀다운로드 파일(붙여넣기)'!D3:D562)</f>
        <v>0</v>
      </c>
      <c r="K2159" s="9" cm="1">
        <f t="array" ref="K2159">_xlfn.COUNTIFS('외운 것 - 엑셀다운로드 파일(붙여넣기)'!A3:A562,A2159,'외운 것 - 엑셀다운로드 파일(붙여넣기)'!D3:D562,0)</f>
        <v>0</v>
      </c>
      <c r="L2159" s="9" cm="1">
        <f t="array" ref="L2159">IF(J2159&gt;=3,_xlfn.XLOOKUP(A2159,'외운 것 - 엑셀다운로드 파일(붙여넣기)'!A3:A562,'외운 것 - 엑셀다운로드 파일(붙여넣기)'!C3:C562,0,-1),0)</f>
        <v>0</v>
      </c>
    </row>
    <row r="2160" ht="38.45" customHeight="1">
      <c r="A2160" s="3">
        <v>2159</v>
      </c>
      <c r="B2160" t="s" s="4">
        <v>13567</v>
      </c>
      <c r="C2160" t="s" s="5">
        <v>13555</v>
      </c>
      <c r="D2160" t="s" s="5">
        <v>13492</v>
      </c>
      <c r="E2160" t="s" s="5">
        <v>13568</v>
      </c>
      <c r="F2160" t="s" s="10">
        <v>13569</v>
      </c>
      <c r="G2160" t="s" s="7">
        <v>13570</v>
      </c>
      <c r="H2160" t="s" s="7">
        <v>13571</v>
      </c>
      <c r="I2160" t="str" s="8" cm="1">
        <f t="array" ref="I2160">SUBSTITUTE(H2160,B2160,"(          )")</f>
        <v>Job (          ) affects many people's health.</v>
      </c>
      <c r="J2160" s="9" cm="1">
        <f t="array" ref="J2160">SUMIF('외운 것 - 엑셀다운로드 파일(붙여넣기)'!A3:A562,A2160,'외운 것 - 엑셀다운로드 파일(붙여넣기)'!D3:D562)</f>
        <v>0</v>
      </c>
      <c r="K2160" s="9" cm="1">
        <f t="array" ref="K2160">_xlfn.COUNTIFS('외운 것 - 엑셀다운로드 파일(붙여넣기)'!A3:A562,A2160,'외운 것 - 엑셀다운로드 파일(붙여넣기)'!D3:D562,0)</f>
        <v>0</v>
      </c>
      <c r="L2160" s="9" cm="1">
        <f t="array" ref="L2160">IF(J2160&gt;=3,_xlfn.XLOOKUP(A2160,'외운 것 - 엑셀다운로드 파일(붙여넣기)'!A3:A562,'외운 것 - 엑셀다운로드 파일(붙여넣기)'!C3:C562,0,-1),0)</f>
        <v>0</v>
      </c>
    </row>
    <row r="2161" ht="36.4" customHeight="1">
      <c r="A2161" s="3">
        <v>2160</v>
      </c>
      <c r="B2161" t="s" s="4">
        <v>13573</v>
      </c>
      <c r="C2161" t="s" s="5">
        <v>13574</v>
      </c>
      <c r="D2161" t="s" s="5">
        <v>13492</v>
      </c>
      <c r="E2161" t="s" s="5">
        <v>13575</v>
      </c>
      <c r="F2161" t="s" s="10">
        <v>13576</v>
      </c>
      <c r="G2161" t="s" s="7">
        <v>13577</v>
      </c>
      <c r="H2161" t="s" s="7">
        <v>13578</v>
      </c>
      <c r="I2161" t="str" s="8" cm="1">
        <f t="array" ref="I2161">SUBSTITUTE(H2161,B2161,"(          )")</f>
        <v>The ship sent a (          ) signal after hitting rocks.</v>
      </c>
      <c r="J2161" s="9" cm="1">
        <f t="array" ref="J2161">SUMIF('외운 것 - 엑셀다운로드 파일(붙여넣기)'!A3:A562,A2161,'외운 것 - 엑셀다운로드 파일(붙여넣기)'!D3:D562)</f>
        <v>0</v>
      </c>
      <c r="K2161" s="9" cm="1">
        <f t="array" ref="K2161">_xlfn.COUNTIFS('외운 것 - 엑셀다운로드 파일(붙여넣기)'!A3:A562,A2161,'외운 것 - 엑셀다운로드 파일(붙여넣기)'!D3:D562,0)</f>
        <v>0</v>
      </c>
      <c r="L2161" s="9" cm="1">
        <f t="array" ref="L2161">IF(J2161&gt;=3,_xlfn.XLOOKUP(A2161,'외운 것 - 엑셀다운로드 파일(붙여넣기)'!A3:A562,'외운 것 - 엑셀다운로드 파일(붙여넣기)'!C3:C562,0,-1),0)</f>
        <v>0</v>
      </c>
    </row>
    <row r="2162" ht="23.45" customHeight="1">
      <c r="A2162" s="3">
        <v>2161</v>
      </c>
      <c r="B2162" t="s" s="4">
        <v>13580</v>
      </c>
      <c r="C2162" t="s" s="5">
        <v>13555</v>
      </c>
      <c r="D2162" t="s" s="5">
        <v>13492</v>
      </c>
      <c r="E2162" t="s" s="5">
        <v>13581</v>
      </c>
      <c r="F2162" t="s" s="10">
        <v>13582</v>
      </c>
      <c r="G2162" t="s" s="7">
        <v>13583</v>
      </c>
      <c r="H2162" t="s" s="7">
        <v>13584</v>
      </c>
      <c r="I2162" t="str" s="8" cm="1">
        <f t="array" ref="I2162">SUBSTITUTE(H2162,B2162,"(          )")</f>
        <v>Remember to (          ) before exercising.</v>
      </c>
      <c r="J2162" s="9" cm="1">
        <f t="array" ref="J2162">SUMIF('외운 것 - 엑셀다운로드 파일(붙여넣기)'!A3:A562,A2162,'외운 것 - 엑셀다운로드 파일(붙여넣기)'!D3:D562)</f>
        <v>0</v>
      </c>
      <c r="K2162" s="9" cm="1">
        <f t="array" ref="K2162">_xlfn.COUNTIFS('외운 것 - 엑셀다운로드 파일(붙여넣기)'!A3:A562,A2162,'외운 것 - 엑셀다운로드 파일(붙여넣기)'!D3:D562,0)</f>
        <v>0</v>
      </c>
      <c r="L2162" s="9" cm="1">
        <f t="array" ref="L2162">IF(J2162&gt;=3,_xlfn.XLOOKUP(A2162,'외운 것 - 엑셀다운로드 파일(붙여넣기)'!A3:A562,'외운 것 - 엑셀다운로드 파일(붙여넣기)'!C3:C562,0,-1),0)</f>
        <v>0</v>
      </c>
    </row>
    <row r="2163" ht="38.45" customHeight="1">
      <c r="A2163" s="3">
        <v>2162</v>
      </c>
      <c r="B2163" t="s" s="4">
        <v>13586</v>
      </c>
      <c r="C2163" t="s" s="5">
        <v>13587</v>
      </c>
      <c r="D2163" t="s" s="5">
        <v>13492</v>
      </c>
      <c r="E2163" t="s" s="5">
        <v>13588</v>
      </c>
      <c r="F2163" t="s" s="10">
        <v>13589</v>
      </c>
      <c r="G2163" t="s" s="7">
        <v>13590</v>
      </c>
      <c r="H2163" t="s" s="7">
        <v>13591</v>
      </c>
      <c r="I2163" t="str" s="8" cm="1">
        <f t="array" ref="I2163">SUBSTITUTE(H2163,B2163,"(          )")</f>
        <v>The tiger's coat has distinctive black (          )s.</v>
      </c>
      <c r="J2163" s="9" cm="1">
        <f t="array" ref="J2163">SUMIF('외운 것 - 엑셀다운로드 파일(붙여넣기)'!A3:A562,A2163,'외운 것 - 엑셀다운로드 파일(붙여넣기)'!D3:D562)</f>
        <v>0</v>
      </c>
      <c r="K2163" s="9" cm="1">
        <f t="array" ref="K2163">_xlfn.COUNTIFS('외운 것 - 엑셀다운로드 파일(붙여넣기)'!A3:A562,A2163,'외운 것 - 엑셀다운로드 파일(붙여넣기)'!D3:D562,0)</f>
        <v>0</v>
      </c>
      <c r="L2163" s="9" cm="1">
        <f t="array" ref="L2163">IF(J2163&gt;=3,_xlfn.XLOOKUP(A2163,'외운 것 - 엑셀다운로드 파일(붙여넣기)'!A3:A562,'외운 것 - 엑셀다운로드 파일(붙여넣기)'!C3:C562,0,-1),0)</f>
        <v>0</v>
      </c>
    </row>
    <row r="2164" ht="23.45" customHeight="1">
      <c r="A2164" s="3">
        <v>2163</v>
      </c>
      <c r="B2164" t="s" s="4">
        <v>13593</v>
      </c>
      <c r="C2164" t="s" s="5">
        <v>13587</v>
      </c>
      <c r="D2164" t="s" s="5">
        <v>13492</v>
      </c>
      <c r="E2164" t="s" s="5">
        <v>13594</v>
      </c>
      <c r="F2164" t="s" s="10">
        <v>13595</v>
      </c>
      <c r="G2164" t="s" s="7">
        <v>11488</v>
      </c>
      <c r="H2164" t="s" s="7">
        <v>13596</v>
      </c>
      <c r="I2164" t="str" s="8" cm="1">
        <f t="array" ref="I2164">SUBSTITUTE(H2164,B2164,"(          )")</f>
        <v>They removed a (          ) of wallpaper along the edge.</v>
      </c>
      <c r="J2164" s="9" cm="1">
        <f t="array" ref="J2164">SUMIF('외운 것 - 엑셀다운로드 파일(붙여넣기)'!A3:A562,A2164,'외운 것 - 엑셀다운로드 파일(붙여넣기)'!D3:D562)</f>
        <v>0</v>
      </c>
      <c r="K2164" s="9" cm="1">
        <f t="array" ref="K2164">_xlfn.COUNTIFS('외운 것 - 엑셀다운로드 파일(붙여넣기)'!A3:A562,A2164,'외운 것 - 엑셀다운로드 파일(붙여넣기)'!D3:D562,0)</f>
        <v>0</v>
      </c>
      <c r="L2164" s="9" cm="1">
        <f t="array" ref="L2164">IF(J2164&gt;=3,_xlfn.XLOOKUP(A2164,'외운 것 - 엑셀다운로드 파일(붙여넣기)'!A3:A562,'외운 것 - 엑셀다운로드 파일(붙여넣기)'!C3:C562,0,-1),0)</f>
        <v>0</v>
      </c>
    </row>
    <row r="2165" ht="38.45" customHeight="1">
      <c r="A2165" s="3">
        <v>2164</v>
      </c>
      <c r="B2165" t="s" s="4">
        <v>13598</v>
      </c>
      <c r="C2165" t="s" s="5">
        <v>13587</v>
      </c>
      <c r="D2165" t="s" s="5">
        <v>13492</v>
      </c>
      <c r="E2165" t="s" s="5">
        <v>13599</v>
      </c>
      <c r="F2165" t="s" s="10">
        <v>13600</v>
      </c>
      <c r="G2165" t="s" s="7">
        <v>13601</v>
      </c>
      <c r="H2165" t="s" s="7">
        <v>13602</v>
      </c>
      <c r="I2165" t="str" s="8" cm="1">
        <f t="array" ref="I2165">SUBSTITUTE(H2165,B2165,"(          )")</f>
        <v>She walked with confident (          )s across the stage.</v>
      </c>
      <c r="J2165" s="9" cm="1">
        <f t="array" ref="J2165">SUMIF('외운 것 - 엑셀다운로드 파일(붙여넣기)'!A3:A562,A2165,'외운 것 - 엑셀다운로드 파일(붙여넣기)'!D3:D562)</f>
        <v>0</v>
      </c>
      <c r="K2165" s="9" cm="1">
        <f t="array" ref="K2165">_xlfn.COUNTIFS('외운 것 - 엑셀다운로드 파일(붙여넣기)'!A3:A562,A2165,'외운 것 - 엑셀다운로드 파일(붙여넣기)'!D3:D562,0)</f>
        <v>0</v>
      </c>
      <c r="L2165" s="9" cm="1">
        <f t="array" ref="L2165">IF(J2165&gt;=3,_xlfn.XLOOKUP(A2165,'외운 것 - 엑셀다운로드 파일(붙여넣기)'!A3:A562,'외운 것 - 엑셀다운로드 파일(붙여넣기)'!C3:C562,0,-1),0)</f>
        <v>0</v>
      </c>
    </row>
    <row r="2166" ht="38.45" customHeight="1">
      <c r="A2166" s="3">
        <v>2165</v>
      </c>
      <c r="B2166" t="s" s="4">
        <v>13604</v>
      </c>
      <c r="C2166" t="s" s="5">
        <v>13587</v>
      </c>
      <c r="D2166" t="s" s="5">
        <v>13492</v>
      </c>
      <c r="E2166" t="s" s="5">
        <v>13605</v>
      </c>
      <c r="F2166" t="s" s="10">
        <v>13606</v>
      </c>
      <c r="G2166" t="s" s="7">
        <v>13607</v>
      </c>
      <c r="H2166" t="s" s="7">
        <v>13608</v>
      </c>
      <c r="I2166" t="str" s="8" cm="1">
        <f t="array" ref="I2166">SUBSTITUTE(H2166,B2166,"(          )")</f>
        <v>The workers will (          ) for better wages.</v>
      </c>
      <c r="J2166" s="9" cm="1">
        <f t="array" ref="J2166">SUMIF('외운 것 - 엑셀다운로드 파일(붙여넣기)'!A3:A562,A2166,'외운 것 - 엑셀다운로드 파일(붙여넣기)'!D3:D562)</f>
        <v>0</v>
      </c>
      <c r="K2166" s="9" cm="1">
        <f t="array" ref="K2166">_xlfn.COUNTIFS('외운 것 - 엑셀다운로드 파일(붙여넣기)'!A3:A562,A2166,'외운 것 - 엑셀다운로드 파일(붙여넣기)'!D3:D562,0)</f>
        <v>0</v>
      </c>
      <c r="L2166" s="9" cm="1">
        <f t="array" ref="L2166">IF(J2166&gt;=3,_xlfn.XLOOKUP(A2166,'외운 것 - 엑셀다운로드 파일(붙여넣기)'!A3:A562,'외운 것 - 엑셀다운로드 파일(붙여넣기)'!C3:C562,0,-1),0)</f>
        <v>0</v>
      </c>
    </row>
    <row r="2167" ht="36.4" customHeight="1">
      <c r="A2167" s="3">
        <v>2166</v>
      </c>
      <c r="B2167" t="s" s="4">
        <v>13610</v>
      </c>
      <c r="C2167" t="s" s="5">
        <v>13611</v>
      </c>
      <c r="D2167" t="s" s="5">
        <v>13492</v>
      </c>
      <c r="E2167" t="s" s="5">
        <v>13612</v>
      </c>
      <c r="F2167" t="s" s="10">
        <v>13613</v>
      </c>
      <c r="G2167" t="s" s="7">
        <v>13614</v>
      </c>
      <c r="H2167" t="s" s="7">
        <v>13615</v>
      </c>
      <c r="I2167" t="str" s="8" cm="1">
        <f t="array" ref="I2167">SUBSTITUTE(H2167,B2167,"(          )")</f>
        <v>The artist made a careful (          ) with the brush.</v>
      </c>
      <c r="J2167" s="9" cm="1">
        <f t="array" ref="J2167">SUMIF('외운 것 - 엑셀다운로드 파일(붙여넣기)'!A3:A562,A2167,'외운 것 - 엑셀다운로드 파일(붙여넣기)'!D3:D562)</f>
        <v>0</v>
      </c>
      <c r="K2167" s="9" cm="1">
        <f t="array" ref="K2167">_xlfn.COUNTIFS('외운 것 - 엑셀다운로드 파일(붙여넣기)'!A3:A562,A2167,'외운 것 - 엑셀다운로드 파일(붙여넣기)'!D3:D562,0)</f>
        <v>0</v>
      </c>
      <c r="L2167" s="9" cm="1">
        <f t="array" ref="L2167">IF(J2167&gt;=3,_xlfn.XLOOKUP(A2167,'외운 것 - 엑셀다운로드 파일(붙여넣기)'!A3:A562,'외운 것 - 엑셀다운로드 파일(붙여넣기)'!C3:C562,0,-1),0)</f>
        <v>0</v>
      </c>
    </row>
    <row r="2168" ht="23.45" customHeight="1">
      <c r="A2168" s="3">
        <v>2167</v>
      </c>
      <c r="B2168" t="s" s="4">
        <v>13617</v>
      </c>
      <c r="C2168" t="s" s="5">
        <v>13587</v>
      </c>
      <c r="D2168" t="s" s="5">
        <v>13492</v>
      </c>
      <c r="E2168" t="s" s="5">
        <v>13618</v>
      </c>
      <c r="F2168" t="s" s="10">
        <v>13619</v>
      </c>
      <c r="G2168" t="s" s="7">
        <v>13620</v>
      </c>
      <c r="H2168" t="s" s="7">
        <v>13621</v>
      </c>
      <c r="I2168" t="str" s="8" cm="1">
        <f t="array" ref="I2168">SUBSTITUTE(H2168,B2168,"(          )")</f>
        <v>The school has (          ) rules about attendance.</v>
      </c>
      <c r="J2168" s="9" cm="1">
        <f t="array" ref="J2168">SUMIF('외운 것 - 엑셀다운로드 파일(붙여넣기)'!A3:A562,A2168,'외운 것 - 엑셀다운로드 파일(붙여넣기)'!D3:D562)</f>
        <v>0</v>
      </c>
      <c r="K2168" s="9" cm="1">
        <f t="array" ref="K2168">_xlfn.COUNTIFS('외운 것 - 엑셀다운로드 파일(붙여넣기)'!A3:A562,A2168,'외운 것 - 엑셀다운로드 파일(붙여넣기)'!D3:D562,0)</f>
        <v>0</v>
      </c>
      <c r="L2168" s="9" cm="1">
        <f t="array" ref="L2168">IF(J2168&gt;=3,_xlfn.XLOOKUP(A2168,'외운 것 - 엑셀다운로드 파일(붙여넣기)'!A3:A562,'외운 것 - 엑셀다운로드 파일(붙여넣기)'!C3:C562,0,-1),0)</f>
        <v>0</v>
      </c>
    </row>
    <row r="2169" ht="38.45" customHeight="1">
      <c r="A2169" s="3">
        <v>2168</v>
      </c>
      <c r="B2169" t="s" s="4">
        <v>13623</v>
      </c>
      <c r="C2169" t="s" s="5">
        <v>13624</v>
      </c>
      <c r="D2169" t="s" s="5">
        <v>13492</v>
      </c>
      <c r="E2169" t="s" s="5">
        <v>13625</v>
      </c>
      <c r="F2169" t="s" s="10">
        <v>13626</v>
      </c>
      <c r="G2169" t="s" s="7">
        <v>13627</v>
      </c>
      <c r="H2169" t="s" s="7">
        <v>13628</v>
      </c>
      <c r="I2169" t="str" s="8" cm="1">
        <f t="array" ref="I2169">SUBSTITUTE(H2169,B2169,"(          )")</f>
        <v>The city is divided into several school (          )s.</v>
      </c>
      <c r="J2169" s="9" cm="1">
        <f t="array" ref="J2169">SUMIF('외운 것 - 엑셀다운로드 파일(붙여넣기)'!A3:A562,A2169,'외운 것 - 엑셀다운로드 파일(붙여넣기)'!D3:D562)</f>
        <v>0</v>
      </c>
      <c r="K2169" s="9" cm="1">
        <f t="array" ref="K2169">_xlfn.COUNTIFS('외운 것 - 엑셀다운로드 파일(붙여넣기)'!A3:A562,A2169,'외운 것 - 엑셀다운로드 파일(붙여넣기)'!D3:D562,0)</f>
        <v>0</v>
      </c>
      <c r="L2169" s="9" cm="1">
        <f t="array" ref="L2169">IF(J2169&gt;=3,_xlfn.XLOOKUP(A2169,'외운 것 - 엑셀다운로드 파일(붙여넣기)'!A3:A562,'외운 것 - 엑셀다운로드 파일(붙여넣기)'!C3:C562,0,-1),0)</f>
        <v>0</v>
      </c>
    </row>
    <row r="2170" ht="36.4" customHeight="1">
      <c r="A2170" s="3">
        <v>2169</v>
      </c>
      <c r="B2170" t="s" s="4">
        <v>13630</v>
      </c>
      <c r="C2170" t="s" s="5">
        <v>13631</v>
      </c>
      <c r="D2170" t="s" s="5">
        <v>13492</v>
      </c>
      <c r="E2170" t="s" s="5">
        <v>13632</v>
      </c>
      <c r="F2170" t="s" s="10">
        <v>13633</v>
      </c>
      <c r="G2170" t="s" s="7">
        <v>13634</v>
      </c>
      <c r="H2170" t="s" s="7">
        <v>13635</v>
      </c>
      <c r="I2170" t="str" s="8" cm="1">
        <f t="array" ref="I2170">SUBSTITUTE(H2170,B2170,"(          )")</f>
        <v>The doctor advised me to (          ) my sugar intake.</v>
      </c>
      <c r="J2170" s="9" cm="1">
        <f t="array" ref="J2170">SUMIF('외운 것 - 엑셀다운로드 파일(붙여넣기)'!A3:A562,A2170,'외운 것 - 엑셀다운로드 파일(붙여넣기)'!D3:D562)</f>
        <v>0</v>
      </c>
      <c r="K2170" s="9" cm="1">
        <f t="array" ref="K2170">_xlfn.COUNTIFS('외운 것 - 엑셀다운로드 파일(붙여넣기)'!A3:A562,A2170,'외운 것 - 엑셀다운로드 파일(붙여넣기)'!D3:D562,0)</f>
        <v>0</v>
      </c>
      <c r="L2170" s="9" cm="1">
        <f t="array" ref="L2170">IF(J2170&gt;=3,_xlfn.XLOOKUP(A2170,'외운 것 - 엑셀다운로드 파일(붙여넣기)'!A3:A562,'외운 것 - 엑셀다운로드 파일(붙여넣기)'!C3:C562,0,-1),0)</f>
        <v>0</v>
      </c>
    </row>
    <row r="2171" ht="23.45" customHeight="1">
      <c r="A2171" s="3">
        <v>2170</v>
      </c>
      <c r="B2171" t="s" s="4">
        <v>13637</v>
      </c>
      <c r="C2171" t="s" s="5">
        <v>13638</v>
      </c>
      <c r="D2171" t="s" s="5">
        <v>13639</v>
      </c>
      <c r="E2171" t="s" s="5">
        <v>13640</v>
      </c>
      <c r="F2171" t="s" s="10">
        <v>13641</v>
      </c>
      <c r="G2171" t="s" s="7">
        <v>13642</v>
      </c>
      <c r="H2171" t="s" s="7">
        <v>13643</v>
      </c>
      <c r="I2171" t="str" s="8" cm="1">
        <f t="array" ref="I2171">SUBSTITUTE(H2171,B2171,"(          )")</f>
        <v>Use a (          ) to attach the notice to the bulletin board.</v>
      </c>
      <c r="J2171" s="9" cm="1">
        <f t="array" ref="J2171">SUMIF('외운 것 - 엑셀다운로드 파일(붙여넣기)'!A3:A562,A2171,'외운 것 - 엑셀다운로드 파일(붙여넣기)'!D3:D562)</f>
        <v>0</v>
      </c>
      <c r="K2171" s="9" cm="1">
        <f t="array" ref="K2171">_xlfn.COUNTIFS('외운 것 - 엑셀다운로드 파일(붙여넣기)'!A3:A562,A2171,'외운 것 - 엑셀다운로드 파일(붙여넣기)'!D3:D562,0)</f>
        <v>0</v>
      </c>
      <c r="L2171" s="9" cm="1">
        <f t="array" ref="L2171">IF(J2171&gt;=3,_xlfn.XLOOKUP(A2171,'외운 것 - 엑셀다운로드 파일(붙여넣기)'!A3:A562,'외운 것 - 엑셀다운로드 파일(붙여넣기)'!C3:C562,0,-1),0)</f>
        <v>0</v>
      </c>
    </row>
    <row r="2172" ht="23.45" customHeight="1">
      <c r="A2172" s="3">
        <v>2171</v>
      </c>
      <c r="B2172" t="s" s="4">
        <v>13645</v>
      </c>
      <c r="C2172" t="s" s="5">
        <v>13646</v>
      </c>
      <c r="D2172" t="s" s="5">
        <v>13639</v>
      </c>
      <c r="E2172" t="s" s="5">
        <v>13647</v>
      </c>
      <c r="F2172" t="s" s="10">
        <v>13648</v>
      </c>
      <c r="G2172" t="s" s="7">
        <v>13649</v>
      </c>
      <c r="H2172" t="s" s="7">
        <v>13650</v>
      </c>
      <c r="I2172" t="str" s="8" cm="1">
        <f t="array" ref="I2172">SUBSTITUTE(H2172,B2172,"(          )")</f>
        <v>The army will (          ) at dawn.</v>
      </c>
      <c r="J2172" s="9" cm="1">
        <f t="array" ref="J2172">SUMIF('외운 것 - 엑셀다운로드 파일(붙여넣기)'!A3:A562,A2172,'외운 것 - 엑셀다운로드 파일(붙여넣기)'!D3:D562)</f>
        <v>0</v>
      </c>
      <c r="K2172" s="9" cm="1">
        <f t="array" ref="K2172">_xlfn.COUNTIFS('외운 것 - 엑셀다운로드 파일(붙여넣기)'!A3:A562,A2172,'외운 것 - 엑셀다운로드 파일(붙여넣기)'!D3:D562,0)</f>
        <v>0</v>
      </c>
      <c r="L2172" s="9" cm="1">
        <f t="array" ref="L2172">IF(J2172&gt;=3,_xlfn.XLOOKUP(A2172,'외운 것 - 엑셀다운로드 파일(붙여넣기)'!A3:A562,'외운 것 - 엑셀다운로드 파일(붙여넣기)'!C3:C562,0,-1),0)</f>
        <v>0</v>
      </c>
    </row>
    <row r="2173" ht="38.45" customHeight="1">
      <c r="A2173" s="3">
        <v>2172</v>
      </c>
      <c r="B2173" t="s" s="4">
        <v>13652</v>
      </c>
      <c r="C2173" t="s" s="5">
        <v>13638</v>
      </c>
      <c r="D2173" t="s" s="5">
        <v>13639</v>
      </c>
      <c r="E2173" t="s" s="5">
        <v>13653</v>
      </c>
      <c r="F2173" t="s" s="10">
        <v>13654</v>
      </c>
      <c r="G2173" t="s" s="7">
        <v>13655</v>
      </c>
      <c r="H2173" t="s" s="7">
        <v>13656</v>
      </c>
      <c r="I2173" t="str" s="8" cm="1">
        <f t="array" ref="I2173">SUBSTITUTE(H2173,B2173,"(          )")</f>
        <v>Attach the document to your email.</v>
      </c>
      <c r="J2173" s="9" cm="1">
        <f t="array" ref="J2173">SUMIF('외운 것 - 엑셀다운로드 파일(붙여넣기)'!A3:A562,A2173,'외운 것 - 엑셀다운로드 파일(붙여넣기)'!D3:D562)</f>
        <v>0</v>
      </c>
      <c r="K2173" s="9" cm="1">
        <f t="array" ref="K2173">_xlfn.COUNTIFS('외운 것 - 엑셀다운로드 파일(붙여넣기)'!A3:A562,A2173,'외운 것 - 엑셀다운로드 파일(붙여넣기)'!D3:D562,0)</f>
        <v>0</v>
      </c>
      <c r="L2173" s="9" cm="1">
        <f t="array" ref="L2173">IF(J2173&gt;=3,_xlfn.XLOOKUP(A2173,'외운 것 - 엑셀다운로드 파일(붙여넣기)'!A3:A562,'외운 것 - 엑셀다운로드 파일(붙여넣기)'!C3:C562,0,-1),0)</f>
        <v>0</v>
      </c>
    </row>
    <row r="2174" ht="23.45" customHeight="1">
      <c r="A2174" s="3">
        <v>2173</v>
      </c>
      <c r="B2174" t="s" s="4">
        <v>13658</v>
      </c>
      <c r="C2174" t="s" s="5">
        <v>13638</v>
      </c>
      <c r="D2174" t="s" s="5">
        <v>13639</v>
      </c>
      <c r="E2174" t="s" s="5">
        <v>13659</v>
      </c>
      <c r="F2174" t="s" s="10">
        <v>13660</v>
      </c>
      <c r="G2174" t="s" s="7">
        <v>13661</v>
      </c>
      <c r="H2174" t="s" s="7">
        <v>13662</v>
      </c>
      <c r="I2174" t="str" s="8" cm="1">
        <f t="array" ref="I2174">SUBSTITUTE(H2174,B2174,"(          )")</f>
        <v>You can (          ) the cover for cleaning.</v>
      </c>
      <c r="J2174" s="9" cm="1">
        <f t="array" ref="J2174">SUMIF('외운 것 - 엑셀다운로드 파일(붙여넣기)'!A3:A562,A2174,'외운 것 - 엑셀다운로드 파일(붙여넣기)'!D3:D562)</f>
        <v>0</v>
      </c>
      <c r="K2174" s="9" cm="1">
        <f t="array" ref="K2174">_xlfn.COUNTIFS('외운 것 - 엑셀다운로드 파일(붙여넣기)'!A3:A562,A2174,'외운 것 - 엑셀다운로드 파일(붙여넣기)'!D3:D562,0)</f>
        <v>0</v>
      </c>
      <c r="L2174" s="9" cm="1">
        <f t="array" ref="L2174">IF(J2174&gt;=3,_xlfn.XLOOKUP(A2174,'외운 것 - 엑셀다운로드 파일(붙여넣기)'!A3:A562,'외운 것 - 엑셀다운로드 파일(붙여넣기)'!C3:C562,0,-1),0)</f>
        <v>0</v>
      </c>
    </row>
    <row r="2175" ht="23.45" customHeight="1">
      <c r="A2175" s="3">
        <v>2174</v>
      </c>
      <c r="B2175" t="s" s="4">
        <v>13664</v>
      </c>
      <c r="C2175" t="s" s="5">
        <v>13638</v>
      </c>
      <c r="D2175" t="s" s="5">
        <v>13639</v>
      </c>
      <c r="E2175" t="s" s="5">
        <v>13665</v>
      </c>
      <c r="F2175" t="s" s="10">
        <v>13666</v>
      </c>
      <c r="G2175" t="s" s="7">
        <v>13667</v>
      </c>
      <c r="H2175" t="s" s="7">
        <v>13668</v>
      </c>
      <c r="I2175" t="str" s="8" cm="1">
        <f t="array" ref="I2175">SUBSTITUTE(H2175,B2175,"(          )")</f>
        <v>I'll (          ) you as soon as I get more information.</v>
      </c>
      <c r="J2175" s="9" cm="1">
        <f t="array" ref="J2175">SUMIF('외운 것 - 엑셀다운로드 파일(붙여넣기)'!A3:A562,A2175,'외운 것 - 엑셀다운로드 파일(붙여넣기)'!D3:D562)</f>
        <v>0</v>
      </c>
      <c r="K2175" s="9" cm="1">
        <f t="array" ref="K2175">_xlfn.COUNTIFS('외운 것 - 엑셀다운로드 파일(붙여넣기)'!A3:A562,A2175,'외운 것 - 엑셀다운로드 파일(붙여넣기)'!D3:D562,0)</f>
        <v>0</v>
      </c>
      <c r="L2175" s="9" cm="1">
        <f t="array" ref="L2175">IF(J2175&gt;=3,_xlfn.XLOOKUP(A2175,'외운 것 - 엑셀다운로드 파일(붙여넣기)'!A3:A562,'외운 것 - 엑셀다운로드 파일(붙여넣기)'!C3:C562,0,-1),0)</f>
        <v>0</v>
      </c>
    </row>
    <row r="2176" ht="23.45" customHeight="1">
      <c r="A2176" s="3">
        <v>2175</v>
      </c>
      <c r="B2176" t="s" s="4">
        <v>8671</v>
      </c>
      <c r="C2176" t="s" s="5">
        <v>13670</v>
      </c>
      <c r="D2176" t="s" s="5">
        <v>13638</v>
      </c>
      <c r="E2176" t="s" s="5">
        <v>8672</v>
      </c>
      <c r="F2176" t="s" s="10">
        <v>13671</v>
      </c>
      <c r="G2176" t="s" s="7">
        <v>8674</v>
      </c>
      <c r="H2176" t="s" s="7">
        <v>8675</v>
      </c>
      <c r="I2176" t="str" s="8" cm="1">
        <f t="array" ref="I2176">SUBSTITUTE(H2176,B2176,"(          )")</f>
        <v>Regular exercise helps (          ) good health.</v>
      </c>
      <c r="J2176" s="9" cm="1">
        <f t="array" ref="J2176">SUMIF('외운 것 - 엑셀다운로드 파일(붙여넣기)'!A3:A562,A2176,'외운 것 - 엑셀다운로드 파일(붙여넣기)'!D3:D562)</f>
        <v>0</v>
      </c>
      <c r="K2176" s="9" cm="1">
        <f t="array" ref="K2176">_xlfn.COUNTIFS('외운 것 - 엑셀다운로드 파일(붙여넣기)'!A3:A562,A2176,'외운 것 - 엑셀다운로드 파일(붙여넣기)'!D3:D562,0)</f>
        <v>0</v>
      </c>
      <c r="L2176" s="9" cm="1">
        <f t="array" ref="L2176">IF(J2176&gt;=3,_xlfn.XLOOKUP(A2176,'외운 것 - 엑셀다운로드 파일(붙여넣기)'!A3:A562,'외운 것 - 엑셀다운로드 파일(붙여넣기)'!C3:C562,0,-1),0)</f>
        <v>0</v>
      </c>
    </row>
    <row r="2177" ht="36.4" customHeight="1">
      <c r="A2177" s="3">
        <v>2176</v>
      </c>
      <c r="B2177" t="s" s="4">
        <v>13672</v>
      </c>
      <c r="C2177" t="s" s="5">
        <v>13673</v>
      </c>
      <c r="D2177" t="s" s="5">
        <v>13638</v>
      </c>
      <c r="E2177" t="s" s="5">
        <v>13674</v>
      </c>
      <c r="F2177" t="s" s="10">
        <v>13675</v>
      </c>
      <c r="G2177" t="s" s="7">
        <v>13676</v>
      </c>
      <c r="H2177" t="s" s="7">
        <v>13677</v>
      </c>
      <c r="I2177" t="str" s="8" cm="1">
        <f t="array" ref="I2177">SUBSTITUTE(H2177,B2177,"(          )")</f>
        <v>Africa is the second-largest (          ) by land area.</v>
      </c>
      <c r="J2177" s="9" cm="1">
        <f t="array" ref="J2177">SUMIF('외운 것 - 엑셀다운로드 파일(붙여넣기)'!A3:A562,A2177,'외운 것 - 엑셀다운로드 파일(붙여넣기)'!D3:D562)</f>
        <v>0</v>
      </c>
      <c r="K2177" s="9" cm="1">
        <f t="array" ref="K2177">_xlfn.COUNTIFS('외운 것 - 엑셀다운로드 파일(붙여넣기)'!A3:A562,A2177,'외운 것 - 엑셀다운로드 파일(붙여넣기)'!D3:D562,0)</f>
        <v>0</v>
      </c>
      <c r="L2177" s="9" cm="1">
        <f t="array" ref="L2177">IF(J2177&gt;=3,_xlfn.XLOOKUP(A2177,'외운 것 - 엑셀다운로드 파일(붙여넣기)'!A3:A562,'외운 것 - 엑셀다운로드 파일(붙여넣기)'!C3:C562,0,-1),0)</f>
        <v>0</v>
      </c>
    </row>
    <row r="2178" ht="38.45" customHeight="1">
      <c r="A2178" s="3">
        <v>2177</v>
      </c>
      <c r="B2178" t="s" s="4">
        <v>13679</v>
      </c>
      <c r="C2178" t="s" s="5">
        <v>13680</v>
      </c>
      <c r="D2178" t="s" s="5">
        <v>13638</v>
      </c>
      <c r="E2178" t="s" s="5">
        <v>13681</v>
      </c>
      <c r="F2178" t="s" s="10">
        <v>13682</v>
      </c>
      <c r="G2178" t="s" s="7">
        <v>13683</v>
      </c>
      <c r="H2178" t="s" s="7">
        <v>13684</v>
      </c>
      <c r="I2178" t="str" s="8" cm="1">
        <f t="array" ref="I2178">SUBSTITUTE(H2178,B2178,"(          )")</f>
        <v>Goodwill is an (          ) asset for a business.</v>
      </c>
      <c r="J2178" s="9" cm="1">
        <f t="array" ref="J2178">SUMIF('외운 것 - 엑셀다운로드 파일(붙여넣기)'!A3:A562,A2178,'외운 것 - 엑셀다운로드 파일(붙여넣기)'!D3:D562)</f>
        <v>0</v>
      </c>
      <c r="K2178" s="9" cm="1">
        <f t="array" ref="K2178">_xlfn.COUNTIFS('외운 것 - 엑셀다운로드 파일(붙여넣기)'!A3:A562,A2178,'외운 것 - 엑셀다운로드 파일(붙여넣기)'!D3:D562,0)</f>
        <v>0</v>
      </c>
      <c r="L2178" s="9" cm="1">
        <f t="array" ref="L2178">IF(J2178&gt;=3,_xlfn.XLOOKUP(A2178,'외운 것 - 엑셀다운로드 파일(붙여넣기)'!A3:A562,'외운 것 - 엑셀다운로드 파일(붙여넣기)'!C3:C562,0,-1),0)</f>
        <v>0</v>
      </c>
    </row>
    <row r="2179" ht="23.45" customHeight="1">
      <c r="A2179" s="3">
        <v>2178</v>
      </c>
      <c r="B2179" t="s" s="4">
        <v>13686</v>
      </c>
      <c r="C2179" t="s" s="5">
        <v>13687</v>
      </c>
      <c r="D2179" t="s" s="5">
        <v>13688</v>
      </c>
      <c r="E2179" t="s" s="5">
        <v>13689</v>
      </c>
      <c r="F2179" t="s" s="10">
        <v>13690</v>
      </c>
      <c r="G2179" t="s" s="7">
        <v>13691</v>
      </c>
      <c r="H2179" t="s" s="7">
        <v>13692</v>
      </c>
      <c r="I2179" t="str" s="8" cm="1">
        <f t="array" ref="I2179">SUBSTITUTE(H2179,B2179,"(          )")</f>
        <v>This box (          )s fragile items.</v>
      </c>
      <c r="J2179" s="9" cm="1">
        <f t="array" ref="J2179">SUMIF('외운 것 - 엑셀다운로드 파일(붙여넣기)'!A3:A562,A2179,'외운 것 - 엑셀다운로드 파일(붙여넣기)'!D3:D562)</f>
        <v>0</v>
      </c>
      <c r="K2179" s="9" cm="1">
        <f t="array" ref="K2179">_xlfn.COUNTIFS('외운 것 - 엑셀다운로드 파일(붙여넣기)'!A3:A562,A2179,'외운 것 - 엑셀다운로드 파일(붙여넣기)'!D3:D562,0)</f>
        <v>0</v>
      </c>
      <c r="L2179" s="9" cm="1">
        <f t="array" ref="L2179">IF(J2179&gt;=3,_xlfn.XLOOKUP(A2179,'외운 것 - 엑셀다운로드 파일(붙여넣기)'!A3:A562,'외운 것 - 엑셀다운로드 파일(붙여넣기)'!C3:C562,0,-1),0)</f>
        <v>0</v>
      </c>
    </row>
    <row r="2180" ht="38.45" customHeight="1">
      <c r="A2180" s="3">
        <v>2179</v>
      </c>
      <c r="B2180" t="s" s="4">
        <v>13694</v>
      </c>
      <c r="C2180" t="s" s="5">
        <v>13687</v>
      </c>
      <c r="D2180" t="s" s="5">
        <v>13688</v>
      </c>
      <c r="E2180" t="s" s="5">
        <v>13695</v>
      </c>
      <c r="F2180" t="s" s="10">
        <v>13696</v>
      </c>
      <c r="G2180" t="s" s="7">
        <v>13697</v>
      </c>
      <c r="H2180" t="s" s="7">
        <v>13698</v>
      </c>
      <c r="I2180" t="str" s="8" cm="1">
        <f t="array" ref="I2180">SUBSTITUTE(H2180,B2180,"(          )")</f>
        <v>You can (          ) a permit from the city office.</v>
      </c>
      <c r="J2180" s="9" cm="1">
        <f t="array" ref="J2180">SUMIF('외운 것 - 엑셀다운로드 파일(붙여넣기)'!A3:A562,A2180,'외운 것 - 엑셀다운로드 파일(붙여넣기)'!D3:D562)</f>
        <v>0</v>
      </c>
      <c r="K2180" s="9" cm="1">
        <f t="array" ref="K2180">_xlfn.COUNTIFS('외운 것 - 엑셀다운로드 파일(붙여넣기)'!A3:A562,A2180,'외운 것 - 엑셀다운로드 파일(붙여넣기)'!D3:D562,0)</f>
        <v>0</v>
      </c>
      <c r="L2180" s="9" cm="1">
        <f t="array" ref="L2180">IF(J2180&gt;=3,_xlfn.XLOOKUP(A2180,'외운 것 - 엑셀다운로드 파일(붙여넣기)'!A3:A562,'외운 것 - 엑셀다운로드 파일(붙여넣기)'!C3:C562,0,-1),0)</f>
        <v>0</v>
      </c>
    </row>
    <row r="2181" ht="23.45" customHeight="1">
      <c r="A2181" s="3">
        <v>2180</v>
      </c>
      <c r="B2181" t="s" s="4">
        <v>13700</v>
      </c>
      <c r="C2181" t="s" s="5">
        <v>13687</v>
      </c>
      <c r="D2181" t="s" s="5">
        <v>13688</v>
      </c>
      <c r="E2181" t="s" s="5">
        <v>13701</v>
      </c>
      <c r="F2181" t="s" s="10">
        <v>13702</v>
      </c>
      <c r="G2181" t="s" s="7">
        <v>13703</v>
      </c>
      <c r="H2181" t="s" s="7">
        <v>13704</v>
      </c>
      <c r="I2181" t="str" s="8" cm="1">
        <f t="array" ref="I2181">SUBSTITUTE(H2181,B2181,"(          )")</f>
        <v>Police (          ) suspects for questioning.</v>
      </c>
      <c r="J2181" s="9" cm="1">
        <f t="array" ref="J2181">SUMIF('외운 것 - 엑셀다운로드 파일(붙여넣기)'!A3:A562,A2181,'외운 것 - 엑셀다운로드 파일(붙여넣기)'!D3:D562)</f>
        <v>0</v>
      </c>
      <c r="K2181" s="9" cm="1">
        <f t="array" ref="K2181">_xlfn.COUNTIFS('외운 것 - 엑셀다운로드 파일(붙여넣기)'!A3:A562,A2181,'외운 것 - 엑셀다운로드 파일(붙여넣기)'!D3:D562,0)</f>
        <v>0</v>
      </c>
      <c r="L2181" s="9" cm="1">
        <f t="array" ref="L2181">IF(J2181&gt;=3,_xlfn.XLOOKUP(A2181,'외운 것 - 엑셀다운로드 파일(붙여넣기)'!A3:A562,'외운 것 - 엑셀다운로드 파일(붙여넣기)'!C3:C562,0,-1),0)</f>
        <v>0</v>
      </c>
    </row>
    <row r="2182" ht="23.45" customHeight="1">
      <c r="A2182" s="3">
        <v>2181</v>
      </c>
      <c r="B2182" t="s" s="4">
        <v>13706</v>
      </c>
      <c r="C2182" t="s" s="5">
        <v>13687</v>
      </c>
      <c r="D2182" t="s" s="5">
        <v>13688</v>
      </c>
      <c r="E2182" t="s" s="5">
        <v>13707</v>
      </c>
      <c r="F2182" t="s" s="10">
        <v>13708</v>
      </c>
      <c r="G2182" t="s" s="7">
        <v>13709</v>
      </c>
      <c r="H2182" t="s" s="7">
        <v>13710</v>
      </c>
      <c r="I2182" t="str" s="8" cm="1">
        <f t="array" ref="I2182">SUBSTITUTE(H2182,B2182,"(          )")</f>
        <v>The company works hard to (          ) talented employees.</v>
      </c>
      <c r="J2182" s="9" cm="1">
        <f t="array" ref="J2182">SUMIF('외운 것 - 엑셀다운로드 파일(붙여넣기)'!A3:A562,A2182,'외운 것 - 엑셀다운로드 파일(붙여넣기)'!D3:D562)</f>
        <v>0</v>
      </c>
      <c r="K2182" s="9" cm="1">
        <f t="array" ref="K2182">_xlfn.COUNTIFS('외운 것 - 엑셀다운로드 파일(붙여넣기)'!A3:A562,A2182,'외운 것 - 엑셀다운로드 파일(붙여넣기)'!D3:D562,0)</f>
        <v>0</v>
      </c>
      <c r="L2182" s="9" cm="1">
        <f t="array" ref="L2182">IF(J2182&gt;=3,_xlfn.XLOOKUP(A2182,'외운 것 - 엑셀다운로드 파일(붙여넣기)'!A3:A562,'외운 것 - 엑셀다운로드 파일(붙여넣기)'!C3:C562,0,-1),0)</f>
        <v>0</v>
      </c>
    </row>
    <row r="2183" ht="23.45" customHeight="1">
      <c r="A2183" s="3">
        <v>2182</v>
      </c>
      <c r="B2183" t="s" s="4">
        <v>13712</v>
      </c>
      <c r="C2183" t="s" s="5">
        <v>13687</v>
      </c>
      <c r="D2183" t="s" s="5">
        <v>13688</v>
      </c>
      <c r="E2183" t="s" s="5">
        <v>13713</v>
      </c>
      <c r="F2183" t="s" s="10">
        <v>13714</v>
      </c>
      <c r="G2183" t="s" s="7">
        <v>13715</v>
      </c>
      <c r="H2183" t="s" s="7">
        <v>13716</v>
      </c>
      <c r="I2183" t="str" s="8" cm="1">
        <f t="array" ref="I2183">SUBSTITUTE(H2183,B2183,"(          )")</f>
        <v>These practices will help (          ) natural resources.</v>
      </c>
      <c r="J2183" s="9" cm="1">
        <f t="array" ref="J2183">SUMIF('외운 것 - 엑셀다운로드 파일(붙여넣기)'!A3:A562,A2183,'외운 것 - 엑셀다운로드 파일(붙여넣기)'!D3:D562)</f>
        <v>0</v>
      </c>
      <c r="K2183" s="9" cm="1">
        <f t="array" ref="K2183">_xlfn.COUNTIFS('외운 것 - 엑셀다운로드 파일(붙여넣기)'!A3:A562,A2183,'외운 것 - 엑셀다운로드 파일(붙여넣기)'!D3:D562,0)</f>
        <v>0</v>
      </c>
      <c r="L2183" s="9" cm="1">
        <f t="array" ref="L2183">IF(J2183&gt;=3,_xlfn.XLOOKUP(A2183,'외운 것 - 엑셀다운로드 파일(붙여넣기)'!A3:A562,'외운 것 - 엑셀다운로드 파일(붙여넣기)'!C3:C562,0,-1),0)</f>
        <v>0</v>
      </c>
    </row>
    <row r="2184" ht="23.45" customHeight="1">
      <c r="A2184" s="3">
        <v>2183</v>
      </c>
      <c r="B2184" t="s" s="4">
        <v>13718</v>
      </c>
      <c r="C2184" t="s" s="5">
        <v>13687</v>
      </c>
      <c r="D2184" t="s" s="5">
        <v>13688</v>
      </c>
      <c r="E2184" t="s" s="5">
        <v>13719</v>
      </c>
      <c r="F2184" t="s" s="10">
        <v>13720</v>
      </c>
      <c r="G2184" t="s" s="7">
        <v>13721</v>
      </c>
      <c r="H2184" t="s" s="7">
        <v>13722</v>
      </c>
      <c r="I2184" t="str" s="8" cm="1">
        <f t="array" ref="I2184">SUBSTITUTE(H2184,B2184,"(          )")</f>
        <v>It takes years of practice to (          ) mastery.</v>
      </c>
      <c r="J2184" s="9" cm="1">
        <f t="array" ref="J2184">SUMIF('외운 것 - 엑셀다운로드 파일(붙여넣기)'!A3:A562,A2184,'외운 것 - 엑셀다운로드 파일(붙여넣기)'!D3:D562)</f>
        <v>0</v>
      </c>
      <c r="K2184" s="9" cm="1">
        <f t="array" ref="K2184">_xlfn.COUNTIFS('외운 것 - 엑셀다운로드 파일(붙여넣기)'!A3:A562,A2184,'외운 것 - 엑셀다운로드 파일(붙여넣기)'!D3:D562,0)</f>
        <v>0</v>
      </c>
      <c r="L2184" s="9" cm="1">
        <f t="array" ref="L2184">IF(J2184&gt;=3,_xlfn.XLOOKUP(A2184,'외운 것 - 엑셀다운로드 파일(붙여넣기)'!A3:A562,'외운 것 - 엑셀다운로드 파일(붙여넣기)'!C3:C562,0,-1),0)</f>
        <v>0</v>
      </c>
    </row>
    <row r="2185" ht="23.45" customHeight="1">
      <c r="A2185" s="3">
        <v>2184</v>
      </c>
      <c r="B2185" t="s" s="4">
        <v>13724</v>
      </c>
      <c r="C2185" t="s" s="5">
        <v>13687</v>
      </c>
      <c r="D2185" t="s" s="5">
        <v>13688</v>
      </c>
      <c r="E2185" t="s" s="5">
        <v>13725</v>
      </c>
      <c r="F2185" t="s" s="10">
        <v>13726</v>
      </c>
      <c r="G2185" t="s" s="7">
        <v>13727</v>
      </c>
      <c r="H2185" t="s" s="7">
        <v>13728</v>
      </c>
      <c r="I2185" t="str" s="8" cm="1">
        <f t="array" ref="I2185">SUBSTITUTE(H2185,B2185,"(          )")</f>
        <v>Some people (          ) from eating meat.</v>
      </c>
      <c r="J2185" s="9" cm="1">
        <f t="array" ref="J2185">SUMIF('외운 것 - 엑셀다운로드 파일(붙여넣기)'!A3:A562,A2185,'외운 것 - 엑셀다운로드 파일(붙여넣기)'!D3:D562)</f>
        <v>0</v>
      </c>
      <c r="K2185" s="9" cm="1">
        <f t="array" ref="K2185">_xlfn.COUNTIFS('외운 것 - 엑셀다운로드 파일(붙여넣기)'!A3:A562,A2185,'외운 것 - 엑셀다운로드 파일(붙여넣기)'!D3:D562,0)</f>
        <v>0</v>
      </c>
      <c r="L2185" s="9" cm="1">
        <f t="array" ref="L2185">IF(J2185&gt;=3,_xlfn.XLOOKUP(A2185,'외운 것 - 엑셀다운로드 파일(붙여넣기)'!A3:A562,'외운 것 - 엑셀다운로드 파일(붙여넣기)'!C3:C562,0,-1),0)</f>
        <v>0</v>
      </c>
    </row>
    <row r="2186" ht="23.45" customHeight="1">
      <c r="A2186" s="3">
        <v>2185</v>
      </c>
      <c r="B2186" t="s" s="4">
        <v>13730</v>
      </c>
      <c r="C2186" t="s" s="5">
        <v>13687</v>
      </c>
      <c r="D2186" t="s" s="5">
        <v>13688</v>
      </c>
      <c r="E2186" t="s" s="5">
        <v>13731</v>
      </c>
      <c r="F2186" t="s" s="10">
        <v>13732</v>
      </c>
      <c r="G2186" t="s" s="7">
        <v>13733</v>
      </c>
      <c r="H2186" t="s" s="7">
        <v>13734</v>
      </c>
      <c r="I2186" t="str" s="8" cm="1">
        <f t="array" ref="I2186">SUBSTITUTE(H2186,B2186,"(          )")</f>
        <v>The comedian will (          ) guests at the party.</v>
      </c>
      <c r="J2186" s="9" cm="1">
        <f t="array" ref="J2186">SUMIF('외운 것 - 엑셀다운로드 파일(붙여넣기)'!A3:A562,A2186,'외운 것 - 엑셀다운로드 파일(붙여넣기)'!D3:D562)</f>
        <v>0</v>
      </c>
      <c r="K2186" s="9" cm="1">
        <f t="array" ref="K2186">_xlfn.COUNTIFS('외운 것 - 엑셀다운로드 파일(붙여넣기)'!A3:A562,A2186,'외운 것 - 엑셀다운로드 파일(붙여넣기)'!D3:D562,0)</f>
        <v>0</v>
      </c>
      <c r="L2186" s="9" cm="1">
        <f t="array" ref="L2186">IF(J2186&gt;=3,_xlfn.XLOOKUP(A2186,'외운 것 - 엑셀다운로드 파일(붙여넣기)'!A3:A562,'외운 것 - 엑셀다운로드 파일(붙여넣기)'!C3:C562,0,-1),0)</f>
        <v>0</v>
      </c>
    </row>
    <row r="2187" ht="23.45" customHeight="1">
      <c r="A2187" s="3">
        <v>2186</v>
      </c>
      <c r="B2187" t="s" s="4">
        <v>13736</v>
      </c>
      <c r="C2187" t="s" s="5">
        <v>13737</v>
      </c>
      <c r="D2187" t="s" s="5">
        <v>13688</v>
      </c>
      <c r="E2187" t="s" s="5">
        <v>13738</v>
      </c>
      <c r="F2187" t="s" s="10">
        <v>13739</v>
      </c>
      <c r="G2187" t="s" s="7">
        <v>13740</v>
      </c>
      <c r="H2187" t="s" s="7">
        <v>13741</v>
      </c>
      <c r="I2187" t="str" s="8" cm="1">
        <f t="array" ref="I2187">SUBSTITUTE(H2187,B2187,"(          )")</f>
        <v>The movie will (          ) after a short intermission.</v>
      </c>
      <c r="J2187" s="9" cm="1">
        <f t="array" ref="J2187">SUMIF('외운 것 - 엑셀다운로드 파일(붙여넣기)'!A3:A562,A2187,'외운 것 - 엑셀다운로드 파일(붙여넣기)'!D3:D562)</f>
        <v>0</v>
      </c>
      <c r="K2187" s="9" cm="1">
        <f t="array" ref="K2187">_xlfn.COUNTIFS('외운 것 - 엑셀다운로드 파일(붙여넣기)'!A3:A562,A2187,'외운 것 - 엑셀다운로드 파일(붙여넣기)'!D3:D562,0)</f>
        <v>0</v>
      </c>
      <c r="L2187" s="9" cm="1">
        <f t="array" ref="L2187">IF(J2187&gt;=3,_xlfn.XLOOKUP(A2187,'외운 것 - 엑셀다운로드 파일(붙여넣기)'!A3:A562,'외운 것 - 엑셀다운로드 파일(붙여넣기)'!C3:C562,0,-1),0)</f>
        <v>0</v>
      </c>
    </row>
    <row r="2188" ht="36.4" customHeight="1">
      <c r="A2188" s="3">
        <v>2187</v>
      </c>
      <c r="B2188" t="s" s="4">
        <v>13743</v>
      </c>
      <c r="C2188" t="s" s="5">
        <v>13744</v>
      </c>
      <c r="D2188" t="s" s="5">
        <v>13688</v>
      </c>
      <c r="E2188" t="s" s="5">
        <v>13745</v>
      </c>
      <c r="F2188" t="s" s="10">
        <v>13746</v>
      </c>
      <c r="G2188" t="s" s="7">
        <v>13747</v>
      </c>
      <c r="H2188" t="s" s="7">
        <v>13748</v>
      </c>
      <c r="I2188" t="str" s="8" cm="1">
        <f t="array" ref="I2188">SUBSTITUTE(H2188,B2188,"(          )")</f>
        <v>The manufacturer decided to (          ) this model.</v>
      </c>
      <c r="J2188" s="9" cm="1">
        <f t="array" ref="J2188">SUMIF('외운 것 - 엑셀다운로드 파일(붙여넣기)'!A3:A562,A2188,'외운 것 - 엑셀다운로드 파일(붙여넣기)'!D3:D562)</f>
        <v>0</v>
      </c>
      <c r="K2188" s="9" cm="1">
        <f t="array" ref="K2188">_xlfn.COUNTIFS('외운 것 - 엑셀다운로드 파일(붙여넣기)'!A3:A562,A2188,'외운 것 - 엑셀다운로드 파일(붙여넣기)'!D3:D562,0)</f>
        <v>0</v>
      </c>
      <c r="L2188" s="9" cm="1">
        <f t="array" ref="L2188">IF(J2188&gt;=3,_xlfn.XLOOKUP(A2188,'외운 것 - 엑셀다운로드 파일(붙여넣기)'!A3:A562,'외운 것 - 엑셀다운로드 파일(붙여넣기)'!C3:C562,0,-1),0)</f>
        <v>0</v>
      </c>
    </row>
    <row r="2189" ht="23.45" customHeight="1">
      <c r="A2189" s="3">
        <v>2188</v>
      </c>
      <c r="B2189" t="s" s="4">
        <v>13750</v>
      </c>
      <c r="C2189" t="s" s="5">
        <v>13751</v>
      </c>
      <c r="D2189" t="s" s="5">
        <v>13752</v>
      </c>
      <c r="E2189" t="s" s="5">
        <v>13753</v>
      </c>
      <c r="F2189" t="s" s="10">
        <v>13754</v>
      </c>
      <c r="G2189" t="s" s="7">
        <v>13755</v>
      </c>
      <c r="H2189" t="s" s="7">
        <v>13756</v>
      </c>
      <c r="I2189" t="str" s="8" cm="1">
        <f t="array" ref="I2189">SUBSTITUTE(H2189,B2189,"(          )")</f>
        <v>They danced the (          ) at the competition.</v>
      </c>
      <c r="J2189" s="9" cm="1">
        <f t="array" ref="J2189">SUMIF('외운 것 - 엑셀다운로드 파일(붙여넣기)'!A3:A562,A2189,'외운 것 - 엑셀다운로드 파일(붙여넣기)'!D3:D562)</f>
        <v>0</v>
      </c>
      <c r="K2189" s="9" cm="1">
        <f t="array" ref="K2189">_xlfn.COUNTIFS('외운 것 - 엑셀다운로드 파일(붙여넣기)'!A3:A562,A2189,'외운 것 - 엑셀다운로드 파일(붙여넣기)'!D3:D562,0)</f>
        <v>0</v>
      </c>
      <c r="L2189" s="9" cm="1">
        <f t="array" ref="L2189">IF(J2189&gt;=3,_xlfn.XLOOKUP(A2189,'외운 것 - 엑셀다운로드 파일(붙여넣기)'!A3:A562,'외운 것 - 엑셀다운로드 파일(붙여넣기)'!C3:C562,0,-1),0)</f>
        <v>0</v>
      </c>
    </row>
    <row r="2190" ht="23.45" customHeight="1">
      <c r="A2190" s="3">
        <v>2189</v>
      </c>
      <c r="B2190" t="s" s="4">
        <v>13758</v>
      </c>
      <c r="C2190" t="s" s="5">
        <v>13751</v>
      </c>
      <c r="D2190" t="s" s="5">
        <v>13752</v>
      </c>
      <c r="E2190" t="s" s="5">
        <v>13759</v>
      </c>
      <c r="F2190" t="s" s="10">
        <v>13760</v>
      </c>
      <c r="G2190" t="s" s="7">
        <v>13761</v>
      </c>
      <c r="H2190" t="s" s="7">
        <v>13762</v>
      </c>
      <c r="I2190" t="str" s="8" cm="1">
        <f t="array" ref="I2190">SUBSTITUTE(H2190,B2190,"(          )")</f>
        <v>Don't let the cord (          ) around the furniture.</v>
      </c>
      <c r="J2190" s="9" cm="1">
        <f t="array" ref="J2190">SUMIF('외운 것 - 엑셀다운로드 파일(붙여넣기)'!A3:A562,A2190,'외운 것 - 엑셀다운로드 파일(붙여넣기)'!D3:D562)</f>
        <v>0</v>
      </c>
      <c r="K2190" s="9" cm="1">
        <f t="array" ref="K2190">_xlfn.COUNTIFS('외운 것 - 엑셀다운로드 파일(붙여넣기)'!A3:A562,A2190,'외운 것 - 엑셀다운로드 파일(붙여넣기)'!D3:D562,0)</f>
        <v>0</v>
      </c>
      <c r="L2190" s="9" cm="1">
        <f t="array" ref="L2190">IF(J2190&gt;=3,_xlfn.XLOOKUP(A2190,'외운 것 - 엑셀다운로드 파일(붙여넣기)'!A3:A562,'외운 것 - 엑셀다운로드 파일(붙여넣기)'!C3:C562,0,-1),0)</f>
        <v>0</v>
      </c>
    </row>
    <row r="2191" ht="36.4" customHeight="1">
      <c r="A2191" s="3">
        <v>2190</v>
      </c>
      <c r="B2191" t="s" s="4">
        <v>13764</v>
      </c>
      <c r="C2191" t="s" s="5">
        <v>13765</v>
      </c>
      <c r="D2191" t="s" s="5">
        <v>13751</v>
      </c>
      <c r="E2191" t="s" s="5">
        <v>13766</v>
      </c>
      <c r="F2191" t="s" s="10">
        <v>13767</v>
      </c>
      <c r="G2191" t="s" s="7">
        <v>13768</v>
      </c>
      <c r="H2191" t="s" s="7">
        <v>13769</v>
      </c>
      <c r="I2191" t="str" s="8" cm="1">
        <f t="array" ref="I2191">SUBSTITUTE(H2191,B2191,"(          )")</f>
        <v>The fish became (          )d in the net.</v>
      </c>
      <c r="J2191" s="9" cm="1">
        <f t="array" ref="J2191">SUMIF('외운 것 - 엑셀다운로드 파일(붙여넣기)'!A3:A562,A2191,'외운 것 - 엑셀다운로드 파일(붙여넣기)'!D3:D562)</f>
        <v>0</v>
      </c>
      <c r="K2191" s="9" cm="1">
        <f t="array" ref="K2191">_xlfn.COUNTIFS('외운 것 - 엑셀다운로드 파일(붙여넣기)'!A3:A562,A2191,'외운 것 - 엑셀다운로드 파일(붙여넣기)'!D3:D562,0)</f>
        <v>0</v>
      </c>
      <c r="L2191" s="9" cm="1">
        <f t="array" ref="L2191">IF(J2191&gt;=3,_xlfn.XLOOKUP(A2191,'외운 것 - 엑셀다운로드 파일(붙여넣기)'!A3:A562,'외운 것 - 엑셀다운로드 파일(붙여넣기)'!C3:C562,0,-1),0)</f>
        <v>0</v>
      </c>
    </row>
    <row r="2192" ht="23.45" customHeight="1">
      <c r="A2192" s="3">
        <v>2191</v>
      </c>
      <c r="B2192" t="s" s="4">
        <v>13771</v>
      </c>
      <c r="C2192" t="s" s="5">
        <v>13751</v>
      </c>
      <c r="D2192" t="s" s="5">
        <v>13752</v>
      </c>
      <c r="E2192" t="s" s="5">
        <v>13772</v>
      </c>
      <c r="F2192" t="s" s="10">
        <v>13773</v>
      </c>
      <c r="G2192" t="s" s="7">
        <v>13774</v>
      </c>
      <c r="H2192" t="s" s="7">
        <v>13775</v>
      </c>
      <c r="I2192" t="str" s="8" cm="1">
        <f t="array" ref="I2192">SUBSTITUTE(H2192,B2192,"(          )")</f>
        <v>Buying a house provides (          ) benefits over renting.</v>
      </c>
      <c r="J2192" s="9" cm="1">
        <f t="array" ref="J2192">SUMIF('외운 것 - 엑셀다운로드 파일(붙여넣기)'!A3:A562,A2192,'외운 것 - 엑셀다운로드 파일(붙여넣기)'!D3:D562)</f>
        <v>0</v>
      </c>
      <c r="K2192" s="9" cm="1">
        <f t="array" ref="K2192">_xlfn.COUNTIFS('외운 것 - 엑셀다운로드 파일(붙여넣기)'!A3:A562,A2192,'외운 것 - 엑셀다운로드 파일(붙여넣기)'!D3:D562,0)</f>
        <v>0</v>
      </c>
      <c r="L2192" s="9" cm="1">
        <f t="array" ref="L2192">IF(J2192&gt;=3,_xlfn.XLOOKUP(A2192,'외운 것 - 엑셀다운로드 파일(붙여넣기)'!A3:A562,'외운 것 - 엑셀다운로드 파일(붙여넣기)'!C3:C562,0,-1),0)</f>
        <v>0</v>
      </c>
    </row>
    <row r="2193" ht="23.45" customHeight="1">
      <c r="A2193" s="3">
        <v>2192</v>
      </c>
      <c r="B2193" t="s" s="4">
        <v>13777</v>
      </c>
      <c r="C2193" t="s" s="5">
        <v>13778</v>
      </c>
      <c r="D2193" t="s" s="5">
        <v>13752</v>
      </c>
      <c r="E2193" t="s" s="5">
        <v>13779</v>
      </c>
      <c r="F2193" t="s" s="10">
        <v>13780</v>
      </c>
      <c r="G2193" t="s" s="7">
        <v>13781</v>
      </c>
      <c r="H2193" t="s" s="7">
        <v>13782</v>
      </c>
      <c r="I2193" t="str" s="8" cm="1">
        <f t="array" ref="I2193">SUBSTITUTE(H2193,B2193,"(          )")</f>
        <v>The flu is highly (          ) in winter months.</v>
      </c>
      <c r="J2193" s="9" cm="1">
        <f t="array" ref="J2193">SUMIF('외운 것 - 엑셀다운로드 파일(붙여넣기)'!A3:A562,A2193,'외운 것 - 엑셀다운로드 파일(붙여넣기)'!D3:D562)</f>
        <v>0</v>
      </c>
      <c r="K2193" s="9" cm="1">
        <f t="array" ref="K2193">_xlfn.COUNTIFS('외운 것 - 엑셀다운로드 파일(붙여넣기)'!A3:A562,A2193,'외운 것 - 엑셀다운로드 파일(붙여넣기)'!D3:D562,0)</f>
        <v>0</v>
      </c>
      <c r="L2193" s="9" cm="1">
        <f t="array" ref="L2193">IF(J2193&gt;=3,_xlfn.XLOOKUP(A2193,'외운 것 - 엑셀다운로드 파일(붙여넣기)'!A3:A562,'외운 것 - 엑셀다운로드 파일(붙여넣기)'!C3:C562,0,-1),0)</f>
        <v>0</v>
      </c>
    </row>
    <row r="2194" ht="23.45" customHeight="1">
      <c r="A2194" s="3">
        <v>2193</v>
      </c>
      <c r="B2194" t="s" s="4">
        <v>13784</v>
      </c>
      <c r="C2194" t="s" s="5">
        <v>13785</v>
      </c>
      <c r="D2194" t="s" s="5">
        <v>13752</v>
      </c>
      <c r="E2194" t="s" s="5">
        <v>13786</v>
      </c>
      <c r="F2194" t="s" s="10">
        <v>13787</v>
      </c>
      <c r="G2194" t="s" s="7">
        <v>13788</v>
      </c>
      <c r="H2194" t="s" s="7">
        <v>13789</v>
      </c>
      <c r="I2194" t="str" s="8" cm="1">
        <f t="array" ref="I2194">SUBSTITUTE(H2194,B2194,"(          )")</f>
        <v>Chemicals (          ) the river water.</v>
      </c>
      <c r="J2194" s="9" cm="1">
        <f t="array" ref="J2194">SUMIF('외운 것 - 엑셀다운로드 파일(붙여넣기)'!A3:A562,A2194,'외운 것 - 엑셀다운로드 파일(붙여넣기)'!D3:D562)</f>
        <v>0</v>
      </c>
      <c r="K2194" s="9" cm="1">
        <f t="array" ref="K2194">_xlfn.COUNTIFS('외운 것 - 엑셀다운로드 파일(붙여넣기)'!A3:A562,A2194,'외운 것 - 엑셀다운로드 파일(붙여넣기)'!D3:D562,0)</f>
        <v>0</v>
      </c>
      <c r="L2194" s="9" cm="1">
        <f t="array" ref="L2194">IF(J2194&gt;=3,_xlfn.XLOOKUP(A2194,'외운 것 - 엑셀다운로드 파일(붙여넣기)'!A3:A562,'외운 것 - 엑셀다운로드 파일(붙여넣기)'!C3:C562,0,-1),0)</f>
        <v>0</v>
      </c>
    </row>
    <row r="2195" ht="38.45" customHeight="1">
      <c r="A2195" s="3">
        <v>2194</v>
      </c>
      <c r="B2195" t="s" s="4">
        <v>13791</v>
      </c>
      <c r="C2195" t="s" s="5">
        <v>13792</v>
      </c>
      <c r="D2195" t="s" s="5">
        <v>13793</v>
      </c>
      <c r="E2195" t="s" s="5">
        <v>13794</v>
      </c>
      <c r="F2195" t="s" s="10">
        <v>13795</v>
      </c>
      <c r="G2195" t="s" s="7">
        <v>13796</v>
      </c>
      <c r="H2195" t="s" s="7">
        <v>13797</v>
      </c>
      <c r="I2195" t="str" s="8" cm="1">
        <f t="array" ref="I2195">SUBSTITUTE(H2195,B2195,"(          )")</f>
        <v>The subway system runs (          ) throughout the city.</v>
      </c>
      <c r="J2195" s="9" cm="1">
        <f t="array" ref="J2195">SUMIF('외운 것 - 엑셀다운로드 파일(붙여넣기)'!A3:A562,A2195,'외운 것 - 엑셀다운로드 파일(붙여넣기)'!D3:D562)</f>
        <v>0</v>
      </c>
      <c r="K2195" s="9" cm="1">
        <f t="array" ref="K2195">_xlfn.COUNTIFS('외운 것 - 엑셀다운로드 파일(붙여넣기)'!A3:A562,A2195,'외운 것 - 엑셀다운로드 파일(붙여넣기)'!D3:D562,0)</f>
        <v>0</v>
      </c>
      <c r="L2195" s="9" cm="1">
        <f t="array" ref="L2195">IF(J2195&gt;=3,_xlfn.XLOOKUP(A2195,'외운 것 - 엑셀다운로드 파일(붙여넣기)'!A3:A562,'외운 것 - 엑셀다운로드 파일(붙여넣기)'!C3:C562,0,-1),0)</f>
        <v>0</v>
      </c>
    </row>
    <row r="2196" ht="38.45" customHeight="1">
      <c r="A2196" s="3">
        <v>2195</v>
      </c>
      <c r="B2196" t="s" s="4">
        <v>13799</v>
      </c>
      <c r="C2196" t="s" s="5">
        <v>13792</v>
      </c>
      <c r="D2196" t="s" s="5">
        <v>13793</v>
      </c>
      <c r="E2196" t="s" s="5">
        <v>13800</v>
      </c>
      <c r="F2196" t="s" s="10">
        <v>13801</v>
      </c>
      <c r="G2196" t="s" s="7">
        <v>13802</v>
      </c>
      <c r="H2196" t="s" s="7">
        <v>13803</v>
      </c>
      <c r="I2196" t="str" s="8" cm="1">
        <f t="array" ref="I2196">SUBSTITUTE(H2196,B2196,"(          )")</f>
        <v>The detective worked (          ) for six months.</v>
      </c>
      <c r="J2196" s="9" cm="1">
        <f t="array" ref="J2196">SUMIF('외운 것 - 엑셀다운로드 파일(붙여넣기)'!A3:A562,A2196,'외운 것 - 엑셀다운로드 파일(붙여넣기)'!D3:D562)</f>
        <v>0</v>
      </c>
      <c r="K2196" s="9" cm="1">
        <f t="array" ref="K2196">_xlfn.COUNTIFS('외운 것 - 엑셀다운로드 파일(붙여넣기)'!A3:A562,A2196,'외운 것 - 엑셀다운로드 파일(붙여넣기)'!D3:D562,0)</f>
        <v>0</v>
      </c>
      <c r="L2196" s="9" cm="1">
        <f t="array" ref="L2196">IF(J2196&gt;=3,_xlfn.XLOOKUP(A2196,'외운 것 - 엑셀다운로드 파일(붙여넣기)'!A3:A562,'외운 것 - 엑셀다운로드 파일(붙여넣기)'!C3:C562,0,-1),0)</f>
        <v>0</v>
      </c>
    </row>
    <row r="2197" ht="23.45" customHeight="1">
      <c r="A2197" s="3">
        <v>2196</v>
      </c>
      <c r="B2197" t="s" s="4">
        <v>13805</v>
      </c>
      <c r="C2197" t="s" s="5">
        <v>13792</v>
      </c>
      <c r="D2197" t="s" s="5">
        <v>13793</v>
      </c>
      <c r="E2197" t="s" s="5">
        <v>13806</v>
      </c>
      <c r="F2197" t="s" s="10">
        <v>13807</v>
      </c>
      <c r="G2197" t="s" s="7">
        <v>13808</v>
      </c>
      <c r="H2197" t="s" s="7">
        <v>13809</v>
      </c>
      <c r="I2197" t="str" s="8" cm="1">
        <f t="array" ref="I2197">SUBSTITUTE(H2197,B2197,"(          )")</f>
        <v>We need to address the (          ) causes of the problem.</v>
      </c>
      <c r="J2197" s="9" cm="1">
        <f t="array" ref="J2197">SUMIF('외운 것 - 엑셀다운로드 파일(붙여넣기)'!A3:A562,A2197,'외운 것 - 엑셀다운로드 파일(붙여넣기)'!D3:D562)</f>
        <v>0</v>
      </c>
      <c r="K2197" s="9" cm="1">
        <f t="array" ref="K2197">_xlfn.COUNTIFS('외운 것 - 엑셀다운로드 파일(붙여넣기)'!A3:A562,A2197,'외운 것 - 엑셀다운로드 파일(붙여넣기)'!D3:D562,0)</f>
        <v>0</v>
      </c>
      <c r="L2197" s="9" cm="1">
        <f t="array" ref="L2197">IF(J2197&gt;=3,_xlfn.XLOOKUP(A2197,'외운 것 - 엑셀다운로드 파일(붙여넣기)'!A3:A562,'외운 것 - 엑셀다운로드 파일(붙여넣기)'!C3:C562,0,-1),0)</f>
        <v>0</v>
      </c>
    </row>
    <row r="2198" ht="23.45" customHeight="1">
      <c r="A2198" s="3">
        <v>2197</v>
      </c>
      <c r="B2198" t="s" s="4">
        <v>13811</v>
      </c>
      <c r="C2198" t="s" s="5">
        <v>13792</v>
      </c>
      <c r="D2198" t="s" s="5">
        <v>13793</v>
      </c>
      <c r="E2198" t="s" s="5">
        <v>13812</v>
      </c>
      <c r="F2198" t="s" s="10">
        <v>13813</v>
      </c>
      <c r="G2198" t="s" s="7">
        <v>13814</v>
      </c>
      <c r="H2198" t="s" s="7">
        <v>13815</v>
      </c>
      <c r="I2198" t="str" s="8" cm="1">
        <f t="array" ref="I2198">SUBSTITUTE(H2198,B2198,"(          )")</f>
        <v>Don't (          ) your colleague's authority.</v>
      </c>
      <c r="J2198" s="9" cm="1">
        <f t="array" ref="J2198">SUMIF('외운 것 - 엑셀다운로드 파일(붙여넣기)'!A3:A562,A2198,'외운 것 - 엑셀다운로드 파일(붙여넣기)'!D3:D562)</f>
        <v>0</v>
      </c>
      <c r="K2198" s="9" cm="1">
        <f t="array" ref="K2198">_xlfn.COUNTIFS('외운 것 - 엑셀다운로드 파일(붙여넣기)'!A3:A562,A2198,'외운 것 - 엑셀다운로드 파일(붙여넣기)'!D3:D562,0)</f>
        <v>0</v>
      </c>
      <c r="L2198" s="9" cm="1">
        <f t="array" ref="L2198">IF(J2198&gt;=3,_xlfn.XLOOKUP(A2198,'외운 것 - 엑셀다운로드 파일(붙여넣기)'!A3:A562,'외운 것 - 엑셀다운로드 파일(붙여넣기)'!C3:C562,0,-1),0)</f>
        <v>0</v>
      </c>
    </row>
    <row r="2199" ht="38.45" customHeight="1">
      <c r="A2199" s="3">
        <v>2198</v>
      </c>
      <c r="B2199" t="s" s="4">
        <v>13817</v>
      </c>
      <c r="C2199" t="s" s="5">
        <v>13792</v>
      </c>
      <c r="D2199" t="s" s="5">
        <v>13793</v>
      </c>
      <c r="E2199" t="s" s="5">
        <v>13818</v>
      </c>
      <c r="F2199" t="s" s="10">
        <v>13819</v>
      </c>
      <c r="G2199" t="s" s="7">
        <v>13820</v>
      </c>
      <c r="H2199" t="s" s="7">
        <v>13821</v>
      </c>
      <c r="I2199" t="str" s="8" cm="1">
        <f t="array" ref="I2199">SUBSTITUTE(H2199,B2199,"(          )")</f>
        <v>Construction on the new bridge is already (          ).</v>
      </c>
      <c r="J2199" s="9" cm="1">
        <f t="array" ref="J2199">SUMIF('외운 것 - 엑셀다운로드 파일(붙여넣기)'!A3:A562,A2199,'외운 것 - 엑셀다운로드 파일(붙여넣기)'!D3:D562)</f>
        <v>0</v>
      </c>
      <c r="K2199" s="9" cm="1">
        <f t="array" ref="K2199">_xlfn.COUNTIFS('외운 것 - 엑셀다운로드 파일(붙여넣기)'!A3:A562,A2199,'외운 것 - 엑셀다운로드 파일(붙여넣기)'!D3:D562,0)</f>
        <v>0</v>
      </c>
      <c r="L2199" s="9" cm="1">
        <f t="array" ref="L2199">IF(J2199&gt;=3,_xlfn.XLOOKUP(A2199,'외운 것 - 엑셀다운로드 파일(붙여넣기)'!A3:A562,'외운 것 - 엑셀다운로드 파일(붙여넣기)'!C3:C562,0,-1),0)</f>
        <v>0</v>
      </c>
    </row>
    <row r="2200" ht="38.45" customHeight="1">
      <c r="A2200" s="3">
        <v>2199</v>
      </c>
      <c r="B2200" t="s" s="4">
        <v>13823</v>
      </c>
      <c r="C2200" t="s" s="5">
        <v>13792</v>
      </c>
      <c r="D2200" t="s" s="5">
        <v>13793</v>
      </c>
      <c r="E2200" t="s" s="5">
        <v>13824</v>
      </c>
      <c r="F2200" t="s" s="10">
        <v>13825</v>
      </c>
      <c r="G2200" t="s" s="7">
        <v>13826</v>
      </c>
      <c r="H2200" t="s" s="7">
        <v>13827</v>
      </c>
      <c r="I2200" t="str" s="8" cm="1">
        <f t="array" ref="I2200">SUBSTITUTE(H2200,B2200,"(          )")</f>
        <v>The patient will (          ) surgery tomorrow.</v>
      </c>
      <c r="J2200" s="9" cm="1">
        <f t="array" ref="J2200">SUMIF('외운 것 - 엑셀다운로드 파일(붙여넣기)'!A3:A562,A2200,'외운 것 - 엑셀다운로드 파일(붙여넣기)'!D3:D562)</f>
        <v>0</v>
      </c>
      <c r="K2200" s="9" cm="1">
        <f t="array" ref="K2200">_xlfn.COUNTIFS('외운 것 - 엑셀다운로드 파일(붙여넣기)'!A3:A562,A2200,'외운 것 - 엑셀다운로드 파일(붙여넣기)'!D3:D562,0)</f>
        <v>0</v>
      </c>
      <c r="L2200" s="9" cm="1">
        <f t="array" ref="L2200">IF(J2200&gt;=3,_xlfn.XLOOKUP(A2200,'외운 것 - 엑셀다운로드 파일(붙여넣기)'!A3:A562,'외운 것 - 엑셀다운로드 파일(붙여넣기)'!C3:C562,0,-1),0)</f>
        <v>0</v>
      </c>
    </row>
    <row r="2201" ht="23.45" customHeight="1">
      <c r="A2201" s="3">
        <v>2200</v>
      </c>
      <c r="B2201" t="s" s="4">
        <v>13829</v>
      </c>
      <c r="C2201" t="s" s="5">
        <v>13792</v>
      </c>
      <c r="D2201" t="s" s="5">
        <v>13793</v>
      </c>
      <c r="E2201" t="s" s="5">
        <v>13830</v>
      </c>
      <c r="F2201" t="s" s="10">
        <v>13831</v>
      </c>
      <c r="G2201" t="s" s="7">
        <v>13832</v>
      </c>
      <c r="H2201" t="s" s="7">
        <v>13833</v>
      </c>
      <c r="I2201" t="str" s="8" cm="1">
        <f t="array" ref="I2201">SUBSTITUTE(H2201,B2201,"(          )")</f>
        <v>Pack enough (          ) for a week.</v>
      </c>
      <c r="J2201" s="9" cm="1">
        <f t="array" ref="J2201">SUMIF('외운 것 - 엑셀다운로드 파일(붙여넣기)'!A3:A562,A2201,'외운 것 - 엑셀다운로드 파일(붙여넣기)'!D3:D562)</f>
        <v>0</v>
      </c>
      <c r="K2201" s="9" cm="1">
        <f t="array" ref="K2201">_xlfn.COUNTIFS('외운 것 - 엑셀다운로드 파일(붙여넣기)'!A3:A562,A2201,'외운 것 - 엑셀다운로드 파일(붙여넣기)'!D3:D562,0)</f>
        <v>0</v>
      </c>
      <c r="L2201" s="9" cm="1">
        <f t="array" ref="L2201">IF(J2201&gt;=3,_xlfn.XLOOKUP(A2201,'외운 것 - 엑셀다운로드 파일(붙여넣기)'!A3:A562,'외운 것 - 엑셀다운로드 파일(붙여넣기)'!C3:C562,0,-1),0)</f>
        <v>0</v>
      </c>
    </row>
    <row r="2202" ht="23.45" customHeight="1">
      <c r="A2202" s="3">
        <v>2201</v>
      </c>
      <c r="B2202" t="s" s="4">
        <v>13835</v>
      </c>
      <c r="C2202" t="s" s="5">
        <v>13792</v>
      </c>
      <c r="D2202" t="s" s="5">
        <v>13793</v>
      </c>
      <c r="E2202" t="s" s="5">
        <v>13836</v>
      </c>
      <c r="F2202" t="s" s="10">
        <v>13837</v>
      </c>
      <c r="G2202" t="s" s="7">
        <v>13838</v>
      </c>
      <c r="H2202" t="s" s="7">
        <v>13839</v>
      </c>
      <c r="I2202" t="str" s="8" cm="1">
        <f t="array" ref="I2202">SUBSTITUTE(H2202,B2202,"(          )")</f>
        <v>The company will (          ) a major expansion project.</v>
      </c>
      <c r="J2202" s="9" cm="1">
        <f t="array" ref="J2202">SUMIF('외운 것 - 엑셀다운로드 파일(붙여넣기)'!A3:A562,A2202,'외운 것 - 엑셀다운로드 파일(붙여넣기)'!D3:D562)</f>
        <v>0</v>
      </c>
      <c r="K2202" s="9" cm="1">
        <f t="array" ref="K2202">_xlfn.COUNTIFS('외운 것 - 엑셀다운로드 파일(붙여넣기)'!A3:A562,A2202,'외운 것 - 엑셀다운로드 파일(붙여넣기)'!D3:D562,0)</f>
        <v>0</v>
      </c>
      <c r="L2202" s="9" cm="1">
        <f t="array" ref="L2202">IF(J2202&gt;=3,_xlfn.XLOOKUP(A2202,'외운 것 - 엑셀다운로드 파일(붙여넣기)'!A3:A562,'외운 것 - 엑셀다운로드 파일(붙여넣기)'!C3:C562,0,-1),0)</f>
        <v>0</v>
      </c>
    </row>
    <row r="2203" ht="23.45" customHeight="1">
      <c r="A2203" s="3">
        <v>2202</v>
      </c>
      <c r="B2203" t="s" s="4">
        <v>13841</v>
      </c>
      <c r="C2203" t="s" s="5">
        <v>13842</v>
      </c>
      <c r="D2203" t="s" s="5">
        <v>13843</v>
      </c>
      <c r="E2203" t="s" s="5">
        <v>13844</v>
      </c>
      <c r="F2203" t="s" s="10">
        <v>13845</v>
      </c>
      <c r="G2203" t="s" s="7">
        <v>13846</v>
      </c>
      <c r="H2203" t="s" s="7">
        <v>13847</v>
      </c>
      <c r="I2203" t="str" s="8" cm="1">
        <f t="array" ref="I2203">SUBSTITUTE(H2203,B2203,"(          )")</f>
        <v>We need to (          ) our computer systems.</v>
      </c>
      <c r="J2203" s="9" cm="1">
        <f t="array" ref="J2203">SUMIF('외운 것 - 엑셀다운로드 파일(붙여넣기)'!A3:A562,A2203,'외운 것 - 엑셀다운로드 파일(붙여넣기)'!D3:D562)</f>
        <v>0</v>
      </c>
      <c r="K2203" s="9" cm="1">
        <f t="array" ref="K2203">_xlfn.COUNTIFS('외운 것 - 엑셀다운로드 파일(붙여넣기)'!A3:A562,A2203,'외운 것 - 엑셀다운로드 파일(붙여넣기)'!D3:D562,0)</f>
        <v>0</v>
      </c>
      <c r="L2203" s="9" cm="1">
        <f t="array" ref="L2203">IF(J2203&gt;=3,_xlfn.XLOOKUP(A2203,'외운 것 - 엑셀다운로드 파일(붙여넣기)'!A3:A562,'외운 것 - 엑셀다운로드 파일(붙여넣기)'!C3:C562,0,-1),0)</f>
        <v>0</v>
      </c>
    </row>
    <row r="2204" ht="23.45" customHeight="1">
      <c r="A2204" s="3">
        <v>2203</v>
      </c>
      <c r="B2204" t="s" s="4">
        <v>13849</v>
      </c>
      <c r="C2204" t="s" s="5">
        <v>13842</v>
      </c>
      <c r="D2204" t="s" s="5">
        <v>13843</v>
      </c>
      <c r="E2204" t="s" s="5">
        <v>13850</v>
      </c>
      <c r="F2204" t="s" s="10">
        <v>13851</v>
      </c>
      <c r="G2204" t="s" s="7">
        <v>13852</v>
      </c>
      <c r="H2204" t="s" s="7">
        <v>13853</v>
      </c>
      <c r="I2204" t="str" s="8" cm="1">
        <f t="array" ref="I2204">SUBSTITUTE(H2204,B2204,"(          )")</f>
        <v>My bedroom is (          ) on the second floor.</v>
      </c>
      <c r="J2204" s="9" cm="1">
        <f t="array" ref="J2204">SUMIF('외운 것 - 엑셀다운로드 파일(붙여넣기)'!A3:A562,A2204,'외운 것 - 엑셀다운로드 파일(붙여넣기)'!D3:D562)</f>
        <v>0</v>
      </c>
      <c r="K2204" s="9" cm="1">
        <f t="array" ref="K2204">_xlfn.COUNTIFS('외운 것 - 엑셀다운로드 파일(붙여넣기)'!A3:A562,A2204,'외운 것 - 엑셀다운로드 파일(붙여넣기)'!D3:D562,0)</f>
        <v>0</v>
      </c>
      <c r="L2204" s="9" cm="1">
        <f t="array" ref="L2204">IF(J2204&gt;=3,_xlfn.XLOOKUP(A2204,'외운 것 - 엑셀다운로드 파일(붙여넣기)'!A3:A562,'외운 것 - 엑셀다운로드 파일(붙여넣기)'!C3:C562,0,-1),0)</f>
        <v>0</v>
      </c>
    </row>
    <row r="2205" ht="23.45" customHeight="1">
      <c r="A2205" s="3">
        <v>2204</v>
      </c>
      <c r="B2205" t="s" s="4">
        <v>13855</v>
      </c>
      <c r="C2205" t="s" s="5">
        <v>13842</v>
      </c>
      <c r="D2205" t="s" s="5">
        <v>13843</v>
      </c>
      <c r="E2205" t="s" s="5">
        <v>13856</v>
      </c>
      <c r="F2205" t="s" s="10">
        <v>13857</v>
      </c>
      <c r="G2205" t="s" s="7">
        <v>13858</v>
      </c>
      <c r="H2205" t="s" s="7">
        <v>13859</v>
      </c>
      <c r="I2205" t="str" s="8" cm="1">
        <f t="array" ref="I2205">SUBSTITUTE(H2205,B2205,"(          )")</f>
        <v>There has been an (          ) in tourism this year.</v>
      </c>
      <c r="J2205" s="9" cm="1">
        <f t="array" ref="J2205">SUMIF('외운 것 - 엑셀다운로드 파일(붙여넣기)'!A3:A562,A2205,'외운 것 - 엑셀다운로드 파일(붙여넣기)'!D3:D562)</f>
        <v>0</v>
      </c>
      <c r="K2205" s="9" cm="1">
        <f t="array" ref="K2205">_xlfn.COUNTIFS('외운 것 - 엑셀다운로드 파일(붙여넣기)'!A3:A562,A2205,'외운 것 - 엑셀다운로드 파일(붙여넣기)'!D3:D562,0)</f>
        <v>0</v>
      </c>
      <c r="L2205" s="9" cm="1">
        <f t="array" ref="L2205">IF(J2205&gt;=3,_xlfn.XLOOKUP(A2205,'외운 것 - 엑셀다운로드 파일(붙여넣기)'!A3:A562,'외운 것 - 엑셀다운로드 파일(붙여넣기)'!C3:C562,0,-1),0)</f>
        <v>0</v>
      </c>
    </row>
    <row r="2206" ht="23.45" customHeight="1">
      <c r="A2206" s="3">
        <v>2205</v>
      </c>
      <c r="B2206" t="s" s="4">
        <v>13861</v>
      </c>
      <c r="C2206" t="s" s="5">
        <v>13842</v>
      </c>
      <c r="D2206" t="s" s="5">
        <v>13843</v>
      </c>
      <c r="E2206" t="s" s="5">
        <v>13862</v>
      </c>
      <c r="F2206" t="s" s="10">
        <v>13863</v>
      </c>
      <c r="G2206" t="s" s="7">
        <v>13864</v>
      </c>
      <c r="H2206" t="s" s="7">
        <v>13865</v>
      </c>
      <c r="I2206" t="str" s="8" cm="1">
        <f t="array" ref="I2206">SUBSTITUTE(H2206,B2206,"(          )")</f>
        <v>The storm was strong enough to (          ) large trees.</v>
      </c>
      <c r="J2206" s="9" cm="1">
        <f t="array" ref="J2206">SUMIF('외운 것 - 엑셀다운로드 파일(붙여넣기)'!A3:A562,A2206,'외운 것 - 엑셀다운로드 파일(붙여넣기)'!D3:D562)</f>
        <v>0</v>
      </c>
      <c r="K2206" s="9" cm="1">
        <f t="array" ref="K2206">_xlfn.COUNTIFS('외운 것 - 엑셀다운로드 파일(붙여넣기)'!A3:A562,A2206,'외운 것 - 엑셀다운로드 파일(붙여넣기)'!D3:D562,0)</f>
        <v>0</v>
      </c>
      <c r="L2206" s="9" cm="1">
        <f t="array" ref="L2206">IF(J2206&gt;=3,_xlfn.XLOOKUP(A2206,'외운 것 - 엑셀다운로드 파일(붙여넣기)'!A3:A562,'외운 것 - 엑셀다운로드 파일(붙여넣기)'!C3:C562,0,-1),0)</f>
        <v>0</v>
      </c>
    </row>
    <row r="2207" ht="23.45" customHeight="1">
      <c r="A2207" s="3">
        <v>2206</v>
      </c>
      <c r="B2207" t="s" s="4">
        <v>13867</v>
      </c>
      <c r="C2207" t="s" s="5">
        <v>13868</v>
      </c>
      <c r="D2207" t="s" s="5">
        <v>13869</v>
      </c>
      <c r="E2207" t="s" s="5">
        <v>13870</v>
      </c>
      <c r="F2207" t="s" s="10">
        <v>13871</v>
      </c>
      <c r="G2207" t="s" s="7">
        <v>13872</v>
      </c>
      <c r="H2207" t="s" s="7">
        <v>13873</v>
      </c>
      <c r="I2207" t="str" s="8" cm="1">
        <f t="array" ref="I2207">SUBSTITUTE(H2207,B2207,"(          )")</f>
        <v>The child took a (          ) but wasn't hurt.</v>
      </c>
      <c r="J2207" s="9" cm="1">
        <f t="array" ref="J2207">SUMIF('외운 것 - 엑셀다운로드 파일(붙여넣기)'!A3:A562,A2207,'외운 것 - 엑셀다운로드 파일(붙여넣기)'!D3:D562)</f>
        <v>0</v>
      </c>
      <c r="K2207" s="9" cm="1">
        <f t="array" ref="K2207">_xlfn.COUNTIFS('외운 것 - 엑셀다운로드 파일(붙여넣기)'!A3:A562,A2207,'외운 것 - 엑셀다운로드 파일(붙여넣기)'!D3:D562,0)</f>
        <v>0</v>
      </c>
      <c r="L2207" s="9" cm="1">
        <f t="array" ref="L2207">IF(J2207&gt;=3,_xlfn.XLOOKUP(A2207,'외운 것 - 엑셀다운로드 파일(붙여넣기)'!A3:A562,'외운 것 - 엑셀다운로드 파일(붙여넣기)'!C3:C562,0,-1),0)</f>
        <v>0</v>
      </c>
    </row>
    <row r="2208" ht="38.45" customHeight="1">
      <c r="A2208" s="3">
        <v>2207</v>
      </c>
      <c r="B2208" t="s" s="4">
        <v>13875</v>
      </c>
      <c r="C2208" t="s" s="5">
        <v>13868</v>
      </c>
      <c r="D2208" t="s" s="5">
        <v>13869</v>
      </c>
      <c r="E2208" t="s" s="5">
        <v>13876</v>
      </c>
      <c r="F2208" t="s" s="10">
        <v>13877</v>
      </c>
      <c r="G2208" t="s" s="7">
        <v>13878</v>
      </c>
      <c r="H2208" t="s" s="7">
        <v>13879</v>
      </c>
      <c r="I2208" t="str" s="8" cm="1">
        <f t="array" ref="I2208">SUBSTITUTE(H2208,B2208,"(          )")</f>
        <v>Be careful not to (          ) on the uneven sidewalk.</v>
      </c>
      <c r="J2208" s="9" cm="1">
        <f t="array" ref="J2208">SUMIF('외운 것 - 엑셀다운로드 파일(붙여넣기)'!A3:A562,A2208,'외운 것 - 엑셀다운로드 파일(붙여넣기)'!D3:D562)</f>
        <v>0</v>
      </c>
      <c r="K2208" s="9" cm="1">
        <f t="array" ref="K2208">_xlfn.COUNTIFS('외운 것 - 엑셀다운로드 파일(붙여넣기)'!A3:A562,A2208,'외운 것 - 엑셀다운로드 파일(붙여넣기)'!D3:D562,0)</f>
        <v>0</v>
      </c>
      <c r="L2208" s="9" cm="1">
        <f t="array" ref="L2208">IF(J2208&gt;=3,_xlfn.XLOOKUP(A2208,'외운 것 - 엑셀다운로드 파일(붙여넣기)'!A3:A562,'외운 것 - 엑셀다운로드 파일(붙여넣기)'!C3:C562,0,-1),0)</f>
        <v>0</v>
      </c>
    </row>
    <row r="2209" ht="38.45" customHeight="1">
      <c r="A2209" s="3">
        <v>2208</v>
      </c>
      <c r="B2209" t="s" s="4">
        <v>13881</v>
      </c>
      <c r="C2209" t="s" s="5">
        <v>13868</v>
      </c>
      <c r="D2209" t="s" s="5">
        <v>13869</v>
      </c>
      <c r="E2209" t="s" s="5">
        <v>13882</v>
      </c>
      <c r="F2209" t="s" s="10">
        <v>13883</v>
      </c>
      <c r="G2209" t="s" s="7">
        <v>13884</v>
      </c>
      <c r="H2209" t="s" s="7">
        <v>13885</v>
      </c>
      <c r="I2209" t="str" s="8" cm="1">
        <f t="array" ref="I2209">SUBSTITUTE(H2209,B2209,"(          )")</f>
        <v>We heard the (          ) of thunder in the distance.</v>
      </c>
      <c r="J2209" s="9" cm="1">
        <f t="array" ref="J2209">SUMIF('외운 것 - 엑셀다운로드 파일(붙여넣기)'!A3:A562,A2209,'외운 것 - 엑셀다운로드 파일(붙여넣기)'!D3:D562)</f>
        <v>0</v>
      </c>
      <c r="K2209" s="9" cm="1">
        <f t="array" ref="K2209">_xlfn.COUNTIFS('외운 것 - 엑셀다운로드 파일(붙여넣기)'!A3:A562,A2209,'외운 것 - 엑셀다운로드 파일(붙여넣기)'!D3:D562,0)</f>
        <v>0</v>
      </c>
      <c r="L2209" s="9" cm="1">
        <f t="array" ref="L2209">IF(J2209&gt;=3,_xlfn.XLOOKUP(A2209,'외운 것 - 엑셀다운로드 파일(붙여넣기)'!A3:A562,'외운 것 - 엑셀다운로드 파일(붙여넣기)'!C3:C562,0,-1),0)</f>
        <v>0</v>
      </c>
    </row>
    <row r="2210" ht="38.45" customHeight="1">
      <c r="A2210" s="3">
        <v>2209</v>
      </c>
      <c r="B2210" t="s" s="4">
        <v>13887</v>
      </c>
      <c r="C2210" t="s" s="5">
        <v>13888</v>
      </c>
      <c r="D2210" t="s" s="5">
        <v>13868</v>
      </c>
      <c r="E2210" t="s" s="5">
        <v>13889</v>
      </c>
      <c r="F2210" t="s" s="10">
        <v>13890</v>
      </c>
      <c r="G2210" t="s" s="7">
        <v>13891</v>
      </c>
      <c r="H2210" t="s" s="7">
        <v>13892</v>
      </c>
      <c r="I2210" t="str" s="8" cm="1">
        <f t="array" ref="I2210">SUBSTITUTE(H2210,B2210,"(          )")</f>
        <v>The old wall began to (          ) after years of neglect.</v>
      </c>
      <c r="J2210" s="9" cm="1">
        <f t="array" ref="J2210">SUMIF('외운 것 - 엑셀다운로드 파일(붙여넣기)'!A3:A562,A2210,'외운 것 - 엑셀다운로드 파일(붙여넣기)'!D3:D562)</f>
        <v>0</v>
      </c>
      <c r="K2210" s="9" cm="1">
        <f t="array" ref="K2210">_xlfn.COUNTIFS('외운 것 - 엑셀다운로드 파일(붙여넣기)'!A3:A562,A2210,'외운 것 - 엑셀다운로드 파일(붙여넣기)'!D3:D562,0)</f>
        <v>0</v>
      </c>
      <c r="L2210" s="9" cm="1">
        <f t="array" ref="L2210">IF(J2210&gt;=3,_xlfn.XLOOKUP(A2210,'외운 것 - 엑셀다운로드 파일(붙여넣기)'!A3:A562,'외운 것 - 엑셀다운로드 파일(붙여넣기)'!C3:C562,0,-1),0)</f>
        <v>0</v>
      </c>
    </row>
    <row r="2211" ht="38.45" customHeight="1">
      <c r="A2211" s="3">
        <v>2210</v>
      </c>
      <c r="B2211" t="s" s="4">
        <v>5785</v>
      </c>
      <c r="C2211" t="s" s="5">
        <v>13868</v>
      </c>
      <c r="D2211" t="s" s="5">
        <v>13869</v>
      </c>
      <c r="E2211" t="s" s="5">
        <v>5786</v>
      </c>
      <c r="F2211" t="s" s="10">
        <v>13894</v>
      </c>
      <c r="G2211" t="s" s="7">
        <v>5788</v>
      </c>
      <c r="H2211" t="s" s="7">
        <v>5789</v>
      </c>
      <c r="I2211" t="str" s="8" cm="1">
        <f t="array" ref="I2211">SUBSTITUTE(H2211,B2211,"(          )")</f>
        <v>People (          ) about the higher taxes.</v>
      </c>
      <c r="J2211" s="9" cm="1">
        <f t="array" ref="J2211">SUMIF('외운 것 - 엑셀다운로드 파일(붙여넣기)'!A3:A562,A2211,'외운 것 - 엑셀다운로드 파일(붙여넣기)'!D3:D562)</f>
        <v>0</v>
      </c>
      <c r="K2211" s="9" cm="1">
        <f t="array" ref="K2211">_xlfn.COUNTIFS('외운 것 - 엑셀다운로드 파일(붙여넣기)'!A3:A562,A2211,'외운 것 - 엑셀다운로드 파일(붙여넣기)'!D3:D562,0)</f>
        <v>0</v>
      </c>
      <c r="L2211" s="9" cm="1">
        <f t="array" ref="L2211">IF(J2211&gt;=3,_xlfn.XLOOKUP(A2211,'외운 것 - 엑셀다운로드 파일(붙여넣기)'!A3:A562,'외운 것 - 엑셀다운로드 파일(붙여넣기)'!C3:C562,0,-1),0)</f>
        <v>0</v>
      </c>
    </row>
    <row r="2212" ht="23.45" customHeight="1">
      <c r="A2212" s="3">
        <v>2211</v>
      </c>
      <c r="B2212" t="s" s="4">
        <v>13895</v>
      </c>
      <c r="C2212" t="s" s="5">
        <v>13868</v>
      </c>
      <c r="D2212" t="s" s="5">
        <v>13869</v>
      </c>
      <c r="E2212" t="s" s="5">
        <v>13896</v>
      </c>
      <c r="F2212" t="s" s="10">
        <v>13897</v>
      </c>
      <c r="G2212" t="s" s="7">
        <v>13898</v>
      </c>
      <c r="H2212" t="s" s="7">
        <v>13899</v>
      </c>
      <c r="I2212" t="str" s="8" cm="1">
        <f t="array" ref="I2212">SUBSTITUTE(H2212,B2212,"(          )")</f>
        <v>Despite his success, he remains (          ).</v>
      </c>
      <c r="J2212" s="9" cm="1">
        <f t="array" ref="J2212">SUMIF('외운 것 - 엑셀다운로드 파일(붙여넣기)'!A3:A562,A2212,'외운 것 - 엑셀다운로드 파일(붙여넣기)'!D3:D562)</f>
        <v>0</v>
      </c>
      <c r="K2212" s="9" cm="1">
        <f t="array" ref="K2212">_xlfn.COUNTIFS('외운 것 - 엑셀다운로드 파일(붙여넣기)'!A3:A562,A2212,'외운 것 - 엑셀다운로드 파일(붙여넣기)'!D3:D562,0)</f>
        <v>0</v>
      </c>
      <c r="L2212" s="9" cm="1">
        <f t="array" ref="L2212">IF(J2212&gt;=3,_xlfn.XLOOKUP(A2212,'외운 것 - 엑셀다운로드 파일(붙여넣기)'!A3:A562,'외운 것 - 엑셀다운로드 파일(붙여넣기)'!C3:C562,0,-1),0)</f>
        <v>0</v>
      </c>
    </row>
    <row r="2213" ht="23.45" customHeight="1">
      <c r="A2213" s="3">
        <v>2212</v>
      </c>
      <c r="B2213" t="s" s="4">
        <v>4950</v>
      </c>
      <c r="C2213" t="s" s="5">
        <v>13901</v>
      </c>
      <c r="D2213" t="s" s="5">
        <v>13902</v>
      </c>
      <c r="E2213" t="s" s="5">
        <v>4951</v>
      </c>
      <c r="F2213" t="s" s="10">
        <v>13903</v>
      </c>
      <c r="G2213" t="s" s="7">
        <v>13904</v>
      </c>
      <c r="H2213" t="s" s="7">
        <v>4954</v>
      </c>
      <c r="I2213" t="str" s="8" cm="1">
        <f t="array" ref="I2213">SUBSTITUTE(H2213,B2213,"(          )")</f>
        <v>Police officers wear a blue (          ).</v>
      </c>
      <c r="J2213" s="9" cm="1">
        <f t="array" ref="J2213">SUMIF('외운 것 - 엑셀다운로드 파일(붙여넣기)'!A3:A562,A2213,'외운 것 - 엑셀다운로드 파일(붙여넣기)'!D3:D562)</f>
        <v>0</v>
      </c>
      <c r="K2213" s="9" cm="1">
        <f t="array" ref="K2213">_xlfn.COUNTIFS('외운 것 - 엑셀다운로드 파일(붙여넣기)'!A3:A562,A2213,'외운 것 - 엑셀다운로드 파일(붙여넣기)'!D3:D562,0)</f>
        <v>0</v>
      </c>
      <c r="L2213" s="9" cm="1">
        <f t="array" ref="L2213">IF(J2213&gt;=3,_xlfn.XLOOKUP(A2213,'외운 것 - 엑셀다운로드 파일(붙여넣기)'!A3:A562,'외운 것 - 엑셀다운로드 파일(붙여넣기)'!C3:C562,0,-1),0)</f>
        <v>0</v>
      </c>
    </row>
    <row r="2214" ht="36.4" customHeight="1">
      <c r="A2214" s="3">
        <v>2213</v>
      </c>
      <c r="B2214" t="s" s="4">
        <v>13905</v>
      </c>
      <c r="C2214" t="s" s="5">
        <v>13906</v>
      </c>
      <c r="D2214" t="s" s="5">
        <v>13901</v>
      </c>
      <c r="E2214" t="s" s="5">
        <v>13907</v>
      </c>
      <c r="F2214" t="s" s="10">
        <v>13908</v>
      </c>
      <c r="G2214" t="s" s="7">
        <v>13909</v>
      </c>
      <c r="H2214" t="s" s="7">
        <v>13910</v>
      </c>
      <c r="I2214" t="str" s="8" cm="1">
        <f t="array" ref="I2214">SUBSTITUTE(H2214,B2214,"(          )")</f>
        <v>The field was (          ) covered with snow.</v>
      </c>
      <c r="J2214" s="9" cm="1">
        <f t="array" ref="J2214">SUMIF('외운 것 - 엑셀다운로드 파일(붙여넣기)'!A3:A562,A2214,'외운 것 - 엑셀다운로드 파일(붙여넣기)'!D3:D562)</f>
        <v>0</v>
      </c>
      <c r="K2214" s="9" cm="1">
        <f t="array" ref="K2214">_xlfn.COUNTIFS('외운 것 - 엑셀다운로드 파일(붙여넣기)'!A3:A562,A2214,'외운 것 - 엑셀다운로드 파일(붙여넣기)'!D3:D562,0)</f>
        <v>0</v>
      </c>
      <c r="L2214" s="9" cm="1">
        <f t="array" ref="L2214">IF(J2214&gt;=3,_xlfn.XLOOKUP(A2214,'외운 것 - 엑셀다운로드 파일(붙여넣기)'!A3:A562,'외운 것 - 엑셀다운로드 파일(붙여넣기)'!C3:C562,0,-1),0)</f>
        <v>0</v>
      </c>
    </row>
    <row r="2215" ht="23.45" customHeight="1">
      <c r="A2215" s="3">
        <v>2214</v>
      </c>
      <c r="B2215" t="s" s="4">
        <v>13912</v>
      </c>
      <c r="C2215" t="s" s="5">
        <v>13901</v>
      </c>
      <c r="D2215" t="s" s="5">
        <v>13902</v>
      </c>
      <c r="E2215" t="s" s="5">
        <v>13913</v>
      </c>
      <c r="F2215" t="s" s="10">
        <v>13914</v>
      </c>
      <c r="G2215" t="s" s="7">
        <v>13915</v>
      </c>
      <c r="H2215" t="s" s="7">
        <v>13916</v>
      </c>
      <c r="I2215" t="str" s="8" cm="1">
        <f t="array" ref="I2215">SUBSTITUTE(H2215,B2215,"(          )")</f>
        <v>The hospital has a special (          ) for treating burns.</v>
      </c>
      <c r="J2215" s="9" cm="1">
        <f t="array" ref="J2215">SUMIF('외운 것 - 엑셀다운로드 파일(붙여넣기)'!A3:A562,A2215,'외운 것 - 엑셀다운로드 파일(붙여넣기)'!D3:D562)</f>
        <v>0</v>
      </c>
      <c r="K2215" s="9" cm="1">
        <f t="array" ref="K2215">_xlfn.COUNTIFS('외운 것 - 엑셀다운로드 파일(붙여넣기)'!A3:A562,A2215,'외운 것 - 엑셀다운로드 파일(붙여넣기)'!D3:D562,0)</f>
        <v>0</v>
      </c>
      <c r="L2215" s="9" cm="1">
        <f t="array" ref="L2215">IF(J2215&gt;=3,_xlfn.XLOOKUP(A2215,'외운 것 - 엑셀다운로드 파일(붙여넣기)'!A3:A562,'외운 것 - 엑셀다운로드 파일(붙여넣기)'!C3:C562,0,-1),0)</f>
        <v>0</v>
      </c>
    </row>
    <row r="2216" ht="23.45" customHeight="1">
      <c r="A2216" s="3">
        <v>2215</v>
      </c>
      <c r="B2216" t="s" s="4">
        <v>13918</v>
      </c>
      <c r="C2216" t="s" s="5">
        <v>13901</v>
      </c>
      <c r="D2216" t="s" s="5">
        <v>13902</v>
      </c>
      <c r="E2216" t="s" s="5">
        <v>13919</v>
      </c>
      <c r="F2216" t="s" s="10">
        <v>13920</v>
      </c>
      <c r="G2216" t="s" s="7">
        <v>13921</v>
      </c>
      <c r="H2216" t="s" s="7">
        <v>13922</v>
      </c>
      <c r="I2216" t="str" s="8" cm="1">
        <f t="array" ref="I2216">SUBSTITUTE(H2216,B2216,"(          )")</f>
        <v>The crisis created a sense of (          ) among the citizens.</v>
      </c>
      <c r="J2216" s="9" cm="1">
        <f t="array" ref="J2216">SUMIF('외운 것 - 엑셀다운로드 파일(붙여넣기)'!A3:A562,A2216,'외운 것 - 엑셀다운로드 파일(붙여넣기)'!D3:D562)</f>
        <v>0</v>
      </c>
      <c r="K2216" s="9" cm="1">
        <f t="array" ref="K2216">_xlfn.COUNTIFS('외운 것 - 엑셀다운로드 파일(붙여넣기)'!A3:A562,A2216,'외운 것 - 엑셀다운로드 파일(붙여넣기)'!D3:D562,0)</f>
        <v>0</v>
      </c>
      <c r="L2216" s="9" cm="1">
        <f t="array" ref="L2216">IF(J2216&gt;=3,_xlfn.XLOOKUP(A2216,'외운 것 - 엑셀다운로드 파일(붙여넣기)'!A3:A562,'외운 것 - 엑셀다운로드 파일(붙여넣기)'!C3:C562,0,-1),0)</f>
        <v>0</v>
      </c>
    </row>
    <row r="2217" ht="23.45" customHeight="1">
      <c r="A2217" s="3">
        <v>2216</v>
      </c>
      <c r="B2217" t="s" s="4">
        <v>13924</v>
      </c>
      <c r="C2217" t="s" s="5">
        <v>13901</v>
      </c>
      <c r="D2217" t="s" s="5">
        <v>13902</v>
      </c>
      <c r="E2217" t="s" s="5">
        <v>13925</v>
      </c>
      <c r="F2217" t="s" s="10">
        <v>13926</v>
      </c>
      <c r="G2217" t="s" s="7">
        <v>13927</v>
      </c>
      <c r="H2217" t="s" s="7">
        <v>13928</v>
      </c>
      <c r="I2217" t="str" s="8" cm="1">
        <f t="array" ref="I2217">SUBSTITUTE(H2217,B2217,"(          )")</f>
        <v>The labor (          ) represents all factory workers.</v>
      </c>
      <c r="J2217" s="9" cm="1">
        <f t="array" ref="J2217">SUMIF('외운 것 - 엑셀다운로드 파일(붙여넣기)'!A3:A562,A2217,'외운 것 - 엑셀다운로드 파일(붙여넣기)'!D3:D562)</f>
        <v>0</v>
      </c>
      <c r="K2217" s="9" cm="1">
        <f t="array" ref="K2217">_xlfn.COUNTIFS('외운 것 - 엑셀다운로드 파일(붙여넣기)'!A3:A562,A2217,'외운 것 - 엑셀다운로드 파일(붙여넣기)'!D3:D562,0)</f>
        <v>0</v>
      </c>
      <c r="L2217" s="9" cm="1">
        <f t="array" ref="L2217">IF(J2217&gt;=3,_xlfn.XLOOKUP(A2217,'외운 것 - 엑셀다운로드 파일(붙여넣기)'!A3:A562,'외운 것 - 엑셀다운로드 파일(붙여넣기)'!C3:C562,0,-1),0)</f>
        <v>0</v>
      </c>
    </row>
    <row r="2218" ht="23.45" customHeight="1">
      <c r="A2218" s="3">
        <v>2217</v>
      </c>
      <c r="B2218" t="s" s="4">
        <v>13930</v>
      </c>
      <c r="C2218" t="s" s="5">
        <v>13901</v>
      </c>
      <c r="D2218" t="s" s="5">
        <v>13902</v>
      </c>
      <c r="E2218" t="s" s="5">
        <v>13931</v>
      </c>
      <c r="F2218" t="s" s="10">
        <v>13932</v>
      </c>
      <c r="G2218" t="s" s="7">
        <v>13933</v>
      </c>
      <c r="H2218" t="s" s="7">
        <v>13934</v>
      </c>
      <c r="I2218" t="str" s="8" cm="1">
        <f t="array" ref="I2218">SUBSTITUTE(H2218,B2218,"(          )")</f>
        <v>Scientists believe the (          ) is still expanding.</v>
      </c>
      <c r="J2218" s="9" cm="1">
        <f t="array" ref="J2218">SUMIF('외운 것 - 엑셀다운로드 파일(붙여넣기)'!A3:A562,A2218,'외운 것 - 엑셀다운로드 파일(붙여넣기)'!D3:D562)</f>
        <v>0</v>
      </c>
      <c r="K2218" s="9" cm="1">
        <f t="array" ref="K2218">_xlfn.COUNTIFS('외운 것 - 엑셀다운로드 파일(붙여넣기)'!A3:A562,A2218,'외운 것 - 엑셀다운로드 파일(붙여넣기)'!D3:D562,0)</f>
        <v>0</v>
      </c>
      <c r="L2218" s="9" cm="1">
        <f t="array" ref="L2218">IF(J2218&gt;=3,_xlfn.XLOOKUP(A2218,'외운 것 - 엑셀다운로드 파일(붙여넣기)'!A3:A562,'외운 것 - 엑셀다운로드 파일(붙여넣기)'!C3:C562,0,-1),0)</f>
        <v>0</v>
      </c>
    </row>
    <row r="2219" ht="23.45" customHeight="1">
      <c r="A2219" s="3">
        <v>2218</v>
      </c>
      <c r="B2219" t="s" s="4">
        <v>13936</v>
      </c>
      <c r="C2219" t="s" s="5">
        <v>13901</v>
      </c>
      <c r="D2219" t="s" s="5">
        <v>13902</v>
      </c>
      <c r="E2219" t="s" s="5">
        <v>13937</v>
      </c>
      <c r="F2219" t="s" s="10">
        <v>13938</v>
      </c>
      <c r="G2219" t="s" s="7">
        <v>13939</v>
      </c>
      <c r="H2219" t="s" s="7">
        <v>13940</v>
      </c>
      <c r="I2219" t="str" s="8" cm="1">
        <f t="array" ref="I2219">SUBSTITUTE(H2219,B2219,"(          )")</f>
        <v>She studies economics at the (          ).</v>
      </c>
      <c r="J2219" s="9" cm="1">
        <f t="array" ref="J2219">SUMIF('외운 것 - 엑셀다운로드 파일(붙여넣기)'!A3:A562,A2219,'외운 것 - 엑셀다운로드 파일(붙여넣기)'!D3:D562)</f>
        <v>0</v>
      </c>
      <c r="K2219" s="9" cm="1">
        <f t="array" ref="K2219">_xlfn.COUNTIFS('외운 것 - 엑셀다운로드 파일(붙여넣기)'!A3:A562,A2219,'외운 것 - 엑셀다운로드 파일(붙여넣기)'!D3:D562,0)</f>
        <v>0</v>
      </c>
      <c r="L2219" s="9" cm="1">
        <f t="array" ref="L2219">IF(J2219&gt;=3,_xlfn.XLOOKUP(A2219,'외운 것 - 엑셀다운로드 파일(붙여넣기)'!A3:A562,'외운 것 - 엑셀다운로드 파일(붙여넣기)'!C3:C562,0,-1),0)</f>
        <v>0</v>
      </c>
    </row>
    <row r="2220" ht="23.45" customHeight="1">
      <c r="A2220" s="3">
        <v>2219</v>
      </c>
      <c r="B2220" t="s" s="4">
        <v>13942</v>
      </c>
      <c r="C2220" t="s" s="5">
        <v>13943</v>
      </c>
      <c r="D2220" t="s" s="5">
        <v>13944</v>
      </c>
      <c r="E2220" t="s" s="5">
        <v>13945</v>
      </c>
      <c r="F2220" t="s" s="10">
        <v>13946</v>
      </c>
      <c r="G2220" t="s" s="7">
        <v>13947</v>
      </c>
      <c r="H2220" t="s" s="7">
        <v>13948</v>
      </c>
      <c r="I2220" t="str" s="8" cm="1">
        <f t="array" ref="I2220">SUBSTITUTE(H2220,B2220,"(          )")</f>
        <v>Take the (          ) to avoid traffic congestion.</v>
      </c>
      <c r="J2220" s="9" cm="1">
        <f t="array" ref="J2220">SUMIF('외운 것 - 엑셀다운로드 파일(붙여넣기)'!A3:A562,A2220,'외운 것 - 엑셀다운로드 파일(붙여넣기)'!D3:D562)</f>
        <v>0</v>
      </c>
      <c r="K2220" s="9" cm="1">
        <f t="array" ref="K2220">_xlfn.COUNTIFS('외운 것 - 엑셀다운로드 파일(붙여넣기)'!A3:A562,A2220,'외운 것 - 엑셀다운로드 파일(붙여넣기)'!D3:D562,0)</f>
        <v>0</v>
      </c>
      <c r="L2220" s="9" cm="1">
        <f t="array" ref="L2220">IF(J2220&gt;=3,_xlfn.XLOOKUP(A2220,'외운 것 - 엑셀다운로드 파일(붙여넣기)'!A3:A562,'외운 것 - 엑셀다운로드 파일(붙여넣기)'!C3:C562,0,-1),0)</f>
        <v>0</v>
      </c>
    </row>
    <row r="2221" ht="23.45" customHeight="1">
      <c r="A2221" s="3">
        <v>2220</v>
      </c>
      <c r="B2221" t="s" s="4">
        <v>13950</v>
      </c>
      <c r="C2221" t="s" s="5">
        <v>13943</v>
      </c>
      <c r="D2221" t="s" s="5">
        <v>13944</v>
      </c>
      <c r="E2221" t="s" s="5">
        <v>13951</v>
      </c>
      <c r="F2221" t="s" s="10">
        <v>13952</v>
      </c>
      <c r="G2221" t="s" s="7">
        <v>13953</v>
      </c>
      <c r="H2221" t="s" s="7">
        <v>13954</v>
      </c>
      <c r="I2221" t="str" s="8" cm="1">
        <f t="array" ref="I2221">SUBSTITUTE(H2221,B2221,"(          )")</f>
        <v>The (          ) can stay underwater for months.</v>
      </c>
      <c r="J2221" s="9" cm="1">
        <f t="array" ref="J2221">SUMIF('외운 것 - 엑셀다운로드 파일(붙여넣기)'!A3:A562,A2221,'외운 것 - 엑셀다운로드 파일(붙여넣기)'!D3:D562)</f>
        <v>0</v>
      </c>
      <c r="K2221" s="9" cm="1">
        <f t="array" ref="K2221">_xlfn.COUNTIFS('외운 것 - 엑셀다운로드 파일(붙여넣기)'!A3:A562,A2221,'외운 것 - 엑셀다운로드 파일(붙여넣기)'!D3:D562,0)</f>
        <v>0</v>
      </c>
      <c r="L2221" s="9" cm="1">
        <f t="array" ref="L2221">IF(J2221&gt;=3,_xlfn.XLOOKUP(A2221,'외운 것 - 엑셀다운로드 파일(붙여넣기)'!A3:A562,'외운 것 - 엑셀다운로드 파일(붙여넣기)'!C3:C562,0,-1),0)</f>
        <v>0</v>
      </c>
    </row>
    <row r="2222" ht="38.45" customHeight="1">
      <c r="A2222" s="3">
        <v>2221</v>
      </c>
      <c r="B2222" t="s" s="4">
        <v>13956</v>
      </c>
      <c r="C2222" t="s" s="5">
        <v>13943</v>
      </c>
      <c r="D2222" t="s" s="5">
        <v>13944</v>
      </c>
      <c r="E2222" t="s" s="5">
        <v>13957</v>
      </c>
      <c r="F2222" t="s" s="10">
        <v>13958</v>
      </c>
      <c r="G2222" t="s" s="7">
        <v>13959</v>
      </c>
      <c r="H2222" t="s" s="7">
        <v>13960</v>
      </c>
      <c r="I2222" t="str" s="8" cm="1">
        <f t="array" ref="I2222">SUBSTITUTE(H2222,B2222,"(          )")</f>
        <v>The flavor difference between the two wines is very (          ).</v>
      </c>
      <c r="J2222" s="9" cm="1">
        <f t="array" ref="J2222">SUMIF('외운 것 - 엑셀다운로드 파일(붙여넣기)'!A3:A562,A2222,'외운 것 - 엑셀다운로드 파일(붙여넣기)'!D3:D562)</f>
        <v>0</v>
      </c>
      <c r="K2222" s="9" cm="1">
        <f t="array" ref="K2222">_xlfn.COUNTIFS('외운 것 - 엑셀다운로드 파일(붙여넣기)'!A3:A562,A2222,'외운 것 - 엑셀다운로드 파일(붙여넣기)'!D3:D562,0)</f>
        <v>0</v>
      </c>
      <c r="L2222" s="9" cm="1">
        <f t="array" ref="L2222">IF(J2222&gt;=3,_xlfn.XLOOKUP(A2222,'외운 것 - 엑셀다운로드 파일(붙여넣기)'!A3:A562,'외운 것 - 엑셀다운로드 파일(붙여넣기)'!C3:C562,0,-1),0)</f>
        <v>0</v>
      </c>
    </row>
    <row r="2223" ht="23.45" customHeight="1">
      <c r="A2223" s="3">
        <v>2222</v>
      </c>
      <c r="B2223" t="s" s="4">
        <v>13962</v>
      </c>
      <c r="C2223" t="s" s="5">
        <v>13962</v>
      </c>
      <c r="D2223" t="s" s="5">
        <v>13963</v>
      </c>
      <c r="E2223" t="s" s="5">
        <v>13964</v>
      </c>
      <c r="F2223" t="s" s="10">
        <v>13965</v>
      </c>
      <c r="G2223" t="s" s="7">
        <v>13966</v>
      </c>
      <c r="H2223" t="s" s="7">
        <v>13967</v>
      </c>
      <c r="I2223" t="str" s="8" cm="1">
        <f t="array" ref="I2223">SUBSTITUTE(H2223,B2223,"(          )")</f>
        <v>He wore his best (          ) to the interview.</v>
      </c>
      <c r="J2223" s="9" cm="1">
        <f t="array" ref="J2223">SUMIF('외운 것 - 엑셀다운로드 파일(붙여넣기)'!A3:A562,A2223,'외운 것 - 엑셀다운로드 파일(붙여넣기)'!D3:D562)</f>
        <v>0</v>
      </c>
      <c r="K2223" s="9" cm="1">
        <f t="array" ref="K2223">_xlfn.COUNTIFS('외운 것 - 엑셀다운로드 파일(붙여넣기)'!A3:A562,A2223,'외운 것 - 엑셀다운로드 파일(붙여넣기)'!D3:D562,0)</f>
        <v>0</v>
      </c>
      <c r="L2223" s="9" cm="1">
        <f t="array" ref="L2223">IF(J2223&gt;=3,_xlfn.XLOOKUP(A2223,'외운 것 - 엑셀다운로드 파일(붙여넣기)'!A3:A562,'외운 것 - 엑셀다운로드 파일(붙여넣기)'!C3:C562,0,-1),0)</f>
        <v>0</v>
      </c>
    </row>
    <row r="2224" ht="23.45" customHeight="1">
      <c r="A2224" s="3">
        <v>2223</v>
      </c>
      <c r="B2224" t="s" s="4">
        <v>13969</v>
      </c>
      <c r="C2224" t="s" s="5">
        <v>13962</v>
      </c>
      <c r="D2224" t="s" s="5">
        <v>13963</v>
      </c>
      <c r="E2224" t="s" s="5">
        <v>13970</v>
      </c>
      <c r="F2224" t="s" s="6">
        <v>13971</v>
      </c>
      <c r="G2224" t="s" s="7">
        <v>13972</v>
      </c>
      <c r="H2224" t="s" s="7">
        <v>13973</v>
      </c>
      <c r="I2224" t="str" s="8" cm="1">
        <f t="array" ref="I2224">SUBSTITUTE(H2224,B2224,"(          )")</f>
        <v>This venue is (          ) for large gatherings.</v>
      </c>
      <c r="J2224" s="9" cm="1">
        <f t="array" ref="J2224">SUMIF('외운 것 - 엑셀다운로드 파일(붙여넣기)'!A3:A562,A2224,'외운 것 - 엑셀다운로드 파일(붙여넣기)'!D3:D562)</f>
        <v>0</v>
      </c>
      <c r="K2224" s="9" cm="1">
        <f t="array" ref="K2224">_xlfn.COUNTIFS('외운 것 - 엑셀다운로드 파일(붙여넣기)'!A3:A562,A2224,'외운 것 - 엑셀다운로드 파일(붙여넣기)'!D3:D562,0)</f>
        <v>0</v>
      </c>
      <c r="L2224" s="9" cm="1">
        <f t="array" ref="L2224">IF(J2224&gt;=3,_xlfn.XLOOKUP(A2224,'외운 것 - 엑셀다운로드 파일(붙여넣기)'!A3:A562,'외운 것 - 엑셀다운로드 파일(붙여넣기)'!C3:C562,0,-1),0)</f>
        <v>0</v>
      </c>
    </row>
    <row r="2225" ht="36.4" customHeight="1">
      <c r="A2225" s="3">
        <v>2224</v>
      </c>
      <c r="B2225" t="s" s="4">
        <v>13975</v>
      </c>
      <c r="C2225" t="s" s="5">
        <v>13976</v>
      </c>
      <c r="D2225" t="s" s="5">
        <v>13962</v>
      </c>
      <c r="E2225" t="s" s="5">
        <v>13977</v>
      </c>
      <c r="F2225" t="s" s="10">
        <v>13978</v>
      </c>
      <c r="G2225" t="s" s="7">
        <v>11398</v>
      </c>
      <c r="H2225" t="s" s="7">
        <v>13979</v>
      </c>
      <c r="I2225" t="str" s="8" cm="1">
        <f t="array" ref="I2225">SUBSTITUTE(H2225,B2225,"(          )")</f>
        <v>The movie contains material (          ) for young children.</v>
      </c>
      <c r="J2225" s="9" cm="1">
        <f t="array" ref="J2225">SUMIF('외운 것 - 엑셀다운로드 파일(붙여넣기)'!A3:A562,A2225,'외운 것 - 엑셀다운로드 파일(붙여넣기)'!D3:D562)</f>
        <v>0</v>
      </c>
      <c r="K2225" s="9" cm="1">
        <f t="array" ref="K2225">_xlfn.COUNTIFS('외운 것 - 엑셀다운로드 파일(붙여넣기)'!A3:A562,A2225,'외운 것 - 엑셀다운로드 파일(붙여넣기)'!D3:D562,0)</f>
        <v>0</v>
      </c>
      <c r="L2225" s="9" cm="1">
        <f t="array" ref="L2225">IF(J2225&gt;=3,_xlfn.XLOOKUP(A2225,'외운 것 - 엑셀다운로드 파일(붙여넣기)'!A3:A562,'외운 것 - 엑셀다운로드 파일(붙여넣기)'!C3:C562,0,-1),0)</f>
        <v>0</v>
      </c>
    </row>
    <row r="2226" ht="23.45" customHeight="1">
      <c r="A2226" s="3">
        <v>2225</v>
      </c>
      <c r="B2226" t="s" s="4">
        <v>13981</v>
      </c>
      <c r="C2226" t="s" s="5">
        <v>13962</v>
      </c>
      <c r="D2226" t="s" s="5">
        <v>13963</v>
      </c>
      <c r="E2226" t="s" s="5">
        <v>13982</v>
      </c>
      <c r="F2226" t="s" s="10">
        <v>13983</v>
      </c>
      <c r="G2226" t="s" s="7">
        <v>13984</v>
      </c>
      <c r="H2226" t="s" s="7">
        <v>13985</v>
      </c>
      <c r="I2226" t="str" s="8" cm="1">
        <f t="array" ref="I2226">SUBSTITUTE(H2226,B2226,"(          )")</f>
        <v>The presidential (          ) occupies the top floor of the hotel.</v>
      </c>
      <c r="J2226" s="9" cm="1">
        <f t="array" ref="J2226">SUMIF('외운 것 - 엑셀다운로드 파일(붙여넣기)'!A3:A562,A2226,'외운 것 - 엑셀다운로드 파일(붙여넣기)'!D3:D562)</f>
        <v>0</v>
      </c>
      <c r="K2226" s="9" cm="1">
        <f t="array" ref="K2226">_xlfn.COUNTIFS('외운 것 - 엑셀다운로드 파일(붙여넣기)'!A3:A562,A2226,'외운 것 - 엑셀다운로드 파일(붙여넣기)'!D3:D562,0)</f>
        <v>0</v>
      </c>
      <c r="L2226" s="9" cm="1">
        <f t="array" ref="L2226">IF(J2226&gt;=3,_xlfn.XLOOKUP(A2226,'외운 것 - 엑셀다운로드 파일(붙여넣기)'!A3:A562,'외운 것 - 엑셀다운로드 파일(붙여넣기)'!C3:C562,0,-1),0)</f>
        <v>0</v>
      </c>
    </row>
    <row r="2227" ht="23.45" customHeight="1">
      <c r="A2227" s="3">
        <v>2226</v>
      </c>
      <c r="B2227" t="s" s="4">
        <v>13987</v>
      </c>
      <c r="C2227" t="s" s="5">
        <v>13962</v>
      </c>
      <c r="D2227" t="s" s="5">
        <v>13963</v>
      </c>
      <c r="E2227" t="s" s="5">
        <v>13988</v>
      </c>
      <c r="F2227" t="s" s="10">
        <v>13989</v>
      </c>
      <c r="G2227" t="s" s="7">
        <v>13966</v>
      </c>
      <c r="H2227" t="s" s="7">
        <v>13990</v>
      </c>
      <c r="I2227" t="str" s="8" cm="1">
        <f t="array" ref="I2227">SUBSTITUTE(H2227,B2227,"(          )")</f>
        <v>The company faces a (          ) from former employees.</v>
      </c>
      <c r="J2227" s="9" cm="1">
        <f t="array" ref="J2227">SUMIF('외운 것 - 엑셀다운로드 파일(붙여넣기)'!A3:A562,A2227,'외운 것 - 엑셀다운로드 파일(붙여넣기)'!D3:D562)</f>
        <v>0</v>
      </c>
      <c r="K2227" s="9" cm="1">
        <f t="array" ref="K2227">_xlfn.COUNTIFS('외운 것 - 엑셀다운로드 파일(붙여넣기)'!A3:A562,A2227,'외운 것 - 엑셀다운로드 파일(붙여넣기)'!D3:D562,0)</f>
        <v>0</v>
      </c>
      <c r="L2227" s="9" cm="1">
        <f t="array" ref="L2227">IF(J2227&gt;=3,_xlfn.XLOOKUP(A2227,'외운 것 - 엑셀다운로드 파일(붙여넣기)'!A3:A562,'외운 것 - 엑셀다운로드 파일(붙여넣기)'!C3:C562,0,-1),0)</f>
        <v>0</v>
      </c>
    </row>
    <row r="2228" ht="38.45" customHeight="1">
      <c r="A2228" s="3">
        <v>2227</v>
      </c>
      <c r="B2228" t="s" s="4">
        <v>13992</v>
      </c>
      <c r="C2228" t="s" s="5">
        <v>13962</v>
      </c>
      <c r="D2228" t="s" s="5">
        <v>13963</v>
      </c>
      <c r="E2228" t="s" s="5">
        <v>13993</v>
      </c>
      <c r="F2228" t="s" s="10">
        <v>13994</v>
      </c>
      <c r="G2228" t="s" s="7">
        <v>13995</v>
      </c>
      <c r="H2228" t="s" s="7">
        <v>13996</v>
      </c>
      <c r="I2228" t="str" s="8" cm="1">
        <f t="array" ref="I2228">SUBSTITUTE(H2228,B2228,"(          )")</f>
        <v>The (          ) of happiness is a basic human right.</v>
      </c>
      <c r="J2228" s="9" cm="1">
        <f t="array" ref="J2228">SUMIF('외운 것 - 엑셀다운로드 파일(붙여넣기)'!A3:A562,A2228,'외운 것 - 엑셀다운로드 파일(붙여넣기)'!D3:D562)</f>
        <v>0</v>
      </c>
      <c r="K2228" s="9" cm="1">
        <f t="array" ref="K2228">_xlfn.COUNTIFS('외운 것 - 엑셀다운로드 파일(붙여넣기)'!A3:A562,A2228,'외운 것 - 엑셀다운로드 파일(붙여넣기)'!D3:D562,0)</f>
        <v>0</v>
      </c>
      <c r="L2228" s="9" cm="1">
        <f t="array" ref="L2228">IF(J2228&gt;=3,_xlfn.XLOOKUP(A2228,'외운 것 - 엑셀다운로드 파일(붙여넣기)'!A3:A562,'외운 것 - 엑셀다운로드 파일(붙여넣기)'!C3:C562,0,-1),0)</f>
        <v>0</v>
      </c>
    </row>
    <row r="2229" ht="38.45" customHeight="1">
      <c r="A2229" s="3">
        <v>2228</v>
      </c>
      <c r="B2229" t="s" s="4">
        <v>13998</v>
      </c>
      <c r="C2229" t="s" s="5">
        <v>13962</v>
      </c>
      <c r="D2229" t="s" s="5">
        <v>13963</v>
      </c>
      <c r="E2229" t="s" s="5">
        <v>13999</v>
      </c>
      <c r="F2229" t="s" s="10">
        <v>14000</v>
      </c>
      <c r="G2229" t="s" s="7">
        <v>14001</v>
      </c>
      <c r="H2229" t="s" s="7">
        <v>14002</v>
      </c>
      <c r="I2229" t="str" s="8" cm="1">
        <f t="array" ref="I2229">SUBSTITUTE(H2229,B2229,"(          )")</f>
        <v>She decided to (          ) a career in medicine.</v>
      </c>
      <c r="J2229" s="9" cm="1">
        <f t="array" ref="J2229">SUMIF('외운 것 - 엑셀다운로드 파일(붙여넣기)'!A3:A562,A2229,'외운 것 - 엑셀다운로드 파일(붙여넣기)'!D3:D562)</f>
        <v>0</v>
      </c>
      <c r="K2229" s="9" cm="1">
        <f t="array" ref="K2229">_xlfn.COUNTIFS('외운 것 - 엑셀다운로드 파일(붙여넣기)'!A3:A562,A2229,'외운 것 - 엑셀다운로드 파일(붙여넣기)'!D3:D562,0)</f>
        <v>0</v>
      </c>
      <c r="L2229" s="9" cm="1">
        <f t="array" ref="L2229">IF(J2229&gt;=3,_xlfn.XLOOKUP(A2229,'외운 것 - 엑셀다운로드 파일(붙여넣기)'!A3:A562,'외운 것 - 엑셀다운로드 파일(붙여넣기)'!C3:C562,0,-1),0)</f>
        <v>0</v>
      </c>
    </row>
    <row r="2230" ht="23.45" customHeight="1">
      <c r="A2230" s="3">
        <v>2229</v>
      </c>
      <c r="B2230" t="s" s="4">
        <v>14004</v>
      </c>
      <c r="C2230" t="s" s="5">
        <v>14005</v>
      </c>
      <c r="D2230" t="s" s="5">
        <v>14006</v>
      </c>
      <c r="E2230" t="s" s="5">
        <v>14007</v>
      </c>
      <c r="F2230" t="s" s="10">
        <v>14008</v>
      </c>
      <c r="G2230" t="s" s="7">
        <v>14009</v>
      </c>
      <c r="H2230" t="s" s="7">
        <v>14010</v>
      </c>
      <c r="I2230" t="str" s="8" cm="1">
        <f t="array" ref="I2230">SUBSTITUTE(H2230,B2230,"(          )")</f>
        <v>We're still waiting for the test (          )s.</v>
      </c>
      <c r="J2230" s="9" cm="1">
        <f t="array" ref="J2230">SUMIF('외운 것 - 엑셀다운로드 파일(붙여넣기)'!A3:A562,A2230,'외운 것 - 엑셀다운로드 파일(붙여넣기)'!D3:D562)</f>
        <v>0</v>
      </c>
      <c r="K2230" s="9" cm="1">
        <f t="array" ref="K2230">_xlfn.COUNTIFS('외운 것 - 엑셀다운로드 파일(붙여넣기)'!A3:A562,A2230,'외운 것 - 엑셀다운로드 파일(붙여넣기)'!D3:D562,0)</f>
        <v>0</v>
      </c>
      <c r="L2230" s="9" cm="1">
        <f t="array" ref="L2230">IF(J2230&gt;=3,_xlfn.XLOOKUP(A2230,'외운 것 - 엑셀다운로드 파일(붙여넣기)'!A3:A562,'외운 것 - 엑셀다운로드 파일(붙여넣기)'!C3:C562,0,-1),0)</f>
        <v>0</v>
      </c>
    </row>
    <row r="2231" ht="38.45" customHeight="1">
      <c r="A2231" s="3">
        <v>2230</v>
      </c>
      <c r="B2231" t="s" s="4">
        <v>14012</v>
      </c>
      <c r="C2231" t="s" s="5">
        <v>14013</v>
      </c>
      <c r="D2231" t="s" s="5">
        <v>14006</v>
      </c>
      <c r="E2231" t="s" s="5">
        <v>14014</v>
      </c>
      <c r="F2231" t="s" s="10">
        <v>14015</v>
      </c>
      <c r="G2231" t="s" s="7">
        <v>14016</v>
      </c>
      <c r="H2231" t="s" s="7">
        <v>14017</v>
      </c>
      <c r="I2231" t="str" s="8" cm="1">
        <f t="array" ref="I2231">SUBSTITUTE(H2231,B2231,"(          )")</f>
        <v>The suspect was charged with (          ).</v>
      </c>
      <c r="J2231" s="9" cm="1">
        <f t="array" ref="J2231">SUMIF('외운 것 - 엑셀다운로드 파일(붙여넣기)'!A3:A562,A2231,'외운 것 - 엑셀다운로드 파일(붙여넣기)'!D3:D562)</f>
        <v>0</v>
      </c>
      <c r="K2231" s="9" cm="1">
        <f t="array" ref="K2231">_xlfn.COUNTIFS('외운 것 - 엑셀다운로드 파일(붙여넣기)'!A3:A562,A2231,'외운 것 - 엑셀다운로드 파일(붙여넣기)'!D3:D562,0)</f>
        <v>0</v>
      </c>
      <c r="L2231" s="9" cm="1">
        <f t="array" ref="L2231">IF(J2231&gt;=3,_xlfn.XLOOKUP(A2231,'외운 것 - 엑셀다운로드 파일(붙여넣기)'!A3:A562,'외운 것 - 엑셀다운로드 파일(붙여넣기)'!C3:C562,0,-1),0)</f>
        <v>0</v>
      </c>
    </row>
    <row r="2232" ht="23.45" customHeight="1">
      <c r="A2232" s="3">
        <v>2231</v>
      </c>
      <c r="B2232" t="s" s="4">
        <v>14019</v>
      </c>
      <c r="C2232" t="s" s="5">
        <v>14005</v>
      </c>
      <c r="D2232" t="s" s="5">
        <v>14006</v>
      </c>
      <c r="E2232" t="s" s="5">
        <v>14020</v>
      </c>
      <c r="F2232" t="s" s="10">
        <v>14021</v>
      </c>
      <c r="G2232" t="s" s="7">
        <v>14022</v>
      </c>
      <c r="H2232" t="s" s="7">
        <v>14023</v>
      </c>
      <c r="I2232" t="str" s="8" cm="1">
        <f t="array" ref="I2232">SUBSTITUTE(H2232,B2232,"(          )")</f>
        <v>His rude comments were an (          ) to everyone present.</v>
      </c>
      <c r="J2232" s="9" cm="1">
        <f t="array" ref="J2232">SUMIF('외운 것 - 엑셀다운로드 파일(붙여넣기)'!A3:A562,A2232,'외운 것 - 엑셀다운로드 파일(붙여넣기)'!D3:D562)</f>
        <v>0</v>
      </c>
      <c r="K2232" s="9" cm="1">
        <f t="array" ref="K2232">_xlfn.COUNTIFS('외운 것 - 엑셀다운로드 파일(붙여넣기)'!A3:A562,A2232,'외운 것 - 엑셀다운로드 파일(붙여넣기)'!D3:D562,0)</f>
        <v>0</v>
      </c>
      <c r="L2232" s="9" cm="1">
        <f t="array" ref="L2232">IF(J2232&gt;=3,_xlfn.XLOOKUP(A2232,'외운 것 - 엑셀다운로드 파일(붙여넣기)'!A3:A562,'외운 것 - 엑셀다운로드 파일(붙여넣기)'!C3:C562,0,-1),0)</f>
        <v>0</v>
      </c>
    </row>
    <row r="2233" ht="23.45" customHeight="1">
      <c r="A2233" s="3">
        <v>2232</v>
      </c>
      <c r="B2233" t="s" s="4">
        <v>14025</v>
      </c>
      <c r="C2233" t="s" s="5">
        <v>14005</v>
      </c>
      <c r="D2233" t="s" s="5">
        <v>14006</v>
      </c>
      <c r="E2233" t="s" s="5">
        <v>14026</v>
      </c>
      <c r="F2233" t="s" s="10">
        <v>14027</v>
      </c>
      <c r="G2233" t="s" s="7">
        <v>14028</v>
      </c>
      <c r="H2233" t="s" s="7">
        <v>14029</v>
      </c>
      <c r="I2233" t="str" s="8" cm="1">
        <f t="array" ref="I2233">SUBSTITUTE(H2233,B2233,"(          )")</f>
        <v>The singer has a (          ) voice that captivates audiences.</v>
      </c>
      <c r="J2233" s="9" cm="1">
        <f t="array" ref="J2233">SUMIF('외운 것 - 엑셀다운로드 파일(붙여넣기)'!A3:A562,A2233,'외운 것 - 엑셀다운로드 파일(붙여넣기)'!D3:D562)</f>
        <v>0</v>
      </c>
      <c r="K2233" s="9" cm="1">
        <f t="array" ref="K2233">_xlfn.COUNTIFS('외운 것 - 엑셀다운로드 파일(붙여넣기)'!A3:A562,A2233,'외운 것 - 엑셀다운로드 파일(붙여넣기)'!D3:D562,0)</f>
        <v>0</v>
      </c>
      <c r="L2233" s="9" cm="1">
        <f t="array" ref="L2233">IF(J2233&gt;=3,_xlfn.XLOOKUP(A2233,'외운 것 - 엑셀다운로드 파일(붙여넣기)'!A3:A562,'외운 것 - 엑셀다운로드 파일(붙여넣기)'!C3:C562,0,-1),0)</f>
        <v>0</v>
      </c>
    </row>
    <row r="2234" ht="23.45" customHeight="1">
      <c r="A2234" s="3">
        <v>2233</v>
      </c>
      <c r="B2234" t="s" s="4">
        <v>14031</v>
      </c>
      <c r="C2234" t="s" s="5">
        <v>14005</v>
      </c>
      <c r="D2234" t="s" s="5">
        <v>14006</v>
      </c>
      <c r="E2234" t="s" s="5">
        <v>14032</v>
      </c>
      <c r="F2234" t="s" s="10">
        <v>14033</v>
      </c>
      <c r="G2234" t="s" s="7">
        <v>14034</v>
      </c>
      <c r="H2234" t="s" s="7">
        <v>14035</v>
      </c>
      <c r="I2234" t="str" s="8" cm="1">
        <f t="array" ref="I2234">SUBSTITUTE(H2234,B2234,"(          )")</f>
        <v>Consult your doctor before starting any new medication.</v>
      </c>
      <c r="J2234" s="9" cm="1">
        <f t="array" ref="J2234">SUMIF('외운 것 - 엑셀다운로드 파일(붙여넣기)'!A3:A562,A2234,'외운 것 - 엑셀다운로드 파일(붙여넣기)'!D3:D562)</f>
        <v>0</v>
      </c>
      <c r="K2234" s="9" cm="1">
        <f t="array" ref="K2234">_xlfn.COUNTIFS('외운 것 - 엑셀다운로드 파일(붙여넣기)'!A3:A562,A2234,'외운 것 - 엑셀다운로드 파일(붙여넣기)'!D3:D562,0)</f>
        <v>0</v>
      </c>
      <c r="L2234" s="9" cm="1">
        <f t="array" ref="L2234">IF(J2234&gt;=3,_xlfn.XLOOKUP(A2234,'외운 것 - 엑셀다운로드 파일(붙여넣기)'!A3:A562,'외운 것 - 엑셀다운로드 파일(붙여넣기)'!C3:C562,0,-1),0)</f>
        <v>0</v>
      </c>
    </row>
    <row r="2235" ht="23.45" customHeight="1">
      <c r="A2235" s="3">
        <v>2234</v>
      </c>
      <c r="B2235" t="s" s="4">
        <v>14037</v>
      </c>
      <c r="C2235" t="s" s="5">
        <v>14038</v>
      </c>
      <c r="D2235" t="s" s="5">
        <v>14039</v>
      </c>
      <c r="E2235" t="s" s="5">
        <v>14040</v>
      </c>
      <c r="F2235" t="s" s="10">
        <v>14041</v>
      </c>
      <c r="G2235" t="s" s="7">
        <v>14042</v>
      </c>
      <c r="H2235" t="s" s="7">
        <v>14043</v>
      </c>
      <c r="I2235" t="str" s="8" cm="1">
        <f t="array" ref="I2235">SUBSTITUTE(H2235,B2235,"(          )")</f>
        <v>Many families take vacations during the (          ).</v>
      </c>
      <c r="J2235" s="9" cm="1">
        <f t="array" ref="J2235">SUMIF('외운 것 - 엑셀다운로드 파일(붙여넣기)'!A3:A562,A2235,'외운 것 - 엑셀다운로드 파일(붙여넣기)'!D3:D562)</f>
        <v>0</v>
      </c>
      <c r="K2235" s="9" cm="1">
        <f t="array" ref="K2235">_xlfn.COUNTIFS('외운 것 - 엑셀다운로드 파일(붙여넣기)'!A3:A562,A2235,'외운 것 - 엑셀다운로드 파일(붙여넣기)'!D3:D562,0)</f>
        <v>0</v>
      </c>
      <c r="L2235" s="9" cm="1">
        <f t="array" ref="L2235">IF(J2235&gt;=3,_xlfn.XLOOKUP(A2235,'외운 것 - 엑셀다운로드 파일(붙여넣기)'!A3:A562,'외운 것 - 엑셀다운로드 파일(붙여넣기)'!C3:C562,0,-1),0)</f>
        <v>0</v>
      </c>
    </row>
    <row r="2236" ht="23.45" customHeight="1">
      <c r="A2236" s="3">
        <v>2235</v>
      </c>
      <c r="B2236" t="s" s="4">
        <v>14045</v>
      </c>
      <c r="C2236" t="s" s="5">
        <v>14038</v>
      </c>
      <c r="D2236" t="s" s="5">
        <v>14039</v>
      </c>
      <c r="E2236" t="s" s="5">
        <v>14046</v>
      </c>
      <c r="F2236" t="s" s="10">
        <v>14047</v>
      </c>
      <c r="G2236" t="s" s="7">
        <v>14048</v>
      </c>
      <c r="H2236" t="s" s="7">
        <v>14049</v>
      </c>
      <c r="I2236" t="str" s="8" cm="1">
        <f t="array" ref="I2236">SUBSTITUTE(H2236,B2236,"(          )")</f>
        <v>The mountain (          ) offers spectacular views.</v>
      </c>
      <c r="J2236" s="9" cm="1">
        <f t="array" ref="J2236">SUMIF('외운 것 - 엑셀다운로드 파일(붙여넣기)'!A3:A562,A2236,'외운 것 - 엑셀다운로드 파일(붙여넣기)'!D3:D562)</f>
        <v>0</v>
      </c>
      <c r="K2236" s="9" cm="1">
        <f t="array" ref="K2236">_xlfn.COUNTIFS('외운 것 - 엑셀다운로드 파일(붙여넣기)'!A3:A562,A2236,'외운 것 - 엑셀다운로드 파일(붙여넣기)'!D3:D562,0)</f>
        <v>0</v>
      </c>
      <c r="L2236" s="9" cm="1">
        <f t="array" ref="L2236">IF(J2236&gt;=3,_xlfn.XLOOKUP(A2236,'외운 것 - 엑셀다운로드 파일(붙여넣기)'!A3:A562,'외운 것 - 엑셀다운로드 파일(붙여넣기)'!C3:C562,0,-1),0)</f>
        <v>0</v>
      </c>
    </row>
    <row r="2237" ht="23.45" customHeight="1">
      <c r="A2237" s="3">
        <v>2236</v>
      </c>
      <c r="B2237" t="s" s="4">
        <v>14038</v>
      </c>
      <c r="C2237" t="s" s="5">
        <v>14038</v>
      </c>
      <c r="D2237" t="s" s="5">
        <v>14039</v>
      </c>
      <c r="E2237" t="s" s="5">
        <v>14051</v>
      </c>
      <c r="F2237" t="s" s="10">
        <v>14052</v>
      </c>
      <c r="G2237" t="s" s="7">
        <v>14053</v>
      </c>
      <c r="H2237" t="s" s="7">
        <v>14054</v>
      </c>
      <c r="I2237" t="str" s="8" cm="1">
        <f t="array" ref="I2237">SUBSTITUTE(H2237,B2237,"(          )")</f>
        <v>The (          ) of two and three is five.</v>
      </c>
      <c r="J2237" s="9" cm="1">
        <f t="array" ref="J2237">SUMIF('외운 것 - 엑셀다운로드 파일(붙여넣기)'!A3:A562,A2237,'외운 것 - 엑셀다운로드 파일(붙여넣기)'!D3:D562)</f>
        <v>0</v>
      </c>
      <c r="K2237" s="9" cm="1">
        <f t="array" ref="K2237">_xlfn.COUNTIFS('외운 것 - 엑셀다운로드 파일(붙여넣기)'!A3:A562,A2237,'외운 것 - 엑셀다운로드 파일(붙여넣기)'!D3:D562,0)</f>
        <v>0</v>
      </c>
      <c r="L2237" s="9" cm="1">
        <f t="array" ref="L2237">IF(J2237&gt;=3,_xlfn.XLOOKUP(A2237,'외운 것 - 엑셀다운로드 파일(붙여넣기)'!A3:A562,'외운 것 - 엑셀다운로드 파일(붙여넣기)'!C3:C562,0,-1),0)</f>
        <v>0</v>
      </c>
    </row>
    <row r="2238" ht="38.45" customHeight="1">
      <c r="A2238" s="3">
        <v>2237</v>
      </c>
      <c r="B2238" t="s" s="4">
        <v>14056</v>
      </c>
      <c r="C2238" t="s" s="5">
        <v>14038</v>
      </c>
      <c r="D2238" t="s" s="5">
        <v>14039</v>
      </c>
      <c r="E2238" t="s" s="5">
        <v>14057</v>
      </c>
      <c r="F2238" t="s" s="10">
        <v>14058</v>
      </c>
      <c r="G2238" t="s" s="7">
        <v>14059</v>
      </c>
      <c r="H2238" t="s" s="7">
        <v>14060</v>
      </c>
      <c r="I2238" t="str" s="8" cm="1">
        <f t="array" ref="I2238">SUBSTITUTE(H2238,B2238,"(          )")</f>
        <v>The executive (          ) provides an overview of the report.</v>
      </c>
      <c r="J2238" s="9" cm="1">
        <f t="array" ref="J2238">SUMIF('외운 것 - 엑셀다운로드 파일(붙여넣기)'!A3:A562,A2238,'외운 것 - 엑셀다운로드 파일(붙여넣기)'!D3:D562)</f>
        <v>0</v>
      </c>
      <c r="K2238" s="9" cm="1">
        <f t="array" ref="K2238">_xlfn.COUNTIFS('외운 것 - 엑셀다운로드 파일(붙여넣기)'!A3:A562,A2238,'외운 것 - 엑셀다운로드 파일(붙여넣기)'!D3:D562,0)</f>
        <v>0</v>
      </c>
      <c r="L2238" s="9" cm="1">
        <f t="array" ref="L2238">IF(J2238&gt;=3,_xlfn.XLOOKUP(A2238,'외운 것 - 엑셀다운로드 파일(붙여넣기)'!A3:A562,'외운 것 - 엑셀다운로드 파일(붙여넣기)'!C3:C562,0,-1),0)</f>
        <v>0</v>
      </c>
    </row>
    <row r="2239" ht="36.4" customHeight="1">
      <c r="A2239" s="3">
        <v>2238</v>
      </c>
      <c r="B2239" t="s" s="4">
        <v>14062</v>
      </c>
      <c r="C2239" t="s" s="5">
        <v>14063</v>
      </c>
      <c r="D2239" t="s" s="5">
        <v>14038</v>
      </c>
      <c r="E2239" t="s" s="5">
        <v>14064</v>
      </c>
      <c r="F2239" t="s" s="10">
        <v>14065</v>
      </c>
      <c r="G2239" t="s" s="7">
        <v>14066</v>
      </c>
      <c r="H2239" t="s" s="7">
        <v>14067</v>
      </c>
      <c r="I2239" t="str" s="8" cm="1">
        <f t="array" ref="I2239">SUBSTITUTE(H2239,B2239,"(          )")</f>
        <v>Can you (          ) the main points of the meeting?</v>
      </c>
      <c r="J2239" s="9" cm="1">
        <f t="array" ref="J2239">SUMIF('외운 것 - 엑셀다운로드 파일(붙여넣기)'!A3:A562,A2239,'외운 것 - 엑셀다운로드 파일(붙여넣기)'!D3:D562)</f>
        <v>0</v>
      </c>
      <c r="K2239" s="9" cm="1">
        <f t="array" ref="K2239">_xlfn.COUNTIFS('외운 것 - 엑셀다운로드 파일(붙여넣기)'!A3:A562,A2239,'외운 것 - 엑셀다운로드 파일(붙여넣기)'!D3:D562,0)</f>
        <v>0</v>
      </c>
      <c r="L2239" s="9" cm="1">
        <f t="array" ref="L2239">IF(J2239&gt;=3,_xlfn.XLOOKUP(A2239,'외운 것 - 엑셀다운로드 파일(붙여넣기)'!A3:A562,'외운 것 - 엑셀다운로드 파일(붙여넣기)'!C3:C562,0,-1),0)</f>
        <v>0</v>
      </c>
    </row>
    <row r="2240" ht="38.45" customHeight="1">
      <c r="A2240" s="3">
        <v>2239</v>
      </c>
      <c r="B2240" t="s" s="4">
        <v>14069</v>
      </c>
      <c r="C2240" t="s" s="5">
        <v>14070</v>
      </c>
      <c r="D2240" t="s" s="5">
        <v>14071</v>
      </c>
      <c r="E2240" t="s" s="5">
        <v>14072</v>
      </c>
      <c r="F2240" t="s" s="10">
        <v>14073</v>
      </c>
      <c r="G2240" t="s" s="7">
        <v>14074</v>
      </c>
      <c r="H2240" t="s" s="7">
        <v>14075</v>
      </c>
      <c r="I2240" t="str" s="8" cm="1">
        <f t="array" ref="I2240">SUBSTITUTE(H2240,B2240,"(          )")</f>
        <v>Americans (          ) large amounts of fast food.</v>
      </c>
      <c r="J2240" s="9" cm="1">
        <f t="array" ref="J2240">SUMIF('외운 것 - 엑셀다운로드 파일(붙여넣기)'!A3:A562,A2240,'외운 것 - 엑셀다운로드 파일(붙여넣기)'!D3:D562)</f>
        <v>0</v>
      </c>
      <c r="K2240" s="9" cm="1">
        <f t="array" ref="K2240">_xlfn.COUNTIFS('외운 것 - 엑셀다운로드 파일(붙여넣기)'!A3:A562,A2240,'외운 것 - 엑셀다운로드 파일(붙여넣기)'!D3:D562,0)</f>
        <v>0</v>
      </c>
      <c r="L2240" s="9" cm="1">
        <f t="array" ref="L2240">IF(J2240&gt;=3,_xlfn.XLOOKUP(A2240,'외운 것 - 엑셀다운로드 파일(붙여넣기)'!A3:A562,'외운 것 - 엑셀다운로드 파일(붙여넣기)'!C3:C562,0,-1),0)</f>
        <v>0</v>
      </c>
    </row>
    <row r="2241" ht="23.45" customHeight="1">
      <c r="A2241" s="3">
        <v>2240</v>
      </c>
      <c r="B2241" t="s" s="4">
        <v>14077</v>
      </c>
      <c r="C2241" t="s" s="5">
        <v>14070</v>
      </c>
      <c r="D2241" t="s" s="5">
        <v>14071</v>
      </c>
      <c r="E2241" t="s" s="5">
        <v>14078</v>
      </c>
      <c r="F2241" t="s" s="10">
        <v>14079</v>
      </c>
      <c r="G2241" t="s" s="7">
        <v>14080</v>
      </c>
      <c r="H2241" t="s" s="7">
        <v>14081</v>
      </c>
      <c r="I2241" t="str" s="8" cm="1">
        <f t="array" ref="I2241">SUBSTITUTE(H2241,B2241,"(          )")</f>
        <v>I (          ) you'll be attending the conference next week.</v>
      </c>
      <c r="J2241" s="9" cm="1">
        <f t="array" ref="J2241">SUMIF('외운 것 - 엑셀다운로드 파일(붙여넣기)'!A3:A562,A2241,'외운 것 - 엑셀다운로드 파일(붙여넣기)'!D3:D562)</f>
        <v>0</v>
      </c>
      <c r="K2241" s="9" cm="1">
        <f t="array" ref="K2241">_xlfn.COUNTIFS('외운 것 - 엑셀다운로드 파일(붙여넣기)'!A3:A562,A2241,'외운 것 - 엑셀다운로드 파일(붙여넣기)'!D3:D562,0)</f>
        <v>0</v>
      </c>
      <c r="L2241" s="9" cm="1">
        <f t="array" ref="L2241">IF(J2241&gt;=3,_xlfn.XLOOKUP(A2241,'외운 것 - 엑셀다운로드 파일(붙여넣기)'!A3:A562,'외운 것 - 엑셀다운로드 파일(붙여넣기)'!C3:C562,0,-1),0)</f>
        <v>0</v>
      </c>
    </row>
    <row r="2242" ht="23.45" customHeight="1">
      <c r="A2242" s="3">
        <v>2241</v>
      </c>
      <c r="B2242" t="s" s="4">
        <v>14083</v>
      </c>
      <c r="C2242" t="s" s="5">
        <v>14070</v>
      </c>
      <c r="D2242" t="s" s="5">
        <v>14071</v>
      </c>
      <c r="E2242" t="s" s="5">
        <v>14084</v>
      </c>
      <c r="F2242" t="s" s="10">
        <v>14085</v>
      </c>
      <c r="G2242" t="s" s="7">
        <v>14086</v>
      </c>
      <c r="H2242" t="s" s="7">
        <v>14087</v>
      </c>
      <c r="I2242" t="str" s="8" cm="1">
        <f t="array" ref="I2242">SUBSTITUTE(H2242,B2242,"(          )")</f>
        <v>The (          ) cause of the fire was an electrical fault.</v>
      </c>
      <c r="J2242" s="9" cm="1">
        <f t="array" ref="J2242">SUMIF('외운 것 - 엑셀다운로드 파일(붙여넣기)'!A3:A562,A2242,'외운 것 - 엑셀다운로드 파일(붙여넣기)'!D3:D562)</f>
        <v>0</v>
      </c>
      <c r="K2242" s="9" cm="1">
        <f t="array" ref="K2242">_xlfn.COUNTIFS('외운 것 - 엑셀다운로드 파일(붙여넣기)'!A3:A562,A2242,'외운 것 - 엑셀다운로드 파일(붙여넣기)'!D3:D562,0)</f>
        <v>0</v>
      </c>
      <c r="L2242" s="9" cm="1">
        <f t="array" ref="L2242">IF(J2242&gt;=3,_xlfn.XLOOKUP(A2242,'외운 것 - 엑셀다운로드 파일(붙여넣기)'!A3:A562,'외운 것 - 엑셀다운로드 파일(붙여넣기)'!C3:C562,0,-1),0)</f>
        <v>0</v>
      </c>
    </row>
    <row r="2243" ht="23.45" customHeight="1">
      <c r="A2243" s="3">
        <v>2242</v>
      </c>
      <c r="B2243" t="s" s="4">
        <v>14089</v>
      </c>
      <c r="C2243" t="s" s="5">
        <v>14070</v>
      </c>
      <c r="D2243" t="s" s="5">
        <v>14071</v>
      </c>
      <c r="E2243" t="s" s="5">
        <v>14090</v>
      </c>
      <c r="F2243" t="s" s="10">
        <v>14091</v>
      </c>
      <c r="G2243" t="s" s="7">
        <v>14092</v>
      </c>
      <c r="H2243" t="s" s="7">
        <v>14093</v>
      </c>
      <c r="I2243" t="str" s="8" cm="1">
        <f t="array" ref="I2243">SUBSTITUTE(H2243,B2243,"(          )")</f>
        <v>Don't (          ) that everyone agrees with your opinion.</v>
      </c>
      <c r="J2243" s="9" cm="1">
        <f t="array" ref="J2243">SUMIF('외운 것 - 엑셀다운로드 파일(붙여넣기)'!A3:A562,A2243,'외운 것 - 엑셀다운로드 파일(붙여넣기)'!D3:D562)</f>
        <v>0</v>
      </c>
      <c r="K2243" s="9" cm="1">
        <f t="array" ref="K2243">_xlfn.COUNTIFS('외운 것 - 엑셀다운로드 파일(붙여넣기)'!A3:A562,A2243,'외운 것 - 엑셀다운로드 파일(붙여넣기)'!D3:D562,0)</f>
        <v>0</v>
      </c>
      <c r="L2243" s="9" cm="1">
        <f t="array" ref="L2243">IF(J2243&gt;=3,_xlfn.XLOOKUP(A2243,'외운 것 - 엑셀다운로드 파일(붙여넣기)'!A3:A562,'외운 것 - 엑셀다운로드 파일(붙여넣기)'!C3:C562,0,-1),0)</f>
        <v>0</v>
      </c>
    </row>
    <row r="2244" ht="36.4" customHeight="1">
      <c r="A2244" s="3">
        <v>2243</v>
      </c>
      <c r="B2244" t="s" s="4">
        <v>14095</v>
      </c>
      <c r="C2244" t="s" s="5">
        <v>14096</v>
      </c>
      <c r="D2244" t="s" s="5">
        <v>14070</v>
      </c>
      <c r="E2244" t="s" s="5">
        <v>14097</v>
      </c>
      <c r="F2244" t="s" s="10">
        <v>14098</v>
      </c>
      <c r="G2244" t="s" s="7">
        <v>14099</v>
      </c>
      <c r="H2244" t="s" s="7">
        <v>14100</v>
      </c>
      <c r="I2244" t="str" s="8" cm="1">
        <f t="array" ref="I2244">SUBSTITUTE(H2244,B2244,"(          )")</f>
        <v>His argument is based on false (          )s.</v>
      </c>
      <c r="J2244" s="9" cm="1">
        <f t="array" ref="J2244">SUMIF('외운 것 - 엑셀다운로드 파일(붙여넣기)'!A3:A562,A2244,'외운 것 - 엑셀다운로드 파일(붙여넣기)'!D3:D562)</f>
        <v>0</v>
      </c>
      <c r="K2244" s="9" cm="1">
        <f t="array" ref="K2244">_xlfn.COUNTIFS('외운 것 - 엑셀다운로드 파일(붙여넣기)'!A3:A562,A2244,'외운 것 - 엑셀다운로드 파일(붙여넣기)'!D3:D562,0)</f>
        <v>0</v>
      </c>
      <c r="L2244" s="9" cm="1">
        <f t="array" ref="L2244">IF(J2244&gt;=3,_xlfn.XLOOKUP(A2244,'외운 것 - 엑셀다운로드 파일(붙여넣기)'!A3:A562,'외운 것 - 엑셀다운로드 파일(붙여넣기)'!C3:C562,0,-1),0)</f>
        <v>0</v>
      </c>
    </row>
    <row r="2245" ht="23.45" customHeight="1">
      <c r="A2245" s="3">
        <v>2244</v>
      </c>
      <c r="B2245" t="s" s="4">
        <v>14102</v>
      </c>
      <c r="C2245" t="s" s="5">
        <v>14070</v>
      </c>
      <c r="D2245" t="s" s="5">
        <v>14071</v>
      </c>
      <c r="E2245" t="s" s="5">
        <v>14103</v>
      </c>
      <c r="F2245" t="s" s="10">
        <v>14104</v>
      </c>
      <c r="G2245" t="s" s="7">
        <v>14105</v>
      </c>
      <c r="H2245" t="s" s="7">
        <v>14106</v>
      </c>
      <c r="I2245" t="str" s="8" cm="1">
        <f t="array" ref="I2245">SUBSTITUTE(H2245,B2245,"(          )")</f>
        <v>After the break, we will (          ) our discussion.</v>
      </c>
      <c r="J2245" s="9" cm="1">
        <f t="array" ref="J2245">SUMIF('외운 것 - 엑셀다운로드 파일(붙여넣기)'!A3:A562,A2245,'외운 것 - 엑셀다운로드 파일(붙여넣기)'!D3:D562)</f>
        <v>0</v>
      </c>
      <c r="K2245" s="9" cm="1">
        <f t="array" ref="K2245">_xlfn.COUNTIFS('외운 것 - 엑셀다운로드 파일(붙여넣기)'!A3:A562,A2245,'외운 것 - 엑셀다운로드 파일(붙여넣기)'!D3:D562,0)</f>
        <v>0</v>
      </c>
      <c r="L2245" s="9" cm="1">
        <f t="array" ref="L2245">IF(J2245&gt;=3,_xlfn.XLOOKUP(A2245,'외운 것 - 엑셀다운로드 파일(붙여넣기)'!A3:A562,'외운 것 - 엑셀다운로드 파일(붙여넣기)'!C3:C562,0,-1),0)</f>
        <v>0</v>
      </c>
    </row>
    <row r="2246" ht="36.4" customHeight="1">
      <c r="A2246" s="3">
        <v>2245</v>
      </c>
      <c r="B2246" t="s" s="4">
        <v>14108</v>
      </c>
      <c r="C2246" t="s" s="5">
        <v>14109</v>
      </c>
      <c r="D2246" t="s" s="5">
        <v>14110</v>
      </c>
      <c r="E2246" t="s" s="5">
        <v>14111</v>
      </c>
      <c r="F2246" t="s" s="10">
        <v>14112</v>
      </c>
      <c r="G2246" t="s" s="7">
        <v>14113</v>
      </c>
      <c r="H2246" t="s" s="7">
        <v>14114</v>
      </c>
      <c r="I2246" t="str" s="8" cm="1">
        <f t="array" ref="I2246">SUBSTITUTE(H2246,B2246,"(          )")</f>
        <v>The Supreme Court is the highest court in the country.</v>
      </c>
      <c r="J2246" s="9" cm="1">
        <f t="array" ref="J2246">SUMIF('외운 것 - 엑셀다운로드 파일(붙여넣기)'!A3:A562,A2246,'외운 것 - 엑셀다운로드 파일(붙여넣기)'!D3:D562)</f>
        <v>0</v>
      </c>
      <c r="K2246" s="9" cm="1">
        <f t="array" ref="K2246">_xlfn.COUNTIFS('외운 것 - 엑셀다운로드 파일(붙여넣기)'!A3:A562,A2246,'외운 것 - 엑셀다운로드 파일(붙여넣기)'!D3:D562,0)</f>
        <v>0</v>
      </c>
      <c r="L2246" s="9" cm="1">
        <f t="array" ref="L2246">IF(J2246&gt;=3,_xlfn.XLOOKUP(A2246,'외운 것 - 엑셀다운로드 파일(붙여넣기)'!A3:A562,'외운 것 - 엑셀다운로드 파일(붙여넣기)'!C3:C562,0,-1),0)</f>
        <v>0</v>
      </c>
    </row>
    <row r="2247" ht="38.45" customHeight="1">
      <c r="A2247" s="3">
        <v>2246</v>
      </c>
      <c r="B2247" t="s" s="4">
        <v>5258</v>
      </c>
      <c r="C2247" t="s" s="5">
        <v>14116</v>
      </c>
      <c r="D2247" t="s" s="5">
        <v>14110</v>
      </c>
      <c r="E2247" t="s" s="5">
        <v>5259</v>
      </c>
      <c r="F2247" t="s" s="10">
        <v>14117</v>
      </c>
      <c r="G2247" t="s" s="7">
        <v>14118</v>
      </c>
      <c r="H2247" t="s" s="7">
        <v>5262</v>
      </c>
      <c r="I2247" t="str" s="8" cm="1">
        <f t="array" ref="I2247">SUBSTITUTE(H2247,B2247,"(          )")</f>
        <v>He has only (          ) knowledge about the topic.</v>
      </c>
      <c r="J2247" s="9" cm="1">
        <f t="array" ref="J2247">SUMIF('외운 것 - 엑셀다운로드 파일(붙여넣기)'!A3:A562,A2247,'외운 것 - 엑셀다운로드 파일(붙여넣기)'!D3:D562)</f>
        <v>0</v>
      </c>
      <c r="K2247" s="9" cm="1">
        <f t="array" ref="K2247">_xlfn.COUNTIFS('외운 것 - 엑셀다운로드 파일(붙여넣기)'!A3:A562,A2247,'외운 것 - 엑셀다운로드 파일(붙여넣기)'!D3:D562,0)</f>
        <v>0</v>
      </c>
      <c r="L2247" s="9" cm="1">
        <f t="array" ref="L2247">IF(J2247&gt;=3,_xlfn.XLOOKUP(A2247,'외운 것 - 엑셀다운로드 파일(붙여넣기)'!A3:A562,'외운 것 - 엑셀다운로드 파일(붙여넣기)'!C3:C562,0,-1),0)</f>
        <v>0</v>
      </c>
    </row>
    <row r="2248" ht="23.45" customHeight="1">
      <c r="A2248" s="3">
        <v>2247</v>
      </c>
      <c r="B2248" t="s" s="4">
        <v>14119</v>
      </c>
      <c r="C2248" t="s" s="5">
        <v>14116</v>
      </c>
      <c r="D2248" t="s" s="5">
        <v>14110</v>
      </c>
      <c r="E2248" t="s" s="5">
        <v>14120</v>
      </c>
      <c r="F2248" t="s" s="10">
        <v>14121</v>
      </c>
      <c r="G2248" t="s" s="7">
        <v>14122</v>
      </c>
      <c r="H2248" t="s" s="7">
        <v>14123</v>
      </c>
      <c r="I2248" t="str" s="8" cm="1">
        <f t="array" ref="I2248">SUBSTITUTE(H2248,B2248,"(          )")</f>
        <v>The new model is (          ) to the older version.</v>
      </c>
      <c r="J2248" s="9" cm="1">
        <f t="array" ref="J2248">SUMIF('외운 것 - 엑셀다운로드 파일(붙여넣기)'!A3:A562,A2248,'외운 것 - 엑셀다운로드 파일(붙여넣기)'!D3:D562)</f>
        <v>0</v>
      </c>
      <c r="K2248" s="9" cm="1">
        <f t="array" ref="K2248">_xlfn.COUNTIFS('외운 것 - 엑셀다운로드 파일(붙여넣기)'!A3:A562,A2248,'외운 것 - 엑셀다운로드 파일(붙여넣기)'!D3:D562,0)</f>
        <v>0</v>
      </c>
      <c r="L2248" s="9" cm="1">
        <f t="array" ref="L2248">IF(J2248&gt;=3,_xlfn.XLOOKUP(A2248,'외운 것 - 엑셀다운로드 파일(붙여넣기)'!A3:A562,'외운 것 - 엑셀다운로드 파일(붙여넣기)'!C3:C562,0,-1),0)</f>
        <v>0</v>
      </c>
    </row>
    <row r="2249" ht="23.45" customHeight="1">
      <c r="A2249" s="3">
        <v>2248</v>
      </c>
      <c r="B2249" t="s" s="4">
        <v>14125</v>
      </c>
      <c r="C2249" t="s" s="5">
        <v>14116</v>
      </c>
      <c r="D2249" t="s" s="5">
        <v>14110</v>
      </c>
      <c r="E2249" t="s" s="5">
        <v>14126</v>
      </c>
      <c r="F2249" t="s" s="10">
        <v>14127</v>
      </c>
      <c r="G2249" t="s" s="7">
        <v>14128</v>
      </c>
      <c r="H2249" t="s" s="7">
        <v>14129</v>
      </c>
      <c r="I2249" t="str" s="8" cm="1">
        <f t="array" ref="I2249">SUBSTITUTE(H2249,B2249,"(          )")</f>
        <v>The chef prepared a (          ) meal for the special occasion.</v>
      </c>
      <c r="J2249" s="9" cm="1">
        <f t="array" ref="J2249">SUMIF('외운 것 - 엑셀다운로드 파일(붙여넣기)'!A3:A562,A2249,'외운 것 - 엑셀다운로드 파일(붙여넣기)'!D3:D562)</f>
        <v>0</v>
      </c>
      <c r="K2249" s="9" cm="1">
        <f t="array" ref="K2249">_xlfn.COUNTIFS('외운 것 - 엑셀다운로드 파일(붙여넣기)'!A3:A562,A2249,'외운 것 - 엑셀다운로드 파일(붙여넣기)'!D3:D562,0)</f>
        <v>0</v>
      </c>
      <c r="L2249" s="9" cm="1">
        <f t="array" ref="L2249">IF(J2249&gt;=3,_xlfn.XLOOKUP(A2249,'외운 것 - 엑셀다운로드 파일(붙여넣기)'!A3:A562,'외운 것 - 엑셀다운로드 파일(붙여넣기)'!C3:C562,0,-1),0)</f>
        <v>0</v>
      </c>
    </row>
    <row r="2250" ht="38.45" customHeight="1">
      <c r="A2250" s="3">
        <v>2249</v>
      </c>
      <c r="B2250" t="s" s="4">
        <v>10978</v>
      </c>
      <c r="C2250" t="s" s="5">
        <v>14131</v>
      </c>
      <c r="D2250" t="s" s="5">
        <v>14132</v>
      </c>
      <c r="E2250" t="s" s="5">
        <v>10979</v>
      </c>
      <c r="F2250" t="s" s="10">
        <v>14133</v>
      </c>
      <c r="G2250" t="s" s="7">
        <v>12570</v>
      </c>
      <c r="H2250" t="s" s="7">
        <v>10982</v>
      </c>
      <c r="I2250" t="str" s="8" cm="1">
        <f t="array" ref="I2250">SUBSTITUTE(H2250,B2250,"(          )")</f>
        <v>The party was a complete (          ) for her birthday.</v>
      </c>
      <c r="J2250" s="9" cm="1">
        <f t="array" ref="J2250">SUMIF('외운 것 - 엑셀다운로드 파일(붙여넣기)'!A3:A562,A2250,'외운 것 - 엑셀다운로드 파일(붙여넣기)'!D3:D562)</f>
        <v>0</v>
      </c>
      <c r="K2250" s="9" cm="1">
        <f t="array" ref="K2250">_xlfn.COUNTIFS('외운 것 - 엑셀다운로드 파일(붙여넣기)'!A3:A562,A2250,'외운 것 - 엑셀다운로드 파일(붙여넣기)'!D3:D562,0)</f>
        <v>0</v>
      </c>
      <c r="L2250" s="9" cm="1">
        <f t="array" ref="L2250">IF(J2250&gt;=3,_xlfn.XLOOKUP(A2250,'외운 것 - 엑셀다운로드 파일(붙여넣기)'!A3:A562,'외운 것 - 엑셀다운로드 파일(붙여넣기)'!C3:C562,0,-1),0)</f>
        <v>0</v>
      </c>
    </row>
    <row r="2251" ht="23.45" customHeight="1">
      <c r="A2251" s="3">
        <v>2250</v>
      </c>
      <c r="B2251" t="s" s="4">
        <v>14134</v>
      </c>
      <c r="C2251" t="s" s="5">
        <v>14131</v>
      </c>
      <c r="D2251" t="s" s="5">
        <v>14132</v>
      </c>
      <c r="E2251" t="s" s="5">
        <v>14135</v>
      </c>
      <c r="F2251" t="s" s="10">
        <v>14136</v>
      </c>
      <c r="G2251" t="s" s="7">
        <v>14137</v>
      </c>
      <c r="H2251" t="s" s="7">
        <v>14138</v>
      </c>
      <c r="I2251" t="str" s="8" cm="1">
        <f t="array" ref="I2251">SUBSTITUTE(H2251,B2251,"(          )")</f>
        <v>A (          ) of adrenaline helped her lift the heavy object.</v>
      </c>
      <c r="J2251" s="9" cm="1">
        <f t="array" ref="J2251">SUMIF('외운 것 - 엑셀다운로드 파일(붙여넣기)'!A3:A562,A2251,'외운 것 - 엑셀다운로드 파일(붙여넣기)'!D3:D562)</f>
        <v>0</v>
      </c>
      <c r="K2251" s="9" cm="1">
        <f t="array" ref="K2251">_xlfn.COUNTIFS('외운 것 - 엑셀다운로드 파일(붙여넣기)'!A3:A562,A2251,'외운 것 - 엑셀다운로드 파일(붙여넣기)'!D3:D562,0)</f>
        <v>0</v>
      </c>
      <c r="L2251" s="9" cm="1">
        <f t="array" ref="L2251">IF(J2251&gt;=3,_xlfn.XLOOKUP(A2251,'외운 것 - 엑셀다운로드 파일(붙여넣기)'!A3:A562,'외운 것 - 엑셀다운로드 파일(붙여넣기)'!C3:C562,0,-1),0)</f>
        <v>0</v>
      </c>
    </row>
    <row r="2252" ht="38.45" customHeight="1">
      <c r="A2252" s="3">
        <v>2251</v>
      </c>
      <c r="B2252" t="s" s="4">
        <v>14140</v>
      </c>
      <c r="C2252" t="s" s="5">
        <v>14131</v>
      </c>
      <c r="D2252" t="s" s="5">
        <v>14132</v>
      </c>
      <c r="E2252" t="s" s="5">
        <v>14141</v>
      </c>
      <c r="F2252" t="s" s="10">
        <v>14142</v>
      </c>
      <c r="G2252" t="s" s="7">
        <v>11329</v>
      </c>
      <c r="H2252" t="s" s="7">
        <v>14143</v>
      </c>
      <c r="I2252" t="str" s="8" cm="1">
        <f t="array" ref="I2252">SUBSTITUTE(H2252,B2252,"(          )")</f>
        <v>The company conducted a (          ) of customer satisfaction.</v>
      </c>
      <c r="J2252" s="9" cm="1">
        <f t="array" ref="J2252">SUMIF('외운 것 - 엑셀다운로드 파일(붙여넣기)'!A3:A562,A2252,'외운 것 - 엑셀다운로드 파일(붙여넣기)'!D3:D562)</f>
        <v>0</v>
      </c>
      <c r="K2252" s="9" cm="1">
        <f t="array" ref="K2252">_xlfn.COUNTIFS('외운 것 - 엑셀다운로드 파일(붙여넣기)'!A3:A562,A2252,'외운 것 - 엑셀다운로드 파일(붙여넣기)'!D3:D562,0)</f>
        <v>0</v>
      </c>
      <c r="L2252" s="9" cm="1">
        <f t="array" ref="L2252">IF(J2252&gt;=3,_xlfn.XLOOKUP(A2252,'외운 것 - 엑셀다운로드 파일(붙여넣기)'!A3:A562,'외운 것 - 엑셀다운로드 파일(붙여넣기)'!C3:C562,0,-1),0)</f>
        <v>0</v>
      </c>
    </row>
    <row r="2253" ht="38.45" customHeight="1">
      <c r="A2253" s="3">
        <v>2252</v>
      </c>
      <c r="B2253" t="s" s="4">
        <v>14145</v>
      </c>
      <c r="C2253" t="s" s="5">
        <v>14131</v>
      </c>
      <c r="D2253" t="s" s="5">
        <v>14132</v>
      </c>
      <c r="E2253" t="s" s="5">
        <v>14146</v>
      </c>
      <c r="F2253" t="s" s="10">
        <v>14147</v>
      </c>
      <c r="G2253" t="s" s="7">
        <v>14148</v>
      </c>
      <c r="H2253" t="s" s="7">
        <v>14149</v>
      </c>
      <c r="I2253" t="str" s="8" cm="1">
        <f t="array" ref="I2253">SUBSTITUTE(H2253,B2253,"(          )")</f>
        <v>The bank has (          ) cameras for security.</v>
      </c>
      <c r="J2253" s="9" cm="1">
        <f t="array" ref="J2253">SUMIF('외운 것 - 엑셀다운로드 파일(붙여넣기)'!A3:A562,A2253,'외운 것 - 엑셀다운로드 파일(붙여넣기)'!D3:D562)</f>
        <v>0</v>
      </c>
      <c r="K2253" s="9" cm="1">
        <f t="array" ref="K2253">_xlfn.COUNTIFS('외운 것 - 엑셀다운로드 파일(붙여넣기)'!A3:A562,A2253,'외운 것 - 엑셀다운로드 파일(붙여넣기)'!D3:D562,0)</f>
        <v>0</v>
      </c>
      <c r="L2253" s="9" cm="1">
        <f t="array" ref="L2253">IF(J2253&gt;=3,_xlfn.XLOOKUP(A2253,'외운 것 - 엑셀다운로드 파일(붙여넣기)'!A3:A562,'외운 것 - 엑셀다운로드 파일(붙여넣기)'!C3:C562,0,-1),0)</f>
        <v>0</v>
      </c>
    </row>
    <row r="2254" ht="23.45" customHeight="1">
      <c r="A2254" s="3">
        <v>2253</v>
      </c>
      <c r="B2254" t="s" s="4">
        <v>14151</v>
      </c>
      <c r="C2254" t="s" s="5">
        <v>14131</v>
      </c>
      <c r="D2254" t="s" s="5">
        <v>14132</v>
      </c>
      <c r="E2254" t="s" s="5">
        <v>14152</v>
      </c>
      <c r="F2254" t="s" s="10">
        <v>14153</v>
      </c>
      <c r="G2254" t="s" s="7">
        <v>14154</v>
      </c>
      <c r="H2254" t="s" s="7">
        <v>14155</v>
      </c>
      <c r="I2254" t="str" s="8" cm="1">
        <f t="array" ref="I2254">SUBSTITUTE(H2254,B2254,"(          )")</f>
        <v>My (          ) comes from my father's side of the family.</v>
      </c>
      <c r="J2254" s="9" cm="1">
        <f t="array" ref="J2254">SUMIF('외운 것 - 엑셀다운로드 파일(붙여넣기)'!A3:A562,A2254,'외운 것 - 엑셀다운로드 파일(붙여넣기)'!D3:D562)</f>
        <v>0</v>
      </c>
      <c r="K2254" s="9" cm="1">
        <f t="array" ref="K2254">_xlfn.COUNTIFS('외운 것 - 엑셀다운로드 파일(붙여넣기)'!A3:A562,A2254,'외운 것 - 엑셀다운로드 파일(붙여넣기)'!D3:D562,0)</f>
        <v>0</v>
      </c>
      <c r="L2254" s="9" cm="1">
        <f t="array" ref="L2254">IF(J2254&gt;=3,_xlfn.XLOOKUP(A2254,'외운 것 - 엑셀다운로드 파일(붙여넣기)'!A3:A562,'외운 것 - 엑셀다운로드 파일(붙여넣기)'!C3:C562,0,-1),0)</f>
        <v>0</v>
      </c>
    </row>
    <row r="2255" ht="23.45" customHeight="1">
      <c r="A2255" s="3">
        <v>2254</v>
      </c>
      <c r="B2255" t="s" s="4">
        <v>5193</v>
      </c>
      <c r="C2255" t="s" s="5">
        <v>14131</v>
      </c>
      <c r="D2255" t="s" s="5">
        <v>14132</v>
      </c>
      <c r="E2255" t="s" s="5">
        <v>5194</v>
      </c>
      <c r="F2255" t="s" s="10">
        <v>14157</v>
      </c>
      <c r="G2255" t="s" s="7">
        <v>5196</v>
      </c>
      <c r="H2255" t="s" s="7">
        <v>5197</v>
      </c>
      <c r="I2255" t="str" s="8" cm="1">
        <f t="array" ref="I2255">SUBSTITUTE(H2255,B2255,"(          )")</f>
        <v>The (          ) of the lake was perfectly calm.</v>
      </c>
      <c r="J2255" s="9" cm="1">
        <f t="array" ref="J2255">SUMIF('외운 것 - 엑셀다운로드 파일(붙여넣기)'!A3:A562,A2255,'외운 것 - 엑셀다운로드 파일(붙여넣기)'!D3:D562)</f>
        <v>0</v>
      </c>
      <c r="K2255" s="9" cm="1">
        <f t="array" ref="K2255">_xlfn.COUNTIFS('외운 것 - 엑셀다운로드 파일(붙여넣기)'!A3:A562,A2255,'외운 것 - 엑셀다운로드 파일(붙여넣기)'!D3:D562,0)</f>
        <v>0</v>
      </c>
      <c r="L2255" s="9" cm="1">
        <f t="array" ref="L2255">IF(J2255&gt;=3,_xlfn.XLOOKUP(A2255,'외운 것 - 엑셀다운로드 파일(붙여넣기)'!A3:A562,'외운 것 - 엑셀다운로드 파일(붙여넣기)'!C3:C562,0,-1),0)</f>
        <v>0</v>
      </c>
    </row>
    <row r="2256" ht="23.45" customHeight="1">
      <c r="A2256" s="3">
        <v>2255</v>
      </c>
      <c r="B2256" t="s" s="4">
        <v>10452</v>
      </c>
      <c r="C2256" t="s" s="5">
        <v>14131</v>
      </c>
      <c r="D2256" t="s" s="5">
        <v>14132</v>
      </c>
      <c r="E2256" t="s" s="5">
        <v>10453</v>
      </c>
      <c r="F2256" t="s" s="10">
        <v>14158</v>
      </c>
      <c r="G2256" t="s" s="7">
        <v>10455</v>
      </c>
      <c r="H2256" t="s" s="7">
        <v>10456</v>
      </c>
      <c r="I2256" t="str" s="8" cm="1">
        <f t="array" ref="I2256">SUBSTITUTE(H2256,B2256,"(          )")</f>
        <v>The budget (          ) will be invested in education.</v>
      </c>
      <c r="J2256" s="9" cm="1">
        <f t="array" ref="J2256">SUMIF('외운 것 - 엑셀다운로드 파일(붙여넣기)'!A3:A562,A2256,'외운 것 - 엑셀다운로드 파일(붙여넣기)'!D3:D562)</f>
        <v>0</v>
      </c>
      <c r="K2256" s="9" cm="1">
        <f t="array" ref="K2256">_xlfn.COUNTIFS('외운 것 - 엑셀다운로드 파일(붙여넣기)'!A3:A562,A2256,'외운 것 - 엑셀다운로드 파일(붙여넣기)'!D3:D562,0)</f>
        <v>0</v>
      </c>
      <c r="L2256" s="9" cm="1">
        <f t="array" ref="L2256">IF(J2256&gt;=3,_xlfn.XLOOKUP(A2256,'외운 것 - 엑셀다운로드 파일(붙여넣기)'!A3:A562,'외운 것 - 엑셀다운로드 파일(붙여넣기)'!C3:C562,0,-1),0)</f>
        <v>0</v>
      </c>
    </row>
    <row r="2257" ht="38.45" customHeight="1">
      <c r="A2257" s="3">
        <v>2256</v>
      </c>
      <c r="B2257" t="s" s="4">
        <v>14159</v>
      </c>
      <c r="C2257" t="s" s="5">
        <v>14131</v>
      </c>
      <c r="D2257" t="s" s="5">
        <v>14132</v>
      </c>
      <c r="E2257" t="s" s="5">
        <v>14160</v>
      </c>
      <c r="F2257" t="s" s="10">
        <v>14161</v>
      </c>
      <c r="G2257" t="s" s="7">
        <v>14162</v>
      </c>
      <c r="H2257" t="s" s="7">
        <v>14163</v>
      </c>
      <c r="I2257" t="str" s="8" cm="1">
        <f t="array" ref="I2257">SUBSTITUTE(H2257,B2257,"(          )")</f>
        <v>The army had to (          ) after running out of supplies.</v>
      </c>
      <c r="J2257" s="9" cm="1">
        <f t="array" ref="J2257">SUMIF('외운 것 - 엑셀다운로드 파일(붙여넣기)'!A3:A562,A2257,'외운 것 - 엑셀다운로드 파일(붙여넣기)'!D3:D562)</f>
        <v>0</v>
      </c>
      <c r="K2257" s="9" cm="1">
        <f t="array" ref="K2257">_xlfn.COUNTIFS('외운 것 - 엑셀다운로드 파일(붙여넣기)'!A3:A562,A2257,'외운 것 - 엑셀다운로드 파일(붙여넣기)'!D3:D562,0)</f>
        <v>0</v>
      </c>
      <c r="L2257" s="9" cm="1">
        <f t="array" ref="L2257">IF(J2257&gt;=3,_xlfn.XLOOKUP(A2257,'외운 것 - 엑셀다운로드 파일(붙여넣기)'!A3:A562,'외운 것 - 엑셀다운로드 파일(붙여넣기)'!C3:C562,0,-1),0)</f>
        <v>0</v>
      </c>
    </row>
    <row r="2258" ht="38.45" customHeight="1">
      <c r="A2258" s="3">
        <v>2257</v>
      </c>
      <c r="B2258" t="s" s="4">
        <v>14165</v>
      </c>
      <c r="C2258" t="s" s="5">
        <v>14165</v>
      </c>
      <c r="D2258" t="s" s="5">
        <v>14166</v>
      </c>
      <c r="E2258" t="s" s="5">
        <v>14167</v>
      </c>
      <c r="F2258" t="s" s="10">
        <v>14168</v>
      </c>
      <c r="G2258" t="s" s="7">
        <v>14169</v>
      </c>
      <c r="H2258" t="s" s="7">
        <v>14170</v>
      </c>
      <c r="I2258" t="str" s="8" cm="1">
        <f t="array" ref="I2258">SUBSTITUTE(H2258,B2258,"(          )")</f>
        <v>I'm (          ) that everything will work out well.</v>
      </c>
      <c r="J2258" s="9" cm="1">
        <f t="array" ref="J2258">SUMIF('외운 것 - 엑셀다운로드 파일(붙여넣기)'!A3:A562,A2258,'외운 것 - 엑셀다운로드 파일(붙여넣기)'!D3:D562)</f>
        <v>0</v>
      </c>
      <c r="K2258" s="9" cm="1">
        <f t="array" ref="K2258">_xlfn.COUNTIFS('외운 것 - 엑셀다운로드 파일(붙여넣기)'!A3:A562,A2258,'외운 것 - 엑셀다운로드 파일(붙여넣기)'!D3:D562,0)</f>
        <v>0</v>
      </c>
      <c r="L2258" s="9" cm="1">
        <f t="array" ref="L2258">IF(J2258&gt;=3,_xlfn.XLOOKUP(A2258,'외운 것 - 엑셀다운로드 파일(붙여넣기)'!A3:A562,'외운 것 - 엑셀다운로드 파일(붙여넣기)'!C3:C562,0,-1),0)</f>
        <v>0</v>
      </c>
    </row>
    <row r="2259" ht="38.45" customHeight="1">
      <c r="A2259" s="3">
        <v>2258</v>
      </c>
      <c r="B2259" t="s" s="4">
        <v>14172</v>
      </c>
      <c r="C2259" t="s" s="5">
        <v>14165</v>
      </c>
      <c r="D2259" t="s" s="5">
        <v>14166</v>
      </c>
      <c r="E2259" t="s" s="5">
        <v>14173</v>
      </c>
      <c r="F2259" t="s" s="10">
        <v>14174</v>
      </c>
      <c r="G2259" t="s" s="7">
        <v>14175</v>
      </c>
      <c r="H2259" t="s" s="7">
        <v>14176</v>
      </c>
      <c r="I2259" t="str" s="8" cm="1">
        <f t="array" ref="I2259">SUBSTITUTE(H2259,B2259,"(          )")</f>
        <v>The safety features (          ) that passengers are protected.</v>
      </c>
      <c r="J2259" s="9" cm="1">
        <f t="array" ref="J2259">SUMIF('외운 것 - 엑셀다운로드 파일(붙여넣기)'!A3:A562,A2259,'외운 것 - 엑셀다운로드 파일(붙여넣기)'!D3:D562)</f>
        <v>0</v>
      </c>
      <c r="K2259" s="9" cm="1">
        <f t="array" ref="K2259">_xlfn.COUNTIFS('외운 것 - 엑셀다운로드 파일(붙여넣기)'!A3:A562,A2259,'외운 것 - 엑셀다운로드 파일(붙여넣기)'!D3:D562,0)</f>
        <v>0</v>
      </c>
      <c r="L2259" s="9" cm="1">
        <f t="array" ref="L2259">IF(J2259&gt;=3,_xlfn.XLOOKUP(A2259,'외운 것 - 엑셀다운로드 파일(붙여넣기)'!A3:A562,'외운 것 - 엑셀다운로드 파일(붙여넣기)'!C3:C562,0,-1),0)</f>
        <v>0</v>
      </c>
    </row>
    <row r="2260" ht="23.45" customHeight="1">
      <c r="A2260" s="3">
        <v>2259</v>
      </c>
      <c r="B2260" t="s" s="4">
        <v>14178</v>
      </c>
      <c r="C2260" t="s" s="5">
        <v>14165</v>
      </c>
      <c r="D2260" t="s" s="5">
        <v>14166</v>
      </c>
      <c r="E2260" t="s" s="5">
        <v>14179</v>
      </c>
      <c r="F2260" t="s" s="10">
        <v>14180</v>
      </c>
      <c r="G2260" t="s" s="7">
        <v>14181</v>
      </c>
      <c r="H2260" t="s" s="7">
        <v>14182</v>
      </c>
      <c r="I2260" t="str" s="8" cm="1">
        <f t="array" ref="I2260">SUBSTITUTE(H2260,B2260,"(          )")</f>
        <v>I can (          ) you that your money is safe with us.</v>
      </c>
      <c r="J2260" s="9" cm="1">
        <f t="array" ref="J2260">SUMIF('외운 것 - 엑셀다운로드 파일(붙여넣기)'!A3:A562,A2260,'외운 것 - 엑셀다운로드 파일(붙여넣기)'!D3:D562)</f>
        <v>0</v>
      </c>
      <c r="K2260" s="9" cm="1">
        <f t="array" ref="K2260">_xlfn.COUNTIFS('외운 것 - 엑셀다운로드 파일(붙여넣기)'!A3:A562,A2260,'외운 것 - 엑셀다운로드 파일(붙여넣기)'!D3:D562,0)</f>
        <v>0</v>
      </c>
      <c r="L2260" s="9" cm="1">
        <f t="array" ref="L2260">IF(J2260&gt;=3,_xlfn.XLOOKUP(A2260,'외운 것 - 엑셀다운로드 파일(붙여넣기)'!A3:A562,'외운 것 - 엑셀다운로드 파일(붙여넣기)'!C3:C562,0,-1),0)</f>
        <v>0</v>
      </c>
    </row>
    <row r="2261" ht="23.45" customHeight="1">
      <c r="A2261" s="3">
        <v>2260</v>
      </c>
      <c r="B2261" t="s" s="4">
        <v>14184</v>
      </c>
      <c r="C2261" t="s" s="5">
        <v>14165</v>
      </c>
      <c r="D2261" t="s" s="5">
        <v>14166</v>
      </c>
      <c r="E2261" t="s" s="5">
        <v>14185</v>
      </c>
      <c r="F2261" t="s" s="10">
        <v>14186</v>
      </c>
      <c r="G2261" t="s" s="7">
        <v>14187</v>
      </c>
      <c r="H2261" t="s" s="7">
        <v>14188</v>
      </c>
      <c r="I2261" t="str" s="8" cm="1">
        <f t="array" ref="I2261">SUBSTITUTE(H2261,B2261,"(          )")</f>
        <v>Health (          ) helps cover medical expenses.</v>
      </c>
      <c r="J2261" s="9" cm="1">
        <f t="array" ref="J2261">SUMIF('외운 것 - 엑셀다운로드 파일(붙여넣기)'!A3:A562,A2261,'외운 것 - 엑셀다운로드 파일(붙여넣기)'!D3:D562)</f>
        <v>0</v>
      </c>
      <c r="K2261" s="9" cm="1">
        <f t="array" ref="K2261">_xlfn.COUNTIFS('외운 것 - 엑셀다운로드 파일(붙여넣기)'!A3:A562,A2261,'외운 것 - 엑셀다운로드 파일(붙여넣기)'!D3:D562,0)</f>
        <v>0</v>
      </c>
      <c r="L2261" s="9" cm="1">
        <f t="array" ref="L2261">IF(J2261&gt;=3,_xlfn.XLOOKUP(A2261,'외운 것 - 엑셀다운로드 파일(붙여넣기)'!A3:A562,'외운 것 - 엑셀다운로드 파일(붙여넣기)'!C3:C562,0,-1),0)</f>
        <v>0</v>
      </c>
    </row>
    <row r="2262" ht="38.45" customHeight="1">
      <c r="A2262" s="3">
        <v>2261</v>
      </c>
      <c r="B2262" t="s" s="4">
        <v>707</v>
      </c>
      <c r="C2262" t="s" s="5">
        <v>14165</v>
      </c>
      <c r="D2262" t="s" s="5">
        <v>14166</v>
      </c>
      <c r="E2262" t="s" s="5">
        <v>708</v>
      </c>
      <c r="F2262" t="s" s="10">
        <v>14190</v>
      </c>
      <c r="G2262" t="s" s="7">
        <v>14191</v>
      </c>
      <c r="H2262" t="s" s="7">
        <v>711</v>
      </c>
      <c r="I2262" t="str" s="8" cm="1">
        <f t="array" ref="I2262">SUBSTITUTE(H2262,B2262,"(          )")</f>
        <v>His claim that he could fly was completely (          ).</v>
      </c>
      <c r="J2262" s="9" cm="1">
        <f t="array" ref="J2262">SUMIF('외운 것 - 엑셀다운로드 파일(붙여넣기)'!A3:A562,A2262,'외운 것 - 엑셀다운로드 파일(붙여넣기)'!D3:D562)</f>
        <v>0</v>
      </c>
      <c r="K2262" s="9" cm="1">
        <f t="array" ref="K2262">_xlfn.COUNTIFS('외운 것 - 엑셀다운로드 파일(붙여넣기)'!A3:A562,A2262,'외운 것 - 엑셀다운로드 파일(붙여넣기)'!D3:D562,0)</f>
        <v>0</v>
      </c>
      <c r="L2262" s="9" cm="1">
        <f t="array" ref="L2262">IF(J2262&gt;=3,_xlfn.XLOOKUP(A2262,'외운 것 - 엑셀다운로드 파일(붙여넣기)'!A3:A562,'외운 것 - 엑셀다운로드 파일(붙여넣기)'!C3:C562,0,-1),0)</f>
        <v>0</v>
      </c>
    </row>
    <row r="2263" ht="23.45" customHeight="1">
      <c r="A2263" s="3">
        <v>2262</v>
      </c>
      <c r="B2263" t="s" s="4">
        <v>14192</v>
      </c>
      <c r="C2263" t="s" s="5">
        <v>14193</v>
      </c>
      <c r="D2263" t="s" s="5">
        <v>14194</v>
      </c>
      <c r="E2263" t="s" s="5">
        <v>14195</v>
      </c>
      <c r="F2263" t="s" s="10">
        <v>14196</v>
      </c>
      <c r="G2263" t="s" s="7">
        <v>14197</v>
      </c>
      <c r="H2263" t="s" s="7">
        <v>14198</v>
      </c>
      <c r="I2263" t="str" s="8" cm="1">
        <f t="array" ref="I2263">SUBSTITUTE(H2263,B2263,"(          )")</f>
        <v>Her voice was barely (          ) in the noisy room.</v>
      </c>
      <c r="J2263" s="9" cm="1">
        <f t="array" ref="J2263">SUMIF('외운 것 - 엑셀다운로드 파일(붙여넣기)'!A3:A562,A2263,'외운 것 - 엑셀다운로드 파일(붙여넣기)'!D3:D562)</f>
        <v>0</v>
      </c>
      <c r="K2263" s="9" cm="1">
        <f t="array" ref="K2263">_xlfn.COUNTIFS('외운 것 - 엑셀다운로드 파일(붙여넣기)'!A3:A562,A2263,'외운 것 - 엑셀다운로드 파일(붙여넣기)'!D3:D562,0)</f>
        <v>0</v>
      </c>
      <c r="L2263" s="9" cm="1">
        <f t="array" ref="L2263">IF(J2263&gt;=3,_xlfn.XLOOKUP(A2263,'외운 것 - 엑셀다운로드 파일(붙여넣기)'!A3:A562,'외운 것 - 엑셀다운로드 파일(붙여넣기)'!C3:C562,0,-1),0)</f>
        <v>0</v>
      </c>
    </row>
    <row r="2264" ht="23.45" customHeight="1">
      <c r="A2264" s="3">
        <v>2263</v>
      </c>
      <c r="B2264" t="s" s="4">
        <v>14200</v>
      </c>
      <c r="C2264" t="s" s="5">
        <v>14193</v>
      </c>
      <c r="D2264" t="s" s="5">
        <v>14194</v>
      </c>
      <c r="E2264" t="s" s="5">
        <v>14201</v>
      </c>
      <c r="F2264" t="s" s="10">
        <v>14202</v>
      </c>
      <c r="G2264" t="s" s="7">
        <v>14203</v>
      </c>
      <c r="H2264" t="s" s="7">
        <v>14204</v>
      </c>
      <c r="I2264" t="str" s="8" cm="1">
        <f t="array" ref="I2264">SUBSTITUTE(H2264,B2264,"(          )")</f>
        <v>Many actors (          ) for each available role.</v>
      </c>
      <c r="J2264" s="9" cm="1">
        <f t="array" ref="J2264">SUMIF('외운 것 - 엑셀다운로드 파일(붙여넣기)'!A3:A562,A2264,'외운 것 - 엑셀다운로드 파일(붙여넣기)'!D3:D562)</f>
        <v>0</v>
      </c>
      <c r="K2264" s="9" cm="1">
        <f t="array" ref="K2264">_xlfn.COUNTIFS('외운 것 - 엑셀다운로드 파일(붙여넣기)'!A3:A562,A2264,'외운 것 - 엑셀다운로드 파일(붙여넣기)'!D3:D562,0)</f>
        <v>0</v>
      </c>
      <c r="L2264" s="9" cm="1">
        <f t="array" ref="L2264">IF(J2264&gt;=3,_xlfn.XLOOKUP(A2264,'외운 것 - 엑셀다운로드 파일(붙여넣기)'!A3:A562,'외운 것 - 엑셀다운로드 파일(붙여넣기)'!C3:C562,0,-1),0)</f>
        <v>0</v>
      </c>
    </row>
    <row r="2265" ht="23.45" customHeight="1">
      <c r="A2265" s="3">
        <v>2264</v>
      </c>
      <c r="B2265" t="s" s="4">
        <v>14206</v>
      </c>
      <c r="C2265" t="s" s="5">
        <v>14193</v>
      </c>
      <c r="D2265" t="s" s="5">
        <v>14194</v>
      </c>
      <c r="E2265" t="s" s="5">
        <v>14207</v>
      </c>
      <c r="F2265" t="s" s="10">
        <v>14208</v>
      </c>
      <c r="G2265" t="s" s="7">
        <v>14209</v>
      </c>
      <c r="H2265" t="s" s="7">
        <v>14210</v>
      </c>
      <c r="I2265" t="str" s="8" cm="1">
        <f t="array" ref="I2265">SUBSTITUTE(H2265,B2265,"(          )")</f>
        <v>The school (          ) seats 500 people.</v>
      </c>
      <c r="J2265" s="9" cm="1">
        <f t="array" ref="J2265">SUMIF('외운 것 - 엑셀다운로드 파일(붙여넣기)'!A3:A562,A2265,'외운 것 - 엑셀다운로드 파일(붙여넣기)'!D3:D562)</f>
        <v>0</v>
      </c>
      <c r="K2265" s="9" cm="1">
        <f t="array" ref="K2265">_xlfn.COUNTIFS('외운 것 - 엑셀다운로드 파일(붙여넣기)'!A3:A562,A2265,'외운 것 - 엑셀다운로드 파일(붙여넣기)'!D3:D562,0)</f>
        <v>0</v>
      </c>
      <c r="L2265" s="9" cm="1">
        <f t="array" ref="L2265">IF(J2265&gt;=3,_xlfn.XLOOKUP(A2265,'외운 것 - 엑셀다운로드 파일(붙여넣기)'!A3:A562,'외운 것 - 엑셀다운로드 파일(붙여넣기)'!C3:C562,0,-1),0)</f>
        <v>0</v>
      </c>
    </row>
    <row r="2266" ht="38.45" customHeight="1">
      <c r="A2266" s="3">
        <v>2265</v>
      </c>
      <c r="B2266" t="s" s="4">
        <v>14212</v>
      </c>
      <c r="C2266" t="s" s="5">
        <v>14193</v>
      </c>
      <c r="D2266" t="s" s="5">
        <v>14194</v>
      </c>
      <c r="E2266" t="s" s="5">
        <v>14213</v>
      </c>
      <c r="F2266" t="s" s="10">
        <v>14214</v>
      </c>
      <c r="G2266" t="s" s="7">
        <v>14215</v>
      </c>
      <c r="H2266" t="s" s="7">
        <v>14216</v>
      </c>
      <c r="I2266" t="str" s="8" cm="1">
        <f t="array" ref="I2266">SUBSTITUTE(H2266,B2266,"(          )")</f>
        <v>The (          ) applauded enthusiastically after the performance.</v>
      </c>
      <c r="J2266" s="9" cm="1">
        <f t="array" ref="J2266">SUMIF('외운 것 - 엑셀다운로드 파일(붙여넣기)'!A3:A562,A2266,'외운 것 - 엑셀다운로드 파일(붙여넣기)'!D3:D562)</f>
        <v>0</v>
      </c>
      <c r="K2266" s="9" cm="1">
        <f t="array" ref="K2266">_xlfn.COUNTIFS('외운 것 - 엑셀다운로드 파일(붙여넣기)'!A3:A562,A2266,'외운 것 - 엑셀다운로드 파일(붙여넣기)'!D3:D562,0)</f>
        <v>0</v>
      </c>
      <c r="L2266" s="9" cm="1">
        <f t="array" ref="L2266">IF(J2266&gt;=3,_xlfn.XLOOKUP(A2266,'외운 것 - 엑셀다운로드 파일(붙여넣기)'!A3:A562,'외운 것 - 엑셀다운로드 파일(붙여넣기)'!C3:C562,0,-1),0)</f>
        <v>0</v>
      </c>
    </row>
    <row r="2267" ht="38.45" customHeight="1">
      <c r="A2267" s="3">
        <v>2266</v>
      </c>
      <c r="B2267" t="s" s="4">
        <v>14218</v>
      </c>
      <c r="C2267" t="s" s="5">
        <v>14193</v>
      </c>
      <c r="D2267" t="s" s="5">
        <v>14194</v>
      </c>
      <c r="E2267" t="s" s="5">
        <v>14219</v>
      </c>
      <c r="F2267" t="s" s="10">
        <v>14220</v>
      </c>
      <c r="G2267" t="s" s="7">
        <v>5888</v>
      </c>
      <c r="H2267" t="s" s="7">
        <v>14221</v>
      </c>
      <c r="I2267" t="str" s="8" cm="1">
        <f t="array" ref="I2267">SUBSTITUTE(H2267,B2267,"(          )")</f>
        <v>The IRS may (          ) your tax returns.</v>
      </c>
      <c r="J2267" s="9" cm="1">
        <f t="array" ref="J2267">SUMIF('외운 것 - 엑셀다운로드 파일(붙여넣기)'!A3:A562,A2267,'외운 것 - 엑셀다운로드 파일(붙여넣기)'!D3:D562)</f>
        <v>0</v>
      </c>
      <c r="K2267" s="9" cm="1">
        <f t="array" ref="K2267">_xlfn.COUNTIFS('외운 것 - 엑셀다운로드 파일(붙여넣기)'!A3:A562,A2267,'외운 것 - 엑셀다운로드 파일(붙여넣기)'!D3:D562,0)</f>
        <v>0</v>
      </c>
      <c r="L2267" s="9" cm="1">
        <f t="array" ref="L2267">IF(J2267&gt;=3,_xlfn.XLOOKUP(A2267,'외운 것 - 엑셀다운로드 파일(붙여넣기)'!A3:A562,'외운 것 - 엑셀다운로드 파일(붙여넣기)'!C3:C562,0,-1),0)</f>
        <v>0</v>
      </c>
    </row>
    <row r="2268" ht="23.45" customHeight="1">
      <c r="A2268" s="3">
        <v>2267</v>
      </c>
      <c r="B2268" t="s" s="4">
        <v>14223</v>
      </c>
      <c r="C2268" t="s" s="5">
        <v>14224</v>
      </c>
      <c r="D2268" t="s" s="5">
        <v>14225</v>
      </c>
      <c r="E2268" t="s" s="5">
        <v>14226</v>
      </c>
      <c r="F2268" t="s" s="10">
        <v>14227</v>
      </c>
      <c r="G2268" t="s" s="7">
        <v>14228</v>
      </c>
      <c r="H2268" t="s" s="7">
        <v>14229</v>
      </c>
      <c r="I2268" t="str" s="8" cm="1">
        <f t="array" ref="I2268">SUBSTITUTE(H2268,B2268,"(          )")</f>
        <v>The apartment has been (          ) for three months.</v>
      </c>
      <c r="J2268" s="9" cm="1">
        <f t="array" ref="J2268">SUMIF('외운 것 - 엑셀다운로드 파일(붙여넣기)'!A3:A562,A2268,'외운 것 - 엑셀다운로드 파일(붙여넣기)'!D3:D562)</f>
        <v>0</v>
      </c>
      <c r="K2268" s="9" cm="1">
        <f t="array" ref="K2268">_xlfn.COUNTIFS('외운 것 - 엑셀다운로드 파일(붙여넣기)'!A3:A562,A2268,'외운 것 - 엑셀다운로드 파일(붙여넣기)'!D3:D562,0)</f>
        <v>0</v>
      </c>
      <c r="L2268" s="9" cm="1">
        <f t="array" ref="L2268">IF(J2268&gt;=3,_xlfn.XLOOKUP(A2268,'외운 것 - 엑셀다운로드 파일(붙여넣기)'!A3:A562,'외운 것 - 엑셀다운로드 파일(붙여넣기)'!C3:C562,0,-1),0)</f>
        <v>0</v>
      </c>
    </row>
    <row r="2269" ht="23.45" customHeight="1">
      <c r="A2269" s="3">
        <v>2268</v>
      </c>
      <c r="B2269" t="s" s="4">
        <v>14231</v>
      </c>
      <c r="C2269" t="s" s="5">
        <v>14224</v>
      </c>
      <c r="D2269" t="s" s="5">
        <v>14225</v>
      </c>
      <c r="E2269" t="s" s="5">
        <v>14232</v>
      </c>
      <c r="F2269" t="s" s="10">
        <v>14233</v>
      </c>
      <c r="G2269" t="s" s="7">
        <v>14234</v>
      </c>
      <c r="H2269" t="s" s="7">
        <v>14235</v>
      </c>
      <c r="I2269" t="str" s="8" cm="1">
        <f t="array" ref="I2269">SUBSTITUTE(H2269,B2269,"(          )")</f>
        <v>Tenants must (          ) the building during renovations.</v>
      </c>
      <c r="J2269" s="9" cm="1">
        <f t="array" ref="J2269">SUMIF('외운 것 - 엑셀다운로드 파일(붙여넣기)'!A3:A562,A2269,'외운 것 - 엑셀다운로드 파일(붙여넣기)'!D3:D562)</f>
        <v>0</v>
      </c>
      <c r="K2269" s="9" cm="1">
        <f t="array" ref="K2269">_xlfn.COUNTIFS('외운 것 - 엑셀다운로드 파일(붙여넣기)'!A3:A562,A2269,'외운 것 - 엑셀다운로드 파일(붙여넣기)'!D3:D562,0)</f>
        <v>0</v>
      </c>
      <c r="L2269" s="9" cm="1">
        <f t="array" ref="L2269">IF(J2269&gt;=3,_xlfn.XLOOKUP(A2269,'외운 것 - 엑셀다운로드 파일(붙여넣기)'!A3:A562,'외운 것 - 엑셀다운로드 파일(붙여넣기)'!C3:C562,0,-1),0)</f>
        <v>0</v>
      </c>
    </row>
    <row r="2270" ht="36.4" customHeight="1">
      <c r="A2270" s="3">
        <v>2269</v>
      </c>
      <c r="B2270" t="s" s="4">
        <v>14237</v>
      </c>
      <c r="C2270" t="s" s="5">
        <v>14238</v>
      </c>
      <c r="D2270" t="s" s="5">
        <v>14224</v>
      </c>
      <c r="E2270" t="s" s="5">
        <v>14239</v>
      </c>
      <c r="F2270" t="s" s="10">
        <v>14240</v>
      </c>
      <c r="G2270" t="s" s="7">
        <v>14241</v>
      </c>
      <c r="H2270" t="s" s="7">
        <v>14242</v>
      </c>
      <c r="I2270" t="str" s="8" cm="1">
        <f t="array" ref="I2270">SUBSTITUTE(H2270,B2270,"(          )")</f>
        <v>We're planning our summer (          ) to the beach.</v>
      </c>
      <c r="J2270" s="9" cm="1">
        <f t="array" ref="J2270">SUMIF('외운 것 - 엑셀다운로드 파일(붙여넣기)'!A3:A562,A2270,'외운 것 - 엑셀다운로드 파일(붙여넣기)'!D3:D562)</f>
        <v>0</v>
      </c>
      <c r="K2270" s="9" cm="1">
        <f t="array" ref="K2270">_xlfn.COUNTIFS('외운 것 - 엑셀다운로드 파일(붙여넣기)'!A3:A562,A2270,'외운 것 - 엑셀다운로드 파일(붙여넣기)'!D3:D562,0)</f>
        <v>0</v>
      </c>
      <c r="L2270" s="9" cm="1">
        <f t="array" ref="L2270">IF(J2270&gt;=3,_xlfn.XLOOKUP(A2270,'외운 것 - 엑셀다운로드 파일(붙여넣기)'!A3:A562,'외운 것 - 엑셀다운로드 파일(붙여넣기)'!C3:C562,0,-1),0)</f>
        <v>0</v>
      </c>
    </row>
    <row r="2271" ht="38.45" customHeight="1">
      <c r="A2271" s="3">
        <v>2270</v>
      </c>
      <c r="B2271" t="s" s="4">
        <v>14244</v>
      </c>
      <c r="C2271" t="s" s="5">
        <v>14224</v>
      </c>
      <c r="D2271" t="s" s="5">
        <v>14225</v>
      </c>
      <c r="E2271" t="s" s="5">
        <v>14245</v>
      </c>
      <c r="F2271" t="s" s="10">
        <v>14246</v>
      </c>
      <c r="G2271" t="s" s="7">
        <v>14247</v>
      </c>
      <c r="H2271" t="s" s="7">
        <v>14248</v>
      </c>
      <c r="I2271" t="str" s="8" cm="1">
        <f t="array" ref="I2271">SUBSTITUTE(H2271,B2271,"(          )")</f>
        <v>Use a (          ) to clean the carpet thoroughly.</v>
      </c>
      <c r="J2271" s="9" cm="1">
        <f t="array" ref="J2271">SUMIF('외운 것 - 엑셀다운로드 파일(붙여넣기)'!A3:A562,A2271,'외운 것 - 엑셀다운로드 파일(붙여넣기)'!D3:D562)</f>
        <v>0</v>
      </c>
      <c r="K2271" s="9" cm="1">
        <f t="array" ref="K2271">_xlfn.COUNTIFS('외운 것 - 엑셀다운로드 파일(붙여넣기)'!A3:A562,A2271,'외운 것 - 엑셀다운로드 파일(붙여넣기)'!D3:D562,0)</f>
        <v>0</v>
      </c>
      <c r="L2271" s="9" cm="1">
        <f t="array" ref="L2271">IF(J2271&gt;=3,_xlfn.XLOOKUP(A2271,'외운 것 - 엑셀다운로드 파일(붙여넣기)'!A3:A562,'외운 것 - 엑셀다운로드 파일(붙여넣기)'!C3:C562,0,-1),0)</f>
        <v>0</v>
      </c>
    </row>
    <row r="2272" ht="23.45" customHeight="1">
      <c r="A2272" s="3">
        <v>2271</v>
      </c>
      <c r="B2272" t="s" s="4">
        <v>14250</v>
      </c>
      <c r="C2272" t="s" s="5">
        <v>14224</v>
      </c>
      <c r="D2272" t="s" s="5">
        <v>14225</v>
      </c>
      <c r="E2272" t="s" s="5">
        <v>14251</v>
      </c>
      <c r="F2272" t="s" s="10">
        <v>14252</v>
      </c>
      <c r="G2272" t="s" s="7">
        <v>14253</v>
      </c>
      <c r="H2272" t="s" s="7">
        <v>14254</v>
      </c>
      <c r="I2272" t="str" s="8" cm="1">
        <f t="array" ref="I2272">SUBSTITUTE(H2272,B2272,"(          )")</f>
        <v>Children need (          )s to prevent diseases.</v>
      </c>
      <c r="J2272" s="9" cm="1">
        <f t="array" ref="J2272">SUMIF('외운 것 - 엑셀다운로드 파일(붙여넣기)'!A3:A562,A2272,'외운 것 - 엑셀다운로드 파일(붙여넣기)'!D3:D562)</f>
        <v>0</v>
      </c>
      <c r="K2272" s="9" cm="1">
        <f t="array" ref="K2272">_xlfn.COUNTIFS('외운 것 - 엑셀다운로드 파일(붙여넣기)'!A3:A562,A2272,'외운 것 - 엑셀다운로드 파일(붙여넣기)'!D3:D562,0)</f>
        <v>0</v>
      </c>
      <c r="L2272" s="9" cm="1">
        <f t="array" ref="L2272">IF(J2272&gt;=3,_xlfn.XLOOKUP(A2272,'외운 것 - 엑셀다운로드 파일(붙여넣기)'!A3:A562,'외운 것 - 엑셀다운로드 파일(붙여넣기)'!C3:C562,0,-1),0)</f>
        <v>0</v>
      </c>
    </row>
    <row r="2273" ht="38.45" customHeight="1">
      <c r="A2273" s="3">
        <v>2272</v>
      </c>
      <c r="B2273" t="s" s="4">
        <v>14256</v>
      </c>
      <c r="C2273" t="s" s="5">
        <v>14224</v>
      </c>
      <c r="D2273" t="s" s="5">
        <v>14225</v>
      </c>
      <c r="E2273" t="s" s="5">
        <v>14257</v>
      </c>
      <c r="F2273" t="s" s="10">
        <v>14258</v>
      </c>
      <c r="G2273" t="s" s="7">
        <v>14259</v>
      </c>
      <c r="H2273" t="s" s="7">
        <v>14260</v>
      </c>
      <c r="I2273" t="str" s="8" cm="1">
        <f t="array" ref="I2273">SUBSTITUTE(H2273,B2273,"(          )")</f>
        <v>People had to (          ) the building during the fire alarm.</v>
      </c>
      <c r="J2273" s="9" cm="1">
        <f t="array" ref="J2273">SUMIF('외운 것 - 엑셀다운로드 파일(붙여넣기)'!A3:A562,A2273,'외운 것 - 엑셀다운로드 파일(붙여넣기)'!D3:D562)</f>
        <v>0</v>
      </c>
      <c r="K2273" s="9" cm="1">
        <f t="array" ref="K2273">_xlfn.COUNTIFS('외운 것 - 엑셀다운로드 파일(붙여넣기)'!A3:A562,A2273,'외운 것 - 엑셀다운로드 파일(붙여넣기)'!D3:D562,0)</f>
        <v>0</v>
      </c>
      <c r="L2273" s="9" cm="1">
        <f t="array" ref="L2273">IF(J2273&gt;=3,_xlfn.XLOOKUP(A2273,'외운 것 - 엑셀다운로드 파일(붙여넣기)'!A3:A562,'외운 것 - 엑셀다운로드 파일(붙여넣기)'!C3:C562,0,-1),0)</f>
        <v>0</v>
      </c>
    </row>
    <row r="2274" ht="23.45" customHeight="1">
      <c r="A2274" s="3">
        <v>2273</v>
      </c>
      <c r="B2274" t="s" s="4">
        <v>14262</v>
      </c>
      <c r="C2274" t="s" s="5">
        <v>14224</v>
      </c>
      <c r="D2274" t="s" s="5">
        <v>14225</v>
      </c>
      <c r="E2274" t="s" s="5">
        <v>14263</v>
      </c>
      <c r="F2274" t="s" s="10">
        <v>14264</v>
      </c>
      <c r="G2274" t="s" s="7">
        <v>14265</v>
      </c>
      <c r="H2274" t="s" s="7">
        <v>14266</v>
      </c>
      <c r="I2274" t="str" s="8" cm="1">
        <f t="array" ref="I2274">SUBSTITUTE(H2274,B2274,"(          )")</f>
        <v>The (          ) plan should be posted in every room.</v>
      </c>
      <c r="J2274" s="9" cm="1">
        <f t="array" ref="J2274">SUMIF('외운 것 - 엑셀다운로드 파일(붙여넣기)'!A3:A562,A2274,'외운 것 - 엑셀다운로드 파일(붙여넣기)'!D3:D562)</f>
        <v>0</v>
      </c>
      <c r="K2274" s="9" cm="1">
        <f t="array" ref="K2274">_xlfn.COUNTIFS('외운 것 - 엑셀다운로드 파일(붙여넣기)'!A3:A562,A2274,'외운 것 - 엑셀다운로드 파일(붙여넣기)'!D3:D562,0)</f>
        <v>0</v>
      </c>
      <c r="L2274" s="9" cm="1">
        <f t="array" ref="L2274">IF(J2274&gt;=3,_xlfn.XLOOKUP(A2274,'외운 것 - 엑셀다운로드 파일(붙여넣기)'!A3:A562,'외운 것 - 엑셀다운로드 파일(붙여넣기)'!C3:C562,0,-1),0)</f>
        <v>0</v>
      </c>
    </row>
    <row r="2275" ht="23.45" customHeight="1">
      <c r="A2275" s="3">
        <v>2274</v>
      </c>
      <c r="B2275" t="s" s="4">
        <v>14268</v>
      </c>
      <c r="C2275" t="s" s="5">
        <v>14269</v>
      </c>
      <c r="D2275" t="s" s="5">
        <v>14270</v>
      </c>
      <c r="E2275" t="s" s="5">
        <v>14271</v>
      </c>
      <c r="F2275" t="s" s="10">
        <v>14272</v>
      </c>
      <c r="G2275" t="s" s="7">
        <v>14273</v>
      </c>
      <c r="H2275" t="s" s="7">
        <v>14274</v>
      </c>
      <c r="I2275" t="str" s="8" cm="1">
        <f t="array" ref="I2275">SUBSTITUTE(H2275,B2275,"(          )")</f>
        <v>The army will (          ) the neighboring country.</v>
      </c>
      <c r="J2275" s="9" cm="1">
        <f t="array" ref="J2275">SUMIF('외운 것 - 엑셀다운로드 파일(붙여넣기)'!A3:A562,A2275,'외운 것 - 엑셀다운로드 파일(붙여넣기)'!D3:D562)</f>
        <v>0</v>
      </c>
      <c r="K2275" s="9" cm="1">
        <f t="array" ref="K2275">_xlfn.COUNTIFS('외운 것 - 엑셀다운로드 파일(붙여넣기)'!A3:A562,A2275,'외운 것 - 엑셀다운로드 파일(붙여넣기)'!D3:D562,0)</f>
        <v>0</v>
      </c>
      <c r="L2275" s="9" cm="1">
        <f t="array" ref="L2275">IF(J2275&gt;=3,_xlfn.XLOOKUP(A2275,'외운 것 - 엑셀다운로드 파일(붙여넣기)'!A3:A562,'외운 것 - 엑셀다운로드 파일(붙여넣기)'!C3:C562,0,-1),0)</f>
        <v>0</v>
      </c>
    </row>
    <row r="2276" ht="38.45" customHeight="1">
      <c r="A2276" s="3">
        <v>2275</v>
      </c>
      <c r="B2276" t="s" s="4">
        <v>14276</v>
      </c>
      <c r="C2276" t="s" s="5">
        <v>14269</v>
      </c>
      <c r="D2276" t="s" s="5">
        <v>14270</v>
      </c>
      <c r="E2276" t="s" s="5">
        <v>14277</v>
      </c>
      <c r="F2276" t="s" s="10">
        <v>14278</v>
      </c>
      <c r="G2276" t="s" s="7">
        <v>14279</v>
      </c>
      <c r="H2276" t="s" s="7">
        <v>14280</v>
      </c>
      <c r="I2276" t="str" s="8" cm="1">
        <f t="array" ref="I2276">SUBSTITUTE(H2276,B2276,"(          )")</f>
        <v>The suspect tried to (          ) the police.</v>
      </c>
      <c r="J2276" s="9" cm="1">
        <f t="array" ref="J2276">SUMIF('외운 것 - 엑셀다운로드 파일(붙여넣기)'!A3:A562,A2276,'외운 것 - 엑셀다운로드 파일(붙여넣기)'!D3:D562)</f>
        <v>0</v>
      </c>
      <c r="K2276" s="9" cm="1">
        <f t="array" ref="K2276">_xlfn.COUNTIFS('외운 것 - 엑셀다운로드 파일(붙여넣기)'!A3:A562,A2276,'외운 것 - 엑셀다운로드 파일(붙여넣기)'!D3:D562,0)</f>
        <v>0</v>
      </c>
      <c r="L2276" s="9" cm="1">
        <f t="array" ref="L2276">IF(J2276&gt;=3,_xlfn.XLOOKUP(A2276,'외운 것 - 엑셀다운로드 파일(붙여넣기)'!A3:A562,'외운 것 - 엑셀다운로드 파일(붙여넣기)'!C3:C562,0,-1),0)</f>
        <v>0</v>
      </c>
    </row>
    <row r="2277" ht="38.45" customHeight="1">
      <c r="A2277" s="3">
        <v>2276</v>
      </c>
      <c r="B2277" t="s" s="4">
        <v>14282</v>
      </c>
      <c r="C2277" t="s" s="5">
        <v>14269</v>
      </c>
      <c r="D2277" t="s" s="5">
        <v>14270</v>
      </c>
      <c r="E2277" t="s" s="5">
        <v>14283</v>
      </c>
      <c r="F2277" t="s" s="10">
        <v>14284</v>
      </c>
      <c r="G2277" t="s" s="7">
        <v>14285</v>
      </c>
      <c r="H2277" t="s" s="7">
        <v>14286</v>
      </c>
      <c r="I2277" t="str" s="8" cm="1">
        <f t="array" ref="I2277">SUBSTITUTE(H2277,B2277,"(          )")</f>
        <v>A sense of excitement (          )s the air before the holiday.</v>
      </c>
      <c r="J2277" s="9" cm="1">
        <f t="array" ref="J2277">SUMIF('외운 것 - 엑셀다운로드 파일(붙여넣기)'!A3:A562,A2277,'외운 것 - 엑셀다운로드 파일(붙여넣기)'!D3:D562)</f>
        <v>0</v>
      </c>
      <c r="K2277" s="9" cm="1">
        <f t="array" ref="K2277">_xlfn.COUNTIFS('외운 것 - 엑셀다운로드 파일(붙여넣기)'!A3:A562,A2277,'외운 것 - 엑셀다운로드 파일(붙여넣기)'!D3:D562,0)</f>
        <v>0</v>
      </c>
      <c r="L2277" s="9" cm="1">
        <f t="array" ref="L2277">IF(J2277&gt;=3,_xlfn.XLOOKUP(A2277,'외운 것 - 엑셀다운로드 파일(붙여넣기)'!A3:A562,'외운 것 - 엑셀다운로드 파일(붙여넣기)'!C3:C562,0,-1),0)</f>
        <v>0</v>
      </c>
    </row>
    <row r="2278" ht="38.45" customHeight="1">
      <c r="A2278" s="3">
        <v>2277</v>
      </c>
      <c r="B2278" t="s" s="4">
        <v>14288</v>
      </c>
      <c r="C2278" t="s" s="5">
        <v>14288</v>
      </c>
      <c r="D2278" t="s" s="5">
        <v>14289</v>
      </c>
      <c r="E2278" t="s" s="5">
        <v>14290</v>
      </c>
      <c r="F2278" t="s" s="10">
        <v>14291</v>
      </c>
      <c r="G2278" t="s" s="7">
        <v>14292</v>
      </c>
      <c r="H2278" t="s" s="7">
        <v>14293</v>
      </c>
      <c r="I2278" t="str" s="8" cm="1">
        <f t="array" ref="I2278">SUBSTITUTE(H2278,B2278,"(          )")</f>
        <v>The delivery (          ) will arrive between 2 and 4 PM.</v>
      </c>
      <c r="J2278" s="9" cm="1">
        <f t="array" ref="J2278">SUMIF('외운 것 - 엑셀다운로드 파일(붙여넣기)'!A3:A562,A2278,'외운 것 - 엑셀다운로드 파일(붙여넣기)'!D3:D562)</f>
        <v>0</v>
      </c>
      <c r="K2278" s="9" cm="1">
        <f t="array" ref="K2278">_xlfn.COUNTIFS('외운 것 - 엑셀다운로드 파일(붙여넣기)'!A3:A562,A2278,'외운 것 - 엑셀다운로드 파일(붙여넣기)'!D3:D562,0)</f>
        <v>0</v>
      </c>
      <c r="L2278" s="9" cm="1">
        <f t="array" ref="L2278">IF(J2278&gt;=3,_xlfn.XLOOKUP(A2278,'외운 것 - 엑셀다운로드 파일(붙여넣기)'!A3:A562,'외운 것 - 엑셀다운로드 파일(붙여넣기)'!C3:C562,0,-1),0)</f>
        <v>0</v>
      </c>
    </row>
    <row r="2279" ht="38.45" customHeight="1">
      <c r="A2279" s="3">
        <v>2278</v>
      </c>
      <c r="B2279" t="s" s="4">
        <v>14295</v>
      </c>
      <c r="C2279" t="s" s="5">
        <v>14288</v>
      </c>
      <c r="D2279" t="s" s="5">
        <v>14289</v>
      </c>
      <c r="E2279" t="s" s="5">
        <v>12924</v>
      </c>
      <c r="F2279" t="s" s="10">
        <v>14296</v>
      </c>
      <c r="G2279" t="s" s="7">
        <v>14297</v>
      </c>
      <c r="H2279" t="s" s="7">
        <v>14298</v>
      </c>
      <c r="I2279" t="str" s="8" cm="1">
        <f t="array" ref="I2279">SUBSTITUTE(H2279,B2279,"(          )")</f>
        <v>The wind (          ) shows which way the wind is blowing.</v>
      </c>
      <c r="J2279" s="9" cm="1">
        <f t="array" ref="J2279">SUMIF('외운 것 - 엑셀다운로드 파일(붙여넣기)'!A3:A562,A2279,'외운 것 - 엑셀다운로드 파일(붙여넣기)'!D3:D562)</f>
        <v>0</v>
      </c>
      <c r="K2279" s="9" cm="1">
        <f t="array" ref="K2279">_xlfn.COUNTIFS('외운 것 - 엑셀다운로드 파일(붙여넣기)'!A3:A562,A2279,'외운 것 - 엑셀다운로드 파일(붙여넣기)'!D3:D562,0)</f>
        <v>0</v>
      </c>
      <c r="L2279" s="9" cm="1">
        <f t="array" ref="L2279">IF(J2279&gt;=3,_xlfn.XLOOKUP(A2279,'외운 것 - 엑셀다운로드 파일(붙여넣기)'!A3:A562,'외운 것 - 엑셀다운로드 파일(붙여넣기)'!C3:C562,0,-1),0)</f>
        <v>0</v>
      </c>
    </row>
    <row r="2280" ht="23.45" customHeight="1">
      <c r="A2280" s="3">
        <v>2279</v>
      </c>
      <c r="B2280" t="s" s="4">
        <v>14300</v>
      </c>
      <c r="C2280" t="s" s="5">
        <v>14288</v>
      </c>
      <c r="D2280" t="s" s="5">
        <v>14289</v>
      </c>
      <c r="E2280" t="s" s="5">
        <v>12924</v>
      </c>
      <c r="F2280" t="s" s="10">
        <v>14301</v>
      </c>
      <c r="G2280" t="s" s="7">
        <v>14302</v>
      </c>
      <c r="H2280" t="s" s="7">
        <v>14303</v>
      </c>
      <c r="I2280" t="str" s="8" cm="1">
        <f t="array" ref="I2280">SUBSTITUTE(H2280,B2280,"(          )")</f>
        <v>Their attempts to solve the problem were in (          ).</v>
      </c>
      <c r="J2280" s="9" cm="1">
        <f t="array" ref="J2280">SUMIF('외운 것 - 엑셀다운로드 파일(붙여넣기)'!A3:A562,A2280,'외운 것 - 엑셀다운로드 파일(붙여넣기)'!D3:D562)</f>
        <v>0</v>
      </c>
      <c r="K2280" s="9" cm="1">
        <f t="array" ref="K2280">_xlfn.COUNTIFS('외운 것 - 엑셀다운로드 파일(붙여넣기)'!A3:A562,A2280,'외운 것 - 엑셀다운로드 파일(붙여넣기)'!D3:D562,0)</f>
        <v>0</v>
      </c>
      <c r="L2280" s="9" cm="1">
        <f t="array" ref="L2280">IF(J2280&gt;=3,_xlfn.XLOOKUP(A2280,'외운 것 - 엑셀다운로드 파일(붙여넣기)'!A3:A562,'외운 것 - 엑셀다운로드 파일(붙여넣기)'!C3:C562,0,-1),0)</f>
        <v>0</v>
      </c>
    </row>
    <row r="2281" ht="23.45" customHeight="1">
      <c r="A2281" s="3">
        <v>2280</v>
      </c>
      <c r="B2281" t="s" s="4">
        <v>14305</v>
      </c>
      <c r="C2281" t="s" s="5">
        <v>14288</v>
      </c>
      <c r="D2281" t="s" s="5">
        <v>14289</v>
      </c>
      <c r="E2281" t="s" s="5">
        <v>14306</v>
      </c>
      <c r="F2281" t="s" s="10">
        <v>14307</v>
      </c>
      <c r="G2281" t="s" s="7">
        <v>14308</v>
      </c>
      <c r="H2281" t="s" s="7">
        <v>14309</v>
      </c>
      <c r="I2281" t="str" s="8" cm="1">
        <f t="array" ref="I2281">SUBSTITUTE(H2281,B2281,"(          )")</f>
        <v>The magician made the rabbit (          ).</v>
      </c>
      <c r="J2281" s="9" cm="1">
        <f t="array" ref="J2281">SUMIF('외운 것 - 엑셀다운로드 파일(붙여넣기)'!A3:A562,A2281,'외운 것 - 엑셀다운로드 파일(붙여넣기)'!D3:D562)</f>
        <v>0</v>
      </c>
      <c r="K2281" s="9" cm="1">
        <f t="array" ref="K2281">_xlfn.COUNTIFS('외운 것 - 엑셀다운로드 파일(붙여넣기)'!A3:A562,A2281,'외운 것 - 엑셀다운로드 파일(붙여넣기)'!D3:D562,0)</f>
        <v>0</v>
      </c>
      <c r="L2281" s="9" cm="1">
        <f t="array" ref="L2281">IF(J2281&gt;=3,_xlfn.XLOOKUP(A2281,'외운 것 - 엑셀다운로드 파일(붙여넣기)'!A3:A562,'외운 것 - 엑셀다운로드 파일(붙여넣기)'!C3:C562,0,-1),0)</f>
        <v>0</v>
      </c>
    </row>
    <row r="2282" ht="23.45" customHeight="1">
      <c r="A2282" s="3">
        <v>2281</v>
      </c>
      <c r="B2282" t="s" s="4">
        <v>14310</v>
      </c>
      <c r="C2282" t="s" s="5">
        <v>14288</v>
      </c>
      <c r="D2282" t="s" s="5">
        <v>14289</v>
      </c>
      <c r="E2282" t="s" s="5">
        <v>14311</v>
      </c>
      <c r="F2282" t="s" s="10">
        <v>14312</v>
      </c>
      <c r="G2282" t="s" s="7">
        <v>14313</v>
      </c>
      <c r="H2282" t="s" s="7">
        <v>14314</v>
      </c>
      <c r="I2282" t="str" s="8" cm="1">
        <f t="array" ref="I2282">SUBSTITUTE(H2282,B2282,"(          )")</f>
        <v>His (          ) makes him spend hours in front of the mirror.</v>
      </c>
      <c r="J2282" s="9" cm="1">
        <f t="array" ref="J2282">SUMIF('외운 것 - 엑셀다운로드 파일(붙여넣기)'!A3:A562,A2282,'외운 것 - 엑셀다운로드 파일(붙여넣기)'!D3:D562)</f>
        <v>0</v>
      </c>
      <c r="K2282" s="9" cm="1">
        <f t="array" ref="K2282">_xlfn.COUNTIFS('외운 것 - 엑셀다운로드 파일(붙여넣기)'!A3:A562,A2282,'외운 것 - 엑셀다운로드 파일(붙여넣기)'!D3:D562,0)</f>
        <v>0</v>
      </c>
      <c r="L2282" s="9" cm="1">
        <f t="array" ref="L2282">IF(J2282&gt;=3,_xlfn.XLOOKUP(A2282,'외운 것 - 엑셀다운로드 파일(붙여넣기)'!A3:A562,'외운 것 - 엑셀다운로드 파일(붙여넣기)'!C3:C562,0,-1),0)</f>
        <v>0</v>
      </c>
    </row>
    <row r="2283" ht="38.45" customHeight="1">
      <c r="A2283" s="3">
        <v>2282</v>
      </c>
      <c r="B2283" t="s" s="4">
        <v>14316</v>
      </c>
      <c r="C2283" t="s" s="5">
        <v>14288</v>
      </c>
      <c r="D2283" t="s" s="5">
        <v>14289</v>
      </c>
      <c r="E2283" t="s" s="5">
        <v>14317</v>
      </c>
      <c r="F2283" t="s" s="10">
        <v>14318</v>
      </c>
      <c r="G2283" t="s" s="7">
        <v>14319</v>
      </c>
      <c r="H2283" t="s" s="7">
        <v>14320</v>
      </c>
      <c r="I2283" t="str" s="8" cm="1">
        <f t="array" ref="I2283">SUBSTITUTE(H2283,B2283,"(          )")</f>
        <v>Technology continues to (          ) at a rapid pace.</v>
      </c>
      <c r="J2283" s="9" cm="1">
        <f t="array" ref="J2283">SUMIF('외운 것 - 엑셀다운로드 파일(붙여넣기)'!A3:A562,A2283,'외운 것 - 엑셀다운로드 파일(붙여넣기)'!D3:D562)</f>
        <v>0</v>
      </c>
      <c r="K2283" s="9" cm="1">
        <f t="array" ref="K2283">_xlfn.COUNTIFS('외운 것 - 엑셀다운로드 파일(붙여넣기)'!A3:A562,A2283,'외운 것 - 엑셀다운로드 파일(붙여넣기)'!D3:D562,0)</f>
        <v>0</v>
      </c>
      <c r="L2283" s="9" cm="1">
        <f t="array" ref="L2283">IF(J2283&gt;=3,_xlfn.XLOOKUP(A2283,'외운 것 - 엑셀다운로드 파일(붙여넣기)'!A3:A562,'외운 것 - 엑셀다운로드 파일(붙여넣기)'!C3:C562,0,-1),0)</f>
        <v>0</v>
      </c>
    </row>
    <row r="2284" ht="38.45" customHeight="1">
      <c r="A2284" s="3">
        <v>2283</v>
      </c>
      <c r="B2284" t="s" s="4">
        <v>14322</v>
      </c>
      <c r="C2284" t="s" s="5">
        <v>14323</v>
      </c>
      <c r="D2284" t="s" s="5">
        <v>14288</v>
      </c>
      <c r="E2284" t="s" s="5">
        <v>14324</v>
      </c>
      <c r="F2284" t="s" s="10">
        <v>14325</v>
      </c>
      <c r="G2284" t="s" s="7">
        <v>14326</v>
      </c>
      <c r="H2284" t="s" s="7">
        <v>14327</v>
      </c>
      <c r="I2284" t="str" s="8" cm="1">
        <f t="array" ref="I2284">SUBSTITUTE(H2284,B2284,"(          )")</f>
        <v>Knowledge of multiple languages gives you an (          ) in business.</v>
      </c>
      <c r="J2284" s="9" cm="1">
        <f t="array" ref="J2284">SUMIF('외운 것 - 엑셀다운로드 파일(붙여넣기)'!A3:A562,A2284,'외운 것 - 엑셀다운로드 파일(붙여넣기)'!D3:D562)</f>
        <v>0</v>
      </c>
      <c r="K2284" s="9" cm="1">
        <f t="array" ref="K2284">_xlfn.COUNTIFS('외운 것 - 엑셀다운로드 파일(붙여넣기)'!A3:A562,A2284,'외운 것 - 엑셀다운로드 파일(붙여넣기)'!D3:D562,0)</f>
        <v>0</v>
      </c>
      <c r="L2284" s="9" cm="1">
        <f t="array" ref="L2284">IF(J2284&gt;=3,_xlfn.XLOOKUP(A2284,'외운 것 - 엑셀다운로드 파일(붙여넣기)'!A3:A562,'외운 것 - 엑셀다운로드 파일(붙여넣기)'!C3:C562,0,-1),0)</f>
        <v>0</v>
      </c>
    </row>
    <row r="2285" ht="50.45" customHeight="1">
      <c r="A2285" s="3">
        <v>2284</v>
      </c>
      <c r="B2285" t="s" s="4">
        <v>14329</v>
      </c>
      <c r="C2285" t="s" s="5">
        <v>14330</v>
      </c>
      <c r="D2285" t="s" s="5">
        <v>14288</v>
      </c>
      <c r="E2285" t="s" s="5">
        <v>14331</v>
      </c>
      <c r="F2285" t="s" s="10">
        <v>14332</v>
      </c>
      <c r="G2285" t="s" s="7">
        <v>14333</v>
      </c>
      <c r="H2285" t="s" s="7">
        <v>14334</v>
      </c>
      <c r="I2285" t="str" s="8" cm="1">
        <f t="array" ref="I2285">SUBSTITUTE(H2285,B2285,"(          )")</f>
        <v>Being far from public transportation is a (          ).</v>
      </c>
      <c r="J2285" s="9" cm="1">
        <f t="array" ref="J2285">SUMIF('외운 것 - 엑셀다운로드 파일(붙여넣기)'!A3:A562,A2285,'외운 것 - 엑셀다운로드 파일(붙여넣기)'!D3:D562)</f>
        <v>0</v>
      </c>
      <c r="K2285" s="9" cm="1">
        <f t="array" ref="K2285">_xlfn.COUNTIFS('외운 것 - 엑셀다운로드 파일(붙여넣기)'!A3:A562,A2285,'외운 것 - 엑셀다운로드 파일(붙여넣기)'!D3:D562,0)</f>
        <v>0</v>
      </c>
      <c r="L2285" s="9" cm="1">
        <f t="array" ref="L2285">IF(J2285&gt;=3,_xlfn.XLOOKUP(A2285,'외운 것 - 엑셀다운로드 파일(붙여넣기)'!A3:A562,'외운 것 - 엑셀다운로드 파일(붙여넣기)'!C3:C562,0,-1),0)</f>
        <v>0</v>
      </c>
    </row>
    <row r="2286" ht="23.45" customHeight="1">
      <c r="A2286" s="3">
        <v>2285</v>
      </c>
      <c r="B2286" t="s" s="4">
        <v>14336</v>
      </c>
      <c r="C2286" t="s" s="5">
        <v>14337</v>
      </c>
      <c r="D2286" t="s" s="5">
        <v>14338</v>
      </c>
      <c r="E2286" t="s" s="5">
        <v>14339</v>
      </c>
      <c r="F2286" t="s" s="10">
        <v>14340</v>
      </c>
      <c r="G2286" t="s" s="7">
        <v>14341</v>
      </c>
      <c r="H2286" t="s" s="7">
        <v>14342</v>
      </c>
      <c r="I2286" t="str" s="8" cm="1">
        <f t="array" ref="I2286">SUBSTITUTE(H2286,B2286,"(          )")</f>
        <v>The wedding (          ) accommodates up to 200 guests.</v>
      </c>
      <c r="J2286" s="9" cm="1">
        <f t="array" ref="J2286">SUMIF('외운 것 - 엑셀다운로드 파일(붙여넣기)'!A3:A562,A2286,'외운 것 - 엑셀다운로드 파일(붙여넣기)'!D3:D562)</f>
        <v>0</v>
      </c>
      <c r="K2286" s="9" cm="1">
        <f t="array" ref="K2286">_xlfn.COUNTIFS('외운 것 - 엑셀다운로드 파일(붙여넣기)'!A3:A562,A2286,'외운 것 - 엑셀다운로드 파일(붙여넣기)'!D3:D562,0)</f>
        <v>0</v>
      </c>
      <c r="L2286" s="9" cm="1">
        <f t="array" ref="L2286">IF(J2286&gt;=3,_xlfn.XLOOKUP(A2286,'외운 것 - 엑셀다운로드 파일(붙여넣기)'!A3:A562,'외운 것 - 엑셀다운로드 파일(붙여넣기)'!C3:C562,0,-1),0)</f>
        <v>0</v>
      </c>
    </row>
    <row r="2287" ht="36.4" customHeight="1">
      <c r="A2287" s="3">
        <v>2286</v>
      </c>
      <c r="B2287" t="s" s="4">
        <v>14344</v>
      </c>
      <c r="C2287" t="s" s="5">
        <v>14345</v>
      </c>
      <c r="D2287" t="s" s="5">
        <v>14337</v>
      </c>
      <c r="E2287" t="s" s="5">
        <v>14346</v>
      </c>
      <c r="F2287" t="s" s="10">
        <v>14347</v>
      </c>
      <c r="G2287" t="s" s="7">
        <v>14348</v>
      </c>
      <c r="H2287" t="s" s="7">
        <v>14349</v>
      </c>
      <c r="I2287" t="str" s="8" cm="1">
        <f t="array" ref="I2287">SUBSTITUTE(H2287,B2287,"(          )")</f>
        <v>The parade will go down Fifth Avenue.</v>
      </c>
      <c r="J2287" s="9" cm="1">
        <f t="array" ref="J2287">SUMIF('외운 것 - 엑셀다운로드 파일(붙여넣기)'!A3:A562,A2287,'외운 것 - 엑셀다운로드 파일(붙여넣기)'!D3:D562)</f>
        <v>0</v>
      </c>
      <c r="K2287" s="9" cm="1">
        <f t="array" ref="K2287">_xlfn.COUNTIFS('외운 것 - 엑셀다운로드 파일(붙여넣기)'!A3:A562,A2287,'외운 것 - 엑셀다운로드 파일(붙여넣기)'!D3:D562,0)</f>
        <v>0</v>
      </c>
      <c r="L2287" s="9" cm="1">
        <f t="array" ref="L2287">IF(J2287&gt;=3,_xlfn.XLOOKUP(A2287,'외운 것 - 엑셀다운로드 파일(붙여넣기)'!A3:A562,'외운 것 - 엑셀다운로드 파일(붙여넣기)'!C3:C562,0,-1),0)</f>
        <v>0</v>
      </c>
    </row>
    <row r="2288" ht="38.45" customHeight="1">
      <c r="A2288" s="3">
        <v>2287</v>
      </c>
      <c r="B2288" t="s" s="4">
        <v>14351</v>
      </c>
      <c r="C2288" t="s" s="5">
        <v>14337</v>
      </c>
      <c r="D2288" t="s" s="5">
        <v>14338</v>
      </c>
      <c r="E2288" t="s" s="5">
        <v>14352</v>
      </c>
      <c r="F2288" t="s" s="10">
        <v>14353</v>
      </c>
      <c r="G2288" t="s" s="7">
        <v>14354</v>
      </c>
      <c r="H2288" t="s" s="7">
        <v>14355</v>
      </c>
      <c r="I2288" t="str" s="8" cm="1">
        <f t="array" ref="I2288">SUBSTITUTE(H2288,B2288,"(          )")</f>
        <v>The board will (          ) for an emergency meeting tomorrow.</v>
      </c>
      <c r="J2288" s="9" cm="1">
        <f t="array" ref="J2288">SUMIF('외운 것 - 엑셀다운로드 파일(붙여넣기)'!A3:A562,A2288,'외운 것 - 엑셀다운로드 파일(붙여넣기)'!D3:D562)</f>
        <v>0</v>
      </c>
      <c r="K2288" s="9" cm="1">
        <f t="array" ref="K2288">_xlfn.COUNTIFS('외운 것 - 엑셀다운로드 파일(붙여넣기)'!A3:A562,A2288,'외운 것 - 엑셀다운로드 파일(붙여넣기)'!D3:D562,0)</f>
        <v>0</v>
      </c>
      <c r="L2288" s="9" cm="1">
        <f t="array" ref="L2288">IF(J2288&gt;=3,_xlfn.XLOOKUP(A2288,'외운 것 - 엑셀다운로드 파일(붙여넣기)'!A3:A562,'외운 것 - 엑셀다운로드 파일(붙여넣기)'!C3:C562,0,-1),0)</f>
        <v>0</v>
      </c>
    </row>
    <row r="2289" ht="38.45" customHeight="1">
      <c r="A2289" s="3">
        <v>2288</v>
      </c>
      <c r="B2289" t="s" s="4">
        <v>14357</v>
      </c>
      <c r="C2289" t="s" s="5">
        <v>14358</v>
      </c>
      <c r="D2289" t="s" s="5">
        <v>14337</v>
      </c>
      <c r="E2289" t="s" s="5">
        <v>14359</v>
      </c>
      <c r="F2289" t="s" s="10">
        <v>14360</v>
      </c>
      <c r="G2289" t="s" s="7">
        <v>14361</v>
      </c>
      <c r="H2289" t="s" s="7">
        <v>14362</v>
      </c>
      <c r="I2289" t="str" s="8" cm="1">
        <f t="array" ref="I2289">SUBSTITUTE(H2289,B2289,"(          )")</f>
        <v>The annual (          ) attracts thousands of industry professionals.</v>
      </c>
      <c r="J2289" s="9" cm="1">
        <f t="array" ref="J2289">SUMIF('외운 것 - 엑셀다운로드 파일(붙여넣기)'!A3:A562,A2289,'외운 것 - 엑셀다운로드 파일(붙여넣기)'!D3:D562)</f>
        <v>0</v>
      </c>
      <c r="K2289" s="9" cm="1">
        <f t="array" ref="K2289">_xlfn.COUNTIFS('외운 것 - 엑셀다운로드 파일(붙여넣기)'!A3:A562,A2289,'외운 것 - 엑셀다운로드 파일(붙여넣기)'!D3:D562,0)</f>
        <v>0</v>
      </c>
      <c r="L2289" s="9" cm="1">
        <f t="array" ref="L2289">IF(J2289&gt;=3,_xlfn.XLOOKUP(A2289,'외운 것 - 엑셀다운로드 파일(붙여넣기)'!A3:A562,'외운 것 - 엑셀다운로드 파일(붙여넣기)'!C3:C562,0,-1),0)</f>
        <v>0</v>
      </c>
    </row>
    <row r="2290" ht="38.45" customHeight="1">
      <c r="A2290" s="3">
        <v>2289</v>
      </c>
      <c r="B2290" t="s" s="4">
        <v>14364</v>
      </c>
      <c r="C2290" t="s" s="5">
        <v>14365</v>
      </c>
      <c r="D2290" t="s" s="5">
        <v>14366</v>
      </c>
      <c r="E2290" t="s" s="5">
        <v>14367</v>
      </c>
      <c r="F2290" t="s" s="10">
        <v>14368</v>
      </c>
      <c r="G2290" t="s" s="7">
        <v>14369</v>
      </c>
      <c r="H2290" t="s" s="7">
        <v>14370</v>
      </c>
      <c r="I2290" t="str" s="8" cm="1">
        <f t="array" ref="I2290">SUBSTITUTE(H2290,B2290,"(          )")</f>
        <v>They chose a (          ) approach rather than experimenting.</v>
      </c>
      <c r="J2290" s="9" cm="1">
        <f t="array" ref="J2290">SUMIF('외운 것 - 엑셀다운로드 파일(붙여넣기)'!A3:A562,A2290,'외운 것 - 엑셀다운로드 파일(붙여넣기)'!D3:D562)</f>
        <v>0</v>
      </c>
      <c r="K2290" s="9" cm="1">
        <f t="array" ref="K2290">_xlfn.COUNTIFS('외운 것 - 엑셀다운로드 파일(붙여넣기)'!A3:A562,A2290,'외운 것 - 엑셀다운로드 파일(붙여넣기)'!D3:D562,0)</f>
        <v>0</v>
      </c>
      <c r="L2290" s="9" cm="1">
        <f t="array" ref="L2290">IF(J2290&gt;=3,_xlfn.XLOOKUP(A2290,'외운 것 - 엑셀다운로드 파일(붙여넣기)'!A3:A562,'외운 것 - 엑셀다운로드 파일(붙여넣기)'!C3:C562,0,-1),0)</f>
        <v>0</v>
      </c>
    </row>
    <row r="2291" ht="38.45" customHeight="1">
      <c r="A2291" s="3">
        <v>2290</v>
      </c>
      <c r="B2291" t="s" s="4">
        <v>14372</v>
      </c>
      <c r="C2291" t="s" s="5">
        <v>14337</v>
      </c>
      <c r="D2291" t="s" s="5">
        <v>14338</v>
      </c>
      <c r="E2291" t="s" s="5">
        <v>14373</v>
      </c>
      <c r="F2291" t="s" s="10">
        <v>14374</v>
      </c>
      <c r="G2291" t="s" s="7">
        <v>14375</v>
      </c>
      <c r="H2291" t="s" s="7">
        <v>14376</v>
      </c>
      <c r="I2291" t="str" s="8" cm="1">
        <f t="array" ref="I2291">SUBSTITUTE(H2291,B2291,"(          )")</f>
        <v>The store's location is (          ) for neighborhood residents.</v>
      </c>
      <c r="J2291" s="9" cm="1">
        <f t="array" ref="J2291">SUMIF('외운 것 - 엑셀다운로드 파일(붙여넣기)'!A3:A562,A2291,'외운 것 - 엑셀다운로드 파일(붙여넣기)'!D3:D562)</f>
        <v>0</v>
      </c>
      <c r="K2291" s="9" cm="1">
        <f t="array" ref="K2291">_xlfn.COUNTIFS('외운 것 - 엑셀다운로드 파일(붙여넣기)'!A3:A562,A2291,'외운 것 - 엑셀다운로드 파일(붙여넣기)'!D3:D562,0)</f>
        <v>0</v>
      </c>
      <c r="L2291" s="9" cm="1">
        <f t="array" ref="L2291">IF(J2291&gt;=3,_xlfn.XLOOKUP(A2291,'외운 것 - 엑셀다운로드 파일(붙여넣기)'!A3:A562,'외운 것 - 엑셀다운로드 파일(붙여넣기)'!C3:C562,0,-1),0)</f>
        <v>0</v>
      </c>
    </row>
    <row r="2292" ht="36.4" customHeight="1">
      <c r="A2292" s="3">
        <v>2291</v>
      </c>
      <c r="B2292" t="s" s="4">
        <v>14378</v>
      </c>
      <c r="C2292" t="s" s="5">
        <v>14345</v>
      </c>
      <c r="D2292" t="s" s="5">
        <v>14337</v>
      </c>
      <c r="E2292" t="s" s="5">
        <v>14379</v>
      </c>
      <c r="F2292" t="s" s="10">
        <v>14380</v>
      </c>
      <c r="G2292" t="s" s="7">
        <v>14381</v>
      </c>
      <c r="H2292" t="s" s="7">
        <v>14382</v>
      </c>
      <c r="I2292" t="str" s="8" cm="1">
        <f t="array" ref="I2292">SUBSTITUTE(H2292,B2292,"(          )")</f>
        <v>I bought a (          ) to remember my trip to Paris.</v>
      </c>
      <c r="J2292" s="9" cm="1">
        <f t="array" ref="J2292">SUMIF('외운 것 - 엑셀다운로드 파일(붙여넣기)'!A3:A562,A2292,'외운 것 - 엑셀다운로드 파일(붙여넣기)'!D3:D562)</f>
        <v>0</v>
      </c>
      <c r="K2292" s="9" cm="1">
        <f t="array" ref="K2292">_xlfn.COUNTIFS('외운 것 - 엑셀다운로드 파일(붙여넣기)'!A3:A562,A2292,'외운 것 - 엑셀다운로드 파일(붙여넣기)'!D3:D562,0)</f>
        <v>0</v>
      </c>
      <c r="L2292" s="9" cm="1">
        <f t="array" ref="L2292">IF(J2292&gt;=3,_xlfn.XLOOKUP(A2292,'외운 것 - 엑셀다운로드 파일(붙여넣기)'!A3:A562,'외운 것 - 엑셀다운로드 파일(붙여넣기)'!C3:C562,0,-1),0)</f>
        <v>0</v>
      </c>
    </row>
    <row r="2293" ht="38.45" customHeight="1">
      <c r="A2293" s="3">
        <v>2292</v>
      </c>
      <c r="B2293" t="s" s="4">
        <v>14384</v>
      </c>
      <c r="C2293" t="s" s="5">
        <v>14345</v>
      </c>
      <c r="D2293" t="s" s="5">
        <v>14337</v>
      </c>
      <c r="E2293" t="s" s="5">
        <v>14385</v>
      </c>
      <c r="F2293" t="s" s="10">
        <v>14386</v>
      </c>
      <c r="G2293" t="s" s="7">
        <v>14387</v>
      </c>
      <c r="H2293" t="s" s="7">
        <v>14388</v>
      </c>
      <c r="I2293" t="str" s="8" cm="1">
        <f t="array" ref="I2293">SUBSTITUTE(H2293,B2293,"(          )")</f>
        <v>The new product line increased company (          ) significantly.</v>
      </c>
      <c r="J2293" s="9" cm="1">
        <f t="array" ref="J2293">SUMIF('외운 것 - 엑셀다운로드 파일(붙여넣기)'!A3:A562,A2293,'외운 것 - 엑셀다운로드 파일(붙여넣기)'!D3:D562)</f>
        <v>0</v>
      </c>
      <c r="K2293" s="9" cm="1">
        <f t="array" ref="K2293">_xlfn.COUNTIFS('외운 것 - 엑셀다운로드 파일(붙여넣기)'!A3:A562,A2293,'외운 것 - 엑셀다운로드 파일(붙여넣기)'!D3:D562,0)</f>
        <v>0</v>
      </c>
      <c r="L2293" s="9" cm="1">
        <f t="array" ref="L2293">IF(J2293&gt;=3,_xlfn.XLOOKUP(A2293,'외운 것 - 엑셀다운로드 파일(붙여넣기)'!A3:A562,'외운 것 - 엑셀다운로드 파일(붙여넣기)'!C3:C562,0,-1),0)</f>
        <v>0</v>
      </c>
    </row>
    <row r="2294" ht="38.45" customHeight="1">
      <c r="A2294" s="3">
        <v>2293</v>
      </c>
      <c r="B2294" t="s" s="4">
        <v>11477</v>
      </c>
      <c r="C2294" t="s" s="5">
        <v>14337</v>
      </c>
      <c r="D2294" t="s" s="5">
        <v>14338</v>
      </c>
      <c r="E2294" t="s" s="5">
        <v>11480</v>
      </c>
      <c r="F2294" t="s" s="10">
        <v>14390</v>
      </c>
      <c r="G2294" t="s" s="7">
        <v>11482</v>
      </c>
      <c r="H2294" t="s" s="7">
        <v>11483</v>
      </c>
      <c r="I2294" t="str" s="8" cm="1">
        <f t="array" ref="I2294">SUBSTITUTE(H2294,B2294,"(          )")</f>
        <v>He sought (          ) for the wrong done to his family.</v>
      </c>
      <c r="J2294" s="9" cm="1">
        <f t="array" ref="J2294">SUMIF('외운 것 - 엑셀다운로드 파일(붙여넣기)'!A3:A562,A2294,'외운 것 - 엑셀다운로드 파일(붙여넣기)'!D3:D562)</f>
        <v>0</v>
      </c>
      <c r="K2294" s="9" cm="1">
        <f t="array" ref="K2294">_xlfn.COUNTIFS('외운 것 - 엑셀다운로드 파일(붙여넣기)'!A3:A562,A2294,'외운 것 - 엑셀다운로드 파일(붙여넣기)'!D3:D562,0)</f>
        <v>0</v>
      </c>
      <c r="L2294" s="9" cm="1">
        <f t="array" ref="L2294">IF(J2294&gt;=3,_xlfn.XLOOKUP(A2294,'외운 것 - 엑셀다운로드 파일(붙여넣기)'!A3:A562,'외운 것 - 엑셀다운로드 파일(붙여넣기)'!C3:C562,0,-1),0)</f>
        <v>0</v>
      </c>
    </row>
    <row r="2295" ht="23.45" customHeight="1">
      <c r="A2295" s="3">
        <v>2294</v>
      </c>
      <c r="B2295" t="s" s="4">
        <v>14391</v>
      </c>
      <c r="C2295" t="s" s="5">
        <v>14337</v>
      </c>
      <c r="D2295" t="s" s="5">
        <v>14338</v>
      </c>
      <c r="E2295" t="s" s="5">
        <v>14392</v>
      </c>
      <c r="F2295" t="s" s="10">
        <v>14393</v>
      </c>
      <c r="G2295" t="s" s="7">
        <v>14394</v>
      </c>
      <c r="H2295" t="s" s="7">
        <v>14395</v>
      </c>
      <c r="I2295" t="str" s="8" cm="1">
        <f t="array" ref="I2295">SUBSTITUTE(H2295,B2295,"(          )")</f>
        <v>The teacher had to (          ) in the students' argument.</v>
      </c>
      <c r="J2295" s="9" cm="1">
        <f t="array" ref="J2295">SUMIF('외운 것 - 엑셀다운로드 파일(붙여넣기)'!A3:A562,A2295,'외운 것 - 엑셀다운로드 파일(붙여넣기)'!D3:D562)</f>
        <v>0</v>
      </c>
      <c r="K2295" s="9" cm="1">
        <f t="array" ref="K2295">_xlfn.COUNTIFS('외운 것 - 엑셀다운로드 파일(붙여넣기)'!A3:A562,A2295,'외운 것 - 엑셀다운로드 파일(붙여넣기)'!D3:D562,0)</f>
        <v>0</v>
      </c>
      <c r="L2295" s="9" cm="1">
        <f t="array" ref="L2295">IF(J2295&gt;=3,_xlfn.XLOOKUP(A2295,'외운 것 - 엑셀다운로드 파일(붙여넣기)'!A3:A562,'외운 것 - 엑셀다운로드 파일(붙여넣기)'!C3:C562,0,-1),0)</f>
        <v>0</v>
      </c>
    </row>
    <row r="2296" ht="23.45" customHeight="1">
      <c r="A2296" s="3">
        <v>2295</v>
      </c>
      <c r="B2296" t="s" s="4">
        <v>14365</v>
      </c>
      <c r="C2296" t="s" s="5">
        <v>14365</v>
      </c>
      <c r="D2296" t="s" s="5">
        <v>14366</v>
      </c>
      <c r="E2296" t="s" s="5">
        <v>14397</v>
      </c>
      <c r="F2296" t="s" s="10">
        <v>14398</v>
      </c>
      <c r="G2296" t="s" s="7">
        <v>14399</v>
      </c>
      <c r="H2296" t="s" s="7">
        <v>14400</v>
      </c>
      <c r="I2296" t="str" s="8" cm="1">
        <f t="array" ref="I2296">SUBSTITUTE(H2296,B2296,"(          )")</f>
        <v>The kitchen needs a (          ) to remove cooking odors.</v>
      </c>
      <c r="J2296" s="9" cm="1">
        <f t="array" ref="J2296">SUMIF('외운 것 - 엑셀다운로드 파일(붙여넣기)'!A3:A562,A2296,'외운 것 - 엑셀다운로드 파일(붙여넣기)'!D3:D562)</f>
        <v>0</v>
      </c>
      <c r="K2296" s="9" cm="1">
        <f t="array" ref="K2296">_xlfn.COUNTIFS('외운 것 - 엑셀다운로드 파일(붙여넣기)'!A3:A562,A2296,'외운 것 - 엑셀다운로드 파일(붙여넣기)'!D3:D562,0)</f>
        <v>0</v>
      </c>
      <c r="L2296" s="9" cm="1">
        <f t="array" ref="L2296">IF(J2296&gt;=3,_xlfn.XLOOKUP(A2296,'외운 것 - 엑셀다운로드 파일(붙여넣기)'!A3:A562,'외운 것 - 엑셀다운로드 파일(붙여넣기)'!C3:C562,0,-1),0)</f>
        <v>0</v>
      </c>
    </row>
    <row r="2297" ht="23.45" customHeight="1">
      <c r="A2297" s="3">
        <v>2296</v>
      </c>
      <c r="B2297" t="s" s="4">
        <v>14402</v>
      </c>
      <c r="C2297" t="s" s="5">
        <v>14365</v>
      </c>
      <c r="D2297" t="s" s="5">
        <v>14366</v>
      </c>
      <c r="E2297" t="s" s="5">
        <v>14403</v>
      </c>
      <c r="F2297" t="s" s="10">
        <v>14404</v>
      </c>
      <c r="G2297" t="s" s="7">
        <v>14405</v>
      </c>
      <c r="H2297" t="s" s="7">
        <v>14406</v>
      </c>
      <c r="I2297" t="str" s="8" cm="1">
        <f t="array" ref="I2297">SUBSTITUTE(H2297,B2297,"(          )")</f>
        <v>Good (          ) is important for indoor air quality.</v>
      </c>
      <c r="J2297" s="9" cm="1">
        <f t="array" ref="J2297">SUMIF('외운 것 - 엑셀다운로드 파일(붙여넣기)'!A3:A562,A2297,'외운 것 - 엑셀다운로드 파일(붙여넣기)'!D3:D562)</f>
        <v>0</v>
      </c>
      <c r="K2297" s="9" cm="1">
        <f t="array" ref="K2297">_xlfn.COUNTIFS('외운 것 - 엑셀다운로드 파일(붙여넣기)'!A3:A562,A2297,'외운 것 - 엑셀다운로드 파일(붙여넣기)'!D3:D562,0)</f>
        <v>0</v>
      </c>
      <c r="L2297" s="9" cm="1">
        <f t="array" ref="L2297">IF(J2297&gt;=3,_xlfn.XLOOKUP(A2297,'외운 것 - 엑셀다운로드 파일(붙여넣기)'!A3:A562,'외운 것 - 엑셀다운로드 파일(붙여넣기)'!C3:C562,0,-1),0)</f>
        <v>0</v>
      </c>
    </row>
    <row r="2298" ht="23.45" customHeight="1">
      <c r="A2298" s="3">
        <v>2297</v>
      </c>
      <c r="B2298" t="s" s="4">
        <v>14408</v>
      </c>
      <c r="C2298" t="s" s="5">
        <v>14365</v>
      </c>
      <c r="D2298" t="s" s="5">
        <v>14366</v>
      </c>
      <c r="E2298" t="s" s="5">
        <v>14409</v>
      </c>
      <c r="F2298" t="s" s="10">
        <v>14410</v>
      </c>
      <c r="G2298" t="s" s="7">
        <v>14411</v>
      </c>
      <c r="H2298" t="s" s="7">
        <v>14412</v>
      </c>
      <c r="I2298" t="str" s="8" cm="1">
        <f t="array" ref="I2298">SUBSTITUTE(H2298,B2298,"(          )")</f>
        <v>Starting a new business is always a risky (          ).</v>
      </c>
      <c r="J2298" s="9" cm="1">
        <f t="array" ref="J2298">SUMIF('외운 것 - 엑셀다운로드 파일(붙여넣기)'!A3:A562,A2298,'외운 것 - 엑셀다운로드 파일(붙여넣기)'!D3:D562)</f>
        <v>0</v>
      </c>
      <c r="K2298" s="9" cm="1">
        <f t="array" ref="K2298">_xlfn.COUNTIFS('외운 것 - 엑셀다운로드 파일(붙여넣기)'!A3:A562,A2298,'외운 것 - 엑셀다운로드 파일(붙여넣기)'!D3:D562,0)</f>
        <v>0</v>
      </c>
      <c r="L2298" s="9" cm="1">
        <f t="array" ref="L2298">IF(J2298&gt;=3,_xlfn.XLOOKUP(A2298,'외운 것 - 엑셀다운로드 파일(붙여넣기)'!A3:A562,'외운 것 - 엑셀다운로드 파일(붙여넣기)'!C3:C562,0,-1),0)</f>
        <v>0</v>
      </c>
    </row>
    <row r="2299" ht="36.4" customHeight="1">
      <c r="A2299" s="3">
        <v>2298</v>
      </c>
      <c r="B2299" t="s" s="4">
        <v>14414</v>
      </c>
      <c r="C2299" t="s" s="5">
        <v>14415</v>
      </c>
      <c r="D2299" t="s" s="5">
        <v>14365</v>
      </c>
      <c r="E2299" t="s" s="5">
        <v>14416</v>
      </c>
      <c r="F2299" t="s" s="10">
        <v>14417</v>
      </c>
      <c r="G2299" t="s" s="7">
        <v>14418</v>
      </c>
      <c r="H2299" t="s" s="7">
        <v>14419</v>
      </c>
      <c r="I2299" t="str" s="8" cm="1">
        <f t="array" ref="I2299">SUBSTITUTE(H2299,B2299,"(          )")</f>
        <v>The book tells the (          ) of explorers in the Amazon.</v>
      </c>
      <c r="J2299" s="9" cm="1">
        <f t="array" ref="J2299">SUMIF('외운 것 - 엑셀다운로드 파일(붙여넣기)'!A3:A562,A2299,'외운 것 - 엑셀다운로드 파일(붙여넣기)'!D3:D562)</f>
        <v>0</v>
      </c>
      <c r="K2299" s="9" cm="1">
        <f t="array" ref="K2299">_xlfn.COUNTIFS('외운 것 - 엑셀다운로드 파일(붙여넣기)'!A3:A562,A2299,'외운 것 - 엑셀다운로드 파일(붙여넣기)'!D3:D562,0)</f>
        <v>0</v>
      </c>
      <c r="L2299" s="9" cm="1">
        <f t="array" ref="L2299">IF(J2299&gt;=3,_xlfn.XLOOKUP(A2299,'외운 것 - 엑셀다운로드 파일(붙여넣기)'!A3:A562,'외운 것 - 엑셀다운로드 파일(붙여넣기)'!C3:C562,0,-1),0)</f>
        <v>0</v>
      </c>
    </row>
    <row r="2300" ht="38.45" customHeight="1">
      <c r="A2300" s="3">
        <v>2299</v>
      </c>
      <c r="B2300" t="s" s="4">
        <v>14421</v>
      </c>
      <c r="C2300" t="s" s="5">
        <v>14365</v>
      </c>
      <c r="D2300" t="s" s="5">
        <v>14366</v>
      </c>
      <c r="E2300" t="s" s="5">
        <v>14422</v>
      </c>
      <c r="F2300" t="s" s="10">
        <v>14423</v>
      </c>
      <c r="G2300" t="s" s="7">
        <v>14424</v>
      </c>
      <c r="H2300" t="s" s="7">
        <v>14425</v>
      </c>
      <c r="I2300" t="str" s="8" cm="1">
        <f t="array" ref="I2300">SUBSTITUTE(H2300,B2300,"(          )")</f>
        <v>Thomas Edison did not (          ) the light bulb; he improved it.</v>
      </c>
      <c r="J2300" s="9" cm="1">
        <f t="array" ref="J2300">SUMIF('외운 것 - 엑셀다운로드 파일(붙여넣기)'!A3:A562,A2300,'외운 것 - 엑셀다운로드 파일(붙여넣기)'!D3:D562)</f>
        <v>0</v>
      </c>
      <c r="K2300" s="9" cm="1">
        <f t="array" ref="K2300">_xlfn.COUNTIFS('외운 것 - 엑셀다운로드 파일(붙여넣기)'!A3:A562,A2300,'외운 것 - 엑셀다운로드 파일(붙여넣기)'!D3:D562,0)</f>
        <v>0</v>
      </c>
      <c r="L2300" s="9" cm="1">
        <f t="array" ref="L2300">IF(J2300&gt;=3,_xlfn.XLOOKUP(A2300,'외운 것 - 엑셀다운로드 파일(붙여넣기)'!A3:A562,'외운 것 - 엑셀다운로드 파일(붙여넣기)'!C3:C562,0,-1),0)</f>
        <v>0</v>
      </c>
    </row>
    <row r="2301" ht="23.45" customHeight="1">
      <c r="A2301" s="3">
        <v>2300</v>
      </c>
      <c r="B2301" t="s" s="4">
        <v>14427</v>
      </c>
      <c r="C2301" t="s" s="5">
        <v>14365</v>
      </c>
      <c r="D2301" t="s" s="5">
        <v>14366</v>
      </c>
      <c r="E2301" t="s" s="5">
        <v>14428</v>
      </c>
      <c r="F2301" t="s" s="10">
        <v>14429</v>
      </c>
      <c r="G2301" t="s" s="7">
        <v>14430</v>
      </c>
      <c r="H2301" t="s" s="7">
        <v>14431</v>
      </c>
      <c r="I2301" t="str" s="8" cm="1">
        <f t="array" ref="I2301">SUBSTITUTE(H2301,B2301,"(          )")</f>
        <v>Regular exercise helps (          ) many health problems.</v>
      </c>
      <c r="J2301" s="9" cm="1">
        <f t="array" ref="J2301">SUMIF('외운 것 - 엑셀다운로드 파일(붙여넣기)'!A3:A562,A2301,'외운 것 - 엑셀다운로드 파일(붙여넣기)'!D3:D562)</f>
        <v>0</v>
      </c>
      <c r="K2301" s="9" cm="1">
        <f t="array" ref="K2301">_xlfn.COUNTIFS('외운 것 - 엑셀다운로드 파일(붙여넣기)'!A3:A562,A2301,'외운 것 - 엑셀다운로드 파일(붙여넣기)'!D3:D562,0)</f>
        <v>0</v>
      </c>
      <c r="L2301" s="9" cm="1">
        <f t="array" ref="L2301">IF(J2301&gt;=3,_xlfn.XLOOKUP(A2301,'외운 것 - 엑셀다운로드 파일(붙여넣기)'!A3:A562,'외운 것 - 엑셀다운로드 파일(붙여넣기)'!C3:C562,0,-1),0)</f>
        <v>0</v>
      </c>
    </row>
    <row r="2302" ht="36.4" customHeight="1">
      <c r="A2302" s="3">
        <v>2301</v>
      </c>
      <c r="B2302" t="s" s="4">
        <v>14433</v>
      </c>
      <c r="C2302" t="s" s="5">
        <v>14434</v>
      </c>
      <c r="D2302" t="s" s="5">
        <v>14365</v>
      </c>
      <c r="E2302" t="s" s="5">
        <v>14435</v>
      </c>
      <c r="F2302" t="s" s="10">
        <v>14436</v>
      </c>
      <c r="G2302" t="s" s="7">
        <v>14437</v>
      </c>
      <c r="H2302" t="s" s="7">
        <v>14438</v>
      </c>
      <c r="I2302" t="str" s="8" cm="1">
        <f t="array" ref="I2302">SUBSTITUTE(H2302,B2302,"(          )")</f>
        <v>Prevention of disease is better than treatment.</v>
      </c>
      <c r="J2302" s="9" cm="1">
        <f t="array" ref="J2302">SUMIF('외운 것 - 엑셀다운로드 파일(붙여넣기)'!A3:A562,A2302,'외운 것 - 엑셀다운로드 파일(붙여넣기)'!D3:D562)</f>
        <v>0</v>
      </c>
      <c r="K2302" s="9" cm="1">
        <f t="array" ref="K2302">_xlfn.COUNTIFS('외운 것 - 엑셀다운로드 파일(붙여넣기)'!A3:A562,A2302,'외운 것 - 엑셀다운로드 파일(붙여넣기)'!D3:D562,0)</f>
        <v>0</v>
      </c>
      <c r="L2302" s="9" cm="1">
        <f t="array" ref="L2302">IF(J2302&gt;=3,_xlfn.XLOOKUP(A2302,'외운 것 - 엑셀다운로드 파일(붙여넣기)'!A3:A562,'외운 것 - 엑셀다운로드 파일(붙여넣기)'!C3:C562,0,-1),0)</f>
        <v>0</v>
      </c>
    </row>
    <row r="2303" ht="38.45" customHeight="1">
      <c r="A2303" s="3">
        <v>2302</v>
      </c>
      <c r="B2303" t="s" s="4">
        <v>14440</v>
      </c>
      <c r="C2303" t="s" s="5">
        <v>14337</v>
      </c>
      <c r="D2303" t="s" s="5">
        <v>14338</v>
      </c>
      <c r="E2303" t="s" s="5">
        <v>14441</v>
      </c>
      <c r="F2303" t="s" s="10">
        <v>14442</v>
      </c>
      <c r="G2303" t="s" s="7">
        <v>14443</v>
      </c>
      <c r="H2303" t="s" s="7">
        <v>14444</v>
      </c>
      <c r="I2303" t="str" s="8" cm="1">
        <f t="array" ref="I2303">SUBSTITUTE(H2303,B2303,"(          )")</f>
        <v>The wedding was the social (          ) of the season.</v>
      </c>
      <c r="J2303" s="9" cm="1">
        <f t="array" ref="J2303">SUMIF('외운 것 - 엑셀다운로드 파일(붙여넣기)'!A3:A562,A2303,'외운 것 - 엑셀다운로드 파일(붙여넣기)'!D3:D562)</f>
        <v>0</v>
      </c>
      <c r="K2303" s="9" cm="1">
        <f t="array" ref="K2303">_xlfn.COUNTIFS('외운 것 - 엑셀다운로드 파일(붙여넣기)'!A3:A562,A2303,'외운 것 - 엑셀다운로드 파일(붙여넣기)'!D3:D562,0)</f>
        <v>0</v>
      </c>
      <c r="L2303" s="9" cm="1">
        <f t="array" ref="L2303">IF(J2303&gt;=3,_xlfn.XLOOKUP(A2303,'외운 것 - 엑셀다운로드 파일(붙여넣기)'!A3:A562,'외운 것 - 엑셀다운로드 파일(붙여넣기)'!C3:C562,0,-1),0)</f>
        <v>0</v>
      </c>
    </row>
    <row r="2304" ht="23.45" customHeight="1">
      <c r="A2304" s="3">
        <v>2303</v>
      </c>
      <c r="B2304" t="s" s="4">
        <v>14446</v>
      </c>
      <c r="C2304" t="s" s="5">
        <v>14365</v>
      </c>
      <c r="D2304" t="s" s="5">
        <v>14366</v>
      </c>
      <c r="E2304" t="s" s="5">
        <v>14447</v>
      </c>
      <c r="F2304" t="s" s="10">
        <v>14448</v>
      </c>
      <c r="G2304" t="s" s="7">
        <v>14449</v>
      </c>
      <c r="H2304" t="s" s="7">
        <v>14450</v>
      </c>
      <c r="I2304" t="str" s="8" cm="1">
        <f t="array" ref="I2304">SUBSTITUTE(H2304,B2304,"(          )")</f>
        <v>The (          ) of the internet transformed communication.</v>
      </c>
      <c r="J2304" s="9" cm="1">
        <f t="array" ref="J2304">SUMIF('외운 것 - 엑셀다운로드 파일(붙여넣기)'!A3:A562,A2304,'외운 것 - 엑셀다운로드 파일(붙여넣기)'!D3:D562)</f>
        <v>0</v>
      </c>
      <c r="K2304" s="9" cm="1">
        <f t="array" ref="K2304">_xlfn.COUNTIFS('외운 것 - 엑셀다운로드 파일(붙여넣기)'!A3:A562,A2304,'외운 것 - 엑셀다운로드 파일(붙여넣기)'!D3:D562,0)</f>
        <v>0</v>
      </c>
      <c r="L2304" s="9" cm="1">
        <f t="array" ref="L2304">IF(J2304&gt;=3,_xlfn.XLOOKUP(A2304,'외운 것 - 엑셀다운로드 파일(붙여넣기)'!A3:A562,'외운 것 - 엑셀다운로드 파일(붙여넣기)'!C3:C562,0,-1),0)</f>
        <v>0</v>
      </c>
    </row>
    <row r="2305" ht="23.45" customHeight="1">
      <c r="A2305" s="3">
        <v>2304</v>
      </c>
      <c r="B2305" t="s" s="4">
        <v>14452</v>
      </c>
      <c r="C2305" t="s" s="5">
        <v>14453</v>
      </c>
      <c r="D2305" t="s" s="5">
        <v>14454</v>
      </c>
      <c r="E2305" t="s" s="5">
        <v>14455</v>
      </c>
      <c r="F2305" t="s" s="10">
        <v>14456</v>
      </c>
      <c r="G2305" t="s" s="7">
        <v>14457</v>
      </c>
      <c r="H2305" t="s" s="7">
        <v>14458</v>
      </c>
      <c r="I2305" t="str" s="8" cm="1">
        <f t="array" ref="I2305">SUBSTITUTE(H2305,B2305,"(          )")</f>
        <v>The poet recited a (          ) from her latest work.</v>
      </c>
      <c r="J2305" s="9" cm="1">
        <f t="array" ref="J2305">SUMIF('외운 것 - 엑셀다운로드 파일(붙여넣기)'!A3:A562,A2305,'외운 것 - 엑셀다운로드 파일(붙여넣기)'!D3:D562)</f>
        <v>0</v>
      </c>
      <c r="K2305" s="9" cm="1">
        <f t="array" ref="K2305">_xlfn.COUNTIFS('외운 것 - 엑셀다운로드 파일(붙여넣기)'!A3:A562,A2305,'외운 것 - 엑셀다운로드 파일(붙여넣기)'!D3:D562,0)</f>
        <v>0</v>
      </c>
      <c r="L2305" s="9" cm="1">
        <f t="array" ref="L2305">IF(J2305&gt;=3,_xlfn.XLOOKUP(A2305,'외운 것 - 엑셀다운로드 파일(붙여넣기)'!A3:A562,'외운 것 - 엑셀다운로드 파일(붙여넣기)'!C3:C562,0,-1),0)</f>
        <v>0</v>
      </c>
    </row>
    <row r="2306" ht="36.4" customHeight="1">
      <c r="A2306" s="3">
        <v>2305</v>
      </c>
      <c r="B2306" t="s" s="4">
        <v>14460</v>
      </c>
      <c r="C2306" t="s" s="5">
        <v>14461</v>
      </c>
      <c r="D2306" t="s" s="5">
        <v>14454</v>
      </c>
      <c r="E2306" t="s" s="5">
        <v>14462</v>
      </c>
      <c r="F2306" t="s" s="10">
        <v>14463</v>
      </c>
      <c r="G2306" t="s" s="7">
        <v>14464</v>
      </c>
      <c r="H2306" t="s" s="7">
        <v>14465</v>
      </c>
      <c r="I2306" t="str" s="8" cm="1">
        <f t="array" ref="I2306">SUBSTITUTE(H2306,B2306,"(          )")</f>
        <v>The latest (          ) of the software includes new features.</v>
      </c>
      <c r="J2306" s="9" cm="1">
        <f t="array" ref="J2306">SUMIF('외운 것 - 엑셀다운로드 파일(붙여넣기)'!A3:A562,A2306,'외운 것 - 엑셀다운로드 파일(붙여넣기)'!D3:D562)</f>
        <v>0</v>
      </c>
      <c r="K2306" s="9" cm="1">
        <f t="array" ref="K2306">_xlfn.COUNTIFS('외운 것 - 엑셀다운로드 파일(붙여넣기)'!A3:A562,A2306,'외운 것 - 엑셀다운로드 파일(붙여넣기)'!D3:D562,0)</f>
        <v>0</v>
      </c>
      <c r="L2306" s="9" cm="1">
        <f t="array" ref="L2306">IF(J2306&gt;=3,_xlfn.XLOOKUP(A2306,'외운 것 - 엑셀다운로드 파일(붙여넣기)'!A3:A562,'외운 것 - 엑셀다운로드 파일(붙여넣기)'!C3:C562,0,-1),0)</f>
        <v>0</v>
      </c>
    </row>
    <row r="2307" ht="36.4" customHeight="1">
      <c r="A2307" s="3">
        <v>2306</v>
      </c>
      <c r="B2307" t="s" s="4">
        <v>13930</v>
      </c>
      <c r="C2307" t="s" s="5">
        <v>14461</v>
      </c>
      <c r="D2307" t="s" s="5">
        <v>14454</v>
      </c>
      <c r="E2307" t="s" s="5">
        <v>13931</v>
      </c>
      <c r="F2307" t="s" s="10">
        <v>13932</v>
      </c>
      <c r="G2307" t="s" s="7">
        <v>13933</v>
      </c>
      <c r="H2307" t="s" s="7">
        <v>13934</v>
      </c>
      <c r="I2307" t="str" s="8" cm="1">
        <f t="array" ref="I2307">SUBSTITUTE(H2307,B2307,"(          )")</f>
        <v>Scientists believe the (          ) is still expanding.</v>
      </c>
      <c r="J2307" s="9" cm="1">
        <f t="array" ref="J2307">SUMIF('외운 것 - 엑셀다운로드 파일(붙여넣기)'!A3:A562,A2307,'외운 것 - 엑셀다운로드 파일(붙여넣기)'!D3:D562)</f>
        <v>0</v>
      </c>
      <c r="K2307" s="9" cm="1">
        <f t="array" ref="K2307">_xlfn.COUNTIFS('외운 것 - 엑셀다운로드 파일(붙여넣기)'!A3:A562,A2307,'외운 것 - 엑셀다운로드 파일(붙여넣기)'!D3:D562,0)</f>
        <v>0</v>
      </c>
      <c r="L2307" s="9" cm="1">
        <f t="array" ref="L2307">IF(J2307&gt;=3,_xlfn.XLOOKUP(A2307,'외운 것 - 엑셀다운로드 파일(붙여넣기)'!A3:A562,'외운 것 - 엑셀다운로드 파일(붙여넣기)'!C3:C562,0,-1),0)</f>
        <v>0</v>
      </c>
    </row>
    <row r="2308" ht="38.45" customHeight="1">
      <c r="A2308" s="3">
        <v>2307</v>
      </c>
      <c r="B2308" t="s" s="4">
        <v>14467</v>
      </c>
      <c r="C2308" t="s" s="5">
        <v>14461</v>
      </c>
      <c r="D2308" t="s" s="5">
        <v>14454</v>
      </c>
      <c r="E2308" t="s" s="5">
        <v>14468</v>
      </c>
      <c r="F2308" t="s" s="10">
        <v>14469</v>
      </c>
      <c r="G2308" t="s" s="7">
        <v>14470</v>
      </c>
      <c r="H2308" t="s" s="7">
        <v>14471</v>
      </c>
      <c r="I2308" t="str" s="8" cm="1">
        <f t="array" ref="I2308">SUBSTITUTE(H2308,B2308,"(          )")</f>
        <v>The medicine may cause (          ) reactions in some patients.</v>
      </c>
      <c r="J2308" s="9" cm="1">
        <f t="array" ref="J2308">SUMIF('외운 것 - 엑셀다운로드 파일(붙여넣기)'!A3:A562,A2308,'외운 것 - 엑셀다운로드 파일(붙여넣기)'!D3:D562)</f>
        <v>0</v>
      </c>
      <c r="K2308" s="9" cm="1">
        <f t="array" ref="K2308">_xlfn.COUNTIFS('외운 것 - 엑셀다운로드 파일(붙여넣기)'!A3:A562,A2308,'외운 것 - 엑셀다운로드 파일(붙여넣기)'!D3:D562,0)</f>
        <v>0</v>
      </c>
      <c r="L2308" s="9" cm="1">
        <f t="array" ref="L2308">IF(J2308&gt;=3,_xlfn.XLOOKUP(A2308,'외운 것 - 엑셀다운로드 파일(붙여넣기)'!A3:A562,'외운 것 - 엑셀다운로드 파일(붙여넣기)'!C3:C562,0,-1),0)</f>
        <v>0</v>
      </c>
    </row>
    <row r="2309" ht="50.45" customHeight="1">
      <c r="A2309" s="3">
        <v>2308</v>
      </c>
      <c r="B2309" t="s" s="4">
        <v>14473</v>
      </c>
      <c r="C2309" t="s" s="5">
        <v>14474</v>
      </c>
      <c r="D2309" t="s" s="5">
        <v>14454</v>
      </c>
      <c r="E2309" t="s" s="5">
        <v>14475</v>
      </c>
      <c r="F2309" t="s" s="10">
        <v>14476</v>
      </c>
      <c r="G2309" t="s" s="7">
        <v>14477</v>
      </c>
      <c r="H2309" t="s" s="7">
        <v>14478</v>
      </c>
      <c r="I2309" t="str" s="8" cm="1">
        <f t="array" ref="I2309">SUBSTITUTE(H2309,B2309,"(          )")</f>
        <v>The two candidates are political adversaries.</v>
      </c>
      <c r="J2309" s="9" cm="1">
        <f t="array" ref="J2309">SUMIF('외운 것 - 엑셀다운로드 파일(붙여넣기)'!A3:A562,A2309,'외운 것 - 엑셀다운로드 파일(붙여넣기)'!D3:D562)</f>
        <v>0</v>
      </c>
      <c r="K2309" s="9" cm="1">
        <f t="array" ref="K2309">_xlfn.COUNTIFS('외운 것 - 엑셀다운로드 파일(붙여넣기)'!A3:A562,A2309,'외운 것 - 엑셀다운로드 파일(붙여넣기)'!D3:D562,0)</f>
        <v>0</v>
      </c>
      <c r="L2309" s="9" cm="1">
        <f t="array" ref="L2309">IF(J2309&gt;=3,_xlfn.XLOOKUP(A2309,'외운 것 - 엑셀다운로드 파일(붙여넣기)'!A3:A562,'외운 것 - 엑셀다운로드 파일(붙여넣기)'!C3:C562,0,-1),0)</f>
        <v>0</v>
      </c>
    </row>
    <row r="2310" ht="36.4" customHeight="1">
      <c r="A2310" s="3">
        <v>2309</v>
      </c>
      <c r="B2310" t="s" s="4">
        <v>14480</v>
      </c>
      <c r="C2310" t="s" s="5">
        <v>14461</v>
      </c>
      <c r="D2310" t="s" s="5">
        <v>14454</v>
      </c>
      <c r="E2310" t="s" s="5">
        <v>14481</v>
      </c>
      <c r="F2310" t="s" s="10">
        <v>14482</v>
      </c>
      <c r="G2310" t="s" s="7">
        <v>14483</v>
      </c>
      <c r="H2310" t="s" s="7">
        <v>14484</v>
      </c>
      <c r="I2310" t="str" s="8" cm="1">
        <f t="array" ref="I2310">SUBSTITUTE(H2310,B2310,"(          )")</f>
        <v>The truck driver had to (          ) into the narrow driveway.</v>
      </c>
      <c r="J2310" s="9" cm="1">
        <f t="array" ref="J2310">SUMIF('외운 것 - 엑셀다운로드 파일(붙여넣기)'!A3:A562,A2310,'외운 것 - 엑셀다운로드 파일(붙여넣기)'!D3:D562)</f>
        <v>0</v>
      </c>
      <c r="K2310" s="9" cm="1">
        <f t="array" ref="K2310">_xlfn.COUNTIFS('외운 것 - 엑셀다운로드 파일(붙여넣기)'!A3:A562,A2310,'외운 것 - 엑셀다운로드 파일(붙여넣기)'!D3:D562,0)</f>
        <v>0</v>
      </c>
      <c r="L2310" s="9" cm="1">
        <f t="array" ref="L2310">IF(J2310&gt;=3,_xlfn.XLOOKUP(A2310,'외운 것 - 엑셀다운로드 파일(붙여넣기)'!A3:A562,'외운 것 - 엑셀다운로드 파일(붙여넣기)'!C3:C562,0,-1),0)</f>
        <v>0</v>
      </c>
    </row>
    <row r="2311" ht="36.4" customHeight="1">
      <c r="A2311" s="3">
        <v>2310</v>
      </c>
      <c r="B2311" t="s" s="4">
        <v>14486</v>
      </c>
      <c r="C2311" t="s" s="5">
        <v>14461</v>
      </c>
      <c r="D2311" t="s" s="5">
        <v>14454</v>
      </c>
      <c r="E2311" t="s" s="5">
        <v>14487</v>
      </c>
      <c r="F2311" t="s" s="10">
        <v>14488</v>
      </c>
      <c r="G2311" t="s" s="7">
        <v>14489</v>
      </c>
      <c r="H2311" t="s" s="7">
        <v>14490</v>
      </c>
      <c r="I2311" t="str" s="8" cm="1">
        <f t="array" ref="I2311">SUBSTITUTE(H2311,B2311,"(          )")</f>
        <v>The new policy caused (          ) among parents.</v>
      </c>
      <c r="J2311" s="9" cm="1">
        <f t="array" ref="J2311">SUMIF('외운 것 - 엑셀다운로드 파일(붙여넣기)'!A3:A562,A2311,'외운 것 - 엑셀다운로드 파일(붙여넣기)'!D3:D562)</f>
        <v>0</v>
      </c>
      <c r="K2311" s="9" cm="1">
        <f t="array" ref="K2311">_xlfn.COUNTIFS('외운 것 - 엑셀다운로드 파일(붙여넣기)'!A3:A562,A2311,'외운 것 - 엑셀다운로드 파일(붙여넣기)'!D3:D562,0)</f>
        <v>0</v>
      </c>
      <c r="L2311" s="9" cm="1">
        <f t="array" ref="L2311">IF(J2311&gt;=3,_xlfn.XLOOKUP(A2311,'외운 것 - 엑셀다운로드 파일(붙여넣기)'!A3:A562,'외운 것 - 엑셀다운로드 파일(붙여넣기)'!C3:C562,0,-1),0)</f>
        <v>0</v>
      </c>
    </row>
    <row r="2312" ht="38.45" customHeight="1">
      <c r="A2312" s="3">
        <v>2311</v>
      </c>
      <c r="B2312" t="s" s="4">
        <v>14492</v>
      </c>
      <c r="C2312" t="s" s="5">
        <v>14461</v>
      </c>
      <c r="D2312" t="s" s="5">
        <v>14454</v>
      </c>
      <c r="E2312" t="s" s="5">
        <v>14493</v>
      </c>
      <c r="F2312" t="s" s="10">
        <v>14494</v>
      </c>
      <c r="G2312" t="s" s="7">
        <v>7362</v>
      </c>
      <c r="H2312" t="s" s="7">
        <v>14495</v>
      </c>
      <c r="I2312" t="str" s="8" cm="1">
        <f t="array" ref="I2312">SUBSTITUTE(H2312,B2312,"(          )")</f>
        <v>We had an interesting (          ) about climate change.</v>
      </c>
      <c r="J2312" s="9" cm="1">
        <f t="array" ref="J2312">SUMIF('외운 것 - 엑셀다운로드 파일(붙여넣기)'!A3:A562,A2312,'외운 것 - 엑셀다운로드 파일(붙여넣기)'!D3:D562)</f>
        <v>0</v>
      </c>
      <c r="K2312" s="9" cm="1">
        <f t="array" ref="K2312">_xlfn.COUNTIFS('외운 것 - 엑셀다운로드 파일(붙여넣기)'!A3:A562,A2312,'외운 것 - 엑셀다운로드 파일(붙여넣기)'!D3:D562,0)</f>
        <v>0</v>
      </c>
      <c r="L2312" s="9" cm="1">
        <f t="array" ref="L2312">IF(J2312&gt;=3,_xlfn.XLOOKUP(A2312,'외운 것 - 엑셀다운로드 파일(붙여넣기)'!A3:A562,'외운 것 - 엑셀다운로드 파일(붙여넣기)'!C3:C562,0,-1),0)</f>
        <v>0</v>
      </c>
    </row>
    <row r="2313" ht="36.4" customHeight="1">
      <c r="A2313" s="3">
        <v>2312</v>
      </c>
      <c r="B2313" t="s" s="4">
        <v>14497</v>
      </c>
      <c r="C2313" t="s" s="5">
        <v>14461</v>
      </c>
      <c r="D2313" t="s" s="5">
        <v>14454</v>
      </c>
      <c r="E2313" t="s" s="5">
        <v>14498</v>
      </c>
      <c r="F2313" t="s" s="10">
        <v>14499</v>
      </c>
      <c r="G2313" t="s" s="7">
        <v>14500</v>
      </c>
      <c r="H2313" t="s" s="7">
        <v>14501</v>
      </c>
      <c r="I2313" t="str" s="8" cm="1">
        <f t="array" ref="I2313">SUBSTITUTE(H2313,B2313,"(          )")</f>
        <v>The company employs a (          ) workforce.</v>
      </c>
      <c r="J2313" s="9" cm="1">
        <f t="array" ref="J2313">SUMIF('외운 것 - 엑셀다운로드 파일(붙여넣기)'!A3:A562,A2313,'외운 것 - 엑셀다운로드 파일(붙여넣기)'!D3:D562)</f>
        <v>0</v>
      </c>
      <c r="K2313" s="9" cm="1">
        <f t="array" ref="K2313">_xlfn.COUNTIFS('외운 것 - 엑셀다운로드 파일(붙여넣기)'!A3:A562,A2313,'외운 것 - 엑셀다운로드 파일(붙여넣기)'!D3:D562,0)</f>
        <v>0</v>
      </c>
      <c r="L2313" s="9" cm="1">
        <f t="array" ref="L2313">IF(J2313&gt;=3,_xlfn.XLOOKUP(A2313,'외운 것 - 엑셀다운로드 파일(붙여넣기)'!A3:A562,'외운 것 - 엑셀다운로드 파일(붙여넣기)'!C3:C562,0,-1),0)</f>
        <v>0</v>
      </c>
    </row>
    <row r="2314" ht="38.45" customHeight="1">
      <c r="A2314" s="3">
        <v>2313</v>
      </c>
      <c r="B2314" t="s" s="4">
        <v>14503</v>
      </c>
      <c r="C2314" t="s" s="5">
        <v>14504</v>
      </c>
      <c r="D2314" t="s" s="5">
        <v>14454</v>
      </c>
      <c r="E2314" t="s" s="5">
        <v>14505</v>
      </c>
      <c r="F2314" t="s" s="10">
        <v>14506</v>
      </c>
      <c r="G2314" t="s" s="7">
        <v>14507</v>
      </c>
      <c r="H2314" t="s" s="7">
        <v>14508</v>
      </c>
      <c r="I2314" t="str" s="8" cm="1">
        <f t="array" ref="I2314">SUBSTITUTE(H2314,B2314,"(          )")</f>
        <v>The police (          )ed traffic away from the accident scene.</v>
      </c>
      <c r="J2314" s="9" cm="1">
        <f t="array" ref="J2314">SUMIF('외운 것 - 엑셀다운로드 파일(붙여넣기)'!A3:A562,A2314,'외운 것 - 엑셀다운로드 파일(붙여넣기)'!D3:D562)</f>
        <v>0</v>
      </c>
      <c r="K2314" s="9" cm="1">
        <f t="array" ref="K2314">_xlfn.COUNTIFS('외운 것 - 엑셀다운로드 파일(붙여넣기)'!A3:A562,A2314,'외운 것 - 엑셀다운로드 파일(붙여넣기)'!D3:D562,0)</f>
        <v>0</v>
      </c>
      <c r="L2314" s="9" cm="1">
        <f t="array" ref="L2314">IF(J2314&gt;=3,_xlfn.XLOOKUP(A2314,'외운 것 - 엑셀다운로드 파일(붙여넣기)'!A3:A562,'외운 것 - 엑셀다운로드 파일(붙여넣기)'!C3:C562,0,-1),0)</f>
        <v>0</v>
      </c>
    </row>
    <row r="2315" ht="38.45" customHeight="1">
      <c r="A2315" s="3">
        <v>2314</v>
      </c>
      <c r="B2315" t="s" s="4">
        <v>3690</v>
      </c>
      <c r="C2315" t="s" s="5">
        <v>14510</v>
      </c>
      <c r="D2315" t="s" s="5">
        <v>14454</v>
      </c>
      <c r="E2315" t="s" s="5">
        <v>3691</v>
      </c>
      <c r="F2315" t="s" s="10">
        <v>14511</v>
      </c>
      <c r="G2315" t="s" s="7">
        <v>14512</v>
      </c>
      <c r="H2315" t="s" s="7">
        <v>3694</v>
      </c>
      <c r="I2315" t="str" s="8" cm="1">
        <f t="array" ref="I2315">SUBSTITUTE(H2315,B2315,"(          )")</f>
        <v>The couple decided to (          ) after ten years of marriage.</v>
      </c>
      <c r="J2315" s="9" cm="1">
        <f t="array" ref="J2315">SUMIF('외운 것 - 엑셀다운로드 파일(붙여넣기)'!A3:A562,A2315,'외운 것 - 엑셀다운로드 파일(붙여넣기)'!D3:D562)</f>
        <v>0</v>
      </c>
      <c r="K2315" s="9" cm="1">
        <f t="array" ref="K2315">_xlfn.COUNTIFS('외운 것 - 엑셀다운로드 파일(붙여넣기)'!A3:A562,A2315,'외운 것 - 엑셀다운로드 파일(붙여넣기)'!D3:D562,0)</f>
        <v>0</v>
      </c>
      <c r="L2315" s="9" cm="1">
        <f t="array" ref="L2315">IF(J2315&gt;=3,_xlfn.XLOOKUP(A2315,'외운 것 - 엑셀다운로드 파일(붙여넣기)'!A3:A562,'외운 것 - 엑셀다운로드 파일(붙여넣기)'!C3:C562,0,-1),0)</f>
        <v>0</v>
      </c>
    </row>
    <row r="2316" ht="23.45" customHeight="1">
      <c r="A2316" s="3">
        <v>2315</v>
      </c>
      <c r="B2316" t="s" s="4">
        <v>14513</v>
      </c>
      <c r="C2316" t="s" s="5">
        <v>14514</v>
      </c>
      <c r="D2316" t="s" s="5">
        <v>14515</v>
      </c>
      <c r="E2316" t="s" s="5">
        <v>14516</v>
      </c>
      <c r="F2316" t="s" s="10">
        <v>14517</v>
      </c>
      <c r="G2316" t="s" s="7">
        <v>14518</v>
      </c>
      <c r="H2316" t="s" s="7">
        <v>14519</v>
      </c>
      <c r="I2316" t="str" s="8" cm="1">
        <f t="array" ref="I2316">SUBSTITUTE(H2316,B2316,"(          )")</f>
        <v>Quick action helped (          ) a serious crisis.</v>
      </c>
      <c r="J2316" s="9" cm="1">
        <f t="array" ref="J2316">SUMIF('외운 것 - 엑셀다운로드 파일(붙여넣기)'!A3:A562,A2316,'외운 것 - 엑셀다운로드 파일(붙여넣기)'!D3:D562)</f>
        <v>0</v>
      </c>
      <c r="K2316" s="9" cm="1">
        <f t="array" ref="K2316">_xlfn.COUNTIFS('외운 것 - 엑셀다운로드 파일(붙여넣기)'!A3:A562,A2316,'외운 것 - 엑셀다운로드 파일(붙여넣기)'!D3:D562,0)</f>
        <v>0</v>
      </c>
      <c r="L2316" s="9" cm="1">
        <f t="array" ref="L2316">IF(J2316&gt;=3,_xlfn.XLOOKUP(A2316,'외운 것 - 엑셀다운로드 파일(붙여넣기)'!A3:A562,'외운 것 - 엑셀다운로드 파일(붙여넣기)'!C3:C562,0,-1),0)</f>
        <v>0</v>
      </c>
    </row>
    <row r="2317" ht="38.45" customHeight="1">
      <c r="A2317" s="3">
        <v>2316</v>
      </c>
      <c r="B2317" t="s" s="4">
        <v>14521</v>
      </c>
      <c r="C2317" t="s" s="5">
        <v>14514</v>
      </c>
      <c r="D2317" t="s" s="5">
        <v>14515</v>
      </c>
      <c r="E2317" t="s" s="5">
        <v>14522</v>
      </c>
      <c r="F2317" t="s" s="10">
        <v>14523</v>
      </c>
      <c r="G2317" t="s" s="7">
        <v>14524</v>
      </c>
      <c r="H2317" t="s" s="7">
        <v>14525</v>
      </c>
      <c r="I2317" t="str" s="8" cm="1">
        <f t="array" ref="I2317">SUBSTITUTE(H2317,B2317,"(          )")</f>
        <v>The company will (          ) the new product on television.</v>
      </c>
      <c r="J2317" s="9" cm="1">
        <f t="array" ref="J2317">SUMIF('외운 것 - 엑셀다운로드 파일(붙여넣기)'!A3:A562,A2317,'외운 것 - 엑셀다운로드 파일(붙여넣기)'!D3:D562)</f>
        <v>0</v>
      </c>
      <c r="K2317" s="9" cm="1">
        <f t="array" ref="K2317">_xlfn.COUNTIFS('외운 것 - 엑셀다운로드 파일(붙여넣기)'!A3:A562,A2317,'외운 것 - 엑셀다운로드 파일(붙여넣기)'!D3:D562,0)</f>
        <v>0</v>
      </c>
      <c r="L2317" s="9" cm="1">
        <f t="array" ref="L2317">IF(J2317&gt;=3,_xlfn.XLOOKUP(A2317,'외운 것 - 엑셀다운로드 파일(붙여넣기)'!A3:A562,'외운 것 - 엑셀다운로드 파일(붙여넣기)'!C3:C562,0,-1),0)</f>
        <v>0</v>
      </c>
    </row>
    <row r="2318" ht="38.45" customHeight="1">
      <c r="A2318" s="3">
        <v>2317</v>
      </c>
      <c r="B2318" t="s" s="4">
        <v>14527</v>
      </c>
      <c r="C2318" t="s" s="5">
        <v>14514</v>
      </c>
      <c r="D2318" t="s" s="5">
        <v>14515</v>
      </c>
      <c r="E2318" t="s" s="5">
        <v>14528</v>
      </c>
      <c r="F2318" t="s" s="10">
        <v>14529</v>
      </c>
      <c r="G2318" t="s" s="7">
        <v>14530</v>
      </c>
      <c r="H2318" t="s" s="7">
        <v>14531</v>
      </c>
      <c r="I2318" t="str" s="8" cm="1">
        <f t="array" ref="I2318">SUBSTITUTE(H2318,B2318,"(          )")</f>
        <v>The builder will (          ) the old warehouse into apartments.</v>
      </c>
      <c r="J2318" s="9" cm="1">
        <f t="array" ref="J2318">SUMIF('외운 것 - 엑셀다운로드 파일(붙여넣기)'!A3:A562,A2318,'외운 것 - 엑셀다운로드 파일(붙여넣기)'!D3:D562)</f>
        <v>0</v>
      </c>
      <c r="K2318" s="9" cm="1">
        <f t="array" ref="K2318">_xlfn.COUNTIFS('외운 것 - 엑셀다운로드 파일(붙여넣기)'!A3:A562,A2318,'외운 것 - 엑셀다운로드 파일(붙여넣기)'!D3:D562,0)</f>
        <v>0</v>
      </c>
      <c r="L2318" s="9" cm="1">
        <f t="array" ref="L2318">IF(J2318&gt;=3,_xlfn.XLOOKUP(A2318,'외운 것 - 엑셀다운로드 파일(붙여넣기)'!A3:A562,'외운 것 - 엑셀다운로드 파일(붙여넣기)'!C3:C562,0,-1),0)</f>
        <v>0</v>
      </c>
    </row>
    <row r="2319" ht="38.45" customHeight="1">
      <c r="A2319" s="3">
        <v>2318</v>
      </c>
      <c r="B2319" t="s" s="4">
        <v>14533</v>
      </c>
      <c r="C2319" t="s" s="5">
        <v>14534</v>
      </c>
      <c r="D2319" t="s" s="5">
        <v>14514</v>
      </c>
      <c r="E2319" t="s" s="5">
        <v>14535</v>
      </c>
      <c r="F2319" t="s" s="10">
        <v>14536</v>
      </c>
      <c r="G2319" t="s" s="7">
        <v>14537</v>
      </c>
      <c r="H2319" t="s" s="7">
        <v>14538</v>
      </c>
      <c r="I2319" t="str" s="8" cm="1">
        <f t="array" ref="I2319">SUBSTITUTE(H2319,B2319,"(          )")</f>
        <v>The (          ) from miles to kilometers is easy to calculate.</v>
      </c>
      <c r="J2319" s="9" cm="1">
        <f t="array" ref="J2319">SUMIF('외운 것 - 엑셀다운로드 파일(붙여넣기)'!A3:A562,A2319,'외운 것 - 엑셀다운로드 파일(붙여넣기)'!D3:D562)</f>
        <v>0</v>
      </c>
      <c r="K2319" s="9" cm="1">
        <f t="array" ref="K2319">_xlfn.COUNTIFS('외운 것 - 엑셀다운로드 파일(붙여넣기)'!A3:A562,A2319,'외운 것 - 엑셀다운로드 파일(붙여넣기)'!D3:D562,0)</f>
        <v>0</v>
      </c>
      <c r="L2319" s="9" cm="1">
        <f t="array" ref="L2319">IF(J2319&gt;=3,_xlfn.XLOOKUP(A2319,'외운 것 - 엑셀다운로드 파일(붙여넣기)'!A3:A562,'외운 것 - 엑셀다운로드 파일(붙여넣기)'!C3:C562,0,-1),0)</f>
        <v>0</v>
      </c>
    </row>
    <row r="2320" ht="23.45" customHeight="1">
      <c r="A2320" s="3">
        <v>2319</v>
      </c>
      <c r="B2320" t="s" s="4">
        <v>14540</v>
      </c>
      <c r="C2320" t="s" s="5">
        <v>14514</v>
      </c>
      <c r="D2320" t="s" s="5">
        <v>14515</v>
      </c>
      <c r="E2320" t="s" s="5">
        <v>14541</v>
      </c>
      <c r="F2320" t="s" s="10">
        <v>14542</v>
      </c>
      <c r="G2320" t="s" s="7">
        <v>14543</v>
      </c>
      <c r="H2320" t="s" s="7">
        <v>14544</v>
      </c>
      <c r="I2320" t="str" s="8" cm="1">
        <f t="array" ref="I2320">SUBSTITUTE(H2320,B2320,"(          )")</f>
        <v>The climber scaled the (          ) cliff face.</v>
      </c>
      <c r="J2320" s="9" cm="1">
        <f t="array" ref="J2320">SUMIF('외운 것 - 엑셀다운로드 파일(붙여넣기)'!A3:A562,A2320,'외운 것 - 엑셀다운로드 파일(붙여넣기)'!D3:D562)</f>
        <v>0</v>
      </c>
      <c r="K2320" s="9" cm="1">
        <f t="array" ref="K2320">_xlfn.COUNTIFS('외운 것 - 엑셀다운로드 파일(붙여넣기)'!A3:A562,A2320,'외운 것 - 엑셀다운로드 파일(붙여넣기)'!D3:D562,0)</f>
        <v>0</v>
      </c>
      <c r="L2320" s="9" cm="1">
        <f t="array" ref="L2320">IF(J2320&gt;=3,_xlfn.XLOOKUP(A2320,'외운 것 - 엑셀다운로드 파일(붙여넣기)'!A3:A562,'외운 것 - 엑셀다운로드 파일(붙여넣기)'!C3:C562,0,-1),0)</f>
        <v>0</v>
      </c>
    </row>
    <row r="2321" ht="38.45" customHeight="1">
      <c r="A2321" s="3">
        <v>2320</v>
      </c>
      <c r="B2321" t="s" s="4">
        <v>14546</v>
      </c>
      <c r="C2321" t="s" s="5">
        <v>14514</v>
      </c>
      <c r="D2321" t="s" s="5">
        <v>14515</v>
      </c>
      <c r="E2321" t="s" s="5">
        <v>14547</v>
      </c>
      <c r="F2321" t="s" s="10">
        <v>14548</v>
      </c>
      <c r="G2321" t="s" s="7">
        <v>14549</v>
      </c>
      <c r="H2321" t="s" s="7">
        <v>14550</v>
      </c>
      <c r="I2321" t="str" s="8" cm="1">
        <f t="array" ref="I2321">SUBSTITUTE(H2321,B2321,"(          )")</f>
        <v>As an (          ), she prefers small gatherings to large parties.</v>
      </c>
      <c r="J2321" s="9" cm="1">
        <f t="array" ref="J2321">SUMIF('외운 것 - 엑셀다운로드 파일(붙여넣기)'!A3:A562,A2321,'외운 것 - 엑셀다운로드 파일(붙여넣기)'!D3:D562)</f>
        <v>0</v>
      </c>
      <c r="K2321" s="9" cm="1">
        <f t="array" ref="K2321">_xlfn.COUNTIFS('외운 것 - 엑셀다운로드 파일(붙여넣기)'!A3:A562,A2321,'외운 것 - 엑셀다운로드 파일(붙여넣기)'!D3:D562,0)</f>
        <v>0</v>
      </c>
      <c r="L2321" s="9" cm="1">
        <f t="array" ref="L2321">IF(J2321&gt;=3,_xlfn.XLOOKUP(A2321,'외운 것 - 엑셀다운로드 파일(붙여넣기)'!A3:A562,'외운 것 - 엑셀다운로드 파일(붙여넣기)'!C3:C562,0,-1),0)</f>
        <v>0</v>
      </c>
    </row>
    <row r="2322" ht="38.45" customHeight="1">
      <c r="A2322" s="3">
        <v>2321</v>
      </c>
      <c r="B2322" t="s" s="4">
        <v>14552</v>
      </c>
      <c r="C2322" t="s" s="5">
        <v>14514</v>
      </c>
      <c r="D2322" t="s" s="5">
        <v>14515</v>
      </c>
      <c r="E2322" t="s" s="5">
        <v>14553</v>
      </c>
      <c r="F2322" t="s" s="10">
        <v>14554</v>
      </c>
      <c r="G2322" t="s" s="7">
        <v>14555</v>
      </c>
      <c r="H2322" t="s" s="7">
        <v>14556</v>
      </c>
      <c r="I2322" t="str" s="8" cm="1">
        <f t="array" ref="I2322">SUBSTITUTE(H2322,B2322,"(          )")</f>
        <v>The (          ) easily makes friends in new situations.</v>
      </c>
      <c r="J2322" s="9" cm="1">
        <f t="array" ref="J2322">SUMIF('외운 것 - 엑셀다운로드 파일(붙여넣기)'!A3:A562,A2322,'외운 것 - 엑셀다운로드 파일(붙여넣기)'!D3:D562)</f>
        <v>0</v>
      </c>
      <c r="K2322" s="9" cm="1">
        <f t="array" ref="K2322">_xlfn.COUNTIFS('외운 것 - 엑셀다운로드 파일(붙여넣기)'!A3:A562,A2322,'외운 것 - 엑셀다운로드 파일(붙여넣기)'!D3:D562,0)</f>
        <v>0</v>
      </c>
      <c r="L2322" s="9" cm="1">
        <f t="array" ref="L2322">IF(J2322&gt;=3,_xlfn.XLOOKUP(A2322,'외운 것 - 엑셀다운로드 파일(붙여넣기)'!A3:A562,'외운 것 - 엑셀다운로드 파일(붙여넣기)'!C3:C562,0,-1),0)</f>
        <v>0</v>
      </c>
    </row>
    <row r="2323" ht="23.45" customHeight="1">
      <c r="A2323" s="3">
        <v>2322</v>
      </c>
      <c r="B2323" t="s" s="4">
        <v>14558</v>
      </c>
      <c r="C2323" t="s" s="5">
        <v>14559</v>
      </c>
      <c r="D2323" t="s" s="5">
        <v>14560</v>
      </c>
      <c r="E2323" t="s" s="5">
        <v>14561</v>
      </c>
      <c r="F2323" t="s" s="10">
        <v>14562</v>
      </c>
      <c r="G2323" t="s" s="7">
        <v>14563</v>
      </c>
      <c r="H2323" t="s" s="7">
        <v>14564</v>
      </c>
      <c r="I2323" t="str" s="8" cm="1">
        <f t="array" ref="I2323">SUBSTITUTE(H2323,B2323,"(          )")</f>
        <v>The (          ) shows how to assemble the furniture.</v>
      </c>
      <c r="J2323" s="9" cm="1">
        <f t="array" ref="J2323">SUMIF('외운 것 - 엑셀다운로드 파일(붙여넣기)'!A3:A562,A2323,'외운 것 - 엑셀다운로드 파일(붙여넣기)'!D3:D562)</f>
        <v>0</v>
      </c>
      <c r="K2323" s="9" cm="1">
        <f t="array" ref="K2323">_xlfn.COUNTIFS('외운 것 - 엑셀다운로드 파일(붙여넣기)'!A3:A562,A2323,'외운 것 - 엑셀다운로드 파일(붙여넣기)'!D3:D562,0)</f>
        <v>0</v>
      </c>
      <c r="L2323" s="9" cm="1">
        <f t="array" ref="L2323">IF(J2323&gt;=3,_xlfn.XLOOKUP(A2323,'외운 것 - 엑셀다운로드 파일(붙여넣기)'!A3:A562,'외운 것 - 엑셀다운로드 파일(붙여넣기)'!C3:C562,0,-1),0)</f>
        <v>0</v>
      </c>
    </row>
    <row r="2324" ht="23.45" customHeight="1">
      <c r="A2324" s="3">
        <v>2323</v>
      </c>
      <c r="B2324" t="s" s="4">
        <v>14566</v>
      </c>
      <c r="C2324" t="s" s="5">
        <v>14559</v>
      </c>
      <c r="D2324" t="s" s="5">
        <v>14560</v>
      </c>
      <c r="E2324" t="s" s="5">
        <v>14567</v>
      </c>
      <c r="F2324" t="s" s="10">
        <v>14568</v>
      </c>
      <c r="G2324" t="s" s="7">
        <v>14569</v>
      </c>
      <c r="H2324" t="s" s="7">
        <v>14570</v>
      </c>
      <c r="I2324" t="str" s="8" cm="1">
        <f t="array" ref="I2324">SUBSTITUTE(H2324,B2324,"(          )")</f>
        <v>The hotel (          )s free breakfast for guests.</v>
      </c>
      <c r="J2324" s="9" cm="1">
        <f t="array" ref="J2324">SUMIF('외운 것 - 엑셀다운로드 파일(붙여넣기)'!A3:A562,A2324,'외운 것 - 엑셀다운로드 파일(붙여넣기)'!D3:D562)</f>
        <v>0</v>
      </c>
      <c r="K2324" s="9" cm="1">
        <f t="array" ref="K2324">_xlfn.COUNTIFS('외운 것 - 엑셀다운로드 파일(붙여넣기)'!A3:A562,A2324,'외운 것 - 엑셀다운로드 파일(붙여넣기)'!D3:D562,0)</f>
        <v>0</v>
      </c>
      <c r="L2324" s="9" cm="1">
        <f t="array" ref="L2324">IF(J2324&gt;=3,_xlfn.XLOOKUP(A2324,'외운 것 - 엑셀다운로드 파일(붙여넣기)'!A3:A562,'외운 것 - 엑셀다운로드 파일(붙여넣기)'!C3:C562,0,-1),0)</f>
        <v>0</v>
      </c>
    </row>
    <row r="2325" ht="38.45" customHeight="1">
      <c r="A2325" s="3">
        <v>2324</v>
      </c>
      <c r="B2325" t="s" s="4">
        <v>14572</v>
      </c>
      <c r="C2325" t="s" s="5">
        <v>14573</v>
      </c>
      <c r="D2325" t="s" s="5">
        <v>14559</v>
      </c>
      <c r="E2325" t="s" s="5">
        <v>14574</v>
      </c>
      <c r="F2325" t="s" s="10">
        <v>14575</v>
      </c>
      <c r="G2325" t="s" s="7">
        <v>14576</v>
      </c>
      <c r="H2325" t="s" s="7">
        <v>14577</v>
      </c>
      <c r="I2325" t="str" s="8" cm="1">
        <f t="array" ref="I2325">SUBSTITUTE(H2325,B2325,"(          )")</f>
        <v>The hikers carried (          )s for a three-day trek.</v>
      </c>
      <c r="J2325" s="9" cm="1">
        <f t="array" ref="J2325">SUMIF('외운 것 - 엑셀다운로드 파일(붙여넣기)'!A3:A562,A2325,'외운 것 - 엑셀다운로드 파일(붙여넣기)'!D3:D562)</f>
        <v>0</v>
      </c>
      <c r="K2325" s="9" cm="1">
        <f t="array" ref="K2325">_xlfn.COUNTIFS('외운 것 - 엑셀다운로드 파일(붙여넣기)'!A3:A562,A2325,'외운 것 - 엑셀다운로드 파일(붙여넣기)'!D3:D562,0)</f>
        <v>0</v>
      </c>
      <c r="L2325" s="9" cm="1">
        <f t="array" ref="L2325">IF(J2325&gt;=3,_xlfn.XLOOKUP(A2325,'외운 것 - 엑셀다운로드 파일(붙여넣기)'!A3:A562,'외운 것 - 엑셀다운로드 파일(붙여넣기)'!C3:C562,0,-1),0)</f>
        <v>0</v>
      </c>
    </row>
    <row r="2326" ht="38.45" customHeight="1">
      <c r="A2326" s="3">
        <v>2325</v>
      </c>
      <c r="B2326" t="s" s="4">
        <v>14579</v>
      </c>
      <c r="C2326" t="s" s="5">
        <v>14559</v>
      </c>
      <c r="D2326" t="s" s="5">
        <v>14560</v>
      </c>
      <c r="E2326" t="s" s="5">
        <v>14580</v>
      </c>
      <c r="F2326" t="s" s="10">
        <v>14581</v>
      </c>
      <c r="G2326" t="s" s="7">
        <v>14582</v>
      </c>
      <c r="H2326" t="s" s="7">
        <v>14583</v>
      </c>
      <c r="I2326" t="str" s="8" cm="1">
        <f t="array" ref="I2326">SUBSTITUTE(H2326,B2326,"(          )")</f>
        <v>The benefits of exercise are (          ) in his improved health.</v>
      </c>
      <c r="J2326" s="9" cm="1">
        <f t="array" ref="J2326">SUMIF('외운 것 - 엑셀다운로드 파일(붙여넣기)'!A3:A562,A2326,'외운 것 - 엑셀다운로드 파일(붙여넣기)'!D3:D562)</f>
        <v>0</v>
      </c>
      <c r="K2326" s="9" cm="1">
        <f t="array" ref="K2326">_xlfn.COUNTIFS('외운 것 - 엑셀다운로드 파일(붙여넣기)'!A3:A562,A2326,'외운 것 - 엑셀다운로드 파일(붙여넣기)'!D3:D562,0)</f>
        <v>0</v>
      </c>
      <c r="L2326" s="9" cm="1">
        <f t="array" ref="L2326">IF(J2326&gt;=3,_xlfn.XLOOKUP(A2326,'외운 것 - 엑셀다운로드 파일(붙여넣기)'!A3:A562,'외운 것 - 엑셀다운로드 파일(붙여넣기)'!C3:C562,0,-1),0)</f>
        <v>0</v>
      </c>
    </row>
    <row r="2327" ht="36.4" customHeight="1">
      <c r="A2327" s="3">
        <v>2326</v>
      </c>
      <c r="B2327" t="s" s="4">
        <v>14585</v>
      </c>
      <c r="C2327" t="s" s="5">
        <v>14586</v>
      </c>
      <c r="D2327" t="s" s="5">
        <v>14559</v>
      </c>
      <c r="E2327" t="s" s="5">
        <v>14587</v>
      </c>
      <c r="F2327" t="s" s="10">
        <v>14588</v>
      </c>
      <c r="G2327" t="s" s="7">
        <v>14589</v>
      </c>
      <c r="H2327" t="s" s="7">
        <v>14590</v>
      </c>
      <c r="I2327" t="str" s="8" cm="1">
        <f t="array" ref="I2327">SUBSTITUTE(H2327,B2327,"(          )")</f>
        <v>Police collected (          ) at the crime scene.</v>
      </c>
      <c r="J2327" s="9" cm="1">
        <f t="array" ref="J2327">SUMIF('외운 것 - 엑셀다운로드 파일(붙여넣기)'!A3:A562,A2327,'외운 것 - 엑셀다운로드 파일(붙여넣기)'!D3:D562)</f>
        <v>0</v>
      </c>
      <c r="K2327" s="9" cm="1">
        <f t="array" ref="K2327">_xlfn.COUNTIFS('외운 것 - 엑셀다운로드 파일(붙여넣기)'!A3:A562,A2327,'외운 것 - 엑셀다운로드 파일(붙여넣기)'!D3:D562,0)</f>
        <v>0</v>
      </c>
      <c r="L2327" s="9" cm="1">
        <f t="array" ref="L2327">IF(J2327&gt;=3,_xlfn.XLOOKUP(A2327,'외운 것 - 엑셀다운로드 파일(붙여넣기)'!A3:A562,'외운 것 - 엑셀다운로드 파일(붙여넣기)'!C3:C562,0,-1),0)</f>
        <v>0</v>
      </c>
    </row>
    <row r="2328" ht="38.45" customHeight="1">
      <c r="A2328" s="3">
        <v>2327</v>
      </c>
      <c r="B2328" t="s" s="4">
        <v>14592</v>
      </c>
      <c r="C2328" t="s" s="5">
        <v>14593</v>
      </c>
      <c r="D2328" t="s" s="5">
        <v>14594</v>
      </c>
      <c r="E2328" t="s" s="5">
        <v>14595</v>
      </c>
      <c r="F2328" t="s" s="10">
        <v>14596</v>
      </c>
      <c r="G2328" t="s" s="7">
        <v>14597</v>
      </c>
      <c r="H2328" t="s" s="7">
        <v>14598</v>
      </c>
      <c r="I2328" t="str" s="8" cm="1">
        <f t="array" ref="I2328">SUBSTITUTE(H2328,B2328,"(          )")</f>
        <v>The company's (          ) is to become a global leader in technology.</v>
      </c>
      <c r="J2328" s="9" cm="1">
        <f t="array" ref="J2328">SUMIF('외운 것 - 엑셀다운로드 파일(붙여넣기)'!A3:A562,A2328,'외운 것 - 엑셀다운로드 파일(붙여넣기)'!D3:D562)</f>
        <v>0</v>
      </c>
      <c r="K2328" s="9" cm="1">
        <f t="array" ref="K2328">_xlfn.COUNTIFS('외운 것 - 엑셀다운로드 파일(붙여넣기)'!A3:A562,A2328,'외운 것 - 엑셀다운로드 파일(붙여넣기)'!D3:D562,0)</f>
        <v>0</v>
      </c>
      <c r="L2328" s="9" cm="1">
        <f t="array" ref="L2328">IF(J2328&gt;=3,_xlfn.XLOOKUP(A2328,'외운 것 - 엑셀다운로드 파일(붙여넣기)'!A3:A562,'외운 것 - 엑셀다운로드 파일(붙여넣기)'!C3:C562,0,-1),0)</f>
        <v>0</v>
      </c>
    </row>
    <row r="2329" ht="38.45" customHeight="1">
      <c r="A2329" s="3">
        <v>2328</v>
      </c>
      <c r="B2329" t="s" s="4">
        <v>14600</v>
      </c>
      <c r="C2329" t="s" s="5">
        <v>14601</v>
      </c>
      <c r="D2329" t="s" s="5">
        <v>14593</v>
      </c>
      <c r="E2329" t="s" s="5">
        <v>14602</v>
      </c>
      <c r="F2329" t="s" s="10">
        <v>14603</v>
      </c>
      <c r="G2329" t="s" s="7">
        <v>14604</v>
      </c>
      <c r="H2329" t="s" s="7">
        <v>14605</v>
      </c>
      <c r="I2329" t="str" s="8" cm="1">
        <f t="array" ref="I2329">SUBSTITUTE(H2329,B2329,"(          )")</f>
        <v>The (          ) entrepreneur predicted mobile computing decades ago.</v>
      </c>
      <c r="J2329" s="9" cm="1">
        <f t="array" ref="J2329">SUMIF('외운 것 - 엑셀다운로드 파일(붙여넣기)'!A3:A562,A2329,'외운 것 - 엑셀다운로드 파일(붙여넣기)'!D3:D562)</f>
        <v>0</v>
      </c>
      <c r="K2329" s="9" cm="1">
        <f t="array" ref="K2329">_xlfn.COUNTIFS('외운 것 - 엑셀다운로드 파일(붙여넣기)'!A3:A562,A2329,'외운 것 - 엑셀다운로드 파일(붙여넣기)'!D3:D562,0)</f>
        <v>0</v>
      </c>
      <c r="L2329" s="9" cm="1">
        <f t="array" ref="L2329">IF(J2329&gt;=3,_xlfn.XLOOKUP(A2329,'외운 것 - 엑셀다운로드 파일(붙여넣기)'!A3:A562,'외운 것 - 엑셀다운로드 파일(붙여넣기)'!C3:C562,0,-1),0)</f>
        <v>0</v>
      </c>
    </row>
    <row r="2330" ht="23.45" customHeight="1">
      <c r="A2330" s="3">
        <v>2329</v>
      </c>
      <c r="B2330" t="s" s="4">
        <v>14607</v>
      </c>
      <c r="C2330" t="s" s="5">
        <v>14593</v>
      </c>
      <c r="D2330" t="s" s="5">
        <v>14594</v>
      </c>
      <c r="E2330" t="s" s="5">
        <v>14608</v>
      </c>
      <c r="F2330" t="s" s="10">
        <v>14609</v>
      </c>
      <c r="G2330" t="s" s="7">
        <v>14610</v>
      </c>
      <c r="H2330" t="s" s="7">
        <v>14611</v>
      </c>
      <c r="I2330" t="str" s="8" cm="1">
        <f t="array" ref="I2330">SUBSTITUTE(H2330,B2330,"(          )")</f>
        <v>Stars become (          ) in the night sky after sunset.</v>
      </c>
      <c r="J2330" s="9" cm="1">
        <f t="array" ref="J2330">SUMIF('외운 것 - 엑셀다운로드 파일(붙여넣기)'!A3:A562,A2330,'외운 것 - 엑셀다운로드 파일(붙여넣기)'!D3:D562)</f>
        <v>0</v>
      </c>
      <c r="K2330" s="9" cm="1">
        <f t="array" ref="K2330">_xlfn.COUNTIFS('외운 것 - 엑셀다운로드 파일(붙여넣기)'!A3:A562,A2330,'외운 것 - 엑셀다운로드 파일(붙여넣기)'!D3:D562,0)</f>
        <v>0</v>
      </c>
      <c r="L2330" s="9" cm="1">
        <f t="array" ref="L2330">IF(J2330&gt;=3,_xlfn.XLOOKUP(A2330,'외운 것 - 엑셀다운로드 파일(붙여넣기)'!A3:A562,'외운 것 - 엑셀다운로드 파일(붙여넣기)'!C3:C562,0,-1),0)</f>
        <v>0</v>
      </c>
    </row>
    <row r="2331" ht="38.45" customHeight="1">
      <c r="A2331" s="3">
        <v>2330</v>
      </c>
      <c r="B2331" t="s" s="4">
        <v>14613</v>
      </c>
      <c r="C2331" t="s" s="5">
        <v>14614</v>
      </c>
      <c r="D2331" t="s" s="5">
        <v>14593</v>
      </c>
      <c r="E2331" t="s" s="5">
        <v>14615</v>
      </c>
      <c r="F2331" t="s" s="10">
        <v>14616</v>
      </c>
      <c r="G2331" t="s" s="7">
        <v>14617</v>
      </c>
      <c r="H2331" t="s" s="7">
        <v>14618</v>
      </c>
      <c r="I2331" t="str" s="8" cm="1">
        <f t="array" ref="I2331">SUBSTITUTE(H2331,B2331,"(          )")</f>
        <v>Germs are (          ) to the naked eye.</v>
      </c>
      <c r="J2331" s="9" cm="1">
        <f t="array" ref="J2331">SUMIF('외운 것 - 엑셀다운로드 파일(붙여넣기)'!A3:A562,A2331,'외운 것 - 엑셀다운로드 파일(붙여넣기)'!D3:D562)</f>
        <v>0</v>
      </c>
      <c r="K2331" s="9" cm="1">
        <f t="array" ref="K2331">_xlfn.COUNTIFS('외운 것 - 엑셀다운로드 파일(붙여넣기)'!A3:A562,A2331,'외운 것 - 엑셀다운로드 파일(붙여넣기)'!D3:D562,0)</f>
        <v>0</v>
      </c>
      <c r="L2331" s="9" cm="1">
        <f t="array" ref="L2331">IF(J2331&gt;=3,_xlfn.XLOOKUP(A2331,'외운 것 - 엑셀다운로드 파일(붙여넣기)'!A3:A562,'외운 것 - 엑셀다운로드 파일(붙여넣기)'!C3:C562,0,-1),0)</f>
        <v>0</v>
      </c>
    </row>
    <row r="2332" ht="38.45" customHeight="1">
      <c r="A2332" s="3">
        <v>2331</v>
      </c>
      <c r="B2332" t="s" s="4">
        <v>14620</v>
      </c>
      <c r="C2332" t="s" s="5">
        <v>14601</v>
      </c>
      <c r="D2332" t="s" s="5">
        <v>14593</v>
      </c>
      <c r="E2332" t="s" s="5">
        <v>14621</v>
      </c>
      <c r="F2332" t="s" s="10">
        <v>14622</v>
      </c>
      <c r="G2332" t="s" s="7">
        <v>14623</v>
      </c>
      <c r="H2332" t="s" s="7">
        <v>14624</v>
      </c>
      <c r="I2332" t="str" s="8" cm="1">
        <f t="array" ref="I2332">SUBSTITUTE(H2332,B2332,"(          )")</f>
        <v>I (          ) a future where clean energy is the norm.</v>
      </c>
      <c r="J2332" s="9" cm="1">
        <f t="array" ref="J2332">SUMIF('외운 것 - 엑셀다운로드 파일(붙여넣기)'!A3:A562,A2332,'외운 것 - 엑셀다운로드 파일(붙여넣기)'!D3:D562)</f>
        <v>0</v>
      </c>
      <c r="K2332" s="9" cm="1">
        <f t="array" ref="K2332">_xlfn.COUNTIFS('외운 것 - 엑셀다운로드 파일(붙여넣기)'!A3:A562,A2332,'외운 것 - 엑셀다운로드 파일(붙여넣기)'!D3:D562,0)</f>
        <v>0</v>
      </c>
      <c r="L2332" s="9" cm="1">
        <f t="array" ref="L2332">IF(J2332&gt;=3,_xlfn.XLOOKUP(A2332,'외운 것 - 엑셀다운로드 파일(붙여넣기)'!A3:A562,'외운 것 - 엑셀다운로드 파일(붙여넣기)'!C3:C562,0,-1),0)</f>
        <v>0</v>
      </c>
    </row>
    <row r="2333" ht="23.45" customHeight="1">
      <c r="A2333" s="3">
        <v>2332</v>
      </c>
      <c r="B2333" t="s" s="4">
        <v>14626</v>
      </c>
      <c r="C2333" t="s" s="5">
        <v>14627</v>
      </c>
      <c r="D2333" t="s" s="5">
        <v>14593</v>
      </c>
      <c r="E2333" t="s" s="5">
        <v>14628</v>
      </c>
      <c r="F2333" t="s" s="10">
        <v>14629</v>
      </c>
      <c r="G2333" t="s" s="7">
        <v>14630</v>
      </c>
      <c r="H2333" t="s" s="7">
        <v>14631</v>
      </c>
      <c r="I2333" t="str" s="8" cm="1">
        <f t="array" ref="I2333">SUBSTITUTE(H2333,B2333,"(          )")</f>
        <v>Don't waste time in (          ) of others' success.</v>
      </c>
      <c r="J2333" s="9" cm="1">
        <f t="array" ref="J2333">SUMIF('외운 것 - 엑셀다운로드 파일(붙여넣기)'!A3:A562,A2333,'외운 것 - 엑셀다운로드 파일(붙여넣기)'!D3:D562)</f>
        <v>0</v>
      </c>
      <c r="K2333" s="9" cm="1">
        <f t="array" ref="K2333">_xlfn.COUNTIFS('외운 것 - 엑셀다운로드 파일(붙여넣기)'!A3:A562,A2333,'외운 것 - 엑셀다운로드 파일(붙여넣기)'!D3:D562,0)</f>
        <v>0</v>
      </c>
      <c r="L2333" s="9" cm="1">
        <f t="array" ref="L2333">IF(J2333&gt;=3,_xlfn.XLOOKUP(A2333,'외운 것 - 엑셀다운로드 파일(붙여넣기)'!A3:A562,'외운 것 - 엑셀다운로드 파일(붙여넣기)'!C3:C562,0,-1),0)</f>
        <v>0</v>
      </c>
    </row>
    <row r="2334" ht="36.4" customHeight="1">
      <c r="A2334" s="3">
        <v>2333</v>
      </c>
      <c r="B2334" t="s" s="4">
        <v>14633</v>
      </c>
      <c r="C2334" t="s" s="5">
        <v>14634</v>
      </c>
      <c r="D2334" t="s" s="5">
        <v>14593</v>
      </c>
      <c r="E2334" t="s" s="5">
        <v>14635</v>
      </c>
      <c r="F2334" t="s" s="10">
        <v>14636</v>
      </c>
      <c r="G2334" t="s" s="7">
        <v>14637</v>
      </c>
      <c r="H2334" t="s" s="7">
        <v>14638</v>
      </c>
      <c r="I2334" t="str" s="8" cm="1">
        <f t="array" ref="I2334">SUBSTITUTE(H2334,B2334,"(          )")</f>
        <v>She has the (          ) ability to learn languages quickly.</v>
      </c>
      <c r="J2334" s="9" cm="1">
        <f t="array" ref="J2334">SUMIF('외운 것 - 엑셀다운로드 파일(붙여넣기)'!A3:A562,A2334,'외운 것 - 엑셀다운로드 파일(붙여넣기)'!D3:D562)</f>
        <v>0</v>
      </c>
      <c r="K2334" s="9" cm="1">
        <f t="array" ref="K2334">_xlfn.COUNTIFS('외운 것 - 엑셀다운로드 파일(붙여넣기)'!A3:A562,A2334,'외운 것 - 엑셀다운로드 파일(붙여넣기)'!D3:D562,0)</f>
        <v>0</v>
      </c>
      <c r="L2334" s="9" cm="1">
        <f t="array" ref="L2334">IF(J2334&gt;=3,_xlfn.XLOOKUP(A2334,'외운 것 - 엑셀다운로드 파일(붙여넣기)'!A3:A562,'외운 것 - 엑셀다운로드 파일(붙여넣기)'!C3:C562,0,-1),0)</f>
        <v>0</v>
      </c>
    </row>
    <row r="2335" ht="23.45" customHeight="1">
      <c r="A2335" s="3">
        <v>2334</v>
      </c>
      <c r="B2335" t="s" s="4">
        <v>14640</v>
      </c>
      <c r="C2335" t="s" s="5">
        <v>14593</v>
      </c>
      <c r="D2335" t="s" s="5">
        <v>14594</v>
      </c>
      <c r="E2335" t="s" s="5">
        <v>14641</v>
      </c>
      <c r="F2335" t="s" s="10">
        <v>14642</v>
      </c>
      <c r="G2335" t="s" s="7">
        <v>14643</v>
      </c>
      <c r="H2335" t="s" s="7">
        <v>14644</v>
      </c>
      <c r="I2335" t="str" s="8" cm="1">
        <f t="array" ref="I2335">SUBSTITUTE(H2335,B2335,"(          )")</f>
        <v>The engineer will (          ) a solution to the problem.</v>
      </c>
      <c r="J2335" s="9" cm="1">
        <f t="array" ref="J2335">SUMIF('외운 것 - 엑셀다운로드 파일(붙여넣기)'!A3:A562,A2335,'외운 것 - 엑셀다운로드 파일(붙여넣기)'!D3:D562)</f>
        <v>0</v>
      </c>
      <c r="K2335" s="9" cm="1">
        <f t="array" ref="K2335">_xlfn.COUNTIFS('외운 것 - 엑셀다운로드 파일(붙여넣기)'!A3:A562,A2335,'외운 것 - 엑셀다운로드 파일(붙여넣기)'!D3:D562,0)</f>
        <v>0</v>
      </c>
      <c r="L2335" s="9" cm="1">
        <f t="array" ref="L2335">IF(J2335&gt;=3,_xlfn.XLOOKUP(A2335,'외운 것 - 엑셀다운로드 파일(붙여넣기)'!A3:A562,'외운 것 - 엑셀다운로드 파일(붙여넣기)'!C3:C562,0,-1),0)</f>
        <v>0</v>
      </c>
    </row>
    <row r="2336" ht="23.45" customHeight="1">
      <c r="A2336" s="3">
        <v>2335</v>
      </c>
      <c r="B2336" t="s" s="4">
        <v>14646</v>
      </c>
      <c r="C2336" t="s" s="5">
        <v>14593</v>
      </c>
      <c r="D2336" t="s" s="5">
        <v>14594</v>
      </c>
      <c r="E2336" t="s" s="5">
        <v>14647</v>
      </c>
      <c r="F2336" t="s" s="10">
        <v>14648</v>
      </c>
      <c r="G2336" t="s" s="7">
        <v>14649</v>
      </c>
      <c r="H2336" t="s" s="7">
        <v>14650</v>
      </c>
      <c r="I2336" t="str" s="8" cm="1">
        <f t="array" ref="I2336">SUBSTITUTE(H2336,B2336,"(          )")</f>
        <v>Students should (          ) their essays before submission.</v>
      </c>
      <c r="J2336" s="9" cm="1">
        <f t="array" ref="J2336">SUMIF('외운 것 - 엑셀다운로드 파일(붙여넣기)'!A3:A562,A2336,'외운 것 - 엑셀다운로드 파일(붙여넣기)'!D3:D562)</f>
        <v>0</v>
      </c>
      <c r="K2336" s="9" cm="1">
        <f t="array" ref="K2336">_xlfn.COUNTIFS('외운 것 - 엑셀다운로드 파일(붙여넣기)'!A3:A562,A2336,'외운 것 - 엑셀다운로드 파일(붙여넣기)'!D3:D562,0)</f>
        <v>0</v>
      </c>
      <c r="L2336" s="9" cm="1">
        <f t="array" ref="L2336">IF(J2336&gt;=3,_xlfn.XLOOKUP(A2336,'외운 것 - 엑셀다운로드 파일(붙여넣기)'!A3:A562,'외운 것 - 엑셀다운로드 파일(붙여넣기)'!C3:C562,0,-1),0)</f>
        <v>0</v>
      </c>
    </row>
    <row r="2337" ht="23.45" customHeight="1">
      <c r="A2337" s="3">
        <v>2336</v>
      </c>
      <c r="B2337" t="s" s="4">
        <v>14652</v>
      </c>
      <c r="C2337" t="s" s="5">
        <v>14593</v>
      </c>
      <c r="D2337" t="s" s="5">
        <v>14594</v>
      </c>
      <c r="E2337" t="s" s="5">
        <v>14653</v>
      </c>
      <c r="F2337" t="s" s="10">
        <v>14654</v>
      </c>
      <c r="G2337" t="s" s="7">
        <v>9612</v>
      </c>
      <c r="H2337" t="s" s="7">
        <v>14655</v>
      </c>
      <c r="I2337" t="str" s="8" cm="1">
        <f t="array" ref="I2337">SUBSTITUTE(H2337,B2337,"(          )")</f>
        <v>The manager (          )s a team of ten employees.</v>
      </c>
      <c r="J2337" s="9" cm="1">
        <f t="array" ref="J2337">SUMIF('외운 것 - 엑셀다운로드 파일(붙여넣기)'!A3:A562,A2337,'외운 것 - 엑셀다운로드 파일(붙여넣기)'!D3:D562)</f>
        <v>0</v>
      </c>
      <c r="K2337" s="9" cm="1">
        <f t="array" ref="K2337">_xlfn.COUNTIFS('외운 것 - 엑셀다운로드 파일(붙여넣기)'!A3:A562,A2337,'외운 것 - 엑셀다운로드 파일(붙여넣기)'!D3:D562,0)</f>
        <v>0</v>
      </c>
      <c r="L2337" s="9" cm="1">
        <f t="array" ref="L2337">IF(J2337&gt;=3,_xlfn.XLOOKUP(A2337,'외운 것 - 엑셀다운로드 파일(붙여넣기)'!A3:A562,'외운 것 - 엑셀다운로드 파일(붙여넣기)'!C3:C562,0,-1),0)</f>
        <v>0</v>
      </c>
    </row>
    <row r="2338" ht="23.45" customHeight="1">
      <c r="A2338" s="3">
        <v>2337</v>
      </c>
      <c r="B2338" t="s" s="4">
        <v>14657</v>
      </c>
      <c r="C2338" t="s" s="5">
        <v>14593</v>
      </c>
      <c r="D2338" t="s" s="5">
        <v>14594</v>
      </c>
      <c r="E2338" t="s" s="5">
        <v>14658</v>
      </c>
      <c r="F2338" t="s" s="10">
        <v>14659</v>
      </c>
      <c r="G2338" t="s" s="7">
        <v>14660</v>
      </c>
      <c r="H2338" t="s" s="7">
        <v>14661</v>
      </c>
      <c r="I2338" t="str" s="8" cm="1">
        <f t="array" ref="I2338">SUBSTITUTE(H2338,B2338,"(          )")</f>
        <v>The financial consultant will (          ) you on investments.</v>
      </c>
      <c r="J2338" s="9" cm="1">
        <f t="array" ref="J2338">SUMIF('외운 것 - 엑셀다운로드 파일(붙여넣기)'!A3:A562,A2338,'외운 것 - 엑셀다운로드 파일(붙여넣기)'!D3:D562)</f>
        <v>0</v>
      </c>
      <c r="K2338" s="9" cm="1">
        <f t="array" ref="K2338">_xlfn.COUNTIFS('외운 것 - 엑셀다운로드 파일(붙여넣기)'!A3:A562,A2338,'외운 것 - 엑셀다운로드 파일(붙여넣기)'!D3:D562,0)</f>
        <v>0</v>
      </c>
      <c r="L2338" s="9" cm="1">
        <f t="array" ref="L2338">IF(J2338&gt;=3,_xlfn.XLOOKUP(A2338,'외운 것 - 엑셀다운로드 파일(붙여넣기)'!A3:A562,'외운 것 - 엑셀다운로드 파일(붙여넣기)'!C3:C562,0,-1),0)</f>
        <v>0</v>
      </c>
    </row>
    <row r="2339" ht="23.45" customHeight="1">
      <c r="A2339" s="3">
        <v>2338</v>
      </c>
      <c r="B2339" t="s" s="4">
        <v>14663</v>
      </c>
      <c r="C2339" t="s" s="5">
        <v>14593</v>
      </c>
      <c r="D2339" t="s" s="5">
        <v>14594</v>
      </c>
      <c r="E2339" t="s" s="5">
        <v>14664</v>
      </c>
      <c r="F2339" t="s" s="10">
        <v>14665</v>
      </c>
      <c r="G2339" t="s" s="7">
        <v>14666</v>
      </c>
      <c r="H2339" t="s" s="7">
        <v>14667</v>
      </c>
      <c r="I2339" t="str" s="8" cm="1">
        <f t="array" ref="I2339">SUBSTITUTE(H2339,B2339,"(          )")</f>
        <v>We plan to (          ) Rome next summer.</v>
      </c>
      <c r="J2339" s="9" cm="1">
        <f t="array" ref="J2339">SUMIF('외운 것 - 엑셀다운로드 파일(붙여넣기)'!A3:A562,A2339,'외운 것 - 엑셀다운로드 파일(붙여넣기)'!D3:D562)</f>
        <v>0</v>
      </c>
      <c r="K2339" s="9" cm="1">
        <f t="array" ref="K2339">_xlfn.COUNTIFS('외운 것 - 엑셀다운로드 파일(붙여넣기)'!A3:A562,A2339,'외운 것 - 엑셀다운로드 파일(붙여넣기)'!D3:D562,0)</f>
        <v>0</v>
      </c>
      <c r="L2339" s="9" cm="1">
        <f t="array" ref="L2339">IF(J2339&gt;=3,_xlfn.XLOOKUP(A2339,'외운 것 - 엑셀다운로드 파일(붙여넣기)'!A3:A562,'외운 것 - 엑셀다운로드 파일(붙여넣기)'!C3:C562,0,-1),0)</f>
        <v>0</v>
      </c>
    </row>
    <row r="2340" ht="23.45" customHeight="1">
      <c r="A2340" s="3">
        <v>2339</v>
      </c>
      <c r="B2340" t="s" s="4">
        <v>14669</v>
      </c>
      <c r="C2340" t="s" s="5">
        <v>14670</v>
      </c>
      <c r="D2340" t="s" s="5">
        <v>14671</v>
      </c>
      <c r="E2340" t="s" s="5">
        <v>14672</v>
      </c>
      <c r="F2340" t="s" s="10">
        <v>14673</v>
      </c>
      <c r="G2340" t="s" s="7">
        <v>14674</v>
      </c>
      <c r="H2340" t="s" s="7">
        <v>14675</v>
      </c>
      <c r="I2340" t="str" s="8" cm="1">
        <f t="array" ref="I2340">SUBSTITUTE(H2340,B2340,"(          )")</f>
        <v>The (          ) minority opposed the new regulations.</v>
      </c>
      <c r="J2340" s="9" cm="1">
        <f t="array" ref="J2340">SUMIF('외운 것 - 엑셀다운로드 파일(붙여넣기)'!A3:A562,A2340,'외운 것 - 엑셀다운로드 파일(붙여넣기)'!D3:D562)</f>
        <v>0</v>
      </c>
      <c r="K2340" s="9" cm="1">
        <f t="array" ref="K2340">_xlfn.COUNTIFS('외운 것 - 엑셀다운로드 파일(붙여넣기)'!A3:A562,A2340,'외운 것 - 엑셀다운로드 파일(붙여넣기)'!D3:D562,0)</f>
        <v>0</v>
      </c>
      <c r="L2340" s="9" cm="1">
        <f t="array" ref="L2340">IF(J2340&gt;=3,_xlfn.XLOOKUP(A2340,'외운 것 - 엑셀다운로드 파일(붙여넣기)'!A3:A562,'외운 것 - 엑셀다운로드 파일(붙여넣기)'!C3:C562,0,-1),0)</f>
        <v>0</v>
      </c>
    </row>
    <row r="2341" ht="23.45" customHeight="1">
      <c r="A2341" s="3">
        <v>2340</v>
      </c>
      <c r="B2341" t="s" s="4">
        <v>14677</v>
      </c>
      <c r="C2341" t="s" s="5">
        <v>14670</v>
      </c>
      <c r="D2341" t="s" s="5">
        <v>14671</v>
      </c>
      <c r="E2341" t="s" s="5">
        <v>14678</v>
      </c>
      <c r="F2341" t="s" s="10">
        <v>14679</v>
      </c>
      <c r="G2341" t="s" s="7">
        <v>14680</v>
      </c>
      <c r="H2341" t="s" s="7">
        <v>14681</v>
      </c>
      <c r="I2341" t="str" s="8" cm="1">
        <f t="array" ref="I2341">SUBSTITUTE(H2341,B2341,"(          )")</f>
        <v>Teaching is not just a job but a (          ).</v>
      </c>
      <c r="J2341" s="9" cm="1">
        <f t="array" ref="J2341">SUMIF('외운 것 - 엑셀다운로드 파일(붙여넣기)'!A3:A562,A2341,'외운 것 - 엑셀다운로드 파일(붙여넣기)'!D3:D562)</f>
        <v>0</v>
      </c>
      <c r="K2341" s="9" cm="1">
        <f t="array" ref="K2341">_xlfn.COUNTIFS('외운 것 - 엑셀다운로드 파일(붙여넣기)'!A3:A562,A2341,'외운 것 - 엑셀다운로드 파일(붙여넣기)'!D3:D562,0)</f>
        <v>0</v>
      </c>
      <c r="L2341" s="9" cm="1">
        <f t="array" ref="L2341">IF(J2341&gt;=3,_xlfn.XLOOKUP(A2341,'외운 것 - 엑셀다운로드 파일(붙여넣기)'!A3:A562,'외운 것 - 엑셀다운로드 파일(붙여넣기)'!C3:C562,0,-1),0)</f>
        <v>0</v>
      </c>
    </row>
    <row r="2342" ht="36.4" customHeight="1">
      <c r="A2342" s="3">
        <v>2341</v>
      </c>
      <c r="B2342" t="s" s="4">
        <v>14683</v>
      </c>
      <c r="C2342" t="s" s="5">
        <v>14684</v>
      </c>
      <c r="D2342" t="s" s="5">
        <v>14670</v>
      </c>
      <c r="E2342" t="s" s="5">
        <v>14685</v>
      </c>
      <c r="F2342" t="s" s="10">
        <v>14686</v>
      </c>
      <c r="G2342" t="s" s="7">
        <v>14687</v>
      </c>
      <c r="H2342" t="s" s="7">
        <v>14688</v>
      </c>
      <c r="I2342" t="str" s="8" cm="1">
        <f t="array" ref="I2342">SUBSTITUTE(H2342,B2342,"(          )")</f>
        <v>Photography is her (          ), not her profession.</v>
      </c>
      <c r="J2342" s="9" cm="1">
        <f t="array" ref="J2342">SUMIF('외운 것 - 엑셀다운로드 파일(붙여넣기)'!A3:A562,A2342,'외운 것 - 엑셀다운로드 파일(붙여넣기)'!D3:D562)</f>
        <v>0</v>
      </c>
      <c r="K2342" s="9" cm="1">
        <f t="array" ref="K2342">_xlfn.COUNTIFS('외운 것 - 엑셀다운로드 파일(붙여넣기)'!A3:A562,A2342,'외운 것 - 엑셀다운로드 파일(붙여넣기)'!D3:D562,0)</f>
        <v>0</v>
      </c>
      <c r="L2342" s="9" cm="1">
        <f t="array" ref="L2342">IF(J2342&gt;=3,_xlfn.XLOOKUP(A2342,'외운 것 - 엑셀다운로드 파일(붙여넣기)'!A3:A562,'외운 것 - 엑셀다운로드 파일(붙여넣기)'!C3:C562,0,-1),0)</f>
        <v>0</v>
      </c>
    </row>
    <row r="2343" ht="23.45" customHeight="1">
      <c r="A2343" s="3">
        <v>2342</v>
      </c>
      <c r="B2343" t="s" s="4">
        <v>14690</v>
      </c>
      <c r="C2343" t="s" s="5">
        <v>14670</v>
      </c>
      <c r="D2343" t="s" s="5">
        <v>14671</v>
      </c>
      <c r="E2343" t="s" s="5">
        <v>14691</v>
      </c>
      <c r="F2343" t="s" s="10">
        <v>14692</v>
      </c>
      <c r="G2343" t="s" s="7">
        <v>14693</v>
      </c>
      <c r="H2343" t="s" s="7">
        <v>14694</v>
      </c>
      <c r="I2343" t="str" s="8" cm="1">
        <f t="array" ref="I2343">SUBSTITUTE(H2343,B2343,"(          )")</f>
        <v>She is a strong (          ) for children's rights.</v>
      </c>
      <c r="J2343" s="9" cm="1">
        <f t="array" ref="J2343">SUMIF('외운 것 - 엑셀다운로드 파일(붙여넣기)'!A3:A562,A2343,'외운 것 - 엑셀다운로드 파일(붙여넣기)'!D3:D562)</f>
        <v>0</v>
      </c>
      <c r="K2343" s="9" cm="1">
        <f t="array" ref="K2343">_xlfn.COUNTIFS('외운 것 - 엑셀다운로드 파일(붙여넣기)'!A3:A562,A2343,'외운 것 - 엑셀다운로드 파일(붙여넣기)'!D3:D562,0)</f>
        <v>0</v>
      </c>
      <c r="L2343" s="9" cm="1">
        <f t="array" ref="L2343">IF(J2343&gt;=3,_xlfn.XLOOKUP(A2343,'외운 것 - 엑셀다운로드 파일(붙여넣기)'!A3:A562,'외운 것 - 엑셀다운로드 파일(붙여넣기)'!C3:C562,0,-1),0)</f>
        <v>0</v>
      </c>
    </row>
    <row r="2344" ht="23.45" customHeight="1">
      <c r="A2344" s="3">
        <v>2343</v>
      </c>
      <c r="B2344" t="s" s="4">
        <v>14696</v>
      </c>
      <c r="C2344" t="s" s="5">
        <v>14670</v>
      </c>
      <c r="D2344" t="s" s="5">
        <v>14671</v>
      </c>
      <c r="E2344" t="s" s="5">
        <v>14697</v>
      </c>
      <c r="F2344" t="s" s="10">
        <v>14698</v>
      </c>
      <c r="G2344" t="s" s="7">
        <v>14699</v>
      </c>
      <c r="H2344" t="s" s="7">
        <v>14700</v>
      </c>
      <c r="I2344" t="str" s="8" cm="1">
        <f t="array" ref="I2344">SUBSTITUTE(H2344,B2344,"(          )")</f>
        <v>The singer has a beautiful (          ).</v>
      </c>
      <c r="J2344" s="9" cm="1">
        <f t="array" ref="J2344">SUMIF('외운 것 - 엑셀다운로드 파일(붙여넣기)'!A3:A562,A2344,'외운 것 - 엑셀다운로드 파일(붙여넣기)'!D3:D562)</f>
        <v>0</v>
      </c>
      <c r="K2344" s="9" cm="1">
        <f t="array" ref="K2344">_xlfn.COUNTIFS('외운 것 - 엑셀다운로드 파일(붙여넣기)'!A3:A562,A2344,'외운 것 - 엑셀다운로드 파일(붙여넣기)'!D3:D562,0)</f>
        <v>0</v>
      </c>
      <c r="L2344" s="9" cm="1">
        <f t="array" ref="L2344">IF(J2344&gt;=3,_xlfn.XLOOKUP(A2344,'외운 것 - 엑셀다운로드 파일(붙여넣기)'!A3:A562,'외운 것 - 엑셀다운로드 파일(붙여넣기)'!C3:C562,0,-1),0)</f>
        <v>0</v>
      </c>
    </row>
    <row r="2345" ht="38.45" customHeight="1">
      <c r="A2345" s="3">
        <v>2344</v>
      </c>
      <c r="B2345" t="s" s="4">
        <v>14702</v>
      </c>
      <c r="C2345" t="s" s="5">
        <v>14703</v>
      </c>
      <c r="D2345" t="s" s="5">
        <v>14670</v>
      </c>
      <c r="E2345" t="s" s="5">
        <v>14704</v>
      </c>
      <c r="F2345" t="s" s="10">
        <v>14705</v>
      </c>
      <c r="G2345" t="s" s="7">
        <v>14706</v>
      </c>
      <c r="H2345" t="s" s="7">
        <v>14707</v>
      </c>
      <c r="I2345" t="str" s="8" cm="1">
        <f t="array" ref="I2345">SUBSTITUTE(H2345,B2345,"(          )")</f>
        <v>The company sent an (          ) for the services provided.</v>
      </c>
      <c r="J2345" s="9" cm="1">
        <f t="array" ref="J2345">SUMIF('외운 것 - 엑셀다운로드 파일(붙여넣기)'!A3:A562,A2345,'외운 것 - 엑셀다운로드 파일(붙여넣기)'!D3:D562)</f>
        <v>0</v>
      </c>
      <c r="K2345" s="9" cm="1">
        <f t="array" ref="K2345">_xlfn.COUNTIFS('외운 것 - 엑셀다운로드 파일(붙여넣기)'!A3:A562,A2345,'외운 것 - 엑셀다운로드 파일(붙여넣기)'!D3:D562,0)</f>
        <v>0</v>
      </c>
      <c r="L2345" s="9" cm="1">
        <f t="array" ref="L2345">IF(J2345&gt;=3,_xlfn.XLOOKUP(A2345,'외운 것 - 엑셀다운로드 파일(붙여넣기)'!A3:A562,'외운 것 - 엑셀다운로드 파일(붙여넣기)'!C3:C562,0,-1),0)</f>
        <v>0</v>
      </c>
    </row>
    <row r="2346" ht="23.45" customHeight="1">
      <c r="A2346" s="3">
        <v>2345</v>
      </c>
      <c r="B2346" t="s" s="4">
        <v>14709</v>
      </c>
      <c r="C2346" t="s" s="5">
        <v>14710</v>
      </c>
      <c r="D2346" t="s" s="5">
        <v>14670</v>
      </c>
      <c r="E2346" t="s" s="5">
        <v>14711</v>
      </c>
      <c r="F2346" t="s" s="10">
        <v>14712</v>
      </c>
      <c r="G2346" t="s" s="7">
        <v>14713</v>
      </c>
      <c r="H2346" t="s" s="7">
        <v>14714</v>
      </c>
      <c r="I2346" t="str" s="8" cm="1">
        <f t="array" ref="I2346">SUBSTITUTE(H2346,B2346,"(          )")</f>
        <v>The song (          )s memories of my childhood.</v>
      </c>
      <c r="J2346" s="9" cm="1">
        <f t="array" ref="J2346">SUMIF('외운 것 - 엑셀다운로드 파일(붙여넣기)'!A3:A562,A2346,'외운 것 - 엑셀다운로드 파일(붙여넣기)'!D3:D562)</f>
        <v>0</v>
      </c>
      <c r="K2346" s="9" cm="1">
        <f t="array" ref="K2346">_xlfn.COUNTIFS('외운 것 - 엑셀다운로드 파일(붙여넣기)'!A3:A562,A2346,'외운 것 - 엑셀다운로드 파일(붙여넣기)'!D3:D562,0)</f>
        <v>0</v>
      </c>
      <c r="L2346" s="9" cm="1">
        <f t="array" ref="L2346">IF(J2346&gt;=3,_xlfn.XLOOKUP(A2346,'외운 것 - 엑셀다운로드 파일(붙여넣기)'!A3:A562,'외운 것 - 엑셀다운로드 파일(붙여넣기)'!C3:C562,0,-1),0)</f>
        <v>0</v>
      </c>
    </row>
    <row r="2347" ht="38.45" customHeight="1">
      <c r="A2347" s="3">
        <v>2346</v>
      </c>
      <c r="B2347" t="s" s="4">
        <v>14716</v>
      </c>
      <c r="C2347" t="s" s="5">
        <v>14710</v>
      </c>
      <c r="D2347" t="s" s="5">
        <v>14670</v>
      </c>
      <c r="E2347" t="s" s="5">
        <v>14717</v>
      </c>
      <c r="F2347" t="s" s="10">
        <v>14718</v>
      </c>
      <c r="G2347" t="s" s="7">
        <v>14719</v>
      </c>
      <c r="H2347" t="s" s="7">
        <v>14720</v>
      </c>
      <c r="I2347" t="str" s="8" cm="1">
        <f t="array" ref="I2347">SUBSTITUTE(H2347,B2347,"(          )")</f>
        <v>The president can (          ) Congress for a special session.</v>
      </c>
      <c r="J2347" s="9" cm="1">
        <f t="array" ref="J2347">SUMIF('외운 것 - 엑셀다운로드 파일(붙여넣기)'!A3:A562,A2347,'외운 것 - 엑셀다운로드 파일(붙여넣기)'!D3:D562)</f>
        <v>0</v>
      </c>
      <c r="K2347" s="9" cm="1">
        <f t="array" ref="K2347">_xlfn.COUNTIFS('외운 것 - 엑셀다운로드 파일(붙여넣기)'!A3:A562,A2347,'외운 것 - 엑셀다운로드 파일(붙여넣기)'!D3:D562,0)</f>
        <v>0</v>
      </c>
      <c r="L2347" s="9" cm="1">
        <f t="array" ref="L2347">IF(J2347&gt;=3,_xlfn.XLOOKUP(A2347,'외운 것 - 엑셀다운로드 파일(붙여넣기)'!A3:A562,'외운 것 - 엑셀다운로드 파일(붙여넣기)'!C3:C562,0,-1),0)</f>
        <v>0</v>
      </c>
    </row>
    <row r="2348" ht="23.45" customHeight="1">
      <c r="A2348" s="3">
        <v>2347</v>
      </c>
      <c r="B2348" t="s" s="4">
        <v>14722</v>
      </c>
      <c r="C2348" t="s" s="5">
        <v>14710</v>
      </c>
      <c r="D2348" t="s" s="5">
        <v>14670</v>
      </c>
      <c r="E2348" t="s" s="5">
        <v>14723</v>
      </c>
      <c r="F2348" t="s" s="10">
        <v>14724</v>
      </c>
      <c r="G2348" t="s" s="7">
        <v>14725</v>
      </c>
      <c r="H2348" t="s" s="7">
        <v>14726</v>
      </c>
      <c r="I2348" t="str" s="8" cm="1">
        <f t="array" ref="I2348">SUBSTITUTE(H2348,B2348,"(          )")</f>
        <v>The court may (          ) his driver's license.</v>
      </c>
      <c r="J2348" s="9" cm="1">
        <f t="array" ref="J2348">SUMIF('외운 것 - 엑셀다운로드 파일(붙여넣기)'!A3:A562,A2348,'외운 것 - 엑셀다운로드 파일(붙여넣기)'!D3:D562)</f>
        <v>0</v>
      </c>
      <c r="K2348" s="9" cm="1">
        <f t="array" ref="K2348">_xlfn.COUNTIFS('외운 것 - 엑셀다운로드 파일(붙여넣기)'!A3:A562,A2348,'외운 것 - 엑셀다운로드 파일(붙여넣기)'!D3:D562,0)</f>
        <v>0</v>
      </c>
      <c r="L2348" s="9" cm="1">
        <f t="array" ref="L2348">IF(J2348&gt;=3,_xlfn.XLOOKUP(A2348,'외운 것 - 엑셀다운로드 파일(붙여넣기)'!A3:A562,'외운 것 - 엑셀다운로드 파일(붙여넣기)'!C3:C562,0,-1),0)</f>
        <v>0</v>
      </c>
    </row>
    <row r="2349" ht="23.45" customHeight="1">
      <c r="A2349" s="3">
        <v>2348</v>
      </c>
      <c r="B2349" t="s" s="4">
        <v>14728</v>
      </c>
      <c r="C2349" t="s" s="5">
        <v>14710</v>
      </c>
      <c r="D2349" t="s" s="5">
        <v>14670</v>
      </c>
      <c r="E2349" t="s" s="5">
        <v>14729</v>
      </c>
      <c r="F2349" t="s" s="10">
        <v>14730</v>
      </c>
      <c r="G2349" t="s" s="7">
        <v>13462</v>
      </c>
      <c r="H2349" t="s" s="7">
        <v>14731</v>
      </c>
      <c r="I2349" t="str" s="8" cm="1">
        <f t="array" ref="I2349">SUBSTITUTE(H2349,B2349,"(          )")</f>
        <v>Don't (          ) the dog by teasing it.</v>
      </c>
      <c r="J2349" s="9" cm="1">
        <f t="array" ref="J2349">SUMIF('외운 것 - 엑셀다운로드 파일(붙여넣기)'!A3:A562,A2349,'외운 것 - 엑셀다운로드 파일(붙여넣기)'!D3:D562)</f>
        <v>0</v>
      </c>
      <c r="K2349" s="9" cm="1">
        <f t="array" ref="K2349">_xlfn.COUNTIFS('외운 것 - 엑셀다운로드 파일(붙여넣기)'!A3:A562,A2349,'외운 것 - 엑셀다운로드 파일(붙여넣기)'!D3:D562,0)</f>
        <v>0</v>
      </c>
      <c r="L2349" s="9" cm="1">
        <f t="array" ref="L2349">IF(J2349&gt;=3,_xlfn.XLOOKUP(A2349,'외운 것 - 엑셀다운로드 파일(붙여넣기)'!A3:A562,'외운 것 - 엑셀다운로드 파일(붙여넣기)'!C3:C562,0,-1),0)</f>
        <v>0</v>
      </c>
    </row>
    <row r="2350" ht="23.45" customHeight="1">
      <c r="A2350" s="3">
        <v>2349</v>
      </c>
      <c r="B2350" t="s" s="4">
        <v>14733</v>
      </c>
      <c r="C2350" t="s" s="5">
        <v>14734</v>
      </c>
      <c r="D2350" t="s" s="5">
        <v>14735</v>
      </c>
      <c r="E2350" t="s" s="5">
        <v>14736</v>
      </c>
      <c r="F2350" t="s" s="10">
        <v>14737</v>
      </c>
      <c r="G2350" t="s" s="7">
        <v>14738</v>
      </c>
      <c r="H2350" t="s" s="7">
        <v>14739</v>
      </c>
      <c r="I2350" t="str" s="8" cm="1">
        <f t="array" ref="I2350">SUBSTITUTE(H2350,B2350,"(          )")</f>
        <v>She drives a Volvo because of its safety features.</v>
      </c>
      <c r="J2350" s="9" cm="1">
        <f t="array" ref="J2350">SUMIF('외운 것 - 엑셀다운로드 파일(붙여넣기)'!A3:A562,A2350,'외운 것 - 엑셀다운로드 파일(붙여넣기)'!D3:D562)</f>
        <v>0</v>
      </c>
      <c r="K2350" s="9" cm="1">
        <f t="array" ref="K2350">_xlfn.COUNTIFS('외운 것 - 엑셀다운로드 파일(붙여넣기)'!A3:A562,A2350,'외운 것 - 엑셀다운로드 파일(붙여넣기)'!D3:D562,0)</f>
        <v>0</v>
      </c>
      <c r="L2350" s="9" cm="1">
        <f t="array" ref="L2350">IF(J2350&gt;=3,_xlfn.XLOOKUP(A2350,'외운 것 - 엑셀다운로드 파일(붙여넣기)'!A3:A562,'외운 것 - 엑셀다운로드 파일(붙여넣기)'!C3:C562,0,-1),0)</f>
        <v>0</v>
      </c>
    </row>
    <row r="2351" ht="23.45" customHeight="1">
      <c r="A2351" s="3">
        <v>2350</v>
      </c>
      <c r="B2351" t="s" s="4">
        <v>14741</v>
      </c>
      <c r="C2351" t="s" s="5">
        <v>14742</v>
      </c>
      <c r="D2351" t="s" s="5">
        <v>14735</v>
      </c>
      <c r="E2351" t="s" s="5">
        <v>14743</v>
      </c>
      <c r="F2351" t="s" s="10">
        <v>14744</v>
      </c>
      <c r="G2351" t="s" s="7">
        <v>14745</v>
      </c>
      <c r="H2351" t="s" s="7">
        <v>14746</v>
      </c>
      <c r="I2351" t="str" s="8" cm="1">
        <f t="array" ref="I2351">SUBSTITUTE(H2351,B2351,"(          )")</f>
        <v>The Earth (          )s around the sun once each year.</v>
      </c>
      <c r="J2351" s="9" cm="1">
        <f t="array" ref="J2351">SUMIF('외운 것 - 엑셀다운로드 파일(붙여넣기)'!A3:A562,A2351,'외운 것 - 엑셀다운로드 파일(붙여넣기)'!D3:D562)</f>
        <v>0</v>
      </c>
      <c r="K2351" s="9" cm="1">
        <f t="array" ref="K2351">_xlfn.COUNTIFS('외운 것 - 엑셀다운로드 파일(붙여넣기)'!A3:A562,A2351,'외운 것 - 엑셀다운로드 파일(붙여넣기)'!D3:D562,0)</f>
        <v>0</v>
      </c>
      <c r="L2351" s="9" cm="1">
        <f t="array" ref="L2351">IF(J2351&gt;=3,_xlfn.XLOOKUP(A2351,'외운 것 - 엑셀다운로드 파일(붙여넣기)'!A3:A562,'외운 것 - 엑셀다운로드 파일(붙여넣기)'!C3:C562,0,-1),0)</f>
        <v>0</v>
      </c>
    </row>
    <row r="2352" ht="38.45" customHeight="1">
      <c r="A2352" s="3">
        <v>2351</v>
      </c>
      <c r="B2352" t="s" s="4">
        <v>14748</v>
      </c>
      <c r="C2352" t="s" s="5">
        <v>14749</v>
      </c>
      <c r="D2352" t="s" s="5">
        <v>14735</v>
      </c>
      <c r="E2352" t="s" s="5">
        <v>14750</v>
      </c>
      <c r="F2352" t="s" s="10">
        <v>14751</v>
      </c>
      <c r="G2352" t="s" s="7">
        <v>14752</v>
      </c>
      <c r="H2352" t="s" s="7">
        <v>14753</v>
      </c>
      <c r="I2352" t="str" s="8" cm="1">
        <f t="array" ref="I2352">SUBSTITUTE(H2352,B2352,"(          )")</f>
        <v>The industrial (          ) transformed manufacturing processes.</v>
      </c>
      <c r="J2352" s="9" cm="1">
        <f t="array" ref="J2352">SUMIF('외운 것 - 엑셀다운로드 파일(붙여넣기)'!A3:A562,A2352,'외운 것 - 엑셀다운로드 파일(붙여넣기)'!D3:D562)</f>
        <v>0</v>
      </c>
      <c r="K2352" s="9" cm="1">
        <f t="array" ref="K2352">_xlfn.COUNTIFS('외운 것 - 엑셀다운로드 파일(붙여넣기)'!A3:A562,A2352,'외운 것 - 엑셀다운로드 파일(붙여넣기)'!D3:D562,0)</f>
        <v>0</v>
      </c>
      <c r="L2352" s="9" cm="1">
        <f t="array" ref="L2352">IF(J2352&gt;=3,_xlfn.XLOOKUP(A2352,'외운 것 - 엑셀다운로드 파일(붙여넣기)'!A3:A562,'외운 것 - 엑셀다운로드 파일(붙여넣기)'!C3:C562,0,-1),0)</f>
        <v>0</v>
      </c>
    </row>
    <row r="2353" ht="38.45" customHeight="1">
      <c r="A2353" s="3">
        <v>2352</v>
      </c>
      <c r="B2353" t="s" s="4">
        <v>14755</v>
      </c>
      <c r="C2353" t="s" s="5">
        <v>14742</v>
      </c>
      <c r="D2353" t="s" s="5">
        <v>14735</v>
      </c>
      <c r="E2353" t="s" s="5">
        <v>14756</v>
      </c>
      <c r="F2353" t="s" s="10">
        <v>14757</v>
      </c>
      <c r="G2353" t="s" s="7">
        <v>14758</v>
      </c>
      <c r="H2353" t="s" s="7">
        <v>14759</v>
      </c>
      <c r="I2353" t="str" s="8" cm="1">
        <f t="array" ref="I2353">SUBSTITUTE(H2353,B2353,"(          )")</f>
        <v>Species (          ) over millions of years.</v>
      </c>
      <c r="J2353" s="9" cm="1">
        <f t="array" ref="J2353">SUMIF('외운 것 - 엑셀다운로드 파일(붙여넣기)'!A3:A562,A2353,'외운 것 - 엑셀다운로드 파일(붙여넣기)'!D3:D562)</f>
        <v>0</v>
      </c>
      <c r="K2353" s="9" cm="1">
        <f t="array" ref="K2353">_xlfn.COUNTIFS('외운 것 - 엑셀다운로드 파일(붙여넣기)'!A3:A562,A2353,'외운 것 - 엑셀다운로드 파일(붙여넣기)'!D3:D562,0)</f>
        <v>0</v>
      </c>
      <c r="L2353" s="9" cm="1">
        <f t="array" ref="L2353">IF(J2353&gt;=3,_xlfn.XLOOKUP(A2353,'외운 것 - 엑셀다운로드 파일(붙여넣기)'!A3:A562,'외운 것 - 엑셀다운로드 파일(붙여넣기)'!C3:C562,0,-1),0)</f>
        <v>0</v>
      </c>
    </row>
    <row r="2354" ht="38.45" customHeight="1">
      <c r="A2354" s="3">
        <v>2353</v>
      </c>
      <c r="B2354" t="s" s="4">
        <v>14761</v>
      </c>
      <c r="C2354" t="s" s="5">
        <v>14742</v>
      </c>
      <c r="D2354" t="s" s="5">
        <v>14735</v>
      </c>
      <c r="E2354" t="s" s="5">
        <v>14762</v>
      </c>
      <c r="F2354" t="s" s="10">
        <v>14763</v>
      </c>
      <c r="G2354" t="s" s="7">
        <v>14764</v>
      </c>
      <c r="H2354" t="s" s="7">
        <v>14765</v>
      </c>
      <c r="I2354" t="str" s="8" cm="1">
        <f t="array" ref="I2354">SUBSTITUTE(H2354,B2354,"(          )")</f>
        <v>The project (          )s collaboration between several departments.</v>
      </c>
      <c r="J2354" s="9" cm="1">
        <f t="array" ref="J2354">SUMIF('외운 것 - 엑셀다운로드 파일(붙여넣기)'!A3:A562,A2354,'외운 것 - 엑셀다운로드 파일(붙여넣기)'!D3:D562)</f>
        <v>0</v>
      </c>
      <c r="K2354" s="9" cm="1">
        <f t="array" ref="K2354">_xlfn.COUNTIFS('외운 것 - 엑셀다운로드 파일(붙여넣기)'!A3:A562,A2354,'외운 것 - 엑셀다운로드 파일(붙여넣기)'!D3:D562,0)</f>
        <v>0</v>
      </c>
      <c r="L2354" s="9" cm="1">
        <f t="array" ref="L2354">IF(J2354&gt;=3,_xlfn.XLOOKUP(A2354,'외운 것 - 엑셀다운로드 파일(붙여넣기)'!A3:A562,'외운 것 - 엑셀다운로드 파일(붙여넣기)'!C3:C562,0,-1),0)</f>
        <v>0</v>
      </c>
    </row>
    <row r="2355" ht="38.45" customHeight="1">
      <c r="A2355" s="3">
        <v>2354</v>
      </c>
      <c r="B2355" t="s" s="4">
        <v>14767</v>
      </c>
      <c r="C2355" t="s" s="5">
        <v>14749</v>
      </c>
      <c r="D2355" t="s" s="5">
        <v>14735</v>
      </c>
      <c r="E2355" t="s" s="5">
        <v>14768</v>
      </c>
      <c r="F2355" t="s" s="10">
        <v>14769</v>
      </c>
      <c r="G2355" t="s" s="7">
        <v>14770</v>
      </c>
      <c r="H2355" t="s" s="7">
        <v>14771</v>
      </c>
      <c r="I2355" t="str" s="8" cm="1">
        <f t="array" ref="I2355">SUBSTITUTE(H2355,B2355,"(          )")</f>
        <v>Please turn down the (          ) of the music.</v>
      </c>
      <c r="J2355" s="9" cm="1">
        <f t="array" ref="J2355">SUMIF('외운 것 - 엑셀다운로드 파일(붙여넣기)'!A3:A562,A2355,'외운 것 - 엑셀다운로드 파일(붙여넣기)'!D3:D562)</f>
        <v>0</v>
      </c>
      <c r="K2355" s="9" cm="1">
        <f t="array" ref="K2355">_xlfn.COUNTIFS('외운 것 - 엑셀다운로드 파일(붙여넣기)'!A3:A562,A2355,'외운 것 - 엑셀다운로드 파일(붙여넣기)'!D3:D562,0)</f>
        <v>0</v>
      </c>
      <c r="L2355" s="9" cm="1">
        <f t="array" ref="L2355">IF(J2355&gt;=3,_xlfn.XLOOKUP(A2355,'외운 것 - 엑셀다운로드 파일(붙여넣기)'!A3:A562,'외운 것 - 엑셀다운로드 파일(붙여넣기)'!C3:C562,0,-1),0)</f>
        <v>0</v>
      </c>
    </row>
    <row r="2356" ht="38.45" customHeight="1">
      <c r="A2356" s="3">
        <v>2355</v>
      </c>
      <c r="B2356" t="s" s="4">
        <v>14773</v>
      </c>
      <c r="C2356" t="s" s="5">
        <v>14774</v>
      </c>
      <c r="D2356" t="s" s="5">
        <v>14775</v>
      </c>
      <c r="E2356" t="s" s="5">
        <v>14776</v>
      </c>
      <c r="F2356" t="s" s="10">
        <v>14777</v>
      </c>
      <c r="G2356" t="s" s="7">
        <v>14778</v>
      </c>
      <c r="H2356" t="s" s="7">
        <v>14779</v>
      </c>
      <c r="I2356" t="str" s="8" cm="1">
        <f t="array" ref="I2356">SUBSTITUTE(H2356,B2356,"(          )")</f>
        <v>The painting has both artistic and monetary (          ).</v>
      </c>
      <c r="J2356" s="9" cm="1">
        <f t="array" ref="J2356">SUMIF('외운 것 - 엑셀다운로드 파일(붙여넣기)'!A3:A562,A2356,'외운 것 - 엑셀다운로드 파일(붙여넣기)'!D3:D562)</f>
        <v>0</v>
      </c>
      <c r="K2356" s="9" cm="1">
        <f t="array" ref="K2356">_xlfn.COUNTIFS('외운 것 - 엑셀다운로드 파일(붙여넣기)'!A3:A562,A2356,'외운 것 - 엑셀다운로드 파일(붙여넣기)'!D3:D562,0)</f>
        <v>0</v>
      </c>
      <c r="L2356" s="9" cm="1">
        <f t="array" ref="L2356">IF(J2356&gt;=3,_xlfn.XLOOKUP(A2356,'외운 것 - 엑셀다운로드 파일(붙여넣기)'!A3:A562,'외운 것 - 엑셀다운로드 파일(붙여넣기)'!C3:C562,0,-1),0)</f>
        <v>0</v>
      </c>
    </row>
    <row r="2357" ht="23.45" customHeight="1">
      <c r="A2357" s="3">
        <v>2356</v>
      </c>
      <c r="B2357" t="s" s="4">
        <v>14781</v>
      </c>
      <c r="C2357" t="s" s="5">
        <v>14782</v>
      </c>
      <c r="D2357" t="s" s="5">
        <v>14775</v>
      </c>
      <c r="E2357" t="s" s="5">
        <v>14783</v>
      </c>
      <c r="F2357" t="s" s="10">
        <v>14784</v>
      </c>
      <c r="G2357" t="s" s="7">
        <v>14785</v>
      </c>
      <c r="H2357" t="s" s="7">
        <v>14786</v>
      </c>
      <c r="I2357" t="str" s="8" cm="1">
        <f t="array" ref="I2357">SUBSTITUTE(H2357,B2357,"(          )")</f>
        <v>The information proved (          ) in solving the problem.</v>
      </c>
      <c r="J2357" s="9" cm="1">
        <f t="array" ref="J2357">SUMIF('외운 것 - 엑셀다운로드 파일(붙여넣기)'!A3:A562,A2357,'외운 것 - 엑셀다운로드 파일(붙여넣기)'!D3:D562)</f>
        <v>0</v>
      </c>
      <c r="K2357" s="9" cm="1">
        <f t="array" ref="K2357">_xlfn.COUNTIFS('외운 것 - 엑셀다운로드 파일(붙여넣기)'!A3:A562,A2357,'외운 것 - 엑셀다운로드 파일(붙여넣기)'!D3:D562,0)</f>
        <v>0</v>
      </c>
      <c r="L2357" s="9" cm="1">
        <f t="array" ref="L2357">IF(J2357&gt;=3,_xlfn.XLOOKUP(A2357,'외운 것 - 엑셀다운로드 파일(붙여넣기)'!A3:A562,'외운 것 - 엑셀다운로드 파일(붙여넣기)'!C3:C562,0,-1),0)</f>
        <v>0</v>
      </c>
    </row>
    <row r="2358" ht="38.45" customHeight="1">
      <c r="A2358" s="3">
        <v>2357</v>
      </c>
      <c r="B2358" t="s" s="4">
        <v>14788</v>
      </c>
      <c r="C2358" t="s" s="5">
        <v>14789</v>
      </c>
      <c r="D2358" t="s" s="5">
        <v>14775</v>
      </c>
      <c r="E2358" t="s" s="5">
        <v>14790</v>
      </c>
      <c r="F2358" t="s" s="10">
        <v>14791</v>
      </c>
      <c r="G2358" t="s" s="7">
        <v>14792</v>
      </c>
      <c r="H2358" t="s" s="7">
        <v>14793</v>
      </c>
      <c r="I2358" t="str" s="8" cm="1">
        <f t="array" ref="I2358">SUBSTITUTE(H2358,B2358,"(          )")</f>
        <v>Her assistance was (          ) during the crisis.</v>
      </c>
      <c r="J2358" s="9" cm="1">
        <f t="array" ref="J2358">SUMIF('외운 것 - 엑셀다운로드 파일(붙여넣기)'!A3:A562,A2358,'외운 것 - 엑셀다운로드 파일(붙여넣기)'!D3:D562)</f>
        <v>0</v>
      </c>
      <c r="K2358" s="9" cm="1">
        <f t="array" ref="K2358">_xlfn.COUNTIFS('외운 것 - 엑셀다운로드 파일(붙여넣기)'!A3:A562,A2358,'외운 것 - 엑셀다운로드 파일(붙여넣기)'!D3:D562,0)</f>
        <v>0</v>
      </c>
      <c r="L2358" s="9" cm="1">
        <f t="array" ref="L2358">IF(J2358&gt;=3,_xlfn.XLOOKUP(A2358,'외운 것 - 엑셀다운로드 파일(붙여넣기)'!A3:A562,'외운 것 - 엑셀다운로드 파일(붙여넣기)'!C3:C562,0,-1),0)</f>
        <v>0</v>
      </c>
    </row>
    <row r="2359" ht="23.45" customHeight="1">
      <c r="A2359" s="3">
        <v>2358</v>
      </c>
      <c r="B2359" t="s" s="4">
        <v>14795</v>
      </c>
      <c r="C2359" t="s" s="5">
        <v>14782</v>
      </c>
      <c r="D2359" t="s" s="5">
        <v>14775</v>
      </c>
      <c r="E2359" t="s" s="5">
        <v>14796</v>
      </c>
      <c r="F2359" t="s" s="10">
        <v>14797</v>
      </c>
      <c r="G2359" t="s" s="7">
        <v>14798</v>
      </c>
      <c r="H2359" t="s" s="7">
        <v>14799</v>
      </c>
      <c r="I2359" t="str" s="8" cm="1">
        <f t="array" ref="I2359">SUBSTITUTE(H2359,B2359,"(          )")</f>
        <v>The committee will (          ) all applications carefully.</v>
      </c>
      <c r="J2359" s="9" cm="1">
        <f t="array" ref="J2359">SUMIF('외운 것 - 엑셀다운로드 파일(붙여넣기)'!A3:A562,A2359,'외운 것 - 엑셀다운로드 파일(붙여넣기)'!D3:D562)</f>
        <v>0</v>
      </c>
      <c r="K2359" s="9" cm="1">
        <f t="array" ref="K2359">_xlfn.COUNTIFS('외운 것 - 엑셀다운로드 파일(붙여넣기)'!A3:A562,A2359,'외운 것 - 엑셀다운로드 파일(붙여넣기)'!D3:D562,0)</f>
        <v>0</v>
      </c>
      <c r="L2359" s="9" cm="1">
        <f t="array" ref="L2359">IF(J2359&gt;=3,_xlfn.XLOOKUP(A2359,'외운 것 - 엑셀다운로드 파일(붙여넣기)'!A3:A562,'외운 것 - 엑셀다운로드 파일(붙여넣기)'!C3:C562,0,-1),0)</f>
        <v>0</v>
      </c>
    </row>
    <row r="2360" ht="23.45" customHeight="1">
      <c r="A2360" s="3">
        <v>2359</v>
      </c>
      <c r="B2360" t="s" s="4">
        <v>11407</v>
      </c>
      <c r="C2360" t="s" s="5">
        <v>14774</v>
      </c>
      <c r="D2360" t="s" s="5">
        <v>14775</v>
      </c>
      <c r="E2360" t="s" s="5">
        <v>11408</v>
      </c>
      <c r="F2360" t="s" s="10">
        <v>14801</v>
      </c>
      <c r="G2360" t="s" s="7">
        <v>14802</v>
      </c>
      <c r="H2360" t="s" s="7">
        <v>11411</v>
      </c>
      <c r="I2360" t="str" s="8" cm="1">
        <f t="array" ref="I2360">SUBSTITUTE(H2360,B2360,"(          )")</f>
        <v>There is no (          ) between the two situations.</v>
      </c>
      <c r="J2360" s="9" cm="1">
        <f t="array" ref="J2360">SUMIF('외운 것 - 엑셀다운로드 파일(붙여넣기)'!A3:A562,A2360,'외운 것 - 엑셀다운로드 파일(붙여넣기)'!D3:D562)</f>
        <v>0</v>
      </c>
      <c r="K2360" s="9" cm="1">
        <f t="array" ref="K2360">_xlfn.COUNTIFS('외운 것 - 엑셀다운로드 파일(붙여넣기)'!A3:A562,A2360,'외운 것 - 엑셀다운로드 파일(붙여넣기)'!D3:D562,0)</f>
        <v>0</v>
      </c>
      <c r="L2360" s="9" cm="1">
        <f t="array" ref="L2360">IF(J2360&gt;=3,_xlfn.XLOOKUP(A2360,'외운 것 - 엑셀다운로드 파일(붙여넣기)'!A3:A562,'외운 것 - 엑셀다운로드 파일(붙여넣기)'!C3:C562,0,-1),0)</f>
        <v>0</v>
      </c>
    </row>
    <row r="2361" ht="23.45" customHeight="1">
      <c r="A2361" s="3">
        <v>2360</v>
      </c>
      <c r="B2361" t="s" s="4">
        <v>14803</v>
      </c>
      <c r="C2361" t="s" s="5">
        <v>14774</v>
      </c>
      <c r="D2361" t="s" s="5">
        <v>14775</v>
      </c>
      <c r="E2361" t="s" s="5">
        <v>14804</v>
      </c>
      <c r="F2361" t="s" s="10">
        <v>14805</v>
      </c>
      <c r="G2361" t="s" s="7">
        <v>14806</v>
      </c>
      <c r="H2361" t="s" s="7">
        <v>14807</v>
      </c>
      <c r="I2361" t="str" s="8" cm="1">
        <f t="array" ref="I2361">SUBSTITUTE(H2361,B2361,"(          )")</f>
        <v>Your passport must be (          ) for at least six months.</v>
      </c>
      <c r="J2361" s="9" cm="1">
        <f t="array" ref="J2361">SUMIF('외운 것 - 엑셀다운로드 파일(붙여넣기)'!A3:A562,A2361,'외운 것 - 엑셀다운로드 파일(붙여넣기)'!D3:D562)</f>
        <v>0</v>
      </c>
      <c r="K2361" s="9" cm="1">
        <f t="array" ref="K2361">_xlfn.COUNTIFS('외운 것 - 엑셀다운로드 파일(붙여넣기)'!A3:A562,A2361,'외운 것 - 엑셀다운로드 파일(붙여넣기)'!D3:D562,0)</f>
        <v>0</v>
      </c>
      <c r="L2361" s="9" cm="1">
        <f t="array" ref="L2361">IF(J2361&gt;=3,_xlfn.XLOOKUP(A2361,'외운 것 - 엑셀다운로드 파일(붙여넣기)'!A3:A562,'외운 것 - 엑셀다운로드 파일(붙여넣기)'!C3:C562,0,-1),0)</f>
        <v>0</v>
      </c>
    </row>
    <row r="2362" ht="23.45" customHeight="1">
      <c r="A2362" s="3">
        <v>2361</v>
      </c>
      <c r="B2362" t="s" s="4">
        <v>14809</v>
      </c>
      <c r="C2362" t="s" s="5">
        <v>14774</v>
      </c>
      <c r="D2362" t="s" s="5">
        <v>14775</v>
      </c>
      <c r="E2362" t="s" s="5">
        <v>14810</v>
      </c>
      <c r="F2362" t="s" s="10">
        <v>14811</v>
      </c>
      <c r="G2362" t="s" s="7">
        <v>10802</v>
      </c>
      <c r="H2362" t="s" s="7">
        <v>14812</v>
      </c>
      <c r="I2362" t="str" s="8" cm="1">
        <f t="array" ref="I2362">SUBSTITUTE(H2362,B2362,"(          )")</f>
        <v>The receipt (          )s your warranty.</v>
      </c>
      <c r="J2362" s="9" cm="1">
        <f t="array" ref="J2362">SUMIF('외운 것 - 엑셀다운로드 파일(붙여넣기)'!A3:A562,A2362,'외운 것 - 엑셀다운로드 파일(붙여넣기)'!D3:D562)</f>
        <v>0</v>
      </c>
      <c r="K2362" s="9" cm="1">
        <f t="array" ref="K2362">_xlfn.COUNTIFS('외운 것 - 엑셀다운로드 파일(붙여넣기)'!A3:A562,A2362,'외운 것 - 엑셀다운로드 파일(붙여넣기)'!D3:D562,0)</f>
        <v>0</v>
      </c>
      <c r="L2362" s="9" cm="1">
        <f t="array" ref="L2362">IF(J2362&gt;=3,_xlfn.XLOOKUP(A2362,'외운 것 - 엑셀다운로드 파일(붙여넣기)'!A3:A562,'외운 것 - 엑셀다운로드 파일(붙여넣기)'!C3:C562,0,-1),0)</f>
        <v>0</v>
      </c>
    </row>
    <row r="2363" ht="23.45" customHeight="1">
      <c r="A2363" s="3">
        <v>2362</v>
      </c>
      <c r="B2363" t="s" s="4">
        <v>14814</v>
      </c>
      <c r="C2363" t="s" s="5">
        <v>14815</v>
      </c>
      <c r="D2363" t="s" s="5">
        <v>14775</v>
      </c>
      <c r="E2363" t="s" s="5">
        <v>14816</v>
      </c>
      <c r="F2363" t="s" s="10">
        <v>14817</v>
      </c>
      <c r="G2363" t="s" s="7">
        <v>14818</v>
      </c>
      <c r="H2363" t="s" s="7">
        <v>14819</v>
      </c>
      <c r="I2363" t="str" s="8" cm="1">
        <f t="array" ref="I2363">SUBSTITUTE(H2363,B2363,"(          )")</f>
        <v>He (          )ed himself of the opportunity to study abroad.</v>
      </c>
      <c r="J2363" s="9" cm="1">
        <f t="array" ref="J2363">SUMIF('외운 것 - 엑셀다운로드 파일(붙여넣기)'!A3:A562,A2363,'외운 것 - 엑셀다운로드 파일(붙여넣기)'!D3:D562)</f>
        <v>0</v>
      </c>
      <c r="K2363" s="9" cm="1">
        <f t="array" ref="K2363">_xlfn.COUNTIFS('외운 것 - 엑셀다운로드 파일(붙여넣기)'!A3:A562,A2363,'외운 것 - 엑셀다운로드 파일(붙여넣기)'!D3:D562,0)</f>
        <v>0</v>
      </c>
      <c r="L2363" s="9" cm="1">
        <f t="array" ref="L2363">IF(J2363&gt;=3,_xlfn.XLOOKUP(A2363,'외운 것 - 엑셀다운로드 파일(붙여넣기)'!A3:A562,'외운 것 - 엑셀다운로드 파일(붙여넣기)'!C3:C562,0,-1),0)</f>
        <v>0</v>
      </c>
    </row>
    <row r="2364" ht="38.45" customHeight="1">
      <c r="A2364" s="3">
        <v>2363</v>
      </c>
      <c r="B2364" t="s" s="4">
        <v>14821</v>
      </c>
      <c r="C2364" t="s" s="5">
        <v>14822</v>
      </c>
      <c r="D2364" t="s" s="5">
        <v>14775</v>
      </c>
      <c r="E2364" t="s" s="5">
        <v>14823</v>
      </c>
      <c r="F2364" t="s" s="10">
        <v>14824</v>
      </c>
      <c r="G2364" t="s" s="7">
        <v>14825</v>
      </c>
      <c r="H2364" t="s" s="7">
        <v>14826</v>
      </c>
      <c r="I2364" t="str" s="8" cm="1">
        <f t="array" ref="I2364">SUBSTITUTE(H2364,B2364,"(          )")</f>
        <v>The book is (          ) in both hardcover and paperback editions.</v>
      </c>
      <c r="J2364" s="9" cm="1">
        <f t="array" ref="J2364">SUMIF('외운 것 - 엑셀다운로드 파일(붙여넣기)'!A3:A562,A2364,'외운 것 - 엑셀다운로드 파일(붙여넣기)'!D3:D562)</f>
        <v>0</v>
      </c>
      <c r="K2364" s="9" cm="1">
        <f t="array" ref="K2364">_xlfn.COUNTIFS('외운 것 - 엑셀다운로드 파일(붙여넣기)'!A3:A562,A2364,'외운 것 - 엑셀다운로드 파일(붙여넣기)'!D3:D562,0)</f>
        <v>0</v>
      </c>
      <c r="L2364" s="9" cm="1">
        <f t="array" ref="L2364">IF(J2364&gt;=3,_xlfn.XLOOKUP(A2364,'외운 것 - 엑셀다운로드 파일(붙여넣기)'!A3:A562,'외운 것 - 엑셀다운로드 파일(붙여넣기)'!C3:C562,0,-1),0)</f>
        <v>0</v>
      </c>
    </row>
    <row r="2365" ht="23.45" customHeight="1">
      <c r="A2365" s="3">
        <v>2364</v>
      </c>
      <c r="B2365" t="s" s="4">
        <v>14828</v>
      </c>
      <c r="C2365" t="s" s="5">
        <v>14815</v>
      </c>
      <c r="D2365" t="s" s="5">
        <v>14775</v>
      </c>
      <c r="E2365" t="s" s="5">
        <v>14829</v>
      </c>
      <c r="F2365" t="s" s="10">
        <v>14830</v>
      </c>
      <c r="G2365" t="s" s="7">
        <v>14831</v>
      </c>
      <c r="H2365" t="s" s="7">
        <v>14832</v>
      </c>
      <c r="I2365" t="str" s="8" cm="1">
        <f t="array" ref="I2365">SUBSTITUTE(H2365,B2365,"(          )")</f>
        <v>Her strengths (          ) her weaknesses.</v>
      </c>
      <c r="J2365" s="9" cm="1">
        <f t="array" ref="J2365">SUMIF('외운 것 - 엑셀다운로드 파일(붙여넣기)'!A3:A562,A2365,'외운 것 - 엑셀다운로드 파일(붙여넣기)'!D3:D562)</f>
        <v>0</v>
      </c>
      <c r="K2365" s="9" cm="1">
        <f t="array" ref="K2365">_xlfn.COUNTIFS('외운 것 - 엑셀다운로드 파일(붙여넣기)'!A3:A562,A2365,'외운 것 - 엑셀다운로드 파일(붙여넣기)'!D3:D562,0)</f>
        <v>0</v>
      </c>
      <c r="L2365" s="9" cm="1">
        <f t="array" ref="L2365">IF(J2365&gt;=3,_xlfn.XLOOKUP(A2365,'외운 것 - 엑셀다운로드 파일(붙여넣기)'!A3:A562,'외운 것 - 엑셀다운로드 파일(붙여넣기)'!C3:C562,0,-1),0)</f>
        <v>0</v>
      </c>
    </row>
    <row r="2366" ht="38.45" customHeight="1">
      <c r="A2366" s="3">
        <v>2365</v>
      </c>
      <c r="B2366" t="s" s="4">
        <v>14834</v>
      </c>
      <c r="C2366" t="s" s="5">
        <v>14815</v>
      </c>
      <c r="D2366" t="s" s="5">
        <v>14775</v>
      </c>
      <c r="E2366" t="s" s="5">
        <v>14835</v>
      </c>
      <c r="F2366" t="s" s="10">
        <v>14836</v>
      </c>
      <c r="G2366" t="s" s="7">
        <v>14837</v>
      </c>
      <c r="H2366" t="s" s="7">
        <v>14838</v>
      </c>
      <c r="I2366" t="str" s="8" cm="1">
        <f t="array" ref="I2366">SUBSTITUTE(H2366,B2366,"(          )")</f>
        <v>Justice will (          ) in the end.</v>
      </c>
      <c r="J2366" s="9" cm="1">
        <f t="array" ref="J2366">SUMIF('외운 것 - 엑셀다운로드 파일(붙여넣기)'!A3:A562,A2366,'외운 것 - 엑셀다운로드 파일(붙여넣기)'!D3:D562)</f>
        <v>0</v>
      </c>
      <c r="K2366" s="9" cm="1">
        <f t="array" ref="K2366">_xlfn.COUNTIFS('외운 것 - 엑셀다운로드 파일(붙여넣기)'!A3:A562,A2366,'외운 것 - 엑셀다운로드 파일(붙여넣기)'!D3:D562,0)</f>
        <v>0</v>
      </c>
      <c r="L2366" s="9" cm="1">
        <f t="array" ref="L2366">IF(J2366&gt;=3,_xlfn.XLOOKUP(A2366,'외운 것 - 엑셀다운로드 파일(붙여넣기)'!A3:A562,'외운 것 - 엑셀다운로드 파일(붙여넣기)'!C3:C562,0,-1),0)</f>
        <v>0</v>
      </c>
    </row>
    <row r="2367" ht="23.45" customHeight="1">
      <c r="A2367" s="3">
        <v>2366</v>
      </c>
      <c r="B2367" t="s" s="4">
        <v>14840</v>
      </c>
      <c r="C2367" t="s" s="5">
        <v>14841</v>
      </c>
      <c r="D2367" t="s" s="5">
        <v>14842</v>
      </c>
      <c r="E2367" t="s" s="5">
        <v>14843</v>
      </c>
      <c r="F2367" t="s" s="10">
        <v>14844</v>
      </c>
      <c r="G2367" t="s" s="7">
        <v>14845</v>
      </c>
      <c r="H2367" t="s" s="7">
        <v>14846</v>
      </c>
      <c r="I2367" t="str" s="8" cm="1">
        <f t="array" ref="I2367">SUBSTITUTE(H2367,B2367,"(          )")</f>
        <v>Temperatures (          ) greatly from summer to winter.</v>
      </c>
      <c r="J2367" s="9" cm="1">
        <f t="array" ref="J2367">SUMIF('외운 것 - 엑셀다운로드 파일(붙여넣기)'!A3:A562,A2367,'외운 것 - 엑셀다운로드 파일(붙여넣기)'!D3:D562)</f>
        <v>0</v>
      </c>
      <c r="K2367" s="9" cm="1">
        <f t="array" ref="K2367">_xlfn.COUNTIFS('외운 것 - 엑셀다운로드 파일(붙여넣기)'!A3:A562,A2367,'외운 것 - 엑셀다운로드 파일(붙여넣기)'!D3:D562,0)</f>
        <v>0</v>
      </c>
      <c r="L2367" s="9" cm="1">
        <f t="array" ref="L2367">IF(J2367&gt;=3,_xlfn.XLOOKUP(A2367,'외운 것 - 엑셀다운로드 파일(붙여넣기)'!A3:A562,'외운 것 - 엑셀다운로드 파일(붙여넣기)'!C3:C562,0,-1),0)</f>
        <v>0</v>
      </c>
    </row>
    <row r="2368" ht="23.45" customHeight="1">
      <c r="A2368" s="3">
        <v>2367</v>
      </c>
      <c r="B2368" t="s" s="4">
        <v>14848</v>
      </c>
      <c r="C2368" t="s" s="5">
        <v>14849</v>
      </c>
      <c r="D2368" t="s" s="5">
        <v>14841</v>
      </c>
      <c r="E2368" t="s" s="5">
        <v>14850</v>
      </c>
      <c r="F2368" t="s" s="10">
        <v>14851</v>
      </c>
      <c r="G2368" t="s" s="7">
        <v>14852</v>
      </c>
      <c r="H2368" t="s" s="7">
        <v>14853</v>
      </c>
      <c r="I2368" t="str" s="8" cm="1">
        <f t="array" ref="I2368">SUBSTITUTE(H2368,B2368,"(          )")</f>
        <v>Genetic (          ) contributes to species adaptability.</v>
      </c>
      <c r="J2368" s="9" cm="1">
        <f t="array" ref="J2368">SUMIF('외운 것 - 엑셀다운로드 파일(붙여넣기)'!A3:A562,A2368,'외운 것 - 엑셀다운로드 파일(붙여넣기)'!D3:D562)</f>
        <v>0</v>
      </c>
      <c r="K2368" s="9" cm="1">
        <f t="array" ref="K2368">_xlfn.COUNTIFS('외운 것 - 엑셀다운로드 파일(붙여넣기)'!A3:A562,A2368,'외운 것 - 엑셀다운로드 파일(붙여넣기)'!D3:D562,0)</f>
        <v>0</v>
      </c>
      <c r="L2368" s="9" cm="1">
        <f t="array" ref="L2368">IF(J2368&gt;=3,_xlfn.XLOOKUP(A2368,'외운 것 - 엑셀다운로드 파일(붙여넣기)'!A3:A562,'외운 것 - 엑셀다운로드 파일(붙여넣기)'!C3:C562,0,-1),0)</f>
        <v>0</v>
      </c>
    </row>
    <row r="2369" ht="23.45" customHeight="1">
      <c r="A2369" s="3">
        <v>2368</v>
      </c>
      <c r="B2369" t="s" s="4">
        <v>14855</v>
      </c>
      <c r="C2369" t="s" s="5">
        <v>14849</v>
      </c>
      <c r="D2369" t="s" s="5">
        <v>14841</v>
      </c>
      <c r="E2369" t="s" s="5">
        <v>14856</v>
      </c>
      <c r="F2369" t="s" s="10">
        <v>14857</v>
      </c>
      <c r="G2369" t="s" s="7">
        <v>14858</v>
      </c>
      <c r="H2369" t="s" s="7">
        <v>14859</v>
      </c>
      <c r="I2369" t="str" s="8" cm="1">
        <f t="array" ref="I2369">SUBSTITUTE(H2369,B2369,"(          )")</f>
        <v>The shop sells (          ) types of cheese.</v>
      </c>
      <c r="J2369" s="9" cm="1">
        <f t="array" ref="J2369">SUMIF('외운 것 - 엑셀다운로드 파일(붙여넣기)'!A3:A562,A2369,'외운 것 - 엑셀다운로드 파일(붙여넣기)'!D3:D562)</f>
        <v>0</v>
      </c>
      <c r="K2369" s="9" cm="1">
        <f t="array" ref="K2369">_xlfn.COUNTIFS('외운 것 - 엑셀다운로드 파일(붙여넣기)'!A3:A562,A2369,'외운 것 - 엑셀다운로드 파일(붙여넣기)'!D3:D562,0)</f>
        <v>0</v>
      </c>
      <c r="L2369" s="9" cm="1">
        <f t="array" ref="L2369">IF(J2369&gt;=3,_xlfn.XLOOKUP(A2369,'외운 것 - 엑셀다운로드 파일(붙여넣기)'!A3:A562,'외운 것 - 엑셀다운로드 파일(붙여넣기)'!C3:C562,0,-1),0)</f>
        <v>0</v>
      </c>
    </row>
    <row r="2370" ht="38.45" customHeight="1">
      <c r="A2370" s="3">
        <v>2369</v>
      </c>
      <c r="B2370" t="s" s="4">
        <v>14861</v>
      </c>
      <c r="C2370" t="s" s="5">
        <v>14849</v>
      </c>
      <c r="D2370" t="s" s="5">
        <v>14841</v>
      </c>
      <c r="E2370" t="s" s="5">
        <v>14862</v>
      </c>
      <c r="F2370" t="s" s="10">
        <v>14863</v>
      </c>
      <c r="G2370" t="s" s="7">
        <v>14864</v>
      </c>
      <c r="H2370" t="s" s="7">
        <v>14865</v>
      </c>
      <c r="I2370" t="str" s="8" cm="1">
        <f t="array" ref="I2370">SUBSTITUTE(H2370,B2370,"(          )")</f>
        <v>Wind speed is a (          ) factor in weather forecasting.</v>
      </c>
      <c r="J2370" s="9" cm="1">
        <f t="array" ref="J2370">SUMIF('외운 것 - 엑셀다운로드 파일(붙여넣기)'!A3:A562,A2370,'외운 것 - 엑셀다운로드 파일(붙여넣기)'!D3:D562)</f>
        <v>0</v>
      </c>
      <c r="K2370" s="9" cm="1">
        <f t="array" ref="K2370">_xlfn.COUNTIFS('외운 것 - 엑셀다운로드 파일(붙여넣기)'!A3:A562,A2370,'외운 것 - 엑셀다운로드 파일(붙여넣기)'!D3:D562,0)</f>
        <v>0</v>
      </c>
      <c r="L2370" s="9" cm="1">
        <f t="array" ref="L2370">IF(J2370&gt;=3,_xlfn.XLOOKUP(A2370,'외운 것 - 엑셀다운로드 파일(붙여넣기)'!A3:A562,'외운 것 - 엑셀다운로드 파일(붙여넣기)'!C3:C562,0,-1),0)</f>
        <v>0</v>
      </c>
    </row>
    <row r="2371" ht="36.4" customHeight="1">
      <c r="A2371" s="3">
        <v>2370</v>
      </c>
      <c r="B2371" t="s" s="4">
        <v>14867</v>
      </c>
      <c r="C2371" t="s" s="5">
        <v>14868</v>
      </c>
      <c r="D2371" t="s" s="5">
        <v>14841</v>
      </c>
      <c r="E2371" t="s" s="5">
        <v>14869</v>
      </c>
      <c r="F2371" t="s" s="10">
        <v>14870</v>
      </c>
      <c r="G2371" t="s" s="7">
        <v>12477</v>
      </c>
      <c r="H2371" t="s" s="7">
        <v>14871</v>
      </c>
      <c r="I2371" t="str" s="8" cm="1">
        <f t="array" ref="I2371">SUBSTITUTE(H2371,B2371,"(          )")</f>
        <v>His (          ) response to criticism is denial.</v>
      </c>
      <c r="J2371" s="9" cm="1">
        <f t="array" ref="J2371">SUMIF('외운 것 - 엑셀다운로드 파일(붙여넣기)'!A3:A562,A2371,'외운 것 - 엑셀다운로드 파일(붙여넣기)'!D3:D562)</f>
        <v>0</v>
      </c>
      <c r="K2371" s="9" cm="1">
        <f t="array" ref="K2371">_xlfn.COUNTIFS('외운 것 - 엑셀다운로드 파일(붙여넣기)'!A3:A562,A2371,'외운 것 - 엑셀다운로드 파일(붙여넣기)'!D3:D562,0)</f>
        <v>0</v>
      </c>
      <c r="L2371" s="9" cm="1">
        <f t="array" ref="L2371">IF(J2371&gt;=3,_xlfn.XLOOKUP(A2371,'외운 것 - 엑셀다운로드 파일(붙여넣기)'!A3:A562,'외운 것 - 엑셀다운로드 파일(붙여넣기)'!C3:C562,0,-1),0)</f>
        <v>0</v>
      </c>
    </row>
    <row r="2372" ht="23.45" customHeight="1">
      <c r="A2372" s="3">
        <v>2371</v>
      </c>
      <c r="B2372" t="s" s="4">
        <v>14873</v>
      </c>
      <c r="C2372" t="s" s="5">
        <v>14849</v>
      </c>
      <c r="D2372" t="s" s="5">
        <v>14841</v>
      </c>
      <c r="E2372" t="s" s="5">
        <v>14874</v>
      </c>
      <c r="F2372" t="s" s="10">
        <v>14875</v>
      </c>
      <c r="G2372" t="s" s="7">
        <v>14876</v>
      </c>
      <c r="H2372" t="s" s="7">
        <v>14877</v>
      </c>
      <c r="I2372" t="str" s="8" cm="1">
        <f t="array" ref="I2372">SUBSTITUTE(H2372,B2372,"(          )")</f>
        <v>This is a new (          ) of the original design.</v>
      </c>
      <c r="J2372" s="9" cm="1">
        <f t="array" ref="J2372">SUMIF('외운 것 - 엑셀다운로드 파일(붙여넣기)'!A3:A562,A2372,'외운 것 - 엑셀다운로드 파일(붙여넣기)'!D3:D562)</f>
        <v>0</v>
      </c>
      <c r="K2372" s="9" cm="1">
        <f t="array" ref="K2372">_xlfn.COUNTIFS('외운 것 - 엑셀다운로드 파일(붙여넣기)'!A3:A562,A2372,'외운 것 - 엑셀다운로드 파일(붙여넣기)'!D3:D562,0)</f>
        <v>0</v>
      </c>
      <c r="L2372" s="9" cm="1">
        <f t="array" ref="L2372">IF(J2372&gt;=3,_xlfn.XLOOKUP(A2372,'외운 것 - 엑셀다운로드 파일(붙여넣기)'!A3:A562,'외운 것 - 엑셀다운로드 파일(붙여넣기)'!C3:C562,0,-1),0)</f>
        <v>0</v>
      </c>
    </row>
    <row r="2373" ht="23.45" customHeight="1">
      <c r="A2373" s="3">
        <v>2372</v>
      </c>
      <c r="B2373" t="s" s="4">
        <v>14879</v>
      </c>
      <c r="C2373" t="s" s="5">
        <v>14849</v>
      </c>
      <c r="D2373" t="s" s="5">
        <v>14841</v>
      </c>
      <c r="E2373" t="s" s="5">
        <v>14880</v>
      </c>
      <c r="F2373" t="s" s="10">
        <v>14881</v>
      </c>
      <c r="G2373" t="s" s="7">
        <v>14882</v>
      </c>
      <c r="H2373" t="s" s="7">
        <v>14883</v>
      </c>
      <c r="I2373" t="str" s="8" cm="1">
        <f t="array" ref="I2373">SUBSTITUTE(H2373,B2373,"(          )")</f>
        <v>The store offers a wide (          ) of products.</v>
      </c>
      <c r="J2373" s="9" cm="1">
        <f t="array" ref="J2373">SUMIF('외운 것 - 엑셀다운로드 파일(붙여넣기)'!A3:A562,A2373,'외운 것 - 엑셀다운로드 파일(붙여넣기)'!D3:D562)</f>
        <v>0</v>
      </c>
      <c r="K2373" s="9" cm="1">
        <f t="array" ref="K2373">_xlfn.COUNTIFS('외운 것 - 엑셀다운로드 파일(붙여넣기)'!A3:A562,A2373,'외운 것 - 엑셀다운로드 파일(붙여넣기)'!D3:D562,0)</f>
        <v>0</v>
      </c>
      <c r="L2373" s="9" cm="1">
        <f t="array" ref="L2373">IF(J2373&gt;=3,_xlfn.XLOOKUP(A2373,'외운 것 - 엑셀다운로드 파일(붙여넣기)'!A3:A562,'외운 것 - 엑셀다운로드 파일(붙여넣기)'!C3:C562,0,-1),0)</f>
        <v>0</v>
      </c>
    </row>
    <row r="2374" ht="23.45" customHeight="1">
      <c r="A2374" s="3">
        <v>2373</v>
      </c>
      <c r="B2374" t="s" s="4">
        <v>14885</v>
      </c>
      <c r="C2374" t="s" s="5">
        <v>14886</v>
      </c>
      <c r="D2374" t="s" s="5">
        <v>14887</v>
      </c>
      <c r="E2374" t="s" s="5">
        <v>14888</v>
      </c>
      <c r="F2374" t="s" s="10">
        <v>14889</v>
      </c>
      <c r="G2374" t="s" s="7">
        <v>14890</v>
      </c>
      <c r="H2374" t="s" s="7">
        <v>14891</v>
      </c>
      <c r="I2374" t="str" s="8" cm="1">
        <f t="array" ref="I2374">SUBSTITUTE(H2374,B2374,"(          )")</f>
        <v>The team celebrated their (          ) in the championship.</v>
      </c>
      <c r="J2374" s="9" cm="1">
        <f t="array" ref="J2374">SUMIF('외운 것 - 엑셀다운로드 파일(붙여넣기)'!A3:A562,A2374,'외운 것 - 엑셀다운로드 파일(붙여넣기)'!D3:D562)</f>
        <v>0</v>
      </c>
      <c r="K2374" s="9" cm="1">
        <f t="array" ref="K2374">_xlfn.COUNTIFS('외운 것 - 엑셀다운로드 파일(붙여넣기)'!A3:A562,A2374,'외운 것 - 엑셀다운로드 파일(붙여넣기)'!D3:D562,0)</f>
        <v>0</v>
      </c>
      <c r="L2374" s="9" cm="1">
        <f t="array" ref="L2374">IF(J2374&gt;=3,_xlfn.XLOOKUP(A2374,'외운 것 - 엑셀다운로드 파일(붙여넣기)'!A3:A562,'외운 것 - 엑셀다운로드 파일(붙여넣기)'!C3:C562,0,-1),0)</f>
        <v>0</v>
      </c>
    </row>
    <row r="2375" ht="23.45" customHeight="1">
      <c r="A2375" s="3">
        <v>2374</v>
      </c>
      <c r="B2375" t="s" s="4">
        <v>14893</v>
      </c>
      <c r="C2375" t="s" s="5">
        <v>14894</v>
      </c>
      <c r="D2375" t="s" s="5">
        <v>14887</v>
      </c>
      <c r="E2375" t="s" s="5">
        <v>14895</v>
      </c>
      <c r="F2375" t="s" s="10">
        <v>14896</v>
      </c>
      <c r="G2375" t="s" s="7">
        <v>14897</v>
      </c>
      <c r="H2375" t="s" s="7">
        <v>14898</v>
      </c>
      <c r="I2375" t="str" s="8" cm="1">
        <f t="array" ref="I2375">SUBSTITUTE(H2375,B2375,"(          )")</f>
        <v>The (          ) of the accident is recovering in the hospital.</v>
      </c>
      <c r="J2375" s="9" cm="1">
        <f t="array" ref="J2375">SUMIF('외운 것 - 엑셀다운로드 파일(붙여넣기)'!A3:A562,A2375,'외운 것 - 엑셀다운로드 파일(붙여넣기)'!D3:D562)</f>
        <v>0</v>
      </c>
      <c r="K2375" s="9" cm="1">
        <f t="array" ref="K2375">_xlfn.COUNTIFS('외운 것 - 엑셀다운로드 파일(붙여넣기)'!A3:A562,A2375,'외운 것 - 엑셀다운로드 파일(붙여넣기)'!D3:D562,0)</f>
        <v>0</v>
      </c>
      <c r="L2375" s="9" cm="1">
        <f t="array" ref="L2375">IF(J2375&gt;=3,_xlfn.XLOOKUP(A2375,'외운 것 - 엑셀다운로드 파일(붙여넣기)'!A3:A562,'외운 것 - 엑셀다운로드 파일(붙여넣기)'!C3:C562,0,-1),0)</f>
        <v>0</v>
      </c>
    </row>
    <row r="2376" ht="38.45" customHeight="1">
      <c r="A2376" s="3">
        <v>2375</v>
      </c>
      <c r="B2376" t="s" s="4">
        <v>14900</v>
      </c>
      <c r="C2376" t="s" s="5">
        <v>14886</v>
      </c>
      <c r="D2376" t="s" s="5">
        <v>14887</v>
      </c>
      <c r="E2376" t="s" s="5">
        <v>14901</v>
      </c>
      <c r="F2376" t="s" s="10">
        <v>14902</v>
      </c>
      <c r="G2376" t="s" s="7">
        <v>14903</v>
      </c>
      <c r="H2376" t="s" s="7">
        <v>14904</v>
      </c>
      <c r="I2376" t="str" s="8" cm="1">
        <f t="array" ref="I2376">SUBSTITUTE(H2376,B2376,"(          )")</f>
        <v>The jury's (          ) was based on solid evidence.</v>
      </c>
      <c r="J2376" s="9" cm="1">
        <f t="array" ref="J2376">SUMIF('외운 것 - 엑셀다운로드 파일(붙여넣기)'!A3:A562,A2376,'외운 것 - 엑셀다운로드 파일(붙여넣기)'!D3:D562)</f>
        <v>0</v>
      </c>
      <c r="K2376" s="9" cm="1">
        <f t="array" ref="K2376">_xlfn.COUNTIFS('외운 것 - 엑셀다운로드 파일(붙여넣기)'!A3:A562,A2376,'외운 것 - 엑셀다운로드 파일(붙여넣기)'!D3:D562,0)</f>
        <v>0</v>
      </c>
      <c r="L2376" s="9" cm="1">
        <f t="array" ref="L2376">IF(J2376&gt;=3,_xlfn.XLOOKUP(A2376,'외운 것 - 엑셀다운로드 파일(붙여넣기)'!A3:A562,'외운 것 - 엑셀다운로드 파일(붙여넣기)'!C3:C562,0,-1),0)</f>
        <v>0</v>
      </c>
    </row>
    <row r="2377" ht="38.45" customHeight="1">
      <c r="A2377" s="3">
        <v>2376</v>
      </c>
      <c r="B2377" t="s" s="4">
        <v>14906</v>
      </c>
      <c r="C2377" t="s" s="5">
        <v>14907</v>
      </c>
      <c r="D2377" t="s" s="5">
        <v>14887</v>
      </c>
      <c r="E2377" t="s" s="5">
        <v>14908</v>
      </c>
      <c r="F2377" t="s" s="10">
        <v>14909</v>
      </c>
      <c r="G2377" t="s" s="7">
        <v>14910</v>
      </c>
      <c r="H2377" t="s" s="7">
        <v>14911</v>
      </c>
      <c r="I2377" t="str" s="8" cm="1">
        <f t="array" ref="I2377">SUBSTITUTE(H2377,B2377,"(          )")</f>
        <v>Even the strongest opponent is (          ) with the right strategy.</v>
      </c>
      <c r="J2377" s="9" cm="1">
        <f t="array" ref="J2377">SUMIF('외운 것 - 엑셀다운로드 파일(붙여넣기)'!A3:A562,A2377,'외운 것 - 엑셀다운로드 파일(붙여넣기)'!D3:D562)</f>
        <v>0</v>
      </c>
      <c r="K2377" s="9" cm="1">
        <f t="array" ref="K2377">_xlfn.COUNTIFS('외운 것 - 엑셀다운로드 파일(붙여넣기)'!A3:A562,A2377,'외운 것 - 엑셀다운로드 파일(붙여넣기)'!D3:D562,0)</f>
        <v>0</v>
      </c>
      <c r="L2377" s="9" cm="1">
        <f t="array" ref="L2377">IF(J2377&gt;=3,_xlfn.XLOOKUP(A2377,'외운 것 - 엑셀다운로드 파일(붙여넣기)'!A3:A562,'외운 것 - 엑셀다운로드 파일(붙여넣기)'!C3:C562,0,-1),0)</f>
        <v>0</v>
      </c>
    </row>
    <row r="2378" ht="38.45" customHeight="1">
      <c r="A2378" s="3">
        <v>2377</v>
      </c>
      <c r="B2378" t="s" s="4">
        <v>14913</v>
      </c>
      <c r="C2378" t="s" s="5">
        <v>14907</v>
      </c>
      <c r="D2378" t="s" s="5">
        <v>14887</v>
      </c>
      <c r="E2378" t="s" s="5">
        <v>14914</v>
      </c>
      <c r="F2378" t="s" s="10">
        <v>14915</v>
      </c>
      <c r="G2378" t="s" s="7">
        <v>10180</v>
      </c>
      <c r="H2378" t="s" s="7">
        <v>14916</v>
      </c>
      <c r="I2378" t="str" s="8" cm="1">
        <f t="array" ref="I2378">SUBSTITUTE(H2378,B2378,"(          )")</f>
        <v>The evidence should (          ) even the most skeptical person.</v>
      </c>
      <c r="J2378" s="9" cm="1">
        <f t="array" ref="J2378">SUMIF('외운 것 - 엑셀다운로드 파일(붙여넣기)'!A3:A562,A2378,'외운 것 - 엑셀다운로드 파일(붙여넣기)'!D3:D562)</f>
        <v>0</v>
      </c>
      <c r="K2378" s="9" cm="1">
        <f t="array" ref="K2378">_xlfn.COUNTIFS('외운 것 - 엑셀다운로드 파일(붙여넣기)'!A3:A562,A2378,'외운 것 - 엑셀다운로드 파일(붙여넣기)'!D3:D562,0)</f>
        <v>0</v>
      </c>
      <c r="L2378" s="9" cm="1">
        <f t="array" ref="L2378">IF(J2378&gt;=3,_xlfn.XLOOKUP(A2378,'외운 것 - 엑셀다운로드 파일(붙여넣기)'!A3:A562,'외운 것 - 엑셀다운로드 파일(붙여넣기)'!C3:C562,0,-1),0)</f>
        <v>0</v>
      </c>
    </row>
    <row r="2379" ht="23.45" customHeight="1">
      <c r="A2379" s="3">
        <v>2378</v>
      </c>
      <c r="B2379" t="s" s="4">
        <v>14918</v>
      </c>
      <c r="C2379" t="s" s="5">
        <v>14919</v>
      </c>
      <c r="D2379" t="s" s="5">
        <v>14920</v>
      </c>
      <c r="E2379" t="s" s="5">
        <v>14921</v>
      </c>
      <c r="F2379" t="s" s="10">
        <v>14922</v>
      </c>
      <c r="G2379" t="s" s="7">
        <v>14923</v>
      </c>
      <c r="H2379" t="s" s="7">
        <v>14924</v>
      </c>
      <c r="I2379" t="str" s="8" cm="1">
        <f t="array" ref="I2379">SUBSTITUTE(H2379,B2379,"(          )")</f>
        <v>Vitamin C helps strengthen the immune system.</v>
      </c>
      <c r="J2379" s="9" cm="1">
        <f t="array" ref="J2379">SUMIF('외운 것 - 엑셀다운로드 파일(붙여넣기)'!A3:A562,A2379,'외운 것 - 엑셀다운로드 파일(붙여넣기)'!D3:D562)</f>
        <v>0</v>
      </c>
      <c r="K2379" s="9" cm="1">
        <f t="array" ref="K2379">_xlfn.COUNTIFS('외운 것 - 엑셀다운로드 파일(붙여넣기)'!A3:A562,A2379,'외운 것 - 엑셀다운로드 파일(붙여넣기)'!D3:D562,0)</f>
        <v>0</v>
      </c>
      <c r="L2379" s="9" cm="1">
        <f t="array" ref="L2379">IF(J2379&gt;=3,_xlfn.XLOOKUP(A2379,'외운 것 - 엑셀다운로드 파일(붙여넣기)'!A3:A562,'외운 것 - 엑셀다운로드 파일(붙여넣기)'!C3:C562,0,-1),0)</f>
        <v>0</v>
      </c>
    </row>
    <row r="2380" ht="38.45" customHeight="1">
      <c r="A2380" s="3">
        <v>2379</v>
      </c>
      <c r="B2380" t="s" s="4">
        <v>14926</v>
      </c>
      <c r="C2380" t="s" s="5">
        <v>14919</v>
      </c>
      <c r="D2380" t="s" s="5">
        <v>14920</v>
      </c>
      <c r="E2380" t="s" s="5">
        <v>14927</v>
      </c>
      <c r="F2380" t="s" s="10">
        <v>14928</v>
      </c>
      <c r="G2380" t="s" s="7">
        <v>14929</v>
      </c>
      <c r="H2380" t="s" s="7">
        <v>14930</v>
      </c>
      <c r="I2380" t="str" s="8" cm="1">
        <f t="array" ref="I2380">SUBSTITUTE(H2380,B2380,"(          )")</f>
        <v>Oxygen is (          ) for human survival.</v>
      </c>
      <c r="J2380" s="9" cm="1">
        <f t="array" ref="J2380">SUMIF('외운 것 - 엑셀다운로드 파일(붙여넣기)'!A3:A562,A2380,'외운 것 - 엑셀다운로드 파일(붙여넣기)'!D3:D562)</f>
        <v>0</v>
      </c>
      <c r="K2380" s="9" cm="1">
        <f t="array" ref="K2380">_xlfn.COUNTIFS('외운 것 - 엑셀다운로드 파일(붙여넣기)'!A3:A562,A2380,'외운 것 - 엑셀다운로드 파일(붙여넣기)'!D3:D562,0)</f>
        <v>0</v>
      </c>
      <c r="L2380" s="9" cm="1">
        <f t="array" ref="L2380">IF(J2380&gt;=3,_xlfn.XLOOKUP(A2380,'외운 것 - 엑셀다운로드 파일(붙여넣기)'!A3:A562,'외운 것 - 엑셀다운로드 파일(붙여넣기)'!C3:C562,0,-1),0)</f>
        <v>0</v>
      </c>
    </row>
    <row r="2381" ht="23.45" customHeight="1">
      <c r="A2381" s="3">
        <v>2380</v>
      </c>
      <c r="B2381" t="s" s="4">
        <v>14931</v>
      </c>
      <c r="C2381" t="s" s="5">
        <v>14932</v>
      </c>
      <c r="D2381" t="s" s="5">
        <v>14919</v>
      </c>
      <c r="E2381" t="s" s="5">
        <v>14933</v>
      </c>
      <c r="F2381" t="s" s="10">
        <v>14934</v>
      </c>
      <c r="G2381" t="s" s="7">
        <v>14935</v>
      </c>
      <c r="H2381" t="s" s="7">
        <v>14936</v>
      </c>
      <c r="I2381" t="str" s="8" cm="1">
        <f t="array" ref="I2381">SUBSTITUTE(H2381,B2381,"(          )")</f>
        <v>Regular exercise increases your (          ) and energy.</v>
      </c>
      <c r="J2381" s="9" cm="1">
        <f t="array" ref="J2381">SUMIF('외운 것 - 엑셀다운로드 파일(붙여넣기)'!A3:A562,A2381,'외운 것 - 엑셀다운로드 파일(붙여넣기)'!D3:D562)</f>
        <v>0</v>
      </c>
      <c r="K2381" s="9" cm="1">
        <f t="array" ref="K2381">_xlfn.COUNTIFS('외운 것 - 엑셀다운로드 파일(붙여넣기)'!A3:A562,A2381,'외운 것 - 엑셀다운로드 파일(붙여넣기)'!D3:D562,0)</f>
        <v>0</v>
      </c>
      <c r="L2381" s="9" cm="1">
        <f t="array" ref="L2381">IF(J2381&gt;=3,_xlfn.XLOOKUP(A2381,'외운 것 - 엑셀다운로드 파일(붙여넣기)'!A3:A562,'외운 것 - 엑셀다운로드 파일(붙여넣기)'!C3:C562,0,-1),0)</f>
        <v>0</v>
      </c>
    </row>
    <row r="2382" ht="23.45" customHeight="1">
      <c r="A2382" s="3">
        <v>2381</v>
      </c>
      <c r="B2382" t="s" s="4">
        <v>14938</v>
      </c>
      <c r="C2382" t="s" s="5">
        <v>14919</v>
      </c>
      <c r="D2382" t="s" s="5">
        <v>14920</v>
      </c>
      <c r="E2382" t="s" s="5">
        <v>14939</v>
      </c>
      <c r="F2382" t="s" s="10">
        <v>14940</v>
      </c>
      <c r="G2382" t="s" s="7">
        <v>14941</v>
      </c>
      <c r="H2382" t="s" s="7">
        <v>14942</v>
      </c>
      <c r="I2382" t="str" s="8" cm="1">
        <f t="array" ref="I2382">SUBSTITUTE(H2382,B2382,"(          )")</f>
        <v>We (          )d thirty people to the wedding.</v>
      </c>
      <c r="J2382" s="9" cm="1">
        <f t="array" ref="J2382">SUMIF('외운 것 - 엑셀다운로드 파일(붙여넣기)'!A3:A562,A2382,'외운 것 - 엑셀다운로드 파일(붙여넣기)'!D3:D562)</f>
        <v>0</v>
      </c>
      <c r="K2382" s="9" cm="1">
        <f t="array" ref="K2382">_xlfn.COUNTIFS('외운 것 - 엑셀다운로드 파일(붙여넣기)'!A3:A562,A2382,'외운 것 - 엑셀다운로드 파일(붙여넣기)'!D3:D562,0)</f>
        <v>0</v>
      </c>
      <c r="L2382" s="9" cm="1">
        <f t="array" ref="L2382">IF(J2382&gt;=3,_xlfn.XLOOKUP(A2382,'외운 것 - 엑셀다운로드 파일(붙여넣기)'!A3:A562,'외운 것 - 엑셀다운로드 파일(붙여넣기)'!C3:C562,0,-1),0)</f>
        <v>0</v>
      </c>
    </row>
    <row r="2383" ht="38.45" customHeight="1">
      <c r="A2383" s="3">
        <v>2382</v>
      </c>
      <c r="B2383" t="s" s="4">
        <v>14944</v>
      </c>
      <c r="C2383" t="s" s="5">
        <v>14945</v>
      </c>
      <c r="D2383" t="s" s="5">
        <v>14946</v>
      </c>
      <c r="E2383" t="s" s="5">
        <v>14947</v>
      </c>
      <c r="F2383" t="s" s="10">
        <v>14948</v>
      </c>
      <c r="G2383" t="s" s="7">
        <v>14949</v>
      </c>
      <c r="H2383" t="s" s="7">
        <v>14950</v>
      </c>
      <c r="I2383" t="str" s="8" cm="1">
        <f t="array" ref="I2383">SUBSTITUTE(H2383,B2383,"(          )")</f>
        <v>The professor conducted a (          ) to test the student's knowledge.</v>
      </c>
      <c r="J2383" s="9" cm="1">
        <f t="array" ref="J2383">SUMIF('외운 것 - 엑셀다운로드 파일(붙여넣기)'!A3:A562,A2383,'외운 것 - 엑셀다운로드 파일(붙여넣기)'!D3:D562)</f>
        <v>0</v>
      </c>
      <c r="K2383" s="9" cm="1">
        <f t="array" ref="K2383">_xlfn.COUNTIFS('외운 것 - 엑셀다운로드 파일(붙여넣기)'!A3:A562,A2383,'외운 것 - 엑셀다운로드 파일(붙여넣기)'!D3:D562,0)</f>
        <v>0</v>
      </c>
      <c r="L2383" s="9" cm="1">
        <f t="array" ref="L2383">IF(J2383&gt;=3,_xlfn.XLOOKUP(A2383,'외운 것 - 엑셀다운로드 파일(붙여넣기)'!A3:A562,'외운 것 - 엑셀다운로드 파일(붙여넣기)'!C3:C562,0,-1),0)</f>
        <v>0</v>
      </c>
    </row>
    <row r="2384" ht="23.45" customHeight="1">
      <c r="A2384" s="3">
        <v>2383</v>
      </c>
      <c r="B2384" t="s" s="4">
        <v>14952</v>
      </c>
      <c r="C2384" t="s" s="5">
        <v>14945</v>
      </c>
      <c r="D2384" t="s" s="5">
        <v>14946</v>
      </c>
      <c r="E2384" t="s" s="5">
        <v>14953</v>
      </c>
      <c r="F2384" t="s" s="10">
        <v>14954</v>
      </c>
      <c r="G2384" t="s" s="7">
        <v>14955</v>
      </c>
      <c r="H2384" t="s" s="7">
        <v>14956</v>
      </c>
      <c r="I2384" t="str" s="8" cm="1">
        <f t="array" ref="I2384">SUBSTITUTE(H2384,B2384,"(          )")</f>
        <v>She described the scene in (          ) detail.</v>
      </c>
      <c r="J2384" s="9" cm="1">
        <f t="array" ref="J2384">SUMIF('외운 것 - 엑셀다운로드 파일(붙여넣기)'!A3:A562,A2384,'외운 것 - 엑셀다운로드 파일(붙여넣기)'!D3:D562)</f>
        <v>0</v>
      </c>
      <c r="K2384" s="9" cm="1">
        <f t="array" ref="K2384">_xlfn.COUNTIFS('외운 것 - 엑셀다운로드 파일(붙여넣기)'!A3:A562,A2384,'외운 것 - 엑셀다운로드 파일(붙여넣기)'!D3:D562,0)</f>
        <v>0</v>
      </c>
      <c r="L2384" s="9" cm="1">
        <f t="array" ref="L2384">IF(J2384&gt;=3,_xlfn.XLOOKUP(A2384,'외운 것 - 엑셀다운로드 파일(붙여넣기)'!A3:A562,'외운 것 - 엑셀다운로드 파일(붙여넣기)'!C3:C562,0,-1),0)</f>
        <v>0</v>
      </c>
    </row>
    <row r="2385" ht="23.45" customHeight="1">
      <c r="A2385" s="3">
        <v>2384</v>
      </c>
      <c r="B2385" t="s" s="4">
        <v>14958</v>
      </c>
      <c r="C2385" t="s" s="5">
        <v>14945</v>
      </c>
      <c r="D2385" t="s" s="5">
        <v>14946</v>
      </c>
      <c r="E2385" t="s" s="5">
        <v>14959</v>
      </c>
      <c r="F2385" t="s" s="10">
        <v>14960</v>
      </c>
      <c r="G2385" t="s" s="7">
        <v>14961</v>
      </c>
      <c r="H2385" t="s" s="7">
        <v>14962</v>
      </c>
      <c r="I2385" t="str" s="8" cm="1">
        <f t="array" ref="I2385">SUBSTITUTE(H2385,B2385,"(          )")</f>
        <v>There has been a (          ) of interest in traditional crafts.</v>
      </c>
      <c r="J2385" s="9" cm="1">
        <f t="array" ref="J2385">SUMIF('외운 것 - 엑셀다운로드 파일(붙여넣기)'!A3:A562,A2385,'외운 것 - 엑셀다운로드 파일(붙여넣기)'!D3:D562)</f>
        <v>0</v>
      </c>
      <c r="K2385" s="9" cm="1">
        <f t="array" ref="K2385">_xlfn.COUNTIFS('외운 것 - 엑셀다운로드 파일(붙여넣기)'!A3:A562,A2385,'외운 것 - 엑셀다운로드 파일(붙여넣기)'!D3:D562,0)</f>
        <v>0</v>
      </c>
      <c r="L2385" s="9" cm="1">
        <f t="array" ref="L2385">IF(J2385&gt;=3,_xlfn.XLOOKUP(A2385,'외운 것 - 엑셀다운로드 파일(붙여넣기)'!A3:A562,'외운 것 - 엑셀다운로드 파일(붙여넣기)'!C3:C562,0,-1),0)</f>
        <v>0</v>
      </c>
    </row>
    <row r="2386" ht="38.45" customHeight="1">
      <c r="A2386" s="3">
        <v>2385</v>
      </c>
      <c r="B2386" t="s" s="4">
        <v>14964</v>
      </c>
      <c r="C2386" t="s" s="5">
        <v>14945</v>
      </c>
      <c r="D2386" t="s" s="5">
        <v>14946</v>
      </c>
      <c r="E2386" t="s" s="5">
        <v>14965</v>
      </c>
      <c r="F2386" t="s" s="10">
        <v>14966</v>
      </c>
      <c r="G2386" t="s" s="7">
        <v>14967</v>
      </c>
      <c r="H2386" t="s" s="7">
        <v>14968</v>
      </c>
      <c r="I2386" t="str" s="8" cm="1">
        <f t="array" ref="I2386">SUBSTITUTE(H2386,B2386,"(          )")</f>
        <v>Survival in the wilderness requires knowledge and preparation.</v>
      </c>
      <c r="J2386" s="9" cm="1">
        <f t="array" ref="J2386">SUMIF('외운 것 - 엑셀다운로드 파일(붙여넣기)'!A3:A562,A2386,'외운 것 - 엑셀다운로드 파일(붙여넣기)'!D3:D562)</f>
        <v>0</v>
      </c>
      <c r="K2386" s="9" cm="1">
        <f t="array" ref="K2386">_xlfn.COUNTIFS('외운 것 - 엑셀다운로드 파일(붙여넣기)'!A3:A562,A2386,'외운 것 - 엑셀다운로드 파일(붙여넣기)'!D3:D562,0)</f>
        <v>0</v>
      </c>
      <c r="L2386" s="9" cm="1">
        <f t="array" ref="L2386">IF(J2386&gt;=3,_xlfn.XLOOKUP(A2386,'외운 것 - 엑셀다운로드 파일(붙여넣기)'!A3:A562,'외운 것 - 엑셀다운로드 파일(붙여넣기)'!C3:C562,0,-1),0)</f>
        <v>0</v>
      </c>
    </row>
    <row r="2387" ht="38.45" customHeight="1">
      <c r="A2387" s="3">
        <v>2386</v>
      </c>
      <c r="B2387" t="s" s="4">
        <v>14970</v>
      </c>
      <c r="C2387" t="s" s="5">
        <v>14971</v>
      </c>
      <c r="D2387" t="s" s="5">
        <v>14972</v>
      </c>
      <c r="E2387" t="s" s="5">
        <v>14973</v>
      </c>
      <c r="F2387" t="s" s="10">
        <v>14974</v>
      </c>
      <c r="G2387" t="s" s="7">
        <v>14975</v>
      </c>
      <c r="H2387" t="s" s="7">
        <v>14976</v>
      </c>
      <c r="I2387" t="str" s="8" cm="1">
        <f t="array" ref="I2387">SUBSTITUTE(H2387,B2387,"(          )")</f>
        <v>Strong (          ) blew the leaves from the trees.</v>
      </c>
      <c r="J2387" s="9" cm="1">
        <f t="array" ref="J2387">SUMIF('외운 것 - 엑셀다운로드 파일(붙여넣기)'!A3:A562,A2387,'외운 것 - 엑셀다운로드 파일(붙여넣기)'!D3:D562)</f>
        <v>0</v>
      </c>
      <c r="K2387" s="9" cm="1">
        <f t="array" ref="K2387">_xlfn.COUNTIFS('외운 것 - 엑셀다운로드 파일(붙여넣기)'!A3:A562,A2387,'외운 것 - 엑셀다운로드 파일(붙여넣기)'!D3:D562,0)</f>
        <v>0</v>
      </c>
      <c r="L2387" s="9" cm="1">
        <f t="array" ref="L2387">IF(J2387&gt;=3,_xlfn.XLOOKUP(A2387,'외운 것 - 엑셀다운로드 파일(붙여넣기)'!A3:A562,'외운 것 - 엑셀다운로드 파일(붙여넣기)'!C3:C562,0,-1),0)</f>
        <v>0</v>
      </c>
    </row>
    <row r="2388" ht="23.45" customHeight="1">
      <c r="A2388" s="3">
        <v>2387</v>
      </c>
      <c r="B2388" t="s" s="4">
        <v>14978</v>
      </c>
      <c r="C2388" t="s" s="5">
        <v>14979</v>
      </c>
      <c r="D2388" t="s" s="5">
        <v>14972</v>
      </c>
      <c r="E2388" t="s" s="5">
        <v>14980</v>
      </c>
      <c r="F2388" t="s" s="10">
        <v>14981</v>
      </c>
      <c r="G2388" t="s" s="7">
        <v>14982</v>
      </c>
      <c r="H2388" t="s" s="7">
        <v>14983</v>
      </c>
      <c r="I2388" t="str" s="8" cm="1">
        <f t="array" ref="I2388">SUBSTITUTE(H2388,B2388,"(          )")</f>
        <v>The rock cracked the (          ) of my car.</v>
      </c>
      <c r="J2388" s="9" cm="1">
        <f t="array" ref="J2388">SUMIF('외운 것 - 엑셀다운로드 파일(붙여넣기)'!A3:A562,A2388,'외운 것 - 엑셀다운로드 파일(붙여넣기)'!D3:D562)</f>
        <v>0</v>
      </c>
      <c r="K2388" s="9" cm="1">
        <f t="array" ref="K2388">_xlfn.COUNTIFS('외운 것 - 엑셀다운로드 파일(붙여넣기)'!A3:A562,A2388,'외운 것 - 엑셀다운로드 파일(붙여넣기)'!D3:D562,0)</f>
        <v>0</v>
      </c>
      <c r="L2388" s="9" cm="1">
        <f t="array" ref="L2388">IF(J2388&gt;=3,_xlfn.XLOOKUP(A2388,'외운 것 - 엑셀다운로드 파일(붙여넣기)'!A3:A562,'외운 것 - 엑셀다운로드 파일(붙여넣기)'!C3:C562,0,-1),0)</f>
        <v>0</v>
      </c>
    </row>
    <row r="2389" ht="23.45" customHeight="1">
      <c r="A2389" s="3">
        <v>2388</v>
      </c>
      <c r="B2389" t="s" s="4">
        <v>14985</v>
      </c>
      <c r="C2389" t="s" s="5">
        <v>14979</v>
      </c>
      <c r="D2389" t="s" s="5">
        <v>14972</v>
      </c>
      <c r="E2389" t="s" s="5">
        <v>14986</v>
      </c>
      <c r="F2389" t="s" s="10">
        <v>14987</v>
      </c>
      <c r="G2389" t="s" s="7">
        <v>14988</v>
      </c>
      <c r="H2389" t="s" s="7">
        <v>14989</v>
      </c>
      <c r="I2389" t="str" s="8" cm="1">
        <f t="array" ref="I2389">SUBSTITUTE(H2389,B2389,"(          )")</f>
        <v>In (          ), the lake freezes solid.</v>
      </c>
      <c r="J2389" s="9" cm="1">
        <f t="array" ref="J2389">SUMIF('외운 것 - 엑셀다운로드 파일(붙여넣기)'!A3:A562,A2389,'외운 것 - 엑셀다운로드 파일(붙여넣기)'!D3:D562)</f>
        <v>0</v>
      </c>
      <c r="K2389" s="9" cm="1">
        <f t="array" ref="K2389">_xlfn.COUNTIFS('외운 것 - 엑셀다운로드 파일(붙여넣기)'!A3:A562,A2389,'외운 것 - 엑셀다운로드 파일(붙여넣기)'!D3:D562,0)</f>
        <v>0</v>
      </c>
      <c r="L2389" s="9" cm="1">
        <f t="array" ref="L2389">IF(J2389&gt;=3,_xlfn.XLOOKUP(A2389,'외운 것 - 엑셀다운로드 파일(붙여넣기)'!A3:A562,'외운 것 - 엑셀다운로드 파일(붙여넣기)'!C3:C562,0,-1),0)</f>
        <v>0</v>
      </c>
    </row>
    <row r="2390" ht="23.45" customHeight="1">
      <c r="A2390" s="3">
        <v>2389</v>
      </c>
      <c r="B2390" t="s" s="4">
        <v>14991</v>
      </c>
      <c r="C2390" t="s" s="5">
        <v>14979</v>
      </c>
      <c r="D2390" t="s" s="5">
        <v>14972</v>
      </c>
      <c r="E2390" t="s" s="5">
        <v>14992</v>
      </c>
      <c r="F2390" t="s" s="10">
        <v>14993</v>
      </c>
      <c r="G2390" t="s" s="7">
        <v>14994</v>
      </c>
      <c r="H2390" t="s" s="7">
        <v>14995</v>
      </c>
      <c r="I2390" t="str" s="8" cm="1">
        <f t="array" ref="I2390">SUBSTITUTE(H2390,B2390,"(          )")</f>
        <v>Open the (          ) to let in fresh air.</v>
      </c>
      <c r="J2390" s="9" cm="1">
        <f t="array" ref="J2390">SUMIF('외운 것 - 엑셀다운로드 파일(붙여넣기)'!A3:A562,A2390,'외운 것 - 엑셀다운로드 파일(붙여넣기)'!D3:D562)</f>
        <v>0</v>
      </c>
      <c r="K2390" s="9" cm="1">
        <f t="array" ref="K2390">_xlfn.COUNTIFS('외운 것 - 엑셀다운로드 파일(붙여넣기)'!A3:A562,A2390,'외운 것 - 엑셀다운로드 파일(붙여넣기)'!D3:D562,0)</f>
        <v>0</v>
      </c>
      <c r="L2390" s="9" cm="1">
        <f t="array" ref="L2390">IF(J2390&gt;=3,_xlfn.XLOOKUP(A2390,'외운 것 - 엑셀다운로드 파일(붙여넣기)'!A3:A562,'외운 것 - 엑셀다운로드 파일(붙여넣기)'!C3:C562,0,-1),0)</f>
        <v>0</v>
      </c>
    </row>
    <row r="2391" ht="23.45" customHeight="1">
      <c r="A2391" s="3">
        <v>2390</v>
      </c>
      <c r="B2391" t="s" s="4">
        <v>14997</v>
      </c>
      <c r="C2391" t="s" s="5">
        <v>14998</v>
      </c>
      <c r="D2391" t="s" s="5">
        <v>14999</v>
      </c>
      <c r="E2391" t="s" s="5">
        <v>15000</v>
      </c>
      <c r="F2391" t="s" s="10">
        <v>15001</v>
      </c>
      <c r="G2391" t="s" s="7">
        <v>15002</v>
      </c>
      <c r="H2391" t="s" s="7">
        <v>15003</v>
      </c>
      <c r="I2391" t="str" s="8" cm="1">
        <f t="array" ref="I2391">SUBSTITUTE(H2391,B2391,"(          )")</f>
        <v>The bird's (          ) was injured, so it couldn't fly.</v>
      </c>
      <c r="J2391" s="9" cm="1">
        <f t="array" ref="J2391">SUMIF('외운 것 - 엑셀다운로드 파일(붙여넣기)'!A3:A562,A2391,'외운 것 - 엑셀다운로드 파일(붙여넣기)'!D3:D562)</f>
        <v>0</v>
      </c>
      <c r="K2391" s="9" cm="1">
        <f t="array" ref="K2391">_xlfn.COUNTIFS('외운 것 - 엑셀다운로드 파일(붙여넣기)'!A3:A562,A2391,'외운 것 - 엑셀다운로드 파일(붙여넣기)'!D3:D562,0)</f>
        <v>0</v>
      </c>
      <c r="L2391" s="9" cm="1">
        <f t="array" ref="L2391">IF(J2391&gt;=3,_xlfn.XLOOKUP(A2391,'외운 것 - 엑셀다운로드 파일(붙여넣기)'!A3:A562,'외운 것 - 엑셀다운로드 파일(붙여넣기)'!C3:C562,0,-1),0)</f>
        <v>0</v>
      </c>
    </row>
    <row r="2392" ht="23.45" customHeight="1">
      <c r="A2392" s="3">
        <v>2391</v>
      </c>
      <c r="B2392" t="s" s="4">
        <v>15005</v>
      </c>
      <c r="C2392" t="s" s="5">
        <v>15006</v>
      </c>
      <c r="D2392" t="s" s="5">
        <v>14997</v>
      </c>
      <c r="E2392" t="s" s="5">
        <v>15007</v>
      </c>
      <c r="F2392" t="s" s="10">
        <v>15008</v>
      </c>
      <c r="G2392" t="s" s="7">
        <v>15009</v>
      </c>
      <c r="H2392" t="s" s="7">
        <v>15010</v>
      </c>
      <c r="I2392" t="str" s="8" cm="1">
        <f t="array" ref="I2392">SUBSTITUTE(H2392,B2392,"(          )")</f>
        <v>Children love to (          ) in the playground.</v>
      </c>
      <c r="J2392" s="9" cm="1">
        <f t="array" ref="J2392">SUMIF('외운 것 - 엑셀다운로드 파일(붙여넣기)'!A3:A562,A2392,'외운 것 - 엑셀다운로드 파일(붙여넣기)'!D3:D562)</f>
        <v>0</v>
      </c>
      <c r="K2392" s="9" cm="1">
        <f t="array" ref="K2392">_xlfn.COUNTIFS('외운 것 - 엑셀다운로드 파일(붙여넣기)'!A3:A562,A2392,'외운 것 - 엑셀다운로드 파일(붙여넣기)'!D3:D562,0)</f>
        <v>0</v>
      </c>
      <c r="L2392" s="9" cm="1">
        <f t="array" ref="L2392">IF(J2392&gt;=3,_xlfn.XLOOKUP(A2392,'외운 것 - 엑셀다운로드 파일(붙여넣기)'!A3:A562,'외운 것 - 엑셀다운로드 파일(붙여넣기)'!C3:C562,0,-1),0)</f>
        <v>0</v>
      </c>
    </row>
    <row r="2393" ht="38.45" customHeight="1">
      <c r="A2393" s="3">
        <v>2392</v>
      </c>
      <c r="B2393" t="s" s="4">
        <v>15012</v>
      </c>
      <c r="C2393" t="s" s="5">
        <v>15013</v>
      </c>
      <c r="D2393" t="s" s="5">
        <v>15014</v>
      </c>
      <c r="E2393" t="s" s="5">
        <v>15015</v>
      </c>
      <c r="F2393" t="s" s="10">
        <v>15016</v>
      </c>
      <c r="G2393" t="s" s="7">
        <v>15017</v>
      </c>
      <c r="H2393" t="s" s="7">
        <v>15018</v>
      </c>
      <c r="I2393" t="str" s="8" cm="1">
        <f t="array" ref="I2393">SUBSTITUTE(H2393,B2393,"(          )")</f>
        <v>Whisk the eggs until they become frothy.</v>
      </c>
      <c r="J2393" s="9" cm="1">
        <f t="array" ref="J2393">SUMIF('외운 것 - 엑셀다운로드 파일(붙여넣기)'!A3:A562,A2393,'외운 것 - 엑셀다운로드 파일(붙여넣기)'!D3:D562)</f>
        <v>0</v>
      </c>
      <c r="K2393" s="9" cm="1">
        <f t="array" ref="K2393">_xlfn.COUNTIFS('외운 것 - 엑셀다운로드 파일(붙여넣기)'!A3:A562,A2393,'외운 것 - 엑셀다운로드 파일(붙여넣기)'!D3:D562,0)</f>
        <v>0</v>
      </c>
      <c r="L2393" s="9" cm="1">
        <f t="array" ref="L2393">IF(J2393&gt;=3,_xlfn.XLOOKUP(A2393,'외운 것 - 엑셀다운로드 파일(붙여넣기)'!A3:A562,'외운 것 - 엑셀다운로드 파일(붙여넣기)'!C3:C562,0,-1),0)</f>
        <v>0</v>
      </c>
    </row>
    <row r="2394" ht="36.4" customHeight="1">
      <c r="A2394" s="3">
        <v>2393</v>
      </c>
      <c r="B2394" t="s" s="4">
        <v>15020</v>
      </c>
      <c r="C2394" t="s" s="5">
        <v>15021</v>
      </c>
      <c r="D2394" t="s" s="5">
        <v>15013</v>
      </c>
      <c r="E2394" t="s" s="5">
        <v>15022</v>
      </c>
      <c r="F2394" t="s" s="10">
        <v>15023</v>
      </c>
      <c r="G2394" t="s" s="7">
        <v>15024</v>
      </c>
      <c r="H2394" t="s" s="7">
        <v>15025</v>
      </c>
      <c r="I2394" t="str" s="8" cm="1">
        <f t="array" ref="I2394">SUBSTITUTE(H2394,B2394,"(          )")</f>
        <v>The cat's (          )s help it navigate in the dark.</v>
      </c>
      <c r="J2394" s="9" cm="1">
        <f t="array" ref="J2394">SUMIF('외운 것 - 엑셀다운로드 파일(붙여넣기)'!A3:A562,A2394,'외운 것 - 엑셀다운로드 파일(붙여넣기)'!D3:D562)</f>
        <v>0</v>
      </c>
      <c r="K2394" s="9" cm="1">
        <f t="array" ref="K2394">_xlfn.COUNTIFS('외운 것 - 엑셀다운로드 파일(붙여넣기)'!A3:A562,A2394,'외운 것 - 엑셀다운로드 파일(붙여넣기)'!D3:D562,0)</f>
        <v>0</v>
      </c>
      <c r="L2394" s="9" cm="1">
        <f t="array" ref="L2394">IF(J2394&gt;=3,_xlfn.XLOOKUP(A2394,'외운 것 - 엑셀다운로드 파일(붙여넣기)'!A3:A562,'외운 것 - 엑셀다운로드 파일(붙여넣기)'!C3:C562,0,-1),0)</f>
        <v>0</v>
      </c>
    </row>
    <row r="2395" ht="23.45" customHeight="1">
      <c r="A2395" s="3">
        <v>2394</v>
      </c>
      <c r="B2395" t="s" s="4">
        <v>15027</v>
      </c>
      <c r="C2395" t="s" s="5">
        <v>15013</v>
      </c>
      <c r="D2395" t="s" s="5">
        <v>15014</v>
      </c>
      <c r="E2395" t="s" s="5">
        <v>15028</v>
      </c>
      <c r="F2395" t="s" s="10">
        <v>15029</v>
      </c>
      <c r="G2395" t="s" s="7">
        <v>15030</v>
      </c>
      <c r="H2395" t="s" s="7">
        <v>15031</v>
      </c>
      <c r="I2395" t="str" s="8" cm="1">
        <f t="array" ref="I2395">SUBSTITUTE(H2395,B2395,"(          )")</f>
        <v>Scotch (          ) is aged in oak barrels.</v>
      </c>
      <c r="J2395" s="9" cm="1">
        <f t="array" ref="J2395">SUMIF('외운 것 - 엑셀다운로드 파일(붙여넣기)'!A3:A562,A2395,'외운 것 - 엑셀다운로드 파일(붙여넣기)'!D3:D562)</f>
        <v>0</v>
      </c>
      <c r="K2395" s="9" cm="1">
        <f t="array" ref="K2395">_xlfn.COUNTIFS('외운 것 - 엑셀다운로드 파일(붙여넣기)'!A3:A562,A2395,'외운 것 - 엑셀다운로드 파일(붙여넣기)'!D3:D562,0)</f>
        <v>0</v>
      </c>
      <c r="L2395" s="9" cm="1">
        <f t="array" ref="L2395">IF(J2395&gt;=3,_xlfn.XLOOKUP(A2395,'외운 것 - 엑셀다운로드 파일(붙여넣기)'!A3:A562,'외운 것 - 엑셀다운로드 파일(붙여넣기)'!C3:C562,0,-1),0)</f>
        <v>0</v>
      </c>
    </row>
    <row r="2396" ht="38.45" customHeight="1">
      <c r="A2396" s="3">
        <v>2395</v>
      </c>
      <c r="B2396" t="s" s="4">
        <v>15033</v>
      </c>
      <c r="C2396" t="s" s="5">
        <v>15013</v>
      </c>
      <c r="D2396" t="s" s="5">
        <v>15014</v>
      </c>
      <c r="E2396" t="s" s="5">
        <v>15034</v>
      </c>
      <c r="F2396" t="s" s="10">
        <v>15035</v>
      </c>
      <c r="G2396" t="s" s="7">
        <v>15036</v>
      </c>
      <c r="H2396" t="s" s="7">
        <v>15037</v>
      </c>
      <c r="I2396" t="str" s="8" cm="1">
        <f t="array" ref="I2396">SUBSTITUTE(H2396,B2396,"(          )")</f>
        <v>The referee blew the (          ) to end the game.</v>
      </c>
      <c r="J2396" s="9" cm="1">
        <f t="array" ref="J2396">SUMIF('외운 것 - 엑셀다운로드 파일(붙여넣기)'!A3:A562,A2396,'외운 것 - 엑셀다운로드 파일(붙여넣기)'!D3:D562)</f>
        <v>0</v>
      </c>
      <c r="K2396" s="9" cm="1">
        <f t="array" ref="K2396">_xlfn.COUNTIFS('외운 것 - 엑셀다운로드 파일(붙여넣기)'!A3:A562,A2396,'외운 것 - 엑셀다운로드 파일(붙여넣기)'!D3:D562,0)</f>
        <v>0</v>
      </c>
      <c r="L2396" s="9" cm="1">
        <f t="array" ref="L2396">IF(J2396&gt;=3,_xlfn.XLOOKUP(A2396,'외운 것 - 엑셀다운로드 파일(붙여넣기)'!A3:A562,'외운 것 - 엑셀다운로드 파일(붙여넣기)'!C3:C562,0,-1),0)</f>
        <v>0</v>
      </c>
    </row>
    <row r="2397" ht="38.45" customHeight="1">
      <c r="A2397" s="3">
        <v>2396</v>
      </c>
      <c r="B2397" t="s" s="4">
        <v>15039</v>
      </c>
      <c r="C2397" t="s" s="5">
        <v>15013</v>
      </c>
      <c r="D2397" t="s" s="5">
        <v>15014</v>
      </c>
      <c r="E2397" t="s" s="5">
        <v>15040</v>
      </c>
      <c r="F2397" t="s" s="10">
        <v>15041</v>
      </c>
      <c r="G2397" t="s" s="7">
        <v>15042</v>
      </c>
      <c r="H2397" t="s" s="7">
        <v>15043</v>
      </c>
      <c r="I2397" t="str" s="8" cm="1">
        <f t="array" ref="I2397">SUBSTITUTE(H2397,B2397,"(          )")</f>
        <v>She leaned closer to (          ) the secret.</v>
      </c>
      <c r="J2397" s="9" cm="1">
        <f t="array" ref="J2397">SUMIF('외운 것 - 엑셀다운로드 파일(붙여넣기)'!A3:A562,A2397,'외운 것 - 엑셀다운로드 파일(붙여넣기)'!D3:D562)</f>
        <v>0</v>
      </c>
      <c r="K2397" s="9" cm="1">
        <f t="array" ref="K2397">_xlfn.COUNTIFS('외운 것 - 엑셀다운로드 파일(붙여넣기)'!A3:A562,A2397,'외운 것 - 엑셀다운로드 파일(붙여넣기)'!D3:D562,0)</f>
        <v>0</v>
      </c>
      <c r="L2397" s="9" cm="1">
        <f t="array" ref="L2397">IF(J2397&gt;=3,_xlfn.XLOOKUP(A2397,'외운 것 - 엑셀다운로드 파일(붙여넣기)'!A3:A562,'외운 것 - 엑셀다운로드 파일(붙여넣기)'!C3:C562,0,-1),0)</f>
        <v>0</v>
      </c>
    </row>
    <row r="2398" ht="38.45" customHeight="1">
      <c r="A2398" s="3">
        <v>2397</v>
      </c>
      <c r="B2398" t="s" s="4">
        <v>15045</v>
      </c>
      <c r="C2398" t="s" s="5">
        <v>15013</v>
      </c>
      <c r="D2398" t="s" s="5">
        <v>15014</v>
      </c>
      <c r="E2398" t="s" s="5">
        <v>15046</v>
      </c>
      <c r="F2398" t="s" s="10">
        <v>15047</v>
      </c>
      <c r="G2398" t="s" s="7">
        <v>15048</v>
      </c>
      <c r="H2398" t="s" s="7">
        <v>15049</v>
      </c>
      <c r="I2398" t="str" s="8" cm="1">
        <f t="array" ref="I2398">SUBSTITUTE(H2398,B2398,"(          )")</f>
        <v>The chef used a (          ) to beat the cream.</v>
      </c>
      <c r="J2398" s="9" cm="1">
        <f t="array" ref="J2398">SUMIF('외운 것 - 엑셀다운로드 파일(붙여넣기)'!A3:A562,A2398,'외운 것 - 엑셀다운로드 파일(붙여넣기)'!D3:D562)</f>
        <v>0</v>
      </c>
      <c r="K2398" s="9" cm="1">
        <f t="array" ref="K2398">_xlfn.COUNTIFS('외운 것 - 엑셀다운로드 파일(붙여넣기)'!A3:A562,A2398,'외운 것 - 엑셀다운로드 파일(붙여넣기)'!D3:D562,0)</f>
        <v>0</v>
      </c>
      <c r="L2398" s="9" cm="1">
        <f t="array" ref="L2398">IF(J2398&gt;=3,_xlfn.XLOOKUP(A2398,'외운 것 - 엑셀다운로드 파일(붙여넣기)'!A3:A562,'외운 것 - 엑셀다운로드 파일(붙여넣기)'!C3:C562,0,-1),0)</f>
        <v>0</v>
      </c>
    </row>
    <row r="2399" ht="23.45" customHeight="1">
      <c r="A2399" s="3">
        <v>2398</v>
      </c>
      <c r="B2399" t="s" s="4">
        <v>15051</v>
      </c>
      <c r="C2399" t="s" s="5">
        <v>15013</v>
      </c>
      <c r="D2399" t="s" s="5">
        <v>15014</v>
      </c>
      <c r="E2399" t="s" s="5">
        <v>15052</v>
      </c>
      <c r="F2399" t="s" s="10">
        <v>15053</v>
      </c>
      <c r="G2399" t="s" s="7">
        <v>15054</v>
      </c>
      <c r="H2399" t="s" s="7">
        <v>15055</v>
      </c>
      <c r="I2399" t="str" s="8" cm="1">
        <f t="array" ref="I2399">SUBSTITUTE(H2399,B2399,"(          )")</f>
        <v>The dancers (          ) around the ballroom floor.</v>
      </c>
      <c r="J2399" s="9" cm="1">
        <f t="array" ref="J2399">SUMIF('외운 것 - 엑셀다운로드 파일(붙여넣기)'!A3:A562,A2399,'외운 것 - 엑셀다운로드 파일(붙여넣기)'!D3:D562)</f>
        <v>0</v>
      </c>
      <c r="K2399" s="9" cm="1">
        <f t="array" ref="K2399">_xlfn.COUNTIFS('외운 것 - 엑셀다운로드 파일(붙여넣기)'!A3:A562,A2399,'외운 것 - 엑셀다운로드 파일(붙여넣기)'!D3:D562,0)</f>
        <v>0</v>
      </c>
      <c r="L2399" s="9" cm="1">
        <f t="array" ref="L2399">IF(J2399&gt;=3,_xlfn.XLOOKUP(A2399,'외운 것 - 엑셀다운로드 파일(붙여넣기)'!A3:A562,'외운 것 - 엑셀다운로드 파일(붙여넣기)'!C3:C562,0,-1),0)</f>
        <v>0</v>
      </c>
    </row>
    <row r="2400" ht="36.4" customHeight="1">
      <c r="A2400" s="3">
        <v>2399</v>
      </c>
      <c r="B2400" t="s" s="4">
        <v>15057</v>
      </c>
      <c r="C2400" t="s" s="5">
        <v>15058</v>
      </c>
      <c r="D2400" t="s" s="5">
        <v>15013</v>
      </c>
      <c r="E2400" t="s" s="5">
        <v>15059</v>
      </c>
      <c r="F2400" t="s" s="10">
        <v>15060</v>
      </c>
      <c r="G2400" t="s" s="7">
        <v>15061</v>
      </c>
      <c r="H2400" t="s" s="7">
        <v>15062</v>
      </c>
      <c r="I2400" t="str" s="8" cm="1">
        <f t="array" ref="I2400">SUBSTITUTE(H2400,B2400,"(          )")</f>
        <v>Cream (          ) into the black coffee.</v>
      </c>
      <c r="J2400" s="9" cm="1">
        <f t="array" ref="J2400">SUMIF('외운 것 - 엑셀다운로드 파일(붙여넣기)'!A3:A562,A2400,'외운 것 - 엑셀다운로드 파일(붙여넣기)'!D3:D562)</f>
        <v>0</v>
      </c>
      <c r="K2400" s="9" cm="1">
        <f t="array" ref="K2400">_xlfn.COUNTIFS('외운 것 - 엑셀다운로드 파일(붙여넣기)'!A3:A562,A2400,'외운 것 - 엑셀다운로드 파일(붙여넣기)'!D3:D562,0)</f>
        <v>0</v>
      </c>
      <c r="L2400" s="9" cm="1">
        <f t="array" ref="L2400">IF(J2400&gt;=3,_xlfn.XLOOKUP(A2400,'외운 것 - 엑셀다운로드 파일(붙여넣기)'!A3:A562,'외운 것 - 엑셀다운로드 파일(붙여넣기)'!C3:C562,0,-1),0)</f>
        <v>0</v>
      </c>
    </row>
    <row r="2401" ht="38.45" customHeight="1">
      <c r="A2401" s="3">
        <v>2400</v>
      </c>
      <c r="B2401" t="s" s="4">
        <v>6521</v>
      </c>
      <c r="C2401" t="s" s="5">
        <v>15064</v>
      </c>
      <c r="D2401" t="s" s="5">
        <v>15013</v>
      </c>
      <c r="E2401" t="s" s="5">
        <v>6522</v>
      </c>
      <c r="F2401" t="s" s="10">
        <v>15065</v>
      </c>
      <c r="G2401" t="s" s="7">
        <v>15066</v>
      </c>
      <c r="H2401" t="s" s="7">
        <v>6525</v>
      </c>
      <c r="I2401" t="str" s="8" cm="1">
        <f t="array" ref="I2401">SUBSTITUTE(H2401,B2401,"(          )")</f>
        <v>The car has a flat (          ) that needs changing.</v>
      </c>
      <c r="J2401" s="9" cm="1">
        <f t="array" ref="J2401">SUMIF('외운 것 - 엑셀다운로드 파일(붙여넣기)'!A3:A562,A2401,'외운 것 - 엑셀다운로드 파일(붙여넣기)'!D3:D562)</f>
        <v>0</v>
      </c>
      <c r="K2401" s="9" cm="1">
        <f t="array" ref="K2401">_xlfn.COUNTIFS('외운 것 - 엑셀다운로드 파일(붙여넣기)'!A3:A562,A2401,'외운 것 - 엑셀다운로드 파일(붙여넣기)'!D3:D562,0)</f>
        <v>0</v>
      </c>
      <c r="L2401" s="9" cm="1">
        <f t="array" ref="L2401">IF(J2401&gt;=3,_xlfn.XLOOKUP(A2401,'외운 것 - 엑셀다운로드 파일(붙여넣기)'!A3:A562,'외운 것 - 엑셀다운로드 파일(붙여넣기)'!C3:C562,0,-1),0)</f>
        <v>0</v>
      </c>
    </row>
    <row r="2402" ht="38.45" customHeight="1">
      <c r="A2402" s="3">
        <v>2401</v>
      </c>
      <c r="B2402" t="s" s="4">
        <v>15067</v>
      </c>
      <c r="C2402" t="s" s="5">
        <v>15067</v>
      </c>
      <c r="D2402" t="s" s="5">
        <v>15068</v>
      </c>
      <c r="E2402" t="s" s="5">
        <v>15069</v>
      </c>
      <c r="F2402" t="s" s="10">
        <v>15070</v>
      </c>
      <c r="G2402" t="s" s="7">
        <v>15071</v>
      </c>
      <c r="H2402" t="s" s="7">
        <v>15072</v>
      </c>
      <c r="I2402" t="str" s="8" cm="1">
        <f t="array" ref="I2402">SUBSTITUTE(H2402,B2402,"(          )")</f>
        <v>The hospital (          ) holds twenty patients.</v>
      </c>
      <c r="J2402" s="9" cm="1">
        <f t="array" ref="J2402">SUMIF('외운 것 - 엑셀다운로드 파일(붙여넣기)'!A3:A562,A2402,'외운 것 - 엑셀다운로드 파일(붙여넣기)'!D3:D562)</f>
        <v>0</v>
      </c>
      <c r="K2402" s="9" cm="1">
        <f t="array" ref="K2402">_xlfn.COUNTIFS('외운 것 - 엑셀다운로드 파일(붙여넣기)'!A3:A562,A2402,'외운 것 - 엑셀다운로드 파일(붙여넣기)'!D3:D562,0)</f>
        <v>0</v>
      </c>
      <c r="L2402" s="9" cm="1">
        <f t="array" ref="L2402">IF(J2402&gt;=3,_xlfn.XLOOKUP(A2402,'외운 것 - 엑셀다운로드 파일(붙여넣기)'!A3:A562,'외운 것 - 엑셀다운로드 파일(붙여넣기)'!C3:C562,0,-1),0)</f>
        <v>0</v>
      </c>
    </row>
    <row r="2403" ht="23.45" customHeight="1">
      <c r="A2403" s="3">
        <v>2402</v>
      </c>
      <c r="B2403" t="s" s="4">
        <v>15074</v>
      </c>
      <c r="C2403" t="s" s="5">
        <v>15067</v>
      </c>
      <c r="D2403" t="s" s="5">
        <v>15068</v>
      </c>
      <c r="E2403" t="s" s="5">
        <v>15075</v>
      </c>
      <c r="F2403" t="s" s="10">
        <v>15076</v>
      </c>
      <c r="G2403" t="s" s="7">
        <v>15077</v>
      </c>
      <c r="H2403" t="s" s="7">
        <v>15078</v>
      </c>
      <c r="I2403" t="str" s="8" cm="1">
        <f t="array" ref="I2403">SUBSTITUTE(H2403,B2403,"(          )")</f>
        <v>She has an extensive (          ) of professional clothes.</v>
      </c>
      <c r="J2403" s="9" cm="1">
        <f t="array" ref="J2403">SUMIF('외운 것 - 엑셀다운로드 파일(붙여넣기)'!A3:A562,A2403,'외운 것 - 엑셀다운로드 파일(붙여넣기)'!D3:D562)</f>
        <v>0</v>
      </c>
      <c r="K2403" s="9" cm="1">
        <f t="array" ref="K2403">_xlfn.COUNTIFS('외운 것 - 엑셀다운로드 파일(붙여넣기)'!A3:A562,A2403,'외운 것 - 엑셀다운로드 파일(붙여넣기)'!D3:D562,0)</f>
        <v>0</v>
      </c>
      <c r="L2403" s="9" cm="1">
        <f t="array" ref="L2403">IF(J2403&gt;=3,_xlfn.XLOOKUP(A2403,'외운 것 - 엑셀다운로드 파일(붙여넣기)'!A3:A562,'외운 것 - 엑셀다운로드 파일(붙여넣기)'!C3:C562,0,-1),0)</f>
        <v>0</v>
      </c>
    </row>
    <row r="2404" ht="23.45" customHeight="1">
      <c r="A2404" s="3">
        <v>2403</v>
      </c>
      <c r="B2404" t="s" s="4">
        <v>4654</v>
      </c>
      <c r="C2404" t="s" s="5">
        <v>15067</v>
      </c>
      <c r="D2404" t="s" s="5">
        <v>15068</v>
      </c>
      <c r="E2404" t="s" s="5">
        <v>4657</v>
      </c>
      <c r="F2404" t="s" s="10">
        <v>15080</v>
      </c>
      <c r="G2404" t="s" s="7">
        <v>15081</v>
      </c>
      <c r="H2404" t="s" s="7">
        <v>4660</v>
      </c>
      <c r="I2404" t="str" s="8" cm="1">
        <f t="array" ref="I2404">SUBSTITUTE(H2404,B2404,"(          )")</f>
        <v>Please (          ) my mail to my new address.</v>
      </c>
      <c r="J2404" s="9" cm="1">
        <f t="array" ref="J2404">SUMIF('외운 것 - 엑셀다운로드 파일(붙여넣기)'!A3:A562,A2404,'외운 것 - 엑셀다운로드 파일(붙여넣기)'!D3:D562)</f>
        <v>0</v>
      </c>
      <c r="K2404" s="9" cm="1">
        <f t="array" ref="K2404">_xlfn.COUNTIFS('외운 것 - 엑셀다운로드 파일(붙여넣기)'!A3:A562,A2404,'외운 것 - 엑셀다운로드 파일(붙여넣기)'!D3:D562,0)</f>
        <v>0</v>
      </c>
      <c r="L2404" s="9" cm="1">
        <f t="array" ref="L2404">IF(J2404&gt;=3,_xlfn.XLOOKUP(A2404,'외운 것 - 엑셀다운로드 파일(붙여넣기)'!A3:A562,'외운 것 - 엑셀다운로드 파일(붙여넣기)'!C3:C562,0,-1),0)</f>
        <v>0</v>
      </c>
    </row>
    <row r="2405" ht="23.45" customHeight="1">
      <c r="A2405" s="3">
        <v>2404</v>
      </c>
      <c r="B2405" t="s" s="4">
        <v>15082</v>
      </c>
      <c r="C2405" t="s" s="5">
        <v>15067</v>
      </c>
      <c r="D2405" t="s" s="5">
        <v>15068</v>
      </c>
      <c r="E2405" t="s" s="5">
        <v>15083</v>
      </c>
      <c r="F2405" t="s" s="10">
        <v>15084</v>
      </c>
      <c r="G2405" t="s" s="7">
        <v>15085</v>
      </c>
      <c r="H2405" t="s" s="7">
        <v>15086</v>
      </c>
      <c r="I2405" t="str" s="8" cm="1">
        <f t="array" ref="I2405">SUBSTITUTE(H2405,B2405,"(          )")</f>
        <v>We went for ice cream (          ).</v>
      </c>
      <c r="J2405" s="9" cm="1">
        <f t="array" ref="J2405">SUMIF('외운 것 - 엑셀다운로드 파일(붙여넣기)'!A3:A562,A2405,'외운 것 - 엑셀다운로드 파일(붙여넣기)'!D3:D562)</f>
        <v>0</v>
      </c>
      <c r="K2405" s="9" cm="1">
        <f t="array" ref="K2405">_xlfn.COUNTIFS('외운 것 - 엑셀다운로드 파일(붙여넣기)'!A3:A562,A2405,'외운 것 - 엑셀다운로드 파일(붙여넣기)'!D3:D562,0)</f>
        <v>0</v>
      </c>
      <c r="L2405" s="9" cm="1">
        <f t="array" ref="L2405">IF(J2405&gt;=3,_xlfn.XLOOKUP(A2405,'외운 것 - 엑셀다운로드 파일(붙여넣기)'!A3:A562,'외운 것 - 엑셀다운로드 파일(붙여넣기)'!C3:C562,0,-1),0)</f>
        <v>0</v>
      </c>
    </row>
    <row r="2406" ht="23.45" customHeight="1">
      <c r="A2406" s="3">
        <v>2405</v>
      </c>
      <c r="B2406" t="s" s="4">
        <v>15088</v>
      </c>
      <c r="C2406" t="s" s="5">
        <v>15067</v>
      </c>
      <c r="D2406" t="s" s="5">
        <v>15068</v>
      </c>
      <c r="E2406" t="s" s="5">
        <v>15089</v>
      </c>
      <c r="F2406" t="s" s="10">
        <v>15090</v>
      </c>
      <c r="G2406" t="s" s="7">
        <v>15091</v>
      </c>
      <c r="H2406" t="s" s="7">
        <v>15092</v>
      </c>
      <c r="I2406" t="str" s="8" cm="1">
        <f t="array" ref="I2406">SUBSTITUTE(H2406,B2406,"(          )")</f>
        <v>Good behavior deserves a (          ).</v>
      </c>
      <c r="J2406" s="9" cm="1">
        <f t="array" ref="J2406">SUMIF('외운 것 - 엑셀다운로드 파일(붙여넣기)'!A3:A562,A2406,'외운 것 - 엑셀다운로드 파일(붙여넣기)'!D3:D562)</f>
        <v>0</v>
      </c>
      <c r="K2406" s="9" cm="1">
        <f t="array" ref="K2406">_xlfn.COUNTIFS('외운 것 - 엑셀다운로드 파일(붙여넣기)'!A3:A562,A2406,'외운 것 - 엑셀다운로드 파일(붙여넣기)'!D3:D562,0)</f>
        <v>0</v>
      </c>
      <c r="L2406" s="9" cm="1">
        <f t="array" ref="L2406">IF(J2406&gt;=3,_xlfn.XLOOKUP(A2406,'외운 것 - 엑셀다운로드 파일(붙여넣기)'!A3:A562,'외운 것 - 엑셀다운로드 파일(붙여넣기)'!C3:C562,0,-1),0)</f>
        <v>0</v>
      </c>
    </row>
    <row r="2407" ht="38.45" customHeight="1">
      <c r="A2407" s="3">
        <v>2406</v>
      </c>
      <c r="B2407" t="s" s="4">
        <v>15094</v>
      </c>
      <c r="C2407" t="s" s="5">
        <v>15067</v>
      </c>
      <c r="D2407" t="s" s="5">
        <v>15068</v>
      </c>
      <c r="E2407" t="s" s="5">
        <v>15095</v>
      </c>
      <c r="F2407" t="s" s="10">
        <v>15096</v>
      </c>
      <c r="G2407" t="s" s="7">
        <v>15097</v>
      </c>
      <c r="H2407" t="s" s="7">
        <v>15098</v>
      </c>
      <c r="I2407" t="str" s="8" cm="1">
        <f t="array" ref="I2407">SUBSTITUTE(H2407,B2407,"(          )")</f>
        <v>She received an (          ) for her outstanding performance.</v>
      </c>
      <c r="J2407" s="9" cm="1">
        <f t="array" ref="J2407">SUMIF('외운 것 - 엑셀다운로드 파일(붙여넣기)'!A3:A562,A2407,'외운 것 - 엑셀다운로드 파일(붙여넣기)'!D3:D562)</f>
        <v>0</v>
      </c>
      <c r="K2407" s="9" cm="1">
        <f t="array" ref="K2407">_xlfn.COUNTIFS('외운 것 - 엑셀다운로드 파일(붙여넣기)'!A3:A562,A2407,'외운 것 - 엑셀다운로드 파일(붙여넣기)'!D3:D562,0)</f>
        <v>0</v>
      </c>
      <c r="L2407" s="9" cm="1">
        <f t="array" ref="L2407">IF(J2407&gt;=3,_xlfn.XLOOKUP(A2407,'외운 것 - 엑셀다운로드 파일(붙여넣기)'!A3:A562,'외운 것 - 엑셀다운로드 파일(붙여넣기)'!C3:C562,0,-1),0)</f>
        <v>0</v>
      </c>
    </row>
    <row r="2408" ht="38.45" customHeight="1">
      <c r="A2408" s="3">
        <v>2407</v>
      </c>
      <c r="B2408" t="s" s="4">
        <v>15100</v>
      </c>
      <c r="C2408" t="s" s="5">
        <v>15067</v>
      </c>
      <c r="D2408" t="s" s="5">
        <v>15068</v>
      </c>
      <c r="E2408" t="s" s="5">
        <v>15101</v>
      </c>
      <c r="F2408" t="s" s="10">
        <v>15102</v>
      </c>
      <c r="G2408" t="s" s="7">
        <v>15103</v>
      </c>
      <c r="H2408" t="s" s="7">
        <v>15104</v>
      </c>
      <c r="I2408" t="str" s="8" cm="1">
        <f t="array" ref="I2408">SUBSTITUTE(H2408,B2408,"(          )")</f>
        <v>The journey (          ) can be as challenging as exploring the world.</v>
      </c>
      <c r="J2408" s="9" cm="1">
        <f t="array" ref="J2408">SUMIF('외운 것 - 엑셀다운로드 파일(붙여넣기)'!A3:A562,A2408,'외운 것 - 엑셀다운로드 파일(붙여넣기)'!D3:D562)</f>
        <v>0</v>
      </c>
      <c r="K2408" s="9" cm="1">
        <f t="array" ref="K2408">_xlfn.COUNTIFS('외운 것 - 엑셀다운로드 파일(붙여넣기)'!A3:A562,A2408,'외운 것 - 엑셀다운로드 파일(붙여넣기)'!D3:D562,0)</f>
        <v>0</v>
      </c>
      <c r="L2408" s="9" cm="1">
        <f t="array" ref="L2408">IF(J2408&gt;=3,_xlfn.XLOOKUP(A2408,'외운 것 - 엑셀다운로드 파일(붙여넣기)'!A3:A562,'외운 것 - 엑셀다운로드 파일(붙여넣기)'!C3:C562,0,-1),0)</f>
        <v>0</v>
      </c>
    </row>
    <row r="2409" ht="38.45" customHeight="1">
      <c r="A2409" s="3">
        <v>2408</v>
      </c>
      <c r="B2409" t="s" s="4">
        <v>12408</v>
      </c>
      <c r="C2409" t="s" s="5">
        <v>15106</v>
      </c>
      <c r="D2409" t="s" s="5">
        <v>15107</v>
      </c>
      <c r="E2409" t="s" s="5">
        <v>12409</v>
      </c>
      <c r="F2409" t="s" s="10">
        <v>15108</v>
      </c>
      <c r="G2409" t="s" s="7">
        <v>15109</v>
      </c>
      <c r="H2409" t="s" s="7">
        <v>12412</v>
      </c>
      <c r="I2409" t="str" s="8" cm="1">
        <f t="array" ref="I2409">SUBSTITUTE(H2409,B2409,"(          )")</f>
        <v>The building was designed to (          ) strong earthquakes.</v>
      </c>
      <c r="J2409" s="9" cm="1">
        <f t="array" ref="J2409">SUMIF('외운 것 - 엑셀다운로드 파일(붙여넣기)'!A3:A562,A2409,'외운 것 - 엑셀다운로드 파일(붙여넣기)'!D3:D562)</f>
        <v>0</v>
      </c>
      <c r="K2409" s="9" cm="1">
        <f t="array" ref="K2409">_xlfn.COUNTIFS('외운 것 - 엑셀다운로드 파일(붙여넣기)'!A3:A562,A2409,'외운 것 - 엑셀다운로드 파일(붙여넣기)'!D3:D562,0)</f>
        <v>0</v>
      </c>
      <c r="L2409" s="9" cm="1">
        <f t="array" ref="L2409">IF(J2409&gt;=3,_xlfn.XLOOKUP(A2409,'외운 것 - 엑셀다운로드 파일(붙여넣기)'!A3:A562,'외운 것 - 엑셀다운로드 파일(붙여넣기)'!C3:C562,0,-1),0)</f>
        <v>0</v>
      </c>
    </row>
    <row r="2410" ht="23.45" customHeight="1">
      <c r="A2410" s="3">
        <v>2409</v>
      </c>
      <c r="B2410" t="s" s="4">
        <v>15110</v>
      </c>
      <c r="C2410" t="s" s="5">
        <v>15106</v>
      </c>
      <c r="D2410" t="s" s="5">
        <v>15107</v>
      </c>
      <c r="E2410" t="s" s="5">
        <v>15111</v>
      </c>
      <c r="F2410" t="s" s="10">
        <v>15112</v>
      </c>
      <c r="G2410" t="s" s="7">
        <v>15113</v>
      </c>
      <c r="H2410" t="s" s="7">
        <v>15114</v>
      </c>
      <c r="I2410" t="str" s="8" cm="1">
        <f t="array" ref="I2410">SUBSTITUTE(H2410,B2410,"(          )")</f>
        <v>Don't (          ) important information from your doctor.</v>
      </c>
      <c r="J2410" s="9" cm="1">
        <f t="array" ref="J2410">SUMIF('외운 것 - 엑셀다운로드 파일(붙여넣기)'!A3:A562,A2410,'외운 것 - 엑셀다운로드 파일(붙여넣기)'!D3:D562)</f>
        <v>0</v>
      </c>
      <c r="K2410" s="9" cm="1">
        <f t="array" ref="K2410">_xlfn.COUNTIFS('외운 것 - 엑셀다운로드 파일(붙여넣기)'!A3:A562,A2410,'외운 것 - 엑셀다운로드 파일(붙여넣기)'!D3:D562,0)</f>
        <v>0</v>
      </c>
      <c r="L2410" s="9" cm="1">
        <f t="array" ref="L2410">IF(J2410&gt;=3,_xlfn.XLOOKUP(A2410,'외운 것 - 엑셀다운로드 파일(붙여넣기)'!A3:A562,'외운 것 - 엑셀다운로드 파일(붙여넣기)'!C3:C562,0,-1),0)</f>
        <v>0</v>
      </c>
    </row>
    <row r="2411" ht="23.45" customHeight="1">
      <c r="A2411" s="3">
        <v>2410</v>
      </c>
      <c r="B2411" t="s" s="4">
        <v>15116</v>
      </c>
      <c r="C2411" t="s" s="5">
        <v>15106</v>
      </c>
      <c r="D2411" t="s" s="5">
        <v>15107</v>
      </c>
      <c r="E2411" t="s" s="5">
        <v>15117</v>
      </c>
      <c r="F2411" t="s" s="10">
        <v>15118</v>
      </c>
      <c r="G2411" t="s" s="7">
        <v>15119</v>
      </c>
      <c r="H2411" t="s" s="7">
        <v>15120</v>
      </c>
      <c r="I2411" t="str" s="8" cm="1">
        <f t="array" ref="I2411">SUBSTITUTE(H2411,B2411,"(          )")</f>
        <v>You can (          ) cash from any ATM.</v>
      </c>
      <c r="J2411" s="9" cm="1">
        <f t="array" ref="J2411">SUMIF('외운 것 - 엑셀다운로드 파일(붙여넣기)'!A3:A562,A2411,'외운 것 - 엑셀다운로드 파일(붙여넣기)'!D3:D562)</f>
        <v>0</v>
      </c>
      <c r="K2411" s="9" cm="1">
        <f t="array" ref="K2411">_xlfn.COUNTIFS('외운 것 - 엑셀다운로드 파일(붙여넣기)'!A3:A562,A2411,'외운 것 - 엑셀다운로드 파일(붙여넣기)'!D3:D562,0)</f>
        <v>0</v>
      </c>
      <c r="L2411" s="9" cm="1">
        <f t="array" ref="L2411">IF(J2411&gt;=3,_xlfn.XLOOKUP(A2411,'외운 것 - 엑셀다운로드 파일(붙여넣기)'!A3:A562,'외운 것 - 엑셀다운로드 파일(붙여넣기)'!C3:C562,0,-1),0)</f>
        <v>0</v>
      </c>
    </row>
    <row r="2412" ht="36.4" customHeight="1">
      <c r="A2412" s="3">
        <v>2411</v>
      </c>
      <c r="B2412" t="s" s="4">
        <v>15122</v>
      </c>
      <c r="C2412" t="s" s="5">
        <v>15123</v>
      </c>
      <c r="D2412" t="s" s="5">
        <v>15106</v>
      </c>
      <c r="E2412" t="s" s="5">
        <v>15124</v>
      </c>
      <c r="F2412" t="s" s="10">
        <v>15125</v>
      </c>
      <c r="G2412" t="s" s="7">
        <v>15126</v>
      </c>
      <c r="H2412" t="s" s="7">
        <v>15127</v>
      </c>
      <c r="I2412" t="str" s="8" cm="1">
        <f t="array" ref="I2412">SUBSTITUTE(H2412,B2412,"(          )")</f>
        <v>The (          ) of troops will begin next month.</v>
      </c>
      <c r="J2412" s="9" cm="1">
        <f t="array" ref="J2412">SUMIF('외운 것 - 엑셀다운로드 파일(붙여넣기)'!A3:A562,A2412,'외운 것 - 엑셀다운로드 파일(붙여넣기)'!D3:D562)</f>
        <v>0</v>
      </c>
      <c r="K2412" s="9" cm="1">
        <f t="array" ref="K2412">_xlfn.COUNTIFS('외운 것 - 엑셀다운로드 파일(붙여넣기)'!A3:A562,A2412,'외운 것 - 엑셀다운로드 파일(붙여넣기)'!D3:D562,0)</f>
        <v>0</v>
      </c>
      <c r="L2412" s="9" cm="1">
        <f t="array" ref="L2412">IF(J2412&gt;=3,_xlfn.XLOOKUP(A2412,'외운 것 - 엑셀다운로드 파일(붙여넣기)'!A3:A562,'외운 것 - 엑셀다운로드 파일(붙여넣기)'!C3:C562,0,-1),0)</f>
        <v>0</v>
      </c>
    </row>
    <row r="2413" ht="38.45" customHeight="1">
      <c r="A2413" s="3">
        <v>2412</v>
      </c>
      <c r="B2413" t="s" s="4">
        <v>15129</v>
      </c>
      <c r="C2413" t="s" s="5">
        <v>15130</v>
      </c>
      <c r="D2413" t="s" s="5">
        <v>15131</v>
      </c>
      <c r="E2413" t="s" s="5">
        <v>15132</v>
      </c>
      <c r="F2413" t="s" s="10">
        <v>15133</v>
      </c>
      <c r="G2413" t="s" s="7">
        <v>15134</v>
      </c>
      <c r="H2413" t="s" s="7">
        <v>15135</v>
      </c>
      <c r="I2413" t="str" s="8" cm="1">
        <f t="array" ref="I2413">SUBSTITUTE(H2413,B2413,"(          )")</f>
        <v>Wrap the gift in colorful paper.</v>
      </c>
      <c r="J2413" s="9" cm="1">
        <f t="array" ref="J2413">SUMIF('외운 것 - 엑셀다운로드 파일(붙여넣기)'!A3:A562,A2413,'외운 것 - 엑셀다운로드 파일(붙여넣기)'!D3:D562)</f>
        <v>0</v>
      </c>
      <c r="K2413" s="9" cm="1">
        <f t="array" ref="K2413">_xlfn.COUNTIFS('외운 것 - 엑셀다운로드 파일(붙여넣기)'!A3:A562,A2413,'외운 것 - 엑셀다운로드 파일(붙여넣기)'!D3:D562,0)</f>
        <v>0</v>
      </c>
      <c r="L2413" s="9" cm="1">
        <f t="array" ref="L2413">IF(J2413&gt;=3,_xlfn.XLOOKUP(A2413,'외운 것 - 엑셀다운로드 파일(붙여넣기)'!A3:A562,'외운 것 - 엑셀다운로드 파일(붙여넣기)'!C3:C562,0,-1),0)</f>
        <v>0</v>
      </c>
    </row>
    <row r="2414" ht="23.45" customHeight="1">
      <c r="A2414" s="3">
        <v>2413</v>
      </c>
      <c r="B2414" t="s" s="4">
        <v>15137</v>
      </c>
      <c r="C2414" t="s" s="5">
        <v>15130</v>
      </c>
      <c r="D2414" t="s" s="5">
        <v>15131</v>
      </c>
      <c r="E2414" t="s" s="5">
        <v>15138</v>
      </c>
      <c r="F2414" t="s" s="10">
        <v>15139</v>
      </c>
      <c r="G2414" t="s" s="7">
        <v>15140</v>
      </c>
      <c r="H2414" t="s" s="7">
        <v>15141</v>
      </c>
      <c r="I2414" t="str" s="8" cm="1">
        <f t="array" ref="I2414">SUBSTITUTE(H2414,B2414,"(          )")</f>
        <v>He had to (          ) control of the vehicle from the skid.</v>
      </c>
      <c r="J2414" s="9" cm="1">
        <f t="array" ref="J2414">SUMIF('외운 것 - 엑셀다운로드 파일(붙여넣기)'!A3:A562,A2414,'외운 것 - 엑셀다운로드 파일(붙여넣기)'!D3:D562)</f>
        <v>0</v>
      </c>
      <c r="K2414" s="9" cm="1">
        <f t="array" ref="K2414">_xlfn.COUNTIFS('외운 것 - 엑셀다운로드 파일(붙여넣기)'!A3:A562,A2414,'외운 것 - 엑셀다운로드 파일(붙여넣기)'!D3:D562,0)</f>
        <v>0</v>
      </c>
      <c r="L2414" s="9" cm="1">
        <f t="array" ref="L2414">IF(J2414&gt;=3,_xlfn.XLOOKUP(A2414,'외운 것 - 엑셀다운로드 파일(붙여넣기)'!A3:A562,'외운 것 - 엑셀다운로드 파일(붙여넣기)'!C3:C562,0,-1),0)</f>
        <v>0</v>
      </c>
    </row>
    <row r="2415" ht="38.45" customHeight="1">
      <c r="A2415" s="3">
        <v>2414</v>
      </c>
      <c r="B2415" t="s" s="4">
        <v>15143</v>
      </c>
      <c r="C2415" t="s" s="5">
        <v>15144</v>
      </c>
      <c r="D2415" t="s" s="5">
        <v>15130</v>
      </c>
      <c r="E2415" t="s" s="5">
        <v>15145</v>
      </c>
      <c r="F2415" t="s" s="10">
        <v>15146</v>
      </c>
      <c r="G2415" t="s" s="7">
        <v>15147</v>
      </c>
      <c r="H2415" t="s" s="7">
        <v>15148</v>
      </c>
      <c r="I2415" t="str" s="8" cm="1">
        <f t="array" ref="I2415">SUBSTITUTE(H2415,B2415,"(          )")</f>
        <v>Professional (          ) combines athleticism with entertainment.</v>
      </c>
      <c r="J2415" s="9" cm="1">
        <f t="array" ref="J2415">SUMIF('외운 것 - 엑셀다운로드 파일(붙여넣기)'!A3:A562,A2415,'외운 것 - 엑셀다운로드 파일(붙여넣기)'!D3:D562)</f>
        <v>0</v>
      </c>
      <c r="K2415" s="9" cm="1">
        <f t="array" ref="K2415">_xlfn.COUNTIFS('외운 것 - 엑셀다운로드 파일(붙여넣기)'!A3:A562,A2415,'외운 것 - 엑셀다운로드 파일(붙여넣기)'!D3:D562,0)</f>
        <v>0</v>
      </c>
      <c r="L2415" s="9" cm="1">
        <f t="array" ref="L2415">IF(J2415&gt;=3,_xlfn.XLOOKUP(A2415,'외운 것 - 엑셀다운로드 파일(붙여넣기)'!A3:A562,'외운 것 - 엑셀다운로드 파일(붙여넣기)'!C3:C562,0,-1),0)</f>
        <v>0</v>
      </c>
    </row>
    <row r="2416" ht="23.45" customHeight="1">
      <c r="A2416" s="3">
        <v>2415</v>
      </c>
      <c r="B2416" t="s" s="4">
        <v>15150</v>
      </c>
      <c r="C2416" t="s" s="5">
        <v>15130</v>
      </c>
      <c r="D2416" t="s" s="5">
        <v>15131</v>
      </c>
      <c r="E2416" t="s" s="5">
        <v>15151</v>
      </c>
      <c r="F2416" t="s" s="10">
        <v>15152</v>
      </c>
      <c r="G2416" t="s" s="7">
        <v>15153</v>
      </c>
      <c r="H2416" t="s" s="7">
        <v>15154</v>
      </c>
      <c r="I2416" t="str" s="8" cm="1">
        <f t="array" ref="I2416">SUBSTITUTE(H2416,B2416,"(          )")</f>
        <v>Use a (          ) to tighten the loose bolt.</v>
      </c>
      <c r="J2416" s="9" cm="1">
        <f t="array" ref="J2416">SUMIF('외운 것 - 엑셀다운로드 파일(붙여넣기)'!A3:A562,A2416,'외운 것 - 엑셀다운로드 파일(붙여넣기)'!D3:D562)</f>
        <v>0</v>
      </c>
      <c r="K2416" s="9" cm="1">
        <f t="array" ref="K2416">_xlfn.COUNTIFS('외운 것 - 엑셀다운로드 파일(붙여넣기)'!A3:A562,A2416,'외운 것 - 엑셀다운로드 파일(붙여넣기)'!D3:D562,0)</f>
        <v>0</v>
      </c>
      <c r="L2416" s="9" cm="1">
        <f t="array" ref="L2416">IF(J2416&gt;=3,_xlfn.XLOOKUP(A2416,'외운 것 - 엑셀다운로드 파일(붙여넣기)'!A3:A562,'외운 것 - 엑셀다운로드 파일(붙여넣기)'!C3:C562,0,-1),0)</f>
        <v>0</v>
      </c>
    </row>
    <row r="2417" ht="38.45" customHeight="1">
      <c r="A2417" s="3">
        <v>2416</v>
      </c>
      <c r="B2417" t="s" s="4">
        <v>15156</v>
      </c>
      <c r="C2417" t="s" s="5">
        <v>15130</v>
      </c>
      <c r="D2417" t="s" s="5">
        <v>15131</v>
      </c>
      <c r="E2417" t="s" s="5">
        <v>15157</v>
      </c>
      <c r="F2417" t="s" s="10">
        <v>15158</v>
      </c>
      <c r="G2417" t="s" s="7">
        <v>15159</v>
      </c>
      <c r="H2417" t="s" s="7">
        <v>15160</v>
      </c>
      <c r="I2417" t="str" s="8" cm="1">
        <f t="array" ref="I2417">SUBSTITUTE(H2417,B2417,"(          )")</f>
        <v>The storm could (          ) small boats.</v>
      </c>
      <c r="J2417" s="9" cm="1">
        <f t="array" ref="J2417">SUMIF('외운 것 - 엑셀다운로드 파일(붙여넣기)'!A3:A562,A2417,'외운 것 - 엑셀다운로드 파일(붙여넣기)'!D3:D562)</f>
        <v>0</v>
      </c>
      <c r="K2417" s="9" cm="1">
        <f t="array" ref="K2417">_xlfn.COUNTIFS('외운 것 - 엑셀다운로드 파일(붙여넣기)'!A3:A562,A2417,'외운 것 - 엑셀다운로드 파일(붙여넣기)'!D3:D562,0)</f>
        <v>0</v>
      </c>
      <c r="L2417" s="9" cm="1">
        <f t="array" ref="L2417">IF(J2417&gt;=3,_xlfn.XLOOKUP(A2417,'외운 것 - 엑셀다운로드 파일(붙여넣기)'!A3:A562,'외운 것 - 엑셀다운로드 파일(붙여넣기)'!C3:C562,0,-1),0)</f>
        <v>0</v>
      </c>
    </row>
    <row r="2418" ht="38.45" customHeight="1">
      <c r="A2418" s="3">
        <v>2417</v>
      </c>
      <c r="B2418" t="s" s="4">
        <v>15162</v>
      </c>
      <c r="C2418" t="s" s="5">
        <v>15130</v>
      </c>
      <c r="D2418" t="s" s="5">
        <v>15131</v>
      </c>
      <c r="E2418" t="s" s="5">
        <v>15163</v>
      </c>
      <c r="F2418" t="s" s="10">
        <v>15164</v>
      </c>
      <c r="G2418" t="s" s="7">
        <v>15165</v>
      </c>
      <c r="H2418" t="s" s="7">
        <v>15166</v>
      </c>
      <c r="I2418" t="str" s="8" cm="1">
        <f t="array" ref="I2418">SUBSTITUTE(H2418,B2418,"(          )")</f>
        <v>The king's (          ) was feared throughout the kingdom.</v>
      </c>
      <c r="J2418" s="9" cm="1">
        <f t="array" ref="J2418">SUMIF('외운 것 - 엑셀다운로드 파일(붙여넣기)'!A3:A562,A2418,'외운 것 - 엑셀다운로드 파일(붙여넣기)'!D3:D562)</f>
        <v>0</v>
      </c>
      <c r="K2418" s="9" cm="1">
        <f t="array" ref="K2418">_xlfn.COUNTIFS('외운 것 - 엑셀다운로드 파일(붙여넣기)'!A3:A562,A2418,'외운 것 - 엑셀다운로드 파일(붙여넣기)'!D3:D562,0)</f>
        <v>0</v>
      </c>
      <c r="L2418" s="9" cm="1">
        <f t="array" ref="L2418">IF(J2418&gt;=3,_xlfn.XLOOKUP(A2418,'외운 것 - 엑셀다운로드 파일(붙여넣기)'!A3:A562,'외운 것 - 엑셀다운로드 파일(붙여넣기)'!C3:C562,0,-1),0)</f>
        <v>0</v>
      </c>
    </row>
    <row r="2419" ht="23.45" customHeight="1">
      <c r="A2419" s="3">
        <v>2418</v>
      </c>
      <c r="B2419" t="s" s="4">
        <v>15168</v>
      </c>
      <c r="C2419" t="s" s="5">
        <v>15130</v>
      </c>
      <c r="D2419" t="s" s="5">
        <v>15131</v>
      </c>
      <c r="E2419" t="s" s="5">
        <v>15169</v>
      </c>
      <c r="F2419" t="s" s="10">
        <v>15170</v>
      </c>
      <c r="G2419" t="s" s="7">
        <v>15171</v>
      </c>
      <c r="H2419" t="s" s="7">
        <v>15172</v>
      </c>
      <c r="I2419" t="str" s="8" cm="1">
        <f t="array" ref="I2419">SUBSTITUTE(H2419,B2419,"(          )")</f>
        <v>Lawyers (          ) over the details of the contract.</v>
      </c>
      <c r="J2419" s="9" cm="1">
        <f t="array" ref="J2419">SUMIF('외운 것 - 엑셀다운로드 파일(붙여넣기)'!A3:A562,A2419,'외운 것 - 엑셀다운로드 파일(붙여넣기)'!D3:D562)</f>
        <v>0</v>
      </c>
      <c r="K2419" s="9" cm="1">
        <f t="array" ref="K2419">_xlfn.COUNTIFS('외운 것 - 엑셀다운로드 파일(붙여넣기)'!A3:A562,A2419,'외운 것 - 엑셀다운로드 파일(붙여넣기)'!D3:D562,0)</f>
        <v>0</v>
      </c>
      <c r="L2419" s="9" cm="1">
        <f t="array" ref="L2419">IF(J2419&gt;=3,_xlfn.XLOOKUP(A2419,'외운 것 - 엑셀다운로드 파일(붙여넣기)'!A3:A562,'외운 것 - 엑셀다운로드 파일(붙여넣기)'!C3:C562,0,-1),0)</f>
        <v>0</v>
      </c>
    </row>
    <row r="2420" ht="38.45" customHeight="1">
      <c r="A2420" s="3">
        <v>2419</v>
      </c>
      <c r="B2420" t="s" s="4">
        <v>15174</v>
      </c>
      <c r="C2420" t="s" s="5">
        <v>15130</v>
      </c>
      <c r="D2420" t="s" s="5">
        <v>15131</v>
      </c>
      <c r="E2420" t="s" s="5">
        <v>15175</v>
      </c>
      <c r="F2420" t="s" s="10">
        <v>15176</v>
      </c>
      <c r="G2420" t="s" s="7">
        <v>15177</v>
      </c>
      <c r="H2420" t="s" s="7">
        <v>15178</v>
      </c>
      <c r="I2420" t="str" s="8" cm="1">
        <f t="array" ref="I2420">SUBSTITUTE(H2420,B2420,"(          )")</f>
        <v>The new fabric resists (          )s.</v>
      </c>
      <c r="J2420" s="9" cm="1">
        <f t="array" ref="J2420">SUMIF('외운 것 - 엑셀다운로드 파일(붙여넣기)'!A3:A562,A2420,'외운 것 - 엑셀다운로드 파일(붙여넣기)'!D3:D562)</f>
        <v>0</v>
      </c>
      <c r="K2420" s="9" cm="1">
        <f t="array" ref="K2420">_xlfn.COUNTIFS('외운 것 - 엑셀다운로드 파일(붙여넣기)'!A3:A562,A2420,'외운 것 - 엑셀다운로드 파일(붙여넣기)'!D3:D562,0)</f>
        <v>0</v>
      </c>
      <c r="L2420" s="9" cm="1">
        <f t="array" ref="L2420">IF(J2420&gt;=3,_xlfn.XLOOKUP(A2420,'외운 것 - 엑셀다운로드 파일(붙여넣기)'!A3:A562,'외운 것 - 엑셀다운로드 파일(붙여넣기)'!C3:C562,0,-1),0)</f>
        <v>0</v>
      </c>
    </row>
    <row r="2421" ht="38.45" customHeight="1">
      <c r="A2421" s="3">
        <v>2420</v>
      </c>
      <c r="B2421" t="s" s="4">
        <v>15180</v>
      </c>
      <c r="C2421" t="s" s="5">
        <v>15130</v>
      </c>
      <c r="D2421" t="s" s="5">
        <v>15131</v>
      </c>
      <c r="E2421" t="s" s="5">
        <v>15181</v>
      </c>
      <c r="F2421" t="s" s="10">
        <v>15182</v>
      </c>
      <c r="G2421" t="s" s="7">
        <v>15183</v>
      </c>
      <c r="H2421" t="s" s="7">
        <v>15184</v>
      </c>
      <c r="I2421" t="str" s="8" cm="1">
        <f t="array" ref="I2421">SUBSTITUTE(H2421,B2421,"(          )")</f>
        <v>It's (          ) to take things that don't belong to you.</v>
      </c>
      <c r="J2421" s="9" cm="1">
        <f t="array" ref="J2421">SUMIF('외운 것 - 엑셀다운로드 파일(붙여넣기)'!A3:A562,A2421,'외운 것 - 엑셀다운로드 파일(붙여넣기)'!D3:D562)</f>
        <v>0</v>
      </c>
      <c r="K2421" s="9" cm="1">
        <f t="array" ref="K2421">_xlfn.COUNTIFS('외운 것 - 엑셀다운로드 파일(붙여넣기)'!A3:A562,A2421,'외운 것 - 엑셀다운로드 파일(붙여넣기)'!D3:D562,0)</f>
        <v>0</v>
      </c>
      <c r="L2421" s="9" cm="1">
        <f t="array" ref="L2421">IF(J2421&gt;=3,_xlfn.XLOOKUP(A2421,'외운 것 - 엑셀다운로드 파일(붙여넣기)'!A3:A562,'외운 것 - 엑셀다운로드 파일(붙여넣기)'!C3:C562,0,-1),0)</f>
        <v>0</v>
      </c>
    </row>
    <row r="2422" ht="38.45" customHeight="1">
      <c r="A2422" s="3">
        <v>2421</v>
      </c>
      <c r="B2422" t="s" s="4">
        <v>15186</v>
      </c>
      <c r="C2422" t="s" s="5">
        <v>15130</v>
      </c>
      <c r="D2422" t="s" s="5">
        <v>15131</v>
      </c>
      <c r="E2422" t="s" s="5">
        <v>15187</v>
      </c>
      <c r="F2422" t="s" s="10">
        <v>15188</v>
      </c>
      <c r="G2422" t="s" s="7">
        <v>15189</v>
      </c>
      <c r="H2422" t="s" s="7">
        <v>15190</v>
      </c>
      <c r="I2422" t="str" s="8" cm="1">
        <f t="array" ref="I2422">SUBSTITUTE(H2422,B2422,"(          )")</f>
        <v>She wears a watch on her left (          ).</v>
      </c>
      <c r="J2422" s="9" cm="1">
        <f t="array" ref="J2422">SUMIF('외운 것 - 엑셀다운로드 파일(붙여넣기)'!A3:A562,A2422,'외운 것 - 엑셀다운로드 파일(붙여넣기)'!D3:D562)</f>
        <v>0</v>
      </c>
      <c r="K2422" s="9" cm="1">
        <f t="array" ref="K2422">_xlfn.COUNTIFS('외운 것 - 엑셀다운로드 파일(붙여넣기)'!A3:A562,A2422,'외운 것 - 엑셀다운로드 파일(붙여넣기)'!D3:D562,0)</f>
        <v>0</v>
      </c>
      <c r="L2422" s="9" cm="1">
        <f t="array" ref="L2422">IF(J2422&gt;=3,_xlfn.XLOOKUP(A2422,'외운 것 - 엑셀다운로드 파일(붙여넣기)'!A3:A562,'외운 것 - 엑셀다운로드 파일(붙여넣기)'!C3:C562,0,-1),0)</f>
        <v>0</v>
      </c>
    </row>
    <row r="2423" ht="23.45" customHeight="1">
      <c r="A2423" s="3">
        <v>2422</v>
      </c>
      <c r="B2423" t="s" s="4">
        <v>15192</v>
      </c>
      <c r="C2423" t="s" s="5">
        <v>15130</v>
      </c>
      <c r="D2423" t="s" s="5">
        <v>15131</v>
      </c>
      <c r="E2423" t="s" s="5">
        <v>15193</v>
      </c>
      <c r="F2423" t="s" s="10">
        <v>15194</v>
      </c>
      <c r="G2423" t="s" s="7">
        <v>15195</v>
      </c>
      <c r="H2423" t="s" s="7">
        <v>15196</v>
      </c>
      <c r="I2423" t="str" s="8" cm="1">
        <f t="array" ref="I2423">SUBSTITUTE(H2423,B2423,"(          )")</f>
        <v>Please (          ) your name and address on the form.</v>
      </c>
      <c r="J2423" s="9" cm="1">
        <f t="array" ref="J2423">SUMIF('외운 것 - 엑셀다운로드 파일(붙여넣기)'!A3:A562,A2423,'외운 것 - 엑셀다운로드 파일(붙여넣기)'!D3:D562)</f>
        <v>0</v>
      </c>
      <c r="K2423" s="9" cm="1">
        <f t="array" ref="K2423">_xlfn.COUNTIFS('외운 것 - 엑셀다운로드 파일(붙여넣기)'!A3:A562,A2423,'외운 것 - 엑셀다운로드 파일(붙여넣기)'!D3:D562,0)</f>
        <v>0</v>
      </c>
      <c r="L2423" s="9" cm="1">
        <f t="array" ref="L2423">IF(J2423&gt;=3,_xlfn.XLOOKUP(A2423,'외운 것 - 엑셀다운로드 파일(붙여넣기)'!A3:A562,'외운 것 - 엑셀다운로드 파일(붙여넣기)'!C3:C562,0,-1),0)</f>
        <v>0</v>
      </c>
    </row>
    <row r="2424" ht="23.45" customHeight="1">
      <c r="A2424" s="3">
        <v>2423</v>
      </c>
      <c r="B2424" t="s" s="4">
        <v>15198</v>
      </c>
      <c r="C2424" t="s" s="5">
        <v>15130</v>
      </c>
      <c r="D2424" t="s" s="5">
        <v>15131</v>
      </c>
      <c r="E2424" t="s" s="5">
        <v>15199</v>
      </c>
      <c r="F2424" t="s" s="10">
        <v>15200</v>
      </c>
      <c r="G2424" t="s" s="7">
        <v>15201</v>
      </c>
      <c r="H2424" t="s" s="7">
        <v>15202</v>
      </c>
      <c r="I2424" t="str" s="8" cm="1">
        <f t="array" ref="I2424">SUBSTITUTE(H2424,B2424,"(          )")</f>
        <v>The (          ) lasted for six devastating years.</v>
      </c>
      <c r="J2424" s="9" cm="1">
        <f t="array" ref="J2424">SUMIF('외운 것 - 엑셀다운로드 파일(붙여넣기)'!A3:A562,A2424,'외운 것 - 엑셀다운로드 파일(붙여넣기)'!D3:D562)</f>
        <v>0</v>
      </c>
      <c r="K2424" s="9" cm="1">
        <f t="array" ref="K2424">_xlfn.COUNTIFS('외운 것 - 엑셀다운로드 파일(붙여넣기)'!A3:A562,A2424,'외운 것 - 엑셀다운로드 파일(붙여넣기)'!D3:D562,0)</f>
        <v>0</v>
      </c>
      <c r="L2424" s="9" cm="1">
        <f t="array" ref="L2424">IF(J2424&gt;=3,_xlfn.XLOOKUP(A2424,'외운 것 - 엑셀다운로드 파일(붙여넣기)'!A3:A562,'외운 것 - 엑셀다운로드 파일(붙여넣기)'!C3:C562,0,-1),0)</f>
        <v>0</v>
      </c>
    </row>
    <row r="2425" ht="38.45" customHeight="1">
      <c r="A2425" s="3">
        <v>2424</v>
      </c>
      <c r="B2425" t="s" s="4">
        <v>15204</v>
      </c>
      <c r="C2425" t="s" s="5">
        <v>15205</v>
      </c>
      <c r="D2425" t="s" s="5">
        <v>15130</v>
      </c>
      <c r="E2425" t="s" s="5">
        <v>15206</v>
      </c>
      <c r="F2425" t="s" s="10">
        <v>15207</v>
      </c>
      <c r="G2425" t="s" s="7">
        <v>15208</v>
      </c>
      <c r="H2425" t="s" s="7">
        <v>15209</v>
      </c>
      <c r="I2425" t="str" s="8" cm="1">
        <f t="array" ref="I2425">SUBSTITUTE(H2425,B2425,"(          )")</f>
        <v>Be (          ) of emails asking for your bank information.</v>
      </c>
      <c r="J2425" s="9" cm="1">
        <f t="array" ref="J2425">SUMIF('외운 것 - 엑셀다운로드 파일(붙여넣기)'!A3:A562,A2425,'외운 것 - 엑셀다운로드 파일(붙여넣기)'!D3:D562)</f>
        <v>0</v>
      </c>
      <c r="K2425" s="9" cm="1">
        <f t="array" ref="K2425">_xlfn.COUNTIFS('외운 것 - 엑셀다운로드 파일(붙여넣기)'!A3:A562,A2425,'외운 것 - 엑셀다운로드 파일(붙여넣기)'!D3:D562,0)</f>
        <v>0</v>
      </c>
      <c r="L2425" s="9" cm="1">
        <f t="array" ref="L2425">IF(J2425&gt;=3,_xlfn.XLOOKUP(A2425,'외운 것 - 엑셀다운로드 파일(붙여넣기)'!A3:A562,'외운 것 - 엑셀다운로드 파일(붙여넣기)'!C3:C562,0,-1),0)</f>
        <v>0</v>
      </c>
    </row>
    <row r="2426" ht="23.45" customHeight="1">
      <c r="A2426" s="3">
        <v>2425</v>
      </c>
      <c r="B2426" t="s" s="4">
        <v>15211</v>
      </c>
      <c r="C2426" t="s" s="5">
        <v>15205</v>
      </c>
      <c r="D2426" t="s" s="5">
        <v>15130</v>
      </c>
      <c r="E2426" t="s" s="5">
        <v>15212</v>
      </c>
      <c r="F2426" t="s" s="10">
        <v>15213</v>
      </c>
      <c r="G2426" t="s" s="7">
        <v>15214</v>
      </c>
      <c r="H2426" t="s" s="7">
        <v>15215</v>
      </c>
      <c r="I2426" t="str" s="8" cm="1">
        <f t="array" ref="I2426">SUBSTITUTE(H2426,B2426,"(          )")</f>
        <v>The sign (          )s visitors about the dangerous cliff.</v>
      </c>
      <c r="J2426" s="9" cm="1">
        <f t="array" ref="J2426">SUMIF('외운 것 - 엑셀다운로드 파일(붙여넣기)'!A3:A562,A2426,'외운 것 - 엑셀다운로드 파일(붙여넣기)'!D3:D562)</f>
        <v>0</v>
      </c>
      <c r="K2426" s="9" cm="1">
        <f t="array" ref="K2426">_xlfn.COUNTIFS('외운 것 - 엑셀다운로드 파일(붙여넣기)'!A3:A562,A2426,'외운 것 - 엑셀다운로드 파일(붙여넣기)'!D3:D562,0)</f>
        <v>0</v>
      </c>
      <c r="L2426" s="9" cm="1">
        <f t="array" ref="L2426">IF(J2426&gt;=3,_xlfn.XLOOKUP(A2426,'외운 것 - 엑셀다운로드 파일(붙여넣기)'!A3:A562,'외운 것 - 엑셀다운로드 파일(붙여넣기)'!C3:C562,0,-1),0)</f>
        <v>0</v>
      </c>
    </row>
    <row r="2427" ht="38.45" customHeight="1">
      <c r="A2427" s="3">
        <v>2426</v>
      </c>
      <c r="B2427" t="s" s="4">
        <v>15217</v>
      </c>
      <c r="C2427" t="s" s="5">
        <v>15205</v>
      </c>
      <c r="D2427" t="s" s="5">
        <v>15130</v>
      </c>
      <c r="E2427" t="s" s="5">
        <v>15218</v>
      </c>
      <c r="F2427" t="s" s="10">
        <v>15219</v>
      </c>
      <c r="G2427" t="s" s="7">
        <v>15220</v>
      </c>
      <c r="H2427" t="s" s="7">
        <v>15221</v>
      </c>
      <c r="I2427" t="str" s="8" cm="1">
        <f t="array" ref="I2427">SUBSTITUTE(H2427,B2427,"(          )")</f>
        <v>The evidence didn't (          ) such extreme measures.</v>
      </c>
      <c r="J2427" s="9" cm="1">
        <f t="array" ref="J2427">SUMIF('외운 것 - 엑셀다운로드 파일(붙여넣기)'!A3:A562,A2427,'외운 것 - 엑셀다운로드 파일(붙여넣기)'!D3:D562)</f>
        <v>0</v>
      </c>
      <c r="K2427" s="9" cm="1">
        <f t="array" ref="K2427">_xlfn.COUNTIFS('외운 것 - 엑셀다운로드 파일(붙여넣기)'!A3:A562,A2427,'외운 것 - 엑셀다운로드 파일(붙여넣기)'!D3:D562,0)</f>
        <v>0</v>
      </c>
      <c r="L2427" s="9" cm="1">
        <f t="array" ref="L2427">IF(J2427&gt;=3,_xlfn.XLOOKUP(A2427,'외운 것 - 엑셀다운로드 파일(붙여넣기)'!A3:A562,'외운 것 - 엑셀다운로드 파일(붙여넣기)'!C3:C562,0,-1),0)</f>
        <v>0</v>
      </c>
    </row>
    <row r="2428" ht="38.45" customHeight="1">
      <c r="A2428" s="3">
        <v>2427</v>
      </c>
      <c r="B2428" t="s" s="4">
        <v>15223</v>
      </c>
      <c r="C2428" t="s" s="5">
        <v>15205</v>
      </c>
      <c r="D2428" t="s" s="5">
        <v>15130</v>
      </c>
      <c r="E2428" t="s" s="5">
        <v>15224</v>
      </c>
      <c r="F2428" t="s" s="10">
        <v>15225</v>
      </c>
      <c r="G2428" t="s" s="7">
        <v>15226</v>
      </c>
      <c r="H2428" t="s" s="7">
        <v>15227</v>
      </c>
      <c r="I2428" t="str" s="8" cm="1">
        <f t="array" ref="I2428">SUBSTITUTE(H2428,B2428,"(          )")</f>
        <v>The soup will help keep you (          ) on a cold day.</v>
      </c>
      <c r="J2428" s="9" cm="1">
        <f t="array" ref="J2428">SUMIF('외운 것 - 엑셀다운로드 파일(붙여넣기)'!A3:A562,A2428,'외운 것 - 엑셀다운로드 파일(붙여넣기)'!D3:D562)</f>
        <v>0</v>
      </c>
      <c r="K2428" s="9" cm="1">
        <f t="array" ref="K2428">_xlfn.COUNTIFS('외운 것 - 엑셀다운로드 파일(붙여넣기)'!A3:A562,A2428,'외운 것 - 엑셀다운로드 파일(붙여넣기)'!D3:D562,0)</f>
        <v>0</v>
      </c>
      <c r="L2428" s="9" cm="1">
        <f t="array" ref="L2428">IF(J2428&gt;=3,_xlfn.XLOOKUP(A2428,'외운 것 - 엑셀다운로드 파일(붙여넣기)'!A3:A562,'외운 것 - 엑셀다운로드 파일(붙여넣기)'!C3:C562,0,-1),0)</f>
        <v>0</v>
      </c>
    </row>
    <row r="2429" ht="23.45" customHeight="1">
      <c r="A2429" s="3">
        <v>2428</v>
      </c>
      <c r="B2429" t="s" s="4">
        <v>15229</v>
      </c>
      <c r="C2429" t="s" s="5">
        <v>15230</v>
      </c>
      <c r="D2429" t="s" s="5">
        <v>15130</v>
      </c>
      <c r="E2429" t="s" s="5">
        <v>15231</v>
      </c>
      <c r="F2429" t="s" s="10">
        <v>15232</v>
      </c>
      <c r="G2429" t="s" s="7">
        <v>15233</v>
      </c>
      <c r="H2429" t="s" s="7">
        <v>15234</v>
      </c>
      <c r="I2429" t="str" s="8" cm="1">
        <f t="array" ref="I2429">SUBSTITUTE(H2429,B2429,"(          )")</f>
        <v>Birds eat (          )s from the garden soil.</v>
      </c>
      <c r="J2429" s="9" cm="1">
        <f t="array" ref="J2429">SUMIF('외운 것 - 엑셀다운로드 파일(붙여넣기)'!A3:A562,A2429,'외운 것 - 엑셀다운로드 파일(붙여넣기)'!D3:D562)</f>
        <v>0</v>
      </c>
      <c r="K2429" s="9" cm="1">
        <f t="array" ref="K2429">_xlfn.COUNTIFS('외운 것 - 엑셀다운로드 파일(붙여넣기)'!A3:A562,A2429,'외운 것 - 엑셀다운로드 파일(붙여넣기)'!D3:D562,0)</f>
        <v>0</v>
      </c>
      <c r="L2429" s="9" cm="1">
        <f t="array" ref="L2429">IF(J2429&gt;=3,_xlfn.XLOOKUP(A2429,'외운 것 - 엑셀다운로드 파일(붙여넣기)'!A3:A562,'외운 것 - 엑셀다운로드 파일(붙여넣기)'!C3:C562,0,-1),0)</f>
        <v>0</v>
      </c>
    </row>
    <row r="2430" ht="38.45" customHeight="1">
      <c r="A2430" s="3">
        <v>2429</v>
      </c>
      <c r="B2430" t="s" s="4">
        <v>15236</v>
      </c>
      <c r="C2430" t="s" s="5">
        <v>15236</v>
      </c>
      <c r="D2430" t="s" s="5">
        <v>15237</v>
      </c>
      <c r="E2430" t="s" s="5">
        <v>15238</v>
      </c>
      <c r="F2430" t="s" s="10">
        <v>15239</v>
      </c>
      <c r="G2430" t="s" s="7">
        <v>15240</v>
      </c>
      <c r="H2430" t="s" s="7">
        <v>15241</v>
      </c>
      <c r="I2430" t="str" s="8" cm="1">
        <f t="array" ref="I2430">SUBSTITUTE(H2430,B2430,"(          )")</f>
        <v>Connect the devices using the USB (          ).</v>
      </c>
      <c r="J2430" s="9" cm="1">
        <f t="array" ref="J2430">SUMIF('외운 것 - 엑셀다운로드 파일(붙여넣기)'!A3:A562,A2430,'외운 것 - 엑셀다운로드 파일(붙여넣기)'!D3:D562)</f>
        <v>0</v>
      </c>
      <c r="K2430" s="9" cm="1">
        <f t="array" ref="K2430">_xlfn.COUNTIFS('외운 것 - 엑셀다운로드 파일(붙여넣기)'!A3:A562,A2430,'외운 것 - 엑셀다운로드 파일(붙여넣기)'!D3:D562,0)</f>
        <v>0</v>
      </c>
      <c r="L2430" s="9" cm="1">
        <f t="array" ref="L2430">IF(J2430&gt;=3,_xlfn.XLOOKUP(A2430,'외운 것 - 엑셀다운로드 파일(붙여넣기)'!A3:A562,'외운 것 - 엑셀다운로드 파일(붙여넣기)'!C3:C562,0,-1),0)</f>
        <v>0</v>
      </c>
    </row>
    <row r="2431" ht="23.45" customHeight="1">
      <c r="A2431" s="3">
        <v>2430</v>
      </c>
      <c r="B2431" t="s" s="4">
        <v>15243</v>
      </c>
      <c r="C2431" t="s" s="5">
        <v>15236</v>
      </c>
      <c r="D2431" t="s" s="5">
        <v>15237</v>
      </c>
      <c r="E2431" t="s" s="5">
        <v>15244</v>
      </c>
      <c r="F2431" t="s" s="10">
        <v>15245</v>
      </c>
      <c r="G2431" t="s" s="7">
        <v>15246</v>
      </c>
      <c r="H2431" t="s" s="7">
        <v>15247</v>
      </c>
      <c r="I2431" t="str" s="8" cm="1">
        <f t="array" ref="I2431">SUBSTITUTE(H2431,B2431,"(          )")</f>
        <v>Most modern homes have (          ) internet.</v>
      </c>
      <c r="J2431" s="9" cm="1">
        <f t="array" ref="J2431">SUMIF('외운 것 - 엑셀다운로드 파일(붙여넣기)'!A3:A562,A2431,'외운 것 - 엑셀다운로드 파일(붙여넣기)'!D3:D562)</f>
        <v>0</v>
      </c>
      <c r="K2431" s="9" cm="1">
        <f t="array" ref="K2431">_xlfn.COUNTIFS('외운 것 - 엑셀다운로드 파일(붙여넣기)'!A3:A562,A2431,'외운 것 - 엑셀다운로드 파일(붙여넣기)'!D3:D562,0)</f>
        <v>0</v>
      </c>
      <c r="L2431" s="9" cm="1">
        <f t="array" ref="L2431">IF(J2431&gt;=3,_xlfn.XLOOKUP(A2431,'외운 것 - 엑셀다운로드 파일(붙여넣기)'!A3:A562,'외운 것 - 엑셀다운로드 파일(붙여넣기)'!C3:C562,0,-1),0)</f>
        <v>0</v>
      </c>
    </row>
    <row r="2432" ht="23.45" customHeight="1">
      <c r="A2432" s="3">
        <v>2431</v>
      </c>
      <c r="B2432" t="s" s="4">
        <v>15249</v>
      </c>
      <c r="C2432" t="s" s="5">
        <v>15230</v>
      </c>
      <c r="D2432" t="s" s="5">
        <v>15130</v>
      </c>
      <c r="E2432" t="s" s="5">
        <v>15250</v>
      </c>
      <c r="F2432" t="s" s="10">
        <v>15251</v>
      </c>
      <c r="G2432" t="s" s="7">
        <v>15252</v>
      </c>
      <c r="H2432" t="s" s="7">
        <v>15253</v>
      </c>
      <c r="I2432" t="str" s="8" cm="1">
        <f t="array" ref="I2432">SUBSTITUTE(H2432,B2432,"(          )")</f>
        <v>The (          ) is becoming increasingly interconnected.</v>
      </c>
      <c r="J2432" s="9" cm="1">
        <f t="array" ref="J2432">SUMIF('외운 것 - 엑셀다운로드 파일(붙여넣기)'!A3:A562,A2432,'외운 것 - 엑셀다운로드 파일(붙여넣기)'!D3:D562)</f>
        <v>0</v>
      </c>
      <c r="K2432" s="9" cm="1">
        <f t="array" ref="K2432">_xlfn.COUNTIFS('외운 것 - 엑셀다운로드 파일(붙여넣기)'!A3:A562,A2432,'외운 것 - 엑셀다운로드 파일(붙여넣기)'!D3:D562,0)</f>
        <v>0</v>
      </c>
      <c r="L2432" s="9" cm="1">
        <f t="array" ref="L2432">IF(J2432&gt;=3,_xlfn.XLOOKUP(A2432,'외운 것 - 엑셀다운로드 파일(붙여넣기)'!A3:A562,'외운 것 - 엑셀다운로드 파일(붙여넣기)'!C3:C562,0,-1),0)</f>
        <v>0</v>
      </c>
    </row>
    <row r="2433" ht="36.4" customHeight="1">
      <c r="A2433" s="3">
        <v>2432</v>
      </c>
      <c r="B2433" t="s" s="4">
        <v>15255</v>
      </c>
      <c r="C2433" t="s" s="5">
        <v>15256</v>
      </c>
      <c r="D2433" t="s" s="5">
        <v>15130</v>
      </c>
      <c r="E2433" t="s" s="5">
        <v>15257</v>
      </c>
      <c r="F2433" t="s" s="10">
        <v>15258</v>
      </c>
      <c r="G2433" t="s" s="7">
        <v>15259</v>
      </c>
      <c r="H2433" t="s" s="7">
        <v>15260</v>
      </c>
      <c r="I2433" t="str" s="8" cm="1">
        <f t="array" ref="I2433">SUBSTITUTE(H2433,B2433,"(          )")</f>
        <v>His (          ) possessions fit into a single suitcase.</v>
      </c>
      <c r="J2433" s="9" cm="1">
        <f t="array" ref="J2433">SUMIF('외운 것 - 엑셀다운로드 파일(붙여넣기)'!A3:A562,A2433,'외운 것 - 엑셀다운로드 파일(붙여넣기)'!D3:D562)</f>
        <v>0</v>
      </c>
      <c r="K2433" s="9" cm="1">
        <f t="array" ref="K2433">_xlfn.COUNTIFS('외운 것 - 엑셀다운로드 파일(붙여넣기)'!A3:A562,A2433,'외운 것 - 엑셀다운로드 파일(붙여넣기)'!D3:D562,0)</f>
        <v>0</v>
      </c>
      <c r="L2433" s="9" cm="1">
        <f t="array" ref="L2433">IF(J2433&gt;=3,_xlfn.XLOOKUP(A2433,'외운 것 - 엑셀다운로드 파일(붙여넣기)'!A3:A562,'외운 것 - 엑셀다운로드 파일(붙여넣기)'!C3:C562,0,-1),0)</f>
        <v>0</v>
      </c>
    </row>
    <row r="2434" ht="23.45" customHeight="1">
      <c r="A2434" s="3">
        <v>2433</v>
      </c>
      <c r="B2434" t="s" s="4">
        <v>15262</v>
      </c>
      <c r="C2434" t="s" s="5">
        <v>15263</v>
      </c>
      <c r="D2434" t="s" s="5">
        <v>15130</v>
      </c>
      <c r="E2434" t="s" s="5">
        <v>15264</v>
      </c>
      <c r="F2434" t="s" s="10">
        <v>15265</v>
      </c>
      <c r="G2434" t="s" s="7">
        <v>15266</v>
      </c>
      <c r="H2434" t="s" s="7">
        <v>15267</v>
      </c>
      <c r="I2434" t="str" s="8" cm="1">
        <f t="array" ref="I2434">SUBSTITUTE(H2434,B2434,"(          )")</f>
        <v>Don't (          ) about things you cannot change.</v>
      </c>
      <c r="J2434" s="9" cm="1">
        <f t="array" ref="J2434">SUMIF('외운 것 - 엑셀다운로드 파일(붙여넣기)'!A3:A562,A2434,'외운 것 - 엑셀다운로드 파일(붙여넣기)'!D3:D562)</f>
        <v>0</v>
      </c>
      <c r="K2434" s="9" cm="1">
        <f t="array" ref="K2434">_xlfn.COUNTIFS('외운 것 - 엑셀다운로드 파일(붙여넣기)'!A3:A562,A2434,'외운 것 - 엑셀다운로드 파일(붙여넣기)'!D3:D562,0)</f>
        <v>0</v>
      </c>
      <c r="L2434" s="9" cm="1">
        <f t="array" ref="L2434">IF(J2434&gt;=3,_xlfn.XLOOKUP(A2434,'외운 것 - 엑셀다운로드 파일(붙여넣기)'!A3:A562,'외운 것 - 엑셀다운로드 파일(붙여넣기)'!C3:C562,0,-1),0)</f>
        <v>0</v>
      </c>
    </row>
    <row r="2435" ht="23.45" customHeight="1">
      <c r="A2435" s="3">
        <v>2434</v>
      </c>
      <c r="B2435" t="s" s="4">
        <v>15269</v>
      </c>
      <c r="C2435" t="s" s="5">
        <v>14998</v>
      </c>
      <c r="D2435" t="s" s="5">
        <v>15270</v>
      </c>
      <c r="E2435" t="s" s="5">
        <v>15271</v>
      </c>
      <c r="F2435" t="s" s="10">
        <v>15272</v>
      </c>
      <c r="G2435" t="s" s="7">
        <v>15273</v>
      </c>
      <c r="H2435" t="s" s="7">
        <v>15274</v>
      </c>
      <c r="I2435" t="str" s="8" cm="1">
        <f t="array" ref="I2435">SUBSTITUTE(H2435,B2435,"(          )")</f>
        <v>Choose your (          )s carefully in formal writing.</v>
      </c>
      <c r="J2435" s="9" cm="1">
        <f t="array" ref="J2435">SUMIF('외운 것 - 엑셀다운로드 파일(붙여넣기)'!A3:A562,A2435,'외운 것 - 엑셀다운로드 파일(붙여넣기)'!D3:D562)</f>
        <v>0</v>
      </c>
      <c r="K2435" s="9" cm="1">
        <f t="array" ref="K2435">_xlfn.COUNTIFS('외운 것 - 엑셀다운로드 파일(붙여넣기)'!A3:A562,A2435,'외운 것 - 엑셀다운로드 파일(붙여넣기)'!D3:D562,0)</f>
        <v>0</v>
      </c>
      <c r="L2435" s="9" cm="1">
        <f t="array" ref="L2435">IF(J2435&gt;=3,_xlfn.XLOOKUP(A2435,'외운 것 - 엑셀다운로드 파일(붙여넣기)'!A3:A562,'외운 것 - 엑셀다운로드 파일(붙여넣기)'!C3:C562,0,-1),0)</f>
        <v>0</v>
      </c>
    </row>
    <row r="2436" ht="38.45" customHeight="1">
      <c r="A2436" s="3">
        <v>2435</v>
      </c>
      <c r="B2436" t="s" s="4">
        <v>15276</v>
      </c>
      <c r="C2436" t="s" s="5">
        <v>15277</v>
      </c>
      <c r="D2436" t="s" s="5">
        <v>15278</v>
      </c>
      <c r="E2436" t="s" s="5">
        <v>15279</v>
      </c>
      <c r="F2436" t="s" s="10">
        <v>15280</v>
      </c>
      <c r="G2436" t="s" s="7">
        <v>15281</v>
      </c>
      <c r="H2436" t="s" s="7">
        <v>15282</v>
      </c>
      <c r="I2436" t="str" s="8" cm="1">
        <f t="array" ref="I2436">SUBSTITUTE(H2436,B2436,"(          )")</f>
        <v>Knights carried (          )s in medieval times.</v>
      </c>
      <c r="J2436" s="9" cm="1">
        <f t="array" ref="J2436">SUMIF('외운 것 - 엑셀다운로드 파일(붙여넣기)'!A3:A562,A2436,'외운 것 - 엑셀다운로드 파일(붙여넣기)'!D3:D562)</f>
        <v>0</v>
      </c>
      <c r="K2436" s="9" cm="1">
        <f t="array" ref="K2436">_xlfn.COUNTIFS('외운 것 - 엑셀다운로드 파일(붙여넣기)'!A3:A562,A2436,'외운 것 - 엑셀다운로드 파일(붙여넣기)'!D3:D562,0)</f>
        <v>0</v>
      </c>
      <c r="L2436" s="9" cm="1">
        <f t="array" ref="L2436">IF(J2436&gt;=3,_xlfn.XLOOKUP(A2436,'외운 것 - 엑셀다운로드 파일(붙여넣기)'!A3:A562,'외운 것 - 엑셀다운로드 파일(붙여넣기)'!C3:C562,0,-1),0)</f>
        <v>0</v>
      </c>
    </row>
    <row r="2437" ht="38.45" customHeight="1">
      <c r="A2437" s="3">
        <v>2436</v>
      </c>
      <c r="B2437" t="s" s="4">
        <v>15284</v>
      </c>
      <c r="C2437" t="s" s="5">
        <v>15285</v>
      </c>
      <c r="D2437" t="s" s="5">
        <v>15286</v>
      </c>
      <c r="E2437" t="s" s="5">
        <v>15287</v>
      </c>
      <c r="F2437" t="s" s="10">
        <v>15288</v>
      </c>
      <c r="G2437" t="s" s="7">
        <v>15289</v>
      </c>
      <c r="H2437" t="s" s="7">
        <v>15290</v>
      </c>
      <c r="I2437" t="str" s="8" cm="1">
        <f t="array" ref="I2437">SUBSTITUTE(H2437,B2437,"(          )")</f>
        <v>Remember to (          ) off the lights when you leave.</v>
      </c>
      <c r="J2437" s="9" cm="1">
        <f t="array" ref="J2437">SUMIF('외운 것 - 엑셀다운로드 파일(붙여넣기)'!A3:A562,A2437,'외운 것 - 엑셀다운로드 파일(붙여넣기)'!D3:D562)</f>
        <v>0</v>
      </c>
      <c r="K2437" s="9" cm="1">
        <f t="array" ref="K2437">_xlfn.COUNTIFS('외운 것 - 엑셀다운로드 파일(붙여넣기)'!A3:A562,A2437,'외운 것 - 엑셀다운로드 파일(붙여넣기)'!D3:D562,0)</f>
        <v>0</v>
      </c>
      <c r="L2437" s="9" cm="1">
        <f t="array" ref="L2437">IF(J2437&gt;=3,_xlfn.XLOOKUP(A2437,'외운 것 - 엑셀다운로드 파일(붙여넣기)'!A3:A562,'외운 것 - 엑셀다운로드 파일(붙여넣기)'!C3:C562,0,-1),0)</f>
        <v>0</v>
      </c>
    </row>
    <row r="2438" ht="38.45" customHeight="1">
      <c r="A2438" s="3">
        <v>2437</v>
      </c>
      <c r="B2438" t="s" s="4">
        <v>15292</v>
      </c>
      <c r="C2438" t="s" s="5">
        <v>15285</v>
      </c>
      <c r="D2438" t="s" s="5">
        <v>15286</v>
      </c>
      <c r="E2438" t="s" s="5">
        <v>15293</v>
      </c>
      <c r="F2438" t="s" s="10">
        <v>15294</v>
      </c>
      <c r="G2438" t="s" s="7">
        <v>15295</v>
      </c>
      <c r="H2438" t="s" s="7">
        <v>15296</v>
      </c>
      <c r="I2438" t="str" s="8" cm="1">
        <f t="array" ref="I2438">SUBSTITUTE(H2438,B2438,"(          )")</f>
        <v>Let's (          ) phone numbers so we can stay in touch.</v>
      </c>
      <c r="J2438" s="9" cm="1">
        <f t="array" ref="J2438">SUMIF('외운 것 - 엑셀다운로드 파일(붙여넣기)'!A3:A562,A2438,'외운 것 - 엑셀다운로드 파일(붙여넣기)'!D3:D562)</f>
        <v>0</v>
      </c>
      <c r="K2438" s="9" cm="1">
        <f t="array" ref="K2438">_xlfn.COUNTIFS('외운 것 - 엑셀다운로드 파일(붙여넣기)'!A3:A562,A2438,'외운 것 - 엑셀다운로드 파일(붙여넣기)'!D3:D562,0)</f>
        <v>0</v>
      </c>
      <c r="L2438" s="9" cm="1">
        <f t="array" ref="L2438">IF(J2438&gt;=3,_xlfn.XLOOKUP(A2438,'외운 것 - 엑셀다운로드 파일(붙여넣기)'!A3:A562,'외운 것 - 엑셀다운로드 파일(붙여넣기)'!C3:C562,0,-1),0)</f>
        <v>0</v>
      </c>
    </row>
    <row r="2439" ht="38.45" customHeight="1">
      <c r="A2439" s="3">
        <v>2438</v>
      </c>
      <c r="B2439" t="s" s="4">
        <v>15298</v>
      </c>
      <c r="C2439" t="s" s="5">
        <v>15285</v>
      </c>
      <c r="D2439" t="s" s="5">
        <v>15286</v>
      </c>
      <c r="E2439" t="s" s="5">
        <v>15299</v>
      </c>
      <c r="F2439" t="s" s="10">
        <v>15300</v>
      </c>
      <c r="G2439" t="s" s="7">
        <v>15301</v>
      </c>
      <c r="H2439" t="s" s="7">
        <v>15302</v>
      </c>
      <c r="I2439" t="str" s="8" cm="1">
        <f t="array" ref="I2439">SUBSTITUTE(H2439,B2439,"(          )")</f>
        <v>Children learn to (          ) in the shallow pool.</v>
      </c>
      <c r="J2439" s="9" cm="1">
        <f t="array" ref="J2439">SUMIF('외운 것 - 엑셀다운로드 파일(붙여넣기)'!A3:A562,A2439,'외운 것 - 엑셀다운로드 파일(붙여넣기)'!D3:D562)</f>
        <v>0</v>
      </c>
      <c r="K2439" s="9" cm="1">
        <f t="array" ref="K2439">_xlfn.COUNTIFS('외운 것 - 엑셀다운로드 파일(붙여넣기)'!A3:A562,A2439,'외운 것 - 엑셀다운로드 파일(붙여넣기)'!D3:D562,0)</f>
        <v>0</v>
      </c>
      <c r="L2439" s="9" cm="1">
        <f t="array" ref="L2439">IF(J2439&gt;=3,_xlfn.XLOOKUP(A2439,'외운 것 - 엑셀다운로드 파일(붙여넣기)'!A3:A562,'외운 것 - 엑셀다운로드 파일(붙여넣기)'!C3:C562,0,-1),0)</f>
        <v>0</v>
      </c>
    </row>
    <row r="2440" ht="38.45" customHeight="1">
      <c r="A2440" s="3">
        <v>2439</v>
      </c>
      <c r="B2440" t="s" s="4">
        <v>15304</v>
      </c>
      <c r="C2440" t="s" s="5">
        <v>15285</v>
      </c>
      <c r="D2440" t="s" s="5">
        <v>15286</v>
      </c>
      <c r="E2440" t="s" s="5">
        <v>15305</v>
      </c>
      <c r="F2440" t="s" s="10">
        <v>15306</v>
      </c>
      <c r="G2440" t="s" s="7">
        <v>15307</v>
      </c>
      <c r="H2440" t="s" s="7">
        <v>15308</v>
      </c>
      <c r="I2440" t="str" s="8" cm="1">
        <f t="array" ref="I2440">SUBSTITUTE(H2440,B2440,"(          )")</f>
        <v>It's difficult to (          ) large pills.</v>
      </c>
      <c r="J2440" s="9" cm="1">
        <f t="array" ref="J2440">SUMIF('외운 것 - 엑셀다운로드 파일(붙여넣기)'!A3:A562,A2440,'외운 것 - 엑셀다운로드 파일(붙여넣기)'!D3:D562)</f>
        <v>0</v>
      </c>
      <c r="K2440" s="9" cm="1">
        <f t="array" ref="K2440">_xlfn.COUNTIFS('외운 것 - 엑셀다운로드 파일(붙여넣기)'!A3:A562,A2440,'외운 것 - 엑셀다운로드 파일(붙여넣기)'!D3:D562,0)</f>
        <v>0</v>
      </c>
      <c r="L2440" s="9" cm="1">
        <f t="array" ref="L2440">IF(J2440&gt;=3,_xlfn.XLOOKUP(A2440,'외운 것 - 엑셀다운로드 파일(붙여넣기)'!A3:A562,'외운 것 - 엑셀다운로드 파일(붙여넣기)'!C3:C562,0,-1),0)</f>
        <v>0</v>
      </c>
    </row>
    <row r="2441" ht="23.45" customHeight="1">
      <c r="A2441" s="3">
        <v>2440</v>
      </c>
      <c r="B2441" t="s" s="4">
        <v>15310</v>
      </c>
      <c r="C2441" t="s" s="5">
        <v>15285</v>
      </c>
      <c r="D2441" t="s" s="5">
        <v>15286</v>
      </c>
      <c r="E2441" t="s" s="5">
        <v>15311</v>
      </c>
      <c r="F2441" t="s" s="10">
        <v>15312</v>
      </c>
      <c r="G2441" t="s" s="7">
        <v>15313</v>
      </c>
      <c r="H2441" t="s" s="7">
        <v>15314</v>
      </c>
      <c r="I2441" t="str" s="8" cm="1">
        <f t="array" ref="I2441">SUBSTITUTE(H2441,B2441,"(          )")</f>
        <v>The trees (          ) in the strong wind.</v>
      </c>
      <c r="J2441" s="9" cm="1">
        <f t="array" ref="J2441">SUMIF('외운 것 - 엑셀다운로드 파일(붙여넣기)'!A3:A562,A2441,'외운 것 - 엑셀다운로드 파일(붙여넣기)'!D3:D562)</f>
        <v>0</v>
      </c>
      <c r="K2441" s="9" cm="1">
        <f t="array" ref="K2441">_xlfn.COUNTIFS('외운 것 - 엑셀다운로드 파일(붙여넣기)'!A3:A562,A2441,'외운 것 - 엑셀다운로드 파일(붙여넣기)'!D3:D562,0)</f>
        <v>0</v>
      </c>
      <c r="L2441" s="9" cm="1">
        <f t="array" ref="L2441">IF(J2441&gt;=3,_xlfn.XLOOKUP(A2441,'외운 것 - 엑셀다운로드 파일(붙여넣기)'!A3:A562,'외운 것 - 엑셀다운로드 파일(붙여넣기)'!C3:C562,0,-1),0)</f>
        <v>0</v>
      </c>
    </row>
    <row r="2442" ht="38.45" customHeight="1">
      <c r="A2442" s="3">
        <v>2441</v>
      </c>
      <c r="B2442" t="s" s="4">
        <v>15316</v>
      </c>
      <c r="C2442" t="s" s="5">
        <v>15285</v>
      </c>
      <c r="D2442" t="s" s="5">
        <v>15286</v>
      </c>
      <c r="E2442" t="s" s="5">
        <v>15317</v>
      </c>
      <c r="F2442" t="s" s="10">
        <v>15318</v>
      </c>
      <c r="G2442" t="s" s="7">
        <v>15319</v>
      </c>
      <c r="H2442" t="s" s="7">
        <v>15320</v>
      </c>
      <c r="I2442" t="str" s="8" cm="1">
        <f t="array" ref="I2442">SUBSTITUTE(H2442,B2442,"(          )")</f>
        <v>Athletes (          ) heavily during intense exercise.</v>
      </c>
      <c r="J2442" s="9" cm="1">
        <f t="array" ref="J2442">SUMIF('외운 것 - 엑셀다운로드 파일(붙여넣기)'!A3:A562,A2442,'외운 것 - 엑셀다운로드 파일(붙여넣기)'!D3:D562)</f>
        <v>0</v>
      </c>
      <c r="K2442" s="9" cm="1">
        <f t="array" ref="K2442">_xlfn.COUNTIFS('외운 것 - 엑셀다운로드 파일(붙여넣기)'!A3:A562,A2442,'외운 것 - 엑셀다운로드 파일(붙여넣기)'!D3:D562,0)</f>
        <v>0</v>
      </c>
      <c r="L2442" s="9" cm="1">
        <f t="array" ref="L2442">IF(J2442&gt;=3,_xlfn.XLOOKUP(A2442,'외운 것 - 엑셀다운로드 파일(붙여넣기)'!A3:A562,'외운 것 - 엑셀다운로드 파일(붙여넣기)'!C3:C562,0,-1),0)</f>
        <v>0</v>
      </c>
    </row>
    <row r="2443" ht="38.45" customHeight="1">
      <c r="A2443" s="3">
        <v>2442</v>
      </c>
      <c r="B2443" t="s" s="4">
        <v>15322</v>
      </c>
      <c r="C2443" t="s" s="5">
        <v>15285</v>
      </c>
      <c r="D2443" t="s" s="5">
        <v>15286</v>
      </c>
      <c r="E2443" t="s" s="5">
        <v>13982</v>
      </c>
      <c r="F2443" t="s" s="10">
        <v>15323</v>
      </c>
      <c r="G2443" t="s" s="7">
        <v>15324</v>
      </c>
      <c r="H2443" t="s" s="7">
        <v>15325</v>
      </c>
      <c r="I2443" t="str" s="8" cm="1">
        <f t="array" ref="I2443">SUBSTITUTE(H2443,B2443,"(          )")</f>
        <v>The cake is too (          ) for my taste.</v>
      </c>
      <c r="J2443" s="9" cm="1">
        <f t="array" ref="J2443">SUMIF('외운 것 - 엑셀다운로드 파일(붙여넣기)'!A3:A562,A2443,'외운 것 - 엑셀다운로드 파일(붙여넣기)'!D3:D562)</f>
        <v>0</v>
      </c>
      <c r="K2443" s="9" cm="1">
        <f t="array" ref="K2443">_xlfn.COUNTIFS('외운 것 - 엑셀다운로드 파일(붙여넣기)'!A3:A562,A2443,'외운 것 - 엑셀다운로드 파일(붙여넣기)'!D3:D562,0)</f>
        <v>0</v>
      </c>
      <c r="L2443" s="9" cm="1">
        <f t="array" ref="L2443">IF(J2443&gt;=3,_xlfn.XLOOKUP(A2443,'외운 것 - 엑셀다운로드 파일(붙여넣기)'!A3:A562,'외운 것 - 엑셀다운로드 파일(붙여넣기)'!C3:C562,0,-1),0)</f>
        <v>0</v>
      </c>
    </row>
    <row r="2444" ht="38.45" customHeight="1">
      <c r="A2444" s="3">
        <v>2443</v>
      </c>
      <c r="B2444" t="s" s="4">
        <v>15327</v>
      </c>
      <c r="C2444" t="s" s="5">
        <v>15285</v>
      </c>
      <c r="D2444" t="s" s="5">
        <v>15286</v>
      </c>
      <c r="E2444" t="s" s="5">
        <v>15328</v>
      </c>
      <c r="F2444" t="s" s="10">
        <v>15329</v>
      </c>
      <c r="G2444" t="s" s="7">
        <v>15330</v>
      </c>
      <c r="H2444" t="s" s="7">
        <v>15331</v>
      </c>
      <c r="I2444" t="str" s="8" cm="1">
        <f t="array" ref="I2444">SUBSTITUTE(H2444,B2444,"(          )")</f>
        <v>The white (          ) glided gracefully across the lake.</v>
      </c>
      <c r="J2444" s="9" cm="1">
        <f t="array" ref="J2444">SUMIF('외운 것 - 엑셀다운로드 파일(붙여넣기)'!A3:A562,A2444,'외운 것 - 엑셀다운로드 파일(붙여넣기)'!D3:D562)</f>
        <v>0</v>
      </c>
      <c r="K2444" s="9" cm="1">
        <f t="array" ref="K2444">_xlfn.COUNTIFS('외운 것 - 엑셀다운로드 파일(붙여넣기)'!A3:A562,A2444,'외운 것 - 엑셀다운로드 파일(붙여넣기)'!D3:D562,0)</f>
        <v>0</v>
      </c>
      <c r="L2444" s="9" cm="1">
        <f t="array" ref="L2444">IF(J2444&gt;=3,_xlfn.XLOOKUP(A2444,'외운 것 - 엑셀다운로드 파일(붙여넣기)'!A3:A562,'외운 것 - 엑셀다운로드 파일(붙여넣기)'!C3:C562,0,-1),0)</f>
        <v>0</v>
      </c>
    </row>
    <row r="2445" ht="38.45" customHeight="1">
      <c r="A2445" s="3">
        <v>2444</v>
      </c>
      <c r="B2445" t="s" s="4">
        <v>15333</v>
      </c>
      <c r="C2445" t="s" s="5">
        <v>15334</v>
      </c>
      <c r="D2445" t="s" s="5">
        <v>15285</v>
      </c>
      <c r="E2445" t="s" s="5">
        <v>15335</v>
      </c>
      <c r="F2445" t="s" s="10">
        <v>15336</v>
      </c>
      <c r="G2445" t="s" s="7">
        <v>15337</v>
      </c>
      <c r="H2445" t="s" s="7">
        <v>15338</v>
      </c>
      <c r="I2445" t="str" s="8" cm="1">
        <f t="array" ref="I2445">SUBSTITUTE(H2445,B2445,"(          )")</f>
        <v>The jeep got stuck in the muddy (          ).</v>
      </c>
      <c r="J2445" s="9" cm="1">
        <f t="array" ref="J2445">SUMIF('외운 것 - 엑셀다운로드 파일(붙여넣기)'!A3:A562,A2445,'외운 것 - 엑셀다운로드 파일(붙여넣기)'!D3:D562)</f>
        <v>0</v>
      </c>
      <c r="K2445" s="9" cm="1">
        <f t="array" ref="K2445">_xlfn.COUNTIFS('외운 것 - 엑셀다운로드 파일(붙여넣기)'!A3:A562,A2445,'외운 것 - 엑셀다운로드 파일(붙여넣기)'!D3:D562,0)</f>
        <v>0</v>
      </c>
      <c r="L2445" s="9" cm="1">
        <f t="array" ref="L2445">IF(J2445&gt;=3,_xlfn.XLOOKUP(A2445,'외운 것 - 엑셀다운로드 파일(붙여넣기)'!A3:A562,'외운 것 - 엑셀다운로드 파일(붙여넣기)'!C3:C562,0,-1),0)</f>
        <v>0</v>
      </c>
    </row>
    <row r="2446" ht="38.45" customHeight="1">
      <c r="A2446" s="3">
        <v>2445</v>
      </c>
      <c r="B2446" t="s" s="4">
        <v>15340</v>
      </c>
      <c r="C2446" t="s" s="5">
        <v>15285</v>
      </c>
      <c r="D2446" t="s" s="5">
        <v>15286</v>
      </c>
      <c r="E2446" t="s" s="5">
        <v>15341</v>
      </c>
      <c r="F2446" t="s" s="10">
        <v>15342</v>
      </c>
      <c r="G2446" t="s" s="7">
        <v>15343</v>
      </c>
      <c r="H2446" t="s" s="7">
        <v>15344</v>
      </c>
      <c r="I2446" t="str" s="8" cm="1">
        <f t="array" ref="I2446">SUBSTITUTE(H2446,B2446,"(          )")</f>
        <v>The river tends to (          ) after heavy rain.</v>
      </c>
      <c r="J2446" s="9" cm="1">
        <f t="array" ref="J2446">SUMIF('외운 것 - 엑셀다운로드 파일(붙여넣기)'!A3:A562,A2446,'외운 것 - 엑셀다운로드 파일(붙여넣기)'!D3:D562)</f>
        <v>0</v>
      </c>
      <c r="K2446" s="9" cm="1">
        <f t="array" ref="K2446">_xlfn.COUNTIFS('외운 것 - 엑셀다운로드 파일(붙여넣기)'!A3:A562,A2446,'외운 것 - 엑셀다운로드 파일(붙여넣기)'!D3:D562,0)</f>
        <v>0</v>
      </c>
      <c r="L2446" s="9" cm="1">
        <f t="array" ref="L2446">IF(J2446&gt;=3,_xlfn.XLOOKUP(A2446,'외운 것 - 엑셀다운로드 파일(붙여넣기)'!A3:A562,'외운 것 - 엑셀다운로드 파일(붙여넣기)'!C3:C562,0,-1),0)</f>
        <v>0</v>
      </c>
    </row>
    <row r="2447" ht="23.45" customHeight="1">
      <c r="A2447" s="3">
        <v>2446</v>
      </c>
      <c r="B2447" t="s" s="4">
        <v>15346</v>
      </c>
      <c r="C2447" t="s" s="5">
        <v>15285</v>
      </c>
      <c r="D2447" t="s" s="5">
        <v>15286</v>
      </c>
      <c r="E2447" t="s" s="5">
        <v>15347</v>
      </c>
      <c r="F2447" t="s" s="10">
        <v>15348</v>
      </c>
      <c r="G2447" t="s" s="7">
        <v>15349</v>
      </c>
      <c r="H2447" t="s" s="7">
        <v>15350</v>
      </c>
      <c r="I2447" t="str" s="8" cm="1">
        <f t="array" ref="I2447">SUBSTITUTE(H2447,B2447,"(          )")</f>
        <v>Please (          ) the floor before guests arrive.</v>
      </c>
      <c r="J2447" s="9" cm="1">
        <f t="array" ref="J2447">SUMIF('외운 것 - 엑셀다운로드 파일(붙여넣기)'!A3:A562,A2447,'외운 것 - 엑셀다운로드 파일(붙여넣기)'!D3:D562)</f>
        <v>0</v>
      </c>
      <c r="K2447" s="9" cm="1">
        <f t="array" ref="K2447">_xlfn.COUNTIFS('외운 것 - 엑셀다운로드 파일(붙여넣기)'!A3:A562,A2447,'외운 것 - 엑셀다운로드 파일(붙여넣기)'!D3:D562,0)</f>
        <v>0</v>
      </c>
      <c r="L2447" s="9" cm="1">
        <f t="array" ref="L2447">IF(J2447&gt;=3,_xlfn.XLOOKUP(A2447,'외운 것 - 엑셀다운로드 파일(붙여넣기)'!A3:A562,'외운 것 - 엑셀다운로드 파일(붙여넣기)'!C3:C562,0,-1),0)</f>
        <v>0</v>
      </c>
    </row>
    <row r="2448" ht="38.45" customHeight="1">
      <c r="A2448" s="3">
        <v>2447</v>
      </c>
      <c r="B2448" t="s" s="4">
        <v>15352</v>
      </c>
      <c r="C2448" t="s" s="5">
        <v>15285</v>
      </c>
      <c r="D2448" t="s" s="5">
        <v>15286</v>
      </c>
      <c r="E2448" t="s" s="5">
        <v>15353</v>
      </c>
      <c r="F2448" t="s" s="10">
        <v>15354</v>
      </c>
      <c r="G2448" t="s" s="7">
        <v>15355</v>
      </c>
      <c r="H2448" t="s" s="7">
        <v>15356</v>
      </c>
      <c r="I2448" t="str" s="8" cm="1">
        <f t="array" ref="I2448">SUBSTITUTE(H2448,B2448,"(          )")</f>
        <v>The (          ) response from emergency services saved lives.</v>
      </c>
      <c r="J2448" s="9" cm="1">
        <f t="array" ref="J2448">SUMIF('외운 것 - 엑셀다운로드 파일(붙여넣기)'!A3:A562,A2448,'외운 것 - 엑셀다운로드 파일(붙여넣기)'!D3:D562)</f>
        <v>0</v>
      </c>
      <c r="K2448" s="9" cm="1">
        <f t="array" ref="K2448">_xlfn.COUNTIFS('외운 것 - 엑셀다운로드 파일(붙여넣기)'!A3:A562,A2448,'외운 것 - 엑셀다운로드 파일(붙여넣기)'!D3:D562,0)</f>
        <v>0</v>
      </c>
      <c r="L2448" s="9" cm="1">
        <f t="array" ref="L2448">IF(J2448&gt;=3,_xlfn.XLOOKUP(A2448,'외운 것 - 엑셀다운로드 파일(붙여넣기)'!A3:A562,'외운 것 - 엑셀다운로드 파일(붙여넣기)'!C3:C562,0,-1),0)</f>
        <v>0</v>
      </c>
    </row>
    <row r="2449" ht="38.45" customHeight="1">
      <c r="A2449" s="3">
        <v>2448</v>
      </c>
      <c r="B2449" t="s" s="4">
        <v>15358</v>
      </c>
      <c r="C2449" t="s" s="5">
        <v>15285</v>
      </c>
      <c r="D2449" t="s" s="5">
        <v>15286</v>
      </c>
      <c r="E2449" t="s" s="5">
        <v>15359</v>
      </c>
      <c r="F2449" t="s" s="10">
        <v>15360</v>
      </c>
      <c r="G2449" t="s" s="7">
        <v>15361</v>
      </c>
      <c r="H2449" t="s" s="7">
        <v>15362</v>
      </c>
      <c r="I2449" t="str" s="8" cm="1">
        <f t="array" ref="I2449">SUBSTITUTE(H2449,B2449,"(          )")</f>
        <v>Witnesses must (          ) to tell the truth in court.</v>
      </c>
      <c r="J2449" s="9" cm="1">
        <f t="array" ref="J2449">SUMIF('외운 것 - 엑셀다운로드 파일(붙여넣기)'!A3:A562,A2449,'외운 것 - 엑셀다운로드 파일(붙여넣기)'!D3:D562)</f>
        <v>0</v>
      </c>
      <c r="K2449" s="9" cm="1">
        <f t="array" ref="K2449">_xlfn.COUNTIFS('외운 것 - 엑셀다운로드 파일(붙여넣기)'!A3:A562,A2449,'외운 것 - 엑셀다운로드 파일(붙여넣기)'!D3:D562,0)</f>
        <v>0</v>
      </c>
      <c r="L2449" s="9" cm="1">
        <f t="array" ref="L2449">IF(J2449&gt;=3,_xlfn.XLOOKUP(A2449,'외운 것 - 엑셀다운로드 파일(붙여넣기)'!A3:A562,'외운 것 - 엑셀다운로드 파일(붙여넣기)'!C3:C562,0,-1),0)</f>
        <v>0</v>
      </c>
    </row>
    <row r="2450" ht="23.45" customHeight="1">
      <c r="A2450" s="3">
        <v>2449</v>
      </c>
      <c r="B2450" t="s" s="4">
        <v>15364</v>
      </c>
      <c r="C2450" t="s" s="5">
        <v>15365</v>
      </c>
      <c r="D2450" t="s" s="5">
        <v>15366</v>
      </c>
      <c r="E2450" t="s" s="5">
        <v>15367</v>
      </c>
      <c r="F2450" t="s" s="10">
        <v>15368</v>
      </c>
      <c r="G2450" t="s" s="7">
        <v>15369</v>
      </c>
      <c r="H2450" t="s" s="7">
        <v>15370</v>
      </c>
      <c r="I2450" t="str" s="8" cm="1">
        <f t="array" ref="I2450">SUBSTITUTE(H2450,B2450,"(          )")</f>
        <v>The emergency (          ) is located at the back of the building.</v>
      </c>
      <c r="J2450" s="9" cm="1">
        <f t="array" ref="J2450">SUMIF('외운 것 - 엑셀다운로드 파일(붙여넣기)'!A3:A562,A2450,'외운 것 - 엑셀다운로드 파일(붙여넣기)'!D3:D562)</f>
        <v>0</v>
      </c>
      <c r="K2450" s="9" cm="1">
        <f t="array" ref="K2450">_xlfn.COUNTIFS('외운 것 - 엑셀다운로드 파일(붙여넣기)'!A3:A562,A2450,'외운 것 - 엑셀다운로드 파일(붙여넣기)'!D3:D562,0)</f>
        <v>0</v>
      </c>
      <c r="L2450" s="9" cm="1">
        <f t="array" ref="L2450">IF(J2450&gt;=3,_xlfn.XLOOKUP(A2450,'외운 것 - 엑셀다운로드 파일(붙여넣기)'!A3:A562,'외운 것 - 엑셀다운로드 파일(붙여넣기)'!C3:C562,0,-1),0)</f>
        <v>0</v>
      </c>
    </row>
    <row r="2451" ht="38.45" customHeight="1">
      <c r="A2451" s="3">
        <v>2450</v>
      </c>
      <c r="B2451" t="s" s="4">
        <v>15372</v>
      </c>
      <c r="C2451" t="s" s="5">
        <v>15365</v>
      </c>
      <c r="D2451" t="s" s="5">
        <v>15366</v>
      </c>
      <c r="E2451" t="s" s="5">
        <v>15373</v>
      </c>
      <c r="F2451" t="s" s="10">
        <v>15374</v>
      </c>
      <c r="G2451" t="s" s="7">
        <v>15375</v>
      </c>
      <c r="H2451" t="s" s="7">
        <v>15376</v>
      </c>
      <c r="I2451" t="str" s="8" cm="1">
        <f t="array" ref="I2451">SUBSTITUTE(H2451,B2451,"(          )")</f>
        <v>The botanical garden features (          ) plants from around the world.</v>
      </c>
      <c r="J2451" s="9" cm="1">
        <f t="array" ref="J2451">SUMIF('외운 것 - 엑셀다운로드 파일(붙여넣기)'!A3:A562,A2451,'외운 것 - 엑셀다운로드 파일(붙여넣기)'!D3:D562)</f>
        <v>0</v>
      </c>
      <c r="K2451" s="9" cm="1">
        <f t="array" ref="K2451">_xlfn.COUNTIFS('외운 것 - 엑셀다운로드 파일(붙여넣기)'!A3:A562,A2451,'외운 것 - 엑셀다운로드 파일(붙여넣기)'!D3:D562,0)</f>
        <v>0</v>
      </c>
      <c r="L2451" s="9" cm="1">
        <f t="array" ref="L2451">IF(J2451&gt;=3,_xlfn.XLOOKUP(A2451,'외운 것 - 엑셀다운로드 파일(붙여넣기)'!A3:A562,'외운 것 - 엑셀다운로드 파일(붙여넣기)'!C3:C562,0,-1),0)</f>
        <v>0</v>
      </c>
    </row>
    <row r="2452" ht="38.45" customHeight="1">
      <c r="A2452" s="3">
        <v>2451</v>
      </c>
      <c r="B2452" t="s" s="4">
        <v>15378</v>
      </c>
      <c r="C2452" t="s" s="5">
        <v>15365</v>
      </c>
      <c r="D2452" t="s" s="5">
        <v>15366</v>
      </c>
      <c r="E2452" t="s" s="5">
        <v>15379</v>
      </c>
      <c r="F2452" t="s" s="10">
        <v>15380</v>
      </c>
      <c r="G2452" t="s" s="7">
        <v>15381</v>
      </c>
      <c r="H2452" t="s" s="7">
        <v>15382</v>
      </c>
      <c r="I2452" t="str" s="8" cm="1">
        <f t="array" ref="I2452">SUBSTITUTE(H2452,B2452,"(          )")</f>
        <v>The chef prepared an (          ) meal for the special occasion.</v>
      </c>
      <c r="J2452" s="9" cm="1">
        <f t="array" ref="J2452">SUMIF('외운 것 - 엑셀다운로드 파일(붙여넣기)'!A3:A562,A2452,'외운 것 - 엑셀다운로드 파일(붙여넣기)'!D3:D562)</f>
        <v>0</v>
      </c>
      <c r="K2452" s="9" cm="1">
        <f t="array" ref="K2452">_xlfn.COUNTIFS('외운 것 - 엑셀다운로드 파일(붙여넣기)'!A3:A562,A2452,'외운 것 - 엑셀다운로드 파일(붙여넣기)'!D3:D562,0)</f>
        <v>0</v>
      </c>
      <c r="L2452" s="9" cm="1">
        <f t="array" ref="L2452">IF(J2452&gt;=3,_xlfn.XLOOKUP(A2452,'외운 것 - 엑셀다운로드 파일(붙여넣기)'!A3:A562,'외운 것 - 엑셀다운로드 파일(붙여넣기)'!C3:C562,0,-1),0)</f>
        <v>0</v>
      </c>
    </row>
    <row r="2453" ht="38.45" customHeight="1">
      <c r="A2453" s="3">
        <v>2452</v>
      </c>
      <c r="B2453" t="s" s="4">
        <v>15384</v>
      </c>
      <c r="C2453" t="s" s="5">
        <v>15365</v>
      </c>
      <c r="D2453" t="s" s="5">
        <v>15366</v>
      </c>
      <c r="E2453" t="s" s="5">
        <v>15385</v>
      </c>
      <c r="F2453" t="s" s="10">
        <v>15386</v>
      </c>
      <c r="G2453" t="s" s="7">
        <v>15387</v>
      </c>
      <c r="H2453" t="s" s="7">
        <v>15388</v>
      </c>
      <c r="I2453" t="str" s="8" cm="1">
        <f t="array" ref="I2453">SUBSTITUTE(H2453,B2453,"(          )")</f>
        <v>Travel provides valuable (          ) of different cultures.</v>
      </c>
      <c r="J2453" s="9" cm="1">
        <f t="array" ref="J2453">SUMIF('외운 것 - 엑셀다운로드 파일(붙여넣기)'!A3:A562,A2453,'외운 것 - 엑셀다운로드 파일(붙여넣기)'!D3:D562)</f>
        <v>0</v>
      </c>
      <c r="K2453" s="9" cm="1">
        <f t="array" ref="K2453">_xlfn.COUNTIFS('외운 것 - 엑셀다운로드 파일(붙여넣기)'!A3:A562,A2453,'외운 것 - 엑셀다운로드 파일(붙여넣기)'!D3:D562,0)</f>
        <v>0</v>
      </c>
      <c r="L2453" s="9" cm="1">
        <f t="array" ref="L2453">IF(J2453&gt;=3,_xlfn.XLOOKUP(A2453,'외운 것 - 엑셀다운로드 파일(붙여넣기)'!A3:A562,'외운 것 - 엑셀다운로드 파일(붙여넣기)'!C3:C562,0,-1),0)</f>
        <v>0</v>
      </c>
    </row>
    <row r="2454" ht="38.45" customHeight="1">
      <c r="A2454" s="3">
        <v>2453</v>
      </c>
      <c r="B2454" t="s" s="4">
        <v>15390</v>
      </c>
      <c r="C2454" t="s" s="5">
        <v>15365</v>
      </c>
      <c r="D2454" t="s" s="5">
        <v>15366</v>
      </c>
      <c r="E2454" t="s" s="5">
        <v>15391</v>
      </c>
      <c r="F2454" t="s" s="10">
        <v>15392</v>
      </c>
      <c r="G2454" t="s" s="7">
        <v>15393</v>
      </c>
      <c r="H2454" t="s" s="7">
        <v>15394</v>
      </c>
      <c r="I2454" t="str" s="8" cm="1">
        <f t="array" ref="I2454">SUBSTITUTE(H2454,B2454,"(          )")</f>
        <v>The scientist conducts (          )s in the laboratory.</v>
      </c>
      <c r="J2454" s="9" cm="1">
        <f t="array" ref="J2454">SUMIF('외운 것 - 엑셀다운로드 파일(붙여넣기)'!A3:A562,A2454,'외운 것 - 엑셀다운로드 파일(붙여넣기)'!D3:D562)</f>
        <v>0</v>
      </c>
      <c r="K2454" s="9" cm="1">
        <f t="array" ref="K2454">_xlfn.COUNTIFS('외운 것 - 엑셀다운로드 파일(붙여넣기)'!A3:A562,A2454,'외운 것 - 엑셀다운로드 파일(붙여넣기)'!D3:D562,0)</f>
        <v>0</v>
      </c>
      <c r="L2454" s="9" cm="1">
        <f t="array" ref="L2454">IF(J2454&gt;=3,_xlfn.XLOOKUP(A2454,'외운 것 - 엑셀다운로드 파일(붙여넣기)'!A3:A562,'외운 것 - 엑셀다운로드 파일(붙여넣기)'!C3:C562,0,-1),0)</f>
        <v>0</v>
      </c>
    </row>
    <row r="2455" ht="23.45" customHeight="1">
      <c r="A2455" s="3">
        <v>2454</v>
      </c>
      <c r="B2455" t="s" s="4">
        <v>15396</v>
      </c>
      <c r="C2455" t="s" s="5">
        <v>15365</v>
      </c>
      <c r="D2455" t="s" s="5">
        <v>15366</v>
      </c>
      <c r="E2455" t="s" s="5">
        <v>15397</v>
      </c>
      <c r="F2455" t="s" s="10">
        <v>15398</v>
      </c>
      <c r="G2455" t="s" s="7">
        <v>15399</v>
      </c>
      <c r="H2455" t="s" s="7">
        <v>15400</v>
      </c>
      <c r="I2455" t="str" s="8" cm="1">
        <f t="array" ref="I2455">SUBSTITUTE(H2455,B2455,"(          )")</f>
        <v>The company will (          ) the new strategy next quarter.</v>
      </c>
      <c r="J2455" s="9" cm="1">
        <f t="array" ref="J2455">SUMIF('외운 것 - 엑셀다운로드 파일(붙여넣기)'!A3:A562,A2455,'외운 것 - 엑셀다운로드 파일(붙여넣기)'!D3:D562)</f>
        <v>0</v>
      </c>
      <c r="K2455" s="9" cm="1">
        <f t="array" ref="K2455">_xlfn.COUNTIFS('외운 것 - 엑셀다운로드 파일(붙여넣기)'!A3:A562,A2455,'외운 것 - 엑셀다운로드 파일(붙여넣기)'!D3:D562,0)</f>
        <v>0</v>
      </c>
      <c r="L2455" s="9" cm="1">
        <f t="array" ref="L2455">IF(J2455&gt;=3,_xlfn.XLOOKUP(A2455,'외운 것 - 엑셀다운로드 파일(붙여넣기)'!A3:A562,'외운 것 - 엑셀다운로드 파일(붙여넣기)'!C3:C562,0,-1),0)</f>
        <v>0</v>
      </c>
    </row>
    <row r="2456" ht="38.45" customHeight="1">
      <c r="A2456" s="3">
        <v>2455</v>
      </c>
      <c r="B2456" t="s" s="4">
        <v>15402</v>
      </c>
      <c r="C2456" t="s" s="5">
        <v>15365</v>
      </c>
      <c r="D2456" t="s" s="5">
        <v>15366</v>
      </c>
      <c r="E2456" t="s" s="5">
        <v>15403</v>
      </c>
      <c r="F2456" t="s" s="10">
        <v>15404</v>
      </c>
      <c r="G2456" t="s" s="7">
        <v>15405</v>
      </c>
      <c r="H2456" t="s" s="7">
        <v>15406</v>
      </c>
      <c r="I2456" t="str" s="8" cm="1">
        <f t="array" ref="I2456">SUBSTITUTE(H2456,B2456,"(          )")</f>
        <v>She is an (          ) in ancient languages.</v>
      </c>
      <c r="J2456" s="9" cm="1">
        <f t="array" ref="J2456">SUMIF('외운 것 - 엑셀다운로드 파일(붙여넣기)'!A3:A562,A2456,'외운 것 - 엑셀다운로드 파일(붙여넣기)'!D3:D562)</f>
        <v>0</v>
      </c>
      <c r="K2456" s="9" cm="1">
        <f t="array" ref="K2456">_xlfn.COUNTIFS('외운 것 - 엑셀다운로드 파일(붙여넣기)'!A3:A562,A2456,'외운 것 - 엑셀다운로드 파일(붙여넣기)'!D3:D562,0)</f>
        <v>0</v>
      </c>
      <c r="L2456" s="9" cm="1">
        <f t="array" ref="L2456">IF(J2456&gt;=3,_xlfn.XLOOKUP(A2456,'외운 것 - 엑셀다운로드 파일(붙여넣기)'!A3:A562,'외운 것 - 엑셀다운로드 파일(붙여넣기)'!C3:C562,0,-1),0)</f>
        <v>0</v>
      </c>
    </row>
    <row r="2457" ht="36.4" customHeight="1">
      <c r="A2457" s="3">
        <v>2456</v>
      </c>
      <c r="B2457" t="s" s="4">
        <v>15408</v>
      </c>
      <c r="C2457" t="s" s="5">
        <v>15409</v>
      </c>
      <c r="D2457" t="s" s="5">
        <v>15365</v>
      </c>
      <c r="E2457" t="s" s="5">
        <v>15410</v>
      </c>
      <c r="F2457" t="s" s="10">
        <v>15411</v>
      </c>
      <c r="G2457" t="s" s="7">
        <v>15412</v>
      </c>
      <c r="H2457" t="s" s="7">
        <v>15413</v>
      </c>
      <c r="I2457" t="str" s="8" cm="1">
        <f t="array" ref="I2457">SUBSTITUTE(H2457,B2457,"(          )")</f>
        <v>His (          ) in computer programming is impressive.</v>
      </c>
      <c r="J2457" s="9" cm="1">
        <f t="array" ref="J2457">SUMIF('외운 것 - 엑셀다운로드 파일(붙여넣기)'!A3:A562,A2457,'외운 것 - 엑셀다운로드 파일(붙여넣기)'!D3:D562)</f>
        <v>0</v>
      </c>
      <c r="K2457" s="9" cm="1">
        <f t="array" ref="K2457">_xlfn.COUNTIFS('외운 것 - 엑셀다운로드 파일(붙여넣기)'!A3:A562,A2457,'외운 것 - 엑셀다운로드 파일(붙여넣기)'!D3:D562,0)</f>
        <v>0</v>
      </c>
      <c r="L2457" s="9" cm="1">
        <f t="array" ref="L2457">IF(J2457&gt;=3,_xlfn.XLOOKUP(A2457,'외운 것 - 엑셀다운로드 파일(붙여넣기)'!A3:A562,'외운 것 - 엑셀다운로드 파일(붙여넣기)'!C3:C562,0,-1),0)</f>
        <v>0</v>
      </c>
    </row>
    <row r="2458" ht="38.45" customHeight="1">
      <c r="A2458" s="3">
        <v>2457</v>
      </c>
      <c r="B2458" t="s" s="4">
        <v>15415</v>
      </c>
      <c r="C2458" t="s" s="5">
        <v>15365</v>
      </c>
      <c r="D2458" t="s" s="5">
        <v>15366</v>
      </c>
      <c r="E2458" t="s" s="5">
        <v>15416</v>
      </c>
      <c r="F2458" t="s" s="10">
        <v>15417</v>
      </c>
      <c r="G2458" t="s" s="7">
        <v>15418</v>
      </c>
      <c r="H2458" t="s" s="7">
        <v>15419</v>
      </c>
      <c r="I2458" t="str" s="8" cm="1">
        <f t="array" ref="I2458">SUBSTITUTE(H2458,B2458,"(          )")</f>
        <v>The instructions were clear and (          ).</v>
      </c>
      <c r="J2458" s="9" cm="1">
        <f t="array" ref="J2458">SUMIF('외운 것 - 엑셀다운로드 파일(붙여넣기)'!A3:A562,A2458,'외운 것 - 엑셀다운로드 파일(붙여넣기)'!D3:D562)</f>
        <v>0</v>
      </c>
      <c r="K2458" s="9" cm="1">
        <f t="array" ref="K2458">_xlfn.COUNTIFS('외운 것 - 엑셀다운로드 파일(붙여넣기)'!A3:A562,A2458,'외운 것 - 엑셀다운로드 파일(붙여넣기)'!D3:D562,0)</f>
        <v>0</v>
      </c>
      <c r="L2458" s="9" cm="1">
        <f t="array" ref="L2458">IF(J2458&gt;=3,_xlfn.XLOOKUP(A2458,'외운 것 - 엑셀다운로드 파일(붙여넣기)'!A3:A562,'외운 것 - 엑셀다운로드 파일(붙여넣기)'!C3:C562,0,-1),0)</f>
        <v>0</v>
      </c>
    </row>
    <row r="2459" ht="38.45" customHeight="1">
      <c r="A2459" s="3">
        <v>2458</v>
      </c>
      <c r="B2459" t="s" s="4">
        <v>15421</v>
      </c>
      <c r="C2459" t="s" s="5">
        <v>15365</v>
      </c>
      <c r="D2459" t="s" s="5">
        <v>15366</v>
      </c>
      <c r="E2459" t="s" s="5">
        <v>15422</v>
      </c>
      <c r="F2459" t="s" s="10">
        <v>15423</v>
      </c>
      <c r="G2459" t="s" s="7">
        <v>15424</v>
      </c>
      <c r="H2459" t="s" s="7">
        <v>15425</v>
      </c>
      <c r="I2459" t="str" s="8" cm="1">
        <f t="array" ref="I2459">SUBSTITUTE(H2459,B2459,"(          )")</f>
        <v>The company (          )s natural resources responsibly.</v>
      </c>
      <c r="J2459" s="9" cm="1">
        <f t="array" ref="J2459">SUMIF('외운 것 - 엑셀다운로드 파일(붙여넣기)'!A3:A562,A2459,'외운 것 - 엑셀다운로드 파일(붙여넣기)'!D3:D562)</f>
        <v>0</v>
      </c>
      <c r="K2459" s="9" cm="1">
        <f t="array" ref="K2459">_xlfn.COUNTIFS('외운 것 - 엑셀다운로드 파일(붙여넣기)'!A3:A562,A2459,'외운 것 - 엑셀다운로드 파일(붙여넣기)'!D3:D562,0)</f>
        <v>0</v>
      </c>
      <c r="L2459" s="9" cm="1">
        <f t="array" ref="L2459">IF(J2459&gt;=3,_xlfn.XLOOKUP(A2459,'외운 것 - 엑셀다운로드 파일(붙여넣기)'!A3:A562,'외운 것 - 엑셀다운로드 파일(붙여넣기)'!C3:C562,0,-1),0)</f>
        <v>0</v>
      </c>
    </row>
    <row r="2460" ht="38.45" customHeight="1">
      <c r="A2460" s="3">
        <v>2459</v>
      </c>
      <c r="B2460" t="s" s="4">
        <v>15427</v>
      </c>
      <c r="C2460" t="s" s="5">
        <v>15365</v>
      </c>
      <c r="D2460" t="s" s="5">
        <v>15366</v>
      </c>
      <c r="E2460" t="s" s="5">
        <v>15428</v>
      </c>
      <c r="F2460" t="s" s="10">
        <v>15429</v>
      </c>
      <c r="G2460" t="s" s="7">
        <v>15430</v>
      </c>
      <c r="H2460" t="s" s="7">
        <v>15431</v>
      </c>
      <c r="I2460" t="str" s="8" cm="1">
        <f t="array" ref="I2460">SUBSTITUTE(H2460,B2460,"(          )")</f>
        <v>Critics (          ) the virtues of the award-winning film.</v>
      </c>
      <c r="J2460" s="9" cm="1">
        <f t="array" ref="J2460">SUMIF('외운 것 - 엑셀다운로드 파일(붙여넣기)'!A3:A562,A2460,'외운 것 - 엑셀다운로드 파일(붙여넣기)'!D3:D562)</f>
        <v>0</v>
      </c>
      <c r="K2460" s="9" cm="1">
        <f t="array" ref="K2460">_xlfn.COUNTIFS('외운 것 - 엑셀다운로드 파일(붙여넣기)'!A3:A562,A2460,'외운 것 - 엑셀다운로드 파일(붙여넣기)'!D3:D562,0)</f>
        <v>0</v>
      </c>
      <c r="L2460" s="9" cm="1">
        <f t="array" ref="L2460">IF(J2460&gt;=3,_xlfn.XLOOKUP(A2460,'외운 것 - 엑셀다운로드 파일(붙여넣기)'!A3:A562,'외운 것 - 엑셀다운로드 파일(붙여넣기)'!C3:C562,0,-1),0)</f>
        <v>0</v>
      </c>
    </row>
    <row r="2461" ht="38.45" customHeight="1">
      <c r="A2461" s="3">
        <v>2460</v>
      </c>
      <c r="B2461" t="s" s="4">
        <v>15433</v>
      </c>
      <c r="C2461" t="s" s="5">
        <v>15365</v>
      </c>
      <c r="D2461" t="s" s="5">
        <v>15366</v>
      </c>
      <c r="E2461" t="s" s="5">
        <v>15434</v>
      </c>
      <c r="F2461" t="s" s="10">
        <v>15435</v>
      </c>
      <c r="G2461" t="s" s="7">
        <v>15436</v>
      </c>
      <c r="H2461" t="s" s="7">
        <v>15437</v>
      </c>
      <c r="I2461" t="str" s="8" cm="1">
        <f t="array" ref="I2461">SUBSTITUTE(H2461,B2461,"(          )")</f>
        <v>Don't (          ) the difficulties; they are manageable.</v>
      </c>
      <c r="J2461" s="9" cm="1">
        <f t="array" ref="J2461">SUMIF('외운 것 - 엑셀다운로드 파일(붙여넣기)'!A3:A562,A2461,'외운 것 - 엑셀다운로드 파일(붙여넣기)'!D3:D562)</f>
        <v>0</v>
      </c>
      <c r="K2461" s="9" cm="1">
        <f t="array" ref="K2461">_xlfn.COUNTIFS('외운 것 - 엑셀다운로드 파일(붙여넣기)'!A3:A562,A2461,'외운 것 - 엑셀다운로드 파일(붙여넣기)'!D3:D562,0)</f>
        <v>0</v>
      </c>
      <c r="L2461" s="9" cm="1">
        <f t="array" ref="L2461">IF(J2461&gt;=3,_xlfn.XLOOKUP(A2461,'외운 것 - 엑셀다운로드 파일(붙여넣기)'!A3:A562,'외운 것 - 엑셀다운로드 파일(붙여넣기)'!C3:C562,0,-1),0)</f>
        <v>0</v>
      </c>
    </row>
    <row r="2462" ht="50.45" customHeight="1">
      <c r="A2462" s="3">
        <v>2461</v>
      </c>
      <c r="B2462" t="s" s="4">
        <v>15439</v>
      </c>
      <c r="C2462" t="s" s="5">
        <v>15440</v>
      </c>
      <c r="D2462" t="s" s="5">
        <v>15365</v>
      </c>
      <c r="E2462" t="s" s="5">
        <v>15441</v>
      </c>
      <c r="F2462" t="s" s="10">
        <v>15442</v>
      </c>
      <c r="G2462" t="s" s="7">
        <v>15443</v>
      </c>
      <c r="H2462" t="s" s="7">
        <v>15444</v>
      </c>
      <c r="I2462" t="str" s="8" cm="1">
        <f t="array" ref="I2462">SUBSTITUTE(H2462,B2462,"(          )")</f>
        <v>His claim of walking ten miles was an (          ).</v>
      </c>
      <c r="J2462" s="9" cm="1">
        <f t="array" ref="J2462">SUMIF('외운 것 - 엑셀다운로드 파일(붙여넣기)'!A3:A562,A2462,'외운 것 - 엑셀다운로드 파일(붙여넣기)'!D3:D562)</f>
        <v>0</v>
      </c>
      <c r="K2462" s="9" cm="1">
        <f t="array" ref="K2462">_xlfn.COUNTIFS('외운 것 - 엑셀다운로드 파일(붙여넣기)'!A3:A562,A2462,'외운 것 - 엑셀다운로드 파일(붙여넣기)'!D3:D562,0)</f>
        <v>0</v>
      </c>
      <c r="L2462" s="9" cm="1">
        <f t="array" ref="L2462">IF(J2462&gt;=3,_xlfn.XLOOKUP(A2462,'외운 것 - 엑셀다운로드 파일(붙여넣기)'!A3:A562,'외운 것 - 엑셀다운로드 파일(붙여넣기)'!C3:C562,0,-1),0)</f>
        <v>0</v>
      </c>
    </row>
    <row r="2463" ht="38.45" customHeight="1">
      <c r="A2463" s="3">
        <v>2462</v>
      </c>
      <c r="B2463" t="s" s="4">
        <v>15446</v>
      </c>
      <c r="C2463" t="s" s="5">
        <v>15365</v>
      </c>
      <c r="D2463" t="s" s="5">
        <v>15366</v>
      </c>
      <c r="E2463" t="s" s="5">
        <v>15447</v>
      </c>
      <c r="F2463" t="s" s="10">
        <v>15448</v>
      </c>
      <c r="G2463" t="s" s="7">
        <v>15449</v>
      </c>
      <c r="H2463" t="s" s="7">
        <v>15450</v>
      </c>
      <c r="I2463" t="str" s="8" cm="1">
        <f t="array" ref="I2463">SUBSTITUTE(H2463,B2463,"(          )")</f>
        <v>The technology has shown (          ) growth over the past decade.</v>
      </c>
      <c r="J2463" s="9" cm="1">
        <f t="array" ref="J2463">SUMIF('외운 것 - 엑셀다운로드 파일(붙여넣기)'!A3:A562,A2463,'외운 것 - 엑셀다운로드 파일(붙여넣기)'!D3:D562)</f>
        <v>0</v>
      </c>
      <c r="K2463" s="9" cm="1">
        <f t="array" ref="K2463">_xlfn.COUNTIFS('외운 것 - 엑셀다운로드 파일(붙여넣기)'!A3:A562,A2463,'외운 것 - 엑셀다운로드 파일(붙여넣기)'!D3:D562,0)</f>
        <v>0</v>
      </c>
      <c r="L2463" s="9" cm="1">
        <f t="array" ref="L2463">IF(J2463&gt;=3,_xlfn.XLOOKUP(A2463,'외운 것 - 엑셀다운로드 파일(붙여넣기)'!A3:A562,'외운 것 - 엑셀다운로드 파일(붙여넣기)'!C3:C562,0,-1),0)</f>
        <v>0</v>
      </c>
    </row>
    <row r="2464" ht="38.45" customHeight="1">
      <c r="A2464" s="3">
        <v>2463</v>
      </c>
      <c r="B2464" t="s" s="4">
        <v>15452</v>
      </c>
      <c r="C2464" t="s" s="5">
        <v>15365</v>
      </c>
      <c r="D2464" t="s" s="5">
        <v>15366</v>
      </c>
      <c r="E2464" t="s" s="5">
        <v>15453</v>
      </c>
      <c r="F2464" t="s" s="10">
        <v>15454</v>
      </c>
      <c r="G2464" t="s" s="7">
        <v>15455</v>
      </c>
      <c r="H2464" t="s" s="7">
        <v>15456</v>
      </c>
      <c r="I2464" t="str" s="8" cm="1">
        <f t="array" ref="I2464">SUBSTITUTE(H2464,B2464,"(          )")</f>
        <v>The bomb could (          ) if mishandled.</v>
      </c>
      <c r="J2464" s="9" cm="1">
        <f t="array" ref="J2464">SUMIF('외운 것 - 엑셀다운로드 파일(붙여넣기)'!A3:A562,A2464,'외운 것 - 엑셀다운로드 파일(붙여넣기)'!D3:D562)</f>
        <v>0</v>
      </c>
      <c r="K2464" s="9" cm="1">
        <f t="array" ref="K2464">_xlfn.COUNTIFS('외운 것 - 엑셀다운로드 파일(붙여넣기)'!A3:A562,A2464,'외운 것 - 엑셀다운로드 파일(붙여넣기)'!D3:D562,0)</f>
        <v>0</v>
      </c>
      <c r="L2464" s="9" cm="1">
        <f t="array" ref="L2464">IF(J2464&gt;=3,_xlfn.XLOOKUP(A2464,'외운 것 - 엑셀다운로드 파일(붙여넣기)'!A3:A562,'외운 것 - 엑셀다운로드 파일(붙여넣기)'!C3:C562,0,-1),0)</f>
        <v>0</v>
      </c>
    </row>
    <row r="2465" ht="38.45" customHeight="1">
      <c r="A2465" s="3">
        <v>2464</v>
      </c>
      <c r="B2465" t="s" s="4">
        <v>15458</v>
      </c>
      <c r="C2465" t="s" s="5">
        <v>15365</v>
      </c>
      <c r="D2465" t="s" s="5">
        <v>15366</v>
      </c>
      <c r="E2465" t="s" s="5">
        <v>15459</v>
      </c>
      <c r="F2465" t="s" s="10">
        <v>15460</v>
      </c>
      <c r="G2465" t="s" s="7">
        <v>15461</v>
      </c>
      <c r="H2465" t="s" s="7">
        <v>15462</v>
      </c>
      <c r="I2465" t="str" s="8" cm="1">
        <f t="array" ref="I2465">SUBSTITUTE(H2465,B2465,"(          )")</f>
        <v>Criminals attempted to (          ) money from the businessman.</v>
      </c>
      <c r="J2465" s="9" cm="1">
        <f t="array" ref="J2465">SUMIF('외운 것 - 엑셀다운로드 파일(붙여넣기)'!A3:A562,A2465,'외운 것 - 엑셀다운로드 파일(붙여넣기)'!D3:D562)</f>
        <v>0</v>
      </c>
      <c r="K2465" s="9" cm="1">
        <f t="array" ref="K2465">_xlfn.COUNTIFS('외운 것 - 엑셀다운로드 파일(붙여넣기)'!A3:A562,A2465,'외운 것 - 엑셀다운로드 파일(붙여넣기)'!D3:D562,0)</f>
        <v>0</v>
      </c>
      <c r="L2465" s="9" cm="1">
        <f t="array" ref="L2465">IF(J2465&gt;=3,_xlfn.XLOOKUP(A2465,'외운 것 - 엑셀다운로드 파일(붙여넣기)'!A3:A562,'외운 것 - 엑셀다운로드 파일(붙여넣기)'!C3:C562,0,-1),0)</f>
        <v>0</v>
      </c>
    </row>
    <row r="2466" ht="23.45" customHeight="1">
      <c r="A2466" s="3">
        <v>2465</v>
      </c>
      <c r="B2466" t="s" s="4">
        <v>15464</v>
      </c>
      <c r="C2466" t="s" s="5">
        <v>15365</v>
      </c>
      <c r="D2466" t="s" s="5">
        <v>15366</v>
      </c>
      <c r="E2466" t="s" s="5">
        <v>15465</v>
      </c>
      <c r="F2466" t="s" s="10">
        <v>15466</v>
      </c>
      <c r="G2466" t="s" s="7">
        <v>15467</v>
      </c>
      <c r="H2466" t="s" s="7">
        <v>15468</v>
      </c>
      <c r="I2466" t="str" s="8" cm="1">
        <f t="array" ref="I2466">SUBSTITUTE(H2466,B2466,"(          )")</f>
        <v>The former dictator lives in (          ) in a neighboring country.</v>
      </c>
      <c r="J2466" s="9" cm="1">
        <f t="array" ref="J2466">SUMIF('외운 것 - 엑셀다운로드 파일(붙여넣기)'!A3:A562,A2466,'외운 것 - 엑셀다운로드 파일(붙여넣기)'!D3:D562)</f>
        <v>0</v>
      </c>
      <c r="K2466" s="9" cm="1">
        <f t="array" ref="K2466">_xlfn.COUNTIFS('외운 것 - 엑셀다운로드 파일(붙여넣기)'!A3:A562,A2466,'외운 것 - 엑셀다운로드 파일(붙여넣기)'!D3:D562,0)</f>
        <v>0</v>
      </c>
      <c r="L2466" s="9" cm="1">
        <f t="array" ref="L2466">IF(J2466&gt;=3,_xlfn.XLOOKUP(A2466,'외운 것 - 엑셀다운로드 파일(붙여넣기)'!A3:A562,'외운 것 - 엑셀다운로드 파일(붙여넣기)'!C3:C562,0,-1),0)</f>
        <v>0</v>
      </c>
    </row>
    <row r="2467" ht="38.45" customHeight="1">
      <c r="A2467" s="3">
        <v>2466</v>
      </c>
      <c r="B2467" t="s" s="4">
        <v>15470</v>
      </c>
      <c r="C2467" t="s" s="5">
        <v>15365</v>
      </c>
      <c r="D2467" t="s" s="5">
        <v>15366</v>
      </c>
      <c r="E2467" t="s" s="5">
        <v>15471</v>
      </c>
      <c r="F2467" t="s" s="10">
        <v>15472</v>
      </c>
      <c r="G2467" t="s" s="7">
        <v>15473</v>
      </c>
      <c r="H2467" t="s" s="7">
        <v>15474</v>
      </c>
      <c r="I2467" t="str" s="8" cm="1">
        <f t="array" ref="I2467">SUBSTITUTE(H2467,B2467,"(          )")</f>
        <v>Long hours of work (          ) even the strongest person.</v>
      </c>
      <c r="J2467" s="9" cm="1">
        <f t="array" ref="J2467">SUMIF('외운 것 - 엑셀다운로드 파일(붙여넣기)'!A3:A562,A2467,'외운 것 - 엑셀다운로드 파일(붙여넣기)'!D3:D562)</f>
        <v>0</v>
      </c>
      <c r="K2467" s="9" cm="1">
        <f t="array" ref="K2467">_xlfn.COUNTIFS('외운 것 - 엑셀다운로드 파일(붙여넣기)'!A3:A562,A2467,'외운 것 - 엑셀다운로드 파일(붙여넣기)'!D3:D562,0)</f>
        <v>0</v>
      </c>
      <c r="L2467" s="9" cm="1">
        <f t="array" ref="L2467">IF(J2467&gt;=3,_xlfn.XLOOKUP(A2467,'외운 것 - 엑셀다운로드 파일(붙여넣기)'!A3:A562,'외운 것 - 엑셀다운로드 파일(붙여넣기)'!C3:C562,0,-1),0)</f>
        <v>0</v>
      </c>
    </row>
    <row r="2468" ht="36.4" customHeight="1">
      <c r="A2468" s="3">
        <v>2467</v>
      </c>
      <c r="B2468" t="s" s="4">
        <v>15476</v>
      </c>
      <c r="C2468" t="s" s="5">
        <v>15477</v>
      </c>
      <c r="D2468" t="s" s="5">
        <v>15365</v>
      </c>
      <c r="E2468" t="s" s="5">
        <v>15478</v>
      </c>
      <c r="F2468" t="s" s="10">
        <v>15479</v>
      </c>
      <c r="G2468" t="s" s="7">
        <v>15480</v>
      </c>
      <c r="H2468" t="s" s="7">
        <v>15481</v>
      </c>
      <c r="I2468" t="str" s="8" cm="1">
        <f t="array" ref="I2468">SUBSTITUTE(H2468,B2468,"(          )")</f>
        <v>The marathon was physically (          ).</v>
      </c>
      <c r="J2468" s="9" cm="1">
        <f t="array" ref="J2468">SUMIF('외운 것 - 엑셀다운로드 파일(붙여넣기)'!A3:A562,A2468,'외운 것 - 엑셀다운로드 파일(붙여넣기)'!D3:D562)</f>
        <v>0</v>
      </c>
      <c r="K2468" s="9" cm="1">
        <f t="array" ref="K2468">_xlfn.COUNTIFS('외운 것 - 엑셀다운로드 파일(붙여넣기)'!A3:A562,A2468,'외운 것 - 엑셀다운로드 파일(붙여넣기)'!D3:D562,0)</f>
        <v>0</v>
      </c>
      <c r="L2468" s="9" cm="1">
        <f t="array" ref="L2468">IF(J2468&gt;=3,_xlfn.XLOOKUP(A2468,'외운 것 - 엑셀다운로드 파일(붙여넣기)'!A3:A562,'외운 것 - 엑셀다운로드 파일(붙여넣기)'!C3:C562,0,-1),0)</f>
        <v>0</v>
      </c>
    </row>
    <row r="2469" ht="36.4" customHeight="1">
      <c r="A2469" s="3">
        <v>2468</v>
      </c>
      <c r="B2469" t="s" s="4">
        <v>15483</v>
      </c>
      <c r="C2469" t="s" s="5">
        <v>15477</v>
      </c>
      <c r="D2469" t="s" s="5">
        <v>15365</v>
      </c>
      <c r="E2469" t="s" s="5">
        <v>15484</v>
      </c>
      <c r="F2469" t="s" s="10">
        <v>15485</v>
      </c>
      <c r="G2469" t="s" s="7">
        <v>15486</v>
      </c>
      <c r="H2469" t="s" s="7">
        <v>15487</v>
      </c>
      <c r="I2469" t="str" s="8" cm="1">
        <f t="array" ref="I2469">SUBSTITUTE(H2469,B2469,"(          )")</f>
        <v>After the long hike, they were completely (          ).</v>
      </c>
      <c r="J2469" s="9" cm="1">
        <f t="array" ref="J2469">SUMIF('외운 것 - 엑셀다운로드 파일(붙여넣기)'!A3:A562,A2469,'외운 것 - 엑셀다운로드 파일(붙여넣기)'!D3:D562)</f>
        <v>0</v>
      </c>
      <c r="K2469" s="9" cm="1">
        <f t="array" ref="K2469">_xlfn.COUNTIFS('외운 것 - 엑셀다운로드 파일(붙여넣기)'!A3:A562,A2469,'외운 것 - 엑셀다운로드 파일(붙여넣기)'!D3:D562,0)</f>
        <v>0</v>
      </c>
      <c r="L2469" s="9" cm="1">
        <f t="array" ref="L2469">IF(J2469&gt;=3,_xlfn.XLOOKUP(A2469,'외운 것 - 엑셀다운로드 파일(붙여넣기)'!A3:A562,'외운 것 - 엑셀다운로드 파일(붙여넣기)'!C3:C562,0,-1),0)</f>
        <v>0</v>
      </c>
    </row>
    <row r="2470" ht="38.45" customHeight="1">
      <c r="A2470" s="3">
        <v>2469</v>
      </c>
      <c r="B2470" t="s" s="4">
        <v>15489</v>
      </c>
      <c r="C2470" t="s" s="5">
        <v>15365</v>
      </c>
      <c r="D2470" t="s" s="5">
        <v>15366</v>
      </c>
      <c r="E2470" t="s" s="5">
        <v>15490</v>
      </c>
      <c r="F2470" t="s" s="10">
        <v>15491</v>
      </c>
      <c r="G2470" t="s" s="7">
        <v>15492</v>
      </c>
      <c r="H2470" t="s" s="7">
        <v>15493</v>
      </c>
      <c r="I2470" t="str" s="8" cm="1">
        <f t="array" ref="I2470">SUBSTITUTE(H2470,B2470,"(          )")</f>
        <v>Students are (          ) from paying the full fare.</v>
      </c>
      <c r="J2470" s="9" cm="1">
        <f t="array" ref="J2470">SUMIF('외운 것 - 엑셀다운로드 파일(붙여넣기)'!A3:A562,A2470,'외운 것 - 엑셀다운로드 파일(붙여넣기)'!D3:D562)</f>
        <v>0</v>
      </c>
      <c r="K2470" s="9" cm="1">
        <f t="array" ref="K2470">_xlfn.COUNTIFS('외운 것 - 엑셀다운로드 파일(붙여넣기)'!A3:A562,A2470,'외운 것 - 엑셀다운로드 파일(붙여넣기)'!D3:D562,0)</f>
        <v>0</v>
      </c>
      <c r="L2470" s="9" cm="1">
        <f t="array" ref="L2470">IF(J2470&gt;=3,_xlfn.XLOOKUP(A2470,'외운 것 - 엑셀다운로드 파일(붙여넣기)'!A3:A562,'외운 것 - 엑셀다운로드 파일(붙여넣기)'!C3:C562,0,-1),0)</f>
        <v>0</v>
      </c>
    </row>
    <row r="2471" ht="23.45" customHeight="1">
      <c r="A2471" s="3">
        <v>2470</v>
      </c>
      <c r="B2471" t="s" s="4">
        <v>15495</v>
      </c>
      <c r="C2471" t="s" s="5">
        <v>15495</v>
      </c>
      <c r="D2471" t="s" s="5">
        <v>15496</v>
      </c>
      <c r="E2471" t="s" s="5">
        <v>15497</v>
      </c>
      <c r="F2471" t="s" s="10">
        <v>15498</v>
      </c>
      <c r="G2471" t="s" s="7">
        <v>15499</v>
      </c>
      <c r="H2471" t="s" s="7">
        <v>15500</v>
      </c>
      <c r="I2471" t="str" s="8" cm="1">
        <f t="array" ref="I2471">SUBSTITUTE(H2471,B2471,"(          )")</f>
        <v>Would you like (          ) cheese on your pizza?</v>
      </c>
      <c r="J2471" s="9" cm="1">
        <f t="array" ref="J2471">SUMIF('외운 것 - 엑셀다운로드 파일(붙여넣기)'!A3:A562,A2471,'외운 것 - 엑셀다운로드 파일(붙여넣기)'!D3:D562)</f>
        <v>0</v>
      </c>
      <c r="K2471" s="9" cm="1">
        <f t="array" ref="K2471">_xlfn.COUNTIFS('외운 것 - 엑셀다운로드 파일(붙여넣기)'!A3:A562,A2471,'외운 것 - 엑셀다운로드 파일(붙여넣기)'!D3:D562,0)</f>
        <v>0</v>
      </c>
      <c r="L2471" s="9" cm="1">
        <f t="array" ref="L2471">IF(J2471&gt;=3,_xlfn.XLOOKUP(A2471,'외운 것 - 엑셀다운로드 파일(붙여넣기)'!A3:A562,'외운 것 - 엑셀다운로드 파일(붙여넣기)'!C3:C562,0,-1),0)</f>
        <v>0</v>
      </c>
    </row>
    <row r="2472" ht="38.45" customHeight="1">
      <c r="A2472" s="3">
        <v>2471</v>
      </c>
      <c r="B2472" t="s" s="4">
        <v>15502</v>
      </c>
      <c r="C2472" t="s" s="5">
        <v>15495</v>
      </c>
      <c r="D2472" t="s" s="5">
        <v>15496</v>
      </c>
      <c r="E2472" t="s" s="5">
        <v>15503</v>
      </c>
      <c r="F2472" t="s" s="10">
        <v>15504</v>
      </c>
      <c r="G2472" t="s" s="7">
        <v>15505</v>
      </c>
      <c r="H2472" t="s" s="7">
        <v>15506</v>
      </c>
      <c r="I2472" t="str" s="8" cm="1">
        <f t="array" ref="I2472">SUBSTITUTE(H2472,B2472,"(          )")</f>
        <v>Students participate in various (          ) activities after school.</v>
      </c>
      <c r="J2472" s="9" cm="1">
        <f t="array" ref="J2472">SUMIF('외운 것 - 엑셀다운로드 파일(붙여넣기)'!A3:A562,A2472,'외운 것 - 엑셀다운로드 파일(붙여넣기)'!D3:D562)</f>
        <v>0</v>
      </c>
      <c r="K2472" s="9" cm="1">
        <f t="array" ref="K2472">_xlfn.COUNTIFS('외운 것 - 엑셀다운로드 파일(붙여넣기)'!A3:A562,A2472,'외운 것 - 엑셀다운로드 파일(붙여넣기)'!D3:D562,0)</f>
        <v>0</v>
      </c>
      <c r="L2472" s="9" cm="1">
        <f t="array" ref="L2472">IF(J2472&gt;=3,_xlfn.XLOOKUP(A2472,'외운 것 - 엑셀다운로드 파일(붙여넣기)'!A3:A562,'외운 것 - 엑셀다운로드 파일(붙여넣기)'!C3:C562,0,-1),0)</f>
        <v>0</v>
      </c>
    </row>
    <row r="2473" ht="36.4" customHeight="1">
      <c r="A2473" s="3">
        <v>2472</v>
      </c>
      <c r="B2473" t="s" s="4">
        <v>15508</v>
      </c>
      <c r="C2473" t="s" s="5">
        <v>15509</v>
      </c>
      <c r="D2473" t="s" s="5">
        <v>15496</v>
      </c>
      <c r="E2473" t="s" s="5">
        <v>15510</v>
      </c>
      <c r="F2473" t="s" s="10">
        <v>15511</v>
      </c>
      <c r="G2473" t="s" s="7">
        <v>15512</v>
      </c>
      <c r="H2473" t="s" s="7">
        <v>15513</v>
      </c>
      <c r="I2473" t="str" s="8" cm="1">
        <f t="array" ref="I2473">SUBSTITUTE(H2473,B2473,"(          )")</f>
        <v>The (          ) appearance of the building is impressive.</v>
      </c>
      <c r="J2473" s="9" cm="1">
        <f t="array" ref="J2473">SUMIF('외운 것 - 엑셀다운로드 파일(붙여넣기)'!A3:A562,A2473,'외운 것 - 엑셀다운로드 파일(붙여넣기)'!D3:D562)</f>
        <v>0</v>
      </c>
      <c r="K2473" s="9" cm="1">
        <f t="array" ref="K2473">_xlfn.COUNTIFS('외운 것 - 엑셀다운로드 파일(붙여넣기)'!A3:A562,A2473,'외운 것 - 엑셀다운로드 파일(붙여넣기)'!D3:D562,0)</f>
        <v>0</v>
      </c>
      <c r="L2473" s="9" cm="1">
        <f t="array" ref="L2473">IF(J2473&gt;=3,_xlfn.XLOOKUP(A2473,'외운 것 - 엑셀다운로드 파일(붙여넣기)'!A3:A562,'외운 것 - 엑셀다운로드 파일(붙여넣기)'!C3:C562,0,-1),0)</f>
        <v>0</v>
      </c>
    </row>
    <row r="2474" ht="23.45" customHeight="1">
      <c r="A2474" s="3">
        <v>2473</v>
      </c>
      <c r="B2474" t="s" s="4">
        <v>15515</v>
      </c>
      <c r="C2474" t="s" s="5">
        <v>15495</v>
      </c>
      <c r="D2474" t="s" s="5">
        <v>15496</v>
      </c>
      <c r="E2474" t="s" s="5">
        <v>15516</v>
      </c>
      <c r="F2474" t="s" s="10">
        <v>15517</v>
      </c>
      <c r="G2474" t="s" s="7">
        <v>15518</v>
      </c>
      <c r="H2474" t="s" s="7">
        <v>15519</v>
      </c>
      <c r="I2474" t="str" s="8" cm="1">
        <f t="array" ref="I2474">SUBSTITUTE(H2474,B2474,"(          )")</f>
        <v>The explorer endured (          ) conditions in the Arctic.</v>
      </c>
      <c r="J2474" s="9" cm="1">
        <f t="array" ref="J2474">SUMIF('외운 것 - 엑셀다운로드 파일(붙여넣기)'!A3:A562,A2474,'외운 것 - 엑셀다운로드 파일(붙여넣기)'!D3:D562)</f>
        <v>0</v>
      </c>
      <c r="K2474" s="9" cm="1">
        <f t="array" ref="K2474">_xlfn.COUNTIFS('외운 것 - 엑셀다운로드 파일(붙여넣기)'!A3:A562,A2474,'외운 것 - 엑셀다운로드 파일(붙여넣기)'!D3:D562,0)</f>
        <v>0</v>
      </c>
      <c r="L2474" s="9" cm="1">
        <f t="array" ref="L2474">IF(J2474&gt;=3,_xlfn.XLOOKUP(A2474,'외운 것 - 엑셀다운로드 파일(붙여넣기)'!A3:A562,'외운 것 - 엑셀다운로드 파일(붙여넣기)'!C3:C562,0,-1),0)</f>
        <v>0</v>
      </c>
    </row>
    <row r="2475" ht="36.4" customHeight="1">
      <c r="A2475" s="3">
        <v>2474</v>
      </c>
      <c r="B2475" t="s" s="4">
        <v>15521</v>
      </c>
      <c r="C2475" t="s" s="5">
        <v>15522</v>
      </c>
      <c r="D2475" t="s" s="5">
        <v>15495</v>
      </c>
      <c r="E2475" t="s" s="5">
        <v>15523</v>
      </c>
      <c r="F2475" t="s" s="10">
        <v>15524</v>
      </c>
      <c r="G2475" t="s" s="7">
        <v>15525</v>
      </c>
      <c r="H2475" t="s" s="7">
        <v>15526</v>
      </c>
      <c r="I2475" t="str" s="8" cm="1">
        <f t="array" ref="I2475">SUBSTITUTE(H2475,B2475,"(          )")</f>
        <v>The concert was (          ) entertaining.</v>
      </c>
      <c r="J2475" s="9" cm="1">
        <f t="array" ref="J2475">SUMIF('외운 것 - 엑셀다운로드 파일(붙여넣기)'!A3:A562,A2475,'외운 것 - 엑셀다운로드 파일(붙여넣기)'!D3:D562)</f>
        <v>0</v>
      </c>
      <c r="K2475" s="9" cm="1">
        <f t="array" ref="K2475">_xlfn.COUNTIFS('외운 것 - 엑셀다운로드 파일(붙여넣기)'!A3:A562,A2475,'외운 것 - 엑셀다운로드 파일(붙여넣기)'!D3:D562,0)</f>
        <v>0</v>
      </c>
      <c r="L2475" s="9" cm="1">
        <f t="array" ref="L2475">IF(J2475&gt;=3,_xlfn.XLOOKUP(A2475,'외운 것 - 엑셀다운로드 파일(붙여넣기)'!A3:A562,'외운 것 - 엑셀다운로드 파일(붙여넣기)'!C3:C562,0,-1),0)</f>
        <v>0</v>
      </c>
    </row>
    <row r="2476" ht="23.45" customHeight="1">
      <c r="A2476" s="3">
        <v>2475</v>
      </c>
      <c r="B2476" t="s" s="4">
        <v>15528</v>
      </c>
      <c r="C2476" t="s" s="5">
        <v>4123</v>
      </c>
      <c r="D2476" t="s" s="5">
        <v>15529</v>
      </c>
      <c r="E2476" t="s" s="5">
        <v>15530</v>
      </c>
      <c r="F2476" t="s" s="10">
        <v>15531</v>
      </c>
      <c r="G2476" t="s" s="7">
        <v>15532</v>
      </c>
      <c r="H2476" t="s" s="7">
        <v>15533</v>
      </c>
      <c r="I2476" t="str" s="8" cm="1">
        <f t="array" ref="I2476">SUBSTITUTE(H2476,B2476,"(          )")</f>
        <v>Can you (          ) my broken computer?</v>
      </c>
      <c r="J2476" s="9" cm="1">
        <f t="array" ref="J2476">SUMIF('외운 것 - 엑셀다운로드 파일(붙여넣기)'!A3:A562,A2476,'외운 것 - 엑셀다운로드 파일(붙여넣기)'!D3:D562)</f>
        <v>0</v>
      </c>
      <c r="K2476" s="9" cm="1">
        <f t="array" ref="K2476">_xlfn.COUNTIFS('외운 것 - 엑셀다운로드 파일(붙여넣기)'!A3:A562,A2476,'외운 것 - 엑셀다운로드 파일(붙여넣기)'!D3:D562,0)</f>
        <v>0</v>
      </c>
      <c r="L2476" s="9" cm="1">
        <f t="array" ref="L2476">IF(J2476&gt;=3,_xlfn.XLOOKUP(A2476,'외운 것 - 엑셀다운로드 파일(붙여넣기)'!A3:A562,'외운 것 - 엑셀다운로드 파일(붙여넣기)'!C3:C562,0,-1),0)</f>
        <v>0</v>
      </c>
    </row>
    <row r="2477" ht="23.45" customHeight="1">
      <c r="A2477" s="3">
        <v>2476</v>
      </c>
      <c r="B2477" t="s" s="4">
        <v>15535</v>
      </c>
      <c r="C2477" t="s" s="5">
        <v>15528</v>
      </c>
      <c r="D2477" t="s" s="5">
        <v>15529</v>
      </c>
      <c r="E2477" t="s" s="5">
        <v>15536</v>
      </c>
      <c r="F2477" t="s" s="10">
        <v>15537</v>
      </c>
      <c r="G2477" t="s" s="7">
        <v>13655</v>
      </c>
      <c r="H2477" t="s" s="7">
        <v>15538</v>
      </c>
      <c r="I2477" t="str" s="8" cm="1">
        <f t="array" ref="I2477">SUBSTITUTE(H2477,B2477,"(          )")</f>
        <v>Affix your signature at the bottom of the document.</v>
      </c>
      <c r="J2477" s="9" cm="1">
        <f t="array" ref="J2477">SUMIF('외운 것 - 엑셀다운로드 파일(붙여넣기)'!A3:A562,A2477,'외운 것 - 엑셀다운로드 파일(붙여넣기)'!D3:D562)</f>
        <v>0</v>
      </c>
      <c r="K2477" s="9" cm="1">
        <f t="array" ref="K2477">_xlfn.COUNTIFS('외운 것 - 엑셀다운로드 파일(붙여넣기)'!A3:A562,A2477,'외운 것 - 엑셀다운로드 파일(붙여넣기)'!D3:D562,0)</f>
        <v>0</v>
      </c>
      <c r="L2477" s="9" cm="1">
        <f t="array" ref="L2477">IF(J2477&gt;=3,_xlfn.XLOOKUP(A2477,'외운 것 - 엑셀다운로드 파일(붙여넣기)'!A3:A562,'외운 것 - 엑셀다운로드 파일(붙여넣기)'!C3:C562,0,-1),0)</f>
        <v>0</v>
      </c>
    </row>
    <row r="2478" ht="38.45" customHeight="1">
      <c r="A2478" s="3">
        <v>2477</v>
      </c>
      <c r="B2478" t="s" s="4">
        <v>15540</v>
      </c>
      <c r="C2478" t="s" s="5">
        <v>15541</v>
      </c>
      <c r="D2478" t="s" s="5">
        <v>15542</v>
      </c>
      <c r="E2478" t="s" s="5">
        <v>15543</v>
      </c>
      <c r="F2478" t="s" s="10">
        <v>15544</v>
      </c>
      <c r="G2478" t="s" s="7">
        <v>15545</v>
      </c>
      <c r="H2478" t="s" s="7">
        <v>15546</v>
      </c>
      <c r="I2478" t="str" s="8" cm="1">
        <f t="array" ref="I2478">SUBSTITUTE(H2478,B2478,"(          )")</f>
        <v>The dove is a (          ) of peace.</v>
      </c>
      <c r="J2478" s="9" cm="1">
        <f t="array" ref="J2478">SUMIF('외운 것 - 엑셀다운로드 파일(붙여넣기)'!A3:A562,A2478,'외운 것 - 엑셀다운로드 파일(붙여넣기)'!D3:D562)</f>
        <v>0</v>
      </c>
      <c r="K2478" s="9" cm="1">
        <f t="array" ref="K2478">_xlfn.COUNTIFS('외운 것 - 엑셀다운로드 파일(붙여넣기)'!A3:A562,A2478,'외운 것 - 엑셀다운로드 파일(붙여넣기)'!D3:D562,0)</f>
        <v>0</v>
      </c>
      <c r="L2478" s="9" cm="1">
        <f t="array" ref="L2478">IF(J2478&gt;=3,_xlfn.XLOOKUP(A2478,'외운 것 - 엑셀다운로드 파일(붙여넣기)'!A3:A562,'외운 것 - 엑셀다운로드 파일(붙여넣기)'!C3:C562,0,-1),0)</f>
        <v>0</v>
      </c>
    </row>
    <row r="2479" ht="23.45" customHeight="1">
      <c r="A2479" s="3">
        <v>2478</v>
      </c>
      <c r="B2479" t="s" s="4">
        <v>15548</v>
      </c>
      <c r="C2479" t="s" s="5">
        <v>15541</v>
      </c>
      <c r="D2479" t="s" s="5">
        <v>15542</v>
      </c>
      <c r="E2479" t="s" s="5">
        <v>15549</v>
      </c>
      <c r="F2479" t="s" s="10">
        <v>15550</v>
      </c>
      <c r="G2479" t="s" s="7">
        <v>15551</v>
      </c>
      <c r="H2479" t="s" s="7">
        <v>15552</v>
      </c>
      <c r="I2479" t="str" s="8" cm="1">
        <f t="array" ref="I2479">SUBSTITUTE(H2479,B2479,"(          )")</f>
        <v>Fever is a common (          ) of many illnesses.</v>
      </c>
      <c r="J2479" s="9" cm="1">
        <f t="array" ref="J2479">SUMIF('외운 것 - 엑셀다운로드 파일(붙여넣기)'!A3:A562,A2479,'외운 것 - 엑셀다운로드 파일(붙여넣기)'!D3:D562)</f>
        <v>0</v>
      </c>
      <c r="K2479" s="9" cm="1">
        <f t="array" ref="K2479">_xlfn.COUNTIFS('외운 것 - 엑셀다운로드 파일(붙여넣기)'!A3:A562,A2479,'외운 것 - 엑셀다운로드 파일(붙여넣기)'!D3:D562,0)</f>
        <v>0</v>
      </c>
      <c r="L2479" s="9" cm="1">
        <f t="array" ref="L2479">IF(J2479&gt;=3,_xlfn.XLOOKUP(A2479,'외운 것 - 엑셀다운로드 파일(붙여넣기)'!A3:A562,'외운 것 - 엑셀다운로드 파일(붙여넣기)'!C3:C562,0,-1),0)</f>
        <v>0</v>
      </c>
    </row>
    <row r="2480" ht="38.45" customHeight="1">
      <c r="A2480" s="3">
        <v>2479</v>
      </c>
      <c r="B2480" t="s" s="4">
        <v>15554</v>
      </c>
      <c r="C2480" t="s" s="5">
        <v>15541</v>
      </c>
      <c r="D2480" t="s" s="5">
        <v>15542</v>
      </c>
      <c r="E2480" t="s" s="5">
        <v>15555</v>
      </c>
      <c r="F2480" t="s" s="10">
        <v>15556</v>
      </c>
      <c r="G2480" t="s" s="7">
        <v>15557</v>
      </c>
      <c r="H2480" t="s" s="7">
        <v>15558</v>
      </c>
      <c r="I2480" t="str" s="8" cm="1">
        <f t="array" ref="I2480">SUBSTITUTE(H2480,B2480,"(          )")</f>
        <v>The scientific (          ) attracted researchers from around the world.</v>
      </c>
      <c r="J2480" s="9" cm="1">
        <f t="array" ref="J2480">SUMIF('외운 것 - 엑셀다운로드 파일(붙여넣기)'!A3:A562,A2480,'외운 것 - 엑셀다운로드 파일(붙여넣기)'!D3:D562)</f>
        <v>0</v>
      </c>
      <c r="K2480" s="9" cm="1">
        <f t="array" ref="K2480">_xlfn.COUNTIFS('외운 것 - 엑셀다운로드 파일(붙여넣기)'!A3:A562,A2480,'외운 것 - 엑셀다운로드 파일(붙여넣기)'!D3:D562,0)</f>
        <v>0</v>
      </c>
      <c r="L2480" s="9" cm="1">
        <f t="array" ref="L2480">IF(J2480&gt;=3,_xlfn.XLOOKUP(A2480,'외운 것 - 엑셀다운로드 파일(붙여넣기)'!A3:A562,'외운 것 - 엑셀다운로드 파일(붙여넣기)'!C3:C562,0,-1),0)</f>
        <v>0</v>
      </c>
    </row>
    <row r="2481" ht="38.45" customHeight="1">
      <c r="A2481" s="3">
        <v>2480</v>
      </c>
      <c r="B2481" t="s" s="4">
        <v>15560</v>
      </c>
      <c r="C2481" t="s" s="5">
        <v>15541</v>
      </c>
      <c r="D2481" t="s" s="5">
        <v>15542</v>
      </c>
      <c r="E2481" t="s" s="5">
        <v>15561</v>
      </c>
      <c r="F2481" t="s" s="10">
        <v>15562</v>
      </c>
      <c r="G2481" t="s" s="7">
        <v>15563</v>
      </c>
      <c r="H2481" t="s" s="7">
        <v>15564</v>
      </c>
      <c r="I2481" t="str" s="8" cm="1">
        <f t="array" ref="I2481">SUBSTITUTE(H2481,B2481,"(          )")</f>
        <v>The butterfly's wings show perfect (          ).</v>
      </c>
      <c r="J2481" s="9" cm="1">
        <f t="array" ref="J2481">SUMIF('외운 것 - 엑셀다운로드 파일(붙여넣기)'!A3:A562,A2481,'외운 것 - 엑셀다운로드 파일(붙여넣기)'!D3:D562)</f>
        <v>0</v>
      </c>
      <c r="K2481" s="9" cm="1">
        <f t="array" ref="K2481">_xlfn.COUNTIFS('외운 것 - 엑셀다운로드 파일(붙여넣기)'!A3:A562,A2481,'외운 것 - 엑셀다운로드 파일(붙여넣기)'!D3:D562,0)</f>
        <v>0</v>
      </c>
      <c r="L2481" s="9" cm="1">
        <f t="array" ref="L2481">IF(J2481&gt;=3,_xlfn.XLOOKUP(A2481,'외운 것 - 엑셀다운로드 파일(붙여넣기)'!A3:A562,'외운 것 - 엑셀다운로드 파일(붙여넣기)'!C3:C562,0,-1),0)</f>
        <v>0</v>
      </c>
    </row>
    <row r="2482" ht="23.45" customHeight="1">
      <c r="A2482" s="3">
        <v>2481</v>
      </c>
      <c r="B2482" t="s" s="4">
        <v>9988</v>
      </c>
      <c r="C2482" t="s" s="5">
        <v>15541</v>
      </c>
      <c r="D2482" t="s" s="5">
        <v>15542</v>
      </c>
      <c r="E2482" t="s" s="5">
        <v>9989</v>
      </c>
      <c r="F2482" t="s" s="10">
        <v>15566</v>
      </c>
      <c r="G2482" t="s" s="7">
        <v>15567</v>
      </c>
      <c r="H2482" t="s" s="7">
        <v>9992</v>
      </c>
      <c r="I2482" t="str" s="8" cm="1">
        <f t="array" ref="I2482">SUBSTITUTE(H2482,B2482,"(          )")</f>
        <v>She sent a (          ) card after her friend's mother died.</v>
      </c>
      <c r="J2482" s="9" cm="1">
        <f t="array" ref="J2482">SUMIF('외운 것 - 엑셀다운로드 파일(붙여넣기)'!A3:A562,A2482,'외운 것 - 엑셀다운로드 파일(붙여넣기)'!D3:D562)</f>
        <v>0</v>
      </c>
      <c r="K2482" s="9" cm="1">
        <f t="array" ref="K2482">_xlfn.COUNTIFS('외운 것 - 엑셀다운로드 파일(붙여넣기)'!A3:A562,A2482,'외운 것 - 엑셀다운로드 파일(붙여넣기)'!D3:D562,0)</f>
        <v>0</v>
      </c>
      <c r="L2482" s="9" cm="1">
        <f t="array" ref="L2482">IF(J2482&gt;=3,_xlfn.XLOOKUP(A2482,'외운 것 - 엑셀다운로드 파일(붙여넣기)'!A3:A562,'외운 것 - 엑셀다운로드 파일(붙여넣기)'!C3:C562,0,-1),0)</f>
        <v>0</v>
      </c>
    </row>
    <row r="2483" ht="23.45" customHeight="1">
      <c r="A2483" s="3">
        <v>2482</v>
      </c>
      <c r="B2483" t="s" s="4">
        <v>15568</v>
      </c>
      <c r="C2483" t="s" s="5">
        <v>15569</v>
      </c>
      <c r="D2483" t="s" s="5">
        <v>15542</v>
      </c>
      <c r="E2483" t="s" s="5">
        <v>15570</v>
      </c>
      <c r="F2483" t="s" s="10">
        <v>15571</v>
      </c>
      <c r="G2483" t="s" s="7">
        <v>15572</v>
      </c>
      <c r="H2483" t="s" s="7">
        <v>15573</v>
      </c>
      <c r="I2483" t="str" s="8" cm="1">
        <f t="array" ref="I2483">SUBSTITUTE(H2483,B2483,"(          )")</f>
        <v>The orchestra performs Beethoven's Symphony No. 9.</v>
      </c>
      <c r="J2483" s="9" cm="1">
        <f t="array" ref="J2483">SUMIF('외운 것 - 엑셀다운로드 파일(붙여넣기)'!A3:A562,A2483,'외운 것 - 엑셀다운로드 파일(붙여넣기)'!D3:D562)</f>
        <v>0</v>
      </c>
      <c r="K2483" s="9" cm="1">
        <f t="array" ref="K2483">_xlfn.COUNTIFS('외운 것 - 엑셀다운로드 파일(붙여넣기)'!A3:A562,A2483,'외운 것 - 엑셀다운로드 파일(붙여넣기)'!D3:D562,0)</f>
        <v>0</v>
      </c>
      <c r="L2483" s="9" cm="1">
        <f t="array" ref="L2483">IF(J2483&gt;=3,_xlfn.XLOOKUP(A2483,'외운 것 - 엑셀다운로드 파일(붙여넣기)'!A3:A562,'외운 것 - 엑셀다운로드 파일(붙여넣기)'!C3:C562,0,-1),0)</f>
        <v>0</v>
      </c>
    </row>
    <row r="2484" ht="23.45" customHeight="1">
      <c r="A2484" s="3">
        <v>2483</v>
      </c>
      <c r="B2484" t="s" s="4">
        <v>15575</v>
      </c>
      <c r="C2484" t="s" s="5">
        <v>15569</v>
      </c>
      <c r="D2484" t="s" s="5">
        <v>15542</v>
      </c>
      <c r="E2484" t="s" s="5">
        <v>15576</v>
      </c>
      <c r="F2484" t="s" s="10">
        <v>15577</v>
      </c>
      <c r="G2484" t="s" s="7">
        <v>15578</v>
      </c>
      <c r="H2484" t="s" s="7">
        <v>15579</v>
      </c>
      <c r="I2484" t="str" s="8" cm="1">
        <f t="array" ref="I2484">SUBSTITUTE(H2484,B2484,"(          )")</f>
        <v>Down (          ) is a genetic condition.</v>
      </c>
      <c r="J2484" s="9" cm="1">
        <f t="array" ref="J2484">SUMIF('외운 것 - 엑셀다운로드 파일(붙여넣기)'!A3:A562,A2484,'외운 것 - 엑셀다운로드 파일(붙여넣기)'!D3:D562)</f>
        <v>0</v>
      </c>
      <c r="K2484" s="9" cm="1">
        <f t="array" ref="K2484">_xlfn.COUNTIFS('외운 것 - 엑셀다운로드 파일(붙여넣기)'!A3:A562,A2484,'외운 것 - 엑셀다운로드 파일(붙여넣기)'!D3:D562,0)</f>
        <v>0</v>
      </c>
      <c r="L2484" s="9" cm="1">
        <f t="array" ref="L2484">IF(J2484&gt;=3,_xlfn.XLOOKUP(A2484,'외운 것 - 엑셀다운로드 파일(붙여넣기)'!A3:A562,'외운 것 - 엑셀다운로드 파일(붙여넣기)'!C3:C562,0,-1),0)</f>
        <v>0</v>
      </c>
    </row>
    <row r="2485" ht="38.45" customHeight="1">
      <c r="A2485" s="3">
        <v>2484</v>
      </c>
      <c r="B2485" t="s" s="4">
        <v>15581</v>
      </c>
      <c r="C2485" t="s" s="5">
        <v>15569</v>
      </c>
      <c r="D2485" t="s" s="5">
        <v>15542</v>
      </c>
      <c r="E2485" t="s" s="5">
        <v>15582</v>
      </c>
      <c r="F2485" t="s" s="10">
        <v>15583</v>
      </c>
      <c r="G2485" t="s" s="7">
        <v>15584</v>
      </c>
      <c r="H2485" t="s" s="7">
        <v>15585</v>
      </c>
      <c r="I2485" t="str" s="8" cm="1">
        <f t="array" ref="I2485">SUBSTITUTE(H2485,B2485,"(          )")</f>
        <v>Make sure to (          ) your watch with the official time.</v>
      </c>
      <c r="J2485" s="9" cm="1">
        <f t="array" ref="J2485">SUMIF('외운 것 - 엑셀다운로드 파일(붙여넣기)'!A3:A562,A2485,'외운 것 - 엑셀다운로드 파일(붙여넣기)'!D3:D562)</f>
        <v>0</v>
      </c>
      <c r="K2485" s="9" cm="1">
        <f t="array" ref="K2485">_xlfn.COUNTIFS('외운 것 - 엑셀다운로드 파일(붙여넣기)'!A3:A562,A2485,'외운 것 - 엑셀다운로드 파일(붙여넣기)'!D3:D562,0)</f>
        <v>0</v>
      </c>
      <c r="L2485" s="9" cm="1">
        <f t="array" ref="L2485">IF(J2485&gt;=3,_xlfn.XLOOKUP(A2485,'외운 것 - 엑셀다운로드 파일(붙여넣기)'!A3:A562,'외운 것 - 엑셀다운로드 파일(붙여넣기)'!C3:C562,0,-1),0)</f>
        <v>0</v>
      </c>
    </row>
    <row r="2486" ht="23.45" customHeight="1">
      <c r="A2486" s="3">
        <v>2485</v>
      </c>
      <c r="B2486" t="s" s="4">
        <v>15587</v>
      </c>
      <c r="C2486" t="s" s="5">
        <v>15569</v>
      </c>
      <c r="D2486" t="s" s="5">
        <v>15542</v>
      </c>
      <c r="E2486" t="s" s="5">
        <v>15588</v>
      </c>
      <c r="F2486" t="s" s="10">
        <v>15589</v>
      </c>
      <c r="G2486" t="s" s="7">
        <v>15590</v>
      </c>
      <c r="H2486" t="s" s="7">
        <v>15591</v>
      </c>
      <c r="I2486" t="str" s="8" cm="1">
        <f t="array" ref="I2486">SUBSTITUTE(H2486,B2486,"(          )")</f>
        <v>The merger created (          ) between the two companies.</v>
      </c>
      <c r="J2486" s="9" cm="1">
        <f t="array" ref="J2486">SUMIF('외운 것 - 엑셀다운로드 파일(붙여넣기)'!A3:A562,A2486,'외운 것 - 엑셀다운로드 파일(붙여넣기)'!D3:D562)</f>
        <v>0</v>
      </c>
      <c r="K2486" s="9" cm="1">
        <f t="array" ref="K2486">_xlfn.COUNTIFS('외운 것 - 엑셀다운로드 파일(붙여넣기)'!A3:A562,A2486,'외운 것 - 엑셀다운로드 파일(붙여넣기)'!D3:D562,0)</f>
        <v>0</v>
      </c>
      <c r="L2486" s="9" cm="1">
        <f t="array" ref="L2486">IF(J2486&gt;=3,_xlfn.XLOOKUP(A2486,'외운 것 - 엑셀다운로드 파일(붙여넣기)'!A3:A562,'외운 것 - 엑셀다운로드 파일(붙여넣기)'!C3:C562,0,-1),0)</f>
        <v>0</v>
      </c>
    </row>
    <row r="2487" ht="38.45" customHeight="1">
      <c r="A2487" s="3">
        <v>2486</v>
      </c>
      <c r="B2487" t="s" s="4">
        <v>15593</v>
      </c>
      <c r="C2487" t="s" s="5">
        <v>15569</v>
      </c>
      <c r="D2487" t="s" s="5">
        <v>15542</v>
      </c>
      <c r="E2487" t="s" s="5">
        <v>15594</v>
      </c>
      <c r="F2487" t="s" s="10">
        <v>15595</v>
      </c>
      <c r="G2487" t="s" s="7">
        <v>15596</v>
      </c>
      <c r="H2487" t="s" s="7">
        <v>15597</v>
      </c>
      <c r="I2487" t="str" s="8" cm="1">
        <f t="array" ref="I2487">SUBSTITUTE(H2487,B2487,"(          )")</f>
        <v>The (          ) of these chemicals produces a new compound.</v>
      </c>
      <c r="J2487" s="9" cm="1">
        <f t="array" ref="J2487">SUMIF('외운 것 - 엑셀다운로드 파일(붙여넣기)'!A3:A562,A2487,'외운 것 - 엑셀다운로드 파일(붙여넣기)'!D3:D562)</f>
        <v>0</v>
      </c>
      <c r="K2487" s="9" cm="1">
        <f t="array" ref="K2487">_xlfn.COUNTIFS('외운 것 - 엑셀다운로드 파일(붙여넣기)'!A3:A562,A2487,'외운 것 - 엑셀다운로드 파일(붙여넣기)'!D3:D562,0)</f>
        <v>0</v>
      </c>
      <c r="L2487" s="9" cm="1">
        <f t="array" ref="L2487">IF(J2487&gt;=3,_xlfn.XLOOKUP(A2487,'외운 것 - 엑셀다운로드 파일(붙여넣기)'!A3:A562,'외운 것 - 엑셀다운로드 파일(붙여넣기)'!C3:C562,0,-1),0)</f>
        <v>0</v>
      </c>
    </row>
    <row r="2488" ht="38.45" customHeight="1">
      <c r="A2488" s="3">
        <v>2487</v>
      </c>
      <c r="B2488" t="s" s="4">
        <v>15599</v>
      </c>
      <c r="C2488" t="s" s="5">
        <v>15600</v>
      </c>
      <c r="D2488" t="s" s="5">
        <v>15542</v>
      </c>
      <c r="E2488" t="s" s="5">
        <v>15601</v>
      </c>
      <c r="F2488" t="s" s="10">
        <v>15602</v>
      </c>
      <c r="G2488" t="s" s="7">
        <v>15603</v>
      </c>
      <c r="H2488" t="s" s="7">
        <v>15604</v>
      </c>
      <c r="I2488" t="str" s="8" cm="1">
        <f t="array" ref="I2488">SUBSTITUTE(H2488,B2488,"(          )")</f>
        <v>Plants convert sunlight into energy through (          ).</v>
      </c>
      <c r="J2488" s="9" cm="1">
        <f t="array" ref="J2488">SUMIF('외운 것 - 엑셀다운로드 파일(붙여넣기)'!A3:A562,A2488,'외운 것 - 엑셀다운로드 파일(붙여넣기)'!D3:D562)</f>
        <v>0</v>
      </c>
      <c r="K2488" s="9" cm="1">
        <f t="array" ref="K2488">_xlfn.COUNTIFS('외운 것 - 엑셀다운로드 파일(붙여넣기)'!A3:A562,A2488,'외운 것 - 엑셀다운로드 파일(붙여넣기)'!D3:D562,0)</f>
        <v>0</v>
      </c>
      <c r="L2488" s="9" cm="1">
        <f t="array" ref="L2488">IF(J2488&gt;=3,_xlfn.XLOOKUP(A2488,'외운 것 - 엑셀다운로드 파일(붙여넣기)'!A3:A562,'외운 것 - 엑셀다운로드 파일(붙여넣기)'!C3:C562,0,-1),0)</f>
        <v>0</v>
      </c>
    </row>
    <row r="2489" ht="38.45" customHeight="1">
      <c r="A2489" s="3">
        <v>2488</v>
      </c>
      <c r="B2489" t="s" s="4">
        <v>15606</v>
      </c>
      <c r="C2489" t="s" s="5">
        <v>15607</v>
      </c>
      <c r="D2489" t="s" s="5">
        <v>15608</v>
      </c>
      <c r="E2489" t="s" s="5">
        <v>15609</v>
      </c>
      <c r="F2489" t="s" s="10">
        <v>15610</v>
      </c>
      <c r="G2489" t="s" s="7">
        <v>15611</v>
      </c>
      <c r="H2489" t="s" s="7">
        <v>15612</v>
      </c>
      <c r="I2489" t="str" s="8" cm="1">
        <f t="array" ref="I2489">SUBSTITUTE(H2489,B2489,"(          )")</f>
        <v>Morning (          ) covered the valley.</v>
      </c>
      <c r="J2489" s="9" cm="1">
        <f t="array" ref="J2489">SUMIF('외운 것 - 엑셀다운로드 파일(붙여넣기)'!A3:A562,A2489,'외운 것 - 엑셀다운로드 파일(붙여넣기)'!D3:D562)</f>
        <v>0</v>
      </c>
      <c r="K2489" s="9" cm="1">
        <f t="array" ref="K2489">_xlfn.COUNTIFS('외운 것 - 엑셀다운로드 파일(붙여넣기)'!A3:A562,A2489,'외운 것 - 엑셀다운로드 파일(붙여넣기)'!D3:D562,0)</f>
        <v>0</v>
      </c>
      <c r="L2489" s="9" cm="1">
        <f t="array" ref="L2489">IF(J2489&gt;=3,_xlfn.XLOOKUP(A2489,'외운 것 - 엑셀다운로드 파일(붙여넣기)'!A3:A562,'외운 것 - 엑셀다운로드 파일(붙여넣기)'!C3:C562,0,-1),0)</f>
        <v>0</v>
      </c>
    </row>
    <row r="2490" ht="38.45" customHeight="1">
      <c r="A2490" s="3">
        <v>2489</v>
      </c>
      <c r="B2490" t="s" s="4">
        <v>15614</v>
      </c>
      <c r="C2490" t="s" s="5">
        <v>15607</v>
      </c>
      <c r="D2490" t="s" s="5">
        <v>15608</v>
      </c>
      <c r="E2490" t="s" s="5">
        <v>15615</v>
      </c>
      <c r="F2490" t="s" s="10">
        <v>15616</v>
      </c>
      <c r="G2490" t="s" s="7">
        <v>15617</v>
      </c>
      <c r="H2490" t="s" s="7">
        <v>15618</v>
      </c>
      <c r="I2490" t="str" s="8" cm="1">
        <f t="array" ref="I2490">SUBSTITUTE(H2490,B2490,"(          )")</f>
        <v>The children enjoyed finding their way through the corn (          ).</v>
      </c>
      <c r="J2490" s="9" cm="1">
        <f t="array" ref="J2490">SUMIF('외운 것 - 엑셀다운로드 파일(붙여넣기)'!A3:A562,A2490,'외운 것 - 엑셀다운로드 파일(붙여넣기)'!D3:D562)</f>
        <v>0</v>
      </c>
      <c r="K2490" s="9" cm="1">
        <f t="array" ref="K2490">_xlfn.COUNTIFS('외운 것 - 엑셀다운로드 파일(붙여넣기)'!A3:A562,A2490,'외운 것 - 엑셀다운로드 파일(붙여넣기)'!D3:D562,0)</f>
        <v>0</v>
      </c>
      <c r="L2490" s="9" cm="1">
        <f t="array" ref="L2490">IF(J2490&gt;=3,_xlfn.XLOOKUP(A2490,'외운 것 - 엑셀다운로드 파일(붙여넣기)'!A3:A562,'외운 것 - 엑셀다운로드 파일(붙여넣기)'!C3:C562,0,-1),0)</f>
        <v>0</v>
      </c>
    </row>
    <row r="2491" ht="38.45" customHeight="1">
      <c r="A2491" s="3">
        <v>2490</v>
      </c>
      <c r="B2491" t="s" s="4">
        <v>15620</v>
      </c>
      <c r="C2491" t="s" s="5">
        <v>15621</v>
      </c>
      <c r="D2491" t="s" s="5">
        <v>15607</v>
      </c>
      <c r="E2491" t="s" s="5">
        <v>15622</v>
      </c>
      <c r="F2491" t="s" s="10">
        <v>15623</v>
      </c>
      <c r="G2491" t="s" s="7">
        <v>15624</v>
      </c>
      <c r="H2491" t="s" s="7">
        <v>15625</v>
      </c>
      <c r="I2491" t="str" s="8" cm="1">
        <f t="array" ref="I2491">SUBSTITUTE(H2491,B2491,"(          )")</f>
        <v>The view from the mountain top was (          ).</v>
      </c>
      <c r="J2491" s="9" cm="1">
        <f t="array" ref="J2491">SUMIF('외운 것 - 엑셀다운로드 파일(붙여넣기)'!A3:A562,A2491,'외운 것 - 엑셀다운로드 파일(붙여넣기)'!D3:D562)</f>
        <v>0</v>
      </c>
      <c r="K2491" s="9" cm="1">
        <f t="array" ref="K2491">_xlfn.COUNTIFS('외운 것 - 엑셀다운로드 파일(붙여넣기)'!A3:A562,A2491,'외운 것 - 엑셀다운로드 파일(붙여넣기)'!D3:D562,0)</f>
        <v>0</v>
      </c>
      <c r="L2491" s="9" cm="1">
        <f t="array" ref="L2491">IF(J2491&gt;=3,_xlfn.XLOOKUP(A2491,'외운 것 - 엑셀다운로드 파일(붙여넣기)'!A3:A562,'외운 것 - 엑셀다운로드 파일(붙여넣기)'!C3:C562,0,-1),0)</f>
        <v>0</v>
      </c>
    </row>
    <row r="2492" ht="38.45" customHeight="1">
      <c r="A2492" s="3">
        <v>2491</v>
      </c>
      <c r="B2492" t="s" s="4">
        <v>15627</v>
      </c>
      <c r="C2492" t="s" s="5">
        <v>15607</v>
      </c>
      <c r="D2492" t="s" s="5">
        <v>15608</v>
      </c>
      <c r="E2492" t="s" s="5">
        <v>15628</v>
      </c>
      <c r="F2492" t="s" s="10">
        <v>15629</v>
      </c>
      <c r="G2492" t="s" s="7">
        <v>15630</v>
      </c>
      <c r="H2492" t="s" s="7">
        <v>15631</v>
      </c>
      <c r="I2492" t="str" s="8" cm="1">
        <f t="array" ref="I2492">SUBSTITUTE(H2492,B2492,"(          )")</f>
        <v>She (          )d at the stars in wonder.</v>
      </c>
      <c r="J2492" s="9" cm="1">
        <f t="array" ref="J2492">SUMIF('외운 것 - 엑셀다운로드 파일(붙여넣기)'!A3:A562,A2492,'외운 것 - 엑셀다운로드 파일(붙여넣기)'!D3:D562)</f>
        <v>0</v>
      </c>
      <c r="K2492" s="9" cm="1">
        <f t="array" ref="K2492">_xlfn.COUNTIFS('외운 것 - 엑셀다운로드 파일(붙여넣기)'!A3:A562,A2492,'외운 것 - 엑셀다운로드 파일(붙여넣기)'!D3:D562,0)</f>
        <v>0</v>
      </c>
      <c r="L2492" s="9" cm="1">
        <f t="array" ref="L2492">IF(J2492&gt;=3,_xlfn.XLOOKUP(A2492,'외운 것 - 엑셀다운로드 파일(붙여넣기)'!A3:A562,'외운 것 - 엑셀다운로드 파일(붙여넣기)'!C3:C562,0,-1),0)</f>
        <v>0</v>
      </c>
    </row>
    <row r="2493" ht="38.45" customHeight="1">
      <c r="A2493" s="3">
        <v>2492</v>
      </c>
      <c r="B2493" t="s" s="4">
        <v>2907</v>
      </c>
      <c r="C2493" t="s" s="5">
        <v>15607</v>
      </c>
      <c r="D2493" t="s" s="5">
        <v>15608</v>
      </c>
      <c r="E2493" t="s" s="5">
        <v>2908</v>
      </c>
      <c r="F2493" t="s" s="10">
        <v>15633</v>
      </c>
      <c r="G2493" t="s" s="7">
        <v>15634</v>
      </c>
      <c r="H2493" t="s" s="7">
        <v>2911</v>
      </c>
      <c r="I2493" t="str" s="8" cm="1">
        <f t="array" ref="I2493">SUBSTITUTE(H2493,B2493,"(          )")</f>
        <v>The boxer was in a (          ) after being hit.</v>
      </c>
      <c r="J2493" s="9" cm="1">
        <f t="array" ref="J2493">SUMIF('외운 것 - 엑셀다운로드 파일(붙여넣기)'!A3:A562,A2493,'외운 것 - 엑셀다운로드 파일(붙여넣기)'!D3:D562)</f>
        <v>0</v>
      </c>
      <c r="K2493" s="9" cm="1">
        <f t="array" ref="K2493">_xlfn.COUNTIFS('외운 것 - 엑셀다운로드 파일(붙여넣기)'!A3:A562,A2493,'외운 것 - 엑셀다운로드 파일(붙여넣기)'!D3:D562,0)</f>
        <v>0</v>
      </c>
      <c r="L2493" s="9" cm="1">
        <f t="array" ref="L2493">IF(J2493&gt;=3,_xlfn.XLOOKUP(A2493,'외운 것 - 엑셀다운로드 파일(붙여넣기)'!A3:A562,'외운 것 - 엑셀다운로드 파일(붙여넣기)'!C3:C562,0,-1),0)</f>
        <v>0</v>
      </c>
    </row>
    <row r="2494" ht="38.45" customHeight="1">
      <c r="A2494" s="3">
        <v>2493</v>
      </c>
      <c r="B2494" t="s" s="4">
        <v>15635</v>
      </c>
      <c r="C2494" t="s" s="5">
        <v>15607</v>
      </c>
      <c r="D2494" t="s" s="5">
        <v>15608</v>
      </c>
      <c r="E2494" t="s" s="5">
        <v>15636</v>
      </c>
      <c r="F2494" t="s" s="10">
        <v>15637</v>
      </c>
      <c r="G2494" t="s" s="7">
        <v>15638</v>
      </c>
      <c r="H2494" t="s" s="7">
        <v>15639</v>
      </c>
      <c r="I2494" t="str" s="8" cm="1">
        <f t="array" ref="I2494">SUBSTITUTE(H2494,B2494,"(          )")</f>
        <v>The old man (          )d in his comfortable chair.</v>
      </c>
      <c r="J2494" s="9" cm="1">
        <f t="array" ref="J2494">SUMIF('외운 것 - 엑셀다운로드 파일(붙여넣기)'!A3:A562,A2494,'외운 것 - 엑셀다운로드 파일(붙여넣기)'!D3:D562)</f>
        <v>0</v>
      </c>
      <c r="K2494" s="9" cm="1">
        <f t="array" ref="K2494">_xlfn.COUNTIFS('외운 것 - 엑셀다운로드 파일(붙여넣기)'!A3:A562,A2494,'외운 것 - 엑셀다운로드 파일(붙여넣기)'!D3:D562,0)</f>
        <v>0</v>
      </c>
      <c r="L2494" s="9" cm="1">
        <f t="array" ref="L2494">IF(J2494&gt;=3,_xlfn.XLOOKUP(A2494,'외운 것 - 엑셀다운로드 파일(붙여넣기)'!A3:A562,'외운 것 - 엑셀다운로드 파일(붙여넣기)'!C3:C562,0,-1),0)</f>
        <v>0</v>
      </c>
    </row>
    <row r="2495" ht="23.45" customHeight="1">
      <c r="A2495" s="3">
        <v>2494</v>
      </c>
      <c r="B2495" t="s" s="4">
        <v>15641</v>
      </c>
      <c r="C2495" t="s" s="5">
        <v>15642</v>
      </c>
      <c r="D2495" t="s" s="5">
        <v>15643</v>
      </c>
      <c r="E2495" t="s" s="5">
        <v>15644</v>
      </c>
      <c r="F2495" t="s" s="10">
        <v>15645</v>
      </c>
      <c r="G2495" t="s" s="7">
        <v>15646</v>
      </c>
      <c r="H2495" t="s" s="7">
        <v>15647</v>
      </c>
      <c r="I2495" t="str" s="8" cm="1">
        <f t="array" ref="I2495">SUBSTITUTE(H2495,B2495,"(          )")</f>
        <v>New Orleans is famous for its (          ) music.</v>
      </c>
      <c r="J2495" s="9" cm="1">
        <f t="array" ref="J2495">SUMIF('외운 것 - 엑셀다운로드 파일(붙여넣기)'!A3:A562,A2495,'외운 것 - 엑셀다운로드 파일(붙여넣기)'!D3:D562)</f>
        <v>0</v>
      </c>
      <c r="K2495" s="9" cm="1">
        <f t="array" ref="K2495">_xlfn.COUNTIFS('외운 것 - 엑셀다운로드 파일(붙여넣기)'!A3:A562,A2495,'외운 것 - 엑셀다운로드 파일(붙여넣기)'!D3:D562,0)</f>
        <v>0</v>
      </c>
      <c r="L2495" s="9" cm="1">
        <f t="array" ref="L2495">IF(J2495&gt;=3,_xlfn.XLOOKUP(A2495,'외운 것 - 엑셀다운로드 파일(붙여넣기)'!A3:A562,'외운 것 - 엑셀다운로드 파일(붙여넣기)'!C3:C562,0,-1),0)</f>
        <v>0</v>
      </c>
    </row>
    <row r="2496" ht="38.45" customHeight="1">
      <c r="A2496" s="3">
        <v>2495</v>
      </c>
      <c r="B2496" t="s" s="4">
        <v>15649</v>
      </c>
      <c r="C2496" t="s" s="5">
        <v>15650</v>
      </c>
      <c r="D2496" t="s" s="5">
        <v>15651</v>
      </c>
      <c r="E2496" t="s" s="5">
        <v>15652</v>
      </c>
      <c r="F2496" t="s" s="10">
        <v>15653</v>
      </c>
      <c r="G2496" t="s" s="7">
        <v>15654</v>
      </c>
      <c r="H2496" t="s" s="7">
        <v>15655</v>
      </c>
      <c r="I2496" t="str" s="8" cm="1">
        <f t="array" ref="I2496">SUBSTITUTE(H2496,B2496,"(          )")</f>
        <v>The crossword (          ) provides mental exercise.</v>
      </c>
      <c r="J2496" s="9" cm="1">
        <f t="array" ref="J2496">SUMIF('외운 것 - 엑셀다운로드 파일(붙여넣기)'!A3:A562,A2496,'외운 것 - 엑셀다운로드 파일(붙여넣기)'!D3:D562)</f>
        <v>0</v>
      </c>
      <c r="K2496" s="9" cm="1">
        <f t="array" ref="K2496">_xlfn.COUNTIFS('외운 것 - 엑셀다운로드 파일(붙여넣기)'!A3:A562,A2496,'외운 것 - 엑셀다운로드 파일(붙여넣기)'!D3:D562,0)</f>
        <v>0</v>
      </c>
      <c r="L2496" s="9" cm="1">
        <f t="array" ref="L2496">IF(J2496&gt;=3,_xlfn.XLOOKUP(A2496,'외운 것 - 엑셀다운로드 파일(붙여넣기)'!A3:A562,'외운 것 - 엑셀다운로드 파일(붙여넣기)'!C3:C562,0,-1),0)</f>
        <v>0</v>
      </c>
    </row>
    <row r="2497" ht="38.45" customHeight="1">
      <c r="A2497" s="3">
        <v>2496</v>
      </c>
      <c r="B2497" t="s" s="4">
        <v>15657</v>
      </c>
      <c r="C2497" t="s" s="5">
        <v>15650</v>
      </c>
      <c r="D2497" t="s" s="5">
        <v>15651</v>
      </c>
      <c r="E2497" t="s" s="5">
        <v>15658</v>
      </c>
      <c r="F2497" t="s" s="10">
        <v>15659</v>
      </c>
      <c r="G2497" t="s" s="7">
        <v>15660</v>
      </c>
      <c r="H2497" t="s" s="7">
        <v>15661</v>
      </c>
      <c r="I2497" t="str" s="8" cm="1">
        <f t="array" ref="I2497">SUBSTITUTE(H2497,B2497,"(          )")</f>
        <v>The steaks (          ) on the hot grill.</v>
      </c>
      <c r="J2497" s="9" cm="1">
        <f t="array" ref="J2497">SUMIF('외운 것 - 엑셀다운로드 파일(붙여넣기)'!A3:A562,A2497,'외운 것 - 엑셀다운로드 파일(붙여넣기)'!D3:D562)</f>
        <v>0</v>
      </c>
      <c r="K2497" s="9" cm="1">
        <f t="array" ref="K2497">_xlfn.COUNTIFS('외운 것 - 엑셀다운로드 파일(붙여넣기)'!A3:A562,A2497,'외운 것 - 엑셀다운로드 파일(붙여넣기)'!D3:D562,0)</f>
        <v>0</v>
      </c>
      <c r="L2497" s="9" cm="1">
        <f t="array" ref="L2497">IF(J2497&gt;=3,_xlfn.XLOOKUP(A2497,'외운 것 - 엑셀다운로드 파일(붙여넣기)'!A3:A562,'외운 것 - 엑셀다운로드 파일(붙여넣기)'!C3:C562,0,-1),0)</f>
        <v>0</v>
      </c>
    </row>
    <row r="2498" ht="38.45" customHeight="1">
      <c r="A2498" s="3">
        <v>2497</v>
      </c>
      <c r="B2498" t="s" s="4">
        <v>15663</v>
      </c>
      <c r="C2498" t="s" s="5">
        <v>15650</v>
      </c>
      <c r="D2498" t="s" s="5">
        <v>15651</v>
      </c>
      <c r="E2498" t="s" s="5">
        <v>15664</v>
      </c>
      <c r="F2498" t="s" s="10">
        <v>15665</v>
      </c>
      <c r="G2498" t="s" s="7">
        <v>15666</v>
      </c>
      <c r="H2498" t="s" s="7">
        <v>15667</v>
      </c>
      <c r="I2498" t="str" s="8" cm="1">
        <f t="array" ref="I2498">SUBSTITUTE(H2498,B2498,"(          )")</f>
        <v>The magician's tricks (          ) the audience.</v>
      </c>
      <c r="J2498" s="9" cm="1">
        <f t="array" ref="J2498">SUMIF('외운 것 - 엑셀다운로드 파일(붙여넣기)'!A3:A562,A2498,'외운 것 - 엑셀다운로드 파일(붙여넣기)'!D3:D562)</f>
        <v>0</v>
      </c>
      <c r="K2498" s="9" cm="1">
        <f t="array" ref="K2498">_xlfn.COUNTIFS('외운 것 - 엑셀다운로드 파일(붙여넣기)'!A3:A562,A2498,'외운 것 - 엑셀다운로드 파일(붙여넣기)'!D3:D562,0)</f>
        <v>0</v>
      </c>
      <c r="L2498" s="9" cm="1">
        <f t="array" ref="L2498">IF(J2498&gt;=3,_xlfn.XLOOKUP(A2498,'외운 것 - 엑셀다운로드 파일(붙여넣기)'!A3:A562,'외운 것 - 엑셀다운로드 파일(붙여넣기)'!C3:C562,0,-1),0)</f>
        <v>0</v>
      </c>
    </row>
    <row r="2499" ht="23.45" customHeight="1">
      <c r="A2499" s="3">
        <v>2498</v>
      </c>
      <c r="B2499" t="s" s="4">
        <v>15668</v>
      </c>
      <c r="C2499" t="s" s="5">
        <v>15650</v>
      </c>
      <c r="D2499" t="s" s="5">
        <v>15651</v>
      </c>
      <c r="E2499" t="s" s="5">
        <v>15669</v>
      </c>
      <c r="F2499" t="s" s="10">
        <v>15670</v>
      </c>
      <c r="G2499" t="s" s="7">
        <v>15671</v>
      </c>
      <c r="H2499" t="s" s="7">
        <v>15672</v>
      </c>
      <c r="I2499" t="str" s="8" cm="1">
        <f t="array" ref="I2499">SUBSTITUTE(H2499,B2499,"(          )")</f>
        <v>A light (          ) fell throughout the morning.</v>
      </c>
      <c r="J2499" s="9" cm="1">
        <f t="array" ref="J2499">SUMIF('외운 것 - 엑셀다운로드 파일(붙여넣기)'!A3:A562,A2499,'외운 것 - 엑셀다운로드 파일(붙여넣기)'!D3:D562)</f>
        <v>0</v>
      </c>
      <c r="K2499" s="9" cm="1">
        <f t="array" ref="K2499">_xlfn.COUNTIFS('외운 것 - 엑셀다운로드 파일(붙여넣기)'!A3:A562,A2499,'외운 것 - 엑셀다운로드 파일(붙여넣기)'!D3:D562,0)</f>
        <v>0</v>
      </c>
      <c r="L2499" s="9" cm="1">
        <f t="array" ref="L2499">IF(J2499&gt;=3,_xlfn.XLOOKUP(A2499,'외운 것 - 엑셀다운로드 파일(붙여넣기)'!A3:A562,'외운 것 - 엑셀다운로드 파일(붙여넣기)'!C3:C562,0,-1),0)</f>
        <v>0</v>
      </c>
    </row>
    <row r="2500" ht="38.45" customHeight="1">
      <c r="A2500" s="3">
        <v>2499</v>
      </c>
      <c r="B2500" t="s" s="4">
        <v>15674</v>
      </c>
      <c r="C2500" t="s" s="5">
        <v>15675</v>
      </c>
      <c r="D2500" t="s" s="5">
        <v>15676</v>
      </c>
      <c r="E2500" t="s" s="5">
        <v>15677</v>
      </c>
      <c r="F2500" t="s" s="10">
        <v>15678</v>
      </c>
      <c r="G2500" t="s" s="7">
        <v>15679</v>
      </c>
      <c r="H2500" t="s" s="7">
        <v>15680</v>
      </c>
      <c r="I2500" t="str" s="8" cm="1">
        <f t="array" ref="I2500">SUBSTITUTE(H2500,B2500,"(          )")</f>
        <v>It would be (          ) to go swimming in such cold water.</v>
      </c>
      <c r="J2500" s="9" cm="1">
        <f t="array" ref="J2500">SUMIF('외운 것 - 엑셀다운로드 파일(붙여넣기)'!A3:A562,A2500,'외운 것 - 엑셀다운로드 파일(붙여넣기)'!D3:D562)</f>
        <v>0</v>
      </c>
      <c r="K2500" s="9" cm="1">
        <f t="array" ref="K2500">_xlfn.COUNTIFS('외운 것 - 엑셀다운로드 파일(붙여넣기)'!A3:A562,A2500,'외운 것 - 엑셀다운로드 파일(붙여넣기)'!D3:D562,0)</f>
        <v>0</v>
      </c>
      <c r="L2500" s="9" cm="1">
        <f t="array" ref="L2500">IF(J2500&gt;=3,_xlfn.XLOOKUP(A2500,'외운 것 - 엑셀다운로드 파일(붙여넣기)'!A3:A562,'외운 것 - 엑셀다운로드 파일(붙여넣기)'!C3:C562,0,-1),0)</f>
        <v>0</v>
      </c>
    </row>
    <row r="2501" ht="38.45" customHeight="1">
      <c r="A2501" s="3">
        <v>2500</v>
      </c>
      <c r="B2501" t="s" s="4">
        <v>2913</v>
      </c>
      <c r="C2501" t="s" s="5">
        <v>15675</v>
      </c>
      <c r="D2501" t="s" s="5">
        <v>15676</v>
      </c>
      <c r="E2501" t="s" s="5">
        <v>2915</v>
      </c>
      <c r="F2501" t="s" s="10">
        <v>15682</v>
      </c>
      <c r="G2501" t="s" s="7">
        <v>2917</v>
      </c>
      <c r="H2501" t="s" s="7">
        <v>2918</v>
      </c>
      <c r="I2501" t="str" s="8" cm="1">
        <f t="array" ref="I2501">SUBSTITUTE(H2501,B2501,"(          )")</f>
        <v>Standing up too quickly made me feel (          ).</v>
      </c>
      <c r="J2501" s="9" cm="1">
        <f t="array" ref="J2501">SUMIF('외운 것 - 엑셀다운로드 파일(붙여넣기)'!A3:A562,A2501,'외운 것 - 엑셀다운로드 파일(붙여넣기)'!D3:D562)</f>
        <v>0</v>
      </c>
      <c r="K2501" s="9" cm="1">
        <f t="array" ref="K2501">_xlfn.COUNTIFS('외운 것 - 엑셀다운로드 파일(붙여넣기)'!A3:A562,A2501,'외운 것 - 엑셀다운로드 파일(붙여넣기)'!D3:D562,0)</f>
        <v>0</v>
      </c>
      <c r="L2501" s="9" cm="1">
        <f t="array" ref="L2501">IF(J2501&gt;=3,_xlfn.XLOOKUP(A2501,'외운 것 - 엑셀다운로드 파일(붙여넣기)'!A3:A562,'외운 것 - 엑셀다운로드 파일(붙여넣기)'!C3:C562,0,-1),0)</f>
        <v>0</v>
      </c>
    </row>
    <row r="2502" ht="38.45" customHeight="1">
      <c r="A2502" s="3">
        <v>2501</v>
      </c>
      <c r="B2502" t="s" s="4">
        <v>15683</v>
      </c>
      <c r="C2502" t="s" s="5">
        <v>15675</v>
      </c>
      <c r="D2502" t="s" s="5">
        <v>15676</v>
      </c>
      <c r="E2502" t="s" s="5">
        <v>15684</v>
      </c>
      <c r="F2502" t="s" s="10">
        <v>15685</v>
      </c>
      <c r="G2502" t="s" s="7">
        <v>15686</v>
      </c>
      <c r="H2502" t="s" s="7">
        <v>15687</v>
      </c>
      <c r="I2502" t="str" s="8" cm="1">
        <f t="array" ref="I2502">SUBSTITUTE(H2502,B2502,"(          )")</f>
        <v>Don't be (          ); help with the cleaning.</v>
      </c>
      <c r="J2502" s="9" cm="1">
        <f t="array" ref="J2502">SUMIF('외운 것 - 엑셀다운로드 파일(붙여넣기)'!A3:A562,A2502,'외운 것 - 엑셀다운로드 파일(붙여넣기)'!D3:D562)</f>
        <v>0</v>
      </c>
      <c r="K2502" s="9" cm="1">
        <f t="array" ref="K2502">_xlfn.COUNTIFS('외운 것 - 엑셀다운로드 파일(붙여넣기)'!A3:A562,A2502,'외운 것 - 엑셀다운로드 파일(붙여넣기)'!D3:D562,0)</f>
        <v>0</v>
      </c>
      <c r="L2502" s="9" cm="1">
        <f t="array" ref="L2502">IF(J2502&gt;=3,_xlfn.XLOOKUP(A2502,'외운 것 - 엑셀다운로드 파일(붙여넣기)'!A3:A562,'외운 것 - 엑셀다운로드 파일(붙여넣기)'!C3:C562,0,-1),0)</f>
        <v>0</v>
      </c>
    </row>
    <row r="2503" ht="23.45" customHeight="1">
      <c r="A2503" s="3">
        <v>2502</v>
      </c>
      <c r="B2503" t="s" s="4">
        <v>15689</v>
      </c>
      <c r="C2503" t="s" s="5">
        <v>15690</v>
      </c>
      <c r="D2503" t="s" s="5">
        <v>15691</v>
      </c>
      <c r="E2503" t="s" s="5">
        <v>15692</v>
      </c>
      <c r="F2503" t="s" s="10">
        <v>15693</v>
      </c>
      <c r="G2503" t="s" s="7">
        <v>15694</v>
      </c>
      <c r="H2503" t="s" s="7">
        <v>15695</v>
      </c>
      <c r="I2503" t="str" s="8" cm="1">
        <f t="array" ref="I2503">SUBSTITUTE(H2503,B2503,"(          )")</f>
        <v>The city is divided into different parking (          )s.</v>
      </c>
      <c r="J2503" s="9" cm="1">
        <f t="array" ref="J2503">SUMIF('외운 것 - 엑셀다운로드 파일(붙여넣기)'!A3:A562,A2503,'외운 것 - 엑셀다운로드 파일(붙여넣기)'!D3:D562)</f>
        <v>0</v>
      </c>
      <c r="K2503" s="9" cm="1">
        <f t="array" ref="K2503">_xlfn.COUNTIFS('외운 것 - 엑셀다운로드 파일(붙여넣기)'!A3:A562,A2503,'외운 것 - 엑셀다운로드 파일(붙여넣기)'!D3:D562,0)</f>
        <v>0</v>
      </c>
      <c r="L2503" s="9" cm="1">
        <f t="array" ref="L2503">IF(J2503&gt;=3,_xlfn.XLOOKUP(A2503,'외운 것 - 엑셀다운로드 파일(붙여넣기)'!A3:A562,'외운 것 - 엑셀다운로드 파일(붙여넣기)'!C3:C562,0,-1),0)</f>
        <v>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62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3.9" customHeight="1" outlineLevelRow="0" outlineLevelCol="0"/>
  <cols>
    <col min="1" max="1" width="4.67188" style="13" customWidth="1"/>
    <col min="2" max="3" width="16.3516" style="13" customWidth="1"/>
    <col min="4" max="4" width="6.17188" style="13" customWidth="1"/>
    <col min="5" max="5" width="12" style="13" customWidth="1"/>
    <col min="6" max="6" width="4.5" style="13" customWidth="1"/>
    <col min="7" max="16384" width="16.3516" style="13" customWidth="1"/>
  </cols>
  <sheetData>
    <row r="1" ht="8" customHeight="1"/>
    <row r="2" ht="14.65" customHeight="1">
      <c r="A2" t="s" s="14">
        <v>15697</v>
      </c>
      <c r="B2" t="s" s="14">
        <v>15698</v>
      </c>
      <c r="C2" t="s" s="15">
        <v>15699</v>
      </c>
      <c r="D2" t="s" s="14">
        <v>15700</v>
      </c>
      <c r="E2" t="s" s="16">
        <v>15701</v>
      </c>
      <c r="F2" t="s" s="14">
        <v>15702</v>
      </c>
    </row>
    <row r="3" ht="13.65" customHeight="1">
      <c r="A3" s="17">
        <v>1655</v>
      </c>
      <c r="B3" t="s" s="18">
        <v>10485</v>
      </c>
      <c r="C3" t="s" s="18">
        <v>10451</v>
      </c>
      <c r="D3" s="19">
        <v>1</v>
      </c>
      <c r="E3" s="20" cm="1">
        <f t="array" ref="E3">_xlfn.COUNTIFS(B3:B562,B3,D3:D562,1,A3:A562,A3)</f>
        <v>1</v>
      </c>
      <c r="F3" s="21" cm="1">
        <f t="array" ref="F3">(YEAR(C3)-2025)*1000+MONTH(C3)*31+DAY(C3)+A3</f>
        <v>2763</v>
      </c>
    </row>
    <row r="4" ht="13.65" customHeight="1">
      <c r="A4" s="22">
        <v>1654</v>
      </c>
      <c r="B4" t="s" s="23">
        <v>10478</v>
      </c>
      <c r="C4" t="s" s="23">
        <v>10451</v>
      </c>
      <c r="D4" s="24">
        <v>1</v>
      </c>
      <c r="E4" s="20" cm="1">
        <f t="array" ref="E4">_xlfn.COUNTIFS(B3:B562,B4,D3:D562,1,A3:A562,A4)</f>
        <v>1</v>
      </c>
      <c r="F4" s="25" cm="1">
        <f t="array" ref="F4">(YEAR(C4)-2025)*1000+MONTH(C4)*31+DAY(C4)+A4</f>
        <v>2762</v>
      </c>
    </row>
    <row r="5" ht="13.65" customHeight="1">
      <c r="A5" s="22">
        <v>1653</v>
      </c>
      <c r="B5" t="s" s="23">
        <v>10472</v>
      </c>
      <c r="C5" t="s" s="23">
        <v>10451</v>
      </c>
      <c r="D5" s="24">
        <v>3</v>
      </c>
      <c r="E5" s="20" cm="1">
        <f t="array" ref="E5">_xlfn.COUNTIFS(B3:B562,B5,D3:D562,1,A3:A562,A5)</f>
        <v>0</v>
      </c>
      <c r="F5" s="25" cm="1">
        <f t="array" ref="F5">(YEAR(C5)-2025)*1000+MONTH(C5)*31+DAY(C5)+A5</f>
        <v>2761</v>
      </c>
    </row>
    <row r="6" ht="13.65" customHeight="1">
      <c r="A6" s="22">
        <v>1652</v>
      </c>
      <c r="B6" t="s" s="23">
        <v>10466</v>
      </c>
      <c r="C6" t="s" s="23">
        <v>10451</v>
      </c>
      <c r="D6" s="24">
        <v>3</v>
      </c>
      <c r="E6" s="20" cm="1">
        <f t="array" ref="E6">_xlfn.COUNTIFS(B3:B562,B6,D3:D562,1,A3:A562,A6)</f>
        <v>0</v>
      </c>
      <c r="F6" s="25" cm="1">
        <f t="array" ref="F6">(YEAR(C6)-2025)*1000+MONTH(C6)*31+DAY(C6)+A6</f>
        <v>2760</v>
      </c>
    </row>
    <row r="7" ht="13.65" customHeight="1">
      <c r="A7" s="22">
        <v>1651</v>
      </c>
      <c r="B7" t="s" s="23">
        <v>10458</v>
      </c>
      <c r="C7" t="s" s="23">
        <v>10451</v>
      </c>
      <c r="D7" s="24">
        <v>3</v>
      </c>
      <c r="E7" s="20" cm="1">
        <f t="array" ref="E7">_xlfn.COUNTIFS(B3:B562,B7,D3:D562,1,A3:A562,A7)</f>
        <v>0</v>
      </c>
      <c r="F7" s="25" cm="1">
        <f t="array" ref="F7">(YEAR(C7)-2025)*1000+MONTH(C7)*31+DAY(C7)+A7</f>
        <v>2759</v>
      </c>
    </row>
    <row r="8" ht="13.65" customHeight="1">
      <c r="A8" s="22">
        <v>1650</v>
      </c>
      <c r="B8" t="s" s="23">
        <v>10452</v>
      </c>
      <c r="C8" t="s" s="23">
        <v>10451</v>
      </c>
      <c r="D8" s="24">
        <v>0</v>
      </c>
      <c r="E8" s="20" cm="1">
        <f t="array" ref="E8">_xlfn.COUNTIFS(B3:B562,B8,D3:D562,1,A3:A562,A8)</f>
        <v>0</v>
      </c>
      <c r="F8" s="25" cm="1">
        <f t="array" ref="F8">(YEAR(C8)-2025)*1000+MONTH(C8)*31+DAY(C8)+A8</f>
        <v>2758</v>
      </c>
    </row>
    <row r="9" ht="13.65" customHeight="1">
      <c r="A9" s="22">
        <v>1649</v>
      </c>
      <c r="B9" t="s" s="23">
        <v>10444</v>
      </c>
      <c r="C9" t="s" s="23">
        <v>10451</v>
      </c>
      <c r="D9" s="24">
        <v>3</v>
      </c>
      <c r="E9" s="20" cm="1">
        <f t="array" ref="E9">_xlfn.COUNTIFS(B3:B562,B9,D3:D562,1,A3:A562,A9)</f>
        <v>0</v>
      </c>
      <c r="F9" s="25" cm="1">
        <f t="array" ref="F9">(YEAR(C9)-2025)*1000+MONTH(C9)*31+DAY(C9)+A9</f>
        <v>2757</v>
      </c>
    </row>
    <row r="10" ht="13.65" customHeight="1">
      <c r="A10" s="22">
        <v>1648</v>
      </c>
      <c r="B10" t="s" s="23">
        <v>10437</v>
      </c>
      <c r="C10" t="s" s="23">
        <v>10451</v>
      </c>
      <c r="D10" s="24">
        <v>1</v>
      </c>
      <c r="E10" s="20" cm="1">
        <f t="array" ref="E10">_xlfn.COUNTIFS(B3:B562,B10,D3:D562,1,A3:A562,A10)</f>
        <v>1</v>
      </c>
      <c r="F10" s="25" cm="1">
        <f t="array" ref="F10">(YEAR(C10)-2025)*1000+MONTH(C10)*31+DAY(C10)+A10</f>
        <v>2756</v>
      </c>
    </row>
    <row r="11" ht="13.65" customHeight="1">
      <c r="A11" s="22">
        <v>1647</v>
      </c>
      <c r="B11" t="s" s="23">
        <v>10431</v>
      </c>
      <c r="C11" t="s" s="23">
        <v>10451</v>
      </c>
      <c r="D11" s="24">
        <v>1</v>
      </c>
      <c r="E11" s="20" cm="1">
        <f t="array" ref="E11">_xlfn.COUNTIFS(B3:B562,B11,D3:D562,1,A3:A562,A11)</f>
        <v>1</v>
      </c>
      <c r="F11" s="25" cm="1">
        <f t="array" ref="F11">(YEAR(C11)-2025)*1000+MONTH(C11)*31+DAY(C11)+A11</f>
        <v>2755</v>
      </c>
    </row>
    <row r="12" ht="13.65" customHeight="1">
      <c r="A12" s="22">
        <v>1646</v>
      </c>
      <c r="B12" t="s" s="23">
        <v>10424</v>
      </c>
      <c r="C12" t="s" s="23">
        <v>10451</v>
      </c>
      <c r="D12" s="24">
        <v>1</v>
      </c>
      <c r="E12" s="20" cm="1">
        <f t="array" ref="E12">_xlfn.COUNTIFS(B3:B562,B12,D3:D562,1,A3:A562,A12)</f>
        <v>1</v>
      </c>
      <c r="F12" s="25" cm="1">
        <f t="array" ref="F12">(YEAR(C12)-2025)*1000+MONTH(C12)*31+DAY(C12)+A12</f>
        <v>2754</v>
      </c>
    </row>
    <row r="13" ht="13.65" customHeight="1">
      <c r="A13" s="22">
        <v>1645</v>
      </c>
      <c r="B13" t="s" s="23">
        <v>10417</v>
      </c>
      <c r="C13" t="s" s="23">
        <v>10451</v>
      </c>
      <c r="D13" s="24">
        <v>0</v>
      </c>
      <c r="E13" s="20" cm="1">
        <f t="array" ref="E13">_xlfn.COUNTIFS(B3:B562,B13,D3:D562,1,A3:A562,A13)</f>
        <v>0</v>
      </c>
      <c r="F13" s="25" cm="1">
        <f t="array" ref="F13">(YEAR(C13)-2025)*1000+MONTH(C13)*31+DAY(C13)+A13</f>
        <v>2753</v>
      </c>
    </row>
    <row r="14" ht="13.65" customHeight="1">
      <c r="A14" s="22">
        <v>1644</v>
      </c>
      <c r="B14" t="s" s="23">
        <v>10410</v>
      </c>
      <c r="C14" t="s" s="23">
        <v>10451</v>
      </c>
      <c r="D14" s="24">
        <v>1</v>
      </c>
      <c r="E14" s="20" cm="1">
        <f t="array" ref="E14">_xlfn.COUNTIFS(B3:B562,B14,D3:D562,1,A3:A562,A14)</f>
        <v>1</v>
      </c>
      <c r="F14" s="25" cm="1">
        <f t="array" ref="F14">(YEAR(C14)-2025)*1000+MONTH(C14)*31+DAY(C14)+A14</f>
        <v>2752</v>
      </c>
    </row>
    <row r="15" ht="13.65" customHeight="1">
      <c r="A15" s="22">
        <v>1643</v>
      </c>
      <c r="B15" t="s" s="23">
        <v>10404</v>
      </c>
      <c r="C15" t="s" s="23">
        <v>10451</v>
      </c>
      <c r="D15" s="24">
        <v>1</v>
      </c>
      <c r="E15" s="20" cm="1">
        <f t="array" ref="E15">_xlfn.COUNTIFS(B3:B562,B15,D3:D562,1,A3:A562,A15)</f>
        <v>1</v>
      </c>
      <c r="F15" s="25" cm="1">
        <f t="array" ref="F15">(YEAR(C15)-2025)*1000+MONTH(C15)*31+DAY(C15)+A15</f>
        <v>2751</v>
      </c>
    </row>
    <row r="16" ht="13.65" customHeight="1">
      <c r="A16" s="22">
        <v>1642</v>
      </c>
      <c r="B16" t="s" s="23">
        <v>10398</v>
      </c>
      <c r="C16" t="s" s="23">
        <v>10451</v>
      </c>
      <c r="D16" s="24">
        <v>1</v>
      </c>
      <c r="E16" s="20" cm="1">
        <f t="array" ref="E16">_xlfn.COUNTIFS(B3:B562,B16,D3:D562,1,A3:A562,A16)</f>
        <v>1</v>
      </c>
      <c r="F16" s="25" cm="1">
        <f t="array" ref="F16">(YEAR(C16)-2025)*1000+MONTH(C16)*31+DAY(C16)+A16</f>
        <v>2750</v>
      </c>
    </row>
    <row r="17" ht="13.65" customHeight="1">
      <c r="A17" s="22">
        <v>1641</v>
      </c>
      <c r="B17" t="s" s="23">
        <v>10392</v>
      </c>
      <c r="C17" t="s" s="23">
        <v>10451</v>
      </c>
      <c r="D17" s="24">
        <v>1</v>
      </c>
      <c r="E17" s="20" cm="1">
        <f t="array" ref="E17">_xlfn.COUNTIFS(B3:B562,B17,D3:D562,1,A3:A562,A17)</f>
        <v>1</v>
      </c>
      <c r="F17" s="25" cm="1">
        <f t="array" ref="F17">(YEAR(C17)-2025)*1000+MONTH(C17)*31+DAY(C17)+A17</f>
        <v>2749</v>
      </c>
    </row>
    <row r="18" ht="13.65" customHeight="1">
      <c r="A18" s="22">
        <v>1640</v>
      </c>
      <c r="B18" t="s" s="23">
        <v>10386</v>
      </c>
      <c r="C18" t="s" s="23">
        <v>10451</v>
      </c>
      <c r="D18" s="24">
        <v>0</v>
      </c>
      <c r="E18" s="20" cm="1">
        <f t="array" ref="E18">_xlfn.COUNTIFS(B3:B562,B18,D3:D562,1,A3:A562,A18)</f>
        <v>0</v>
      </c>
      <c r="F18" s="25" cm="1">
        <f t="array" ref="F18">(YEAR(C18)-2025)*1000+MONTH(C18)*31+DAY(C18)+A18</f>
        <v>2748</v>
      </c>
    </row>
    <row r="19" ht="13.65" customHeight="1">
      <c r="A19" s="22">
        <v>1639</v>
      </c>
      <c r="B19" t="s" s="23">
        <v>10380</v>
      </c>
      <c r="C19" t="s" s="23">
        <v>10451</v>
      </c>
      <c r="D19" s="24">
        <v>0</v>
      </c>
      <c r="E19" s="20" cm="1">
        <f t="array" ref="E19">_xlfn.COUNTIFS(B3:B562,B19,D3:D562,1,A3:A562,A19)</f>
        <v>0</v>
      </c>
      <c r="F19" s="25" cm="1">
        <f t="array" ref="F19">(YEAR(C19)-2025)*1000+MONTH(C19)*31+DAY(C19)+A19</f>
        <v>2747</v>
      </c>
    </row>
    <row r="20" ht="13.65" customHeight="1">
      <c r="A20" s="22">
        <v>1638</v>
      </c>
      <c r="B20" t="s" s="23">
        <v>10374</v>
      </c>
      <c r="C20" t="s" s="23">
        <v>10451</v>
      </c>
      <c r="D20" s="24">
        <v>0</v>
      </c>
      <c r="E20" s="20" cm="1">
        <f t="array" ref="E20">_xlfn.COUNTIFS(B3:B562,B20,D3:D562,1,A3:A562,A20)</f>
        <v>0</v>
      </c>
      <c r="F20" s="25" cm="1">
        <f t="array" ref="F20">(YEAR(C20)-2025)*1000+MONTH(C20)*31+DAY(C20)+A20</f>
        <v>2746</v>
      </c>
    </row>
    <row r="21" ht="13.65" customHeight="1">
      <c r="A21" s="22">
        <v>1637</v>
      </c>
      <c r="B21" t="s" s="23">
        <v>10368</v>
      </c>
      <c r="C21" t="s" s="23">
        <v>10451</v>
      </c>
      <c r="D21" s="24">
        <v>1</v>
      </c>
      <c r="E21" s="20" cm="1">
        <f t="array" ref="E21">_xlfn.COUNTIFS(B3:B562,B21,D3:D562,1,A3:A562,A21)</f>
        <v>1</v>
      </c>
      <c r="F21" s="25" cm="1">
        <f t="array" ref="F21">(YEAR(C21)-2025)*1000+MONTH(C21)*31+DAY(C21)+A21</f>
        <v>2745</v>
      </c>
    </row>
    <row r="22" ht="13.65" customHeight="1">
      <c r="A22" s="22">
        <v>1636</v>
      </c>
      <c r="B22" t="s" s="23">
        <v>10362</v>
      </c>
      <c r="C22" t="s" s="23">
        <v>10451</v>
      </c>
      <c r="D22" s="24">
        <v>1</v>
      </c>
      <c r="E22" s="20" cm="1">
        <f t="array" ref="E22">_xlfn.COUNTIFS(B3:B562,B22,D3:D562,1,A3:A562,A22)</f>
        <v>1</v>
      </c>
      <c r="F22" s="25" cm="1">
        <f t="array" ref="F22">(YEAR(C22)-2025)*1000+MONTH(C22)*31+DAY(C22)+A22</f>
        <v>2744</v>
      </c>
    </row>
    <row r="23" ht="13.65" customHeight="1">
      <c r="A23" s="22">
        <v>1635</v>
      </c>
      <c r="B23" t="s" s="23">
        <v>10356</v>
      </c>
      <c r="C23" t="s" s="23">
        <v>10451</v>
      </c>
      <c r="D23" s="24">
        <v>0</v>
      </c>
      <c r="E23" s="20" cm="1">
        <f t="array" ref="E23">_xlfn.COUNTIFS(B3:B562,B23,D3:D562,1,A3:A562,A23)</f>
        <v>0</v>
      </c>
      <c r="F23" s="25" cm="1">
        <f t="array" ref="F23">(YEAR(C23)-2025)*1000+MONTH(C23)*31+DAY(C23)+A23</f>
        <v>2743</v>
      </c>
    </row>
    <row r="24" ht="13.65" customHeight="1">
      <c r="A24" s="22">
        <v>1634</v>
      </c>
      <c r="B24" t="s" s="23">
        <v>10350</v>
      </c>
      <c r="C24" t="s" s="23">
        <v>10451</v>
      </c>
      <c r="D24" s="24">
        <v>0</v>
      </c>
      <c r="E24" s="20" cm="1">
        <f t="array" ref="E24">_xlfn.COUNTIFS(B3:B562,B24,D3:D562,1,A3:A562,A24)</f>
        <v>0</v>
      </c>
      <c r="F24" s="25" cm="1">
        <f t="array" ref="F24">(YEAR(C24)-2025)*1000+MONTH(C24)*31+DAY(C24)+A24</f>
        <v>2742</v>
      </c>
    </row>
    <row r="25" ht="13.65" customHeight="1">
      <c r="A25" s="22">
        <v>1633</v>
      </c>
      <c r="B25" t="s" s="23">
        <v>10345</v>
      </c>
      <c r="C25" t="s" s="23">
        <v>10451</v>
      </c>
      <c r="D25" s="24">
        <v>0</v>
      </c>
      <c r="E25" s="20" cm="1">
        <f t="array" ref="E25">_xlfn.COUNTIFS(B3:B562,B25,D3:D562,1,A3:A562,A25)</f>
        <v>0</v>
      </c>
      <c r="F25" s="25" cm="1">
        <f t="array" ref="F25">(YEAR(C25)-2025)*1000+MONTH(C25)*31+DAY(C25)+A25</f>
        <v>2741</v>
      </c>
    </row>
    <row r="26" ht="13.65" customHeight="1">
      <c r="A26" s="22">
        <v>1632</v>
      </c>
      <c r="B26" t="s" s="23">
        <v>10338</v>
      </c>
      <c r="C26" t="s" s="23">
        <v>10451</v>
      </c>
      <c r="D26" s="24">
        <v>0</v>
      </c>
      <c r="E26" s="20" cm="1">
        <f t="array" ref="E26">_xlfn.COUNTIFS(B3:B562,B26,D3:D562,1,A3:A562,A26)</f>
        <v>0</v>
      </c>
      <c r="F26" s="25" cm="1">
        <f t="array" ref="F26">(YEAR(C26)-2025)*1000+MONTH(C26)*31+DAY(C26)+A26</f>
        <v>2740</v>
      </c>
    </row>
    <row r="27" ht="13.65" customHeight="1">
      <c r="A27" s="22">
        <v>1631</v>
      </c>
      <c r="B27" t="s" s="23">
        <v>10331</v>
      </c>
      <c r="C27" t="s" s="23">
        <v>10451</v>
      </c>
      <c r="D27" s="24">
        <v>1</v>
      </c>
      <c r="E27" s="20" cm="1">
        <f t="array" ref="E27">_xlfn.COUNTIFS(B3:B562,B27,D3:D562,1,A3:A562,A27)</f>
        <v>1</v>
      </c>
      <c r="F27" s="25" cm="1">
        <f t="array" ref="F27">(YEAR(C27)-2025)*1000+MONTH(C27)*31+DAY(C27)+A27</f>
        <v>2739</v>
      </c>
    </row>
    <row r="28" ht="13.65" customHeight="1">
      <c r="A28" s="22">
        <v>1630</v>
      </c>
      <c r="B28" t="s" s="23">
        <v>10325</v>
      </c>
      <c r="C28" t="s" s="23">
        <v>10451</v>
      </c>
      <c r="D28" s="24">
        <v>1</v>
      </c>
      <c r="E28" s="20" cm="1">
        <f t="array" ref="E28">_xlfn.COUNTIFS(B3:B562,B28,D3:D562,1,A3:A562,A28)</f>
        <v>1</v>
      </c>
      <c r="F28" s="25" cm="1">
        <f t="array" ref="F28">(YEAR(C28)-2025)*1000+MONTH(C28)*31+DAY(C28)+A28</f>
        <v>2738</v>
      </c>
    </row>
    <row r="29" ht="13.65" customHeight="1">
      <c r="A29" s="22">
        <v>1629</v>
      </c>
      <c r="B29" t="s" s="23">
        <v>10319</v>
      </c>
      <c r="C29" t="s" s="23">
        <v>10451</v>
      </c>
      <c r="D29" s="24">
        <v>1</v>
      </c>
      <c r="E29" s="20" cm="1">
        <f t="array" ref="E29">_xlfn.COUNTIFS(B3:B562,B29,D3:D562,1,A3:A562,A29)</f>
        <v>1</v>
      </c>
      <c r="F29" s="25" cm="1">
        <f t="array" ref="F29">(YEAR(C29)-2025)*1000+MONTH(C29)*31+DAY(C29)+A29</f>
        <v>2737</v>
      </c>
    </row>
    <row r="30" ht="13.65" customHeight="1">
      <c r="A30" s="22">
        <v>1628</v>
      </c>
      <c r="B30" t="s" s="23">
        <v>10312</v>
      </c>
      <c r="C30" t="s" s="23">
        <v>10451</v>
      </c>
      <c r="D30" s="24">
        <v>0</v>
      </c>
      <c r="E30" s="20" cm="1">
        <f t="array" ref="E30">_xlfn.COUNTIFS(B3:B562,B30,D3:D562,1,A3:A562,A30)</f>
        <v>0</v>
      </c>
      <c r="F30" s="25" cm="1">
        <f t="array" ref="F30">(YEAR(C30)-2025)*1000+MONTH(C30)*31+DAY(C30)+A30</f>
        <v>2736</v>
      </c>
    </row>
    <row r="31" ht="13.65" customHeight="1">
      <c r="A31" s="22">
        <v>1627</v>
      </c>
      <c r="B31" t="s" s="23">
        <v>10306</v>
      </c>
      <c r="C31" t="s" s="23">
        <v>10451</v>
      </c>
      <c r="D31" s="24">
        <v>1</v>
      </c>
      <c r="E31" s="20" cm="1">
        <f t="array" ref="E31">_xlfn.COUNTIFS(B3:B562,B31,D3:D562,1,A3:A562,A31)</f>
        <v>1</v>
      </c>
      <c r="F31" s="25" cm="1">
        <f t="array" ref="F31">(YEAR(C31)-2025)*1000+MONTH(C31)*31+DAY(C31)+A31</f>
        <v>2735</v>
      </c>
    </row>
    <row r="32" ht="13.65" customHeight="1">
      <c r="A32" s="22">
        <v>1626</v>
      </c>
      <c r="B32" t="s" s="23">
        <v>10298</v>
      </c>
      <c r="C32" t="s" s="23">
        <v>10451</v>
      </c>
      <c r="D32" s="24">
        <v>1</v>
      </c>
      <c r="E32" s="20" cm="1">
        <f t="array" ref="E32">_xlfn.COUNTIFS(B3:B562,B32,D3:D562,1,A3:A562,A32)</f>
        <v>1</v>
      </c>
      <c r="F32" s="25" cm="1">
        <f t="array" ref="F32">(YEAR(C32)-2025)*1000+MONTH(C32)*31+DAY(C32)+A32</f>
        <v>2734</v>
      </c>
    </row>
    <row r="33" ht="13.65" customHeight="1">
      <c r="A33" s="22">
        <v>1625</v>
      </c>
      <c r="B33" t="s" s="23">
        <v>10292</v>
      </c>
      <c r="C33" t="s" s="23">
        <v>10451</v>
      </c>
      <c r="D33" s="24">
        <v>0</v>
      </c>
      <c r="E33" s="20" cm="1">
        <f t="array" ref="E33">_xlfn.COUNTIFS(B3:B562,B33,D3:D562,1,A3:A562,A33)</f>
        <v>0</v>
      </c>
      <c r="F33" s="25" cm="1">
        <f t="array" ref="F33">(YEAR(C33)-2025)*1000+MONTH(C33)*31+DAY(C33)+A33</f>
        <v>2733</v>
      </c>
    </row>
    <row r="34" ht="13.65" customHeight="1">
      <c r="A34" s="22">
        <v>1624</v>
      </c>
      <c r="B34" t="s" s="23">
        <v>10285</v>
      </c>
      <c r="C34" t="s" s="23">
        <v>10451</v>
      </c>
      <c r="D34" s="24">
        <v>1</v>
      </c>
      <c r="E34" s="20" cm="1">
        <f t="array" ref="E34">_xlfn.COUNTIFS(B3:B562,B34,D3:D562,1,A3:A562,A34)</f>
        <v>1</v>
      </c>
      <c r="F34" s="25" cm="1">
        <f t="array" ref="F34">(YEAR(C34)-2025)*1000+MONTH(C34)*31+DAY(C34)+A34</f>
        <v>2732</v>
      </c>
    </row>
    <row r="35" ht="13.65" customHeight="1">
      <c r="A35" s="22">
        <v>1623</v>
      </c>
      <c r="B35" t="s" s="23">
        <v>10279</v>
      </c>
      <c r="C35" t="s" s="23">
        <v>10451</v>
      </c>
      <c r="D35" s="24">
        <v>1</v>
      </c>
      <c r="E35" s="20" cm="1">
        <f t="array" ref="E35">_xlfn.COUNTIFS(B3:B562,B35,D3:D562,1,A3:A562,A35)</f>
        <v>1</v>
      </c>
      <c r="F35" s="25" cm="1">
        <f t="array" ref="F35">(YEAR(C35)-2025)*1000+MONTH(C35)*31+DAY(C35)+A35</f>
        <v>2731</v>
      </c>
    </row>
    <row r="36" ht="13.65" customHeight="1">
      <c r="A36" s="22">
        <v>1622</v>
      </c>
      <c r="B36" t="s" s="23">
        <v>10273</v>
      </c>
      <c r="C36" t="s" s="23">
        <v>10451</v>
      </c>
      <c r="D36" s="24">
        <v>1</v>
      </c>
      <c r="E36" s="20" cm="1">
        <f t="array" ref="E36">_xlfn.COUNTIFS(B3:B562,B36,D3:D562,1,A3:A562,A36)</f>
        <v>1</v>
      </c>
      <c r="F36" s="25" cm="1">
        <f t="array" ref="F36">(YEAR(C36)-2025)*1000+MONTH(C36)*31+DAY(C36)+A36</f>
        <v>2730</v>
      </c>
    </row>
    <row r="37" ht="13.65" customHeight="1">
      <c r="A37" s="22">
        <v>1621</v>
      </c>
      <c r="B37" t="s" s="23">
        <v>10266</v>
      </c>
      <c r="C37" t="s" s="23">
        <v>10451</v>
      </c>
      <c r="D37" s="24">
        <v>1</v>
      </c>
      <c r="E37" s="20" cm="1">
        <f t="array" ref="E37">_xlfn.COUNTIFS(B3:B562,B37,D3:D562,1,A3:A562,A37)</f>
        <v>1</v>
      </c>
      <c r="F37" s="25" cm="1">
        <f t="array" ref="F37">(YEAR(C37)-2025)*1000+MONTH(C37)*31+DAY(C37)+A37</f>
        <v>2729</v>
      </c>
    </row>
    <row r="38" ht="13.65" customHeight="1">
      <c r="A38" s="22">
        <v>1620</v>
      </c>
      <c r="B38" t="s" s="23">
        <v>10260</v>
      </c>
      <c r="C38" t="s" s="23">
        <v>10451</v>
      </c>
      <c r="D38" s="24">
        <v>1</v>
      </c>
      <c r="E38" s="20" cm="1">
        <f t="array" ref="E38">_xlfn.COUNTIFS(B3:B562,B38,D3:D562,1,A3:A562,A38)</f>
        <v>1</v>
      </c>
      <c r="F38" s="25" cm="1">
        <f t="array" ref="F38">(YEAR(C38)-2025)*1000+MONTH(C38)*31+DAY(C38)+A38</f>
        <v>2728</v>
      </c>
    </row>
    <row r="39" ht="13.65" customHeight="1">
      <c r="A39" s="22">
        <v>1619</v>
      </c>
      <c r="B39" t="s" s="23">
        <v>10254</v>
      </c>
      <c r="C39" t="s" s="23">
        <v>10451</v>
      </c>
      <c r="D39" s="24">
        <v>1</v>
      </c>
      <c r="E39" s="20" cm="1">
        <f t="array" ref="E39">_xlfn.COUNTIFS(B3:B562,B39,D3:D562,1,A3:A562,A39)</f>
        <v>1</v>
      </c>
      <c r="F39" s="25" cm="1">
        <f t="array" ref="F39">(YEAR(C39)-2025)*1000+MONTH(C39)*31+DAY(C39)+A39</f>
        <v>2727</v>
      </c>
    </row>
    <row r="40" ht="13.65" customHeight="1">
      <c r="A40" s="22">
        <v>1618</v>
      </c>
      <c r="B40" t="s" s="23">
        <v>10247</v>
      </c>
      <c r="C40" t="s" s="23">
        <v>10451</v>
      </c>
      <c r="D40" s="24">
        <v>1</v>
      </c>
      <c r="E40" s="20" cm="1">
        <f t="array" ref="E40">_xlfn.COUNTIFS(B3:B562,B40,D3:D562,1,A3:A562,A40)</f>
        <v>1</v>
      </c>
      <c r="F40" s="25" cm="1">
        <f t="array" ref="F40">(YEAR(C40)-2025)*1000+MONTH(C40)*31+DAY(C40)+A40</f>
        <v>2726</v>
      </c>
    </row>
    <row r="41" ht="13.65" customHeight="1">
      <c r="A41" s="22">
        <v>1617</v>
      </c>
      <c r="B41" t="s" s="23">
        <v>10241</v>
      </c>
      <c r="C41" t="s" s="23">
        <v>10451</v>
      </c>
      <c r="D41" s="24">
        <v>1</v>
      </c>
      <c r="E41" s="20" cm="1">
        <f t="array" ref="E41">_xlfn.COUNTIFS(B3:B562,B41,D3:D562,1,A3:A562,A41)</f>
        <v>1</v>
      </c>
      <c r="F41" s="25" cm="1">
        <f t="array" ref="F41">(YEAR(C41)-2025)*1000+MONTH(C41)*31+DAY(C41)+A41</f>
        <v>2725</v>
      </c>
    </row>
    <row r="42" ht="13.65" customHeight="1">
      <c r="A42" s="22">
        <v>1616</v>
      </c>
      <c r="B42" t="s" s="23">
        <v>10235</v>
      </c>
      <c r="C42" t="s" s="23">
        <v>10451</v>
      </c>
      <c r="D42" s="24">
        <v>0</v>
      </c>
      <c r="E42" s="20" cm="1">
        <f t="array" ref="E42">_xlfn.COUNTIFS(B3:B562,B42,D3:D562,1,A3:A562,A42)</f>
        <v>0</v>
      </c>
      <c r="F42" s="25" cm="1">
        <f t="array" ref="F42">(YEAR(C42)-2025)*1000+MONTH(C42)*31+DAY(C42)+A42</f>
        <v>2724</v>
      </c>
    </row>
    <row r="43" ht="13.65" customHeight="1">
      <c r="A43" s="22">
        <v>1615</v>
      </c>
      <c r="B43" t="s" s="23">
        <v>10229</v>
      </c>
      <c r="C43" t="s" s="23">
        <v>10451</v>
      </c>
      <c r="D43" s="24">
        <v>1</v>
      </c>
      <c r="E43" s="20" cm="1">
        <f t="array" ref="E43">_xlfn.COUNTIFS(B3:B562,B43,D3:D562,1,A3:A562,A43)</f>
        <v>1</v>
      </c>
      <c r="F43" s="25" cm="1">
        <f t="array" ref="F43">(YEAR(C43)-2025)*1000+MONTH(C43)*31+DAY(C43)+A43</f>
        <v>2723</v>
      </c>
    </row>
    <row r="44" ht="13.65" customHeight="1">
      <c r="A44" s="22">
        <v>1611</v>
      </c>
      <c r="B44" t="s" s="23">
        <v>10204</v>
      </c>
      <c r="C44" t="s" s="23">
        <v>10451</v>
      </c>
      <c r="D44" s="24">
        <v>1</v>
      </c>
      <c r="E44" s="20" cm="1">
        <f t="array" ref="E44">_xlfn.COUNTIFS(B3:B562,B44,D3:D562,1,A3:A562,A44)</f>
        <v>1</v>
      </c>
      <c r="F44" s="25" cm="1">
        <f t="array" ref="F44">(YEAR(C44)-2025)*1000+MONTH(C44)*31+DAY(C44)+A44</f>
        <v>2719</v>
      </c>
    </row>
    <row r="45" ht="13.65" customHeight="1">
      <c r="A45" s="22">
        <v>1609</v>
      </c>
      <c r="B45" t="s" s="23">
        <v>10191</v>
      </c>
      <c r="C45" t="s" s="23">
        <v>10451</v>
      </c>
      <c r="D45" s="24">
        <v>1</v>
      </c>
      <c r="E45" s="20" cm="1">
        <f t="array" ref="E45">_xlfn.COUNTIFS(B3:B562,B45,D3:D562,1,A3:A562,A45)</f>
        <v>1</v>
      </c>
      <c r="F45" s="25" cm="1">
        <f t="array" ref="F45">(YEAR(C45)-2025)*1000+MONTH(C45)*31+DAY(C45)+A45</f>
        <v>2717</v>
      </c>
    </row>
    <row r="46" ht="13.65" customHeight="1">
      <c r="A46" s="22">
        <v>1608</v>
      </c>
      <c r="B46" t="s" s="23">
        <v>10183</v>
      </c>
      <c r="C46" t="s" s="23">
        <v>10451</v>
      </c>
      <c r="D46" s="24">
        <v>1</v>
      </c>
      <c r="E46" s="20" cm="1">
        <f t="array" ref="E46">_xlfn.COUNTIFS(B3:B562,B46,D3:D562,1,A3:A562,A46)</f>
        <v>1</v>
      </c>
      <c r="F46" s="25" cm="1">
        <f t="array" ref="F46">(YEAR(C46)-2025)*1000+MONTH(C46)*31+DAY(C46)+A46</f>
        <v>2716</v>
      </c>
    </row>
    <row r="47" ht="13.65" customHeight="1">
      <c r="A47" s="22">
        <v>1606</v>
      </c>
      <c r="B47" t="s" s="23">
        <v>10171</v>
      </c>
      <c r="C47" t="s" s="23">
        <v>10451</v>
      </c>
      <c r="D47" s="24">
        <v>0</v>
      </c>
      <c r="E47" s="20" cm="1">
        <f t="array" ref="E47">_xlfn.COUNTIFS(B3:B562,B47,D3:D562,1,A3:A562,A47)</f>
        <v>0</v>
      </c>
      <c r="F47" s="25" cm="1">
        <f t="array" ref="F47">(YEAR(C47)-2025)*1000+MONTH(C47)*31+DAY(C47)+A47</f>
        <v>2714</v>
      </c>
    </row>
    <row r="48" ht="13.65" customHeight="1">
      <c r="A48" s="22">
        <v>1603</v>
      </c>
      <c r="B48" t="s" s="23">
        <v>10152</v>
      </c>
      <c r="C48" t="s" s="23">
        <v>10451</v>
      </c>
      <c r="D48" s="24">
        <v>1</v>
      </c>
      <c r="E48" s="20" cm="1">
        <f t="array" ref="E48">_xlfn.COUNTIFS(B3:B562,B48,D3:D562,1,A3:A562,A48)</f>
        <v>1</v>
      </c>
      <c r="F48" s="25" cm="1">
        <f t="array" ref="F48">(YEAR(C48)-2025)*1000+MONTH(C48)*31+DAY(C48)+A48</f>
        <v>2711</v>
      </c>
    </row>
    <row r="49" ht="13.65" customHeight="1">
      <c r="A49" s="22">
        <v>1601</v>
      </c>
      <c r="B49" t="s" s="23">
        <v>10141</v>
      </c>
      <c r="C49" t="s" s="23">
        <v>10451</v>
      </c>
      <c r="D49" s="24">
        <v>1</v>
      </c>
      <c r="E49" s="20" cm="1">
        <f t="array" ref="E49">_xlfn.COUNTIFS(B3:B562,B49,D3:D562,1,A3:A562,A49)</f>
        <v>1</v>
      </c>
      <c r="F49" s="25" cm="1">
        <f t="array" ref="F49">(YEAR(C49)-2025)*1000+MONTH(C49)*31+DAY(C49)+A49</f>
        <v>2709</v>
      </c>
    </row>
    <row r="50" ht="13.65" customHeight="1">
      <c r="A50" s="22">
        <v>1597</v>
      </c>
      <c r="B50" t="s" s="23">
        <v>2313</v>
      </c>
      <c r="C50" t="s" s="23">
        <v>10451</v>
      </c>
      <c r="D50" s="24">
        <v>1</v>
      </c>
      <c r="E50" s="20" cm="1">
        <f t="array" ref="E50">_xlfn.COUNTIFS(B3:B562,B50,D3:D562,1,A3:A562,A50)</f>
        <v>1</v>
      </c>
      <c r="F50" s="25" cm="1">
        <f t="array" ref="F50">(YEAR(C50)-2025)*1000+MONTH(C50)*31+DAY(C50)+A50</f>
        <v>2705</v>
      </c>
    </row>
    <row r="51" ht="13.65" customHeight="1">
      <c r="A51" s="22">
        <v>1596</v>
      </c>
      <c r="B51" t="s" s="23">
        <v>10117</v>
      </c>
      <c r="C51" t="s" s="23">
        <v>10451</v>
      </c>
      <c r="D51" s="24">
        <v>0</v>
      </c>
      <c r="E51" s="20" cm="1">
        <f t="array" ref="E51">_xlfn.COUNTIFS(B3:B562,B51,D3:D562,1,A3:A562,A51)</f>
        <v>0</v>
      </c>
      <c r="F51" s="25" cm="1">
        <f t="array" ref="F51">(YEAR(C51)-2025)*1000+MONTH(C51)*31+DAY(C51)+A51</f>
        <v>2704</v>
      </c>
    </row>
    <row r="52" ht="13.65" customHeight="1">
      <c r="A52" s="22">
        <v>1595</v>
      </c>
      <c r="B52" t="s" s="23">
        <v>10110</v>
      </c>
      <c r="C52" t="s" s="23">
        <v>10451</v>
      </c>
      <c r="D52" s="24">
        <v>1</v>
      </c>
      <c r="E52" s="20" cm="1">
        <f t="array" ref="E52">_xlfn.COUNTIFS(B3:B562,B52,D3:D562,1,A3:A562,A52)</f>
        <v>1</v>
      </c>
      <c r="F52" s="25" cm="1">
        <f t="array" ref="F52">(YEAR(C52)-2025)*1000+MONTH(C52)*31+DAY(C52)+A52</f>
        <v>2703</v>
      </c>
    </row>
    <row r="53" ht="13.65" customHeight="1">
      <c r="A53" s="22">
        <v>1594</v>
      </c>
      <c r="B53" t="s" s="23">
        <v>10104</v>
      </c>
      <c r="C53" t="s" s="23">
        <v>10451</v>
      </c>
      <c r="D53" s="24">
        <v>0</v>
      </c>
      <c r="E53" s="20" cm="1">
        <f t="array" ref="E53">_xlfn.COUNTIFS(B3:B562,B53,D3:D562,1,A3:A562,A53)</f>
        <v>0</v>
      </c>
      <c r="F53" s="25" cm="1">
        <f t="array" ref="F53">(YEAR(C53)-2025)*1000+MONTH(C53)*31+DAY(C53)+A53</f>
        <v>2702</v>
      </c>
    </row>
    <row r="54" ht="13.65" customHeight="1">
      <c r="A54" s="22">
        <v>1591</v>
      </c>
      <c r="B54" t="s" s="23">
        <v>10086</v>
      </c>
      <c r="C54" t="s" s="23">
        <v>10451</v>
      </c>
      <c r="D54" s="24">
        <v>1</v>
      </c>
      <c r="E54" s="20" cm="1">
        <f t="array" ref="E54">_xlfn.COUNTIFS(B3:B562,B54,D3:D562,1,A3:A562,A54)</f>
        <v>1</v>
      </c>
      <c r="F54" s="25" cm="1">
        <f t="array" ref="F54">(YEAR(C54)-2025)*1000+MONTH(C54)*31+DAY(C54)+A54</f>
        <v>2699</v>
      </c>
    </row>
    <row r="55" ht="13.65" customHeight="1">
      <c r="A55" s="22">
        <v>1587</v>
      </c>
      <c r="B55" t="s" s="23">
        <v>10058</v>
      </c>
      <c r="C55" t="s" s="23">
        <v>10451</v>
      </c>
      <c r="D55" s="24">
        <v>0</v>
      </c>
      <c r="E55" s="20" cm="1">
        <f t="array" ref="E55">_xlfn.COUNTIFS(B3:B562,B55,D3:D562,1,A3:A562,A55)</f>
        <v>0</v>
      </c>
      <c r="F55" s="25" cm="1">
        <f t="array" ref="F55">(YEAR(C55)-2025)*1000+MONTH(C55)*31+DAY(C55)+A55</f>
        <v>2695</v>
      </c>
    </row>
    <row r="56" ht="13.65" customHeight="1">
      <c r="A56" s="22">
        <v>1586</v>
      </c>
      <c r="B56" t="s" s="23">
        <v>10052</v>
      </c>
      <c r="C56" t="s" s="23">
        <v>10451</v>
      </c>
      <c r="D56" s="24">
        <v>1</v>
      </c>
      <c r="E56" s="20" cm="1">
        <f t="array" ref="E56">_xlfn.COUNTIFS(B3:B562,B56,D3:D562,1,A3:A562,A56)</f>
        <v>1</v>
      </c>
      <c r="F56" s="25" cm="1">
        <f t="array" ref="F56">(YEAR(C56)-2025)*1000+MONTH(C56)*31+DAY(C56)+A56</f>
        <v>2694</v>
      </c>
    </row>
    <row r="57" ht="13.65" customHeight="1">
      <c r="A57" s="22">
        <v>1585</v>
      </c>
      <c r="B57" t="s" s="23">
        <v>10045</v>
      </c>
      <c r="C57" t="s" s="23">
        <v>10451</v>
      </c>
      <c r="D57" s="24">
        <v>1</v>
      </c>
      <c r="E57" s="20" cm="1">
        <f t="array" ref="E57">_xlfn.COUNTIFS(B3:B562,B57,D3:D562,1,A3:A562,A57)</f>
        <v>1</v>
      </c>
      <c r="F57" s="25" cm="1">
        <f t="array" ref="F57">(YEAR(C57)-2025)*1000+MONTH(C57)*31+DAY(C57)+A57</f>
        <v>2693</v>
      </c>
    </row>
    <row r="58" ht="13.65" customHeight="1">
      <c r="A58" s="22">
        <v>1582</v>
      </c>
      <c r="B58" t="s" s="23">
        <v>10026</v>
      </c>
      <c r="C58" t="s" s="23">
        <v>10451</v>
      </c>
      <c r="D58" s="24">
        <v>1</v>
      </c>
      <c r="E58" s="20" cm="1">
        <f t="array" ref="E58">_xlfn.COUNTIFS(B3:B562,B58,D3:D562,1,A3:A562,A58)</f>
        <v>1</v>
      </c>
      <c r="F58" s="25" cm="1">
        <f t="array" ref="F58">(YEAR(C58)-2025)*1000+MONTH(C58)*31+DAY(C58)+A58</f>
        <v>2690</v>
      </c>
    </row>
    <row r="59" ht="13.65" customHeight="1">
      <c r="A59" s="22">
        <v>1580</v>
      </c>
      <c r="B59" t="s" s="23">
        <v>10015</v>
      </c>
      <c r="C59" t="s" s="23">
        <v>10451</v>
      </c>
      <c r="D59" s="24">
        <v>0</v>
      </c>
      <c r="E59" s="20" cm="1">
        <f t="array" ref="E59">_xlfn.COUNTIFS(B3:B562,B59,D3:D562,1,A3:A562,A59)</f>
        <v>0</v>
      </c>
      <c r="F59" s="25" cm="1">
        <f t="array" ref="F59">(YEAR(C59)-2025)*1000+MONTH(C59)*31+DAY(C59)+A59</f>
        <v>2688</v>
      </c>
    </row>
    <row r="60" ht="13.65" customHeight="1">
      <c r="A60" s="22">
        <v>1574</v>
      </c>
      <c r="B60" t="s" s="23">
        <v>9974</v>
      </c>
      <c r="C60" t="s" s="23">
        <v>10451</v>
      </c>
      <c r="D60" s="24">
        <v>1</v>
      </c>
      <c r="E60" s="20" cm="1">
        <f t="array" ref="E60">_xlfn.COUNTIFS(B3:B562,B60,D3:D562,1,A3:A562,A60)</f>
        <v>1</v>
      </c>
      <c r="F60" s="25" cm="1">
        <f t="array" ref="F60">(YEAR(C60)-2025)*1000+MONTH(C60)*31+DAY(C60)+A60</f>
        <v>2682</v>
      </c>
    </row>
    <row r="61" ht="13.65" customHeight="1">
      <c r="A61" s="22">
        <v>1573</v>
      </c>
      <c r="B61" t="s" s="23">
        <v>9967</v>
      </c>
      <c r="C61" t="s" s="23">
        <v>10451</v>
      </c>
      <c r="D61" s="24">
        <v>1</v>
      </c>
      <c r="E61" s="20" cm="1">
        <f t="array" ref="E61">_xlfn.COUNTIFS(B3:B562,B61,D3:D562,1,A3:A562,A61)</f>
        <v>1</v>
      </c>
      <c r="F61" s="25" cm="1">
        <f t="array" ref="F61">(YEAR(C61)-2025)*1000+MONTH(C61)*31+DAY(C61)+A61</f>
        <v>2681</v>
      </c>
    </row>
    <row r="62" ht="13.65" customHeight="1">
      <c r="A62" s="22">
        <v>1558</v>
      </c>
      <c r="B62" t="s" s="23">
        <v>2477</v>
      </c>
      <c r="C62" t="s" s="23">
        <v>10451</v>
      </c>
      <c r="D62" s="24">
        <v>1</v>
      </c>
      <c r="E62" s="20" cm="1">
        <f t="array" ref="E62">_xlfn.COUNTIFS(B3:B562,B62,D3:D562,1,A3:A562,A62)</f>
        <v>1</v>
      </c>
      <c r="F62" s="25" cm="1">
        <f t="array" ref="F62">(YEAR(C62)-2025)*1000+MONTH(C62)*31+DAY(C62)+A62</f>
        <v>2666</v>
      </c>
    </row>
    <row r="63" ht="13.65" customHeight="1">
      <c r="A63" s="22">
        <v>185</v>
      </c>
      <c r="B63" t="s" s="23">
        <v>1180</v>
      </c>
      <c r="C63" t="s" s="23">
        <v>226</v>
      </c>
      <c r="D63" s="24">
        <v>1</v>
      </c>
      <c r="E63" s="20" cm="1">
        <f t="array" ref="E63">_xlfn.COUNTIFS(B3:B562,B63,D3:D562,1,A3:A562,A63)</f>
        <v>1</v>
      </c>
      <c r="F63" s="25" cm="1">
        <f t="array" ref="F63">(YEAR(C63)-2025)*1000+MONTH(C63)*31+DAY(C63)+A63</f>
        <v>1295</v>
      </c>
    </row>
    <row r="64" ht="13.65" customHeight="1">
      <c r="A64" s="22">
        <v>184</v>
      </c>
      <c r="B64" t="s" s="23">
        <v>1173</v>
      </c>
      <c r="C64" t="s" s="23">
        <v>226</v>
      </c>
      <c r="D64" s="24">
        <v>1</v>
      </c>
      <c r="E64" s="20" cm="1">
        <f t="array" ref="E64">_xlfn.COUNTIFS(B3:B562,B64,D3:D562,1,A3:A562,A64)</f>
        <v>1</v>
      </c>
      <c r="F64" s="25" cm="1">
        <f t="array" ref="F64">(YEAR(C64)-2025)*1000+MONTH(C64)*31+DAY(C64)+A64</f>
        <v>1294</v>
      </c>
    </row>
    <row r="65" ht="13.65" customHeight="1">
      <c r="A65" s="22">
        <v>183</v>
      </c>
      <c r="B65" t="s" s="23">
        <v>1167</v>
      </c>
      <c r="C65" t="s" s="23">
        <v>226</v>
      </c>
      <c r="D65" s="24">
        <v>1</v>
      </c>
      <c r="E65" s="20" cm="1">
        <f t="array" ref="E65">_xlfn.COUNTIFS(B3:B562,B65,D3:D562,1,A3:A562,A65)</f>
        <v>1</v>
      </c>
      <c r="F65" s="25" cm="1">
        <f t="array" ref="F65">(YEAR(C65)-2025)*1000+MONTH(C65)*31+DAY(C65)+A65</f>
        <v>1293</v>
      </c>
    </row>
    <row r="66" ht="13.65" customHeight="1">
      <c r="A66" s="22">
        <v>182</v>
      </c>
      <c r="B66" t="s" s="23">
        <v>1160</v>
      </c>
      <c r="C66" t="s" s="23">
        <v>226</v>
      </c>
      <c r="D66" s="24">
        <v>1</v>
      </c>
      <c r="E66" s="20" cm="1">
        <f t="array" ref="E66">_xlfn.COUNTIFS(B3:B562,B66,D3:D562,1,A3:A562,A66)</f>
        <v>1</v>
      </c>
      <c r="F66" s="25" cm="1">
        <f t="array" ref="F66">(YEAR(C66)-2025)*1000+MONTH(C66)*31+DAY(C66)+A66</f>
        <v>1292</v>
      </c>
    </row>
    <row r="67" ht="13.65" customHeight="1">
      <c r="A67" s="22">
        <v>181</v>
      </c>
      <c r="B67" t="s" s="23">
        <v>1154</v>
      </c>
      <c r="C67" t="s" s="23">
        <v>226</v>
      </c>
      <c r="D67" s="24">
        <v>1</v>
      </c>
      <c r="E67" s="20" cm="1">
        <f t="array" ref="E67">_xlfn.COUNTIFS(B3:B562,B67,D3:D562,1,A3:A562,A67)</f>
        <v>1</v>
      </c>
      <c r="F67" s="25" cm="1">
        <f t="array" ref="F67">(YEAR(C67)-2025)*1000+MONTH(C67)*31+DAY(C67)+A67</f>
        <v>1291</v>
      </c>
    </row>
    <row r="68" ht="13.65" customHeight="1">
      <c r="A68" s="22">
        <v>180</v>
      </c>
      <c r="B68" t="s" s="23">
        <v>1148</v>
      </c>
      <c r="C68" t="s" s="23">
        <v>226</v>
      </c>
      <c r="D68" s="24">
        <v>0</v>
      </c>
      <c r="E68" s="20" cm="1">
        <f t="array" ref="E68">_xlfn.COUNTIFS(B3:B562,B68,D3:D562,1,A3:A562,A68)</f>
        <v>0</v>
      </c>
      <c r="F68" s="25" cm="1">
        <f t="array" ref="F68">(YEAR(C68)-2025)*1000+MONTH(C68)*31+DAY(C68)+A68</f>
        <v>1290</v>
      </c>
    </row>
    <row r="69" ht="13.65" customHeight="1">
      <c r="A69" s="22">
        <v>179</v>
      </c>
      <c r="B69" t="s" s="23">
        <v>1142</v>
      </c>
      <c r="C69" t="s" s="23">
        <v>226</v>
      </c>
      <c r="D69" s="24">
        <v>1</v>
      </c>
      <c r="E69" s="20" cm="1">
        <f t="array" ref="E69">_xlfn.COUNTIFS(B3:B562,B69,D3:D562,1,A3:A562,A69)</f>
        <v>1</v>
      </c>
      <c r="F69" s="25" cm="1">
        <f t="array" ref="F69">(YEAR(C69)-2025)*1000+MONTH(C69)*31+DAY(C69)+A69</f>
        <v>1289</v>
      </c>
    </row>
    <row r="70" ht="13.65" customHeight="1">
      <c r="A70" s="22">
        <v>178</v>
      </c>
      <c r="B70" t="s" s="23">
        <v>1135</v>
      </c>
      <c r="C70" t="s" s="23">
        <v>226</v>
      </c>
      <c r="D70" s="24">
        <v>1</v>
      </c>
      <c r="E70" s="20" cm="1">
        <f t="array" ref="E70">_xlfn.COUNTIFS(B3:B562,B70,D3:D562,1,A3:A562,A70)</f>
        <v>1</v>
      </c>
      <c r="F70" s="25" cm="1">
        <f t="array" ref="F70">(YEAR(C70)-2025)*1000+MONTH(C70)*31+DAY(C70)+A70</f>
        <v>1288</v>
      </c>
    </row>
    <row r="71" ht="13.65" customHeight="1">
      <c r="A71" s="22">
        <v>177</v>
      </c>
      <c r="B71" t="s" s="23">
        <v>1129</v>
      </c>
      <c r="C71" t="s" s="23">
        <v>226</v>
      </c>
      <c r="D71" s="24">
        <v>1</v>
      </c>
      <c r="E71" s="20" cm="1">
        <f t="array" ref="E71">_xlfn.COUNTIFS(B3:B562,B71,D3:D562,1,A3:A562,A71)</f>
        <v>1</v>
      </c>
      <c r="F71" s="25" cm="1">
        <f t="array" ref="F71">(YEAR(C71)-2025)*1000+MONTH(C71)*31+DAY(C71)+A71</f>
        <v>1287</v>
      </c>
    </row>
    <row r="72" ht="13.65" customHeight="1">
      <c r="A72" s="22">
        <v>176</v>
      </c>
      <c r="B72" t="s" s="23">
        <v>1122</v>
      </c>
      <c r="C72" t="s" s="23">
        <v>226</v>
      </c>
      <c r="D72" s="24">
        <v>1</v>
      </c>
      <c r="E72" s="20" cm="1">
        <f t="array" ref="E72">_xlfn.COUNTIFS(B3:B562,B72,D3:D562,1,A3:A562,A72)</f>
        <v>1</v>
      </c>
      <c r="F72" s="25" cm="1">
        <f t="array" ref="F72">(YEAR(C72)-2025)*1000+MONTH(C72)*31+DAY(C72)+A72</f>
        <v>1286</v>
      </c>
    </row>
    <row r="73" ht="13.65" customHeight="1">
      <c r="A73" s="22">
        <v>175</v>
      </c>
      <c r="B73" t="s" s="23">
        <v>1114</v>
      </c>
      <c r="C73" t="s" s="23">
        <v>226</v>
      </c>
      <c r="D73" s="24">
        <v>1</v>
      </c>
      <c r="E73" s="20" cm="1">
        <f t="array" ref="E73">_xlfn.COUNTIFS(B3:B562,B73,D3:D562,1,A3:A562,A73)</f>
        <v>1</v>
      </c>
      <c r="F73" s="25" cm="1">
        <f t="array" ref="F73">(YEAR(C73)-2025)*1000+MONTH(C73)*31+DAY(C73)+A73</f>
        <v>1285</v>
      </c>
    </row>
    <row r="74" ht="13.65" customHeight="1">
      <c r="A74" s="22">
        <v>174</v>
      </c>
      <c r="B74" t="s" s="23">
        <v>1108</v>
      </c>
      <c r="C74" t="s" s="23">
        <v>226</v>
      </c>
      <c r="D74" s="24">
        <v>1</v>
      </c>
      <c r="E74" s="20" cm="1">
        <f t="array" ref="E74">_xlfn.COUNTIFS(B3:B562,B74,D3:D562,1,A3:A562,A74)</f>
        <v>1</v>
      </c>
      <c r="F74" s="25" cm="1">
        <f t="array" ref="F74">(YEAR(C74)-2025)*1000+MONTH(C74)*31+DAY(C74)+A74</f>
        <v>1284</v>
      </c>
    </row>
    <row r="75" ht="13.65" customHeight="1">
      <c r="A75" s="22">
        <v>173</v>
      </c>
      <c r="B75" t="s" s="23">
        <v>1102</v>
      </c>
      <c r="C75" t="s" s="23">
        <v>226</v>
      </c>
      <c r="D75" s="24">
        <v>1</v>
      </c>
      <c r="E75" s="20" cm="1">
        <f t="array" ref="E75">_xlfn.COUNTIFS(B3:B562,B75,D3:D562,1,A3:A562,A75)</f>
        <v>1</v>
      </c>
      <c r="F75" s="25" cm="1">
        <f t="array" ref="F75">(YEAR(C75)-2025)*1000+MONTH(C75)*31+DAY(C75)+A75</f>
        <v>1283</v>
      </c>
    </row>
    <row r="76" ht="13.65" customHeight="1">
      <c r="A76" s="22">
        <v>172</v>
      </c>
      <c r="B76" t="s" s="23">
        <v>1096</v>
      </c>
      <c r="C76" t="s" s="23">
        <v>226</v>
      </c>
      <c r="D76" s="24">
        <v>0</v>
      </c>
      <c r="E76" s="20" cm="1">
        <f t="array" ref="E76">_xlfn.COUNTIFS(B3:B562,B76,D3:D562,1,A3:A562,A76)</f>
        <v>0</v>
      </c>
      <c r="F76" s="25" cm="1">
        <f t="array" ref="F76">(YEAR(C76)-2025)*1000+MONTH(C76)*31+DAY(C76)+A76</f>
        <v>1282</v>
      </c>
    </row>
    <row r="77" ht="13.65" customHeight="1">
      <c r="A77" s="22">
        <v>171</v>
      </c>
      <c r="B77" t="s" s="23">
        <v>1090</v>
      </c>
      <c r="C77" t="s" s="23">
        <v>226</v>
      </c>
      <c r="D77" s="24">
        <v>0</v>
      </c>
      <c r="E77" s="20" cm="1">
        <f t="array" ref="E77">_xlfn.COUNTIFS(B3:B562,B77,D3:D562,1,A3:A562,A77)</f>
        <v>0</v>
      </c>
      <c r="F77" s="25" cm="1">
        <f t="array" ref="F77">(YEAR(C77)-2025)*1000+MONTH(C77)*31+DAY(C77)+A77</f>
        <v>1281</v>
      </c>
    </row>
    <row r="78" ht="13.65" customHeight="1">
      <c r="A78" s="22">
        <v>171</v>
      </c>
      <c r="B78" t="s" s="23">
        <v>1090</v>
      </c>
      <c r="C78" t="s" s="23">
        <v>26</v>
      </c>
      <c r="D78" s="24">
        <v>0</v>
      </c>
      <c r="E78" s="20" cm="1">
        <f t="array" ref="E78">_xlfn.COUNTIFS(B3:B562,B78,D3:D562,1,A3:A562,A78)</f>
        <v>0</v>
      </c>
      <c r="F78" s="25" cm="1">
        <f t="array" ref="F78">(YEAR(C78)-2025)*1000+MONTH(C78)*31+DAY(C78)+A78</f>
        <v>1280</v>
      </c>
    </row>
    <row r="79" ht="13.65" customHeight="1">
      <c r="A79" s="22">
        <v>170</v>
      </c>
      <c r="B79" t="s" s="23">
        <v>1084</v>
      </c>
      <c r="C79" t="s" s="23">
        <v>226</v>
      </c>
      <c r="D79" s="24">
        <v>0</v>
      </c>
      <c r="E79" s="20" cm="1">
        <f t="array" ref="E79">_xlfn.COUNTIFS(B3:B562,B79,D3:D562,1,A3:A562,A79)</f>
        <v>0</v>
      </c>
      <c r="F79" s="25" cm="1">
        <f t="array" ref="F79">(YEAR(C79)-2025)*1000+MONTH(C79)*31+DAY(C79)+A79</f>
        <v>1280</v>
      </c>
    </row>
    <row r="80" ht="13.65" customHeight="1">
      <c r="A80" s="22">
        <v>170</v>
      </c>
      <c r="B80" t="s" s="23">
        <v>1084</v>
      </c>
      <c r="C80" t="s" s="23">
        <v>26</v>
      </c>
      <c r="D80" s="24">
        <v>0</v>
      </c>
      <c r="E80" s="20" cm="1">
        <f t="array" ref="E80">_xlfn.COUNTIFS(B3:B562,B80,D3:D562,1,A3:A562,A80)</f>
        <v>0</v>
      </c>
      <c r="F80" s="25" cm="1">
        <f t="array" ref="F80">(YEAR(C80)-2025)*1000+MONTH(C80)*31+DAY(C80)+A80</f>
        <v>1279</v>
      </c>
    </row>
    <row r="81" ht="13.65" customHeight="1">
      <c r="A81" s="22">
        <v>169</v>
      </c>
      <c r="B81" t="s" s="23">
        <v>1077</v>
      </c>
      <c r="C81" t="s" s="23">
        <v>226</v>
      </c>
      <c r="D81" s="24">
        <v>0</v>
      </c>
      <c r="E81" s="20" cm="1">
        <f t="array" ref="E81">_xlfn.COUNTIFS(B3:B562,B81,D3:D562,1,A3:A562,A81)</f>
        <v>0</v>
      </c>
      <c r="F81" s="25" cm="1">
        <f t="array" ref="F81">(YEAR(C81)-2025)*1000+MONTH(C81)*31+DAY(C81)+A81</f>
        <v>1279</v>
      </c>
    </row>
    <row r="82" ht="13.65" customHeight="1">
      <c r="A82" s="22">
        <v>169</v>
      </c>
      <c r="B82" t="s" s="23">
        <v>1077</v>
      </c>
      <c r="C82" t="s" s="23">
        <v>26</v>
      </c>
      <c r="D82" s="24">
        <v>0</v>
      </c>
      <c r="E82" s="20" cm="1">
        <f t="array" ref="E82">_xlfn.COUNTIFS(B3:B562,B82,D3:D562,1,A3:A562,A82)</f>
        <v>0</v>
      </c>
      <c r="F82" s="25" cm="1">
        <f t="array" ref="F82">(YEAR(C82)-2025)*1000+MONTH(C82)*31+DAY(C82)+A82</f>
        <v>1278</v>
      </c>
    </row>
    <row r="83" ht="13.65" customHeight="1">
      <c r="A83" s="22">
        <v>168</v>
      </c>
      <c r="B83" t="s" s="23">
        <v>1071</v>
      </c>
      <c r="C83" t="s" s="23">
        <v>226</v>
      </c>
      <c r="D83" s="24">
        <v>1</v>
      </c>
      <c r="E83" s="20" cm="1">
        <f t="array" ref="E83">_xlfn.COUNTIFS(B3:B562,B83,D3:D562,1,A3:A562,A83)</f>
        <v>2</v>
      </c>
      <c r="F83" s="25" cm="1">
        <f t="array" ref="F83">(YEAR(C83)-2025)*1000+MONTH(C83)*31+DAY(C83)+A83</f>
        <v>1278</v>
      </c>
    </row>
    <row r="84" ht="13.65" customHeight="1">
      <c r="A84" s="22">
        <v>168</v>
      </c>
      <c r="B84" t="s" s="23">
        <v>1071</v>
      </c>
      <c r="C84" t="s" s="23">
        <v>26</v>
      </c>
      <c r="D84" s="24">
        <v>1</v>
      </c>
      <c r="E84" s="20" cm="1">
        <f t="array" ref="E84">_xlfn.COUNTIFS(B3:B562,B84,D3:D562,1,A3:A562,A84)</f>
        <v>2</v>
      </c>
      <c r="F84" s="25" cm="1">
        <f t="array" ref="F84">(YEAR(C84)-2025)*1000+MONTH(C84)*31+DAY(C84)+A84</f>
        <v>1277</v>
      </c>
    </row>
    <row r="85" ht="13.65" customHeight="1">
      <c r="A85" s="22">
        <v>167</v>
      </c>
      <c r="B85" t="s" s="23">
        <v>1065</v>
      </c>
      <c r="C85" t="s" s="23">
        <v>226</v>
      </c>
      <c r="D85" s="24">
        <v>1</v>
      </c>
      <c r="E85" s="20" cm="1">
        <f t="array" ref="E85">_xlfn.COUNTIFS(B3:B562,B85,D3:D562,1,A3:A562,A85)</f>
        <v>2</v>
      </c>
      <c r="F85" s="25" cm="1">
        <f t="array" ref="F85">(YEAR(C85)-2025)*1000+MONTH(C85)*31+DAY(C85)+A85</f>
        <v>1277</v>
      </c>
    </row>
    <row r="86" ht="13.65" customHeight="1">
      <c r="A86" s="22">
        <v>167</v>
      </c>
      <c r="B86" t="s" s="23">
        <v>1065</v>
      </c>
      <c r="C86" t="s" s="23">
        <v>26</v>
      </c>
      <c r="D86" s="24">
        <v>1</v>
      </c>
      <c r="E86" s="20" cm="1">
        <f t="array" ref="E86">_xlfn.COUNTIFS(B3:B562,B86,D3:D562,1,A3:A562,A86)</f>
        <v>2</v>
      </c>
      <c r="F86" s="25" cm="1">
        <f t="array" ref="F86">(YEAR(C86)-2025)*1000+MONTH(C86)*31+DAY(C86)+A86</f>
        <v>1276</v>
      </c>
    </row>
    <row r="87" ht="13.65" customHeight="1">
      <c r="A87" s="22">
        <v>166</v>
      </c>
      <c r="B87" t="s" s="23">
        <v>1057</v>
      </c>
      <c r="C87" t="s" s="23">
        <v>226</v>
      </c>
      <c r="D87" s="24">
        <v>0</v>
      </c>
      <c r="E87" s="20" cm="1">
        <f t="array" ref="E87">_xlfn.COUNTIFS(B3:B562,B87,D3:D562,1,A3:A562,A87)</f>
        <v>0</v>
      </c>
      <c r="F87" s="25" cm="1">
        <f t="array" ref="F87">(YEAR(C87)-2025)*1000+MONTH(C87)*31+DAY(C87)+A87</f>
        <v>1276</v>
      </c>
    </row>
    <row r="88" ht="13.65" customHeight="1">
      <c r="A88" s="22">
        <v>166</v>
      </c>
      <c r="B88" t="s" s="23">
        <v>1057</v>
      </c>
      <c r="C88" t="s" s="23">
        <v>26</v>
      </c>
      <c r="D88" s="24">
        <v>0</v>
      </c>
      <c r="E88" s="20" cm="1">
        <f t="array" ref="E88">_xlfn.COUNTIFS(B3:B562,B88,D3:D562,1,A3:A562,A88)</f>
        <v>0</v>
      </c>
      <c r="F88" s="25" cm="1">
        <f t="array" ref="F88">(YEAR(C88)-2025)*1000+MONTH(C88)*31+DAY(C88)+A88</f>
        <v>1275</v>
      </c>
    </row>
    <row r="89" ht="13.65" customHeight="1">
      <c r="A89" s="22">
        <v>165</v>
      </c>
      <c r="B89" t="s" s="23">
        <v>1051</v>
      </c>
      <c r="C89" t="s" s="23">
        <v>226</v>
      </c>
      <c r="D89" s="24">
        <v>1</v>
      </c>
      <c r="E89" s="20" cm="1">
        <f t="array" ref="E89">_xlfn.COUNTIFS(B3:B562,B89,D3:D562,1,A3:A562,A89)</f>
        <v>2</v>
      </c>
      <c r="F89" s="25" cm="1">
        <f t="array" ref="F89">(YEAR(C89)-2025)*1000+MONTH(C89)*31+DAY(C89)+A89</f>
        <v>1275</v>
      </c>
    </row>
    <row r="90" ht="13.65" customHeight="1">
      <c r="A90" s="22">
        <v>165</v>
      </c>
      <c r="B90" t="s" s="23">
        <v>1051</v>
      </c>
      <c r="C90" t="s" s="23">
        <v>26</v>
      </c>
      <c r="D90" s="24">
        <v>1</v>
      </c>
      <c r="E90" s="20" cm="1">
        <f t="array" ref="E90">_xlfn.COUNTIFS(B3:B562,B90,D3:D562,1,A3:A562,A90)</f>
        <v>2</v>
      </c>
      <c r="F90" s="25" cm="1">
        <f t="array" ref="F90">(YEAR(C90)-2025)*1000+MONTH(C90)*31+DAY(C90)+A90</f>
        <v>1274</v>
      </c>
    </row>
    <row r="91" ht="13.65" customHeight="1">
      <c r="A91" s="22">
        <v>164</v>
      </c>
      <c r="B91" t="s" s="23">
        <v>1045</v>
      </c>
      <c r="C91" t="s" s="23">
        <v>226</v>
      </c>
      <c r="D91" s="24">
        <v>0</v>
      </c>
      <c r="E91" s="20" cm="1">
        <f t="array" ref="E91">_xlfn.COUNTIFS(B3:B562,B91,D3:D562,1,A3:A562,A91)</f>
        <v>0</v>
      </c>
      <c r="F91" s="25" cm="1">
        <f t="array" ref="F91">(YEAR(C91)-2025)*1000+MONTH(C91)*31+DAY(C91)+A91</f>
        <v>1274</v>
      </c>
    </row>
    <row r="92" ht="13.65" customHeight="1">
      <c r="A92" s="22">
        <v>164</v>
      </c>
      <c r="B92" t="s" s="23">
        <v>1045</v>
      </c>
      <c r="C92" t="s" s="23">
        <v>26</v>
      </c>
      <c r="D92" s="24">
        <v>0</v>
      </c>
      <c r="E92" s="20" cm="1">
        <f t="array" ref="E92">_xlfn.COUNTIFS(B3:B562,B92,D3:D562,1,A3:A562,A92)</f>
        <v>0</v>
      </c>
      <c r="F92" s="25" cm="1">
        <f t="array" ref="F92">(YEAR(C92)-2025)*1000+MONTH(C92)*31+DAY(C92)+A92</f>
        <v>1273</v>
      </c>
    </row>
    <row r="93" ht="13.65" customHeight="1">
      <c r="A93" s="22">
        <v>163</v>
      </c>
      <c r="B93" t="s" s="23">
        <v>1039</v>
      </c>
      <c r="C93" t="s" s="23">
        <v>226</v>
      </c>
      <c r="D93" s="24">
        <v>0</v>
      </c>
      <c r="E93" s="20" cm="1">
        <f t="array" ref="E93">_xlfn.COUNTIFS(B3:B562,B93,D3:D562,1,A3:A562,A93)</f>
        <v>0</v>
      </c>
      <c r="F93" s="25" cm="1">
        <f t="array" ref="F93">(YEAR(C93)-2025)*1000+MONTH(C93)*31+DAY(C93)+A93</f>
        <v>1273</v>
      </c>
    </row>
    <row r="94" ht="13.65" customHeight="1">
      <c r="A94" s="22">
        <v>163</v>
      </c>
      <c r="B94" t="s" s="23">
        <v>1039</v>
      </c>
      <c r="C94" t="s" s="23">
        <v>26</v>
      </c>
      <c r="D94" s="24">
        <v>0</v>
      </c>
      <c r="E94" s="20" cm="1">
        <f t="array" ref="E94">_xlfn.COUNTIFS(B3:B562,B94,D3:D562,1,A3:A562,A94)</f>
        <v>0</v>
      </c>
      <c r="F94" s="25" cm="1">
        <f t="array" ref="F94">(YEAR(C94)-2025)*1000+MONTH(C94)*31+DAY(C94)+A94</f>
        <v>1272</v>
      </c>
    </row>
    <row r="95" ht="13.65" customHeight="1">
      <c r="A95" s="22">
        <v>162</v>
      </c>
      <c r="B95" t="s" s="23">
        <v>1032</v>
      </c>
      <c r="C95" t="s" s="23">
        <v>226</v>
      </c>
      <c r="D95" s="24">
        <v>1</v>
      </c>
      <c r="E95" s="20" cm="1">
        <f t="array" ref="E95">_xlfn.COUNTIFS(B3:B562,B95,D3:D562,1,A3:A562,A95)</f>
        <v>2</v>
      </c>
      <c r="F95" s="25" cm="1">
        <f t="array" ref="F95">(YEAR(C95)-2025)*1000+MONTH(C95)*31+DAY(C95)+A95</f>
        <v>1272</v>
      </c>
    </row>
    <row r="96" ht="13.65" customHeight="1">
      <c r="A96" s="22">
        <v>162</v>
      </c>
      <c r="B96" t="s" s="23">
        <v>1032</v>
      </c>
      <c r="C96" t="s" s="23">
        <v>26</v>
      </c>
      <c r="D96" s="24">
        <v>1</v>
      </c>
      <c r="E96" s="20" cm="1">
        <f t="array" ref="E96">_xlfn.COUNTIFS(B3:B562,B96,D3:D562,1,A3:A562,A96)</f>
        <v>2</v>
      </c>
      <c r="F96" s="25" cm="1">
        <f t="array" ref="F96">(YEAR(C96)-2025)*1000+MONTH(C96)*31+DAY(C96)+A96</f>
        <v>1271</v>
      </c>
    </row>
    <row r="97" ht="13.65" customHeight="1">
      <c r="A97" s="22">
        <v>161</v>
      </c>
      <c r="B97" t="s" s="23">
        <v>1026</v>
      </c>
      <c r="C97" t="s" s="23">
        <v>226</v>
      </c>
      <c r="D97" s="24">
        <v>1</v>
      </c>
      <c r="E97" s="20" cm="1">
        <f t="array" ref="E97">_xlfn.COUNTIFS(B3:B562,B97,D3:D562,1,A3:A562,A97)</f>
        <v>2</v>
      </c>
      <c r="F97" s="25" cm="1">
        <f t="array" ref="F97">(YEAR(C97)-2025)*1000+MONTH(C97)*31+DAY(C97)+A97</f>
        <v>1271</v>
      </c>
    </row>
    <row r="98" ht="13.65" customHeight="1">
      <c r="A98" s="22">
        <v>161</v>
      </c>
      <c r="B98" t="s" s="23">
        <v>1026</v>
      </c>
      <c r="C98" t="s" s="23">
        <v>26</v>
      </c>
      <c r="D98" s="24">
        <v>1</v>
      </c>
      <c r="E98" s="20" cm="1">
        <f t="array" ref="E98">_xlfn.COUNTIFS(B3:B562,B98,D3:D562,1,A3:A562,A98)</f>
        <v>2</v>
      </c>
      <c r="F98" s="25" cm="1">
        <f t="array" ref="F98">(YEAR(C98)-2025)*1000+MONTH(C98)*31+DAY(C98)+A98</f>
        <v>1270</v>
      </c>
    </row>
    <row r="99" ht="13.65" customHeight="1">
      <c r="A99" s="22">
        <v>160</v>
      </c>
      <c r="B99" t="s" s="23">
        <v>1020</v>
      </c>
      <c r="C99" t="s" s="23">
        <v>226</v>
      </c>
      <c r="D99" s="24">
        <v>1</v>
      </c>
      <c r="E99" s="20" cm="1">
        <f t="array" ref="E99">_xlfn.COUNTIFS(B3:B562,B99,D3:D562,1,A3:A562,A99)</f>
        <v>2</v>
      </c>
      <c r="F99" s="25" cm="1">
        <f t="array" ref="F99">(YEAR(C99)-2025)*1000+MONTH(C99)*31+DAY(C99)+A99</f>
        <v>1270</v>
      </c>
    </row>
    <row r="100" ht="13.65" customHeight="1">
      <c r="A100" s="22">
        <v>160</v>
      </c>
      <c r="B100" t="s" s="23">
        <v>1020</v>
      </c>
      <c r="C100" t="s" s="23">
        <v>26</v>
      </c>
      <c r="D100" s="24">
        <v>1</v>
      </c>
      <c r="E100" s="20" cm="1">
        <f t="array" ref="E100">_xlfn.COUNTIFS(B3:B562,B100,D3:D562,1,A3:A562,A100)</f>
        <v>2</v>
      </c>
      <c r="F100" s="25" cm="1">
        <f t="array" ref="F100">(YEAR(C100)-2025)*1000+MONTH(C100)*31+DAY(C100)+A100</f>
        <v>1269</v>
      </c>
    </row>
    <row r="101" ht="13.65" customHeight="1">
      <c r="A101" s="22">
        <v>159</v>
      </c>
      <c r="B101" t="s" s="23">
        <v>1013</v>
      </c>
      <c r="C101" t="s" s="23">
        <v>226</v>
      </c>
      <c r="D101" s="24">
        <v>1</v>
      </c>
      <c r="E101" s="20" cm="1">
        <f t="array" ref="E101">_xlfn.COUNTIFS(B3:B562,B101,D3:D562,1,A3:A562,A101)</f>
        <v>2</v>
      </c>
      <c r="F101" s="25" cm="1">
        <f t="array" ref="F101">(YEAR(C101)-2025)*1000+MONTH(C101)*31+DAY(C101)+A101</f>
        <v>1269</v>
      </c>
    </row>
    <row r="102" ht="13.65" customHeight="1">
      <c r="A102" s="22">
        <v>159</v>
      </c>
      <c r="B102" t="s" s="23">
        <v>1013</v>
      </c>
      <c r="C102" t="s" s="23">
        <v>26</v>
      </c>
      <c r="D102" s="24">
        <v>1</v>
      </c>
      <c r="E102" s="20" cm="1">
        <f t="array" ref="E102">_xlfn.COUNTIFS(B3:B562,B102,D3:D562,1,A3:A562,A102)</f>
        <v>2</v>
      </c>
      <c r="F102" s="25" cm="1">
        <f t="array" ref="F102">(YEAR(C102)-2025)*1000+MONTH(C102)*31+DAY(C102)+A102</f>
        <v>1268</v>
      </c>
    </row>
    <row r="103" ht="13.65" customHeight="1">
      <c r="A103" s="22">
        <v>158</v>
      </c>
      <c r="B103" t="s" s="23">
        <v>1006</v>
      </c>
      <c r="C103" t="s" s="23">
        <v>226</v>
      </c>
      <c r="D103" s="24">
        <v>1</v>
      </c>
      <c r="E103" s="20" cm="1">
        <f t="array" ref="E103">_xlfn.COUNTIFS(B3:B562,B103,D3:D562,1,A3:A562,A103)</f>
        <v>2</v>
      </c>
      <c r="F103" s="25" cm="1">
        <f t="array" ref="F103">(YEAR(C103)-2025)*1000+MONTH(C103)*31+DAY(C103)+A103</f>
        <v>1268</v>
      </c>
    </row>
    <row r="104" ht="13.65" customHeight="1">
      <c r="A104" s="22">
        <v>158</v>
      </c>
      <c r="B104" t="s" s="23">
        <v>1006</v>
      </c>
      <c r="C104" t="s" s="23">
        <v>26</v>
      </c>
      <c r="D104" s="24">
        <v>1</v>
      </c>
      <c r="E104" s="20" cm="1">
        <f t="array" ref="E104">_xlfn.COUNTIFS(B3:B562,B104,D3:D562,1,A3:A562,A104)</f>
        <v>2</v>
      </c>
      <c r="F104" s="25" cm="1">
        <f t="array" ref="F104">(YEAR(C104)-2025)*1000+MONTH(C104)*31+DAY(C104)+A104</f>
        <v>1267</v>
      </c>
    </row>
    <row r="105" ht="13.65" customHeight="1">
      <c r="A105" s="22">
        <v>157</v>
      </c>
      <c r="B105" t="s" s="23">
        <v>1000</v>
      </c>
      <c r="C105" t="s" s="23">
        <v>226</v>
      </c>
      <c r="D105" s="24">
        <v>1</v>
      </c>
      <c r="E105" s="20" cm="1">
        <f t="array" ref="E105">_xlfn.COUNTIFS(B3:B562,B105,D3:D562,1,A3:A562,A105)</f>
        <v>2</v>
      </c>
      <c r="F105" s="25" cm="1">
        <f t="array" ref="F105">(YEAR(C105)-2025)*1000+MONTH(C105)*31+DAY(C105)+A105</f>
        <v>1267</v>
      </c>
    </row>
    <row r="106" ht="13.65" customHeight="1">
      <c r="A106" s="22">
        <v>157</v>
      </c>
      <c r="B106" t="s" s="23">
        <v>1000</v>
      </c>
      <c r="C106" t="s" s="23">
        <v>26</v>
      </c>
      <c r="D106" s="24">
        <v>1</v>
      </c>
      <c r="E106" s="20" cm="1">
        <f t="array" ref="E106">_xlfn.COUNTIFS(B3:B562,B106,D3:D562,1,A3:A562,A106)</f>
        <v>2</v>
      </c>
      <c r="F106" s="25" cm="1">
        <f t="array" ref="F106">(YEAR(C106)-2025)*1000+MONTH(C106)*31+DAY(C106)+A106</f>
        <v>1266</v>
      </c>
    </row>
    <row r="107" ht="13.65" customHeight="1">
      <c r="A107" s="22">
        <v>156</v>
      </c>
      <c r="B107" t="s" s="23">
        <v>994</v>
      </c>
      <c r="C107" t="s" s="23">
        <v>226</v>
      </c>
      <c r="D107" s="24">
        <v>0</v>
      </c>
      <c r="E107" s="20" cm="1">
        <f t="array" ref="E107">_xlfn.COUNTIFS(B3:B562,B107,D3:D562,1,A3:A562,A107)</f>
        <v>1</v>
      </c>
      <c r="F107" s="25" cm="1">
        <f t="array" ref="F107">(YEAR(C107)-2025)*1000+MONTH(C107)*31+DAY(C107)+A107</f>
        <v>1266</v>
      </c>
    </row>
    <row r="108" ht="13.65" customHeight="1">
      <c r="A108" s="22">
        <v>156</v>
      </c>
      <c r="B108" t="s" s="23">
        <v>994</v>
      </c>
      <c r="C108" t="s" s="23">
        <v>26</v>
      </c>
      <c r="D108" s="24">
        <v>1</v>
      </c>
      <c r="E108" s="20" cm="1">
        <f t="array" ref="E108">_xlfn.COUNTIFS(B3:B562,B108,D3:D562,1,A3:A562,A108)</f>
        <v>1</v>
      </c>
      <c r="F108" s="25" cm="1">
        <f t="array" ref="F108">(YEAR(C108)-2025)*1000+MONTH(C108)*31+DAY(C108)+A108</f>
        <v>1265</v>
      </c>
    </row>
    <row r="109" ht="13.65" customHeight="1">
      <c r="A109" s="22">
        <v>155</v>
      </c>
      <c r="B109" t="s" s="23">
        <v>988</v>
      </c>
      <c r="C109" t="s" s="23">
        <v>226</v>
      </c>
      <c r="D109" s="24">
        <v>0</v>
      </c>
      <c r="E109" s="20" cm="1">
        <f t="array" ref="E109">_xlfn.COUNTIFS(B3:B562,B109,D3:D562,1,A3:A562,A109)</f>
        <v>0</v>
      </c>
      <c r="F109" s="25" cm="1">
        <f t="array" ref="F109">(YEAR(C109)-2025)*1000+MONTH(C109)*31+DAY(C109)+A109</f>
        <v>1265</v>
      </c>
    </row>
    <row r="110" ht="13.65" customHeight="1">
      <c r="A110" s="22">
        <v>155</v>
      </c>
      <c r="B110" t="s" s="23">
        <v>988</v>
      </c>
      <c r="C110" t="s" s="23">
        <v>26</v>
      </c>
      <c r="D110" s="24">
        <v>0</v>
      </c>
      <c r="E110" s="20" cm="1">
        <f t="array" ref="E110">_xlfn.COUNTIFS(B3:B562,B110,D3:D562,1,A3:A562,A110)</f>
        <v>0</v>
      </c>
      <c r="F110" s="25" cm="1">
        <f t="array" ref="F110">(YEAR(C110)-2025)*1000+MONTH(C110)*31+DAY(C110)+A110</f>
        <v>1264</v>
      </c>
    </row>
    <row r="111" ht="13.65" customHeight="1">
      <c r="A111" s="22">
        <v>154</v>
      </c>
      <c r="B111" t="s" s="23">
        <v>981</v>
      </c>
      <c r="C111" t="s" s="23">
        <v>226</v>
      </c>
      <c r="D111" s="24">
        <v>0</v>
      </c>
      <c r="E111" s="20" cm="1">
        <f t="array" ref="E111">_xlfn.COUNTIFS(B3:B562,B111,D3:D562,1,A3:A562,A111)</f>
        <v>0</v>
      </c>
      <c r="F111" s="25" cm="1">
        <f t="array" ref="F111">(YEAR(C111)-2025)*1000+MONTH(C111)*31+DAY(C111)+A111</f>
        <v>1264</v>
      </c>
    </row>
    <row r="112" ht="13.65" customHeight="1">
      <c r="A112" s="22">
        <v>154</v>
      </c>
      <c r="B112" t="s" s="23">
        <v>981</v>
      </c>
      <c r="C112" t="s" s="23">
        <v>26</v>
      </c>
      <c r="D112" s="24">
        <v>0</v>
      </c>
      <c r="E112" s="20" cm="1">
        <f t="array" ref="E112">_xlfn.COUNTIFS(B3:B562,B112,D3:D562,1,A3:A562,A112)</f>
        <v>0</v>
      </c>
      <c r="F112" s="25" cm="1">
        <f t="array" ref="F112">(YEAR(C112)-2025)*1000+MONTH(C112)*31+DAY(C112)+A112</f>
        <v>1263</v>
      </c>
    </row>
    <row r="113" ht="13.65" customHeight="1">
      <c r="A113" s="22">
        <v>153</v>
      </c>
      <c r="B113" t="s" s="23">
        <v>975</v>
      </c>
      <c r="C113" t="s" s="23">
        <v>226</v>
      </c>
      <c r="D113" s="24">
        <v>1</v>
      </c>
      <c r="E113" s="20" cm="1">
        <f t="array" ref="E113">_xlfn.COUNTIFS(B3:B562,B113,D3:D562,1,A3:A562,A113)</f>
        <v>2</v>
      </c>
      <c r="F113" s="25" cm="1">
        <f t="array" ref="F113">(YEAR(C113)-2025)*1000+MONTH(C113)*31+DAY(C113)+A113</f>
        <v>1263</v>
      </c>
    </row>
    <row r="114" ht="13.65" customHeight="1">
      <c r="A114" s="22">
        <v>153</v>
      </c>
      <c r="B114" t="s" s="23">
        <v>975</v>
      </c>
      <c r="C114" t="s" s="23">
        <v>26</v>
      </c>
      <c r="D114" s="24">
        <v>1</v>
      </c>
      <c r="E114" s="20" cm="1">
        <f t="array" ref="E114">_xlfn.COUNTIFS(B3:B562,B114,D3:D562,1,A3:A562,A114)</f>
        <v>2</v>
      </c>
      <c r="F114" s="25" cm="1">
        <f t="array" ref="F114">(YEAR(C114)-2025)*1000+MONTH(C114)*31+DAY(C114)+A114</f>
        <v>1262</v>
      </c>
    </row>
    <row r="115" ht="13.65" customHeight="1">
      <c r="A115" s="22">
        <v>152</v>
      </c>
      <c r="B115" t="s" s="23">
        <v>967</v>
      </c>
      <c r="C115" t="s" s="23">
        <v>226</v>
      </c>
      <c r="D115" s="24">
        <v>1</v>
      </c>
      <c r="E115" s="20" cm="1">
        <f t="array" ref="E115">_xlfn.COUNTIFS(B3:B562,B115,D3:D562,1,A3:A562,A115)</f>
        <v>2</v>
      </c>
      <c r="F115" s="25" cm="1">
        <f t="array" ref="F115">(YEAR(C115)-2025)*1000+MONTH(C115)*31+DAY(C115)+A115</f>
        <v>1262</v>
      </c>
    </row>
    <row r="116" ht="13.65" customHeight="1">
      <c r="A116" s="22">
        <v>152</v>
      </c>
      <c r="B116" t="s" s="23">
        <v>967</v>
      </c>
      <c r="C116" t="s" s="23">
        <v>26</v>
      </c>
      <c r="D116" s="24">
        <v>1</v>
      </c>
      <c r="E116" s="20" cm="1">
        <f t="array" ref="E116">_xlfn.COUNTIFS(B3:B562,B116,D3:D562,1,A3:A562,A116)</f>
        <v>2</v>
      </c>
      <c r="F116" s="25" cm="1">
        <f t="array" ref="F116">(YEAR(C116)-2025)*1000+MONTH(C116)*31+DAY(C116)+A116</f>
        <v>1261</v>
      </c>
    </row>
    <row r="117" ht="13.65" customHeight="1">
      <c r="A117" s="22">
        <v>151</v>
      </c>
      <c r="B117" t="s" s="23">
        <v>960</v>
      </c>
      <c r="C117" t="s" s="23">
        <v>226</v>
      </c>
      <c r="D117" s="24">
        <v>1</v>
      </c>
      <c r="E117" s="20" cm="1">
        <f t="array" ref="E117">_xlfn.COUNTIFS(B3:B562,B117,D3:D562,1,A3:A562,A117)</f>
        <v>2</v>
      </c>
      <c r="F117" s="25" cm="1">
        <f t="array" ref="F117">(YEAR(C117)-2025)*1000+MONTH(C117)*31+DAY(C117)+A117</f>
        <v>1261</v>
      </c>
    </row>
    <row r="118" ht="13.65" customHeight="1">
      <c r="A118" s="22">
        <v>151</v>
      </c>
      <c r="B118" t="s" s="23">
        <v>960</v>
      </c>
      <c r="C118" t="s" s="23">
        <v>26</v>
      </c>
      <c r="D118" s="24">
        <v>1</v>
      </c>
      <c r="E118" s="20" cm="1">
        <f t="array" ref="E118">_xlfn.COUNTIFS(B3:B562,B118,D3:D562,1,A3:A562,A118)</f>
        <v>2</v>
      </c>
      <c r="F118" s="25" cm="1">
        <f t="array" ref="F118">(YEAR(C118)-2025)*1000+MONTH(C118)*31+DAY(C118)+A118</f>
        <v>1260</v>
      </c>
    </row>
    <row r="119" ht="13.65" customHeight="1">
      <c r="A119" s="22">
        <v>150</v>
      </c>
      <c r="B119" t="s" s="23">
        <v>954</v>
      </c>
      <c r="C119" t="s" s="23">
        <v>226</v>
      </c>
      <c r="D119" s="24">
        <v>1</v>
      </c>
      <c r="E119" s="20" cm="1">
        <f t="array" ref="E119">_xlfn.COUNTIFS(B3:B562,B119,D3:D562,1,A3:A562,A119)</f>
        <v>2</v>
      </c>
      <c r="F119" s="25" cm="1">
        <f t="array" ref="F119">(YEAR(C119)-2025)*1000+MONTH(C119)*31+DAY(C119)+A119</f>
        <v>1260</v>
      </c>
    </row>
    <row r="120" ht="13.65" customHeight="1">
      <c r="A120" s="22">
        <v>150</v>
      </c>
      <c r="B120" t="s" s="23">
        <v>954</v>
      </c>
      <c r="C120" t="s" s="23">
        <v>26</v>
      </c>
      <c r="D120" s="24">
        <v>1</v>
      </c>
      <c r="E120" s="20" cm="1">
        <f t="array" ref="E120">_xlfn.COUNTIFS(B3:B562,B120,D3:D562,1,A3:A562,A120)</f>
        <v>2</v>
      </c>
      <c r="F120" s="25" cm="1">
        <f t="array" ref="F120">(YEAR(C120)-2025)*1000+MONTH(C120)*31+DAY(C120)+A120</f>
        <v>1259</v>
      </c>
    </row>
    <row r="121" ht="13.65" customHeight="1">
      <c r="A121" s="22">
        <v>149</v>
      </c>
      <c r="B121" t="s" s="23">
        <v>948</v>
      </c>
      <c r="C121" t="s" s="23">
        <v>226</v>
      </c>
      <c r="D121" s="24">
        <v>1</v>
      </c>
      <c r="E121" s="20" cm="1">
        <f t="array" ref="E121">_xlfn.COUNTIFS(B3:B562,B121,D3:D562,1,A3:A562,A121)</f>
        <v>2</v>
      </c>
      <c r="F121" s="25" cm="1">
        <f t="array" ref="F121">(YEAR(C121)-2025)*1000+MONTH(C121)*31+DAY(C121)+A121</f>
        <v>1259</v>
      </c>
    </row>
    <row r="122" ht="13.65" customHeight="1">
      <c r="A122" s="22">
        <v>149</v>
      </c>
      <c r="B122" t="s" s="23">
        <v>948</v>
      </c>
      <c r="C122" t="s" s="23">
        <v>26</v>
      </c>
      <c r="D122" s="24">
        <v>1</v>
      </c>
      <c r="E122" s="20" cm="1">
        <f t="array" ref="E122">_xlfn.COUNTIFS(B3:B562,B122,D3:D562,1,A3:A562,A122)</f>
        <v>2</v>
      </c>
      <c r="F122" s="25" cm="1">
        <f t="array" ref="F122">(YEAR(C122)-2025)*1000+MONTH(C122)*31+DAY(C122)+A122</f>
        <v>1258</v>
      </c>
    </row>
    <row r="123" ht="13.65" customHeight="1">
      <c r="A123" s="22">
        <v>148</v>
      </c>
      <c r="B123" t="s" s="23">
        <v>942</v>
      </c>
      <c r="C123" t="s" s="23">
        <v>226</v>
      </c>
      <c r="D123" s="24">
        <v>1</v>
      </c>
      <c r="E123" s="20" cm="1">
        <f t="array" ref="E123">_xlfn.COUNTIFS(B3:B562,B123,D3:D562,1,A3:A562,A123)</f>
        <v>2</v>
      </c>
      <c r="F123" s="25" cm="1">
        <f t="array" ref="F123">(YEAR(C123)-2025)*1000+MONTH(C123)*31+DAY(C123)+A123</f>
        <v>1258</v>
      </c>
    </row>
    <row r="124" ht="13.65" customHeight="1">
      <c r="A124" s="22">
        <v>148</v>
      </c>
      <c r="B124" t="s" s="23">
        <v>942</v>
      </c>
      <c r="C124" t="s" s="23">
        <v>26</v>
      </c>
      <c r="D124" s="24">
        <v>1</v>
      </c>
      <c r="E124" s="20" cm="1">
        <f t="array" ref="E124">_xlfn.COUNTIFS(B3:B562,B124,D3:D562,1,A3:A562,A124)</f>
        <v>2</v>
      </c>
      <c r="F124" s="25" cm="1">
        <f t="array" ref="F124">(YEAR(C124)-2025)*1000+MONTH(C124)*31+DAY(C124)+A124</f>
        <v>1257</v>
      </c>
    </row>
    <row r="125" ht="13.65" customHeight="1">
      <c r="A125" s="22">
        <v>147</v>
      </c>
      <c r="B125" t="s" s="23">
        <v>936</v>
      </c>
      <c r="C125" t="s" s="23">
        <v>226</v>
      </c>
      <c r="D125" s="24">
        <v>1</v>
      </c>
      <c r="E125" s="20" cm="1">
        <f t="array" ref="E125">_xlfn.COUNTIFS(B3:B562,B125,D3:D562,1,A3:A562,A125)</f>
        <v>2</v>
      </c>
      <c r="F125" s="25" cm="1">
        <f t="array" ref="F125">(YEAR(C125)-2025)*1000+MONTH(C125)*31+DAY(C125)+A125</f>
        <v>1257</v>
      </c>
    </row>
    <row r="126" ht="13.65" customHeight="1">
      <c r="A126" s="22">
        <v>147</v>
      </c>
      <c r="B126" t="s" s="23">
        <v>936</v>
      </c>
      <c r="C126" t="s" s="23">
        <v>26</v>
      </c>
      <c r="D126" s="24">
        <v>1</v>
      </c>
      <c r="E126" s="20" cm="1">
        <f t="array" ref="E126">_xlfn.COUNTIFS(B3:B562,B126,D3:D562,1,A3:A562,A126)</f>
        <v>2</v>
      </c>
      <c r="F126" s="25" cm="1">
        <f t="array" ref="F126">(YEAR(C126)-2025)*1000+MONTH(C126)*31+DAY(C126)+A126</f>
        <v>1256</v>
      </c>
    </row>
    <row r="127" ht="13.65" customHeight="1">
      <c r="A127" s="22">
        <v>146</v>
      </c>
      <c r="B127" t="s" s="23">
        <v>929</v>
      </c>
      <c r="C127" t="s" s="23">
        <v>226</v>
      </c>
      <c r="D127" s="24">
        <v>0</v>
      </c>
      <c r="E127" s="20" cm="1">
        <f t="array" ref="E127">_xlfn.COUNTIFS(B3:B562,B127,D3:D562,1,A3:A562,A127)</f>
        <v>1</v>
      </c>
      <c r="F127" s="25" cm="1">
        <f t="array" ref="F127">(YEAR(C127)-2025)*1000+MONTH(C127)*31+DAY(C127)+A127</f>
        <v>1256</v>
      </c>
    </row>
    <row r="128" ht="13.65" customHeight="1">
      <c r="A128" s="22">
        <v>146</v>
      </c>
      <c r="B128" t="s" s="23">
        <v>929</v>
      </c>
      <c r="C128" t="s" s="23">
        <v>26</v>
      </c>
      <c r="D128" s="24">
        <v>1</v>
      </c>
      <c r="E128" s="20" cm="1">
        <f t="array" ref="E128">_xlfn.COUNTIFS(B3:B562,B128,D3:D562,1,A3:A562,A128)</f>
        <v>1</v>
      </c>
      <c r="F128" s="25" cm="1">
        <f t="array" ref="F128">(YEAR(C128)-2025)*1000+MONTH(C128)*31+DAY(C128)+A128</f>
        <v>1255</v>
      </c>
    </row>
    <row r="129" ht="13.65" customHeight="1">
      <c r="A129" s="22">
        <v>145</v>
      </c>
      <c r="B129" t="s" s="23">
        <v>923</v>
      </c>
      <c r="C129" t="s" s="23">
        <v>226</v>
      </c>
      <c r="D129" s="24">
        <v>0</v>
      </c>
      <c r="E129" s="20" cm="1">
        <f t="array" ref="E129">_xlfn.COUNTIFS(B3:B562,B129,D3:D562,1,A3:A562,A129)</f>
        <v>0</v>
      </c>
      <c r="F129" s="25" cm="1">
        <f t="array" ref="F129">(YEAR(C129)-2025)*1000+MONTH(C129)*31+DAY(C129)+A129</f>
        <v>1255</v>
      </c>
    </row>
    <row r="130" ht="13.65" customHeight="1">
      <c r="A130" s="22">
        <v>145</v>
      </c>
      <c r="B130" t="s" s="23">
        <v>923</v>
      </c>
      <c r="C130" t="s" s="23">
        <v>26</v>
      </c>
      <c r="D130" s="24">
        <v>0</v>
      </c>
      <c r="E130" s="20" cm="1">
        <f t="array" ref="E130">_xlfn.COUNTIFS(B3:B562,B130,D3:D562,1,A3:A562,A130)</f>
        <v>0</v>
      </c>
      <c r="F130" s="25" cm="1">
        <f t="array" ref="F130">(YEAR(C130)-2025)*1000+MONTH(C130)*31+DAY(C130)+A130</f>
        <v>1254</v>
      </c>
    </row>
    <row r="131" ht="13.65" customHeight="1">
      <c r="A131" s="22">
        <v>144</v>
      </c>
      <c r="B131" t="s" s="23">
        <v>916</v>
      </c>
      <c r="C131" t="s" s="23">
        <v>226</v>
      </c>
      <c r="D131" s="24">
        <v>0</v>
      </c>
      <c r="E131" s="20" cm="1">
        <f t="array" ref="E131">_xlfn.COUNTIFS(B3:B562,B131,D3:D562,1,A3:A562,A131)</f>
        <v>1</v>
      </c>
      <c r="F131" s="25" cm="1">
        <f t="array" ref="F131">(YEAR(C131)-2025)*1000+MONTH(C131)*31+DAY(C131)+A131</f>
        <v>1254</v>
      </c>
    </row>
    <row r="132" ht="13.65" customHeight="1">
      <c r="A132" s="22">
        <v>144</v>
      </c>
      <c r="B132" t="s" s="23">
        <v>916</v>
      </c>
      <c r="C132" t="s" s="23">
        <v>26</v>
      </c>
      <c r="D132" s="24">
        <v>1</v>
      </c>
      <c r="E132" s="20" cm="1">
        <f t="array" ref="E132">_xlfn.COUNTIFS(B3:B562,B132,D3:D562,1,A3:A562,A132)</f>
        <v>1</v>
      </c>
      <c r="F132" s="25" cm="1">
        <f t="array" ref="F132">(YEAR(C132)-2025)*1000+MONTH(C132)*31+DAY(C132)+A132</f>
        <v>1253</v>
      </c>
    </row>
    <row r="133" ht="13.65" customHeight="1">
      <c r="A133" s="22">
        <v>143</v>
      </c>
      <c r="B133" t="s" s="23">
        <v>910</v>
      </c>
      <c r="C133" t="s" s="23">
        <v>226</v>
      </c>
      <c r="D133" s="24">
        <v>0</v>
      </c>
      <c r="E133" s="20" cm="1">
        <f t="array" ref="E133">_xlfn.COUNTIFS(B3:B562,B133,D3:D562,1,A3:A562,A133)</f>
        <v>1</v>
      </c>
      <c r="F133" s="25" cm="1">
        <f t="array" ref="F133">(YEAR(C133)-2025)*1000+MONTH(C133)*31+DAY(C133)+A133</f>
        <v>1253</v>
      </c>
    </row>
    <row r="134" ht="13.65" customHeight="1">
      <c r="A134" s="22">
        <v>143</v>
      </c>
      <c r="B134" t="s" s="23">
        <v>910</v>
      </c>
      <c r="C134" t="s" s="23">
        <v>26</v>
      </c>
      <c r="D134" s="24">
        <v>1</v>
      </c>
      <c r="E134" s="20" cm="1">
        <f t="array" ref="E134">_xlfn.COUNTIFS(B3:B562,B134,D3:D562,1,A3:A562,A134)</f>
        <v>1</v>
      </c>
      <c r="F134" s="25" cm="1">
        <f t="array" ref="F134">(YEAR(C134)-2025)*1000+MONTH(C134)*31+DAY(C134)+A134</f>
        <v>1252</v>
      </c>
    </row>
    <row r="135" ht="13.65" customHeight="1">
      <c r="A135" s="22">
        <v>142</v>
      </c>
      <c r="B135" t="s" s="23">
        <v>904</v>
      </c>
      <c r="C135" t="s" s="23">
        <v>226</v>
      </c>
      <c r="D135" s="24">
        <v>0</v>
      </c>
      <c r="E135" s="20" cm="1">
        <f t="array" ref="E135">_xlfn.COUNTIFS(B3:B562,B135,D3:D562,1,A3:A562,A135)</f>
        <v>1</v>
      </c>
      <c r="F135" s="25" cm="1">
        <f t="array" ref="F135">(YEAR(C135)-2025)*1000+MONTH(C135)*31+DAY(C135)+A135</f>
        <v>1252</v>
      </c>
    </row>
    <row r="136" ht="13.65" customHeight="1">
      <c r="A136" s="22">
        <v>142</v>
      </c>
      <c r="B136" t="s" s="23">
        <v>904</v>
      </c>
      <c r="C136" t="s" s="23">
        <v>26</v>
      </c>
      <c r="D136" s="24">
        <v>1</v>
      </c>
      <c r="E136" s="20" cm="1">
        <f t="array" ref="E136">_xlfn.COUNTIFS(B3:B562,B136,D3:D562,1,A3:A562,A136)</f>
        <v>1</v>
      </c>
      <c r="F136" s="25" cm="1">
        <f t="array" ref="F136">(YEAR(C136)-2025)*1000+MONTH(C136)*31+DAY(C136)+A136</f>
        <v>1251</v>
      </c>
    </row>
    <row r="137" ht="13.65" customHeight="1">
      <c r="A137" s="22">
        <v>141</v>
      </c>
      <c r="B137" t="s" s="23">
        <v>898</v>
      </c>
      <c r="C137" t="s" s="23">
        <v>226</v>
      </c>
      <c r="D137" s="24">
        <v>1</v>
      </c>
      <c r="E137" s="20" cm="1">
        <f t="array" ref="E137">_xlfn.COUNTIFS(B3:B562,B137,D3:D562,1,A3:A562,A137)</f>
        <v>2</v>
      </c>
      <c r="F137" s="25" cm="1">
        <f t="array" ref="F137">(YEAR(C137)-2025)*1000+MONTH(C137)*31+DAY(C137)+A137</f>
        <v>1251</v>
      </c>
    </row>
    <row r="138" ht="13.65" customHeight="1">
      <c r="A138" s="22">
        <v>141</v>
      </c>
      <c r="B138" t="s" s="23">
        <v>898</v>
      </c>
      <c r="C138" t="s" s="23">
        <v>26</v>
      </c>
      <c r="D138" s="24">
        <v>1</v>
      </c>
      <c r="E138" s="20" cm="1">
        <f t="array" ref="E138">_xlfn.COUNTIFS(B3:B562,B138,D3:D562,1,A3:A562,A138)</f>
        <v>2</v>
      </c>
      <c r="F138" s="25" cm="1">
        <f t="array" ref="F138">(YEAR(C138)-2025)*1000+MONTH(C138)*31+DAY(C138)+A138</f>
        <v>1250</v>
      </c>
    </row>
    <row r="139" ht="13.65" customHeight="1">
      <c r="A139" s="22">
        <v>140</v>
      </c>
      <c r="B139" t="s" s="23">
        <v>892</v>
      </c>
      <c r="C139" t="s" s="23">
        <v>226</v>
      </c>
      <c r="D139" s="24">
        <v>0</v>
      </c>
      <c r="E139" s="20" cm="1">
        <f t="array" ref="E139">_xlfn.COUNTIFS(B3:B562,B139,D3:D562,1,A3:A562,A139)</f>
        <v>1</v>
      </c>
      <c r="F139" s="25" cm="1">
        <f t="array" ref="F139">(YEAR(C139)-2025)*1000+MONTH(C139)*31+DAY(C139)+A139</f>
        <v>1250</v>
      </c>
    </row>
    <row r="140" ht="13.65" customHeight="1">
      <c r="A140" s="22">
        <v>140</v>
      </c>
      <c r="B140" t="s" s="23">
        <v>892</v>
      </c>
      <c r="C140" t="s" s="23">
        <v>26</v>
      </c>
      <c r="D140" s="24">
        <v>1</v>
      </c>
      <c r="E140" s="20" cm="1">
        <f t="array" ref="E140">_xlfn.COUNTIFS(B3:B562,B140,D3:D562,1,A3:A562,A140)</f>
        <v>1</v>
      </c>
      <c r="F140" s="25" cm="1">
        <f t="array" ref="F140">(YEAR(C140)-2025)*1000+MONTH(C140)*31+DAY(C140)+A140</f>
        <v>1249</v>
      </c>
    </row>
    <row r="141" ht="13.65" customHeight="1">
      <c r="A141" s="22">
        <v>139</v>
      </c>
      <c r="B141" t="s" s="23">
        <v>886</v>
      </c>
      <c r="C141" t="s" s="23">
        <v>226</v>
      </c>
      <c r="D141" s="24">
        <v>0</v>
      </c>
      <c r="E141" s="20" cm="1">
        <f t="array" ref="E141">_xlfn.COUNTIFS(B3:B562,B141,D3:D562,1,A3:A562,A141)</f>
        <v>0</v>
      </c>
      <c r="F141" s="25" cm="1">
        <f t="array" ref="F141">(YEAR(C141)-2025)*1000+MONTH(C141)*31+DAY(C141)+A141</f>
        <v>1249</v>
      </c>
    </row>
    <row r="142" ht="13.65" customHeight="1">
      <c r="A142" s="22">
        <v>139</v>
      </c>
      <c r="B142" t="s" s="23">
        <v>886</v>
      </c>
      <c r="C142" t="s" s="23">
        <v>26</v>
      </c>
      <c r="D142" s="24">
        <v>0</v>
      </c>
      <c r="E142" s="20" cm="1">
        <f t="array" ref="E142">_xlfn.COUNTIFS(B3:B562,B142,D3:D562,1,A3:A562,A142)</f>
        <v>0</v>
      </c>
      <c r="F142" s="25" cm="1">
        <f t="array" ref="F142">(YEAR(C142)-2025)*1000+MONTH(C142)*31+DAY(C142)+A142</f>
        <v>1248</v>
      </c>
    </row>
    <row r="143" ht="13.65" customHeight="1">
      <c r="A143" s="22">
        <v>138</v>
      </c>
      <c r="B143" t="s" s="23">
        <v>879</v>
      </c>
      <c r="C143" t="s" s="23">
        <v>226</v>
      </c>
      <c r="D143" s="24">
        <v>1</v>
      </c>
      <c r="E143" s="20" cm="1">
        <f t="array" ref="E143">_xlfn.COUNTIFS(B3:B562,B143,D3:D562,1,A3:A562,A143)</f>
        <v>2</v>
      </c>
      <c r="F143" s="25" cm="1">
        <f t="array" ref="F143">(YEAR(C143)-2025)*1000+MONTH(C143)*31+DAY(C143)+A143</f>
        <v>1248</v>
      </c>
    </row>
    <row r="144" ht="13.65" customHeight="1">
      <c r="A144" s="22">
        <v>138</v>
      </c>
      <c r="B144" t="s" s="23">
        <v>879</v>
      </c>
      <c r="C144" t="s" s="23">
        <v>26</v>
      </c>
      <c r="D144" s="24">
        <v>1</v>
      </c>
      <c r="E144" s="20" cm="1">
        <f t="array" ref="E144">_xlfn.COUNTIFS(B3:B562,B144,D3:D562,1,A3:A562,A144)</f>
        <v>2</v>
      </c>
      <c r="F144" s="25" cm="1">
        <f t="array" ref="F144">(YEAR(C144)-2025)*1000+MONTH(C144)*31+DAY(C144)+A144</f>
        <v>1247</v>
      </c>
    </row>
    <row r="145" ht="13.65" customHeight="1">
      <c r="A145" s="22">
        <v>137</v>
      </c>
      <c r="B145" t="s" s="23">
        <v>873</v>
      </c>
      <c r="C145" t="s" s="23">
        <v>226</v>
      </c>
      <c r="D145" s="24">
        <v>1</v>
      </c>
      <c r="E145" s="20" cm="1">
        <f t="array" ref="E145">_xlfn.COUNTIFS(B3:B562,B145,D3:D562,1,A3:A562,A145)</f>
        <v>2</v>
      </c>
      <c r="F145" s="25" cm="1">
        <f t="array" ref="F145">(YEAR(C145)-2025)*1000+MONTH(C145)*31+DAY(C145)+A145</f>
        <v>1247</v>
      </c>
    </row>
    <row r="146" ht="13.65" customHeight="1">
      <c r="A146" s="22">
        <v>137</v>
      </c>
      <c r="B146" t="s" s="23">
        <v>873</v>
      </c>
      <c r="C146" t="s" s="23">
        <v>26</v>
      </c>
      <c r="D146" s="24">
        <v>1</v>
      </c>
      <c r="E146" s="20" cm="1">
        <f t="array" ref="E146">_xlfn.COUNTIFS(B3:B562,B146,D3:D562,1,A3:A562,A146)</f>
        <v>2</v>
      </c>
      <c r="F146" s="25" cm="1">
        <f t="array" ref="F146">(YEAR(C146)-2025)*1000+MONTH(C146)*31+DAY(C146)+A146</f>
        <v>1246</v>
      </c>
    </row>
    <row r="147" ht="13.65" customHeight="1">
      <c r="A147" s="22">
        <v>136</v>
      </c>
      <c r="B147" t="s" s="23">
        <v>867</v>
      </c>
      <c r="C147" t="s" s="23">
        <v>226</v>
      </c>
      <c r="D147" s="24">
        <v>1</v>
      </c>
      <c r="E147" s="20" cm="1">
        <f t="array" ref="E147">_xlfn.COUNTIFS(B3:B562,B147,D3:D562,1,A3:A562,A147)</f>
        <v>2</v>
      </c>
      <c r="F147" s="25" cm="1">
        <f t="array" ref="F147">(YEAR(C147)-2025)*1000+MONTH(C147)*31+DAY(C147)+A147</f>
        <v>1246</v>
      </c>
    </row>
    <row r="148" ht="13.65" customHeight="1">
      <c r="A148" s="22">
        <v>136</v>
      </c>
      <c r="B148" t="s" s="23">
        <v>867</v>
      </c>
      <c r="C148" t="s" s="23">
        <v>26</v>
      </c>
      <c r="D148" s="24">
        <v>1</v>
      </c>
      <c r="E148" s="20" cm="1">
        <f t="array" ref="E148">_xlfn.COUNTIFS(B3:B562,B148,D3:D562,1,A3:A562,A148)</f>
        <v>2</v>
      </c>
      <c r="F148" s="25" cm="1">
        <f t="array" ref="F148">(YEAR(C148)-2025)*1000+MONTH(C148)*31+DAY(C148)+A148</f>
        <v>1245</v>
      </c>
    </row>
    <row r="149" ht="13.65" customHeight="1">
      <c r="A149" s="22">
        <v>135</v>
      </c>
      <c r="B149" t="s" s="23">
        <v>861</v>
      </c>
      <c r="C149" t="s" s="23">
        <v>226</v>
      </c>
      <c r="D149" s="24">
        <v>1</v>
      </c>
      <c r="E149" s="20" cm="1">
        <f t="array" ref="E149">_xlfn.COUNTIFS(B3:B562,B149,D3:D562,1,A3:A562,A149)</f>
        <v>2</v>
      </c>
      <c r="F149" s="25" cm="1">
        <f t="array" ref="F149">(YEAR(C149)-2025)*1000+MONTH(C149)*31+DAY(C149)+A149</f>
        <v>1245</v>
      </c>
    </row>
    <row r="150" ht="13.65" customHeight="1">
      <c r="A150" s="22">
        <v>135</v>
      </c>
      <c r="B150" t="s" s="23">
        <v>861</v>
      </c>
      <c r="C150" t="s" s="23">
        <v>26</v>
      </c>
      <c r="D150" s="24">
        <v>1</v>
      </c>
      <c r="E150" s="20" cm="1">
        <f t="array" ref="E150">_xlfn.COUNTIFS(B3:B562,B150,D3:D562,1,A3:A562,A150)</f>
        <v>2</v>
      </c>
      <c r="F150" s="25" cm="1">
        <f t="array" ref="F150">(YEAR(C150)-2025)*1000+MONTH(C150)*31+DAY(C150)+A150</f>
        <v>1244</v>
      </c>
    </row>
    <row r="151" ht="13.65" customHeight="1">
      <c r="A151" s="22">
        <v>134</v>
      </c>
      <c r="B151" t="s" s="23">
        <v>855</v>
      </c>
      <c r="C151" t="s" s="23">
        <v>226</v>
      </c>
      <c r="D151" s="24">
        <v>1</v>
      </c>
      <c r="E151" s="20" cm="1">
        <f t="array" ref="E151">_xlfn.COUNTIFS(B3:B562,B151,D3:D562,1,A3:A562,A151)</f>
        <v>2</v>
      </c>
      <c r="F151" s="25" cm="1">
        <f t="array" ref="F151">(YEAR(C151)-2025)*1000+MONTH(C151)*31+DAY(C151)+A151</f>
        <v>1244</v>
      </c>
    </row>
    <row r="152" ht="13.65" customHeight="1">
      <c r="A152" s="22">
        <v>134</v>
      </c>
      <c r="B152" t="s" s="23">
        <v>855</v>
      </c>
      <c r="C152" t="s" s="23">
        <v>26</v>
      </c>
      <c r="D152" s="24">
        <v>1</v>
      </c>
      <c r="E152" s="20" cm="1">
        <f t="array" ref="E152">_xlfn.COUNTIFS(B3:B562,B152,D3:D562,1,A3:A562,A152)</f>
        <v>2</v>
      </c>
      <c r="F152" s="25" cm="1">
        <f t="array" ref="F152">(YEAR(C152)-2025)*1000+MONTH(C152)*31+DAY(C152)+A152</f>
        <v>1243</v>
      </c>
    </row>
    <row r="153" ht="13.65" customHeight="1">
      <c r="A153" s="22">
        <v>133</v>
      </c>
      <c r="B153" t="s" s="23">
        <v>848</v>
      </c>
      <c r="C153" t="s" s="23">
        <v>226</v>
      </c>
      <c r="D153" s="24">
        <v>1</v>
      </c>
      <c r="E153" s="20" cm="1">
        <f t="array" ref="E153">_xlfn.COUNTIFS(B3:B562,B153,D3:D562,1,A3:A562,A153)</f>
        <v>2</v>
      </c>
      <c r="F153" s="25" cm="1">
        <f t="array" ref="F153">(YEAR(C153)-2025)*1000+MONTH(C153)*31+DAY(C153)+A153</f>
        <v>1243</v>
      </c>
    </row>
    <row r="154" ht="13.65" customHeight="1">
      <c r="A154" s="22">
        <v>133</v>
      </c>
      <c r="B154" t="s" s="23">
        <v>848</v>
      </c>
      <c r="C154" t="s" s="23">
        <v>26</v>
      </c>
      <c r="D154" s="24">
        <v>1</v>
      </c>
      <c r="E154" s="20" cm="1">
        <f t="array" ref="E154">_xlfn.COUNTIFS(B3:B562,B154,D3:D562,1,A3:A562,A154)</f>
        <v>2</v>
      </c>
      <c r="F154" s="25" cm="1">
        <f t="array" ref="F154">(YEAR(C154)-2025)*1000+MONTH(C154)*31+DAY(C154)+A154</f>
        <v>1242</v>
      </c>
    </row>
    <row r="155" ht="13.65" customHeight="1">
      <c r="A155" s="22">
        <v>132</v>
      </c>
      <c r="B155" t="s" s="23">
        <v>842</v>
      </c>
      <c r="C155" t="s" s="23">
        <v>226</v>
      </c>
      <c r="D155" s="24">
        <v>1</v>
      </c>
      <c r="E155" s="20" cm="1">
        <f t="array" ref="E155">_xlfn.COUNTIFS(B3:B562,B155,D3:D562,1,A3:A562,A155)</f>
        <v>2</v>
      </c>
      <c r="F155" s="25" cm="1">
        <f t="array" ref="F155">(YEAR(C155)-2025)*1000+MONTH(C155)*31+DAY(C155)+A155</f>
        <v>1242</v>
      </c>
    </row>
    <row r="156" ht="13.65" customHeight="1">
      <c r="A156" s="22">
        <v>132</v>
      </c>
      <c r="B156" t="s" s="23">
        <v>842</v>
      </c>
      <c r="C156" t="s" s="23">
        <v>26</v>
      </c>
      <c r="D156" s="24">
        <v>1</v>
      </c>
      <c r="E156" s="20" cm="1">
        <f t="array" ref="E156">_xlfn.COUNTIFS(B3:B562,B156,D3:D562,1,A3:A562,A156)</f>
        <v>2</v>
      </c>
      <c r="F156" s="25" cm="1">
        <f t="array" ref="F156">(YEAR(C156)-2025)*1000+MONTH(C156)*31+DAY(C156)+A156</f>
        <v>1241</v>
      </c>
    </row>
    <row r="157" ht="13.65" customHeight="1">
      <c r="A157" s="22">
        <v>131</v>
      </c>
      <c r="B157" t="s" s="23">
        <v>835</v>
      </c>
      <c r="C157" t="s" s="23">
        <v>226</v>
      </c>
      <c r="D157" s="24">
        <v>1</v>
      </c>
      <c r="E157" s="20" cm="1">
        <f t="array" ref="E157">_xlfn.COUNTIFS(B3:B562,B157,D3:D562,1,A3:A562,A157)</f>
        <v>2</v>
      </c>
      <c r="F157" s="25" cm="1">
        <f t="array" ref="F157">(YEAR(C157)-2025)*1000+MONTH(C157)*31+DAY(C157)+A157</f>
        <v>1241</v>
      </c>
    </row>
    <row r="158" ht="13.65" customHeight="1">
      <c r="A158" s="22">
        <v>131</v>
      </c>
      <c r="B158" t="s" s="23">
        <v>835</v>
      </c>
      <c r="C158" t="s" s="23">
        <v>26</v>
      </c>
      <c r="D158" s="24">
        <v>1</v>
      </c>
      <c r="E158" s="20" cm="1">
        <f t="array" ref="E158">_xlfn.COUNTIFS(B3:B562,B158,D3:D562,1,A3:A562,A158)</f>
        <v>2</v>
      </c>
      <c r="F158" s="25" cm="1">
        <f t="array" ref="F158">(YEAR(C158)-2025)*1000+MONTH(C158)*31+DAY(C158)+A158</f>
        <v>1240</v>
      </c>
    </row>
    <row r="159" ht="13.65" customHeight="1">
      <c r="A159" s="22">
        <v>130</v>
      </c>
      <c r="B159" t="s" s="23">
        <v>828</v>
      </c>
      <c r="C159" t="s" s="23">
        <v>226</v>
      </c>
      <c r="D159" s="24">
        <v>1</v>
      </c>
      <c r="E159" s="20" cm="1">
        <f t="array" ref="E159">_xlfn.COUNTIFS(B3:B562,B159,D3:D562,1,A3:A562,A159)</f>
        <v>2</v>
      </c>
      <c r="F159" s="25" cm="1">
        <f t="array" ref="F159">(YEAR(C159)-2025)*1000+MONTH(C159)*31+DAY(C159)+A159</f>
        <v>1240</v>
      </c>
    </row>
    <row r="160" ht="13.65" customHeight="1">
      <c r="A160" s="22">
        <v>130</v>
      </c>
      <c r="B160" t="s" s="23">
        <v>828</v>
      </c>
      <c r="C160" t="s" s="23">
        <v>26</v>
      </c>
      <c r="D160" s="24">
        <v>1</v>
      </c>
      <c r="E160" s="20" cm="1">
        <f t="array" ref="E160">_xlfn.COUNTIFS(B3:B562,B160,D3:D562,1,A3:A562,A160)</f>
        <v>2</v>
      </c>
      <c r="F160" s="25" cm="1">
        <f t="array" ref="F160">(YEAR(C160)-2025)*1000+MONTH(C160)*31+DAY(C160)+A160</f>
        <v>1239</v>
      </c>
    </row>
    <row r="161" ht="13.65" customHeight="1">
      <c r="A161" s="22">
        <v>129</v>
      </c>
      <c r="B161" t="s" s="23">
        <v>822</v>
      </c>
      <c r="C161" t="s" s="23">
        <v>226</v>
      </c>
      <c r="D161" s="24">
        <v>1</v>
      </c>
      <c r="E161" s="20" cm="1">
        <f t="array" ref="E161">_xlfn.COUNTIFS(B3:B562,B161,D3:D562,1,A3:A562,A161)</f>
        <v>2</v>
      </c>
      <c r="F161" s="25" cm="1">
        <f t="array" ref="F161">(YEAR(C161)-2025)*1000+MONTH(C161)*31+DAY(C161)+A161</f>
        <v>1239</v>
      </c>
    </row>
    <row r="162" ht="13.65" customHeight="1">
      <c r="A162" s="22">
        <v>129</v>
      </c>
      <c r="B162" t="s" s="23">
        <v>822</v>
      </c>
      <c r="C162" t="s" s="23">
        <v>26</v>
      </c>
      <c r="D162" s="24">
        <v>1</v>
      </c>
      <c r="E162" s="20" cm="1">
        <f t="array" ref="E162">_xlfn.COUNTIFS(B3:B562,B162,D3:D562,1,A3:A562,A162)</f>
        <v>2</v>
      </c>
      <c r="F162" s="25" cm="1">
        <f t="array" ref="F162">(YEAR(C162)-2025)*1000+MONTH(C162)*31+DAY(C162)+A162</f>
        <v>1238</v>
      </c>
    </row>
    <row r="163" ht="13.65" customHeight="1">
      <c r="A163" s="22">
        <v>128</v>
      </c>
      <c r="B163" t="s" s="23">
        <v>816</v>
      </c>
      <c r="C163" t="s" s="23">
        <v>226</v>
      </c>
      <c r="D163" s="24">
        <v>0</v>
      </c>
      <c r="E163" s="20" cm="1">
        <f t="array" ref="E163">_xlfn.COUNTIFS(B3:B562,B163,D3:D562,1,A3:A562,A163)</f>
        <v>1</v>
      </c>
      <c r="F163" s="25" cm="1">
        <f t="array" ref="F163">(YEAR(C163)-2025)*1000+MONTH(C163)*31+DAY(C163)+A163</f>
        <v>1238</v>
      </c>
    </row>
    <row r="164" ht="13.65" customHeight="1">
      <c r="A164" s="22">
        <v>128</v>
      </c>
      <c r="B164" t="s" s="23">
        <v>816</v>
      </c>
      <c r="C164" t="s" s="23">
        <v>26</v>
      </c>
      <c r="D164" s="24">
        <v>1</v>
      </c>
      <c r="E164" s="20" cm="1">
        <f t="array" ref="E164">_xlfn.COUNTIFS(B3:B562,B164,D3:D562,1,A3:A562,A164)</f>
        <v>1</v>
      </c>
      <c r="F164" s="25" cm="1">
        <f t="array" ref="F164">(YEAR(C164)-2025)*1000+MONTH(C164)*31+DAY(C164)+A164</f>
        <v>1237</v>
      </c>
    </row>
    <row r="165" ht="13.65" customHeight="1">
      <c r="A165" s="22">
        <v>127</v>
      </c>
      <c r="B165" t="s" s="23">
        <v>809</v>
      </c>
      <c r="C165" t="s" s="23">
        <v>226</v>
      </c>
      <c r="D165" s="24">
        <v>0</v>
      </c>
      <c r="E165" s="20" cm="1">
        <f t="array" ref="E165">_xlfn.COUNTIFS(B3:B562,B165,D3:D562,1,A3:A562,A165)</f>
        <v>0</v>
      </c>
      <c r="F165" s="25" cm="1">
        <f t="array" ref="F165">(YEAR(C165)-2025)*1000+MONTH(C165)*31+DAY(C165)+A165</f>
        <v>1237</v>
      </c>
    </row>
    <row r="166" ht="13.65" customHeight="1">
      <c r="A166" s="22">
        <v>127</v>
      </c>
      <c r="B166" t="s" s="23">
        <v>809</v>
      </c>
      <c r="C166" t="s" s="23">
        <v>26</v>
      </c>
      <c r="D166" s="24">
        <v>0</v>
      </c>
      <c r="E166" s="20" cm="1">
        <f t="array" ref="E166">_xlfn.COUNTIFS(B3:B562,B166,D3:D562,1,A3:A562,A166)</f>
        <v>0</v>
      </c>
      <c r="F166" s="25" cm="1">
        <f t="array" ref="F166">(YEAR(C166)-2025)*1000+MONTH(C166)*31+DAY(C166)+A166</f>
        <v>1236</v>
      </c>
    </row>
    <row r="167" ht="13.65" customHeight="1">
      <c r="A167" s="22">
        <v>126</v>
      </c>
      <c r="B167" t="s" s="23">
        <v>803</v>
      </c>
      <c r="C167" t="s" s="23">
        <v>226</v>
      </c>
      <c r="D167" s="24">
        <v>1</v>
      </c>
      <c r="E167" s="20" cm="1">
        <f t="array" ref="E167">_xlfn.COUNTIFS(B3:B562,B167,D3:D562,1,A3:A562,A167)</f>
        <v>2</v>
      </c>
      <c r="F167" s="25" cm="1">
        <f t="array" ref="F167">(YEAR(C167)-2025)*1000+MONTH(C167)*31+DAY(C167)+A167</f>
        <v>1236</v>
      </c>
    </row>
    <row r="168" ht="13.65" customHeight="1">
      <c r="A168" s="22">
        <v>126</v>
      </c>
      <c r="B168" t="s" s="23">
        <v>803</v>
      </c>
      <c r="C168" t="s" s="23">
        <v>26</v>
      </c>
      <c r="D168" s="24">
        <v>1</v>
      </c>
      <c r="E168" s="20" cm="1">
        <f t="array" ref="E168">_xlfn.COUNTIFS(B3:B562,B168,D3:D562,1,A3:A562,A168)</f>
        <v>2</v>
      </c>
      <c r="F168" s="25" cm="1">
        <f t="array" ref="F168">(YEAR(C168)-2025)*1000+MONTH(C168)*31+DAY(C168)+A168</f>
        <v>1235</v>
      </c>
    </row>
    <row r="169" ht="13.65" customHeight="1">
      <c r="A169" s="22">
        <v>125</v>
      </c>
      <c r="B169" t="s" s="23">
        <v>796</v>
      </c>
      <c r="C169" t="s" s="23">
        <v>226</v>
      </c>
      <c r="D169" s="24">
        <v>1</v>
      </c>
      <c r="E169" s="20" cm="1">
        <f t="array" ref="E169">_xlfn.COUNTIFS(B3:B562,B169,D3:D562,1,A3:A562,A169)</f>
        <v>2</v>
      </c>
      <c r="F169" s="25" cm="1">
        <f t="array" ref="F169">(YEAR(C169)-2025)*1000+MONTH(C169)*31+DAY(C169)+A169</f>
        <v>1235</v>
      </c>
    </row>
    <row r="170" ht="13.65" customHeight="1">
      <c r="A170" s="22">
        <v>125</v>
      </c>
      <c r="B170" t="s" s="23">
        <v>796</v>
      </c>
      <c r="C170" t="s" s="23">
        <v>26</v>
      </c>
      <c r="D170" s="24">
        <v>1</v>
      </c>
      <c r="E170" s="20" cm="1">
        <f t="array" ref="E170">_xlfn.COUNTIFS(B3:B562,B170,D3:D562,1,A3:A562,A170)</f>
        <v>2</v>
      </c>
      <c r="F170" s="25" cm="1">
        <f t="array" ref="F170">(YEAR(C170)-2025)*1000+MONTH(C170)*31+DAY(C170)+A170</f>
        <v>1234</v>
      </c>
    </row>
    <row r="171" ht="13.65" customHeight="1">
      <c r="A171" s="22">
        <v>124</v>
      </c>
      <c r="B171" t="s" s="23">
        <v>790</v>
      </c>
      <c r="C171" t="s" s="23">
        <v>226</v>
      </c>
      <c r="D171" s="24">
        <v>1</v>
      </c>
      <c r="E171" s="20" cm="1">
        <f t="array" ref="E171">_xlfn.COUNTIFS(B3:B562,B171,D3:D562,1,A3:A562,A171)</f>
        <v>2</v>
      </c>
      <c r="F171" s="25" cm="1">
        <f t="array" ref="F171">(YEAR(C171)-2025)*1000+MONTH(C171)*31+DAY(C171)+A171</f>
        <v>1234</v>
      </c>
    </row>
    <row r="172" ht="13.65" customHeight="1">
      <c r="A172" s="22">
        <v>124</v>
      </c>
      <c r="B172" t="s" s="23">
        <v>790</v>
      </c>
      <c r="C172" t="s" s="23">
        <v>26</v>
      </c>
      <c r="D172" s="24">
        <v>1</v>
      </c>
      <c r="E172" s="20" cm="1">
        <f t="array" ref="E172">_xlfn.COUNTIFS(B3:B562,B172,D3:D562,1,A3:A562,A172)</f>
        <v>2</v>
      </c>
      <c r="F172" s="25" cm="1">
        <f t="array" ref="F172">(YEAR(C172)-2025)*1000+MONTH(C172)*31+DAY(C172)+A172</f>
        <v>1233</v>
      </c>
    </row>
    <row r="173" ht="13.65" customHeight="1">
      <c r="A173" s="22">
        <v>123</v>
      </c>
      <c r="B173" t="s" s="23">
        <v>784</v>
      </c>
      <c r="C173" t="s" s="23">
        <v>226</v>
      </c>
      <c r="D173" s="24">
        <v>1</v>
      </c>
      <c r="E173" s="20" cm="1">
        <f t="array" ref="E173">_xlfn.COUNTIFS(B3:B562,B173,D3:D562,1,A3:A562,A173)</f>
        <v>2</v>
      </c>
      <c r="F173" s="25" cm="1">
        <f t="array" ref="F173">(YEAR(C173)-2025)*1000+MONTH(C173)*31+DAY(C173)+A173</f>
        <v>1233</v>
      </c>
    </row>
    <row r="174" ht="13.65" customHeight="1">
      <c r="A174" s="22">
        <v>123</v>
      </c>
      <c r="B174" t="s" s="23">
        <v>784</v>
      </c>
      <c r="C174" t="s" s="23">
        <v>26</v>
      </c>
      <c r="D174" s="24">
        <v>1</v>
      </c>
      <c r="E174" s="20" cm="1">
        <f t="array" ref="E174">_xlfn.COUNTIFS(B3:B562,B174,D3:D562,1,A3:A562,A174)</f>
        <v>2</v>
      </c>
      <c r="F174" s="25" cm="1">
        <f t="array" ref="F174">(YEAR(C174)-2025)*1000+MONTH(C174)*31+DAY(C174)+A174</f>
        <v>1232</v>
      </c>
    </row>
    <row r="175" ht="13.65" customHeight="1">
      <c r="A175" s="22">
        <v>122</v>
      </c>
      <c r="B175" t="s" s="23">
        <v>371</v>
      </c>
      <c r="C175" t="s" s="23">
        <v>226</v>
      </c>
      <c r="D175" s="24">
        <v>1</v>
      </c>
      <c r="E175" s="20" cm="1">
        <f t="array" ref="E175">_xlfn.COUNTIFS(B3:B562,B175,D3:D562,1,A3:A562,A175)</f>
        <v>2</v>
      </c>
      <c r="F175" s="25" cm="1">
        <f t="array" ref="F175">(YEAR(C175)-2025)*1000+MONTH(C175)*31+DAY(C175)+A175</f>
        <v>1232</v>
      </c>
    </row>
    <row r="176" ht="13.65" customHeight="1">
      <c r="A176" s="22">
        <v>122</v>
      </c>
      <c r="B176" t="s" s="23">
        <v>371</v>
      </c>
      <c r="C176" t="s" s="23">
        <v>26</v>
      </c>
      <c r="D176" s="24">
        <v>1</v>
      </c>
      <c r="E176" s="20" cm="1">
        <f t="array" ref="E176">_xlfn.COUNTIFS(B3:B562,B176,D3:D562,1,A3:A562,A176)</f>
        <v>2</v>
      </c>
      <c r="F176" s="25" cm="1">
        <f t="array" ref="F176">(YEAR(C176)-2025)*1000+MONTH(C176)*31+DAY(C176)+A176</f>
        <v>1231</v>
      </c>
    </row>
    <row r="177" ht="13.65" customHeight="1">
      <c r="A177" s="22">
        <v>121</v>
      </c>
      <c r="B177" t="s" s="23">
        <v>776</v>
      </c>
      <c r="C177" t="s" s="23">
        <v>226</v>
      </c>
      <c r="D177" s="24">
        <v>1</v>
      </c>
      <c r="E177" s="20" cm="1">
        <f t="array" ref="E177">_xlfn.COUNTIFS(B3:B562,B177,D3:D562,1,A3:A562,A177)</f>
        <v>2</v>
      </c>
      <c r="F177" s="25" cm="1">
        <f t="array" ref="F177">(YEAR(C177)-2025)*1000+MONTH(C177)*31+DAY(C177)+A177</f>
        <v>1231</v>
      </c>
    </row>
    <row r="178" ht="13.65" customHeight="1">
      <c r="A178" s="22">
        <v>121</v>
      </c>
      <c r="B178" t="s" s="23">
        <v>776</v>
      </c>
      <c r="C178" t="s" s="23">
        <v>26</v>
      </c>
      <c r="D178" s="24">
        <v>1</v>
      </c>
      <c r="E178" s="20" cm="1">
        <f t="array" ref="E178">_xlfn.COUNTIFS(B3:B562,B178,D3:D562,1,A3:A562,A178)</f>
        <v>2</v>
      </c>
      <c r="F178" s="25" cm="1">
        <f t="array" ref="F178">(YEAR(C178)-2025)*1000+MONTH(C178)*31+DAY(C178)+A178</f>
        <v>1230</v>
      </c>
    </row>
    <row r="179" ht="13.65" customHeight="1">
      <c r="A179" s="22">
        <v>120</v>
      </c>
      <c r="B179" t="s" s="23">
        <v>770</v>
      </c>
      <c r="C179" t="s" s="23">
        <v>226</v>
      </c>
      <c r="D179" s="24">
        <v>1</v>
      </c>
      <c r="E179" s="20" cm="1">
        <f t="array" ref="E179">_xlfn.COUNTIFS(B3:B562,B179,D3:D562,1,A3:A562,A179)</f>
        <v>2</v>
      </c>
      <c r="F179" s="25" cm="1">
        <f t="array" ref="F179">(YEAR(C179)-2025)*1000+MONTH(C179)*31+DAY(C179)+A179</f>
        <v>1230</v>
      </c>
    </row>
    <row r="180" ht="13.65" customHeight="1">
      <c r="A180" s="22">
        <v>120</v>
      </c>
      <c r="B180" t="s" s="23">
        <v>770</v>
      </c>
      <c r="C180" t="s" s="23">
        <v>26</v>
      </c>
      <c r="D180" s="24">
        <v>1</v>
      </c>
      <c r="E180" s="20" cm="1">
        <f t="array" ref="E180">_xlfn.COUNTIFS(B3:B562,B180,D3:D562,1,A3:A562,A180)</f>
        <v>2</v>
      </c>
      <c r="F180" s="25" cm="1">
        <f t="array" ref="F180">(YEAR(C180)-2025)*1000+MONTH(C180)*31+DAY(C180)+A180</f>
        <v>1229</v>
      </c>
    </row>
    <row r="181" ht="13.65" customHeight="1">
      <c r="A181" s="22">
        <v>119</v>
      </c>
      <c r="B181" t="s" s="23">
        <v>764</v>
      </c>
      <c r="C181" t="s" s="23">
        <v>226</v>
      </c>
      <c r="D181" s="24">
        <v>1</v>
      </c>
      <c r="E181" s="20" cm="1">
        <f t="array" ref="E181">_xlfn.COUNTIFS(B3:B562,B181,D3:D562,1,A3:A562,A181)</f>
        <v>2</v>
      </c>
      <c r="F181" s="25" cm="1">
        <f t="array" ref="F181">(YEAR(C181)-2025)*1000+MONTH(C181)*31+DAY(C181)+A181</f>
        <v>1229</v>
      </c>
    </row>
    <row r="182" ht="13.65" customHeight="1">
      <c r="A182" s="22">
        <v>119</v>
      </c>
      <c r="B182" t="s" s="23">
        <v>764</v>
      </c>
      <c r="C182" t="s" s="23">
        <v>26</v>
      </c>
      <c r="D182" s="24">
        <v>1</v>
      </c>
      <c r="E182" s="20" cm="1">
        <f t="array" ref="E182">_xlfn.COUNTIFS(B3:B562,B182,D3:D562,1,A3:A562,A182)</f>
        <v>2</v>
      </c>
      <c r="F182" s="25" cm="1">
        <f t="array" ref="F182">(YEAR(C182)-2025)*1000+MONTH(C182)*31+DAY(C182)+A182</f>
        <v>1228</v>
      </c>
    </row>
    <row r="183" ht="13.65" customHeight="1">
      <c r="A183" s="22">
        <v>118</v>
      </c>
      <c r="B183" t="s" s="23">
        <v>758</v>
      </c>
      <c r="C183" t="s" s="23">
        <v>226</v>
      </c>
      <c r="D183" s="24">
        <v>1</v>
      </c>
      <c r="E183" s="20" cm="1">
        <f t="array" ref="E183">_xlfn.COUNTIFS(B3:B562,B183,D3:D562,1,A3:A562,A183)</f>
        <v>2</v>
      </c>
      <c r="F183" s="25" cm="1">
        <f t="array" ref="F183">(YEAR(C183)-2025)*1000+MONTH(C183)*31+DAY(C183)+A183</f>
        <v>1228</v>
      </c>
    </row>
    <row r="184" ht="13.65" customHeight="1">
      <c r="A184" s="22">
        <v>118</v>
      </c>
      <c r="B184" t="s" s="23">
        <v>758</v>
      </c>
      <c r="C184" t="s" s="23">
        <v>26</v>
      </c>
      <c r="D184" s="24">
        <v>1</v>
      </c>
      <c r="E184" s="20" cm="1">
        <f t="array" ref="E184">_xlfn.COUNTIFS(B3:B562,B184,D3:D562,1,A3:A562,A184)</f>
        <v>2</v>
      </c>
      <c r="F184" s="25" cm="1">
        <f t="array" ref="F184">(YEAR(C184)-2025)*1000+MONTH(C184)*31+DAY(C184)+A184</f>
        <v>1227</v>
      </c>
    </row>
    <row r="185" ht="13.65" customHeight="1">
      <c r="A185" s="22">
        <v>117</v>
      </c>
      <c r="B185" t="s" s="23">
        <v>751</v>
      </c>
      <c r="C185" t="s" s="23">
        <v>226</v>
      </c>
      <c r="D185" s="24">
        <v>1</v>
      </c>
      <c r="E185" s="20" cm="1">
        <f t="array" ref="E185">_xlfn.COUNTIFS(B3:B562,B185,D3:D562,1,A3:A562,A185)</f>
        <v>2</v>
      </c>
      <c r="F185" s="25" cm="1">
        <f t="array" ref="F185">(YEAR(C185)-2025)*1000+MONTH(C185)*31+DAY(C185)+A185</f>
        <v>1227</v>
      </c>
    </row>
    <row r="186" ht="13.65" customHeight="1">
      <c r="A186" s="22">
        <v>117</v>
      </c>
      <c r="B186" t="s" s="23">
        <v>751</v>
      </c>
      <c r="C186" t="s" s="23">
        <v>26</v>
      </c>
      <c r="D186" s="24">
        <v>1</v>
      </c>
      <c r="E186" s="20" cm="1">
        <f t="array" ref="E186">_xlfn.COUNTIFS(B3:B562,B186,D3:D562,1,A3:A562,A186)</f>
        <v>2</v>
      </c>
      <c r="F186" s="25" cm="1">
        <f t="array" ref="F186">(YEAR(C186)-2025)*1000+MONTH(C186)*31+DAY(C186)+A186</f>
        <v>1226</v>
      </c>
    </row>
    <row r="187" ht="13.65" customHeight="1">
      <c r="A187" s="22">
        <v>116</v>
      </c>
      <c r="B187" t="s" s="23">
        <v>743</v>
      </c>
      <c r="C187" t="s" s="23">
        <v>226</v>
      </c>
      <c r="D187" s="24">
        <v>1</v>
      </c>
      <c r="E187" s="20" cm="1">
        <f t="array" ref="E187">_xlfn.COUNTIFS(B3:B562,B187,D3:D562,1,A3:A562,A187)</f>
        <v>2</v>
      </c>
      <c r="F187" s="25" cm="1">
        <f t="array" ref="F187">(YEAR(C187)-2025)*1000+MONTH(C187)*31+DAY(C187)+A187</f>
        <v>1226</v>
      </c>
    </row>
    <row r="188" ht="13.65" customHeight="1">
      <c r="A188" s="22">
        <v>116</v>
      </c>
      <c r="B188" t="s" s="23">
        <v>743</v>
      </c>
      <c r="C188" t="s" s="23">
        <v>26</v>
      </c>
      <c r="D188" s="24">
        <v>1</v>
      </c>
      <c r="E188" s="20" cm="1">
        <f t="array" ref="E188">_xlfn.COUNTIFS(B3:B562,B188,D3:D562,1,A3:A562,A188)</f>
        <v>2</v>
      </c>
      <c r="F188" s="25" cm="1">
        <f t="array" ref="F188">(YEAR(C188)-2025)*1000+MONTH(C188)*31+DAY(C188)+A188</f>
        <v>1225</v>
      </c>
    </row>
    <row r="189" ht="13.65" customHeight="1">
      <c r="A189" s="22">
        <v>115</v>
      </c>
      <c r="B189" t="s" s="23">
        <v>737</v>
      </c>
      <c r="C189" t="s" s="23">
        <v>226</v>
      </c>
      <c r="D189" s="24">
        <v>1</v>
      </c>
      <c r="E189" s="20" cm="1">
        <f t="array" ref="E189">_xlfn.COUNTIFS(B3:B562,B189,D3:D562,1,A3:A562,A189)</f>
        <v>1</v>
      </c>
      <c r="F189" s="25" cm="1">
        <f t="array" ref="F189">(YEAR(C189)-2025)*1000+MONTH(C189)*31+DAY(C189)+A189</f>
        <v>1225</v>
      </c>
    </row>
    <row r="190" ht="13.65" customHeight="1">
      <c r="A190" s="22">
        <v>115</v>
      </c>
      <c r="B190" t="s" s="23">
        <v>737</v>
      </c>
      <c r="C190" t="s" s="23">
        <v>26</v>
      </c>
      <c r="D190" s="24">
        <v>0</v>
      </c>
      <c r="E190" s="20" cm="1">
        <f t="array" ref="E190">_xlfn.COUNTIFS(B3:B562,B190,D3:D562,1,A3:A562,A190)</f>
        <v>1</v>
      </c>
      <c r="F190" s="25" cm="1">
        <f t="array" ref="F190">(YEAR(C190)-2025)*1000+MONTH(C190)*31+DAY(C190)+A190</f>
        <v>1224</v>
      </c>
    </row>
    <row r="191" ht="13.65" customHeight="1">
      <c r="A191" s="22">
        <v>114</v>
      </c>
      <c r="B191" t="s" s="23">
        <v>731</v>
      </c>
      <c r="C191" t="s" s="23">
        <v>226</v>
      </c>
      <c r="D191" s="24">
        <v>0</v>
      </c>
      <c r="E191" s="20" cm="1">
        <f t="array" ref="E191">_xlfn.COUNTIFS(B3:B562,B191,D3:D562,1,A3:A562,A191)</f>
        <v>1</v>
      </c>
      <c r="F191" s="25" cm="1">
        <f t="array" ref="F191">(YEAR(C191)-2025)*1000+MONTH(C191)*31+DAY(C191)+A191</f>
        <v>1224</v>
      </c>
    </row>
    <row r="192" ht="13.65" customHeight="1">
      <c r="A192" s="22">
        <v>114</v>
      </c>
      <c r="B192" t="s" s="23">
        <v>731</v>
      </c>
      <c r="C192" t="s" s="23">
        <v>26</v>
      </c>
      <c r="D192" s="24">
        <v>1</v>
      </c>
      <c r="E192" s="20" cm="1">
        <f t="array" ref="E192">_xlfn.COUNTIFS(B3:B562,B192,D3:D562,1,A3:A562,A192)</f>
        <v>1</v>
      </c>
      <c r="F192" s="25" cm="1">
        <f t="array" ref="F192">(YEAR(C192)-2025)*1000+MONTH(C192)*31+DAY(C192)+A192</f>
        <v>1223</v>
      </c>
    </row>
    <row r="193" ht="13.65" customHeight="1">
      <c r="A193" s="22">
        <v>113</v>
      </c>
      <c r="B193" t="s" s="23">
        <v>725</v>
      </c>
      <c r="C193" t="s" s="23">
        <v>226</v>
      </c>
      <c r="D193" s="24">
        <v>1</v>
      </c>
      <c r="E193" s="20" cm="1">
        <f t="array" ref="E193">_xlfn.COUNTIFS(B3:B562,B193,D3:D562,1,A3:A562,A193)</f>
        <v>2</v>
      </c>
      <c r="F193" s="25" cm="1">
        <f t="array" ref="F193">(YEAR(C193)-2025)*1000+MONTH(C193)*31+DAY(C193)+A193</f>
        <v>1223</v>
      </c>
    </row>
    <row r="194" ht="13.65" customHeight="1">
      <c r="A194" s="22">
        <v>113</v>
      </c>
      <c r="B194" t="s" s="23">
        <v>725</v>
      </c>
      <c r="C194" t="s" s="23">
        <v>26</v>
      </c>
      <c r="D194" s="24">
        <v>1</v>
      </c>
      <c r="E194" s="20" cm="1">
        <f t="array" ref="E194">_xlfn.COUNTIFS(B3:B562,B194,D3:D562,1,A3:A562,A194)</f>
        <v>2</v>
      </c>
      <c r="F194" s="25" cm="1">
        <f t="array" ref="F194">(YEAR(C194)-2025)*1000+MONTH(C194)*31+DAY(C194)+A194</f>
        <v>1222</v>
      </c>
    </row>
    <row r="195" ht="13.65" customHeight="1">
      <c r="A195" s="22">
        <v>112</v>
      </c>
      <c r="B195" t="s" s="23">
        <v>719</v>
      </c>
      <c r="C195" t="s" s="23">
        <v>226</v>
      </c>
      <c r="D195" s="24">
        <v>1</v>
      </c>
      <c r="E195" s="20" cm="1">
        <f t="array" ref="E195">_xlfn.COUNTIFS(B3:B562,B195,D3:D562,1,A3:A562,A195)</f>
        <v>2</v>
      </c>
      <c r="F195" s="25" cm="1">
        <f t="array" ref="F195">(YEAR(C195)-2025)*1000+MONTH(C195)*31+DAY(C195)+A195</f>
        <v>1222</v>
      </c>
    </row>
    <row r="196" ht="13.65" customHeight="1">
      <c r="A196" s="22">
        <v>112</v>
      </c>
      <c r="B196" t="s" s="23">
        <v>719</v>
      </c>
      <c r="C196" t="s" s="23">
        <v>26</v>
      </c>
      <c r="D196" s="24">
        <v>1</v>
      </c>
      <c r="E196" s="20" cm="1">
        <f t="array" ref="E196">_xlfn.COUNTIFS(B3:B562,B196,D3:D562,1,A3:A562,A196)</f>
        <v>2</v>
      </c>
      <c r="F196" s="25" cm="1">
        <f t="array" ref="F196">(YEAR(C196)-2025)*1000+MONTH(C196)*31+DAY(C196)+A196</f>
        <v>1221</v>
      </c>
    </row>
    <row r="197" ht="13.65" customHeight="1">
      <c r="A197" s="22">
        <v>111</v>
      </c>
      <c r="B197" t="s" s="23">
        <v>713</v>
      </c>
      <c r="C197" t="s" s="23">
        <v>226</v>
      </c>
      <c r="D197" s="24">
        <v>0</v>
      </c>
      <c r="E197" s="20" cm="1">
        <f t="array" ref="E197">_xlfn.COUNTIFS(B3:B562,B197,D3:D562,1,A3:A562,A197)</f>
        <v>0</v>
      </c>
      <c r="F197" s="25" cm="1">
        <f t="array" ref="F197">(YEAR(C197)-2025)*1000+MONTH(C197)*31+DAY(C197)+A197</f>
        <v>1221</v>
      </c>
    </row>
    <row r="198" ht="13.65" customHeight="1">
      <c r="A198" s="22">
        <v>111</v>
      </c>
      <c r="B198" t="s" s="23">
        <v>713</v>
      </c>
      <c r="C198" t="s" s="23">
        <v>26</v>
      </c>
      <c r="D198" s="24">
        <v>0</v>
      </c>
      <c r="E198" s="20" cm="1">
        <f t="array" ref="E198">_xlfn.COUNTIFS(B3:B562,B198,D3:D562,1,A3:A562,A198)</f>
        <v>0</v>
      </c>
      <c r="F198" s="25" cm="1">
        <f t="array" ref="F198">(YEAR(C198)-2025)*1000+MONTH(C198)*31+DAY(C198)+A198</f>
        <v>1220</v>
      </c>
    </row>
    <row r="199" ht="13.65" customHeight="1">
      <c r="A199" s="22">
        <v>110</v>
      </c>
      <c r="B199" t="s" s="23">
        <v>707</v>
      </c>
      <c r="C199" t="s" s="23">
        <v>226</v>
      </c>
      <c r="D199" s="24">
        <v>1</v>
      </c>
      <c r="E199" s="20" cm="1">
        <f t="array" ref="E199">_xlfn.COUNTIFS(B3:B562,B199,D3:D562,1,A3:A562,A199)</f>
        <v>2</v>
      </c>
      <c r="F199" s="25" cm="1">
        <f t="array" ref="F199">(YEAR(C199)-2025)*1000+MONTH(C199)*31+DAY(C199)+A199</f>
        <v>1220</v>
      </c>
    </row>
    <row r="200" ht="13.65" customHeight="1">
      <c r="A200" s="22">
        <v>110</v>
      </c>
      <c r="B200" t="s" s="23">
        <v>707</v>
      </c>
      <c r="C200" t="s" s="23">
        <v>26</v>
      </c>
      <c r="D200" s="24">
        <v>1</v>
      </c>
      <c r="E200" s="20" cm="1">
        <f t="array" ref="E200">_xlfn.COUNTIFS(B3:B562,B200,D3:D562,1,A3:A562,A200)</f>
        <v>2</v>
      </c>
      <c r="F200" s="25" cm="1">
        <f t="array" ref="F200">(YEAR(C200)-2025)*1000+MONTH(C200)*31+DAY(C200)+A200</f>
        <v>1219</v>
      </c>
    </row>
    <row r="201" ht="13.65" customHeight="1">
      <c r="A201" s="22">
        <v>109</v>
      </c>
      <c r="B201" t="s" s="23">
        <v>701</v>
      </c>
      <c r="C201" t="s" s="23">
        <v>226</v>
      </c>
      <c r="D201" s="24">
        <v>1</v>
      </c>
      <c r="E201" s="20" cm="1">
        <f t="array" ref="E201">_xlfn.COUNTIFS(B3:B562,B201,D3:D562,1,A3:A562,A201)</f>
        <v>1</v>
      </c>
      <c r="F201" s="25" cm="1">
        <f t="array" ref="F201">(YEAR(C201)-2025)*1000+MONTH(C201)*31+DAY(C201)+A201</f>
        <v>1219</v>
      </c>
    </row>
    <row r="202" ht="13.65" customHeight="1">
      <c r="A202" s="22">
        <v>109</v>
      </c>
      <c r="B202" t="s" s="23">
        <v>701</v>
      </c>
      <c r="C202" t="s" s="23">
        <v>26</v>
      </c>
      <c r="D202" s="24">
        <v>0</v>
      </c>
      <c r="E202" s="20" cm="1">
        <f t="array" ref="E202">_xlfn.COUNTIFS(B3:B562,B202,D3:D562,1,A3:A562,A202)</f>
        <v>1</v>
      </c>
      <c r="F202" s="25" cm="1">
        <f t="array" ref="F202">(YEAR(C202)-2025)*1000+MONTH(C202)*31+DAY(C202)+A202</f>
        <v>1218</v>
      </c>
    </row>
    <row r="203" ht="13.65" customHeight="1">
      <c r="A203" s="22">
        <v>108</v>
      </c>
      <c r="B203" t="s" s="23">
        <v>695</v>
      </c>
      <c r="C203" t="s" s="23">
        <v>226</v>
      </c>
      <c r="D203" s="24">
        <v>1</v>
      </c>
      <c r="E203" s="20" cm="1">
        <f t="array" ref="E203">_xlfn.COUNTIFS(B3:B562,B203,D3:D562,1,A3:A562,A203)</f>
        <v>2</v>
      </c>
      <c r="F203" s="25" cm="1">
        <f t="array" ref="F203">(YEAR(C203)-2025)*1000+MONTH(C203)*31+DAY(C203)+A203</f>
        <v>1218</v>
      </c>
    </row>
    <row r="204" ht="13.65" customHeight="1">
      <c r="A204" s="22">
        <v>108</v>
      </c>
      <c r="B204" t="s" s="23">
        <v>695</v>
      </c>
      <c r="C204" t="s" s="23">
        <v>26</v>
      </c>
      <c r="D204" s="24">
        <v>1</v>
      </c>
      <c r="E204" s="20" cm="1">
        <f t="array" ref="E204">_xlfn.COUNTIFS(B3:B562,B204,D3:D562,1,A3:A562,A204)</f>
        <v>2</v>
      </c>
      <c r="F204" s="25" cm="1">
        <f t="array" ref="F204">(YEAR(C204)-2025)*1000+MONTH(C204)*31+DAY(C204)+A204</f>
        <v>1217</v>
      </c>
    </row>
    <row r="205" ht="13.65" customHeight="1">
      <c r="A205" s="22">
        <v>107</v>
      </c>
      <c r="B205" t="s" s="23">
        <v>689</v>
      </c>
      <c r="C205" t="s" s="23">
        <v>226</v>
      </c>
      <c r="D205" s="24">
        <v>1</v>
      </c>
      <c r="E205" s="20" cm="1">
        <f t="array" ref="E205">_xlfn.COUNTIFS(B3:B562,B205,D3:D562,1,A3:A562,A205)</f>
        <v>2</v>
      </c>
      <c r="F205" s="25" cm="1">
        <f t="array" ref="F205">(YEAR(C205)-2025)*1000+MONTH(C205)*31+DAY(C205)+A205</f>
        <v>1217</v>
      </c>
    </row>
    <row r="206" ht="13.65" customHeight="1">
      <c r="A206" s="22">
        <v>107</v>
      </c>
      <c r="B206" t="s" s="23">
        <v>689</v>
      </c>
      <c r="C206" t="s" s="23">
        <v>26</v>
      </c>
      <c r="D206" s="24">
        <v>1</v>
      </c>
      <c r="E206" s="20" cm="1">
        <f t="array" ref="E206">_xlfn.COUNTIFS(B3:B562,B206,D3:D562,1,A3:A562,A206)</f>
        <v>2</v>
      </c>
      <c r="F206" s="25" cm="1">
        <f t="array" ref="F206">(YEAR(C206)-2025)*1000+MONTH(C206)*31+DAY(C206)+A206</f>
        <v>1216</v>
      </c>
    </row>
    <row r="207" ht="13.65" customHeight="1">
      <c r="A207" s="22">
        <v>106</v>
      </c>
      <c r="B207" t="s" s="23">
        <v>683</v>
      </c>
      <c r="C207" t="s" s="23">
        <v>226</v>
      </c>
      <c r="D207" s="24">
        <v>0</v>
      </c>
      <c r="E207" s="20" cm="1">
        <f t="array" ref="E207">_xlfn.COUNTIFS(B3:B562,B207,D3:D562,1,A3:A562,A207)</f>
        <v>0</v>
      </c>
      <c r="F207" s="25" cm="1">
        <f t="array" ref="F207">(YEAR(C207)-2025)*1000+MONTH(C207)*31+DAY(C207)+A207</f>
        <v>1216</v>
      </c>
    </row>
    <row r="208" ht="13.65" customHeight="1">
      <c r="A208" s="22">
        <v>106</v>
      </c>
      <c r="B208" t="s" s="23">
        <v>683</v>
      </c>
      <c r="C208" t="s" s="23">
        <v>26</v>
      </c>
      <c r="D208" s="24">
        <v>0</v>
      </c>
      <c r="E208" s="20" cm="1">
        <f t="array" ref="E208">_xlfn.COUNTIFS(B3:B562,B208,D3:D562,1,A3:A562,A208)</f>
        <v>0</v>
      </c>
      <c r="F208" s="25" cm="1">
        <f t="array" ref="F208">(YEAR(C208)-2025)*1000+MONTH(C208)*31+DAY(C208)+A208</f>
        <v>1215</v>
      </c>
    </row>
    <row r="209" ht="13.65" customHeight="1">
      <c r="A209" s="22">
        <v>105</v>
      </c>
      <c r="B209" t="s" s="23">
        <v>677</v>
      </c>
      <c r="C209" t="s" s="23">
        <v>226</v>
      </c>
      <c r="D209" s="24">
        <v>1</v>
      </c>
      <c r="E209" s="20" cm="1">
        <f t="array" ref="E209">_xlfn.COUNTIFS(B3:B562,B209,D3:D562,1,A3:A562,A209)</f>
        <v>2</v>
      </c>
      <c r="F209" s="25" cm="1">
        <f t="array" ref="F209">(YEAR(C209)-2025)*1000+MONTH(C209)*31+DAY(C209)+A209</f>
        <v>1215</v>
      </c>
    </row>
    <row r="210" ht="13.65" customHeight="1">
      <c r="A210" s="22">
        <v>105</v>
      </c>
      <c r="B210" t="s" s="23">
        <v>677</v>
      </c>
      <c r="C210" t="s" s="23">
        <v>26</v>
      </c>
      <c r="D210" s="24">
        <v>1</v>
      </c>
      <c r="E210" s="20" cm="1">
        <f t="array" ref="E210">_xlfn.COUNTIFS(B3:B562,B210,D3:D562,1,A3:A562,A210)</f>
        <v>2</v>
      </c>
      <c r="F210" s="25" cm="1">
        <f t="array" ref="F210">(YEAR(C210)-2025)*1000+MONTH(C210)*31+DAY(C210)+A210</f>
        <v>1214</v>
      </c>
    </row>
    <row r="211" ht="13.65" customHeight="1">
      <c r="A211" s="22">
        <v>104</v>
      </c>
      <c r="B211" t="s" s="23">
        <v>670</v>
      </c>
      <c r="C211" t="s" s="23">
        <v>226</v>
      </c>
      <c r="D211" s="24">
        <v>0</v>
      </c>
      <c r="E211" s="20" cm="1">
        <f t="array" ref="E211">_xlfn.COUNTIFS(B3:B562,B211,D3:D562,1,A3:A562,A211)</f>
        <v>1</v>
      </c>
      <c r="F211" s="25" cm="1">
        <f t="array" ref="F211">(YEAR(C211)-2025)*1000+MONTH(C211)*31+DAY(C211)+A211</f>
        <v>1214</v>
      </c>
    </row>
    <row r="212" ht="13.65" customHeight="1">
      <c r="A212" s="22">
        <v>104</v>
      </c>
      <c r="B212" t="s" s="23">
        <v>670</v>
      </c>
      <c r="C212" t="s" s="23">
        <v>26</v>
      </c>
      <c r="D212" s="24">
        <v>1</v>
      </c>
      <c r="E212" s="20" cm="1">
        <f t="array" ref="E212">_xlfn.COUNTIFS(B3:B562,B212,D3:D562,1,A3:A562,A212)</f>
        <v>1</v>
      </c>
      <c r="F212" s="25" cm="1">
        <f t="array" ref="F212">(YEAR(C212)-2025)*1000+MONTH(C212)*31+DAY(C212)+A212</f>
        <v>1213</v>
      </c>
    </row>
    <row r="213" ht="13.65" customHeight="1">
      <c r="A213" s="22">
        <v>103</v>
      </c>
      <c r="B213" t="s" s="23">
        <v>664</v>
      </c>
      <c r="C213" t="s" s="23">
        <v>226</v>
      </c>
      <c r="D213" s="24">
        <v>1</v>
      </c>
      <c r="E213" s="20" cm="1">
        <f t="array" ref="E213">_xlfn.COUNTIFS(B3:B562,B213,D3:D562,1,A3:A562,A213)</f>
        <v>2</v>
      </c>
      <c r="F213" s="25" cm="1">
        <f t="array" ref="F213">(YEAR(C213)-2025)*1000+MONTH(C213)*31+DAY(C213)+A213</f>
        <v>1213</v>
      </c>
    </row>
    <row r="214" ht="13.65" customHeight="1">
      <c r="A214" s="22">
        <v>103</v>
      </c>
      <c r="B214" t="s" s="23">
        <v>664</v>
      </c>
      <c r="C214" t="s" s="23">
        <v>26</v>
      </c>
      <c r="D214" s="24">
        <v>1</v>
      </c>
      <c r="E214" s="20" cm="1">
        <f t="array" ref="E214">_xlfn.COUNTIFS(B3:B562,B214,D3:D562,1,A3:A562,A214)</f>
        <v>2</v>
      </c>
      <c r="F214" s="25" cm="1">
        <f t="array" ref="F214">(YEAR(C214)-2025)*1000+MONTH(C214)*31+DAY(C214)+A214</f>
        <v>1212</v>
      </c>
    </row>
    <row r="215" ht="13.65" customHeight="1">
      <c r="A215" s="22">
        <v>102</v>
      </c>
      <c r="B215" t="s" s="23">
        <v>656</v>
      </c>
      <c r="C215" t="s" s="23">
        <v>226</v>
      </c>
      <c r="D215" s="24">
        <v>1</v>
      </c>
      <c r="E215" s="20" cm="1">
        <f t="array" ref="E215">_xlfn.COUNTIFS(B3:B562,B215,D3:D562,1,A3:A562,A215)</f>
        <v>2</v>
      </c>
      <c r="F215" s="25" cm="1">
        <f t="array" ref="F215">(YEAR(C215)-2025)*1000+MONTH(C215)*31+DAY(C215)+A215</f>
        <v>1212</v>
      </c>
    </row>
    <row r="216" ht="13.65" customHeight="1">
      <c r="A216" s="22">
        <v>102</v>
      </c>
      <c r="B216" t="s" s="23">
        <v>656</v>
      </c>
      <c r="C216" t="s" s="23">
        <v>26</v>
      </c>
      <c r="D216" s="24">
        <v>1</v>
      </c>
      <c r="E216" s="20" cm="1">
        <f t="array" ref="E216">_xlfn.COUNTIFS(B3:B562,B216,D3:D562,1,A3:A562,A216)</f>
        <v>2</v>
      </c>
      <c r="F216" s="25" cm="1">
        <f t="array" ref="F216">(YEAR(C216)-2025)*1000+MONTH(C216)*31+DAY(C216)+A216</f>
        <v>1211</v>
      </c>
    </row>
    <row r="217" ht="13.65" customHeight="1">
      <c r="A217" s="22">
        <v>101</v>
      </c>
      <c r="B217" t="s" s="23">
        <v>649</v>
      </c>
      <c r="C217" t="s" s="23">
        <v>226</v>
      </c>
      <c r="D217" s="24">
        <v>1</v>
      </c>
      <c r="E217" s="20" cm="1">
        <f t="array" ref="E217">_xlfn.COUNTIFS(B3:B562,B217,D3:D562,1,A3:A562,A217)</f>
        <v>1</v>
      </c>
      <c r="F217" s="25" cm="1">
        <f t="array" ref="F217">(YEAR(C217)-2025)*1000+MONTH(C217)*31+DAY(C217)+A217</f>
        <v>1211</v>
      </c>
    </row>
    <row r="218" ht="13.65" customHeight="1">
      <c r="A218" s="22">
        <v>101</v>
      </c>
      <c r="B218" t="s" s="23">
        <v>649</v>
      </c>
      <c r="C218" t="s" s="23">
        <v>26</v>
      </c>
      <c r="D218" s="24">
        <v>0</v>
      </c>
      <c r="E218" s="20" cm="1">
        <f t="array" ref="E218">_xlfn.COUNTIFS(B3:B562,B218,D3:D562,1,A3:A562,A218)</f>
        <v>1</v>
      </c>
      <c r="F218" s="25" cm="1">
        <f t="array" ref="F218">(YEAR(C218)-2025)*1000+MONTH(C218)*31+DAY(C218)+A218</f>
        <v>1210</v>
      </c>
    </row>
    <row r="219" ht="13.65" customHeight="1">
      <c r="A219" s="22">
        <v>100</v>
      </c>
      <c r="B219" t="s" s="23">
        <v>643</v>
      </c>
      <c r="C219" t="s" s="23">
        <v>19</v>
      </c>
      <c r="D219" s="24">
        <v>1</v>
      </c>
      <c r="E219" s="20" cm="1">
        <f t="array" ref="E219">_xlfn.COUNTIFS(B3:B562,B219,D3:D562,1,A3:A562,A219)</f>
        <v>3</v>
      </c>
      <c r="F219" s="25" cm="1">
        <f t="array" ref="F219">(YEAR(C219)-2025)*1000+MONTH(C219)*31+DAY(C219)+A219</f>
        <v>1207</v>
      </c>
    </row>
    <row r="220" ht="13.65" customHeight="1">
      <c r="A220" s="22">
        <v>100</v>
      </c>
      <c r="B220" t="s" s="23">
        <v>643</v>
      </c>
      <c r="C220" t="s" s="23">
        <v>19</v>
      </c>
      <c r="D220" s="24">
        <v>1</v>
      </c>
      <c r="E220" s="20" cm="1">
        <f t="array" ref="E220">_xlfn.COUNTIFS(B3:B562,B220,D3:D562,1,A3:A562,A220)</f>
        <v>3</v>
      </c>
      <c r="F220" s="25" cm="1">
        <f t="array" ref="F220">(YEAR(C220)-2025)*1000+MONTH(C220)*31+DAY(C220)+A220</f>
        <v>1207</v>
      </c>
    </row>
    <row r="221" ht="13.65" customHeight="1">
      <c r="A221" s="26">
        <v>100</v>
      </c>
      <c r="B221" t="s" s="27">
        <v>643</v>
      </c>
      <c r="C221" t="s" s="27">
        <v>15703</v>
      </c>
      <c r="D221" s="28">
        <v>1</v>
      </c>
      <c r="E221" s="20" cm="1">
        <f t="array" ref="E221">_xlfn.COUNTIFS(B3:B562,B221,D3:D562,1,A3:A562,A221)</f>
        <v>3</v>
      </c>
      <c r="F221" s="25" cm="1">
        <f t="array" ref="F221">(YEAR(C221)-2025)*1000+MONTH(C221)*31+DAY(C221)+A221</f>
        <v>1206</v>
      </c>
    </row>
    <row r="222" ht="13.65" customHeight="1">
      <c r="A222" s="29">
        <v>99</v>
      </c>
      <c r="B222" t="s" s="30">
        <v>637</v>
      </c>
      <c r="C222" t="s" s="30">
        <v>19</v>
      </c>
      <c r="D222" s="31">
        <v>1</v>
      </c>
      <c r="E222" s="20" cm="1">
        <f t="array" ref="E222">_xlfn.COUNTIFS(B3:B562,B222,D3:D562,1,A3:A562,A222)</f>
        <v>3</v>
      </c>
      <c r="F222" s="25" cm="1">
        <f t="array" ref="F222">(YEAR(C222)-2025)*1000+MONTH(C222)*31+DAY(C222)+A222</f>
        <v>1206</v>
      </c>
    </row>
    <row r="223" ht="13.65" customHeight="1">
      <c r="A223" s="22">
        <v>99</v>
      </c>
      <c r="B223" t="s" s="23">
        <v>637</v>
      </c>
      <c r="C223" t="s" s="23">
        <v>19</v>
      </c>
      <c r="D223" s="24">
        <v>1</v>
      </c>
      <c r="E223" s="20" cm="1">
        <f t="array" ref="E223">_xlfn.COUNTIFS(B3:B562,B223,D3:D562,1,A3:A562,A223)</f>
        <v>3</v>
      </c>
      <c r="F223" s="25" cm="1">
        <f t="array" ref="F223">(YEAR(C223)-2025)*1000+MONTH(C223)*31+DAY(C223)+A223</f>
        <v>1206</v>
      </c>
    </row>
    <row r="224" ht="13.65" customHeight="1">
      <c r="A224" s="22">
        <v>96</v>
      </c>
      <c r="B224" t="s" s="23">
        <v>619</v>
      </c>
      <c r="C224" t="s" s="23">
        <v>226</v>
      </c>
      <c r="D224" s="24">
        <v>1</v>
      </c>
      <c r="E224" s="20" cm="1">
        <f t="array" ref="E224">_xlfn.COUNTIFS(B3:B562,B224,D3:D562,1,A3:A562,A224)</f>
        <v>3</v>
      </c>
      <c r="F224" s="25" cm="1">
        <f t="array" ref="F224">(YEAR(C224)-2025)*1000+MONTH(C224)*31+DAY(C224)+A224</f>
        <v>1206</v>
      </c>
    </row>
    <row r="225" ht="13.65" customHeight="1">
      <c r="A225" s="32">
        <v>99</v>
      </c>
      <c r="B225" t="s" s="33">
        <v>637</v>
      </c>
      <c r="C225" t="s" s="33">
        <v>15703</v>
      </c>
      <c r="D225" s="34">
        <v>1</v>
      </c>
      <c r="E225" s="20" cm="1">
        <f t="array" ref="E225">_xlfn.COUNTIFS(B3:B562,B225,D3:D562,1,A3:A562,A225)</f>
        <v>3</v>
      </c>
      <c r="F225" s="25" cm="1">
        <f t="array" ref="F225">(YEAR(C225)-2025)*1000+MONTH(C225)*31+DAY(C225)+A225</f>
        <v>1205</v>
      </c>
    </row>
    <row r="226" ht="13.65" customHeight="1">
      <c r="A226" s="22">
        <v>98</v>
      </c>
      <c r="B226" t="s" s="23">
        <v>631</v>
      </c>
      <c r="C226" t="s" s="23">
        <v>19</v>
      </c>
      <c r="D226" s="24">
        <v>1</v>
      </c>
      <c r="E226" s="20" cm="1">
        <f t="array" ref="E226">_xlfn.COUNTIFS(B3:B562,B226,D3:D562,1,A3:A562,A226)</f>
        <v>3</v>
      </c>
      <c r="F226" s="25" cm="1">
        <f t="array" ref="F226">(YEAR(C226)-2025)*1000+MONTH(C226)*31+DAY(C226)+A226</f>
        <v>1205</v>
      </c>
    </row>
    <row r="227" ht="13.65" customHeight="1">
      <c r="A227" s="22">
        <v>98</v>
      </c>
      <c r="B227" t="s" s="23">
        <v>631</v>
      </c>
      <c r="C227" t="s" s="23">
        <v>19</v>
      </c>
      <c r="D227" s="24">
        <v>1</v>
      </c>
      <c r="E227" s="20" cm="1">
        <f t="array" ref="E227">_xlfn.COUNTIFS(B3:B562,B227,D3:D562,1,A3:A562,A227)</f>
        <v>3</v>
      </c>
      <c r="F227" s="25" cm="1">
        <f t="array" ref="F227">(YEAR(C227)-2025)*1000+MONTH(C227)*31+DAY(C227)+A227</f>
        <v>1205</v>
      </c>
    </row>
    <row r="228" ht="13.65" customHeight="1">
      <c r="A228" s="22">
        <v>96</v>
      </c>
      <c r="B228" t="s" s="23">
        <v>619</v>
      </c>
      <c r="C228" t="s" s="23">
        <v>26</v>
      </c>
      <c r="D228" s="24">
        <v>1</v>
      </c>
      <c r="E228" s="20" cm="1">
        <f t="array" ref="E228">_xlfn.COUNTIFS(B3:B562,B228,D3:D562,1,A3:A562,A228)</f>
        <v>3</v>
      </c>
      <c r="F228" s="25" cm="1">
        <f t="array" ref="F228">(YEAR(C228)-2025)*1000+MONTH(C228)*31+DAY(C228)+A228</f>
        <v>1205</v>
      </c>
    </row>
    <row r="229" ht="13.65" customHeight="1">
      <c r="A229" s="32">
        <v>98</v>
      </c>
      <c r="B229" t="s" s="33">
        <v>631</v>
      </c>
      <c r="C229" t="s" s="33">
        <v>15703</v>
      </c>
      <c r="D229" s="34">
        <v>1</v>
      </c>
      <c r="E229" s="20" cm="1">
        <f t="array" ref="E229">_xlfn.COUNTIFS(B3:B562,B229,D3:D562,1,A3:A562,A229)</f>
        <v>3</v>
      </c>
      <c r="F229" s="25" cm="1">
        <f t="array" ref="F229">(YEAR(C229)-2025)*1000+MONTH(C229)*31+DAY(C229)+A229</f>
        <v>1204</v>
      </c>
    </row>
    <row r="230" ht="13.65" customHeight="1">
      <c r="A230" s="22">
        <v>97</v>
      </c>
      <c r="B230" t="s" s="23">
        <v>625</v>
      </c>
      <c r="C230" t="s" s="23">
        <v>19</v>
      </c>
      <c r="D230" s="24">
        <v>1</v>
      </c>
      <c r="E230" s="20" cm="1">
        <f t="array" ref="E230">_xlfn.COUNTIFS(B3:B562,B230,D3:D562,1,A3:A562,A230)</f>
        <v>3</v>
      </c>
      <c r="F230" s="25" cm="1">
        <f t="array" ref="F230">(YEAR(C230)-2025)*1000+MONTH(C230)*31+DAY(C230)+A230</f>
        <v>1204</v>
      </c>
    </row>
    <row r="231" ht="13.65" customHeight="1">
      <c r="A231" s="22">
        <v>97</v>
      </c>
      <c r="B231" t="s" s="23">
        <v>625</v>
      </c>
      <c r="C231" t="s" s="23">
        <v>19</v>
      </c>
      <c r="D231" s="24">
        <v>1</v>
      </c>
      <c r="E231" s="20" cm="1">
        <f t="array" ref="E231">_xlfn.COUNTIFS(B3:B562,B231,D3:D562,1,A3:A562,A231)</f>
        <v>3</v>
      </c>
      <c r="F231" s="25" cm="1">
        <f t="array" ref="F231">(YEAR(C231)-2025)*1000+MONTH(C231)*31+DAY(C231)+A231</f>
        <v>1204</v>
      </c>
    </row>
    <row r="232" ht="13.65" customHeight="1">
      <c r="A232" s="32">
        <v>97</v>
      </c>
      <c r="B232" t="s" s="33">
        <v>625</v>
      </c>
      <c r="C232" t="s" s="33">
        <v>15703</v>
      </c>
      <c r="D232" s="34">
        <v>1</v>
      </c>
      <c r="E232" s="20" cm="1">
        <f t="array" ref="E232">_xlfn.COUNTIFS(B3:B562,B232,D3:D562,1,A3:A562,A232)</f>
        <v>3</v>
      </c>
      <c r="F232" s="25" cm="1">
        <f t="array" ref="F232">(YEAR(C232)-2025)*1000+MONTH(C232)*31+DAY(C232)+A232</f>
        <v>1203</v>
      </c>
    </row>
    <row r="233" ht="13.65" customHeight="1">
      <c r="A233" s="22">
        <v>96</v>
      </c>
      <c r="B233" t="s" s="23">
        <v>619</v>
      </c>
      <c r="C233" t="s" s="23">
        <v>19</v>
      </c>
      <c r="D233" s="24">
        <v>0</v>
      </c>
      <c r="E233" s="20" cm="1">
        <f t="array" ref="E233">_xlfn.COUNTIFS(B3:B562,B233,D3:D562,1,A3:A562,A233)</f>
        <v>3</v>
      </c>
      <c r="F233" s="25" cm="1">
        <f t="array" ref="F233">(YEAR(C233)-2025)*1000+MONTH(C233)*31+DAY(C233)+A233</f>
        <v>1203</v>
      </c>
    </row>
    <row r="234" ht="13.65" customHeight="1">
      <c r="A234" s="22">
        <v>96</v>
      </c>
      <c r="B234" t="s" s="23">
        <v>619</v>
      </c>
      <c r="C234" t="s" s="23">
        <v>19</v>
      </c>
      <c r="D234" s="24">
        <v>0</v>
      </c>
      <c r="E234" s="20" cm="1">
        <f t="array" ref="E234">_xlfn.COUNTIFS(B3:B562,B234,D3:D562,1,A3:A562,A234)</f>
        <v>3</v>
      </c>
      <c r="F234" s="25" cm="1">
        <f t="array" ref="F234">(YEAR(C234)-2025)*1000+MONTH(C234)*31+DAY(C234)+A234</f>
        <v>1203</v>
      </c>
    </row>
    <row r="235" ht="13.65" customHeight="1">
      <c r="A235" s="22">
        <v>93</v>
      </c>
      <c r="B235" t="s" s="23">
        <v>599</v>
      </c>
      <c r="C235" t="s" s="23">
        <v>226</v>
      </c>
      <c r="D235" s="24">
        <v>1</v>
      </c>
      <c r="E235" s="20" cm="1">
        <f t="array" ref="E235">_xlfn.COUNTIFS(B3:B562,B235,D3:D562,1,A3:A562,A235)</f>
        <v>3</v>
      </c>
      <c r="F235" s="25" cm="1">
        <f t="array" ref="F235">(YEAR(C235)-2025)*1000+MONTH(C235)*31+DAY(C235)+A235</f>
        <v>1203</v>
      </c>
    </row>
    <row r="236" ht="13.65" customHeight="1">
      <c r="A236" s="32">
        <v>96</v>
      </c>
      <c r="B236" t="s" s="33">
        <v>619</v>
      </c>
      <c r="C236" t="s" s="33">
        <v>15703</v>
      </c>
      <c r="D236" s="34">
        <v>1</v>
      </c>
      <c r="E236" s="20" cm="1">
        <f t="array" ref="E236">_xlfn.COUNTIFS(B3:B562,B236,D3:D562,1,A3:A562,A236)</f>
        <v>3</v>
      </c>
      <c r="F236" s="25" cm="1">
        <f t="array" ref="F236">(YEAR(C236)-2025)*1000+MONTH(C236)*31+DAY(C236)+A236</f>
        <v>1202</v>
      </c>
    </row>
    <row r="237" ht="13.65" customHeight="1">
      <c r="A237" s="22">
        <v>95</v>
      </c>
      <c r="B237" t="s" s="23">
        <v>612</v>
      </c>
      <c r="C237" t="s" s="23">
        <v>19</v>
      </c>
      <c r="D237" s="24">
        <v>1</v>
      </c>
      <c r="E237" s="20" cm="1">
        <f t="array" ref="E237">_xlfn.COUNTIFS(B3:B562,B237,D3:D562,1,A3:A562,A237)</f>
        <v>3</v>
      </c>
      <c r="F237" s="25" cm="1">
        <f t="array" ref="F237">(YEAR(C237)-2025)*1000+MONTH(C237)*31+DAY(C237)+A237</f>
        <v>1202</v>
      </c>
    </row>
    <row r="238" ht="13.65" customHeight="1">
      <c r="A238" s="22">
        <v>95</v>
      </c>
      <c r="B238" t="s" s="23">
        <v>612</v>
      </c>
      <c r="C238" t="s" s="23">
        <v>19</v>
      </c>
      <c r="D238" s="24">
        <v>1</v>
      </c>
      <c r="E238" s="20" cm="1">
        <f t="array" ref="E238">_xlfn.COUNTIFS(B3:B562,B238,D3:D562,1,A3:A562,A238)</f>
        <v>3</v>
      </c>
      <c r="F238" s="25" cm="1">
        <f t="array" ref="F238">(YEAR(C238)-2025)*1000+MONTH(C238)*31+DAY(C238)+A238</f>
        <v>1202</v>
      </c>
    </row>
    <row r="239" ht="13.65" customHeight="1">
      <c r="A239" s="22">
        <v>93</v>
      </c>
      <c r="B239" t="s" s="23">
        <v>599</v>
      </c>
      <c r="C239" t="s" s="23">
        <v>26</v>
      </c>
      <c r="D239" s="24">
        <v>1</v>
      </c>
      <c r="E239" s="20" cm="1">
        <f t="array" ref="E239">_xlfn.COUNTIFS(B3:B562,B239,D3:D562,1,A3:A562,A239)</f>
        <v>3</v>
      </c>
      <c r="F239" s="25" cm="1">
        <f t="array" ref="F239">(YEAR(C239)-2025)*1000+MONTH(C239)*31+DAY(C239)+A239</f>
        <v>1202</v>
      </c>
    </row>
    <row r="240" ht="13.65" customHeight="1">
      <c r="A240" s="32">
        <v>95</v>
      </c>
      <c r="B240" t="s" s="33">
        <v>612</v>
      </c>
      <c r="C240" t="s" s="33">
        <v>15703</v>
      </c>
      <c r="D240" s="34">
        <v>1</v>
      </c>
      <c r="E240" s="20" cm="1">
        <f t="array" ref="E240">_xlfn.COUNTIFS(B3:B562,B240,D3:D562,1,A3:A562,A240)</f>
        <v>3</v>
      </c>
      <c r="F240" s="25" cm="1">
        <f t="array" ref="F240">(YEAR(C240)-2025)*1000+MONTH(C240)*31+DAY(C240)+A240</f>
        <v>1201</v>
      </c>
    </row>
    <row r="241" ht="13.65" customHeight="1">
      <c r="A241" s="22">
        <v>94</v>
      </c>
      <c r="B241" t="s" s="23">
        <v>605</v>
      </c>
      <c r="C241" t="s" s="23">
        <v>19</v>
      </c>
      <c r="D241" s="24">
        <v>1</v>
      </c>
      <c r="E241" s="20" cm="1">
        <f t="array" ref="E241">_xlfn.COUNTIFS(B3:B562,B241,D3:D562,1,A3:A562,A241)</f>
        <v>3</v>
      </c>
      <c r="F241" s="25" cm="1">
        <f t="array" ref="F241">(YEAR(C241)-2025)*1000+MONTH(C241)*31+DAY(C241)+A241</f>
        <v>1201</v>
      </c>
    </row>
    <row r="242" ht="13.65" customHeight="1">
      <c r="A242" s="22">
        <v>94</v>
      </c>
      <c r="B242" t="s" s="23">
        <v>605</v>
      </c>
      <c r="C242" t="s" s="23">
        <v>19</v>
      </c>
      <c r="D242" s="24">
        <v>1</v>
      </c>
      <c r="E242" s="20" cm="1">
        <f t="array" ref="E242">_xlfn.COUNTIFS(B3:B562,B242,D3:D562,1,A3:A562,A242)</f>
        <v>3</v>
      </c>
      <c r="F242" s="25" cm="1">
        <f t="array" ref="F242">(YEAR(C242)-2025)*1000+MONTH(C242)*31+DAY(C242)+A242</f>
        <v>1201</v>
      </c>
    </row>
    <row r="243" ht="13.65" customHeight="1">
      <c r="A243" s="32">
        <v>94</v>
      </c>
      <c r="B243" t="s" s="33">
        <v>605</v>
      </c>
      <c r="C243" t="s" s="33">
        <v>15703</v>
      </c>
      <c r="D243" s="34">
        <v>1</v>
      </c>
      <c r="E243" s="20" cm="1">
        <f t="array" ref="E243">_xlfn.COUNTIFS(B3:B562,B243,D3:D562,1,A3:A562,A243)</f>
        <v>3</v>
      </c>
      <c r="F243" s="25" cm="1">
        <f t="array" ref="F243">(YEAR(C243)-2025)*1000+MONTH(C243)*31+DAY(C243)+A243</f>
        <v>1200</v>
      </c>
    </row>
    <row r="244" ht="13.65" customHeight="1">
      <c r="A244" s="22">
        <v>93</v>
      </c>
      <c r="B244" t="s" s="23">
        <v>599</v>
      </c>
      <c r="C244" t="s" s="23">
        <v>19</v>
      </c>
      <c r="D244" s="24">
        <v>0</v>
      </c>
      <c r="E244" s="20" cm="1">
        <f t="array" ref="E244">_xlfn.COUNTIFS(B3:B562,B244,D3:D562,1,A3:A562,A244)</f>
        <v>3</v>
      </c>
      <c r="F244" s="25" cm="1">
        <f t="array" ref="F244">(YEAR(C244)-2025)*1000+MONTH(C244)*31+DAY(C244)+A244</f>
        <v>1200</v>
      </c>
    </row>
    <row r="245" ht="13.65" customHeight="1">
      <c r="A245" s="22">
        <v>93</v>
      </c>
      <c r="B245" t="s" s="23">
        <v>599</v>
      </c>
      <c r="C245" t="s" s="23">
        <v>19</v>
      </c>
      <c r="D245" s="24">
        <v>1</v>
      </c>
      <c r="E245" s="20" cm="1">
        <f t="array" ref="E245">_xlfn.COUNTIFS(B3:B562,B245,D3:D562,1,A3:A562,A245)</f>
        <v>3</v>
      </c>
      <c r="F245" s="25" cm="1">
        <f t="array" ref="F245">(YEAR(C245)-2025)*1000+MONTH(C245)*31+DAY(C245)+A245</f>
        <v>1200</v>
      </c>
    </row>
    <row r="246" ht="13.65" customHeight="1">
      <c r="A246" s="32">
        <v>93</v>
      </c>
      <c r="B246" t="s" s="33">
        <v>599</v>
      </c>
      <c r="C246" t="s" s="33">
        <v>15703</v>
      </c>
      <c r="D246" s="34">
        <v>0</v>
      </c>
      <c r="E246" s="20" cm="1">
        <f t="array" ref="E246">_xlfn.COUNTIFS(B3:B562,B246,D3:D562,1,A3:A562,A246)</f>
        <v>3</v>
      </c>
      <c r="F246" s="25" cm="1">
        <f t="array" ref="F246">(YEAR(C246)-2025)*1000+MONTH(C246)*31+DAY(C246)+A246</f>
        <v>1199</v>
      </c>
    </row>
    <row r="247" ht="13.65" customHeight="1">
      <c r="A247" s="22">
        <v>92</v>
      </c>
      <c r="B247" t="s" s="23">
        <v>593</v>
      </c>
      <c r="C247" t="s" s="23">
        <v>19</v>
      </c>
      <c r="D247" s="24">
        <v>1</v>
      </c>
      <c r="E247" s="20" cm="1">
        <f t="array" ref="E247">_xlfn.COUNTIFS(B3:B562,B247,D3:D562,1,A3:A562,A247)</f>
        <v>3</v>
      </c>
      <c r="F247" s="25" cm="1">
        <f t="array" ref="F247">(YEAR(C247)-2025)*1000+MONTH(C247)*31+DAY(C247)+A247</f>
        <v>1199</v>
      </c>
    </row>
    <row r="248" ht="13.65" customHeight="1">
      <c r="A248" s="22">
        <v>92</v>
      </c>
      <c r="B248" t="s" s="23">
        <v>593</v>
      </c>
      <c r="C248" t="s" s="23">
        <v>19</v>
      </c>
      <c r="D248" s="24">
        <v>1</v>
      </c>
      <c r="E248" s="20" cm="1">
        <f t="array" ref="E248">_xlfn.COUNTIFS(B3:B562,B248,D3:D562,1,A3:A562,A248)</f>
        <v>3</v>
      </c>
      <c r="F248" s="25" cm="1">
        <f t="array" ref="F248">(YEAR(C248)-2025)*1000+MONTH(C248)*31+DAY(C248)+A248</f>
        <v>1199</v>
      </c>
    </row>
    <row r="249" ht="13.65" customHeight="1">
      <c r="A249" s="32">
        <v>92</v>
      </c>
      <c r="B249" t="s" s="33">
        <v>593</v>
      </c>
      <c r="C249" t="s" s="33">
        <v>15703</v>
      </c>
      <c r="D249" s="34">
        <v>1</v>
      </c>
      <c r="E249" s="20" cm="1">
        <f t="array" ref="E249">_xlfn.COUNTIFS(B3:B562,B249,D3:D562,1,A3:A562,A249)</f>
        <v>3</v>
      </c>
      <c r="F249" s="25" cm="1">
        <f t="array" ref="F249">(YEAR(C249)-2025)*1000+MONTH(C249)*31+DAY(C249)+A249</f>
        <v>1198</v>
      </c>
    </row>
    <row r="250" ht="13.65" customHeight="1">
      <c r="A250" s="22">
        <v>91</v>
      </c>
      <c r="B250" t="s" s="23">
        <v>587</v>
      </c>
      <c r="C250" t="s" s="23">
        <v>19</v>
      </c>
      <c r="D250" s="24">
        <v>1</v>
      </c>
      <c r="E250" s="20" cm="1">
        <f t="array" ref="E250">_xlfn.COUNTIFS(B3:B562,B250,D3:D562,1,A3:A562,A250)</f>
        <v>3</v>
      </c>
      <c r="F250" s="25" cm="1">
        <f t="array" ref="F250">(YEAR(C250)-2025)*1000+MONTH(C250)*31+DAY(C250)+A250</f>
        <v>1198</v>
      </c>
    </row>
    <row r="251" ht="13.65" customHeight="1">
      <c r="A251" s="22">
        <v>91</v>
      </c>
      <c r="B251" t="s" s="23">
        <v>587</v>
      </c>
      <c r="C251" t="s" s="23">
        <v>19</v>
      </c>
      <c r="D251" s="24">
        <v>1</v>
      </c>
      <c r="E251" s="20" cm="1">
        <f t="array" ref="E251">_xlfn.COUNTIFS(B3:B562,B251,D3:D562,1,A3:A562,A251)</f>
        <v>3</v>
      </c>
      <c r="F251" s="25" cm="1">
        <f t="array" ref="F251">(YEAR(C251)-2025)*1000+MONTH(C251)*31+DAY(C251)+A251</f>
        <v>1198</v>
      </c>
    </row>
    <row r="252" ht="13.65" customHeight="1">
      <c r="A252" s="32">
        <v>91</v>
      </c>
      <c r="B252" t="s" s="33">
        <v>587</v>
      </c>
      <c r="C252" t="s" s="33">
        <v>15703</v>
      </c>
      <c r="D252" s="34">
        <v>1</v>
      </c>
      <c r="E252" s="20" cm="1">
        <f t="array" ref="E252">_xlfn.COUNTIFS(B3:B562,B252,D3:D562,1,A3:A562,A252)</f>
        <v>3</v>
      </c>
      <c r="F252" s="25" cm="1">
        <f t="array" ref="F252">(YEAR(C252)-2025)*1000+MONTH(C252)*31+DAY(C252)+A252</f>
        <v>1197</v>
      </c>
    </row>
    <row r="253" ht="13.65" customHeight="1">
      <c r="A253" s="22">
        <v>90</v>
      </c>
      <c r="B253" t="s" s="23">
        <v>581</v>
      </c>
      <c r="C253" t="s" s="23">
        <v>19</v>
      </c>
      <c r="D253" s="24">
        <v>1</v>
      </c>
      <c r="E253" s="20" cm="1">
        <f t="array" ref="E253">_xlfn.COUNTIFS(B3:B562,B253,D3:D562,1,A3:A562,A253)</f>
        <v>3</v>
      </c>
      <c r="F253" s="25" cm="1">
        <f t="array" ref="F253">(YEAR(C253)-2025)*1000+MONTH(C253)*31+DAY(C253)+A253</f>
        <v>1197</v>
      </c>
    </row>
    <row r="254" ht="13.65" customHeight="1">
      <c r="A254" s="22">
        <v>90</v>
      </c>
      <c r="B254" t="s" s="23">
        <v>581</v>
      </c>
      <c r="C254" t="s" s="23">
        <v>19</v>
      </c>
      <c r="D254" s="24">
        <v>1</v>
      </c>
      <c r="E254" s="20" cm="1">
        <f t="array" ref="E254">_xlfn.COUNTIFS(B3:B562,B254,D3:D562,1,A3:A562,A254)</f>
        <v>3</v>
      </c>
      <c r="F254" s="25" cm="1">
        <f t="array" ref="F254">(YEAR(C254)-2025)*1000+MONTH(C254)*31+DAY(C254)+A254</f>
        <v>1197</v>
      </c>
    </row>
    <row r="255" ht="13.65" customHeight="1">
      <c r="A255" s="32">
        <v>90</v>
      </c>
      <c r="B255" t="s" s="33">
        <v>581</v>
      </c>
      <c r="C255" t="s" s="33">
        <v>15703</v>
      </c>
      <c r="D255" s="34">
        <v>1</v>
      </c>
      <c r="E255" s="20" cm="1">
        <f t="array" ref="E255">_xlfn.COUNTIFS(B3:B562,B255,D3:D562,1,A3:A562,A255)</f>
        <v>3</v>
      </c>
      <c r="F255" s="25" cm="1">
        <f t="array" ref="F255">(YEAR(C255)-2025)*1000+MONTH(C255)*31+DAY(C255)+A255</f>
        <v>1196</v>
      </c>
    </row>
    <row r="256" ht="13.65" customHeight="1">
      <c r="A256" s="22">
        <v>89</v>
      </c>
      <c r="B256" t="s" s="23">
        <v>575</v>
      </c>
      <c r="C256" t="s" s="23">
        <v>19</v>
      </c>
      <c r="D256" s="24">
        <v>1</v>
      </c>
      <c r="E256" s="20" cm="1">
        <f t="array" ref="E256">_xlfn.COUNTIFS(B3:B562,B256,D3:D562,1,A3:A562,A256)</f>
        <v>3</v>
      </c>
      <c r="F256" s="25" cm="1">
        <f t="array" ref="F256">(YEAR(C256)-2025)*1000+MONTH(C256)*31+DAY(C256)+A256</f>
        <v>1196</v>
      </c>
    </row>
    <row r="257" ht="13.65" customHeight="1">
      <c r="A257" s="22">
        <v>89</v>
      </c>
      <c r="B257" t="s" s="23">
        <v>575</v>
      </c>
      <c r="C257" t="s" s="23">
        <v>19</v>
      </c>
      <c r="D257" s="24">
        <v>1</v>
      </c>
      <c r="E257" s="20" cm="1">
        <f t="array" ref="E257">_xlfn.COUNTIFS(B3:B562,B257,D3:D562,1,A3:A562,A257)</f>
        <v>3</v>
      </c>
      <c r="F257" s="25" cm="1">
        <f t="array" ref="F257">(YEAR(C257)-2025)*1000+MONTH(C257)*31+DAY(C257)+A257</f>
        <v>1196</v>
      </c>
    </row>
    <row r="258" ht="13.65" customHeight="1">
      <c r="A258" s="22">
        <v>87</v>
      </c>
      <c r="B258" t="s" s="23">
        <v>561</v>
      </c>
      <c r="C258" t="s" s="23">
        <v>26</v>
      </c>
      <c r="D258" s="24">
        <v>1</v>
      </c>
      <c r="E258" s="20" cm="1">
        <f t="array" ref="E258">_xlfn.COUNTIFS(B3:B562,B258,D3:D562,1,A3:A562,A258)</f>
        <v>3</v>
      </c>
      <c r="F258" s="25" cm="1">
        <f t="array" ref="F258">(YEAR(C258)-2025)*1000+MONTH(C258)*31+DAY(C258)+A258</f>
        <v>1196</v>
      </c>
    </row>
    <row r="259" ht="13.65" customHeight="1">
      <c r="A259" s="32">
        <v>89</v>
      </c>
      <c r="B259" t="s" s="33">
        <v>575</v>
      </c>
      <c r="C259" t="s" s="33">
        <v>15703</v>
      </c>
      <c r="D259" s="34">
        <v>1</v>
      </c>
      <c r="E259" s="20" cm="1">
        <f t="array" ref="E259">_xlfn.COUNTIFS(B3:B562,B259,D3:D562,1,A3:A562,A259)</f>
        <v>3</v>
      </c>
      <c r="F259" s="25" cm="1">
        <f t="array" ref="F259">(YEAR(C259)-2025)*1000+MONTH(C259)*31+DAY(C259)+A259</f>
        <v>1195</v>
      </c>
    </row>
    <row r="260" ht="13.65" customHeight="1">
      <c r="A260" s="22">
        <v>88</v>
      </c>
      <c r="B260" t="s" s="23">
        <v>568</v>
      </c>
      <c r="C260" t="s" s="23">
        <v>19</v>
      </c>
      <c r="D260" s="24">
        <v>1</v>
      </c>
      <c r="E260" s="20" cm="1">
        <f t="array" ref="E260">_xlfn.COUNTIFS(B3:B562,B260,D3:D562,1,A3:A562,A260)</f>
        <v>3</v>
      </c>
      <c r="F260" s="25" cm="1">
        <f t="array" ref="F260">(YEAR(C260)-2025)*1000+MONTH(C260)*31+DAY(C260)+A260</f>
        <v>1195</v>
      </c>
    </row>
    <row r="261" ht="13.65" customHeight="1">
      <c r="A261" s="22">
        <v>88</v>
      </c>
      <c r="B261" t="s" s="23">
        <v>568</v>
      </c>
      <c r="C261" t="s" s="23">
        <v>19</v>
      </c>
      <c r="D261" s="24">
        <v>1</v>
      </c>
      <c r="E261" s="20" cm="1">
        <f t="array" ref="E261">_xlfn.COUNTIFS(B3:B562,B261,D3:D562,1,A3:A562,A261)</f>
        <v>3</v>
      </c>
      <c r="F261" s="25" cm="1">
        <f t="array" ref="F261">(YEAR(C261)-2025)*1000+MONTH(C261)*31+DAY(C261)+A261</f>
        <v>1195</v>
      </c>
    </row>
    <row r="262" ht="13.65" customHeight="1">
      <c r="A262" s="22">
        <v>86</v>
      </c>
      <c r="B262" t="s" s="23">
        <v>555</v>
      </c>
      <c r="C262" t="s" s="23">
        <v>26</v>
      </c>
      <c r="D262" s="24">
        <v>1</v>
      </c>
      <c r="E262" s="20" cm="1">
        <f t="array" ref="E262">_xlfn.COUNTIFS(B3:B562,B262,D3:D562,1,A3:A562,A262)</f>
        <v>3</v>
      </c>
      <c r="F262" s="25" cm="1">
        <f t="array" ref="F262">(YEAR(C262)-2025)*1000+MONTH(C262)*31+DAY(C262)+A262</f>
        <v>1195</v>
      </c>
    </row>
    <row r="263" ht="13.65" customHeight="1">
      <c r="A263" s="32">
        <v>88</v>
      </c>
      <c r="B263" t="s" s="33">
        <v>568</v>
      </c>
      <c r="C263" t="s" s="33">
        <v>15703</v>
      </c>
      <c r="D263" s="34">
        <v>1</v>
      </c>
      <c r="E263" s="20" cm="1">
        <f t="array" ref="E263">_xlfn.COUNTIFS(B3:B562,B263,D3:D562,1,A3:A562,A263)</f>
        <v>3</v>
      </c>
      <c r="F263" s="25" cm="1">
        <f t="array" ref="F263">(YEAR(C263)-2025)*1000+MONTH(C263)*31+DAY(C263)+A263</f>
        <v>1194</v>
      </c>
    </row>
    <row r="264" ht="13.65" customHeight="1">
      <c r="A264" s="22">
        <v>87</v>
      </c>
      <c r="B264" t="s" s="23">
        <v>561</v>
      </c>
      <c r="C264" t="s" s="23">
        <v>19</v>
      </c>
      <c r="D264" s="24">
        <v>1</v>
      </c>
      <c r="E264" s="20" cm="1">
        <f t="array" ref="E264">_xlfn.COUNTIFS(B3:B562,B264,D3:D562,1,A3:A562,A264)</f>
        <v>3</v>
      </c>
      <c r="F264" s="25" cm="1">
        <f t="array" ref="F264">(YEAR(C264)-2025)*1000+MONTH(C264)*31+DAY(C264)+A264</f>
        <v>1194</v>
      </c>
    </row>
    <row r="265" ht="13.65" customHeight="1">
      <c r="A265" s="22">
        <v>87</v>
      </c>
      <c r="B265" t="s" s="23">
        <v>561</v>
      </c>
      <c r="C265" t="s" s="23">
        <v>19</v>
      </c>
      <c r="D265" s="24">
        <v>0</v>
      </c>
      <c r="E265" s="20" cm="1">
        <f t="array" ref="E265">_xlfn.COUNTIFS(B3:B562,B265,D3:D562,1,A3:A562,A265)</f>
        <v>3</v>
      </c>
      <c r="F265" s="25" cm="1">
        <f t="array" ref="F265">(YEAR(C265)-2025)*1000+MONTH(C265)*31+DAY(C265)+A265</f>
        <v>1194</v>
      </c>
    </row>
    <row r="266" ht="13.65" customHeight="1">
      <c r="A266" s="22">
        <v>84</v>
      </c>
      <c r="B266" t="s" s="23">
        <v>543</v>
      </c>
      <c r="C266" t="s" s="23">
        <v>226</v>
      </c>
      <c r="D266" s="24">
        <v>0</v>
      </c>
      <c r="E266" s="20" cm="1">
        <f t="array" ref="E266">_xlfn.COUNTIFS(B3:B562,B266,D3:D562,1,A3:A562,A266)</f>
        <v>0</v>
      </c>
      <c r="F266" s="25" cm="1">
        <f t="array" ref="F266">(YEAR(C266)-2025)*1000+MONTH(C266)*31+DAY(C266)+A266</f>
        <v>1194</v>
      </c>
    </row>
    <row r="267" ht="13.65" customHeight="1">
      <c r="A267" s="32">
        <v>87</v>
      </c>
      <c r="B267" t="s" s="33">
        <v>561</v>
      </c>
      <c r="C267" t="s" s="33">
        <v>15703</v>
      </c>
      <c r="D267" s="34">
        <v>1</v>
      </c>
      <c r="E267" s="20" cm="1">
        <f t="array" ref="E267">_xlfn.COUNTIFS(B3:B562,B267,D3:D562,1,A3:A562,A267)</f>
        <v>3</v>
      </c>
      <c r="F267" s="25" cm="1">
        <f t="array" ref="F267">(YEAR(C267)-2025)*1000+MONTH(C267)*31+DAY(C267)+A267</f>
        <v>1193</v>
      </c>
    </row>
    <row r="268" ht="13.65" customHeight="1">
      <c r="A268" s="22">
        <v>86</v>
      </c>
      <c r="B268" t="s" s="23">
        <v>555</v>
      </c>
      <c r="C268" t="s" s="23">
        <v>19</v>
      </c>
      <c r="D268" s="24">
        <v>1</v>
      </c>
      <c r="E268" s="20" cm="1">
        <f t="array" ref="E268">_xlfn.COUNTIFS(B3:B562,B268,D3:D562,1,A3:A562,A268)</f>
        <v>3</v>
      </c>
      <c r="F268" s="25" cm="1">
        <f t="array" ref="F268">(YEAR(C268)-2025)*1000+MONTH(C268)*31+DAY(C268)+A268</f>
        <v>1193</v>
      </c>
    </row>
    <row r="269" ht="13.65" customHeight="1">
      <c r="A269" s="22">
        <v>86</v>
      </c>
      <c r="B269" t="s" s="23">
        <v>555</v>
      </c>
      <c r="C269" t="s" s="23">
        <v>19</v>
      </c>
      <c r="D269" s="24">
        <v>1</v>
      </c>
      <c r="E269" s="20" cm="1">
        <f t="array" ref="E269">_xlfn.COUNTIFS(B3:B562,B269,D3:D562,1,A3:A562,A269)</f>
        <v>3</v>
      </c>
      <c r="F269" s="25" cm="1">
        <f t="array" ref="F269">(YEAR(C269)-2025)*1000+MONTH(C269)*31+DAY(C269)+A269</f>
        <v>1193</v>
      </c>
    </row>
    <row r="270" ht="13.65" customHeight="1">
      <c r="A270" s="22">
        <v>84</v>
      </c>
      <c r="B270" t="s" s="23">
        <v>543</v>
      </c>
      <c r="C270" t="s" s="23">
        <v>26</v>
      </c>
      <c r="D270" s="24">
        <v>0</v>
      </c>
      <c r="E270" s="20" cm="1">
        <f t="array" ref="E270">_xlfn.COUNTIFS(B3:B562,B270,D3:D562,1,A3:A562,A270)</f>
        <v>0</v>
      </c>
      <c r="F270" s="25" cm="1">
        <f t="array" ref="F270">(YEAR(C270)-2025)*1000+MONTH(C270)*31+DAY(C270)+A270</f>
        <v>1193</v>
      </c>
    </row>
    <row r="271" ht="13.65" customHeight="1">
      <c r="A271" s="22">
        <v>83</v>
      </c>
      <c r="B271" t="s" s="23">
        <v>536</v>
      </c>
      <c r="C271" t="s" s="23">
        <v>226</v>
      </c>
      <c r="D271" s="24">
        <v>1</v>
      </c>
      <c r="E271" s="20" cm="1">
        <f t="array" ref="E271">_xlfn.COUNTIFS(B3:B562,B271,D3:D562,1,A3:A562,A271)</f>
        <v>3</v>
      </c>
      <c r="F271" s="25" cm="1">
        <f t="array" ref="F271">(YEAR(C271)-2025)*1000+MONTH(C271)*31+DAY(C271)+A271</f>
        <v>1193</v>
      </c>
    </row>
    <row r="272" ht="13.65" customHeight="1">
      <c r="A272" s="32">
        <v>86</v>
      </c>
      <c r="B272" t="s" s="33">
        <v>555</v>
      </c>
      <c r="C272" t="s" s="33">
        <v>15703</v>
      </c>
      <c r="D272" s="34">
        <v>0</v>
      </c>
      <c r="E272" s="20" cm="1">
        <f t="array" ref="E272">_xlfn.COUNTIFS(B3:B562,B272,D3:D562,1,A3:A562,A272)</f>
        <v>3</v>
      </c>
      <c r="F272" s="25" cm="1">
        <f t="array" ref="F272">(YEAR(C272)-2025)*1000+MONTH(C272)*31+DAY(C272)+A272</f>
        <v>1192</v>
      </c>
    </row>
    <row r="273" ht="13.65" customHeight="1">
      <c r="A273" s="22">
        <v>85</v>
      </c>
      <c r="B273" t="s" s="23">
        <v>549</v>
      </c>
      <c r="C273" t="s" s="23">
        <v>19</v>
      </c>
      <c r="D273" s="24">
        <v>1</v>
      </c>
      <c r="E273" s="20" cm="1">
        <f t="array" ref="E273">_xlfn.COUNTIFS(B3:B562,B273,D3:D562,1,A3:A562,A273)</f>
        <v>3</v>
      </c>
      <c r="F273" s="25" cm="1">
        <f t="array" ref="F273">(YEAR(C273)-2025)*1000+MONTH(C273)*31+DAY(C273)+A273</f>
        <v>1192</v>
      </c>
    </row>
    <row r="274" ht="13.65" customHeight="1">
      <c r="A274" s="22">
        <v>85</v>
      </c>
      <c r="B274" t="s" s="23">
        <v>549</v>
      </c>
      <c r="C274" t="s" s="23">
        <v>19</v>
      </c>
      <c r="D274" s="24">
        <v>1</v>
      </c>
      <c r="E274" s="20" cm="1">
        <f t="array" ref="E274">_xlfn.COUNTIFS(B3:B562,B274,D3:D562,1,A3:A562,A274)</f>
        <v>3</v>
      </c>
      <c r="F274" s="25" cm="1">
        <f t="array" ref="F274">(YEAR(C274)-2025)*1000+MONTH(C274)*31+DAY(C274)+A274</f>
        <v>1192</v>
      </c>
    </row>
    <row r="275" ht="13.65" customHeight="1">
      <c r="A275" s="22">
        <v>83</v>
      </c>
      <c r="B275" t="s" s="23">
        <v>536</v>
      </c>
      <c r="C275" t="s" s="23">
        <v>26</v>
      </c>
      <c r="D275" s="24">
        <v>1</v>
      </c>
      <c r="E275" s="20" cm="1">
        <f t="array" ref="E275">_xlfn.COUNTIFS(B3:B562,B275,D3:D562,1,A3:A562,A275)</f>
        <v>3</v>
      </c>
      <c r="F275" s="25" cm="1">
        <f t="array" ref="F275">(YEAR(C275)-2025)*1000+MONTH(C275)*31+DAY(C275)+A275</f>
        <v>1192</v>
      </c>
    </row>
    <row r="276" ht="13.65" customHeight="1">
      <c r="A276" s="32">
        <v>85</v>
      </c>
      <c r="B276" t="s" s="33">
        <v>549</v>
      </c>
      <c r="C276" t="s" s="33">
        <v>15703</v>
      </c>
      <c r="D276" s="34">
        <v>1</v>
      </c>
      <c r="E276" s="20" cm="1">
        <f t="array" ref="E276">_xlfn.COUNTIFS(B3:B562,B276,D3:D562,1,A3:A562,A276)</f>
        <v>3</v>
      </c>
      <c r="F276" s="25" cm="1">
        <f t="array" ref="F276">(YEAR(C276)-2025)*1000+MONTH(C276)*31+DAY(C276)+A276</f>
        <v>1191</v>
      </c>
    </row>
    <row r="277" ht="13.65" customHeight="1">
      <c r="A277" s="22">
        <v>84</v>
      </c>
      <c r="B277" t="s" s="23">
        <v>543</v>
      </c>
      <c r="C277" t="s" s="23">
        <v>19</v>
      </c>
      <c r="D277" s="24">
        <v>0</v>
      </c>
      <c r="E277" s="20" cm="1">
        <f t="array" ref="E277">_xlfn.COUNTIFS(B3:B562,B277,D3:D562,1,A3:A562,A277)</f>
        <v>0</v>
      </c>
      <c r="F277" s="25" cm="1">
        <f t="array" ref="F277">(YEAR(C277)-2025)*1000+MONTH(C277)*31+DAY(C277)+A277</f>
        <v>1191</v>
      </c>
    </row>
    <row r="278" ht="13.65" customHeight="1">
      <c r="A278" s="22">
        <v>84</v>
      </c>
      <c r="B278" t="s" s="23">
        <v>543</v>
      </c>
      <c r="C278" t="s" s="23">
        <v>19</v>
      </c>
      <c r="D278" s="24">
        <v>0</v>
      </c>
      <c r="E278" s="20" cm="1">
        <f t="array" ref="E278">_xlfn.COUNTIFS(B3:B562,B278,D3:D562,1,A3:A562,A278)</f>
        <v>0</v>
      </c>
      <c r="F278" s="25" cm="1">
        <f t="array" ref="F278">(YEAR(C278)-2025)*1000+MONTH(C278)*31+DAY(C278)+A278</f>
        <v>1191</v>
      </c>
    </row>
    <row r="279" ht="13.65" customHeight="1">
      <c r="A279" s="32">
        <v>84</v>
      </c>
      <c r="B279" t="s" s="33">
        <v>543</v>
      </c>
      <c r="C279" t="s" s="33">
        <v>15703</v>
      </c>
      <c r="D279" s="34">
        <v>0</v>
      </c>
      <c r="E279" s="20" cm="1">
        <f t="array" ref="E279">_xlfn.COUNTIFS(B3:B562,B279,D3:D562,1,A3:A562,A279)</f>
        <v>0</v>
      </c>
      <c r="F279" s="25" cm="1">
        <f t="array" ref="F279">(YEAR(C279)-2025)*1000+MONTH(C279)*31+DAY(C279)+A279</f>
        <v>1190</v>
      </c>
    </row>
    <row r="280" ht="13.65" customHeight="1">
      <c r="A280" s="22">
        <v>83</v>
      </c>
      <c r="B280" t="s" s="23">
        <v>536</v>
      </c>
      <c r="C280" t="s" s="23">
        <v>19</v>
      </c>
      <c r="D280" s="24">
        <v>0</v>
      </c>
      <c r="E280" s="20" cm="1">
        <f t="array" ref="E280">_xlfn.COUNTIFS(B3:B562,B280,D3:D562,1,A3:A562,A280)</f>
        <v>3</v>
      </c>
      <c r="F280" s="25" cm="1">
        <f t="array" ref="F280">(YEAR(C280)-2025)*1000+MONTH(C280)*31+DAY(C280)+A280</f>
        <v>1190</v>
      </c>
    </row>
    <row r="281" ht="13.65" customHeight="1">
      <c r="A281" s="22">
        <v>83</v>
      </c>
      <c r="B281" t="s" s="23">
        <v>536</v>
      </c>
      <c r="C281" t="s" s="23">
        <v>19</v>
      </c>
      <c r="D281" s="24">
        <v>1</v>
      </c>
      <c r="E281" s="20" cm="1">
        <f t="array" ref="E281">_xlfn.COUNTIFS(B3:B562,B281,D3:D562,1,A3:A562,A281)</f>
        <v>3</v>
      </c>
      <c r="F281" s="25" cm="1">
        <f t="array" ref="F281">(YEAR(C281)-2025)*1000+MONTH(C281)*31+DAY(C281)+A281</f>
        <v>1190</v>
      </c>
    </row>
    <row r="282" ht="13.65" customHeight="1">
      <c r="A282" s="22">
        <v>81</v>
      </c>
      <c r="B282" t="s" s="23">
        <v>522</v>
      </c>
      <c r="C282" t="s" s="23">
        <v>26</v>
      </c>
      <c r="D282" s="24">
        <v>1</v>
      </c>
      <c r="E282" s="20" cm="1">
        <f t="array" ref="E282">_xlfn.COUNTIFS(B3:B562,B282,D3:D562,1,A3:A562,A282)</f>
        <v>3</v>
      </c>
      <c r="F282" s="25" cm="1">
        <f t="array" ref="F282">(YEAR(C282)-2025)*1000+MONTH(C282)*31+DAY(C282)+A282</f>
        <v>1190</v>
      </c>
    </row>
    <row r="283" ht="13.65" customHeight="1">
      <c r="A283" s="32">
        <v>83</v>
      </c>
      <c r="B283" t="s" s="33">
        <v>536</v>
      </c>
      <c r="C283" t="s" s="33">
        <v>15703</v>
      </c>
      <c r="D283" s="34">
        <v>0</v>
      </c>
      <c r="E283" s="20" cm="1">
        <f t="array" ref="E283">_xlfn.COUNTIFS(B3:B562,B283,D3:D562,1,A3:A562,A283)</f>
        <v>3</v>
      </c>
      <c r="F283" s="25" cm="1">
        <f t="array" ref="F283">(YEAR(C283)-2025)*1000+MONTH(C283)*31+DAY(C283)+A283</f>
        <v>1189</v>
      </c>
    </row>
    <row r="284" ht="13.65" customHeight="1">
      <c r="A284" s="22">
        <v>82</v>
      </c>
      <c r="B284" t="s" s="23">
        <v>528</v>
      </c>
      <c r="C284" t="s" s="23">
        <v>19</v>
      </c>
      <c r="D284" s="24">
        <v>1</v>
      </c>
      <c r="E284" s="20" cm="1">
        <f t="array" ref="E284">_xlfn.COUNTIFS(B3:B562,B284,D3:D562,1,A3:A562,A284)</f>
        <v>3</v>
      </c>
      <c r="F284" s="25" cm="1">
        <f t="array" ref="F284">(YEAR(C284)-2025)*1000+MONTH(C284)*31+DAY(C284)+A284</f>
        <v>1189</v>
      </c>
    </row>
    <row r="285" ht="13.65" customHeight="1">
      <c r="A285" s="22">
        <v>82</v>
      </c>
      <c r="B285" t="s" s="23">
        <v>528</v>
      </c>
      <c r="C285" t="s" s="23">
        <v>19</v>
      </c>
      <c r="D285" s="24">
        <v>1</v>
      </c>
      <c r="E285" s="20" cm="1">
        <f t="array" ref="E285">_xlfn.COUNTIFS(B3:B562,B285,D3:D562,1,A3:A562,A285)</f>
        <v>3</v>
      </c>
      <c r="F285" s="25" cm="1">
        <f t="array" ref="F285">(YEAR(C285)-2025)*1000+MONTH(C285)*31+DAY(C285)+A285</f>
        <v>1189</v>
      </c>
    </row>
    <row r="286" ht="13.65" customHeight="1">
      <c r="A286" s="22">
        <v>80</v>
      </c>
      <c r="B286" t="s" s="23">
        <v>516</v>
      </c>
      <c r="C286" t="s" s="23">
        <v>26</v>
      </c>
      <c r="D286" s="24">
        <v>1</v>
      </c>
      <c r="E286" s="20" cm="1">
        <f t="array" ref="E286">_xlfn.COUNTIFS(B3:B562,B286,D3:D562,1,A3:A562,A286)</f>
        <v>3</v>
      </c>
      <c r="F286" s="25" cm="1">
        <f t="array" ref="F286">(YEAR(C286)-2025)*1000+MONTH(C286)*31+DAY(C286)+A286</f>
        <v>1189</v>
      </c>
    </row>
    <row r="287" ht="13.65" customHeight="1">
      <c r="A287" s="32">
        <v>82</v>
      </c>
      <c r="B287" t="s" s="33">
        <v>528</v>
      </c>
      <c r="C287" t="s" s="33">
        <v>15703</v>
      </c>
      <c r="D287" s="34">
        <v>1</v>
      </c>
      <c r="E287" s="20" cm="1">
        <f t="array" ref="E287">_xlfn.COUNTIFS(B3:B562,B287,D3:D562,1,A3:A562,A287)</f>
        <v>3</v>
      </c>
      <c r="F287" s="25" cm="1">
        <f t="array" ref="F287">(YEAR(C287)-2025)*1000+MONTH(C287)*31+DAY(C287)+A287</f>
        <v>1188</v>
      </c>
    </row>
    <row r="288" ht="13.65" customHeight="1">
      <c r="A288" s="22">
        <v>81</v>
      </c>
      <c r="B288" t="s" s="23">
        <v>522</v>
      </c>
      <c r="C288" t="s" s="23">
        <v>19</v>
      </c>
      <c r="D288" s="24">
        <v>1</v>
      </c>
      <c r="E288" s="20" cm="1">
        <f t="array" ref="E288">_xlfn.COUNTIFS(B3:B562,B288,D3:D562,1,A3:A562,A288)</f>
        <v>3</v>
      </c>
      <c r="F288" s="25" cm="1">
        <f t="array" ref="F288">(YEAR(C288)-2025)*1000+MONTH(C288)*31+DAY(C288)+A288</f>
        <v>1188</v>
      </c>
    </row>
    <row r="289" ht="13.65" customHeight="1">
      <c r="A289" s="22">
        <v>81</v>
      </c>
      <c r="B289" t="s" s="23">
        <v>522</v>
      </c>
      <c r="C289" t="s" s="23">
        <v>19</v>
      </c>
      <c r="D289" s="24">
        <v>1</v>
      </c>
      <c r="E289" s="20" cm="1">
        <f t="array" ref="E289">_xlfn.COUNTIFS(B3:B562,B289,D3:D562,1,A3:A562,A289)</f>
        <v>3</v>
      </c>
      <c r="F289" s="25" cm="1">
        <f t="array" ref="F289">(YEAR(C289)-2025)*1000+MONTH(C289)*31+DAY(C289)+A289</f>
        <v>1188</v>
      </c>
    </row>
    <row r="290" ht="13.65" customHeight="1">
      <c r="A290" s="22">
        <v>79</v>
      </c>
      <c r="B290" t="s" s="23">
        <v>509</v>
      </c>
      <c r="C290" t="s" s="23">
        <v>26</v>
      </c>
      <c r="D290" s="24">
        <v>1</v>
      </c>
      <c r="E290" s="20" cm="1">
        <f t="array" ref="E290">_xlfn.COUNTIFS(B3:B562,B290,D3:D562,1,A3:A562,A290)</f>
        <v>3</v>
      </c>
      <c r="F290" s="25" cm="1">
        <f t="array" ref="F290">(YEAR(C290)-2025)*1000+MONTH(C290)*31+DAY(C290)+A290</f>
        <v>1188</v>
      </c>
    </row>
    <row r="291" ht="13.65" customHeight="1">
      <c r="A291" s="32">
        <v>81</v>
      </c>
      <c r="B291" t="s" s="33">
        <v>522</v>
      </c>
      <c r="C291" t="s" s="33">
        <v>15703</v>
      </c>
      <c r="D291" s="34">
        <v>0</v>
      </c>
      <c r="E291" s="20" cm="1">
        <f t="array" ref="E291">_xlfn.COUNTIFS(B3:B562,B291,D3:D562,1,A3:A562,A291)</f>
        <v>3</v>
      </c>
      <c r="F291" s="25" cm="1">
        <f t="array" ref="F291">(YEAR(C291)-2025)*1000+MONTH(C291)*31+DAY(C291)+A291</f>
        <v>1187</v>
      </c>
    </row>
    <row r="292" ht="13.65" customHeight="1">
      <c r="A292" s="22">
        <v>80</v>
      </c>
      <c r="B292" t="s" s="23">
        <v>516</v>
      </c>
      <c r="C292" t="s" s="23">
        <v>19</v>
      </c>
      <c r="D292" s="24">
        <v>1</v>
      </c>
      <c r="E292" s="20" cm="1">
        <f t="array" ref="E292">_xlfn.COUNTIFS(B3:B562,B292,D3:D562,1,A3:A562,A292)</f>
        <v>3</v>
      </c>
      <c r="F292" s="25" cm="1">
        <f t="array" ref="F292">(YEAR(C292)-2025)*1000+MONTH(C292)*31+DAY(C292)+A292</f>
        <v>1187</v>
      </c>
    </row>
    <row r="293" ht="13.65" customHeight="1">
      <c r="A293" s="22">
        <v>80</v>
      </c>
      <c r="B293" t="s" s="23">
        <v>516</v>
      </c>
      <c r="C293" t="s" s="23">
        <v>19</v>
      </c>
      <c r="D293" s="24">
        <v>1</v>
      </c>
      <c r="E293" s="20" cm="1">
        <f t="array" ref="E293">_xlfn.COUNTIFS(B3:B562,B293,D3:D562,1,A3:A562,A293)</f>
        <v>3</v>
      </c>
      <c r="F293" s="25" cm="1">
        <f t="array" ref="F293">(YEAR(C293)-2025)*1000+MONTH(C293)*31+DAY(C293)+A293</f>
        <v>1187</v>
      </c>
    </row>
    <row r="294" ht="13.65" customHeight="1">
      <c r="A294" s="22">
        <v>78</v>
      </c>
      <c r="B294" t="s" s="23">
        <v>503</v>
      </c>
      <c r="C294" t="s" s="23">
        <v>26</v>
      </c>
      <c r="D294" s="24">
        <v>1</v>
      </c>
      <c r="E294" s="20" cm="1">
        <f t="array" ref="E294">_xlfn.COUNTIFS(B3:B562,B294,D3:D562,1,A3:A562,A294)</f>
        <v>3</v>
      </c>
      <c r="F294" s="25" cm="1">
        <f t="array" ref="F294">(YEAR(C294)-2025)*1000+MONTH(C294)*31+DAY(C294)+A294</f>
        <v>1187</v>
      </c>
    </row>
    <row r="295" ht="13.65" customHeight="1">
      <c r="A295" s="32">
        <v>80</v>
      </c>
      <c r="B295" t="s" s="33">
        <v>516</v>
      </c>
      <c r="C295" t="s" s="33">
        <v>15703</v>
      </c>
      <c r="D295" s="34">
        <v>0</v>
      </c>
      <c r="E295" s="20" cm="1">
        <f t="array" ref="E295">_xlfn.COUNTIFS(B3:B562,B295,D3:D562,1,A3:A562,A295)</f>
        <v>3</v>
      </c>
      <c r="F295" s="25" cm="1">
        <f t="array" ref="F295">(YEAR(C295)-2025)*1000+MONTH(C295)*31+DAY(C295)+A295</f>
        <v>1186</v>
      </c>
    </row>
    <row r="296" ht="13.65" customHeight="1">
      <c r="A296" s="22">
        <v>79</v>
      </c>
      <c r="B296" t="s" s="23">
        <v>509</v>
      </c>
      <c r="C296" t="s" s="23">
        <v>19</v>
      </c>
      <c r="D296" s="24">
        <v>1</v>
      </c>
      <c r="E296" s="20" cm="1">
        <f t="array" ref="E296">_xlfn.COUNTIFS(B3:B562,B296,D3:D562,1,A3:A562,A296)</f>
        <v>3</v>
      </c>
      <c r="F296" s="25" cm="1">
        <f t="array" ref="F296">(YEAR(C296)-2025)*1000+MONTH(C296)*31+DAY(C296)+A296</f>
        <v>1186</v>
      </c>
    </row>
    <row r="297" ht="13.65" customHeight="1">
      <c r="A297" s="22">
        <v>79</v>
      </c>
      <c r="B297" t="s" s="23">
        <v>509</v>
      </c>
      <c r="C297" t="s" s="23">
        <v>19</v>
      </c>
      <c r="D297" s="24">
        <v>1</v>
      </c>
      <c r="E297" s="20" cm="1">
        <f t="array" ref="E297">_xlfn.COUNTIFS(B3:B562,B297,D3:D562,1,A3:A562,A297)</f>
        <v>3</v>
      </c>
      <c r="F297" s="25" cm="1">
        <f t="array" ref="F297">(YEAR(C297)-2025)*1000+MONTH(C297)*31+DAY(C297)+A297</f>
        <v>1186</v>
      </c>
    </row>
    <row r="298" ht="13.65" customHeight="1">
      <c r="A298" s="32">
        <v>79</v>
      </c>
      <c r="B298" t="s" s="33">
        <v>509</v>
      </c>
      <c r="C298" t="s" s="33">
        <v>15703</v>
      </c>
      <c r="D298" s="34">
        <v>0</v>
      </c>
      <c r="E298" s="20" cm="1">
        <f t="array" ref="E298">_xlfn.COUNTIFS(B3:B562,B298,D3:D562,1,A3:A562,A298)</f>
        <v>3</v>
      </c>
      <c r="F298" s="25" cm="1">
        <f t="array" ref="F298">(YEAR(C298)-2025)*1000+MONTH(C298)*31+DAY(C298)+A298</f>
        <v>1185</v>
      </c>
    </row>
    <row r="299" ht="13.65" customHeight="1">
      <c r="A299" s="22">
        <v>78</v>
      </c>
      <c r="B299" t="s" s="23">
        <v>503</v>
      </c>
      <c r="C299" t="s" s="23">
        <v>19</v>
      </c>
      <c r="D299" s="24">
        <v>0</v>
      </c>
      <c r="E299" s="20" cm="1">
        <f t="array" ref="E299">_xlfn.COUNTIFS(B3:B562,B299,D3:D562,1,A3:A562,A299)</f>
        <v>3</v>
      </c>
      <c r="F299" s="25" cm="1">
        <f t="array" ref="F299">(YEAR(C299)-2025)*1000+MONTH(C299)*31+DAY(C299)+A299</f>
        <v>1185</v>
      </c>
    </row>
    <row r="300" ht="13.65" customHeight="1">
      <c r="A300" s="22">
        <v>78</v>
      </c>
      <c r="B300" t="s" s="23">
        <v>503</v>
      </c>
      <c r="C300" t="s" s="23">
        <v>19</v>
      </c>
      <c r="D300" s="24">
        <v>1</v>
      </c>
      <c r="E300" s="20" cm="1">
        <f t="array" ref="E300">_xlfn.COUNTIFS(B3:B562,B300,D3:D562,1,A3:A562,A300)</f>
        <v>3</v>
      </c>
      <c r="F300" s="25" cm="1">
        <f t="array" ref="F300">(YEAR(C300)-2025)*1000+MONTH(C300)*31+DAY(C300)+A300</f>
        <v>1185</v>
      </c>
    </row>
    <row r="301" ht="13.65" customHeight="1">
      <c r="A301" s="22">
        <v>75</v>
      </c>
      <c r="B301" t="s" s="23">
        <v>485</v>
      </c>
      <c r="C301" t="s" s="23">
        <v>226</v>
      </c>
      <c r="D301" s="24">
        <v>0</v>
      </c>
      <c r="E301" s="20" cm="1">
        <f t="array" ref="E301">_xlfn.COUNTIFS(B3:B562,B301,D3:D562,1,A3:A562,A301)</f>
        <v>1</v>
      </c>
      <c r="F301" s="25" cm="1">
        <f t="array" ref="F301">(YEAR(C301)-2025)*1000+MONTH(C301)*31+DAY(C301)+A301</f>
        <v>1185</v>
      </c>
    </row>
    <row r="302" ht="13.65" customHeight="1">
      <c r="A302" s="32">
        <v>78</v>
      </c>
      <c r="B302" t="s" s="33">
        <v>503</v>
      </c>
      <c r="C302" t="s" s="33">
        <v>15703</v>
      </c>
      <c r="D302" s="34">
        <v>1</v>
      </c>
      <c r="E302" s="20" cm="1">
        <f t="array" ref="E302">_xlfn.COUNTIFS(B3:B562,B302,D3:D562,1,A3:A562,A302)</f>
        <v>3</v>
      </c>
      <c r="F302" s="25" cm="1">
        <f t="array" ref="F302">(YEAR(C302)-2025)*1000+MONTH(C302)*31+DAY(C302)+A302</f>
        <v>1184</v>
      </c>
    </row>
    <row r="303" ht="13.65" customHeight="1">
      <c r="A303" s="22">
        <v>77</v>
      </c>
      <c r="B303" t="s" s="23">
        <v>497</v>
      </c>
      <c r="C303" t="s" s="23">
        <v>19</v>
      </c>
      <c r="D303" s="24">
        <v>1</v>
      </c>
      <c r="E303" s="20" cm="1">
        <f t="array" ref="E303">_xlfn.COUNTIFS(B3:B562,B303,D3:D562,1,A3:A562,A303)</f>
        <v>3</v>
      </c>
      <c r="F303" s="25" cm="1">
        <f t="array" ref="F303">(YEAR(C303)-2025)*1000+MONTH(C303)*31+DAY(C303)+A303</f>
        <v>1184</v>
      </c>
    </row>
    <row r="304" ht="13.65" customHeight="1">
      <c r="A304" s="22">
        <v>77</v>
      </c>
      <c r="B304" t="s" s="23">
        <v>497</v>
      </c>
      <c r="C304" t="s" s="23">
        <v>19</v>
      </c>
      <c r="D304" s="24">
        <v>1</v>
      </c>
      <c r="E304" s="20" cm="1">
        <f t="array" ref="E304">_xlfn.COUNTIFS(B3:B562,B304,D3:D562,1,A3:A562,A304)</f>
        <v>3</v>
      </c>
      <c r="F304" s="25" cm="1">
        <f t="array" ref="F304">(YEAR(C304)-2025)*1000+MONTH(C304)*31+DAY(C304)+A304</f>
        <v>1184</v>
      </c>
    </row>
    <row r="305" ht="13.65" customHeight="1">
      <c r="A305" s="22">
        <v>75</v>
      </c>
      <c r="B305" t="s" s="23">
        <v>485</v>
      </c>
      <c r="C305" t="s" s="23">
        <v>26</v>
      </c>
      <c r="D305" s="24">
        <v>0</v>
      </c>
      <c r="E305" s="20" cm="1">
        <f t="array" ref="E305">_xlfn.COUNTIFS(B3:B562,B305,D3:D562,1,A3:A562,A305)</f>
        <v>1</v>
      </c>
      <c r="F305" s="25" cm="1">
        <f t="array" ref="F305">(YEAR(C305)-2025)*1000+MONTH(C305)*31+DAY(C305)+A305</f>
        <v>1184</v>
      </c>
    </row>
    <row r="306" ht="13.65" customHeight="1">
      <c r="A306" s="32">
        <v>77</v>
      </c>
      <c r="B306" t="s" s="33">
        <v>497</v>
      </c>
      <c r="C306" t="s" s="33">
        <v>15703</v>
      </c>
      <c r="D306" s="34">
        <v>1</v>
      </c>
      <c r="E306" s="20" cm="1">
        <f t="array" ref="E306">_xlfn.COUNTIFS(B3:B562,B306,D3:D562,1,A3:A562,A306)</f>
        <v>3</v>
      </c>
      <c r="F306" s="25" cm="1">
        <f t="array" ref="F306">(YEAR(C306)-2025)*1000+MONTH(C306)*31+DAY(C306)+A306</f>
        <v>1183</v>
      </c>
    </row>
    <row r="307" ht="13.65" customHeight="1">
      <c r="A307" s="22">
        <v>76</v>
      </c>
      <c r="B307" t="s" s="23">
        <v>491</v>
      </c>
      <c r="C307" t="s" s="23">
        <v>19</v>
      </c>
      <c r="D307" s="24">
        <v>1</v>
      </c>
      <c r="E307" s="20" cm="1">
        <f t="array" ref="E307">_xlfn.COUNTIFS(B3:B562,B307,D3:D562,1,A3:A562,A307)</f>
        <v>3</v>
      </c>
      <c r="F307" s="25" cm="1">
        <f t="array" ref="F307">(YEAR(C307)-2025)*1000+MONTH(C307)*31+DAY(C307)+A307</f>
        <v>1183</v>
      </c>
    </row>
    <row r="308" ht="13.65" customHeight="1">
      <c r="A308" s="22">
        <v>76</v>
      </c>
      <c r="B308" t="s" s="23">
        <v>491</v>
      </c>
      <c r="C308" t="s" s="23">
        <v>19</v>
      </c>
      <c r="D308" s="24">
        <v>1</v>
      </c>
      <c r="E308" s="20" cm="1">
        <f t="array" ref="E308">_xlfn.COUNTIFS(B3:B562,B308,D3:D562,1,A3:A562,A308)</f>
        <v>3</v>
      </c>
      <c r="F308" s="25" cm="1">
        <f t="array" ref="F308">(YEAR(C308)-2025)*1000+MONTH(C308)*31+DAY(C308)+A308</f>
        <v>1183</v>
      </c>
    </row>
    <row r="309" ht="13.65" customHeight="1">
      <c r="A309" s="32">
        <v>76</v>
      </c>
      <c r="B309" t="s" s="33">
        <v>491</v>
      </c>
      <c r="C309" t="s" s="33">
        <v>15703</v>
      </c>
      <c r="D309" s="34">
        <v>1</v>
      </c>
      <c r="E309" s="20" cm="1">
        <f t="array" ref="E309">_xlfn.COUNTIFS(B3:B562,B309,D3:D562,1,A3:A562,A309)</f>
        <v>3</v>
      </c>
      <c r="F309" s="25" cm="1">
        <f t="array" ref="F309">(YEAR(C309)-2025)*1000+MONTH(C309)*31+DAY(C309)+A309</f>
        <v>1182</v>
      </c>
    </row>
    <row r="310" ht="13.65" customHeight="1">
      <c r="A310" s="22">
        <v>75</v>
      </c>
      <c r="B310" t="s" s="23">
        <v>485</v>
      </c>
      <c r="C310" t="s" s="23">
        <v>19</v>
      </c>
      <c r="D310" s="24">
        <v>0</v>
      </c>
      <c r="E310" s="20" cm="1">
        <f t="array" ref="E310">_xlfn.COUNTIFS(B3:B562,B310,D3:D562,1,A3:A562,A310)</f>
        <v>1</v>
      </c>
      <c r="F310" s="25" cm="1">
        <f t="array" ref="F310">(YEAR(C310)-2025)*1000+MONTH(C310)*31+DAY(C310)+A310</f>
        <v>1182</v>
      </c>
    </row>
    <row r="311" ht="13.65" customHeight="1">
      <c r="A311" s="22">
        <v>75</v>
      </c>
      <c r="B311" t="s" s="23">
        <v>485</v>
      </c>
      <c r="C311" t="s" s="23">
        <v>19</v>
      </c>
      <c r="D311" s="24">
        <v>0</v>
      </c>
      <c r="E311" s="20" cm="1">
        <f t="array" ref="E311">_xlfn.COUNTIFS(B3:B562,B311,D3:D562,1,A3:A562,A311)</f>
        <v>1</v>
      </c>
      <c r="F311" s="25" cm="1">
        <f t="array" ref="F311">(YEAR(C311)-2025)*1000+MONTH(C311)*31+DAY(C311)+A311</f>
        <v>1182</v>
      </c>
    </row>
    <row r="312" ht="13.65" customHeight="1">
      <c r="A312" s="32">
        <v>75</v>
      </c>
      <c r="B312" t="s" s="33">
        <v>485</v>
      </c>
      <c r="C312" t="s" s="33">
        <v>15703</v>
      </c>
      <c r="D312" s="34">
        <v>1</v>
      </c>
      <c r="E312" s="20" cm="1">
        <f t="array" ref="E312">_xlfn.COUNTIFS(B3:B562,B312,D3:D562,1,A3:A562,A312)</f>
        <v>1</v>
      </c>
      <c r="F312" s="25" cm="1">
        <f t="array" ref="F312">(YEAR(C312)-2025)*1000+MONTH(C312)*31+DAY(C312)+A312</f>
        <v>1181</v>
      </c>
    </row>
    <row r="313" ht="13.65" customHeight="1">
      <c r="A313" s="22">
        <v>74</v>
      </c>
      <c r="B313" t="s" s="23">
        <v>478</v>
      </c>
      <c r="C313" t="s" s="23">
        <v>19</v>
      </c>
      <c r="D313" s="24">
        <v>1</v>
      </c>
      <c r="E313" s="20" cm="1">
        <f t="array" ref="E313">_xlfn.COUNTIFS(B3:B562,B313,D3:D562,1,A3:A562,A313)</f>
        <v>3</v>
      </c>
      <c r="F313" s="25" cm="1">
        <f t="array" ref="F313">(YEAR(C313)-2025)*1000+MONTH(C313)*31+DAY(C313)+A313</f>
        <v>1181</v>
      </c>
    </row>
    <row r="314" ht="13.65" customHeight="1">
      <c r="A314" s="22">
        <v>74</v>
      </c>
      <c r="B314" t="s" s="23">
        <v>478</v>
      </c>
      <c r="C314" t="s" s="23">
        <v>19</v>
      </c>
      <c r="D314" s="24">
        <v>1</v>
      </c>
      <c r="E314" s="20" cm="1">
        <f t="array" ref="E314">_xlfn.COUNTIFS(B3:B562,B314,D3:D562,1,A3:A562,A314)</f>
        <v>3</v>
      </c>
      <c r="F314" s="25" cm="1">
        <f t="array" ref="F314">(YEAR(C314)-2025)*1000+MONTH(C314)*31+DAY(C314)+A314</f>
        <v>1181</v>
      </c>
    </row>
    <row r="315" ht="13.65" customHeight="1">
      <c r="A315" s="32">
        <v>74</v>
      </c>
      <c r="B315" t="s" s="33">
        <v>478</v>
      </c>
      <c r="C315" t="s" s="33">
        <v>15703</v>
      </c>
      <c r="D315" s="34">
        <v>1</v>
      </c>
      <c r="E315" s="20" cm="1">
        <f t="array" ref="E315">_xlfn.COUNTIFS(B3:B562,B315,D3:D562,1,A3:A562,A315)</f>
        <v>3</v>
      </c>
      <c r="F315" s="25" cm="1">
        <f t="array" ref="F315">(YEAR(C315)-2025)*1000+MONTH(C315)*31+DAY(C315)+A315</f>
        <v>1180</v>
      </c>
    </row>
    <row r="316" ht="13.65" customHeight="1">
      <c r="A316" s="22">
        <v>73</v>
      </c>
      <c r="B316" t="s" s="23">
        <v>472</v>
      </c>
      <c r="C316" t="s" s="23">
        <v>19</v>
      </c>
      <c r="D316" s="24">
        <v>1</v>
      </c>
      <c r="E316" s="20" cm="1">
        <f t="array" ref="E316">_xlfn.COUNTIFS(B3:B562,B316,D3:D562,1,A3:A562,A316)</f>
        <v>3</v>
      </c>
      <c r="F316" s="25" cm="1">
        <f t="array" ref="F316">(YEAR(C316)-2025)*1000+MONTH(C316)*31+DAY(C316)+A316</f>
        <v>1180</v>
      </c>
    </row>
    <row r="317" ht="13.65" customHeight="1">
      <c r="A317" s="22">
        <v>73</v>
      </c>
      <c r="B317" t="s" s="23">
        <v>472</v>
      </c>
      <c r="C317" t="s" s="23">
        <v>19</v>
      </c>
      <c r="D317" s="24">
        <v>1</v>
      </c>
      <c r="E317" s="20" cm="1">
        <f t="array" ref="E317">_xlfn.COUNTIFS(B3:B562,B317,D3:D562,1,A3:A562,A317)</f>
        <v>3</v>
      </c>
      <c r="F317" s="25" cm="1">
        <f t="array" ref="F317">(YEAR(C317)-2025)*1000+MONTH(C317)*31+DAY(C317)+A317</f>
        <v>1180</v>
      </c>
    </row>
    <row r="318" ht="13.65" customHeight="1">
      <c r="A318" s="32">
        <v>73</v>
      </c>
      <c r="B318" t="s" s="33">
        <v>472</v>
      </c>
      <c r="C318" t="s" s="33">
        <v>15703</v>
      </c>
      <c r="D318" s="34">
        <v>1</v>
      </c>
      <c r="E318" s="20" cm="1">
        <f t="array" ref="E318">_xlfn.COUNTIFS(B3:B562,B318,D3:D562,1,A3:A562,A318)</f>
        <v>3</v>
      </c>
      <c r="F318" s="25" cm="1">
        <f t="array" ref="F318">(YEAR(C318)-2025)*1000+MONTH(C318)*31+DAY(C318)+A318</f>
        <v>1179</v>
      </c>
    </row>
    <row r="319" ht="13.65" customHeight="1">
      <c r="A319" s="22">
        <v>72</v>
      </c>
      <c r="B319" t="s" s="23">
        <v>466</v>
      </c>
      <c r="C319" t="s" s="23">
        <v>19</v>
      </c>
      <c r="D319" s="24">
        <v>1</v>
      </c>
      <c r="E319" s="20" cm="1">
        <f t="array" ref="E319">_xlfn.COUNTIFS(B3:B562,B319,D3:D562,1,A3:A562,A319)</f>
        <v>3</v>
      </c>
      <c r="F319" s="25" cm="1">
        <f t="array" ref="F319">(YEAR(C319)-2025)*1000+MONTH(C319)*31+DAY(C319)+A319</f>
        <v>1179</v>
      </c>
    </row>
    <row r="320" ht="13.65" customHeight="1">
      <c r="A320" s="22">
        <v>72</v>
      </c>
      <c r="B320" t="s" s="23">
        <v>466</v>
      </c>
      <c r="C320" t="s" s="23">
        <v>19</v>
      </c>
      <c r="D320" s="24">
        <v>1</v>
      </c>
      <c r="E320" s="20" cm="1">
        <f t="array" ref="E320">_xlfn.COUNTIFS(B3:B562,B320,D3:D562,1,A3:A562,A320)</f>
        <v>3</v>
      </c>
      <c r="F320" s="25" cm="1">
        <f t="array" ref="F320">(YEAR(C320)-2025)*1000+MONTH(C320)*31+DAY(C320)+A320</f>
        <v>1179</v>
      </c>
    </row>
    <row r="321" ht="13.65" customHeight="1">
      <c r="A321" s="22">
        <v>69</v>
      </c>
      <c r="B321" t="s" s="23">
        <v>447</v>
      </c>
      <c r="C321" t="s" s="23">
        <v>226</v>
      </c>
      <c r="D321" s="24">
        <v>1</v>
      </c>
      <c r="E321" s="20" cm="1">
        <f t="array" ref="E321">_xlfn.COUNTIFS(B3:B562,B321,D3:D562,1,A3:A562,A321)</f>
        <v>1</v>
      </c>
      <c r="F321" s="25" cm="1">
        <f t="array" ref="F321">(YEAR(C321)-2025)*1000+MONTH(C321)*31+DAY(C321)+A321</f>
        <v>1179</v>
      </c>
    </row>
    <row r="322" ht="13.65" customHeight="1">
      <c r="A322" s="32">
        <v>72</v>
      </c>
      <c r="B322" t="s" s="33">
        <v>466</v>
      </c>
      <c r="C322" t="s" s="33">
        <v>15703</v>
      </c>
      <c r="D322" s="34">
        <v>1</v>
      </c>
      <c r="E322" s="20" cm="1">
        <f t="array" ref="E322">_xlfn.COUNTIFS(B3:B562,B322,D3:D562,1,A3:A562,A322)</f>
        <v>3</v>
      </c>
      <c r="F322" s="25" cm="1">
        <f t="array" ref="F322">(YEAR(C322)-2025)*1000+MONTH(C322)*31+DAY(C322)+A322</f>
        <v>1178</v>
      </c>
    </row>
    <row r="323" ht="13.65" customHeight="1">
      <c r="A323" s="22">
        <v>71</v>
      </c>
      <c r="B323" t="s" s="23">
        <v>460</v>
      </c>
      <c r="C323" t="s" s="23">
        <v>19</v>
      </c>
      <c r="D323" s="24">
        <v>1</v>
      </c>
      <c r="E323" s="20" cm="1">
        <f t="array" ref="E323">_xlfn.COUNTIFS(B3:B562,B323,D3:D562,1,A3:A562,A323)</f>
        <v>3</v>
      </c>
      <c r="F323" s="25" cm="1">
        <f t="array" ref="F323">(YEAR(C323)-2025)*1000+MONTH(C323)*31+DAY(C323)+A323</f>
        <v>1178</v>
      </c>
    </row>
    <row r="324" ht="13.65" customHeight="1">
      <c r="A324" s="22">
        <v>71</v>
      </c>
      <c r="B324" t="s" s="23">
        <v>460</v>
      </c>
      <c r="C324" t="s" s="23">
        <v>19</v>
      </c>
      <c r="D324" s="24">
        <v>1</v>
      </c>
      <c r="E324" s="20" cm="1">
        <f t="array" ref="E324">_xlfn.COUNTIFS(B3:B562,B324,D3:D562,1,A3:A562,A324)</f>
        <v>3</v>
      </c>
      <c r="F324" s="25" cm="1">
        <f t="array" ref="F324">(YEAR(C324)-2025)*1000+MONTH(C324)*31+DAY(C324)+A324</f>
        <v>1178</v>
      </c>
    </row>
    <row r="325" ht="13.65" customHeight="1">
      <c r="A325" s="22">
        <v>69</v>
      </c>
      <c r="B325" t="s" s="23">
        <v>447</v>
      </c>
      <c r="C325" t="s" s="23">
        <v>26</v>
      </c>
      <c r="D325" s="24">
        <v>0</v>
      </c>
      <c r="E325" s="20" cm="1">
        <f t="array" ref="E325">_xlfn.COUNTIFS(B3:B562,B325,D3:D562,1,A3:A562,A325)</f>
        <v>1</v>
      </c>
      <c r="F325" s="25" cm="1">
        <f t="array" ref="F325">(YEAR(C325)-2025)*1000+MONTH(C325)*31+DAY(C325)+A325</f>
        <v>1178</v>
      </c>
    </row>
    <row r="326" ht="13.65" customHeight="1">
      <c r="A326" s="32">
        <v>71</v>
      </c>
      <c r="B326" t="s" s="33">
        <v>460</v>
      </c>
      <c r="C326" t="s" s="33">
        <v>15703</v>
      </c>
      <c r="D326" s="34">
        <v>1</v>
      </c>
      <c r="E326" s="20" cm="1">
        <f t="array" ref="E326">_xlfn.COUNTIFS(B3:B562,B326,D3:D562,1,A3:A562,A326)</f>
        <v>3</v>
      </c>
      <c r="F326" s="25" cm="1">
        <f t="array" ref="F326">(YEAR(C326)-2025)*1000+MONTH(C326)*31+DAY(C326)+A326</f>
        <v>1177</v>
      </c>
    </row>
    <row r="327" ht="13.65" customHeight="1">
      <c r="A327" s="22">
        <v>70</v>
      </c>
      <c r="B327" t="s" s="23">
        <v>454</v>
      </c>
      <c r="C327" t="s" s="23">
        <v>19</v>
      </c>
      <c r="D327" s="24">
        <v>1</v>
      </c>
      <c r="E327" s="20" cm="1">
        <f t="array" ref="E327">_xlfn.COUNTIFS(B3:B562,B327,D3:D562,1,A3:A562,A327)</f>
        <v>3</v>
      </c>
      <c r="F327" s="25" cm="1">
        <f t="array" ref="F327">(YEAR(C327)-2025)*1000+MONTH(C327)*31+DAY(C327)+A327</f>
        <v>1177</v>
      </c>
    </row>
    <row r="328" ht="13.65" customHeight="1">
      <c r="A328" s="22">
        <v>70</v>
      </c>
      <c r="B328" t="s" s="23">
        <v>454</v>
      </c>
      <c r="C328" t="s" s="23">
        <v>19</v>
      </c>
      <c r="D328" s="24">
        <v>1</v>
      </c>
      <c r="E328" s="20" cm="1">
        <f t="array" ref="E328">_xlfn.COUNTIFS(B3:B562,B328,D3:D562,1,A3:A562,A328)</f>
        <v>3</v>
      </c>
      <c r="F328" s="25" cm="1">
        <f t="array" ref="F328">(YEAR(C328)-2025)*1000+MONTH(C328)*31+DAY(C328)+A328</f>
        <v>1177</v>
      </c>
    </row>
    <row r="329" ht="13.65" customHeight="1">
      <c r="A329" s="32">
        <v>70</v>
      </c>
      <c r="B329" t="s" s="33">
        <v>454</v>
      </c>
      <c r="C329" t="s" s="33">
        <v>15703</v>
      </c>
      <c r="D329" s="34">
        <v>1</v>
      </c>
      <c r="E329" s="20" cm="1">
        <f t="array" ref="E329">_xlfn.COUNTIFS(B3:B562,B329,D3:D562,1,A3:A562,A329)</f>
        <v>3</v>
      </c>
      <c r="F329" s="25" cm="1">
        <f t="array" ref="F329">(YEAR(C329)-2025)*1000+MONTH(C329)*31+DAY(C329)+A329</f>
        <v>1176</v>
      </c>
    </row>
    <row r="330" ht="13.65" customHeight="1">
      <c r="A330" s="22">
        <v>69</v>
      </c>
      <c r="B330" t="s" s="23">
        <v>447</v>
      </c>
      <c r="C330" t="s" s="23">
        <v>19</v>
      </c>
      <c r="D330" s="24">
        <v>0</v>
      </c>
      <c r="E330" s="20" cm="1">
        <f t="array" ref="E330">_xlfn.COUNTIFS(B3:B562,B330,D3:D562,1,A3:A562,A330)</f>
        <v>1</v>
      </c>
      <c r="F330" s="25" cm="1">
        <f t="array" ref="F330">(YEAR(C330)-2025)*1000+MONTH(C330)*31+DAY(C330)+A330</f>
        <v>1176</v>
      </c>
    </row>
    <row r="331" ht="13.65" customHeight="1">
      <c r="A331" s="22">
        <v>69</v>
      </c>
      <c r="B331" t="s" s="23">
        <v>447</v>
      </c>
      <c r="C331" t="s" s="23">
        <v>19</v>
      </c>
      <c r="D331" s="24">
        <v>0</v>
      </c>
      <c r="E331" s="20" cm="1">
        <f t="array" ref="E331">_xlfn.COUNTIFS(B3:B562,B331,D3:D562,1,A3:A562,A331)</f>
        <v>1</v>
      </c>
      <c r="F331" s="25" cm="1">
        <f t="array" ref="F331">(YEAR(C331)-2025)*1000+MONTH(C331)*31+DAY(C331)+A331</f>
        <v>1176</v>
      </c>
    </row>
    <row r="332" ht="13.65" customHeight="1">
      <c r="A332" s="32">
        <v>69</v>
      </c>
      <c r="B332" t="s" s="33">
        <v>447</v>
      </c>
      <c r="C332" t="s" s="33">
        <v>15703</v>
      </c>
      <c r="D332" s="34">
        <v>0</v>
      </c>
      <c r="E332" s="20" cm="1">
        <f t="array" ref="E332">_xlfn.COUNTIFS(B3:B562,B332,D3:D562,1,A3:A562,A332)</f>
        <v>1</v>
      </c>
      <c r="F332" s="25" cm="1">
        <f t="array" ref="F332">(YEAR(C332)-2025)*1000+MONTH(C332)*31+DAY(C332)+A332</f>
        <v>1175</v>
      </c>
    </row>
    <row r="333" ht="13.65" customHeight="1">
      <c r="A333" s="22">
        <v>68</v>
      </c>
      <c r="B333" t="s" s="23">
        <v>441</v>
      </c>
      <c r="C333" t="s" s="23">
        <v>19</v>
      </c>
      <c r="D333" s="24">
        <v>1</v>
      </c>
      <c r="E333" s="20" cm="1">
        <f t="array" ref="E333">_xlfn.COUNTIFS(B3:B562,B333,D3:D562,1,A3:A562,A333)</f>
        <v>3</v>
      </c>
      <c r="F333" s="25" cm="1">
        <f t="array" ref="F333">(YEAR(C333)-2025)*1000+MONTH(C333)*31+DAY(C333)+A333</f>
        <v>1175</v>
      </c>
    </row>
    <row r="334" ht="13.65" customHeight="1">
      <c r="A334" s="22">
        <v>68</v>
      </c>
      <c r="B334" t="s" s="23">
        <v>441</v>
      </c>
      <c r="C334" t="s" s="23">
        <v>19</v>
      </c>
      <c r="D334" s="24">
        <v>1</v>
      </c>
      <c r="E334" s="20" cm="1">
        <f t="array" ref="E334">_xlfn.COUNTIFS(B3:B562,B334,D3:D562,1,A3:A562,A334)</f>
        <v>3</v>
      </c>
      <c r="F334" s="25" cm="1">
        <f t="array" ref="F334">(YEAR(C334)-2025)*1000+MONTH(C334)*31+DAY(C334)+A334</f>
        <v>1175</v>
      </c>
    </row>
    <row r="335" ht="13.65" customHeight="1">
      <c r="A335" s="22">
        <v>65</v>
      </c>
      <c r="B335" t="s" s="23">
        <v>423</v>
      </c>
      <c r="C335" t="s" s="23">
        <v>226</v>
      </c>
      <c r="D335" s="24">
        <v>1</v>
      </c>
      <c r="E335" s="20" cm="1">
        <f t="array" ref="E335">_xlfn.COUNTIFS(B3:B562,B335,D3:D562,1,A3:A562,A335)</f>
        <v>3</v>
      </c>
      <c r="F335" s="25" cm="1">
        <f t="array" ref="F335">(YEAR(C335)-2025)*1000+MONTH(C335)*31+DAY(C335)+A335</f>
        <v>1175</v>
      </c>
    </row>
    <row r="336" ht="13.65" customHeight="1">
      <c r="A336" s="32">
        <v>68</v>
      </c>
      <c r="B336" t="s" s="33">
        <v>441</v>
      </c>
      <c r="C336" t="s" s="33">
        <v>15703</v>
      </c>
      <c r="D336" s="34">
        <v>1</v>
      </c>
      <c r="E336" s="20" cm="1">
        <f t="array" ref="E336">_xlfn.COUNTIFS(B3:B562,B336,D3:D562,1,A3:A562,A336)</f>
        <v>3</v>
      </c>
      <c r="F336" s="25" cm="1">
        <f t="array" ref="F336">(YEAR(C336)-2025)*1000+MONTH(C336)*31+DAY(C336)+A336</f>
        <v>1174</v>
      </c>
    </row>
    <row r="337" ht="13.65" customHeight="1">
      <c r="A337" s="22">
        <v>67</v>
      </c>
      <c r="B337" t="s" s="23">
        <v>435</v>
      </c>
      <c r="C337" t="s" s="23">
        <v>19</v>
      </c>
      <c r="D337" s="24">
        <v>1</v>
      </c>
      <c r="E337" s="20" cm="1">
        <f t="array" ref="E337">_xlfn.COUNTIFS(B3:B562,B337,D3:D562,1,A3:A562,A337)</f>
        <v>3</v>
      </c>
      <c r="F337" s="25" cm="1">
        <f t="array" ref="F337">(YEAR(C337)-2025)*1000+MONTH(C337)*31+DAY(C337)+A337</f>
        <v>1174</v>
      </c>
    </row>
    <row r="338" ht="13.65" customHeight="1">
      <c r="A338" s="22">
        <v>67</v>
      </c>
      <c r="B338" t="s" s="23">
        <v>435</v>
      </c>
      <c r="C338" t="s" s="23">
        <v>19</v>
      </c>
      <c r="D338" s="24">
        <v>1</v>
      </c>
      <c r="E338" s="20" cm="1">
        <f t="array" ref="E338">_xlfn.COUNTIFS(B3:B562,B338,D3:D562,1,A3:A562,A338)</f>
        <v>3</v>
      </c>
      <c r="F338" s="25" cm="1">
        <f t="array" ref="F338">(YEAR(C338)-2025)*1000+MONTH(C338)*31+DAY(C338)+A338</f>
        <v>1174</v>
      </c>
    </row>
    <row r="339" ht="13.65" customHeight="1">
      <c r="A339" s="22">
        <v>65</v>
      </c>
      <c r="B339" t="s" s="23">
        <v>423</v>
      </c>
      <c r="C339" t="s" s="23">
        <v>26</v>
      </c>
      <c r="D339" s="24">
        <v>1</v>
      </c>
      <c r="E339" s="20" cm="1">
        <f t="array" ref="E339">_xlfn.COUNTIFS(B3:B562,B339,D3:D562,1,A3:A562,A339)</f>
        <v>3</v>
      </c>
      <c r="F339" s="25" cm="1">
        <f t="array" ref="F339">(YEAR(C339)-2025)*1000+MONTH(C339)*31+DAY(C339)+A339</f>
        <v>1174</v>
      </c>
    </row>
    <row r="340" ht="13.65" customHeight="1">
      <c r="A340" s="22">
        <v>64</v>
      </c>
      <c r="B340" t="s" s="23">
        <v>417</v>
      </c>
      <c r="C340" t="s" s="23">
        <v>226</v>
      </c>
      <c r="D340" s="24">
        <v>0</v>
      </c>
      <c r="E340" s="20" cm="1">
        <f t="array" ref="E340">_xlfn.COUNTIFS(B3:B562,B340,D3:D562,1,A3:A562,A340)</f>
        <v>1</v>
      </c>
      <c r="F340" s="25" cm="1">
        <f t="array" ref="F340">(YEAR(C340)-2025)*1000+MONTH(C340)*31+DAY(C340)+A340</f>
        <v>1174</v>
      </c>
    </row>
    <row r="341" ht="13.65" customHeight="1">
      <c r="A341" s="32">
        <v>67</v>
      </c>
      <c r="B341" t="s" s="33">
        <v>435</v>
      </c>
      <c r="C341" t="s" s="33">
        <v>15703</v>
      </c>
      <c r="D341" s="34">
        <v>1</v>
      </c>
      <c r="E341" s="20" cm="1">
        <f t="array" ref="E341">_xlfn.COUNTIFS(B3:B562,B341,D3:D562,1,A3:A562,A341)</f>
        <v>3</v>
      </c>
      <c r="F341" s="25" cm="1">
        <f t="array" ref="F341">(YEAR(C341)-2025)*1000+MONTH(C341)*31+DAY(C341)+A341</f>
        <v>1173</v>
      </c>
    </row>
    <row r="342" ht="13.65" customHeight="1">
      <c r="A342" s="22">
        <v>66</v>
      </c>
      <c r="B342" t="s" s="23">
        <v>429</v>
      </c>
      <c r="C342" t="s" s="23">
        <v>19</v>
      </c>
      <c r="D342" s="24">
        <v>1</v>
      </c>
      <c r="E342" s="20" cm="1">
        <f t="array" ref="E342">_xlfn.COUNTIFS(B3:B562,B342,D3:D562,1,A3:A562,A342)</f>
        <v>3</v>
      </c>
      <c r="F342" s="25" cm="1">
        <f t="array" ref="F342">(YEAR(C342)-2025)*1000+MONTH(C342)*31+DAY(C342)+A342</f>
        <v>1173</v>
      </c>
    </row>
    <row r="343" ht="13.65" customHeight="1">
      <c r="A343" s="22">
        <v>66</v>
      </c>
      <c r="B343" t="s" s="23">
        <v>429</v>
      </c>
      <c r="C343" t="s" s="23">
        <v>19</v>
      </c>
      <c r="D343" s="24">
        <v>1</v>
      </c>
      <c r="E343" s="20" cm="1">
        <f t="array" ref="E343">_xlfn.COUNTIFS(B3:B562,B343,D3:D562,1,A3:A562,A343)</f>
        <v>3</v>
      </c>
      <c r="F343" s="25" cm="1">
        <f t="array" ref="F343">(YEAR(C343)-2025)*1000+MONTH(C343)*31+DAY(C343)+A343</f>
        <v>1173</v>
      </c>
    </row>
    <row r="344" ht="13.65" customHeight="1">
      <c r="A344" s="22">
        <v>64</v>
      </c>
      <c r="B344" t="s" s="23">
        <v>417</v>
      </c>
      <c r="C344" t="s" s="23">
        <v>26</v>
      </c>
      <c r="D344" s="24">
        <v>1</v>
      </c>
      <c r="E344" s="20" cm="1">
        <f t="array" ref="E344">_xlfn.COUNTIFS(B3:B562,B344,D3:D562,1,A3:A562,A344)</f>
        <v>1</v>
      </c>
      <c r="F344" s="25" cm="1">
        <f t="array" ref="F344">(YEAR(C344)-2025)*1000+MONTH(C344)*31+DAY(C344)+A344</f>
        <v>1173</v>
      </c>
    </row>
    <row r="345" ht="13.65" customHeight="1">
      <c r="A345" s="22">
        <v>63</v>
      </c>
      <c r="B345" t="s" s="23">
        <v>409</v>
      </c>
      <c r="C345" t="s" s="23">
        <v>226</v>
      </c>
      <c r="D345" s="24">
        <v>1</v>
      </c>
      <c r="E345" s="20" cm="1">
        <f t="array" ref="E345">_xlfn.COUNTIFS(B3:B562,B345,D3:D562,1,A3:A562,A345)</f>
        <v>3</v>
      </c>
      <c r="F345" s="25" cm="1">
        <f t="array" ref="F345">(YEAR(C345)-2025)*1000+MONTH(C345)*31+DAY(C345)+A345</f>
        <v>1173</v>
      </c>
    </row>
    <row r="346" ht="13.65" customHeight="1">
      <c r="A346" s="32">
        <v>66</v>
      </c>
      <c r="B346" t="s" s="33">
        <v>429</v>
      </c>
      <c r="C346" t="s" s="33">
        <v>15703</v>
      </c>
      <c r="D346" s="34">
        <v>1</v>
      </c>
      <c r="E346" s="20" cm="1">
        <f t="array" ref="E346">_xlfn.COUNTIFS(B3:B562,B346,D3:D562,1,A3:A562,A346)</f>
        <v>3</v>
      </c>
      <c r="F346" s="25" cm="1">
        <f t="array" ref="F346">(YEAR(C346)-2025)*1000+MONTH(C346)*31+DAY(C346)+A346</f>
        <v>1172</v>
      </c>
    </row>
    <row r="347" ht="13.65" customHeight="1">
      <c r="A347" s="22">
        <v>65</v>
      </c>
      <c r="B347" t="s" s="23">
        <v>423</v>
      </c>
      <c r="C347" t="s" s="23">
        <v>19</v>
      </c>
      <c r="D347" s="24">
        <v>1</v>
      </c>
      <c r="E347" s="20" cm="1">
        <f t="array" ref="E347">_xlfn.COUNTIFS(B3:B562,B347,D3:D562,1,A3:A562,A347)</f>
        <v>3</v>
      </c>
      <c r="F347" s="25" cm="1">
        <f t="array" ref="F347">(YEAR(C347)-2025)*1000+MONTH(C347)*31+DAY(C347)+A347</f>
        <v>1172</v>
      </c>
    </row>
    <row r="348" ht="13.65" customHeight="1">
      <c r="A348" s="22">
        <v>65</v>
      </c>
      <c r="B348" t="s" s="23">
        <v>423</v>
      </c>
      <c r="C348" t="s" s="23">
        <v>19</v>
      </c>
      <c r="D348" s="24">
        <v>0</v>
      </c>
      <c r="E348" s="20" cm="1">
        <f t="array" ref="E348">_xlfn.COUNTIFS(B3:B562,B348,D3:D562,1,A3:A562,A348)</f>
        <v>3</v>
      </c>
      <c r="F348" s="25" cm="1">
        <f t="array" ref="F348">(YEAR(C348)-2025)*1000+MONTH(C348)*31+DAY(C348)+A348</f>
        <v>1172</v>
      </c>
    </row>
    <row r="349" ht="13.65" customHeight="1">
      <c r="A349" s="22">
        <v>63</v>
      </c>
      <c r="B349" t="s" s="23">
        <v>409</v>
      </c>
      <c r="C349" t="s" s="23">
        <v>26</v>
      </c>
      <c r="D349" s="24">
        <v>1</v>
      </c>
      <c r="E349" s="20" cm="1">
        <f t="array" ref="E349">_xlfn.COUNTIFS(B3:B562,B349,D3:D562,1,A3:A562,A349)</f>
        <v>3</v>
      </c>
      <c r="F349" s="25" cm="1">
        <f t="array" ref="F349">(YEAR(C349)-2025)*1000+MONTH(C349)*31+DAY(C349)+A349</f>
        <v>1172</v>
      </c>
    </row>
    <row r="350" ht="13.65" customHeight="1">
      <c r="A350" s="32">
        <v>65</v>
      </c>
      <c r="B350" t="s" s="33">
        <v>423</v>
      </c>
      <c r="C350" t="s" s="33">
        <v>15703</v>
      </c>
      <c r="D350" s="34">
        <v>0</v>
      </c>
      <c r="E350" s="20" cm="1">
        <f t="array" ref="E350">_xlfn.COUNTIFS(B3:B562,B350,D3:D562,1,A3:A562,A350)</f>
        <v>3</v>
      </c>
      <c r="F350" s="25" cm="1">
        <f t="array" ref="F350">(YEAR(C350)-2025)*1000+MONTH(C350)*31+DAY(C350)+A350</f>
        <v>1171</v>
      </c>
    </row>
    <row r="351" ht="13.65" customHeight="1">
      <c r="A351" s="22">
        <v>64</v>
      </c>
      <c r="B351" t="s" s="23">
        <v>417</v>
      </c>
      <c r="C351" t="s" s="23">
        <v>19</v>
      </c>
      <c r="D351" s="24">
        <v>0</v>
      </c>
      <c r="E351" s="20" cm="1">
        <f t="array" ref="E351">_xlfn.COUNTIFS(B3:B562,B351,D3:D562,1,A3:A562,A351)</f>
        <v>1</v>
      </c>
      <c r="F351" s="25" cm="1">
        <f t="array" ref="F351">(YEAR(C351)-2025)*1000+MONTH(C351)*31+DAY(C351)+A351</f>
        <v>1171</v>
      </c>
    </row>
    <row r="352" ht="13.65" customHeight="1">
      <c r="A352" s="22">
        <v>64</v>
      </c>
      <c r="B352" t="s" s="23">
        <v>417</v>
      </c>
      <c r="C352" t="s" s="23">
        <v>19</v>
      </c>
      <c r="D352" s="24">
        <v>0</v>
      </c>
      <c r="E352" s="20" cm="1">
        <f t="array" ref="E352">_xlfn.COUNTIFS(B3:B562,B352,D3:D562,1,A3:A562,A352)</f>
        <v>1</v>
      </c>
      <c r="F352" s="25" cm="1">
        <f t="array" ref="F352">(YEAR(C352)-2025)*1000+MONTH(C352)*31+DAY(C352)+A352</f>
        <v>1171</v>
      </c>
    </row>
    <row r="353" ht="13.65" customHeight="1">
      <c r="A353" s="22">
        <v>61</v>
      </c>
      <c r="B353" t="s" s="23">
        <v>397</v>
      </c>
      <c r="C353" t="s" s="23">
        <v>226</v>
      </c>
      <c r="D353" s="24">
        <v>1</v>
      </c>
      <c r="E353" s="20" cm="1">
        <f t="array" ref="E353">_xlfn.COUNTIFS(B3:B562,B353,D3:D562,1,A3:A562,A353)</f>
        <v>2</v>
      </c>
      <c r="F353" s="25" cm="1">
        <f t="array" ref="F353">(YEAR(C353)-2025)*1000+MONTH(C353)*31+DAY(C353)+A353</f>
        <v>1171</v>
      </c>
    </row>
    <row r="354" ht="13.65" customHeight="1">
      <c r="A354" s="32">
        <v>64</v>
      </c>
      <c r="B354" t="s" s="33">
        <v>417</v>
      </c>
      <c r="C354" t="s" s="33">
        <v>15703</v>
      </c>
      <c r="D354" s="34">
        <v>0</v>
      </c>
      <c r="E354" s="20" cm="1">
        <f t="array" ref="E354">_xlfn.COUNTIFS(B3:B562,B354,D3:D562,1,A3:A562,A354)</f>
        <v>1</v>
      </c>
      <c r="F354" s="25" cm="1">
        <f t="array" ref="F354">(YEAR(C354)-2025)*1000+MONTH(C354)*31+DAY(C354)+A354</f>
        <v>1170</v>
      </c>
    </row>
    <row r="355" ht="13.65" customHeight="1">
      <c r="A355" s="22">
        <v>63</v>
      </c>
      <c r="B355" t="s" s="23">
        <v>409</v>
      </c>
      <c r="C355" t="s" s="23">
        <v>19</v>
      </c>
      <c r="D355" s="24">
        <v>1</v>
      </c>
      <c r="E355" s="20" cm="1">
        <f t="array" ref="E355">_xlfn.COUNTIFS(B3:B562,B355,D3:D562,1,A3:A562,A355)</f>
        <v>3</v>
      </c>
      <c r="F355" s="25" cm="1">
        <f t="array" ref="F355">(YEAR(C355)-2025)*1000+MONTH(C355)*31+DAY(C355)+A355</f>
        <v>1170</v>
      </c>
    </row>
    <row r="356" ht="13.65" customHeight="1">
      <c r="A356" s="22">
        <v>63</v>
      </c>
      <c r="B356" t="s" s="23">
        <v>409</v>
      </c>
      <c r="C356" t="s" s="23">
        <v>19</v>
      </c>
      <c r="D356" s="24">
        <v>0</v>
      </c>
      <c r="E356" s="20" cm="1">
        <f t="array" ref="E356">_xlfn.COUNTIFS(B3:B562,B356,D3:D562,1,A3:A562,A356)</f>
        <v>3</v>
      </c>
      <c r="F356" s="25" cm="1">
        <f t="array" ref="F356">(YEAR(C356)-2025)*1000+MONTH(C356)*31+DAY(C356)+A356</f>
        <v>1170</v>
      </c>
    </row>
    <row r="357" ht="13.65" customHeight="1">
      <c r="A357" s="22">
        <v>61</v>
      </c>
      <c r="B357" t="s" s="23">
        <v>397</v>
      </c>
      <c r="C357" t="s" s="23">
        <v>26</v>
      </c>
      <c r="D357" s="24">
        <v>1</v>
      </c>
      <c r="E357" s="20" cm="1">
        <f t="array" ref="E357">_xlfn.COUNTIFS(B3:B562,B357,D3:D562,1,A3:A562,A357)</f>
        <v>2</v>
      </c>
      <c r="F357" s="25" cm="1">
        <f t="array" ref="F357">(YEAR(C357)-2025)*1000+MONTH(C357)*31+DAY(C357)+A357</f>
        <v>1170</v>
      </c>
    </row>
    <row r="358" ht="13.65" customHeight="1">
      <c r="A358" s="32">
        <v>63</v>
      </c>
      <c r="B358" t="s" s="33">
        <v>409</v>
      </c>
      <c r="C358" t="s" s="33">
        <v>15703</v>
      </c>
      <c r="D358" s="34">
        <v>0</v>
      </c>
      <c r="E358" s="20" cm="1">
        <f t="array" ref="E358">_xlfn.COUNTIFS(B3:B562,B358,D3:D562,1,A3:A562,A358)</f>
        <v>3</v>
      </c>
      <c r="F358" s="25" cm="1">
        <f t="array" ref="F358">(YEAR(C358)-2025)*1000+MONTH(C358)*31+DAY(C358)+A358</f>
        <v>1169</v>
      </c>
    </row>
    <row r="359" ht="13.65" customHeight="1">
      <c r="A359" s="22">
        <v>62</v>
      </c>
      <c r="B359" t="s" s="23">
        <v>403</v>
      </c>
      <c r="C359" t="s" s="23">
        <v>19</v>
      </c>
      <c r="D359" s="24">
        <v>1</v>
      </c>
      <c r="E359" s="20" cm="1">
        <f t="array" ref="E359">_xlfn.COUNTIFS(B3:B562,B359,D3:D562,1,A3:A562,A359)</f>
        <v>3</v>
      </c>
      <c r="F359" s="25" cm="1">
        <f t="array" ref="F359">(YEAR(C359)-2025)*1000+MONTH(C359)*31+DAY(C359)+A359</f>
        <v>1169</v>
      </c>
    </row>
    <row r="360" ht="13.65" customHeight="1">
      <c r="A360" s="22">
        <v>62</v>
      </c>
      <c r="B360" t="s" s="23">
        <v>403</v>
      </c>
      <c r="C360" t="s" s="23">
        <v>19</v>
      </c>
      <c r="D360" s="24">
        <v>1</v>
      </c>
      <c r="E360" s="20" cm="1">
        <f t="array" ref="E360">_xlfn.COUNTIFS(B3:B562,B360,D3:D562,1,A3:A562,A360)</f>
        <v>3</v>
      </c>
      <c r="F360" s="25" cm="1">
        <f t="array" ref="F360">(YEAR(C360)-2025)*1000+MONTH(C360)*31+DAY(C360)+A360</f>
        <v>1169</v>
      </c>
    </row>
    <row r="361" ht="13.65" customHeight="1">
      <c r="A361" s="22">
        <v>60</v>
      </c>
      <c r="B361" t="s" s="23">
        <v>391</v>
      </c>
      <c r="C361" t="s" s="23">
        <v>26</v>
      </c>
      <c r="D361" s="24">
        <v>1</v>
      </c>
      <c r="E361" s="20" cm="1">
        <f t="array" ref="E361">_xlfn.COUNTIFS(B3:B562,B361,D3:D562,1,A3:A562,A361)</f>
        <v>3</v>
      </c>
      <c r="F361" s="25" cm="1">
        <f t="array" ref="F361">(YEAR(C361)-2025)*1000+MONTH(C361)*31+DAY(C361)+A361</f>
        <v>1169</v>
      </c>
    </row>
    <row r="362" ht="13.65" customHeight="1">
      <c r="A362" s="32">
        <v>62</v>
      </c>
      <c r="B362" t="s" s="33">
        <v>403</v>
      </c>
      <c r="C362" t="s" s="33">
        <v>15703</v>
      </c>
      <c r="D362" s="34">
        <v>1</v>
      </c>
      <c r="E362" s="20" cm="1">
        <f t="array" ref="E362">_xlfn.COUNTIFS(B3:B562,B362,D3:D562,1,A3:A562,A362)</f>
        <v>3</v>
      </c>
      <c r="F362" s="25" cm="1">
        <f t="array" ref="F362">(YEAR(C362)-2025)*1000+MONTH(C362)*31+DAY(C362)+A362</f>
        <v>1168</v>
      </c>
    </row>
    <row r="363" ht="13.65" customHeight="1">
      <c r="A363" s="22">
        <v>61</v>
      </c>
      <c r="B363" t="s" s="23">
        <v>397</v>
      </c>
      <c r="C363" t="s" s="23">
        <v>19</v>
      </c>
      <c r="D363" s="24">
        <v>0</v>
      </c>
      <c r="E363" s="20" cm="1">
        <f t="array" ref="E363">_xlfn.COUNTIFS(B3:B562,B363,D3:D562,1,A3:A562,A363)</f>
        <v>2</v>
      </c>
      <c r="F363" s="25" cm="1">
        <f t="array" ref="F363">(YEAR(C363)-2025)*1000+MONTH(C363)*31+DAY(C363)+A363</f>
        <v>1168</v>
      </c>
    </row>
    <row r="364" ht="13.65" customHeight="1">
      <c r="A364" s="22">
        <v>61</v>
      </c>
      <c r="B364" t="s" s="23">
        <v>397</v>
      </c>
      <c r="C364" t="s" s="23">
        <v>19</v>
      </c>
      <c r="D364" s="24">
        <v>0</v>
      </c>
      <c r="E364" s="20" cm="1">
        <f t="array" ref="E364">_xlfn.COUNTIFS(B3:B562,B364,D3:D562,1,A3:A562,A364)</f>
        <v>2</v>
      </c>
      <c r="F364" s="25" cm="1">
        <f t="array" ref="F364">(YEAR(C364)-2025)*1000+MONTH(C364)*31+DAY(C364)+A364</f>
        <v>1168</v>
      </c>
    </row>
    <row r="365" ht="13.65" customHeight="1">
      <c r="A365" s="32">
        <v>61</v>
      </c>
      <c r="B365" t="s" s="33">
        <v>397</v>
      </c>
      <c r="C365" t="s" s="33">
        <v>15703</v>
      </c>
      <c r="D365" s="34">
        <v>0</v>
      </c>
      <c r="E365" s="20" cm="1">
        <f t="array" ref="E365">_xlfn.COUNTIFS(B3:B562,B365,D3:D562,1,A3:A562,A365)</f>
        <v>2</v>
      </c>
      <c r="F365" s="25" cm="1">
        <f t="array" ref="F365">(YEAR(C365)-2025)*1000+MONTH(C365)*31+DAY(C365)+A365</f>
        <v>1167</v>
      </c>
    </row>
    <row r="366" ht="13.65" customHeight="1">
      <c r="A366" s="22">
        <v>60</v>
      </c>
      <c r="B366" t="s" s="23">
        <v>391</v>
      </c>
      <c r="C366" t="s" s="23">
        <v>19</v>
      </c>
      <c r="D366" s="24">
        <v>1</v>
      </c>
      <c r="E366" s="20" cm="1">
        <f t="array" ref="E366">_xlfn.COUNTIFS(B3:B562,B366,D3:D562,1,A3:A562,A366)</f>
        <v>3</v>
      </c>
      <c r="F366" s="25" cm="1">
        <f t="array" ref="F366">(YEAR(C366)-2025)*1000+MONTH(C366)*31+DAY(C366)+A366</f>
        <v>1167</v>
      </c>
    </row>
    <row r="367" ht="13.65" customHeight="1">
      <c r="A367" s="22">
        <v>60</v>
      </c>
      <c r="B367" t="s" s="23">
        <v>391</v>
      </c>
      <c r="C367" t="s" s="23">
        <v>19</v>
      </c>
      <c r="D367" s="24">
        <v>1</v>
      </c>
      <c r="E367" s="20" cm="1">
        <f t="array" ref="E367">_xlfn.COUNTIFS(B3:B562,B367,D3:D562,1,A3:A562,A367)</f>
        <v>3</v>
      </c>
      <c r="F367" s="25" cm="1">
        <f t="array" ref="F367">(YEAR(C367)-2025)*1000+MONTH(C367)*31+DAY(C367)+A367</f>
        <v>1167</v>
      </c>
    </row>
    <row r="368" ht="13.65" customHeight="1">
      <c r="A368" s="32">
        <v>60</v>
      </c>
      <c r="B368" t="s" s="33">
        <v>391</v>
      </c>
      <c r="C368" t="s" s="33">
        <v>15703</v>
      </c>
      <c r="D368" s="34">
        <v>0</v>
      </c>
      <c r="E368" s="20" cm="1">
        <f t="array" ref="E368">_xlfn.COUNTIFS(B3:B562,B368,D3:D562,1,A3:A562,A368)</f>
        <v>3</v>
      </c>
      <c r="F368" s="25" cm="1">
        <f t="array" ref="F368">(YEAR(C368)-2025)*1000+MONTH(C368)*31+DAY(C368)+A368</f>
        <v>1166</v>
      </c>
    </row>
    <row r="369" ht="13.65" customHeight="1">
      <c r="A369" s="22">
        <v>59</v>
      </c>
      <c r="B369" t="s" s="23">
        <v>385</v>
      </c>
      <c r="C369" t="s" s="23">
        <v>19</v>
      </c>
      <c r="D369" s="24">
        <v>1</v>
      </c>
      <c r="E369" s="20" cm="1">
        <f t="array" ref="E369">_xlfn.COUNTIFS(B3:B562,B369,D3:D562,1,A3:A562,A369)</f>
        <v>3</v>
      </c>
      <c r="F369" s="25" cm="1">
        <f t="array" ref="F369">(YEAR(C369)-2025)*1000+MONTH(C369)*31+DAY(C369)+A369</f>
        <v>1166</v>
      </c>
    </row>
    <row r="370" ht="13.65" customHeight="1">
      <c r="A370" s="22">
        <v>59</v>
      </c>
      <c r="B370" t="s" s="23">
        <v>385</v>
      </c>
      <c r="C370" t="s" s="23">
        <v>19</v>
      </c>
      <c r="D370" s="24">
        <v>1</v>
      </c>
      <c r="E370" s="20" cm="1">
        <f t="array" ref="E370">_xlfn.COUNTIFS(B3:B562,B370,D3:D562,1,A3:A562,A370)</f>
        <v>3</v>
      </c>
      <c r="F370" s="25" cm="1">
        <f t="array" ref="F370">(YEAR(C370)-2025)*1000+MONTH(C370)*31+DAY(C370)+A370</f>
        <v>1166</v>
      </c>
    </row>
    <row r="371" ht="13.65" customHeight="1">
      <c r="A371" s="32">
        <v>59</v>
      </c>
      <c r="B371" t="s" s="33">
        <v>385</v>
      </c>
      <c r="C371" t="s" s="33">
        <v>15703</v>
      </c>
      <c r="D371" s="34">
        <v>1</v>
      </c>
      <c r="E371" s="20" cm="1">
        <f t="array" ref="E371">_xlfn.COUNTIFS(B3:B562,B371,D3:D562,1,A3:A562,A371)</f>
        <v>3</v>
      </c>
      <c r="F371" s="25" cm="1">
        <f t="array" ref="F371">(YEAR(C371)-2025)*1000+MONTH(C371)*31+DAY(C371)+A371</f>
        <v>1165</v>
      </c>
    </row>
    <row r="372" ht="13.65" customHeight="1">
      <c r="A372" s="22">
        <v>58</v>
      </c>
      <c r="B372" t="s" s="23">
        <v>379</v>
      </c>
      <c r="C372" t="s" s="23">
        <v>19</v>
      </c>
      <c r="D372" s="24">
        <v>1</v>
      </c>
      <c r="E372" s="20" cm="1">
        <f t="array" ref="E372">_xlfn.COUNTIFS(B3:B562,B372,D3:D562,1,A3:A562,A372)</f>
        <v>3</v>
      </c>
      <c r="F372" s="25" cm="1">
        <f t="array" ref="F372">(YEAR(C372)-2025)*1000+MONTH(C372)*31+DAY(C372)+A372</f>
        <v>1165</v>
      </c>
    </row>
    <row r="373" ht="13.65" customHeight="1">
      <c r="A373" s="22">
        <v>58</v>
      </c>
      <c r="B373" t="s" s="23">
        <v>379</v>
      </c>
      <c r="C373" t="s" s="23">
        <v>19</v>
      </c>
      <c r="D373" s="24">
        <v>1</v>
      </c>
      <c r="E373" s="20" cm="1">
        <f t="array" ref="E373">_xlfn.COUNTIFS(B3:B562,B373,D3:D562,1,A3:A562,A373)</f>
        <v>3</v>
      </c>
      <c r="F373" s="25" cm="1">
        <f t="array" ref="F373">(YEAR(C373)-2025)*1000+MONTH(C373)*31+DAY(C373)+A373</f>
        <v>1165</v>
      </c>
    </row>
    <row r="374" ht="13.65" customHeight="1">
      <c r="A374" s="32">
        <v>58</v>
      </c>
      <c r="B374" t="s" s="33">
        <v>379</v>
      </c>
      <c r="C374" t="s" s="33">
        <v>15703</v>
      </c>
      <c r="D374" s="34">
        <v>1</v>
      </c>
      <c r="E374" s="20" cm="1">
        <f t="array" ref="E374">_xlfn.COUNTIFS(B3:B562,B374,D3:D562,1,A3:A562,A374)</f>
        <v>3</v>
      </c>
      <c r="F374" s="25" cm="1">
        <f t="array" ref="F374">(YEAR(C374)-2025)*1000+MONTH(C374)*31+DAY(C374)+A374</f>
        <v>1164</v>
      </c>
    </row>
    <row r="375" ht="13.65" customHeight="1">
      <c r="A375" s="22">
        <v>57</v>
      </c>
      <c r="B375" t="s" s="23">
        <v>371</v>
      </c>
      <c r="C375" t="s" s="23">
        <v>19</v>
      </c>
      <c r="D375" s="24">
        <v>1</v>
      </c>
      <c r="E375" s="20" cm="1">
        <f t="array" ref="E375">_xlfn.COUNTIFS(B3:B562,B375,D3:D562,1,A3:A562,A375)</f>
        <v>3</v>
      </c>
      <c r="F375" s="25" cm="1">
        <f t="array" ref="F375">(YEAR(C375)-2025)*1000+MONTH(C375)*31+DAY(C375)+A375</f>
        <v>1164</v>
      </c>
    </row>
    <row r="376" ht="13.65" customHeight="1">
      <c r="A376" s="22">
        <v>57</v>
      </c>
      <c r="B376" t="s" s="23">
        <v>371</v>
      </c>
      <c r="C376" t="s" s="23">
        <v>19</v>
      </c>
      <c r="D376" s="24">
        <v>1</v>
      </c>
      <c r="E376" s="20" cm="1">
        <f t="array" ref="E376">_xlfn.COUNTIFS(B3:B562,B376,D3:D562,1,A3:A562,A376)</f>
        <v>3</v>
      </c>
      <c r="F376" s="25" cm="1">
        <f t="array" ref="F376">(YEAR(C376)-2025)*1000+MONTH(C376)*31+DAY(C376)+A376</f>
        <v>1164</v>
      </c>
    </row>
    <row r="377" ht="13.65" customHeight="1">
      <c r="A377" s="22">
        <v>55</v>
      </c>
      <c r="B377" t="s" s="23">
        <v>359</v>
      </c>
      <c r="C377" t="s" s="23">
        <v>26</v>
      </c>
      <c r="D377" s="24">
        <v>1</v>
      </c>
      <c r="E377" s="20" cm="1">
        <f t="array" ref="E377">_xlfn.COUNTIFS(B3:B562,B377,D3:D562,1,A3:A562,A377)</f>
        <v>3</v>
      </c>
      <c r="F377" s="25" cm="1">
        <f t="array" ref="F377">(YEAR(C377)-2025)*1000+MONTH(C377)*31+DAY(C377)+A377</f>
        <v>1164</v>
      </c>
    </row>
    <row r="378" ht="13.65" customHeight="1">
      <c r="A378" s="32">
        <v>57</v>
      </c>
      <c r="B378" t="s" s="33">
        <v>371</v>
      </c>
      <c r="C378" t="s" s="33">
        <v>15703</v>
      </c>
      <c r="D378" s="34">
        <v>1</v>
      </c>
      <c r="E378" s="20" cm="1">
        <f t="array" ref="E378">_xlfn.COUNTIFS(B3:B562,B378,D3:D562,1,A3:A562,A378)</f>
        <v>3</v>
      </c>
      <c r="F378" s="25" cm="1">
        <f t="array" ref="F378">(YEAR(C378)-2025)*1000+MONTH(C378)*31+DAY(C378)+A378</f>
        <v>1163</v>
      </c>
    </row>
    <row r="379" ht="13.65" customHeight="1">
      <c r="A379" s="22">
        <v>56</v>
      </c>
      <c r="B379" t="s" s="23">
        <v>365</v>
      </c>
      <c r="C379" t="s" s="23">
        <v>19</v>
      </c>
      <c r="D379" s="24">
        <v>1</v>
      </c>
      <c r="E379" s="20" cm="1">
        <f t="array" ref="E379">_xlfn.COUNTIFS(B3:B562,B379,D3:D562,1,A3:A562,A379)</f>
        <v>3</v>
      </c>
      <c r="F379" s="25" cm="1">
        <f t="array" ref="F379">(YEAR(C379)-2025)*1000+MONTH(C379)*31+DAY(C379)+A379</f>
        <v>1163</v>
      </c>
    </row>
    <row r="380" ht="13.65" customHeight="1">
      <c r="A380" s="22">
        <v>56</v>
      </c>
      <c r="B380" t="s" s="23">
        <v>365</v>
      </c>
      <c r="C380" t="s" s="23">
        <v>19</v>
      </c>
      <c r="D380" s="24">
        <v>1</v>
      </c>
      <c r="E380" s="20" cm="1">
        <f t="array" ref="E380">_xlfn.COUNTIFS(B3:B562,B380,D3:D562,1,A3:A562,A380)</f>
        <v>3</v>
      </c>
      <c r="F380" s="25" cm="1">
        <f t="array" ref="F380">(YEAR(C380)-2025)*1000+MONTH(C380)*31+DAY(C380)+A380</f>
        <v>1163</v>
      </c>
    </row>
    <row r="381" ht="13.65" customHeight="1">
      <c r="A381" s="32">
        <v>56</v>
      </c>
      <c r="B381" t="s" s="33">
        <v>365</v>
      </c>
      <c r="C381" t="s" s="33">
        <v>15703</v>
      </c>
      <c r="D381" s="34">
        <v>1</v>
      </c>
      <c r="E381" s="20" cm="1">
        <f t="array" ref="E381">_xlfn.COUNTIFS(B3:B562,B381,D3:D562,1,A3:A562,A381)</f>
        <v>3</v>
      </c>
      <c r="F381" s="25" cm="1">
        <f t="array" ref="F381">(YEAR(C381)-2025)*1000+MONTH(C381)*31+DAY(C381)+A381</f>
        <v>1162</v>
      </c>
    </row>
    <row r="382" ht="13.65" customHeight="1">
      <c r="A382" s="22">
        <v>55</v>
      </c>
      <c r="B382" t="s" s="23">
        <v>359</v>
      </c>
      <c r="C382" t="s" s="23">
        <v>19</v>
      </c>
      <c r="D382" s="24">
        <v>1</v>
      </c>
      <c r="E382" s="20" cm="1">
        <f t="array" ref="E382">_xlfn.COUNTIFS(B3:B562,B382,D3:D562,1,A3:A562,A382)</f>
        <v>3</v>
      </c>
      <c r="F382" s="25" cm="1">
        <f t="array" ref="F382">(YEAR(C382)-2025)*1000+MONTH(C382)*31+DAY(C382)+A382</f>
        <v>1162</v>
      </c>
    </row>
    <row r="383" ht="13.65" customHeight="1">
      <c r="A383" s="22">
        <v>55</v>
      </c>
      <c r="B383" t="s" s="23">
        <v>359</v>
      </c>
      <c r="C383" t="s" s="23">
        <v>19</v>
      </c>
      <c r="D383" s="24">
        <v>0</v>
      </c>
      <c r="E383" s="20" cm="1">
        <f t="array" ref="E383">_xlfn.COUNTIFS(B3:B562,B383,D3:D562,1,A3:A562,A383)</f>
        <v>3</v>
      </c>
      <c r="F383" s="25" cm="1">
        <f t="array" ref="F383">(YEAR(C383)-2025)*1000+MONTH(C383)*31+DAY(C383)+A383</f>
        <v>1162</v>
      </c>
    </row>
    <row r="384" ht="13.65" customHeight="1">
      <c r="A384" s="32">
        <v>55</v>
      </c>
      <c r="B384" t="s" s="33">
        <v>359</v>
      </c>
      <c r="C384" t="s" s="33">
        <v>15703</v>
      </c>
      <c r="D384" s="34">
        <v>1</v>
      </c>
      <c r="E384" s="20" cm="1">
        <f t="array" ref="E384">_xlfn.COUNTIFS(B3:B562,B384,D3:D562,1,A3:A562,A384)</f>
        <v>3</v>
      </c>
      <c r="F384" s="25" cm="1">
        <f t="array" ref="F384">(YEAR(C384)-2025)*1000+MONTH(C384)*31+DAY(C384)+A384</f>
        <v>1161</v>
      </c>
    </row>
    <row r="385" ht="13.65" customHeight="1">
      <c r="A385" s="22">
        <v>54</v>
      </c>
      <c r="B385" t="s" s="23">
        <v>352</v>
      </c>
      <c r="C385" t="s" s="23">
        <v>19</v>
      </c>
      <c r="D385" s="24">
        <v>1</v>
      </c>
      <c r="E385" s="20" cm="1">
        <f t="array" ref="E385">_xlfn.COUNTIFS(B3:B562,B385,D3:D562,1,A3:A562,A385)</f>
        <v>3</v>
      </c>
      <c r="F385" s="25" cm="1">
        <f t="array" ref="F385">(YEAR(C385)-2025)*1000+MONTH(C385)*31+DAY(C385)+A385</f>
        <v>1161</v>
      </c>
    </row>
    <row r="386" ht="13.65" customHeight="1">
      <c r="A386" s="22">
        <v>54</v>
      </c>
      <c r="B386" t="s" s="23">
        <v>352</v>
      </c>
      <c r="C386" t="s" s="23">
        <v>19</v>
      </c>
      <c r="D386" s="24">
        <v>1</v>
      </c>
      <c r="E386" s="20" cm="1">
        <f t="array" ref="E386">_xlfn.COUNTIFS(B3:B562,B386,D3:D562,1,A3:A562,A386)</f>
        <v>3</v>
      </c>
      <c r="F386" s="25" cm="1">
        <f t="array" ref="F386">(YEAR(C386)-2025)*1000+MONTH(C386)*31+DAY(C386)+A386</f>
        <v>1161</v>
      </c>
    </row>
    <row r="387" ht="13.65" customHeight="1">
      <c r="A387" s="32">
        <v>54</v>
      </c>
      <c r="B387" t="s" s="33">
        <v>352</v>
      </c>
      <c r="C387" t="s" s="33">
        <v>15703</v>
      </c>
      <c r="D387" s="34">
        <v>1</v>
      </c>
      <c r="E387" s="20" cm="1">
        <f t="array" ref="E387">_xlfn.COUNTIFS(B3:B562,B387,D3:D562,1,A3:A562,A387)</f>
        <v>3</v>
      </c>
      <c r="F387" s="25" cm="1">
        <f t="array" ref="F387">(YEAR(C387)-2025)*1000+MONTH(C387)*31+DAY(C387)+A387</f>
        <v>1160</v>
      </c>
    </row>
    <row r="388" ht="13.65" customHeight="1">
      <c r="A388" s="22">
        <v>53</v>
      </c>
      <c r="B388" t="s" s="23">
        <v>346</v>
      </c>
      <c r="C388" t="s" s="23">
        <v>19</v>
      </c>
      <c r="D388" s="24">
        <v>1</v>
      </c>
      <c r="E388" s="20" cm="1">
        <f t="array" ref="E388">_xlfn.COUNTIFS(B3:B562,B388,D3:D562,1,A3:A562,A388)</f>
        <v>3</v>
      </c>
      <c r="F388" s="25" cm="1">
        <f t="array" ref="F388">(YEAR(C388)-2025)*1000+MONTH(C388)*31+DAY(C388)+A388</f>
        <v>1160</v>
      </c>
    </row>
    <row r="389" ht="13.65" customHeight="1">
      <c r="A389" s="22">
        <v>53</v>
      </c>
      <c r="B389" t="s" s="23">
        <v>346</v>
      </c>
      <c r="C389" t="s" s="23">
        <v>19</v>
      </c>
      <c r="D389" s="24">
        <v>1</v>
      </c>
      <c r="E389" s="20" cm="1">
        <f t="array" ref="E389">_xlfn.COUNTIFS(B3:B562,B389,D3:D562,1,A3:A562,A389)</f>
        <v>3</v>
      </c>
      <c r="F389" s="25" cm="1">
        <f t="array" ref="F389">(YEAR(C389)-2025)*1000+MONTH(C389)*31+DAY(C389)+A389</f>
        <v>1160</v>
      </c>
    </row>
    <row r="390" ht="13.65" customHeight="1">
      <c r="A390" s="32">
        <v>53</v>
      </c>
      <c r="B390" t="s" s="33">
        <v>346</v>
      </c>
      <c r="C390" t="s" s="33">
        <v>15703</v>
      </c>
      <c r="D390" s="34">
        <v>1</v>
      </c>
      <c r="E390" s="20" cm="1">
        <f t="array" ref="E390">_xlfn.COUNTIFS(B3:B562,B390,D3:D562,1,A3:A562,A390)</f>
        <v>3</v>
      </c>
      <c r="F390" s="25" cm="1">
        <f t="array" ref="F390">(YEAR(C390)-2025)*1000+MONTH(C390)*31+DAY(C390)+A390</f>
        <v>1159</v>
      </c>
    </row>
    <row r="391" ht="13.65" customHeight="1">
      <c r="A391" s="22">
        <v>52</v>
      </c>
      <c r="B391" t="s" s="23">
        <v>340</v>
      </c>
      <c r="C391" t="s" s="23">
        <v>19</v>
      </c>
      <c r="D391" s="24">
        <v>1</v>
      </c>
      <c r="E391" s="20" cm="1">
        <f t="array" ref="E391">_xlfn.COUNTIFS(B3:B562,B391,D3:D562,1,A3:A562,A391)</f>
        <v>3</v>
      </c>
      <c r="F391" s="25" cm="1">
        <f t="array" ref="F391">(YEAR(C391)-2025)*1000+MONTH(C391)*31+DAY(C391)+A391</f>
        <v>1159</v>
      </c>
    </row>
    <row r="392" ht="13.65" customHeight="1">
      <c r="A392" s="22">
        <v>52</v>
      </c>
      <c r="B392" t="s" s="23">
        <v>340</v>
      </c>
      <c r="C392" t="s" s="23">
        <v>19</v>
      </c>
      <c r="D392" s="24">
        <v>1</v>
      </c>
      <c r="E392" s="20" cm="1">
        <f t="array" ref="E392">_xlfn.COUNTIFS(B3:B562,B392,D3:D562,1,A3:A562,A392)</f>
        <v>3</v>
      </c>
      <c r="F392" s="25" cm="1">
        <f t="array" ref="F392">(YEAR(C392)-2025)*1000+MONTH(C392)*31+DAY(C392)+A392</f>
        <v>1159</v>
      </c>
    </row>
    <row r="393" ht="13.65" customHeight="1">
      <c r="A393" s="22">
        <v>50</v>
      </c>
      <c r="B393" t="s" s="23">
        <v>327</v>
      </c>
      <c r="C393" t="s" s="23">
        <v>26</v>
      </c>
      <c r="D393" s="24">
        <v>1</v>
      </c>
      <c r="E393" s="20" cm="1">
        <f t="array" ref="E393">_xlfn.COUNTIFS(B3:B562,B393,D3:D562,1,A3:A562,A393)</f>
        <v>3</v>
      </c>
      <c r="F393" s="25" cm="1">
        <f t="array" ref="F393">(YEAR(C393)-2025)*1000+MONTH(C393)*31+DAY(C393)+A393</f>
        <v>1159</v>
      </c>
    </row>
    <row r="394" ht="13.65" customHeight="1">
      <c r="A394" s="22">
        <v>49</v>
      </c>
      <c r="B394" t="s" s="23">
        <v>321</v>
      </c>
      <c r="C394" t="s" s="23">
        <v>226</v>
      </c>
      <c r="D394" s="24">
        <v>1</v>
      </c>
      <c r="E394" s="20" cm="1">
        <f t="array" ref="E394">_xlfn.COUNTIFS(B3:B562,B394,D3:D562,1,A3:A562,A394)</f>
        <v>3</v>
      </c>
      <c r="F394" s="25" cm="1">
        <f t="array" ref="F394">(YEAR(C394)-2025)*1000+MONTH(C394)*31+DAY(C394)+A394</f>
        <v>1159</v>
      </c>
    </row>
    <row r="395" ht="13.65" customHeight="1">
      <c r="A395" s="32">
        <v>52</v>
      </c>
      <c r="B395" t="s" s="33">
        <v>340</v>
      </c>
      <c r="C395" t="s" s="33">
        <v>15703</v>
      </c>
      <c r="D395" s="34">
        <v>1</v>
      </c>
      <c r="E395" s="20" cm="1">
        <f t="array" ref="E395">_xlfn.COUNTIFS(B3:B562,B395,D3:D562,1,A3:A562,A395)</f>
        <v>3</v>
      </c>
      <c r="F395" s="25" cm="1">
        <f t="array" ref="F395">(YEAR(C395)-2025)*1000+MONTH(C395)*31+DAY(C395)+A395</f>
        <v>1158</v>
      </c>
    </row>
    <row r="396" ht="13.65" customHeight="1">
      <c r="A396" s="22">
        <v>51</v>
      </c>
      <c r="B396" t="s" s="23">
        <v>333</v>
      </c>
      <c r="C396" t="s" s="23">
        <v>19</v>
      </c>
      <c r="D396" s="24">
        <v>1</v>
      </c>
      <c r="E396" s="20" cm="1">
        <f t="array" ref="E396">_xlfn.COUNTIFS(B3:B562,B396,D3:D562,1,A3:A562,A396)</f>
        <v>3</v>
      </c>
      <c r="F396" s="25" cm="1">
        <f t="array" ref="F396">(YEAR(C396)-2025)*1000+MONTH(C396)*31+DAY(C396)+A396</f>
        <v>1158</v>
      </c>
    </row>
    <row r="397" ht="13.65" customHeight="1">
      <c r="A397" s="22">
        <v>51</v>
      </c>
      <c r="B397" t="s" s="23">
        <v>333</v>
      </c>
      <c r="C397" t="s" s="23">
        <v>19</v>
      </c>
      <c r="D397" s="24">
        <v>1</v>
      </c>
      <c r="E397" s="20" cm="1">
        <f t="array" ref="E397">_xlfn.COUNTIFS(B3:B562,B397,D3:D562,1,A3:A562,A397)</f>
        <v>3</v>
      </c>
      <c r="F397" s="25" cm="1">
        <f t="array" ref="F397">(YEAR(C397)-2025)*1000+MONTH(C397)*31+DAY(C397)+A397</f>
        <v>1158</v>
      </c>
    </row>
    <row r="398" ht="13.65" customHeight="1">
      <c r="A398" s="22">
        <v>49</v>
      </c>
      <c r="B398" t="s" s="23">
        <v>321</v>
      </c>
      <c r="C398" t="s" s="23">
        <v>26</v>
      </c>
      <c r="D398" s="24">
        <v>1</v>
      </c>
      <c r="E398" s="20" cm="1">
        <f t="array" ref="E398">_xlfn.COUNTIFS(B3:B562,B398,D3:D562,1,A3:A562,A398)</f>
        <v>3</v>
      </c>
      <c r="F398" s="25" cm="1">
        <f t="array" ref="F398">(YEAR(C398)-2025)*1000+MONTH(C398)*31+DAY(C398)+A398</f>
        <v>1158</v>
      </c>
    </row>
    <row r="399" ht="13.65" customHeight="1">
      <c r="A399" s="32">
        <v>51</v>
      </c>
      <c r="B399" t="s" s="33">
        <v>333</v>
      </c>
      <c r="C399" t="s" s="33">
        <v>15703</v>
      </c>
      <c r="D399" s="34">
        <v>1</v>
      </c>
      <c r="E399" s="20" cm="1">
        <f t="array" ref="E399">_xlfn.COUNTIFS(B3:B562,B399,D3:D562,1,A3:A562,A399)</f>
        <v>3</v>
      </c>
      <c r="F399" s="25" cm="1">
        <f t="array" ref="F399">(YEAR(C399)-2025)*1000+MONTH(C399)*31+DAY(C399)+A399</f>
        <v>1157</v>
      </c>
    </row>
    <row r="400" ht="13.65" customHeight="1">
      <c r="A400" s="22">
        <v>50</v>
      </c>
      <c r="B400" t="s" s="23">
        <v>327</v>
      </c>
      <c r="C400" t="s" s="23">
        <v>19</v>
      </c>
      <c r="D400" s="24">
        <v>1</v>
      </c>
      <c r="E400" s="20" cm="1">
        <f t="array" ref="E400">_xlfn.COUNTIFS(B3:B562,B400,D3:D562,1,A3:A562,A400)</f>
        <v>3</v>
      </c>
      <c r="F400" s="25" cm="1">
        <f t="array" ref="F400">(YEAR(C400)-2025)*1000+MONTH(C400)*31+DAY(C400)+A400</f>
        <v>1157</v>
      </c>
    </row>
    <row r="401" ht="13.65" customHeight="1">
      <c r="A401" s="22">
        <v>50</v>
      </c>
      <c r="B401" t="s" s="23">
        <v>327</v>
      </c>
      <c r="C401" t="s" s="23">
        <v>19</v>
      </c>
      <c r="D401" s="24">
        <v>1</v>
      </c>
      <c r="E401" s="20" cm="1">
        <f t="array" ref="E401">_xlfn.COUNTIFS(B3:B562,B401,D3:D562,1,A3:A562,A401)</f>
        <v>3</v>
      </c>
      <c r="F401" s="25" cm="1">
        <f t="array" ref="F401">(YEAR(C401)-2025)*1000+MONTH(C401)*31+DAY(C401)+A401</f>
        <v>1157</v>
      </c>
    </row>
    <row r="402" ht="13.65" customHeight="1">
      <c r="A402" s="22">
        <v>48</v>
      </c>
      <c r="B402" t="s" s="23">
        <v>315</v>
      </c>
      <c r="C402" t="s" s="23">
        <v>26</v>
      </c>
      <c r="D402" s="24">
        <v>1</v>
      </c>
      <c r="E402" s="20" cm="1">
        <f t="array" ref="E402">_xlfn.COUNTIFS(B3:B562,B402,D3:D562,1,A3:A562,A402)</f>
        <v>3</v>
      </c>
      <c r="F402" s="25" cm="1">
        <f t="array" ref="F402">(YEAR(C402)-2025)*1000+MONTH(C402)*31+DAY(C402)+A402</f>
        <v>1157</v>
      </c>
    </row>
    <row r="403" ht="13.65" customHeight="1">
      <c r="A403" s="22">
        <v>47</v>
      </c>
      <c r="B403" t="s" s="23">
        <v>309</v>
      </c>
      <c r="C403" t="s" s="23">
        <v>226</v>
      </c>
      <c r="D403" s="24">
        <v>0</v>
      </c>
      <c r="E403" s="20" cm="1">
        <f t="array" ref="E403">_xlfn.COUNTIFS(B3:B562,B403,D3:D562,1,A3:A562,A403)</f>
        <v>1</v>
      </c>
      <c r="F403" s="25" cm="1">
        <f t="array" ref="F403">(YEAR(C403)-2025)*1000+MONTH(C403)*31+DAY(C403)+A403</f>
        <v>1157</v>
      </c>
    </row>
    <row r="404" ht="13.65" customHeight="1">
      <c r="A404" s="32">
        <v>50</v>
      </c>
      <c r="B404" t="s" s="33">
        <v>327</v>
      </c>
      <c r="C404" t="s" s="33">
        <v>15703</v>
      </c>
      <c r="D404" s="34">
        <v>0</v>
      </c>
      <c r="E404" s="20" cm="1">
        <f t="array" ref="E404">_xlfn.COUNTIFS(B3:B562,B404,D3:D562,1,A3:A562,A404)</f>
        <v>3</v>
      </c>
      <c r="F404" s="25" cm="1">
        <f t="array" ref="F404">(YEAR(C404)-2025)*1000+MONTH(C404)*31+DAY(C404)+A404</f>
        <v>1156</v>
      </c>
    </row>
    <row r="405" ht="13.65" customHeight="1">
      <c r="A405" s="22">
        <v>49</v>
      </c>
      <c r="B405" t="s" s="23">
        <v>321</v>
      </c>
      <c r="C405" t="s" s="23">
        <v>19</v>
      </c>
      <c r="D405" s="24">
        <v>1</v>
      </c>
      <c r="E405" s="20" cm="1">
        <f t="array" ref="E405">_xlfn.COUNTIFS(B3:B562,B405,D3:D562,1,A3:A562,A405)</f>
        <v>3</v>
      </c>
      <c r="F405" s="25" cm="1">
        <f t="array" ref="F405">(YEAR(C405)-2025)*1000+MONTH(C405)*31+DAY(C405)+A405</f>
        <v>1156</v>
      </c>
    </row>
    <row r="406" ht="13.65" customHeight="1">
      <c r="A406" s="22">
        <v>49</v>
      </c>
      <c r="B406" t="s" s="23">
        <v>321</v>
      </c>
      <c r="C406" t="s" s="23">
        <v>19</v>
      </c>
      <c r="D406" s="24">
        <v>0</v>
      </c>
      <c r="E406" s="20" cm="1">
        <f t="array" ref="E406">_xlfn.COUNTIFS(B3:B562,B406,D3:D562,1,A3:A562,A406)</f>
        <v>3</v>
      </c>
      <c r="F406" s="25" cm="1">
        <f t="array" ref="F406">(YEAR(C406)-2025)*1000+MONTH(C406)*31+DAY(C406)+A406</f>
        <v>1156</v>
      </c>
    </row>
    <row r="407" ht="13.65" customHeight="1">
      <c r="A407" s="22">
        <v>47</v>
      </c>
      <c r="B407" t="s" s="23">
        <v>309</v>
      </c>
      <c r="C407" t="s" s="23">
        <v>26</v>
      </c>
      <c r="D407" s="24">
        <v>1</v>
      </c>
      <c r="E407" s="20" cm="1">
        <f t="array" ref="E407">_xlfn.COUNTIFS(B3:B562,B407,D3:D562,1,A3:A562,A407)</f>
        <v>1</v>
      </c>
      <c r="F407" s="25" cm="1">
        <f t="array" ref="F407">(YEAR(C407)-2025)*1000+MONTH(C407)*31+DAY(C407)+A407</f>
        <v>1156</v>
      </c>
    </row>
    <row r="408" ht="13.65" customHeight="1">
      <c r="A408" s="32">
        <v>49</v>
      </c>
      <c r="B408" t="s" s="33">
        <v>321</v>
      </c>
      <c r="C408" t="s" s="33">
        <v>15703</v>
      </c>
      <c r="D408" s="34">
        <v>0</v>
      </c>
      <c r="E408" s="20" cm="1">
        <f t="array" ref="E408">_xlfn.COUNTIFS(B3:B562,B408,D3:D562,1,A3:A562,A408)</f>
        <v>3</v>
      </c>
      <c r="F408" s="25" cm="1">
        <f t="array" ref="F408">(YEAR(C408)-2025)*1000+MONTH(C408)*31+DAY(C408)+A408</f>
        <v>1155</v>
      </c>
    </row>
    <row r="409" ht="13.65" customHeight="1">
      <c r="A409" s="22">
        <v>48</v>
      </c>
      <c r="B409" t="s" s="23">
        <v>315</v>
      </c>
      <c r="C409" t="s" s="23">
        <v>19</v>
      </c>
      <c r="D409" s="24">
        <v>0</v>
      </c>
      <c r="E409" s="20" cm="1">
        <f t="array" ref="E409">_xlfn.COUNTIFS(B3:B562,B409,D3:D562,1,A3:A562,A409)</f>
        <v>3</v>
      </c>
      <c r="F409" s="25" cm="1">
        <f t="array" ref="F409">(YEAR(C409)-2025)*1000+MONTH(C409)*31+DAY(C409)+A409</f>
        <v>1155</v>
      </c>
    </row>
    <row r="410" ht="13.65" customHeight="1">
      <c r="A410" s="22">
        <v>48</v>
      </c>
      <c r="B410" t="s" s="23">
        <v>315</v>
      </c>
      <c r="C410" t="s" s="23">
        <v>19</v>
      </c>
      <c r="D410" s="24">
        <v>1</v>
      </c>
      <c r="E410" s="20" cm="1">
        <f t="array" ref="E410">_xlfn.COUNTIFS(B3:B562,B410,D3:D562,1,A3:A562,A410)</f>
        <v>3</v>
      </c>
      <c r="F410" s="25" cm="1">
        <f t="array" ref="F410">(YEAR(C410)-2025)*1000+MONTH(C410)*31+DAY(C410)+A410</f>
        <v>1155</v>
      </c>
    </row>
    <row r="411" ht="13.65" customHeight="1">
      <c r="A411" s="32">
        <v>48</v>
      </c>
      <c r="B411" t="s" s="33">
        <v>315</v>
      </c>
      <c r="C411" t="s" s="33">
        <v>15703</v>
      </c>
      <c r="D411" s="34">
        <v>1</v>
      </c>
      <c r="E411" s="20" cm="1">
        <f t="array" ref="E411">_xlfn.COUNTIFS(B3:B562,B411,D3:D562,1,A3:A562,A411)</f>
        <v>3</v>
      </c>
      <c r="F411" s="25" cm="1">
        <f t="array" ref="F411">(YEAR(C411)-2025)*1000+MONTH(C411)*31+DAY(C411)+A411</f>
        <v>1154</v>
      </c>
    </row>
    <row r="412" ht="13.65" customHeight="1">
      <c r="A412" s="22">
        <v>47</v>
      </c>
      <c r="B412" t="s" s="23">
        <v>309</v>
      </c>
      <c r="C412" t="s" s="23">
        <v>19</v>
      </c>
      <c r="D412" s="24">
        <v>0</v>
      </c>
      <c r="E412" s="20" cm="1">
        <f t="array" ref="E412">_xlfn.COUNTIFS(B3:B562,B412,D3:D562,1,A3:A562,A412)</f>
        <v>1</v>
      </c>
      <c r="F412" s="25" cm="1">
        <f t="array" ref="F412">(YEAR(C412)-2025)*1000+MONTH(C412)*31+DAY(C412)+A412</f>
        <v>1154</v>
      </c>
    </row>
    <row r="413" ht="13.65" customHeight="1">
      <c r="A413" s="22">
        <v>47</v>
      </c>
      <c r="B413" t="s" s="23">
        <v>309</v>
      </c>
      <c r="C413" t="s" s="23">
        <v>19</v>
      </c>
      <c r="D413" s="24">
        <v>0</v>
      </c>
      <c r="E413" s="20" cm="1">
        <f t="array" ref="E413">_xlfn.COUNTIFS(B3:B562,B413,D3:D562,1,A3:A562,A413)</f>
        <v>1</v>
      </c>
      <c r="F413" s="25" cm="1">
        <f t="array" ref="F413">(YEAR(C413)-2025)*1000+MONTH(C413)*31+DAY(C413)+A413</f>
        <v>1154</v>
      </c>
    </row>
    <row r="414" ht="13.65" customHeight="1">
      <c r="A414" s="32">
        <v>47</v>
      </c>
      <c r="B414" t="s" s="33">
        <v>309</v>
      </c>
      <c r="C414" t="s" s="33">
        <v>15703</v>
      </c>
      <c r="D414" s="34">
        <v>0</v>
      </c>
      <c r="E414" s="20" cm="1">
        <f t="array" ref="E414">_xlfn.COUNTIFS(B3:B562,B414,D3:D562,1,A3:A562,A414)</f>
        <v>1</v>
      </c>
      <c r="F414" s="25" cm="1">
        <f t="array" ref="F414">(YEAR(C414)-2025)*1000+MONTH(C414)*31+DAY(C414)+A414</f>
        <v>1153</v>
      </c>
    </row>
    <row r="415" ht="13.65" customHeight="1">
      <c r="A415" s="22">
        <v>46</v>
      </c>
      <c r="B415" t="s" s="23">
        <v>303</v>
      </c>
      <c r="C415" t="s" s="23">
        <v>19</v>
      </c>
      <c r="D415" s="24">
        <v>1</v>
      </c>
      <c r="E415" s="20" cm="1">
        <f t="array" ref="E415">_xlfn.COUNTIFS(B3:B562,B415,D3:D562,1,A3:A562,A415)</f>
        <v>3</v>
      </c>
      <c r="F415" s="25" cm="1">
        <f t="array" ref="F415">(YEAR(C415)-2025)*1000+MONTH(C415)*31+DAY(C415)+A415</f>
        <v>1153</v>
      </c>
    </row>
    <row r="416" ht="13.65" customHeight="1">
      <c r="A416" s="22">
        <v>46</v>
      </c>
      <c r="B416" t="s" s="23">
        <v>303</v>
      </c>
      <c r="C416" t="s" s="23">
        <v>19</v>
      </c>
      <c r="D416" s="24">
        <v>1</v>
      </c>
      <c r="E416" s="20" cm="1">
        <f t="array" ref="E416">_xlfn.COUNTIFS(B3:B562,B416,D3:D562,1,A3:A562,A416)</f>
        <v>3</v>
      </c>
      <c r="F416" s="25" cm="1">
        <f t="array" ref="F416">(YEAR(C416)-2025)*1000+MONTH(C416)*31+DAY(C416)+A416</f>
        <v>1153</v>
      </c>
    </row>
    <row r="417" ht="13.65" customHeight="1">
      <c r="A417" s="22">
        <v>43</v>
      </c>
      <c r="B417" t="s" s="23">
        <v>285</v>
      </c>
      <c r="C417" t="s" s="23">
        <v>226</v>
      </c>
      <c r="D417" s="24">
        <v>0</v>
      </c>
      <c r="E417" s="20" cm="1">
        <f t="array" ref="E417">_xlfn.COUNTIFS(B3:B562,B417,D3:D562,1,A3:A562,A417)</f>
        <v>0</v>
      </c>
      <c r="F417" s="25" cm="1">
        <f t="array" ref="F417">(YEAR(C417)-2025)*1000+MONTH(C417)*31+DAY(C417)+A417</f>
        <v>1153</v>
      </c>
    </row>
    <row r="418" ht="13.65" customHeight="1">
      <c r="A418" s="32">
        <v>46</v>
      </c>
      <c r="B418" t="s" s="33">
        <v>303</v>
      </c>
      <c r="C418" t="s" s="33">
        <v>15703</v>
      </c>
      <c r="D418" s="34">
        <v>1</v>
      </c>
      <c r="E418" s="20" cm="1">
        <f t="array" ref="E418">_xlfn.COUNTIFS(B3:B562,B418,D3:D562,1,A3:A562,A418)</f>
        <v>3</v>
      </c>
      <c r="F418" s="25" cm="1">
        <f t="array" ref="F418">(YEAR(C418)-2025)*1000+MONTH(C418)*31+DAY(C418)+A418</f>
        <v>1152</v>
      </c>
    </row>
    <row r="419" ht="13.65" customHeight="1">
      <c r="A419" s="22">
        <v>45</v>
      </c>
      <c r="B419" t="s" s="23">
        <v>297</v>
      </c>
      <c r="C419" t="s" s="23">
        <v>19</v>
      </c>
      <c r="D419" s="24">
        <v>1</v>
      </c>
      <c r="E419" s="20" cm="1">
        <f t="array" ref="E419">_xlfn.COUNTIFS(B3:B562,B419,D3:D562,1,A3:A562,A419)</f>
        <v>3</v>
      </c>
      <c r="F419" s="25" cm="1">
        <f t="array" ref="F419">(YEAR(C419)-2025)*1000+MONTH(C419)*31+DAY(C419)+A419</f>
        <v>1152</v>
      </c>
    </row>
    <row r="420" ht="13.65" customHeight="1">
      <c r="A420" s="22">
        <v>45</v>
      </c>
      <c r="B420" t="s" s="23">
        <v>297</v>
      </c>
      <c r="C420" t="s" s="23">
        <v>19</v>
      </c>
      <c r="D420" s="24">
        <v>1</v>
      </c>
      <c r="E420" s="20" cm="1">
        <f t="array" ref="E420">_xlfn.COUNTIFS(B3:B562,B420,D3:D562,1,A3:A562,A420)</f>
        <v>3</v>
      </c>
      <c r="F420" s="25" cm="1">
        <f t="array" ref="F420">(YEAR(C420)-2025)*1000+MONTH(C420)*31+DAY(C420)+A420</f>
        <v>1152</v>
      </c>
    </row>
    <row r="421" ht="13.65" customHeight="1">
      <c r="A421" s="22">
        <v>43</v>
      </c>
      <c r="B421" t="s" s="23">
        <v>285</v>
      </c>
      <c r="C421" t="s" s="23">
        <v>26</v>
      </c>
      <c r="D421" s="24">
        <v>0</v>
      </c>
      <c r="E421" s="20" cm="1">
        <f t="array" ref="E421">_xlfn.COUNTIFS(B3:B562,B421,D3:D562,1,A3:A562,A421)</f>
        <v>0</v>
      </c>
      <c r="F421" s="25" cm="1">
        <f t="array" ref="F421">(YEAR(C421)-2025)*1000+MONTH(C421)*31+DAY(C421)+A421</f>
        <v>1152</v>
      </c>
    </row>
    <row r="422" ht="13.65" customHeight="1">
      <c r="A422" s="32">
        <v>45</v>
      </c>
      <c r="B422" t="s" s="33">
        <v>297</v>
      </c>
      <c r="C422" t="s" s="33">
        <v>15703</v>
      </c>
      <c r="D422" s="34">
        <v>1</v>
      </c>
      <c r="E422" s="20" cm="1">
        <f t="array" ref="E422">_xlfn.COUNTIFS(B3:B562,B422,D3:D562,1,A3:A562,A422)</f>
        <v>3</v>
      </c>
      <c r="F422" s="25" cm="1">
        <f t="array" ref="F422">(YEAR(C422)-2025)*1000+MONTH(C422)*31+DAY(C422)+A422</f>
        <v>1151</v>
      </c>
    </row>
    <row r="423" ht="13.65" customHeight="1">
      <c r="A423" s="22">
        <v>44</v>
      </c>
      <c r="B423" t="s" s="23">
        <v>291</v>
      </c>
      <c r="C423" t="s" s="23">
        <v>19</v>
      </c>
      <c r="D423" s="24">
        <v>1</v>
      </c>
      <c r="E423" s="20" cm="1">
        <f t="array" ref="E423">_xlfn.COUNTIFS(B3:B562,B423,D3:D562,1,A3:A562,A423)</f>
        <v>3</v>
      </c>
      <c r="F423" s="25" cm="1">
        <f t="array" ref="F423">(YEAR(C423)-2025)*1000+MONTH(C423)*31+DAY(C423)+A423</f>
        <v>1151</v>
      </c>
    </row>
    <row r="424" ht="13.65" customHeight="1">
      <c r="A424" s="22">
        <v>44</v>
      </c>
      <c r="B424" t="s" s="23">
        <v>291</v>
      </c>
      <c r="C424" t="s" s="23">
        <v>19</v>
      </c>
      <c r="D424" s="24">
        <v>1</v>
      </c>
      <c r="E424" s="20" cm="1">
        <f t="array" ref="E424">_xlfn.COUNTIFS(B3:B562,B424,D3:D562,1,A3:A562,A424)</f>
        <v>3</v>
      </c>
      <c r="F424" s="25" cm="1">
        <f t="array" ref="F424">(YEAR(C424)-2025)*1000+MONTH(C424)*31+DAY(C424)+A424</f>
        <v>1151</v>
      </c>
    </row>
    <row r="425" ht="13.65" customHeight="1">
      <c r="A425" s="32">
        <v>44</v>
      </c>
      <c r="B425" t="s" s="33">
        <v>291</v>
      </c>
      <c r="C425" t="s" s="33">
        <v>15703</v>
      </c>
      <c r="D425" s="34">
        <v>1</v>
      </c>
      <c r="E425" s="20" cm="1">
        <f t="array" ref="E425">_xlfn.COUNTIFS(B3:B562,B425,D3:D562,1,A3:A562,A425)</f>
        <v>3</v>
      </c>
      <c r="F425" s="25" cm="1">
        <f t="array" ref="F425">(YEAR(C425)-2025)*1000+MONTH(C425)*31+DAY(C425)+A425</f>
        <v>1150</v>
      </c>
    </row>
    <row r="426" ht="13.65" customHeight="1">
      <c r="A426" s="22">
        <v>43</v>
      </c>
      <c r="B426" t="s" s="23">
        <v>285</v>
      </c>
      <c r="C426" t="s" s="23">
        <v>19</v>
      </c>
      <c r="D426" s="24">
        <v>0</v>
      </c>
      <c r="E426" s="20" cm="1">
        <f t="array" ref="E426">_xlfn.COUNTIFS(B3:B562,B426,D3:D562,1,A3:A562,A426)</f>
        <v>0</v>
      </c>
      <c r="F426" s="25" cm="1">
        <f t="array" ref="F426">(YEAR(C426)-2025)*1000+MONTH(C426)*31+DAY(C426)+A426</f>
        <v>1150</v>
      </c>
    </row>
    <row r="427" ht="13.65" customHeight="1">
      <c r="A427" s="22">
        <v>43</v>
      </c>
      <c r="B427" t="s" s="23">
        <v>285</v>
      </c>
      <c r="C427" t="s" s="23">
        <v>19</v>
      </c>
      <c r="D427" s="24">
        <v>0</v>
      </c>
      <c r="E427" s="20" cm="1">
        <f t="array" ref="E427">_xlfn.COUNTIFS(B3:B562,B427,D3:D562,1,A3:A562,A427)</f>
        <v>0</v>
      </c>
      <c r="F427" s="25" cm="1">
        <f t="array" ref="F427">(YEAR(C427)-2025)*1000+MONTH(C427)*31+DAY(C427)+A427</f>
        <v>1150</v>
      </c>
    </row>
    <row r="428" ht="13.65" customHeight="1">
      <c r="A428" s="32">
        <v>43</v>
      </c>
      <c r="B428" t="s" s="33">
        <v>285</v>
      </c>
      <c r="C428" t="s" s="33">
        <v>15703</v>
      </c>
      <c r="D428" s="34">
        <v>0</v>
      </c>
      <c r="E428" s="20" cm="1">
        <f t="array" ref="E428">_xlfn.COUNTIFS(B3:B562,B428,D3:D562,1,A3:A562,A428)</f>
        <v>0</v>
      </c>
      <c r="F428" s="25" cm="1">
        <f t="array" ref="F428">(YEAR(C428)-2025)*1000+MONTH(C428)*31+DAY(C428)+A428</f>
        <v>1149</v>
      </c>
    </row>
    <row r="429" ht="13.65" customHeight="1">
      <c r="A429" s="22">
        <v>42</v>
      </c>
      <c r="B429" t="s" s="23">
        <v>279</v>
      </c>
      <c r="C429" t="s" s="23">
        <v>19</v>
      </c>
      <c r="D429" s="24">
        <v>1</v>
      </c>
      <c r="E429" s="20" cm="1">
        <f t="array" ref="E429">_xlfn.COUNTIFS(B3:B562,B429,D3:D562,1,A3:A562,A429)</f>
        <v>3</v>
      </c>
      <c r="F429" s="25" cm="1">
        <f t="array" ref="F429">(YEAR(C429)-2025)*1000+MONTH(C429)*31+DAY(C429)+A429</f>
        <v>1149</v>
      </c>
    </row>
    <row r="430" ht="13.65" customHeight="1">
      <c r="A430" s="22">
        <v>42</v>
      </c>
      <c r="B430" t="s" s="23">
        <v>279</v>
      </c>
      <c r="C430" t="s" s="23">
        <v>19</v>
      </c>
      <c r="D430" s="24">
        <v>1</v>
      </c>
      <c r="E430" s="20" cm="1">
        <f t="array" ref="E430">_xlfn.COUNTIFS(B3:B562,B430,D3:D562,1,A3:A562,A430)</f>
        <v>3</v>
      </c>
      <c r="F430" s="25" cm="1">
        <f t="array" ref="F430">(YEAR(C430)-2025)*1000+MONTH(C430)*31+DAY(C430)+A430</f>
        <v>1149</v>
      </c>
    </row>
    <row r="431" ht="13.65" customHeight="1">
      <c r="A431" s="32">
        <v>42</v>
      </c>
      <c r="B431" t="s" s="33">
        <v>279</v>
      </c>
      <c r="C431" t="s" s="33">
        <v>15703</v>
      </c>
      <c r="D431" s="34">
        <v>1</v>
      </c>
      <c r="E431" s="20" cm="1">
        <f t="array" ref="E431">_xlfn.COUNTIFS(B3:B562,B431,D3:D562,1,A3:A562,A431)</f>
        <v>3</v>
      </c>
      <c r="F431" s="25" cm="1">
        <f t="array" ref="F431">(YEAR(C431)-2025)*1000+MONTH(C431)*31+DAY(C431)+A431</f>
        <v>1148</v>
      </c>
    </row>
    <row r="432" ht="13.65" customHeight="1">
      <c r="A432" s="22">
        <v>41</v>
      </c>
      <c r="B432" t="s" s="23">
        <v>272</v>
      </c>
      <c r="C432" t="s" s="23">
        <v>19</v>
      </c>
      <c r="D432" s="24">
        <v>1</v>
      </c>
      <c r="E432" s="20" cm="1">
        <f t="array" ref="E432">_xlfn.COUNTIFS(B3:B562,B432,D3:D562,1,A3:A562,A432)</f>
        <v>3</v>
      </c>
      <c r="F432" s="25" cm="1">
        <f t="array" ref="F432">(YEAR(C432)-2025)*1000+MONTH(C432)*31+DAY(C432)+A432</f>
        <v>1148</v>
      </c>
    </row>
    <row r="433" ht="13.65" customHeight="1">
      <c r="A433" s="22">
        <v>41</v>
      </c>
      <c r="B433" t="s" s="23">
        <v>272</v>
      </c>
      <c r="C433" t="s" s="23">
        <v>19</v>
      </c>
      <c r="D433" s="24">
        <v>1</v>
      </c>
      <c r="E433" s="20" cm="1">
        <f t="array" ref="E433">_xlfn.COUNTIFS(B3:B562,B433,D3:D562,1,A3:A562,A433)</f>
        <v>3</v>
      </c>
      <c r="F433" s="25" cm="1">
        <f t="array" ref="F433">(YEAR(C433)-2025)*1000+MONTH(C433)*31+DAY(C433)+A433</f>
        <v>1148</v>
      </c>
    </row>
    <row r="434" ht="13.65" customHeight="1">
      <c r="A434" s="32">
        <v>41</v>
      </c>
      <c r="B434" t="s" s="33">
        <v>272</v>
      </c>
      <c r="C434" t="s" s="33">
        <v>15703</v>
      </c>
      <c r="D434" s="34">
        <v>1</v>
      </c>
      <c r="E434" s="20" cm="1">
        <f t="array" ref="E434">_xlfn.COUNTIFS(B3:B562,B434,D3:D562,1,A3:A562,A434)</f>
        <v>3</v>
      </c>
      <c r="F434" s="25" cm="1">
        <f t="array" ref="F434">(YEAR(C434)-2025)*1000+MONTH(C434)*31+DAY(C434)+A434</f>
        <v>1147</v>
      </c>
    </row>
    <row r="435" ht="13.65" customHeight="1">
      <c r="A435" s="22">
        <v>40</v>
      </c>
      <c r="B435" t="s" s="23">
        <v>265</v>
      </c>
      <c r="C435" t="s" s="23">
        <v>19</v>
      </c>
      <c r="D435" s="24">
        <v>1</v>
      </c>
      <c r="E435" s="20" cm="1">
        <f t="array" ref="E435">_xlfn.COUNTIFS(B3:B562,B435,D3:D562,1,A3:A562,A435)</f>
        <v>3</v>
      </c>
      <c r="F435" s="25" cm="1">
        <f t="array" ref="F435">(YEAR(C435)-2025)*1000+MONTH(C435)*31+DAY(C435)+A435</f>
        <v>1147</v>
      </c>
    </row>
    <row r="436" ht="13.65" customHeight="1">
      <c r="A436" s="22">
        <v>40</v>
      </c>
      <c r="B436" t="s" s="23">
        <v>265</v>
      </c>
      <c r="C436" t="s" s="23">
        <v>19</v>
      </c>
      <c r="D436" s="24">
        <v>1</v>
      </c>
      <c r="E436" s="20" cm="1">
        <f t="array" ref="E436">_xlfn.COUNTIFS(B3:B562,B436,D3:D562,1,A3:A562,A436)</f>
        <v>3</v>
      </c>
      <c r="F436" s="25" cm="1">
        <f t="array" ref="F436">(YEAR(C436)-2025)*1000+MONTH(C436)*31+DAY(C436)+A436</f>
        <v>1147</v>
      </c>
    </row>
    <row r="437" ht="13.65" customHeight="1">
      <c r="A437" s="32">
        <v>40</v>
      </c>
      <c r="B437" t="s" s="33">
        <v>265</v>
      </c>
      <c r="C437" t="s" s="33">
        <v>15703</v>
      </c>
      <c r="D437" s="34">
        <v>1</v>
      </c>
      <c r="E437" s="20" cm="1">
        <f t="array" ref="E437">_xlfn.COUNTIFS(B3:B562,B437,D3:D562,1,A3:A562,A437)</f>
        <v>3</v>
      </c>
      <c r="F437" s="25" cm="1">
        <f t="array" ref="F437">(YEAR(C437)-2025)*1000+MONTH(C437)*31+DAY(C437)+A437</f>
        <v>1146</v>
      </c>
    </row>
    <row r="438" ht="13.65" customHeight="1">
      <c r="A438" s="22">
        <v>39</v>
      </c>
      <c r="B438" t="s" s="23">
        <v>258</v>
      </c>
      <c r="C438" t="s" s="23">
        <v>19</v>
      </c>
      <c r="D438" s="24">
        <v>1</v>
      </c>
      <c r="E438" s="20" cm="1">
        <f t="array" ref="E438">_xlfn.COUNTIFS(B3:B562,B438,D3:D562,1,A3:A562,A438)</f>
        <v>3</v>
      </c>
      <c r="F438" s="25" cm="1">
        <f t="array" ref="F438">(YEAR(C438)-2025)*1000+MONTH(C438)*31+DAY(C438)+A438</f>
        <v>1146</v>
      </c>
    </row>
    <row r="439" ht="13.65" customHeight="1">
      <c r="A439" s="22">
        <v>39</v>
      </c>
      <c r="B439" t="s" s="23">
        <v>258</v>
      </c>
      <c r="C439" t="s" s="23">
        <v>19</v>
      </c>
      <c r="D439" s="24">
        <v>1</v>
      </c>
      <c r="E439" s="20" cm="1">
        <f t="array" ref="E439">_xlfn.COUNTIFS(B3:B562,B439,D3:D562,1,A3:A562,A439)</f>
        <v>3</v>
      </c>
      <c r="F439" s="25" cm="1">
        <f t="array" ref="F439">(YEAR(C439)-2025)*1000+MONTH(C439)*31+DAY(C439)+A439</f>
        <v>1146</v>
      </c>
    </row>
    <row r="440" ht="13.65" customHeight="1">
      <c r="A440" s="22">
        <v>37</v>
      </c>
      <c r="B440" t="s" s="23">
        <v>245</v>
      </c>
      <c r="C440" t="s" s="23">
        <v>26</v>
      </c>
      <c r="D440" s="24">
        <v>1</v>
      </c>
      <c r="E440" s="20" cm="1">
        <f t="array" ref="E440">_xlfn.COUNTIFS(B3:B562,B440,D3:D562,1,A3:A562,A440)</f>
        <v>3</v>
      </c>
      <c r="F440" s="25" cm="1">
        <f t="array" ref="F440">(YEAR(C440)-2025)*1000+MONTH(C440)*31+DAY(C440)+A440</f>
        <v>1146</v>
      </c>
    </row>
    <row r="441" ht="13.65" customHeight="1">
      <c r="A441" s="32">
        <v>39</v>
      </c>
      <c r="B441" t="s" s="33">
        <v>258</v>
      </c>
      <c r="C441" t="s" s="33">
        <v>15703</v>
      </c>
      <c r="D441" s="34">
        <v>1</v>
      </c>
      <c r="E441" s="20" cm="1">
        <f t="array" ref="E441">_xlfn.COUNTIFS(B3:B562,B441,D3:D562,1,A3:A562,A441)</f>
        <v>3</v>
      </c>
      <c r="F441" s="25" cm="1">
        <f t="array" ref="F441">(YEAR(C441)-2025)*1000+MONTH(C441)*31+DAY(C441)+A441</f>
        <v>1145</v>
      </c>
    </row>
    <row r="442" ht="13.65" customHeight="1">
      <c r="A442" s="22">
        <v>38</v>
      </c>
      <c r="B442" t="s" s="23">
        <v>251</v>
      </c>
      <c r="C442" t="s" s="23">
        <v>19</v>
      </c>
      <c r="D442" s="24">
        <v>1</v>
      </c>
      <c r="E442" s="20" cm="1">
        <f t="array" ref="E442">_xlfn.COUNTIFS(B3:B562,B442,D3:D562,1,A3:A562,A442)</f>
        <v>3</v>
      </c>
      <c r="F442" s="25" cm="1">
        <f t="array" ref="F442">(YEAR(C442)-2025)*1000+MONTH(C442)*31+DAY(C442)+A442</f>
        <v>1145</v>
      </c>
    </row>
    <row r="443" ht="13.65" customHeight="1">
      <c r="A443" s="22">
        <v>38</v>
      </c>
      <c r="B443" t="s" s="23">
        <v>251</v>
      </c>
      <c r="C443" t="s" s="23">
        <v>19</v>
      </c>
      <c r="D443" s="24">
        <v>1</v>
      </c>
      <c r="E443" s="20" cm="1">
        <f t="array" ref="E443">_xlfn.COUNTIFS(B3:B562,B443,D3:D562,1,A3:A562,A443)</f>
        <v>3</v>
      </c>
      <c r="F443" s="25" cm="1">
        <f t="array" ref="F443">(YEAR(C443)-2025)*1000+MONTH(C443)*31+DAY(C443)+A443</f>
        <v>1145</v>
      </c>
    </row>
    <row r="444" ht="13.65" customHeight="1">
      <c r="A444" s="32">
        <v>38</v>
      </c>
      <c r="B444" t="s" s="33">
        <v>251</v>
      </c>
      <c r="C444" t="s" s="33">
        <v>15703</v>
      </c>
      <c r="D444" s="34">
        <v>1</v>
      </c>
      <c r="E444" s="20" cm="1">
        <f t="array" ref="E444">_xlfn.COUNTIFS(B3:B562,B444,D3:D562,1,A3:A562,A444)</f>
        <v>3</v>
      </c>
      <c r="F444" s="25" cm="1">
        <f t="array" ref="F444">(YEAR(C444)-2025)*1000+MONTH(C444)*31+DAY(C444)+A444</f>
        <v>1144</v>
      </c>
    </row>
    <row r="445" ht="13.65" customHeight="1">
      <c r="A445" s="22">
        <v>37</v>
      </c>
      <c r="B445" t="s" s="23">
        <v>245</v>
      </c>
      <c r="C445" t="s" s="23">
        <v>19</v>
      </c>
      <c r="D445" s="24">
        <v>1</v>
      </c>
      <c r="E445" s="20" cm="1">
        <f t="array" ref="E445">_xlfn.COUNTIFS(B3:B562,B445,D3:D562,1,A3:A562,A445)</f>
        <v>3</v>
      </c>
      <c r="F445" s="25" cm="1">
        <f t="array" ref="F445">(YEAR(C445)-2025)*1000+MONTH(C445)*31+DAY(C445)+A445</f>
        <v>1144</v>
      </c>
    </row>
    <row r="446" ht="13.65" customHeight="1">
      <c r="A446" s="22">
        <v>37</v>
      </c>
      <c r="B446" t="s" s="23">
        <v>245</v>
      </c>
      <c r="C446" t="s" s="23">
        <v>19</v>
      </c>
      <c r="D446" s="24">
        <v>1</v>
      </c>
      <c r="E446" s="20" cm="1">
        <f t="array" ref="E446">_xlfn.COUNTIFS(B3:B562,B446,D3:D562,1,A3:A562,A446)</f>
        <v>3</v>
      </c>
      <c r="F446" s="25" cm="1">
        <f t="array" ref="F446">(YEAR(C446)-2025)*1000+MONTH(C446)*31+DAY(C446)+A446</f>
        <v>1144</v>
      </c>
    </row>
    <row r="447" ht="13.65" customHeight="1">
      <c r="A447" s="32">
        <v>37</v>
      </c>
      <c r="B447" t="s" s="33">
        <v>245</v>
      </c>
      <c r="C447" t="s" s="33">
        <v>15703</v>
      </c>
      <c r="D447" s="34">
        <v>0</v>
      </c>
      <c r="E447" s="20" cm="1">
        <f t="array" ref="E447">_xlfn.COUNTIFS(B3:B562,B447,D3:D562,1,A3:A562,A447)</f>
        <v>3</v>
      </c>
      <c r="F447" s="25" cm="1">
        <f t="array" ref="F447">(YEAR(C447)-2025)*1000+MONTH(C447)*31+DAY(C447)+A447</f>
        <v>1143</v>
      </c>
    </row>
    <row r="448" ht="13.65" customHeight="1">
      <c r="A448" s="22">
        <v>36</v>
      </c>
      <c r="B448" t="s" s="23">
        <v>239</v>
      </c>
      <c r="C448" t="s" s="23">
        <v>19</v>
      </c>
      <c r="D448" s="24">
        <v>1</v>
      </c>
      <c r="E448" s="20" cm="1">
        <f t="array" ref="E448">_xlfn.COUNTIFS(B3:B562,B448,D3:D562,1,A3:A562,A448)</f>
        <v>3</v>
      </c>
      <c r="F448" s="25" cm="1">
        <f t="array" ref="F448">(YEAR(C448)-2025)*1000+MONTH(C448)*31+DAY(C448)+A448</f>
        <v>1143</v>
      </c>
    </row>
    <row r="449" ht="13.65" customHeight="1">
      <c r="A449" s="22">
        <v>36</v>
      </c>
      <c r="B449" t="s" s="23">
        <v>239</v>
      </c>
      <c r="C449" t="s" s="23">
        <v>19</v>
      </c>
      <c r="D449" s="24">
        <v>1</v>
      </c>
      <c r="E449" s="20" cm="1">
        <f t="array" ref="E449">_xlfn.COUNTIFS(B3:B562,B449,D3:D562,1,A3:A562,A449)</f>
        <v>3</v>
      </c>
      <c r="F449" s="25" cm="1">
        <f t="array" ref="F449">(YEAR(C449)-2025)*1000+MONTH(C449)*31+DAY(C449)+A449</f>
        <v>1143</v>
      </c>
    </row>
    <row r="450" ht="13.65" customHeight="1">
      <c r="A450" s="22">
        <v>34</v>
      </c>
      <c r="B450" t="s" s="23">
        <v>227</v>
      </c>
      <c r="C450" t="s" s="23">
        <v>26</v>
      </c>
      <c r="D450" s="24">
        <v>1</v>
      </c>
      <c r="E450" s="20" cm="1">
        <f t="array" ref="E450">_xlfn.COUNTIFS(B3:B562,B450,D3:D562,1,A3:A562,A450)</f>
        <v>3</v>
      </c>
      <c r="F450" s="25" cm="1">
        <f t="array" ref="F450">(YEAR(C450)-2025)*1000+MONTH(C450)*31+DAY(C450)+A450</f>
        <v>1143</v>
      </c>
    </row>
    <row r="451" ht="13.65" customHeight="1">
      <c r="A451" s="22">
        <v>33</v>
      </c>
      <c r="B451" t="s" s="23">
        <v>220</v>
      </c>
      <c r="C451" t="s" s="23">
        <v>226</v>
      </c>
      <c r="D451" s="24">
        <v>1</v>
      </c>
      <c r="E451" s="20" cm="1">
        <f t="array" ref="E451">_xlfn.COUNTIFS(B3:B562,B451,D3:D562,1,A3:A562,A451)</f>
        <v>3</v>
      </c>
      <c r="F451" s="25" cm="1">
        <f t="array" ref="F451">(YEAR(C451)-2025)*1000+MONTH(C451)*31+DAY(C451)+A451</f>
        <v>1143</v>
      </c>
    </row>
    <row r="452" ht="13.65" customHeight="1">
      <c r="A452" s="32">
        <v>36</v>
      </c>
      <c r="B452" t="s" s="33">
        <v>239</v>
      </c>
      <c r="C452" t="s" s="33">
        <v>15703</v>
      </c>
      <c r="D452" s="34">
        <v>1</v>
      </c>
      <c r="E452" s="20" cm="1">
        <f t="array" ref="E452">_xlfn.COUNTIFS(B3:B562,B452,D3:D562,1,A3:A562,A452)</f>
        <v>3</v>
      </c>
      <c r="F452" s="25" cm="1">
        <f t="array" ref="F452">(YEAR(C452)-2025)*1000+MONTH(C452)*31+DAY(C452)+A452</f>
        <v>1142</v>
      </c>
    </row>
    <row r="453" ht="13.65" customHeight="1">
      <c r="A453" s="22">
        <v>35</v>
      </c>
      <c r="B453" t="s" s="23">
        <v>233</v>
      </c>
      <c r="C453" t="s" s="23">
        <v>19</v>
      </c>
      <c r="D453" s="24">
        <v>1</v>
      </c>
      <c r="E453" s="20" cm="1">
        <f t="array" ref="E453">_xlfn.COUNTIFS(B3:B562,B453,D3:D562,1,A3:A562,A453)</f>
        <v>3</v>
      </c>
      <c r="F453" s="25" cm="1">
        <f t="array" ref="F453">(YEAR(C453)-2025)*1000+MONTH(C453)*31+DAY(C453)+A453</f>
        <v>1142</v>
      </c>
    </row>
    <row r="454" ht="13.65" customHeight="1">
      <c r="A454" s="22">
        <v>35</v>
      </c>
      <c r="B454" t="s" s="23">
        <v>233</v>
      </c>
      <c r="C454" t="s" s="23">
        <v>19</v>
      </c>
      <c r="D454" s="24">
        <v>1</v>
      </c>
      <c r="E454" s="20" cm="1">
        <f t="array" ref="E454">_xlfn.COUNTIFS(B3:B562,B454,D3:D562,1,A3:A562,A454)</f>
        <v>3</v>
      </c>
      <c r="F454" s="25" cm="1">
        <f t="array" ref="F454">(YEAR(C454)-2025)*1000+MONTH(C454)*31+DAY(C454)+A454</f>
        <v>1142</v>
      </c>
    </row>
    <row r="455" ht="13.65" customHeight="1">
      <c r="A455" s="22">
        <v>33</v>
      </c>
      <c r="B455" t="s" s="23">
        <v>220</v>
      </c>
      <c r="C455" t="s" s="23">
        <v>26</v>
      </c>
      <c r="D455" s="24">
        <v>1</v>
      </c>
      <c r="E455" s="20" cm="1">
        <f t="array" ref="E455">_xlfn.COUNTIFS(B3:B562,B455,D3:D562,1,A3:A562,A455)</f>
        <v>3</v>
      </c>
      <c r="F455" s="25" cm="1">
        <f t="array" ref="F455">(YEAR(C455)-2025)*1000+MONTH(C455)*31+DAY(C455)+A455</f>
        <v>1142</v>
      </c>
    </row>
    <row r="456" ht="13.65" customHeight="1">
      <c r="A456" s="32">
        <v>35</v>
      </c>
      <c r="B456" t="s" s="33">
        <v>233</v>
      </c>
      <c r="C456" t="s" s="33">
        <v>15703</v>
      </c>
      <c r="D456" s="34">
        <v>1</v>
      </c>
      <c r="E456" s="20" cm="1">
        <f t="array" ref="E456">_xlfn.COUNTIFS(B3:B562,B456,D3:D562,1,A3:A562,A456)</f>
        <v>3</v>
      </c>
      <c r="F456" s="25" cm="1">
        <f t="array" ref="F456">(YEAR(C456)-2025)*1000+MONTH(C456)*31+DAY(C456)+A456</f>
        <v>1141</v>
      </c>
    </row>
    <row r="457" ht="13.65" customHeight="1">
      <c r="A457" s="22">
        <v>34</v>
      </c>
      <c r="B457" t="s" s="23">
        <v>227</v>
      </c>
      <c r="C457" t="s" s="23">
        <v>19</v>
      </c>
      <c r="D457" s="24">
        <v>1</v>
      </c>
      <c r="E457" s="20" cm="1">
        <f t="array" ref="E457">_xlfn.COUNTIFS(B3:B562,B457,D3:D562,1,A3:A562,A457)</f>
        <v>3</v>
      </c>
      <c r="F457" s="25" cm="1">
        <f t="array" ref="F457">(YEAR(C457)-2025)*1000+MONTH(C457)*31+DAY(C457)+A457</f>
        <v>1141</v>
      </c>
    </row>
    <row r="458" ht="13.65" customHeight="1">
      <c r="A458" s="22">
        <v>34</v>
      </c>
      <c r="B458" t="s" s="23">
        <v>227</v>
      </c>
      <c r="C458" t="s" s="23">
        <v>19</v>
      </c>
      <c r="D458" s="24">
        <v>1</v>
      </c>
      <c r="E458" s="20" cm="1">
        <f t="array" ref="E458">_xlfn.COUNTIFS(B3:B562,B458,D3:D562,1,A3:A562,A458)</f>
        <v>3</v>
      </c>
      <c r="F458" s="25" cm="1">
        <f t="array" ref="F458">(YEAR(C458)-2025)*1000+MONTH(C458)*31+DAY(C458)+A458</f>
        <v>1141</v>
      </c>
    </row>
    <row r="459" ht="13.65" customHeight="1">
      <c r="A459" s="32">
        <v>34</v>
      </c>
      <c r="B459" t="s" s="33">
        <v>227</v>
      </c>
      <c r="C459" t="s" s="33">
        <v>15703</v>
      </c>
      <c r="D459" s="34">
        <v>0</v>
      </c>
      <c r="E459" s="20" cm="1">
        <f t="array" ref="E459">_xlfn.COUNTIFS(B3:B562,B459,D3:D562,1,A3:A562,A459)</f>
        <v>3</v>
      </c>
      <c r="F459" s="25" cm="1">
        <f t="array" ref="F459">(YEAR(C459)-2025)*1000+MONTH(C459)*31+DAY(C459)+A459</f>
        <v>1140</v>
      </c>
    </row>
    <row r="460" ht="13.65" customHeight="1">
      <c r="A460" s="22">
        <v>33</v>
      </c>
      <c r="B460" t="s" s="23">
        <v>220</v>
      </c>
      <c r="C460" t="s" s="23">
        <v>19</v>
      </c>
      <c r="D460" s="24">
        <v>0</v>
      </c>
      <c r="E460" s="20" cm="1">
        <f t="array" ref="E460">_xlfn.COUNTIFS(B3:B562,B460,D3:D562,1,A3:A562,A460)</f>
        <v>3</v>
      </c>
      <c r="F460" s="25" cm="1">
        <f t="array" ref="F460">(YEAR(C460)-2025)*1000+MONTH(C460)*31+DAY(C460)+A460</f>
        <v>1140</v>
      </c>
    </row>
    <row r="461" ht="13.65" customHeight="1">
      <c r="A461" s="22">
        <v>33</v>
      </c>
      <c r="B461" t="s" s="23">
        <v>220</v>
      </c>
      <c r="C461" t="s" s="23">
        <v>19</v>
      </c>
      <c r="D461" s="24">
        <v>1</v>
      </c>
      <c r="E461" s="20" cm="1">
        <f t="array" ref="E461">_xlfn.COUNTIFS(B3:B562,B461,D3:D562,1,A3:A562,A461)</f>
        <v>3</v>
      </c>
      <c r="F461" s="25" cm="1">
        <f t="array" ref="F461">(YEAR(C461)-2025)*1000+MONTH(C461)*31+DAY(C461)+A461</f>
        <v>1140</v>
      </c>
    </row>
    <row r="462" ht="13.65" customHeight="1">
      <c r="A462" s="32">
        <v>33</v>
      </c>
      <c r="B462" t="s" s="33">
        <v>220</v>
      </c>
      <c r="C462" t="s" s="33">
        <v>15703</v>
      </c>
      <c r="D462" s="34">
        <v>0</v>
      </c>
      <c r="E462" s="20" cm="1">
        <f t="array" ref="E462">_xlfn.COUNTIFS(B3:B562,B462,D3:D562,1,A3:A562,A462)</f>
        <v>3</v>
      </c>
      <c r="F462" s="25" cm="1">
        <f t="array" ref="F462">(YEAR(C462)-2025)*1000+MONTH(C462)*31+DAY(C462)+A462</f>
        <v>1139</v>
      </c>
    </row>
    <row r="463" ht="13.65" customHeight="1">
      <c r="A463" s="22">
        <v>32</v>
      </c>
      <c r="B463" t="s" s="23">
        <v>213</v>
      </c>
      <c r="C463" t="s" s="23">
        <v>19</v>
      </c>
      <c r="D463" s="24">
        <v>1</v>
      </c>
      <c r="E463" s="20" cm="1">
        <f t="array" ref="E463">_xlfn.COUNTIFS(B3:B562,B463,D3:D562,1,A3:A562,A463)</f>
        <v>3</v>
      </c>
      <c r="F463" s="25" cm="1">
        <f t="array" ref="F463">(YEAR(C463)-2025)*1000+MONTH(C463)*31+DAY(C463)+A463</f>
        <v>1139</v>
      </c>
    </row>
    <row r="464" ht="13.65" customHeight="1">
      <c r="A464" s="22">
        <v>32</v>
      </c>
      <c r="B464" t="s" s="23">
        <v>213</v>
      </c>
      <c r="C464" t="s" s="23">
        <v>19</v>
      </c>
      <c r="D464" s="24">
        <v>1</v>
      </c>
      <c r="E464" s="20" cm="1">
        <f t="array" ref="E464">_xlfn.COUNTIFS(B3:B562,B464,D3:D562,1,A3:A562,A464)</f>
        <v>3</v>
      </c>
      <c r="F464" s="25" cm="1">
        <f t="array" ref="F464">(YEAR(C464)-2025)*1000+MONTH(C464)*31+DAY(C464)+A464</f>
        <v>1139</v>
      </c>
    </row>
    <row r="465" ht="13.65" customHeight="1">
      <c r="A465" s="32">
        <v>32</v>
      </c>
      <c r="B465" t="s" s="33">
        <v>213</v>
      </c>
      <c r="C465" t="s" s="33">
        <v>15703</v>
      </c>
      <c r="D465" s="34">
        <v>1</v>
      </c>
      <c r="E465" s="20" cm="1">
        <f t="array" ref="E465">_xlfn.COUNTIFS(B3:B562,B465,D3:D562,1,A3:A562,A465)</f>
        <v>3</v>
      </c>
      <c r="F465" s="25" cm="1">
        <f t="array" ref="F465">(YEAR(C465)-2025)*1000+MONTH(C465)*31+DAY(C465)+A465</f>
        <v>1138</v>
      </c>
    </row>
    <row r="466" ht="13.65" customHeight="1">
      <c r="A466" s="22">
        <v>31</v>
      </c>
      <c r="B466" t="s" s="23">
        <v>206</v>
      </c>
      <c r="C466" t="s" s="23">
        <v>19</v>
      </c>
      <c r="D466" s="24">
        <v>1</v>
      </c>
      <c r="E466" s="20" cm="1">
        <f t="array" ref="E466">_xlfn.COUNTIFS(B3:B562,B466,D3:D562,1,A3:A562,A466)</f>
        <v>3</v>
      </c>
      <c r="F466" s="25" cm="1">
        <f t="array" ref="F466">(YEAR(C466)-2025)*1000+MONTH(C466)*31+DAY(C466)+A466</f>
        <v>1138</v>
      </c>
    </row>
    <row r="467" ht="13.65" customHeight="1">
      <c r="A467" s="22">
        <v>31</v>
      </c>
      <c r="B467" t="s" s="23">
        <v>206</v>
      </c>
      <c r="C467" t="s" s="23">
        <v>19</v>
      </c>
      <c r="D467" s="24">
        <v>1</v>
      </c>
      <c r="E467" s="20" cm="1">
        <f t="array" ref="E467">_xlfn.COUNTIFS(B3:B562,B467,D3:D562,1,A3:A562,A467)</f>
        <v>3</v>
      </c>
      <c r="F467" s="25" cm="1">
        <f t="array" ref="F467">(YEAR(C467)-2025)*1000+MONTH(C467)*31+DAY(C467)+A467</f>
        <v>1138</v>
      </c>
    </row>
    <row r="468" ht="13.65" customHeight="1">
      <c r="A468" s="32">
        <v>31</v>
      </c>
      <c r="B468" t="s" s="33">
        <v>206</v>
      </c>
      <c r="C468" t="s" s="33">
        <v>15703</v>
      </c>
      <c r="D468" s="34">
        <v>1</v>
      </c>
      <c r="E468" s="20" cm="1">
        <f t="array" ref="E468">_xlfn.COUNTIFS(B3:B562,B468,D3:D562,1,A3:A562,A468)</f>
        <v>3</v>
      </c>
      <c r="F468" s="25" cm="1">
        <f t="array" ref="F468">(YEAR(C468)-2025)*1000+MONTH(C468)*31+DAY(C468)+A468</f>
        <v>1137</v>
      </c>
    </row>
    <row r="469" ht="13.65" customHeight="1">
      <c r="A469" s="22">
        <v>30</v>
      </c>
      <c r="B469" t="s" s="23">
        <v>199</v>
      </c>
      <c r="C469" t="s" s="23">
        <v>19</v>
      </c>
      <c r="D469" s="24">
        <v>1</v>
      </c>
      <c r="E469" s="20" cm="1">
        <f t="array" ref="E469">_xlfn.COUNTIFS(B3:B562,B469,D3:D562,1,A3:A562,A469)</f>
        <v>3</v>
      </c>
      <c r="F469" s="25" cm="1">
        <f t="array" ref="F469">(YEAR(C469)-2025)*1000+MONTH(C469)*31+DAY(C469)+A469</f>
        <v>1137</v>
      </c>
    </row>
    <row r="470" ht="13.65" customHeight="1">
      <c r="A470" s="22">
        <v>30</v>
      </c>
      <c r="B470" t="s" s="23">
        <v>199</v>
      </c>
      <c r="C470" t="s" s="23">
        <v>19</v>
      </c>
      <c r="D470" s="24">
        <v>1</v>
      </c>
      <c r="E470" s="20" cm="1">
        <f t="array" ref="E470">_xlfn.COUNTIFS(B3:B562,B470,D3:D562,1,A3:A562,A470)</f>
        <v>3</v>
      </c>
      <c r="F470" s="25" cm="1">
        <f t="array" ref="F470">(YEAR(C470)-2025)*1000+MONTH(C470)*31+DAY(C470)+A470</f>
        <v>1137</v>
      </c>
    </row>
    <row r="471" ht="13.65" customHeight="1">
      <c r="A471" s="22">
        <v>27</v>
      </c>
      <c r="B471" t="s" s="23">
        <v>179</v>
      </c>
      <c r="C471" t="s" s="23">
        <v>226</v>
      </c>
      <c r="D471" s="24">
        <v>0</v>
      </c>
      <c r="E471" s="20" cm="1">
        <f t="array" ref="E471">_xlfn.COUNTIFS(B3:B562,B471,D3:D562,1,A3:A562,A471)</f>
        <v>1</v>
      </c>
      <c r="F471" s="25" cm="1">
        <f t="array" ref="F471">(YEAR(C471)-2025)*1000+MONTH(C471)*31+DAY(C471)+A471</f>
        <v>1137</v>
      </c>
    </row>
    <row r="472" ht="13.65" customHeight="1">
      <c r="A472" s="32">
        <v>30</v>
      </c>
      <c r="B472" t="s" s="33">
        <v>199</v>
      </c>
      <c r="C472" t="s" s="33">
        <v>15703</v>
      </c>
      <c r="D472" s="34">
        <v>1</v>
      </c>
      <c r="E472" s="20" cm="1">
        <f t="array" ref="E472">_xlfn.COUNTIFS(B3:B562,B472,D3:D562,1,A3:A562,A472)</f>
        <v>3</v>
      </c>
      <c r="F472" s="25" cm="1">
        <f t="array" ref="F472">(YEAR(C472)-2025)*1000+MONTH(C472)*31+DAY(C472)+A472</f>
        <v>1136</v>
      </c>
    </row>
    <row r="473" ht="13.65" customHeight="1">
      <c r="A473" s="22">
        <v>29</v>
      </c>
      <c r="B473" t="s" s="23">
        <v>192</v>
      </c>
      <c r="C473" t="s" s="23">
        <v>19</v>
      </c>
      <c r="D473" s="24">
        <v>1</v>
      </c>
      <c r="E473" s="20" cm="1">
        <f t="array" ref="E473">_xlfn.COUNTIFS(B3:B562,B473,D3:D562,1,A3:A562,A473)</f>
        <v>3</v>
      </c>
      <c r="F473" s="25" cm="1">
        <f t="array" ref="F473">(YEAR(C473)-2025)*1000+MONTH(C473)*31+DAY(C473)+A473</f>
        <v>1136</v>
      </c>
    </row>
    <row r="474" ht="13.65" customHeight="1">
      <c r="A474" s="22">
        <v>29</v>
      </c>
      <c r="B474" t="s" s="23">
        <v>192</v>
      </c>
      <c r="C474" t="s" s="23">
        <v>19</v>
      </c>
      <c r="D474" s="24">
        <v>1</v>
      </c>
      <c r="E474" s="20" cm="1">
        <f t="array" ref="E474">_xlfn.COUNTIFS(B3:B562,B474,D3:D562,1,A3:A562,A474)</f>
        <v>3</v>
      </c>
      <c r="F474" s="25" cm="1">
        <f t="array" ref="F474">(YEAR(C474)-2025)*1000+MONTH(C474)*31+DAY(C474)+A474</f>
        <v>1136</v>
      </c>
    </row>
    <row r="475" ht="13.65" customHeight="1">
      <c r="A475" s="22">
        <v>27</v>
      </c>
      <c r="B475" t="s" s="23">
        <v>179</v>
      </c>
      <c r="C475" t="s" s="23">
        <v>26</v>
      </c>
      <c r="D475" s="24">
        <v>0</v>
      </c>
      <c r="E475" s="20" cm="1">
        <f t="array" ref="E475">_xlfn.COUNTIFS(B3:B562,B475,D3:D562,1,A3:A562,A475)</f>
        <v>1</v>
      </c>
      <c r="F475" s="25" cm="1">
        <f t="array" ref="F475">(YEAR(C475)-2025)*1000+MONTH(C475)*31+DAY(C475)+A475</f>
        <v>1136</v>
      </c>
    </row>
    <row r="476" ht="13.65" customHeight="1">
      <c r="A476" s="32">
        <v>29</v>
      </c>
      <c r="B476" t="s" s="33">
        <v>192</v>
      </c>
      <c r="C476" t="s" s="33">
        <v>15703</v>
      </c>
      <c r="D476" s="34">
        <v>1</v>
      </c>
      <c r="E476" s="20" cm="1">
        <f t="array" ref="E476">_xlfn.COUNTIFS(B3:B562,B476,D3:D562,1,A3:A562,A476)</f>
        <v>3</v>
      </c>
      <c r="F476" s="25" cm="1">
        <f t="array" ref="F476">(YEAR(C476)-2025)*1000+MONTH(C476)*31+DAY(C476)+A476</f>
        <v>1135</v>
      </c>
    </row>
    <row r="477" ht="13.65" customHeight="1">
      <c r="A477" s="22">
        <v>28</v>
      </c>
      <c r="B477" t="s" s="23">
        <v>186</v>
      </c>
      <c r="C477" t="s" s="23">
        <v>19</v>
      </c>
      <c r="D477" s="24">
        <v>1</v>
      </c>
      <c r="E477" s="20" cm="1">
        <f t="array" ref="E477">_xlfn.COUNTIFS(B3:B562,B477,D3:D562,1,A3:A562,A477)</f>
        <v>3</v>
      </c>
      <c r="F477" s="25" cm="1">
        <f t="array" ref="F477">(YEAR(C477)-2025)*1000+MONTH(C477)*31+DAY(C477)+A477</f>
        <v>1135</v>
      </c>
    </row>
    <row r="478" ht="13.65" customHeight="1">
      <c r="A478" s="22">
        <v>28</v>
      </c>
      <c r="B478" t="s" s="23">
        <v>186</v>
      </c>
      <c r="C478" t="s" s="23">
        <v>19</v>
      </c>
      <c r="D478" s="24">
        <v>1</v>
      </c>
      <c r="E478" s="20" cm="1">
        <f t="array" ref="E478">_xlfn.COUNTIFS(B3:B562,B478,D3:D562,1,A3:A562,A478)</f>
        <v>3</v>
      </c>
      <c r="F478" s="25" cm="1">
        <f t="array" ref="F478">(YEAR(C478)-2025)*1000+MONTH(C478)*31+DAY(C478)+A478</f>
        <v>1135</v>
      </c>
    </row>
    <row r="479" ht="13.65" customHeight="1">
      <c r="A479" s="32">
        <v>28</v>
      </c>
      <c r="B479" t="s" s="33">
        <v>186</v>
      </c>
      <c r="C479" t="s" s="33">
        <v>15703</v>
      </c>
      <c r="D479" s="34">
        <v>1</v>
      </c>
      <c r="E479" s="20" cm="1">
        <f t="array" ref="E479">_xlfn.COUNTIFS(B3:B562,B479,D3:D562,1,A3:A562,A479)</f>
        <v>3</v>
      </c>
      <c r="F479" s="25" cm="1">
        <f t="array" ref="F479">(YEAR(C479)-2025)*1000+MONTH(C479)*31+DAY(C479)+A479</f>
        <v>1134</v>
      </c>
    </row>
    <row r="480" ht="13.65" customHeight="1">
      <c r="A480" s="22">
        <v>27</v>
      </c>
      <c r="B480" t="s" s="23">
        <v>179</v>
      </c>
      <c r="C480" t="s" s="23">
        <v>19</v>
      </c>
      <c r="D480" s="24">
        <v>0</v>
      </c>
      <c r="E480" s="20" cm="1">
        <f t="array" ref="E480">_xlfn.COUNTIFS(B3:B562,B480,D3:D562,1,A3:A562,A480)</f>
        <v>1</v>
      </c>
      <c r="F480" s="25" cm="1">
        <f t="array" ref="F480">(YEAR(C480)-2025)*1000+MONTH(C480)*31+DAY(C480)+A480</f>
        <v>1134</v>
      </c>
    </row>
    <row r="481" ht="13.65" customHeight="1">
      <c r="A481" s="22">
        <v>27</v>
      </c>
      <c r="B481" t="s" s="23">
        <v>179</v>
      </c>
      <c r="C481" t="s" s="23">
        <v>19</v>
      </c>
      <c r="D481" s="24">
        <v>0</v>
      </c>
      <c r="E481" s="20" cm="1">
        <f t="array" ref="E481">_xlfn.COUNTIFS(B3:B562,B481,D3:D562,1,A3:A562,A481)</f>
        <v>1</v>
      </c>
      <c r="F481" s="25" cm="1">
        <f t="array" ref="F481">(YEAR(C481)-2025)*1000+MONTH(C481)*31+DAY(C481)+A481</f>
        <v>1134</v>
      </c>
    </row>
    <row r="482" ht="13.65" customHeight="1">
      <c r="A482" s="32">
        <v>27</v>
      </c>
      <c r="B482" t="s" s="33">
        <v>179</v>
      </c>
      <c r="C482" t="s" s="33">
        <v>15703</v>
      </c>
      <c r="D482" s="34">
        <v>1</v>
      </c>
      <c r="E482" s="20" cm="1">
        <f t="array" ref="E482">_xlfn.COUNTIFS(B3:B562,B482,D3:D562,1,A3:A562,A482)</f>
        <v>1</v>
      </c>
      <c r="F482" s="25" cm="1">
        <f t="array" ref="F482">(YEAR(C482)-2025)*1000+MONTH(C482)*31+DAY(C482)+A482</f>
        <v>1133</v>
      </c>
    </row>
    <row r="483" ht="13.65" customHeight="1">
      <c r="A483" s="22">
        <v>26</v>
      </c>
      <c r="B483" t="s" s="23">
        <v>173</v>
      </c>
      <c r="C483" t="s" s="23">
        <v>19</v>
      </c>
      <c r="D483" s="24">
        <v>1</v>
      </c>
      <c r="E483" s="20" cm="1">
        <f t="array" ref="E483">_xlfn.COUNTIFS(B3:B562,B483,D3:D562,1,A3:A562,A483)</f>
        <v>3</v>
      </c>
      <c r="F483" s="25" cm="1">
        <f t="array" ref="F483">(YEAR(C483)-2025)*1000+MONTH(C483)*31+DAY(C483)+A483</f>
        <v>1133</v>
      </c>
    </row>
    <row r="484" ht="13.65" customHeight="1">
      <c r="A484" s="22">
        <v>26</v>
      </c>
      <c r="B484" t="s" s="23">
        <v>173</v>
      </c>
      <c r="C484" t="s" s="23">
        <v>19</v>
      </c>
      <c r="D484" s="24">
        <v>1</v>
      </c>
      <c r="E484" s="20" cm="1">
        <f t="array" ref="E484">_xlfn.COUNTIFS(B3:B562,B484,D3:D562,1,A3:A562,A484)</f>
        <v>3</v>
      </c>
      <c r="F484" s="25" cm="1">
        <f t="array" ref="F484">(YEAR(C484)-2025)*1000+MONTH(C484)*31+DAY(C484)+A484</f>
        <v>1133</v>
      </c>
    </row>
    <row r="485" ht="13.65" customHeight="1">
      <c r="A485" s="32">
        <v>26</v>
      </c>
      <c r="B485" t="s" s="33">
        <v>173</v>
      </c>
      <c r="C485" t="s" s="33">
        <v>15703</v>
      </c>
      <c r="D485" s="34">
        <v>1</v>
      </c>
      <c r="E485" s="20" cm="1">
        <f t="array" ref="E485">_xlfn.COUNTIFS(B3:B562,B485,D3:D562,1,A3:A562,A485)</f>
        <v>3</v>
      </c>
      <c r="F485" s="25" cm="1">
        <f t="array" ref="F485">(YEAR(C485)-2025)*1000+MONTH(C485)*31+DAY(C485)+A485</f>
        <v>1132</v>
      </c>
    </row>
    <row r="486" ht="13.65" customHeight="1">
      <c r="A486" s="22">
        <v>25</v>
      </c>
      <c r="B486" t="s" s="23">
        <v>166</v>
      </c>
      <c r="C486" t="s" s="23">
        <v>19</v>
      </c>
      <c r="D486" s="24">
        <v>1</v>
      </c>
      <c r="E486" s="20" cm="1">
        <f t="array" ref="E486">_xlfn.COUNTIFS(B3:B562,B486,D3:D562,1,A3:A562,A486)</f>
        <v>3</v>
      </c>
      <c r="F486" s="25" cm="1">
        <f t="array" ref="F486">(YEAR(C486)-2025)*1000+MONTH(C486)*31+DAY(C486)+A486</f>
        <v>1132</v>
      </c>
    </row>
    <row r="487" ht="13.65" customHeight="1">
      <c r="A487" s="22">
        <v>25</v>
      </c>
      <c r="B487" t="s" s="23">
        <v>166</v>
      </c>
      <c r="C487" t="s" s="23">
        <v>19</v>
      </c>
      <c r="D487" s="24">
        <v>1</v>
      </c>
      <c r="E487" s="20" cm="1">
        <f t="array" ref="E487">_xlfn.COUNTIFS(B3:B562,B487,D3:D562,1,A3:A562,A487)</f>
        <v>3</v>
      </c>
      <c r="F487" s="25" cm="1">
        <f t="array" ref="F487">(YEAR(C487)-2025)*1000+MONTH(C487)*31+DAY(C487)+A487</f>
        <v>1132</v>
      </c>
    </row>
    <row r="488" ht="13.65" customHeight="1">
      <c r="A488" s="22">
        <v>23</v>
      </c>
      <c r="B488" t="s" s="23">
        <v>153</v>
      </c>
      <c r="C488" t="s" s="23">
        <v>26</v>
      </c>
      <c r="D488" s="24">
        <v>1</v>
      </c>
      <c r="E488" s="20" cm="1">
        <f t="array" ref="E488">_xlfn.COUNTIFS(B3:B562,B488,D3:D562,1,A3:A562,A488)</f>
        <v>3</v>
      </c>
      <c r="F488" s="25" cm="1">
        <f t="array" ref="F488">(YEAR(C488)-2025)*1000+MONTH(C488)*31+DAY(C488)+A488</f>
        <v>1132</v>
      </c>
    </row>
    <row r="489" ht="13.65" customHeight="1">
      <c r="A489" s="32">
        <v>25</v>
      </c>
      <c r="B489" t="s" s="33">
        <v>166</v>
      </c>
      <c r="C489" t="s" s="33">
        <v>15703</v>
      </c>
      <c r="D489" s="34">
        <v>1</v>
      </c>
      <c r="E489" s="20" cm="1">
        <f t="array" ref="E489">_xlfn.COUNTIFS(B3:B562,B489,D3:D562,1,A3:A562,A489)</f>
        <v>3</v>
      </c>
      <c r="F489" s="25" cm="1">
        <f t="array" ref="F489">(YEAR(C489)-2025)*1000+MONTH(C489)*31+DAY(C489)+A489</f>
        <v>1131</v>
      </c>
    </row>
    <row r="490" ht="13.65" customHeight="1">
      <c r="A490" s="22">
        <v>24</v>
      </c>
      <c r="B490" t="s" s="23">
        <v>160</v>
      </c>
      <c r="C490" t="s" s="23">
        <v>19</v>
      </c>
      <c r="D490" s="24">
        <v>1</v>
      </c>
      <c r="E490" s="20" cm="1">
        <f t="array" ref="E490">_xlfn.COUNTIFS(B3:B562,B490,D3:D562,1,A3:A562,A490)</f>
        <v>3</v>
      </c>
      <c r="F490" s="25" cm="1">
        <f t="array" ref="F490">(YEAR(C490)-2025)*1000+MONTH(C490)*31+DAY(C490)+A490</f>
        <v>1131</v>
      </c>
    </row>
    <row r="491" ht="13.65" customHeight="1">
      <c r="A491" s="22">
        <v>24</v>
      </c>
      <c r="B491" t="s" s="23">
        <v>160</v>
      </c>
      <c r="C491" t="s" s="23">
        <v>19</v>
      </c>
      <c r="D491" s="24">
        <v>1</v>
      </c>
      <c r="E491" s="20" cm="1">
        <f t="array" ref="E491">_xlfn.COUNTIFS(B3:B562,B491,D3:D562,1,A3:A562,A491)</f>
        <v>3</v>
      </c>
      <c r="F491" s="25" cm="1">
        <f t="array" ref="F491">(YEAR(C491)-2025)*1000+MONTH(C491)*31+DAY(C491)+A491</f>
        <v>1131</v>
      </c>
    </row>
    <row r="492" ht="13.65" customHeight="1">
      <c r="A492" s="32">
        <v>24</v>
      </c>
      <c r="B492" t="s" s="33">
        <v>160</v>
      </c>
      <c r="C492" t="s" s="33">
        <v>15703</v>
      </c>
      <c r="D492" s="34">
        <v>1</v>
      </c>
      <c r="E492" s="20" cm="1">
        <f t="array" ref="E492">_xlfn.COUNTIFS(B3:B562,B492,D3:D562,1,A3:A562,A492)</f>
        <v>3</v>
      </c>
      <c r="F492" s="25" cm="1">
        <f t="array" ref="F492">(YEAR(C492)-2025)*1000+MONTH(C492)*31+DAY(C492)+A492</f>
        <v>1130</v>
      </c>
    </row>
    <row r="493" ht="13.65" customHeight="1">
      <c r="A493" s="22">
        <v>23</v>
      </c>
      <c r="B493" t="s" s="23">
        <v>153</v>
      </c>
      <c r="C493" t="s" s="23">
        <v>19</v>
      </c>
      <c r="D493" s="24">
        <v>1</v>
      </c>
      <c r="E493" s="20" cm="1">
        <f t="array" ref="E493">_xlfn.COUNTIFS(B3:B562,B493,D3:D562,1,A3:A562,A493)</f>
        <v>3</v>
      </c>
      <c r="F493" s="25" cm="1">
        <f t="array" ref="F493">(YEAR(C493)-2025)*1000+MONTH(C493)*31+DAY(C493)+A493</f>
        <v>1130</v>
      </c>
    </row>
    <row r="494" ht="13.65" customHeight="1">
      <c r="A494" s="22">
        <v>23</v>
      </c>
      <c r="B494" t="s" s="23">
        <v>153</v>
      </c>
      <c r="C494" t="s" s="23">
        <v>19</v>
      </c>
      <c r="D494" s="24">
        <v>1</v>
      </c>
      <c r="E494" s="20" cm="1">
        <f t="array" ref="E494">_xlfn.COUNTIFS(B3:B562,B494,D3:D562,1,A3:A562,A494)</f>
        <v>3</v>
      </c>
      <c r="F494" s="25" cm="1">
        <f t="array" ref="F494">(YEAR(C494)-2025)*1000+MONTH(C494)*31+DAY(C494)+A494</f>
        <v>1130</v>
      </c>
    </row>
    <row r="495" ht="13.65" customHeight="1">
      <c r="A495" s="32">
        <v>23</v>
      </c>
      <c r="B495" t="s" s="33">
        <v>153</v>
      </c>
      <c r="C495" t="s" s="33">
        <v>15703</v>
      </c>
      <c r="D495" s="34">
        <v>0</v>
      </c>
      <c r="E495" s="20" cm="1">
        <f t="array" ref="E495">_xlfn.COUNTIFS(B3:B562,B495,D3:D562,1,A3:A562,A495)</f>
        <v>3</v>
      </c>
      <c r="F495" s="25" cm="1">
        <f t="array" ref="F495">(YEAR(C495)-2025)*1000+MONTH(C495)*31+DAY(C495)+A495</f>
        <v>1129</v>
      </c>
    </row>
    <row r="496" ht="13.65" customHeight="1">
      <c r="A496" s="22">
        <v>22</v>
      </c>
      <c r="B496" t="s" s="23">
        <v>147</v>
      </c>
      <c r="C496" t="s" s="23">
        <v>19</v>
      </c>
      <c r="D496" s="24">
        <v>1</v>
      </c>
      <c r="E496" s="20" cm="1">
        <f t="array" ref="E496">_xlfn.COUNTIFS(B3:B562,B496,D3:D562,1,A3:A562,A496)</f>
        <v>3</v>
      </c>
      <c r="F496" s="25" cm="1">
        <f t="array" ref="F496">(YEAR(C496)-2025)*1000+MONTH(C496)*31+DAY(C496)+A496</f>
        <v>1129</v>
      </c>
    </row>
    <row r="497" ht="13.65" customHeight="1">
      <c r="A497" s="22">
        <v>22</v>
      </c>
      <c r="B497" t="s" s="23">
        <v>147</v>
      </c>
      <c r="C497" t="s" s="23">
        <v>19</v>
      </c>
      <c r="D497" s="24">
        <v>1</v>
      </c>
      <c r="E497" s="20" cm="1">
        <f t="array" ref="E497">_xlfn.COUNTIFS(B3:B562,B497,D3:D562,1,A3:A562,A497)</f>
        <v>3</v>
      </c>
      <c r="F497" s="25" cm="1">
        <f t="array" ref="F497">(YEAR(C497)-2025)*1000+MONTH(C497)*31+DAY(C497)+A497</f>
        <v>1129</v>
      </c>
    </row>
    <row r="498" ht="13.65" customHeight="1">
      <c r="A498" s="32">
        <v>22</v>
      </c>
      <c r="B498" t="s" s="33">
        <v>147</v>
      </c>
      <c r="C498" t="s" s="33">
        <v>15703</v>
      </c>
      <c r="D498" s="34">
        <v>1</v>
      </c>
      <c r="E498" s="20" cm="1">
        <f t="array" ref="E498">_xlfn.COUNTIFS(B3:B562,B498,D3:D562,1,A3:A562,A498)</f>
        <v>3</v>
      </c>
      <c r="F498" s="25" cm="1">
        <f t="array" ref="F498">(YEAR(C498)-2025)*1000+MONTH(C498)*31+DAY(C498)+A498</f>
        <v>1128</v>
      </c>
    </row>
    <row r="499" ht="13.65" customHeight="1">
      <c r="A499" s="22">
        <v>21</v>
      </c>
      <c r="B499" t="s" s="23">
        <v>139</v>
      </c>
      <c r="C499" t="s" s="23">
        <v>19</v>
      </c>
      <c r="D499" s="24">
        <v>1</v>
      </c>
      <c r="E499" s="20" cm="1">
        <f t="array" ref="E499">_xlfn.COUNTIFS(B3:B562,B499,D3:D562,1,A3:A562,A499)</f>
        <v>3</v>
      </c>
      <c r="F499" s="25" cm="1">
        <f t="array" ref="F499">(YEAR(C499)-2025)*1000+MONTH(C499)*31+DAY(C499)+A499</f>
        <v>1128</v>
      </c>
    </row>
    <row r="500" ht="13.65" customHeight="1">
      <c r="A500" s="22">
        <v>21</v>
      </c>
      <c r="B500" t="s" s="23">
        <v>139</v>
      </c>
      <c r="C500" t="s" s="23">
        <v>19</v>
      </c>
      <c r="D500" s="24">
        <v>1</v>
      </c>
      <c r="E500" s="20" cm="1">
        <f t="array" ref="E500">_xlfn.COUNTIFS(B3:B562,B500,D3:D562,1,A3:A562,A500)</f>
        <v>3</v>
      </c>
      <c r="F500" s="25" cm="1">
        <f t="array" ref="F500">(YEAR(C500)-2025)*1000+MONTH(C500)*31+DAY(C500)+A500</f>
        <v>1128</v>
      </c>
    </row>
    <row r="501" ht="13.65" customHeight="1">
      <c r="A501" s="32">
        <v>21</v>
      </c>
      <c r="B501" t="s" s="33">
        <v>139</v>
      </c>
      <c r="C501" t="s" s="33">
        <v>15703</v>
      </c>
      <c r="D501" s="34">
        <v>1</v>
      </c>
      <c r="E501" s="20" cm="1">
        <f t="array" ref="E501">_xlfn.COUNTIFS(B3:B562,B501,D3:D562,1,A3:A562,A501)</f>
        <v>3</v>
      </c>
      <c r="F501" s="25" cm="1">
        <f t="array" ref="F501">(YEAR(C501)-2025)*1000+MONTH(C501)*31+DAY(C501)+A501</f>
        <v>1127</v>
      </c>
    </row>
    <row r="502" ht="13.65" customHeight="1">
      <c r="A502" s="22">
        <v>20</v>
      </c>
      <c r="B502" t="s" s="23">
        <v>133</v>
      </c>
      <c r="C502" t="s" s="23">
        <v>19</v>
      </c>
      <c r="D502" s="24">
        <v>1</v>
      </c>
      <c r="E502" s="20" cm="1">
        <f t="array" ref="E502">_xlfn.COUNTIFS(B3:B562,B502,D3:D562,1,A3:A562,A502)</f>
        <v>3</v>
      </c>
      <c r="F502" s="25" cm="1">
        <f t="array" ref="F502">(YEAR(C502)-2025)*1000+MONTH(C502)*31+DAY(C502)+A502</f>
        <v>1127</v>
      </c>
    </row>
    <row r="503" ht="13.65" customHeight="1">
      <c r="A503" s="22">
        <v>20</v>
      </c>
      <c r="B503" t="s" s="23">
        <v>133</v>
      </c>
      <c r="C503" t="s" s="23">
        <v>19</v>
      </c>
      <c r="D503" s="24">
        <v>1</v>
      </c>
      <c r="E503" s="20" cm="1">
        <f t="array" ref="E503">_xlfn.COUNTIFS(B3:B562,B503,D3:D562,1,A3:A562,A503)</f>
        <v>3</v>
      </c>
      <c r="F503" s="25" cm="1">
        <f t="array" ref="F503">(YEAR(C503)-2025)*1000+MONTH(C503)*31+DAY(C503)+A503</f>
        <v>1127</v>
      </c>
    </row>
    <row r="504" ht="13.65" customHeight="1">
      <c r="A504" s="32">
        <v>20</v>
      </c>
      <c r="B504" t="s" s="33">
        <v>133</v>
      </c>
      <c r="C504" t="s" s="33">
        <v>15703</v>
      </c>
      <c r="D504" s="34">
        <v>1</v>
      </c>
      <c r="E504" s="20" cm="1">
        <f t="array" ref="E504">_xlfn.COUNTIFS(B3:B562,B504,D3:D562,1,A3:A562,A504)</f>
        <v>3</v>
      </c>
      <c r="F504" s="25" cm="1">
        <f t="array" ref="F504">(YEAR(C504)-2025)*1000+MONTH(C504)*31+DAY(C504)+A504</f>
        <v>1126</v>
      </c>
    </row>
    <row r="505" ht="13.65" customHeight="1">
      <c r="A505" s="22">
        <v>19</v>
      </c>
      <c r="B505" t="s" s="23">
        <v>127</v>
      </c>
      <c r="C505" t="s" s="23">
        <v>19</v>
      </c>
      <c r="D505" s="24">
        <v>1</v>
      </c>
      <c r="E505" s="20" cm="1">
        <f t="array" ref="E505">_xlfn.COUNTIFS(B3:B562,B505,D3:D562,1,A3:A562,A505)</f>
        <v>3</v>
      </c>
      <c r="F505" s="25" cm="1">
        <f t="array" ref="F505">(YEAR(C505)-2025)*1000+MONTH(C505)*31+DAY(C505)+A505</f>
        <v>1126</v>
      </c>
    </row>
    <row r="506" ht="13.65" customHeight="1">
      <c r="A506" s="22">
        <v>19</v>
      </c>
      <c r="B506" t="s" s="23">
        <v>127</v>
      </c>
      <c r="C506" t="s" s="23">
        <v>19</v>
      </c>
      <c r="D506" s="24">
        <v>1</v>
      </c>
      <c r="E506" s="20" cm="1">
        <f t="array" ref="E506">_xlfn.COUNTIFS(B3:B562,B506,D3:D562,1,A3:A562,A506)</f>
        <v>3</v>
      </c>
      <c r="F506" s="25" cm="1">
        <f t="array" ref="F506">(YEAR(C506)-2025)*1000+MONTH(C506)*31+DAY(C506)+A506</f>
        <v>1126</v>
      </c>
    </row>
    <row r="507" ht="13.65" customHeight="1">
      <c r="A507" s="32">
        <v>19</v>
      </c>
      <c r="B507" t="s" s="33">
        <v>127</v>
      </c>
      <c r="C507" t="s" s="33">
        <v>15703</v>
      </c>
      <c r="D507" s="34">
        <v>1</v>
      </c>
      <c r="E507" s="20" cm="1">
        <f t="array" ref="E507">_xlfn.COUNTIFS(B3:B562,B507,D3:D562,1,A3:A562,A507)</f>
        <v>3</v>
      </c>
      <c r="F507" s="25" cm="1">
        <f t="array" ref="F507">(YEAR(C507)-2025)*1000+MONTH(C507)*31+DAY(C507)+A507</f>
        <v>1125</v>
      </c>
    </row>
    <row r="508" ht="13.65" customHeight="1">
      <c r="A508" s="22">
        <v>18</v>
      </c>
      <c r="B508" t="s" s="23">
        <v>121</v>
      </c>
      <c r="C508" t="s" s="23">
        <v>19</v>
      </c>
      <c r="D508" s="24">
        <v>1</v>
      </c>
      <c r="E508" s="20" cm="1">
        <f t="array" ref="E508">_xlfn.COUNTIFS(B3:B562,B508,D3:D562,1,A3:A562,A508)</f>
        <v>3</v>
      </c>
      <c r="F508" s="25" cm="1">
        <f t="array" ref="F508">(YEAR(C508)-2025)*1000+MONTH(C508)*31+DAY(C508)+A508</f>
        <v>1125</v>
      </c>
    </row>
    <row r="509" ht="13.65" customHeight="1">
      <c r="A509" s="22">
        <v>18</v>
      </c>
      <c r="B509" t="s" s="23">
        <v>121</v>
      </c>
      <c r="C509" t="s" s="23">
        <v>19</v>
      </c>
      <c r="D509" s="24">
        <v>1</v>
      </c>
      <c r="E509" s="20" cm="1">
        <f t="array" ref="E509">_xlfn.COUNTIFS(B3:B562,B509,D3:D562,1,A3:A562,A509)</f>
        <v>3</v>
      </c>
      <c r="F509" s="25" cm="1">
        <f t="array" ref="F509">(YEAR(C509)-2025)*1000+MONTH(C509)*31+DAY(C509)+A509</f>
        <v>1125</v>
      </c>
    </row>
    <row r="510" ht="13.65" customHeight="1">
      <c r="A510" s="32">
        <v>18</v>
      </c>
      <c r="B510" t="s" s="33">
        <v>121</v>
      </c>
      <c r="C510" t="s" s="33">
        <v>15703</v>
      </c>
      <c r="D510" s="34">
        <v>1</v>
      </c>
      <c r="E510" s="20" cm="1">
        <f t="array" ref="E510">_xlfn.COUNTIFS(B3:B562,B510,D3:D562,1,A3:A562,A510)</f>
        <v>3</v>
      </c>
      <c r="F510" s="25" cm="1">
        <f t="array" ref="F510">(YEAR(C510)-2025)*1000+MONTH(C510)*31+DAY(C510)+A510</f>
        <v>1124</v>
      </c>
    </row>
    <row r="511" ht="13.65" customHeight="1">
      <c r="A511" s="22">
        <v>17</v>
      </c>
      <c r="B511" t="s" s="23">
        <v>115</v>
      </c>
      <c r="C511" t="s" s="23">
        <v>19</v>
      </c>
      <c r="D511" s="24">
        <v>1</v>
      </c>
      <c r="E511" s="20" cm="1">
        <f t="array" ref="E511">_xlfn.COUNTIFS(B3:B562,B511,D3:D562,1,A3:A562,A511)</f>
        <v>3</v>
      </c>
      <c r="F511" s="25" cm="1">
        <f t="array" ref="F511">(YEAR(C511)-2025)*1000+MONTH(C511)*31+DAY(C511)+A511</f>
        <v>1124</v>
      </c>
    </row>
    <row r="512" ht="13.65" customHeight="1">
      <c r="A512" s="22">
        <v>17</v>
      </c>
      <c r="B512" t="s" s="23">
        <v>115</v>
      </c>
      <c r="C512" t="s" s="23">
        <v>19</v>
      </c>
      <c r="D512" s="24">
        <v>1</v>
      </c>
      <c r="E512" s="20" cm="1">
        <f t="array" ref="E512">_xlfn.COUNTIFS(B3:B562,B512,D3:D562,1,A3:A562,A512)</f>
        <v>3</v>
      </c>
      <c r="F512" s="25" cm="1">
        <f t="array" ref="F512">(YEAR(C512)-2025)*1000+MONTH(C512)*31+DAY(C512)+A512</f>
        <v>1124</v>
      </c>
    </row>
    <row r="513" ht="13.65" customHeight="1">
      <c r="A513" s="32">
        <v>17</v>
      </c>
      <c r="B513" t="s" s="33">
        <v>115</v>
      </c>
      <c r="C513" t="s" s="33">
        <v>15703</v>
      </c>
      <c r="D513" s="34">
        <v>1</v>
      </c>
      <c r="E513" s="20" cm="1">
        <f t="array" ref="E513">_xlfn.COUNTIFS(B3:B562,B513,D3:D562,1,A3:A562,A513)</f>
        <v>3</v>
      </c>
      <c r="F513" s="25" cm="1">
        <f t="array" ref="F513">(YEAR(C513)-2025)*1000+MONTH(C513)*31+DAY(C513)+A513</f>
        <v>1123</v>
      </c>
    </row>
    <row r="514" ht="13.65" customHeight="1">
      <c r="A514" s="22">
        <v>16</v>
      </c>
      <c r="B514" t="s" s="23">
        <v>108</v>
      </c>
      <c r="C514" t="s" s="23">
        <v>19</v>
      </c>
      <c r="D514" s="24">
        <v>1</v>
      </c>
      <c r="E514" s="20" cm="1">
        <f t="array" ref="E514">_xlfn.COUNTIFS(B3:B562,B514,D3:D562,1,A3:A562,A514)</f>
        <v>3</v>
      </c>
      <c r="F514" s="25" cm="1">
        <f t="array" ref="F514">(YEAR(C514)-2025)*1000+MONTH(C514)*31+DAY(C514)+A514</f>
        <v>1123</v>
      </c>
    </row>
    <row r="515" ht="13.65" customHeight="1">
      <c r="A515" s="22">
        <v>16</v>
      </c>
      <c r="B515" t="s" s="23">
        <v>108</v>
      </c>
      <c r="C515" t="s" s="23">
        <v>19</v>
      </c>
      <c r="D515" s="24">
        <v>1</v>
      </c>
      <c r="E515" s="20" cm="1">
        <f t="array" ref="E515">_xlfn.COUNTIFS(B3:B562,B515,D3:D562,1,A3:A562,A515)</f>
        <v>3</v>
      </c>
      <c r="F515" s="25" cm="1">
        <f t="array" ref="F515">(YEAR(C515)-2025)*1000+MONTH(C515)*31+DAY(C515)+A515</f>
        <v>1123</v>
      </c>
    </row>
    <row r="516" ht="13.65" customHeight="1">
      <c r="A516" s="32">
        <v>16</v>
      </c>
      <c r="B516" t="s" s="33">
        <v>108</v>
      </c>
      <c r="C516" t="s" s="33">
        <v>15703</v>
      </c>
      <c r="D516" s="34">
        <v>1</v>
      </c>
      <c r="E516" s="20" cm="1">
        <f t="array" ref="E516">_xlfn.COUNTIFS(B3:B562,B516,D3:D562,1,A3:A562,A516)</f>
        <v>3</v>
      </c>
      <c r="F516" s="25" cm="1">
        <f t="array" ref="F516">(YEAR(C516)-2025)*1000+MONTH(C516)*31+DAY(C516)+A516</f>
        <v>1122</v>
      </c>
    </row>
    <row r="517" ht="13.65" customHeight="1">
      <c r="A517" s="22">
        <v>15</v>
      </c>
      <c r="B517" t="s" s="23">
        <v>102</v>
      </c>
      <c r="C517" t="s" s="23">
        <v>19</v>
      </c>
      <c r="D517" s="24">
        <v>1</v>
      </c>
      <c r="E517" s="20" cm="1">
        <f t="array" ref="E517">_xlfn.COUNTIFS(B3:B562,B517,D3:D562,1,A3:A562,A517)</f>
        <v>3</v>
      </c>
      <c r="F517" s="25" cm="1">
        <f t="array" ref="F517">(YEAR(C517)-2025)*1000+MONTH(C517)*31+DAY(C517)+A517</f>
        <v>1122</v>
      </c>
    </row>
    <row r="518" ht="13.65" customHeight="1">
      <c r="A518" s="22">
        <v>15</v>
      </c>
      <c r="B518" t="s" s="23">
        <v>102</v>
      </c>
      <c r="C518" t="s" s="23">
        <v>19</v>
      </c>
      <c r="D518" s="24">
        <v>1</v>
      </c>
      <c r="E518" s="20" cm="1">
        <f t="array" ref="E518">_xlfn.COUNTIFS(B3:B562,B518,D3:D562,1,A3:A562,A518)</f>
        <v>3</v>
      </c>
      <c r="F518" s="25" cm="1">
        <f t="array" ref="F518">(YEAR(C518)-2025)*1000+MONTH(C518)*31+DAY(C518)+A518</f>
        <v>1122</v>
      </c>
    </row>
    <row r="519" ht="13.65" customHeight="1">
      <c r="A519" s="32">
        <v>15</v>
      </c>
      <c r="B519" t="s" s="33">
        <v>102</v>
      </c>
      <c r="C519" t="s" s="33">
        <v>15703</v>
      </c>
      <c r="D519" s="34">
        <v>1</v>
      </c>
      <c r="E519" s="20" cm="1">
        <f t="array" ref="E519">_xlfn.COUNTIFS(B3:B562,B519,D3:D562,1,A3:A562,A519)</f>
        <v>3</v>
      </c>
      <c r="F519" s="25" cm="1">
        <f t="array" ref="F519">(YEAR(C519)-2025)*1000+MONTH(C519)*31+DAY(C519)+A519</f>
        <v>1121</v>
      </c>
    </row>
    <row r="520" ht="13.65" customHeight="1">
      <c r="A520" s="22">
        <v>14</v>
      </c>
      <c r="B520" t="s" s="23">
        <v>96</v>
      </c>
      <c r="C520" t="s" s="23">
        <v>19</v>
      </c>
      <c r="D520" s="24">
        <v>1</v>
      </c>
      <c r="E520" s="20" cm="1">
        <f t="array" ref="E520">_xlfn.COUNTIFS(B3:B562,B520,D3:D562,1,A3:A562,A520)</f>
        <v>3</v>
      </c>
      <c r="F520" s="25" cm="1">
        <f t="array" ref="F520">(YEAR(C520)-2025)*1000+MONTH(C520)*31+DAY(C520)+A520</f>
        <v>1121</v>
      </c>
    </row>
    <row r="521" ht="13.65" customHeight="1">
      <c r="A521" s="22">
        <v>14</v>
      </c>
      <c r="B521" t="s" s="23">
        <v>96</v>
      </c>
      <c r="C521" t="s" s="23">
        <v>19</v>
      </c>
      <c r="D521" s="24">
        <v>1</v>
      </c>
      <c r="E521" s="20" cm="1">
        <f t="array" ref="E521">_xlfn.COUNTIFS(B3:B562,B521,D3:D562,1,A3:A562,A521)</f>
        <v>3</v>
      </c>
      <c r="F521" s="25" cm="1">
        <f t="array" ref="F521">(YEAR(C521)-2025)*1000+MONTH(C521)*31+DAY(C521)+A521</f>
        <v>1121</v>
      </c>
    </row>
    <row r="522" ht="13.65" customHeight="1">
      <c r="A522" s="32">
        <v>14</v>
      </c>
      <c r="B522" t="s" s="33">
        <v>96</v>
      </c>
      <c r="C522" t="s" s="33">
        <v>15703</v>
      </c>
      <c r="D522" s="34">
        <v>1</v>
      </c>
      <c r="E522" s="20" cm="1">
        <f t="array" ref="E522">_xlfn.COUNTIFS(B3:B562,B522,D3:D562,1,A3:A562,A522)</f>
        <v>3</v>
      </c>
      <c r="F522" s="25" cm="1">
        <f t="array" ref="F522">(YEAR(C522)-2025)*1000+MONTH(C522)*31+DAY(C522)+A522</f>
        <v>1120</v>
      </c>
    </row>
    <row r="523" ht="13.65" customHeight="1">
      <c r="A523" s="22">
        <v>13</v>
      </c>
      <c r="B523" t="s" s="23">
        <v>88</v>
      </c>
      <c r="C523" t="s" s="23">
        <v>19</v>
      </c>
      <c r="D523" s="24">
        <v>1</v>
      </c>
      <c r="E523" s="20" cm="1">
        <f t="array" ref="E523">_xlfn.COUNTIFS(B3:B562,B523,D3:D562,1,A3:A562,A523)</f>
        <v>3</v>
      </c>
      <c r="F523" s="25" cm="1">
        <f t="array" ref="F523">(YEAR(C523)-2025)*1000+MONTH(C523)*31+DAY(C523)+A523</f>
        <v>1120</v>
      </c>
    </row>
    <row r="524" ht="13.65" customHeight="1">
      <c r="A524" s="22">
        <v>13</v>
      </c>
      <c r="B524" t="s" s="23">
        <v>88</v>
      </c>
      <c r="C524" t="s" s="23">
        <v>19</v>
      </c>
      <c r="D524" s="24">
        <v>1</v>
      </c>
      <c r="E524" s="20" cm="1">
        <f t="array" ref="E524">_xlfn.COUNTIFS(B3:B562,B524,D3:D562,1,A3:A562,A524)</f>
        <v>3</v>
      </c>
      <c r="F524" s="25" cm="1">
        <f t="array" ref="F524">(YEAR(C524)-2025)*1000+MONTH(C524)*31+DAY(C524)+A524</f>
        <v>1120</v>
      </c>
    </row>
    <row r="525" ht="13.65" customHeight="1">
      <c r="A525" s="32">
        <v>13</v>
      </c>
      <c r="B525" t="s" s="33">
        <v>88</v>
      </c>
      <c r="C525" t="s" s="33">
        <v>15703</v>
      </c>
      <c r="D525" s="34">
        <v>1</v>
      </c>
      <c r="E525" s="20" cm="1">
        <f t="array" ref="E525">_xlfn.COUNTIFS(B3:B562,B525,D3:D562,1,A3:A562,A525)</f>
        <v>3</v>
      </c>
      <c r="F525" s="25" cm="1">
        <f t="array" ref="F525">(YEAR(C525)-2025)*1000+MONTH(C525)*31+DAY(C525)+A525</f>
        <v>1119</v>
      </c>
    </row>
    <row r="526" ht="13.65" customHeight="1">
      <c r="A526" s="22">
        <v>12</v>
      </c>
      <c r="B526" t="s" s="23">
        <v>83</v>
      </c>
      <c r="C526" t="s" s="23">
        <v>19</v>
      </c>
      <c r="D526" s="24">
        <v>1</v>
      </c>
      <c r="E526" s="20" cm="1">
        <f t="array" ref="E526">_xlfn.COUNTIFS(B3:B562,B526,D3:D562,1,A3:A562,A526)</f>
        <v>3</v>
      </c>
      <c r="F526" s="25" cm="1">
        <f t="array" ref="F526">(YEAR(C526)-2025)*1000+MONTH(C526)*31+DAY(C526)+A526</f>
        <v>1119</v>
      </c>
    </row>
    <row r="527" ht="13.65" customHeight="1">
      <c r="A527" s="22">
        <v>12</v>
      </c>
      <c r="B527" t="s" s="23">
        <v>83</v>
      </c>
      <c r="C527" t="s" s="23">
        <v>19</v>
      </c>
      <c r="D527" s="24">
        <v>1</v>
      </c>
      <c r="E527" s="20" cm="1">
        <f t="array" ref="E527">_xlfn.COUNTIFS(B3:B562,B527,D3:D562,1,A3:A562,A527)</f>
        <v>3</v>
      </c>
      <c r="F527" s="25" cm="1">
        <f t="array" ref="F527">(YEAR(C527)-2025)*1000+MONTH(C527)*31+DAY(C527)+A527</f>
        <v>1119</v>
      </c>
    </row>
    <row r="528" ht="13.65" customHeight="1">
      <c r="A528" s="32">
        <v>12</v>
      </c>
      <c r="B528" t="s" s="33">
        <v>83</v>
      </c>
      <c r="C528" t="s" s="33">
        <v>15703</v>
      </c>
      <c r="D528" s="34">
        <v>1</v>
      </c>
      <c r="E528" s="20" cm="1">
        <f t="array" ref="E528">_xlfn.COUNTIFS(B3:B562,B528,D3:D562,1,A3:A562,A528)</f>
        <v>3</v>
      </c>
      <c r="F528" s="25" cm="1">
        <f t="array" ref="F528">(YEAR(C528)-2025)*1000+MONTH(C528)*31+DAY(C528)+A528</f>
        <v>1118</v>
      </c>
    </row>
    <row r="529" ht="13.65" customHeight="1">
      <c r="A529" s="22">
        <v>11</v>
      </c>
      <c r="B529" t="s" s="23">
        <v>77</v>
      </c>
      <c r="C529" t="s" s="23">
        <v>19</v>
      </c>
      <c r="D529" s="24">
        <v>1</v>
      </c>
      <c r="E529" s="20" cm="1">
        <f t="array" ref="E529">_xlfn.COUNTIFS(B3:B562,B529,D3:D562,1,A3:A562,A529)</f>
        <v>3</v>
      </c>
      <c r="F529" s="25" cm="1">
        <f t="array" ref="F529">(YEAR(C529)-2025)*1000+MONTH(C529)*31+DAY(C529)+A529</f>
        <v>1118</v>
      </c>
    </row>
    <row r="530" ht="13.65" customHeight="1">
      <c r="A530" s="22">
        <v>11</v>
      </c>
      <c r="B530" t="s" s="23">
        <v>77</v>
      </c>
      <c r="C530" t="s" s="23">
        <v>19</v>
      </c>
      <c r="D530" s="24">
        <v>1</v>
      </c>
      <c r="E530" s="20" cm="1">
        <f t="array" ref="E530">_xlfn.COUNTIFS(B3:B562,B530,D3:D562,1,A3:A562,A530)</f>
        <v>3</v>
      </c>
      <c r="F530" s="25" cm="1">
        <f t="array" ref="F530">(YEAR(C530)-2025)*1000+MONTH(C530)*31+DAY(C530)+A530</f>
        <v>1118</v>
      </c>
    </row>
    <row r="531" ht="13.65" customHeight="1">
      <c r="A531" s="32">
        <v>11</v>
      </c>
      <c r="B531" t="s" s="33">
        <v>77</v>
      </c>
      <c r="C531" t="s" s="33">
        <v>15703</v>
      </c>
      <c r="D531" s="34">
        <v>1</v>
      </c>
      <c r="E531" s="20" cm="1">
        <f t="array" ref="E531">_xlfn.COUNTIFS(B3:B562,B531,D3:D562,1,A3:A562,A531)</f>
        <v>3</v>
      </c>
      <c r="F531" s="25" cm="1">
        <f t="array" ref="F531">(YEAR(C531)-2025)*1000+MONTH(C531)*31+DAY(C531)+A531</f>
        <v>1117</v>
      </c>
    </row>
    <row r="532" ht="13.65" customHeight="1">
      <c r="A532" s="22">
        <v>10</v>
      </c>
      <c r="B532" t="s" s="23">
        <v>71</v>
      </c>
      <c r="C532" t="s" s="23">
        <v>19</v>
      </c>
      <c r="D532" s="24">
        <v>1</v>
      </c>
      <c r="E532" s="20" cm="1">
        <f t="array" ref="E532">_xlfn.COUNTIFS(B3:B562,B532,D3:D562,1,A3:A562,A532)</f>
        <v>3</v>
      </c>
      <c r="F532" s="25" cm="1">
        <f t="array" ref="F532">(YEAR(C532)-2025)*1000+MONTH(C532)*31+DAY(C532)+A532</f>
        <v>1117</v>
      </c>
    </row>
    <row r="533" ht="13.65" customHeight="1">
      <c r="A533" s="22">
        <v>10</v>
      </c>
      <c r="B533" t="s" s="23">
        <v>71</v>
      </c>
      <c r="C533" t="s" s="23">
        <v>19</v>
      </c>
      <c r="D533" s="24">
        <v>1</v>
      </c>
      <c r="E533" s="20" cm="1">
        <f t="array" ref="E533">_xlfn.COUNTIFS(B3:B562,B533,D3:D562,1,A3:A562,A533)</f>
        <v>3</v>
      </c>
      <c r="F533" s="25" cm="1">
        <f t="array" ref="F533">(YEAR(C533)-2025)*1000+MONTH(C533)*31+DAY(C533)+A533</f>
        <v>1117</v>
      </c>
    </row>
    <row r="534" ht="13.65" customHeight="1">
      <c r="A534" s="32">
        <v>10</v>
      </c>
      <c r="B534" t="s" s="33">
        <v>71</v>
      </c>
      <c r="C534" t="s" s="33">
        <v>15703</v>
      </c>
      <c r="D534" s="34">
        <v>1</v>
      </c>
      <c r="E534" s="20" cm="1">
        <f t="array" ref="E534">_xlfn.COUNTIFS(B3:B562,B534,D3:D562,1,A3:A562,A534)</f>
        <v>3</v>
      </c>
      <c r="F534" s="25" cm="1">
        <f t="array" ref="F534">(YEAR(C534)-2025)*1000+MONTH(C534)*31+DAY(C534)+A534</f>
        <v>1116</v>
      </c>
    </row>
    <row r="535" ht="13.65" customHeight="1">
      <c r="A535" s="22">
        <v>9</v>
      </c>
      <c r="B535" t="s" s="23">
        <v>65</v>
      </c>
      <c r="C535" t="s" s="23">
        <v>19</v>
      </c>
      <c r="D535" s="24">
        <v>1</v>
      </c>
      <c r="E535" s="20" cm="1">
        <f t="array" ref="E535">_xlfn.COUNTIFS(B3:B562,B535,D3:D562,1,A3:A562,A535)</f>
        <v>3</v>
      </c>
      <c r="F535" s="25" cm="1">
        <f t="array" ref="F535">(YEAR(C535)-2025)*1000+MONTH(C535)*31+DAY(C535)+A535</f>
        <v>1116</v>
      </c>
    </row>
    <row r="536" ht="13.65" customHeight="1">
      <c r="A536" s="22">
        <v>9</v>
      </c>
      <c r="B536" t="s" s="23">
        <v>65</v>
      </c>
      <c r="C536" t="s" s="23">
        <v>19</v>
      </c>
      <c r="D536" s="24">
        <v>1</v>
      </c>
      <c r="E536" s="20" cm="1">
        <f t="array" ref="E536">_xlfn.COUNTIFS(B3:B562,B536,D3:D562,1,A3:A562,A536)</f>
        <v>3</v>
      </c>
      <c r="F536" s="25" cm="1">
        <f t="array" ref="F536">(YEAR(C536)-2025)*1000+MONTH(C536)*31+DAY(C536)+A536</f>
        <v>1116</v>
      </c>
    </row>
    <row r="537" ht="13.65" customHeight="1">
      <c r="A537" s="32">
        <v>9</v>
      </c>
      <c r="B537" t="s" s="33">
        <v>65</v>
      </c>
      <c r="C537" t="s" s="33">
        <v>15703</v>
      </c>
      <c r="D537" s="34">
        <v>1</v>
      </c>
      <c r="E537" s="20" cm="1">
        <f t="array" ref="E537">_xlfn.COUNTIFS(B3:B562,B537,D3:D562,1,A3:A562,A537)</f>
        <v>3</v>
      </c>
      <c r="F537" s="25" cm="1">
        <f t="array" ref="F537">(YEAR(C537)-2025)*1000+MONTH(C537)*31+DAY(C537)+A537</f>
        <v>1115</v>
      </c>
    </row>
    <row r="538" ht="13.65" customHeight="1">
      <c r="A538" s="22">
        <v>8</v>
      </c>
      <c r="B538" t="s" s="23">
        <v>58</v>
      </c>
      <c r="C538" t="s" s="23">
        <v>19</v>
      </c>
      <c r="D538" s="24">
        <v>1</v>
      </c>
      <c r="E538" s="20" cm="1">
        <f t="array" ref="E538">_xlfn.COUNTIFS(B3:B562,B538,D3:D562,1,A3:A562,A538)</f>
        <v>3</v>
      </c>
      <c r="F538" s="25" cm="1">
        <f t="array" ref="F538">(YEAR(C538)-2025)*1000+MONTH(C538)*31+DAY(C538)+A538</f>
        <v>1115</v>
      </c>
    </row>
    <row r="539" ht="13.65" customHeight="1">
      <c r="A539" s="22">
        <v>8</v>
      </c>
      <c r="B539" t="s" s="23">
        <v>58</v>
      </c>
      <c r="C539" t="s" s="23">
        <v>19</v>
      </c>
      <c r="D539" s="24">
        <v>1</v>
      </c>
      <c r="E539" s="20" cm="1">
        <f t="array" ref="E539">_xlfn.COUNTIFS(B3:B562,B539,D3:D562,1,A3:A562,A539)</f>
        <v>3</v>
      </c>
      <c r="F539" s="25" cm="1">
        <f t="array" ref="F539">(YEAR(C539)-2025)*1000+MONTH(C539)*31+DAY(C539)+A539</f>
        <v>1115</v>
      </c>
    </row>
    <row r="540" ht="13.65" customHeight="1">
      <c r="A540" s="32">
        <v>8</v>
      </c>
      <c r="B540" t="s" s="33">
        <v>58</v>
      </c>
      <c r="C540" t="s" s="33">
        <v>15703</v>
      </c>
      <c r="D540" s="34">
        <v>1</v>
      </c>
      <c r="E540" s="20" cm="1">
        <f t="array" ref="E540">_xlfn.COUNTIFS(B3:B562,B540,D3:D562,1,A3:A562,A540)</f>
        <v>3</v>
      </c>
      <c r="F540" s="25" cm="1">
        <f t="array" ref="F540">(YEAR(C540)-2025)*1000+MONTH(C540)*31+DAY(C540)+A540</f>
        <v>1114</v>
      </c>
    </row>
    <row r="541" ht="13.65" customHeight="1">
      <c r="A541" s="22">
        <v>7</v>
      </c>
      <c r="B541" t="s" s="23">
        <v>52</v>
      </c>
      <c r="C541" t="s" s="23">
        <v>19</v>
      </c>
      <c r="D541" s="24">
        <v>1</v>
      </c>
      <c r="E541" s="20" cm="1">
        <f t="array" ref="E541">_xlfn.COUNTIFS(B3:B562,B541,D3:D562,1,A3:A562,A541)</f>
        <v>3</v>
      </c>
      <c r="F541" s="25" cm="1">
        <f t="array" ref="F541">(YEAR(C541)-2025)*1000+MONTH(C541)*31+DAY(C541)+A541</f>
        <v>1114</v>
      </c>
    </row>
    <row r="542" ht="13.65" customHeight="1">
      <c r="A542" s="22">
        <v>7</v>
      </c>
      <c r="B542" t="s" s="23">
        <v>52</v>
      </c>
      <c r="C542" t="s" s="23">
        <v>19</v>
      </c>
      <c r="D542" s="24">
        <v>1</v>
      </c>
      <c r="E542" s="20" cm="1">
        <f t="array" ref="E542">_xlfn.COUNTIFS(B3:B562,B542,D3:D562,1,A3:A562,A542)</f>
        <v>3</v>
      </c>
      <c r="F542" s="25" cm="1">
        <f t="array" ref="F542">(YEAR(C542)-2025)*1000+MONTH(C542)*31+DAY(C542)+A542</f>
        <v>1114</v>
      </c>
    </row>
    <row r="543" ht="13.65" customHeight="1">
      <c r="A543" s="32">
        <v>7</v>
      </c>
      <c r="B543" t="s" s="33">
        <v>52</v>
      </c>
      <c r="C543" t="s" s="33">
        <v>15703</v>
      </c>
      <c r="D543" s="34">
        <v>1</v>
      </c>
      <c r="E543" s="20" cm="1">
        <f t="array" ref="E543">_xlfn.COUNTIFS(B3:B562,B543,D3:D562,1,A3:A562,A543)</f>
        <v>3</v>
      </c>
      <c r="F543" s="25" cm="1">
        <f t="array" ref="F543">(YEAR(C543)-2025)*1000+MONTH(C543)*31+DAY(C543)+A543</f>
        <v>1113</v>
      </c>
    </row>
    <row r="544" ht="13.65" customHeight="1">
      <c r="A544" s="22">
        <v>6</v>
      </c>
      <c r="B544" t="s" s="23">
        <v>46</v>
      </c>
      <c r="C544" t="s" s="23">
        <v>19</v>
      </c>
      <c r="D544" s="24">
        <v>1</v>
      </c>
      <c r="E544" s="20" cm="1">
        <f t="array" ref="E544">_xlfn.COUNTIFS(B3:B562,B544,D3:D562,1,A3:A562,A544)</f>
        <v>3</v>
      </c>
      <c r="F544" s="25" cm="1">
        <f t="array" ref="F544">(YEAR(C544)-2025)*1000+MONTH(C544)*31+DAY(C544)+A544</f>
        <v>1113</v>
      </c>
    </row>
    <row r="545" ht="13.65" customHeight="1">
      <c r="A545" s="22">
        <v>6</v>
      </c>
      <c r="B545" t="s" s="23">
        <v>46</v>
      </c>
      <c r="C545" t="s" s="23">
        <v>19</v>
      </c>
      <c r="D545" s="24">
        <v>1</v>
      </c>
      <c r="E545" s="20" cm="1">
        <f t="array" ref="E545">_xlfn.COUNTIFS(B3:B562,B545,D3:D562,1,A3:A562,A545)</f>
        <v>3</v>
      </c>
      <c r="F545" s="25" cm="1">
        <f t="array" ref="F545">(YEAR(C545)-2025)*1000+MONTH(C545)*31+DAY(C545)+A545</f>
        <v>1113</v>
      </c>
    </row>
    <row r="546" ht="13.65" customHeight="1">
      <c r="A546" s="32">
        <v>6</v>
      </c>
      <c r="B546" t="s" s="33">
        <v>46</v>
      </c>
      <c r="C546" t="s" s="33">
        <v>15703</v>
      </c>
      <c r="D546" s="34">
        <v>1</v>
      </c>
      <c r="E546" s="20" cm="1">
        <f t="array" ref="E546">_xlfn.COUNTIFS(B3:B562,B546,D3:D562,1,A3:A562,A546)</f>
        <v>3</v>
      </c>
      <c r="F546" s="25" cm="1">
        <f t="array" ref="F546">(YEAR(C546)-2025)*1000+MONTH(C546)*31+DAY(C546)+A546</f>
        <v>1112</v>
      </c>
    </row>
    <row r="547" ht="13.65" customHeight="1">
      <c r="A547" s="22">
        <v>5</v>
      </c>
      <c r="B547" t="s" s="23">
        <v>40</v>
      </c>
      <c r="C547" t="s" s="23">
        <v>19</v>
      </c>
      <c r="D547" s="24">
        <v>1</v>
      </c>
      <c r="E547" s="20" cm="1">
        <f t="array" ref="E547">_xlfn.COUNTIFS(B3:B562,B547,D3:D562,1,A3:A562,A547)</f>
        <v>3</v>
      </c>
      <c r="F547" s="25" cm="1">
        <f t="array" ref="F547">(YEAR(C547)-2025)*1000+MONTH(C547)*31+DAY(C547)+A547</f>
        <v>1112</v>
      </c>
    </row>
    <row r="548" ht="13.65" customHeight="1">
      <c r="A548" s="22">
        <v>5</v>
      </c>
      <c r="B548" t="s" s="23">
        <v>40</v>
      </c>
      <c r="C548" t="s" s="23">
        <v>19</v>
      </c>
      <c r="D548" s="24">
        <v>1</v>
      </c>
      <c r="E548" s="20" cm="1">
        <f t="array" ref="E548">_xlfn.COUNTIFS(B3:B562,B548,D3:D562,1,A3:A562,A548)</f>
        <v>3</v>
      </c>
      <c r="F548" s="25" cm="1">
        <f t="array" ref="F548">(YEAR(C548)-2025)*1000+MONTH(C548)*31+DAY(C548)+A548</f>
        <v>1112</v>
      </c>
    </row>
    <row r="549" ht="13.65" customHeight="1">
      <c r="A549" s="32">
        <v>5</v>
      </c>
      <c r="B549" t="s" s="33">
        <v>40</v>
      </c>
      <c r="C549" t="s" s="33">
        <v>15703</v>
      </c>
      <c r="D549" s="34">
        <v>1</v>
      </c>
      <c r="E549" s="20" cm="1">
        <f t="array" ref="E549">_xlfn.COUNTIFS(B3:B562,B549,D3:D562,1,A3:A562,A549)</f>
        <v>3</v>
      </c>
      <c r="F549" s="25" cm="1">
        <f t="array" ref="F549">(YEAR(C549)-2025)*1000+MONTH(C549)*31+DAY(C549)+A549</f>
        <v>1111</v>
      </c>
    </row>
    <row r="550" ht="13.65" customHeight="1">
      <c r="A550" s="22">
        <v>4</v>
      </c>
      <c r="B550" t="s" s="23">
        <v>34</v>
      </c>
      <c r="C550" t="s" s="23">
        <v>19</v>
      </c>
      <c r="D550" s="24">
        <v>1</v>
      </c>
      <c r="E550" s="20" cm="1">
        <f t="array" ref="E550">_xlfn.COUNTIFS(B3:B562,B550,D3:D562,1,A3:A562,A550)</f>
        <v>3</v>
      </c>
      <c r="F550" s="25" cm="1">
        <f t="array" ref="F550">(YEAR(C550)-2025)*1000+MONTH(C550)*31+DAY(C550)+A550</f>
        <v>1111</v>
      </c>
    </row>
    <row r="551" ht="13.65" customHeight="1">
      <c r="A551" s="22">
        <v>4</v>
      </c>
      <c r="B551" t="s" s="23">
        <v>34</v>
      </c>
      <c r="C551" t="s" s="23">
        <v>19</v>
      </c>
      <c r="D551" s="24">
        <v>1</v>
      </c>
      <c r="E551" s="20" cm="1">
        <f t="array" ref="E551">_xlfn.COUNTIFS(B3:B562,B551,D3:D562,1,A3:A562,A551)</f>
        <v>3</v>
      </c>
      <c r="F551" s="25" cm="1">
        <f t="array" ref="F551">(YEAR(C551)-2025)*1000+MONTH(C551)*31+DAY(C551)+A551</f>
        <v>1111</v>
      </c>
    </row>
    <row r="552" ht="13.65" customHeight="1">
      <c r="A552" s="22">
        <v>2</v>
      </c>
      <c r="B552" t="s" s="23">
        <v>20</v>
      </c>
      <c r="C552" t="s" s="23">
        <v>26</v>
      </c>
      <c r="D552" s="24">
        <v>1</v>
      </c>
      <c r="E552" s="20" cm="1">
        <f t="array" ref="E552">_xlfn.COUNTIFS(B3:B562,B552,D3:D562,1,A3:A562,A552)</f>
        <v>3</v>
      </c>
      <c r="F552" s="25" cm="1">
        <f t="array" ref="F552">(YEAR(C552)-2025)*1000+MONTH(C552)*31+DAY(C552)+A552</f>
        <v>1111</v>
      </c>
    </row>
    <row r="553" ht="13.65" customHeight="1">
      <c r="A553" s="32">
        <v>4</v>
      </c>
      <c r="B553" t="s" s="33">
        <v>34</v>
      </c>
      <c r="C553" t="s" s="33">
        <v>15703</v>
      </c>
      <c r="D553" s="34">
        <v>1</v>
      </c>
      <c r="E553" s="20" cm="1">
        <f t="array" ref="E553">_xlfn.COUNTIFS(B3:B562,B553,D3:D562,1,A3:A562,A553)</f>
        <v>3</v>
      </c>
      <c r="F553" s="25" cm="1">
        <f t="array" ref="F553">(YEAR(C553)-2025)*1000+MONTH(C553)*31+DAY(C553)+A553</f>
        <v>1110</v>
      </c>
    </row>
    <row r="554" ht="13.65" customHeight="1">
      <c r="A554" s="22">
        <v>3</v>
      </c>
      <c r="B554" t="s" s="23">
        <v>27</v>
      </c>
      <c r="C554" t="s" s="23">
        <v>19</v>
      </c>
      <c r="D554" s="24">
        <v>1</v>
      </c>
      <c r="E554" s="20" cm="1">
        <f t="array" ref="E554">_xlfn.COUNTIFS(B3:B562,B554,D3:D562,1,A3:A562,A554)</f>
        <v>3</v>
      </c>
      <c r="F554" s="25" cm="1">
        <f t="array" ref="F554">(YEAR(C554)-2025)*1000+MONTH(C554)*31+DAY(C554)+A554</f>
        <v>1110</v>
      </c>
    </row>
    <row r="555" ht="13.65" customHeight="1">
      <c r="A555" s="22">
        <v>3</v>
      </c>
      <c r="B555" t="s" s="23">
        <v>27</v>
      </c>
      <c r="C555" t="s" s="23">
        <v>19</v>
      </c>
      <c r="D555" s="24">
        <v>1</v>
      </c>
      <c r="E555" s="20" cm="1">
        <f t="array" ref="E555">_xlfn.COUNTIFS(B3:B562,B555,D3:D562,1,A3:A562,A555)</f>
        <v>3</v>
      </c>
      <c r="F555" s="25" cm="1">
        <f t="array" ref="F555">(YEAR(C555)-2025)*1000+MONTH(C555)*31+DAY(C555)+A555</f>
        <v>1110</v>
      </c>
    </row>
    <row r="556" ht="13.65" customHeight="1">
      <c r="A556" s="32">
        <v>3</v>
      </c>
      <c r="B556" t="s" s="33">
        <v>27</v>
      </c>
      <c r="C556" t="s" s="33">
        <v>15703</v>
      </c>
      <c r="D556" s="34">
        <v>1</v>
      </c>
      <c r="E556" s="20" cm="1">
        <f t="array" ref="E556">_xlfn.COUNTIFS(B3:B562,B556,D3:D562,1,A3:A562,A556)</f>
        <v>3</v>
      </c>
      <c r="F556" s="25" cm="1">
        <f t="array" ref="F556">(YEAR(C556)-2025)*1000+MONTH(C556)*31+DAY(C556)+A556</f>
        <v>1109</v>
      </c>
    </row>
    <row r="557" ht="13.65" customHeight="1">
      <c r="A557" s="22">
        <v>2</v>
      </c>
      <c r="B557" t="s" s="23">
        <v>20</v>
      </c>
      <c r="C557" t="s" s="23">
        <v>19</v>
      </c>
      <c r="D557" s="24">
        <v>1</v>
      </c>
      <c r="E557" s="20" cm="1">
        <f t="array" ref="E557">_xlfn.COUNTIFS(B3:B562,B557,D3:D562,1,A3:A562,A557)</f>
        <v>3</v>
      </c>
      <c r="F557" s="25" cm="1">
        <f t="array" ref="F557">(YEAR(C557)-2025)*1000+MONTH(C557)*31+DAY(C557)+A557</f>
        <v>1109</v>
      </c>
    </row>
    <row r="558" ht="13.65" customHeight="1">
      <c r="A558" s="22">
        <v>2</v>
      </c>
      <c r="B558" t="s" s="23">
        <v>20</v>
      </c>
      <c r="C558" t="s" s="23">
        <v>19</v>
      </c>
      <c r="D558" s="24">
        <v>1</v>
      </c>
      <c r="E558" s="20" cm="1">
        <f t="array" ref="E558">_xlfn.COUNTIFS(B3:B562,B558,D3:D562,1,A3:A562,A558)</f>
        <v>3</v>
      </c>
      <c r="F558" s="25" cm="1">
        <f t="array" ref="F558">(YEAR(C558)-2025)*1000+MONTH(C558)*31+DAY(C558)+A558</f>
        <v>1109</v>
      </c>
    </row>
    <row r="559" ht="13.65" customHeight="1">
      <c r="A559" s="32">
        <v>2</v>
      </c>
      <c r="B559" t="s" s="33">
        <v>20</v>
      </c>
      <c r="C559" t="s" s="33">
        <v>15703</v>
      </c>
      <c r="D559" s="34">
        <v>0</v>
      </c>
      <c r="E559" s="20" cm="1">
        <f t="array" ref="E559">_xlfn.COUNTIFS(B3:B562,B559,D3:D562,1,A3:A562,A559)</f>
        <v>3</v>
      </c>
      <c r="F559" s="25" cm="1">
        <f t="array" ref="F559">(YEAR(C559)-2025)*1000+MONTH(C559)*31+DAY(C559)+A559</f>
        <v>1108</v>
      </c>
    </row>
    <row r="560" ht="13.65" customHeight="1">
      <c r="A560" s="22">
        <v>1</v>
      </c>
      <c r="B560" t="s" s="23">
        <v>12</v>
      </c>
      <c r="C560" t="s" s="23">
        <v>19</v>
      </c>
      <c r="D560" s="24">
        <v>1</v>
      </c>
      <c r="E560" s="20" cm="1">
        <f t="array" ref="E560">_xlfn.COUNTIFS(B3:B562,B560,D3:D562,1,A3:A562,A560)</f>
        <v>3</v>
      </c>
      <c r="F560" s="25" cm="1">
        <f t="array" ref="F560">(YEAR(C560)-2025)*1000+MONTH(C560)*31+DAY(C560)+A560</f>
        <v>1108</v>
      </c>
    </row>
    <row r="561" ht="13.65" customHeight="1">
      <c r="A561" s="35">
        <v>1</v>
      </c>
      <c r="B561" t="s" s="36">
        <v>12</v>
      </c>
      <c r="C561" t="s" s="36">
        <v>19</v>
      </c>
      <c r="D561" s="37">
        <v>1</v>
      </c>
      <c r="E561" s="20" cm="1">
        <f t="array" ref="E561">_xlfn.COUNTIFS(B3:B562,B561,D3:D562,1,A3:A562,A561)</f>
        <v>3</v>
      </c>
      <c r="F561" s="25" cm="1">
        <f t="array" ref="F561">(YEAR(C561)-2025)*1000+MONTH(C561)*31+DAY(C561)+A561</f>
        <v>1108</v>
      </c>
    </row>
    <row r="562" ht="13.65" customHeight="1">
      <c r="A562" s="38">
        <v>1</v>
      </c>
      <c r="B562" t="s" s="39">
        <v>12</v>
      </c>
      <c r="C562" t="s" s="39">
        <v>15703</v>
      </c>
      <c r="D562" s="40">
        <v>1</v>
      </c>
      <c r="E562" s="41" cm="1">
        <f t="array" ref="E562">_xlfn.COUNTIFS(B3:B562,B562,D3:D562,1,A3:A562,A562)</f>
        <v>3</v>
      </c>
      <c r="F562" s="25" cm="1">
        <f t="array" ref="F562">(YEAR(C562)-2025)*1000+MONTH(C562)*31+DAY(C562)+A562</f>
        <v>1107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4862"/>
  <sheetViews>
    <sheetView workbookViewId="0" showGridLines="0" defaultGridColor="1">
      <pane topLeftCell="A3" xSplit="0" ySplit="2" activePane="bottomLeft" state="frozen"/>
    </sheetView>
  </sheetViews>
  <sheetFormatPr defaultColWidth="13.3333" defaultRowHeight="14" customHeight="1" outlineLevelRow="0" outlineLevelCol="0"/>
  <cols>
    <col min="1" max="1" width="7.66406" style="42" customWidth="1"/>
    <col min="2" max="2" width="18.2578" style="42" customWidth="1"/>
    <col min="3" max="3" width="5.25" style="42" customWidth="1"/>
    <col min="4" max="4" width="4.85156" style="42" customWidth="1"/>
    <col min="5" max="16384" width="13.3516" style="42" customWidth="1"/>
  </cols>
  <sheetData>
    <row r="1" ht="19" customHeight="1">
      <c r="A1" t="s" s="43">
        <v>15704</v>
      </c>
      <c r="B1" s="43"/>
      <c r="C1" s="43"/>
      <c r="D1" s="43"/>
    </row>
    <row r="2" ht="15" customHeight="1">
      <c r="A2" t="s" s="44">
        <v>10</v>
      </c>
      <c r="B2" t="s" s="45">
        <v>1</v>
      </c>
      <c r="C2" t="s" s="46">
        <v>9</v>
      </c>
      <c r="D2" t="s" s="47">
        <v>15705</v>
      </c>
    </row>
    <row r="3" ht="13.65" customHeight="1">
      <c r="A3" s="48">
        <v>1</v>
      </c>
      <c r="D3" s="49">
        <v>22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8.78125" style="50" customWidth="1"/>
    <col min="2" max="2" width="7.67188" style="50" customWidth="1"/>
    <col min="3" max="16384" width="16.3516" style="50" customWidth="1"/>
  </cols>
  <sheetData>
    <row r="1" ht="29" customHeight="1">
      <c r="A1" t="s" s="51">
        <v>15706</v>
      </c>
      <c r="B1" s="51"/>
    </row>
    <row r="2" ht="16.7" customHeight="1">
      <c r="A2" t="s" s="14">
        <v>15707</v>
      </c>
      <c r="B2" t="s" s="14">
        <v>15708</v>
      </c>
    </row>
    <row r="3" ht="16.75" customHeight="1">
      <c r="A3" s="17" cm="1">
        <f t="array" ref="A3">COUNTIF('어휘 - 표 1 스냅샷'!J2:J2503,"&gt;=3")</f>
        <v>96</v>
      </c>
      <c r="B3" s="17" cm="1">
        <f t="array" ref="B3">COUNTA('어휘 - 표 1 스냅샷'!A2:A2503)-A3</f>
        <v>2406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0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35156" style="52" customWidth="1"/>
    <col min="2" max="2" width="10.3516" style="52" customWidth="1"/>
    <col min="3" max="3" width="14.5781" style="52" customWidth="1"/>
    <col min="4" max="4" width="4.40625" style="52" customWidth="1"/>
    <col min="5" max="16384" width="16.3516" style="52" customWidth="1"/>
  </cols>
  <sheetData>
    <row r="1" ht="29" customHeight="1">
      <c r="A1" t="s" s="51">
        <v>15709</v>
      </c>
      <c r="B1" s="51"/>
      <c r="C1" s="51"/>
      <c r="D1" s="51"/>
    </row>
    <row r="2" ht="21.15" customHeight="1">
      <c r="A2" s="53"/>
      <c r="B2" t="s" s="54">
        <v>11</v>
      </c>
      <c r="C2" t="s" s="54">
        <v>15710</v>
      </c>
      <c r="D2" t="s" s="54">
        <v>15711</v>
      </c>
    </row>
    <row r="3" ht="19.65" customHeight="1">
      <c r="A3" t="s" s="55">
        <v>15712</v>
      </c>
      <c r="B3" s="56"/>
      <c r="C3" t="s" s="55">
        <v>15713</v>
      </c>
      <c r="D3" s="56"/>
    </row>
    <row r="4" ht="19" customHeight="1">
      <c r="A4" s="57">
        <v>46082</v>
      </c>
      <c r="B4" s="58"/>
      <c r="C4" s="59">
        <f>SUM(C5:C23)</f>
        <v>96</v>
      </c>
      <c r="D4" s="58"/>
    </row>
    <row r="5" ht="19.2" customHeight="1">
      <c r="A5" s="60"/>
      <c r="B5" s="61">
        <v>46094</v>
      </c>
      <c r="C5" s="17" cm="1">
        <f t="array" ref="C5">COUNTIF('어휘 - 표 1 스냅샷'!L2:L2503,B5)</f>
        <v>0</v>
      </c>
      <c r="D5" s="62" cm="1">
        <f t="array" ref="D5">COUNTIF('외운 것 - 엑셀다운로드 파일(붙여넣기)'!C3:C562,B5)/100</f>
        <v>1</v>
      </c>
    </row>
    <row r="6" ht="19" customHeight="1">
      <c r="A6" s="63"/>
      <c r="B6" s="64">
        <v>46095</v>
      </c>
      <c r="C6" s="22" cm="1">
        <f t="array" ref="C6">COUNTIF('어휘 - 표 1 스냅샷'!L2:L2503,B6)</f>
        <v>71</v>
      </c>
      <c r="D6" s="65" cm="1">
        <f t="array" ref="D6">COUNTIF('외운 것 - 엑셀다운로드 파일(붙여넣기)'!C3:C562,B6)/100</f>
        <v>2</v>
      </c>
    </row>
    <row r="7" ht="19" customHeight="1">
      <c r="A7" s="63"/>
      <c r="B7" s="64">
        <v>46096</v>
      </c>
      <c r="C7" s="22" cm="1">
        <f t="array" ref="C7">COUNTIF('어휘 - 표 1 스냅샷'!L2:L2503,B7)</f>
        <v>4</v>
      </c>
      <c r="D7" s="65" cm="1">
        <f t="array" ref="D7">COUNTIF('외운 것 - 엑셀다운로드 파일(붙여넣기)'!C3:C562,B7)/100</f>
        <v>0.6</v>
      </c>
    </row>
    <row r="8" ht="19" customHeight="1">
      <c r="A8" s="63"/>
      <c r="B8" s="64">
        <v>46097</v>
      </c>
      <c r="C8" s="22" cm="1">
        <f t="array" ref="C8">COUNTIF('어휘 - 표 1 스냅샷'!L2:L2503,B8)</f>
        <v>14</v>
      </c>
      <c r="D8" s="65" cm="1">
        <f t="array" ref="D8">COUNTIF('외운 것 - 엑셀다운로드 파일(붙여넣기)'!C3:C562,B8)/100</f>
        <v>1</v>
      </c>
    </row>
    <row r="9" ht="19" customHeight="1">
      <c r="A9" s="63"/>
      <c r="B9" s="64">
        <v>46098</v>
      </c>
      <c r="C9" s="22" cm="1">
        <f t="array" ref="C9">COUNTIF('어휘 - 표 1 스냅샷'!L2:L2503,B9)</f>
        <v>7</v>
      </c>
      <c r="D9" s="65" cm="1">
        <f t="array" ref="D9">COUNTIF('외운 것 - 엑셀다운로드 파일(붙여넣기)'!C3:C562,B9)/100</f>
        <v>1</v>
      </c>
    </row>
    <row r="10" ht="19" customHeight="1">
      <c r="A10" s="63"/>
      <c r="B10" s="64">
        <v>46099</v>
      </c>
      <c r="C10" s="22" cm="1">
        <f t="array" ref="C10">COUNTIF('어휘 - 표 1 스냅샷'!L2:L2503,B10)</f>
        <v>0</v>
      </c>
      <c r="D10" s="65" cm="1">
        <f t="array" ref="D10">COUNTIF('외운 것 - 엑셀다운로드 파일(붙여넣기)'!C3:C562,B10)/100</f>
        <v>0</v>
      </c>
    </row>
    <row r="11" ht="19" customHeight="1">
      <c r="A11" s="63"/>
      <c r="B11" s="64">
        <v>46100</v>
      </c>
      <c r="C11" s="22" cm="1">
        <f t="array" ref="C11">COUNTIF('어휘 - 표 1 스냅샷'!L2:L2503,B11)</f>
        <v>0</v>
      </c>
      <c r="D11" s="65" cm="1">
        <f t="array" ref="D11">COUNTIF('외운 것 - 엑셀다운로드 파일(붙여넣기)'!C3:C562,B11)/100</f>
        <v>0</v>
      </c>
    </row>
    <row r="12" ht="19" customHeight="1">
      <c r="A12" s="63"/>
      <c r="B12" s="64">
        <v>46101</v>
      </c>
      <c r="C12" s="22" cm="1">
        <f t="array" ref="C12">COUNTIF('어휘 - 표 1 스냅샷'!L2:L2503,B12)</f>
        <v>0</v>
      </c>
      <c r="D12" s="65" cm="1">
        <f t="array" ref="D12">COUNTIF('외운 것 - 엑셀다운로드 파일(붙여넣기)'!C3:C562,B12)/100</f>
        <v>0</v>
      </c>
    </row>
    <row r="13" ht="19" customHeight="1">
      <c r="A13" s="63"/>
      <c r="B13" s="64">
        <v>46102</v>
      </c>
      <c r="C13" s="22" cm="1">
        <f t="array" ref="C13">COUNTIF('어휘 - 표 1 스냅샷'!L2:L2503,B13)</f>
        <v>0</v>
      </c>
      <c r="D13" s="65" cm="1">
        <f t="array" ref="D13">COUNTIF('외운 것 - 엑셀다운로드 파일(붙여넣기)'!C3:C562,B13)/100</f>
        <v>0</v>
      </c>
    </row>
    <row r="14" ht="19" customHeight="1">
      <c r="A14" s="63"/>
      <c r="B14" s="64">
        <v>46103</v>
      </c>
      <c r="C14" s="22" cm="1">
        <f t="array" ref="C14">COUNTIF('어휘 - 표 1 스냅샷'!L2:L2503,B14)</f>
        <v>0</v>
      </c>
      <c r="D14" s="65" cm="1">
        <f t="array" ref="D14">COUNTIF('외운 것 - 엑셀다운로드 파일(붙여넣기)'!C3:C562,B14)/100</f>
        <v>0</v>
      </c>
    </row>
    <row r="15" ht="19" customHeight="1">
      <c r="A15" s="63"/>
      <c r="B15" s="64">
        <v>46104</v>
      </c>
      <c r="C15" s="22" cm="1">
        <f t="array" ref="C15">COUNTIF('어휘 - 표 1 스냅샷'!L2:L2503,B15)</f>
        <v>0</v>
      </c>
      <c r="D15" s="65" cm="1">
        <f t="array" ref="D15">COUNTIF('외운 것 - 엑셀다운로드 파일(붙여넣기)'!C3:C562,B15)/100</f>
        <v>0</v>
      </c>
    </row>
    <row r="16" ht="19" customHeight="1">
      <c r="A16" s="63"/>
      <c r="B16" s="64">
        <v>46105</v>
      </c>
      <c r="C16" s="22" cm="1">
        <f t="array" ref="C16">COUNTIF('어휘 - 표 1 스냅샷'!L2:L2503,B16)</f>
        <v>0</v>
      </c>
      <c r="D16" s="65" cm="1">
        <f t="array" ref="D16">COUNTIF('외운 것 - 엑셀다운로드 파일(붙여넣기)'!C3:C562,B16)/100</f>
        <v>0</v>
      </c>
    </row>
    <row r="17" ht="19" customHeight="1">
      <c r="A17" s="63"/>
      <c r="B17" s="64">
        <v>46106</v>
      </c>
      <c r="C17" s="22" cm="1">
        <f t="array" ref="C17">COUNTIF('어휘 - 표 1 스냅샷'!L2:L2503,B17)</f>
        <v>0</v>
      </c>
      <c r="D17" s="65" cm="1">
        <f t="array" ref="D17">COUNTIF('외운 것 - 엑셀다운로드 파일(붙여넣기)'!C3:C562,B17)/100</f>
        <v>0</v>
      </c>
    </row>
    <row r="18" ht="19" customHeight="1">
      <c r="A18" s="63"/>
      <c r="B18" s="64">
        <v>46107</v>
      </c>
      <c r="C18" s="22" cm="1">
        <f t="array" ref="C18">COUNTIF('어휘 - 표 1 스냅샷'!L2:L2503,B18)</f>
        <v>0</v>
      </c>
      <c r="D18" s="65" cm="1">
        <f t="array" ref="D18">COUNTIF('외운 것 - 엑셀다운로드 파일(붙여넣기)'!C3:C562,B18)/100</f>
        <v>0</v>
      </c>
    </row>
    <row r="19" ht="19" customHeight="1">
      <c r="A19" s="63"/>
      <c r="B19" s="64">
        <v>46108</v>
      </c>
      <c r="C19" s="22" cm="1">
        <f t="array" ref="C19">COUNTIF('어휘 - 표 1 스냅샷'!L2:L2503,B19)</f>
        <v>0</v>
      </c>
      <c r="D19" s="65" cm="1">
        <f t="array" ref="D19">COUNTIF('외운 것 - 엑셀다운로드 파일(붙여넣기)'!C3:C562,B19)/100</f>
        <v>0</v>
      </c>
    </row>
    <row r="20" ht="19" customHeight="1">
      <c r="A20" s="63"/>
      <c r="B20" s="64">
        <v>46109</v>
      </c>
      <c r="C20" s="22" cm="1">
        <f t="array" ref="C20">COUNTIF('어휘 - 표 1 스냅샷'!L2:L2503,B20)</f>
        <v>0</v>
      </c>
      <c r="D20" s="65" cm="1">
        <f t="array" ref="D20">COUNTIF('외운 것 - 엑셀다운로드 파일(붙여넣기)'!C3:C562,B20)/100</f>
        <v>0</v>
      </c>
    </row>
    <row r="21" ht="19" customHeight="1">
      <c r="A21" s="63"/>
      <c r="B21" s="64">
        <v>46110</v>
      </c>
      <c r="C21" s="22" cm="1">
        <f t="array" ref="C21">COUNTIF('어휘 - 표 1 스냅샷'!L2:L2503,B21)</f>
        <v>0</v>
      </c>
      <c r="D21" s="65" cm="1">
        <f t="array" ref="D21">COUNTIF('외운 것 - 엑셀다운로드 파일(붙여넣기)'!C3:C562,B21)/100</f>
        <v>0</v>
      </c>
    </row>
    <row r="22" ht="19" customHeight="1">
      <c r="A22" s="63"/>
      <c r="B22" s="64">
        <v>46111</v>
      </c>
      <c r="C22" s="22" cm="1">
        <f t="array" ref="C22">COUNTIF('어휘 - 표 1 스냅샷'!L2:L2503,B22)</f>
        <v>0</v>
      </c>
      <c r="D22" s="65" cm="1">
        <f t="array" ref="D22">COUNTIF('외운 것 - 엑셀다운로드 파일(붙여넣기)'!C3:C562,B22)/100</f>
        <v>0</v>
      </c>
    </row>
    <row r="23" ht="19.8" customHeight="1">
      <c r="A23" s="66"/>
      <c r="B23" s="67">
        <v>46112</v>
      </c>
      <c r="C23" s="68" cm="1">
        <f t="array" ref="C23">COUNTIF('어휘 - 표 1 스냅샷'!L2:L2503,B23)</f>
        <v>0</v>
      </c>
      <c r="D23" s="69" cm="1">
        <f t="array" ref="D23">COUNTIF('외운 것 - 엑셀다운로드 파일(붙여넣기)'!C3:C562,B23)/100</f>
        <v>0</v>
      </c>
    </row>
    <row r="24" ht="20.65" customHeight="1">
      <c r="A24" s="70">
        <v>46113</v>
      </c>
      <c r="B24" s="71"/>
      <c r="C24" s="72">
        <f>SUM(C25:C54)</f>
        <v>0</v>
      </c>
      <c r="D24" s="71"/>
    </row>
    <row r="25" ht="10" customHeight="1" hidden="1">
      <c r="A25" s="73"/>
      <c r="B25" s="74">
        <v>46113</v>
      </c>
      <c r="C25" s="75" cm="1">
        <f t="array" ref="C25">COUNTIF('어휘 - 표 1 스냅샷'!L2:L2503,B25)</f>
        <v>0</v>
      </c>
      <c r="D25" s="76" cm="1">
        <f t="array" ref="D25">COUNTIF('외운 것 - 엑셀다운로드 파일(붙여넣기)'!C3:C562,B25)/100</f>
        <v>0</v>
      </c>
    </row>
    <row r="26" ht="10" customHeight="1" hidden="1">
      <c r="A26" s="73"/>
      <c r="B26" s="74">
        <v>46114</v>
      </c>
      <c r="C26" s="75" cm="1">
        <f t="array" ref="C26">COUNTIF('어휘 - 표 1 스냅샷'!L2:L2503,B26)</f>
        <v>0</v>
      </c>
      <c r="D26" s="76" cm="1">
        <f t="array" ref="D26">COUNTIF('외운 것 - 엑셀다운로드 파일(붙여넣기)'!C3:C562,B26)/100</f>
        <v>0</v>
      </c>
    </row>
    <row r="27" ht="10" customHeight="1" hidden="1">
      <c r="A27" s="73"/>
      <c r="B27" s="74">
        <v>46115</v>
      </c>
      <c r="C27" s="75" cm="1">
        <f t="array" ref="C27">COUNTIF('어휘 - 표 1 스냅샷'!L2:L2503,B27)</f>
        <v>0</v>
      </c>
      <c r="D27" s="76" cm="1">
        <f t="array" ref="D27">COUNTIF('외운 것 - 엑셀다운로드 파일(붙여넣기)'!C3:C562,B27)/100</f>
        <v>0</v>
      </c>
    </row>
    <row r="28" ht="10" customHeight="1" hidden="1">
      <c r="A28" s="73"/>
      <c r="B28" s="74">
        <v>46116</v>
      </c>
      <c r="C28" s="75" cm="1">
        <f t="array" ref="C28">COUNTIF('어휘 - 표 1 스냅샷'!L2:L2503,B28)</f>
        <v>0</v>
      </c>
      <c r="D28" s="76" cm="1">
        <f t="array" ref="D28">COUNTIF('외운 것 - 엑셀다운로드 파일(붙여넣기)'!C3:C562,B28)/100</f>
        <v>0</v>
      </c>
    </row>
    <row r="29" ht="10" customHeight="1" hidden="1">
      <c r="A29" s="73"/>
      <c r="B29" s="74">
        <v>46117</v>
      </c>
      <c r="C29" s="75" cm="1">
        <f t="array" ref="C29">COUNTIF('어휘 - 표 1 스냅샷'!L2:L2503,B29)</f>
        <v>0</v>
      </c>
      <c r="D29" s="76" cm="1">
        <f t="array" ref="D29">COUNTIF('외운 것 - 엑셀다운로드 파일(붙여넣기)'!C3:C562,B29)/100</f>
        <v>0</v>
      </c>
    </row>
    <row r="30" ht="10" customHeight="1" hidden="1">
      <c r="A30" s="73"/>
      <c r="B30" s="74">
        <v>46118</v>
      </c>
      <c r="C30" s="75" cm="1">
        <f t="array" ref="C30">COUNTIF('어휘 - 표 1 스냅샷'!L2:L2503,B30)</f>
        <v>0</v>
      </c>
      <c r="D30" s="76" cm="1">
        <f t="array" ref="D30">COUNTIF('외운 것 - 엑셀다운로드 파일(붙여넣기)'!C3:C562,B30)/100</f>
        <v>0</v>
      </c>
    </row>
    <row r="31" ht="10" customHeight="1" hidden="1">
      <c r="A31" s="73"/>
      <c r="B31" s="74">
        <v>46119</v>
      </c>
      <c r="C31" s="75" cm="1">
        <f t="array" ref="C31">COUNTIF('어휘 - 표 1 스냅샷'!L2:L2503,B31)</f>
        <v>0</v>
      </c>
      <c r="D31" s="76" cm="1">
        <f t="array" ref="D31">COUNTIF('외운 것 - 엑셀다운로드 파일(붙여넣기)'!C3:C562,B31)/100</f>
        <v>0</v>
      </c>
    </row>
    <row r="32" ht="10" customHeight="1" hidden="1">
      <c r="A32" s="73"/>
      <c r="B32" s="74">
        <v>46120</v>
      </c>
      <c r="C32" s="75" cm="1">
        <f t="array" ref="C32">COUNTIF('어휘 - 표 1 스냅샷'!L2:L2503,B32)</f>
        <v>0</v>
      </c>
      <c r="D32" s="76" cm="1">
        <f t="array" ref="D32">COUNTIF('외운 것 - 엑셀다운로드 파일(붙여넣기)'!C3:C562,B32)/100</f>
        <v>0</v>
      </c>
    </row>
    <row r="33" ht="10" customHeight="1" hidden="1">
      <c r="A33" s="73"/>
      <c r="B33" s="74">
        <v>46121</v>
      </c>
      <c r="C33" s="75" cm="1">
        <f t="array" ref="C33">COUNTIF('어휘 - 표 1 스냅샷'!L2:L2503,B33)</f>
        <v>0</v>
      </c>
      <c r="D33" s="76" cm="1">
        <f t="array" ref="D33">COUNTIF('외운 것 - 엑셀다운로드 파일(붙여넣기)'!C3:C562,B33)/100</f>
        <v>0</v>
      </c>
    </row>
    <row r="34" ht="10" customHeight="1" hidden="1">
      <c r="A34" s="73"/>
      <c r="B34" s="74">
        <v>46122</v>
      </c>
      <c r="C34" s="75" cm="1">
        <f t="array" ref="C34">COUNTIF('어휘 - 표 1 스냅샷'!L2:L2503,B34)</f>
        <v>0</v>
      </c>
      <c r="D34" s="76" cm="1">
        <f t="array" ref="D34">COUNTIF('외운 것 - 엑셀다운로드 파일(붙여넣기)'!C3:C562,B34)/100</f>
        <v>0</v>
      </c>
    </row>
    <row r="35" ht="10" customHeight="1" hidden="1">
      <c r="A35" s="73"/>
      <c r="B35" s="74">
        <v>46123</v>
      </c>
      <c r="C35" s="75" cm="1">
        <f t="array" ref="C35">COUNTIF('어휘 - 표 1 스냅샷'!L2:L2503,B35)</f>
        <v>0</v>
      </c>
      <c r="D35" s="76" cm="1">
        <f t="array" ref="D35">COUNTIF('외운 것 - 엑셀다운로드 파일(붙여넣기)'!C3:C562,B35)/100</f>
        <v>0</v>
      </c>
    </row>
    <row r="36" ht="10" customHeight="1" hidden="1">
      <c r="A36" s="73"/>
      <c r="B36" s="74">
        <v>46124</v>
      </c>
      <c r="C36" s="75" cm="1">
        <f t="array" ref="C36">COUNTIF('어휘 - 표 1 스냅샷'!L2:L2503,B36)</f>
        <v>0</v>
      </c>
      <c r="D36" s="76" cm="1">
        <f t="array" ref="D36">COUNTIF('외운 것 - 엑셀다운로드 파일(붙여넣기)'!C3:C562,B36)/100</f>
        <v>0</v>
      </c>
    </row>
    <row r="37" ht="10" customHeight="1" hidden="1">
      <c r="A37" s="73"/>
      <c r="B37" s="74">
        <v>46125</v>
      </c>
      <c r="C37" s="75" cm="1">
        <f t="array" ref="C37">COUNTIF('어휘 - 표 1 스냅샷'!L2:L2503,B37)</f>
        <v>0</v>
      </c>
      <c r="D37" s="76" cm="1">
        <f t="array" ref="D37">COUNTIF('외운 것 - 엑셀다운로드 파일(붙여넣기)'!C3:C562,B37)/100</f>
        <v>0</v>
      </c>
    </row>
    <row r="38" ht="10" customHeight="1" hidden="1">
      <c r="A38" s="73"/>
      <c r="B38" s="74">
        <v>46126</v>
      </c>
      <c r="C38" s="75" cm="1">
        <f t="array" ref="C38">COUNTIF('어휘 - 표 1 스냅샷'!L2:L2503,B38)</f>
        <v>0</v>
      </c>
      <c r="D38" s="76" cm="1">
        <f t="array" ref="D38">COUNTIF('외운 것 - 엑셀다운로드 파일(붙여넣기)'!C3:C562,B38)/100</f>
        <v>0</v>
      </c>
    </row>
    <row r="39" ht="10" customHeight="1" hidden="1">
      <c r="A39" s="73"/>
      <c r="B39" s="74">
        <v>46127</v>
      </c>
      <c r="C39" s="75" cm="1">
        <f t="array" ref="C39">COUNTIF('어휘 - 표 1 스냅샷'!L2:L2503,B39)</f>
        <v>0</v>
      </c>
      <c r="D39" s="76" cm="1">
        <f t="array" ref="D39">COUNTIF('외운 것 - 엑셀다운로드 파일(붙여넣기)'!C3:C562,B39)/100</f>
        <v>0</v>
      </c>
    </row>
    <row r="40" ht="10" customHeight="1" hidden="1">
      <c r="A40" s="73"/>
      <c r="B40" s="74">
        <v>46128</v>
      </c>
      <c r="C40" s="75" cm="1">
        <f t="array" ref="C40">COUNTIF('어휘 - 표 1 스냅샷'!L2:L2503,B40)</f>
        <v>0</v>
      </c>
      <c r="D40" s="76" cm="1">
        <f t="array" ref="D40">COUNTIF('외운 것 - 엑셀다운로드 파일(붙여넣기)'!C3:C562,B40)/100</f>
        <v>0</v>
      </c>
    </row>
    <row r="41" ht="10" customHeight="1" hidden="1">
      <c r="A41" s="73"/>
      <c r="B41" s="74">
        <v>46129</v>
      </c>
      <c r="C41" s="75" cm="1">
        <f t="array" ref="C41">COUNTIF('어휘 - 표 1 스냅샷'!L2:L2503,B41)</f>
        <v>0</v>
      </c>
      <c r="D41" s="76" cm="1">
        <f t="array" ref="D41">COUNTIF('외운 것 - 엑셀다운로드 파일(붙여넣기)'!C3:C562,B41)/100</f>
        <v>0</v>
      </c>
    </row>
    <row r="42" ht="10" customHeight="1" hidden="1">
      <c r="A42" s="73"/>
      <c r="B42" s="74">
        <v>46130</v>
      </c>
      <c r="C42" s="75" cm="1">
        <f t="array" ref="C42">COUNTIF('어휘 - 표 1 스냅샷'!L2:L2503,B42)</f>
        <v>0</v>
      </c>
      <c r="D42" s="76" cm="1">
        <f t="array" ref="D42">COUNTIF('외운 것 - 엑셀다운로드 파일(붙여넣기)'!C3:C562,B42)/100</f>
        <v>0</v>
      </c>
    </row>
    <row r="43" ht="10" customHeight="1" hidden="1">
      <c r="A43" s="73"/>
      <c r="B43" s="74">
        <v>46131</v>
      </c>
      <c r="C43" s="75" cm="1">
        <f t="array" ref="C43">COUNTIF('어휘 - 표 1 스냅샷'!L2:L2503,B43)</f>
        <v>0</v>
      </c>
      <c r="D43" s="76" cm="1">
        <f t="array" ref="D43">COUNTIF('외운 것 - 엑셀다운로드 파일(붙여넣기)'!C3:C562,B43)/100</f>
        <v>0</v>
      </c>
    </row>
    <row r="44" ht="10" customHeight="1" hidden="1">
      <c r="A44" s="73"/>
      <c r="B44" s="74">
        <v>46132</v>
      </c>
      <c r="C44" s="75" cm="1">
        <f t="array" ref="C44">COUNTIF('어휘 - 표 1 스냅샷'!L2:L2503,B44)</f>
        <v>0</v>
      </c>
      <c r="D44" s="76" cm="1">
        <f t="array" ref="D44">COUNTIF('외운 것 - 엑셀다운로드 파일(붙여넣기)'!C3:C562,B44)/100</f>
        <v>0</v>
      </c>
    </row>
    <row r="45" ht="10" customHeight="1" hidden="1">
      <c r="A45" s="73"/>
      <c r="B45" s="74">
        <v>46133</v>
      </c>
      <c r="C45" s="75" cm="1">
        <f t="array" ref="C45">COUNTIF('어휘 - 표 1 스냅샷'!L2:L2503,B45)</f>
        <v>0</v>
      </c>
      <c r="D45" s="76" cm="1">
        <f t="array" ref="D45">COUNTIF('외운 것 - 엑셀다운로드 파일(붙여넣기)'!C3:C562,B45)/100</f>
        <v>0</v>
      </c>
    </row>
    <row r="46" ht="10" customHeight="1" hidden="1">
      <c r="A46" s="73"/>
      <c r="B46" s="74">
        <v>46134</v>
      </c>
      <c r="C46" s="75" cm="1">
        <f t="array" ref="C46">COUNTIF('어휘 - 표 1 스냅샷'!L2:L2503,B46)</f>
        <v>0</v>
      </c>
      <c r="D46" s="76" cm="1">
        <f t="array" ref="D46">COUNTIF('외운 것 - 엑셀다운로드 파일(붙여넣기)'!C3:C562,B46)/100</f>
        <v>0</v>
      </c>
    </row>
    <row r="47" ht="10" customHeight="1" hidden="1">
      <c r="A47" s="73"/>
      <c r="B47" s="74">
        <v>46135</v>
      </c>
      <c r="C47" s="75" cm="1">
        <f t="array" ref="C47">COUNTIF('어휘 - 표 1 스냅샷'!L2:L2503,B47)</f>
        <v>0</v>
      </c>
      <c r="D47" s="76" cm="1">
        <f t="array" ref="D47">COUNTIF('외운 것 - 엑셀다운로드 파일(붙여넣기)'!C3:C562,B47)/100</f>
        <v>0</v>
      </c>
    </row>
    <row r="48" ht="10" customHeight="1" hidden="1">
      <c r="A48" s="73"/>
      <c r="B48" s="74">
        <v>46136</v>
      </c>
      <c r="C48" s="75" cm="1">
        <f t="array" ref="C48">COUNTIF('어휘 - 표 1 스냅샷'!L2:L2503,B48)</f>
        <v>0</v>
      </c>
      <c r="D48" s="76" cm="1">
        <f t="array" ref="D48">COUNTIF('외운 것 - 엑셀다운로드 파일(붙여넣기)'!C3:C562,B48)/100</f>
        <v>0</v>
      </c>
    </row>
    <row r="49" ht="10" customHeight="1" hidden="1">
      <c r="A49" s="73"/>
      <c r="B49" s="74">
        <v>46137</v>
      </c>
      <c r="C49" s="75" cm="1">
        <f t="array" ref="C49">COUNTIF('어휘 - 표 1 스냅샷'!L2:L2503,B49)</f>
        <v>0</v>
      </c>
      <c r="D49" s="76" cm="1">
        <f t="array" ref="D49">COUNTIF('외운 것 - 엑셀다운로드 파일(붙여넣기)'!C3:C562,B49)/100</f>
        <v>0</v>
      </c>
    </row>
    <row r="50" ht="10" customHeight="1" hidden="1">
      <c r="A50" s="73"/>
      <c r="B50" s="74">
        <v>46138</v>
      </c>
      <c r="C50" s="75" cm="1">
        <f t="array" ref="C50">COUNTIF('어휘 - 표 1 스냅샷'!L2:L2503,B50)</f>
        <v>0</v>
      </c>
      <c r="D50" s="76" cm="1">
        <f t="array" ref="D50">COUNTIF('외운 것 - 엑셀다운로드 파일(붙여넣기)'!C3:C562,B50)/100</f>
        <v>0</v>
      </c>
    </row>
    <row r="51" ht="10" customHeight="1" hidden="1">
      <c r="A51" s="73"/>
      <c r="B51" s="74">
        <v>46139</v>
      </c>
      <c r="C51" s="75" cm="1">
        <f t="array" ref="C51">COUNTIF('어휘 - 표 1 스냅샷'!L2:L2503,B51)</f>
        <v>0</v>
      </c>
      <c r="D51" s="76" cm="1">
        <f t="array" ref="D51">COUNTIF('외운 것 - 엑셀다운로드 파일(붙여넣기)'!C3:C562,B51)/100</f>
        <v>0</v>
      </c>
    </row>
    <row r="52" ht="10" customHeight="1" hidden="1">
      <c r="A52" s="73"/>
      <c r="B52" s="74">
        <v>46140</v>
      </c>
      <c r="C52" s="75" cm="1">
        <f t="array" ref="C52">COUNTIF('어휘 - 표 1 스냅샷'!L2:L2503,B52)</f>
        <v>0</v>
      </c>
      <c r="D52" s="76" cm="1">
        <f t="array" ref="D52">COUNTIF('외운 것 - 엑셀다운로드 파일(붙여넣기)'!C3:C562,B52)/100</f>
        <v>0</v>
      </c>
    </row>
    <row r="53" ht="10" customHeight="1" hidden="1">
      <c r="A53" s="73"/>
      <c r="B53" s="74">
        <v>46141</v>
      </c>
      <c r="C53" s="75" cm="1">
        <f t="array" ref="C53">COUNTIF('어휘 - 표 1 스냅샷'!L2:L2503,B53)</f>
        <v>0</v>
      </c>
      <c r="D53" s="76" cm="1">
        <f t="array" ref="D53">COUNTIF('외운 것 - 엑셀다운로드 파일(붙여넣기)'!C3:C562,B53)/100</f>
        <v>0</v>
      </c>
    </row>
    <row r="54" ht="10" customHeight="1" hidden="1">
      <c r="A54" s="73"/>
      <c r="B54" s="74">
        <v>46142</v>
      </c>
      <c r="C54" s="75" cm="1">
        <f t="array" ref="C54">COUNTIF('어휘 - 표 1 스냅샷'!L2:L2503,B54)</f>
        <v>0</v>
      </c>
      <c r="D54" s="76" cm="1">
        <f t="array" ref="D54">COUNTIF('외운 것 - 엑셀다운로드 파일(붙여넣기)'!C3:C562,B54)/100</f>
        <v>0</v>
      </c>
    </row>
    <row r="55" ht="20.65" customHeight="1">
      <c r="A55" s="70">
        <v>46143</v>
      </c>
      <c r="B55" s="71"/>
      <c r="C55" s="72">
        <f>SUM(C56:C86)</f>
        <v>0</v>
      </c>
      <c r="D55" s="71"/>
    </row>
    <row r="56" ht="10" customHeight="1" hidden="1">
      <c r="A56" s="73"/>
      <c r="B56" s="74">
        <v>46143</v>
      </c>
      <c r="C56" s="75" cm="1">
        <f t="array" ref="C56">COUNTIF('어휘 - 표 1 스냅샷'!L2:L2503,B56)</f>
        <v>0</v>
      </c>
      <c r="D56" s="77"/>
    </row>
    <row r="57" ht="10" customHeight="1" hidden="1">
      <c r="A57" s="73"/>
      <c r="B57" s="74">
        <v>46144</v>
      </c>
      <c r="C57" s="75" cm="1">
        <f t="array" ref="C57">COUNTIF('어휘 - 표 1 스냅샷'!L2:L2503,B57)</f>
        <v>0</v>
      </c>
      <c r="D57" s="77"/>
    </row>
    <row r="58" ht="10" customHeight="1" hidden="1">
      <c r="A58" s="73"/>
      <c r="B58" s="74">
        <v>46145</v>
      </c>
      <c r="C58" s="75" cm="1">
        <f t="array" ref="C58">COUNTIF('어휘 - 표 1 스냅샷'!L2:L2503,B58)</f>
        <v>0</v>
      </c>
      <c r="D58" s="77"/>
    </row>
    <row r="59" ht="10" customHeight="1" hidden="1">
      <c r="A59" s="73"/>
      <c r="B59" s="74">
        <v>46146</v>
      </c>
      <c r="C59" s="75" cm="1">
        <f t="array" ref="C59">COUNTIF('어휘 - 표 1 스냅샷'!L2:L2503,B59)</f>
        <v>0</v>
      </c>
      <c r="D59" s="77"/>
    </row>
    <row r="60" ht="10" customHeight="1" hidden="1">
      <c r="A60" s="73"/>
      <c r="B60" s="74">
        <v>46147</v>
      </c>
      <c r="C60" s="75" cm="1">
        <f t="array" ref="C60">COUNTIF('어휘 - 표 1 스냅샷'!L2:L2503,B60)</f>
        <v>0</v>
      </c>
      <c r="D60" s="77"/>
    </row>
    <row r="61" ht="10" customHeight="1" hidden="1">
      <c r="A61" s="73"/>
      <c r="B61" s="74">
        <v>46148</v>
      </c>
      <c r="C61" s="75" cm="1">
        <f t="array" ref="C61">COUNTIF('어휘 - 표 1 스냅샷'!L2:L2503,B61)</f>
        <v>0</v>
      </c>
      <c r="D61" s="77"/>
    </row>
    <row r="62" ht="10" customHeight="1" hidden="1">
      <c r="A62" s="73"/>
      <c r="B62" s="74">
        <v>46149</v>
      </c>
      <c r="C62" s="75" cm="1">
        <f t="array" ref="C62">COUNTIF('어휘 - 표 1 스냅샷'!L2:L2503,B62)</f>
        <v>0</v>
      </c>
      <c r="D62" s="77"/>
    </row>
    <row r="63" ht="10" customHeight="1" hidden="1">
      <c r="A63" s="73"/>
      <c r="B63" s="74">
        <v>46150</v>
      </c>
      <c r="C63" s="75" cm="1">
        <f t="array" ref="C63">COUNTIF('어휘 - 표 1 스냅샷'!L2:L2503,B63)</f>
        <v>0</v>
      </c>
      <c r="D63" s="77"/>
    </row>
    <row r="64" ht="10" customHeight="1" hidden="1">
      <c r="A64" s="73"/>
      <c r="B64" s="74">
        <v>46151</v>
      </c>
      <c r="C64" s="75" cm="1">
        <f t="array" ref="C64">COUNTIF('어휘 - 표 1 스냅샷'!L2:L2503,B64)</f>
        <v>0</v>
      </c>
      <c r="D64" s="77"/>
    </row>
    <row r="65" ht="10" customHeight="1" hidden="1">
      <c r="A65" s="73"/>
      <c r="B65" s="74">
        <v>46152</v>
      </c>
      <c r="C65" s="75" cm="1">
        <f t="array" ref="C65">COUNTIF('어휘 - 표 1 스냅샷'!L2:L2503,B65)</f>
        <v>0</v>
      </c>
      <c r="D65" s="77"/>
    </row>
    <row r="66" ht="10" customHeight="1" hidden="1">
      <c r="A66" s="73"/>
      <c r="B66" s="74">
        <v>46153</v>
      </c>
      <c r="C66" s="75" cm="1">
        <f t="array" ref="C66">COUNTIF('어휘 - 표 1 스냅샷'!L2:L2503,B66)</f>
        <v>0</v>
      </c>
      <c r="D66" s="77"/>
    </row>
    <row r="67" ht="10" customHeight="1" hidden="1">
      <c r="A67" s="73"/>
      <c r="B67" s="74">
        <v>46154</v>
      </c>
      <c r="C67" s="75" cm="1">
        <f t="array" ref="C67">COUNTIF('어휘 - 표 1 스냅샷'!L2:L2503,B67)</f>
        <v>0</v>
      </c>
      <c r="D67" s="77"/>
    </row>
    <row r="68" ht="10" customHeight="1" hidden="1">
      <c r="A68" s="73"/>
      <c r="B68" s="74">
        <v>46155</v>
      </c>
      <c r="C68" s="75" cm="1">
        <f t="array" ref="C68">COUNTIF('어휘 - 표 1 스냅샷'!L2:L2503,B68)</f>
        <v>0</v>
      </c>
      <c r="D68" s="77"/>
    </row>
    <row r="69" ht="10" customHeight="1" hidden="1">
      <c r="A69" s="73"/>
      <c r="B69" s="74">
        <v>46156</v>
      </c>
      <c r="C69" s="75" cm="1">
        <f t="array" ref="C69">COUNTIF('어휘 - 표 1 스냅샷'!L2:L2503,B69)</f>
        <v>0</v>
      </c>
      <c r="D69" s="77"/>
    </row>
    <row r="70" ht="10" customHeight="1" hidden="1">
      <c r="A70" s="73"/>
      <c r="B70" s="74">
        <v>46157</v>
      </c>
      <c r="C70" s="75" cm="1">
        <f t="array" ref="C70">COUNTIF('어휘 - 표 1 스냅샷'!L2:L2503,B70)</f>
        <v>0</v>
      </c>
      <c r="D70" s="77"/>
    </row>
    <row r="71" ht="10" customHeight="1" hidden="1">
      <c r="A71" s="73"/>
      <c r="B71" s="74">
        <v>46158</v>
      </c>
      <c r="C71" s="75" cm="1">
        <f t="array" ref="C71">COUNTIF('어휘 - 표 1 스냅샷'!L2:L2503,B71)</f>
        <v>0</v>
      </c>
      <c r="D71" s="77"/>
    </row>
    <row r="72" ht="10" customHeight="1" hidden="1">
      <c r="A72" s="73"/>
      <c r="B72" s="74">
        <v>46159</v>
      </c>
      <c r="C72" s="75" cm="1">
        <f t="array" ref="C72">COUNTIF('어휘 - 표 1 스냅샷'!L2:L2503,B72)</f>
        <v>0</v>
      </c>
      <c r="D72" s="77"/>
    </row>
    <row r="73" ht="10" customHeight="1" hidden="1">
      <c r="A73" s="73"/>
      <c r="B73" s="74">
        <v>46160</v>
      </c>
      <c r="C73" s="75" cm="1">
        <f t="array" ref="C73">COUNTIF('어휘 - 표 1 스냅샷'!L2:L2503,B73)</f>
        <v>0</v>
      </c>
      <c r="D73" s="77"/>
    </row>
    <row r="74" ht="10" customHeight="1" hidden="1">
      <c r="A74" s="73"/>
      <c r="B74" s="74">
        <v>46161</v>
      </c>
      <c r="C74" s="75" cm="1">
        <f t="array" ref="C74">COUNTIF('어휘 - 표 1 스냅샷'!L2:L2503,B74)</f>
        <v>0</v>
      </c>
      <c r="D74" s="77"/>
    </row>
    <row r="75" ht="10" customHeight="1" hidden="1">
      <c r="A75" s="73"/>
      <c r="B75" s="74">
        <v>46162</v>
      </c>
      <c r="C75" s="75" cm="1">
        <f t="array" ref="C75">COUNTIF('어휘 - 표 1 스냅샷'!L2:L2503,B75)</f>
        <v>0</v>
      </c>
      <c r="D75" s="77"/>
    </row>
    <row r="76" ht="10" customHeight="1" hidden="1">
      <c r="A76" s="73"/>
      <c r="B76" s="74">
        <v>46163</v>
      </c>
      <c r="C76" s="75" cm="1">
        <f t="array" ref="C76">COUNTIF('어휘 - 표 1 스냅샷'!L2:L2503,B76)</f>
        <v>0</v>
      </c>
      <c r="D76" s="77"/>
    </row>
    <row r="77" ht="10" customHeight="1" hidden="1">
      <c r="A77" s="73"/>
      <c r="B77" s="74">
        <v>46164</v>
      </c>
      <c r="C77" s="75" cm="1">
        <f t="array" ref="C77">COUNTIF('어휘 - 표 1 스냅샷'!L2:L2503,B77)</f>
        <v>0</v>
      </c>
      <c r="D77" s="77"/>
    </row>
    <row r="78" ht="10" customHeight="1" hidden="1">
      <c r="A78" s="73"/>
      <c r="B78" s="74">
        <v>46165</v>
      </c>
      <c r="C78" s="75" cm="1">
        <f t="array" ref="C78">COUNTIF('어휘 - 표 1 스냅샷'!L2:L2503,B78)</f>
        <v>0</v>
      </c>
      <c r="D78" s="77"/>
    </row>
    <row r="79" ht="10" customHeight="1" hidden="1">
      <c r="A79" s="73"/>
      <c r="B79" s="74">
        <v>46166</v>
      </c>
      <c r="C79" s="75" cm="1">
        <f t="array" ref="C79">COUNTIF('어휘 - 표 1 스냅샷'!L2:L2503,B79)</f>
        <v>0</v>
      </c>
      <c r="D79" s="77"/>
    </row>
    <row r="80" ht="10" customHeight="1" hidden="1">
      <c r="A80" s="73"/>
      <c r="B80" s="74">
        <v>46167</v>
      </c>
      <c r="C80" s="75" cm="1">
        <f t="array" ref="C80">COUNTIF('어휘 - 표 1 스냅샷'!L2:L2503,B80)</f>
        <v>0</v>
      </c>
      <c r="D80" s="77"/>
    </row>
    <row r="81" ht="10" customHeight="1" hidden="1">
      <c r="A81" s="73"/>
      <c r="B81" s="74">
        <v>46168</v>
      </c>
      <c r="C81" s="75" cm="1">
        <f t="array" ref="C81">COUNTIF('어휘 - 표 1 스냅샷'!L2:L2503,B81)</f>
        <v>0</v>
      </c>
      <c r="D81" s="77"/>
    </row>
    <row r="82" ht="10" customHeight="1" hidden="1">
      <c r="A82" s="73"/>
      <c r="B82" s="74">
        <v>46169</v>
      </c>
      <c r="C82" s="75" cm="1">
        <f t="array" ref="C82">COUNTIF('어휘 - 표 1 스냅샷'!L2:L2503,B82)</f>
        <v>0</v>
      </c>
      <c r="D82" s="77"/>
    </row>
    <row r="83" ht="10" customHeight="1" hidden="1">
      <c r="A83" s="73"/>
      <c r="B83" s="74">
        <v>46170</v>
      </c>
      <c r="C83" s="75" cm="1">
        <f t="array" ref="C83">COUNTIF('어휘 - 표 1 스냅샷'!L2:L2503,B83)</f>
        <v>0</v>
      </c>
      <c r="D83" s="77"/>
    </row>
    <row r="84" ht="10" customHeight="1" hidden="1">
      <c r="A84" s="73"/>
      <c r="B84" s="74">
        <v>46171</v>
      </c>
      <c r="C84" s="75" cm="1">
        <f t="array" ref="C84">COUNTIF('어휘 - 표 1 스냅샷'!L2:L2503,B84)</f>
        <v>0</v>
      </c>
      <c r="D84" s="77"/>
    </row>
    <row r="85" ht="10" customHeight="1" hidden="1">
      <c r="A85" s="73"/>
      <c r="B85" s="74">
        <v>46172</v>
      </c>
      <c r="C85" s="75" cm="1">
        <f t="array" ref="C85">COUNTIF('어휘 - 표 1 스냅샷'!L2:L2503,B85)</f>
        <v>0</v>
      </c>
      <c r="D85" s="77"/>
    </row>
    <row r="86" ht="10" customHeight="1" hidden="1">
      <c r="A86" s="73"/>
      <c r="B86" s="74">
        <v>46173</v>
      </c>
      <c r="C86" s="75" cm="1">
        <f t="array" ref="C86">COUNTIF('어휘 - 표 1 스냅샷'!L2:L2503,B86)</f>
        <v>0</v>
      </c>
      <c r="D86" s="77"/>
    </row>
    <row r="87" ht="20.65" customHeight="1">
      <c r="A87" s="70">
        <v>46174</v>
      </c>
      <c r="B87" s="71"/>
      <c r="C87" s="72">
        <f>SUM(C88:C117)</f>
        <v>0</v>
      </c>
      <c r="D87" s="71"/>
    </row>
    <row r="88" ht="10" customHeight="1" hidden="1">
      <c r="A88" s="73"/>
      <c r="B88" s="74">
        <v>46174</v>
      </c>
      <c r="C88" s="75" cm="1">
        <f t="array" ref="C88">COUNTIF('어휘 - 표 1 스냅샷'!L2:L2503,B88)</f>
        <v>0</v>
      </c>
      <c r="D88" s="77"/>
    </row>
    <row r="89" ht="10" customHeight="1" hidden="1">
      <c r="A89" s="73"/>
      <c r="B89" s="74">
        <v>46175</v>
      </c>
      <c r="C89" s="75" cm="1">
        <f t="array" ref="C89">COUNTIF('어휘 - 표 1 스냅샷'!L2:L2503,B89)</f>
        <v>0</v>
      </c>
      <c r="D89" s="77"/>
    </row>
    <row r="90" ht="10" customHeight="1" hidden="1">
      <c r="A90" s="73"/>
      <c r="B90" s="74">
        <v>46176</v>
      </c>
      <c r="C90" s="75" cm="1">
        <f t="array" ref="C90">COUNTIF('어휘 - 표 1 스냅샷'!L2:L2503,B90)</f>
        <v>0</v>
      </c>
      <c r="D90" s="77"/>
    </row>
    <row r="91" ht="10" customHeight="1" hidden="1">
      <c r="A91" s="73"/>
      <c r="B91" s="74">
        <v>46177</v>
      </c>
      <c r="C91" s="75" cm="1">
        <f t="array" ref="C91">COUNTIF('어휘 - 표 1 스냅샷'!L2:L2503,B91)</f>
        <v>0</v>
      </c>
      <c r="D91" s="77"/>
    </row>
    <row r="92" ht="10" customHeight="1" hidden="1">
      <c r="A92" s="73"/>
      <c r="B92" s="74">
        <v>46178</v>
      </c>
      <c r="C92" s="75" cm="1">
        <f t="array" ref="C92">COUNTIF('어휘 - 표 1 스냅샷'!L2:L2503,B92)</f>
        <v>0</v>
      </c>
      <c r="D92" s="77"/>
    </row>
    <row r="93" ht="10" customHeight="1" hidden="1">
      <c r="A93" s="73"/>
      <c r="B93" s="74">
        <v>46179</v>
      </c>
      <c r="C93" s="75" cm="1">
        <f t="array" ref="C93">COUNTIF('어휘 - 표 1 스냅샷'!L2:L2503,B93)</f>
        <v>0</v>
      </c>
      <c r="D93" s="77"/>
    </row>
    <row r="94" ht="10" customHeight="1" hidden="1">
      <c r="A94" s="73"/>
      <c r="B94" s="74">
        <v>46180</v>
      </c>
      <c r="C94" s="75" cm="1">
        <f t="array" ref="C94">COUNTIF('어휘 - 표 1 스냅샷'!L2:L2503,B94)</f>
        <v>0</v>
      </c>
      <c r="D94" s="77"/>
    </row>
    <row r="95" ht="10" customHeight="1" hidden="1">
      <c r="A95" s="73"/>
      <c r="B95" s="74">
        <v>46181</v>
      </c>
      <c r="C95" s="75" cm="1">
        <f t="array" ref="C95">COUNTIF('어휘 - 표 1 스냅샷'!L2:L2503,B95)</f>
        <v>0</v>
      </c>
      <c r="D95" s="77"/>
    </row>
    <row r="96" ht="10" customHeight="1" hidden="1">
      <c r="A96" s="73"/>
      <c r="B96" s="74">
        <v>46182</v>
      </c>
      <c r="C96" s="75" cm="1">
        <f t="array" ref="C96">COUNTIF('어휘 - 표 1 스냅샷'!L2:L2503,B96)</f>
        <v>0</v>
      </c>
      <c r="D96" s="77"/>
    </row>
    <row r="97" ht="10" customHeight="1" hidden="1">
      <c r="A97" s="73"/>
      <c r="B97" s="74">
        <v>46183</v>
      </c>
      <c r="C97" s="75" cm="1">
        <f t="array" ref="C97">COUNTIF('어휘 - 표 1 스냅샷'!L2:L2503,B97)</f>
        <v>0</v>
      </c>
      <c r="D97" s="77"/>
    </row>
    <row r="98" ht="10" customHeight="1" hidden="1">
      <c r="A98" s="73"/>
      <c r="B98" s="74">
        <v>46184</v>
      </c>
      <c r="C98" s="75" cm="1">
        <f t="array" ref="C98">COUNTIF('어휘 - 표 1 스냅샷'!L2:L2503,B98)</f>
        <v>0</v>
      </c>
      <c r="D98" s="77"/>
    </row>
    <row r="99" ht="10" customHeight="1" hidden="1">
      <c r="A99" s="73"/>
      <c r="B99" s="74">
        <v>46185</v>
      </c>
      <c r="C99" s="75" cm="1">
        <f t="array" ref="C99">COUNTIF('어휘 - 표 1 스냅샷'!L2:L2503,B99)</f>
        <v>0</v>
      </c>
      <c r="D99" s="77"/>
    </row>
    <row r="100" ht="10" customHeight="1" hidden="1">
      <c r="A100" s="73"/>
      <c r="B100" s="74">
        <v>46186</v>
      </c>
      <c r="C100" s="75" cm="1">
        <f t="array" ref="C100">COUNTIF('어휘 - 표 1 스냅샷'!L2:L2503,B100)</f>
        <v>0</v>
      </c>
      <c r="D100" s="77"/>
    </row>
    <row r="101" ht="10" customHeight="1" hidden="1">
      <c r="A101" s="73"/>
      <c r="B101" s="74">
        <v>46187</v>
      </c>
      <c r="C101" s="75" cm="1">
        <f t="array" ref="C101">COUNTIF('어휘 - 표 1 스냅샷'!L2:L2503,B101)</f>
        <v>0</v>
      </c>
      <c r="D101" s="77"/>
    </row>
    <row r="102" ht="10" customHeight="1" hidden="1">
      <c r="A102" s="73"/>
      <c r="B102" s="74">
        <v>46188</v>
      </c>
      <c r="C102" s="75" cm="1">
        <f t="array" ref="C102">COUNTIF('어휘 - 표 1 스냅샷'!L2:L2503,B102)</f>
        <v>0</v>
      </c>
      <c r="D102" s="77"/>
    </row>
    <row r="103" ht="10" customHeight="1" hidden="1">
      <c r="A103" s="73"/>
      <c r="B103" s="74">
        <v>46189</v>
      </c>
      <c r="C103" s="75" cm="1">
        <f t="array" ref="C103">COUNTIF('어휘 - 표 1 스냅샷'!L2:L2503,B103)</f>
        <v>0</v>
      </c>
      <c r="D103" s="77"/>
    </row>
    <row r="104" ht="10" customHeight="1" hidden="1">
      <c r="A104" s="73"/>
      <c r="B104" s="74">
        <v>46190</v>
      </c>
      <c r="C104" s="75" cm="1">
        <f t="array" ref="C104">COUNTIF('어휘 - 표 1 스냅샷'!L2:L2503,B104)</f>
        <v>0</v>
      </c>
      <c r="D104" s="77"/>
    </row>
    <row r="105" ht="10" customHeight="1" hidden="1">
      <c r="A105" s="73"/>
      <c r="B105" s="74">
        <v>46191</v>
      </c>
      <c r="C105" s="75" cm="1">
        <f t="array" ref="C105">COUNTIF('어휘 - 표 1 스냅샷'!L2:L2503,B105)</f>
        <v>0</v>
      </c>
      <c r="D105" s="77"/>
    </row>
    <row r="106" ht="10" customHeight="1" hidden="1">
      <c r="A106" s="73"/>
      <c r="B106" s="74">
        <v>46192</v>
      </c>
      <c r="C106" s="75" cm="1">
        <f t="array" ref="C106">COUNTIF('어휘 - 표 1 스냅샷'!L2:L2503,B106)</f>
        <v>0</v>
      </c>
      <c r="D106" s="77"/>
    </row>
    <row r="107" ht="10" customHeight="1" hidden="1">
      <c r="A107" s="73"/>
      <c r="B107" s="74">
        <v>46193</v>
      </c>
      <c r="C107" s="75" cm="1">
        <f t="array" ref="C107">COUNTIF('어휘 - 표 1 스냅샷'!L2:L2503,B107)</f>
        <v>0</v>
      </c>
      <c r="D107" s="77"/>
    </row>
    <row r="108" ht="10" customHeight="1" hidden="1">
      <c r="A108" s="73"/>
      <c r="B108" s="74">
        <v>46194</v>
      </c>
      <c r="C108" s="75" cm="1">
        <f t="array" ref="C108">COUNTIF('어휘 - 표 1 스냅샷'!L2:L2503,B108)</f>
        <v>0</v>
      </c>
      <c r="D108" s="77"/>
    </row>
    <row r="109" ht="10" customHeight="1" hidden="1">
      <c r="A109" s="73"/>
      <c r="B109" s="74">
        <v>46195</v>
      </c>
      <c r="C109" s="75" cm="1">
        <f t="array" ref="C109">COUNTIF('어휘 - 표 1 스냅샷'!L2:L2503,B109)</f>
        <v>0</v>
      </c>
      <c r="D109" s="77"/>
    </row>
    <row r="110" ht="10" customHeight="1" hidden="1">
      <c r="A110" s="73"/>
      <c r="B110" s="74">
        <v>46196</v>
      </c>
      <c r="C110" s="75" cm="1">
        <f t="array" ref="C110">COUNTIF('어휘 - 표 1 스냅샷'!L2:L2503,B110)</f>
        <v>0</v>
      </c>
      <c r="D110" s="77"/>
    </row>
    <row r="111" ht="10" customHeight="1" hidden="1">
      <c r="A111" s="73"/>
      <c r="B111" s="74">
        <v>46197</v>
      </c>
      <c r="C111" s="75" cm="1">
        <f t="array" ref="C111">COUNTIF('어휘 - 표 1 스냅샷'!L2:L2503,B111)</f>
        <v>0</v>
      </c>
      <c r="D111" s="77"/>
    </row>
    <row r="112" ht="10" customHeight="1" hidden="1">
      <c r="A112" s="73"/>
      <c r="B112" s="74">
        <v>46198</v>
      </c>
      <c r="C112" s="75" cm="1">
        <f t="array" ref="C112">COUNTIF('어휘 - 표 1 스냅샷'!L2:L2503,B112)</f>
        <v>0</v>
      </c>
      <c r="D112" s="77"/>
    </row>
    <row r="113" ht="10" customHeight="1" hidden="1">
      <c r="A113" s="73"/>
      <c r="B113" s="74">
        <v>46199</v>
      </c>
      <c r="C113" s="75" cm="1">
        <f t="array" ref="C113">COUNTIF('어휘 - 표 1 스냅샷'!L2:L2503,B113)</f>
        <v>0</v>
      </c>
      <c r="D113" s="77"/>
    </row>
    <row r="114" ht="10" customHeight="1" hidden="1">
      <c r="A114" s="73"/>
      <c r="B114" s="74">
        <v>46200</v>
      </c>
      <c r="C114" s="75" cm="1">
        <f t="array" ref="C114">COUNTIF('어휘 - 표 1 스냅샷'!L2:L2503,B114)</f>
        <v>0</v>
      </c>
      <c r="D114" s="77"/>
    </row>
    <row r="115" ht="10" customHeight="1" hidden="1">
      <c r="A115" s="73"/>
      <c r="B115" s="74">
        <v>46201</v>
      </c>
      <c r="C115" s="75" cm="1">
        <f t="array" ref="C115">COUNTIF('어휘 - 표 1 스냅샷'!L2:L2503,B115)</f>
        <v>0</v>
      </c>
      <c r="D115" s="77"/>
    </row>
    <row r="116" ht="10" customHeight="1" hidden="1">
      <c r="A116" s="73"/>
      <c r="B116" s="74">
        <v>46202</v>
      </c>
      <c r="C116" s="75" cm="1">
        <f t="array" ref="C116">COUNTIF('어휘 - 표 1 스냅샷'!L2:L2503,B116)</f>
        <v>0</v>
      </c>
      <c r="D116" s="77"/>
    </row>
    <row r="117" ht="10" customHeight="1" hidden="1">
      <c r="A117" s="73"/>
      <c r="B117" s="74">
        <v>46203</v>
      </c>
      <c r="C117" s="75" cm="1">
        <f t="array" ref="C117">COUNTIF('어휘 - 표 1 스냅샷'!L2:L2503,B117)</f>
        <v>0</v>
      </c>
      <c r="D117" s="77"/>
    </row>
    <row r="118" ht="20.65" customHeight="1">
      <c r="A118" s="70">
        <v>46204</v>
      </c>
      <c r="B118" s="71"/>
      <c r="C118" s="72">
        <f>SUM(C119:C149)</f>
        <v>0</v>
      </c>
      <c r="D118" s="71"/>
    </row>
    <row r="119" ht="10" customHeight="1" hidden="1">
      <c r="A119" s="73"/>
      <c r="B119" s="74">
        <v>46204</v>
      </c>
      <c r="C119" s="75" cm="1">
        <f t="array" ref="C119">COUNTIF('어휘 - 표 1 스냅샷'!L2:L2503,B119)</f>
        <v>0</v>
      </c>
      <c r="D119" s="77"/>
    </row>
    <row r="120" ht="10" customHeight="1" hidden="1">
      <c r="A120" s="73"/>
      <c r="B120" s="74">
        <v>46205</v>
      </c>
      <c r="C120" s="75" cm="1">
        <f t="array" ref="C120">COUNTIF('어휘 - 표 1 스냅샷'!L2:L2503,B120)</f>
        <v>0</v>
      </c>
      <c r="D120" s="77"/>
    </row>
    <row r="121" ht="10" customHeight="1" hidden="1">
      <c r="A121" s="73"/>
      <c r="B121" s="74">
        <v>46206</v>
      </c>
      <c r="C121" s="75" cm="1">
        <f t="array" ref="C121">COUNTIF('어휘 - 표 1 스냅샷'!L2:L2503,B121)</f>
        <v>0</v>
      </c>
      <c r="D121" s="77"/>
    </row>
    <row r="122" ht="10" customHeight="1" hidden="1">
      <c r="A122" s="73"/>
      <c r="B122" s="74">
        <v>46207</v>
      </c>
      <c r="C122" s="75" cm="1">
        <f t="array" ref="C122">COUNTIF('어휘 - 표 1 스냅샷'!L2:L2503,B122)</f>
        <v>0</v>
      </c>
      <c r="D122" s="77"/>
    </row>
    <row r="123" ht="10" customHeight="1" hidden="1">
      <c r="A123" s="73"/>
      <c r="B123" s="74">
        <v>46208</v>
      </c>
      <c r="C123" s="75" cm="1">
        <f t="array" ref="C123">COUNTIF('어휘 - 표 1 스냅샷'!L2:L2503,B123)</f>
        <v>0</v>
      </c>
      <c r="D123" s="77"/>
    </row>
    <row r="124" ht="10" customHeight="1" hidden="1">
      <c r="A124" s="73"/>
      <c r="B124" s="74">
        <v>46209</v>
      </c>
      <c r="C124" s="75" cm="1">
        <f t="array" ref="C124">COUNTIF('어휘 - 표 1 스냅샷'!L2:L2503,B124)</f>
        <v>0</v>
      </c>
      <c r="D124" s="77"/>
    </row>
    <row r="125" ht="10" customHeight="1" hidden="1">
      <c r="A125" s="73"/>
      <c r="B125" s="74">
        <v>46210</v>
      </c>
      <c r="C125" s="75" cm="1">
        <f t="array" ref="C125">COUNTIF('어휘 - 표 1 스냅샷'!L2:L2503,B125)</f>
        <v>0</v>
      </c>
      <c r="D125" s="77"/>
    </row>
    <row r="126" ht="10" customHeight="1" hidden="1">
      <c r="A126" s="73"/>
      <c r="B126" s="74">
        <v>46211</v>
      </c>
      <c r="C126" s="75" cm="1">
        <f t="array" ref="C126">COUNTIF('어휘 - 표 1 스냅샷'!L2:L2503,B126)</f>
        <v>0</v>
      </c>
      <c r="D126" s="77"/>
    </row>
    <row r="127" ht="10" customHeight="1" hidden="1">
      <c r="A127" s="73"/>
      <c r="B127" s="74">
        <v>46212</v>
      </c>
      <c r="C127" s="75" cm="1">
        <f t="array" ref="C127">COUNTIF('어휘 - 표 1 스냅샷'!L2:L2503,B127)</f>
        <v>0</v>
      </c>
      <c r="D127" s="77"/>
    </row>
    <row r="128" ht="10" customHeight="1" hidden="1">
      <c r="A128" s="73"/>
      <c r="B128" s="74">
        <v>46213</v>
      </c>
      <c r="C128" s="75" cm="1">
        <f t="array" ref="C128">COUNTIF('어휘 - 표 1 스냅샷'!L2:L2503,B128)</f>
        <v>0</v>
      </c>
      <c r="D128" s="77"/>
    </row>
    <row r="129" ht="10" customHeight="1" hidden="1">
      <c r="A129" s="73"/>
      <c r="B129" s="74">
        <v>46214</v>
      </c>
      <c r="C129" s="75" cm="1">
        <f t="array" ref="C129">COUNTIF('어휘 - 표 1 스냅샷'!L2:L2503,B129)</f>
        <v>0</v>
      </c>
      <c r="D129" s="77"/>
    </row>
    <row r="130" ht="10" customHeight="1" hidden="1">
      <c r="A130" s="73"/>
      <c r="B130" s="74">
        <v>46215</v>
      </c>
      <c r="C130" s="75" cm="1">
        <f t="array" ref="C130">COUNTIF('어휘 - 표 1 스냅샷'!L2:L2503,B130)</f>
        <v>0</v>
      </c>
      <c r="D130" s="77"/>
    </row>
    <row r="131" ht="10" customHeight="1" hidden="1">
      <c r="A131" s="73"/>
      <c r="B131" s="74">
        <v>46216</v>
      </c>
      <c r="C131" s="75" cm="1">
        <f t="array" ref="C131">COUNTIF('어휘 - 표 1 스냅샷'!L2:L2503,B131)</f>
        <v>0</v>
      </c>
      <c r="D131" s="77"/>
    </row>
    <row r="132" ht="10" customHeight="1" hidden="1">
      <c r="A132" s="73"/>
      <c r="B132" s="74">
        <v>46217</v>
      </c>
      <c r="C132" s="75" cm="1">
        <f t="array" ref="C132">COUNTIF('어휘 - 표 1 스냅샷'!L2:L2503,B132)</f>
        <v>0</v>
      </c>
      <c r="D132" s="77"/>
    </row>
    <row r="133" ht="10" customHeight="1" hidden="1">
      <c r="A133" s="73"/>
      <c r="B133" s="74">
        <v>46218</v>
      </c>
      <c r="C133" s="75" cm="1">
        <f t="array" ref="C133">COUNTIF('어휘 - 표 1 스냅샷'!L2:L2503,B133)</f>
        <v>0</v>
      </c>
      <c r="D133" s="77"/>
    </row>
    <row r="134" ht="10" customHeight="1" hidden="1">
      <c r="A134" s="73"/>
      <c r="B134" s="74">
        <v>46219</v>
      </c>
      <c r="C134" s="75" cm="1">
        <f t="array" ref="C134">COUNTIF('어휘 - 표 1 스냅샷'!L2:L2503,B134)</f>
        <v>0</v>
      </c>
      <c r="D134" s="77"/>
    </row>
    <row r="135" ht="10" customHeight="1" hidden="1">
      <c r="A135" s="73"/>
      <c r="B135" s="74">
        <v>46220</v>
      </c>
      <c r="C135" s="75" cm="1">
        <f t="array" ref="C135">COUNTIF('어휘 - 표 1 스냅샷'!L2:L2503,B135)</f>
        <v>0</v>
      </c>
      <c r="D135" s="77"/>
    </row>
    <row r="136" ht="10" customHeight="1" hidden="1">
      <c r="A136" s="73"/>
      <c r="B136" s="74">
        <v>46221</v>
      </c>
      <c r="C136" s="75" cm="1">
        <f t="array" ref="C136">COUNTIF('어휘 - 표 1 스냅샷'!L2:L2503,B136)</f>
        <v>0</v>
      </c>
      <c r="D136" s="77"/>
    </row>
    <row r="137" ht="10" customHeight="1" hidden="1">
      <c r="A137" s="73"/>
      <c r="B137" s="74">
        <v>46222</v>
      </c>
      <c r="C137" s="75" cm="1">
        <f t="array" ref="C137">COUNTIF('어휘 - 표 1 스냅샷'!L2:L2503,B137)</f>
        <v>0</v>
      </c>
      <c r="D137" s="77"/>
    </row>
    <row r="138" ht="10" customHeight="1" hidden="1">
      <c r="A138" s="73"/>
      <c r="B138" s="74">
        <v>46223</v>
      </c>
      <c r="C138" s="75" cm="1">
        <f t="array" ref="C138">COUNTIF('어휘 - 표 1 스냅샷'!L2:L2503,B138)</f>
        <v>0</v>
      </c>
      <c r="D138" s="77"/>
    </row>
    <row r="139" ht="10" customHeight="1" hidden="1">
      <c r="A139" s="73"/>
      <c r="B139" s="74">
        <v>46224</v>
      </c>
      <c r="C139" s="75" cm="1">
        <f t="array" ref="C139">COUNTIF('어휘 - 표 1 스냅샷'!L2:L2503,B139)</f>
        <v>0</v>
      </c>
      <c r="D139" s="77"/>
    </row>
    <row r="140" ht="10" customHeight="1" hidden="1">
      <c r="A140" s="73"/>
      <c r="B140" s="74">
        <v>46225</v>
      </c>
      <c r="C140" s="75" cm="1">
        <f t="array" ref="C140">COUNTIF('어휘 - 표 1 스냅샷'!L2:L2503,B140)</f>
        <v>0</v>
      </c>
      <c r="D140" s="77"/>
    </row>
    <row r="141" ht="10" customHeight="1" hidden="1">
      <c r="A141" s="73"/>
      <c r="B141" s="74">
        <v>46226</v>
      </c>
      <c r="C141" s="75" cm="1">
        <f t="array" ref="C141">COUNTIF('어휘 - 표 1 스냅샷'!L2:L2503,B141)</f>
        <v>0</v>
      </c>
      <c r="D141" s="77"/>
    </row>
    <row r="142" ht="10" customHeight="1" hidden="1">
      <c r="A142" s="73"/>
      <c r="B142" s="74">
        <v>46227</v>
      </c>
      <c r="C142" s="75" cm="1">
        <f t="array" ref="C142">COUNTIF('어휘 - 표 1 스냅샷'!L2:L2503,B142)</f>
        <v>0</v>
      </c>
      <c r="D142" s="77"/>
    </row>
    <row r="143" ht="10" customHeight="1" hidden="1">
      <c r="A143" s="73"/>
      <c r="B143" s="74">
        <v>46228</v>
      </c>
      <c r="C143" s="75" cm="1">
        <f t="array" ref="C143">COUNTIF('어휘 - 표 1 스냅샷'!L2:L2503,B143)</f>
        <v>0</v>
      </c>
      <c r="D143" s="77"/>
    </row>
    <row r="144" ht="10" customHeight="1" hidden="1">
      <c r="A144" s="73"/>
      <c r="B144" s="74">
        <v>46229</v>
      </c>
      <c r="C144" s="75" cm="1">
        <f t="array" ref="C144">COUNTIF('어휘 - 표 1 스냅샷'!L2:L2503,B144)</f>
        <v>0</v>
      </c>
      <c r="D144" s="77"/>
    </row>
    <row r="145" ht="10" customHeight="1" hidden="1">
      <c r="A145" s="73"/>
      <c r="B145" s="74">
        <v>46230</v>
      </c>
      <c r="C145" s="75" cm="1">
        <f t="array" ref="C145">COUNTIF('어휘 - 표 1 스냅샷'!L2:L2503,B145)</f>
        <v>0</v>
      </c>
      <c r="D145" s="77"/>
    </row>
    <row r="146" ht="10" customHeight="1" hidden="1">
      <c r="A146" s="73"/>
      <c r="B146" s="74">
        <v>46231</v>
      </c>
      <c r="C146" s="75" cm="1">
        <f t="array" ref="C146">COUNTIF('어휘 - 표 1 스냅샷'!L2:L2503,B146)</f>
        <v>0</v>
      </c>
      <c r="D146" s="77"/>
    </row>
    <row r="147" ht="10" customHeight="1" hidden="1">
      <c r="A147" s="73"/>
      <c r="B147" s="74">
        <v>46232</v>
      </c>
      <c r="C147" s="75" cm="1">
        <f t="array" ref="C147">COUNTIF('어휘 - 표 1 스냅샷'!L2:L2503,B147)</f>
        <v>0</v>
      </c>
      <c r="D147" s="77"/>
    </row>
    <row r="148" ht="10" customHeight="1" hidden="1">
      <c r="A148" s="73"/>
      <c r="B148" s="74">
        <v>46233</v>
      </c>
      <c r="C148" s="75" cm="1">
        <f t="array" ref="C148">COUNTIF('어휘 - 표 1 스냅샷'!L2:L2503,B148)</f>
        <v>0</v>
      </c>
      <c r="D148" s="77"/>
    </row>
    <row r="149" ht="10" customHeight="1" hidden="1">
      <c r="A149" s="73"/>
      <c r="B149" s="74">
        <v>46234</v>
      </c>
      <c r="C149" s="75" cm="1">
        <f t="array" ref="C149">COUNTIF('어휘 - 표 1 스냅샷'!L2:L2503,B149)</f>
        <v>0</v>
      </c>
      <c r="D149" s="77"/>
    </row>
    <row r="150" ht="20.65" customHeight="1">
      <c r="A150" s="70">
        <v>46235</v>
      </c>
      <c r="B150" s="71"/>
      <c r="C150" s="72">
        <f>SUM(C151:C181)</f>
        <v>0</v>
      </c>
      <c r="D150" s="71"/>
    </row>
    <row r="151" ht="10" customHeight="1" hidden="1">
      <c r="A151" s="73"/>
      <c r="B151" s="74">
        <v>46235</v>
      </c>
      <c r="C151" s="75" cm="1">
        <f t="array" ref="C151">COUNTIF('어휘 - 표 1 스냅샷'!L2:L2503,B151)</f>
        <v>0</v>
      </c>
      <c r="D151" s="77"/>
    </row>
    <row r="152" ht="10" customHeight="1" hidden="1">
      <c r="A152" s="73"/>
      <c r="B152" s="74">
        <v>46236</v>
      </c>
      <c r="C152" s="75" cm="1">
        <f t="array" ref="C152">COUNTIF('어휘 - 표 1 스냅샷'!L2:L2503,B152)</f>
        <v>0</v>
      </c>
      <c r="D152" s="77"/>
    </row>
    <row r="153" ht="10" customHeight="1" hidden="1">
      <c r="A153" s="73"/>
      <c r="B153" s="74">
        <v>46237</v>
      </c>
      <c r="C153" s="75" cm="1">
        <f t="array" ref="C153">COUNTIF('어휘 - 표 1 스냅샷'!L2:L2503,B153)</f>
        <v>0</v>
      </c>
      <c r="D153" s="77"/>
    </row>
    <row r="154" ht="10" customHeight="1" hidden="1">
      <c r="A154" s="73"/>
      <c r="B154" s="74">
        <v>46238</v>
      </c>
      <c r="C154" s="75" cm="1">
        <f t="array" ref="C154">COUNTIF('어휘 - 표 1 스냅샷'!L2:L2503,B154)</f>
        <v>0</v>
      </c>
      <c r="D154" s="77"/>
    </row>
    <row r="155" ht="10" customHeight="1" hidden="1">
      <c r="A155" s="73"/>
      <c r="B155" s="74">
        <v>46239</v>
      </c>
      <c r="C155" s="75" cm="1">
        <f t="array" ref="C155">COUNTIF('어휘 - 표 1 스냅샷'!L2:L2503,B155)</f>
        <v>0</v>
      </c>
      <c r="D155" s="77"/>
    </row>
    <row r="156" ht="10" customHeight="1" hidden="1">
      <c r="A156" s="73"/>
      <c r="B156" s="74">
        <v>46240</v>
      </c>
      <c r="C156" s="75" cm="1">
        <f t="array" ref="C156">COUNTIF('어휘 - 표 1 스냅샷'!L2:L2503,B156)</f>
        <v>0</v>
      </c>
      <c r="D156" s="77"/>
    </row>
    <row r="157" ht="10" customHeight="1" hidden="1">
      <c r="A157" s="73"/>
      <c r="B157" s="74">
        <v>46241</v>
      </c>
      <c r="C157" s="75" cm="1">
        <f t="array" ref="C157">COUNTIF('어휘 - 표 1 스냅샷'!L2:L2503,B157)</f>
        <v>0</v>
      </c>
      <c r="D157" s="77"/>
    </row>
    <row r="158" ht="10" customHeight="1" hidden="1">
      <c r="A158" s="73"/>
      <c r="B158" s="74">
        <v>46242</v>
      </c>
      <c r="C158" s="75" cm="1">
        <f t="array" ref="C158">COUNTIF('어휘 - 표 1 스냅샷'!L2:L2503,B158)</f>
        <v>0</v>
      </c>
      <c r="D158" s="77"/>
    </row>
    <row r="159" ht="10" customHeight="1" hidden="1">
      <c r="A159" s="73"/>
      <c r="B159" s="74">
        <v>46243</v>
      </c>
      <c r="C159" s="75" cm="1">
        <f t="array" ref="C159">COUNTIF('어휘 - 표 1 스냅샷'!L2:L2503,B159)</f>
        <v>0</v>
      </c>
      <c r="D159" s="77"/>
    </row>
    <row r="160" ht="10" customHeight="1" hidden="1">
      <c r="A160" s="73"/>
      <c r="B160" s="74">
        <v>46244</v>
      </c>
      <c r="C160" s="75" cm="1">
        <f t="array" ref="C160">COUNTIF('어휘 - 표 1 스냅샷'!L2:L2503,B160)</f>
        <v>0</v>
      </c>
      <c r="D160" s="77"/>
    </row>
    <row r="161" ht="10" customHeight="1" hidden="1">
      <c r="A161" s="73"/>
      <c r="B161" s="74">
        <v>46245</v>
      </c>
      <c r="C161" s="75" cm="1">
        <f t="array" ref="C161">COUNTIF('어휘 - 표 1 스냅샷'!L2:L2503,B161)</f>
        <v>0</v>
      </c>
      <c r="D161" s="77"/>
    </row>
    <row r="162" ht="10" customHeight="1" hidden="1">
      <c r="A162" s="73"/>
      <c r="B162" s="74">
        <v>46246</v>
      </c>
      <c r="C162" s="75" cm="1">
        <f t="array" ref="C162">COUNTIF('어휘 - 표 1 스냅샷'!L2:L2503,B162)</f>
        <v>0</v>
      </c>
      <c r="D162" s="77"/>
    </row>
    <row r="163" ht="10" customHeight="1" hidden="1">
      <c r="A163" s="73"/>
      <c r="B163" s="74">
        <v>46247</v>
      </c>
      <c r="C163" s="75" cm="1">
        <f t="array" ref="C163">COUNTIF('어휘 - 표 1 스냅샷'!L2:L2503,B163)</f>
        <v>0</v>
      </c>
      <c r="D163" s="77"/>
    </row>
    <row r="164" ht="10" customHeight="1" hidden="1">
      <c r="A164" s="73"/>
      <c r="B164" s="74">
        <v>46248</v>
      </c>
      <c r="C164" s="75" cm="1">
        <f t="array" ref="C164">COUNTIF('어휘 - 표 1 스냅샷'!L2:L2503,B164)</f>
        <v>0</v>
      </c>
      <c r="D164" s="77"/>
    </row>
    <row r="165" ht="10" customHeight="1" hidden="1">
      <c r="A165" s="73"/>
      <c r="B165" s="74">
        <v>46249</v>
      </c>
      <c r="C165" s="75" cm="1">
        <f t="array" ref="C165">COUNTIF('어휘 - 표 1 스냅샷'!L2:L2503,B165)</f>
        <v>0</v>
      </c>
      <c r="D165" s="77"/>
    </row>
    <row r="166" ht="10" customHeight="1" hidden="1">
      <c r="A166" s="73"/>
      <c r="B166" s="74">
        <v>46250</v>
      </c>
      <c r="C166" s="75" cm="1">
        <f t="array" ref="C166">COUNTIF('어휘 - 표 1 스냅샷'!L2:L2503,B166)</f>
        <v>0</v>
      </c>
      <c r="D166" s="77"/>
    </row>
    <row r="167" ht="10" customHeight="1" hidden="1">
      <c r="A167" s="73"/>
      <c r="B167" s="74">
        <v>46251</v>
      </c>
      <c r="C167" s="75" cm="1">
        <f t="array" ref="C167">COUNTIF('어휘 - 표 1 스냅샷'!L2:L2503,B167)</f>
        <v>0</v>
      </c>
      <c r="D167" s="77"/>
    </row>
    <row r="168" ht="10" customHeight="1" hidden="1">
      <c r="A168" s="73"/>
      <c r="B168" s="74">
        <v>46252</v>
      </c>
      <c r="C168" s="75" cm="1">
        <f t="array" ref="C168">COUNTIF('어휘 - 표 1 스냅샷'!L2:L2503,B168)</f>
        <v>0</v>
      </c>
      <c r="D168" s="77"/>
    </row>
    <row r="169" ht="10" customHeight="1" hidden="1">
      <c r="A169" s="73"/>
      <c r="B169" s="74">
        <v>46253</v>
      </c>
      <c r="C169" s="75" cm="1">
        <f t="array" ref="C169">COUNTIF('어휘 - 표 1 스냅샷'!L2:L2503,B169)</f>
        <v>0</v>
      </c>
      <c r="D169" s="77"/>
    </row>
    <row r="170" ht="10" customHeight="1" hidden="1">
      <c r="A170" s="73"/>
      <c r="B170" s="74">
        <v>46254</v>
      </c>
      <c r="C170" s="75" cm="1">
        <f t="array" ref="C170">COUNTIF('어휘 - 표 1 스냅샷'!L2:L2503,B170)</f>
        <v>0</v>
      </c>
      <c r="D170" s="77"/>
    </row>
    <row r="171" ht="10" customHeight="1" hidden="1">
      <c r="A171" s="73"/>
      <c r="B171" s="74">
        <v>46255</v>
      </c>
      <c r="C171" s="75" cm="1">
        <f t="array" ref="C171">COUNTIF('어휘 - 표 1 스냅샷'!L2:L2503,B171)</f>
        <v>0</v>
      </c>
      <c r="D171" s="77"/>
    </row>
    <row r="172" ht="10" customHeight="1" hidden="1">
      <c r="A172" s="73"/>
      <c r="B172" s="74">
        <v>46256</v>
      </c>
      <c r="C172" s="75" cm="1">
        <f t="array" ref="C172">COUNTIF('어휘 - 표 1 스냅샷'!L2:L2503,B172)</f>
        <v>0</v>
      </c>
      <c r="D172" s="77"/>
    </row>
    <row r="173" ht="10" customHeight="1" hidden="1">
      <c r="A173" s="73"/>
      <c r="B173" s="74">
        <v>46257</v>
      </c>
      <c r="C173" s="75" cm="1">
        <f t="array" ref="C173">COUNTIF('어휘 - 표 1 스냅샷'!L2:L2503,B173)</f>
        <v>0</v>
      </c>
      <c r="D173" s="77"/>
    </row>
    <row r="174" ht="10" customHeight="1" hidden="1">
      <c r="A174" s="73"/>
      <c r="B174" s="74">
        <v>46258</v>
      </c>
      <c r="C174" s="75" cm="1">
        <f t="array" ref="C174">COUNTIF('어휘 - 표 1 스냅샷'!L2:L2503,B174)</f>
        <v>0</v>
      </c>
      <c r="D174" s="77"/>
    </row>
    <row r="175" ht="10" customHeight="1" hidden="1">
      <c r="A175" s="73"/>
      <c r="B175" s="74">
        <v>46259</v>
      </c>
      <c r="C175" s="75" cm="1">
        <f t="array" ref="C175">COUNTIF('어휘 - 표 1 스냅샷'!L2:L2503,B175)</f>
        <v>0</v>
      </c>
      <c r="D175" s="77"/>
    </row>
    <row r="176" ht="10" customHeight="1" hidden="1">
      <c r="A176" s="73"/>
      <c r="B176" s="74">
        <v>46260</v>
      </c>
      <c r="C176" s="75" cm="1">
        <f t="array" ref="C176">COUNTIF('어휘 - 표 1 스냅샷'!L2:L2503,B176)</f>
        <v>0</v>
      </c>
      <c r="D176" s="77"/>
    </row>
    <row r="177" ht="10" customHeight="1" hidden="1">
      <c r="A177" s="73"/>
      <c r="B177" s="74">
        <v>46261</v>
      </c>
      <c r="C177" s="75" cm="1">
        <f t="array" ref="C177">COUNTIF('어휘 - 표 1 스냅샷'!L2:L2503,B177)</f>
        <v>0</v>
      </c>
      <c r="D177" s="77"/>
    </row>
    <row r="178" ht="10" customHeight="1" hidden="1">
      <c r="A178" s="73"/>
      <c r="B178" s="74">
        <v>46262</v>
      </c>
      <c r="C178" s="75" cm="1">
        <f t="array" ref="C178">COUNTIF('어휘 - 표 1 스냅샷'!L2:L2503,B178)</f>
        <v>0</v>
      </c>
      <c r="D178" s="77"/>
    </row>
    <row r="179" ht="10" customHeight="1" hidden="1">
      <c r="A179" s="73"/>
      <c r="B179" s="74">
        <v>46263</v>
      </c>
      <c r="C179" s="75" cm="1">
        <f t="array" ref="C179">COUNTIF('어휘 - 표 1 스냅샷'!L2:L2503,B179)</f>
        <v>0</v>
      </c>
      <c r="D179" s="77"/>
    </row>
    <row r="180" ht="10" customHeight="1" hidden="1">
      <c r="A180" s="73"/>
      <c r="B180" s="74">
        <v>46264</v>
      </c>
      <c r="C180" s="75" cm="1">
        <f t="array" ref="C180">COUNTIF('어휘 - 표 1 스냅샷'!L2:L2503,B180)</f>
        <v>0</v>
      </c>
      <c r="D180" s="77"/>
    </row>
    <row r="181" ht="10" customHeight="1" hidden="1">
      <c r="A181" s="73"/>
      <c r="B181" s="74">
        <v>46265</v>
      </c>
      <c r="C181" s="75" cm="1">
        <f t="array" ref="C181">COUNTIF('어휘 - 표 1 스냅샷'!L2:L2503,B181)</f>
        <v>0</v>
      </c>
      <c r="D181" s="77"/>
    </row>
    <row r="182" ht="20.65" customHeight="1">
      <c r="A182" s="70">
        <v>46266</v>
      </c>
      <c r="B182" s="71"/>
      <c r="C182" s="72">
        <f>SUM(C183:C212)</f>
        <v>0</v>
      </c>
      <c r="D182" s="71"/>
    </row>
    <row r="183" ht="10" customHeight="1" hidden="1">
      <c r="A183" s="73"/>
      <c r="B183" s="74">
        <v>46266</v>
      </c>
      <c r="C183" s="75" cm="1">
        <f t="array" ref="C183">COUNTIF('어휘 - 표 1 스냅샷'!L2:L2503,B183)</f>
        <v>0</v>
      </c>
      <c r="D183" s="77"/>
    </row>
    <row r="184" ht="10" customHeight="1" hidden="1">
      <c r="A184" s="73"/>
      <c r="B184" s="74">
        <v>46267</v>
      </c>
      <c r="C184" s="75" cm="1">
        <f t="array" ref="C184">COUNTIF('어휘 - 표 1 스냅샷'!L2:L2503,B184)</f>
        <v>0</v>
      </c>
      <c r="D184" s="77"/>
    </row>
    <row r="185" ht="10" customHeight="1" hidden="1">
      <c r="A185" s="73"/>
      <c r="B185" s="74">
        <v>46268</v>
      </c>
      <c r="C185" s="75" cm="1">
        <f t="array" ref="C185">COUNTIF('어휘 - 표 1 스냅샷'!L2:L2503,B185)</f>
        <v>0</v>
      </c>
      <c r="D185" s="77"/>
    </row>
    <row r="186" ht="10" customHeight="1" hidden="1">
      <c r="A186" s="73"/>
      <c r="B186" s="74">
        <v>46269</v>
      </c>
      <c r="C186" s="75" cm="1">
        <f t="array" ref="C186">COUNTIF('어휘 - 표 1 스냅샷'!L2:L2503,B186)</f>
        <v>0</v>
      </c>
      <c r="D186" s="77"/>
    </row>
    <row r="187" ht="10" customHeight="1" hidden="1">
      <c r="A187" s="73"/>
      <c r="B187" s="74">
        <v>46270</v>
      </c>
      <c r="C187" s="75" cm="1">
        <f t="array" ref="C187">COUNTIF('어휘 - 표 1 스냅샷'!L2:L2503,B187)</f>
        <v>0</v>
      </c>
      <c r="D187" s="77"/>
    </row>
    <row r="188" ht="10" customHeight="1" hidden="1">
      <c r="A188" s="73"/>
      <c r="B188" s="74">
        <v>46271</v>
      </c>
      <c r="C188" s="75" cm="1">
        <f t="array" ref="C188">COUNTIF('어휘 - 표 1 스냅샷'!L2:L2503,B188)</f>
        <v>0</v>
      </c>
      <c r="D188" s="77"/>
    </row>
    <row r="189" ht="10" customHeight="1" hidden="1">
      <c r="A189" s="73"/>
      <c r="B189" s="74">
        <v>46272</v>
      </c>
      <c r="C189" s="75" cm="1">
        <f t="array" ref="C189">COUNTIF('어휘 - 표 1 스냅샷'!L2:L2503,B189)</f>
        <v>0</v>
      </c>
      <c r="D189" s="77"/>
    </row>
    <row r="190" ht="10" customHeight="1" hidden="1">
      <c r="A190" s="73"/>
      <c r="B190" s="74">
        <v>46273</v>
      </c>
      <c r="C190" s="75" cm="1">
        <f t="array" ref="C190">COUNTIF('어휘 - 표 1 스냅샷'!L2:L2503,B190)</f>
        <v>0</v>
      </c>
      <c r="D190" s="77"/>
    </row>
    <row r="191" ht="10" customHeight="1" hidden="1">
      <c r="A191" s="73"/>
      <c r="B191" s="74">
        <v>46274</v>
      </c>
      <c r="C191" s="75" cm="1">
        <f t="array" ref="C191">COUNTIF('어휘 - 표 1 스냅샷'!L2:L2503,B191)</f>
        <v>0</v>
      </c>
      <c r="D191" s="77"/>
    </row>
    <row r="192" ht="10" customHeight="1" hidden="1">
      <c r="A192" s="73"/>
      <c r="B192" s="74">
        <v>46275</v>
      </c>
      <c r="C192" s="75" cm="1">
        <f t="array" ref="C192">COUNTIF('어휘 - 표 1 스냅샷'!L2:L2503,B192)</f>
        <v>0</v>
      </c>
      <c r="D192" s="77"/>
    </row>
    <row r="193" ht="10" customHeight="1" hidden="1">
      <c r="A193" s="73"/>
      <c r="B193" s="74">
        <v>46276</v>
      </c>
      <c r="C193" s="75" cm="1">
        <f t="array" ref="C193">COUNTIF('어휘 - 표 1 스냅샷'!L2:L2503,B193)</f>
        <v>0</v>
      </c>
      <c r="D193" s="77"/>
    </row>
    <row r="194" ht="10" customHeight="1" hidden="1">
      <c r="A194" s="73"/>
      <c r="B194" s="74">
        <v>46277</v>
      </c>
      <c r="C194" s="75" cm="1">
        <f t="array" ref="C194">COUNTIF('어휘 - 표 1 스냅샷'!L2:L2503,B194)</f>
        <v>0</v>
      </c>
      <c r="D194" s="77"/>
    </row>
    <row r="195" ht="10" customHeight="1" hidden="1">
      <c r="A195" s="73"/>
      <c r="B195" s="74">
        <v>46278</v>
      </c>
      <c r="C195" s="75" cm="1">
        <f t="array" ref="C195">COUNTIF('어휘 - 표 1 스냅샷'!L2:L2503,B195)</f>
        <v>0</v>
      </c>
      <c r="D195" s="77"/>
    </row>
    <row r="196" ht="10" customHeight="1" hidden="1">
      <c r="A196" s="73"/>
      <c r="B196" s="74">
        <v>46279</v>
      </c>
      <c r="C196" s="75" cm="1">
        <f t="array" ref="C196">COUNTIF('어휘 - 표 1 스냅샷'!L2:L2503,B196)</f>
        <v>0</v>
      </c>
      <c r="D196" s="77"/>
    </row>
    <row r="197" ht="10" customHeight="1" hidden="1">
      <c r="A197" s="73"/>
      <c r="B197" s="74">
        <v>46280</v>
      </c>
      <c r="C197" s="75" cm="1">
        <f t="array" ref="C197">COUNTIF('어휘 - 표 1 스냅샷'!L2:L2503,B197)</f>
        <v>0</v>
      </c>
      <c r="D197" s="77"/>
    </row>
    <row r="198" ht="10" customHeight="1" hidden="1">
      <c r="A198" s="73"/>
      <c r="B198" s="74">
        <v>46281</v>
      </c>
      <c r="C198" s="75" cm="1">
        <f t="array" ref="C198">COUNTIF('어휘 - 표 1 스냅샷'!L2:L2503,B198)</f>
        <v>0</v>
      </c>
      <c r="D198" s="77"/>
    </row>
    <row r="199" ht="10" customHeight="1" hidden="1">
      <c r="A199" s="73"/>
      <c r="B199" s="74">
        <v>46282</v>
      </c>
      <c r="C199" s="75" cm="1">
        <f t="array" ref="C199">COUNTIF('어휘 - 표 1 스냅샷'!L2:L2503,B199)</f>
        <v>0</v>
      </c>
      <c r="D199" s="77"/>
    </row>
    <row r="200" ht="10" customHeight="1" hidden="1">
      <c r="A200" s="73"/>
      <c r="B200" s="74">
        <v>46283</v>
      </c>
      <c r="C200" s="75" cm="1">
        <f t="array" ref="C200">COUNTIF('어휘 - 표 1 스냅샷'!L2:L2503,B200)</f>
        <v>0</v>
      </c>
      <c r="D200" s="77"/>
    </row>
    <row r="201" ht="10" customHeight="1" hidden="1">
      <c r="A201" s="73"/>
      <c r="B201" s="74">
        <v>46284</v>
      </c>
      <c r="C201" s="75" cm="1">
        <f t="array" ref="C201">COUNTIF('어휘 - 표 1 스냅샷'!L2:L2503,B201)</f>
        <v>0</v>
      </c>
      <c r="D201" s="77"/>
    </row>
    <row r="202" ht="10" customHeight="1" hidden="1">
      <c r="A202" s="73"/>
      <c r="B202" s="74">
        <v>46285</v>
      </c>
      <c r="C202" s="75" cm="1">
        <f t="array" ref="C202">COUNTIF('어휘 - 표 1 스냅샷'!L2:L2503,B202)</f>
        <v>0</v>
      </c>
      <c r="D202" s="77"/>
    </row>
    <row r="203" ht="10" customHeight="1" hidden="1">
      <c r="A203" s="73"/>
      <c r="B203" s="74">
        <v>46286</v>
      </c>
      <c r="C203" s="75" cm="1">
        <f t="array" ref="C203">COUNTIF('어휘 - 표 1 스냅샷'!L2:L2503,B203)</f>
        <v>0</v>
      </c>
      <c r="D203" s="77"/>
    </row>
    <row r="204" ht="10" customHeight="1" hidden="1">
      <c r="A204" s="73"/>
      <c r="B204" s="74">
        <v>46287</v>
      </c>
      <c r="C204" s="75" cm="1">
        <f t="array" ref="C204">COUNTIF('어휘 - 표 1 스냅샷'!L2:L2503,B204)</f>
        <v>0</v>
      </c>
      <c r="D204" s="77"/>
    </row>
    <row r="205" ht="10" customHeight="1" hidden="1">
      <c r="A205" s="73"/>
      <c r="B205" s="74">
        <v>46288</v>
      </c>
      <c r="C205" s="75" cm="1">
        <f t="array" ref="C205">COUNTIF('어휘 - 표 1 스냅샷'!L2:L2503,B205)</f>
        <v>0</v>
      </c>
      <c r="D205" s="77"/>
    </row>
    <row r="206" ht="10" customHeight="1" hidden="1">
      <c r="A206" s="73"/>
      <c r="B206" s="74">
        <v>46289</v>
      </c>
      <c r="C206" s="75" cm="1">
        <f t="array" ref="C206">COUNTIF('어휘 - 표 1 스냅샷'!L2:L2503,B206)</f>
        <v>0</v>
      </c>
      <c r="D206" s="77"/>
    </row>
    <row r="207" ht="10" customHeight="1" hidden="1">
      <c r="A207" s="73"/>
      <c r="B207" s="74">
        <v>46290</v>
      </c>
      <c r="C207" s="75" cm="1">
        <f t="array" ref="C207">COUNTIF('어휘 - 표 1 스냅샷'!L2:L2503,B207)</f>
        <v>0</v>
      </c>
      <c r="D207" s="77"/>
    </row>
    <row r="208" ht="10" customHeight="1" hidden="1">
      <c r="A208" s="73"/>
      <c r="B208" s="74">
        <v>46291</v>
      </c>
      <c r="C208" s="75" cm="1">
        <f t="array" ref="C208">COUNTIF('어휘 - 표 1 스냅샷'!L2:L2503,B208)</f>
        <v>0</v>
      </c>
      <c r="D208" s="77"/>
    </row>
    <row r="209" ht="10" customHeight="1" hidden="1">
      <c r="A209" s="73"/>
      <c r="B209" s="74">
        <v>46292</v>
      </c>
      <c r="C209" s="75" cm="1">
        <f t="array" ref="C209">COUNTIF('어휘 - 표 1 스냅샷'!L2:L2503,B209)</f>
        <v>0</v>
      </c>
      <c r="D209" s="77"/>
    </row>
    <row r="210" ht="10" customHeight="1" hidden="1">
      <c r="A210" s="73"/>
      <c r="B210" s="74">
        <v>46293</v>
      </c>
      <c r="C210" s="75" cm="1">
        <f t="array" ref="C210">COUNTIF('어휘 - 표 1 스냅샷'!L2:L2503,B210)</f>
        <v>0</v>
      </c>
      <c r="D210" s="77"/>
    </row>
    <row r="211" ht="10" customHeight="1" hidden="1">
      <c r="A211" s="73"/>
      <c r="B211" s="74">
        <v>46294</v>
      </c>
      <c r="C211" s="75" cm="1">
        <f t="array" ref="C211">COUNTIF('어휘 - 표 1 스냅샷'!L2:L2503,B211)</f>
        <v>0</v>
      </c>
      <c r="D211" s="77"/>
    </row>
    <row r="212" ht="10" customHeight="1" hidden="1">
      <c r="A212" s="73"/>
      <c r="B212" s="74">
        <v>46295</v>
      </c>
      <c r="C212" s="75" cm="1">
        <f t="array" ref="C212">COUNTIF('어휘 - 표 1 스냅샷'!L2:L2503,B212)</f>
        <v>0</v>
      </c>
      <c r="D212" s="77"/>
    </row>
    <row r="213" ht="20.65" customHeight="1">
      <c r="A213" s="70">
        <v>46296</v>
      </c>
      <c r="B213" s="71"/>
      <c r="C213" s="72">
        <f>SUM(C214:C244)</f>
        <v>0</v>
      </c>
      <c r="D213" s="71"/>
    </row>
    <row r="214" ht="10" customHeight="1" hidden="1">
      <c r="A214" s="73"/>
      <c r="B214" s="74">
        <v>46296</v>
      </c>
      <c r="C214" s="75" cm="1">
        <f t="array" ref="C214">COUNTIF('어휘 - 표 1 스냅샷'!L2:L2503,B214)</f>
        <v>0</v>
      </c>
      <c r="D214" s="77"/>
    </row>
    <row r="215" ht="10" customHeight="1" hidden="1">
      <c r="A215" s="73"/>
      <c r="B215" s="74">
        <v>46297</v>
      </c>
      <c r="C215" s="75" cm="1">
        <f t="array" ref="C215">COUNTIF('어휘 - 표 1 스냅샷'!L2:L2503,B215)</f>
        <v>0</v>
      </c>
      <c r="D215" s="77"/>
    </row>
    <row r="216" ht="10" customHeight="1" hidden="1">
      <c r="A216" s="73"/>
      <c r="B216" s="74">
        <v>46298</v>
      </c>
      <c r="C216" s="75" cm="1">
        <f t="array" ref="C216">COUNTIF('어휘 - 표 1 스냅샷'!L2:L2503,B216)</f>
        <v>0</v>
      </c>
      <c r="D216" s="77"/>
    </row>
    <row r="217" ht="10" customHeight="1" hidden="1">
      <c r="A217" s="73"/>
      <c r="B217" s="74">
        <v>46299</v>
      </c>
      <c r="C217" s="75" cm="1">
        <f t="array" ref="C217">COUNTIF('어휘 - 표 1 스냅샷'!L2:L2503,B217)</f>
        <v>0</v>
      </c>
      <c r="D217" s="77"/>
    </row>
    <row r="218" ht="10" customHeight="1" hidden="1">
      <c r="A218" s="73"/>
      <c r="B218" s="74">
        <v>46300</v>
      </c>
      <c r="C218" s="75" cm="1">
        <f t="array" ref="C218">COUNTIF('어휘 - 표 1 스냅샷'!L2:L2503,B218)</f>
        <v>0</v>
      </c>
      <c r="D218" s="77"/>
    </row>
    <row r="219" ht="10" customHeight="1" hidden="1">
      <c r="A219" s="73"/>
      <c r="B219" s="74">
        <v>46301</v>
      </c>
      <c r="C219" s="75" cm="1">
        <f t="array" ref="C219">COUNTIF('어휘 - 표 1 스냅샷'!L2:L2503,B219)</f>
        <v>0</v>
      </c>
      <c r="D219" s="77"/>
    </row>
    <row r="220" ht="10" customHeight="1" hidden="1">
      <c r="A220" s="73"/>
      <c r="B220" s="74">
        <v>46302</v>
      </c>
      <c r="C220" s="75" cm="1">
        <f t="array" ref="C220">COUNTIF('어휘 - 표 1 스냅샷'!L2:L2503,B220)</f>
        <v>0</v>
      </c>
      <c r="D220" s="77"/>
    </row>
    <row r="221" ht="10" customHeight="1" hidden="1">
      <c r="A221" s="73"/>
      <c r="B221" s="74">
        <v>46303</v>
      </c>
      <c r="C221" s="75" cm="1">
        <f t="array" ref="C221">COUNTIF('어휘 - 표 1 스냅샷'!L2:L2503,B221)</f>
        <v>0</v>
      </c>
      <c r="D221" s="77"/>
    </row>
    <row r="222" ht="10" customHeight="1" hidden="1">
      <c r="A222" s="73"/>
      <c r="B222" s="74">
        <v>46304</v>
      </c>
      <c r="C222" s="75" cm="1">
        <f t="array" ref="C222">COUNTIF('어휘 - 표 1 스냅샷'!L2:L2503,B222)</f>
        <v>0</v>
      </c>
      <c r="D222" s="77"/>
    </row>
    <row r="223" ht="10" customHeight="1" hidden="1">
      <c r="A223" s="73"/>
      <c r="B223" s="74">
        <v>46305</v>
      </c>
      <c r="C223" s="75" cm="1">
        <f t="array" ref="C223">COUNTIF('어휘 - 표 1 스냅샷'!L2:L2503,B223)</f>
        <v>0</v>
      </c>
      <c r="D223" s="77"/>
    </row>
    <row r="224" ht="10" customHeight="1" hidden="1">
      <c r="A224" s="73"/>
      <c r="B224" s="74">
        <v>46306</v>
      </c>
      <c r="C224" s="75" cm="1">
        <f t="array" ref="C224">COUNTIF('어휘 - 표 1 스냅샷'!L2:L2503,B224)</f>
        <v>0</v>
      </c>
      <c r="D224" s="77"/>
    </row>
    <row r="225" ht="10" customHeight="1" hidden="1">
      <c r="A225" s="73"/>
      <c r="B225" s="74">
        <v>46307</v>
      </c>
      <c r="C225" s="75" cm="1">
        <f t="array" ref="C225">COUNTIF('어휘 - 표 1 스냅샷'!L2:L2503,B225)</f>
        <v>0</v>
      </c>
      <c r="D225" s="77"/>
    </row>
    <row r="226" ht="10" customHeight="1" hidden="1">
      <c r="A226" s="73"/>
      <c r="B226" s="74">
        <v>46308</v>
      </c>
      <c r="C226" s="75" cm="1">
        <f t="array" ref="C226">COUNTIF('어휘 - 표 1 스냅샷'!L2:L2503,B226)</f>
        <v>0</v>
      </c>
      <c r="D226" s="77"/>
    </row>
    <row r="227" ht="10" customHeight="1" hidden="1">
      <c r="A227" s="73"/>
      <c r="B227" s="74">
        <v>46309</v>
      </c>
      <c r="C227" s="75" cm="1">
        <f t="array" ref="C227">COUNTIF('어휘 - 표 1 스냅샷'!L2:L2503,B227)</f>
        <v>0</v>
      </c>
      <c r="D227" s="77"/>
    </row>
    <row r="228" ht="10" customHeight="1" hidden="1">
      <c r="A228" s="73"/>
      <c r="B228" s="74">
        <v>46310</v>
      </c>
      <c r="C228" s="75" cm="1">
        <f t="array" ref="C228">COUNTIF('어휘 - 표 1 스냅샷'!L2:L2503,B228)</f>
        <v>0</v>
      </c>
      <c r="D228" s="77"/>
    </row>
    <row r="229" ht="10" customHeight="1" hidden="1">
      <c r="A229" s="73"/>
      <c r="B229" s="74">
        <v>46311</v>
      </c>
      <c r="C229" s="75" cm="1">
        <f t="array" ref="C229">COUNTIF('어휘 - 표 1 스냅샷'!L2:L2503,B229)</f>
        <v>0</v>
      </c>
      <c r="D229" s="77"/>
    </row>
    <row r="230" ht="10" customHeight="1" hidden="1">
      <c r="A230" s="73"/>
      <c r="B230" s="74">
        <v>46312</v>
      </c>
      <c r="C230" s="75" cm="1">
        <f t="array" ref="C230">COUNTIF('어휘 - 표 1 스냅샷'!L2:L2503,B230)</f>
        <v>0</v>
      </c>
      <c r="D230" s="77"/>
    </row>
    <row r="231" ht="10" customHeight="1" hidden="1">
      <c r="A231" s="73"/>
      <c r="B231" s="74">
        <v>46313</v>
      </c>
      <c r="C231" s="75" cm="1">
        <f t="array" ref="C231">COUNTIF('어휘 - 표 1 스냅샷'!L2:L2503,B231)</f>
        <v>0</v>
      </c>
      <c r="D231" s="77"/>
    </row>
    <row r="232" ht="10" customHeight="1" hidden="1">
      <c r="A232" s="73"/>
      <c r="B232" s="74">
        <v>46314</v>
      </c>
      <c r="C232" s="75" cm="1">
        <f t="array" ref="C232">COUNTIF('어휘 - 표 1 스냅샷'!L2:L2503,B232)</f>
        <v>0</v>
      </c>
      <c r="D232" s="77"/>
    </row>
    <row r="233" ht="10" customHeight="1" hidden="1">
      <c r="A233" s="73"/>
      <c r="B233" s="74">
        <v>46315</v>
      </c>
      <c r="C233" s="75" cm="1">
        <f t="array" ref="C233">COUNTIF('어휘 - 표 1 스냅샷'!L2:L2503,B233)</f>
        <v>0</v>
      </c>
      <c r="D233" s="77"/>
    </row>
    <row r="234" ht="10" customHeight="1" hidden="1">
      <c r="A234" s="73"/>
      <c r="B234" s="74">
        <v>46316</v>
      </c>
      <c r="C234" s="75" cm="1">
        <f t="array" ref="C234">COUNTIF('어휘 - 표 1 스냅샷'!L2:L2503,B234)</f>
        <v>0</v>
      </c>
      <c r="D234" s="77"/>
    </row>
    <row r="235" ht="10" customHeight="1" hidden="1">
      <c r="A235" s="73"/>
      <c r="B235" s="74">
        <v>46317</v>
      </c>
      <c r="C235" s="75" cm="1">
        <f t="array" ref="C235">COUNTIF('어휘 - 표 1 스냅샷'!L2:L2503,B235)</f>
        <v>0</v>
      </c>
      <c r="D235" s="77"/>
    </row>
    <row r="236" ht="10" customHeight="1" hidden="1">
      <c r="A236" s="73"/>
      <c r="B236" s="74">
        <v>46318</v>
      </c>
      <c r="C236" s="75" cm="1">
        <f t="array" ref="C236">COUNTIF('어휘 - 표 1 스냅샷'!L2:L2503,B236)</f>
        <v>0</v>
      </c>
      <c r="D236" s="77"/>
    </row>
    <row r="237" ht="10" customHeight="1" hidden="1">
      <c r="A237" s="73"/>
      <c r="B237" s="74">
        <v>46319</v>
      </c>
      <c r="C237" s="75" cm="1">
        <f t="array" ref="C237">COUNTIF('어휘 - 표 1 스냅샷'!L2:L2503,B237)</f>
        <v>0</v>
      </c>
      <c r="D237" s="77"/>
    </row>
    <row r="238" ht="10" customHeight="1" hidden="1">
      <c r="A238" s="73"/>
      <c r="B238" s="74">
        <v>46320</v>
      </c>
      <c r="C238" s="75" cm="1">
        <f t="array" ref="C238">COUNTIF('어휘 - 표 1 스냅샷'!L2:L2503,B238)</f>
        <v>0</v>
      </c>
      <c r="D238" s="77"/>
    </row>
    <row r="239" ht="10" customHeight="1" hidden="1">
      <c r="A239" s="73"/>
      <c r="B239" s="74">
        <v>46321</v>
      </c>
      <c r="C239" s="75" cm="1">
        <f t="array" ref="C239">COUNTIF('어휘 - 표 1 스냅샷'!L2:L2503,B239)</f>
        <v>0</v>
      </c>
      <c r="D239" s="77"/>
    </row>
    <row r="240" ht="10" customHeight="1" hidden="1">
      <c r="A240" s="73"/>
      <c r="B240" s="74">
        <v>46322</v>
      </c>
      <c r="C240" s="75" cm="1">
        <f t="array" ref="C240">COUNTIF('어휘 - 표 1 스냅샷'!L2:L2503,B240)</f>
        <v>0</v>
      </c>
      <c r="D240" s="77"/>
    </row>
    <row r="241" ht="10" customHeight="1" hidden="1">
      <c r="A241" s="73"/>
      <c r="B241" s="74">
        <v>46323</v>
      </c>
      <c r="C241" s="75" cm="1">
        <f t="array" ref="C241">COUNTIF('어휘 - 표 1 스냅샷'!L2:L2503,B241)</f>
        <v>0</v>
      </c>
      <c r="D241" s="77"/>
    </row>
    <row r="242" ht="10" customHeight="1" hidden="1">
      <c r="A242" s="73"/>
      <c r="B242" s="74">
        <v>46324</v>
      </c>
      <c r="C242" s="75" cm="1">
        <f t="array" ref="C242">COUNTIF('어휘 - 표 1 스냅샷'!L2:L2503,B242)</f>
        <v>0</v>
      </c>
      <c r="D242" s="77"/>
    </row>
    <row r="243" ht="10" customHeight="1" hidden="1">
      <c r="A243" s="73"/>
      <c r="B243" s="74">
        <v>46325</v>
      </c>
      <c r="C243" s="75" cm="1">
        <f t="array" ref="C243">COUNTIF('어휘 - 표 1 스냅샷'!L2:L2503,B243)</f>
        <v>0</v>
      </c>
      <c r="D243" s="77"/>
    </row>
    <row r="244" ht="10" customHeight="1" hidden="1">
      <c r="A244" s="73"/>
      <c r="B244" s="74">
        <v>46326</v>
      </c>
      <c r="C244" s="75" cm="1">
        <f t="array" ref="C244">COUNTIF('어휘 - 표 1 스냅샷'!L2:L2503,B244)</f>
        <v>0</v>
      </c>
      <c r="D244" s="77"/>
    </row>
    <row r="245" ht="20.65" customHeight="1">
      <c r="A245" s="70">
        <v>46327</v>
      </c>
      <c r="B245" s="71"/>
      <c r="C245" s="72">
        <f>SUM(C246:C275)</f>
        <v>0</v>
      </c>
      <c r="D245" s="71"/>
    </row>
    <row r="246" ht="10" customHeight="1" hidden="1">
      <c r="A246" s="73"/>
      <c r="B246" s="74">
        <v>46327</v>
      </c>
      <c r="C246" s="75" cm="1">
        <f t="array" ref="C246">COUNTIF('어휘 - 표 1 스냅샷'!L2:L2503,B246)</f>
        <v>0</v>
      </c>
      <c r="D246" s="77"/>
    </row>
    <row r="247" ht="10" customHeight="1" hidden="1">
      <c r="A247" s="73"/>
      <c r="B247" s="74">
        <v>46328</v>
      </c>
      <c r="C247" s="75" cm="1">
        <f t="array" ref="C247">COUNTIF('어휘 - 표 1 스냅샷'!L2:L2503,B247)</f>
        <v>0</v>
      </c>
      <c r="D247" s="77"/>
    </row>
    <row r="248" ht="10" customHeight="1" hidden="1">
      <c r="A248" s="73"/>
      <c r="B248" s="74">
        <v>46329</v>
      </c>
      <c r="C248" s="75" cm="1">
        <f t="array" ref="C248">COUNTIF('어휘 - 표 1 스냅샷'!L2:L2503,B248)</f>
        <v>0</v>
      </c>
      <c r="D248" s="77"/>
    </row>
    <row r="249" ht="10" customHeight="1" hidden="1">
      <c r="A249" s="73"/>
      <c r="B249" s="74">
        <v>46330</v>
      </c>
      <c r="C249" s="75" cm="1">
        <f t="array" ref="C249">COUNTIF('어휘 - 표 1 스냅샷'!L2:L2503,B249)</f>
        <v>0</v>
      </c>
      <c r="D249" s="77"/>
    </row>
    <row r="250" ht="10" customHeight="1" hidden="1">
      <c r="A250" s="73"/>
      <c r="B250" s="74">
        <v>46331</v>
      </c>
      <c r="C250" s="75" cm="1">
        <f t="array" ref="C250">COUNTIF('어휘 - 표 1 스냅샷'!L2:L2503,B250)</f>
        <v>0</v>
      </c>
      <c r="D250" s="77"/>
    </row>
    <row r="251" ht="10" customHeight="1" hidden="1">
      <c r="A251" s="73"/>
      <c r="B251" s="74">
        <v>46332</v>
      </c>
      <c r="C251" s="75" cm="1">
        <f t="array" ref="C251">COUNTIF('어휘 - 표 1 스냅샷'!L2:L2503,B251)</f>
        <v>0</v>
      </c>
      <c r="D251" s="77"/>
    </row>
    <row r="252" ht="10" customHeight="1" hidden="1">
      <c r="A252" s="73"/>
      <c r="B252" s="74">
        <v>46333</v>
      </c>
      <c r="C252" s="75" cm="1">
        <f t="array" ref="C252">COUNTIF('어휘 - 표 1 스냅샷'!L2:L2503,B252)</f>
        <v>0</v>
      </c>
      <c r="D252" s="77"/>
    </row>
    <row r="253" ht="10" customHeight="1" hidden="1">
      <c r="A253" s="73"/>
      <c r="B253" s="74">
        <v>46334</v>
      </c>
      <c r="C253" s="75" cm="1">
        <f t="array" ref="C253">COUNTIF('어휘 - 표 1 스냅샷'!L2:L2503,B253)</f>
        <v>0</v>
      </c>
      <c r="D253" s="77"/>
    </row>
    <row r="254" ht="10" customHeight="1" hidden="1">
      <c r="A254" s="73"/>
      <c r="B254" s="74">
        <v>46335</v>
      </c>
      <c r="C254" s="75" cm="1">
        <f t="array" ref="C254">COUNTIF('어휘 - 표 1 스냅샷'!L2:L2503,B254)</f>
        <v>0</v>
      </c>
      <c r="D254" s="77"/>
    </row>
    <row r="255" ht="10" customHeight="1" hidden="1">
      <c r="A255" s="73"/>
      <c r="B255" s="74">
        <v>46336</v>
      </c>
      <c r="C255" s="75" cm="1">
        <f t="array" ref="C255">COUNTIF('어휘 - 표 1 스냅샷'!L2:L2503,B255)</f>
        <v>0</v>
      </c>
      <c r="D255" s="77"/>
    </row>
    <row r="256" ht="10" customHeight="1" hidden="1">
      <c r="A256" s="73"/>
      <c r="B256" s="74">
        <v>46337</v>
      </c>
      <c r="C256" s="75" cm="1">
        <f t="array" ref="C256">COUNTIF('어휘 - 표 1 스냅샷'!L2:L2503,B256)</f>
        <v>0</v>
      </c>
      <c r="D256" s="77"/>
    </row>
    <row r="257" ht="10" customHeight="1" hidden="1">
      <c r="A257" s="73"/>
      <c r="B257" s="74">
        <v>46338</v>
      </c>
      <c r="C257" s="75" cm="1">
        <f t="array" ref="C257">COUNTIF('어휘 - 표 1 스냅샷'!L2:L2503,B257)</f>
        <v>0</v>
      </c>
      <c r="D257" s="77"/>
    </row>
    <row r="258" ht="10" customHeight="1" hidden="1">
      <c r="A258" s="73"/>
      <c r="B258" s="74">
        <v>46339</v>
      </c>
      <c r="C258" s="75" cm="1">
        <f t="array" ref="C258">COUNTIF('어휘 - 표 1 스냅샷'!L2:L2503,B258)</f>
        <v>0</v>
      </c>
      <c r="D258" s="77"/>
    </row>
    <row r="259" ht="10" customHeight="1" hidden="1">
      <c r="A259" s="73"/>
      <c r="B259" s="74">
        <v>46340</v>
      </c>
      <c r="C259" s="75" cm="1">
        <f t="array" ref="C259">COUNTIF('어휘 - 표 1 스냅샷'!L2:L2503,B259)</f>
        <v>0</v>
      </c>
      <c r="D259" s="77"/>
    </row>
    <row r="260" ht="10" customHeight="1" hidden="1">
      <c r="A260" s="73"/>
      <c r="B260" s="74">
        <v>46341</v>
      </c>
      <c r="C260" s="75" cm="1">
        <f t="array" ref="C260">COUNTIF('어휘 - 표 1 스냅샷'!L2:L2503,B260)</f>
        <v>0</v>
      </c>
      <c r="D260" s="77"/>
    </row>
    <row r="261" ht="10" customHeight="1" hidden="1">
      <c r="A261" s="73"/>
      <c r="B261" s="74">
        <v>46342</v>
      </c>
      <c r="C261" s="75" cm="1">
        <f t="array" ref="C261">COUNTIF('어휘 - 표 1 스냅샷'!L2:L2503,B261)</f>
        <v>0</v>
      </c>
      <c r="D261" s="77"/>
    </row>
    <row r="262" ht="10" customHeight="1" hidden="1">
      <c r="A262" s="73"/>
      <c r="B262" s="74">
        <v>46343</v>
      </c>
      <c r="C262" s="75" cm="1">
        <f t="array" ref="C262">COUNTIF('어휘 - 표 1 스냅샷'!L2:L2503,B262)</f>
        <v>0</v>
      </c>
      <c r="D262" s="77"/>
    </row>
    <row r="263" ht="10" customHeight="1" hidden="1">
      <c r="A263" s="73"/>
      <c r="B263" s="74">
        <v>46344</v>
      </c>
      <c r="C263" s="75" cm="1">
        <f t="array" ref="C263">COUNTIF('어휘 - 표 1 스냅샷'!L2:L2503,B263)</f>
        <v>0</v>
      </c>
      <c r="D263" s="77"/>
    </row>
    <row r="264" ht="10" customHeight="1" hidden="1">
      <c r="A264" s="73"/>
      <c r="B264" s="74">
        <v>46345</v>
      </c>
      <c r="C264" s="75" cm="1">
        <f t="array" ref="C264">COUNTIF('어휘 - 표 1 스냅샷'!L2:L2503,B264)</f>
        <v>0</v>
      </c>
      <c r="D264" s="77"/>
    </row>
    <row r="265" ht="10" customHeight="1" hidden="1">
      <c r="A265" s="73"/>
      <c r="B265" s="74">
        <v>46346</v>
      </c>
      <c r="C265" s="75" cm="1">
        <f t="array" ref="C265">COUNTIF('어휘 - 표 1 스냅샷'!L2:L2503,B265)</f>
        <v>0</v>
      </c>
      <c r="D265" s="77"/>
    </row>
    <row r="266" ht="10" customHeight="1" hidden="1">
      <c r="A266" s="73"/>
      <c r="B266" s="74">
        <v>46347</v>
      </c>
      <c r="C266" s="75" cm="1">
        <f t="array" ref="C266">COUNTIF('어휘 - 표 1 스냅샷'!L2:L2503,B266)</f>
        <v>0</v>
      </c>
      <c r="D266" s="77"/>
    </row>
    <row r="267" ht="10" customHeight="1" hidden="1">
      <c r="A267" s="73"/>
      <c r="B267" s="74">
        <v>46348</v>
      </c>
      <c r="C267" s="75" cm="1">
        <f t="array" ref="C267">COUNTIF('어휘 - 표 1 스냅샷'!L2:L2503,B267)</f>
        <v>0</v>
      </c>
      <c r="D267" s="77"/>
    </row>
    <row r="268" ht="10" customHeight="1" hidden="1">
      <c r="A268" s="73"/>
      <c r="B268" s="74">
        <v>46349</v>
      </c>
      <c r="C268" s="75" cm="1">
        <f t="array" ref="C268">COUNTIF('어휘 - 표 1 스냅샷'!L2:L2503,B268)</f>
        <v>0</v>
      </c>
      <c r="D268" s="77"/>
    </row>
    <row r="269" ht="10" customHeight="1" hidden="1">
      <c r="A269" s="73"/>
      <c r="B269" s="74">
        <v>46350</v>
      </c>
      <c r="C269" s="75" cm="1">
        <f t="array" ref="C269">COUNTIF('어휘 - 표 1 스냅샷'!L2:L2503,B269)</f>
        <v>0</v>
      </c>
      <c r="D269" s="77"/>
    </row>
    <row r="270" ht="10" customHeight="1" hidden="1">
      <c r="A270" s="73"/>
      <c r="B270" s="74">
        <v>46351</v>
      </c>
      <c r="C270" s="75" cm="1">
        <f t="array" ref="C270">COUNTIF('어휘 - 표 1 스냅샷'!L2:L2503,B270)</f>
        <v>0</v>
      </c>
      <c r="D270" s="77"/>
    </row>
    <row r="271" ht="10" customHeight="1" hidden="1">
      <c r="A271" s="73"/>
      <c r="B271" s="74">
        <v>46352</v>
      </c>
      <c r="C271" s="75" cm="1">
        <f t="array" ref="C271">COUNTIF('어휘 - 표 1 스냅샷'!L2:L2503,B271)</f>
        <v>0</v>
      </c>
      <c r="D271" s="77"/>
    </row>
    <row r="272" ht="10" customHeight="1" hidden="1">
      <c r="A272" s="73"/>
      <c r="B272" s="74">
        <v>46353</v>
      </c>
      <c r="C272" s="75" cm="1">
        <f t="array" ref="C272">COUNTIF('어휘 - 표 1 스냅샷'!L2:L2503,B272)</f>
        <v>0</v>
      </c>
      <c r="D272" s="77"/>
    </row>
    <row r="273" ht="10" customHeight="1" hidden="1">
      <c r="A273" s="73"/>
      <c r="B273" s="74">
        <v>46354</v>
      </c>
      <c r="C273" s="75" cm="1">
        <f t="array" ref="C273">COUNTIF('어휘 - 표 1 스냅샷'!L2:L2503,B273)</f>
        <v>0</v>
      </c>
      <c r="D273" s="77"/>
    </row>
    <row r="274" ht="10" customHeight="1" hidden="1">
      <c r="A274" s="73"/>
      <c r="B274" s="74">
        <v>46355</v>
      </c>
      <c r="C274" s="75" cm="1">
        <f t="array" ref="C274">COUNTIF('어휘 - 표 1 스냅샷'!L2:L2503,B274)</f>
        <v>0</v>
      </c>
      <c r="D274" s="77"/>
    </row>
    <row r="275" ht="10" customHeight="1" hidden="1">
      <c r="A275" s="73"/>
      <c r="B275" s="74">
        <v>46356</v>
      </c>
      <c r="C275" s="75" cm="1">
        <f t="array" ref="C275">COUNTIF('어휘 - 표 1 스냅샷'!L2:L2503,B275)</f>
        <v>0</v>
      </c>
      <c r="D275" s="77"/>
    </row>
    <row r="276" ht="20.65" customHeight="1">
      <c r="A276" s="70">
        <v>46357</v>
      </c>
      <c r="B276" s="71"/>
      <c r="C276" s="72">
        <f>SUM(C277:C307)</f>
        <v>0</v>
      </c>
      <c r="D276" s="71"/>
    </row>
    <row r="277" ht="10" customHeight="1" hidden="1">
      <c r="A277" s="73"/>
      <c r="B277" s="74">
        <v>46357</v>
      </c>
      <c r="C277" s="75" cm="1">
        <f t="array" ref="C277">COUNTIF('어휘 - 표 1 스냅샷'!L2:L2503,B277)</f>
        <v>0</v>
      </c>
      <c r="D277" s="77"/>
    </row>
    <row r="278" ht="10" customHeight="1" hidden="1">
      <c r="A278" s="73"/>
      <c r="B278" s="74">
        <v>46358</v>
      </c>
      <c r="C278" s="75" cm="1">
        <f t="array" ref="C278">COUNTIF('어휘 - 표 1 스냅샷'!L2:L2503,B278)</f>
        <v>0</v>
      </c>
      <c r="D278" s="77"/>
    </row>
    <row r="279" ht="10" customHeight="1" hidden="1">
      <c r="A279" s="73"/>
      <c r="B279" s="74">
        <v>46359</v>
      </c>
      <c r="C279" s="75" cm="1">
        <f t="array" ref="C279">COUNTIF('어휘 - 표 1 스냅샷'!L2:L2503,B279)</f>
        <v>0</v>
      </c>
      <c r="D279" s="77"/>
    </row>
    <row r="280" ht="10" customHeight="1" hidden="1">
      <c r="A280" s="73"/>
      <c r="B280" s="74">
        <v>46360</v>
      </c>
      <c r="C280" s="75" cm="1">
        <f t="array" ref="C280">COUNTIF('어휘 - 표 1 스냅샷'!L2:L2503,B280)</f>
        <v>0</v>
      </c>
      <c r="D280" s="77"/>
    </row>
    <row r="281" ht="10" customHeight="1" hidden="1">
      <c r="A281" s="73"/>
      <c r="B281" s="74">
        <v>46361</v>
      </c>
      <c r="C281" s="75" cm="1">
        <f t="array" ref="C281">COUNTIF('어휘 - 표 1 스냅샷'!L2:L2503,B281)</f>
        <v>0</v>
      </c>
      <c r="D281" s="77"/>
    </row>
    <row r="282" ht="10" customHeight="1" hidden="1">
      <c r="A282" s="73"/>
      <c r="B282" s="74">
        <v>46362</v>
      </c>
      <c r="C282" s="75" cm="1">
        <f t="array" ref="C282">COUNTIF('어휘 - 표 1 스냅샷'!L2:L2503,B282)</f>
        <v>0</v>
      </c>
      <c r="D282" s="77"/>
    </row>
    <row r="283" ht="10" customHeight="1" hidden="1">
      <c r="A283" s="73"/>
      <c r="B283" s="74">
        <v>46363</v>
      </c>
      <c r="C283" s="75" cm="1">
        <f t="array" ref="C283">COUNTIF('어휘 - 표 1 스냅샷'!L2:L2503,B283)</f>
        <v>0</v>
      </c>
      <c r="D283" s="77"/>
    </row>
    <row r="284" ht="10" customHeight="1" hidden="1">
      <c r="A284" s="73"/>
      <c r="B284" s="74">
        <v>46364</v>
      </c>
      <c r="C284" s="75" cm="1">
        <f t="array" ref="C284">COUNTIF('어휘 - 표 1 스냅샷'!L2:L2503,B284)</f>
        <v>0</v>
      </c>
      <c r="D284" s="77"/>
    </row>
    <row r="285" ht="10" customHeight="1" hidden="1">
      <c r="A285" s="73"/>
      <c r="B285" s="74">
        <v>46365</v>
      </c>
      <c r="C285" s="75" cm="1">
        <f t="array" ref="C285">COUNTIF('어휘 - 표 1 스냅샷'!L2:L2503,B285)</f>
        <v>0</v>
      </c>
      <c r="D285" s="77"/>
    </row>
    <row r="286" ht="10" customHeight="1" hidden="1">
      <c r="A286" s="73"/>
      <c r="B286" s="74">
        <v>46366</v>
      </c>
      <c r="C286" s="75" cm="1">
        <f t="array" ref="C286">COUNTIF('어휘 - 표 1 스냅샷'!L2:L2503,B286)</f>
        <v>0</v>
      </c>
      <c r="D286" s="77"/>
    </row>
    <row r="287" ht="10" customHeight="1" hidden="1">
      <c r="A287" s="73"/>
      <c r="B287" s="74">
        <v>46367</v>
      </c>
      <c r="C287" s="75" cm="1">
        <f t="array" ref="C287">COUNTIF('어휘 - 표 1 스냅샷'!L2:L2503,B287)</f>
        <v>0</v>
      </c>
      <c r="D287" s="77"/>
    </row>
    <row r="288" ht="10" customHeight="1" hidden="1">
      <c r="A288" s="73"/>
      <c r="B288" s="74">
        <v>46368</v>
      </c>
      <c r="C288" s="75" cm="1">
        <f t="array" ref="C288">COUNTIF('어휘 - 표 1 스냅샷'!L2:L2503,B288)</f>
        <v>0</v>
      </c>
      <c r="D288" s="77"/>
    </row>
    <row r="289" ht="10" customHeight="1" hidden="1">
      <c r="A289" s="73"/>
      <c r="B289" s="74">
        <v>46369</v>
      </c>
      <c r="C289" s="75" cm="1">
        <f t="array" ref="C289">COUNTIF('어휘 - 표 1 스냅샷'!L2:L2503,B289)</f>
        <v>0</v>
      </c>
      <c r="D289" s="77"/>
    </row>
    <row r="290" ht="10" customHeight="1" hidden="1">
      <c r="A290" s="73"/>
      <c r="B290" s="74">
        <v>46370</v>
      </c>
      <c r="C290" s="75" cm="1">
        <f t="array" ref="C290">COUNTIF('어휘 - 표 1 스냅샷'!L2:L2503,B290)</f>
        <v>0</v>
      </c>
      <c r="D290" s="77"/>
    </row>
    <row r="291" ht="10" customHeight="1" hidden="1">
      <c r="A291" s="73"/>
      <c r="B291" s="74">
        <v>46371</v>
      </c>
      <c r="C291" s="75" cm="1">
        <f t="array" ref="C291">COUNTIF('어휘 - 표 1 스냅샷'!L2:L2503,B291)</f>
        <v>0</v>
      </c>
      <c r="D291" s="77"/>
    </row>
    <row r="292" ht="10" customHeight="1" hidden="1">
      <c r="A292" s="73"/>
      <c r="B292" s="74">
        <v>46372</v>
      </c>
      <c r="C292" s="75" cm="1">
        <f t="array" ref="C292">COUNTIF('어휘 - 표 1 스냅샷'!L2:L2503,B292)</f>
        <v>0</v>
      </c>
      <c r="D292" s="77"/>
    </row>
    <row r="293" ht="10" customHeight="1" hidden="1">
      <c r="A293" s="73"/>
      <c r="B293" s="74">
        <v>46373</v>
      </c>
      <c r="C293" s="75" cm="1">
        <f t="array" ref="C293">COUNTIF('어휘 - 표 1 스냅샷'!L2:L2503,B293)</f>
        <v>0</v>
      </c>
      <c r="D293" s="77"/>
    </row>
    <row r="294" ht="10" customHeight="1" hidden="1">
      <c r="A294" s="73"/>
      <c r="B294" s="74">
        <v>46374</v>
      </c>
      <c r="C294" s="75" cm="1">
        <f t="array" ref="C294">COUNTIF('어휘 - 표 1 스냅샷'!L2:L2503,B294)</f>
        <v>0</v>
      </c>
      <c r="D294" s="77"/>
    </row>
    <row r="295" ht="10" customHeight="1" hidden="1">
      <c r="A295" s="73"/>
      <c r="B295" s="74">
        <v>46375</v>
      </c>
      <c r="C295" s="75" cm="1">
        <f t="array" ref="C295">COUNTIF('어휘 - 표 1 스냅샷'!L2:L2503,B295)</f>
        <v>0</v>
      </c>
      <c r="D295" s="77"/>
    </row>
    <row r="296" ht="10" customHeight="1" hidden="1">
      <c r="A296" s="73"/>
      <c r="B296" s="74">
        <v>46376</v>
      </c>
      <c r="C296" s="75" cm="1">
        <f t="array" ref="C296">COUNTIF('어휘 - 표 1 스냅샷'!L2:L2503,B296)</f>
        <v>0</v>
      </c>
      <c r="D296" s="77"/>
    </row>
    <row r="297" ht="10" customHeight="1" hidden="1">
      <c r="A297" s="73"/>
      <c r="B297" s="74">
        <v>46377</v>
      </c>
      <c r="C297" s="75" cm="1">
        <f t="array" ref="C297">COUNTIF('어휘 - 표 1 스냅샷'!L2:L2503,B297)</f>
        <v>0</v>
      </c>
      <c r="D297" s="77"/>
    </row>
    <row r="298" ht="10" customHeight="1" hidden="1">
      <c r="A298" s="73"/>
      <c r="B298" s="74">
        <v>46378</v>
      </c>
      <c r="C298" s="75" cm="1">
        <f t="array" ref="C298">COUNTIF('어휘 - 표 1 스냅샷'!L2:L2503,B298)</f>
        <v>0</v>
      </c>
      <c r="D298" s="77"/>
    </row>
    <row r="299" ht="10" customHeight="1" hidden="1">
      <c r="A299" s="73"/>
      <c r="B299" s="74">
        <v>46379</v>
      </c>
      <c r="C299" s="75" cm="1">
        <f t="array" ref="C299">COUNTIF('어휘 - 표 1 스냅샷'!L2:L2503,B299)</f>
        <v>0</v>
      </c>
      <c r="D299" s="77"/>
    </row>
    <row r="300" ht="10" customHeight="1" hidden="1">
      <c r="A300" s="73"/>
      <c r="B300" s="74">
        <v>46380</v>
      </c>
      <c r="C300" s="75" cm="1">
        <f t="array" ref="C300">COUNTIF('어휘 - 표 1 스냅샷'!L2:L2503,B300)</f>
        <v>0</v>
      </c>
      <c r="D300" s="77"/>
    </row>
    <row r="301" ht="10" customHeight="1" hidden="1">
      <c r="A301" s="73"/>
      <c r="B301" s="74">
        <v>46381</v>
      </c>
      <c r="C301" s="75" cm="1">
        <f t="array" ref="C301">COUNTIF('어휘 - 표 1 스냅샷'!L2:L2503,B301)</f>
        <v>0</v>
      </c>
      <c r="D301" s="77"/>
    </row>
    <row r="302" ht="10" customHeight="1" hidden="1">
      <c r="A302" s="73"/>
      <c r="B302" s="74">
        <v>46382</v>
      </c>
      <c r="C302" s="75" cm="1">
        <f t="array" ref="C302">COUNTIF('어휘 - 표 1 스냅샷'!L2:L2503,B302)</f>
        <v>0</v>
      </c>
      <c r="D302" s="77"/>
    </row>
    <row r="303" ht="10" customHeight="1" hidden="1">
      <c r="A303" s="73"/>
      <c r="B303" s="74">
        <v>46383</v>
      </c>
      <c r="C303" s="75" cm="1">
        <f t="array" ref="C303">COUNTIF('어휘 - 표 1 스냅샷'!L2:L2503,B303)</f>
        <v>0</v>
      </c>
      <c r="D303" s="77"/>
    </row>
    <row r="304" ht="10" customHeight="1" hidden="1">
      <c r="A304" s="73"/>
      <c r="B304" s="74">
        <v>46384</v>
      </c>
      <c r="C304" s="75" cm="1">
        <f t="array" ref="C304">COUNTIF('어휘 - 표 1 스냅샷'!L2:L2503,B304)</f>
        <v>0</v>
      </c>
      <c r="D304" s="77"/>
    </row>
    <row r="305" ht="10" customHeight="1" hidden="1">
      <c r="A305" s="73"/>
      <c r="B305" s="74">
        <v>46385</v>
      </c>
      <c r="C305" s="75" cm="1">
        <f t="array" ref="C305">COUNTIF('어휘 - 표 1 스냅샷'!L2:L2503,B305)</f>
        <v>0</v>
      </c>
      <c r="D305" s="77"/>
    </row>
    <row r="306" ht="10" customHeight="1" hidden="1">
      <c r="A306" s="73"/>
      <c r="B306" s="74">
        <v>46386</v>
      </c>
      <c r="C306" s="75" cm="1">
        <f t="array" ref="C306">COUNTIF('어휘 - 표 1 스냅샷'!L2:L2503,B306)</f>
        <v>0</v>
      </c>
      <c r="D306" s="77"/>
    </row>
    <row r="307" ht="10" customHeight="1" hidden="1">
      <c r="A307" s="73"/>
      <c r="B307" s="74">
        <v>46387</v>
      </c>
      <c r="C307" s="75" cm="1">
        <f t="array" ref="C307">COUNTIF('어휘 - 표 1 스냅샷'!L2:L2503,B307)</f>
        <v>0</v>
      </c>
      <c r="D307" s="77"/>
    </row>
    <row r="308" ht="20" customHeight="1">
      <c r="A308" t="s" s="78"/>
      <c r="B308" s="79"/>
      <c r="C308" s="80">
        <f>SUM(C309)</f>
        <v>2406</v>
      </c>
      <c r="D308" s="79"/>
    </row>
    <row r="309" ht="19.2" customHeight="1">
      <c r="A309" s="60"/>
      <c r="B309" s="81"/>
      <c r="C309" s="17" cm="1">
        <f t="array" ref="C309">COUNTIF('어휘 - 표 1 스냅샷'!L2:L2503,B309)</f>
        <v>2406</v>
      </c>
      <c r="D309" s="82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